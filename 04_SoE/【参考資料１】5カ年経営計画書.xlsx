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ENTA\mentor_resources\"/>
    </mc:Choice>
  </mc:AlternateContent>
  <xr:revisionPtr revIDLastSave="0" documentId="13_ncr:1_{CEDBD74E-CCAD-426E-98F4-F6A86CD58299}" xr6:coauthVersionLast="47" xr6:coauthVersionMax="47" xr10:uidLastSave="{00000000-0000-0000-0000-000000000000}"/>
  <bookViews>
    <workbookView xWindow="38280" yWindow="9765" windowWidth="21840" windowHeight="13020" firstSheet="2" activeTab="8" xr2:uid="{00000000-000D-0000-FFFF-FFFF00000000}"/>
  </bookViews>
  <sheets>
    <sheet name="事業評価【A案・税引前】" sheetId="4" state="hidden" r:id="rId1"/>
    <sheet name="事業評価【A案・税引後】" sheetId="5" state="hidden" r:id="rId2"/>
    <sheet name="Sheet2" sheetId="21" r:id="rId3"/>
    <sheet name="売上計画" sheetId="11" r:id="rId4"/>
    <sheet name="シェル " sheetId="16" r:id="rId5"/>
    <sheet name="ACT01" sheetId="22" r:id="rId6"/>
    <sheet name="ACT川崎" sheetId="20" r:id="rId7"/>
    <sheet name="シェルあざみ野" sheetId="15" r:id="rId8"/>
    <sheet name="基礎" sheetId="1" r:id="rId9"/>
    <sheet name="PL" sheetId="2" r:id="rId10"/>
    <sheet name="CF" sheetId="3" r:id="rId11"/>
    <sheet name="BS" sheetId="10" r:id="rId12"/>
    <sheet name="店舗初期投資" sheetId="7" r:id="rId13"/>
    <sheet name="店舗投資詳細" sheetId="6" r:id="rId14"/>
    <sheet name="金融機関" sheetId="17" r:id="rId15"/>
    <sheet name="Sheet3" sheetId="18" r:id="rId16"/>
    <sheet name="金融借入" sheetId="8" r:id="rId17"/>
    <sheet name="金融借入（移行計算）" sheetId="9" r:id="rId18"/>
    <sheet name="Sheet1" sheetId="13" r:id="rId19"/>
  </sheets>
  <definedNames>
    <definedName name="_xlnm.Print_Area" localSheetId="5">'ACT01'!$A$1:$BP$56</definedName>
    <definedName name="_xlnm.Print_Area" localSheetId="4">'シェル '!$A$1:$BP$56</definedName>
    <definedName name="_xlnm.Print_Area" localSheetId="8">基礎!$A$1:$BA$86</definedName>
    <definedName name="_xlnm.Print_Titles" localSheetId="5">'ACT01'!$A:$C</definedName>
    <definedName name="_xlnm.Print_Titles" localSheetId="4">'シェル 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AO39" i="1"/>
  <c r="AP39" i="1"/>
  <c r="AQ39" i="1"/>
  <c r="AR39" i="1"/>
  <c r="AS39" i="1"/>
  <c r="AT39" i="1"/>
  <c r="AU39" i="1"/>
  <c r="AV39" i="1"/>
  <c r="AW39" i="1"/>
  <c r="AX39" i="1"/>
  <c r="AY39" i="1"/>
  <c r="AZ13" i="1"/>
  <c r="W28" i="1"/>
  <c r="X28" i="1"/>
  <c r="Y28" i="1"/>
  <c r="Z28" i="1"/>
  <c r="AA28" i="1"/>
  <c r="AB28" i="1"/>
  <c r="AC28" i="1"/>
  <c r="AD28" i="1"/>
  <c r="AE28" i="1"/>
  <c r="AF28" i="1"/>
  <c r="AG28" i="1"/>
  <c r="BP54" i="22"/>
  <c r="BO54" i="22"/>
  <c r="BN54" i="22"/>
  <c r="BM54" i="22"/>
  <c r="BL54" i="22"/>
  <c r="BL55" i="22" s="1"/>
  <c r="BK54" i="22"/>
  <c r="BK55" i="22" s="1"/>
  <c r="BJ54" i="22"/>
  <c r="BJ55" i="22" s="1"/>
  <c r="BI54" i="22"/>
  <c r="BI55" i="22" s="1"/>
  <c r="BH54" i="22"/>
  <c r="BG54" i="22"/>
  <c r="BG55" i="22" s="1"/>
  <c r="BF54" i="22"/>
  <c r="BE54" i="22"/>
  <c r="BC54" i="22"/>
  <c r="BC55" i="22" s="1"/>
  <c r="BB54" i="22"/>
  <c r="BB55" i="22" s="1"/>
  <c r="BA54" i="22"/>
  <c r="AZ54" i="22"/>
  <c r="AY54" i="22"/>
  <c r="AX54" i="22"/>
  <c r="AW54" i="22"/>
  <c r="AV54" i="22"/>
  <c r="AU54" i="22"/>
  <c r="AU55" i="22" s="1"/>
  <c r="AT54" i="22"/>
  <c r="AT55" i="22" s="1"/>
  <c r="AS54" i="22"/>
  <c r="AS55" i="22" s="1"/>
  <c r="AR54" i="22"/>
  <c r="AR55" i="22" s="1"/>
  <c r="AP54" i="22"/>
  <c r="AP55" i="22" s="1"/>
  <c r="AO54" i="22"/>
  <c r="AO55" i="22" s="1"/>
  <c r="AN54" i="22"/>
  <c r="AM54" i="22"/>
  <c r="AL54" i="22"/>
  <c r="AL55" i="22" s="1"/>
  <c r="AK54" i="22"/>
  <c r="AK55" i="22" s="1"/>
  <c r="AJ54" i="22"/>
  <c r="AJ55" i="22" s="1"/>
  <c r="AI54" i="22"/>
  <c r="AI55" i="22" s="1"/>
  <c r="AH54" i="22"/>
  <c r="AH55" i="22" s="1"/>
  <c r="AG54" i="22"/>
  <c r="AG55" i="22" s="1"/>
  <c r="AF54" i="22"/>
  <c r="AE54" i="22"/>
  <c r="AC54" i="22"/>
  <c r="AC55" i="22" s="1"/>
  <c r="AB54" i="22"/>
  <c r="AB55" i="22" s="1"/>
  <c r="AA54" i="22"/>
  <c r="Z54" i="22"/>
  <c r="Y54" i="22"/>
  <c r="X54" i="22"/>
  <c r="W54" i="22"/>
  <c r="V54" i="22"/>
  <c r="U54" i="22"/>
  <c r="U55" i="22" s="1"/>
  <c r="T54" i="22"/>
  <c r="T55" i="22" s="1"/>
  <c r="S54" i="22"/>
  <c r="S55" i="22" s="1"/>
  <c r="R54" i="22"/>
  <c r="R55" i="22" s="1"/>
  <c r="P54" i="22"/>
  <c r="P55" i="22" s="1"/>
  <c r="O54" i="22"/>
  <c r="O55" i="22" s="1"/>
  <c r="N54" i="22"/>
  <c r="M54" i="22"/>
  <c r="L54" i="22"/>
  <c r="L55" i="22" s="1"/>
  <c r="K54" i="22"/>
  <c r="K55" i="22" s="1"/>
  <c r="J54" i="22"/>
  <c r="I54" i="22"/>
  <c r="H54" i="22"/>
  <c r="H55" i="22" s="1"/>
  <c r="G54" i="22"/>
  <c r="G55" i="22" s="1"/>
  <c r="F54" i="22"/>
  <c r="E54" i="22"/>
  <c r="BP36" i="22"/>
  <c r="BO36" i="22"/>
  <c r="BN36" i="22"/>
  <c r="BM36" i="22"/>
  <c r="BL36" i="22"/>
  <c r="BK36" i="22"/>
  <c r="BJ36" i="22"/>
  <c r="BI36" i="22"/>
  <c r="BH36" i="22"/>
  <c r="BG36" i="22"/>
  <c r="BF36" i="22"/>
  <c r="BE36" i="22"/>
  <c r="BC36" i="22"/>
  <c r="BB36" i="22"/>
  <c r="BA36" i="22"/>
  <c r="AZ36" i="22"/>
  <c r="AY36" i="22"/>
  <c r="AX36" i="22"/>
  <c r="AW36" i="22"/>
  <c r="AV36" i="22"/>
  <c r="AU36" i="22"/>
  <c r="AT36" i="22"/>
  <c r="AS36" i="22"/>
  <c r="AR36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BP35" i="22"/>
  <c r="BO35" i="22"/>
  <c r="BN35" i="22"/>
  <c r="BM35" i="22"/>
  <c r="BL35" i="22"/>
  <c r="BK35" i="22"/>
  <c r="BJ35" i="22"/>
  <c r="BI35" i="22"/>
  <c r="BH35" i="22"/>
  <c r="BG35" i="22"/>
  <c r="BF35" i="22"/>
  <c r="BE35" i="22"/>
  <c r="BC35" i="22"/>
  <c r="BB35" i="22"/>
  <c r="BA35" i="22"/>
  <c r="AZ35" i="22"/>
  <c r="AY35" i="22"/>
  <c r="AX35" i="22"/>
  <c r="AW35" i="22"/>
  <c r="AV35" i="22"/>
  <c r="AU35" i="22"/>
  <c r="AT35" i="22"/>
  <c r="AS35" i="22"/>
  <c r="AR35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BP34" i="22"/>
  <c r="BO34" i="22"/>
  <c r="BN34" i="22"/>
  <c r="BM34" i="22"/>
  <c r="BL34" i="22"/>
  <c r="BK34" i="22"/>
  <c r="BJ34" i="22"/>
  <c r="BI34" i="22"/>
  <c r="BH34" i="22"/>
  <c r="BG34" i="22"/>
  <c r="BF34" i="22"/>
  <c r="BE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BP33" i="22"/>
  <c r="BO33" i="22"/>
  <c r="BN33" i="22"/>
  <c r="BM33" i="22"/>
  <c r="BL33" i="22"/>
  <c r="BK33" i="22"/>
  <c r="BJ33" i="22"/>
  <c r="BI33" i="22"/>
  <c r="BH33" i="22"/>
  <c r="BG33" i="22"/>
  <c r="BF33" i="22"/>
  <c r="BE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BP32" i="22"/>
  <c r="BO32" i="22"/>
  <c r="BN32" i="22"/>
  <c r="BM32" i="22"/>
  <c r="BL32" i="22"/>
  <c r="BK32" i="22"/>
  <c r="BJ32" i="22"/>
  <c r="BI32" i="22"/>
  <c r="BH32" i="22"/>
  <c r="BG32" i="22"/>
  <c r="BF32" i="22"/>
  <c r="BE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BP19" i="22"/>
  <c r="BO19" i="22"/>
  <c r="BN19" i="22"/>
  <c r="BM19" i="22"/>
  <c r="BL19" i="22"/>
  <c r="BK19" i="22"/>
  <c r="BJ19" i="22"/>
  <c r="BI19" i="22"/>
  <c r="BH19" i="22"/>
  <c r="BG19" i="22"/>
  <c r="BF19" i="22"/>
  <c r="BE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BP18" i="22"/>
  <c r="BO18" i="22"/>
  <c r="BN18" i="22"/>
  <c r="BM18" i="22"/>
  <c r="BL18" i="22"/>
  <c r="BK18" i="22"/>
  <c r="BJ18" i="22"/>
  <c r="BI18" i="22"/>
  <c r="BH18" i="22"/>
  <c r="BG18" i="22"/>
  <c r="BF18" i="22"/>
  <c r="BE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BP17" i="22"/>
  <c r="BO17" i="22"/>
  <c r="BN17" i="22"/>
  <c r="BM17" i="22"/>
  <c r="BL17" i="22"/>
  <c r="BK17" i="22"/>
  <c r="BJ17" i="22"/>
  <c r="BI17" i="22"/>
  <c r="BH17" i="22"/>
  <c r="BG17" i="22"/>
  <c r="BF17" i="22"/>
  <c r="BE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BP15" i="22"/>
  <c r="BO15" i="22"/>
  <c r="BN15" i="22"/>
  <c r="BM15" i="22"/>
  <c r="BL15" i="22"/>
  <c r="BK15" i="22"/>
  <c r="BJ15" i="22"/>
  <c r="BI15" i="22"/>
  <c r="BH15" i="22"/>
  <c r="BG15" i="22"/>
  <c r="BF15" i="22"/>
  <c r="BE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BP14" i="22"/>
  <c r="BO14" i="22"/>
  <c r="BN14" i="22"/>
  <c r="BN20" i="22" s="1"/>
  <c r="BN21" i="22" s="1"/>
  <c r="BM14" i="22"/>
  <c r="BL14" i="22"/>
  <c r="BL20" i="22" s="1"/>
  <c r="BL21" i="22" s="1"/>
  <c r="BK14" i="22"/>
  <c r="BK20" i="22" s="1"/>
  <c r="BK21" i="22" s="1"/>
  <c r="BJ14" i="22"/>
  <c r="BI14" i="22"/>
  <c r="BI20" i="22" s="1"/>
  <c r="BI21" i="22" s="1"/>
  <c r="BH14" i="22"/>
  <c r="BG14" i="22"/>
  <c r="BF14" i="22"/>
  <c r="BF20" i="22" s="1"/>
  <c r="BF21" i="22" s="1"/>
  <c r="BE14" i="22"/>
  <c r="BC14" i="22"/>
  <c r="BC20" i="22" s="1"/>
  <c r="BC21" i="22" s="1"/>
  <c r="BB14" i="22"/>
  <c r="BB20" i="22" s="1"/>
  <c r="BB21" i="22" s="1"/>
  <c r="BA14" i="22"/>
  <c r="AZ14" i="22"/>
  <c r="AZ20" i="22" s="1"/>
  <c r="AZ21" i="22" s="1"/>
  <c r="AY14" i="22"/>
  <c r="AX14" i="22"/>
  <c r="AW14" i="22"/>
  <c r="AW20" i="22" s="1"/>
  <c r="AW21" i="22" s="1"/>
  <c r="AV14" i="22"/>
  <c r="AU14" i="22"/>
  <c r="AU20" i="22" s="1"/>
  <c r="AU21" i="22" s="1"/>
  <c r="AT14" i="22"/>
  <c r="AT20" i="22" s="1"/>
  <c r="AT21" i="22" s="1"/>
  <c r="AS14" i="22"/>
  <c r="AR14" i="22"/>
  <c r="AR20" i="22" s="1"/>
  <c r="AR21" i="22" s="1"/>
  <c r="AP14" i="22"/>
  <c r="AO14" i="22"/>
  <c r="AN14" i="22"/>
  <c r="AN20" i="22" s="1"/>
  <c r="AN21" i="22" s="1"/>
  <c r="AM14" i="22"/>
  <c r="AL14" i="22"/>
  <c r="AK14" i="22"/>
  <c r="AJ14" i="22"/>
  <c r="AI14" i="22"/>
  <c r="AH14" i="22"/>
  <c r="AG14" i="22"/>
  <c r="AF14" i="22"/>
  <c r="AE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BP11" i="22"/>
  <c r="BO11" i="22"/>
  <c r="BN11" i="22"/>
  <c r="BM11" i="22"/>
  <c r="BL11" i="22"/>
  <c r="BK11" i="22"/>
  <c r="BJ11" i="22"/>
  <c r="BI11" i="22"/>
  <c r="BH11" i="22"/>
  <c r="BG11" i="22"/>
  <c r="BF11" i="22"/>
  <c r="BE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BP8" i="22"/>
  <c r="BP12" i="22" s="1"/>
  <c r="BO8" i="22"/>
  <c r="BO12" i="22" s="1"/>
  <c r="BN8" i="22"/>
  <c r="BN12" i="22" s="1"/>
  <c r="BM8" i="22"/>
  <c r="BM12" i="22" s="1"/>
  <c r="BL8" i="22"/>
  <c r="BL12" i="22" s="1"/>
  <c r="BK8" i="22"/>
  <c r="BK12" i="22" s="1"/>
  <c r="BJ8" i="22"/>
  <c r="BJ12" i="22" s="1"/>
  <c r="BI8" i="22"/>
  <c r="BI12" i="22" s="1"/>
  <c r="BH8" i="22"/>
  <c r="BH12" i="22" s="1"/>
  <c r="BG8" i="22"/>
  <c r="BG12" i="22" s="1"/>
  <c r="BF8" i="22"/>
  <c r="BF12" i="22" s="1"/>
  <c r="BE8" i="22"/>
  <c r="BE12" i="22" s="1"/>
  <c r="BC8" i="22"/>
  <c r="BC12" i="22" s="1"/>
  <c r="BB8" i="22"/>
  <c r="BB12" i="22" s="1"/>
  <c r="BA8" i="22"/>
  <c r="BA12" i="22" s="1"/>
  <c r="AZ8" i="22"/>
  <c r="AZ12" i="22" s="1"/>
  <c r="AY8" i="22"/>
  <c r="AY12" i="22" s="1"/>
  <c r="AX8" i="22"/>
  <c r="AX12" i="22" s="1"/>
  <c r="AW8" i="22"/>
  <c r="AW12" i="22" s="1"/>
  <c r="AV8" i="22"/>
  <c r="AV12" i="22" s="1"/>
  <c r="AZ14" i="1" s="1"/>
  <c r="AU8" i="22"/>
  <c r="AU12" i="22" s="1"/>
  <c r="AT8" i="22"/>
  <c r="AT12" i="22" s="1"/>
  <c r="AS8" i="22"/>
  <c r="AS12" i="22" s="1"/>
  <c r="AR8" i="22"/>
  <c r="AR12" i="22" s="1"/>
  <c r="AP8" i="22"/>
  <c r="AO8" i="22"/>
  <c r="AN8" i="22"/>
  <c r="AN12" i="22" s="1"/>
  <c r="AW14" i="1" s="1"/>
  <c r="AM8" i="22"/>
  <c r="AL8" i="22"/>
  <c r="AK8" i="22"/>
  <c r="AJ8" i="22"/>
  <c r="AI8" i="22"/>
  <c r="AH8" i="22"/>
  <c r="AG8" i="22"/>
  <c r="AF8" i="22"/>
  <c r="AE8" i="22"/>
  <c r="AC8" i="22"/>
  <c r="AB8" i="22"/>
  <c r="AA8" i="22"/>
  <c r="Z8" i="22"/>
  <c r="Y8" i="22"/>
  <c r="X8" i="22"/>
  <c r="W8" i="22"/>
  <c r="V8" i="22"/>
  <c r="U8" i="22"/>
  <c r="T8" i="22"/>
  <c r="S8" i="22"/>
  <c r="R8" i="22"/>
  <c r="R12" i="22" s="1"/>
  <c r="V14" i="1" s="1"/>
  <c r="P8" i="22"/>
  <c r="O8" i="22"/>
  <c r="O12" i="22" s="1"/>
  <c r="N14" i="1" s="1"/>
  <c r="N8" i="22"/>
  <c r="M8" i="22"/>
  <c r="L8" i="22"/>
  <c r="K8" i="22"/>
  <c r="J8" i="22"/>
  <c r="I8" i="22"/>
  <c r="H8" i="22"/>
  <c r="G8" i="22"/>
  <c r="G12" i="22" s="1"/>
  <c r="F8" i="22"/>
  <c r="E8" i="22"/>
  <c r="E12" i="22" s="1"/>
  <c r="BP54" i="16"/>
  <c r="BO54" i="16"/>
  <c r="BN54" i="16"/>
  <c r="BM54" i="16"/>
  <c r="BL54" i="16"/>
  <c r="BL55" i="16" s="1"/>
  <c r="BK54" i="16"/>
  <c r="BJ54" i="16"/>
  <c r="BI54" i="16"/>
  <c r="BI55" i="16" s="1"/>
  <c r="BH54" i="16"/>
  <c r="BG54" i="16"/>
  <c r="BF54" i="16"/>
  <c r="BE54" i="16"/>
  <c r="BP36" i="16"/>
  <c r="BO36" i="16"/>
  <c r="BN36" i="16"/>
  <c r="BM36" i="16"/>
  <c r="BL36" i="16"/>
  <c r="BK36" i="16"/>
  <c r="BJ36" i="16"/>
  <c r="BI36" i="16"/>
  <c r="BH36" i="16"/>
  <c r="BG36" i="16"/>
  <c r="BF36" i="16"/>
  <c r="BE36" i="16"/>
  <c r="BP35" i="16"/>
  <c r="BO35" i="16"/>
  <c r="BN35" i="16"/>
  <c r="BM35" i="16"/>
  <c r="BL35" i="16"/>
  <c r="BK35" i="16"/>
  <c r="BJ35" i="16"/>
  <c r="BI35" i="16"/>
  <c r="BH35" i="16"/>
  <c r="BG35" i="16"/>
  <c r="BF35" i="16"/>
  <c r="BE35" i="16"/>
  <c r="BP34" i="16"/>
  <c r="BO34" i="16"/>
  <c r="BN34" i="16"/>
  <c r="BM34" i="16"/>
  <c r="BL34" i="16"/>
  <c r="BK34" i="16"/>
  <c r="BJ34" i="16"/>
  <c r="BI34" i="16"/>
  <c r="BH34" i="16"/>
  <c r="BG34" i="16"/>
  <c r="BF34" i="16"/>
  <c r="BE34" i="16"/>
  <c r="BP33" i="16"/>
  <c r="BO33" i="16"/>
  <c r="BN33" i="16"/>
  <c r="BM33" i="16"/>
  <c r="BL33" i="16"/>
  <c r="BK33" i="16"/>
  <c r="BJ33" i="16"/>
  <c r="BI33" i="16"/>
  <c r="BH33" i="16"/>
  <c r="BG33" i="16"/>
  <c r="BF33" i="16"/>
  <c r="BE33" i="16"/>
  <c r="BP32" i="16"/>
  <c r="BO32" i="16"/>
  <c r="BN32" i="16"/>
  <c r="BM32" i="16"/>
  <c r="BL32" i="16"/>
  <c r="BK32" i="16"/>
  <c r="BJ32" i="16"/>
  <c r="BI32" i="16"/>
  <c r="BH32" i="16"/>
  <c r="BG32" i="16"/>
  <c r="BF32" i="16"/>
  <c r="BE32" i="16"/>
  <c r="BP19" i="16"/>
  <c r="BO19" i="16"/>
  <c r="BN19" i="16"/>
  <c r="BM19" i="16"/>
  <c r="BL19" i="16"/>
  <c r="BK19" i="16"/>
  <c r="BJ19" i="16"/>
  <c r="BI19" i="16"/>
  <c r="BH19" i="16"/>
  <c r="BG19" i="16"/>
  <c r="BF19" i="16"/>
  <c r="BE19" i="16"/>
  <c r="BP18" i="16"/>
  <c r="BO18" i="16"/>
  <c r="BN18" i="16"/>
  <c r="BM18" i="16"/>
  <c r="BL18" i="16"/>
  <c r="BK18" i="16"/>
  <c r="BJ18" i="16"/>
  <c r="BI18" i="16"/>
  <c r="BH18" i="16"/>
  <c r="BG18" i="16"/>
  <c r="BF18" i="16"/>
  <c r="BE18" i="16"/>
  <c r="BP17" i="16"/>
  <c r="BO17" i="16"/>
  <c r="BN17" i="16"/>
  <c r="BM17" i="16"/>
  <c r="BL17" i="16"/>
  <c r="BK17" i="16"/>
  <c r="BJ17" i="16"/>
  <c r="BI17" i="16"/>
  <c r="BH17" i="16"/>
  <c r="BG17" i="16"/>
  <c r="BF17" i="16"/>
  <c r="BE17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P15" i="16"/>
  <c r="BO15" i="16"/>
  <c r="BN15" i="16"/>
  <c r="BM15" i="16"/>
  <c r="BL15" i="16"/>
  <c r="BK15" i="16"/>
  <c r="BJ15" i="16"/>
  <c r="BI15" i="16"/>
  <c r="BH15" i="16"/>
  <c r="BG15" i="16"/>
  <c r="BF15" i="16"/>
  <c r="BE15" i="16"/>
  <c r="BP14" i="16"/>
  <c r="BO14" i="16"/>
  <c r="BO20" i="16" s="1"/>
  <c r="BO21" i="16" s="1"/>
  <c r="BN14" i="16"/>
  <c r="BN20" i="16" s="1"/>
  <c r="BN21" i="16" s="1"/>
  <c r="BM14" i="16"/>
  <c r="BL14" i="16"/>
  <c r="BK14" i="16"/>
  <c r="BJ14" i="16"/>
  <c r="BI14" i="16"/>
  <c r="BH14" i="16"/>
  <c r="BG14" i="16"/>
  <c r="BG20" i="16" s="1"/>
  <c r="BG21" i="16" s="1"/>
  <c r="BF14" i="16"/>
  <c r="BF20" i="16" s="1"/>
  <c r="BF21" i="16" s="1"/>
  <c r="BE14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P8" i="16"/>
  <c r="BO8" i="16"/>
  <c r="BO12" i="16" s="1"/>
  <c r="BN8" i="16"/>
  <c r="BN12" i="16" s="1"/>
  <c r="BM8" i="16"/>
  <c r="BL8" i="16"/>
  <c r="BK8" i="16"/>
  <c r="BJ8" i="16"/>
  <c r="BI8" i="16"/>
  <c r="BH8" i="16"/>
  <c r="BG8" i="16"/>
  <c r="BG12" i="16" s="1"/>
  <c r="BF8" i="16"/>
  <c r="BF12" i="16" s="1"/>
  <c r="BE8" i="16"/>
  <c r="BC54" i="16"/>
  <c r="BB54" i="16"/>
  <c r="BA54" i="16"/>
  <c r="AZ54" i="16"/>
  <c r="AY54" i="16"/>
  <c r="AY55" i="16" s="1"/>
  <c r="AX54" i="16"/>
  <c r="AX55" i="16" s="1"/>
  <c r="AW54" i="16"/>
  <c r="AW55" i="16" s="1"/>
  <c r="AV54" i="16"/>
  <c r="AV55" i="16" s="1"/>
  <c r="AU54" i="16"/>
  <c r="AU55" i="16" s="1"/>
  <c r="AT54" i="16"/>
  <c r="AT55" i="16" s="1"/>
  <c r="AS54" i="16"/>
  <c r="AS55" i="16" s="1"/>
  <c r="AR54" i="16"/>
  <c r="BC36" i="16"/>
  <c r="BB36" i="16"/>
  <c r="BA36" i="16"/>
  <c r="AZ36" i="16"/>
  <c r="AY36" i="16"/>
  <c r="AX36" i="16"/>
  <c r="AW36" i="16"/>
  <c r="AV36" i="16"/>
  <c r="AU36" i="16"/>
  <c r="AT36" i="16"/>
  <c r="AS36" i="16"/>
  <c r="AR36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BC14" i="16"/>
  <c r="BB14" i="16"/>
  <c r="BB20" i="16" s="1"/>
  <c r="BB21" i="16" s="1"/>
  <c r="BA14" i="16"/>
  <c r="AZ14" i="16"/>
  <c r="AY14" i="16"/>
  <c r="AX14" i="16"/>
  <c r="AW14" i="16"/>
  <c r="AV14" i="16"/>
  <c r="AU14" i="16"/>
  <c r="AT14" i="16"/>
  <c r="AT20" i="16" s="1"/>
  <c r="AT21" i="16" s="1"/>
  <c r="AS14" i="16"/>
  <c r="AR14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BC8" i="16"/>
  <c r="BB8" i="16"/>
  <c r="BA8" i="16"/>
  <c r="AZ8" i="16"/>
  <c r="AY8" i="16"/>
  <c r="AX8" i="16"/>
  <c r="AW8" i="16"/>
  <c r="AV8" i="16"/>
  <c r="AU8" i="16"/>
  <c r="AT8" i="16"/>
  <c r="AS8" i="16"/>
  <c r="AR8" i="16"/>
  <c r="AP54" i="16"/>
  <c r="AY25" i="1" s="1"/>
  <c r="AO54" i="16"/>
  <c r="AX25" i="1" s="1"/>
  <c r="AN54" i="16"/>
  <c r="AW25" i="1" s="1"/>
  <c r="AM54" i="16"/>
  <c r="AL54" i="16"/>
  <c r="AK54" i="16"/>
  <c r="AJ54" i="16"/>
  <c r="AI54" i="16"/>
  <c r="AH54" i="16"/>
  <c r="AQ25" i="1" s="1"/>
  <c r="AG54" i="16"/>
  <c r="AP25" i="1" s="1"/>
  <c r="AF54" i="16"/>
  <c r="AO25" i="1" s="1"/>
  <c r="AE54" i="16"/>
  <c r="AN25" i="1" s="1"/>
  <c r="AP36" i="16"/>
  <c r="AO36" i="16"/>
  <c r="AN36" i="16"/>
  <c r="AM36" i="16"/>
  <c r="AL36" i="16"/>
  <c r="AK36" i="16"/>
  <c r="AJ36" i="16"/>
  <c r="AI36" i="16"/>
  <c r="AH36" i="16"/>
  <c r="AG36" i="16"/>
  <c r="AF36" i="16"/>
  <c r="AE36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P14" i="16"/>
  <c r="AO14" i="16"/>
  <c r="AN14" i="16"/>
  <c r="AM14" i="16"/>
  <c r="AL14" i="16"/>
  <c r="AK14" i="16"/>
  <c r="AJ14" i="16"/>
  <c r="AI14" i="16"/>
  <c r="AH14" i="16"/>
  <c r="AG14" i="16"/>
  <c r="AG20" i="16" s="1"/>
  <c r="AF14" i="16"/>
  <c r="AE14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P8" i="16"/>
  <c r="AO8" i="16"/>
  <c r="AN8" i="16"/>
  <c r="AM8" i="16"/>
  <c r="AL8" i="16"/>
  <c r="AK8" i="16"/>
  <c r="AJ8" i="16"/>
  <c r="AI8" i="16"/>
  <c r="AH8" i="16"/>
  <c r="AG8" i="16"/>
  <c r="AF8" i="16"/>
  <c r="AE8" i="16"/>
  <c r="F16" i="21"/>
  <c r="G16" i="21" s="1"/>
  <c r="H16" i="21" s="1"/>
  <c r="I16" i="21" s="1"/>
  <c r="J16" i="21" s="1"/>
  <c r="K16" i="21" s="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F4" i="21"/>
  <c r="G4" i="21" s="1"/>
  <c r="V28" i="1"/>
  <c r="P43" i="1"/>
  <c r="P44" i="1"/>
  <c r="D39" i="1"/>
  <c r="E39" i="1"/>
  <c r="F39" i="1"/>
  <c r="Q53" i="20"/>
  <c r="R53" i="20"/>
  <c r="S53" i="20"/>
  <c r="T53" i="20"/>
  <c r="U53" i="20"/>
  <c r="G39" i="1"/>
  <c r="H39" i="1"/>
  <c r="I39" i="1"/>
  <c r="J39" i="1"/>
  <c r="K39" i="1"/>
  <c r="L39" i="1"/>
  <c r="M39" i="1"/>
  <c r="N39" i="1"/>
  <c r="O39" i="1"/>
  <c r="H28" i="1"/>
  <c r="I28" i="1"/>
  <c r="J28" i="1"/>
  <c r="K28" i="1"/>
  <c r="L28" i="1"/>
  <c r="M28" i="1"/>
  <c r="N28" i="1"/>
  <c r="O28" i="1"/>
  <c r="G28" i="1"/>
  <c r="BK12" i="16" l="1"/>
  <c r="BJ12" i="16"/>
  <c r="AK12" i="16"/>
  <c r="AM55" i="16"/>
  <c r="AV25" i="1"/>
  <c r="AL55" i="16"/>
  <c r="AU26" i="1" s="1"/>
  <c r="AU25" i="1"/>
  <c r="AK55" i="16"/>
  <c r="AT26" i="1" s="1"/>
  <c r="AT25" i="1"/>
  <c r="AJ55" i="16"/>
  <c r="AS26" i="1" s="1"/>
  <c r="AS25" i="1"/>
  <c r="AI55" i="16"/>
  <c r="AR26" i="1" s="1"/>
  <c r="AR25" i="1"/>
  <c r="AG21" i="16"/>
  <c r="AP6" i="1"/>
  <c r="AZ25" i="1"/>
  <c r="AI12" i="22"/>
  <c r="AR14" i="1" s="1"/>
  <c r="AI20" i="22"/>
  <c r="AW7" i="1"/>
  <c r="AF12" i="22"/>
  <c r="AO14" i="1" s="1"/>
  <c r="AF20" i="22"/>
  <c r="X12" i="22"/>
  <c r="AB14" i="1" s="1"/>
  <c r="R20" i="22"/>
  <c r="AG12" i="22"/>
  <c r="AP14" i="1" s="1"/>
  <c r="AO12" i="22"/>
  <c r="AX14" i="1" s="1"/>
  <c r="AH12" i="22"/>
  <c r="AQ14" i="1" s="1"/>
  <c r="AP12" i="22"/>
  <c r="AY14" i="1" s="1"/>
  <c r="Y12" i="22"/>
  <c r="AC14" i="1" s="1"/>
  <c r="Z12" i="22"/>
  <c r="AD14" i="1" s="1"/>
  <c r="Z20" i="22"/>
  <c r="Z21" i="22" s="1"/>
  <c r="AA12" i="22"/>
  <c r="AE14" i="1" s="1"/>
  <c r="S12" i="22"/>
  <c r="W14" i="1" s="1"/>
  <c r="AV20" i="22"/>
  <c r="AV21" i="22" s="1"/>
  <c r="BE20" i="22"/>
  <c r="BE21" i="22" s="1"/>
  <c r="BM20" i="22"/>
  <c r="BM21" i="22" s="1"/>
  <c r="AX20" i="22"/>
  <c r="AX21" i="22" s="1"/>
  <c r="BG20" i="22"/>
  <c r="BG21" i="22" s="1"/>
  <c r="BO20" i="22"/>
  <c r="BO21" i="22" s="1"/>
  <c r="Y20" i="22"/>
  <c r="AY20" i="22"/>
  <c r="AY21" i="22" s="1"/>
  <c r="BH20" i="22"/>
  <c r="BH21" i="22" s="1"/>
  <c r="BP20" i="22"/>
  <c r="BP21" i="22" s="1"/>
  <c r="AD7" i="1"/>
  <c r="S20" i="22"/>
  <c r="AA20" i="22"/>
  <c r="AS20" i="22"/>
  <c r="AS21" i="22" s="1"/>
  <c r="BA20" i="22"/>
  <c r="BA21" i="22" s="1"/>
  <c r="BJ20" i="22"/>
  <c r="BJ21" i="22" s="1"/>
  <c r="BG56" i="22"/>
  <c r="AX55" i="22"/>
  <c r="AX56" i="22" s="1"/>
  <c r="BO55" i="22"/>
  <c r="BO56" i="22" s="1"/>
  <c r="AY55" i="22"/>
  <c r="AY56" i="22" s="1"/>
  <c r="BP55" i="22"/>
  <c r="BP56" i="22" s="1"/>
  <c r="AR56" i="22"/>
  <c r="BI56" i="22"/>
  <c r="AZ55" i="22"/>
  <c r="AZ56" i="22" s="1"/>
  <c r="AS56" i="22"/>
  <c r="BJ56" i="22"/>
  <c r="BA55" i="22"/>
  <c r="BA56" i="22" s="1"/>
  <c r="BH55" i="22"/>
  <c r="BH56" i="22" s="1"/>
  <c r="M12" i="22"/>
  <c r="L14" i="1" s="1"/>
  <c r="L12" i="22"/>
  <c r="K14" i="1" s="1"/>
  <c r="J12" i="22"/>
  <c r="I14" i="1" s="1"/>
  <c r="AG56" i="22"/>
  <c r="AO56" i="22"/>
  <c r="AH56" i="22"/>
  <c r="AP56" i="22"/>
  <c r="AI56" i="22"/>
  <c r="AJ56" i="22"/>
  <c r="X55" i="22"/>
  <c r="Y55" i="22"/>
  <c r="R56" i="22"/>
  <c r="Z55" i="22"/>
  <c r="S56" i="22"/>
  <c r="AA55" i="22"/>
  <c r="G56" i="22"/>
  <c r="O56" i="22"/>
  <c r="H56" i="22"/>
  <c r="P56" i="22"/>
  <c r="I55" i="22"/>
  <c r="I56" i="22" s="1"/>
  <c r="J55" i="22"/>
  <c r="J56" i="22" s="1"/>
  <c r="AK12" i="22"/>
  <c r="AT14" i="1" s="1"/>
  <c r="AK20" i="22"/>
  <c r="AL12" i="22"/>
  <c r="AU14" i="1" s="1"/>
  <c r="AL20" i="22"/>
  <c r="AE12" i="22"/>
  <c r="AN14" i="1" s="1"/>
  <c r="AM12" i="22"/>
  <c r="AV14" i="1" s="1"/>
  <c r="AJ12" i="22"/>
  <c r="AS14" i="1" s="1"/>
  <c r="AJ20" i="22"/>
  <c r="AB12" i="22"/>
  <c r="AF14" i="1" s="1"/>
  <c r="T20" i="22"/>
  <c r="AC12" i="22"/>
  <c r="AG14" i="1" s="1"/>
  <c r="T12" i="22"/>
  <c r="X14" i="1" s="1"/>
  <c r="V12" i="22"/>
  <c r="Z14" i="1" s="1"/>
  <c r="AB20" i="22"/>
  <c r="U12" i="22"/>
  <c r="Y14" i="1" s="1"/>
  <c r="W12" i="22"/>
  <c r="AA14" i="1" s="1"/>
  <c r="W20" i="22"/>
  <c r="AE20" i="22"/>
  <c r="AM20" i="22"/>
  <c r="AO20" i="22"/>
  <c r="AH20" i="22"/>
  <c r="AP20" i="22"/>
  <c r="AG20" i="22"/>
  <c r="U20" i="22"/>
  <c r="V20" i="22"/>
  <c r="AC20" i="22"/>
  <c r="X20" i="22"/>
  <c r="K12" i="22"/>
  <c r="J14" i="1" s="1"/>
  <c r="K20" i="22"/>
  <c r="F12" i="22"/>
  <c r="F20" i="22"/>
  <c r="N20" i="22"/>
  <c r="N12" i="22"/>
  <c r="M14" i="1" s="1"/>
  <c r="H12" i="22"/>
  <c r="P12" i="22"/>
  <c r="H20" i="22"/>
  <c r="P20" i="22"/>
  <c r="I12" i="22"/>
  <c r="I20" i="22"/>
  <c r="L20" i="22"/>
  <c r="E20" i="22"/>
  <c r="M20" i="22"/>
  <c r="G20" i="22"/>
  <c r="O20" i="22"/>
  <c r="J20" i="22"/>
  <c r="E55" i="22"/>
  <c r="E56" i="22" s="1"/>
  <c r="M55" i="22"/>
  <c r="M56" i="22" s="1"/>
  <c r="V55" i="22"/>
  <c r="AE55" i="22"/>
  <c r="AE56" i="22" s="1"/>
  <c r="AM55" i="22"/>
  <c r="AM56" i="22" s="1"/>
  <c r="AV55" i="22"/>
  <c r="AV56" i="22" s="1"/>
  <c r="BE55" i="22"/>
  <c r="BE56" i="22" s="1"/>
  <c r="BM55" i="22"/>
  <c r="BM56" i="22" s="1"/>
  <c r="F55" i="22"/>
  <c r="F56" i="22" s="1"/>
  <c r="N55" i="22"/>
  <c r="N56" i="22" s="1"/>
  <c r="W55" i="22"/>
  <c r="AF55" i="22"/>
  <c r="AF56" i="22" s="1"/>
  <c r="AN55" i="22"/>
  <c r="AN56" i="22" s="1"/>
  <c r="AW55" i="22"/>
  <c r="AW56" i="22" s="1"/>
  <c r="BF55" i="22"/>
  <c r="BF56" i="22" s="1"/>
  <c r="BN55" i="22"/>
  <c r="BN56" i="22" s="1"/>
  <c r="K56" i="22"/>
  <c r="T56" i="22"/>
  <c r="AB56" i="22"/>
  <c r="AK56" i="22"/>
  <c r="AT56" i="22"/>
  <c r="BB56" i="22"/>
  <c r="BK56" i="22"/>
  <c r="L56" i="22"/>
  <c r="U56" i="22"/>
  <c r="AC56" i="22"/>
  <c r="AL56" i="22"/>
  <c r="AU56" i="22"/>
  <c r="BC56" i="22"/>
  <c r="BL56" i="22"/>
  <c r="AO20" i="16"/>
  <c r="AL12" i="16"/>
  <c r="AU20" i="16"/>
  <c r="AU21" i="16" s="1"/>
  <c r="BC20" i="16"/>
  <c r="BC21" i="16" s="1"/>
  <c r="BH20" i="16"/>
  <c r="BH21" i="16" s="1"/>
  <c r="BP20" i="16"/>
  <c r="BP21" i="16" s="1"/>
  <c r="AH12" i="16"/>
  <c r="AP12" i="16"/>
  <c r="AI20" i="16"/>
  <c r="AV12" i="16"/>
  <c r="AR12" i="16"/>
  <c r="AZ12" i="16"/>
  <c r="BI12" i="16"/>
  <c r="BE12" i="16"/>
  <c r="BM12" i="16"/>
  <c r="BI20" i="16"/>
  <c r="BI21" i="16" s="1"/>
  <c r="AS20" i="16"/>
  <c r="AS21" i="16" s="1"/>
  <c r="BA20" i="16"/>
  <c r="BA21" i="16" s="1"/>
  <c r="BK20" i="16"/>
  <c r="BK21" i="16" s="1"/>
  <c r="AW12" i="16"/>
  <c r="AS12" i="16"/>
  <c r="BA12" i="16"/>
  <c r="AW20" i="16"/>
  <c r="AW21" i="16" s="1"/>
  <c r="AS56" i="16"/>
  <c r="BA55" i="16"/>
  <c r="BA56" i="16" s="1"/>
  <c r="BJ20" i="16"/>
  <c r="BJ21" i="16" s="1"/>
  <c r="AL20" i="16"/>
  <c r="AX12" i="16"/>
  <c r="AT12" i="16"/>
  <c r="BB12" i="16"/>
  <c r="AX20" i="16"/>
  <c r="AX21" i="16" s="1"/>
  <c r="AT56" i="16"/>
  <c r="BB55" i="16"/>
  <c r="BB56" i="16" s="1"/>
  <c r="AV20" i="16"/>
  <c r="AV21" i="16" s="1"/>
  <c r="AM20" i="16"/>
  <c r="AY12" i="16"/>
  <c r="AU12" i="16"/>
  <c r="BC12" i="16"/>
  <c r="AY20" i="16"/>
  <c r="AY21" i="16" s="1"/>
  <c r="AU56" i="16"/>
  <c r="BC55" i="16"/>
  <c r="BC56" i="16" s="1"/>
  <c r="BL12" i="16"/>
  <c r="BH12" i="16"/>
  <c r="BP12" i="16"/>
  <c r="BL20" i="16"/>
  <c r="BL21" i="16" s="1"/>
  <c r="AZ55" i="16"/>
  <c r="AZ56" i="16" s="1"/>
  <c r="AE20" i="16"/>
  <c r="AF12" i="16"/>
  <c r="AN12" i="16"/>
  <c r="AJ12" i="16"/>
  <c r="AF20" i="16"/>
  <c r="AN20" i="16"/>
  <c r="AR20" i="16"/>
  <c r="AR21" i="16" s="1"/>
  <c r="AZ20" i="16"/>
  <c r="AZ21" i="16" s="1"/>
  <c r="AR55" i="16"/>
  <c r="AR56" i="16" s="1"/>
  <c r="BE20" i="16"/>
  <c r="BE21" i="16" s="1"/>
  <c r="BM20" i="16"/>
  <c r="BM21" i="16" s="1"/>
  <c r="BE55" i="16"/>
  <c r="BE56" i="16" s="1"/>
  <c r="BJ55" i="16"/>
  <c r="BJ56" i="16" s="1"/>
  <c r="BK55" i="16"/>
  <c r="BK56" i="16" s="1"/>
  <c r="BM55" i="16"/>
  <c r="BM56" i="16" s="1"/>
  <c r="BF55" i="16"/>
  <c r="BF56" i="16" s="1"/>
  <c r="BN55" i="16"/>
  <c r="BN56" i="16" s="1"/>
  <c r="BG55" i="16"/>
  <c r="BG56" i="16" s="1"/>
  <c r="BO55" i="16"/>
  <c r="BO56" i="16" s="1"/>
  <c r="BI56" i="16"/>
  <c r="BH55" i="16"/>
  <c r="BH56" i="16" s="1"/>
  <c r="BP55" i="16"/>
  <c r="BP56" i="16" s="1"/>
  <c r="BL56" i="16"/>
  <c r="AV56" i="16"/>
  <c r="AW56" i="16"/>
  <c r="AX56" i="16"/>
  <c r="AY56" i="16"/>
  <c r="AI12" i="16"/>
  <c r="AM12" i="16"/>
  <c r="AH20" i="16"/>
  <c r="AP20" i="16"/>
  <c r="AE12" i="16"/>
  <c r="AM56" i="16"/>
  <c r="AO12" i="16"/>
  <c r="AJ20" i="16"/>
  <c r="AG12" i="16"/>
  <c r="AK20" i="16"/>
  <c r="AE55" i="16"/>
  <c r="AI56" i="16"/>
  <c r="AF55" i="16"/>
  <c r="AN55" i="16"/>
  <c r="AJ56" i="16"/>
  <c r="AG55" i="16"/>
  <c r="AO55" i="16"/>
  <c r="AK56" i="16"/>
  <c r="AH55" i="16"/>
  <c r="AP55" i="16"/>
  <c r="AL56" i="16"/>
  <c r="H4" i="21"/>
  <c r="I4" i="21" s="1"/>
  <c r="J4" i="21" s="1"/>
  <c r="K4" i="21" s="1"/>
  <c r="L4" i="21" s="1"/>
  <c r="M4" i="21" s="1"/>
  <c r="N4" i="21" s="1"/>
  <c r="O4" i="21" s="1"/>
  <c r="P4" i="21" s="1"/>
  <c r="Q4" i="21" s="1"/>
  <c r="R4" i="21" s="1"/>
  <c r="S4" i="21" s="1"/>
  <c r="T4" i="21" s="1"/>
  <c r="U4" i="21" s="1"/>
  <c r="V4" i="21" s="1"/>
  <c r="W4" i="21" s="1"/>
  <c r="X4" i="21" s="1"/>
  <c r="Y4" i="21" s="1"/>
  <c r="U54" i="20"/>
  <c r="T54" i="20"/>
  <c r="S54" i="20"/>
  <c r="R54" i="20"/>
  <c r="Q54" i="20"/>
  <c r="AZ52" i="20"/>
  <c r="AZ53" i="20" s="1"/>
  <c r="AY52" i="20"/>
  <c r="AY53" i="20" s="1"/>
  <c r="AX52" i="20"/>
  <c r="AX53" i="20" s="1"/>
  <c r="AW52" i="20"/>
  <c r="AW53" i="20" s="1"/>
  <c r="AV52" i="20"/>
  <c r="AV53" i="20" s="1"/>
  <c r="AU52" i="20"/>
  <c r="AU53" i="20" s="1"/>
  <c r="AT52" i="20"/>
  <c r="AT53" i="20" s="1"/>
  <c r="AS52" i="20"/>
  <c r="AS53" i="20" s="1"/>
  <c r="AR52" i="20"/>
  <c r="AR53" i="20" s="1"/>
  <c r="AQ52" i="20"/>
  <c r="AQ53" i="20" s="1"/>
  <c r="AP52" i="20"/>
  <c r="AP53" i="20" s="1"/>
  <c r="AO52" i="20"/>
  <c r="AO53" i="20" s="1"/>
  <c r="AH52" i="20"/>
  <c r="AG52" i="20"/>
  <c r="AG53" i="20" s="1"/>
  <c r="AF52" i="20"/>
  <c r="AF53" i="20" s="1"/>
  <c r="AE52" i="20"/>
  <c r="AE53" i="20" s="1"/>
  <c r="AD52" i="20"/>
  <c r="AD53" i="20" s="1"/>
  <c r="AC52" i="20"/>
  <c r="AC53" i="20" s="1"/>
  <c r="AB52" i="20"/>
  <c r="AA52" i="20"/>
  <c r="AA53" i="20" s="1"/>
  <c r="Z52" i="20"/>
  <c r="Y52" i="20"/>
  <c r="Y53" i="20" s="1"/>
  <c r="X52" i="20"/>
  <c r="X53" i="20" s="1"/>
  <c r="W52" i="20"/>
  <c r="W53" i="20" s="1"/>
  <c r="P52" i="20"/>
  <c r="P53" i="20" s="1"/>
  <c r="O52" i="20"/>
  <c r="O53" i="20" s="1"/>
  <c r="N52" i="20"/>
  <c r="N53" i="20" s="1"/>
  <c r="M52" i="20"/>
  <c r="M53" i="20" s="1"/>
  <c r="L52" i="20"/>
  <c r="L53" i="20" s="1"/>
  <c r="K52" i="20"/>
  <c r="K53" i="20" s="1"/>
  <c r="J52" i="20"/>
  <c r="J53" i="20" s="1"/>
  <c r="I52" i="20"/>
  <c r="I53" i="20" s="1"/>
  <c r="H52" i="20"/>
  <c r="H53" i="20" s="1"/>
  <c r="G52" i="20"/>
  <c r="G53" i="20" s="1"/>
  <c r="F52" i="20"/>
  <c r="F53" i="20" s="1"/>
  <c r="E52" i="20"/>
  <c r="E53" i="20" s="1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E20" i="20" s="1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AH8" i="20"/>
  <c r="AG8" i="20"/>
  <c r="AG12" i="20" s="1"/>
  <c r="AF8" i="20"/>
  <c r="AF12" i="20" s="1"/>
  <c r="AE8" i="20"/>
  <c r="AE12" i="20" s="1"/>
  <c r="AD8" i="20"/>
  <c r="AD12" i="20" s="1"/>
  <c r="AC8" i="20"/>
  <c r="AC12" i="20" s="1"/>
  <c r="AB8" i="20"/>
  <c r="AB12" i="20" s="1"/>
  <c r="AA8" i="20"/>
  <c r="AA12" i="20" s="1"/>
  <c r="Z8" i="20"/>
  <c r="Y8" i="20"/>
  <c r="X8" i="20"/>
  <c r="W8" i="20"/>
  <c r="W12" i="20" s="1"/>
  <c r="P8" i="20"/>
  <c r="P12" i="20" s="1"/>
  <c r="O8" i="20"/>
  <c r="O12" i="20" s="1"/>
  <c r="N8" i="20"/>
  <c r="N12" i="20" s="1"/>
  <c r="M8" i="20"/>
  <c r="M12" i="20" s="1"/>
  <c r="L8" i="20"/>
  <c r="K8" i="20"/>
  <c r="K12" i="20" s="1"/>
  <c r="J8" i="20"/>
  <c r="I8" i="20"/>
  <c r="H8" i="20"/>
  <c r="H12" i="20" s="1"/>
  <c r="G14" i="1" s="1"/>
  <c r="G8" i="20"/>
  <c r="G12" i="20" s="1"/>
  <c r="F14" i="1" s="1"/>
  <c r="F8" i="20"/>
  <c r="F12" i="20" s="1"/>
  <c r="E14" i="1" s="1"/>
  <c r="E8" i="20"/>
  <c r="E12" i="20" s="1"/>
  <c r="D14" i="1" s="1"/>
  <c r="AC54" i="16"/>
  <c r="AB54" i="16"/>
  <c r="AA54" i="16"/>
  <c r="Z54" i="16"/>
  <c r="Y54" i="16"/>
  <c r="X54" i="16"/>
  <c r="W54" i="16"/>
  <c r="V54" i="16"/>
  <c r="U54" i="16"/>
  <c r="T54" i="16"/>
  <c r="S54" i="16"/>
  <c r="R54" i="16"/>
  <c r="V25" i="1" s="1"/>
  <c r="E34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F19" i="16"/>
  <c r="G19" i="16"/>
  <c r="H19" i="16"/>
  <c r="I19" i="16"/>
  <c r="J19" i="16"/>
  <c r="K19" i="16"/>
  <c r="L19" i="16"/>
  <c r="M19" i="16"/>
  <c r="N19" i="16"/>
  <c r="O19" i="16"/>
  <c r="P19" i="16"/>
  <c r="E19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AC8" i="16"/>
  <c r="AB8" i="16"/>
  <c r="AA8" i="16"/>
  <c r="Z8" i="16"/>
  <c r="Y8" i="16"/>
  <c r="X8" i="16"/>
  <c r="W8" i="16"/>
  <c r="V8" i="16"/>
  <c r="U8" i="16"/>
  <c r="T8" i="16"/>
  <c r="S8" i="16"/>
  <c r="R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AT4" i="1" l="1"/>
  <c r="AT13" i="1"/>
  <c r="AW20" i="20"/>
  <c r="AW21" i="20" s="1"/>
  <c r="AV20" i="20"/>
  <c r="AV21" i="20" s="1"/>
  <c r="AO20" i="20"/>
  <c r="AO21" i="20" s="1"/>
  <c r="AA20" i="20"/>
  <c r="L20" i="20"/>
  <c r="AV26" i="1"/>
  <c r="AO21" i="16"/>
  <c r="AX6" i="1"/>
  <c r="AU4" i="1"/>
  <c r="AU13" i="1"/>
  <c r="AQ13" i="1"/>
  <c r="AQ4" i="1"/>
  <c r="AY4" i="1"/>
  <c r="AY13" i="1"/>
  <c r="AI21" i="16"/>
  <c r="AR6" i="1"/>
  <c r="AL21" i="16"/>
  <c r="AU6" i="1"/>
  <c r="AM21" i="16"/>
  <c r="AV6" i="1"/>
  <c r="AE21" i="16"/>
  <c r="AN6" i="1"/>
  <c r="AO13" i="1"/>
  <c r="AO4" i="1"/>
  <c r="AW13" i="1"/>
  <c r="AW4" i="1"/>
  <c r="AS4" i="1"/>
  <c r="AS13" i="1"/>
  <c r="AF21" i="16"/>
  <c r="AO6" i="1"/>
  <c r="AN21" i="16"/>
  <c r="AW6" i="1"/>
  <c r="AR4" i="1"/>
  <c r="AR13" i="1"/>
  <c r="AV4" i="1"/>
  <c r="AV13" i="1"/>
  <c r="AH21" i="16"/>
  <c r="AQ6" i="1"/>
  <c r="AP21" i="16"/>
  <c r="AY6" i="1"/>
  <c r="AN4" i="1"/>
  <c r="AN13" i="1"/>
  <c r="AX4" i="1"/>
  <c r="AX13" i="1"/>
  <c r="AJ21" i="16"/>
  <c r="AS6" i="1"/>
  <c r="AP13" i="1"/>
  <c r="AP4" i="1"/>
  <c r="AK21" i="16"/>
  <c r="AT6" i="1"/>
  <c r="AE56" i="16"/>
  <c r="AN26" i="1"/>
  <c r="AF56" i="16"/>
  <c r="AO26" i="1"/>
  <c r="AN56" i="16"/>
  <c r="AW26" i="1"/>
  <c r="AG56" i="16"/>
  <c r="AP26" i="1"/>
  <c r="AO56" i="16"/>
  <c r="AX26" i="1"/>
  <c r="AH56" i="16"/>
  <c r="AQ26" i="1"/>
  <c r="AP56" i="16"/>
  <c r="AY26" i="1"/>
  <c r="AC55" i="16"/>
  <c r="AG26" i="1" s="1"/>
  <c r="AG25" i="1"/>
  <c r="AB55" i="16"/>
  <c r="AF26" i="1" s="1"/>
  <c r="AF25" i="1"/>
  <c r="AA55" i="16"/>
  <c r="AE25" i="1"/>
  <c r="Z55" i="16"/>
  <c r="AD25" i="1"/>
  <c r="Y55" i="16"/>
  <c r="AC25" i="1"/>
  <c r="X55" i="16"/>
  <c r="AB25" i="1"/>
  <c r="W55" i="16"/>
  <c r="AA25" i="1"/>
  <c r="V55" i="16"/>
  <c r="Z25" i="1"/>
  <c r="U55" i="16"/>
  <c r="Y26" i="1" s="1"/>
  <c r="Y25" i="1"/>
  <c r="T55" i="16"/>
  <c r="X26" i="1" s="1"/>
  <c r="X25" i="1"/>
  <c r="S55" i="16"/>
  <c r="W26" i="1" s="1"/>
  <c r="W25" i="1"/>
  <c r="AO21" i="22"/>
  <c r="AX7" i="1"/>
  <c r="AL21" i="22"/>
  <c r="AU7" i="1"/>
  <c r="AM21" i="22"/>
  <c r="AV7" i="1"/>
  <c r="AK21" i="22"/>
  <c r="AT7" i="1"/>
  <c r="AJ21" i="22"/>
  <c r="AS7" i="1"/>
  <c r="AP21" i="22"/>
  <c r="AY7" i="1"/>
  <c r="AG21" i="22"/>
  <c r="AP7" i="1"/>
  <c r="AH21" i="22"/>
  <c r="AQ7" i="1"/>
  <c r="AI21" i="22"/>
  <c r="AR7" i="1"/>
  <c r="AF21" i="22"/>
  <c r="AO7" i="1"/>
  <c r="AE21" i="22"/>
  <c r="AN7" i="1"/>
  <c r="R21" i="22"/>
  <c r="V7" i="1"/>
  <c r="O14" i="1"/>
  <c r="X56" i="22"/>
  <c r="AB26" i="1"/>
  <c r="AA56" i="22"/>
  <c r="AE26" i="1"/>
  <c r="Y56" i="22"/>
  <c r="AC26" i="1"/>
  <c r="W56" i="22"/>
  <c r="AA26" i="1"/>
  <c r="V56" i="22"/>
  <c r="Z26" i="1"/>
  <c r="Z56" i="22"/>
  <c r="AD26" i="1"/>
  <c r="P21" i="22"/>
  <c r="O7" i="1"/>
  <c r="O21" i="22"/>
  <c r="N7" i="1"/>
  <c r="H21" i="22"/>
  <c r="G7" i="1"/>
  <c r="G21" i="22"/>
  <c r="F7" i="1"/>
  <c r="X21" i="22"/>
  <c r="AB7" i="1"/>
  <c r="Y21" i="22"/>
  <c r="AC7" i="1"/>
  <c r="AC21" i="22"/>
  <c r="AG7" i="1"/>
  <c r="T21" i="22"/>
  <c r="X7" i="1"/>
  <c r="E21" i="22"/>
  <c r="D7" i="1"/>
  <c r="V21" i="22"/>
  <c r="Z7" i="1"/>
  <c r="W21" i="22"/>
  <c r="AA7" i="1"/>
  <c r="AA21" i="22"/>
  <c r="AE7" i="1"/>
  <c r="N21" i="22"/>
  <c r="M7" i="1"/>
  <c r="U21" i="22"/>
  <c r="Y7" i="1"/>
  <c r="S21" i="22"/>
  <c r="W7" i="1"/>
  <c r="I21" i="22"/>
  <c r="H7" i="1"/>
  <c r="F21" i="22"/>
  <c r="E7" i="1"/>
  <c r="AB21" i="22"/>
  <c r="AF7" i="1"/>
  <c r="M21" i="22"/>
  <c r="L7" i="1"/>
  <c r="L21" i="22"/>
  <c r="K7" i="1"/>
  <c r="K21" i="22"/>
  <c r="J7" i="1"/>
  <c r="J21" i="22"/>
  <c r="I7" i="1"/>
  <c r="F20" i="20"/>
  <c r="AB20" i="20"/>
  <c r="AP20" i="20"/>
  <c r="AP21" i="20" s="1"/>
  <c r="AX20" i="20"/>
  <c r="AX21" i="20" s="1"/>
  <c r="R55" i="16"/>
  <c r="L21" i="20"/>
  <c r="E21" i="20"/>
  <c r="AA21" i="20"/>
  <c r="AB53" i="20"/>
  <c r="AB54" i="20" s="1"/>
  <c r="Z53" i="20"/>
  <c r="Z54" i="20" s="1"/>
  <c r="AH53" i="20"/>
  <c r="AH54" i="20" s="1"/>
  <c r="T12" i="16"/>
  <c r="X4" i="1" s="1"/>
  <c r="AB12" i="16"/>
  <c r="AF4" i="1" s="1"/>
  <c r="V12" i="16"/>
  <c r="Z4" i="1" s="1"/>
  <c r="AH12" i="20"/>
  <c r="AH20" i="20"/>
  <c r="Z12" i="20"/>
  <c r="Z20" i="20"/>
  <c r="Y12" i="20"/>
  <c r="X12" i="20"/>
  <c r="L12" i="20"/>
  <c r="J12" i="20"/>
  <c r="M20" i="20"/>
  <c r="N20" i="20"/>
  <c r="W12" i="16"/>
  <c r="AA4" i="1" s="1"/>
  <c r="V56" i="16"/>
  <c r="U56" i="16"/>
  <c r="AC56" i="16"/>
  <c r="X56" i="16"/>
  <c r="W56" i="16"/>
  <c r="G20" i="20"/>
  <c r="AC20" i="20"/>
  <c r="P20" i="20"/>
  <c r="AR20" i="20"/>
  <c r="AR21" i="20" s="1"/>
  <c r="O20" i="20"/>
  <c r="AY20" i="20"/>
  <c r="AY21" i="20" s="1"/>
  <c r="H20" i="20"/>
  <c r="AD20" i="20"/>
  <c r="AZ20" i="20"/>
  <c r="AZ21" i="20" s="1"/>
  <c r="AQ20" i="20"/>
  <c r="AQ21" i="20" s="1"/>
  <c r="AA54" i="20"/>
  <c r="I20" i="20"/>
  <c r="W20" i="20"/>
  <c r="AE20" i="20"/>
  <c r="AS20" i="20"/>
  <c r="AS21" i="20" s="1"/>
  <c r="E54" i="20"/>
  <c r="N54" i="20"/>
  <c r="J20" i="20"/>
  <c r="X20" i="20"/>
  <c r="AF20" i="20"/>
  <c r="AT20" i="20"/>
  <c r="AT21" i="20" s="1"/>
  <c r="F54" i="20"/>
  <c r="K20" i="20"/>
  <c r="Y20" i="20"/>
  <c r="AG20" i="20"/>
  <c r="AU20" i="20"/>
  <c r="AU21" i="20" s="1"/>
  <c r="I12" i="20"/>
  <c r="H14" i="1" s="1"/>
  <c r="L54" i="20"/>
  <c r="M54" i="20"/>
  <c r="J54" i="20"/>
  <c r="G54" i="20"/>
  <c r="O54" i="20"/>
  <c r="AC54" i="20"/>
  <c r="K54" i="20"/>
  <c r="H54" i="20"/>
  <c r="P54" i="20"/>
  <c r="AD54" i="20"/>
  <c r="I54" i="20"/>
  <c r="W54" i="20"/>
  <c r="AE54" i="20"/>
  <c r="X54" i="20"/>
  <c r="AF54" i="20"/>
  <c r="Y54" i="20"/>
  <c r="AG54" i="20"/>
  <c r="Z56" i="16"/>
  <c r="AA56" i="16"/>
  <c r="S56" i="16"/>
  <c r="T56" i="16"/>
  <c r="AB56" i="16"/>
  <c r="Y56" i="16"/>
  <c r="T20" i="16"/>
  <c r="X6" i="1" s="1"/>
  <c r="AB20" i="16"/>
  <c r="AF6" i="1" s="1"/>
  <c r="X12" i="16"/>
  <c r="AB4" i="1" s="1"/>
  <c r="Y12" i="16"/>
  <c r="AC4" i="1" s="1"/>
  <c r="S12" i="16"/>
  <c r="W4" i="1" s="1"/>
  <c r="AA12" i="16"/>
  <c r="AE4" i="1" s="1"/>
  <c r="Z12" i="16"/>
  <c r="AD4" i="1" s="1"/>
  <c r="U12" i="16"/>
  <c r="Y4" i="1" s="1"/>
  <c r="AC12" i="16"/>
  <c r="AG4" i="1" s="1"/>
  <c r="AC20" i="16"/>
  <c r="AG6" i="1" s="1"/>
  <c r="U20" i="16"/>
  <c r="Y6" i="1" s="1"/>
  <c r="Z20" i="16"/>
  <c r="AD6" i="1" s="1"/>
  <c r="S20" i="16"/>
  <c r="W6" i="1" s="1"/>
  <c r="AA20" i="16"/>
  <c r="AE6" i="1" s="1"/>
  <c r="R12" i="16"/>
  <c r="R20" i="16"/>
  <c r="V6" i="1" s="1"/>
  <c r="X20" i="16"/>
  <c r="AB6" i="1" s="1"/>
  <c r="V20" i="16"/>
  <c r="Z6" i="1" s="1"/>
  <c r="W20" i="16"/>
  <c r="AA6" i="1" s="1"/>
  <c r="Y20" i="16"/>
  <c r="AC6" i="1" s="1"/>
  <c r="G32" i="16"/>
  <c r="H32" i="16"/>
  <c r="I32" i="16"/>
  <c r="J32" i="16"/>
  <c r="K32" i="16"/>
  <c r="L32" i="16"/>
  <c r="M32" i="16"/>
  <c r="N32" i="16"/>
  <c r="O32" i="16"/>
  <c r="P32" i="16"/>
  <c r="F32" i="16"/>
  <c r="E32" i="16"/>
  <c r="F8" i="16"/>
  <c r="G8" i="16"/>
  <c r="H8" i="16"/>
  <c r="I8" i="16"/>
  <c r="J8" i="16"/>
  <c r="K8" i="16"/>
  <c r="L8" i="16"/>
  <c r="M8" i="16"/>
  <c r="N8" i="16"/>
  <c r="O8" i="16"/>
  <c r="P8" i="16"/>
  <c r="E8" i="16"/>
  <c r="F11" i="16"/>
  <c r="G11" i="16"/>
  <c r="H11" i="16"/>
  <c r="I11" i="16"/>
  <c r="J11" i="16"/>
  <c r="K11" i="16"/>
  <c r="L11" i="16"/>
  <c r="M11" i="16"/>
  <c r="N11" i="16"/>
  <c r="O11" i="16"/>
  <c r="P11" i="16"/>
  <c r="E11" i="16"/>
  <c r="F14" i="16"/>
  <c r="G14" i="16"/>
  <c r="H14" i="16"/>
  <c r="I14" i="16"/>
  <c r="J14" i="16"/>
  <c r="K14" i="16"/>
  <c r="L14" i="16"/>
  <c r="M14" i="16"/>
  <c r="N14" i="16"/>
  <c r="O14" i="16"/>
  <c r="P14" i="16"/>
  <c r="E14" i="16"/>
  <c r="F16" i="16"/>
  <c r="G16" i="16"/>
  <c r="H16" i="16"/>
  <c r="I16" i="16"/>
  <c r="J16" i="16"/>
  <c r="K16" i="16"/>
  <c r="L16" i="16"/>
  <c r="M16" i="16"/>
  <c r="N16" i="16"/>
  <c r="O16" i="16"/>
  <c r="P16" i="16"/>
  <c r="E16" i="16"/>
  <c r="E15" i="16"/>
  <c r="F18" i="16"/>
  <c r="G18" i="16"/>
  <c r="H18" i="16"/>
  <c r="I18" i="16"/>
  <c r="J18" i="16"/>
  <c r="K18" i="16"/>
  <c r="L18" i="16"/>
  <c r="M18" i="16"/>
  <c r="N18" i="16"/>
  <c r="O18" i="16"/>
  <c r="P18" i="16"/>
  <c r="E18" i="16"/>
  <c r="F17" i="16"/>
  <c r="G17" i="16"/>
  <c r="H17" i="16"/>
  <c r="I17" i="16"/>
  <c r="J17" i="16"/>
  <c r="K17" i="16"/>
  <c r="L17" i="16"/>
  <c r="M17" i="16"/>
  <c r="N17" i="16"/>
  <c r="O17" i="16"/>
  <c r="P17" i="16"/>
  <c r="E17" i="16"/>
  <c r="F34" i="16"/>
  <c r="G34" i="16"/>
  <c r="H34" i="16"/>
  <c r="I34" i="16"/>
  <c r="J34" i="16"/>
  <c r="K34" i="16"/>
  <c r="L34" i="16"/>
  <c r="M34" i="16"/>
  <c r="N34" i="16"/>
  <c r="O34" i="16"/>
  <c r="P34" i="16"/>
  <c r="F36" i="16"/>
  <c r="G36" i="16"/>
  <c r="H36" i="16"/>
  <c r="I36" i="16"/>
  <c r="J36" i="16"/>
  <c r="K36" i="16"/>
  <c r="L36" i="16"/>
  <c r="M36" i="16"/>
  <c r="N36" i="16"/>
  <c r="O36" i="16"/>
  <c r="P36" i="16"/>
  <c r="E36" i="16"/>
  <c r="F35" i="16"/>
  <c r="G35" i="16"/>
  <c r="H35" i="16"/>
  <c r="I35" i="16"/>
  <c r="J35" i="16"/>
  <c r="K35" i="16"/>
  <c r="L35" i="16"/>
  <c r="M35" i="16"/>
  <c r="N35" i="16"/>
  <c r="O35" i="16"/>
  <c r="P35" i="16"/>
  <c r="E35" i="16"/>
  <c r="F33" i="16"/>
  <c r="G33" i="16"/>
  <c r="H33" i="16"/>
  <c r="I33" i="16"/>
  <c r="J33" i="16"/>
  <c r="K33" i="16"/>
  <c r="L33" i="16"/>
  <c r="M33" i="16"/>
  <c r="N33" i="16"/>
  <c r="O33" i="16"/>
  <c r="P33" i="16"/>
  <c r="E33" i="16"/>
  <c r="P15" i="16"/>
  <c r="F15" i="16"/>
  <c r="G15" i="16"/>
  <c r="H15" i="16"/>
  <c r="I15" i="16"/>
  <c r="J15" i="16"/>
  <c r="K15" i="16"/>
  <c r="L15" i="16"/>
  <c r="M15" i="16"/>
  <c r="N15" i="16"/>
  <c r="O15" i="16"/>
  <c r="R56" i="16" l="1"/>
  <c r="V26" i="1"/>
  <c r="V13" i="1"/>
  <c r="V4" i="1"/>
  <c r="R21" i="16"/>
  <c r="Y13" i="1"/>
  <c r="X21" i="20"/>
  <c r="P21" i="20"/>
  <c r="AA13" i="1"/>
  <c r="V12" i="1"/>
  <c r="V31" i="1" s="1"/>
  <c r="V30" i="1" s="1"/>
  <c r="AD13" i="1"/>
  <c r="J21" i="20"/>
  <c r="AC21" i="20"/>
  <c r="N21" i="20"/>
  <c r="AH21" i="20"/>
  <c r="W13" i="1"/>
  <c r="Y21" i="20"/>
  <c r="Z13" i="1"/>
  <c r="AA21" i="16"/>
  <c r="S21" i="16"/>
  <c r="Y21" i="16"/>
  <c r="Z21" i="16"/>
  <c r="AC13" i="1"/>
  <c r="K21" i="20"/>
  <c r="H21" i="20"/>
  <c r="AF13" i="1"/>
  <c r="AD21" i="20"/>
  <c r="W21" i="16"/>
  <c r="U21" i="16"/>
  <c r="AB13" i="1"/>
  <c r="AE21" i="20"/>
  <c r="X13" i="1"/>
  <c r="AG21" i="20"/>
  <c r="M21" i="20"/>
  <c r="V21" i="16"/>
  <c r="AC21" i="16"/>
  <c r="AB21" i="16"/>
  <c r="W21" i="20"/>
  <c r="O21" i="20"/>
  <c r="AB21" i="20"/>
  <c r="AE13" i="1"/>
  <c r="G21" i="20"/>
  <c r="X21" i="16"/>
  <c r="AG13" i="1"/>
  <c r="T21" i="16"/>
  <c r="AF21" i="20"/>
  <c r="I21" i="20"/>
  <c r="Z21" i="20"/>
  <c r="F21" i="20"/>
  <c r="J12" i="16"/>
  <c r="I4" i="1" s="1"/>
  <c r="M12" i="16"/>
  <c r="L4" i="1" s="1"/>
  <c r="K12" i="16"/>
  <c r="J4" i="1" s="1"/>
  <c r="O12" i="16"/>
  <c r="N4" i="1" s="1"/>
  <c r="G12" i="16"/>
  <c r="N12" i="16"/>
  <c r="M4" i="1" s="1"/>
  <c r="J20" i="16"/>
  <c r="I6" i="1" s="1"/>
  <c r="E12" i="16"/>
  <c r="D4" i="1" s="1"/>
  <c r="I12" i="16"/>
  <c r="L12" i="16"/>
  <c r="K4" i="1" s="1"/>
  <c r="P12" i="16"/>
  <c r="O4" i="1" s="1"/>
  <c r="H12" i="16"/>
  <c r="F12" i="16"/>
  <c r="K20" i="16"/>
  <c r="J6" i="1" s="1"/>
  <c r="N20" i="16"/>
  <c r="M6" i="1" s="1"/>
  <c r="G20" i="16"/>
  <c r="F6" i="1" s="1"/>
  <c r="F20" i="16"/>
  <c r="E6" i="1" s="1"/>
  <c r="L20" i="16"/>
  <c r="K6" i="1" s="1"/>
  <c r="E20" i="16"/>
  <c r="D6" i="1" s="1"/>
  <c r="I20" i="16"/>
  <c r="H6" i="1" s="1"/>
  <c r="P20" i="16"/>
  <c r="O6" i="1" s="1"/>
  <c r="H20" i="16"/>
  <c r="G6" i="1" s="1"/>
  <c r="O20" i="16"/>
  <c r="N6" i="1" s="1"/>
  <c r="M20" i="16"/>
  <c r="L6" i="1" s="1"/>
  <c r="BC18" i="15"/>
  <c r="BC16" i="15"/>
  <c r="F13" i="1" l="1"/>
  <c r="F4" i="1"/>
  <c r="G13" i="1"/>
  <c r="G4" i="1"/>
  <c r="N13" i="1"/>
  <c r="E13" i="1"/>
  <c r="E4" i="1"/>
  <c r="O13" i="1"/>
  <c r="L13" i="1"/>
  <c r="H13" i="1"/>
  <c r="H4" i="1"/>
  <c r="I13" i="1"/>
  <c r="J13" i="1"/>
  <c r="D13" i="1"/>
  <c r="K13" i="1"/>
  <c r="V5" i="1"/>
  <c r="V27" i="1" s="1"/>
  <c r="V24" i="1" s="1"/>
  <c r="V23" i="1" s="1"/>
  <c r="M13" i="1"/>
  <c r="M21" i="16"/>
  <c r="O21" i="16"/>
  <c r="J21" i="16"/>
  <c r="H21" i="16"/>
  <c r="K21" i="16"/>
  <c r="N21" i="16"/>
  <c r="P21" i="16"/>
  <c r="F21" i="16"/>
  <c r="G21" i="16"/>
  <c r="I21" i="16"/>
  <c r="L21" i="16"/>
  <c r="E21" i="16"/>
  <c r="AS8" i="15"/>
  <c r="V44" i="1" l="1"/>
  <c r="H14" i="10" l="1"/>
  <c r="C9" i="10"/>
  <c r="D31" i="3"/>
  <c r="G30" i="3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AD9" i="17"/>
  <c r="W9" i="17"/>
  <c r="P9" i="17"/>
  <c r="I9" i="17" s="1"/>
  <c r="D9" i="17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W10" i="17" l="1"/>
  <c r="I10" i="17" s="1"/>
  <c r="AD10" i="17"/>
  <c r="W11" i="17" s="1"/>
  <c r="P69" i="17"/>
  <c r="I11" i="17"/>
  <c r="AD11" i="17"/>
  <c r="W12" i="17" l="1"/>
  <c r="AD12" i="17"/>
  <c r="AD13" i="17" l="1"/>
  <c r="W13" i="17"/>
  <c r="I13" i="17" s="1"/>
  <c r="I12" i="17"/>
  <c r="AD14" i="17" l="1"/>
  <c r="W14" i="17"/>
  <c r="I14" i="17" s="1"/>
  <c r="W15" i="17" l="1"/>
  <c r="AD15" i="17"/>
  <c r="I15" i="17" l="1"/>
  <c r="W16" i="17"/>
  <c r="I16" i="17" s="1"/>
  <c r="AD16" i="17"/>
  <c r="AD17" i="17" l="1"/>
  <c r="W17" i="17"/>
  <c r="I17" i="17" s="1"/>
  <c r="AD18" i="17" l="1"/>
  <c r="W18" i="17"/>
  <c r="I18" i="17" s="1"/>
  <c r="W19" i="17" l="1"/>
  <c r="I19" i="17" s="1"/>
  <c r="AD19" i="17"/>
  <c r="W20" i="17" l="1"/>
  <c r="I20" i="17" s="1"/>
  <c r="AD20" i="17"/>
  <c r="AD21" i="17" l="1"/>
  <c r="W21" i="17"/>
  <c r="I21" i="17" s="1"/>
  <c r="AD22" i="17" l="1"/>
  <c r="W22" i="17"/>
  <c r="I22" i="17" s="1"/>
  <c r="AD23" i="17" l="1"/>
  <c r="W23" i="17"/>
  <c r="I23" i="17" s="1"/>
  <c r="W24" i="17" l="1"/>
  <c r="I24" i="17" s="1"/>
  <c r="AD24" i="17"/>
  <c r="AD25" i="17" l="1"/>
  <c r="W25" i="17"/>
  <c r="I25" i="17" s="1"/>
  <c r="AD26" i="17" l="1"/>
  <c r="W26" i="17"/>
  <c r="I26" i="17" s="1"/>
  <c r="W27" i="17" l="1"/>
  <c r="I27" i="17" s="1"/>
  <c r="AD27" i="17"/>
  <c r="W28" i="17" l="1"/>
  <c r="I28" i="17" s="1"/>
  <c r="AD28" i="17"/>
  <c r="AD29" i="17" l="1"/>
  <c r="W29" i="17"/>
  <c r="I29" i="17" s="1"/>
  <c r="AD30" i="17" l="1"/>
  <c r="W30" i="17"/>
  <c r="I30" i="17" s="1"/>
  <c r="W31" i="17" l="1"/>
  <c r="I31" i="17" s="1"/>
  <c r="AD31" i="17"/>
  <c r="AD32" i="17" l="1"/>
  <c r="W32" i="17"/>
  <c r="I32" i="17" s="1"/>
  <c r="AD33" i="17" l="1"/>
  <c r="W33" i="17"/>
  <c r="I33" i="17" s="1"/>
  <c r="AD34" i="17" l="1"/>
  <c r="W34" i="17"/>
  <c r="I34" i="17" s="1"/>
  <c r="W35" i="17" l="1"/>
  <c r="I35" i="17" s="1"/>
  <c r="AD35" i="17"/>
  <c r="W36" i="17" l="1"/>
  <c r="I36" i="17" s="1"/>
  <c r="AD36" i="17"/>
  <c r="AD37" i="17" l="1"/>
  <c r="W37" i="17"/>
  <c r="I37" i="17" s="1"/>
  <c r="AD38" i="17" l="1"/>
  <c r="W38" i="17"/>
  <c r="I38" i="17" s="1"/>
  <c r="AD39" i="17" l="1"/>
  <c r="W39" i="17"/>
  <c r="I39" i="17" s="1"/>
  <c r="AD40" i="17" l="1"/>
  <c r="W40" i="17"/>
  <c r="I40" i="17" s="1"/>
  <c r="AD41" i="17" l="1"/>
  <c r="W41" i="17"/>
  <c r="I41" i="17" s="1"/>
  <c r="AD42" i="17" l="1"/>
  <c r="W42" i="17"/>
  <c r="I42" i="17" s="1"/>
  <c r="W43" i="17" l="1"/>
  <c r="I43" i="17" s="1"/>
  <c r="AD43" i="17"/>
  <c r="AD44" i="17" l="1"/>
  <c r="W44" i="17"/>
  <c r="I44" i="17" s="1"/>
  <c r="AD45" i="17" l="1"/>
  <c r="W45" i="17"/>
  <c r="I45" i="17" s="1"/>
  <c r="AD46" i="17" l="1"/>
  <c r="W46" i="17"/>
  <c r="I46" i="17" s="1"/>
  <c r="W47" i="17" l="1"/>
  <c r="I47" i="17" s="1"/>
  <c r="AD47" i="17"/>
  <c r="W48" i="17" l="1"/>
  <c r="I48" i="17" s="1"/>
  <c r="AD48" i="17"/>
  <c r="AD49" i="17" l="1"/>
  <c r="W49" i="17"/>
  <c r="I49" i="17" s="1"/>
  <c r="AD50" i="17" l="1"/>
  <c r="W50" i="17"/>
  <c r="I50" i="17" s="1"/>
  <c r="W51" i="17" l="1"/>
  <c r="I51" i="17" s="1"/>
  <c r="AD51" i="17"/>
  <c r="AD52" i="17" l="1"/>
  <c r="W52" i="17"/>
  <c r="I52" i="17" s="1"/>
  <c r="AD53" i="17" l="1"/>
  <c r="W53" i="17"/>
  <c r="I53" i="17" s="1"/>
  <c r="AD54" i="17" l="1"/>
  <c r="W54" i="17"/>
  <c r="I54" i="17" s="1"/>
  <c r="AD55" i="17" l="1"/>
  <c r="W55" i="17"/>
  <c r="I55" i="17" s="1"/>
  <c r="AD56" i="17" l="1"/>
  <c r="W56" i="17"/>
  <c r="I56" i="17" s="1"/>
  <c r="AD57" i="17" l="1"/>
  <c r="W57" i="17"/>
  <c r="I57" i="17" s="1"/>
  <c r="AD58" i="17" l="1"/>
  <c r="W58" i="17"/>
  <c r="I58" i="17" s="1"/>
  <c r="W59" i="17" l="1"/>
  <c r="I59" i="17" s="1"/>
  <c r="AD59" i="17"/>
  <c r="AD60" i="17" l="1"/>
  <c r="W60" i="17"/>
  <c r="I60" i="17" s="1"/>
  <c r="AD61" i="17" l="1"/>
  <c r="W61" i="17"/>
  <c r="I61" i="17" s="1"/>
  <c r="AD62" i="17" l="1"/>
  <c r="W62" i="17"/>
  <c r="I62" i="17" s="1"/>
  <c r="AD63" i="17" l="1"/>
  <c r="W63" i="17"/>
  <c r="I63" i="17" s="1"/>
  <c r="AD64" i="17" l="1"/>
  <c r="W64" i="17"/>
  <c r="I64" i="17" s="1"/>
  <c r="AD65" i="17" l="1"/>
  <c r="W65" i="17"/>
  <c r="I65" i="17" s="1"/>
  <c r="AD66" i="17" l="1"/>
  <c r="W66" i="17"/>
  <c r="I66" i="17" s="1"/>
  <c r="W67" i="17" l="1"/>
  <c r="I67" i="17" s="1"/>
  <c r="AD67" i="17"/>
  <c r="AD68" i="17" l="1"/>
  <c r="W68" i="17"/>
  <c r="I68" i="17" l="1"/>
  <c r="I69" i="17" s="1"/>
  <c r="W69" i="17"/>
  <c r="G25" i="3" l="1"/>
  <c r="E25" i="3"/>
  <c r="E22" i="3"/>
  <c r="E21" i="3"/>
  <c r="E20" i="3"/>
  <c r="B18" i="2"/>
  <c r="C16" i="2"/>
  <c r="C13" i="2"/>
  <c r="C14" i="2"/>
  <c r="C15" i="2"/>
  <c r="C12" i="2"/>
  <c r="B11" i="2"/>
  <c r="C6" i="2"/>
  <c r="C7" i="2"/>
  <c r="C8" i="2"/>
  <c r="C9" i="2"/>
  <c r="C10" i="2"/>
  <c r="C5" i="2"/>
  <c r="B4" i="2"/>
  <c r="AN39" i="1" l="1"/>
  <c r="W39" i="1"/>
  <c r="X39" i="1"/>
  <c r="Y39" i="1"/>
  <c r="Z39" i="1"/>
  <c r="AA39" i="1"/>
  <c r="AB39" i="1"/>
  <c r="AC39" i="1"/>
  <c r="AD39" i="1"/>
  <c r="AE39" i="1"/>
  <c r="AF39" i="1"/>
  <c r="AG39" i="1"/>
  <c r="V39" i="1"/>
  <c r="V36" i="1" s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Z49" i="1"/>
  <c r="BA49" i="1" s="1"/>
  <c r="AZ48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Z46" i="1"/>
  <c r="BA46" i="1" s="1"/>
  <c r="AY44" i="1"/>
  <c r="AY74" i="1" s="1"/>
  <c r="AY69" i="1" s="1"/>
  <c r="AX44" i="1"/>
  <c r="AX74" i="1" s="1"/>
  <c r="AX69" i="1" s="1"/>
  <c r="AW44" i="1"/>
  <c r="AW74" i="1" s="1"/>
  <c r="AW69" i="1" s="1"/>
  <c r="AV44" i="1"/>
  <c r="AV74" i="1" s="1"/>
  <c r="AV69" i="1" s="1"/>
  <c r="AU44" i="1"/>
  <c r="AU74" i="1" s="1"/>
  <c r="AU69" i="1" s="1"/>
  <c r="AU83" i="1" s="1"/>
  <c r="AT44" i="1"/>
  <c r="AT74" i="1" s="1"/>
  <c r="AT69" i="1" s="1"/>
  <c r="AS44" i="1"/>
  <c r="AS74" i="1" s="1"/>
  <c r="AS69" i="1" s="1"/>
  <c r="AR44" i="1"/>
  <c r="AR74" i="1" s="1"/>
  <c r="AR69" i="1" s="1"/>
  <c r="AQ44" i="1"/>
  <c r="AQ74" i="1" s="1"/>
  <c r="AQ69" i="1" s="1"/>
  <c r="AP44" i="1"/>
  <c r="AP74" i="1" s="1"/>
  <c r="AP69" i="1" s="1"/>
  <c r="AO44" i="1"/>
  <c r="AO74" i="1" s="1"/>
  <c r="AO69" i="1" s="1"/>
  <c r="AN44" i="1"/>
  <c r="AN74" i="1" s="1"/>
  <c r="AZ43" i="1"/>
  <c r="AZ42" i="1"/>
  <c r="BA42" i="1" s="1"/>
  <c r="AZ41" i="1"/>
  <c r="AZ40" i="1"/>
  <c r="AY36" i="1"/>
  <c r="AZ38" i="1"/>
  <c r="AZ37" i="1"/>
  <c r="AZ34" i="1"/>
  <c r="BA34" i="1" s="1"/>
  <c r="AZ33" i="1"/>
  <c r="AZ32" i="1"/>
  <c r="BA32" i="1" s="1"/>
  <c r="AZ29" i="1"/>
  <c r="AZ28" i="1"/>
  <c r="AZ22" i="1"/>
  <c r="BA22" i="1" s="1"/>
  <c r="AZ21" i="1"/>
  <c r="AZ20" i="1"/>
  <c r="AZ19" i="1"/>
  <c r="AZ18" i="1"/>
  <c r="AZ17" i="1"/>
  <c r="BA17" i="1" s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Z15" i="1"/>
  <c r="AZ11" i="1"/>
  <c r="BA11" i="1" s="1"/>
  <c r="AZ10" i="1"/>
  <c r="BA10" i="1" s="1"/>
  <c r="AZ9" i="1"/>
  <c r="BA9" i="1" s="1"/>
  <c r="AZ8" i="1"/>
  <c r="BA8" i="1" s="1"/>
  <c r="BA15" i="1"/>
  <c r="AQ10" i="15"/>
  <c r="AR10" i="15"/>
  <c r="AS10" i="15"/>
  <c r="AT10" i="15"/>
  <c r="AU10" i="15"/>
  <c r="AV10" i="15"/>
  <c r="AW10" i="15"/>
  <c r="AX10" i="15"/>
  <c r="AY10" i="15"/>
  <c r="AZ10" i="15"/>
  <c r="BA10" i="15"/>
  <c r="AQ11" i="15"/>
  <c r="AR11" i="15"/>
  <c r="AS11" i="15"/>
  <c r="AT11" i="15"/>
  <c r="AU11" i="15"/>
  <c r="AV11" i="15"/>
  <c r="AW11" i="15"/>
  <c r="AW12" i="15" s="1"/>
  <c r="AW13" i="15" s="1"/>
  <c r="AX11" i="15"/>
  <c r="AY11" i="15"/>
  <c r="AZ11" i="15"/>
  <c r="BA11" i="15"/>
  <c r="AP11" i="15"/>
  <c r="AP10" i="15"/>
  <c r="Y10" i="15"/>
  <c r="Z10" i="15"/>
  <c r="AA10" i="15"/>
  <c r="AB10" i="15"/>
  <c r="AC10" i="15"/>
  <c r="AD10" i="15"/>
  <c r="AE10" i="15"/>
  <c r="AF10" i="15"/>
  <c r="AG10" i="15"/>
  <c r="AH10" i="15"/>
  <c r="AI10" i="15"/>
  <c r="Y11" i="15"/>
  <c r="Z11" i="15"/>
  <c r="AA11" i="15"/>
  <c r="AB11" i="15"/>
  <c r="AC11" i="15"/>
  <c r="AD11" i="15"/>
  <c r="AE11" i="15"/>
  <c r="AF11" i="15"/>
  <c r="AG11" i="15"/>
  <c r="AH11" i="15"/>
  <c r="AI11" i="15"/>
  <c r="X11" i="15"/>
  <c r="X10" i="15"/>
  <c r="M10" i="15"/>
  <c r="N10" i="15"/>
  <c r="O10" i="15"/>
  <c r="P10" i="15"/>
  <c r="M11" i="15"/>
  <c r="N11" i="15"/>
  <c r="O11" i="15"/>
  <c r="P11" i="15"/>
  <c r="L11" i="15"/>
  <c r="L10" i="15"/>
  <c r="V62" i="1"/>
  <c r="W63" i="1"/>
  <c r="Y58" i="1"/>
  <c r="W44" i="1"/>
  <c r="W74" i="1" s="1"/>
  <c r="W69" i="1" s="1"/>
  <c r="X44" i="1"/>
  <c r="Y44" i="1"/>
  <c r="Z44" i="1"/>
  <c r="Z74" i="1" s="1"/>
  <c r="Z69" i="1" s="1"/>
  <c r="AA44" i="1"/>
  <c r="AA74" i="1" s="1"/>
  <c r="AA69" i="1" s="1"/>
  <c r="AB44" i="1"/>
  <c r="AB74" i="1" s="1"/>
  <c r="AB69" i="1" s="1"/>
  <c r="AC44" i="1"/>
  <c r="AC74" i="1" s="1"/>
  <c r="AC69" i="1" s="1"/>
  <c r="AD44" i="1"/>
  <c r="AE44" i="1"/>
  <c r="AE74" i="1" s="1"/>
  <c r="AE69" i="1" s="1"/>
  <c r="AF44" i="1"/>
  <c r="AG44" i="1"/>
  <c r="AH10" i="1"/>
  <c r="AH11" i="1"/>
  <c r="AH15" i="1"/>
  <c r="AH17" i="1"/>
  <c r="AH18" i="1"/>
  <c r="AH19" i="1"/>
  <c r="AH20" i="1"/>
  <c r="AH21" i="1"/>
  <c r="AH22" i="1"/>
  <c r="AH28" i="1"/>
  <c r="AH29" i="1"/>
  <c r="AH32" i="1"/>
  <c r="AI32" i="1" s="1"/>
  <c r="AH33" i="1"/>
  <c r="AH34" i="1"/>
  <c r="AI34" i="1" s="1"/>
  <c r="V58" i="1"/>
  <c r="AG77" i="1"/>
  <c r="AF77" i="1"/>
  <c r="AE77" i="1"/>
  <c r="AD77" i="1"/>
  <c r="AC77" i="1"/>
  <c r="AB77" i="1"/>
  <c r="AA77" i="1"/>
  <c r="Z77" i="1"/>
  <c r="Y77" i="1"/>
  <c r="X77" i="1"/>
  <c r="W77" i="1"/>
  <c r="V77" i="1"/>
  <c r="AF74" i="1"/>
  <c r="AF69" i="1" s="1"/>
  <c r="AD74" i="1"/>
  <c r="AD69" i="1" s="1"/>
  <c r="Y74" i="1"/>
  <c r="X74" i="1"/>
  <c r="X69" i="1" s="1"/>
  <c r="V74" i="1"/>
  <c r="AG58" i="1"/>
  <c r="AF58" i="1"/>
  <c r="AE58" i="1"/>
  <c r="AD58" i="1"/>
  <c r="AC58" i="1"/>
  <c r="AB58" i="1"/>
  <c r="AA58" i="1"/>
  <c r="Z58" i="1"/>
  <c r="X58" i="1"/>
  <c r="W58" i="1"/>
  <c r="F58" i="1"/>
  <c r="G58" i="1"/>
  <c r="H58" i="1"/>
  <c r="I58" i="1"/>
  <c r="J58" i="1"/>
  <c r="K58" i="1"/>
  <c r="L58" i="1"/>
  <c r="M58" i="1"/>
  <c r="N58" i="1"/>
  <c r="O58" i="1"/>
  <c r="E58" i="1"/>
  <c r="D62" i="1"/>
  <c r="E62" i="1"/>
  <c r="F62" i="1"/>
  <c r="G62" i="1"/>
  <c r="H62" i="1"/>
  <c r="I62" i="1"/>
  <c r="J62" i="1"/>
  <c r="K62" i="1"/>
  <c r="L62" i="1"/>
  <c r="M62" i="1"/>
  <c r="N62" i="1"/>
  <c r="O62" i="1"/>
  <c r="P28" i="1"/>
  <c r="P29" i="1"/>
  <c r="P32" i="1"/>
  <c r="Q32" i="1" s="1"/>
  <c r="P33" i="1"/>
  <c r="P34" i="1"/>
  <c r="Q34" i="1" s="1"/>
  <c r="P37" i="1"/>
  <c r="P38" i="1"/>
  <c r="P40" i="1"/>
  <c r="P41" i="1"/>
  <c r="P42" i="1"/>
  <c r="P15" i="1"/>
  <c r="D14" i="2" s="1"/>
  <c r="P16" i="1"/>
  <c r="D15" i="2" s="1"/>
  <c r="P17" i="1"/>
  <c r="D16" i="2" s="1"/>
  <c r="L8" i="15"/>
  <c r="P8" i="15"/>
  <c r="Y8" i="15"/>
  <c r="Z8" i="15"/>
  <c r="AA8" i="15"/>
  <c r="AB8" i="15"/>
  <c r="AC8" i="15"/>
  <c r="AD8" i="15"/>
  <c r="AE8" i="15"/>
  <c r="AF8" i="15"/>
  <c r="AG8" i="15"/>
  <c r="AH8" i="15"/>
  <c r="AI8" i="15"/>
  <c r="X8" i="15"/>
  <c r="BA8" i="15"/>
  <c r="AZ8" i="15"/>
  <c r="AY8" i="15"/>
  <c r="AX8" i="15"/>
  <c r="AW8" i="15"/>
  <c r="AV8" i="15"/>
  <c r="AU8" i="15"/>
  <c r="AT8" i="15"/>
  <c r="AR8" i="15"/>
  <c r="AQ8" i="15"/>
  <c r="AP8" i="15"/>
  <c r="M8" i="15"/>
  <c r="N8" i="15"/>
  <c r="O8" i="15"/>
  <c r="AQ7" i="15"/>
  <c r="AR7" i="15"/>
  <c r="AS7" i="15"/>
  <c r="AT7" i="15"/>
  <c r="AU7" i="15"/>
  <c r="AV7" i="15"/>
  <c r="AW7" i="15"/>
  <c r="AX7" i="15"/>
  <c r="AY7" i="15"/>
  <c r="AZ7" i="15"/>
  <c r="BA7" i="15"/>
  <c r="AP7" i="15"/>
  <c r="AF7" i="15"/>
  <c r="AG7" i="15"/>
  <c r="AH7" i="15"/>
  <c r="AI7" i="15"/>
  <c r="AE7" i="15"/>
  <c r="AC7" i="15"/>
  <c r="AD7" i="15"/>
  <c r="AB7" i="15"/>
  <c r="AA7" i="15"/>
  <c r="Z7" i="15"/>
  <c r="Y7" i="15"/>
  <c r="X7" i="15"/>
  <c r="O7" i="15"/>
  <c r="P7" i="15"/>
  <c r="AQ6" i="15"/>
  <c r="AR6" i="15"/>
  <c r="AS6" i="15"/>
  <c r="AT6" i="15"/>
  <c r="AU6" i="15"/>
  <c r="AV6" i="15"/>
  <c r="AW6" i="15"/>
  <c r="AX6" i="15"/>
  <c r="AY6" i="15"/>
  <c r="AZ6" i="15"/>
  <c r="BA6" i="15"/>
  <c r="AP6" i="15"/>
  <c r="AF6" i="15"/>
  <c r="AG6" i="15"/>
  <c r="AH6" i="15"/>
  <c r="AI6" i="15"/>
  <c r="AE6" i="15"/>
  <c r="AD6" i="15"/>
  <c r="AC6" i="15"/>
  <c r="AB6" i="15"/>
  <c r="AA6" i="15"/>
  <c r="Z6" i="15"/>
  <c r="Y6" i="15"/>
  <c r="X6" i="15"/>
  <c r="O6" i="15"/>
  <c r="P6" i="15"/>
  <c r="P54" i="16"/>
  <c r="O54" i="16"/>
  <c r="N54" i="16"/>
  <c r="M54" i="16"/>
  <c r="L54" i="16"/>
  <c r="K54" i="16"/>
  <c r="J54" i="16"/>
  <c r="I54" i="16"/>
  <c r="I55" i="16" s="1"/>
  <c r="H26" i="1" s="1"/>
  <c r="H54" i="16"/>
  <c r="H55" i="16" s="1"/>
  <c r="G26" i="1" s="1"/>
  <c r="G54" i="16"/>
  <c r="G55" i="16" s="1"/>
  <c r="F26" i="1" s="1"/>
  <c r="F54" i="16"/>
  <c r="F55" i="16" s="1"/>
  <c r="E26" i="1" s="1"/>
  <c r="E54" i="16"/>
  <c r="BA38" i="15"/>
  <c r="BA39" i="15" s="1"/>
  <c r="AZ38" i="15"/>
  <c r="AZ39" i="15" s="1"/>
  <c r="AY38" i="15"/>
  <c r="AY39" i="15" s="1"/>
  <c r="AX38" i="15"/>
  <c r="AX39" i="15" s="1"/>
  <c r="AW38" i="15"/>
  <c r="AW39" i="15" s="1"/>
  <c r="AV38" i="15"/>
  <c r="AV39" i="15" s="1"/>
  <c r="AU38" i="15"/>
  <c r="AU39" i="15" s="1"/>
  <c r="AT38" i="15"/>
  <c r="AT39" i="15" s="1"/>
  <c r="AS38" i="15"/>
  <c r="AS39" i="15" s="1"/>
  <c r="AR38" i="15"/>
  <c r="AR39" i="15" s="1"/>
  <c r="AQ38" i="15"/>
  <c r="AQ39" i="15" s="1"/>
  <c r="AP38" i="15"/>
  <c r="AP39" i="15" s="1"/>
  <c r="Y38" i="15"/>
  <c r="Y39" i="15" s="1"/>
  <c r="Z38" i="15"/>
  <c r="Z39" i="15" s="1"/>
  <c r="AA38" i="15"/>
  <c r="AA39" i="15" s="1"/>
  <c r="AB38" i="15"/>
  <c r="AB39" i="15" s="1"/>
  <c r="AC38" i="15"/>
  <c r="AC39" i="15" s="1"/>
  <c r="AD38" i="15"/>
  <c r="AD39" i="15" s="1"/>
  <c r="X38" i="15"/>
  <c r="X39" i="15" s="1"/>
  <c r="AI38" i="15"/>
  <c r="AI39" i="15" s="1"/>
  <c r="AH38" i="15"/>
  <c r="AH39" i="15" s="1"/>
  <c r="AG38" i="15"/>
  <c r="AG39" i="15" s="1"/>
  <c r="AF38" i="15"/>
  <c r="AF39" i="15" s="1"/>
  <c r="AE38" i="15"/>
  <c r="AE39" i="15" s="1"/>
  <c r="P38" i="15"/>
  <c r="P39" i="15" s="1"/>
  <c r="F38" i="15"/>
  <c r="F39" i="15" s="1"/>
  <c r="G38" i="15"/>
  <c r="G39" i="15" s="1"/>
  <c r="H38" i="15"/>
  <c r="H39" i="15" s="1"/>
  <c r="I38" i="15"/>
  <c r="I39" i="15" s="1"/>
  <c r="J38" i="15"/>
  <c r="J39" i="15" s="1"/>
  <c r="K38" i="15"/>
  <c r="K39" i="15" s="1"/>
  <c r="L38" i="15"/>
  <c r="L39" i="15" s="1"/>
  <c r="M38" i="15"/>
  <c r="M39" i="15" s="1"/>
  <c r="N38" i="15"/>
  <c r="N39" i="15" s="1"/>
  <c r="O38" i="15"/>
  <c r="O39" i="15" s="1"/>
  <c r="E38" i="15"/>
  <c r="E39" i="15" s="1"/>
  <c r="F17" i="2" l="1"/>
  <c r="P55" i="16"/>
  <c r="O26" i="1" s="1"/>
  <c r="O25" i="1"/>
  <c r="O55" i="16"/>
  <c r="N26" i="1" s="1"/>
  <c r="N25" i="1"/>
  <c r="N55" i="16"/>
  <c r="M26" i="1" s="1"/>
  <c r="M25" i="1"/>
  <c r="M55" i="16"/>
  <c r="L26" i="1" s="1"/>
  <c r="L25" i="1"/>
  <c r="L55" i="16"/>
  <c r="K26" i="1" s="1"/>
  <c r="K25" i="1"/>
  <c r="K55" i="16"/>
  <c r="J26" i="1" s="1"/>
  <c r="J25" i="1"/>
  <c r="J55" i="16"/>
  <c r="I26" i="1" s="1"/>
  <c r="I25" i="1"/>
  <c r="AP83" i="1"/>
  <c r="AX83" i="1"/>
  <c r="Z83" i="1"/>
  <c r="AO83" i="1"/>
  <c r="AW83" i="1"/>
  <c r="AQ83" i="1"/>
  <c r="AY83" i="1"/>
  <c r="AV36" i="1"/>
  <c r="X83" i="1"/>
  <c r="AU36" i="1"/>
  <c r="AT83" i="1"/>
  <c r="AF83" i="1"/>
  <c r="AS36" i="1"/>
  <c r="E17" i="2"/>
  <c r="E55" i="16"/>
  <c r="D26" i="1" s="1"/>
  <c r="D25" i="1"/>
  <c r="H56" i="16"/>
  <c r="P56" i="16"/>
  <c r="I56" i="16"/>
  <c r="K56" i="16"/>
  <c r="L56" i="16"/>
  <c r="M56" i="16"/>
  <c r="N56" i="16"/>
  <c r="G56" i="16"/>
  <c r="O56" i="16"/>
  <c r="E56" i="16"/>
  <c r="BA12" i="15"/>
  <c r="BA13" i="15" s="1"/>
  <c r="D17" i="2"/>
  <c r="AS83" i="1"/>
  <c r="AP12" i="15"/>
  <c r="AP13" i="15" s="1"/>
  <c r="AZ16" i="1"/>
  <c r="G28" i="3"/>
  <c r="BA18" i="1"/>
  <c r="AV83" i="1"/>
  <c r="W83" i="1"/>
  <c r="AN36" i="1"/>
  <c r="AR36" i="1"/>
  <c r="AN69" i="1"/>
  <c r="AN83" i="1" s="1"/>
  <c r="G26" i="3"/>
  <c r="G24" i="3"/>
  <c r="AQ36" i="1"/>
  <c r="V69" i="1"/>
  <c r="V83" i="1" s="1"/>
  <c r="AQ12" i="15"/>
  <c r="AQ13" i="15" s="1"/>
  <c r="AG12" i="15"/>
  <c r="AG13" i="15" s="1"/>
  <c r="AU12" i="15"/>
  <c r="AU13" i="15" s="1"/>
  <c r="AS12" i="15"/>
  <c r="AS13" i="15" s="1"/>
  <c r="F25" i="1"/>
  <c r="AY12" i="15"/>
  <c r="AY13" i="15" s="1"/>
  <c r="AR12" i="15"/>
  <c r="AR13" i="15" s="1"/>
  <c r="AZ12" i="15"/>
  <c r="AZ13" i="15" s="1"/>
  <c r="AX12" i="1"/>
  <c r="AY57" i="1" s="1"/>
  <c r="AP12" i="1"/>
  <c r="AQ57" i="1" s="1"/>
  <c r="AX12" i="15"/>
  <c r="AX13" i="15" s="1"/>
  <c r="AV12" i="15"/>
  <c r="AV13" i="15" s="1"/>
  <c r="AB31" i="1"/>
  <c r="AB30" i="1" s="1"/>
  <c r="AT12" i="15"/>
  <c r="AT13" i="15" s="1"/>
  <c r="AA31" i="1"/>
  <c r="AA30" i="1" s="1"/>
  <c r="AR83" i="1"/>
  <c r="AZ47" i="1"/>
  <c r="F24" i="2" s="1"/>
  <c r="AE83" i="1"/>
  <c r="AA83" i="1"/>
  <c r="AV12" i="1"/>
  <c r="AW57" i="1" s="1"/>
  <c r="AR12" i="1"/>
  <c r="AS57" i="1" s="1"/>
  <c r="AW31" i="1"/>
  <c r="AW30" i="1" s="1"/>
  <c r="AW12" i="1"/>
  <c r="AX57" i="1" s="1"/>
  <c r="AV31" i="1"/>
  <c r="AV30" i="1" s="1"/>
  <c r="AT12" i="1"/>
  <c r="AU57" i="1" s="1"/>
  <c r="AT31" i="1"/>
  <c r="AT30" i="1" s="1"/>
  <c r="AS31" i="1"/>
  <c r="AS30" i="1" s="1"/>
  <c r="AS12" i="1"/>
  <c r="AR31" i="1"/>
  <c r="AR30" i="1" s="1"/>
  <c r="AO31" i="1"/>
  <c r="AO30" i="1" s="1"/>
  <c r="AO12" i="1"/>
  <c r="AN12" i="1"/>
  <c r="AO57" i="1" s="1"/>
  <c r="AN31" i="1"/>
  <c r="AN30" i="1" s="1"/>
  <c r="AP31" i="1"/>
  <c r="AP30" i="1" s="1"/>
  <c r="AW36" i="1"/>
  <c r="AZ39" i="1"/>
  <c r="AX31" i="1"/>
  <c r="AX30" i="1" s="1"/>
  <c r="AO36" i="1"/>
  <c r="AP36" i="1"/>
  <c r="AT36" i="1"/>
  <c r="AX36" i="1"/>
  <c r="AQ12" i="1"/>
  <c r="AR57" i="1" s="1"/>
  <c r="AQ31" i="1"/>
  <c r="AQ30" i="1" s="1"/>
  <c r="AU12" i="1"/>
  <c r="AV57" i="1" s="1"/>
  <c r="AU31" i="1"/>
  <c r="AU30" i="1" s="1"/>
  <c r="AY12" i="1"/>
  <c r="AY31" i="1"/>
  <c r="AY30" i="1" s="1"/>
  <c r="AZ44" i="1"/>
  <c r="Y31" i="1"/>
  <c r="Y30" i="1" s="1"/>
  <c r="AC31" i="1"/>
  <c r="AC30" i="1" s="1"/>
  <c r="AG31" i="1"/>
  <c r="AF31" i="1"/>
  <c r="AF30" i="1" s="1"/>
  <c r="Z31" i="1"/>
  <c r="Z30" i="1" s="1"/>
  <c r="AD31" i="1"/>
  <c r="AD30" i="1" s="1"/>
  <c r="X31" i="1"/>
  <c r="X30" i="1" s="1"/>
  <c r="W31" i="1"/>
  <c r="W30" i="1" s="1"/>
  <c r="AE31" i="1"/>
  <c r="AE30" i="1" s="1"/>
  <c r="AD83" i="1"/>
  <c r="AI12" i="15"/>
  <c r="AI13" i="15" s="1"/>
  <c r="AB83" i="1"/>
  <c r="AC83" i="1"/>
  <c r="Y69" i="1"/>
  <c r="Y83" i="1" s="1"/>
  <c r="AH12" i="15"/>
  <c r="AH13" i="15" s="1"/>
  <c r="Z12" i="15"/>
  <c r="Z13" i="15" s="1"/>
  <c r="E25" i="1"/>
  <c r="AH14" i="1"/>
  <c r="P14" i="1"/>
  <c r="D13" i="2" s="1"/>
  <c r="P13" i="1"/>
  <c r="D12" i="2" s="1"/>
  <c r="AH13" i="1"/>
  <c r="H25" i="1"/>
  <c r="G25" i="1"/>
  <c r="AD12" i="15"/>
  <c r="AD13" i="15" s="1"/>
  <c r="AF12" i="15"/>
  <c r="AF13" i="15" s="1"/>
  <c r="AE12" i="15"/>
  <c r="AE13" i="15" s="1"/>
  <c r="AC12" i="15"/>
  <c r="AC13" i="15" s="1"/>
  <c r="AB12" i="15"/>
  <c r="AB13" i="15" s="1"/>
  <c r="AA12" i="15"/>
  <c r="AA13" i="15" s="1"/>
  <c r="Y12" i="15"/>
  <c r="Y13" i="15" s="1"/>
  <c r="X12" i="15"/>
  <c r="X13" i="15" s="1"/>
  <c r="P21" i="1"/>
  <c r="O12" i="1"/>
  <c r="K12" i="1"/>
  <c r="E12" i="1"/>
  <c r="F12" i="1"/>
  <c r="G12" i="1"/>
  <c r="H12" i="1"/>
  <c r="I12" i="1"/>
  <c r="J12" i="1"/>
  <c r="L12" i="1"/>
  <c r="M12" i="1"/>
  <c r="N12" i="1"/>
  <c r="D12" i="1"/>
  <c r="P18" i="1"/>
  <c r="Q18" i="1" s="1"/>
  <c r="AI18" i="1"/>
  <c r="K11" i="15"/>
  <c r="J11" i="15"/>
  <c r="I11" i="15"/>
  <c r="H11" i="15"/>
  <c r="G11" i="15"/>
  <c r="F11" i="15"/>
  <c r="E11" i="15"/>
  <c r="P12" i="15"/>
  <c r="N12" i="15"/>
  <c r="M12" i="15"/>
  <c r="K10" i="15"/>
  <c r="J10" i="15"/>
  <c r="I10" i="15"/>
  <c r="H10" i="15"/>
  <c r="G10" i="15"/>
  <c r="F10" i="15"/>
  <c r="E10" i="15"/>
  <c r="AT5" i="1" l="1"/>
  <c r="AT27" i="1" s="1"/>
  <c r="I57" i="1"/>
  <c r="H31" i="1"/>
  <c r="H30" i="1" s="1"/>
  <c r="H57" i="1"/>
  <c r="G31" i="1"/>
  <c r="G30" i="1" s="1"/>
  <c r="E57" i="1"/>
  <c r="D31" i="1"/>
  <c r="D30" i="1" s="1"/>
  <c r="G57" i="1"/>
  <c r="F31" i="1"/>
  <c r="F30" i="1" s="1"/>
  <c r="O57" i="1"/>
  <c r="N31" i="1"/>
  <c r="N30" i="1" s="1"/>
  <c r="F57" i="1"/>
  <c r="E31" i="1"/>
  <c r="E30" i="1" s="1"/>
  <c r="N57" i="1"/>
  <c r="M31" i="1"/>
  <c r="M30" i="1" s="1"/>
  <c r="L57" i="1"/>
  <c r="K31" i="1"/>
  <c r="K30" i="1" s="1"/>
  <c r="M57" i="1"/>
  <c r="L31" i="1"/>
  <c r="L30" i="1" s="1"/>
  <c r="V57" i="1"/>
  <c r="O31" i="1"/>
  <c r="O30" i="1" s="1"/>
  <c r="K57" i="1"/>
  <c r="J31" i="1"/>
  <c r="J30" i="1" s="1"/>
  <c r="J57" i="1"/>
  <c r="I31" i="1"/>
  <c r="I30" i="1" s="1"/>
  <c r="AX5" i="1"/>
  <c r="O61" i="1"/>
  <c r="F56" i="16"/>
  <c r="J56" i="16"/>
  <c r="AU5" i="1"/>
  <c r="AU27" i="1" s="1"/>
  <c r="AN5" i="1"/>
  <c r="AP5" i="1"/>
  <c r="AP27" i="1" s="1"/>
  <c r="AO5" i="1"/>
  <c r="AO27" i="1" s="1"/>
  <c r="AS5" i="1"/>
  <c r="AS27" i="1" s="1"/>
  <c r="AV5" i="1"/>
  <c r="AV27" i="1" s="1"/>
  <c r="AY5" i="1"/>
  <c r="AW5" i="1"/>
  <c r="AW27" i="1" s="1"/>
  <c r="AQ5" i="1"/>
  <c r="AQ27" i="1" s="1"/>
  <c r="AR5" i="1"/>
  <c r="AR27" i="1" s="1"/>
  <c r="AZ6" i="1"/>
  <c r="AH6" i="1"/>
  <c r="AO61" i="1"/>
  <c r="AP57" i="1"/>
  <c r="AZ26" i="1"/>
  <c r="AT57" i="1"/>
  <c r="AR61" i="1"/>
  <c r="AT61" i="1"/>
  <c r="AU61" i="1"/>
  <c r="AX61" i="1"/>
  <c r="AW61" i="1"/>
  <c r="AY61" i="1"/>
  <c r="AV61" i="1"/>
  <c r="AS61" i="1"/>
  <c r="AQ61" i="1"/>
  <c r="AZ7" i="1"/>
  <c r="AP61" i="1"/>
  <c r="AG30" i="1"/>
  <c r="AH30" i="1" s="1"/>
  <c r="AN61" i="1"/>
  <c r="AZ36" i="1"/>
  <c r="AZ30" i="1"/>
  <c r="AZ31" i="1"/>
  <c r="AZ12" i="1"/>
  <c r="F11" i="2" s="1"/>
  <c r="AH31" i="1"/>
  <c r="M61" i="1"/>
  <c r="E5" i="1"/>
  <c r="AH7" i="1"/>
  <c r="P25" i="1"/>
  <c r="I12" i="15"/>
  <c r="E12" i="15"/>
  <c r="F12" i="15"/>
  <c r="J12" i="15"/>
  <c r="G12" i="15"/>
  <c r="K12" i="15"/>
  <c r="P13" i="15"/>
  <c r="M13" i="15"/>
  <c r="N13" i="15"/>
  <c r="O12" i="15"/>
  <c r="L12" i="15"/>
  <c r="H12" i="15"/>
  <c r="AT24" i="1" l="1"/>
  <c r="AT23" i="1"/>
  <c r="AU63" i="1"/>
  <c r="AU60" i="1" s="1"/>
  <c r="AX3" i="1"/>
  <c r="AX27" i="1"/>
  <c r="AU24" i="1"/>
  <c r="AU23" i="1"/>
  <c r="AV63" i="1"/>
  <c r="AV60" i="1" s="1"/>
  <c r="AN3" i="1"/>
  <c r="AN27" i="1"/>
  <c r="AP23" i="1"/>
  <c r="AP24" i="1"/>
  <c r="AQ63" i="1"/>
  <c r="AQ60" i="1" s="1"/>
  <c r="AO24" i="1"/>
  <c r="AO23" i="1"/>
  <c r="AP63" i="1"/>
  <c r="AP60" i="1" s="1"/>
  <c r="AS23" i="1"/>
  <c r="AS24" i="1"/>
  <c r="AT63" i="1"/>
  <c r="AT60" i="1" s="1"/>
  <c r="AV23" i="1"/>
  <c r="AV24" i="1"/>
  <c r="AW63" i="1"/>
  <c r="AW60" i="1" s="1"/>
  <c r="AY3" i="1"/>
  <c r="AY27" i="1"/>
  <c r="AW24" i="1"/>
  <c r="AW23" i="1"/>
  <c r="AX63" i="1"/>
  <c r="AX60" i="1" s="1"/>
  <c r="AQ24" i="1"/>
  <c r="AQ23" i="1"/>
  <c r="AR63" i="1"/>
  <c r="AR60" i="1" s="1"/>
  <c r="AR24" i="1"/>
  <c r="AR23" i="1"/>
  <c r="AS63" i="1"/>
  <c r="AS60" i="1" s="1"/>
  <c r="AW56" i="1"/>
  <c r="AW55" i="1" s="1"/>
  <c r="AU3" i="1"/>
  <c r="AU35" i="1" s="1"/>
  <c r="AU45" i="1" s="1"/>
  <c r="AU50" i="1" s="1"/>
  <c r="AR56" i="1"/>
  <c r="AR55" i="1" s="1"/>
  <c r="AR68" i="1" s="1"/>
  <c r="AP3" i="1"/>
  <c r="AT56" i="1"/>
  <c r="AT55" i="1" s="1"/>
  <c r="AT68" i="1" s="1"/>
  <c r="AR3" i="1"/>
  <c r="AR35" i="1" s="1"/>
  <c r="AR45" i="1" s="1"/>
  <c r="AR50" i="1" s="1"/>
  <c r="AX56" i="1"/>
  <c r="AX55" i="1" s="1"/>
  <c r="AX68" i="1" s="1"/>
  <c r="AV3" i="1"/>
  <c r="AV35" i="1" s="1"/>
  <c r="AV45" i="1" s="1"/>
  <c r="AV50" i="1" s="1"/>
  <c r="AS56" i="1"/>
  <c r="AS55" i="1" s="1"/>
  <c r="AQ3" i="1"/>
  <c r="AQ35" i="1" s="1"/>
  <c r="AQ45" i="1" s="1"/>
  <c r="AQ50" i="1" s="1"/>
  <c r="AU56" i="1"/>
  <c r="AU55" i="1" s="1"/>
  <c r="AU68" i="1" s="1"/>
  <c r="AS3" i="1"/>
  <c r="AY56" i="1"/>
  <c r="AY55" i="1" s="1"/>
  <c r="AW3" i="1"/>
  <c r="AW35" i="1" s="1"/>
  <c r="AW45" i="1" s="1"/>
  <c r="AW50" i="1" s="1"/>
  <c r="AQ56" i="1"/>
  <c r="AQ55" i="1" s="1"/>
  <c r="AQ68" i="1" s="1"/>
  <c r="AO3" i="1"/>
  <c r="AO35" i="1" s="1"/>
  <c r="AO45" i="1" s="1"/>
  <c r="AO50" i="1" s="1"/>
  <c r="AV56" i="1"/>
  <c r="AV55" i="1" s="1"/>
  <c r="AT3" i="1"/>
  <c r="AT35" i="1" s="1"/>
  <c r="AT45" i="1" s="1"/>
  <c r="AT50" i="1" s="1"/>
  <c r="F61" i="1"/>
  <c r="AP35" i="1"/>
  <c r="AP45" i="1" s="1"/>
  <c r="AP50" i="1" s="1"/>
  <c r="E61" i="1"/>
  <c r="P30" i="1"/>
  <c r="V61" i="1"/>
  <c r="P31" i="1"/>
  <c r="L61" i="1"/>
  <c r="G56" i="1"/>
  <c r="G55" i="1" s="1"/>
  <c r="E27" i="1"/>
  <c r="AP56" i="1"/>
  <c r="AP55" i="1" s="1"/>
  <c r="AP68" i="1" s="1"/>
  <c r="N61" i="1"/>
  <c r="P26" i="1"/>
  <c r="AS35" i="1"/>
  <c r="AS45" i="1" s="1"/>
  <c r="AS50" i="1" s="1"/>
  <c r="F21" i="2"/>
  <c r="AS68" i="1"/>
  <c r="AZ5" i="1"/>
  <c r="F4" i="2" s="1"/>
  <c r="AW68" i="1"/>
  <c r="AV68" i="1"/>
  <c r="H5" i="1"/>
  <c r="D5" i="1"/>
  <c r="F56" i="1" s="1"/>
  <c r="F5" i="1"/>
  <c r="O13" i="15"/>
  <c r="K5" i="1"/>
  <c r="L13" i="15"/>
  <c r="G5" i="1"/>
  <c r="O5" i="1"/>
  <c r="O27" i="1" s="1"/>
  <c r="M5" i="1"/>
  <c r="L5" i="1"/>
  <c r="J5" i="1"/>
  <c r="D8" i="11"/>
  <c r="C14" i="11"/>
  <c r="C13" i="11"/>
  <c r="C12" i="11"/>
  <c r="C11" i="11"/>
  <c r="E8" i="10"/>
  <c r="J8" i="10" s="1"/>
  <c r="O8" i="10" s="1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D152" i="8"/>
  <c r="E152" i="8"/>
  <c r="D153" i="8"/>
  <c r="E153" i="8"/>
  <c r="D154" i="8"/>
  <c r="E154" i="8"/>
  <c r="D155" i="8"/>
  <c r="E155" i="8"/>
  <c r="D156" i="8"/>
  <c r="E156" i="8"/>
  <c r="D157" i="8"/>
  <c r="E157" i="8"/>
  <c r="D158" i="8"/>
  <c r="E158" i="8"/>
  <c r="D159" i="8"/>
  <c r="E159" i="8"/>
  <c r="D160" i="8"/>
  <c r="E160" i="8"/>
  <c r="D161" i="8"/>
  <c r="E161" i="8"/>
  <c r="D162" i="8"/>
  <c r="E162" i="8"/>
  <c r="D163" i="8"/>
  <c r="E163" i="8"/>
  <c r="D164" i="8"/>
  <c r="E16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E5" i="8"/>
  <c r="D5" i="8"/>
  <c r="F94" i="1"/>
  <c r="E94" i="1"/>
  <c r="D94" i="1"/>
  <c r="F93" i="1"/>
  <c r="E93" i="1"/>
  <c r="D93" i="1"/>
  <c r="F92" i="1"/>
  <c r="E92" i="1"/>
  <c r="D92" i="1"/>
  <c r="F91" i="1"/>
  <c r="E91" i="1"/>
  <c r="D91" i="1"/>
  <c r="AU60" i="8"/>
  <c r="AQ60" i="8" s="1"/>
  <c r="AU59" i="8"/>
  <c r="AQ59" i="8" s="1"/>
  <c r="AU58" i="8"/>
  <c r="AQ58" i="8" s="1"/>
  <c r="AU57" i="8"/>
  <c r="AQ57" i="8" s="1"/>
  <c r="AU56" i="8"/>
  <c r="AQ56" i="8" s="1"/>
  <c r="AU55" i="8"/>
  <c r="AQ55" i="8" s="1"/>
  <c r="AU54" i="8"/>
  <c r="AQ54" i="8" s="1"/>
  <c r="AU53" i="8"/>
  <c r="AQ53" i="8" s="1"/>
  <c r="AU52" i="8"/>
  <c r="AQ52" i="8" s="1"/>
  <c r="AU51" i="8"/>
  <c r="AQ51" i="8" s="1"/>
  <c r="AU50" i="8"/>
  <c r="AQ50" i="8" s="1"/>
  <c r="AU49" i="8"/>
  <c r="AQ49" i="8" s="1"/>
  <c r="AU48" i="8"/>
  <c r="AQ48" i="8" s="1"/>
  <c r="AU47" i="8"/>
  <c r="AQ47" i="8" s="1"/>
  <c r="AU46" i="8"/>
  <c r="AQ46" i="8" s="1"/>
  <c r="AU45" i="8"/>
  <c r="AQ45" i="8" s="1"/>
  <c r="AU44" i="8"/>
  <c r="AQ44" i="8" s="1"/>
  <c r="AU43" i="8"/>
  <c r="AQ43" i="8" s="1"/>
  <c r="AU42" i="8"/>
  <c r="AQ42" i="8" s="1"/>
  <c r="AU41" i="8"/>
  <c r="AQ41" i="8" s="1"/>
  <c r="AU40" i="8"/>
  <c r="AQ40" i="8" s="1"/>
  <c r="AU39" i="8"/>
  <c r="AQ39" i="8" s="1"/>
  <c r="AU38" i="8"/>
  <c r="AQ38" i="8" s="1"/>
  <c r="AU37" i="8"/>
  <c r="AQ37" i="8" s="1"/>
  <c r="AU36" i="8"/>
  <c r="AQ36" i="8" s="1"/>
  <c r="AU35" i="8"/>
  <c r="AQ35" i="8" s="1"/>
  <c r="AU34" i="8"/>
  <c r="AQ34" i="8" s="1"/>
  <c r="AU33" i="8"/>
  <c r="AQ33" i="8" s="1"/>
  <c r="AU32" i="8"/>
  <c r="AQ32" i="8" s="1"/>
  <c r="AU31" i="8"/>
  <c r="AQ31" i="8" s="1"/>
  <c r="AU30" i="8"/>
  <c r="AQ30" i="8" s="1"/>
  <c r="AU29" i="8"/>
  <c r="AQ29" i="8" s="1"/>
  <c r="AU28" i="8"/>
  <c r="AQ28" i="8" s="1"/>
  <c r="AU27" i="8"/>
  <c r="AQ27" i="8" s="1"/>
  <c r="AU26" i="8"/>
  <c r="AQ26" i="8" s="1"/>
  <c r="AU25" i="8"/>
  <c r="AQ25" i="8" s="1"/>
  <c r="AU24" i="8"/>
  <c r="AQ24" i="8" s="1"/>
  <c r="AU23" i="8"/>
  <c r="AQ23" i="8" s="1"/>
  <c r="AU22" i="8"/>
  <c r="AQ22" i="8" s="1"/>
  <c r="AU21" i="8"/>
  <c r="AQ21" i="8" s="1"/>
  <c r="AU20" i="8"/>
  <c r="AQ20" i="8" s="1"/>
  <c r="AU19" i="8"/>
  <c r="AQ19" i="8" s="1"/>
  <c r="AU18" i="8"/>
  <c r="AQ18" i="8" s="1"/>
  <c r="AU17" i="8"/>
  <c r="AQ17" i="8" s="1"/>
  <c r="AU16" i="8"/>
  <c r="AQ16" i="8" s="1"/>
  <c r="AU15" i="8"/>
  <c r="AQ15" i="8" s="1"/>
  <c r="AU14" i="8"/>
  <c r="AQ14" i="8" s="1"/>
  <c r="AU13" i="8"/>
  <c r="AQ13" i="8" s="1"/>
  <c r="AU12" i="8"/>
  <c r="AQ12" i="8" s="1"/>
  <c r="AU11" i="8"/>
  <c r="AQ11" i="8" s="1"/>
  <c r="AU10" i="8"/>
  <c r="AQ10" i="8" s="1"/>
  <c r="AU9" i="8"/>
  <c r="AQ9" i="8" s="1"/>
  <c r="AU8" i="8"/>
  <c r="AQ8" i="8" s="1"/>
  <c r="AU7" i="8"/>
  <c r="AQ7" i="8" s="1"/>
  <c r="AU6" i="8"/>
  <c r="AQ6" i="8" s="1"/>
  <c r="AU5" i="8"/>
  <c r="AQ5" i="8" s="1"/>
  <c r="AM151" i="8"/>
  <c r="AI151" i="8" s="1"/>
  <c r="AM150" i="8"/>
  <c r="AI150" i="8" s="1"/>
  <c r="AM149" i="8"/>
  <c r="AI149" i="8" s="1"/>
  <c r="AM148" i="8"/>
  <c r="AI148" i="8" s="1"/>
  <c r="AM147" i="8"/>
  <c r="AI147" i="8" s="1"/>
  <c r="AM146" i="8"/>
  <c r="AI146" i="8" s="1"/>
  <c r="AM145" i="8"/>
  <c r="AI145" i="8" s="1"/>
  <c r="AM144" i="8"/>
  <c r="AI144" i="8" s="1"/>
  <c r="AM143" i="8"/>
  <c r="AI143" i="8" s="1"/>
  <c r="AM142" i="8"/>
  <c r="AI142" i="8" s="1"/>
  <c r="AM141" i="8"/>
  <c r="AI141" i="8" s="1"/>
  <c r="AM140" i="8"/>
  <c r="AI140" i="8" s="1"/>
  <c r="AM139" i="8"/>
  <c r="AI139" i="8" s="1"/>
  <c r="AM138" i="8"/>
  <c r="AI138" i="8" s="1"/>
  <c r="AM137" i="8"/>
  <c r="AI137" i="8" s="1"/>
  <c r="AM136" i="8"/>
  <c r="AI136" i="8"/>
  <c r="AM135" i="8"/>
  <c r="AI135" i="8" s="1"/>
  <c r="AM134" i="8"/>
  <c r="AI134" i="8" s="1"/>
  <c r="AM133" i="8"/>
  <c r="AI133" i="8" s="1"/>
  <c r="AM132" i="8"/>
  <c r="AI132" i="8" s="1"/>
  <c r="AM131" i="8"/>
  <c r="AI131" i="8" s="1"/>
  <c r="AM130" i="8"/>
  <c r="AI130" i="8" s="1"/>
  <c r="AM129" i="8"/>
  <c r="AM128" i="8"/>
  <c r="G128" i="8" s="1"/>
  <c r="AM127" i="8"/>
  <c r="AM126" i="8"/>
  <c r="AM125" i="8"/>
  <c r="AM124" i="8"/>
  <c r="AI124" i="8" s="1"/>
  <c r="AM123" i="8"/>
  <c r="AM122" i="8"/>
  <c r="AI122" i="8" s="1"/>
  <c r="AM121" i="8"/>
  <c r="AM120" i="8"/>
  <c r="AM119" i="8"/>
  <c r="AM118" i="8"/>
  <c r="AM117" i="8"/>
  <c r="AI117" i="8" s="1"/>
  <c r="AM116" i="8"/>
  <c r="AI116" i="8" s="1"/>
  <c r="AM115" i="8"/>
  <c r="AI115" i="8" s="1"/>
  <c r="AM114" i="8"/>
  <c r="AI114" i="8" s="1"/>
  <c r="AM113" i="8"/>
  <c r="AI113" i="8" s="1"/>
  <c r="AM112" i="8"/>
  <c r="AI112" i="8" s="1"/>
  <c r="AM111" i="8"/>
  <c r="AI111" i="8" s="1"/>
  <c r="AM110" i="8"/>
  <c r="AI110" i="8" s="1"/>
  <c r="AM109" i="8"/>
  <c r="AI109" i="8" s="1"/>
  <c r="AM108" i="8"/>
  <c r="AI108" i="8" s="1"/>
  <c r="AM107" i="8"/>
  <c r="AI107" i="8" s="1"/>
  <c r="AM106" i="8"/>
  <c r="AI106" i="8" s="1"/>
  <c r="AM105" i="8"/>
  <c r="AI105" i="8" s="1"/>
  <c r="AM104" i="8"/>
  <c r="AI104" i="8" s="1"/>
  <c r="AM103" i="8"/>
  <c r="AI103" i="8" s="1"/>
  <c r="AM102" i="8"/>
  <c r="AI102" i="8" s="1"/>
  <c r="AM101" i="8"/>
  <c r="AI101" i="8" s="1"/>
  <c r="AM100" i="8"/>
  <c r="AI100" i="8"/>
  <c r="AM99" i="8"/>
  <c r="AI99" i="8" s="1"/>
  <c r="AM98" i="8"/>
  <c r="AI98" i="8" s="1"/>
  <c r="AM97" i="8"/>
  <c r="AI97" i="8" s="1"/>
  <c r="AM96" i="8"/>
  <c r="AI96" i="8" s="1"/>
  <c r="AM95" i="8"/>
  <c r="AI95" i="8" s="1"/>
  <c r="AM94" i="8"/>
  <c r="AI94" i="8" s="1"/>
  <c r="AM93" i="8"/>
  <c r="AI93" i="8" s="1"/>
  <c r="AM92" i="8"/>
  <c r="AI92" i="8" s="1"/>
  <c r="AM91" i="8"/>
  <c r="AI91" i="8" s="1"/>
  <c r="AM90" i="8"/>
  <c r="AI90" i="8" s="1"/>
  <c r="AM89" i="8"/>
  <c r="AI89" i="8" s="1"/>
  <c r="AM88" i="8"/>
  <c r="AI88" i="8" s="1"/>
  <c r="AM87" i="8"/>
  <c r="AI87" i="8" s="1"/>
  <c r="AM86" i="8"/>
  <c r="AI86" i="8" s="1"/>
  <c r="AM85" i="8"/>
  <c r="AI85" i="8" s="1"/>
  <c r="AM84" i="8"/>
  <c r="AI84" i="8" s="1"/>
  <c r="AM83" i="8"/>
  <c r="AI83" i="8" s="1"/>
  <c r="AM82" i="8"/>
  <c r="AI82" i="8" s="1"/>
  <c r="AM81" i="8"/>
  <c r="AI81" i="8" s="1"/>
  <c r="AM80" i="8"/>
  <c r="AI80" i="8" s="1"/>
  <c r="AM79" i="8"/>
  <c r="AI79" i="8" s="1"/>
  <c r="AM78" i="8"/>
  <c r="AI78" i="8" s="1"/>
  <c r="AM77" i="8"/>
  <c r="AI77" i="8" s="1"/>
  <c r="AM76" i="8"/>
  <c r="AI76" i="8" s="1"/>
  <c r="AM75" i="8"/>
  <c r="AI75" i="8" s="1"/>
  <c r="AM74" i="8"/>
  <c r="AI74" i="8" s="1"/>
  <c r="AM73" i="8"/>
  <c r="AI73" i="8" s="1"/>
  <c r="AM72" i="8"/>
  <c r="AI72" i="8" s="1"/>
  <c r="AM71" i="8"/>
  <c r="AI71" i="8" s="1"/>
  <c r="AM70" i="8"/>
  <c r="AI70" i="8" s="1"/>
  <c r="AM69" i="8"/>
  <c r="AI69" i="8" s="1"/>
  <c r="AM68" i="8"/>
  <c r="AI68" i="8"/>
  <c r="AM67" i="8"/>
  <c r="AI67" i="8" s="1"/>
  <c r="AM66" i="8"/>
  <c r="AI66" i="8" s="1"/>
  <c r="AM65" i="8"/>
  <c r="AI65" i="8" s="1"/>
  <c r="AM64" i="8"/>
  <c r="AI64" i="8" s="1"/>
  <c r="AM63" i="8"/>
  <c r="AI63" i="8" s="1"/>
  <c r="AM62" i="8"/>
  <c r="AI62" i="8" s="1"/>
  <c r="AM61" i="8"/>
  <c r="AI61" i="8" s="1"/>
  <c r="AM60" i="8"/>
  <c r="AI60" i="8" s="1"/>
  <c r="AM59" i="8"/>
  <c r="AI59" i="8" s="1"/>
  <c r="AM58" i="8"/>
  <c r="AI58" i="8" s="1"/>
  <c r="AM57" i="8"/>
  <c r="AI57" i="8" s="1"/>
  <c r="AM56" i="8"/>
  <c r="AI56" i="8" s="1"/>
  <c r="AM55" i="8"/>
  <c r="AI55" i="8" s="1"/>
  <c r="AM54" i="8"/>
  <c r="AI54" i="8" s="1"/>
  <c r="AM53" i="8"/>
  <c r="AI53" i="8" s="1"/>
  <c r="AM52" i="8"/>
  <c r="AI52" i="8" s="1"/>
  <c r="AM51" i="8"/>
  <c r="AI51" i="8" s="1"/>
  <c r="AM50" i="8"/>
  <c r="AI50" i="8" s="1"/>
  <c r="AM49" i="8"/>
  <c r="AI49" i="8" s="1"/>
  <c r="AM48" i="8"/>
  <c r="AI48" i="8" s="1"/>
  <c r="AM47" i="8"/>
  <c r="AI47" i="8" s="1"/>
  <c r="AM46" i="8"/>
  <c r="AI46" i="8" s="1"/>
  <c r="AM45" i="8"/>
  <c r="AI45" i="8" s="1"/>
  <c r="AM44" i="8"/>
  <c r="AI44" i="8" s="1"/>
  <c r="AM43" i="8"/>
  <c r="AI43" i="8" s="1"/>
  <c r="AM42" i="8"/>
  <c r="AI42" i="8" s="1"/>
  <c r="AM41" i="8"/>
  <c r="AI41" i="8" s="1"/>
  <c r="AM40" i="8"/>
  <c r="AI40" i="8" s="1"/>
  <c r="AM39" i="8"/>
  <c r="AI39" i="8" s="1"/>
  <c r="AM38" i="8"/>
  <c r="AI38" i="8" s="1"/>
  <c r="AM37" i="8"/>
  <c r="AI37" i="8" s="1"/>
  <c r="AM36" i="8"/>
  <c r="AI36" i="8" s="1"/>
  <c r="AM35" i="8"/>
  <c r="AI35" i="8" s="1"/>
  <c r="AM34" i="8"/>
  <c r="AI34" i="8" s="1"/>
  <c r="AM33" i="8"/>
  <c r="AI33" i="8" s="1"/>
  <c r="AM32" i="8"/>
  <c r="AI32" i="8"/>
  <c r="AM31" i="8"/>
  <c r="AI31" i="8" s="1"/>
  <c r="AM30" i="8"/>
  <c r="AI30" i="8" s="1"/>
  <c r="AM29" i="8"/>
  <c r="AI29" i="8" s="1"/>
  <c r="AM28" i="8"/>
  <c r="AI28" i="8" s="1"/>
  <c r="AM27" i="8"/>
  <c r="AI27" i="8" s="1"/>
  <c r="AM26" i="8"/>
  <c r="AI26" i="8" s="1"/>
  <c r="AM25" i="8"/>
  <c r="AI25" i="8" s="1"/>
  <c r="AM24" i="8"/>
  <c r="AI24" i="8" s="1"/>
  <c r="AM23" i="8"/>
  <c r="AI23" i="8" s="1"/>
  <c r="AM22" i="8"/>
  <c r="AI22" i="8" s="1"/>
  <c r="AM21" i="8"/>
  <c r="AI21" i="8" s="1"/>
  <c r="AM20" i="8"/>
  <c r="AI20" i="8" s="1"/>
  <c r="AM19" i="8"/>
  <c r="AI19" i="8" s="1"/>
  <c r="AM18" i="8"/>
  <c r="AI18" i="8" s="1"/>
  <c r="AM17" i="8"/>
  <c r="AI17" i="8" s="1"/>
  <c r="AM16" i="8"/>
  <c r="AI16" i="8"/>
  <c r="AM15" i="8"/>
  <c r="AI15" i="8"/>
  <c r="AM14" i="8"/>
  <c r="AI14" i="8" s="1"/>
  <c r="AM13" i="8"/>
  <c r="AI13" i="8" s="1"/>
  <c r="AM12" i="8"/>
  <c r="AI12" i="8" s="1"/>
  <c r="AM11" i="8"/>
  <c r="AI11" i="8" s="1"/>
  <c r="AM10" i="8"/>
  <c r="AI10" i="8" s="1"/>
  <c r="AM9" i="8"/>
  <c r="AI9" i="8" s="1"/>
  <c r="AM8" i="8"/>
  <c r="AI8" i="8" s="1"/>
  <c r="AM7" i="8"/>
  <c r="AI7" i="8" s="1"/>
  <c r="AM6" i="8"/>
  <c r="AI6" i="8" s="1"/>
  <c r="AM5" i="8"/>
  <c r="AI5" i="8" s="1"/>
  <c r="AE88" i="8"/>
  <c r="AA88" i="8" s="1"/>
  <c r="AE87" i="8"/>
  <c r="AA87" i="8" s="1"/>
  <c r="AE86" i="8"/>
  <c r="AA86" i="8" s="1"/>
  <c r="AE85" i="8"/>
  <c r="AA85" i="8" s="1"/>
  <c r="AE84" i="8"/>
  <c r="AA84" i="8" s="1"/>
  <c r="AE83" i="8"/>
  <c r="AA83" i="8" s="1"/>
  <c r="AE82" i="8"/>
  <c r="AA82" i="8" s="1"/>
  <c r="AE81" i="8"/>
  <c r="AA81" i="8" s="1"/>
  <c r="AE80" i="8"/>
  <c r="AA80" i="8" s="1"/>
  <c r="AE79" i="8"/>
  <c r="AA79" i="8" s="1"/>
  <c r="AE78" i="8"/>
  <c r="AA78" i="8" s="1"/>
  <c r="AE77" i="8"/>
  <c r="AA77" i="8" s="1"/>
  <c r="AE76" i="8"/>
  <c r="AA76" i="8"/>
  <c r="AE75" i="8"/>
  <c r="AA75" i="8" s="1"/>
  <c r="AE74" i="8"/>
  <c r="AA74" i="8" s="1"/>
  <c r="AE73" i="8"/>
  <c r="AA73" i="8" s="1"/>
  <c r="AE72" i="8"/>
  <c r="AA72" i="8" s="1"/>
  <c r="AE71" i="8"/>
  <c r="AA71" i="8" s="1"/>
  <c r="AE70" i="8"/>
  <c r="AA70" i="8" s="1"/>
  <c r="AE69" i="8"/>
  <c r="AA69" i="8" s="1"/>
  <c r="AE68" i="8"/>
  <c r="AA68" i="8" s="1"/>
  <c r="AE67" i="8"/>
  <c r="AA67" i="8" s="1"/>
  <c r="AE66" i="8"/>
  <c r="AA66" i="8" s="1"/>
  <c r="AE65" i="8"/>
  <c r="AA65" i="8" s="1"/>
  <c r="AE64" i="8"/>
  <c r="AA64" i="8" s="1"/>
  <c r="AE63" i="8"/>
  <c r="AA63" i="8" s="1"/>
  <c r="AE62" i="8"/>
  <c r="AA62" i="8" s="1"/>
  <c r="AE61" i="8"/>
  <c r="AA61" i="8" s="1"/>
  <c r="AE60" i="8"/>
  <c r="AA60" i="8" s="1"/>
  <c r="AE59" i="8"/>
  <c r="AA59" i="8" s="1"/>
  <c r="AE58" i="8"/>
  <c r="AA58" i="8" s="1"/>
  <c r="AE57" i="8"/>
  <c r="AA57" i="8" s="1"/>
  <c r="AE56" i="8"/>
  <c r="AE55" i="8"/>
  <c r="AA55" i="8" s="1"/>
  <c r="AE54" i="8"/>
  <c r="AA54" i="8" s="1"/>
  <c r="AE53" i="8"/>
  <c r="AA53" i="8" s="1"/>
  <c r="AE52" i="8"/>
  <c r="AA52" i="8" s="1"/>
  <c r="AE51" i="8"/>
  <c r="AA51" i="8"/>
  <c r="AE50" i="8"/>
  <c r="AA50" i="8"/>
  <c r="AE49" i="8"/>
  <c r="AA49" i="8" s="1"/>
  <c r="AE48" i="8"/>
  <c r="AA48" i="8" s="1"/>
  <c r="AE47" i="8"/>
  <c r="AA47" i="8" s="1"/>
  <c r="AE46" i="8"/>
  <c r="AA46" i="8" s="1"/>
  <c r="AE45" i="8"/>
  <c r="AA45" i="8" s="1"/>
  <c r="AE44" i="8"/>
  <c r="AA44" i="8" s="1"/>
  <c r="AE43" i="8"/>
  <c r="AA43" i="8"/>
  <c r="AE42" i="8"/>
  <c r="AA42" i="8" s="1"/>
  <c r="AE41" i="8"/>
  <c r="AA41" i="8" s="1"/>
  <c r="AE40" i="8"/>
  <c r="AA40" i="8" s="1"/>
  <c r="AE39" i="8"/>
  <c r="AA39" i="8"/>
  <c r="AE38" i="8"/>
  <c r="AA38" i="8" s="1"/>
  <c r="AE37" i="8"/>
  <c r="AA37" i="8" s="1"/>
  <c r="AE36" i="8"/>
  <c r="AA36" i="8" s="1"/>
  <c r="AE35" i="8"/>
  <c r="AA35" i="8" s="1"/>
  <c r="AE34" i="8"/>
  <c r="AA34" i="8" s="1"/>
  <c r="AE33" i="8"/>
  <c r="AA33" i="8" s="1"/>
  <c r="AE32" i="8"/>
  <c r="AA32" i="8" s="1"/>
  <c r="AE31" i="8"/>
  <c r="AA31" i="8" s="1"/>
  <c r="AE30" i="8"/>
  <c r="AA30" i="8" s="1"/>
  <c r="AE29" i="8"/>
  <c r="AA29" i="8" s="1"/>
  <c r="AE28" i="8"/>
  <c r="AA28" i="8" s="1"/>
  <c r="AE27" i="8"/>
  <c r="AA27" i="8" s="1"/>
  <c r="AE26" i="8"/>
  <c r="AA26" i="8" s="1"/>
  <c r="AE25" i="8"/>
  <c r="AA25" i="8" s="1"/>
  <c r="AE24" i="8"/>
  <c r="AA24" i="8" s="1"/>
  <c r="AE23" i="8"/>
  <c r="AA23" i="8" s="1"/>
  <c r="AE22" i="8"/>
  <c r="AA22" i="8" s="1"/>
  <c r="AE21" i="8"/>
  <c r="AA21" i="8" s="1"/>
  <c r="AE20" i="8"/>
  <c r="AA20" i="8" s="1"/>
  <c r="AE19" i="8"/>
  <c r="AA19" i="8" s="1"/>
  <c r="AE18" i="8"/>
  <c r="AA18" i="8" s="1"/>
  <c r="AE17" i="8"/>
  <c r="AA17" i="8"/>
  <c r="AE16" i="8"/>
  <c r="AA16" i="8" s="1"/>
  <c r="AE15" i="8"/>
  <c r="AA15" i="8" s="1"/>
  <c r="AE14" i="8"/>
  <c r="AA14" i="8" s="1"/>
  <c r="AE13" i="8"/>
  <c r="AA13" i="8" s="1"/>
  <c r="AE12" i="8"/>
  <c r="AA12" i="8" s="1"/>
  <c r="AE11" i="8"/>
  <c r="AA11" i="8"/>
  <c r="AE10" i="8"/>
  <c r="AA10" i="8" s="1"/>
  <c r="AE9" i="8"/>
  <c r="AA9" i="8"/>
  <c r="AE8" i="8"/>
  <c r="AA8" i="8"/>
  <c r="AE7" i="8"/>
  <c r="AA7" i="8" s="1"/>
  <c r="AE6" i="8"/>
  <c r="AA6" i="8" s="1"/>
  <c r="AE5" i="8"/>
  <c r="AA5" i="8" s="1"/>
  <c r="W88" i="8"/>
  <c r="S88" i="8" s="1"/>
  <c r="W87" i="8"/>
  <c r="S87" i="8"/>
  <c r="W86" i="8"/>
  <c r="S86" i="8" s="1"/>
  <c r="W85" i="8"/>
  <c r="S85" i="8" s="1"/>
  <c r="W84" i="8"/>
  <c r="S84" i="8" s="1"/>
  <c r="W83" i="8"/>
  <c r="S83" i="8" s="1"/>
  <c r="W82" i="8"/>
  <c r="S82" i="8" s="1"/>
  <c r="W81" i="8"/>
  <c r="S81" i="8" s="1"/>
  <c r="W80" i="8"/>
  <c r="S80" i="8" s="1"/>
  <c r="W79" i="8"/>
  <c r="S79" i="8" s="1"/>
  <c r="W78" i="8"/>
  <c r="S78" i="8" s="1"/>
  <c r="W77" i="8"/>
  <c r="S77" i="8" s="1"/>
  <c r="W76" i="8"/>
  <c r="S76" i="8" s="1"/>
  <c r="W75" i="8"/>
  <c r="S75" i="8"/>
  <c r="W74" i="8"/>
  <c r="S74" i="8" s="1"/>
  <c r="W73" i="8"/>
  <c r="G73" i="8" s="1"/>
  <c r="S73" i="8"/>
  <c r="W72" i="8"/>
  <c r="S72" i="8"/>
  <c r="W71" i="8"/>
  <c r="S71" i="8" s="1"/>
  <c r="W70" i="8"/>
  <c r="S70" i="8" s="1"/>
  <c r="W69" i="8"/>
  <c r="S69" i="8" s="1"/>
  <c r="W68" i="8"/>
  <c r="S68" i="8" s="1"/>
  <c r="W67" i="8"/>
  <c r="S67" i="8" s="1"/>
  <c r="W66" i="8"/>
  <c r="S66" i="8" s="1"/>
  <c r="W65" i="8"/>
  <c r="S65" i="8" s="1"/>
  <c r="W64" i="8"/>
  <c r="S64" i="8" s="1"/>
  <c r="W63" i="8"/>
  <c r="S63" i="8" s="1"/>
  <c r="W62" i="8"/>
  <c r="S62" i="8" s="1"/>
  <c r="W61" i="8"/>
  <c r="W60" i="8"/>
  <c r="S60" i="8" s="1"/>
  <c r="W59" i="8"/>
  <c r="S59" i="8" s="1"/>
  <c r="W58" i="8"/>
  <c r="S58" i="8" s="1"/>
  <c r="W57" i="8"/>
  <c r="S57" i="8" s="1"/>
  <c r="W56" i="8"/>
  <c r="S56" i="8" s="1"/>
  <c r="W55" i="8"/>
  <c r="W54" i="8"/>
  <c r="S54" i="8" s="1"/>
  <c r="W53" i="8"/>
  <c r="S53" i="8" s="1"/>
  <c r="W52" i="8"/>
  <c r="S52" i="8" s="1"/>
  <c r="W51" i="8"/>
  <c r="S51" i="8" s="1"/>
  <c r="W50" i="8"/>
  <c r="S50" i="8" s="1"/>
  <c r="W49" i="8"/>
  <c r="S49" i="8" s="1"/>
  <c r="W48" i="8"/>
  <c r="S48" i="8" s="1"/>
  <c r="W47" i="8"/>
  <c r="S47" i="8" s="1"/>
  <c r="W46" i="8"/>
  <c r="S46" i="8" s="1"/>
  <c r="W45" i="8"/>
  <c r="S45" i="8" s="1"/>
  <c r="W44" i="8"/>
  <c r="S44" i="8" s="1"/>
  <c r="W43" i="8"/>
  <c r="S43" i="8" s="1"/>
  <c r="W42" i="8"/>
  <c r="S42" i="8" s="1"/>
  <c r="W41" i="8"/>
  <c r="S41" i="8" s="1"/>
  <c r="W40" i="8"/>
  <c r="S40" i="8" s="1"/>
  <c r="W39" i="8"/>
  <c r="S39" i="8" s="1"/>
  <c r="W38" i="8"/>
  <c r="S38" i="8" s="1"/>
  <c r="W37" i="8"/>
  <c r="S37" i="8" s="1"/>
  <c r="W36" i="8"/>
  <c r="S36" i="8" s="1"/>
  <c r="W35" i="8"/>
  <c r="S35" i="8" s="1"/>
  <c r="W34" i="8"/>
  <c r="S34" i="8" s="1"/>
  <c r="W33" i="8"/>
  <c r="S33" i="8" s="1"/>
  <c r="W32" i="8"/>
  <c r="S32" i="8" s="1"/>
  <c r="W31" i="8"/>
  <c r="S31" i="8" s="1"/>
  <c r="W30" i="8"/>
  <c r="S30" i="8" s="1"/>
  <c r="W29" i="8"/>
  <c r="S29" i="8" s="1"/>
  <c r="W28" i="8"/>
  <c r="S28" i="8" s="1"/>
  <c r="W27" i="8"/>
  <c r="S27" i="8" s="1"/>
  <c r="W26" i="8"/>
  <c r="S26" i="8" s="1"/>
  <c r="W25" i="8"/>
  <c r="S25" i="8" s="1"/>
  <c r="W24" i="8"/>
  <c r="S24" i="8" s="1"/>
  <c r="W23" i="8"/>
  <c r="S23" i="8" s="1"/>
  <c r="W22" i="8"/>
  <c r="S22" i="8" s="1"/>
  <c r="W21" i="8"/>
  <c r="S21" i="8" s="1"/>
  <c r="W20" i="8"/>
  <c r="S20" i="8" s="1"/>
  <c r="W19" i="8"/>
  <c r="S19" i="8" s="1"/>
  <c r="W18" i="8"/>
  <c r="S18" i="8" s="1"/>
  <c r="W17" i="8"/>
  <c r="S17" i="8" s="1"/>
  <c r="W16" i="8"/>
  <c r="S16" i="8" s="1"/>
  <c r="W15" i="8"/>
  <c r="W14" i="8"/>
  <c r="S14" i="8" s="1"/>
  <c r="W13" i="8"/>
  <c r="S13" i="8" s="1"/>
  <c r="W12" i="8"/>
  <c r="S12" i="8" s="1"/>
  <c r="W11" i="8"/>
  <c r="S11" i="8" s="1"/>
  <c r="W10" i="8"/>
  <c r="S10" i="8" s="1"/>
  <c r="W9" i="8"/>
  <c r="S9" i="8" s="1"/>
  <c r="W8" i="8"/>
  <c r="S8" i="8" s="1"/>
  <c r="W7" i="8"/>
  <c r="S7" i="8" s="1"/>
  <c r="W6" i="8"/>
  <c r="W5" i="8"/>
  <c r="S5" i="8" s="1"/>
  <c r="O64" i="8"/>
  <c r="K64" i="8" s="1"/>
  <c r="O63" i="8"/>
  <c r="K63" i="8" s="1"/>
  <c r="O62" i="8"/>
  <c r="K62" i="8" s="1"/>
  <c r="O61" i="8"/>
  <c r="K61" i="8" s="1"/>
  <c r="O60" i="8"/>
  <c r="K60" i="8" s="1"/>
  <c r="O59" i="8"/>
  <c r="K59" i="8" s="1"/>
  <c r="O58" i="8"/>
  <c r="K58" i="8" s="1"/>
  <c r="O57" i="8"/>
  <c r="K57" i="8" s="1"/>
  <c r="O56" i="8"/>
  <c r="K56" i="8" s="1"/>
  <c r="O55" i="8"/>
  <c r="K55" i="8" s="1"/>
  <c r="O54" i="8"/>
  <c r="K54" i="8" s="1"/>
  <c r="O53" i="8"/>
  <c r="K53" i="8" s="1"/>
  <c r="O52" i="8"/>
  <c r="K52" i="8" s="1"/>
  <c r="O51" i="8"/>
  <c r="K51" i="8" s="1"/>
  <c r="O50" i="8"/>
  <c r="K50" i="8" s="1"/>
  <c r="O49" i="8"/>
  <c r="K49" i="8" s="1"/>
  <c r="O48" i="8"/>
  <c r="K48" i="8" s="1"/>
  <c r="O47" i="8"/>
  <c r="K47" i="8"/>
  <c r="O46" i="8"/>
  <c r="K46" i="8" s="1"/>
  <c r="O45" i="8"/>
  <c r="K45" i="8" s="1"/>
  <c r="O44" i="8"/>
  <c r="K44" i="8" s="1"/>
  <c r="O43" i="8"/>
  <c r="K43" i="8" s="1"/>
  <c r="O42" i="8"/>
  <c r="K42" i="8" s="1"/>
  <c r="O41" i="8"/>
  <c r="K41" i="8" s="1"/>
  <c r="O40" i="8"/>
  <c r="K40" i="8" s="1"/>
  <c r="O39" i="8"/>
  <c r="G39" i="8" s="1"/>
  <c r="O38" i="8"/>
  <c r="K38" i="8" s="1"/>
  <c r="O37" i="8"/>
  <c r="K37" i="8" s="1"/>
  <c r="O36" i="8"/>
  <c r="O35" i="8"/>
  <c r="K35" i="8" s="1"/>
  <c r="O34" i="8"/>
  <c r="K34" i="8" s="1"/>
  <c r="O33" i="8"/>
  <c r="K33" i="8"/>
  <c r="O32" i="8"/>
  <c r="O31" i="8"/>
  <c r="K31" i="8" s="1"/>
  <c r="O30" i="8"/>
  <c r="K30" i="8" s="1"/>
  <c r="O29" i="8"/>
  <c r="O28" i="8"/>
  <c r="G28" i="8" s="1"/>
  <c r="O27" i="8"/>
  <c r="K27" i="8" s="1"/>
  <c r="O26" i="8"/>
  <c r="K26" i="8" s="1"/>
  <c r="O25" i="8"/>
  <c r="G25" i="8" s="1"/>
  <c r="K25" i="8"/>
  <c r="O24" i="8"/>
  <c r="K24" i="8" s="1"/>
  <c r="O23" i="8"/>
  <c r="K23" i="8" s="1"/>
  <c r="O22" i="8"/>
  <c r="K22" i="8" s="1"/>
  <c r="O21" i="8"/>
  <c r="K21" i="8" s="1"/>
  <c r="O20" i="8"/>
  <c r="K20" i="8" s="1"/>
  <c r="O19" i="8"/>
  <c r="K19" i="8" s="1"/>
  <c r="O18" i="8"/>
  <c r="K18" i="8" s="1"/>
  <c r="O17" i="8"/>
  <c r="K17" i="8" s="1"/>
  <c r="O16" i="8"/>
  <c r="K16" i="8" s="1"/>
  <c r="O15" i="8"/>
  <c r="K15" i="8" s="1"/>
  <c r="O14" i="8"/>
  <c r="K14" i="8" s="1"/>
  <c r="O13" i="8"/>
  <c r="K13" i="8" s="1"/>
  <c r="O12" i="8"/>
  <c r="K12" i="8" s="1"/>
  <c r="O11" i="8"/>
  <c r="K11" i="8" s="1"/>
  <c r="O10" i="8"/>
  <c r="K10" i="8" s="1"/>
  <c r="O9" i="8"/>
  <c r="K9" i="8" s="1"/>
  <c r="O8" i="8"/>
  <c r="K8" i="8" s="1"/>
  <c r="O7" i="8"/>
  <c r="K7" i="8"/>
  <c r="O6" i="8"/>
  <c r="K6" i="8" s="1"/>
  <c r="O5" i="8"/>
  <c r="H61" i="1"/>
  <c r="I61" i="1"/>
  <c r="J61" i="1"/>
  <c r="K61" i="1"/>
  <c r="G61" i="1"/>
  <c r="E7" i="10"/>
  <c r="J7" i="10" s="1"/>
  <c r="O7" i="10" s="1"/>
  <c r="D67" i="1"/>
  <c r="E67" i="1"/>
  <c r="D74" i="1"/>
  <c r="D69" i="1" s="1"/>
  <c r="E74" i="1"/>
  <c r="F13" i="2"/>
  <c r="F6" i="2"/>
  <c r="F7" i="2"/>
  <c r="AF5" i="1"/>
  <c r="AD5" i="1"/>
  <c r="AD27" i="1" s="1"/>
  <c r="AD24" i="1" s="1"/>
  <c r="AD23" i="1" s="1"/>
  <c r="AC5" i="1"/>
  <c r="AC27" i="1" s="1"/>
  <c r="AC24" i="1" s="1"/>
  <c r="AC23" i="1" s="1"/>
  <c r="AB5" i="1"/>
  <c r="AB27" i="1" s="1"/>
  <c r="AB24" i="1" s="1"/>
  <c r="AB23" i="1" s="1"/>
  <c r="AA5" i="1"/>
  <c r="Z5" i="1"/>
  <c r="Z27" i="1" s="1"/>
  <c r="Z24" i="1" s="1"/>
  <c r="Z23" i="1" s="1"/>
  <c r="Y5" i="1"/>
  <c r="Y27" i="1" s="1"/>
  <c r="Y24" i="1" s="1"/>
  <c r="Y23" i="1" s="1"/>
  <c r="X5" i="1"/>
  <c r="X27" i="1" s="1"/>
  <c r="X24" i="1" s="1"/>
  <c r="X23" i="1" s="1"/>
  <c r="W5" i="1"/>
  <c r="AG16" i="1"/>
  <c r="AG12" i="1" s="1"/>
  <c r="AN57" i="1" s="1"/>
  <c r="AF16" i="1"/>
  <c r="AF12" i="1" s="1"/>
  <c r="AE16" i="1"/>
  <c r="AE12" i="1" s="1"/>
  <c r="AD16" i="1"/>
  <c r="AD12" i="1" s="1"/>
  <c r="AC16" i="1"/>
  <c r="AC12" i="1" s="1"/>
  <c r="AB16" i="1"/>
  <c r="AB12" i="1" s="1"/>
  <c r="AA16" i="1"/>
  <c r="AA12" i="1" s="1"/>
  <c r="Z16" i="1"/>
  <c r="Z12" i="1" s="1"/>
  <c r="Y16" i="1"/>
  <c r="Y12" i="1" s="1"/>
  <c r="X16" i="1"/>
  <c r="X12" i="1" s="1"/>
  <c r="W16" i="1"/>
  <c r="W12" i="1" s="1"/>
  <c r="E13" i="2"/>
  <c r="E14" i="2"/>
  <c r="AF32" i="11"/>
  <c r="AF39" i="11"/>
  <c r="AF40" i="11"/>
  <c r="AG32" i="11"/>
  <c r="AG39" i="11"/>
  <c r="AG40" i="11" s="1"/>
  <c r="AH32" i="11"/>
  <c r="AH39" i="11"/>
  <c r="AH40" i="11" s="1"/>
  <c r="AI32" i="11"/>
  <c r="AI39" i="11"/>
  <c r="AI40" i="11" s="1"/>
  <c r="AB32" i="11"/>
  <c r="AB39" i="11"/>
  <c r="AB40" i="11" s="1"/>
  <c r="AC32" i="11"/>
  <c r="AC39" i="11"/>
  <c r="AC40" i="11" s="1"/>
  <c r="AD32" i="11"/>
  <c r="AD39" i="11"/>
  <c r="AD40" i="11" s="1"/>
  <c r="AE32" i="11"/>
  <c r="AE39" i="11"/>
  <c r="AE40" i="11" s="1"/>
  <c r="X32" i="11"/>
  <c r="X39" i="11"/>
  <c r="X40" i="11" s="1"/>
  <c r="X44" i="11" s="1"/>
  <c r="Y32" i="11"/>
  <c r="Y39" i="11"/>
  <c r="Y40" i="11" s="1"/>
  <c r="Z32" i="11"/>
  <c r="Z39" i="11"/>
  <c r="Z40" i="11" s="1"/>
  <c r="AA32" i="11"/>
  <c r="AA39" i="11"/>
  <c r="AA40" i="11" s="1"/>
  <c r="AI33" i="11"/>
  <c r="AI41" i="11"/>
  <c r="AH33" i="11"/>
  <c r="AH41" i="11"/>
  <c r="AG33" i="11"/>
  <c r="AG41" i="11"/>
  <c r="AF33" i="11"/>
  <c r="AF43" i="11" s="1"/>
  <c r="AF41" i="11"/>
  <c r="AE33" i="11"/>
  <c r="AE41" i="11"/>
  <c r="AD33" i="11"/>
  <c r="AD41" i="11"/>
  <c r="AC33" i="11"/>
  <c r="AC41" i="11"/>
  <c r="AB33" i="11"/>
  <c r="AB43" i="11" s="1"/>
  <c r="AB41" i="11"/>
  <c r="AA33" i="11"/>
  <c r="AA41" i="11"/>
  <c r="Z33" i="11"/>
  <c r="Z41" i="11"/>
  <c r="Y33" i="11"/>
  <c r="Y41" i="11"/>
  <c r="X33" i="11"/>
  <c r="X41" i="11"/>
  <c r="AF8" i="11"/>
  <c r="AG8" i="11"/>
  <c r="AH8" i="11"/>
  <c r="AI8" i="11"/>
  <c r="AB8" i="11"/>
  <c r="AC8" i="11"/>
  <c r="AD8" i="11"/>
  <c r="AE8" i="11"/>
  <c r="X8" i="11"/>
  <c r="Y8" i="11"/>
  <c r="Z8" i="11"/>
  <c r="AA8" i="11"/>
  <c r="T8" i="11"/>
  <c r="U8" i="11"/>
  <c r="V8" i="11"/>
  <c r="W8" i="11"/>
  <c r="P8" i="11"/>
  <c r="Q8" i="11"/>
  <c r="R8" i="11"/>
  <c r="S8" i="11"/>
  <c r="L8" i="11"/>
  <c r="M8" i="11"/>
  <c r="N8" i="11"/>
  <c r="O8" i="11"/>
  <c r="H8" i="11"/>
  <c r="I8" i="11"/>
  <c r="J8" i="11"/>
  <c r="K8" i="11"/>
  <c r="E8" i="11"/>
  <c r="F8" i="11"/>
  <c r="G8" i="11"/>
  <c r="AI9" i="11"/>
  <c r="AI17" i="11"/>
  <c r="AH9" i="11"/>
  <c r="AH17" i="11"/>
  <c r="AG9" i="11"/>
  <c r="AG17" i="11"/>
  <c r="AF9" i="11"/>
  <c r="AF17" i="11"/>
  <c r="AE9" i="11"/>
  <c r="AE17" i="11"/>
  <c r="AD9" i="11"/>
  <c r="AD17" i="11"/>
  <c r="AC9" i="11"/>
  <c r="AC17" i="11"/>
  <c r="AB9" i="11"/>
  <c r="AB17" i="11"/>
  <c r="AA9" i="11"/>
  <c r="AA17" i="11"/>
  <c r="Z9" i="11"/>
  <c r="Z17" i="11"/>
  <c r="Y9" i="11"/>
  <c r="Y17" i="11"/>
  <c r="X9" i="11"/>
  <c r="X17" i="11"/>
  <c r="W9" i="11"/>
  <c r="W17" i="11"/>
  <c r="W19" i="11" s="1"/>
  <c r="V9" i="11"/>
  <c r="V17" i="11"/>
  <c r="U9" i="11"/>
  <c r="U17" i="11"/>
  <c r="T9" i="11"/>
  <c r="T17" i="11"/>
  <c r="S9" i="11"/>
  <c r="S17" i="11"/>
  <c r="R9" i="11"/>
  <c r="R17" i="11"/>
  <c r="Q9" i="11"/>
  <c r="Q17" i="11"/>
  <c r="P9" i="11"/>
  <c r="P17" i="11"/>
  <c r="O9" i="11"/>
  <c r="O17" i="11"/>
  <c r="N9" i="11"/>
  <c r="N17" i="11"/>
  <c r="M9" i="11"/>
  <c r="M17" i="11"/>
  <c r="L9" i="11"/>
  <c r="L17" i="11"/>
  <c r="K9" i="11"/>
  <c r="K17" i="11"/>
  <c r="J9" i="11"/>
  <c r="J17" i="11"/>
  <c r="I9" i="11"/>
  <c r="I17" i="11"/>
  <c r="H9" i="11"/>
  <c r="H17" i="11"/>
  <c r="G9" i="11"/>
  <c r="G17" i="11"/>
  <c r="F9" i="11"/>
  <c r="F17" i="11"/>
  <c r="E9" i="11"/>
  <c r="E17" i="11"/>
  <c r="D9" i="11"/>
  <c r="D17" i="11"/>
  <c r="F39" i="2"/>
  <c r="E39" i="2"/>
  <c r="E40" i="2"/>
  <c r="F40" i="2"/>
  <c r="E41" i="2"/>
  <c r="F41" i="2"/>
  <c r="E44" i="2"/>
  <c r="F44" i="2"/>
  <c r="E45" i="2"/>
  <c r="F45" i="2"/>
  <c r="E46" i="2"/>
  <c r="F46" i="2"/>
  <c r="D41" i="2"/>
  <c r="D44" i="2"/>
  <c r="D45" i="2"/>
  <c r="D46" i="2"/>
  <c r="D40" i="2"/>
  <c r="E13" i="10"/>
  <c r="J13" i="10" s="1"/>
  <c r="O13" i="10" s="1"/>
  <c r="H9" i="10"/>
  <c r="M9" i="10" s="1"/>
  <c r="C8" i="10"/>
  <c r="E12" i="10"/>
  <c r="AE112" i="8"/>
  <c r="AA112" i="8" s="1"/>
  <c r="AE111" i="8"/>
  <c r="AA111" i="8" s="1"/>
  <c r="AE110" i="8"/>
  <c r="G110" i="8" s="1"/>
  <c r="AE109" i="8"/>
  <c r="AA109" i="8" s="1"/>
  <c r="AE108" i="8"/>
  <c r="AA108" i="8" s="1"/>
  <c r="AE107" i="8"/>
  <c r="G107" i="8" s="1"/>
  <c r="AA107" i="8"/>
  <c r="AE106" i="8"/>
  <c r="AA106" i="8" s="1"/>
  <c r="AE105" i="8"/>
  <c r="AA105" i="8" s="1"/>
  <c r="AE104" i="8"/>
  <c r="AA104" i="8" s="1"/>
  <c r="AE103" i="8"/>
  <c r="AA103" i="8" s="1"/>
  <c r="AE102" i="8"/>
  <c r="AA102" i="8" s="1"/>
  <c r="AE101" i="8"/>
  <c r="AA101" i="8" s="1"/>
  <c r="AE100" i="8"/>
  <c r="AA100" i="8" s="1"/>
  <c r="AE99" i="8"/>
  <c r="AA99" i="8" s="1"/>
  <c r="AE98" i="8"/>
  <c r="AA98" i="8" s="1"/>
  <c r="AE97" i="8"/>
  <c r="AA97" i="8" s="1"/>
  <c r="AE96" i="8"/>
  <c r="AA96" i="8" s="1"/>
  <c r="AE95" i="8"/>
  <c r="AA95" i="8" s="1"/>
  <c r="AE94" i="8"/>
  <c r="AA94" i="8" s="1"/>
  <c r="AE93" i="8"/>
  <c r="AA93" i="8" s="1"/>
  <c r="AE92" i="8"/>
  <c r="AA92" i="8" s="1"/>
  <c r="AE91" i="8"/>
  <c r="AA91" i="8" s="1"/>
  <c r="AE90" i="8"/>
  <c r="G90" i="8" s="1"/>
  <c r="AE89" i="8"/>
  <c r="AA89" i="8" s="1"/>
  <c r="F107" i="8"/>
  <c r="F103" i="8"/>
  <c r="F99" i="8"/>
  <c r="F95" i="8"/>
  <c r="F91" i="8"/>
  <c r="F87" i="8"/>
  <c r="F83" i="8"/>
  <c r="F79" i="8"/>
  <c r="F75" i="8"/>
  <c r="F71" i="8"/>
  <c r="F67" i="8"/>
  <c r="F63" i="8"/>
  <c r="F59" i="8"/>
  <c r="F55" i="8"/>
  <c r="W47" i="1"/>
  <c r="AD47" i="1"/>
  <c r="AE47" i="1"/>
  <c r="AG47" i="1"/>
  <c r="V47" i="1"/>
  <c r="E47" i="1"/>
  <c r="D47" i="1"/>
  <c r="H65" i="1"/>
  <c r="I47" i="1"/>
  <c r="K47" i="1"/>
  <c r="L65" i="1"/>
  <c r="M47" i="1"/>
  <c r="O47" i="1"/>
  <c r="F47" i="1"/>
  <c r="F6" i="8"/>
  <c r="H6" i="8"/>
  <c r="F7" i="8"/>
  <c r="H7" i="8"/>
  <c r="F8" i="8"/>
  <c r="H8" i="8"/>
  <c r="F9" i="8"/>
  <c r="H9" i="8"/>
  <c r="F10" i="8"/>
  <c r="H10" i="8"/>
  <c r="F11" i="8"/>
  <c r="H11" i="8"/>
  <c r="F12" i="8"/>
  <c r="H12" i="8"/>
  <c r="F13" i="8"/>
  <c r="H13" i="8"/>
  <c r="F14" i="8"/>
  <c r="H14" i="8"/>
  <c r="F15" i="8"/>
  <c r="H15" i="8"/>
  <c r="F16" i="8"/>
  <c r="H16" i="8"/>
  <c r="F17" i="8"/>
  <c r="H17" i="8"/>
  <c r="F18" i="8"/>
  <c r="H18" i="8"/>
  <c r="F19" i="8"/>
  <c r="H19" i="8"/>
  <c r="F20" i="8"/>
  <c r="H20" i="8"/>
  <c r="F21" i="8"/>
  <c r="H21" i="8"/>
  <c r="F22" i="8"/>
  <c r="H22" i="8"/>
  <c r="F23" i="8"/>
  <c r="H23" i="8"/>
  <c r="F24" i="8"/>
  <c r="H24" i="8"/>
  <c r="F25" i="8"/>
  <c r="H25" i="8"/>
  <c r="F26" i="8"/>
  <c r="H26" i="8"/>
  <c r="F27" i="8"/>
  <c r="G27" i="8"/>
  <c r="H27" i="8"/>
  <c r="F28" i="8"/>
  <c r="H28" i="8"/>
  <c r="F29" i="8"/>
  <c r="H29" i="8"/>
  <c r="F30" i="8"/>
  <c r="H30" i="8"/>
  <c r="F31" i="8"/>
  <c r="H31" i="8"/>
  <c r="F32" i="8"/>
  <c r="H32" i="8"/>
  <c r="F33" i="8"/>
  <c r="H33" i="8"/>
  <c r="F34" i="8"/>
  <c r="H34" i="8"/>
  <c r="F35" i="8"/>
  <c r="H35" i="8"/>
  <c r="F36" i="8"/>
  <c r="H36" i="8"/>
  <c r="F37" i="8"/>
  <c r="G37" i="8"/>
  <c r="H37" i="8"/>
  <c r="F38" i="8"/>
  <c r="H38" i="8"/>
  <c r="F39" i="8"/>
  <c r="H39" i="8"/>
  <c r="F40" i="8"/>
  <c r="G40" i="8"/>
  <c r="H40" i="8"/>
  <c r="F41" i="8"/>
  <c r="H41" i="8"/>
  <c r="F42" i="8"/>
  <c r="G42" i="8"/>
  <c r="H42" i="8"/>
  <c r="F43" i="8"/>
  <c r="H43" i="8"/>
  <c r="F44" i="8"/>
  <c r="H44" i="8"/>
  <c r="F45" i="8"/>
  <c r="G45" i="8"/>
  <c r="H45" i="8"/>
  <c r="F46" i="8"/>
  <c r="H46" i="8"/>
  <c r="F47" i="8"/>
  <c r="H47" i="8"/>
  <c r="F48" i="8"/>
  <c r="H48" i="8"/>
  <c r="F49" i="8"/>
  <c r="H49" i="8"/>
  <c r="F50" i="8"/>
  <c r="H50" i="8"/>
  <c r="F51" i="8"/>
  <c r="H51" i="8"/>
  <c r="F52" i="8"/>
  <c r="H52" i="8"/>
  <c r="F53" i="8"/>
  <c r="G53" i="8"/>
  <c r="H53" i="8"/>
  <c r="F54" i="8"/>
  <c r="H54" i="8"/>
  <c r="H55" i="8"/>
  <c r="F56" i="8"/>
  <c r="H56" i="8"/>
  <c r="F57" i="8"/>
  <c r="H57" i="8"/>
  <c r="F58" i="8"/>
  <c r="H58" i="8"/>
  <c r="G59" i="8"/>
  <c r="H59" i="8"/>
  <c r="F60" i="8"/>
  <c r="G60" i="8"/>
  <c r="H60" i="8"/>
  <c r="F61" i="8"/>
  <c r="H61" i="8"/>
  <c r="F62" i="8"/>
  <c r="H62" i="8"/>
  <c r="H63" i="8"/>
  <c r="F64" i="8"/>
  <c r="H64" i="8"/>
  <c r="F65" i="8"/>
  <c r="G65" i="8"/>
  <c r="H65" i="8"/>
  <c r="F66" i="8"/>
  <c r="H66" i="8"/>
  <c r="H67" i="8"/>
  <c r="F68" i="8"/>
  <c r="H68" i="8"/>
  <c r="F69" i="8"/>
  <c r="H69" i="8"/>
  <c r="F70" i="8"/>
  <c r="H70" i="8"/>
  <c r="H71" i="8"/>
  <c r="F72" i="8"/>
  <c r="G72" i="8"/>
  <c r="H72" i="8"/>
  <c r="F73" i="8"/>
  <c r="H73" i="8"/>
  <c r="F74" i="8"/>
  <c r="G74" i="8"/>
  <c r="H74" i="8"/>
  <c r="G75" i="8"/>
  <c r="H75" i="8"/>
  <c r="F76" i="8"/>
  <c r="H76" i="8"/>
  <c r="F77" i="8"/>
  <c r="H77" i="8"/>
  <c r="F78" i="8"/>
  <c r="H78" i="8"/>
  <c r="H79" i="8"/>
  <c r="F80" i="8"/>
  <c r="H80" i="8"/>
  <c r="F81" i="8"/>
  <c r="H81" i="8"/>
  <c r="F82" i="8"/>
  <c r="H82" i="8"/>
  <c r="H83" i="8"/>
  <c r="F84" i="8"/>
  <c r="H84" i="8"/>
  <c r="F85" i="8"/>
  <c r="H85" i="8"/>
  <c r="F86" i="8"/>
  <c r="H86" i="8"/>
  <c r="H87" i="8"/>
  <c r="F88" i="8"/>
  <c r="G88" i="8"/>
  <c r="H88" i="8"/>
  <c r="F89" i="8"/>
  <c r="H89" i="8"/>
  <c r="F90" i="8"/>
  <c r="H90" i="8"/>
  <c r="H91" i="8"/>
  <c r="F92" i="8"/>
  <c r="H92" i="8"/>
  <c r="F93" i="8"/>
  <c r="H93" i="8"/>
  <c r="F94" i="8"/>
  <c r="H94" i="8"/>
  <c r="H95" i="8"/>
  <c r="F96" i="8"/>
  <c r="G96" i="8"/>
  <c r="H96" i="8"/>
  <c r="F97" i="8"/>
  <c r="H97" i="8"/>
  <c r="F98" i="8"/>
  <c r="G98" i="8"/>
  <c r="H98" i="8"/>
  <c r="H99" i="8"/>
  <c r="F100" i="8"/>
  <c r="H100" i="8"/>
  <c r="F101" i="8"/>
  <c r="H101" i="8"/>
  <c r="F102" i="8"/>
  <c r="H102" i="8"/>
  <c r="H103" i="8"/>
  <c r="F104" i="8"/>
  <c r="G104" i="8"/>
  <c r="H104" i="8"/>
  <c r="F105" i="8"/>
  <c r="H105" i="8"/>
  <c r="F106" i="8"/>
  <c r="H106" i="8"/>
  <c r="H107" i="8"/>
  <c r="F108" i="8"/>
  <c r="H108" i="8"/>
  <c r="F109" i="8"/>
  <c r="G109" i="8"/>
  <c r="H109" i="8"/>
  <c r="F110" i="8"/>
  <c r="H110" i="8"/>
  <c r="F111" i="8"/>
  <c r="H111" i="8"/>
  <c r="F112" i="8"/>
  <c r="H112" i="8"/>
  <c r="F113" i="8"/>
  <c r="G113" i="8"/>
  <c r="H113" i="8"/>
  <c r="F114" i="8"/>
  <c r="H114" i="8"/>
  <c r="F115" i="8"/>
  <c r="G115" i="8"/>
  <c r="H115" i="8"/>
  <c r="F116" i="8"/>
  <c r="H116" i="8"/>
  <c r="F117" i="8"/>
  <c r="G117" i="8"/>
  <c r="H117" i="8"/>
  <c r="F118" i="8"/>
  <c r="H118" i="8"/>
  <c r="F119" i="8"/>
  <c r="H119" i="8"/>
  <c r="F120" i="8"/>
  <c r="H120" i="8"/>
  <c r="F121" i="8"/>
  <c r="H121" i="8"/>
  <c r="F122" i="8"/>
  <c r="H122" i="8"/>
  <c r="F123" i="8"/>
  <c r="H123" i="8"/>
  <c r="F124" i="8"/>
  <c r="H124" i="8"/>
  <c r="F125" i="8"/>
  <c r="H125" i="8"/>
  <c r="F126" i="8"/>
  <c r="H126" i="8"/>
  <c r="F127" i="8"/>
  <c r="H127" i="8"/>
  <c r="F128" i="8"/>
  <c r="H128" i="8"/>
  <c r="F129" i="8"/>
  <c r="H129" i="8"/>
  <c r="F5" i="8"/>
  <c r="H5" i="8"/>
  <c r="C15" i="6"/>
  <c r="O35" i="7"/>
  <c r="N35" i="7"/>
  <c r="M35" i="7"/>
  <c r="L35" i="7"/>
  <c r="K35" i="7"/>
  <c r="J35" i="7"/>
  <c r="O34" i="7"/>
  <c r="N34" i="7"/>
  <c r="M34" i="7"/>
  <c r="L34" i="7"/>
  <c r="K34" i="7"/>
  <c r="J34" i="7"/>
  <c r="O33" i="7"/>
  <c r="N33" i="7"/>
  <c r="M33" i="7"/>
  <c r="L33" i="7"/>
  <c r="K33" i="7"/>
  <c r="J33" i="7"/>
  <c r="O32" i="7"/>
  <c r="N32" i="7"/>
  <c r="M32" i="7"/>
  <c r="L32" i="7"/>
  <c r="K32" i="7"/>
  <c r="J32" i="7"/>
  <c r="O31" i="7"/>
  <c r="N31" i="7"/>
  <c r="M31" i="7"/>
  <c r="L31" i="7"/>
  <c r="K31" i="7"/>
  <c r="J31" i="7"/>
  <c r="F29" i="7"/>
  <c r="F35" i="7" s="1"/>
  <c r="E29" i="7"/>
  <c r="E35" i="7" s="1"/>
  <c r="D29" i="7"/>
  <c r="D35" i="7" s="1"/>
  <c r="C29" i="7"/>
  <c r="C34" i="7" s="1"/>
  <c r="F28" i="7"/>
  <c r="E28" i="7"/>
  <c r="D28" i="7"/>
  <c r="C28" i="7"/>
  <c r="F24" i="7"/>
  <c r="F32" i="7" s="1"/>
  <c r="E24" i="7"/>
  <c r="E32" i="7" s="1"/>
  <c r="D24" i="7"/>
  <c r="D32" i="7" s="1"/>
  <c r="C24" i="7"/>
  <c r="C32" i="7" s="1"/>
  <c r="F23" i="7"/>
  <c r="F31" i="7" s="1"/>
  <c r="E23" i="7"/>
  <c r="E31" i="7" s="1"/>
  <c r="D23" i="7"/>
  <c r="D31" i="7" s="1"/>
  <c r="C23" i="7"/>
  <c r="C31" i="7" s="1"/>
  <c r="D77" i="1"/>
  <c r="E65" i="1"/>
  <c r="D65" i="1"/>
  <c r="D60" i="1" s="1"/>
  <c r="D57" i="1"/>
  <c r="AH49" i="1"/>
  <c r="AI49" i="1" s="1"/>
  <c r="P49" i="1"/>
  <c r="AH46" i="1"/>
  <c r="E23" i="2" s="1"/>
  <c r="P46" i="1"/>
  <c r="AH42" i="1"/>
  <c r="AH37" i="1"/>
  <c r="AI22" i="1"/>
  <c r="P22" i="1"/>
  <c r="E16" i="2"/>
  <c r="F10" i="2"/>
  <c r="AI11" i="1"/>
  <c r="P11" i="1"/>
  <c r="AI10" i="1"/>
  <c r="P10" i="1"/>
  <c r="P9" i="1"/>
  <c r="D8" i="2" s="1"/>
  <c r="P8" i="1"/>
  <c r="D7" i="2" s="1"/>
  <c r="F5" i="2"/>
  <c r="E5" i="2"/>
  <c r="F16" i="2"/>
  <c r="G36" i="3"/>
  <c r="E36" i="3"/>
  <c r="D36" i="3"/>
  <c r="G29" i="3"/>
  <c r="E29" i="3"/>
  <c r="D29" i="3"/>
  <c r="H28" i="3"/>
  <c r="G27" i="3"/>
  <c r="E27" i="3"/>
  <c r="D27" i="3"/>
  <c r="G23" i="3"/>
  <c r="E23" i="3"/>
  <c r="D23" i="3"/>
  <c r="G22" i="3"/>
  <c r="D22" i="3"/>
  <c r="G21" i="3"/>
  <c r="D21" i="3"/>
  <c r="G20" i="3"/>
  <c r="D20" i="3"/>
  <c r="G16" i="3"/>
  <c r="E16" i="3"/>
  <c r="D16" i="3"/>
  <c r="G14" i="3"/>
  <c r="E14" i="3"/>
  <c r="D14" i="3"/>
  <c r="G9" i="3"/>
  <c r="E9" i="3"/>
  <c r="D9" i="3"/>
  <c r="I50" i="5"/>
  <c r="M35" i="5"/>
  <c r="L35" i="5"/>
  <c r="K35" i="5"/>
  <c r="J35" i="5"/>
  <c r="I35" i="5"/>
  <c r="H35" i="5"/>
  <c r="G35" i="5"/>
  <c r="F35" i="5"/>
  <c r="E35" i="5"/>
  <c r="D35" i="5"/>
  <c r="M33" i="5"/>
  <c r="L33" i="5"/>
  <c r="K33" i="5"/>
  <c r="J33" i="5"/>
  <c r="I33" i="5"/>
  <c r="H33" i="5"/>
  <c r="G33" i="5"/>
  <c r="F33" i="5"/>
  <c r="E33" i="5"/>
  <c r="D33" i="5"/>
  <c r="M32" i="5"/>
  <c r="L32" i="5"/>
  <c r="K32" i="5"/>
  <c r="J32" i="5"/>
  <c r="I32" i="5"/>
  <c r="H32" i="5"/>
  <c r="G32" i="5"/>
  <c r="F32" i="5"/>
  <c r="E32" i="5"/>
  <c r="D32" i="5"/>
  <c r="M31" i="5"/>
  <c r="L31" i="5"/>
  <c r="K31" i="5"/>
  <c r="J31" i="5"/>
  <c r="I31" i="5"/>
  <c r="H31" i="5"/>
  <c r="G31" i="5"/>
  <c r="F31" i="5"/>
  <c r="E31" i="5"/>
  <c r="D31" i="5"/>
  <c r="N28" i="5"/>
  <c r="M27" i="5"/>
  <c r="L27" i="5"/>
  <c r="K27" i="5"/>
  <c r="J27" i="5"/>
  <c r="I27" i="5"/>
  <c r="H27" i="5"/>
  <c r="G27" i="5"/>
  <c r="F27" i="5"/>
  <c r="E27" i="5"/>
  <c r="D27" i="5"/>
  <c r="M25" i="5"/>
  <c r="L25" i="5"/>
  <c r="K25" i="5"/>
  <c r="J25" i="5"/>
  <c r="I25" i="5"/>
  <c r="H25" i="5"/>
  <c r="G25" i="5"/>
  <c r="F25" i="5"/>
  <c r="E25" i="5"/>
  <c r="D25" i="5"/>
  <c r="M23" i="5"/>
  <c r="L23" i="5"/>
  <c r="K23" i="5"/>
  <c r="J23" i="5"/>
  <c r="I23" i="5"/>
  <c r="H23" i="5"/>
  <c r="G23" i="5"/>
  <c r="F23" i="5"/>
  <c r="E23" i="5"/>
  <c r="D23" i="5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M16" i="5"/>
  <c r="L16" i="5"/>
  <c r="K16" i="5"/>
  <c r="J16" i="5"/>
  <c r="I16" i="5"/>
  <c r="H16" i="5"/>
  <c r="G16" i="5"/>
  <c r="F16" i="5"/>
  <c r="E16" i="5"/>
  <c r="D16" i="5"/>
  <c r="M14" i="5"/>
  <c r="L14" i="5"/>
  <c r="K14" i="5"/>
  <c r="J14" i="5"/>
  <c r="I14" i="5"/>
  <c r="H14" i="5"/>
  <c r="G14" i="5"/>
  <c r="F14" i="5"/>
  <c r="E14" i="5"/>
  <c r="D14" i="5"/>
  <c r="M9" i="5"/>
  <c r="L9" i="5"/>
  <c r="K9" i="5"/>
  <c r="J9" i="5"/>
  <c r="I9" i="5"/>
  <c r="H9" i="5"/>
  <c r="G9" i="5"/>
  <c r="F9" i="5"/>
  <c r="E9" i="5"/>
  <c r="D9" i="5"/>
  <c r="I50" i="4"/>
  <c r="M35" i="4"/>
  <c r="L35" i="4"/>
  <c r="K35" i="4"/>
  <c r="J35" i="4"/>
  <c r="I35" i="4"/>
  <c r="H35" i="4"/>
  <c r="G35" i="4"/>
  <c r="F35" i="4"/>
  <c r="E35" i="4"/>
  <c r="D35" i="4"/>
  <c r="M33" i="4"/>
  <c r="L33" i="4"/>
  <c r="K33" i="4"/>
  <c r="J33" i="4"/>
  <c r="I33" i="4"/>
  <c r="H33" i="4"/>
  <c r="G33" i="4"/>
  <c r="F33" i="4"/>
  <c r="E33" i="4"/>
  <c r="D33" i="4"/>
  <c r="M32" i="4"/>
  <c r="L32" i="4"/>
  <c r="K32" i="4"/>
  <c r="J32" i="4"/>
  <c r="I32" i="4"/>
  <c r="H32" i="4"/>
  <c r="G32" i="4"/>
  <c r="F32" i="4"/>
  <c r="E32" i="4"/>
  <c r="D32" i="4"/>
  <c r="M31" i="4"/>
  <c r="L31" i="4"/>
  <c r="K31" i="4"/>
  <c r="J31" i="4"/>
  <c r="I31" i="4"/>
  <c r="H31" i="4"/>
  <c r="G31" i="4"/>
  <c r="F31" i="4"/>
  <c r="E31" i="4"/>
  <c r="D31" i="4"/>
  <c r="N28" i="4"/>
  <c r="M27" i="4"/>
  <c r="L27" i="4"/>
  <c r="K27" i="4"/>
  <c r="J27" i="4"/>
  <c r="I27" i="4"/>
  <c r="H27" i="4"/>
  <c r="G27" i="4"/>
  <c r="F27" i="4"/>
  <c r="E27" i="4"/>
  <c r="D27" i="4"/>
  <c r="M25" i="4"/>
  <c r="L25" i="4"/>
  <c r="K25" i="4"/>
  <c r="J25" i="4"/>
  <c r="I25" i="4"/>
  <c r="H25" i="4"/>
  <c r="G25" i="4"/>
  <c r="F25" i="4"/>
  <c r="E25" i="4"/>
  <c r="D25" i="4"/>
  <c r="M23" i="4"/>
  <c r="L23" i="4"/>
  <c r="K23" i="4"/>
  <c r="J23" i="4"/>
  <c r="I23" i="4"/>
  <c r="H23" i="4"/>
  <c r="G23" i="4"/>
  <c r="F23" i="4"/>
  <c r="E23" i="4"/>
  <c r="D23" i="4"/>
  <c r="M22" i="4"/>
  <c r="L22" i="4"/>
  <c r="K22" i="4"/>
  <c r="J22" i="4"/>
  <c r="I22" i="4"/>
  <c r="H22" i="4"/>
  <c r="G22" i="4"/>
  <c r="F22" i="4"/>
  <c r="E22" i="4"/>
  <c r="D22" i="4"/>
  <c r="M21" i="4"/>
  <c r="L21" i="4"/>
  <c r="K21" i="4"/>
  <c r="J21" i="4"/>
  <c r="I21" i="4"/>
  <c r="H21" i="4"/>
  <c r="G21" i="4"/>
  <c r="F21" i="4"/>
  <c r="E21" i="4"/>
  <c r="D21" i="4"/>
  <c r="M20" i="4"/>
  <c r="L20" i="4"/>
  <c r="K20" i="4"/>
  <c r="J20" i="4"/>
  <c r="I20" i="4"/>
  <c r="H20" i="4"/>
  <c r="G20" i="4"/>
  <c r="F20" i="4"/>
  <c r="E20" i="4"/>
  <c r="M16" i="4"/>
  <c r="L16" i="4"/>
  <c r="K16" i="4"/>
  <c r="J16" i="4"/>
  <c r="I16" i="4"/>
  <c r="H16" i="4"/>
  <c r="G16" i="4"/>
  <c r="F16" i="4"/>
  <c r="E16" i="4"/>
  <c r="D16" i="4"/>
  <c r="M14" i="4"/>
  <c r="L14" i="4"/>
  <c r="K14" i="4"/>
  <c r="J14" i="4"/>
  <c r="I14" i="4"/>
  <c r="H14" i="4"/>
  <c r="G14" i="4"/>
  <c r="F14" i="4"/>
  <c r="E14" i="4"/>
  <c r="D14" i="4"/>
  <c r="M9" i="4"/>
  <c r="L9" i="4"/>
  <c r="K9" i="4"/>
  <c r="J9" i="4"/>
  <c r="I9" i="4"/>
  <c r="H9" i="4"/>
  <c r="G9" i="4"/>
  <c r="F9" i="4"/>
  <c r="E9" i="4"/>
  <c r="D9" i="4"/>
  <c r="F26" i="2"/>
  <c r="E69" i="1"/>
  <c r="F12" i="2"/>
  <c r="E12" i="2"/>
  <c r="D34" i="7"/>
  <c r="AX23" i="1" l="1"/>
  <c r="AX35" i="1" s="1"/>
  <c r="AX45" i="1" s="1"/>
  <c r="AX50" i="1" s="1"/>
  <c r="AX24" i="1"/>
  <c r="AY63" i="1"/>
  <c r="AY60" i="1" s="1"/>
  <c r="AY68" i="1" s="1"/>
  <c r="AY24" i="1"/>
  <c r="AY23" i="1"/>
  <c r="AY35" i="1" s="1"/>
  <c r="AY45" i="1" s="1"/>
  <c r="AY50" i="1" s="1"/>
  <c r="G5" i="8"/>
  <c r="X43" i="11"/>
  <c r="Z19" i="11"/>
  <c r="Y15" i="11"/>
  <c r="Y16" i="11" s="1"/>
  <c r="H15" i="11"/>
  <c r="H16" i="11" s="1"/>
  <c r="H20" i="11" s="1"/>
  <c r="AA15" i="11"/>
  <c r="AA16" i="11" s="1"/>
  <c r="AA20" i="11" s="1"/>
  <c r="AI15" i="11"/>
  <c r="AI16" i="11" s="1"/>
  <c r="AI20" i="11" s="1"/>
  <c r="Z15" i="11"/>
  <c r="Z16" i="11" s="1"/>
  <c r="Z20" i="11" s="1"/>
  <c r="K15" i="11"/>
  <c r="K16" i="11" s="1"/>
  <c r="K20" i="11" s="1"/>
  <c r="AG15" i="11"/>
  <c r="AG16" i="11" s="1"/>
  <c r="AG20" i="11" s="1"/>
  <c r="AI129" i="8"/>
  <c r="G129" i="8"/>
  <c r="AI127" i="8"/>
  <c r="G127" i="8"/>
  <c r="AI126" i="8"/>
  <c r="G126" i="8"/>
  <c r="AI125" i="8"/>
  <c r="G125" i="8"/>
  <c r="AI123" i="8"/>
  <c r="G123" i="8"/>
  <c r="AI121" i="8"/>
  <c r="G121" i="8"/>
  <c r="AI120" i="8"/>
  <c r="G120" i="8"/>
  <c r="AI119" i="8"/>
  <c r="G119" i="8"/>
  <c r="AI118" i="8"/>
  <c r="G118" i="8"/>
  <c r="S15" i="8"/>
  <c r="G15" i="8"/>
  <c r="S6" i="8"/>
  <c r="G6" i="8"/>
  <c r="K32" i="8"/>
  <c r="G32" i="8"/>
  <c r="K29" i="8"/>
  <c r="G29" i="8"/>
  <c r="AC56" i="1"/>
  <c r="AA27" i="1"/>
  <c r="AA24" i="1" s="1"/>
  <c r="AA23" i="1" s="1"/>
  <c r="AN56" i="1"/>
  <c r="AN55" i="1" s="1"/>
  <c r="AF27" i="1"/>
  <c r="AF24" i="1" s="1"/>
  <c r="AF23" i="1" s="1"/>
  <c r="Y56" i="1"/>
  <c r="W27" i="1"/>
  <c r="W24" i="1" s="1"/>
  <c r="W23" i="1" s="1"/>
  <c r="G48" i="8"/>
  <c r="M19" i="11"/>
  <c r="G24" i="8"/>
  <c r="G36" i="8"/>
  <c r="G76" i="8"/>
  <c r="G71" i="8"/>
  <c r="G56" i="8"/>
  <c r="G17" i="8"/>
  <c r="G86" i="8"/>
  <c r="G62" i="8"/>
  <c r="Y20" i="11"/>
  <c r="G61" i="8"/>
  <c r="G31" i="8"/>
  <c r="C27" i="7"/>
  <c r="C33" i="7" s="1"/>
  <c r="G30" i="8"/>
  <c r="AA19" i="11"/>
  <c r="AE19" i="11"/>
  <c r="AI19" i="11"/>
  <c r="G20" i="8"/>
  <c r="X19" i="11"/>
  <c r="AB19" i="11"/>
  <c r="K28" i="8"/>
  <c r="G9" i="8"/>
  <c r="G55" i="8"/>
  <c r="V63" i="1"/>
  <c r="E3" i="10" s="1"/>
  <c r="O24" i="1"/>
  <c r="O23" i="1" s="1"/>
  <c r="I56" i="1"/>
  <c r="I55" i="1" s="1"/>
  <c r="G27" i="1"/>
  <c r="G24" i="1" s="1"/>
  <c r="M56" i="1"/>
  <c r="M55" i="1" s="1"/>
  <c r="K27" i="1"/>
  <c r="O56" i="1"/>
  <c r="O55" i="1" s="1"/>
  <c r="M27" i="1"/>
  <c r="N56" i="1"/>
  <c r="N55" i="1" s="1"/>
  <c r="L27" i="1"/>
  <c r="J56" i="1"/>
  <c r="J55" i="1" s="1"/>
  <c r="H27" i="1"/>
  <c r="H24" i="1" s="1"/>
  <c r="L56" i="1"/>
  <c r="L55" i="1" s="1"/>
  <c r="J27" i="1"/>
  <c r="H56" i="1"/>
  <c r="H55" i="1" s="1"/>
  <c r="F27" i="1"/>
  <c r="V15" i="11"/>
  <c r="V16" i="11" s="1"/>
  <c r="V20" i="11" s="1"/>
  <c r="Y19" i="11"/>
  <c r="E15" i="11"/>
  <c r="E16" i="11" s="1"/>
  <c r="E20" i="11" s="1"/>
  <c r="AE15" i="11"/>
  <c r="AE16" i="11" s="1"/>
  <c r="AE20" i="11" s="1"/>
  <c r="G33" i="8"/>
  <c r="G105" i="8"/>
  <c r="G26" i="8"/>
  <c r="O15" i="11"/>
  <c r="O16" i="11" s="1"/>
  <c r="O20" i="11" s="1"/>
  <c r="N15" i="11"/>
  <c r="N16" i="11" s="1"/>
  <c r="N20" i="11" s="1"/>
  <c r="AB15" i="11"/>
  <c r="AB16" i="11" s="1"/>
  <c r="AB20" i="11" s="1"/>
  <c r="Q11" i="1"/>
  <c r="D10" i="2"/>
  <c r="G13" i="8"/>
  <c r="G94" i="8"/>
  <c r="G91" i="8"/>
  <c r="G66" i="8"/>
  <c r="G57" i="8"/>
  <c r="G54" i="8"/>
  <c r="G46" i="8"/>
  <c r="G38" i="8"/>
  <c r="G16" i="8"/>
  <c r="F27" i="7"/>
  <c r="F33" i="7" s="1"/>
  <c r="I15" i="11"/>
  <c r="I16" i="11" s="1"/>
  <c r="I20" i="11" s="1"/>
  <c r="F15" i="11"/>
  <c r="F16" i="11" s="1"/>
  <c r="F20" i="11" s="1"/>
  <c r="AF15" i="11"/>
  <c r="AF16" i="11" s="1"/>
  <c r="AF20" i="11" s="1"/>
  <c r="U15" i="11"/>
  <c r="U16" i="11" s="1"/>
  <c r="U20" i="11" s="1"/>
  <c r="G14" i="8"/>
  <c r="G124" i="8"/>
  <c r="G116" i="8"/>
  <c r="G100" i="8"/>
  <c r="G87" i="8"/>
  <c r="G84" i="8"/>
  <c r="G81" i="8"/>
  <c r="G78" i="8"/>
  <c r="G69" i="8"/>
  <c r="G63" i="8"/>
  <c r="G51" i="8"/>
  <c r="G43" i="8"/>
  <c r="G35" i="8"/>
  <c r="Z43" i="11"/>
  <c r="AH43" i="11"/>
  <c r="AC44" i="11"/>
  <c r="K39" i="8"/>
  <c r="S55" i="8"/>
  <c r="S61" i="8"/>
  <c r="AA56" i="8"/>
  <c r="AI128" i="8"/>
  <c r="AD15" i="11"/>
  <c r="AD16" i="11" s="1"/>
  <c r="AD20" i="11" s="1"/>
  <c r="P15" i="11"/>
  <c r="P16" i="11" s="1"/>
  <c r="P20" i="11" s="1"/>
  <c r="G8" i="8"/>
  <c r="G18" i="8"/>
  <c r="G99" i="8"/>
  <c r="G83" i="8"/>
  <c r="G80" i="8"/>
  <c r="G68" i="8"/>
  <c r="G50" i="8"/>
  <c r="G19" i="8"/>
  <c r="F19" i="11"/>
  <c r="R19" i="11"/>
  <c r="AH19" i="11"/>
  <c r="AA44" i="11"/>
  <c r="AE44" i="11"/>
  <c r="K36" i="8"/>
  <c r="X15" i="11"/>
  <c r="X16" i="11" s="1"/>
  <c r="X20" i="11" s="1"/>
  <c r="AA21" i="11" s="1"/>
  <c r="G7" i="8"/>
  <c r="T15" i="11"/>
  <c r="T16" i="11" s="1"/>
  <c r="T20" i="11" s="1"/>
  <c r="AC15" i="11"/>
  <c r="AC16" i="11" s="1"/>
  <c r="AC20" i="11" s="1"/>
  <c r="AH15" i="11"/>
  <c r="AH16" i="11" s="1"/>
  <c r="AH20" i="11" s="1"/>
  <c r="G21" i="8"/>
  <c r="J15" i="11"/>
  <c r="J16" i="11" s="1"/>
  <c r="J20" i="11" s="1"/>
  <c r="D26" i="2"/>
  <c r="E14" i="10"/>
  <c r="AG19" i="11"/>
  <c r="AA43" i="11"/>
  <c r="Q15" i="11"/>
  <c r="Q16" i="11" s="1"/>
  <c r="Q20" i="11" s="1"/>
  <c r="G58" i="8"/>
  <c r="G47" i="8"/>
  <c r="G67" i="8"/>
  <c r="D27" i="7"/>
  <c r="D33" i="7" s="1"/>
  <c r="G15" i="11"/>
  <c r="G16" i="11" s="1"/>
  <c r="G20" i="11" s="1"/>
  <c r="L15" i="11"/>
  <c r="L16" i="11" s="1"/>
  <c r="L20" i="11" s="1"/>
  <c r="W15" i="11"/>
  <c r="W16" i="11" s="1"/>
  <c r="W20" i="11" s="1"/>
  <c r="S15" i="11"/>
  <c r="S16" i="11" s="1"/>
  <c r="S20" i="11" s="1"/>
  <c r="Q10" i="1"/>
  <c r="D9" i="2"/>
  <c r="G11" i="8"/>
  <c r="G22" i="8"/>
  <c r="G34" i="8"/>
  <c r="G101" i="8"/>
  <c r="G95" i="8"/>
  <c r="G85" i="8"/>
  <c r="G82" i="8"/>
  <c r="G70" i="8"/>
  <c r="G64" i="8"/>
  <c r="G52" i="8"/>
  <c r="G44" i="8"/>
  <c r="G77" i="8"/>
  <c r="G19" i="11"/>
  <c r="K19" i="11"/>
  <c r="O19" i="11"/>
  <c r="S19" i="11"/>
  <c r="Y43" i="11"/>
  <c r="AC43" i="11"/>
  <c r="G23" i="8"/>
  <c r="G92" i="8"/>
  <c r="G10" i="8"/>
  <c r="E34" i="7"/>
  <c r="M15" i="11"/>
  <c r="M16" i="11" s="1"/>
  <c r="M20" i="11" s="1"/>
  <c r="D15" i="11"/>
  <c r="D16" i="11" s="1"/>
  <c r="D20" i="11" s="1"/>
  <c r="G21" i="11" s="1"/>
  <c r="R15" i="11"/>
  <c r="R16" i="11" s="1"/>
  <c r="R20" i="11" s="1"/>
  <c r="G12" i="8"/>
  <c r="G122" i="8"/>
  <c r="G114" i="8"/>
  <c r="G111" i="8"/>
  <c r="G79" i="8"/>
  <c r="G49" i="8"/>
  <c r="G41" i="8"/>
  <c r="D19" i="11"/>
  <c r="L19" i="11"/>
  <c r="P19" i="11"/>
  <c r="K65" i="8"/>
  <c r="AH44" i="11"/>
  <c r="AZ3" i="1"/>
  <c r="F63" i="1"/>
  <c r="E24" i="1"/>
  <c r="J12" i="10"/>
  <c r="O12" i="10" s="1"/>
  <c r="H8" i="10"/>
  <c r="M8" i="10" s="1"/>
  <c r="D55" i="1"/>
  <c r="D68" i="1" s="1"/>
  <c r="AF3" i="1"/>
  <c r="W3" i="1"/>
  <c r="AA3" i="1"/>
  <c r="AH16" i="1"/>
  <c r="E15" i="2" s="1"/>
  <c r="Z56" i="1"/>
  <c r="X3" i="1"/>
  <c r="Y3" i="1"/>
  <c r="AA56" i="1"/>
  <c r="AE56" i="1"/>
  <c r="AC3" i="1"/>
  <c r="AE5" i="1"/>
  <c r="AE27" i="1" s="1"/>
  <c r="AE24" i="1" s="1"/>
  <c r="AE23" i="1" s="1"/>
  <c r="AG5" i="1"/>
  <c r="AH8" i="1"/>
  <c r="E7" i="2" s="1"/>
  <c r="Z3" i="1"/>
  <c r="AB56" i="1"/>
  <c r="AD56" i="1"/>
  <c r="AB3" i="1"/>
  <c r="AF56" i="1"/>
  <c r="AD3" i="1"/>
  <c r="O3" i="1"/>
  <c r="W56" i="1"/>
  <c r="AH9" i="1"/>
  <c r="E8" i="2" s="1"/>
  <c r="E23" i="1"/>
  <c r="P39" i="1"/>
  <c r="D21" i="2" s="1"/>
  <c r="D27" i="1"/>
  <c r="N5" i="1"/>
  <c r="P7" i="1"/>
  <c r="D6" i="2" s="1"/>
  <c r="F8" i="2"/>
  <c r="F15" i="2"/>
  <c r="F23" i="2"/>
  <c r="E10" i="2"/>
  <c r="E9" i="2"/>
  <c r="AI46" i="1"/>
  <c r="I65" i="1"/>
  <c r="AB47" i="1"/>
  <c r="E26" i="2"/>
  <c r="AD62" i="1"/>
  <c r="Q17" i="1"/>
  <c r="D30" i="3"/>
  <c r="L30" i="5"/>
  <c r="E6" i="10"/>
  <c r="J6" i="10" s="1"/>
  <c r="Q49" i="1"/>
  <c r="K65" i="1"/>
  <c r="F65" i="1"/>
  <c r="D30" i="5"/>
  <c r="E30" i="4"/>
  <c r="G30" i="4"/>
  <c r="P48" i="1"/>
  <c r="D25" i="2" s="1"/>
  <c r="O65" i="1"/>
  <c r="M65" i="1"/>
  <c r="AB62" i="1"/>
  <c r="AC47" i="1"/>
  <c r="Y47" i="1"/>
  <c r="AH48" i="1"/>
  <c r="E25" i="2" s="1"/>
  <c r="D30" i="4"/>
  <c r="F77" i="1"/>
  <c r="G30" i="5"/>
  <c r="H30" i="5"/>
  <c r="K30" i="4"/>
  <c r="J47" i="1"/>
  <c r="J65" i="1"/>
  <c r="AF47" i="1"/>
  <c r="W62" i="1"/>
  <c r="X62" i="1"/>
  <c r="Y62" i="1"/>
  <c r="AA62" i="1"/>
  <c r="F25" i="2"/>
  <c r="E30" i="3"/>
  <c r="G47" i="1"/>
  <c r="G65" i="1"/>
  <c r="E6" i="2"/>
  <c r="AC62" i="1"/>
  <c r="AF62" i="1"/>
  <c r="AG62" i="1"/>
  <c r="M24" i="5"/>
  <c r="M24" i="4"/>
  <c r="F30" i="5"/>
  <c r="F30" i="4"/>
  <c r="H30" i="4"/>
  <c r="I30" i="4"/>
  <c r="I30" i="5"/>
  <c r="J30" i="4"/>
  <c r="J30" i="5"/>
  <c r="K30" i="5"/>
  <c r="L30" i="4"/>
  <c r="M30" i="4"/>
  <c r="E30" i="5"/>
  <c r="M30" i="5"/>
  <c r="G103" i="8"/>
  <c r="G97" i="8"/>
  <c r="I19" i="11"/>
  <c r="T19" i="11"/>
  <c r="AI43" i="11"/>
  <c r="AB44" i="11"/>
  <c r="AG44" i="11"/>
  <c r="C35" i="7"/>
  <c r="G108" i="8"/>
  <c r="G102" i="8"/>
  <c r="X47" i="1"/>
  <c r="J19" i="11"/>
  <c r="Q19" i="11"/>
  <c r="D3" i="1"/>
  <c r="N19" i="11"/>
  <c r="U19" i="11"/>
  <c r="AF19" i="11"/>
  <c r="AG43" i="11"/>
  <c r="Z44" i="11"/>
  <c r="AD44" i="11"/>
  <c r="AI44" i="11"/>
  <c r="AF44" i="11"/>
  <c r="D83" i="1"/>
  <c r="G89" i="8"/>
  <c r="AE62" i="1"/>
  <c r="H19" i="11"/>
  <c r="V19" i="11"/>
  <c r="AC19" i="11"/>
  <c r="AD43" i="11"/>
  <c r="Y44" i="11"/>
  <c r="G112" i="8"/>
  <c r="G106" i="8"/>
  <c r="E19" i="11"/>
  <c r="AD19" i="11"/>
  <c r="AE43" i="11"/>
  <c r="F14" i="2"/>
  <c r="E36" i="1"/>
  <c r="D36" i="1"/>
  <c r="Q46" i="1"/>
  <c r="D23" i="2"/>
  <c r="AA47" i="1"/>
  <c r="H47" i="1"/>
  <c r="Z47" i="1"/>
  <c r="N47" i="1"/>
  <c r="N65" i="1"/>
  <c r="Z62" i="1"/>
  <c r="L47" i="1"/>
  <c r="I5" i="1"/>
  <c r="P6" i="1"/>
  <c r="D5" i="2" s="1"/>
  <c r="D24" i="4"/>
  <c r="D24" i="5"/>
  <c r="F9" i="2"/>
  <c r="E3" i="1"/>
  <c r="F3" i="1"/>
  <c r="E56" i="1"/>
  <c r="E55" i="1" s="1"/>
  <c r="F34" i="7"/>
  <c r="AA90" i="8"/>
  <c r="AA110" i="8"/>
  <c r="E27" i="7"/>
  <c r="E33" i="7" s="1"/>
  <c r="G93" i="8"/>
  <c r="AI17" i="1"/>
  <c r="X57" i="1"/>
  <c r="Z57" i="1"/>
  <c r="AB57" i="1"/>
  <c r="AD57" i="1"/>
  <c r="AF57" i="1"/>
  <c r="Y57" i="1"/>
  <c r="AA57" i="1"/>
  <c r="AC57" i="1"/>
  <c r="AE57" i="1"/>
  <c r="AG57" i="1"/>
  <c r="AE45" i="11" l="1"/>
  <c r="AE46" i="11" s="1"/>
  <c r="S21" i="11"/>
  <c r="K21" i="11"/>
  <c r="AA45" i="11"/>
  <c r="J24" i="1"/>
  <c r="K63" i="1"/>
  <c r="BA41" i="1"/>
  <c r="BA33" i="1"/>
  <c r="AO56" i="1"/>
  <c r="AG27" i="1"/>
  <c r="I63" i="1"/>
  <c r="H63" i="1"/>
  <c r="AE21" i="11"/>
  <c r="AE22" i="11" s="1"/>
  <c r="O21" i="11"/>
  <c r="AI21" i="11"/>
  <c r="AI22" i="11" s="1"/>
  <c r="V60" i="1"/>
  <c r="K56" i="1"/>
  <c r="K55" i="1" s="1"/>
  <c r="I27" i="1"/>
  <c r="I24" i="1" s="1"/>
  <c r="V56" i="1"/>
  <c r="V55" i="1" s="1"/>
  <c r="N27" i="1"/>
  <c r="N63" i="1"/>
  <c r="M24" i="1"/>
  <c r="M23" i="1" s="1"/>
  <c r="L63" i="1"/>
  <c r="K24" i="1"/>
  <c r="K23" i="1" s="1"/>
  <c r="M63" i="1"/>
  <c r="L24" i="1"/>
  <c r="L23" i="1" s="1"/>
  <c r="BA5" i="1"/>
  <c r="BA14" i="1"/>
  <c r="BA36" i="1"/>
  <c r="BA40" i="1"/>
  <c r="BA31" i="1"/>
  <c r="BA6" i="1"/>
  <c r="BA28" i="1"/>
  <c r="BA48" i="1"/>
  <c r="BA13" i="1"/>
  <c r="BA21" i="1"/>
  <c r="BA37" i="1"/>
  <c r="BA38" i="1"/>
  <c r="BA26" i="1"/>
  <c r="BA39" i="1"/>
  <c r="BA43" i="1"/>
  <c r="BA16" i="1"/>
  <c r="F3" i="2"/>
  <c r="BA44" i="1"/>
  <c r="BA7" i="1"/>
  <c r="BA25" i="1"/>
  <c r="BA12" i="1"/>
  <c r="BA47" i="1"/>
  <c r="W21" i="11"/>
  <c r="AA22" i="11" s="1"/>
  <c r="BA29" i="1"/>
  <c r="BA30" i="1"/>
  <c r="G63" i="1"/>
  <c r="F24" i="1"/>
  <c r="E63" i="1"/>
  <c r="E60" i="1" s="1"/>
  <c r="E68" i="1" s="1"/>
  <c r="D24" i="1"/>
  <c r="O6" i="10"/>
  <c r="Q6" i="10"/>
  <c r="F23" i="1"/>
  <c r="F35" i="1" s="1"/>
  <c r="AG3" i="1"/>
  <c r="E35" i="1"/>
  <c r="E45" i="1" s="1"/>
  <c r="V3" i="1"/>
  <c r="X56" i="1"/>
  <c r="X55" i="1" s="1"/>
  <c r="AG56" i="1"/>
  <c r="AG55" i="1" s="1"/>
  <c r="AE3" i="1"/>
  <c r="AF55" i="1"/>
  <c r="AD55" i="1"/>
  <c r="AC55" i="1"/>
  <c r="AB55" i="1"/>
  <c r="W57" i="1"/>
  <c r="AH12" i="1"/>
  <c r="AA36" i="1"/>
  <c r="AA61" i="1"/>
  <c r="Y55" i="1"/>
  <c r="AA55" i="1"/>
  <c r="AC36" i="1"/>
  <c r="Y36" i="1"/>
  <c r="AF36" i="1"/>
  <c r="Z55" i="1"/>
  <c r="AE55" i="1"/>
  <c r="D23" i="1"/>
  <c r="D35" i="1" s="1"/>
  <c r="D45" i="1" s="1"/>
  <c r="G23" i="1"/>
  <c r="O35" i="1"/>
  <c r="AF63" i="1"/>
  <c r="Y61" i="1"/>
  <c r="AC63" i="1"/>
  <c r="D85" i="1"/>
  <c r="E54" i="1" s="1"/>
  <c r="X63" i="1"/>
  <c r="Z63" i="1"/>
  <c r="H77" i="1"/>
  <c r="E11" i="10"/>
  <c r="AD36" i="1"/>
  <c r="F15" i="5"/>
  <c r="I15" i="4"/>
  <c r="O77" i="1"/>
  <c r="W36" i="1"/>
  <c r="L77" i="1"/>
  <c r="AH40" i="1"/>
  <c r="AH47" i="1"/>
  <c r="E24" i="2" s="1"/>
  <c r="I77" i="1"/>
  <c r="AB36" i="1"/>
  <c r="D15" i="3"/>
  <c r="G77" i="1"/>
  <c r="N77" i="1"/>
  <c r="AH41" i="1"/>
  <c r="M77" i="1"/>
  <c r="E77" i="1"/>
  <c r="E83" i="1" s="1"/>
  <c r="F15" i="4"/>
  <c r="L24" i="5"/>
  <c r="AE63" i="1"/>
  <c r="L24" i="4"/>
  <c r="AD63" i="1"/>
  <c r="AH5" i="1"/>
  <c r="E4" i="2" s="1"/>
  <c r="K77" i="1"/>
  <c r="J23" i="1"/>
  <c r="G34" i="5"/>
  <c r="G28" i="5" s="1"/>
  <c r="AH38" i="1"/>
  <c r="AG63" i="1"/>
  <c r="G35" i="3"/>
  <c r="P5" i="1"/>
  <c r="D4" i="2" s="1"/>
  <c r="D35" i="3"/>
  <c r="D28" i="3" s="1"/>
  <c r="D34" i="5"/>
  <c r="D28" i="5" s="1"/>
  <c r="J77" i="1"/>
  <c r="X36" i="1"/>
  <c r="M34" i="5"/>
  <c r="M28" i="5" s="1"/>
  <c r="I15" i="5"/>
  <c r="I34" i="4"/>
  <c r="I28" i="4" s="1"/>
  <c r="H34" i="4"/>
  <c r="H28" i="4" s="1"/>
  <c r="G15" i="3"/>
  <c r="AI45" i="11"/>
  <c r="P47" i="1"/>
  <c r="D24" i="2" s="1"/>
  <c r="K22" i="11"/>
  <c r="D15" i="4"/>
  <c r="E15" i="5"/>
  <c r="E15" i="4"/>
  <c r="E15" i="3"/>
  <c r="M34" i="4"/>
  <c r="M28" i="4" s="1"/>
  <c r="K24" i="5"/>
  <c r="K24" i="4"/>
  <c r="J24" i="5"/>
  <c r="J24" i="4"/>
  <c r="L15" i="4"/>
  <c r="L15" i="5"/>
  <c r="L6" i="5"/>
  <c r="J15" i="5"/>
  <c r="J15" i="4"/>
  <c r="D34" i="4"/>
  <c r="D28" i="4" s="1"/>
  <c r="K34" i="4"/>
  <c r="K28" i="4" s="1"/>
  <c r="H15" i="5"/>
  <c r="H15" i="4"/>
  <c r="L34" i="5"/>
  <c r="L28" i="5" s="1"/>
  <c r="H34" i="5"/>
  <c r="H28" i="5" s="1"/>
  <c r="M15" i="4"/>
  <c r="M15" i="5"/>
  <c r="Z36" i="1"/>
  <c r="J34" i="5"/>
  <c r="J28" i="5" s="1"/>
  <c r="F34" i="5"/>
  <c r="F28" i="5" s="1"/>
  <c r="I24" i="5"/>
  <c r="I24" i="4"/>
  <c r="G34" i="4"/>
  <c r="G28" i="4" s="1"/>
  <c r="G34" i="3"/>
  <c r="D7" i="3"/>
  <c r="E24" i="5"/>
  <c r="E24" i="4"/>
  <c r="F34" i="4"/>
  <c r="F28" i="4" s="1"/>
  <c r="G15" i="5"/>
  <c r="G15" i="4"/>
  <c r="J11" i="10"/>
  <c r="L34" i="4"/>
  <c r="L28" i="4" s="1"/>
  <c r="J34" i="4"/>
  <c r="J28" i="4" s="1"/>
  <c r="M6" i="5"/>
  <c r="D15" i="5"/>
  <c r="K34" i="5"/>
  <c r="K28" i="5" s="1"/>
  <c r="I34" i="5"/>
  <c r="I28" i="5" s="1"/>
  <c r="K15" i="5"/>
  <c r="K15" i="4"/>
  <c r="M6" i="4"/>
  <c r="M7" i="5"/>
  <c r="M7" i="4"/>
  <c r="L6" i="4"/>
  <c r="L12" i="5"/>
  <c r="H23" i="1"/>
  <c r="F55" i="1"/>
  <c r="D5" i="3" s="1"/>
  <c r="E34" i="3"/>
  <c r="E34" i="4"/>
  <c r="E28" i="4" s="1"/>
  <c r="E34" i="5"/>
  <c r="E28" i="5" s="1"/>
  <c r="H3" i="1"/>
  <c r="M3" i="1"/>
  <c r="M35" i="1" s="1"/>
  <c r="L3" i="1"/>
  <c r="J3" i="1"/>
  <c r="E35" i="3"/>
  <c r="AH43" i="1"/>
  <c r="N3" i="1"/>
  <c r="H24" i="4"/>
  <c r="H24" i="5"/>
  <c r="G24" i="4"/>
  <c r="G24" i="5"/>
  <c r="F24" i="5"/>
  <c r="F24" i="4"/>
  <c r="AE36" i="1"/>
  <c r="P12" i="1"/>
  <c r="D11" i="2" s="1"/>
  <c r="G3" i="1"/>
  <c r="I3" i="1"/>
  <c r="K3" i="1"/>
  <c r="AI46" i="11"/>
  <c r="AO55" i="1" l="1"/>
  <c r="H4" i="10"/>
  <c r="O22" i="11"/>
  <c r="S22" i="11"/>
  <c r="AN63" i="1"/>
  <c r="AG24" i="1"/>
  <c r="V68" i="1"/>
  <c r="J63" i="1"/>
  <c r="D6" i="5"/>
  <c r="D6" i="4"/>
  <c r="D6" i="3"/>
  <c r="W22" i="11"/>
  <c r="O63" i="1"/>
  <c r="N24" i="1"/>
  <c r="N23" i="1" s="1"/>
  <c r="N35" i="1" s="1"/>
  <c r="F43" i="2"/>
  <c r="X61" i="1"/>
  <c r="X60" i="1" s="1"/>
  <c r="X68" i="1" s="1"/>
  <c r="AE61" i="1"/>
  <c r="AE60" i="1" s="1"/>
  <c r="AE68" i="1" s="1"/>
  <c r="AG61" i="1"/>
  <c r="AH26" i="1"/>
  <c r="AH27" i="1"/>
  <c r="AB61" i="1"/>
  <c r="AF61" i="1"/>
  <c r="AF60" i="1" s="1"/>
  <c r="AF68" i="1" s="1"/>
  <c r="AH25" i="1"/>
  <c r="Z61" i="1"/>
  <c r="Z60" i="1" s="1"/>
  <c r="Z68" i="1" s="1"/>
  <c r="W55" i="1"/>
  <c r="AC61" i="1"/>
  <c r="AC60" i="1" s="1"/>
  <c r="AC68" i="1" s="1"/>
  <c r="AH39" i="1"/>
  <c r="AD61" i="1"/>
  <c r="AD60" i="1" s="1"/>
  <c r="AD68" i="1" s="1"/>
  <c r="X35" i="1"/>
  <c r="X45" i="1" s="1"/>
  <c r="X50" i="1" s="1"/>
  <c r="Y63" i="1"/>
  <c r="Y60" i="1" s="1"/>
  <c r="Y68" i="1" s="1"/>
  <c r="Z35" i="1"/>
  <c r="Z45" i="1" s="1"/>
  <c r="Z50" i="1" s="1"/>
  <c r="AA63" i="1"/>
  <c r="AA60" i="1" s="1"/>
  <c r="AA68" i="1" s="1"/>
  <c r="AA35" i="1"/>
  <c r="AA45" i="1" s="1"/>
  <c r="AA50" i="1" s="1"/>
  <c r="AB63" i="1"/>
  <c r="W61" i="1"/>
  <c r="P27" i="1"/>
  <c r="D20" i="2" s="1"/>
  <c r="K35" i="1"/>
  <c r="L35" i="1"/>
  <c r="AE35" i="1"/>
  <c r="AE45" i="1" s="1"/>
  <c r="AE50" i="1" s="1"/>
  <c r="L7" i="5"/>
  <c r="J35" i="1"/>
  <c r="Y35" i="1"/>
  <c r="Y45" i="1" s="1"/>
  <c r="Y50" i="1" s="1"/>
  <c r="AB35" i="1"/>
  <c r="AB45" i="1" s="1"/>
  <c r="AB50" i="1" s="1"/>
  <c r="F6" i="4"/>
  <c r="H12" i="5"/>
  <c r="G6" i="4"/>
  <c r="E12" i="3"/>
  <c r="F7" i="5"/>
  <c r="E6" i="3"/>
  <c r="E12" i="4"/>
  <c r="E85" i="1"/>
  <c r="F54" i="1" s="1"/>
  <c r="L7" i="4"/>
  <c r="W35" i="1"/>
  <c r="W45" i="1" s="1"/>
  <c r="W50" i="1" s="1"/>
  <c r="G6" i="3"/>
  <c r="E7" i="5"/>
  <c r="E6" i="4"/>
  <c r="E6" i="5"/>
  <c r="AD35" i="1"/>
  <c r="AD45" i="1" s="1"/>
  <c r="AD50" i="1" s="1"/>
  <c r="G7" i="4"/>
  <c r="G12" i="3"/>
  <c r="G7" i="5"/>
  <c r="E7" i="4"/>
  <c r="K6" i="4"/>
  <c r="H6" i="5"/>
  <c r="K12" i="5"/>
  <c r="G6" i="5"/>
  <c r="E7" i="3"/>
  <c r="AF35" i="1"/>
  <c r="AF45" i="1" s="1"/>
  <c r="AF50" i="1" s="1"/>
  <c r="AC35" i="1"/>
  <c r="AC45" i="1" s="1"/>
  <c r="AC50" i="1" s="1"/>
  <c r="H6" i="4"/>
  <c r="L12" i="4"/>
  <c r="K7" i="5"/>
  <c r="D7" i="4"/>
  <c r="I7" i="4"/>
  <c r="D7" i="5"/>
  <c r="J12" i="5"/>
  <c r="K7" i="4"/>
  <c r="J7" i="5"/>
  <c r="F7" i="4"/>
  <c r="G7" i="3"/>
  <c r="I12" i="5"/>
  <c r="H7" i="4"/>
  <c r="H7" i="5"/>
  <c r="J6" i="4"/>
  <c r="I6" i="4"/>
  <c r="I6" i="5"/>
  <c r="H12" i="4"/>
  <c r="J6" i="5"/>
  <c r="I12" i="4"/>
  <c r="L11" i="5"/>
  <c r="K12" i="4"/>
  <c r="K6" i="5"/>
  <c r="I23" i="1"/>
  <c r="I35" i="1" s="1"/>
  <c r="E12" i="5"/>
  <c r="J7" i="4"/>
  <c r="F6" i="5"/>
  <c r="I7" i="5"/>
  <c r="L11" i="4"/>
  <c r="J12" i="4"/>
  <c r="M11" i="4"/>
  <c r="M11" i="5"/>
  <c r="G12" i="4"/>
  <c r="G12" i="5"/>
  <c r="M12" i="5"/>
  <c r="M12" i="4"/>
  <c r="H35" i="1"/>
  <c r="D12" i="4"/>
  <c r="D12" i="3"/>
  <c r="D12" i="5"/>
  <c r="F8" i="5"/>
  <c r="F8" i="4"/>
  <c r="G8" i="3"/>
  <c r="G35" i="1"/>
  <c r="P3" i="1"/>
  <c r="AH3" i="1"/>
  <c r="E11" i="2"/>
  <c r="D8" i="3"/>
  <c r="D8" i="4"/>
  <c r="D8" i="5"/>
  <c r="E28" i="3"/>
  <c r="H8" i="5"/>
  <c r="H8" i="4"/>
  <c r="M6" i="10"/>
  <c r="G8" i="4"/>
  <c r="G8" i="5"/>
  <c r="L8" i="5"/>
  <c r="L8" i="4"/>
  <c r="J8" i="5"/>
  <c r="J8" i="4"/>
  <c r="I8" i="4"/>
  <c r="I8" i="5"/>
  <c r="K8" i="5"/>
  <c r="K8" i="4"/>
  <c r="M8" i="5"/>
  <c r="M8" i="4"/>
  <c r="E8" i="3"/>
  <c r="E8" i="5"/>
  <c r="E8" i="4"/>
  <c r="D13" i="4" l="1"/>
  <c r="AH24" i="1"/>
  <c r="AG23" i="1"/>
  <c r="AG35" i="1" s="1"/>
  <c r="AN60" i="1"/>
  <c r="AN68" i="1" s="1"/>
  <c r="J3" i="10"/>
  <c r="D13" i="3"/>
  <c r="D13" i="5"/>
  <c r="P24" i="1"/>
  <c r="BA3" i="1"/>
  <c r="AI33" i="1"/>
  <c r="C4" i="10"/>
  <c r="Q33" i="1"/>
  <c r="E21" i="2"/>
  <c r="AI31" i="1"/>
  <c r="AI24" i="1"/>
  <c r="AI30" i="1"/>
  <c r="AI28" i="1"/>
  <c r="AI29" i="1"/>
  <c r="AB60" i="1"/>
  <c r="AB68" i="1" s="1"/>
  <c r="W60" i="1"/>
  <c r="W68" i="1" s="1"/>
  <c r="V35" i="1"/>
  <c r="AH23" i="1"/>
  <c r="E18" i="2" s="1"/>
  <c r="AI43" i="1"/>
  <c r="AI21" i="1"/>
  <c r="P35" i="1"/>
  <c r="D19" i="2" s="1"/>
  <c r="Q28" i="1"/>
  <c r="Q31" i="1"/>
  <c r="Q30" i="1"/>
  <c r="Q27" i="1"/>
  <c r="Q26" i="1"/>
  <c r="Q29" i="1"/>
  <c r="F12" i="5"/>
  <c r="E13" i="3"/>
  <c r="F11" i="5"/>
  <c r="O11" i="10"/>
  <c r="G11" i="3"/>
  <c r="E11" i="5"/>
  <c r="J11" i="4"/>
  <c r="Q12" i="1"/>
  <c r="Q22" i="1"/>
  <c r="G11" i="5"/>
  <c r="G11" i="4"/>
  <c r="E11" i="3"/>
  <c r="E13" i="5"/>
  <c r="F12" i="4"/>
  <c r="E11" i="4"/>
  <c r="E13" i="4"/>
  <c r="P23" i="1"/>
  <c r="D18" i="2" s="1"/>
  <c r="J11" i="5"/>
  <c r="I11" i="5"/>
  <c r="I11" i="4"/>
  <c r="H11" i="4"/>
  <c r="H11" i="5"/>
  <c r="K11" i="5"/>
  <c r="F11" i="4"/>
  <c r="K11" i="4"/>
  <c r="O3" i="10"/>
  <c r="D11" i="5"/>
  <c r="D11" i="3"/>
  <c r="D11" i="4"/>
  <c r="E5" i="4"/>
  <c r="E5" i="5"/>
  <c r="E5" i="3"/>
  <c r="G5" i="5"/>
  <c r="G5" i="4"/>
  <c r="AI42" i="1"/>
  <c r="E3" i="2"/>
  <c r="AI39" i="1"/>
  <c r="AI37" i="1"/>
  <c r="AI26" i="1"/>
  <c r="AI14" i="1"/>
  <c r="AI5" i="1"/>
  <c r="AI9" i="1"/>
  <c r="AI15" i="1"/>
  <c r="AI41" i="1"/>
  <c r="AI40" i="1"/>
  <c r="AI13" i="1"/>
  <c r="AI3" i="1"/>
  <c r="AI48" i="1"/>
  <c r="AI7" i="1"/>
  <c r="AI16" i="1"/>
  <c r="AI6" i="1"/>
  <c r="AI38" i="1"/>
  <c r="AI8" i="1"/>
  <c r="AI47" i="1"/>
  <c r="AI27" i="1"/>
  <c r="AI25" i="1"/>
  <c r="G5" i="3"/>
  <c r="F5" i="4"/>
  <c r="F5" i="5"/>
  <c r="K5" i="5"/>
  <c r="K5" i="4"/>
  <c r="J5" i="4"/>
  <c r="J5" i="5"/>
  <c r="AI12" i="1"/>
  <c r="I5" i="4"/>
  <c r="I5" i="5"/>
  <c r="M5" i="4"/>
  <c r="M5" i="5"/>
  <c r="Q42" i="1"/>
  <c r="D3" i="2"/>
  <c r="D43" i="2" s="1"/>
  <c r="Q40" i="1"/>
  <c r="Q41" i="1"/>
  <c r="Q14" i="1"/>
  <c r="Q37" i="1"/>
  <c r="Q43" i="1"/>
  <c r="Q9" i="1"/>
  <c r="M4" i="10"/>
  <c r="Q15" i="1"/>
  <c r="Q7" i="1"/>
  <c r="Q47" i="1"/>
  <c r="Q39" i="1"/>
  <c r="Q8" i="1"/>
  <c r="Q48" i="1"/>
  <c r="Q6" i="1"/>
  <c r="Q16" i="1"/>
  <c r="Q5" i="1"/>
  <c r="Q13" i="1"/>
  <c r="Q3" i="1"/>
  <c r="Q38" i="1"/>
  <c r="Q25" i="1"/>
  <c r="D5" i="4"/>
  <c r="D5" i="5"/>
  <c r="L5" i="4"/>
  <c r="L5" i="5"/>
  <c r="H5" i="4"/>
  <c r="H5" i="5"/>
  <c r="AH35" i="1" l="1"/>
  <c r="V45" i="1"/>
  <c r="E43" i="2"/>
  <c r="D42" i="2"/>
  <c r="V50" i="1"/>
  <c r="AI23" i="1"/>
  <c r="M7" i="10"/>
  <c r="Q23" i="1"/>
  <c r="Q35" i="1"/>
  <c r="E19" i="2"/>
  <c r="AI35" i="1"/>
  <c r="AG36" i="1" l="1"/>
  <c r="AG74" i="1"/>
  <c r="AG60" i="1"/>
  <c r="AG68" i="1" s="1"/>
  <c r="F17" i="4"/>
  <c r="M11" i="10"/>
  <c r="E17" i="4"/>
  <c r="AH44" i="1"/>
  <c r="C10" i="10" s="1"/>
  <c r="M10" i="10" l="1"/>
  <c r="H10" i="10"/>
  <c r="H11" i="10" s="1"/>
  <c r="C11" i="10"/>
  <c r="AI44" i="1"/>
  <c r="E20" i="2"/>
  <c r="E42" i="2" s="1"/>
  <c r="AG69" i="1"/>
  <c r="E19" i="4" s="1"/>
  <c r="E36" i="4" s="1"/>
  <c r="E24" i="3"/>
  <c r="E26" i="3"/>
  <c r="AH36" i="1"/>
  <c r="AI36" i="1" s="1"/>
  <c r="AG45" i="1"/>
  <c r="AG50" i="1" s="1"/>
  <c r="AH50" i="1" s="1"/>
  <c r="E17" i="5"/>
  <c r="E26" i="5"/>
  <c r="F17" i="5"/>
  <c r="E26" i="4"/>
  <c r="E10" i="4"/>
  <c r="F19" i="4"/>
  <c r="F36" i="4" s="1"/>
  <c r="G13" i="4"/>
  <c r="G26" i="4"/>
  <c r="G26" i="5"/>
  <c r="G17" i="4"/>
  <c r="G17" i="5"/>
  <c r="AH51" i="1" l="1"/>
  <c r="J14" i="10" s="1"/>
  <c r="AG83" i="1"/>
  <c r="E19" i="3"/>
  <c r="AH45" i="1"/>
  <c r="E22" i="2" s="1"/>
  <c r="E10" i="5"/>
  <c r="H17" i="4"/>
  <c r="E18" i="5"/>
  <c r="G13" i="5"/>
  <c r="F19" i="5"/>
  <c r="F36" i="5" s="1"/>
  <c r="F26" i="5"/>
  <c r="E37" i="3"/>
  <c r="E10" i="3"/>
  <c r="G19" i="3"/>
  <c r="G37" i="3" s="1"/>
  <c r="F26" i="4"/>
  <c r="E19" i="5"/>
  <c r="E36" i="5" s="1"/>
  <c r="AI50" i="1"/>
  <c r="E27" i="2"/>
  <c r="G19" i="5"/>
  <c r="G36" i="5" s="1"/>
  <c r="G19" i="4"/>
  <c r="G36" i="4" s="1"/>
  <c r="H26" i="5"/>
  <c r="H26" i="4"/>
  <c r="E18" i="3"/>
  <c r="H13" i="5"/>
  <c r="H13" i="4"/>
  <c r="AG84" i="1" l="1"/>
  <c r="E38" i="3"/>
  <c r="E43" i="3" s="1"/>
  <c r="AI45" i="1"/>
  <c r="I26" i="5"/>
  <c r="I17" i="5"/>
  <c r="G10" i="5"/>
  <c r="G10" i="4"/>
  <c r="E18" i="4"/>
  <c r="E37" i="4" s="1"/>
  <c r="E42" i="4" s="1"/>
  <c r="H17" i="5"/>
  <c r="E37" i="5"/>
  <c r="E42" i="5" s="1"/>
  <c r="G18" i="5"/>
  <c r="G37" i="5" s="1"/>
  <c r="G18" i="4"/>
  <c r="G37" i="4" s="1"/>
  <c r="H10" i="5"/>
  <c r="H10" i="4"/>
  <c r="I13" i="4"/>
  <c r="I13" i="5"/>
  <c r="H19" i="5"/>
  <c r="H36" i="5" s="1"/>
  <c r="H19" i="4"/>
  <c r="H36" i="4" s="1"/>
  <c r="E28" i="2"/>
  <c r="E29" i="2" s="1"/>
  <c r="I26" i="4" l="1"/>
  <c r="J13" i="5"/>
  <c r="I17" i="4"/>
  <c r="I19" i="4"/>
  <c r="I36" i="4" s="1"/>
  <c r="J17" i="5"/>
  <c r="J17" i="4"/>
  <c r="G42" i="4"/>
  <c r="H18" i="4"/>
  <c r="H37" i="4" s="1"/>
  <c r="H18" i="5"/>
  <c r="H37" i="5" s="1"/>
  <c r="G42" i="5"/>
  <c r="E38" i="5"/>
  <c r="E39" i="5" s="1"/>
  <c r="E43" i="5" s="1"/>
  <c r="E39" i="3"/>
  <c r="E40" i="3" s="1"/>
  <c r="E44" i="3" s="1"/>
  <c r="E38" i="4"/>
  <c r="E39" i="4" s="1"/>
  <c r="E43" i="4" s="1"/>
  <c r="J26" i="4"/>
  <c r="J26" i="5"/>
  <c r="I10" i="4"/>
  <c r="I10" i="5"/>
  <c r="I19" i="5" l="1"/>
  <c r="I36" i="5" s="1"/>
  <c r="J13" i="4"/>
  <c r="I18" i="4"/>
  <c r="I37" i="4" s="1"/>
  <c r="I18" i="5"/>
  <c r="K17" i="4"/>
  <c r="K17" i="5"/>
  <c r="J10" i="4"/>
  <c r="K13" i="5"/>
  <c r="K13" i="4"/>
  <c r="H42" i="5"/>
  <c r="J19" i="4"/>
  <c r="J36" i="4" s="1"/>
  <c r="J19" i="5"/>
  <c r="J36" i="5" s="1"/>
  <c r="H42" i="4"/>
  <c r="G38" i="5"/>
  <c r="G39" i="5" s="1"/>
  <c r="G43" i="5" s="1"/>
  <c r="G38" i="4"/>
  <c r="G39" i="4" s="1"/>
  <c r="G43" i="4" s="1"/>
  <c r="K26" i="4"/>
  <c r="K26" i="5"/>
  <c r="I37" i="5" l="1"/>
  <c r="I42" i="5" s="1"/>
  <c r="J10" i="5"/>
  <c r="K10" i="5"/>
  <c r="K10" i="4"/>
  <c r="K19" i="5"/>
  <c r="K36" i="5" s="1"/>
  <c r="K19" i="4"/>
  <c r="K36" i="4" s="1"/>
  <c r="L26" i="4"/>
  <c r="L26" i="5"/>
  <c r="M17" i="4"/>
  <c r="M17" i="5"/>
  <c r="L13" i="5"/>
  <c r="L13" i="4"/>
  <c r="I42" i="4"/>
  <c r="J18" i="5"/>
  <c r="J37" i="5" s="1"/>
  <c r="J18" i="4"/>
  <c r="J37" i="4" s="1"/>
  <c r="M26" i="4"/>
  <c r="M26" i="5"/>
  <c r="L17" i="5"/>
  <c r="L17" i="4"/>
  <c r="H38" i="5"/>
  <c r="H39" i="5" s="1"/>
  <c r="H43" i="5" s="1"/>
  <c r="H38" i="4"/>
  <c r="H39" i="4" s="1"/>
  <c r="H43" i="4" s="1"/>
  <c r="L10" i="4" l="1"/>
  <c r="L10" i="5"/>
  <c r="K18" i="5"/>
  <c r="K37" i="5" s="1"/>
  <c r="K18" i="4"/>
  <c r="K37" i="4" s="1"/>
  <c r="J42" i="4"/>
  <c r="J42" i="5"/>
  <c r="M13" i="5"/>
  <c r="M13" i="4"/>
  <c r="M19" i="4"/>
  <c r="M36" i="4" s="1"/>
  <c r="M19" i="5"/>
  <c r="M36" i="5" s="1"/>
  <c r="I38" i="4"/>
  <c r="I39" i="4" s="1"/>
  <c r="I43" i="4" s="1"/>
  <c r="I38" i="5"/>
  <c r="I39" i="5" s="1"/>
  <c r="I43" i="5" s="1"/>
  <c r="L19" i="4"/>
  <c r="L36" i="4" s="1"/>
  <c r="L19" i="5"/>
  <c r="L36" i="5" s="1"/>
  <c r="K42" i="5" l="1"/>
  <c r="L18" i="5"/>
  <c r="L37" i="5" s="1"/>
  <c r="L18" i="4"/>
  <c r="L37" i="4" s="1"/>
  <c r="J38" i="4"/>
  <c r="J39" i="4" s="1"/>
  <c r="J43" i="4" s="1"/>
  <c r="J38" i="5"/>
  <c r="J39" i="5" s="1"/>
  <c r="J43" i="5" s="1"/>
  <c r="M10" i="5"/>
  <c r="M10" i="4"/>
  <c r="K42" i="4"/>
  <c r="L42" i="4" l="1"/>
  <c r="L42" i="5"/>
  <c r="M38" i="5"/>
  <c r="M38" i="4"/>
  <c r="K38" i="5"/>
  <c r="K39" i="5" s="1"/>
  <c r="K43" i="5" s="1"/>
  <c r="K38" i="4"/>
  <c r="K39" i="4" s="1"/>
  <c r="K43" i="4" s="1"/>
  <c r="M18" i="4"/>
  <c r="M37" i="4" s="1"/>
  <c r="M18" i="5"/>
  <c r="M37" i="5" s="1"/>
  <c r="L38" i="5" l="1"/>
  <c r="L39" i="5" s="1"/>
  <c r="L43" i="5" s="1"/>
  <c r="L38" i="4"/>
  <c r="L39" i="4" s="1"/>
  <c r="L43" i="4" s="1"/>
  <c r="M39" i="4"/>
  <c r="M43" i="4" s="1"/>
  <c r="M42" i="4"/>
  <c r="M39" i="5"/>
  <c r="M43" i="5" s="1"/>
  <c r="M42" i="5"/>
  <c r="D19" i="5"/>
  <c r="D36" i="5" s="1"/>
  <c r="D19" i="4"/>
  <c r="D36" i="4" s="1"/>
  <c r="Q44" i="1"/>
  <c r="H74" i="1"/>
  <c r="H69" i="1" s="1"/>
  <c r="H83" i="1" s="1"/>
  <c r="M67" i="1"/>
  <c r="I67" i="1"/>
  <c r="G36" i="1"/>
  <c r="G45" i="1" s="1"/>
  <c r="G50" i="1" s="1"/>
  <c r="J67" i="1"/>
  <c r="O67" i="1"/>
  <c r="O36" i="1"/>
  <c r="O45" i="1" s="1"/>
  <c r="O50" i="1" s="1"/>
  <c r="L67" i="1"/>
  <c r="F67" i="1"/>
  <c r="K74" i="1" l="1"/>
  <c r="K69" i="1" s="1"/>
  <c r="K83" i="1" s="1"/>
  <c r="K67" i="1"/>
  <c r="N67" i="1"/>
  <c r="N60" i="1" s="1"/>
  <c r="N68" i="1" s="1"/>
  <c r="H67" i="1"/>
  <c r="H60" i="1" s="1"/>
  <c r="H68" i="1" s="1"/>
  <c r="G74" i="1"/>
  <c r="G69" i="1" s="1"/>
  <c r="G83" i="1" s="1"/>
  <c r="G67" i="1"/>
  <c r="G60" i="1" s="1"/>
  <c r="G68" i="1" s="1"/>
  <c r="O74" i="1"/>
  <c r="O69" i="1" s="1"/>
  <c r="O83" i="1" s="1"/>
  <c r="K36" i="1"/>
  <c r="K45" i="1" s="1"/>
  <c r="K50" i="1" s="1"/>
  <c r="N36" i="1"/>
  <c r="N45" i="1" s="1"/>
  <c r="N50" i="1" s="1"/>
  <c r="K60" i="1"/>
  <c r="K68" i="1" s="1"/>
  <c r="N74" i="1"/>
  <c r="N69" i="1" s="1"/>
  <c r="N83" i="1" s="1"/>
  <c r="H36" i="1"/>
  <c r="H45" i="1" s="1"/>
  <c r="H50" i="1" s="1"/>
  <c r="O60" i="1"/>
  <c r="O68" i="1" s="1"/>
  <c r="F74" i="1"/>
  <c r="F36" i="1"/>
  <c r="F60" i="1"/>
  <c r="L36" i="1"/>
  <c r="L45" i="1" s="1"/>
  <c r="L50" i="1" s="1"/>
  <c r="L60" i="1"/>
  <c r="L74" i="1"/>
  <c r="L69" i="1" s="1"/>
  <c r="L83" i="1" s="1"/>
  <c r="J60" i="1"/>
  <c r="J68" i="1" s="1"/>
  <c r="J36" i="1"/>
  <c r="J45" i="1" s="1"/>
  <c r="J50" i="1" s="1"/>
  <c r="J74" i="1"/>
  <c r="J69" i="1" s="1"/>
  <c r="J83" i="1" s="1"/>
  <c r="I60" i="1"/>
  <c r="I74" i="1"/>
  <c r="I69" i="1" s="1"/>
  <c r="I83" i="1" s="1"/>
  <c r="I36" i="1"/>
  <c r="I45" i="1" s="1"/>
  <c r="I50" i="1" s="1"/>
  <c r="M60" i="1"/>
  <c r="M68" i="1" s="1"/>
  <c r="M36" i="1"/>
  <c r="M45" i="1" s="1"/>
  <c r="M50" i="1" s="1"/>
  <c r="M74" i="1"/>
  <c r="M69" i="1" s="1"/>
  <c r="M83" i="1" s="1"/>
  <c r="D26" i="3" l="1"/>
  <c r="I68" i="1"/>
  <c r="D10" i="3"/>
  <c r="L68" i="1"/>
  <c r="D17" i="4"/>
  <c r="D17" i="5"/>
  <c r="F45" i="1"/>
  <c r="P45" i="1" s="1"/>
  <c r="P36" i="1"/>
  <c r="D10" i="4"/>
  <c r="D10" i="5"/>
  <c r="F68" i="1"/>
  <c r="F69" i="1"/>
  <c r="D19" i="3" s="1"/>
  <c r="D26" i="4"/>
  <c r="D26" i="5"/>
  <c r="Q36" i="1" l="1"/>
  <c r="F50" i="1"/>
  <c r="P50" i="1" s="1"/>
  <c r="P51" i="1" s="1"/>
  <c r="D37" i="3"/>
  <c r="F83" i="1"/>
  <c r="F85" i="1" s="1"/>
  <c r="G54" i="1" s="1"/>
  <c r="G85" i="1" s="1"/>
  <c r="H54" i="1" s="1"/>
  <c r="H85" i="1" s="1"/>
  <c r="I85" i="1" s="1"/>
  <c r="J54" i="1" s="1"/>
  <c r="J85" i="1" s="1"/>
  <c r="K54" i="1" s="1"/>
  <c r="K85" i="1" s="1"/>
  <c r="L54" i="1" s="1"/>
  <c r="L85" i="1" s="1"/>
  <c r="M54" i="1" s="1"/>
  <c r="M85" i="1" s="1"/>
  <c r="N54" i="1" s="1"/>
  <c r="N85" i="1" s="1"/>
  <c r="O54" i="1" s="1"/>
  <c r="D18" i="4"/>
  <c r="D37" i="4" s="1"/>
  <c r="D18" i="5"/>
  <c r="D37" i="5" s="1"/>
  <c r="D18" i="3"/>
  <c r="D38" i="3" s="1"/>
  <c r="D43" i="3" l="1"/>
  <c r="E5" i="10"/>
  <c r="D42" i="5"/>
  <c r="E46" i="5" s="1"/>
  <c r="D22" i="2"/>
  <c r="Q45" i="1"/>
  <c r="D42" i="4"/>
  <c r="E46" i="4" s="1"/>
  <c r="G50" i="4" s="1"/>
  <c r="G52" i="4" s="1"/>
  <c r="O14" i="10"/>
  <c r="Q50" i="1"/>
  <c r="D27" i="2"/>
  <c r="J5" i="10" l="1"/>
  <c r="J15" i="10" s="1"/>
  <c r="E15" i="10"/>
  <c r="G54" i="4"/>
  <c r="G53" i="4"/>
  <c r="O85" i="1"/>
  <c r="V54" i="1" s="1"/>
  <c r="V85" i="1" s="1"/>
  <c r="W54" i="1" s="1"/>
  <c r="W85" i="1" s="1"/>
  <c r="X54" i="1" s="1"/>
  <c r="X85" i="1" s="1"/>
  <c r="Y54" i="1" s="1"/>
  <c r="Y85" i="1" s="1"/>
  <c r="Z54" i="1" s="1"/>
  <c r="Z85" i="1" s="1"/>
  <c r="AA54" i="1" s="1"/>
  <c r="AA85" i="1" s="1"/>
  <c r="AB54" i="1" s="1"/>
  <c r="AB85" i="1" s="1"/>
  <c r="AC54" i="1" s="1"/>
  <c r="AC85" i="1" s="1"/>
  <c r="AD54" i="1" s="1"/>
  <c r="AD85" i="1" s="1"/>
  <c r="AE54" i="1" s="1"/>
  <c r="AE85" i="1" s="1"/>
  <c r="AF54" i="1" s="1"/>
  <c r="AF85" i="1" s="1"/>
  <c r="AG54" i="1" s="1"/>
  <c r="AG85" i="1" s="1"/>
  <c r="AN54" i="1" l="1"/>
  <c r="AN85" i="1" s="1"/>
  <c r="AO54" i="1" s="1"/>
  <c r="H3" i="10"/>
  <c r="H5" i="10" s="1"/>
  <c r="H15" i="10" s="1"/>
  <c r="D29" i="2"/>
  <c r="D39" i="3"/>
  <c r="D40" i="3" s="1"/>
  <c r="C3" i="10"/>
  <c r="C5" i="10" s="1"/>
  <c r="C15" i="10" s="1"/>
  <c r="D38" i="5"/>
  <c r="D39" i="5" s="1"/>
  <c r="D38" i="4"/>
  <c r="D39" i="4" s="1"/>
  <c r="D43" i="4" l="1"/>
  <c r="E47" i="4" s="1"/>
  <c r="D40" i="4"/>
  <c r="E4" i="4" s="1"/>
  <c r="E40" i="4" s="1"/>
  <c r="F4" i="4" s="1"/>
  <c r="J17" i="10"/>
  <c r="D41" i="3"/>
  <c r="E4" i="3" s="1"/>
  <c r="E41" i="3" s="1"/>
  <c r="G4" i="3" s="1"/>
  <c r="D44" i="3"/>
  <c r="D40" i="5"/>
  <c r="E4" i="5" s="1"/>
  <c r="E40" i="5" s="1"/>
  <c r="F4" i="5" s="1"/>
  <c r="D43" i="5"/>
  <c r="E47" i="5" s="1"/>
  <c r="G50" i="5" s="1"/>
  <c r="G52" i="5" s="1"/>
  <c r="G53" i="5" l="1"/>
  <c r="G54" i="5"/>
  <c r="AN23" i="1" l="1"/>
  <c r="AZ23" i="1" s="1"/>
  <c r="AO63" i="1"/>
  <c r="F13" i="5" s="1"/>
  <c r="AN24" i="1"/>
  <c r="AZ24" i="1" s="1"/>
  <c r="BA24" i="1" s="1"/>
  <c r="AZ27" i="1"/>
  <c r="F20" i="2" s="1"/>
  <c r="F42" i="2" s="1"/>
  <c r="F18" i="2" l="1"/>
  <c r="BA23" i="1"/>
  <c r="G13" i="3"/>
  <c r="AN35" i="1"/>
  <c r="AO60" i="1"/>
  <c r="F13" i="4"/>
  <c r="BA27" i="1"/>
  <c r="O4" i="10"/>
  <c r="O5" i="10" s="1"/>
  <c r="O15" i="10" s="1"/>
  <c r="AZ35" i="1" l="1"/>
  <c r="AN45" i="1"/>
  <c r="G10" i="3"/>
  <c r="AO68" i="1"/>
  <c r="F10" i="5"/>
  <c r="F10" i="4"/>
  <c r="F18" i="4" l="1"/>
  <c r="F37" i="4" s="1"/>
  <c r="AO85" i="1"/>
  <c r="AP54" i="1" s="1"/>
  <c r="AP85" i="1" s="1"/>
  <c r="AQ54" i="1" s="1"/>
  <c r="AQ85" i="1" s="1"/>
  <c r="AR54" i="1" s="1"/>
  <c r="AR85" i="1" s="1"/>
  <c r="AS54" i="1" s="1"/>
  <c r="AS85" i="1" s="1"/>
  <c r="AT54" i="1" s="1"/>
  <c r="AT85" i="1" s="1"/>
  <c r="AU54" i="1" s="1"/>
  <c r="AU85" i="1" s="1"/>
  <c r="AV54" i="1" s="1"/>
  <c r="AV85" i="1" s="1"/>
  <c r="AW54" i="1" s="1"/>
  <c r="AW85" i="1" s="1"/>
  <c r="AX54" i="1" s="1"/>
  <c r="AX85" i="1" s="1"/>
  <c r="AY54" i="1" s="1"/>
  <c r="G18" i="3"/>
  <c r="G38" i="3" s="1"/>
  <c r="F18" i="5"/>
  <c r="F37" i="5" s="1"/>
  <c r="AN50" i="1"/>
  <c r="AZ50" i="1" s="1"/>
  <c r="AZ45" i="1"/>
  <c r="F19" i="2"/>
  <c r="BA35" i="1"/>
  <c r="AZ51" i="1" l="1"/>
  <c r="BA50" i="1"/>
  <c r="F27" i="2"/>
  <c r="G39" i="3"/>
  <c r="G40" i="3" s="1"/>
  <c r="G43" i="3"/>
  <c r="E47" i="3" s="1"/>
  <c r="AY85" i="1"/>
  <c r="M3" i="10" s="1"/>
  <c r="M5" i="10" s="1"/>
  <c r="M15" i="10" s="1"/>
  <c r="BA45" i="1"/>
  <c r="F22" i="2"/>
  <c r="F42" i="5"/>
  <c r="F42" i="4"/>
  <c r="G41" i="3" l="1"/>
  <c r="G44" i="3"/>
  <c r="E48" i="3" s="1"/>
  <c r="F28" i="2"/>
  <c r="F29" i="2"/>
  <c r="F38" i="5" l="1"/>
  <c r="F39" i="5" s="1"/>
  <c r="F38" i="4"/>
  <c r="F39" i="4" s="1"/>
  <c r="F40" i="4" l="1"/>
  <c r="G4" i="4" s="1"/>
  <c r="G40" i="4" s="1"/>
  <c r="H4" i="4" s="1"/>
  <c r="H40" i="4" s="1"/>
  <c r="I4" i="4" s="1"/>
  <c r="I40" i="4" s="1"/>
  <c r="J4" i="4" s="1"/>
  <c r="J40" i="4" s="1"/>
  <c r="K4" i="4" s="1"/>
  <c r="K40" i="4" s="1"/>
  <c r="L4" i="4" s="1"/>
  <c r="L40" i="4" s="1"/>
  <c r="M4" i="4" s="1"/>
  <c r="M40" i="4" s="1"/>
  <c r="F43" i="4"/>
  <c r="F40" i="5"/>
  <c r="G4" i="5" s="1"/>
  <c r="G40" i="5" s="1"/>
  <c r="H4" i="5" s="1"/>
  <c r="H40" i="5" s="1"/>
  <c r="I4" i="5" s="1"/>
  <c r="I40" i="5" s="1"/>
  <c r="J4" i="5" s="1"/>
  <c r="J40" i="5" s="1"/>
  <c r="K4" i="5" s="1"/>
  <c r="K40" i="5" s="1"/>
  <c r="L4" i="5" s="1"/>
  <c r="L40" i="5" s="1"/>
  <c r="M4" i="5" s="1"/>
  <c r="M40" i="5" s="1"/>
  <c r="F43" i="5"/>
</calcChain>
</file>

<file path=xl/sharedStrings.xml><?xml version="1.0" encoding="utf-8"?>
<sst xmlns="http://schemas.openxmlformats.org/spreadsheetml/2006/main" count="1473" uniqueCount="539">
  <si>
    <t>その他収入</t>
    <rPh sb="2" eb="3">
      <t>ホカ</t>
    </rPh>
    <rPh sb="3" eb="5">
      <t>シュウニュウ</t>
    </rPh>
    <phoneticPr fontId="2"/>
  </si>
  <si>
    <t>（売上総利益）</t>
    <rPh sb="1" eb="3">
      <t>ウリアゲ</t>
    </rPh>
    <rPh sb="3" eb="6">
      <t>ソウリエキ</t>
    </rPh>
    <phoneticPr fontId="2"/>
  </si>
  <si>
    <t>役員報酬</t>
    <rPh sb="0" eb="2">
      <t>ヤクイン</t>
    </rPh>
    <rPh sb="2" eb="4">
      <t>ホウシュウ</t>
    </rPh>
    <phoneticPr fontId="2"/>
  </si>
  <si>
    <t>給料手当</t>
    <rPh sb="0" eb="2">
      <t>キュウリョウ</t>
    </rPh>
    <rPh sb="2" eb="4">
      <t>テアテ</t>
    </rPh>
    <phoneticPr fontId="2"/>
  </si>
  <si>
    <t>法定福利費</t>
    <rPh sb="0" eb="2">
      <t>ホウテイ</t>
    </rPh>
    <rPh sb="2" eb="4">
      <t>フクリ</t>
    </rPh>
    <rPh sb="4" eb="5">
      <t>ヒ</t>
    </rPh>
    <phoneticPr fontId="2"/>
  </si>
  <si>
    <t>リース料</t>
    <rPh sb="3" eb="4">
      <t>リョウ</t>
    </rPh>
    <phoneticPr fontId="2"/>
  </si>
  <si>
    <t>地代家賃</t>
    <rPh sb="0" eb="2">
      <t>チダイ</t>
    </rPh>
    <rPh sb="2" eb="4">
      <t>ヤチン</t>
    </rPh>
    <phoneticPr fontId="2"/>
  </si>
  <si>
    <t>（販管費）</t>
    <rPh sb="1" eb="4">
      <t>ハンカンヒ</t>
    </rPh>
    <phoneticPr fontId="2"/>
  </si>
  <si>
    <t>（営業利益）</t>
    <rPh sb="1" eb="3">
      <t>エイギョウ</t>
    </rPh>
    <rPh sb="3" eb="5">
      <t>リエキ</t>
    </rPh>
    <phoneticPr fontId="2"/>
  </si>
  <si>
    <t>（営業外収益）</t>
    <rPh sb="1" eb="4">
      <t>エイギョウガイ</t>
    </rPh>
    <rPh sb="4" eb="6">
      <t>シュウエキ</t>
    </rPh>
    <phoneticPr fontId="2"/>
  </si>
  <si>
    <t>支払利息</t>
    <rPh sb="0" eb="2">
      <t>シハライ</t>
    </rPh>
    <rPh sb="2" eb="4">
      <t>リソク</t>
    </rPh>
    <phoneticPr fontId="2"/>
  </si>
  <si>
    <t>雑損失</t>
    <rPh sb="0" eb="1">
      <t>ザツ</t>
    </rPh>
    <rPh sb="1" eb="3">
      <t>ソンシツ</t>
    </rPh>
    <phoneticPr fontId="2"/>
  </si>
  <si>
    <t>（営業外損失）</t>
    <rPh sb="1" eb="4">
      <t>エイギョウガイ</t>
    </rPh>
    <rPh sb="4" eb="6">
      <t>ソンシツ</t>
    </rPh>
    <phoneticPr fontId="2"/>
  </si>
  <si>
    <t>（経常利益）</t>
    <rPh sb="1" eb="3">
      <t>ケイジョウ</t>
    </rPh>
    <rPh sb="3" eb="5">
      <t>リエキ</t>
    </rPh>
    <phoneticPr fontId="2"/>
  </si>
  <si>
    <t>FCロイヤリティ</t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</si>
  <si>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</si>
  <si>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</si>
  <si>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</si>
  <si>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</si>
  <si>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</si>
  <si>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</si>
  <si>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</si>
  <si>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</si>
  <si>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2月</t>
  </si>
  <si>
    <t>合計</t>
    <rPh sb="0" eb="2">
      <t>ゴウケイ</t>
    </rPh>
    <phoneticPr fontId="2"/>
  </si>
  <si>
    <t>総売上</t>
    <rPh sb="0" eb="1">
      <t>ソウ</t>
    </rPh>
    <rPh sb="1" eb="2">
      <t>ウ</t>
    </rPh>
    <rPh sb="2" eb="3">
      <t>ア</t>
    </rPh>
    <phoneticPr fontId="2"/>
  </si>
  <si>
    <t>売上原価</t>
    <rPh sb="0" eb="2">
      <t>ウリアゲ</t>
    </rPh>
    <rPh sb="2" eb="4">
      <t>ゲンカ</t>
    </rPh>
    <phoneticPr fontId="2"/>
  </si>
  <si>
    <t>対売上比率</t>
    <rPh sb="0" eb="1">
      <t>タイ</t>
    </rPh>
    <rPh sb="1" eb="3">
      <t>ウリアゲ</t>
    </rPh>
    <rPh sb="3" eb="5">
      <t>ヒリツ</t>
    </rPh>
    <phoneticPr fontId="2"/>
  </si>
  <si>
    <t>前月繰越</t>
    <rPh sb="0" eb="2">
      <t>ゼンゲツ</t>
    </rPh>
    <rPh sb="2" eb="4">
      <t>クリコシ</t>
    </rPh>
    <phoneticPr fontId="2"/>
  </si>
  <si>
    <t>店舗現金売上</t>
    <rPh sb="0" eb="2">
      <t>テンポ</t>
    </rPh>
    <rPh sb="2" eb="4">
      <t>ゲンキン</t>
    </rPh>
    <rPh sb="4" eb="6">
      <t>ウリアゲ</t>
    </rPh>
    <phoneticPr fontId="2"/>
  </si>
  <si>
    <t>店舗催事売掛入金</t>
    <rPh sb="0" eb="2">
      <t>テンポ</t>
    </rPh>
    <rPh sb="2" eb="4">
      <t>サイジ</t>
    </rPh>
    <rPh sb="4" eb="6">
      <t>ウリカケ</t>
    </rPh>
    <rPh sb="6" eb="8">
      <t>ニュウキン</t>
    </rPh>
    <phoneticPr fontId="2"/>
  </si>
  <si>
    <t>月末締め翌月末払い</t>
    <rPh sb="0" eb="2">
      <t>ゲツマツ</t>
    </rPh>
    <rPh sb="2" eb="3">
      <t>ジ</t>
    </rPh>
    <rPh sb="4" eb="7">
      <t>ヨクゲツマツ</t>
    </rPh>
    <rPh sb="7" eb="8">
      <t>ハラ</t>
    </rPh>
    <phoneticPr fontId="2"/>
  </si>
  <si>
    <t>条件</t>
    <rPh sb="0" eb="2">
      <t>ジョウケン</t>
    </rPh>
    <phoneticPr fontId="2"/>
  </si>
  <si>
    <t>他収入</t>
    <rPh sb="0" eb="1">
      <t>ホカ</t>
    </rPh>
    <rPh sb="1" eb="3">
      <t>シュウニュウ</t>
    </rPh>
    <phoneticPr fontId="2"/>
  </si>
  <si>
    <t>経常収入</t>
    <rPh sb="0" eb="2">
      <t>ケイジョウ</t>
    </rPh>
    <rPh sb="2" eb="4">
      <t>シュウニュウ</t>
    </rPh>
    <phoneticPr fontId="2"/>
  </si>
  <si>
    <t>経常支出</t>
    <rPh sb="0" eb="2">
      <t>ケイジョウ</t>
    </rPh>
    <rPh sb="2" eb="4">
      <t>シシュツ</t>
    </rPh>
    <phoneticPr fontId="2"/>
  </si>
  <si>
    <t>店舗仕入買掛</t>
    <rPh sb="0" eb="2">
      <t>テンポ</t>
    </rPh>
    <rPh sb="2" eb="4">
      <t>シイレ</t>
    </rPh>
    <rPh sb="4" eb="6">
      <t>カイカケ</t>
    </rPh>
    <phoneticPr fontId="2"/>
  </si>
  <si>
    <t>店舗人件費</t>
    <rPh sb="0" eb="2">
      <t>テンポ</t>
    </rPh>
    <rPh sb="2" eb="5">
      <t>ジンケンヒ</t>
    </rPh>
    <phoneticPr fontId="2"/>
  </si>
  <si>
    <t>販管費（ｻｲﾄ１）</t>
    <rPh sb="0" eb="3">
      <t>ハンカンヒ</t>
    </rPh>
    <phoneticPr fontId="2"/>
  </si>
  <si>
    <t>販管費（ｻｲﾄ２）</t>
    <rPh sb="0" eb="3">
      <t>ハンカンヒ</t>
    </rPh>
    <phoneticPr fontId="2"/>
  </si>
  <si>
    <t>販管費（月末締め翌月末払い）</t>
    <rPh sb="0" eb="3">
      <t>ハンカンヒ</t>
    </rPh>
    <rPh sb="4" eb="6">
      <t>ゲツマツ</t>
    </rPh>
    <rPh sb="6" eb="7">
      <t>ジ</t>
    </rPh>
    <rPh sb="8" eb="11">
      <t>ヨクゲツマツ</t>
    </rPh>
    <rPh sb="11" eb="12">
      <t>バラ</t>
    </rPh>
    <phoneticPr fontId="2"/>
  </si>
  <si>
    <t>販管費（月末締め翌々月末払い）</t>
    <rPh sb="0" eb="3">
      <t>ハンカンヒ</t>
    </rPh>
    <rPh sb="4" eb="6">
      <t>ゲツマツ</t>
    </rPh>
    <rPh sb="6" eb="7">
      <t>ジ</t>
    </rPh>
    <rPh sb="8" eb="11">
      <t>ヨクヨクゲツ</t>
    </rPh>
    <rPh sb="11" eb="12">
      <t>スエ</t>
    </rPh>
    <rPh sb="12" eb="13">
      <t>バラ</t>
    </rPh>
    <phoneticPr fontId="2"/>
  </si>
  <si>
    <t>他支出</t>
    <rPh sb="0" eb="1">
      <t>ホカ</t>
    </rPh>
    <rPh sb="1" eb="3">
      <t>シシュツ</t>
    </rPh>
    <phoneticPr fontId="2"/>
  </si>
  <si>
    <t>固定資産購入等</t>
    <rPh sb="0" eb="2">
      <t>コテイ</t>
    </rPh>
    <rPh sb="2" eb="4">
      <t>シサン</t>
    </rPh>
    <rPh sb="4" eb="6">
      <t>コウニュウ</t>
    </rPh>
    <rPh sb="6" eb="7">
      <t>トウ</t>
    </rPh>
    <phoneticPr fontId="2"/>
  </si>
  <si>
    <t>経常収支差額</t>
    <rPh sb="0" eb="2">
      <t>ケイジョウ</t>
    </rPh>
    <rPh sb="2" eb="4">
      <t>シュウシ</t>
    </rPh>
    <rPh sb="4" eb="6">
      <t>サガク</t>
    </rPh>
    <phoneticPr fontId="2"/>
  </si>
  <si>
    <t>資本金</t>
    <rPh sb="0" eb="3">
      <t>シホンキン</t>
    </rPh>
    <phoneticPr fontId="2"/>
  </si>
  <si>
    <t>役員借入</t>
    <rPh sb="0" eb="2">
      <t>ヤクイン</t>
    </rPh>
    <rPh sb="2" eb="4">
      <t>カリイレ</t>
    </rPh>
    <phoneticPr fontId="2"/>
  </si>
  <si>
    <t>固定資産売却</t>
    <rPh sb="0" eb="2">
      <t>コテイ</t>
    </rPh>
    <rPh sb="2" eb="4">
      <t>シサン</t>
    </rPh>
    <rPh sb="4" eb="6">
      <t>バイキャク</t>
    </rPh>
    <phoneticPr fontId="2"/>
  </si>
  <si>
    <t>FC保証金</t>
    <rPh sb="2" eb="5">
      <t>ホショウキン</t>
    </rPh>
    <phoneticPr fontId="2"/>
  </si>
  <si>
    <t>地区本部保証金</t>
    <rPh sb="0" eb="2">
      <t>チク</t>
    </rPh>
    <rPh sb="2" eb="4">
      <t>ホンブ</t>
    </rPh>
    <rPh sb="4" eb="7">
      <t>ホショウキン</t>
    </rPh>
    <phoneticPr fontId="2"/>
  </si>
  <si>
    <t>その他</t>
    <rPh sb="2" eb="3">
      <t>ホカ</t>
    </rPh>
    <phoneticPr fontId="2"/>
  </si>
  <si>
    <t>金融機関借入</t>
    <rPh sb="0" eb="2">
      <t>キンユウ</t>
    </rPh>
    <rPh sb="2" eb="4">
      <t>キカン</t>
    </rPh>
    <rPh sb="4" eb="6">
      <t>カリイレ</t>
    </rPh>
    <phoneticPr fontId="2"/>
  </si>
  <si>
    <t>財務収入</t>
    <rPh sb="0" eb="2">
      <t>ザイム</t>
    </rPh>
    <rPh sb="2" eb="4">
      <t>シュウニュウ</t>
    </rPh>
    <phoneticPr fontId="2"/>
  </si>
  <si>
    <t>財務支出</t>
    <rPh sb="0" eb="2">
      <t>ザイム</t>
    </rPh>
    <rPh sb="2" eb="4">
      <t>シシュツ</t>
    </rPh>
    <phoneticPr fontId="2"/>
  </si>
  <si>
    <t>金融機関返済</t>
    <rPh sb="0" eb="2">
      <t>キンユウ</t>
    </rPh>
    <rPh sb="2" eb="4">
      <t>キカン</t>
    </rPh>
    <rPh sb="4" eb="6">
      <t>ヘンサイ</t>
    </rPh>
    <phoneticPr fontId="2"/>
  </si>
  <si>
    <t>役員返済</t>
    <rPh sb="0" eb="2">
      <t>ヤクイン</t>
    </rPh>
    <rPh sb="2" eb="4">
      <t>ヘンサイ</t>
    </rPh>
    <phoneticPr fontId="2"/>
  </si>
  <si>
    <t>FC保証金返却</t>
    <rPh sb="2" eb="5">
      <t>ホショウキン</t>
    </rPh>
    <rPh sb="5" eb="7">
      <t>ヘンキャク</t>
    </rPh>
    <phoneticPr fontId="2"/>
  </si>
  <si>
    <t>地区本部保証金返却</t>
    <rPh sb="0" eb="2">
      <t>チク</t>
    </rPh>
    <rPh sb="2" eb="4">
      <t>ホンブ</t>
    </rPh>
    <rPh sb="4" eb="7">
      <t>ホショウキン</t>
    </rPh>
    <rPh sb="7" eb="9">
      <t>ヘンキャク</t>
    </rPh>
    <phoneticPr fontId="2"/>
  </si>
  <si>
    <t>財務収支差額</t>
    <rPh sb="0" eb="2">
      <t>ザイム</t>
    </rPh>
    <rPh sb="2" eb="4">
      <t>シュウシ</t>
    </rPh>
    <rPh sb="4" eb="6">
      <t>サガク</t>
    </rPh>
    <phoneticPr fontId="2"/>
  </si>
  <si>
    <t>翌月繰越</t>
    <rPh sb="0" eb="2">
      <t>ヨクゲツ</t>
    </rPh>
    <rPh sb="2" eb="4">
      <t>クリコシ</t>
    </rPh>
    <phoneticPr fontId="2"/>
  </si>
  <si>
    <t>H24年度</t>
    <rPh sb="3" eb="5">
      <t>ネンド</t>
    </rPh>
    <phoneticPr fontId="2"/>
  </si>
  <si>
    <t>地方郊外型</t>
    <rPh sb="0" eb="2">
      <t>チホウ</t>
    </rPh>
    <rPh sb="2" eb="5">
      <t>コウガイガタ</t>
    </rPh>
    <phoneticPr fontId="2"/>
  </si>
  <si>
    <t>サテライト型</t>
    <rPh sb="5" eb="6">
      <t>ガタ</t>
    </rPh>
    <phoneticPr fontId="2"/>
  </si>
  <si>
    <t>SC併設型</t>
    <rPh sb="2" eb="5">
      <t>ヘイセツガタ</t>
    </rPh>
    <phoneticPr fontId="2"/>
  </si>
  <si>
    <t>減価償却</t>
    <rPh sb="0" eb="2">
      <t>ゲンカ</t>
    </rPh>
    <rPh sb="2" eb="4">
      <t>ショウキャク</t>
    </rPh>
    <phoneticPr fontId="2"/>
  </si>
  <si>
    <t>H25年度</t>
    <rPh sb="3" eb="5">
      <t>ネンド</t>
    </rPh>
    <phoneticPr fontId="2"/>
  </si>
  <si>
    <t>H26年度</t>
    <rPh sb="3" eb="5">
      <t>ネンド</t>
    </rPh>
    <phoneticPr fontId="2"/>
  </si>
  <si>
    <t>H27年度</t>
    <rPh sb="3" eb="5">
      <t>ネンド</t>
    </rPh>
    <phoneticPr fontId="2"/>
  </si>
  <si>
    <t>3月</t>
  </si>
  <si>
    <t>4月</t>
  </si>
  <si>
    <t>CF</t>
    <phoneticPr fontId="2"/>
  </si>
  <si>
    <t>H23年度</t>
    <rPh sb="3" eb="4">
      <t>ネン</t>
    </rPh>
    <rPh sb="4" eb="5">
      <t>ド</t>
    </rPh>
    <phoneticPr fontId="2"/>
  </si>
  <si>
    <t>H24年度</t>
    <rPh sb="3" eb="4">
      <t>ネン</t>
    </rPh>
    <rPh sb="4" eb="5">
      <t>ド</t>
    </rPh>
    <phoneticPr fontId="2"/>
  </si>
  <si>
    <t>H25年度</t>
    <rPh sb="3" eb="4">
      <t>ネン</t>
    </rPh>
    <rPh sb="4" eb="5">
      <t>ド</t>
    </rPh>
    <phoneticPr fontId="2"/>
  </si>
  <si>
    <t>H26年度</t>
    <rPh sb="3" eb="4">
      <t>ネン</t>
    </rPh>
    <rPh sb="4" eb="5">
      <t>ド</t>
    </rPh>
    <phoneticPr fontId="2"/>
  </si>
  <si>
    <t>H27年度</t>
    <rPh sb="3" eb="4">
      <t>ネン</t>
    </rPh>
    <rPh sb="4" eb="5">
      <t>ド</t>
    </rPh>
    <phoneticPr fontId="2"/>
  </si>
  <si>
    <t>前年度繰越</t>
    <rPh sb="0" eb="3">
      <t>ゼンネンド</t>
    </rPh>
    <rPh sb="3" eb="5">
      <t>クリコシ</t>
    </rPh>
    <phoneticPr fontId="2"/>
  </si>
  <si>
    <t>翌年度繰越</t>
    <rPh sb="0" eb="3">
      <t>ヨクネンド</t>
    </rPh>
    <rPh sb="3" eb="5">
      <t>クリコシ</t>
    </rPh>
    <phoneticPr fontId="2"/>
  </si>
  <si>
    <t>店舗出店コスト</t>
    <rPh sb="0" eb="2">
      <t>テンポ</t>
    </rPh>
    <rPh sb="2" eb="4">
      <t>シュッテン</t>
    </rPh>
    <phoneticPr fontId="2"/>
  </si>
  <si>
    <t>FC本部（システム等）</t>
    <rPh sb="2" eb="4">
      <t>ホンブ</t>
    </rPh>
    <rPh sb="9" eb="10">
      <t>トウ</t>
    </rPh>
    <phoneticPr fontId="2"/>
  </si>
  <si>
    <t>H28年度</t>
    <rPh sb="3" eb="5">
      <t>ネンド</t>
    </rPh>
    <phoneticPr fontId="2"/>
  </si>
  <si>
    <t>H29年度</t>
    <rPh sb="3" eb="5">
      <t>ネンド</t>
    </rPh>
    <phoneticPr fontId="2"/>
  </si>
  <si>
    <t>H30年度</t>
    <rPh sb="3" eb="5">
      <t>ネンド</t>
    </rPh>
    <phoneticPr fontId="2"/>
  </si>
  <si>
    <t>H28年度</t>
    <rPh sb="3" eb="4">
      <t>ネン</t>
    </rPh>
    <rPh sb="4" eb="5">
      <t>ド</t>
    </rPh>
    <phoneticPr fontId="2"/>
  </si>
  <si>
    <t>H29年度</t>
    <rPh sb="3" eb="4">
      <t>ネン</t>
    </rPh>
    <rPh sb="4" eb="5">
      <t>ド</t>
    </rPh>
    <phoneticPr fontId="2"/>
  </si>
  <si>
    <t>H30年度</t>
    <rPh sb="3" eb="4">
      <t>ネン</t>
    </rPh>
    <rPh sb="4" eb="5">
      <t>ド</t>
    </rPh>
    <phoneticPr fontId="2"/>
  </si>
  <si>
    <t>H31年度</t>
    <rPh sb="3" eb="4">
      <t>ネン</t>
    </rPh>
    <rPh sb="4" eb="5">
      <t>ド</t>
    </rPh>
    <phoneticPr fontId="2"/>
  </si>
  <si>
    <t>H32年度</t>
    <rPh sb="3" eb="4">
      <t>ネン</t>
    </rPh>
    <rPh sb="4" eb="5">
      <t>ド</t>
    </rPh>
    <phoneticPr fontId="2"/>
  </si>
  <si>
    <t>税引後利益</t>
    <rPh sb="0" eb="2">
      <t>ゼイビ</t>
    </rPh>
    <rPh sb="2" eb="3">
      <t>ゴ</t>
    </rPh>
    <rPh sb="3" eb="5">
      <t>リエキ</t>
    </rPh>
    <phoneticPr fontId="2"/>
  </si>
  <si>
    <t>税金</t>
    <rPh sb="0" eb="2">
      <t>ゼイキン</t>
    </rPh>
    <phoneticPr fontId="2"/>
  </si>
  <si>
    <t>税引後CF</t>
    <rPh sb="0" eb="2">
      <t>ゼイビ</t>
    </rPh>
    <rPh sb="2" eb="3">
      <t>ゴ</t>
    </rPh>
    <phoneticPr fontId="2"/>
  </si>
  <si>
    <t>現在価値（税引前）【割引率1.5％】</t>
    <rPh sb="0" eb="2">
      <t>ゲンザイ</t>
    </rPh>
    <rPh sb="2" eb="4">
      <t>カチ</t>
    </rPh>
    <rPh sb="5" eb="7">
      <t>ゼイビ</t>
    </rPh>
    <rPh sb="7" eb="8">
      <t>マエ</t>
    </rPh>
    <rPh sb="10" eb="12">
      <t>ワリビキ</t>
    </rPh>
    <rPh sb="12" eb="13">
      <t>リツ</t>
    </rPh>
    <phoneticPr fontId="2"/>
  </si>
  <si>
    <t>現在価値（税引後）【割引率1.5％】</t>
    <rPh sb="0" eb="2">
      <t>ゲンザイ</t>
    </rPh>
    <rPh sb="2" eb="4">
      <t>カチ</t>
    </rPh>
    <rPh sb="5" eb="7">
      <t>ゼイビ</t>
    </rPh>
    <rPh sb="7" eb="8">
      <t>ゴ</t>
    </rPh>
    <phoneticPr fontId="2"/>
  </si>
  <si>
    <t>事業費算定</t>
    <rPh sb="0" eb="3">
      <t>ジギョウヒ</t>
    </rPh>
    <rPh sb="3" eb="5">
      <t>サンテイ</t>
    </rPh>
    <phoneticPr fontId="2"/>
  </si>
  <si>
    <t>ＤＣＦ方式の評価額（税引前当期利益ベース）</t>
    <rPh sb="3" eb="5">
      <t>ホウシキ</t>
    </rPh>
    <rPh sb="6" eb="9">
      <t>ヒョウカガク</t>
    </rPh>
    <rPh sb="10" eb="12">
      <t>ゼイビキ</t>
    </rPh>
    <rPh sb="12" eb="13">
      <t>マエ</t>
    </rPh>
    <rPh sb="13" eb="15">
      <t>トウキ</t>
    </rPh>
    <rPh sb="15" eb="17">
      <t>リエキ</t>
    </rPh>
    <phoneticPr fontId="7"/>
  </si>
  <si>
    <t>ＤＣＦ方式の評価額（税引後当期利益ベース）</t>
    <rPh sb="3" eb="5">
      <t>ホウシキ</t>
    </rPh>
    <rPh sb="6" eb="9">
      <t>ヒョウカガク</t>
    </rPh>
    <rPh sb="10" eb="12">
      <t>ゼイビキ</t>
    </rPh>
    <rPh sb="12" eb="13">
      <t>ゴ</t>
    </rPh>
    <rPh sb="13" eb="15">
      <t>トウキ</t>
    </rPh>
    <rPh sb="15" eb="17">
      <t>リエキ</t>
    </rPh>
    <phoneticPr fontId="7"/>
  </si>
  <si>
    <t>【千円】</t>
    <rPh sb="1" eb="3">
      <t>センエン</t>
    </rPh>
    <phoneticPr fontId="2"/>
  </si>
  <si>
    <t>ＤＣＦ方式による評価額（税引前当期利益ベース）</t>
    <rPh sb="3" eb="5">
      <t>ホウシキ</t>
    </rPh>
    <rPh sb="8" eb="11">
      <t>ヒョウカガク</t>
    </rPh>
    <rPh sb="12" eb="14">
      <t>ゼイビキ</t>
    </rPh>
    <rPh sb="14" eb="15">
      <t>マエ</t>
    </rPh>
    <rPh sb="15" eb="17">
      <t>トウキ</t>
    </rPh>
    <rPh sb="17" eb="19">
      <t>リエキ</t>
    </rPh>
    <phoneticPr fontId="7"/>
  </si>
  <si>
    <t>純資産方式による評価額</t>
    <rPh sb="0" eb="3">
      <t>ジュンシサン</t>
    </rPh>
    <rPh sb="3" eb="5">
      <t>ホウシキ</t>
    </rPh>
    <rPh sb="8" eb="11">
      <t>ヒョウカガク</t>
    </rPh>
    <phoneticPr fontId="7"/>
  </si>
  <si>
    <t>ＤＣＦ方式を２、純資産方式を１として加重平均で求めた修正評価額</t>
    <rPh sb="3" eb="5">
      <t>ホウシキ</t>
    </rPh>
    <rPh sb="8" eb="11">
      <t>ジュンシサン</t>
    </rPh>
    <rPh sb="11" eb="13">
      <t>ホウシキ</t>
    </rPh>
    <rPh sb="18" eb="20">
      <t>カジュウ</t>
    </rPh>
    <rPh sb="20" eb="22">
      <t>ヘイキン</t>
    </rPh>
    <rPh sb="23" eb="24">
      <t>モト</t>
    </rPh>
    <rPh sb="26" eb="28">
      <t>シュウセイ</t>
    </rPh>
    <rPh sb="28" eb="31">
      <t>ヒョウカガク</t>
    </rPh>
    <phoneticPr fontId="7"/>
  </si>
  <si>
    <t>事業価値の評価額</t>
    <rPh sb="0" eb="2">
      <t>ジギョウ</t>
    </rPh>
    <rPh sb="2" eb="4">
      <t>カチ</t>
    </rPh>
    <rPh sb="5" eb="8">
      <t>ヒョウカガク</t>
    </rPh>
    <phoneticPr fontId="2"/>
  </si>
  <si>
    <t>算入割合</t>
    <rPh sb="0" eb="2">
      <t>サンニュウ</t>
    </rPh>
    <rPh sb="2" eb="4">
      <t>ワリアイ</t>
    </rPh>
    <phoneticPr fontId="2"/>
  </si>
  <si>
    <t>事業価値の範囲（+10％）</t>
    <rPh sb="0" eb="2">
      <t>ジギョウ</t>
    </rPh>
    <rPh sb="2" eb="4">
      <t>カチ</t>
    </rPh>
    <rPh sb="5" eb="7">
      <t>ハンイ</t>
    </rPh>
    <phoneticPr fontId="7"/>
  </si>
  <si>
    <t>事業価値の範囲（-10％）</t>
    <rPh sb="0" eb="2">
      <t>ジギョウ</t>
    </rPh>
    <rPh sb="2" eb="4">
      <t>カチ</t>
    </rPh>
    <rPh sb="5" eb="7">
      <t>ハンイ</t>
    </rPh>
    <phoneticPr fontId="7"/>
  </si>
  <si>
    <t>総合PL</t>
    <rPh sb="0" eb="2">
      <t>ソウゴウ</t>
    </rPh>
    <phoneticPr fontId="2"/>
  </si>
  <si>
    <t>ＤＣＦ方式による評価額（税引後当期利益ベース）</t>
    <rPh sb="3" eb="5">
      <t>ホウシキ</t>
    </rPh>
    <rPh sb="8" eb="11">
      <t>ヒョウカガク</t>
    </rPh>
    <rPh sb="12" eb="14">
      <t>ゼイビキ</t>
    </rPh>
    <rPh sb="14" eb="15">
      <t>ゴ</t>
    </rPh>
    <rPh sb="15" eb="17">
      <t>トウキ</t>
    </rPh>
    <rPh sb="17" eb="19">
      <t>リエキ</t>
    </rPh>
    <phoneticPr fontId="7"/>
  </si>
  <si>
    <t>企業価値A案（税引後）</t>
    <rPh sb="0" eb="2">
      <t>キギョウ</t>
    </rPh>
    <rPh sb="2" eb="4">
      <t>カチ</t>
    </rPh>
    <rPh sb="5" eb="6">
      <t>アン</t>
    </rPh>
    <rPh sb="7" eb="9">
      <t>ゼイビ</t>
    </rPh>
    <rPh sb="9" eb="10">
      <t>ゴ</t>
    </rPh>
    <phoneticPr fontId="2"/>
  </si>
  <si>
    <t>企業価値A案（税引前）</t>
    <rPh sb="0" eb="2">
      <t>キギョウ</t>
    </rPh>
    <rPh sb="2" eb="4">
      <t>カチ</t>
    </rPh>
    <rPh sb="5" eb="6">
      <t>アン</t>
    </rPh>
    <rPh sb="7" eb="9">
      <t>ゼイビ</t>
    </rPh>
    <rPh sb="9" eb="10">
      <t>マエ</t>
    </rPh>
    <phoneticPr fontId="2"/>
  </si>
  <si>
    <t>給排水設備工事</t>
    <rPh sb="0" eb="3">
      <t>キュウハイスイ</t>
    </rPh>
    <rPh sb="3" eb="5">
      <t>セツビ</t>
    </rPh>
    <rPh sb="5" eb="7">
      <t>コウジ</t>
    </rPh>
    <phoneticPr fontId="2"/>
  </si>
  <si>
    <t>電気設備工事</t>
    <rPh sb="0" eb="2">
      <t>デンキ</t>
    </rPh>
    <rPh sb="2" eb="4">
      <t>セツビ</t>
    </rPh>
    <rPh sb="4" eb="6">
      <t>コウジ</t>
    </rPh>
    <phoneticPr fontId="2"/>
  </si>
  <si>
    <t>ガス設備工事</t>
    <rPh sb="2" eb="4">
      <t>セツビ</t>
    </rPh>
    <rPh sb="4" eb="6">
      <t>コウジ</t>
    </rPh>
    <phoneticPr fontId="2"/>
  </si>
  <si>
    <t>基礎設備</t>
    <rPh sb="0" eb="2">
      <t>キソ</t>
    </rPh>
    <rPh sb="2" eb="4">
      <t>セツビ</t>
    </rPh>
    <phoneticPr fontId="2"/>
  </si>
  <si>
    <t>改装工事</t>
    <rPh sb="0" eb="2">
      <t>カイソウ</t>
    </rPh>
    <rPh sb="2" eb="4">
      <t>コウジ</t>
    </rPh>
    <phoneticPr fontId="2"/>
  </si>
  <si>
    <t>屋内改装工事</t>
    <rPh sb="0" eb="2">
      <t>オクナイ</t>
    </rPh>
    <rPh sb="2" eb="4">
      <t>カイソウ</t>
    </rPh>
    <rPh sb="4" eb="6">
      <t>コウジ</t>
    </rPh>
    <phoneticPr fontId="2"/>
  </si>
  <si>
    <t>屋外改装工事</t>
    <rPh sb="0" eb="2">
      <t>オクガイ</t>
    </rPh>
    <rPh sb="2" eb="4">
      <t>カイソウ</t>
    </rPh>
    <rPh sb="4" eb="6">
      <t>コウジ</t>
    </rPh>
    <phoneticPr fontId="2"/>
  </si>
  <si>
    <t>厨房機器</t>
    <rPh sb="0" eb="2">
      <t>チュウボウ</t>
    </rPh>
    <rPh sb="2" eb="4">
      <t>キキ</t>
    </rPh>
    <phoneticPr fontId="2"/>
  </si>
  <si>
    <t>オーブン</t>
    <phoneticPr fontId="2"/>
  </si>
  <si>
    <t>ドゥコン</t>
    <phoneticPr fontId="2"/>
  </si>
  <si>
    <t>ミキサー</t>
    <phoneticPr fontId="2"/>
  </si>
  <si>
    <t>ミニモルダー</t>
    <phoneticPr fontId="2"/>
  </si>
  <si>
    <t>パイローラー</t>
    <phoneticPr fontId="2"/>
  </si>
  <si>
    <t>フリーザー</t>
    <phoneticPr fontId="2"/>
  </si>
  <si>
    <t>冷蔵庫</t>
    <rPh sb="0" eb="3">
      <t>レイゾウコ</t>
    </rPh>
    <phoneticPr fontId="2"/>
  </si>
  <si>
    <t>フライヤー</t>
    <phoneticPr fontId="2"/>
  </si>
  <si>
    <t>コールドテーブル</t>
    <phoneticPr fontId="2"/>
  </si>
  <si>
    <t>作業台</t>
    <rPh sb="0" eb="2">
      <t>サギョウ</t>
    </rPh>
    <rPh sb="2" eb="3">
      <t>ダイ</t>
    </rPh>
    <phoneticPr fontId="2"/>
  </si>
  <si>
    <t>2槽シンク</t>
    <rPh sb="1" eb="2">
      <t>ソウ</t>
    </rPh>
    <phoneticPr fontId="2"/>
  </si>
  <si>
    <t>ガステーブル</t>
    <phoneticPr fontId="2"/>
  </si>
  <si>
    <t>窯前作業台</t>
    <rPh sb="0" eb="1">
      <t>カマ</t>
    </rPh>
    <rPh sb="1" eb="2">
      <t>マエ</t>
    </rPh>
    <rPh sb="2" eb="4">
      <t>サギョウ</t>
    </rPh>
    <rPh sb="4" eb="5">
      <t>ダイ</t>
    </rPh>
    <phoneticPr fontId="2"/>
  </si>
  <si>
    <t>トンボラック</t>
    <phoneticPr fontId="2"/>
  </si>
  <si>
    <t>スーパーフリーザー</t>
    <phoneticPr fontId="2"/>
  </si>
  <si>
    <t>小道具</t>
    <rPh sb="0" eb="3">
      <t>コドウグ</t>
    </rPh>
    <phoneticPr fontId="2"/>
  </si>
  <si>
    <t>運搬等</t>
    <rPh sb="0" eb="2">
      <t>ウンパン</t>
    </rPh>
    <rPh sb="2" eb="3">
      <t>トウ</t>
    </rPh>
    <phoneticPr fontId="2"/>
  </si>
  <si>
    <t>調理道具等</t>
    <rPh sb="0" eb="2">
      <t>チョウリ</t>
    </rPh>
    <rPh sb="2" eb="4">
      <t>ドウグ</t>
    </rPh>
    <rPh sb="4" eb="5">
      <t>トウ</t>
    </rPh>
    <phoneticPr fontId="2"/>
  </si>
  <si>
    <t>ボール</t>
    <phoneticPr fontId="2"/>
  </si>
  <si>
    <t>包丁・まな板</t>
    <rPh sb="0" eb="2">
      <t>ホウチョウ</t>
    </rPh>
    <rPh sb="5" eb="6">
      <t>イタ</t>
    </rPh>
    <phoneticPr fontId="2"/>
  </si>
  <si>
    <t>ネカシ箱</t>
    <rPh sb="3" eb="4">
      <t>ハコ</t>
    </rPh>
    <phoneticPr fontId="2"/>
  </si>
  <si>
    <t>計量秤</t>
    <rPh sb="0" eb="2">
      <t>ケイリョウ</t>
    </rPh>
    <rPh sb="2" eb="3">
      <t>ハカリ</t>
    </rPh>
    <phoneticPr fontId="2"/>
  </si>
  <si>
    <t>天板</t>
    <rPh sb="0" eb="2">
      <t>テンバン</t>
    </rPh>
    <phoneticPr fontId="2"/>
  </si>
  <si>
    <t>食型</t>
    <rPh sb="0" eb="1">
      <t>ショク</t>
    </rPh>
    <rPh sb="1" eb="2">
      <t>ガタ</t>
    </rPh>
    <phoneticPr fontId="2"/>
  </si>
  <si>
    <t>麺棒等</t>
    <rPh sb="0" eb="2">
      <t>メンボウ</t>
    </rPh>
    <rPh sb="2" eb="3">
      <t>トウ</t>
    </rPh>
    <phoneticPr fontId="2"/>
  </si>
  <si>
    <t>販売用具等</t>
    <rPh sb="0" eb="2">
      <t>ハンバイ</t>
    </rPh>
    <rPh sb="2" eb="4">
      <t>ヨウグ</t>
    </rPh>
    <rPh sb="4" eb="5">
      <t>トウ</t>
    </rPh>
    <phoneticPr fontId="2"/>
  </si>
  <si>
    <t>レジ（POS)</t>
    <phoneticPr fontId="2"/>
  </si>
  <si>
    <t>セルフ皿</t>
    <rPh sb="3" eb="4">
      <t>ザラ</t>
    </rPh>
    <phoneticPr fontId="2"/>
  </si>
  <si>
    <t>トング</t>
    <phoneticPr fontId="2"/>
  </si>
  <si>
    <t>プライス等</t>
    <rPh sb="4" eb="5">
      <t>トウ</t>
    </rPh>
    <phoneticPr fontId="2"/>
  </si>
  <si>
    <t>ユニフォーム</t>
    <phoneticPr fontId="2"/>
  </si>
  <si>
    <t>店舗費用</t>
    <rPh sb="0" eb="2">
      <t>テンポ</t>
    </rPh>
    <rPh sb="2" eb="4">
      <t>ヒヨウ</t>
    </rPh>
    <phoneticPr fontId="2"/>
  </si>
  <si>
    <t>敷金【保証金】</t>
    <rPh sb="0" eb="2">
      <t>シキキン</t>
    </rPh>
    <rPh sb="3" eb="6">
      <t>ホショウキン</t>
    </rPh>
    <phoneticPr fontId="2"/>
  </si>
  <si>
    <t>仲介料等</t>
    <rPh sb="0" eb="2">
      <t>チュウカイ</t>
    </rPh>
    <rPh sb="2" eb="3">
      <t>リョウ</t>
    </rPh>
    <rPh sb="3" eb="4">
      <t>トウ</t>
    </rPh>
    <phoneticPr fontId="2"/>
  </si>
  <si>
    <t>前払家賃</t>
    <rPh sb="0" eb="2">
      <t>マエバラ</t>
    </rPh>
    <rPh sb="2" eb="4">
      <t>ヤチン</t>
    </rPh>
    <phoneticPr fontId="2"/>
  </si>
  <si>
    <t>日商</t>
    <rPh sb="0" eb="2">
      <t>ニッショウ</t>
    </rPh>
    <phoneticPr fontId="2"/>
  </si>
  <si>
    <t>顧客数（人/日）</t>
    <rPh sb="0" eb="3">
      <t>コキャクスウ</t>
    </rPh>
    <rPh sb="4" eb="5">
      <t>ニン</t>
    </rPh>
    <rPh sb="6" eb="7">
      <t>ニチ</t>
    </rPh>
    <phoneticPr fontId="2"/>
  </si>
  <si>
    <t>パン製造数（個/日）</t>
    <rPh sb="2" eb="4">
      <t>セイゾウ</t>
    </rPh>
    <rPh sb="4" eb="5">
      <t>スウ</t>
    </rPh>
    <rPh sb="6" eb="7">
      <t>コ</t>
    </rPh>
    <rPh sb="8" eb="9">
      <t>ニチ</t>
    </rPh>
    <phoneticPr fontId="2"/>
  </si>
  <si>
    <t>坪数</t>
    <rPh sb="0" eb="2">
      <t>ツボスウ</t>
    </rPh>
    <phoneticPr fontId="2"/>
  </si>
  <si>
    <t>業種・業態</t>
    <rPh sb="0" eb="2">
      <t>ギョウシュ</t>
    </rPh>
    <rPh sb="3" eb="5">
      <t>ギョウタイ</t>
    </rPh>
    <phoneticPr fontId="2"/>
  </si>
  <si>
    <t>チェーン総売上</t>
    <rPh sb="4" eb="5">
      <t>ソウ</t>
    </rPh>
    <rPh sb="5" eb="6">
      <t>ウ</t>
    </rPh>
    <rPh sb="6" eb="7">
      <t>ア</t>
    </rPh>
    <phoneticPr fontId="2"/>
  </si>
  <si>
    <t>FC店舗</t>
    <rPh sb="2" eb="4">
      <t>テンポ</t>
    </rPh>
    <phoneticPr fontId="2"/>
  </si>
  <si>
    <t>直営店舗</t>
    <rPh sb="0" eb="2">
      <t>チョクエイ</t>
    </rPh>
    <rPh sb="2" eb="4">
      <t>テンポ</t>
    </rPh>
    <phoneticPr fontId="2"/>
  </si>
  <si>
    <t>開業資金</t>
    <rPh sb="0" eb="2">
      <t>カイギョウ</t>
    </rPh>
    <rPh sb="2" eb="4">
      <t>シキン</t>
    </rPh>
    <phoneticPr fontId="2"/>
  </si>
  <si>
    <t>標準建坪</t>
    <rPh sb="0" eb="2">
      <t>ヒョウジュン</t>
    </rPh>
    <rPh sb="2" eb="4">
      <t>タテツボ</t>
    </rPh>
    <phoneticPr fontId="2"/>
  </si>
  <si>
    <t>敷地面積</t>
    <rPh sb="0" eb="2">
      <t>シキチ</t>
    </rPh>
    <rPh sb="2" eb="4">
      <t>メンセキ</t>
    </rPh>
    <phoneticPr fontId="2"/>
  </si>
  <si>
    <t>FC店舗募集要項</t>
    <rPh sb="2" eb="4">
      <t>テンポ</t>
    </rPh>
    <rPh sb="4" eb="6">
      <t>ボシュウ</t>
    </rPh>
    <rPh sb="6" eb="8">
      <t>ヨウコウ</t>
    </rPh>
    <phoneticPr fontId="2"/>
  </si>
  <si>
    <t>FC名</t>
    <rPh sb="2" eb="3">
      <t>テンメイ</t>
    </rPh>
    <phoneticPr fontId="2"/>
  </si>
  <si>
    <t>基礎情報</t>
    <rPh sb="0" eb="2">
      <t>キソ</t>
    </rPh>
    <rPh sb="2" eb="4">
      <t>ジョウホウ</t>
    </rPh>
    <phoneticPr fontId="2"/>
  </si>
  <si>
    <t>FC契約情報</t>
    <rPh sb="2" eb="4">
      <t>ケイヤク</t>
    </rPh>
    <rPh sb="4" eb="6">
      <t>ジョウホウ</t>
    </rPh>
    <phoneticPr fontId="2"/>
  </si>
  <si>
    <t>ロイヤリティ（総売）</t>
    <rPh sb="7" eb="8">
      <t>ソウ</t>
    </rPh>
    <rPh sb="8" eb="9">
      <t>ウ</t>
    </rPh>
    <phoneticPr fontId="2"/>
  </si>
  <si>
    <t>契約期間</t>
    <rPh sb="0" eb="2">
      <t>ケイヤク</t>
    </rPh>
    <rPh sb="2" eb="4">
      <t>キカン</t>
    </rPh>
    <phoneticPr fontId="2"/>
  </si>
  <si>
    <t>加盟モデル</t>
    <rPh sb="0" eb="2">
      <t>カメイ</t>
    </rPh>
    <phoneticPr fontId="2"/>
  </si>
  <si>
    <t>加盟金</t>
    <rPh sb="0" eb="2">
      <t>カメイ</t>
    </rPh>
    <rPh sb="2" eb="3">
      <t>キン</t>
    </rPh>
    <phoneticPr fontId="2"/>
  </si>
  <si>
    <t>保証金</t>
    <rPh sb="0" eb="3">
      <t>ホショウキン</t>
    </rPh>
    <phoneticPr fontId="2"/>
  </si>
  <si>
    <t>開業日数</t>
    <rPh sb="0" eb="2">
      <t>カイギョウ</t>
    </rPh>
    <rPh sb="2" eb="4">
      <t>ニッスウ</t>
    </rPh>
    <phoneticPr fontId="2"/>
  </si>
  <si>
    <t>収支モデル</t>
    <rPh sb="0" eb="2">
      <t>シュウシ</t>
    </rPh>
    <phoneticPr fontId="2"/>
  </si>
  <si>
    <t>売上（月）</t>
    <rPh sb="0" eb="2">
      <t>ウリアゲ</t>
    </rPh>
    <rPh sb="3" eb="4">
      <t>ゲツ</t>
    </rPh>
    <phoneticPr fontId="2"/>
  </si>
  <si>
    <t>原価（月）</t>
    <rPh sb="0" eb="2">
      <t>ゲンカ</t>
    </rPh>
    <rPh sb="3" eb="4">
      <t>ツキ</t>
    </rPh>
    <phoneticPr fontId="2"/>
  </si>
  <si>
    <t>原価率</t>
    <rPh sb="0" eb="2">
      <t>ゲンカ</t>
    </rPh>
    <rPh sb="2" eb="3">
      <t>リツ</t>
    </rPh>
    <phoneticPr fontId="2"/>
  </si>
  <si>
    <t>人件費率</t>
    <rPh sb="0" eb="3">
      <t>ジンケンヒ</t>
    </rPh>
    <rPh sb="3" eb="4">
      <t>リツ</t>
    </rPh>
    <phoneticPr fontId="2"/>
  </si>
  <si>
    <t>人件費（月）</t>
    <rPh sb="0" eb="3">
      <t>ジンケンヒ</t>
    </rPh>
    <rPh sb="4" eb="5">
      <t>ツキ</t>
    </rPh>
    <phoneticPr fontId="2"/>
  </si>
  <si>
    <t>賃料</t>
    <rPh sb="0" eb="2">
      <t>チンリョウ</t>
    </rPh>
    <phoneticPr fontId="2"/>
  </si>
  <si>
    <t>光熱費</t>
    <rPh sb="0" eb="3">
      <t>コウネツヒ</t>
    </rPh>
    <phoneticPr fontId="2"/>
  </si>
  <si>
    <t>その他経費</t>
    <rPh sb="2" eb="3">
      <t>ホカ</t>
    </rPh>
    <rPh sb="3" eb="5">
      <t>ケイヒ</t>
    </rPh>
    <phoneticPr fontId="2"/>
  </si>
  <si>
    <t>営業利益</t>
    <rPh sb="0" eb="2">
      <t>エイギョウ</t>
    </rPh>
    <rPh sb="2" eb="4">
      <t>リエキ</t>
    </rPh>
    <phoneticPr fontId="2"/>
  </si>
  <si>
    <t>経費率</t>
    <rPh sb="0" eb="2">
      <t>ケイヒ</t>
    </rPh>
    <rPh sb="2" eb="3">
      <t>リツ</t>
    </rPh>
    <phoneticPr fontId="2"/>
  </si>
  <si>
    <t>営業利益率</t>
    <rPh sb="0" eb="2">
      <t>エイギョウ</t>
    </rPh>
    <rPh sb="2" eb="4">
      <t>リエキ</t>
    </rPh>
    <rPh sb="4" eb="5">
      <t>リツ</t>
    </rPh>
    <phoneticPr fontId="2"/>
  </si>
  <si>
    <t>投資回収（年）</t>
    <rPh sb="0" eb="2">
      <t>トウシ</t>
    </rPh>
    <rPh sb="2" eb="4">
      <t>カイシュウ</t>
    </rPh>
    <rPh sb="5" eb="6">
      <t>ネン</t>
    </rPh>
    <phoneticPr fontId="2"/>
  </si>
  <si>
    <t>ベーカリーレストランサンマルク</t>
    <phoneticPr fontId="2"/>
  </si>
  <si>
    <t>サンマルクHD</t>
    <phoneticPr fontId="2"/>
  </si>
  <si>
    <t>3800億円</t>
    <rPh sb="4" eb="6">
      <t>オクエン</t>
    </rPh>
    <phoneticPr fontId="2"/>
  </si>
  <si>
    <t>8年</t>
    <rPh sb="1" eb="2">
      <t>ネン</t>
    </rPh>
    <phoneticPr fontId="2"/>
  </si>
  <si>
    <t>5年</t>
    <rPh sb="1" eb="2">
      <t>ネン</t>
    </rPh>
    <phoneticPr fontId="2"/>
  </si>
  <si>
    <t>-</t>
    <phoneticPr fontId="2"/>
  </si>
  <si>
    <t>込</t>
    <rPh sb="0" eb="1">
      <t>コミ</t>
    </rPh>
    <phoneticPr fontId="2"/>
  </si>
  <si>
    <t>PRONT</t>
    <phoneticPr fontId="2"/>
  </si>
  <si>
    <t>カフェ＆バー</t>
    <phoneticPr fontId="2"/>
  </si>
  <si>
    <t>167億円</t>
    <rPh sb="3" eb="5">
      <t>オクエン</t>
    </rPh>
    <phoneticPr fontId="2"/>
  </si>
  <si>
    <t>さかい珈琲</t>
    <rPh sb="3" eb="5">
      <t>コーヒー</t>
    </rPh>
    <phoneticPr fontId="2"/>
  </si>
  <si>
    <t>郊外型純喫茶店</t>
    <rPh sb="0" eb="3">
      <t>コウガイガタ</t>
    </rPh>
    <rPh sb="3" eb="4">
      <t>ジュン</t>
    </rPh>
    <rPh sb="4" eb="7">
      <t>キッサテン</t>
    </rPh>
    <phoneticPr fontId="2"/>
  </si>
  <si>
    <t>2.1億円</t>
    <rPh sb="3" eb="5">
      <t>オクエン</t>
    </rPh>
    <phoneticPr fontId="2"/>
  </si>
  <si>
    <t>席数×2,000円</t>
    <rPh sb="0" eb="2">
      <t>セキスウ</t>
    </rPh>
    <rPh sb="8" eb="9">
      <t>エン</t>
    </rPh>
    <phoneticPr fontId="2"/>
  </si>
  <si>
    <t>珈琲館</t>
    <rPh sb="0" eb="2">
      <t>コーヒー</t>
    </rPh>
    <rPh sb="2" eb="3">
      <t>カン</t>
    </rPh>
    <phoneticPr fontId="2"/>
  </si>
  <si>
    <t>フルサービス喫茶</t>
    <rPh sb="6" eb="8">
      <t>キッサ</t>
    </rPh>
    <phoneticPr fontId="2"/>
  </si>
  <si>
    <t>30,000円＋座席×200円</t>
    <rPh sb="6" eb="7">
      <t>エン</t>
    </rPh>
    <rPh sb="8" eb="10">
      <t>ザセキ</t>
    </rPh>
    <rPh sb="14" eb="15">
      <t>エン</t>
    </rPh>
    <phoneticPr fontId="2"/>
  </si>
  <si>
    <t>3年</t>
    <rPh sb="1" eb="2">
      <t>ネン</t>
    </rPh>
    <phoneticPr fontId="2"/>
  </si>
  <si>
    <t>イタリアントマト
カフェジュニア</t>
    <phoneticPr fontId="2"/>
  </si>
  <si>
    <t>イタリアンカフェ</t>
    <phoneticPr fontId="2"/>
  </si>
  <si>
    <t>店舗設備込</t>
    <rPh sb="0" eb="2">
      <t>テンポ</t>
    </rPh>
    <rPh sb="2" eb="4">
      <t>セツビ</t>
    </rPh>
    <rPh sb="4" eb="5">
      <t>コミ</t>
    </rPh>
    <phoneticPr fontId="2"/>
  </si>
  <si>
    <t>ピザーラ</t>
    <phoneticPr fontId="2"/>
  </si>
  <si>
    <t>ピザ</t>
    <phoneticPr fontId="2"/>
  </si>
  <si>
    <t>2％（15万円上限）</t>
    <rPh sb="5" eb="7">
      <t>マンエン</t>
    </rPh>
    <rPh sb="7" eb="9">
      <t>ジョウゲン</t>
    </rPh>
    <phoneticPr fontId="2"/>
  </si>
  <si>
    <t>フランチャイズWEBレポートhttp://fc.dai.co.jp/より</t>
    <phoneticPr fontId="2"/>
  </si>
  <si>
    <t>FC店舗　モデル数値</t>
    <rPh sb="2" eb="4">
      <t>テンポ</t>
    </rPh>
    <rPh sb="8" eb="10">
      <t>スウチ</t>
    </rPh>
    <phoneticPr fontId="2"/>
  </si>
  <si>
    <t>店舗型</t>
    <rPh sb="0" eb="2">
      <t>テンポ</t>
    </rPh>
    <rPh sb="2" eb="3">
      <t>ガタ</t>
    </rPh>
    <phoneticPr fontId="2"/>
  </si>
  <si>
    <t>郊外型</t>
    <rPh sb="0" eb="3">
      <t>コウガイガタ</t>
    </rPh>
    <phoneticPr fontId="2"/>
  </si>
  <si>
    <t>都市型</t>
    <rPh sb="0" eb="3">
      <t>トシガタ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</si>
  <si>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</si>
  <si>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減価償却費（8年償却）</t>
    <rPh sb="0" eb="2">
      <t>ゲンカ</t>
    </rPh>
    <rPh sb="2" eb="4">
      <t>ショウキャク</t>
    </rPh>
    <rPh sb="4" eb="5">
      <t>ヒ</t>
    </rPh>
    <rPh sb="7" eb="8">
      <t>ネン</t>
    </rPh>
    <rPh sb="8" eb="10">
      <t>ショウキャク</t>
    </rPh>
    <phoneticPr fontId="2"/>
  </si>
  <si>
    <t>FC店舗　モデル数値　参考数値</t>
    <rPh sb="2" eb="4">
      <t>テンポ</t>
    </rPh>
    <rPh sb="8" eb="10">
      <t>スウチ</t>
    </rPh>
    <rPh sb="11" eb="13">
      <t>サンコウ</t>
    </rPh>
    <rPh sb="13" eb="15">
      <t>スウチ</t>
    </rPh>
    <phoneticPr fontId="2"/>
  </si>
  <si>
    <t>店舗投資額</t>
    <rPh sb="0" eb="2">
      <t>テンポ</t>
    </rPh>
    <rPh sb="2" eb="4">
      <t>トウシ</t>
    </rPh>
    <rPh sb="4" eb="5">
      <t>ガク</t>
    </rPh>
    <phoneticPr fontId="2"/>
  </si>
  <si>
    <t>郊外型</t>
    <rPh sb="0" eb="3">
      <t>コウガイガタ</t>
    </rPh>
    <phoneticPr fontId="2"/>
  </si>
  <si>
    <t>都市型</t>
    <rPh sb="0" eb="3">
      <t>トシガタ</t>
    </rPh>
    <phoneticPr fontId="2"/>
  </si>
  <si>
    <t>サテライト型</t>
    <rPh sb="5" eb="6">
      <t>ガタ</t>
    </rPh>
    <phoneticPr fontId="2"/>
  </si>
  <si>
    <t>SC併設型</t>
    <rPh sb="2" eb="5">
      <t>ヘイセツガタ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</si>
  <si>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</si>
  <si>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本部管理費</t>
    <rPh sb="0" eb="2">
      <t>ホンブ</t>
    </rPh>
    <rPh sb="2" eb="5">
      <t>カンリヒ</t>
    </rPh>
    <phoneticPr fontId="2"/>
  </si>
  <si>
    <t>初期</t>
    <rPh sb="0" eb="2">
      <t>ショキ</t>
    </rPh>
    <phoneticPr fontId="2"/>
  </si>
  <si>
    <t>家賃保証金</t>
    <rPh sb="0" eb="2">
      <t>ヤチン</t>
    </rPh>
    <rPh sb="2" eb="4">
      <t>ホショウ</t>
    </rPh>
    <rPh sb="4" eb="5">
      <t>キン</t>
    </rPh>
    <phoneticPr fontId="2"/>
  </si>
  <si>
    <t>家賃月額</t>
    <rPh sb="0" eb="2">
      <t>ヤチン</t>
    </rPh>
    <rPh sb="2" eb="4">
      <t>ゲツガク</t>
    </rPh>
    <phoneticPr fontId="2"/>
  </si>
  <si>
    <t>営業権買取等</t>
    <rPh sb="0" eb="3">
      <t>エイギョウケン</t>
    </rPh>
    <rPh sb="3" eb="4">
      <t>カ</t>
    </rPh>
    <rPh sb="4" eb="5">
      <t>ト</t>
    </rPh>
    <rPh sb="5" eb="6">
      <t>トウ</t>
    </rPh>
    <phoneticPr fontId="2"/>
  </si>
  <si>
    <t>直営</t>
    <rPh sb="0" eb="2">
      <t>チョクエイ</t>
    </rPh>
    <phoneticPr fontId="2"/>
  </si>
  <si>
    <t>FC</t>
    <phoneticPr fontId="2"/>
  </si>
  <si>
    <t>保証金</t>
    <rPh sb="0" eb="3">
      <t>ホショウキン</t>
    </rPh>
    <phoneticPr fontId="2"/>
  </si>
  <si>
    <t>投資等</t>
    <rPh sb="0" eb="2">
      <t>トウシ</t>
    </rPh>
    <rPh sb="2" eb="3">
      <t>トウ</t>
    </rPh>
    <phoneticPr fontId="2"/>
  </si>
  <si>
    <t>（税引後利益）</t>
    <rPh sb="1" eb="3">
      <t>ゼイビ</t>
    </rPh>
    <rPh sb="3" eb="4">
      <t>ゴ</t>
    </rPh>
    <rPh sb="4" eb="6">
      <t>リエキ</t>
    </rPh>
    <phoneticPr fontId="2"/>
  </si>
  <si>
    <t>　　毎月分返済額</t>
    <phoneticPr fontId="12"/>
  </si>
  <si>
    <t>回数</t>
  </si>
  <si>
    <t>返済日</t>
  </si>
  <si>
    <t>当月返済額</t>
  </si>
  <si>
    <t>元本　</t>
    <phoneticPr fontId="12"/>
  </si>
  <si>
    <t>利息　</t>
    <phoneticPr fontId="12"/>
  </si>
  <si>
    <t>日数</t>
    <rPh sb="0" eb="2">
      <t>ニッスウ</t>
    </rPh>
    <phoneticPr fontId="12"/>
  </si>
  <si>
    <t>合計　</t>
    <phoneticPr fontId="12"/>
  </si>
  <si>
    <t>残高　</t>
    <phoneticPr fontId="12"/>
  </si>
  <si>
    <t xml:space="preserve"> 合 計</t>
  </si>
  <si>
    <t>合計</t>
    <rPh sb="0" eb="2">
      <t>ゴウケイ</t>
    </rPh>
    <phoneticPr fontId="12"/>
  </si>
  <si>
    <t>　　毎月分返済額</t>
    <phoneticPr fontId="12"/>
  </si>
  <si>
    <t>利息　</t>
    <phoneticPr fontId="12"/>
  </si>
  <si>
    <t>合計　</t>
    <phoneticPr fontId="12"/>
  </si>
  <si>
    <t>残高　</t>
    <phoneticPr fontId="12"/>
  </si>
  <si>
    <t>元本　</t>
    <phoneticPr fontId="12"/>
  </si>
  <si>
    <t>回数</t>
    <phoneticPr fontId="12"/>
  </si>
  <si>
    <t>返済日</t>
    <phoneticPr fontId="12"/>
  </si>
  <si>
    <t>当月返済額</t>
    <phoneticPr fontId="12"/>
  </si>
  <si>
    <t>流動資産合計</t>
  </si>
  <si>
    <t>流動負債合計</t>
  </si>
  <si>
    <t>固定負債合計</t>
  </si>
  <si>
    <t>現預金</t>
    <rPh sb="0" eb="3">
      <t>ゲンヨキン</t>
    </rPh>
    <phoneticPr fontId="2"/>
  </si>
  <si>
    <t>売掛金</t>
    <rPh sb="0" eb="2">
      <t>ウリカケ</t>
    </rPh>
    <rPh sb="2" eb="3">
      <t>キン</t>
    </rPh>
    <phoneticPr fontId="2"/>
  </si>
  <si>
    <t>買掛金</t>
    <rPh sb="0" eb="3">
      <t>カイカケキン</t>
    </rPh>
    <phoneticPr fontId="2"/>
  </si>
  <si>
    <t>未払金</t>
    <rPh sb="0" eb="2">
      <t>ミハラ</t>
    </rPh>
    <rPh sb="2" eb="3">
      <t>キン</t>
    </rPh>
    <phoneticPr fontId="2"/>
  </si>
  <si>
    <t>固定資産合計</t>
    <rPh sb="0" eb="2">
      <t>コテイ</t>
    </rPh>
    <rPh sb="2" eb="4">
      <t>シサン</t>
    </rPh>
    <rPh sb="4" eb="6">
      <t>ゴウケイ</t>
    </rPh>
    <phoneticPr fontId="2"/>
  </si>
  <si>
    <t>金融借入</t>
    <rPh sb="0" eb="2">
      <t>キンユウ</t>
    </rPh>
    <rPh sb="2" eb="4">
      <t>カリイレ</t>
    </rPh>
    <phoneticPr fontId="2"/>
  </si>
  <si>
    <t>資本金</t>
    <rPh sb="0" eb="3">
      <t>シホンキン</t>
    </rPh>
    <phoneticPr fontId="2"/>
  </si>
  <si>
    <t>投資等</t>
    <rPh sb="0" eb="2">
      <t>トウシ</t>
    </rPh>
    <rPh sb="2" eb="3">
      <t>トウ</t>
    </rPh>
    <phoneticPr fontId="2"/>
  </si>
  <si>
    <t>未処分利益</t>
    <rPh sb="0" eb="3">
      <t>ミショブン</t>
    </rPh>
    <rPh sb="3" eb="5">
      <t>リエキ</t>
    </rPh>
    <phoneticPr fontId="2"/>
  </si>
  <si>
    <t>借方</t>
    <rPh sb="0" eb="2">
      <t>カリカタ</t>
    </rPh>
    <phoneticPr fontId="2"/>
  </si>
  <si>
    <t>貸方</t>
    <rPh sb="0" eb="2">
      <t>カシカタ</t>
    </rPh>
    <phoneticPr fontId="2"/>
  </si>
  <si>
    <t>営業権</t>
    <rPh sb="0" eb="3">
      <t>エイギョウケン</t>
    </rPh>
    <phoneticPr fontId="2"/>
  </si>
  <si>
    <t>H25年度　B/S</t>
    <rPh sb="3" eb="4">
      <t>ネン</t>
    </rPh>
    <rPh sb="4" eb="5">
      <t>ド</t>
    </rPh>
    <phoneticPr fontId="2"/>
  </si>
  <si>
    <t>営業権減累額</t>
    <rPh sb="0" eb="3">
      <t>エイギョウケン</t>
    </rPh>
    <rPh sb="3" eb="4">
      <t>ゲン</t>
    </rPh>
    <rPh sb="4" eb="5">
      <t>ルイ</t>
    </rPh>
    <rPh sb="5" eb="6">
      <t>ガク</t>
    </rPh>
    <phoneticPr fontId="2"/>
  </si>
  <si>
    <t>投資減償累</t>
    <rPh sb="0" eb="2">
      <t>トウシ</t>
    </rPh>
    <rPh sb="2" eb="3">
      <t>ゲン</t>
    </rPh>
    <rPh sb="3" eb="4">
      <t>ショウ</t>
    </rPh>
    <rPh sb="4" eb="5">
      <t>ルイ</t>
    </rPh>
    <phoneticPr fontId="2"/>
  </si>
  <si>
    <t>総売上(前年比）</t>
    <rPh sb="0" eb="1">
      <t>ソウ</t>
    </rPh>
    <rPh sb="1" eb="2">
      <t>ウ</t>
    </rPh>
    <rPh sb="2" eb="3">
      <t>ア</t>
    </rPh>
    <rPh sb="4" eb="7">
      <t>ゼンネンヒ</t>
    </rPh>
    <phoneticPr fontId="2"/>
  </si>
  <si>
    <t>Phase 1：基盤構築フェーズ</t>
    <rPh sb="8" eb="12">
      <t>キバンコウチクキ</t>
    </rPh>
    <phoneticPr fontId="2"/>
  </si>
  <si>
    <t>Phase 2：高成長フェーズ（目標は100%成長）</t>
    <rPh sb="8" eb="9">
      <t>タカ</t>
    </rPh>
    <rPh sb="9" eb="11">
      <t>セイチョウ</t>
    </rPh>
    <rPh sb="16" eb="18">
      <t>モクヒョウ</t>
    </rPh>
    <rPh sb="23" eb="25">
      <t>セイチョウ</t>
    </rPh>
    <phoneticPr fontId="2"/>
  </si>
  <si>
    <t>Phase3：安定成長フェーズ（目標は50%成長）</t>
    <rPh sb="7" eb="11">
      <t>アンテイセイチョウ</t>
    </rPh>
    <rPh sb="16" eb="18">
      <t>モクヒョウ</t>
    </rPh>
    <rPh sb="22" eb="24">
      <t>セイチョウ</t>
    </rPh>
    <phoneticPr fontId="2"/>
  </si>
  <si>
    <t>Phase4：海外進出基盤構築フェーズ</t>
    <rPh sb="7" eb="9">
      <t>カイガイジュンビ</t>
    </rPh>
    <rPh sb="9" eb="11">
      <t>シンシュツ</t>
    </rPh>
    <rPh sb="11" eb="13">
      <t>キバン</t>
    </rPh>
    <rPh sb="13" eb="15">
      <t>コウチク</t>
    </rPh>
    <phoneticPr fontId="2"/>
  </si>
  <si>
    <t>Phase5：海外成長フェーズ</t>
    <rPh sb="7" eb="9">
      <t>カイガイ</t>
    </rPh>
    <rPh sb="9" eb="11">
      <t>セイチョウ</t>
    </rPh>
    <phoneticPr fontId="2"/>
  </si>
  <si>
    <t>Phase6：海外安定成長フェーズ</t>
    <rPh sb="7" eb="9">
      <t>カイガイ</t>
    </rPh>
    <rPh sb="9" eb="11">
      <t>アンテイ</t>
    </rPh>
    <rPh sb="11" eb="13">
      <t>セイチョウ</t>
    </rPh>
    <phoneticPr fontId="2"/>
  </si>
  <si>
    <t>月平均売上</t>
    <rPh sb="0" eb="1">
      <t>ツキ</t>
    </rPh>
    <rPh sb="1" eb="5">
      <t>ヘイキンウリアゲ</t>
    </rPh>
    <phoneticPr fontId="2"/>
  </si>
  <si>
    <t>3-5</t>
    <phoneticPr fontId="2"/>
  </si>
  <si>
    <t>6-8</t>
    <phoneticPr fontId="2"/>
  </si>
  <si>
    <t>9-11</t>
    <phoneticPr fontId="2"/>
  </si>
  <si>
    <t>12-2</t>
    <phoneticPr fontId="2"/>
  </si>
  <si>
    <t>都市型</t>
    <rPh sb="0" eb="2">
      <t>トシ</t>
    </rPh>
    <rPh sb="2" eb="3">
      <t>カタ</t>
    </rPh>
    <phoneticPr fontId="2"/>
  </si>
  <si>
    <t>サテライト型</t>
    <rPh sb="5" eb="6">
      <t>カタ</t>
    </rPh>
    <phoneticPr fontId="2"/>
  </si>
  <si>
    <t>郊外型</t>
    <rPh sb="0" eb="2">
      <t>コウガイ</t>
    </rPh>
    <rPh sb="2" eb="3">
      <t>カタ</t>
    </rPh>
    <phoneticPr fontId="2"/>
  </si>
  <si>
    <t>SC内</t>
    <rPh sb="2" eb="3">
      <t>ナイ</t>
    </rPh>
    <phoneticPr fontId="2"/>
  </si>
  <si>
    <t>売上小計</t>
    <rPh sb="0" eb="2">
      <t>ウリアゲ</t>
    </rPh>
    <rPh sb="2" eb="4">
      <t>ショウケイ</t>
    </rPh>
    <phoneticPr fontId="2"/>
  </si>
  <si>
    <t>店舗数</t>
    <rPh sb="0" eb="2">
      <t>テンポ</t>
    </rPh>
    <rPh sb="2" eb="3">
      <t>スウ</t>
    </rPh>
    <phoneticPr fontId="2"/>
  </si>
  <si>
    <t>店舗売上小計</t>
    <rPh sb="0" eb="2">
      <t>テンポ</t>
    </rPh>
    <rPh sb="2" eb="4">
      <t>ウリアゲ</t>
    </rPh>
    <rPh sb="4" eb="6">
      <t>ショウケイ</t>
    </rPh>
    <phoneticPr fontId="2"/>
  </si>
  <si>
    <t>ロイヤルティ売上</t>
    <rPh sb="6" eb="8">
      <t>ウリアゲ</t>
    </rPh>
    <phoneticPr fontId="2"/>
  </si>
  <si>
    <t>店舗数</t>
    <rPh sb="0" eb="3">
      <t>テンポスウ</t>
    </rPh>
    <phoneticPr fontId="2"/>
  </si>
  <si>
    <t>全店舗数</t>
    <rPh sb="0" eb="1">
      <t>ゼン</t>
    </rPh>
    <rPh sb="1" eb="4">
      <t>テンポスウ</t>
    </rPh>
    <phoneticPr fontId="2"/>
  </si>
  <si>
    <t>直営FC合計売上</t>
    <rPh sb="0" eb="2">
      <t>チョクエイ</t>
    </rPh>
    <rPh sb="4" eb="6">
      <t>ゴウケイ</t>
    </rPh>
    <rPh sb="6" eb="8">
      <t>ウリアゲ</t>
    </rPh>
    <phoneticPr fontId="2"/>
  </si>
  <si>
    <t>年間売上</t>
    <rPh sb="0" eb="4">
      <t>ネンカンウリアゲ</t>
    </rPh>
    <phoneticPr fontId="2"/>
  </si>
  <si>
    <t>前年比</t>
    <rPh sb="0" eb="3">
      <t>ゼンネンヒ</t>
    </rPh>
    <phoneticPr fontId="2"/>
  </si>
  <si>
    <t>※２年目までに政令指定都市をカバー</t>
    <rPh sb="2" eb="4">
      <t>ネンメ</t>
    </rPh>
    <rPh sb="7" eb="11">
      <t>セイレイ</t>
    </rPh>
    <rPh sb="11" eb="13">
      <t>トシ</t>
    </rPh>
    <phoneticPr fontId="2"/>
  </si>
  <si>
    <t>※３年目までに中核市をカバー</t>
    <rPh sb="2" eb="4">
      <t>ネンメ</t>
    </rPh>
    <rPh sb="7" eb="10">
      <t>チュウカクシ</t>
    </rPh>
    <phoneticPr fontId="2"/>
  </si>
  <si>
    <t>※４年目終了で上場基準を満たして上場準備。海外進出準備</t>
    <rPh sb="2" eb="4">
      <t>ネンメ</t>
    </rPh>
    <rPh sb="4" eb="6">
      <t>シュウリョウ</t>
    </rPh>
    <rPh sb="7" eb="9">
      <t>ジョウジョウ</t>
    </rPh>
    <rPh sb="9" eb="11">
      <t>キジュン</t>
    </rPh>
    <rPh sb="12" eb="13">
      <t>ミ</t>
    </rPh>
    <rPh sb="16" eb="18">
      <t>ジョウジョウ</t>
    </rPh>
    <rPh sb="18" eb="20">
      <t>ジュンビ</t>
    </rPh>
    <rPh sb="21" eb="25">
      <t>カイガイシンシュツ</t>
    </rPh>
    <rPh sb="25" eb="27">
      <t>ジュンビ</t>
    </rPh>
    <phoneticPr fontId="2"/>
  </si>
  <si>
    <t>※５年間で展開して店舗数を３年間で達成し倍増する</t>
    <rPh sb="2" eb="4">
      <t>ネンカン</t>
    </rPh>
    <rPh sb="5" eb="7">
      <t>テンカイ</t>
    </rPh>
    <rPh sb="9" eb="11">
      <t>テンポ</t>
    </rPh>
    <rPh sb="11" eb="12">
      <t>スウ</t>
    </rPh>
    <rPh sb="14" eb="16">
      <t>ネンカン</t>
    </rPh>
    <rPh sb="17" eb="19">
      <t>タッセイ</t>
    </rPh>
    <rPh sb="20" eb="22">
      <t>バイゾウ</t>
    </rPh>
    <phoneticPr fontId="2"/>
  </si>
  <si>
    <t>※５年目終了で上場し、海外進出に向けて資金調達</t>
    <rPh sb="2" eb="4">
      <t>ネンメ</t>
    </rPh>
    <rPh sb="4" eb="6">
      <t>シュウリョウ</t>
    </rPh>
    <rPh sb="7" eb="9">
      <t>ジョウジョウ</t>
    </rPh>
    <rPh sb="11" eb="13">
      <t>カイガイ</t>
    </rPh>
    <rPh sb="13" eb="15">
      <t>シンシュツ</t>
    </rPh>
    <rPh sb="16" eb="17">
      <t>ム</t>
    </rPh>
    <rPh sb="19" eb="23">
      <t>シキンチョウタツ</t>
    </rPh>
    <phoneticPr fontId="2"/>
  </si>
  <si>
    <t>■海外展開分</t>
    <rPh sb="1" eb="3">
      <t>カイガイテン</t>
    </rPh>
    <rPh sb="3" eb="5">
      <t>テンカイ</t>
    </rPh>
    <rPh sb="5" eb="6">
      <t>ブン</t>
    </rPh>
    <phoneticPr fontId="2"/>
  </si>
  <si>
    <t>海外店舗数</t>
    <rPh sb="0" eb="2">
      <t>カイガイ</t>
    </rPh>
    <rPh sb="2" eb="5">
      <t>テンポスウ</t>
    </rPh>
    <phoneticPr fontId="2"/>
  </si>
  <si>
    <t>※米国、アジア２カ国で各国1店舗を展開</t>
    <rPh sb="1" eb="3">
      <t>ベイコク</t>
    </rPh>
    <rPh sb="9" eb="10">
      <t>コク</t>
    </rPh>
    <rPh sb="11" eb="13">
      <t>カッコク</t>
    </rPh>
    <rPh sb="14" eb="16">
      <t>テンポ</t>
    </rPh>
    <rPh sb="17" eb="19">
      <t>テンカイ</t>
    </rPh>
    <phoneticPr fontId="2"/>
  </si>
  <si>
    <t>※展開好調国で進出都市拡大</t>
    <rPh sb="1" eb="3">
      <t>テンカイ</t>
    </rPh>
    <rPh sb="3" eb="5">
      <t>コウチョウ</t>
    </rPh>
    <rPh sb="5" eb="6">
      <t>コク</t>
    </rPh>
    <rPh sb="7" eb="9">
      <t>シンシュツ</t>
    </rPh>
    <rPh sb="9" eb="11">
      <t>トシ</t>
    </rPh>
    <rPh sb="11" eb="13">
      <t>カクダイ</t>
    </rPh>
    <phoneticPr fontId="2"/>
  </si>
  <si>
    <t>※未進出国への進出</t>
    <rPh sb="1" eb="4">
      <t>ミシンシュツ</t>
    </rPh>
    <rPh sb="4" eb="5">
      <t>コク</t>
    </rPh>
    <rPh sb="7" eb="9">
      <t>シンシュツ</t>
    </rPh>
    <phoneticPr fontId="2"/>
  </si>
  <si>
    <t>※海外FC展開開始</t>
    <rPh sb="1" eb="3">
      <t>カイガイ</t>
    </rPh>
    <rPh sb="5" eb="7">
      <t>テンカイ</t>
    </rPh>
    <rPh sb="7" eb="9">
      <t>カイシ</t>
    </rPh>
    <phoneticPr fontId="2"/>
  </si>
  <si>
    <t>※各国でのFC本格展開</t>
    <rPh sb="1" eb="3">
      <t>カッコク</t>
    </rPh>
    <rPh sb="7" eb="9">
      <t>ホンカク</t>
    </rPh>
    <rPh sb="9" eb="11">
      <t>テンカイ</t>
    </rPh>
    <phoneticPr fontId="2"/>
  </si>
  <si>
    <t>H23年度</t>
    <rPh sb="3" eb="5">
      <t>ネンド</t>
    </rPh>
    <phoneticPr fontId="2"/>
  </si>
  <si>
    <t>社債</t>
    <rPh sb="0" eb="2">
      <t>シャサイ</t>
    </rPh>
    <phoneticPr fontId="2"/>
  </si>
  <si>
    <t>融資金額：14,494,000円</t>
    <phoneticPr fontId="13"/>
  </si>
  <si>
    <t>利率：2.875 %</t>
    <phoneticPr fontId="12"/>
  </si>
  <si>
    <t>融資日：2011/05/01</t>
    <phoneticPr fontId="13"/>
  </si>
  <si>
    <t>融資期間：5年、返済：25日</t>
    <phoneticPr fontId="12"/>
  </si>
  <si>
    <t>融資金額：11,767,000円</t>
    <phoneticPr fontId="13"/>
  </si>
  <si>
    <t>利率：1.900 %</t>
    <phoneticPr fontId="12"/>
  </si>
  <si>
    <t>融資期間：7年、返済：25日</t>
    <phoneticPr fontId="12"/>
  </si>
  <si>
    <t>もみじ</t>
    <phoneticPr fontId="12"/>
  </si>
  <si>
    <t>融資金額：12,756,000円</t>
    <phoneticPr fontId="13"/>
  </si>
  <si>
    <t>利率：2.225 %</t>
    <phoneticPr fontId="12"/>
  </si>
  <si>
    <t>融資金額：70,000,000円</t>
    <phoneticPr fontId="13"/>
  </si>
  <si>
    <t>利率：1.150 %</t>
    <phoneticPr fontId="12"/>
  </si>
  <si>
    <t>融資日：2010/07/28</t>
    <phoneticPr fontId="13"/>
  </si>
  <si>
    <t>融資期間：13年、返済：10日</t>
    <phoneticPr fontId="12"/>
  </si>
  <si>
    <t>融資金額：13,230,000円</t>
    <phoneticPr fontId="13"/>
  </si>
  <si>
    <t>利率：1.850 %</t>
    <phoneticPr fontId="12"/>
  </si>
  <si>
    <t>融資日：2010/12/01</t>
    <phoneticPr fontId="13"/>
  </si>
  <si>
    <t>融資期間：5年、返済：31日</t>
    <phoneticPr fontId="12"/>
  </si>
  <si>
    <t>国金</t>
    <rPh sb="0" eb="1">
      <t>コク</t>
    </rPh>
    <rPh sb="1" eb="2">
      <t>キン</t>
    </rPh>
    <phoneticPr fontId="12"/>
  </si>
  <si>
    <t>千円</t>
    <rPh sb="0" eb="1">
      <t>セン</t>
    </rPh>
    <rPh sb="1" eb="2">
      <t>エン</t>
    </rPh>
    <phoneticPr fontId="2"/>
  </si>
  <si>
    <t>キャッシュフロー</t>
    <phoneticPr fontId="2"/>
  </si>
  <si>
    <t>開業費</t>
    <rPh sb="0" eb="2">
      <t>カイギョウ</t>
    </rPh>
    <rPh sb="2" eb="3">
      <t>ヒ</t>
    </rPh>
    <phoneticPr fontId="2"/>
  </si>
  <si>
    <t>社債</t>
    <rPh sb="0" eb="2">
      <t>シャサイ</t>
    </rPh>
    <phoneticPr fontId="12"/>
  </si>
  <si>
    <t>BS</t>
    <phoneticPr fontId="2"/>
  </si>
  <si>
    <t>・営業権償却については会計処理は20年。</t>
    <rPh sb="1" eb="4">
      <t>エイギョウケン</t>
    </rPh>
    <rPh sb="4" eb="6">
      <t>ショウキャク</t>
    </rPh>
    <rPh sb="11" eb="13">
      <t>カイケイ</t>
    </rPh>
    <rPh sb="13" eb="15">
      <t>ショリ</t>
    </rPh>
    <rPh sb="18" eb="19">
      <t>ネン</t>
    </rPh>
    <phoneticPr fontId="2"/>
  </si>
  <si>
    <t>・営業権償却については税務処理は5年</t>
    <rPh sb="1" eb="4">
      <t>エイギョウケン</t>
    </rPh>
    <rPh sb="4" eb="6">
      <t>ショウキャク</t>
    </rPh>
    <rPh sb="11" eb="13">
      <t>ゼイム</t>
    </rPh>
    <rPh sb="13" eb="15">
      <t>ショリ</t>
    </rPh>
    <rPh sb="17" eb="18">
      <t>ネン</t>
    </rPh>
    <phoneticPr fontId="2"/>
  </si>
  <si>
    <t>営業権未払金</t>
    <rPh sb="0" eb="3">
      <t>エイギョウケン</t>
    </rPh>
    <rPh sb="3" eb="5">
      <t>ミハラ</t>
    </rPh>
    <rPh sb="5" eb="6">
      <t>キン</t>
    </rPh>
    <phoneticPr fontId="2"/>
  </si>
  <si>
    <t>営業権未払金</t>
    <rPh sb="0" eb="3">
      <t>エイギョウケン</t>
    </rPh>
    <rPh sb="3" eb="5">
      <t>ミハラ</t>
    </rPh>
    <rPh sb="5" eb="6">
      <t>キン</t>
    </rPh>
    <phoneticPr fontId="2"/>
  </si>
  <si>
    <t>・開業費償却については会計・税務処理は5年。</t>
    <rPh sb="1" eb="3">
      <t>カイギョウ</t>
    </rPh>
    <rPh sb="3" eb="4">
      <t>ヒ</t>
    </rPh>
    <rPh sb="4" eb="6">
      <t>ショウキャク</t>
    </rPh>
    <rPh sb="11" eb="13">
      <t>カイケイ</t>
    </rPh>
    <rPh sb="14" eb="16">
      <t>ゼイム</t>
    </rPh>
    <rPh sb="16" eb="18">
      <t>ショリ</t>
    </rPh>
    <rPh sb="20" eb="21">
      <t>ネン</t>
    </rPh>
    <phoneticPr fontId="2"/>
  </si>
  <si>
    <t>5</t>
    <phoneticPr fontId="2"/>
  </si>
  <si>
    <t>１月</t>
    <rPh sb="1" eb="2">
      <t>ガツ</t>
    </rPh>
    <phoneticPr fontId="2"/>
  </si>
  <si>
    <t>2月</t>
    <rPh sb="1" eb="2">
      <t>ガツ</t>
    </rPh>
    <phoneticPr fontId="2"/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</si>
  <si>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</si>
  <si>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</si>
  <si>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</si>
  <si>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</si>
  <si>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</si>
  <si>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</si>
  <si>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</si>
  <si>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</si>
  <si>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</si>
  <si>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</si>
  <si>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1月</t>
    <rPh sb="1" eb="2">
      <t>ガツ</t>
    </rPh>
    <phoneticPr fontId="2"/>
  </si>
  <si>
    <t>通常基本報酬</t>
    <rPh sb="0" eb="2">
      <t>ツウジョウ</t>
    </rPh>
    <rPh sb="2" eb="4">
      <t>キホン</t>
    </rPh>
    <rPh sb="4" eb="6">
      <t>ホウシュウ</t>
    </rPh>
    <phoneticPr fontId="2"/>
  </si>
  <si>
    <t>施設外基本報酬</t>
    <rPh sb="0" eb="3">
      <t>シセツガイ</t>
    </rPh>
    <rPh sb="3" eb="5">
      <t>キホン</t>
    </rPh>
    <rPh sb="5" eb="7">
      <t>ホウシュウ</t>
    </rPh>
    <phoneticPr fontId="2"/>
  </si>
  <si>
    <t>通常利用者数</t>
    <rPh sb="0" eb="2">
      <t>ツウジョウ</t>
    </rPh>
    <rPh sb="2" eb="5">
      <t>リヨウシャ</t>
    </rPh>
    <rPh sb="5" eb="6">
      <t>スウ</t>
    </rPh>
    <phoneticPr fontId="2"/>
  </si>
  <si>
    <t>施設外利用者数</t>
    <rPh sb="0" eb="3">
      <t>シセツガイ</t>
    </rPh>
    <rPh sb="3" eb="6">
      <t>リヨウシャ</t>
    </rPh>
    <rPh sb="6" eb="7">
      <t>スウ</t>
    </rPh>
    <phoneticPr fontId="2"/>
  </si>
  <si>
    <t>稼働率</t>
    <rPh sb="0" eb="2">
      <t>カドウ</t>
    </rPh>
    <rPh sb="2" eb="3">
      <t>リツ</t>
    </rPh>
    <phoneticPr fontId="2"/>
  </si>
  <si>
    <t>通常給付金</t>
    <rPh sb="0" eb="2">
      <t>ツウジョウ</t>
    </rPh>
    <rPh sb="2" eb="5">
      <t>キュウフキン</t>
    </rPh>
    <phoneticPr fontId="2"/>
  </si>
  <si>
    <t>施設外給付金</t>
    <rPh sb="0" eb="3">
      <t>シセツガイ</t>
    </rPh>
    <rPh sb="3" eb="6">
      <t>キュウフキン</t>
    </rPh>
    <phoneticPr fontId="2"/>
  </si>
  <si>
    <t>管理者</t>
    <rPh sb="0" eb="3">
      <t>カンリシャ</t>
    </rPh>
    <phoneticPr fontId="2"/>
  </si>
  <si>
    <t>サービス管理責任者</t>
    <rPh sb="4" eb="6">
      <t>カンリ</t>
    </rPh>
    <rPh sb="6" eb="8">
      <t>セキニン</t>
    </rPh>
    <rPh sb="8" eb="9">
      <t>シャ</t>
    </rPh>
    <phoneticPr fontId="2"/>
  </si>
  <si>
    <t>生活支援員等</t>
    <rPh sb="0" eb="2">
      <t>セイカツ</t>
    </rPh>
    <rPh sb="2" eb="4">
      <t>シエン</t>
    </rPh>
    <rPh sb="4" eb="5">
      <t>イン</t>
    </rPh>
    <rPh sb="5" eb="6">
      <t>トウ</t>
    </rPh>
    <phoneticPr fontId="2"/>
  </si>
  <si>
    <t>施設外支援員</t>
    <rPh sb="0" eb="3">
      <t>シセツガイ</t>
    </rPh>
    <rPh sb="3" eb="5">
      <t>シエン</t>
    </rPh>
    <rPh sb="5" eb="6">
      <t>イン</t>
    </rPh>
    <phoneticPr fontId="2"/>
  </si>
  <si>
    <t>朝原</t>
    <rPh sb="0" eb="2">
      <t>アサハラ</t>
    </rPh>
    <phoneticPr fontId="2"/>
  </si>
  <si>
    <t>訓練給付金等</t>
    <rPh sb="0" eb="2">
      <t>クンレン</t>
    </rPh>
    <rPh sb="2" eb="4">
      <t>キュウフ</t>
    </rPh>
    <rPh sb="4" eb="5">
      <t>キン</t>
    </rPh>
    <rPh sb="5" eb="6">
      <t>トウ</t>
    </rPh>
    <phoneticPr fontId="2"/>
  </si>
  <si>
    <t>訓練給付金</t>
    <rPh sb="0" eb="2">
      <t>クンレン</t>
    </rPh>
    <rPh sb="2" eb="4">
      <t>キュウフ</t>
    </rPh>
    <rPh sb="4" eb="5">
      <t>キン</t>
    </rPh>
    <phoneticPr fontId="2"/>
  </si>
  <si>
    <t>2か月後15日入金</t>
    <rPh sb="2" eb="4">
      <t>ゲツゴ</t>
    </rPh>
    <rPh sb="6" eb="7">
      <t>ニチ</t>
    </rPh>
    <rPh sb="7" eb="9">
      <t>ニュウキン</t>
    </rPh>
    <phoneticPr fontId="2"/>
  </si>
  <si>
    <t>就労売上</t>
    <rPh sb="0" eb="2">
      <t>シュウロウ</t>
    </rPh>
    <rPh sb="2" eb="4">
      <t>ウリアゲ</t>
    </rPh>
    <phoneticPr fontId="2"/>
  </si>
  <si>
    <t>目標工賃達成指導員加算</t>
    <rPh sb="0" eb="9">
      <t>モクヒョウコウチンタッセイシドウイン</t>
    </rPh>
    <rPh sb="9" eb="11">
      <t>カサン</t>
    </rPh>
    <phoneticPr fontId="2"/>
  </si>
  <si>
    <t>人員配置</t>
    <rPh sb="0" eb="2">
      <t>ジンイン</t>
    </rPh>
    <rPh sb="2" eb="4">
      <t>ハイチ</t>
    </rPh>
    <phoneticPr fontId="2"/>
  </si>
  <si>
    <t>目標工賃達成指導員</t>
  </si>
  <si>
    <t>福祉的就労売上</t>
    <rPh sb="0" eb="3">
      <t>フクシテキ</t>
    </rPh>
    <rPh sb="3" eb="5">
      <t>シュウロウ</t>
    </rPh>
    <rPh sb="5" eb="7">
      <t>ウリアゲ</t>
    </rPh>
    <phoneticPr fontId="2"/>
  </si>
  <si>
    <t>部門別経費</t>
    <rPh sb="0" eb="2">
      <t>ブモン</t>
    </rPh>
    <rPh sb="2" eb="3">
      <t>ベツ</t>
    </rPh>
    <rPh sb="3" eb="5">
      <t>ケイヒ</t>
    </rPh>
    <phoneticPr fontId="2"/>
  </si>
  <si>
    <t>人件費</t>
    <rPh sb="0" eb="3">
      <t>ジンケンヒ</t>
    </rPh>
    <phoneticPr fontId="2"/>
  </si>
  <si>
    <t>家賃等</t>
    <rPh sb="0" eb="2">
      <t>ヤチン</t>
    </rPh>
    <rPh sb="2" eb="3">
      <t>トウ</t>
    </rPh>
    <phoneticPr fontId="2"/>
  </si>
  <si>
    <t>福祉的就労</t>
    <rPh sb="0" eb="3">
      <t>フクシテキ</t>
    </rPh>
    <rPh sb="3" eb="5">
      <t>シュウロウ</t>
    </rPh>
    <phoneticPr fontId="2"/>
  </si>
  <si>
    <t>工賃</t>
    <rPh sb="0" eb="2">
      <t>コウチン</t>
    </rPh>
    <phoneticPr fontId="2"/>
  </si>
  <si>
    <t>材料経費</t>
    <rPh sb="0" eb="2">
      <t>ザイリョウ</t>
    </rPh>
    <rPh sb="2" eb="4">
      <t>ケイヒ</t>
    </rPh>
    <phoneticPr fontId="2"/>
  </si>
  <si>
    <t>SDGs事業</t>
    <rPh sb="4" eb="6">
      <t>ジギョウ</t>
    </rPh>
    <phoneticPr fontId="2"/>
  </si>
  <si>
    <t>必要工賃原資</t>
    <rPh sb="0" eb="2">
      <t>ヒツヨウ</t>
    </rPh>
    <rPh sb="2" eb="4">
      <t>コウチン</t>
    </rPh>
    <rPh sb="4" eb="6">
      <t>ゲンシ</t>
    </rPh>
    <phoneticPr fontId="2"/>
  </si>
  <si>
    <t>給付費合計</t>
    <rPh sb="0" eb="2">
      <t>キュウフ</t>
    </rPh>
    <rPh sb="2" eb="3">
      <t>ヒ</t>
    </rPh>
    <rPh sb="3" eb="5">
      <t>ゴウケイ</t>
    </rPh>
    <phoneticPr fontId="2"/>
  </si>
  <si>
    <t>給付費合計（千円）</t>
    <rPh sb="0" eb="2">
      <t>キュウフ</t>
    </rPh>
    <rPh sb="2" eb="3">
      <t>ヒ</t>
    </rPh>
    <rPh sb="3" eb="5">
      <t>ゴウケイ</t>
    </rPh>
    <rPh sb="6" eb="8">
      <t>センエン</t>
    </rPh>
    <phoneticPr fontId="2"/>
  </si>
  <si>
    <t>渡邊</t>
    <rPh sb="0" eb="2">
      <t>ワタナベ</t>
    </rPh>
    <phoneticPr fontId="2"/>
  </si>
  <si>
    <t>秀川</t>
    <rPh sb="0" eb="1">
      <t>ヒデ</t>
    </rPh>
    <rPh sb="1" eb="2">
      <t>カワ</t>
    </rPh>
    <phoneticPr fontId="2"/>
  </si>
  <si>
    <t>村上</t>
    <rPh sb="0" eb="2">
      <t>ムラカミ</t>
    </rPh>
    <phoneticPr fontId="2"/>
  </si>
  <si>
    <t>社会保険</t>
    <rPh sb="0" eb="2">
      <t>シャカイ</t>
    </rPh>
    <rPh sb="2" eb="4">
      <t>ホケン</t>
    </rPh>
    <phoneticPr fontId="2"/>
  </si>
  <si>
    <t>16％計算</t>
    <rPh sb="3" eb="5">
      <t>ケイサン</t>
    </rPh>
    <phoneticPr fontId="2"/>
  </si>
  <si>
    <t>月額工賃</t>
    <rPh sb="0" eb="2">
      <t>ゲツガク</t>
    </rPh>
    <rPh sb="2" eb="4">
      <t>コウチン</t>
    </rPh>
    <phoneticPr fontId="2"/>
  </si>
  <si>
    <t>送迎加算</t>
    <rPh sb="0" eb="2">
      <t>ソウゲイ</t>
    </rPh>
    <rPh sb="2" eb="4">
      <t>カサン</t>
    </rPh>
    <phoneticPr fontId="2"/>
  </si>
  <si>
    <t>配置人数</t>
    <rPh sb="0" eb="2">
      <t>ハイチ</t>
    </rPh>
    <rPh sb="2" eb="4">
      <t>ニンズウ</t>
    </rPh>
    <phoneticPr fontId="2"/>
  </si>
  <si>
    <t>就労支援員</t>
    <rPh sb="0" eb="2">
      <t>シュウロウ</t>
    </rPh>
    <rPh sb="2" eb="4">
      <t>シエン</t>
    </rPh>
    <rPh sb="4" eb="5">
      <t>イン</t>
    </rPh>
    <phoneticPr fontId="2"/>
  </si>
  <si>
    <t>増井</t>
    <rPh sb="0" eb="2">
      <t>マスイ</t>
    </rPh>
    <phoneticPr fontId="2"/>
  </si>
  <si>
    <t>寺田</t>
    <rPh sb="0" eb="2">
      <t>テラダ</t>
    </rPh>
    <phoneticPr fontId="2"/>
  </si>
  <si>
    <t>瀧川</t>
    <rPh sb="0" eb="2">
      <t>タキガワ</t>
    </rPh>
    <phoneticPr fontId="2"/>
  </si>
  <si>
    <t>社会保険料</t>
    <rPh sb="0" eb="2">
      <t>シャカイ</t>
    </rPh>
    <rPh sb="2" eb="5">
      <t>ホケンリョウ</t>
    </rPh>
    <phoneticPr fontId="2"/>
  </si>
  <si>
    <t>管理費（水道光熱燃料等）</t>
    <rPh sb="0" eb="3">
      <t>カンリヒ</t>
    </rPh>
    <rPh sb="4" eb="6">
      <t>スイドウ</t>
    </rPh>
    <rPh sb="6" eb="8">
      <t>コウネツ</t>
    </rPh>
    <rPh sb="8" eb="10">
      <t>ネンリョウ</t>
    </rPh>
    <rPh sb="10" eb="11">
      <t>トウ</t>
    </rPh>
    <phoneticPr fontId="2"/>
  </si>
  <si>
    <t>売上月末締め翌月末払い</t>
    <rPh sb="0" eb="2">
      <t>ウリアゲ</t>
    </rPh>
    <rPh sb="2" eb="4">
      <t>ゲツマツ</t>
    </rPh>
    <rPh sb="4" eb="5">
      <t>ジ</t>
    </rPh>
    <rPh sb="6" eb="9">
      <t>ヨクゲツマツ</t>
    </rPh>
    <rPh sb="9" eb="10">
      <t>ハラ</t>
    </rPh>
    <phoneticPr fontId="2"/>
  </si>
  <si>
    <t>諸費</t>
    <rPh sb="0" eb="2">
      <t>ショヒ</t>
    </rPh>
    <phoneticPr fontId="2"/>
  </si>
  <si>
    <t>人件費（工賃・社保含）</t>
    <rPh sb="0" eb="3">
      <t>ジンケンヒ</t>
    </rPh>
    <rPh sb="4" eb="6">
      <t>コウチン</t>
    </rPh>
    <rPh sb="7" eb="9">
      <t>シャホ</t>
    </rPh>
    <rPh sb="9" eb="10">
      <t>フク</t>
    </rPh>
    <phoneticPr fontId="2"/>
  </si>
  <si>
    <t>諸経費</t>
    <rPh sb="0" eb="3">
      <t>ショケイヒ</t>
    </rPh>
    <phoneticPr fontId="2"/>
  </si>
  <si>
    <t>現金支払い</t>
    <rPh sb="0" eb="2">
      <t>ゲンキン</t>
    </rPh>
    <rPh sb="2" eb="4">
      <t>シハラ</t>
    </rPh>
    <phoneticPr fontId="2"/>
  </si>
  <si>
    <t>掛支払</t>
    <rPh sb="0" eb="1">
      <t>カ</t>
    </rPh>
    <rPh sb="1" eb="3">
      <t>シハラ</t>
    </rPh>
    <phoneticPr fontId="2"/>
  </si>
  <si>
    <t>特定困難者受給</t>
    <rPh sb="0" eb="2">
      <t>トクテイ</t>
    </rPh>
    <rPh sb="2" eb="4">
      <t>コンナン</t>
    </rPh>
    <rPh sb="4" eb="5">
      <t>シャ</t>
    </rPh>
    <rPh sb="5" eb="7">
      <t>ジュキュウ</t>
    </rPh>
    <phoneticPr fontId="2"/>
  </si>
  <si>
    <t>利用者総数</t>
    <rPh sb="0" eb="2">
      <t>リヨウ</t>
    </rPh>
    <rPh sb="2" eb="3">
      <t>シャ</t>
    </rPh>
    <rPh sb="3" eb="5">
      <t>ソウスウ</t>
    </rPh>
    <phoneticPr fontId="2"/>
  </si>
  <si>
    <t>改装等</t>
    <rPh sb="0" eb="2">
      <t>カイソウ</t>
    </rPh>
    <rPh sb="2" eb="3">
      <t>トウ</t>
    </rPh>
    <phoneticPr fontId="2"/>
  </si>
  <si>
    <t>創業費/買収</t>
    <rPh sb="0" eb="2">
      <t>ソウギョウ</t>
    </rPh>
    <rPh sb="2" eb="3">
      <t>ヒ</t>
    </rPh>
    <rPh sb="4" eb="6">
      <t>バイシュウ</t>
    </rPh>
    <phoneticPr fontId="2"/>
  </si>
  <si>
    <t>R2</t>
    <phoneticPr fontId="2"/>
  </si>
  <si>
    <t>R3</t>
    <phoneticPr fontId="2"/>
  </si>
  <si>
    <t>R4</t>
    <phoneticPr fontId="2"/>
  </si>
  <si>
    <t>事業原価</t>
    <rPh sb="0" eb="2">
      <t>ジギョウ</t>
    </rPh>
    <rPh sb="2" eb="4">
      <t>ゲンカ</t>
    </rPh>
    <phoneticPr fontId="2"/>
  </si>
  <si>
    <t>創業費・買収費等</t>
    <rPh sb="0" eb="2">
      <t>ソウギョウ</t>
    </rPh>
    <rPh sb="2" eb="3">
      <t>ヒ</t>
    </rPh>
    <rPh sb="4" eb="6">
      <t>バイシュウ</t>
    </rPh>
    <rPh sb="6" eb="7">
      <t>ヒ</t>
    </rPh>
    <rPh sb="7" eb="8">
      <t>トウ</t>
    </rPh>
    <phoneticPr fontId="2"/>
  </si>
  <si>
    <t>改装費等</t>
    <rPh sb="0" eb="2">
      <t>カイソウ</t>
    </rPh>
    <rPh sb="2" eb="3">
      <t>ヒ</t>
    </rPh>
    <rPh sb="3" eb="4">
      <t>トウ</t>
    </rPh>
    <phoneticPr fontId="2"/>
  </si>
  <si>
    <t>返済シュミレーション（元金均等返済）</t>
    <rPh sb="0" eb="2">
      <t>ヘンサイ</t>
    </rPh>
    <rPh sb="11" eb="13">
      <t>ガンキン</t>
    </rPh>
    <rPh sb="13" eb="15">
      <t>キントウ</t>
    </rPh>
    <rPh sb="15" eb="17">
      <t>ヘンサイ</t>
    </rPh>
    <phoneticPr fontId="13"/>
  </si>
  <si>
    <t>借入先</t>
    <rPh sb="0" eb="3">
      <t>カリイレサキ</t>
    </rPh>
    <phoneticPr fontId="13"/>
  </si>
  <si>
    <t>借入金額</t>
    <rPh sb="0" eb="2">
      <t>カリイレ</t>
    </rPh>
    <rPh sb="2" eb="4">
      <t>キンガク</t>
    </rPh>
    <phoneticPr fontId="13"/>
  </si>
  <si>
    <t>円</t>
    <rPh sb="0" eb="1">
      <t>エン</t>
    </rPh>
    <phoneticPr fontId="13"/>
  </si>
  <si>
    <t>借入日</t>
    <rPh sb="0" eb="3">
      <t>カリイレビ</t>
    </rPh>
    <phoneticPr fontId="13"/>
  </si>
  <si>
    <t>年</t>
    <rPh sb="0" eb="1">
      <t>ネン</t>
    </rPh>
    <phoneticPr fontId="13"/>
  </si>
  <si>
    <t>月</t>
    <rPh sb="0" eb="1">
      <t>ツキ</t>
    </rPh>
    <phoneticPr fontId="13"/>
  </si>
  <si>
    <t>日</t>
    <rPh sb="0" eb="1">
      <t>ニチ</t>
    </rPh>
    <phoneticPr fontId="13"/>
  </si>
  <si>
    <t>返済開始日</t>
    <rPh sb="0" eb="2">
      <t>ヘンサイ</t>
    </rPh>
    <rPh sb="2" eb="5">
      <t>カイシビ</t>
    </rPh>
    <phoneticPr fontId="13"/>
  </si>
  <si>
    <t>返済回数</t>
    <rPh sb="0" eb="4">
      <t>ヘンサイカイス</t>
    </rPh>
    <phoneticPr fontId="13"/>
  </si>
  <si>
    <t>回</t>
    <rPh sb="0" eb="1">
      <t>カイ</t>
    </rPh>
    <phoneticPr fontId="13"/>
  </si>
  <si>
    <t>年　率</t>
    <rPh sb="0" eb="1">
      <t>トシ</t>
    </rPh>
    <rPh sb="2" eb="3">
      <t>リツ</t>
    </rPh>
    <phoneticPr fontId="13"/>
  </si>
  <si>
    <t>％</t>
  </si>
  <si>
    <t>回数</t>
    <rPh sb="0" eb="2">
      <t>カイスウ</t>
    </rPh>
    <phoneticPr fontId="13"/>
  </si>
  <si>
    <t>返済年月</t>
    <rPh sb="0" eb="2">
      <t>ヘンサイ</t>
    </rPh>
    <rPh sb="2" eb="4">
      <t>ネンゲツ</t>
    </rPh>
    <phoneticPr fontId="13"/>
  </si>
  <si>
    <t>返済額</t>
    <rPh sb="0" eb="3">
      <t>ヘンサイガク</t>
    </rPh>
    <phoneticPr fontId="13"/>
  </si>
  <si>
    <t>うち元金</t>
    <rPh sb="2" eb="4">
      <t>ガンキン</t>
    </rPh>
    <phoneticPr fontId="13"/>
  </si>
  <si>
    <t>うち利息</t>
    <rPh sb="2" eb="4">
      <t>リソク</t>
    </rPh>
    <phoneticPr fontId="13"/>
  </si>
  <si>
    <t>借入金残高</t>
    <rPh sb="0" eb="3">
      <t>カリイレキン</t>
    </rPh>
    <rPh sb="3" eb="5">
      <t>ザンダカ</t>
    </rPh>
    <phoneticPr fontId="13"/>
  </si>
  <si>
    <t>返済合計</t>
    <rPh sb="0" eb="2">
      <t>ヘンサイ</t>
    </rPh>
    <rPh sb="2" eb="4">
      <t>ゴウケイ</t>
    </rPh>
    <phoneticPr fontId="13"/>
  </si>
  <si>
    <t>金融機関返済</t>
    <rPh sb="0" eb="2">
      <t>キンユウ</t>
    </rPh>
    <rPh sb="2" eb="4">
      <t>キカン</t>
    </rPh>
    <rPh sb="4" eb="6">
      <t>ヘンサイ</t>
    </rPh>
    <phoneticPr fontId="2"/>
  </si>
  <si>
    <t>R2年度　B/S</t>
    <rPh sb="2" eb="3">
      <t>ネン</t>
    </rPh>
    <rPh sb="3" eb="4">
      <t>ド</t>
    </rPh>
    <phoneticPr fontId="2"/>
  </si>
  <si>
    <t>未払金</t>
    <rPh sb="0" eb="3">
      <t>ミハライキン</t>
    </rPh>
    <phoneticPr fontId="2"/>
  </si>
  <si>
    <t>改装費</t>
    <rPh sb="0" eb="2">
      <t>カイソウ</t>
    </rPh>
    <rPh sb="2" eb="3">
      <t>ヒ</t>
    </rPh>
    <phoneticPr fontId="2"/>
  </si>
  <si>
    <t>R3年度　B/S</t>
    <rPh sb="2" eb="3">
      <t>ネン</t>
    </rPh>
    <rPh sb="3" eb="4">
      <t>ド</t>
    </rPh>
    <phoneticPr fontId="2"/>
  </si>
  <si>
    <t>就労支援員配置</t>
    <rPh sb="0" eb="2">
      <t>シュウロウ</t>
    </rPh>
    <rPh sb="2" eb="4">
      <t>シエン</t>
    </rPh>
    <rPh sb="4" eb="5">
      <t>イン</t>
    </rPh>
    <rPh sb="5" eb="7">
      <t>ハイチ</t>
    </rPh>
    <phoneticPr fontId="2"/>
  </si>
  <si>
    <t>継</t>
    <rPh sb="0" eb="1">
      <t>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</si>
  <si>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</si>
  <si>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</si>
  <si>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</si>
  <si>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</si>
  <si>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レモン　利用者予定数及び人員配置等</t>
    <rPh sb="4" eb="7">
      <t>リヨウシャ</t>
    </rPh>
    <rPh sb="7" eb="10">
      <t>ヨテイスウ</t>
    </rPh>
    <rPh sb="10" eb="11">
      <t>オヨ</t>
    </rPh>
    <rPh sb="12" eb="14">
      <t>ジンイン</t>
    </rPh>
    <rPh sb="14" eb="16">
      <t>ハイチ</t>
    </rPh>
    <rPh sb="16" eb="17">
      <t>トウ</t>
    </rPh>
    <phoneticPr fontId="2"/>
  </si>
  <si>
    <t>（総人件費）</t>
    <rPh sb="1" eb="2">
      <t>ソウ</t>
    </rPh>
    <rPh sb="2" eb="5">
      <t>ジンケンヒ</t>
    </rPh>
    <phoneticPr fontId="2"/>
  </si>
  <si>
    <t>事業原価率</t>
    <rPh sb="0" eb="2">
      <t>ジギョウ</t>
    </rPh>
    <rPh sb="2" eb="4">
      <t>ゲンカ</t>
    </rPh>
    <rPh sb="4" eb="5">
      <t>リツ</t>
    </rPh>
    <phoneticPr fontId="2"/>
  </si>
  <si>
    <t>販管費率</t>
    <rPh sb="0" eb="3">
      <t>ハンカンヒ</t>
    </rPh>
    <rPh sb="3" eb="4">
      <t>リツ</t>
    </rPh>
    <phoneticPr fontId="2"/>
  </si>
  <si>
    <t>人件費率</t>
    <rPh sb="0" eb="3">
      <t>ジンケンヒ</t>
    </rPh>
    <rPh sb="3" eb="4">
      <t>リツ</t>
    </rPh>
    <phoneticPr fontId="2"/>
  </si>
  <si>
    <t>（経費）</t>
    <rPh sb="1" eb="3">
      <t>ケイヒ</t>
    </rPh>
    <phoneticPr fontId="2"/>
  </si>
  <si>
    <t>継</t>
    <rPh sb="0" eb="1">
      <t>ツ</t>
    </rPh>
    <phoneticPr fontId="2"/>
  </si>
  <si>
    <t>賞与</t>
    <rPh sb="0" eb="2">
      <t>ショウヨ</t>
    </rPh>
    <phoneticPr fontId="2"/>
  </si>
  <si>
    <t>B</t>
    <phoneticPr fontId="2"/>
  </si>
  <si>
    <t>投資的費用</t>
    <rPh sb="0" eb="3">
      <t>トウシテキ</t>
    </rPh>
    <rPh sb="3" eb="5">
      <t>ヒヨウ</t>
    </rPh>
    <phoneticPr fontId="2"/>
  </si>
  <si>
    <t>E</t>
    <phoneticPr fontId="2"/>
  </si>
  <si>
    <t>E</t>
    <phoneticPr fontId="2"/>
  </si>
  <si>
    <t>田中</t>
    <rPh sb="0" eb="2">
      <t>タナカ</t>
    </rPh>
    <phoneticPr fontId="2"/>
  </si>
  <si>
    <t>就労B利用者数</t>
    <rPh sb="0" eb="2">
      <t>シュウロウ</t>
    </rPh>
    <rPh sb="3" eb="6">
      <t>リヨウシャ</t>
    </rPh>
    <rPh sb="6" eb="7">
      <t>スウ</t>
    </rPh>
    <phoneticPr fontId="2"/>
  </si>
  <si>
    <t>就労B施設外利用者数</t>
    <rPh sb="3" eb="6">
      <t>シセツガイ</t>
    </rPh>
    <rPh sb="6" eb="9">
      <t>リヨウシャ</t>
    </rPh>
    <rPh sb="9" eb="10">
      <t>スウ</t>
    </rPh>
    <phoneticPr fontId="2"/>
  </si>
  <si>
    <t>就労移行利用者数</t>
    <rPh sb="0" eb="2">
      <t>シュウロウ</t>
    </rPh>
    <rPh sb="2" eb="4">
      <t>イコウ</t>
    </rPh>
    <rPh sb="4" eb="6">
      <t>リヨウ</t>
    </rPh>
    <rPh sb="6" eb="7">
      <t>シャ</t>
    </rPh>
    <rPh sb="7" eb="8">
      <t>スウ</t>
    </rPh>
    <phoneticPr fontId="2"/>
  </si>
  <si>
    <t>就労移行施設外利用者数</t>
    <rPh sb="2" eb="4">
      <t>イコウ</t>
    </rPh>
    <rPh sb="4" eb="7">
      <t>シセツガイ</t>
    </rPh>
    <rPh sb="7" eb="9">
      <t>リヨウ</t>
    </rPh>
    <rPh sb="9" eb="10">
      <t>シャ</t>
    </rPh>
    <rPh sb="10" eb="11">
      <t>スウ</t>
    </rPh>
    <phoneticPr fontId="2"/>
  </si>
  <si>
    <t>B基本報酬</t>
    <rPh sb="1" eb="3">
      <t>キホン</t>
    </rPh>
    <rPh sb="3" eb="5">
      <t>ホウシュウ</t>
    </rPh>
    <phoneticPr fontId="2"/>
  </si>
  <si>
    <t>B施設外基本報酬</t>
    <rPh sb="1" eb="4">
      <t>シセツガイ</t>
    </rPh>
    <rPh sb="4" eb="6">
      <t>キホン</t>
    </rPh>
    <rPh sb="6" eb="8">
      <t>ホウシュウ</t>
    </rPh>
    <phoneticPr fontId="2"/>
  </si>
  <si>
    <t>移行基本報酬</t>
    <rPh sb="0" eb="2">
      <t>イコウ</t>
    </rPh>
    <rPh sb="2" eb="4">
      <t>キホン</t>
    </rPh>
    <rPh sb="4" eb="6">
      <t>ホウシュウ</t>
    </rPh>
    <phoneticPr fontId="2"/>
  </si>
  <si>
    <t>移行施設外基本報酬</t>
    <rPh sb="0" eb="2">
      <t>イコウ</t>
    </rPh>
    <rPh sb="2" eb="5">
      <t>シセツガイ</t>
    </rPh>
    <rPh sb="5" eb="7">
      <t>キホン</t>
    </rPh>
    <rPh sb="7" eb="9">
      <t>ホウシュウ</t>
    </rPh>
    <phoneticPr fontId="2"/>
  </si>
  <si>
    <t>B通常給付金</t>
    <rPh sb="1" eb="3">
      <t>ツウジョウ</t>
    </rPh>
    <rPh sb="3" eb="6">
      <t>キュウフキン</t>
    </rPh>
    <phoneticPr fontId="2"/>
  </si>
  <si>
    <t>B施設外給付金</t>
    <rPh sb="1" eb="4">
      <t>シセツガイ</t>
    </rPh>
    <rPh sb="4" eb="7">
      <t>キュウフキン</t>
    </rPh>
    <phoneticPr fontId="2"/>
  </si>
  <si>
    <t>移行通常給付金</t>
    <rPh sb="0" eb="2">
      <t>イコウ</t>
    </rPh>
    <rPh sb="2" eb="4">
      <t>ツウジョウ</t>
    </rPh>
    <rPh sb="4" eb="7">
      <t>キュウフキン</t>
    </rPh>
    <phoneticPr fontId="2"/>
  </si>
  <si>
    <t>移行施設外給付金</t>
    <rPh sb="0" eb="2">
      <t>イコウ</t>
    </rPh>
    <rPh sb="2" eb="5">
      <t>シセツガイ</t>
    </rPh>
    <rPh sb="5" eb="8">
      <t>キュウフキン</t>
    </rPh>
    <phoneticPr fontId="2"/>
  </si>
  <si>
    <t>B加算</t>
    <rPh sb="1" eb="3">
      <t>カサン</t>
    </rPh>
    <phoneticPr fontId="2"/>
  </si>
  <si>
    <t>移行加算</t>
    <rPh sb="0" eb="2">
      <t>イコウ</t>
    </rPh>
    <rPh sb="2" eb="4">
      <t>カサン</t>
    </rPh>
    <phoneticPr fontId="2"/>
  </si>
  <si>
    <t>稼働日</t>
    <rPh sb="0" eb="3">
      <t>カドウビ</t>
    </rPh>
    <phoneticPr fontId="2"/>
  </si>
  <si>
    <t>B人員配置</t>
    <rPh sb="1" eb="3">
      <t>ジンイン</t>
    </rPh>
    <rPh sb="3" eb="5">
      <t>ハイチ</t>
    </rPh>
    <phoneticPr fontId="2"/>
  </si>
  <si>
    <t>B人工賃向上・施設外</t>
    <rPh sb="1" eb="2">
      <t>ヒト</t>
    </rPh>
    <rPh sb="2" eb="4">
      <t>コウチン</t>
    </rPh>
    <rPh sb="4" eb="6">
      <t>コウジョウ</t>
    </rPh>
    <rPh sb="7" eb="10">
      <t>シセツガイ</t>
    </rPh>
    <phoneticPr fontId="2"/>
  </si>
  <si>
    <t>移行人員配置</t>
    <rPh sb="0" eb="2">
      <t>イコウ</t>
    </rPh>
    <rPh sb="2" eb="4">
      <t>ジンイン</t>
    </rPh>
    <rPh sb="4" eb="6">
      <t>ハイチ</t>
    </rPh>
    <phoneticPr fontId="2"/>
  </si>
  <si>
    <t>移行就労支援員配置</t>
    <rPh sb="0" eb="2">
      <t>イコウ</t>
    </rPh>
    <rPh sb="2" eb="4">
      <t>シュウロウ</t>
    </rPh>
    <rPh sb="4" eb="6">
      <t>シエン</t>
    </rPh>
    <rPh sb="6" eb="7">
      <t>イン</t>
    </rPh>
    <rPh sb="7" eb="9">
      <t>ハイチ</t>
    </rPh>
    <phoneticPr fontId="2"/>
  </si>
  <si>
    <t>移行施設外支援配置</t>
    <rPh sb="0" eb="2">
      <t>イコウ</t>
    </rPh>
    <rPh sb="2" eb="5">
      <t>シセツガイ</t>
    </rPh>
    <rPh sb="5" eb="7">
      <t>シエン</t>
    </rPh>
    <rPh sb="7" eb="9">
      <t>ハイチ</t>
    </rPh>
    <phoneticPr fontId="2"/>
  </si>
  <si>
    <t>B合計</t>
    <rPh sb="1" eb="3">
      <t>ゴウケイ</t>
    </rPh>
    <phoneticPr fontId="2"/>
  </si>
  <si>
    <t>移行合計</t>
    <rPh sb="0" eb="2">
      <t>イコウ</t>
    </rPh>
    <rPh sb="2" eb="4">
      <t>ゴウケイ</t>
    </rPh>
    <phoneticPr fontId="2"/>
  </si>
  <si>
    <t>合計人数</t>
    <rPh sb="0" eb="2">
      <t>ゴウケイ</t>
    </rPh>
    <rPh sb="2" eb="4">
      <t>ニンズウ</t>
    </rPh>
    <phoneticPr fontId="2"/>
  </si>
  <si>
    <t>B生活支援員等</t>
    <rPh sb="1" eb="3">
      <t>セイカツ</t>
    </rPh>
    <rPh sb="3" eb="5">
      <t>シエン</t>
    </rPh>
    <rPh sb="5" eb="6">
      <t>イン</t>
    </rPh>
    <rPh sb="6" eb="7">
      <t>トウ</t>
    </rPh>
    <phoneticPr fontId="2"/>
  </si>
  <si>
    <r>
      <rPr>
        <b/>
        <sz val="8"/>
        <color theme="1"/>
        <rFont val="BIZ UDPゴシック"/>
        <family val="3"/>
        <charset val="128"/>
      </rPr>
      <t>B</t>
    </r>
    <r>
      <rPr>
        <sz val="8"/>
        <color theme="1"/>
        <rFont val="BIZ UDPゴシック"/>
        <family val="3"/>
        <charset val="128"/>
      </rPr>
      <t>施設外支援員</t>
    </r>
    <rPh sb="1" eb="4">
      <t>シセツガイ</t>
    </rPh>
    <rPh sb="4" eb="6">
      <t>シエン</t>
    </rPh>
    <rPh sb="6" eb="7">
      <t>イン</t>
    </rPh>
    <phoneticPr fontId="2"/>
  </si>
  <si>
    <t>移行生活支援員等</t>
    <rPh sb="0" eb="2">
      <t>イコウ</t>
    </rPh>
    <rPh sb="2" eb="4">
      <t>セイカツ</t>
    </rPh>
    <rPh sb="4" eb="6">
      <t>シエン</t>
    </rPh>
    <rPh sb="6" eb="7">
      <t>イン</t>
    </rPh>
    <rPh sb="7" eb="8">
      <t>トウ</t>
    </rPh>
    <phoneticPr fontId="2"/>
  </si>
  <si>
    <t>19％計算</t>
    <rPh sb="3" eb="5">
      <t>ケイサン</t>
    </rPh>
    <phoneticPr fontId="2"/>
  </si>
  <si>
    <t>人件費合計</t>
    <rPh sb="0" eb="3">
      <t>ジンケンヒ</t>
    </rPh>
    <rPh sb="3" eb="5">
      <t>ゴウケイ</t>
    </rPh>
    <phoneticPr fontId="2"/>
  </si>
  <si>
    <t>人件費総計</t>
    <rPh sb="0" eb="3">
      <t>ジンケンヒ</t>
    </rPh>
    <rPh sb="3" eb="5">
      <t>ソウケイ</t>
    </rPh>
    <phoneticPr fontId="2"/>
  </si>
  <si>
    <t>職業指導員</t>
    <rPh sb="0" eb="2">
      <t>ショクギョウ</t>
    </rPh>
    <rPh sb="2" eb="5">
      <t>シドウイン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</si>
  <si>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</si>
  <si>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就労支援員</t>
    <rPh sb="0" eb="2">
      <t>シュウロウ</t>
    </rPh>
    <rPh sb="2" eb="4">
      <t>シエン</t>
    </rPh>
    <rPh sb="4" eb="5">
      <t>イン</t>
    </rPh>
    <phoneticPr fontId="2"/>
  </si>
  <si>
    <t>支援員等</t>
    <rPh sb="0" eb="2">
      <t>シエン</t>
    </rPh>
    <rPh sb="2" eb="3">
      <t>イン</t>
    </rPh>
    <rPh sb="3" eb="4">
      <t>トウ</t>
    </rPh>
    <phoneticPr fontId="2"/>
  </si>
  <si>
    <t>シェル（笠岡）</t>
    <rPh sb="4" eb="6">
      <t>カサオカ</t>
    </rPh>
    <phoneticPr fontId="2"/>
  </si>
  <si>
    <t>令和３年</t>
    <rPh sb="0" eb="2">
      <t>レイワ</t>
    </rPh>
    <rPh sb="3" eb="4">
      <t>ネン</t>
    </rPh>
    <phoneticPr fontId="2"/>
  </si>
  <si>
    <t>令和４年</t>
    <rPh sb="0" eb="2">
      <t>レイワ</t>
    </rPh>
    <rPh sb="3" eb="4">
      <t>ネン</t>
    </rPh>
    <phoneticPr fontId="2"/>
  </si>
  <si>
    <t>シェル（川崎）</t>
    <rPh sb="4" eb="6">
      <t>カワサキ</t>
    </rPh>
    <phoneticPr fontId="2"/>
  </si>
  <si>
    <t>シェル　川崎　利用者予定数及び人員配置等</t>
    <rPh sb="4" eb="6">
      <t>カワサキ</t>
    </rPh>
    <rPh sb="7" eb="10">
      <t>リヨウシャ</t>
    </rPh>
    <rPh sb="10" eb="13">
      <t>ヨテイスウ</t>
    </rPh>
    <rPh sb="13" eb="14">
      <t>オヨ</t>
    </rPh>
    <rPh sb="15" eb="17">
      <t>ジンイン</t>
    </rPh>
    <rPh sb="17" eb="19">
      <t>ハイチ</t>
    </rPh>
    <rPh sb="19" eb="20">
      <t>トウ</t>
    </rPh>
    <phoneticPr fontId="2"/>
  </si>
  <si>
    <t>4-6</t>
    <phoneticPr fontId="2"/>
  </si>
  <si>
    <t>7-9</t>
    <phoneticPr fontId="2"/>
  </si>
  <si>
    <t>10-12</t>
    <phoneticPr fontId="2"/>
  </si>
  <si>
    <t>1-3</t>
    <phoneticPr fontId="2"/>
  </si>
  <si>
    <t>R4</t>
  </si>
  <si>
    <t>R5</t>
  </si>
  <si>
    <t>R6</t>
  </si>
  <si>
    <t>R7</t>
    <phoneticPr fontId="2"/>
  </si>
  <si>
    <t>就労移行支援</t>
    <rPh sb="0" eb="2">
      <t>シュウロウ</t>
    </rPh>
    <rPh sb="2" eb="4">
      <t>イコウ</t>
    </rPh>
    <rPh sb="4" eb="6">
      <t>シエン</t>
    </rPh>
    <phoneticPr fontId="2"/>
  </si>
  <si>
    <t>就労継続支援A型</t>
    <rPh sb="0" eb="2">
      <t>シュウロウ</t>
    </rPh>
    <rPh sb="2" eb="4">
      <t>ケイゾク</t>
    </rPh>
    <rPh sb="4" eb="6">
      <t>シエン</t>
    </rPh>
    <rPh sb="7" eb="8">
      <t>ガタ</t>
    </rPh>
    <phoneticPr fontId="2"/>
  </si>
  <si>
    <t>就労継続支援B型</t>
    <rPh sb="0" eb="2">
      <t>シュウロウ</t>
    </rPh>
    <rPh sb="2" eb="4">
      <t>ケイゾク</t>
    </rPh>
    <rPh sb="4" eb="6">
      <t>シエン</t>
    </rPh>
    <rPh sb="7" eb="8">
      <t>ガタ</t>
    </rPh>
    <phoneticPr fontId="2"/>
  </si>
  <si>
    <t>個別塾</t>
    <rPh sb="0" eb="2">
      <t>コベツ</t>
    </rPh>
    <rPh sb="2" eb="3">
      <t>ジュク</t>
    </rPh>
    <phoneticPr fontId="2"/>
  </si>
  <si>
    <t>オンライン塾</t>
    <rPh sb="5" eb="6">
      <t>ジュク</t>
    </rPh>
    <phoneticPr fontId="2"/>
  </si>
  <si>
    <t>メディカルフィットネス</t>
    <phoneticPr fontId="2"/>
  </si>
  <si>
    <t>優先調達事業</t>
    <rPh sb="0" eb="2">
      <t>ユウセン</t>
    </rPh>
    <rPh sb="2" eb="4">
      <t>チョウタツ</t>
    </rPh>
    <rPh sb="4" eb="6">
      <t>ジギョウ</t>
    </rPh>
    <phoneticPr fontId="2"/>
  </si>
  <si>
    <t>メディア事業</t>
    <rPh sb="4" eb="6">
      <t>ジギョウ</t>
    </rPh>
    <phoneticPr fontId="2"/>
  </si>
  <si>
    <t>DX事業</t>
    <rPh sb="2" eb="4">
      <t>ジギョウ</t>
    </rPh>
    <phoneticPr fontId="2"/>
  </si>
  <si>
    <t>ファーム事業</t>
    <rPh sb="4" eb="6">
      <t>ジギョウ</t>
    </rPh>
    <phoneticPr fontId="2"/>
  </si>
  <si>
    <t>相談支援等</t>
    <rPh sb="0" eb="2">
      <t>ソウダン</t>
    </rPh>
    <rPh sb="2" eb="4">
      <t>シエン</t>
    </rPh>
    <rPh sb="4" eb="5">
      <t>トウ</t>
    </rPh>
    <phoneticPr fontId="2"/>
  </si>
  <si>
    <t>自治体アウトソーシング</t>
    <rPh sb="0" eb="3">
      <t>ジチタイ</t>
    </rPh>
    <phoneticPr fontId="2"/>
  </si>
  <si>
    <t>直営(累計）</t>
    <rPh sb="0" eb="2">
      <t>チョクエイ</t>
    </rPh>
    <rPh sb="3" eb="5">
      <t>ルイケイ</t>
    </rPh>
    <phoneticPr fontId="2"/>
  </si>
  <si>
    <t>現在</t>
    <rPh sb="0" eb="2">
      <t>ゲンザイ</t>
    </rPh>
    <phoneticPr fontId="2"/>
  </si>
  <si>
    <t>はくし</t>
    <phoneticPr fontId="2"/>
  </si>
  <si>
    <t>福祉</t>
    <rPh sb="0" eb="2">
      <t>フクシ</t>
    </rPh>
    <phoneticPr fontId="2"/>
  </si>
  <si>
    <t>教育</t>
    <rPh sb="0" eb="2">
      <t>キョウイク</t>
    </rPh>
    <phoneticPr fontId="2"/>
  </si>
  <si>
    <t>令和4年</t>
    <rPh sb="0" eb="2">
      <t>レイワ</t>
    </rPh>
    <rPh sb="3" eb="4">
      <t>ネン</t>
    </rPh>
    <phoneticPr fontId="2"/>
  </si>
  <si>
    <t>令和５年</t>
    <rPh sb="0" eb="2">
      <t>レイワ</t>
    </rPh>
    <rPh sb="3" eb="4">
      <t>ネン</t>
    </rPh>
    <phoneticPr fontId="2"/>
  </si>
  <si>
    <t>令和６年</t>
    <rPh sb="0" eb="2">
      <t>レイワ</t>
    </rPh>
    <rPh sb="3" eb="4">
      <t>ネン</t>
    </rPh>
    <phoneticPr fontId="2"/>
  </si>
  <si>
    <t>令和７年</t>
    <rPh sb="0" eb="2">
      <t>レイワ</t>
    </rPh>
    <rPh sb="3" eb="4">
      <t>ネン</t>
    </rPh>
    <phoneticPr fontId="2"/>
  </si>
  <si>
    <t>管理者</t>
    <rPh sb="0" eb="3">
      <t>カンリシャ</t>
    </rPh>
    <phoneticPr fontId="3"/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</si>
  <si>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</si>
  <si>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職業指導員</t>
    <rPh sb="0" eb="2">
      <t>ショクギョウ</t>
    </rPh>
    <rPh sb="2" eb="5">
      <t>シドウイン</t>
    </rPh>
    <phoneticPr fontId="3"/>
  </si>
  <si>
    <t>生活支援員</t>
    <rPh sb="0" eb="2">
      <t>セイカツ</t>
    </rPh>
    <rPh sb="2" eb="4">
      <t>シエン</t>
    </rPh>
    <rPh sb="4" eb="5">
      <t>イン</t>
    </rPh>
    <phoneticPr fontId="3"/>
  </si>
  <si>
    <t>支援員等</t>
    <rPh sb="0" eb="2">
      <t>シエン</t>
    </rPh>
    <rPh sb="2" eb="3">
      <t>イン</t>
    </rPh>
    <rPh sb="3" eb="4">
      <t>トウ</t>
    </rPh>
    <phoneticPr fontId="3"/>
  </si>
  <si>
    <t>就労支援員</t>
    <rPh sb="0" eb="2">
      <t>シュウロウ</t>
    </rPh>
    <rPh sb="2" eb="4">
      <t>シエン</t>
    </rPh>
    <rPh sb="4" eb="5">
      <t>イン</t>
    </rPh>
    <phoneticPr fontId="3"/>
  </si>
  <si>
    <r>
      <rPr>
        <sz val="9"/>
        <color theme="1"/>
        <rFont val="游ゴシック"/>
        <family val="1"/>
        <charset val="128"/>
      </rPr>
      <t>ACT01</t>
    </r>
    <r>
      <rPr>
        <sz val="9"/>
        <color theme="1"/>
        <rFont val="UD Digi Kyokasho NP-R"/>
        <family val="1"/>
        <charset val="128"/>
      </rPr>
      <t>（川崎）</t>
    </r>
    <rPh sb="6" eb="8">
      <t>カワサキ</t>
    </rPh>
    <phoneticPr fontId="2"/>
  </si>
  <si>
    <t>ACT01（川崎）</t>
    <phoneticPr fontId="2"/>
  </si>
  <si>
    <t>R3年　損益計算書</t>
    <rPh sb="2" eb="3">
      <t>ネン</t>
    </rPh>
    <rPh sb="4" eb="9">
      <t>ソンエキケイサンショ</t>
    </rPh>
    <phoneticPr fontId="2"/>
  </si>
  <si>
    <t>R４年　損益計算書</t>
    <rPh sb="2" eb="3">
      <t>ネン</t>
    </rPh>
    <phoneticPr fontId="2"/>
  </si>
  <si>
    <t>R5年　　損益計算書</t>
    <rPh sb="2" eb="3">
      <t>ネン</t>
    </rPh>
    <phoneticPr fontId="2"/>
  </si>
  <si>
    <t>Ｒ3年度 資金繰表</t>
    <rPh sb="2" eb="4">
      <t>ネンド</t>
    </rPh>
    <rPh sb="5" eb="7">
      <t>シキン</t>
    </rPh>
    <rPh sb="7" eb="8">
      <t>グ</t>
    </rPh>
    <rPh sb="8" eb="9">
      <t>ヒョウ</t>
    </rPh>
    <phoneticPr fontId="2"/>
  </si>
  <si>
    <t>Ｒ４年度 資金繰表</t>
    <rPh sb="2" eb="4">
      <t>ネンド</t>
    </rPh>
    <rPh sb="5" eb="7">
      <t>シキン</t>
    </rPh>
    <rPh sb="7" eb="8">
      <t>グ</t>
    </rPh>
    <rPh sb="8" eb="9">
      <t>ヒョウ</t>
    </rPh>
    <phoneticPr fontId="2"/>
  </si>
  <si>
    <t>Ｒ５年度 資金繰表</t>
    <rPh sb="2" eb="4">
      <t>ネンド</t>
    </rPh>
    <rPh sb="5" eb="7">
      <t>シキン</t>
    </rPh>
    <rPh sb="7" eb="8">
      <t>グ</t>
    </rPh>
    <rPh sb="8" eb="9">
      <t>ヒョウ</t>
    </rPh>
    <phoneticPr fontId="2"/>
  </si>
  <si>
    <t>シェル（笠岡）　</t>
    <rPh sb="4" eb="6">
      <t>カサオカ</t>
    </rPh>
    <phoneticPr fontId="2"/>
  </si>
  <si>
    <t>ACT01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</si>
</sst>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;&quot;▲ &quot;#,##0"/>
    <numFmt numFmtId="177" formatCode="0.0%"/>
    <numFmt numFmtId="178" formatCode="#,##0.0;[Red]\-#,##0.0"/>
    <numFmt numFmtId="179" formatCode="yy/mm/dd"/>
    <numFmt numFmtId="180" formatCode="[$-411]ge\.m\.d;@"/>
    <numFmt numFmtId="181" formatCode="0_);[Red]\(0\)"/>
    <numFmt numFmtId="182" formatCode="#,##0_);[Red]\(#,##0\)"/>
    <numFmt numFmtId="183" formatCode="#,##0\)"/>
    <numFmt numFmtId="184" formatCode="0.000\ %"/>
    <numFmt numFmtId="185" formatCode="0\ &quot;年&quot;"/>
    <numFmt numFmtId="186" formatCode="0.00_);[Red]\(0.00\)"/>
    <numFmt numFmtId="187" formatCode="yyyy&quot;年&quot;m&quot;月&quot;;@"/>
  </numFmts>
  <fonts count="4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"/>
      <family val="1"/>
    </font>
    <font>
      <sz val="6"/>
      <name val="ＭＳ 明朝"/>
      <family val="1"/>
      <charset val="128"/>
    </font>
    <font>
      <b/>
      <sz val="10"/>
      <name val="ＭＳ Ｐ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9"/>
      <color theme="1"/>
      <name val="UD Digi Kyokasho NP-R"/>
      <family val="1"/>
      <charset val="128"/>
    </font>
    <font>
      <sz val="9"/>
      <color theme="1"/>
      <name val="UD デジタル 教科書体 NP-R"/>
      <family val="1"/>
      <charset val="128"/>
    </font>
    <font>
      <sz val="9"/>
      <color theme="0"/>
      <name val="UD Digi Kyokasho NP-R"/>
      <family val="1"/>
      <charset val="128"/>
    </font>
    <font>
      <sz val="9"/>
      <color theme="1"/>
      <name val="HGS明朝E"/>
      <family val="1"/>
      <charset val="128"/>
    </font>
    <font>
      <sz val="9"/>
      <color theme="1"/>
      <name val="Yu Gothic"/>
      <family val="1"/>
      <charset val="128"/>
    </font>
    <font>
      <sz val="11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b/>
      <sz val="11"/>
      <name val="BIZ UDPゴシック"/>
      <family val="3"/>
      <charset val="128"/>
    </font>
    <font>
      <sz val="11"/>
      <name val="ＭＳ 明朝"/>
      <family val="1"/>
      <charset val="128"/>
    </font>
    <font>
      <b/>
      <sz val="16"/>
      <name val="ＭＳ 明朝"/>
      <family val="1"/>
      <charset val="128"/>
    </font>
    <font>
      <sz val="12"/>
      <name val="ＭＳ 明朝"/>
      <family val="1"/>
      <charset val="128"/>
    </font>
    <font>
      <b/>
      <sz val="12"/>
      <name val="ＭＳ 明朝"/>
      <family val="1"/>
      <charset val="128"/>
    </font>
    <font>
      <sz val="6"/>
      <color theme="1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2"/>
      <color theme="1"/>
      <name val="BIZ UDPゴシック"/>
      <family val="3"/>
      <charset val="128"/>
    </font>
    <font>
      <sz val="9"/>
      <color theme="1"/>
      <name val="游ゴシック"/>
      <family val="1"/>
      <charset val="128"/>
    </font>
  </fonts>
  <fills count="3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/>
    <xf numFmtId="0" fontId="15" fillId="0" borderId="0"/>
    <xf numFmtId="9" fontId="1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3" fillId="0" borderId="0">
      <alignment vertical="center"/>
    </xf>
    <xf numFmtId="38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</cellStyleXfs>
  <cellXfs count="96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38" fontId="0" fillId="2" borderId="1" xfId="1" applyFont="1" applyFill="1" applyBorder="1" applyAlignment="1">
      <alignment vertical="center" shrinkToFit="1"/>
    </xf>
    <xf numFmtId="38" fontId="0" fillId="3" borderId="1" xfId="1" applyFont="1" applyFill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38" fontId="0" fillId="4" borderId="1" xfId="1" applyFont="1" applyFill="1" applyBorder="1" applyAlignment="1">
      <alignment vertical="center" shrinkToFit="1"/>
    </xf>
    <xf numFmtId="38" fontId="0" fillId="6" borderId="1" xfId="1" applyFont="1" applyFill="1" applyBorder="1" applyAlignment="1">
      <alignment vertical="center" shrinkToFit="1"/>
    </xf>
    <xf numFmtId="10" fontId="0" fillId="0" borderId="0" xfId="0" applyNumberFormat="1">
      <alignment vertical="center"/>
    </xf>
    <xf numFmtId="38" fontId="0" fillId="0" borderId="1" xfId="1" applyFont="1" applyBorder="1">
      <alignment vertical="center"/>
    </xf>
    <xf numFmtId="38" fontId="0" fillId="7" borderId="1" xfId="1" applyFont="1" applyFill="1" applyBorder="1" applyAlignment="1">
      <alignment vertical="center" shrinkToFit="1"/>
    </xf>
    <xf numFmtId="38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38" fontId="0" fillId="0" borderId="2" xfId="1" applyFont="1" applyBorder="1" applyAlignment="1">
      <alignment vertical="center" shrinkToFit="1"/>
    </xf>
    <xf numFmtId="38" fontId="0" fillId="0" borderId="19" xfId="1" applyFont="1" applyBorder="1" applyAlignment="1">
      <alignment horizontal="center" vertical="center" shrinkToFit="1"/>
    </xf>
    <xf numFmtId="38" fontId="0" fillId="0" borderId="20" xfId="1" applyFont="1" applyBorder="1" applyAlignment="1">
      <alignment horizontal="center" vertical="center" shrinkToFit="1"/>
    </xf>
    <xf numFmtId="38" fontId="0" fillId="0" borderId="22" xfId="1" applyFont="1" applyBorder="1" applyAlignment="1">
      <alignment vertical="center" shrinkToFit="1"/>
    </xf>
    <xf numFmtId="38" fontId="0" fillId="2" borderId="24" xfId="1" applyFont="1" applyFill="1" applyBorder="1" applyAlignment="1">
      <alignment vertical="center" shrinkToFit="1"/>
    </xf>
    <xf numFmtId="38" fontId="5" fillId="0" borderId="24" xfId="1" applyFont="1" applyBorder="1" applyAlignment="1">
      <alignment vertical="center" shrinkToFit="1"/>
    </xf>
    <xf numFmtId="38" fontId="0" fillId="3" borderId="24" xfId="1" applyFont="1" applyFill="1" applyBorder="1" applyAlignment="1">
      <alignment vertical="center" shrinkToFit="1"/>
    </xf>
    <xf numFmtId="38" fontId="0" fillId="4" borderId="24" xfId="1" applyFont="1" applyFill="1" applyBorder="1" applyAlignment="1">
      <alignment vertical="center" shrinkToFit="1"/>
    </xf>
    <xf numFmtId="38" fontId="0" fillId="6" borderId="24" xfId="1" applyFont="1" applyFill="1" applyBorder="1" applyAlignment="1">
      <alignment vertical="center" shrinkToFit="1"/>
    </xf>
    <xf numFmtId="38" fontId="0" fillId="7" borderId="24" xfId="1" applyFont="1" applyFill="1" applyBorder="1" applyAlignment="1">
      <alignment vertical="center" shrinkToFit="1"/>
    </xf>
    <xf numFmtId="38" fontId="0" fillId="0" borderId="15" xfId="1" applyFont="1" applyBorder="1" applyAlignment="1">
      <alignment vertical="center" shrinkToFit="1"/>
    </xf>
    <xf numFmtId="38" fontId="0" fillId="0" borderId="16" xfId="1" applyFont="1" applyBorder="1" applyAlignment="1">
      <alignment vertical="center" shrinkToFit="1"/>
    </xf>
    <xf numFmtId="0" fontId="3" fillId="0" borderId="0" xfId="5">
      <alignment vertical="center"/>
    </xf>
    <xf numFmtId="0" fontId="0" fillId="0" borderId="1" xfId="0" applyBorder="1">
      <alignment vertical="center"/>
    </xf>
    <xf numFmtId="177" fontId="0" fillId="0" borderId="1" xfId="2" applyNumberFormat="1" applyFont="1" applyBorder="1">
      <alignment vertical="center"/>
    </xf>
    <xf numFmtId="177" fontId="0" fillId="0" borderId="24" xfId="2" applyNumberFormat="1" applyFon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38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9" fillId="0" borderId="0" xfId="7">
      <alignment vertical="center"/>
    </xf>
    <xf numFmtId="0" fontId="0" fillId="0" borderId="1" xfId="0" applyBorder="1" applyAlignment="1">
      <alignment vertical="center" wrapText="1"/>
    </xf>
    <xf numFmtId="38" fontId="0" fillId="0" borderId="1" xfId="1" applyFont="1" applyBorder="1" applyAlignment="1">
      <alignment vertical="center" wrapText="1"/>
    </xf>
    <xf numFmtId="38" fontId="0" fillId="0" borderId="1" xfId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0" fillId="0" borderId="1" xfId="1" applyFont="1" applyBorder="1" applyAlignment="1">
      <alignment horizontal="center" vertical="center"/>
    </xf>
    <xf numFmtId="9" fontId="0" fillId="0" borderId="1" xfId="2" applyFont="1" applyBorder="1">
      <alignment vertical="center"/>
    </xf>
    <xf numFmtId="9" fontId="0" fillId="0" borderId="1" xfId="0" applyNumberFormat="1" applyBorder="1" applyAlignment="1">
      <alignment horizontal="right" vertical="center"/>
    </xf>
    <xf numFmtId="9" fontId="0" fillId="0" borderId="1" xfId="0" applyNumberFormat="1" applyBorder="1">
      <alignment vertical="center"/>
    </xf>
    <xf numFmtId="38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4" xfId="0" applyBorder="1">
      <alignment vertical="center"/>
    </xf>
    <xf numFmtId="38" fontId="0" fillId="0" borderId="24" xfId="1" applyFont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right" vertical="center"/>
    </xf>
    <xf numFmtId="0" fontId="0" fillId="0" borderId="15" xfId="0" applyBorder="1">
      <alignment vertical="center"/>
    </xf>
    <xf numFmtId="178" fontId="0" fillId="0" borderId="15" xfId="1" applyNumberFormat="1" applyFont="1" applyBorder="1">
      <alignment vertical="center"/>
    </xf>
    <xf numFmtId="178" fontId="0" fillId="0" borderId="16" xfId="1" applyNumberFormat="1" applyFont="1" applyBorder="1">
      <alignment vertical="center"/>
    </xf>
    <xf numFmtId="9" fontId="0" fillId="0" borderId="1" xfId="2" applyFont="1" applyBorder="1" applyAlignment="1">
      <alignment horizontal="right" vertical="center" shrinkToFit="1"/>
    </xf>
    <xf numFmtId="9" fontId="0" fillId="0" borderId="24" xfId="0" applyNumberFormat="1" applyBorder="1" applyAlignment="1">
      <alignment horizontal="right" vertical="center" shrinkToFit="1"/>
    </xf>
    <xf numFmtId="38" fontId="0" fillId="0" borderId="24" xfId="1" applyFont="1" applyBorder="1" applyAlignment="1">
      <alignment vertical="center" shrinkToFit="1"/>
    </xf>
    <xf numFmtId="9" fontId="0" fillId="0" borderId="1" xfId="2" applyFont="1" applyBorder="1" applyAlignment="1">
      <alignment vertical="center" shrinkToFit="1"/>
    </xf>
    <xf numFmtId="9" fontId="0" fillId="0" borderId="1" xfId="0" applyNumberFormat="1" applyBorder="1" applyAlignment="1">
      <alignment horizontal="right" vertical="center" shrinkToFit="1"/>
    </xf>
    <xf numFmtId="38" fontId="0" fillId="0" borderId="1" xfId="1" applyFont="1" applyBorder="1" applyAlignment="1">
      <alignment horizontal="right" vertical="center" shrinkToFit="1"/>
    </xf>
    <xf numFmtId="0" fontId="0" fillId="0" borderId="1" xfId="0" applyBorder="1" applyAlignment="1">
      <alignment horizontal="right" vertical="center" shrinkToFit="1"/>
    </xf>
    <xf numFmtId="0" fontId="0" fillId="0" borderId="24" xfId="0" applyBorder="1" applyAlignment="1">
      <alignment horizontal="right" vertical="center" shrinkToFit="1"/>
    </xf>
    <xf numFmtId="0" fontId="0" fillId="0" borderId="24" xfId="0" applyBorder="1" applyAlignment="1">
      <alignment vertical="center" shrinkToFit="1"/>
    </xf>
    <xf numFmtId="177" fontId="0" fillId="0" borderId="1" xfId="2" applyNumberFormat="1" applyFont="1" applyBorder="1" applyAlignment="1">
      <alignment vertical="center" shrinkToFit="1"/>
    </xf>
    <xf numFmtId="177" fontId="0" fillId="0" borderId="24" xfId="2" applyNumberFormat="1" applyFont="1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178" fontId="0" fillId="0" borderId="15" xfId="1" applyNumberFormat="1" applyFont="1" applyBorder="1" applyAlignment="1">
      <alignment vertical="center" shrinkToFit="1"/>
    </xf>
    <xf numFmtId="178" fontId="0" fillId="0" borderId="16" xfId="1" applyNumberFormat="1" applyFont="1" applyBorder="1" applyAlignment="1">
      <alignment vertical="center" shrinkToFit="1"/>
    </xf>
    <xf numFmtId="0" fontId="11" fillId="9" borderId="47" xfId="8" applyFont="1" applyFill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shrinkToFit="1"/>
    </xf>
    <xf numFmtId="3" fontId="11" fillId="0" borderId="0" xfId="1" applyNumberFormat="1" applyFont="1" applyAlignment="1">
      <alignment shrinkToFit="1"/>
    </xf>
    <xf numFmtId="3" fontId="11" fillId="0" borderId="0" xfId="8" applyNumberFormat="1" applyFont="1" applyAlignment="1">
      <alignment shrinkToFit="1"/>
    </xf>
    <xf numFmtId="0" fontId="11" fillId="0" borderId="50" xfId="8" applyFont="1" applyBorder="1"/>
    <xf numFmtId="0" fontId="11" fillId="0" borderId="53" xfId="8" applyFont="1" applyBorder="1" applyAlignment="1">
      <alignment shrinkToFit="1"/>
    </xf>
    <xf numFmtId="0" fontId="11" fillId="0" borderId="56" xfId="8" applyFont="1" applyBorder="1"/>
    <xf numFmtId="0" fontId="11" fillId="0" borderId="57" xfId="8" applyFont="1" applyBorder="1" applyAlignment="1">
      <alignment shrinkToFit="1"/>
    </xf>
    <xf numFmtId="0" fontId="11" fillId="9" borderId="59" xfId="8" applyFont="1" applyFill="1" applyBorder="1" applyAlignment="1">
      <alignment horizontal="center" vertical="center" shrinkToFit="1"/>
    </xf>
    <xf numFmtId="0" fontId="11" fillId="0" borderId="65" xfId="8" applyFont="1" applyBorder="1" applyAlignment="1">
      <alignment shrinkToFit="1"/>
    </xf>
    <xf numFmtId="3" fontId="11" fillId="0" borderId="0" xfId="1" applyNumberFormat="1" applyFont="1" applyBorder="1" applyAlignment="1">
      <alignment shrinkToFit="1"/>
    </xf>
    <xf numFmtId="3" fontId="11" fillId="0" borderId="66" xfId="1" applyNumberFormat="1" applyFont="1" applyBorder="1" applyAlignment="1">
      <alignment shrinkToFit="1"/>
    </xf>
    <xf numFmtId="3" fontId="11" fillId="0" borderId="66" xfId="8" applyNumberFormat="1" applyFont="1" applyBorder="1" applyAlignment="1">
      <alignment shrinkToFit="1"/>
    </xf>
    <xf numFmtId="0" fontId="11" fillId="0" borderId="65" xfId="8" applyFont="1" applyBorder="1" applyAlignment="1">
      <alignment horizontal="left"/>
    </xf>
    <xf numFmtId="0" fontId="11" fillId="0" borderId="0" xfId="8" applyFont="1" applyAlignment="1">
      <alignment shrinkToFit="1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0" fillId="0" borderId="67" xfId="0" applyBorder="1">
      <alignment vertical="center"/>
    </xf>
    <xf numFmtId="0" fontId="0" fillId="0" borderId="36" xfId="0" applyBorder="1">
      <alignment vertical="center"/>
    </xf>
    <xf numFmtId="0" fontId="0" fillId="0" borderId="68" xfId="0" applyBorder="1">
      <alignment vertical="center"/>
    </xf>
    <xf numFmtId="0" fontId="0" fillId="0" borderId="0" xfId="0" applyAlignment="1">
      <alignment horizontal="center" vertical="center"/>
    </xf>
    <xf numFmtId="0" fontId="10" fillId="9" borderId="58" xfId="8" applyFont="1" applyFill="1" applyBorder="1" applyAlignment="1">
      <alignment horizontal="center" vertical="center" shrinkToFit="1"/>
    </xf>
    <xf numFmtId="0" fontId="11" fillId="9" borderId="60" xfId="8" applyFont="1" applyFill="1" applyBorder="1" applyAlignment="1">
      <alignment horizontal="center" vertical="center"/>
    </xf>
    <xf numFmtId="0" fontId="11" fillId="9" borderId="61" xfId="8" applyFont="1" applyFill="1" applyBorder="1" applyAlignment="1">
      <alignment horizontal="center" vertical="center"/>
    </xf>
    <xf numFmtId="0" fontId="11" fillId="9" borderId="62" xfId="8" applyFont="1" applyFill="1" applyBorder="1" applyAlignment="1">
      <alignment horizontal="center" vertical="center"/>
    </xf>
    <xf numFmtId="0" fontId="10" fillId="9" borderId="63" xfId="0" applyFont="1" applyFill="1" applyBorder="1" applyAlignment="1">
      <alignment horizontal="center" vertical="center" shrinkToFit="1"/>
    </xf>
    <xf numFmtId="0" fontId="11" fillId="9" borderId="48" xfId="8" applyFont="1" applyFill="1" applyBorder="1" applyAlignment="1">
      <alignment horizontal="center" vertical="center" shrinkToFit="1"/>
    </xf>
    <xf numFmtId="0" fontId="11" fillId="9" borderId="49" xfId="8" applyFont="1" applyFill="1" applyBorder="1" applyAlignment="1">
      <alignment horizontal="center" vertical="center" shrinkToFit="1"/>
    </xf>
    <xf numFmtId="0" fontId="11" fillId="9" borderId="64" xfId="8" applyFont="1" applyFill="1" applyBorder="1" applyAlignment="1">
      <alignment horizontal="center" vertical="center" shrinkToFit="1"/>
    </xf>
    <xf numFmtId="0" fontId="11" fillId="9" borderId="69" xfId="8" applyFont="1" applyFill="1" applyBorder="1" applyAlignment="1">
      <alignment horizontal="center" vertical="center" shrinkToFit="1"/>
    </xf>
    <xf numFmtId="38" fontId="11" fillId="0" borderId="0" xfId="1" applyFont="1" applyBorder="1" applyAlignment="1">
      <alignment shrinkToFit="1"/>
    </xf>
    <xf numFmtId="38" fontId="11" fillId="0" borderId="66" xfId="1" applyFont="1" applyBorder="1" applyAlignment="1">
      <alignment shrinkToFit="1"/>
    </xf>
    <xf numFmtId="38" fontId="0" fillId="0" borderId="0" xfId="1" applyFont="1" applyBorder="1">
      <alignment vertical="center"/>
    </xf>
    <xf numFmtId="38" fontId="0" fillId="0" borderId="66" xfId="1" applyFont="1" applyBorder="1">
      <alignment vertical="center"/>
    </xf>
    <xf numFmtId="0" fontId="11" fillId="9" borderId="72" xfId="8" applyFont="1" applyFill="1" applyBorder="1" applyAlignment="1">
      <alignment horizontal="center" vertical="center" shrinkToFit="1"/>
    </xf>
    <xf numFmtId="0" fontId="11" fillId="9" borderId="73" xfId="8" applyFont="1" applyFill="1" applyBorder="1" applyAlignment="1">
      <alignment horizontal="center" vertical="center" shrinkToFit="1"/>
    </xf>
    <xf numFmtId="3" fontId="11" fillId="0" borderId="1" xfId="8" applyNumberFormat="1" applyFont="1" applyBorder="1" applyAlignment="1">
      <alignment shrinkToFit="1"/>
    </xf>
    <xf numFmtId="38" fontId="11" fillId="0" borderId="1" xfId="1" applyFont="1" applyBorder="1" applyAlignment="1">
      <alignment shrinkToFit="1"/>
    </xf>
    <xf numFmtId="180" fontId="11" fillId="0" borderId="2" xfId="8" applyNumberFormat="1" applyFont="1" applyBorder="1" applyAlignment="1">
      <alignment horizontal="center" shrinkToFit="1"/>
    </xf>
    <xf numFmtId="180" fontId="11" fillId="0" borderId="1" xfId="8" applyNumberFormat="1" applyFont="1" applyBorder="1" applyAlignment="1">
      <alignment horizontal="center" shrinkToFit="1"/>
    </xf>
    <xf numFmtId="180" fontId="11" fillId="0" borderId="1" xfId="8" applyNumberFormat="1" applyFont="1" applyBorder="1" applyAlignment="1">
      <alignment shrinkToFit="1"/>
    </xf>
    <xf numFmtId="180" fontId="0" fillId="0" borderId="1" xfId="0" applyNumberFormat="1" applyBorder="1">
      <alignment vertical="center"/>
    </xf>
    <xf numFmtId="180" fontId="0" fillId="0" borderId="0" xfId="0" applyNumberFormat="1">
      <alignment vertical="center"/>
    </xf>
    <xf numFmtId="176" fontId="0" fillId="0" borderId="22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6" fontId="0" fillId="0" borderId="0" xfId="0" applyNumberFormat="1" applyAlignment="1">
      <alignment vertical="center" shrinkToFit="1"/>
    </xf>
    <xf numFmtId="176" fontId="0" fillId="0" borderId="2" xfId="1" applyNumberFormat="1" applyFont="1" applyBorder="1" applyAlignment="1">
      <alignment vertical="center" shrinkToFit="1"/>
    </xf>
    <xf numFmtId="176" fontId="0" fillId="0" borderId="1" xfId="0" applyNumberFormat="1" applyBorder="1" applyAlignment="1">
      <alignment vertical="center" shrinkToFit="1"/>
    </xf>
    <xf numFmtId="176" fontId="0" fillId="0" borderId="77" xfId="1" applyNumberFormat="1" applyFont="1" applyBorder="1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176" fontId="0" fillId="0" borderId="26" xfId="1" applyNumberFormat="1" applyFont="1" applyBorder="1" applyAlignment="1">
      <alignment vertical="center" shrinkToFit="1"/>
    </xf>
    <xf numFmtId="176" fontId="0" fillId="0" borderId="24" xfId="1" applyNumberFormat="1" applyFont="1" applyBorder="1" applyAlignment="1">
      <alignment vertical="center" shrinkToFit="1"/>
    </xf>
    <xf numFmtId="176" fontId="0" fillId="0" borderId="26" xfId="0" applyNumberFormat="1" applyBorder="1" applyAlignment="1">
      <alignment vertical="center" shrinkToFit="1"/>
    </xf>
    <xf numFmtId="176" fontId="0" fillId="0" borderId="78" xfId="1" applyNumberFormat="1" applyFont="1" applyBorder="1" applyAlignment="1">
      <alignment vertical="center" shrinkToFit="1"/>
    </xf>
    <xf numFmtId="176" fontId="0" fillId="0" borderId="79" xfId="1" applyNumberFormat="1" applyFont="1" applyBorder="1" applyAlignment="1">
      <alignment vertical="center" shrinkToFit="1"/>
    </xf>
    <xf numFmtId="176" fontId="0" fillId="0" borderId="43" xfId="1" applyNumberFormat="1" applyFont="1" applyBorder="1" applyAlignment="1">
      <alignment vertical="center" shrinkToFit="1"/>
    </xf>
    <xf numFmtId="176" fontId="0" fillId="0" borderId="80" xfId="1" applyNumberFormat="1" applyFont="1" applyBorder="1" applyAlignment="1">
      <alignment vertical="center" shrinkToFit="1"/>
    </xf>
    <xf numFmtId="176" fontId="0" fillId="0" borderId="81" xfId="1" applyNumberFormat="1" applyFont="1" applyBorder="1" applyAlignment="1">
      <alignment vertical="center" shrinkToFit="1"/>
    </xf>
    <xf numFmtId="176" fontId="0" fillId="0" borderId="25" xfId="1" applyNumberFormat="1" applyFont="1" applyBorder="1" applyAlignment="1">
      <alignment vertical="center" shrinkToFit="1"/>
    </xf>
    <xf numFmtId="176" fontId="0" fillId="4" borderId="25" xfId="1" applyNumberFormat="1" applyFont="1" applyFill="1" applyBorder="1" applyAlignment="1">
      <alignment vertical="center" shrinkToFit="1"/>
    </xf>
    <xf numFmtId="176" fontId="0" fillId="4" borderId="2" xfId="1" applyNumberFormat="1" applyFont="1" applyFill="1" applyBorder="1" applyAlignment="1">
      <alignment vertical="center" shrinkToFit="1"/>
    </xf>
    <xf numFmtId="176" fontId="0" fillId="4" borderId="22" xfId="1" applyNumberFormat="1" applyFont="1" applyFill="1" applyBorder="1" applyAlignment="1">
      <alignment vertical="center" shrinkToFit="1"/>
    </xf>
    <xf numFmtId="0" fontId="16" fillId="0" borderId="0" xfId="9" applyFont="1"/>
    <xf numFmtId="0" fontId="17" fillId="12" borderId="0" xfId="9" applyFont="1" applyFill="1"/>
    <xf numFmtId="0" fontId="17" fillId="13" borderId="0" xfId="9" applyFont="1" applyFill="1"/>
    <xf numFmtId="0" fontId="17" fillId="14" borderId="0" xfId="9" applyFont="1" applyFill="1"/>
    <xf numFmtId="0" fontId="16" fillId="14" borderId="0" xfId="9" applyFont="1" applyFill="1"/>
    <xf numFmtId="0" fontId="17" fillId="15" borderId="0" xfId="9" applyFont="1" applyFill="1"/>
    <xf numFmtId="0" fontId="17" fillId="16" borderId="0" xfId="9" applyFont="1" applyFill="1"/>
    <xf numFmtId="0" fontId="17" fillId="6" borderId="0" xfId="9" applyFont="1" applyFill="1"/>
    <xf numFmtId="0" fontId="16" fillId="6" borderId="0" xfId="9" applyFont="1" applyFill="1"/>
    <xf numFmtId="49" fontId="16" fillId="0" borderId="0" xfId="9" applyNumberFormat="1" applyFont="1"/>
    <xf numFmtId="49" fontId="16" fillId="17" borderId="0" xfId="9" applyNumberFormat="1" applyFont="1" applyFill="1" applyAlignment="1">
      <alignment horizontal="center"/>
    </xf>
    <xf numFmtId="49" fontId="16" fillId="18" borderId="0" xfId="9" applyNumberFormat="1" applyFont="1" applyFill="1" applyAlignment="1">
      <alignment horizontal="center"/>
    </xf>
    <xf numFmtId="49" fontId="16" fillId="19" borderId="0" xfId="9" applyNumberFormat="1" applyFont="1" applyFill="1" applyAlignment="1">
      <alignment horizontal="center"/>
    </xf>
    <xf numFmtId="49" fontId="16" fillId="18" borderId="0" xfId="9" applyNumberFormat="1" applyFont="1" applyFill="1"/>
    <xf numFmtId="182" fontId="16" fillId="0" borderId="0" xfId="9" applyNumberFormat="1" applyFont="1"/>
    <xf numFmtId="182" fontId="16" fillId="3" borderId="0" xfId="9" applyNumberFormat="1" applyFont="1" applyFill="1"/>
    <xf numFmtId="182" fontId="16" fillId="20" borderId="0" xfId="9" applyNumberFormat="1" applyFont="1" applyFill="1"/>
    <xf numFmtId="182" fontId="16" fillId="10" borderId="0" xfId="9" applyNumberFormat="1" applyFont="1" applyFill="1"/>
    <xf numFmtId="0" fontId="16" fillId="20" borderId="0" xfId="9" applyFont="1" applyFill="1"/>
    <xf numFmtId="182" fontId="16" fillId="21" borderId="0" xfId="9" applyNumberFormat="1" applyFont="1" applyFill="1"/>
    <xf numFmtId="182" fontId="16" fillId="8" borderId="0" xfId="9" applyNumberFormat="1" applyFont="1" applyFill="1"/>
    <xf numFmtId="9" fontId="16" fillId="0" borderId="0" xfId="10" applyFont="1"/>
    <xf numFmtId="0" fontId="18" fillId="0" borderId="0" xfId="9" applyFont="1"/>
    <xf numFmtId="0" fontId="16" fillId="0" borderId="38" xfId="9" applyFont="1" applyBorder="1"/>
    <xf numFmtId="0" fontId="16" fillId="0" borderId="44" xfId="9" applyFont="1" applyBorder="1"/>
    <xf numFmtId="0" fontId="16" fillId="0" borderId="45" xfId="9" applyFont="1" applyBorder="1"/>
    <xf numFmtId="0" fontId="16" fillId="0" borderId="65" xfId="9" applyFont="1" applyBorder="1"/>
    <xf numFmtId="0" fontId="17" fillId="22" borderId="0" xfId="9" applyFont="1" applyFill="1"/>
    <xf numFmtId="0" fontId="17" fillId="23" borderId="0" xfId="9" applyFont="1" applyFill="1"/>
    <xf numFmtId="0" fontId="16" fillId="23" borderId="0" xfId="9" applyFont="1" applyFill="1"/>
    <xf numFmtId="0" fontId="16" fillId="0" borderId="66" xfId="9" applyFont="1" applyBorder="1"/>
    <xf numFmtId="49" fontId="16" fillId="0" borderId="65" xfId="9" applyNumberFormat="1" applyFont="1" applyBorder="1"/>
    <xf numFmtId="49" fontId="16" fillId="24" borderId="0" xfId="9" applyNumberFormat="1" applyFont="1" applyFill="1" applyAlignment="1">
      <alignment horizontal="center"/>
    </xf>
    <xf numFmtId="49" fontId="16" fillId="25" borderId="0" xfId="9" applyNumberFormat="1" applyFont="1" applyFill="1" applyAlignment="1">
      <alignment horizontal="center"/>
    </xf>
    <xf numFmtId="49" fontId="16" fillId="26" borderId="0" xfId="9" applyNumberFormat="1" applyFont="1" applyFill="1" applyAlignment="1">
      <alignment horizontal="center"/>
    </xf>
    <xf numFmtId="49" fontId="16" fillId="26" borderId="0" xfId="9" applyNumberFormat="1" applyFont="1" applyFill="1"/>
    <xf numFmtId="181" fontId="16" fillId="0" borderId="0" xfId="9" applyNumberFormat="1" applyFont="1"/>
    <xf numFmtId="182" fontId="16" fillId="0" borderId="65" xfId="9" applyNumberFormat="1" applyFont="1" applyBorder="1"/>
    <xf numFmtId="182" fontId="16" fillId="2" borderId="0" xfId="9" applyNumberFormat="1" applyFont="1" applyFill="1"/>
    <xf numFmtId="182" fontId="16" fillId="27" borderId="0" xfId="9" applyNumberFormat="1" applyFont="1" applyFill="1"/>
    <xf numFmtId="0" fontId="16" fillId="27" borderId="0" xfId="9" applyFont="1" applyFill="1"/>
    <xf numFmtId="182" fontId="16" fillId="28" borderId="0" xfId="9" applyNumberFormat="1" applyFont="1" applyFill="1"/>
    <xf numFmtId="182" fontId="16" fillId="29" borderId="0" xfId="9" applyNumberFormat="1" applyFont="1" applyFill="1"/>
    <xf numFmtId="9" fontId="16" fillId="0" borderId="0" xfId="10" applyFont="1" applyBorder="1"/>
    <xf numFmtId="0" fontId="16" fillId="0" borderId="67" xfId="9" applyFont="1" applyBorder="1"/>
    <xf numFmtId="0" fontId="16" fillId="0" borderId="36" xfId="9" applyFont="1" applyBorder="1"/>
    <xf numFmtId="0" fontId="16" fillId="0" borderId="68" xfId="9" applyFont="1" applyBorder="1"/>
    <xf numFmtId="0" fontId="10" fillId="0" borderId="50" xfId="8" applyFont="1" applyBorder="1" applyAlignment="1">
      <alignment horizontal="right"/>
    </xf>
    <xf numFmtId="0" fontId="10" fillId="0" borderId="84" xfId="8" applyFont="1" applyBorder="1" applyAlignment="1">
      <alignment horizontal="right"/>
    </xf>
    <xf numFmtId="0" fontId="11" fillId="0" borderId="84" xfId="8" applyFont="1" applyBorder="1"/>
    <xf numFmtId="184" fontId="11" fillId="0" borderId="50" xfId="8" applyNumberFormat="1" applyFont="1" applyBorder="1"/>
    <xf numFmtId="185" fontId="11" fillId="0" borderId="84" xfId="8" applyNumberFormat="1" applyFont="1" applyBorder="1"/>
    <xf numFmtId="38" fontId="0" fillId="0" borderId="24" xfId="1" applyFont="1" applyBorder="1" applyAlignment="1">
      <alignment horizontal="right" vertical="center" shrinkToFit="1"/>
    </xf>
    <xf numFmtId="0" fontId="16" fillId="0" borderId="0" xfId="0" applyFont="1" applyAlignment="1"/>
    <xf numFmtId="181" fontId="16" fillId="0" borderId="0" xfId="0" applyNumberFormat="1" applyFont="1" applyAlignment="1"/>
    <xf numFmtId="176" fontId="21" fillId="0" borderId="0" xfId="0" applyNumberFormat="1" applyFont="1" applyAlignment="1">
      <alignment vertical="center" shrinkToFit="1"/>
    </xf>
    <xf numFmtId="177" fontId="21" fillId="5" borderId="0" xfId="2" applyNumberFormat="1" applyFont="1" applyFill="1" applyAlignment="1">
      <alignment vertical="center" shrinkToFit="1"/>
    </xf>
    <xf numFmtId="176" fontId="21" fillId="0" borderId="19" xfId="1" applyNumberFormat="1" applyFont="1" applyBorder="1" applyAlignment="1">
      <alignment horizontal="center" vertical="center" shrinkToFit="1"/>
    </xf>
    <xf numFmtId="177" fontId="21" fillId="5" borderId="20" xfId="2" applyNumberFormat="1" applyFont="1" applyFill="1" applyBorder="1" applyAlignment="1">
      <alignment horizontal="center" vertical="center" shrinkToFit="1"/>
    </xf>
    <xf numFmtId="176" fontId="21" fillId="0" borderId="0" xfId="0" applyNumberFormat="1" applyFont="1" applyAlignment="1">
      <alignment horizontal="center" vertical="center" shrinkToFit="1"/>
    </xf>
    <xf numFmtId="176" fontId="21" fillId="6" borderId="2" xfId="1" applyNumberFormat="1" applyFont="1" applyFill="1" applyBorder="1" applyAlignment="1">
      <alignment horizontal="right" vertical="center" shrinkToFit="1"/>
    </xf>
    <xf numFmtId="177" fontId="21" fillId="6" borderId="22" xfId="2" applyNumberFormat="1" applyFont="1" applyFill="1" applyBorder="1" applyAlignment="1">
      <alignment horizontal="center" vertical="center" shrinkToFit="1"/>
    </xf>
    <xf numFmtId="176" fontId="23" fillId="30" borderId="5" xfId="0" applyNumberFormat="1" applyFont="1" applyFill="1" applyBorder="1" applyAlignment="1">
      <alignment horizontal="center" vertical="center" shrinkToFit="1"/>
    </xf>
    <xf numFmtId="176" fontId="23" fillId="30" borderId="83" xfId="0" applyNumberFormat="1" applyFont="1" applyFill="1" applyBorder="1" applyAlignment="1">
      <alignment horizontal="center" vertical="center" shrinkToFit="1"/>
    </xf>
    <xf numFmtId="176" fontId="23" fillId="30" borderId="2" xfId="1" applyNumberFormat="1" applyFont="1" applyFill="1" applyBorder="1" applyAlignment="1">
      <alignment horizontal="right" vertical="center" shrinkToFit="1"/>
    </xf>
    <xf numFmtId="177" fontId="23" fillId="30" borderId="22" xfId="2" applyNumberFormat="1" applyFont="1" applyFill="1" applyBorder="1" applyAlignment="1">
      <alignment horizontal="center" vertical="center" shrinkToFit="1"/>
    </xf>
    <xf numFmtId="176" fontId="21" fillId="6" borderId="65" xfId="0" applyNumberFormat="1" applyFont="1" applyFill="1" applyBorder="1" applyAlignment="1">
      <alignment horizontal="center" vertical="center" shrinkToFit="1"/>
    </xf>
    <xf numFmtId="176" fontId="23" fillId="30" borderId="6" xfId="0" applyNumberFormat="1" applyFont="1" applyFill="1" applyBorder="1" applyAlignment="1">
      <alignment horizontal="center" vertical="center" shrinkToFit="1"/>
    </xf>
    <xf numFmtId="176" fontId="23" fillId="30" borderId="1" xfId="0" applyNumberFormat="1" applyFont="1" applyFill="1" applyBorder="1" applyAlignment="1">
      <alignment horizontal="center" vertical="center" shrinkToFit="1"/>
    </xf>
    <xf numFmtId="176" fontId="23" fillId="30" borderId="2" xfId="1" applyNumberFormat="1" applyFont="1" applyFill="1" applyBorder="1" applyAlignment="1">
      <alignment horizontal="center" vertical="center" shrinkToFit="1"/>
    </xf>
    <xf numFmtId="176" fontId="23" fillId="30" borderId="22" xfId="1" applyNumberFormat="1" applyFont="1" applyFill="1" applyBorder="1" applyAlignment="1">
      <alignment horizontal="right" vertical="center" shrinkToFit="1"/>
    </xf>
    <xf numFmtId="176" fontId="21" fillId="2" borderId="1" xfId="1" applyNumberFormat="1" applyFont="1" applyFill="1" applyBorder="1" applyAlignment="1">
      <alignment vertical="center" shrinkToFit="1"/>
    </xf>
    <xf numFmtId="177" fontId="21" fillId="2" borderId="24" xfId="2" applyNumberFormat="1" applyFont="1" applyFill="1" applyBorder="1" applyAlignment="1">
      <alignment vertical="center" shrinkToFit="1"/>
    </xf>
    <xf numFmtId="176" fontId="21" fillId="6" borderId="65" xfId="0" applyNumberFormat="1" applyFont="1" applyFill="1" applyBorder="1" applyAlignment="1">
      <alignment vertical="center" shrinkToFit="1"/>
    </xf>
    <xf numFmtId="176" fontId="21" fillId="0" borderId="1" xfId="1" applyNumberFormat="1" applyFont="1" applyBorder="1" applyAlignment="1">
      <alignment vertical="center" shrinkToFit="1"/>
    </xf>
    <xf numFmtId="177" fontId="21" fillId="5" borderId="24" xfId="2" applyNumberFormat="1" applyFont="1" applyFill="1" applyBorder="1" applyAlignment="1">
      <alignment vertical="center" shrinkToFit="1"/>
    </xf>
    <xf numFmtId="177" fontId="24" fillId="4" borderId="24" xfId="2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left" vertical="center" shrinkToFit="1"/>
    </xf>
    <xf numFmtId="176" fontId="22" fillId="2" borderId="5" xfId="0" applyNumberFormat="1" applyFont="1" applyFill="1" applyBorder="1" applyAlignment="1">
      <alignment horizontal="left" vertical="center" shrinkToFit="1"/>
    </xf>
    <xf numFmtId="176" fontId="21" fillId="2" borderId="6" xfId="0" applyNumberFormat="1" applyFont="1" applyFill="1" applyBorder="1" applyAlignment="1">
      <alignment horizontal="left" vertical="center" shrinkToFit="1"/>
    </xf>
    <xf numFmtId="176" fontId="21" fillId="2" borderId="15" xfId="1" applyNumberFormat="1" applyFont="1" applyFill="1" applyBorder="1" applyAlignment="1">
      <alignment vertical="center" shrinkToFit="1"/>
    </xf>
    <xf numFmtId="177" fontId="21" fillId="2" borderId="16" xfId="2" applyNumberFormat="1" applyFont="1" applyFill="1" applyBorder="1" applyAlignment="1">
      <alignment vertical="center" shrinkToFit="1"/>
    </xf>
    <xf numFmtId="176" fontId="21" fillId="6" borderId="67" xfId="0" applyNumberFormat="1" applyFont="1" applyFill="1" applyBorder="1" applyAlignment="1">
      <alignment vertical="center" shrinkToFit="1"/>
    </xf>
    <xf numFmtId="176" fontId="21" fillId="24" borderId="65" xfId="0" applyNumberFormat="1" applyFont="1" applyFill="1" applyBorder="1" applyAlignment="1">
      <alignment vertical="center" shrinkToFit="1"/>
    </xf>
    <xf numFmtId="176" fontId="21" fillId="24" borderId="2" xfId="1" applyNumberFormat="1" applyFont="1" applyFill="1" applyBorder="1" applyAlignment="1">
      <alignment vertical="center" shrinkToFit="1"/>
    </xf>
    <xf numFmtId="177" fontId="21" fillId="24" borderId="22" xfId="2" applyNumberFormat="1" applyFont="1" applyFill="1" applyBorder="1" applyAlignment="1">
      <alignment vertical="center" shrinkToFit="1"/>
    </xf>
    <xf numFmtId="176" fontId="21" fillId="10" borderId="1" xfId="1" applyNumberFormat="1" applyFont="1" applyFill="1" applyBorder="1" applyAlignment="1">
      <alignment vertical="center" shrinkToFit="1"/>
    </xf>
    <xf numFmtId="177" fontId="21" fillId="10" borderId="24" xfId="2" applyNumberFormat="1" applyFont="1" applyFill="1" applyBorder="1" applyAlignment="1">
      <alignment vertical="center" shrinkToFit="1"/>
    </xf>
    <xf numFmtId="176" fontId="22" fillId="0" borderId="1" xfId="1" applyNumberFormat="1" applyFont="1" applyBorder="1" applyAlignment="1">
      <alignment vertical="center" shrinkToFit="1"/>
    </xf>
    <xf numFmtId="176" fontId="21" fillId="24" borderId="94" xfId="0" applyNumberFormat="1" applyFont="1" applyFill="1" applyBorder="1" applyAlignment="1">
      <alignment vertical="center" shrinkToFit="1"/>
    </xf>
    <xf numFmtId="176" fontId="21" fillId="0" borderId="77" xfId="1" applyNumberFormat="1" applyFont="1" applyBorder="1" applyAlignment="1">
      <alignment vertical="center" shrinkToFit="1"/>
    </xf>
    <xf numFmtId="177" fontId="21" fillId="5" borderId="79" xfId="2" applyNumberFormat="1" applyFont="1" applyFill="1" applyBorder="1" applyAlignment="1">
      <alignment vertical="center" shrinkToFit="1"/>
    </xf>
    <xf numFmtId="176" fontId="21" fillId="4" borderId="99" xfId="1" applyNumberFormat="1" applyFont="1" applyFill="1" applyBorder="1" applyAlignment="1">
      <alignment vertical="center" shrinkToFit="1"/>
    </xf>
    <xf numFmtId="177" fontId="21" fillId="4" borderId="100" xfId="2" applyNumberFormat="1" applyFont="1" applyFill="1" applyBorder="1" applyAlignment="1">
      <alignment vertical="center" shrinkToFit="1"/>
    </xf>
    <xf numFmtId="176" fontId="21" fillId="4" borderId="1" xfId="1" applyNumberFormat="1" applyFont="1" applyFill="1" applyBorder="1" applyAlignment="1">
      <alignment vertical="center" shrinkToFit="1"/>
    </xf>
    <xf numFmtId="177" fontId="21" fillId="4" borderId="24" xfId="2" applyNumberFormat="1" applyFont="1" applyFill="1" applyBorder="1" applyAlignment="1">
      <alignment vertical="center" shrinkToFit="1"/>
    </xf>
    <xf numFmtId="176" fontId="21" fillId="3" borderId="1" xfId="1" applyNumberFormat="1" applyFont="1" applyFill="1" applyBorder="1" applyAlignment="1">
      <alignment vertical="center" shrinkToFit="1"/>
    </xf>
    <xf numFmtId="177" fontId="21" fillId="3" borderId="24" xfId="2" applyNumberFormat="1" applyFont="1" applyFill="1" applyBorder="1" applyAlignment="1">
      <alignment vertical="center" shrinkToFit="1"/>
    </xf>
    <xf numFmtId="176" fontId="21" fillId="0" borderId="1" xfId="1" applyNumberFormat="1" applyFont="1" applyBorder="1" applyAlignment="1">
      <alignment horizontal="left" vertical="center" shrinkToFit="1"/>
    </xf>
    <xf numFmtId="176" fontId="22" fillId="0" borderId="1" xfId="1" applyNumberFormat="1" applyFont="1" applyBorder="1" applyAlignment="1">
      <alignment horizontal="left" vertical="center" shrinkToFit="1"/>
    </xf>
    <xf numFmtId="176" fontId="21" fillId="0" borderId="77" xfId="1" applyNumberFormat="1" applyFont="1" applyBorder="1" applyAlignment="1">
      <alignment horizontal="left" vertical="center" shrinkToFit="1"/>
    </xf>
    <xf numFmtId="176" fontId="21" fillId="4" borderId="107" xfId="1" applyNumberFormat="1" applyFont="1" applyFill="1" applyBorder="1" applyAlignment="1">
      <alignment vertical="center" shrinkToFit="1"/>
    </xf>
    <xf numFmtId="177" fontId="21" fillId="4" borderId="108" xfId="2" applyNumberFormat="1" applyFont="1" applyFill="1" applyBorder="1" applyAlignment="1">
      <alignment vertical="center" shrinkToFit="1"/>
    </xf>
    <xf numFmtId="176" fontId="21" fillId="3" borderId="112" xfId="1" applyNumberFormat="1" applyFont="1" applyFill="1" applyBorder="1" applyAlignment="1">
      <alignment vertical="center" shrinkToFit="1"/>
    </xf>
    <xf numFmtId="177" fontId="21" fillId="3" borderId="113" xfId="2" applyNumberFormat="1" applyFont="1" applyFill="1" applyBorder="1" applyAlignment="1">
      <alignment vertical="center" shrinkToFit="1"/>
    </xf>
    <xf numFmtId="176" fontId="21" fillId="2" borderId="12" xfId="1" applyNumberFormat="1" applyFont="1" applyFill="1" applyBorder="1" applyAlignment="1">
      <alignment vertical="center" shrinkToFit="1"/>
    </xf>
    <xf numFmtId="177" fontId="21" fillId="2" borderId="13" xfId="2" applyNumberFormat="1" applyFont="1" applyFill="1" applyBorder="1" applyAlignment="1">
      <alignment vertical="center" shrinkToFit="1"/>
    </xf>
    <xf numFmtId="176" fontId="21" fillId="4" borderId="2" xfId="1" applyNumberFormat="1" applyFont="1" applyFill="1" applyBorder="1" applyAlignment="1">
      <alignment vertical="center" shrinkToFit="1"/>
    </xf>
    <xf numFmtId="177" fontId="21" fillId="4" borderId="22" xfId="2" applyNumberFormat="1" applyFont="1" applyFill="1" applyBorder="1" applyAlignment="1">
      <alignment vertical="center" shrinkToFit="1"/>
    </xf>
    <xf numFmtId="176" fontId="21" fillId="4" borderId="80" xfId="1" applyNumberFormat="1" applyFont="1" applyFill="1" applyBorder="1" applyAlignment="1">
      <alignment vertical="center" shrinkToFit="1"/>
    </xf>
    <xf numFmtId="176" fontId="21" fillId="4" borderId="15" xfId="1" applyNumberFormat="1" applyFont="1" applyFill="1" applyBorder="1" applyAlignment="1">
      <alignment vertical="center" shrinkToFit="1"/>
    </xf>
    <xf numFmtId="177" fontId="21" fillId="4" borderId="16" xfId="2" applyNumberFormat="1" applyFont="1" applyFill="1" applyBorder="1" applyAlignment="1">
      <alignment vertical="center" shrinkToFit="1"/>
    </xf>
    <xf numFmtId="176" fontId="21" fillId="0" borderId="1" xfId="1" applyNumberFormat="1" applyFont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vertical="center" shrinkToFit="1"/>
    </xf>
    <xf numFmtId="176" fontId="22" fillId="0" borderId="1" xfId="0" applyNumberFormat="1" applyFont="1" applyBorder="1" applyAlignment="1">
      <alignment vertical="center" shrinkToFit="1"/>
    </xf>
    <xf numFmtId="176" fontId="25" fillId="0" borderId="1" xfId="1" applyNumberFormat="1" applyFont="1" applyBorder="1" applyAlignment="1">
      <alignment vertical="center" shrinkToFit="1"/>
    </xf>
    <xf numFmtId="176" fontId="21" fillId="5" borderId="1" xfId="1" applyNumberFormat="1" applyFont="1" applyFill="1" applyBorder="1" applyAlignment="1">
      <alignment vertical="center" shrinkToFit="1"/>
    </xf>
    <xf numFmtId="176" fontId="21" fillId="0" borderId="5" xfId="0" applyNumberFormat="1" applyFont="1" applyBorder="1" applyAlignment="1">
      <alignment vertical="center" shrinkToFit="1"/>
    </xf>
    <xf numFmtId="177" fontId="21" fillId="0" borderId="6" xfId="2" applyNumberFormat="1" applyFont="1" applyBorder="1" applyAlignment="1">
      <alignment vertical="center" shrinkToFit="1"/>
    </xf>
    <xf numFmtId="176" fontId="21" fillId="8" borderId="1" xfId="1" applyNumberFormat="1" applyFont="1" applyFill="1" applyBorder="1" applyAlignment="1">
      <alignment vertical="center" shrinkToFit="1"/>
    </xf>
    <xf numFmtId="176" fontId="21" fillId="8" borderId="5" xfId="0" applyNumberFormat="1" applyFont="1" applyFill="1" applyBorder="1" applyAlignment="1">
      <alignment vertical="center" shrinkToFit="1"/>
    </xf>
    <xf numFmtId="177" fontId="21" fillId="8" borderId="6" xfId="2" applyNumberFormat="1" applyFont="1" applyFill="1" applyBorder="1" applyAlignment="1">
      <alignment vertical="center" shrinkToFit="1"/>
    </xf>
    <xf numFmtId="0" fontId="26" fillId="0" borderId="0" xfId="0" applyFont="1">
      <alignment vertical="center"/>
    </xf>
    <xf numFmtId="0" fontId="26" fillId="0" borderId="0" xfId="0" applyFont="1" applyAlignment="1">
      <alignment vertical="center" shrinkToFit="1"/>
    </xf>
    <xf numFmtId="38" fontId="26" fillId="0" borderId="1" xfId="1" applyFont="1" applyBorder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76" fontId="26" fillId="0" borderId="19" xfId="1" applyNumberFormat="1" applyFont="1" applyBorder="1" applyAlignment="1">
      <alignment horizontal="center" vertical="center" shrinkToFit="1"/>
    </xf>
    <xf numFmtId="176" fontId="26" fillId="0" borderId="2" xfId="1" applyNumberFormat="1" applyFont="1" applyBorder="1" applyAlignment="1">
      <alignment vertical="center" shrinkToFit="1"/>
    </xf>
    <xf numFmtId="176" fontId="26" fillId="2" borderId="1" xfId="1" applyNumberFormat="1" applyFont="1" applyFill="1" applyBorder="1" applyAlignment="1">
      <alignment vertical="center" shrinkToFit="1"/>
    </xf>
    <xf numFmtId="176" fontId="28" fillId="0" borderId="1" xfId="0" applyNumberFormat="1" applyFont="1" applyBorder="1" applyAlignment="1">
      <alignment vertical="center" shrinkToFit="1"/>
    </xf>
    <xf numFmtId="176" fontId="30" fillId="0" borderId="1" xfId="1" applyNumberFormat="1" applyFont="1" applyBorder="1" applyAlignment="1">
      <alignment vertical="center" shrinkToFit="1"/>
    </xf>
    <xf numFmtId="176" fontId="26" fillId="3" borderId="1" xfId="1" applyNumberFormat="1" applyFont="1" applyFill="1" applyBorder="1" applyAlignment="1">
      <alignment vertical="center" shrinkToFit="1"/>
    </xf>
    <xf numFmtId="176" fontId="26" fillId="4" borderId="1" xfId="1" applyNumberFormat="1" applyFont="1" applyFill="1" applyBorder="1" applyAlignment="1">
      <alignment vertical="center" shrinkToFit="1"/>
    </xf>
    <xf numFmtId="176" fontId="26" fillId="6" borderId="1" xfId="1" applyNumberFormat="1" applyFont="1" applyFill="1" applyBorder="1" applyAlignment="1">
      <alignment vertical="center" shrinkToFit="1"/>
    </xf>
    <xf numFmtId="176" fontId="26" fillId="7" borderId="1" xfId="1" applyNumberFormat="1" applyFont="1" applyFill="1" applyBorder="1" applyAlignment="1">
      <alignment vertical="center" shrinkToFit="1"/>
    </xf>
    <xf numFmtId="176" fontId="26" fillId="0" borderId="15" xfId="1" applyNumberFormat="1" applyFont="1" applyBorder="1" applyAlignment="1">
      <alignment vertical="center" shrinkToFit="1"/>
    </xf>
    <xf numFmtId="176" fontId="26" fillId="0" borderId="1" xfId="0" applyNumberFormat="1" applyFont="1" applyBorder="1" applyAlignment="1">
      <alignment vertical="center" shrinkToFit="1"/>
    </xf>
    <xf numFmtId="176" fontId="31" fillId="0" borderId="0" xfId="5" applyNumberFormat="1" applyFont="1" applyAlignment="1">
      <alignment vertical="center" shrinkToFit="1"/>
    </xf>
    <xf numFmtId="176" fontId="26" fillId="3" borderId="6" xfId="1" applyNumberFormat="1" applyFont="1" applyFill="1" applyBorder="1" applyAlignment="1">
      <alignment vertical="center" shrinkToFit="1"/>
    </xf>
    <xf numFmtId="176" fontId="26" fillId="0" borderId="20" xfId="1" applyNumberFormat="1" applyFont="1" applyBorder="1" applyAlignment="1">
      <alignment horizontal="center" vertical="center" shrinkToFit="1"/>
    </xf>
    <xf numFmtId="176" fontId="26" fillId="0" borderId="22" xfId="1" applyNumberFormat="1" applyFont="1" applyBorder="1" applyAlignment="1">
      <alignment vertical="center" shrinkToFit="1"/>
    </xf>
    <xf numFmtId="176" fontId="26" fillId="2" borderId="24" xfId="1" applyNumberFormat="1" applyFont="1" applyFill="1" applyBorder="1" applyAlignment="1">
      <alignment vertical="center" shrinkToFit="1"/>
    </xf>
    <xf numFmtId="176" fontId="30" fillId="0" borderId="24" xfId="1" applyNumberFormat="1" applyFont="1" applyBorder="1" applyAlignment="1">
      <alignment vertical="center" shrinkToFit="1"/>
    </xf>
    <xf numFmtId="176" fontId="26" fillId="3" borderId="24" xfId="1" applyNumberFormat="1" applyFont="1" applyFill="1" applyBorder="1" applyAlignment="1">
      <alignment vertical="center" shrinkToFit="1"/>
    </xf>
    <xf numFmtId="176" fontId="26" fillId="4" borderId="24" xfId="1" applyNumberFormat="1" applyFont="1" applyFill="1" applyBorder="1" applyAlignment="1">
      <alignment vertical="center" shrinkToFit="1"/>
    </xf>
    <xf numFmtId="176" fontId="26" fillId="6" borderId="24" xfId="1" applyNumberFormat="1" applyFont="1" applyFill="1" applyBorder="1" applyAlignment="1">
      <alignment vertical="center" shrinkToFit="1"/>
    </xf>
    <xf numFmtId="176" fontId="26" fillId="7" borderId="24" xfId="1" applyNumberFormat="1" applyFont="1" applyFill="1" applyBorder="1" applyAlignment="1">
      <alignment vertical="center" shrinkToFit="1"/>
    </xf>
    <xf numFmtId="176" fontId="26" fillId="0" borderId="16" xfId="1" applyNumberFormat="1" applyFont="1" applyBorder="1" applyAlignment="1">
      <alignment vertical="center" shrinkToFit="1"/>
    </xf>
    <xf numFmtId="0" fontId="33" fillId="0" borderId="0" xfId="456">
      <alignment vertical="center"/>
    </xf>
    <xf numFmtId="14" fontId="0" fillId="0" borderId="0" xfId="0" applyNumberFormat="1">
      <alignment vertical="center"/>
    </xf>
    <xf numFmtId="176" fontId="0" fillId="0" borderId="1" xfId="1" applyNumberFormat="1" applyFont="1" applyBorder="1" applyAlignment="1">
      <alignment horizontal="left" vertical="center" shrinkToFit="1"/>
    </xf>
    <xf numFmtId="38" fontId="26" fillId="0" borderId="0" xfId="1" applyFont="1" applyAlignment="1">
      <alignment vertical="center" shrinkToFit="1"/>
    </xf>
    <xf numFmtId="0" fontId="26" fillId="0" borderId="12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 shrinkToFit="1"/>
    </xf>
    <xf numFmtId="0" fontId="26" fillId="0" borderId="24" xfId="0" applyFont="1" applyBorder="1" applyAlignment="1">
      <alignment vertical="center" shrinkToFit="1"/>
    </xf>
    <xf numFmtId="0" fontId="26" fillId="0" borderId="26" xfId="0" applyFont="1" applyBorder="1" applyAlignment="1">
      <alignment vertical="center" shrinkToFit="1"/>
    </xf>
    <xf numFmtId="178" fontId="26" fillId="0" borderId="1" xfId="1" applyNumberFormat="1" applyFont="1" applyBorder="1" applyAlignment="1">
      <alignment vertical="center" shrinkToFit="1"/>
    </xf>
    <xf numFmtId="178" fontId="26" fillId="0" borderId="24" xfId="1" applyNumberFormat="1" applyFont="1" applyBorder="1" applyAlignment="1">
      <alignment vertical="center" shrinkToFit="1"/>
    </xf>
    <xf numFmtId="178" fontId="26" fillId="0" borderId="0" xfId="1" applyNumberFormat="1" applyFont="1" applyAlignment="1">
      <alignment vertical="center" shrinkToFit="1"/>
    </xf>
    <xf numFmtId="38" fontId="26" fillId="0" borderId="24" xfId="1" applyFont="1" applyBorder="1" applyAlignment="1">
      <alignment vertical="center" shrinkToFit="1"/>
    </xf>
    <xf numFmtId="38" fontId="26" fillId="0" borderId="26" xfId="1" applyFont="1" applyBorder="1" applyAlignment="1">
      <alignment vertical="center" shrinkToFit="1"/>
    </xf>
    <xf numFmtId="0" fontId="26" fillId="31" borderId="1" xfId="0" applyFont="1" applyFill="1" applyBorder="1" applyAlignment="1">
      <alignment vertical="center" shrinkToFit="1"/>
    </xf>
    <xf numFmtId="0" fontId="26" fillId="31" borderId="24" xfId="0" applyFont="1" applyFill="1" applyBorder="1" applyAlignment="1">
      <alignment vertical="center" shrinkToFit="1"/>
    </xf>
    <xf numFmtId="38" fontId="26" fillId="0" borderId="0" xfId="1" applyFont="1">
      <alignment vertical="center"/>
    </xf>
    <xf numFmtId="0" fontId="26" fillId="0" borderId="26" xfId="0" applyFont="1" applyBorder="1">
      <alignment vertical="center"/>
    </xf>
    <xf numFmtId="0" fontId="26" fillId="0" borderId="1" xfId="0" applyFont="1" applyBorder="1">
      <alignment vertical="center"/>
    </xf>
    <xf numFmtId="0" fontId="26" fillId="0" borderId="24" xfId="0" applyFont="1" applyBorder="1">
      <alignment vertical="center"/>
    </xf>
    <xf numFmtId="0" fontId="26" fillId="31" borderId="1" xfId="0" applyFont="1" applyFill="1" applyBorder="1">
      <alignment vertical="center"/>
    </xf>
    <xf numFmtId="0" fontId="26" fillId="0" borderId="14" xfId="0" applyFont="1" applyBorder="1" applyAlignment="1">
      <alignment vertical="center" shrinkToFit="1"/>
    </xf>
    <xf numFmtId="0" fontId="26" fillId="0" borderId="15" xfId="0" applyFont="1" applyBorder="1">
      <alignment vertical="center"/>
    </xf>
    <xf numFmtId="0" fontId="26" fillId="0" borderId="15" xfId="0" applyFont="1" applyBorder="1" applyAlignment="1">
      <alignment vertical="center" shrinkToFit="1"/>
    </xf>
    <xf numFmtId="38" fontId="26" fillId="0" borderId="15" xfId="1" applyFont="1" applyBorder="1" applyAlignment="1">
      <alignment vertical="center" shrinkToFit="1"/>
    </xf>
    <xf numFmtId="38" fontId="26" fillId="0" borderId="16" xfId="1" applyFont="1" applyBorder="1" applyAlignment="1">
      <alignment vertical="center" shrinkToFit="1"/>
    </xf>
    <xf numFmtId="0" fontId="26" fillId="0" borderId="65" xfId="0" applyFont="1" applyBorder="1">
      <alignment vertical="center"/>
    </xf>
    <xf numFmtId="0" fontId="26" fillId="0" borderId="26" xfId="0" applyFont="1" applyBorder="1" applyAlignment="1">
      <alignment horizontal="center" vertical="center"/>
    </xf>
    <xf numFmtId="38" fontId="26" fillId="0" borderId="67" xfId="1" applyFont="1" applyBorder="1" applyAlignment="1">
      <alignment horizontal="center" vertical="center"/>
    </xf>
    <xf numFmtId="38" fontId="26" fillId="0" borderId="14" xfId="1" applyFont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vertical="center" shrinkToFit="1"/>
    </xf>
    <xf numFmtId="38" fontId="27" fillId="0" borderId="1" xfId="1" applyFont="1" applyBorder="1" applyAlignment="1">
      <alignment horizontal="center" vertical="center" shrinkToFit="1"/>
    </xf>
    <xf numFmtId="38" fontId="29" fillId="4" borderId="1" xfId="1" applyFont="1" applyFill="1" applyBorder="1" applyAlignment="1">
      <alignment horizontal="right" vertical="center" shrinkToFit="1"/>
    </xf>
    <xf numFmtId="38" fontId="27" fillId="2" borderId="1" xfId="1" applyFont="1" applyFill="1" applyBorder="1" applyAlignment="1">
      <alignment vertical="center" shrinkToFit="1"/>
    </xf>
    <xf numFmtId="176" fontId="27" fillId="0" borderId="1" xfId="1" applyNumberFormat="1" applyFont="1" applyBorder="1" applyAlignment="1">
      <alignment vertical="center" shrinkToFit="1"/>
    </xf>
    <xf numFmtId="38" fontId="27" fillId="0" borderId="1" xfId="1" applyFont="1" applyBorder="1" applyAlignment="1">
      <alignment vertical="center" shrinkToFit="1"/>
    </xf>
    <xf numFmtId="38" fontId="27" fillId="3" borderId="1" xfId="1" applyFont="1" applyFill="1" applyBorder="1" applyAlignment="1">
      <alignment vertical="center" shrinkToFit="1"/>
    </xf>
    <xf numFmtId="38" fontId="29" fillId="4" borderId="1" xfId="1" applyFont="1" applyFill="1" applyBorder="1" applyAlignment="1">
      <alignment vertical="center" shrinkToFit="1"/>
    </xf>
    <xf numFmtId="176" fontId="27" fillId="0" borderId="1" xfId="1" applyNumberFormat="1" applyFont="1" applyBorder="1" applyAlignment="1">
      <alignment horizontal="left" vertical="center" shrinkToFit="1"/>
    </xf>
    <xf numFmtId="38" fontId="29" fillId="4" borderId="3" xfId="1" applyFont="1" applyFill="1" applyBorder="1" applyAlignment="1">
      <alignment vertical="center" shrinkToFit="1"/>
    </xf>
    <xf numFmtId="0" fontId="27" fillId="4" borderId="1" xfId="0" applyFont="1" applyFill="1" applyBorder="1" applyAlignment="1">
      <alignment vertical="center" shrinkToFit="1"/>
    </xf>
    <xf numFmtId="9" fontId="27" fillId="4" borderId="1" xfId="2" applyFont="1" applyFill="1" applyBorder="1" applyAlignment="1">
      <alignment vertical="center" shrinkToFit="1"/>
    </xf>
    <xf numFmtId="9" fontId="27" fillId="11" borderId="1" xfId="2" applyFont="1" applyFill="1" applyBorder="1" applyAlignment="1">
      <alignment vertical="center" shrinkToFit="1"/>
    </xf>
    <xf numFmtId="177" fontId="27" fillId="4" borderId="1" xfId="2" applyNumberFormat="1" applyFont="1" applyFill="1" applyBorder="1" applyAlignment="1">
      <alignment vertical="center" shrinkToFit="1"/>
    </xf>
    <xf numFmtId="177" fontId="27" fillId="3" borderId="1" xfId="2" applyNumberFormat="1" applyFont="1" applyFill="1" applyBorder="1" applyAlignment="1">
      <alignment vertical="center" shrinkToFit="1"/>
    </xf>
    <xf numFmtId="0" fontId="26" fillId="31" borderId="26" xfId="0" applyFont="1" applyFill="1" applyBorder="1" applyAlignment="1">
      <alignment vertical="center" shrinkToFit="1"/>
    </xf>
    <xf numFmtId="38" fontId="30" fillId="0" borderId="1" xfId="1" applyFont="1" applyBorder="1" applyAlignment="1">
      <alignment vertical="center" shrinkToFit="1"/>
    </xf>
    <xf numFmtId="38" fontId="30" fillId="0" borderId="24" xfId="1" applyFont="1" applyBorder="1" applyAlignment="1">
      <alignment vertical="center" shrinkToFit="1"/>
    </xf>
    <xf numFmtId="38" fontId="30" fillId="0" borderId="0" xfId="1" applyFont="1" applyAlignment="1">
      <alignment vertical="center" shrinkToFit="1"/>
    </xf>
    <xf numFmtId="0" fontId="30" fillId="0" borderId="0" xfId="0" applyFont="1" applyAlignment="1">
      <alignment vertical="center" shrinkToFit="1"/>
    </xf>
    <xf numFmtId="38" fontId="30" fillId="0" borderId="26" xfId="1" applyFont="1" applyBorder="1" applyAlignment="1">
      <alignment vertical="center" shrinkToFit="1"/>
    </xf>
    <xf numFmtId="0" fontId="30" fillId="0" borderId="1" xfId="0" applyFont="1" applyBorder="1" applyAlignment="1">
      <alignment vertical="center" shrinkToFit="1"/>
    </xf>
    <xf numFmtId="0" fontId="30" fillId="0" borderId="26" xfId="0" applyFont="1" applyBorder="1" applyAlignment="1">
      <alignment vertical="center" shrinkToFit="1"/>
    </xf>
    <xf numFmtId="0" fontId="30" fillId="0" borderId="24" xfId="0" applyFont="1" applyBorder="1" applyAlignment="1">
      <alignment vertical="center" shrinkToFit="1"/>
    </xf>
    <xf numFmtId="38" fontId="26" fillId="0" borderId="77" xfId="1" applyFont="1" applyBorder="1" applyAlignment="1">
      <alignment vertical="center" shrinkToFit="1"/>
    </xf>
    <xf numFmtId="38" fontId="26" fillId="0" borderId="79" xfId="1" applyFont="1" applyBorder="1" applyAlignment="1">
      <alignment vertical="center" shrinkToFit="1"/>
    </xf>
    <xf numFmtId="0" fontId="30" fillId="0" borderId="25" xfId="0" applyFont="1" applyBorder="1" applyAlignment="1">
      <alignment vertical="center" shrinkToFit="1"/>
    </xf>
    <xf numFmtId="0" fontId="37" fillId="0" borderId="0" xfId="0" applyFont="1" applyAlignment="1">
      <alignment vertical="center" shrinkToFit="1"/>
    </xf>
    <xf numFmtId="38" fontId="37" fillId="0" borderId="1" xfId="1" applyFont="1" applyBorder="1" applyAlignment="1">
      <alignment vertical="center" shrinkToFit="1"/>
    </xf>
    <xf numFmtId="38" fontId="37" fillId="0" borderId="24" xfId="1" applyFont="1" applyBorder="1" applyAlignment="1">
      <alignment vertical="center" shrinkToFit="1"/>
    </xf>
    <xf numFmtId="38" fontId="37" fillId="0" borderId="0" xfId="1" applyFont="1" applyAlignment="1">
      <alignment vertical="center" shrinkToFit="1"/>
    </xf>
    <xf numFmtId="38" fontId="37" fillId="0" borderId="26" xfId="1" applyFont="1" applyBorder="1" applyAlignment="1">
      <alignment vertical="center" shrinkToFit="1"/>
    </xf>
    <xf numFmtId="0" fontId="30" fillId="0" borderId="0" xfId="0" applyFont="1">
      <alignment vertical="center"/>
    </xf>
    <xf numFmtId="0" fontId="30" fillId="0" borderId="2" xfId="0" applyFont="1" applyBorder="1" applyAlignment="1">
      <alignment vertical="center" shrinkToFit="1"/>
    </xf>
    <xf numFmtId="0" fontId="30" fillId="0" borderId="22" xfId="0" applyFont="1" applyBorder="1" applyAlignment="1">
      <alignment vertical="center" shrinkToFit="1"/>
    </xf>
    <xf numFmtId="0" fontId="30" fillId="0" borderId="6" xfId="0" applyFont="1" applyBorder="1" applyAlignment="1">
      <alignment vertical="center" shrinkToFit="1"/>
    </xf>
    <xf numFmtId="178" fontId="30" fillId="0" borderId="1" xfId="1" applyNumberFormat="1" applyFont="1" applyBorder="1" applyAlignment="1">
      <alignment vertical="center" shrinkToFit="1"/>
    </xf>
    <xf numFmtId="178" fontId="30" fillId="0" borderId="24" xfId="1" applyNumberFormat="1" applyFont="1" applyBorder="1" applyAlignment="1">
      <alignment vertical="center" shrinkToFit="1"/>
    </xf>
    <xf numFmtId="178" fontId="30" fillId="0" borderId="1" xfId="0" applyNumberFormat="1" applyFont="1" applyBorder="1" applyAlignment="1">
      <alignment vertical="center" shrinkToFit="1"/>
    </xf>
    <xf numFmtId="178" fontId="30" fillId="0" borderId="24" xfId="0" applyNumberFormat="1" applyFont="1" applyBorder="1" applyAlignment="1">
      <alignment vertical="center" shrinkToFit="1"/>
    </xf>
    <xf numFmtId="0" fontId="30" fillId="0" borderId="78" xfId="0" applyFont="1" applyBorder="1" applyAlignment="1">
      <alignment vertical="center" shrinkToFit="1"/>
    </xf>
    <xf numFmtId="0" fontId="30" fillId="0" borderId="77" xfId="0" applyFont="1" applyBorder="1" applyAlignment="1">
      <alignment vertical="center" shrinkToFit="1"/>
    </xf>
    <xf numFmtId="0" fontId="30" fillId="0" borderId="79" xfId="0" applyFont="1" applyBorder="1" applyAlignment="1">
      <alignment vertical="center" shrinkToFit="1"/>
    </xf>
    <xf numFmtId="0" fontId="26" fillId="0" borderId="19" xfId="0" applyFont="1" applyBorder="1" applyAlignment="1">
      <alignment horizontal="center" vertical="center" shrinkToFit="1"/>
    </xf>
    <xf numFmtId="0" fontId="26" fillId="0" borderId="20" xfId="0" applyFont="1" applyBorder="1" applyAlignment="1">
      <alignment horizontal="center" vertical="center" shrinkToFit="1"/>
    </xf>
    <xf numFmtId="0" fontId="30" fillId="0" borderId="80" xfId="0" applyFont="1" applyBorder="1" applyAlignment="1">
      <alignment vertical="center" shrinkToFit="1"/>
    </xf>
    <xf numFmtId="0" fontId="30" fillId="0" borderId="81" xfId="0" applyFont="1" applyBorder="1" applyAlignment="1">
      <alignment vertical="center" shrinkToFit="1"/>
    </xf>
    <xf numFmtId="0" fontId="30" fillId="0" borderId="2" xfId="0" applyFont="1" applyBorder="1" applyAlignment="1">
      <alignment horizontal="center" vertical="center" shrinkToFit="1"/>
    </xf>
    <xf numFmtId="0" fontId="30" fillId="0" borderId="95" xfId="0" applyFont="1" applyBorder="1" applyAlignment="1">
      <alignment horizontal="center" vertical="center" shrinkToFit="1"/>
    </xf>
    <xf numFmtId="0" fontId="30" fillId="0" borderId="124" xfId="0" applyFont="1" applyBorder="1" applyAlignment="1">
      <alignment horizontal="center" vertical="center" shrinkToFit="1"/>
    </xf>
    <xf numFmtId="0" fontId="30" fillId="0" borderId="0" xfId="0" applyFont="1" applyAlignment="1">
      <alignment horizontal="center" vertical="center" shrinkToFit="1"/>
    </xf>
    <xf numFmtId="0" fontId="30" fillId="0" borderId="17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shrinkToFit="1"/>
    </xf>
    <xf numFmtId="38" fontId="26" fillId="4" borderId="2" xfId="1" applyFont="1" applyFill="1" applyBorder="1" applyAlignment="1">
      <alignment vertical="center" shrinkToFit="1"/>
    </xf>
    <xf numFmtId="38" fontId="26" fillId="4" borderId="22" xfId="1" applyFont="1" applyFill="1" applyBorder="1" applyAlignment="1">
      <alignment vertical="center" shrinkToFit="1"/>
    </xf>
    <xf numFmtId="38" fontId="26" fillId="0" borderId="107" xfId="1" applyFont="1" applyBorder="1" applyAlignment="1">
      <alignment vertical="center" shrinkToFit="1"/>
    </xf>
    <xf numFmtId="38" fontId="26" fillId="0" borderId="108" xfId="1" applyFont="1" applyBorder="1" applyAlignment="1">
      <alignment vertical="center" shrinkToFit="1"/>
    </xf>
    <xf numFmtId="0" fontId="30" fillId="0" borderId="43" xfId="0" applyFont="1" applyBorder="1" applyAlignment="1">
      <alignment vertical="center" shrinkToFit="1"/>
    </xf>
    <xf numFmtId="0" fontId="30" fillId="0" borderId="80" xfId="0" applyFont="1" applyBorder="1">
      <alignment vertical="center"/>
    </xf>
    <xf numFmtId="0" fontId="26" fillId="0" borderId="80" xfId="0" applyFont="1" applyBorder="1" applyAlignment="1">
      <alignment vertical="center" shrinkToFit="1"/>
    </xf>
    <xf numFmtId="38" fontId="26" fillId="0" borderId="80" xfId="1" applyFont="1" applyBorder="1" applyAlignment="1">
      <alignment vertical="center" shrinkToFit="1"/>
    </xf>
    <xf numFmtId="38" fontId="26" fillId="0" borderId="81" xfId="1" applyFont="1" applyBorder="1" applyAlignment="1">
      <alignment vertical="center" shrinkToFit="1"/>
    </xf>
    <xf numFmtId="0" fontId="30" fillId="0" borderId="125" xfId="0" applyFont="1" applyBorder="1" applyAlignment="1">
      <alignment vertical="center" shrinkToFit="1"/>
    </xf>
    <xf numFmtId="0" fontId="30" fillId="0" borderId="107" xfId="0" applyFont="1" applyBorder="1">
      <alignment vertical="center"/>
    </xf>
    <xf numFmtId="0" fontId="30" fillId="0" borderId="107" xfId="0" applyFont="1" applyBorder="1" applyAlignment="1">
      <alignment vertical="center" shrinkToFit="1"/>
    </xf>
    <xf numFmtId="0" fontId="26" fillId="31" borderId="41" xfId="0" applyFont="1" applyFill="1" applyBorder="1" applyAlignment="1">
      <alignment vertical="center" shrinkToFit="1"/>
    </xf>
    <xf numFmtId="0" fontId="26" fillId="31" borderId="116" xfId="0" applyFont="1" applyFill="1" applyBorder="1">
      <alignment vertical="center"/>
    </xf>
    <xf numFmtId="0" fontId="26" fillId="31" borderId="117" xfId="0" applyFont="1" applyFill="1" applyBorder="1" applyAlignment="1">
      <alignment vertical="center" shrinkToFit="1"/>
    </xf>
    <xf numFmtId="0" fontId="26" fillId="31" borderId="3" xfId="0" applyFont="1" applyFill="1" applyBorder="1" applyAlignment="1">
      <alignment vertical="center" shrinkToFit="1"/>
    </xf>
    <xf numFmtId="0" fontId="26" fillId="31" borderId="32" xfId="0" applyFont="1" applyFill="1" applyBorder="1" applyAlignment="1">
      <alignment vertical="center" shrinkToFit="1"/>
    </xf>
    <xf numFmtId="0" fontId="30" fillId="0" borderId="128" xfId="0" applyFont="1" applyBorder="1" applyAlignment="1">
      <alignment vertical="center" shrinkToFit="1"/>
    </xf>
    <xf numFmtId="0" fontId="30" fillId="0" borderId="129" xfId="0" applyFont="1" applyBorder="1">
      <alignment vertical="center"/>
    </xf>
    <xf numFmtId="0" fontId="30" fillId="0" borderId="129" xfId="0" applyFont="1" applyBorder="1" applyAlignment="1">
      <alignment vertical="center" shrinkToFit="1"/>
    </xf>
    <xf numFmtId="38" fontId="26" fillId="0" borderId="129" xfId="1" applyFont="1" applyBorder="1" applyAlignment="1">
      <alignment vertical="center" shrinkToFit="1"/>
    </xf>
    <xf numFmtId="38" fontId="26" fillId="0" borderId="130" xfId="1" applyFont="1" applyBorder="1" applyAlignment="1">
      <alignment vertical="center" shrinkToFit="1"/>
    </xf>
    <xf numFmtId="0" fontId="30" fillId="0" borderId="131" xfId="0" applyFont="1" applyBorder="1" applyAlignment="1">
      <alignment vertical="center" shrinkToFit="1"/>
    </xf>
    <xf numFmtId="0" fontId="30" fillId="0" borderId="95" xfId="0" applyFont="1" applyBorder="1">
      <alignment vertical="center"/>
    </xf>
    <xf numFmtId="38" fontId="26" fillId="0" borderId="95" xfId="1" applyFont="1" applyBorder="1" applyAlignment="1">
      <alignment vertical="center" shrinkToFit="1"/>
    </xf>
    <xf numFmtId="38" fontId="26" fillId="0" borderId="124" xfId="1" applyFont="1" applyBorder="1" applyAlignment="1">
      <alignment vertical="center" shrinkToFit="1"/>
    </xf>
    <xf numFmtId="38" fontId="30" fillId="0" borderId="2" xfId="1" applyFont="1" applyBorder="1" applyAlignment="1">
      <alignment vertical="center" shrinkToFit="1"/>
    </xf>
    <xf numFmtId="38" fontId="30" fillId="0" borderId="22" xfId="1" applyFont="1" applyBorder="1" applyAlignment="1">
      <alignment vertical="center" shrinkToFit="1"/>
    </xf>
    <xf numFmtId="0" fontId="30" fillId="0" borderId="131" xfId="0" applyFont="1" applyBorder="1" applyAlignment="1">
      <alignment horizontal="center" vertical="center" shrinkToFit="1"/>
    </xf>
    <xf numFmtId="38" fontId="30" fillId="0" borderId="25" xfId="1" applyFont="1" applyBorder="1" applyAlignment="1">
      <alignment vertical="center" shrinkToFit="1"/>
    </xf>
    <xf numFmtId="38" fontId="26" fillId="0" borderId="78" xfId="1" applyFont="1" applyBorder="1" applyAlignment="1">
      <alignment vertical="center" shrinkToFit="1"/>
    </xf>
    <xf numFmtId="38" fontId="26" fillId="0" borderId="125" xfId="1" applyFont="1" applyBorder="1" applyAlignment="1">
      <alignment vertical="center" shrinkToFit="1"/>
    </xf>
    <xf numFmtId="38" fontId="26" fillId="4" borderId="25" xfId="1" applyFont="1" applyFill="1" applyBorder="1" applyAlignment="1">
      <alignment vertical="center" shrinkToFit="1"/>
    </xf>
    <xf numFmtId="178" fontId="30" fillId="0" borderId="26" xfId="1" applyNumberFormat="1" applyFont="1" applyBorder="1" applyAlignment="1">
      <alignment vertical="center" shrinkToFit="1"/>
    </xf>
    <xf numFmtId="0" fontId="26" fillId="31" borderId="23" xfId="0" applyFont="1" applyFill="1" applyBorder="1" applyAlignment="1">
      <alignment vertical="center" shrinkToFit="1"/>
    </xf>
    <xf numFmtId="38" fontId="26" fillId="0" borderId="131" xfId="1" applyFont="1" applyBorder="1" applyAlignment="1">
      <alignment vertical="center" shrinkToFit="1"/>
    </xf>
    <xf numFmtId="0" fontId="26" fillId="0" borderId="43" xfId="0" applyFont="1" applyBorder="1" applyAlignment="1">
      <alignment vertical="center" shrinkToFit="1"/>
    </xf>
    <xf numFmtId="38" fontId="26" fillId="0" borderId="128" xfId="1" applyFont="1" applyBorder="1" applyAlignment="1">
      <alignment vertical="center" shrinkToFit="1"/>
    </xf>
    <xf numFmtId="9" fontId="30" fillId="0" borderId="1" xfId="2" applyFont="1" applyBorder="1" applyAlignment="1">
      <alignment vertical="center" shrinkToFit="1"/>
    </xf>
    <xf numFmtId="9" fontId="30" fillId="0" borderId="24" xfId="2" applyFont="1" applyBorder="1" applyAlignment="1">
      <alignment vertical="center" shrinkToFit="1"/>
    </xf>
    <xf numFmtId="9" fontId="30" fillId="0" borderId="26" xfId="2" applyFont="1" applyBorder="1" applyAlignment="1">
      <alignment vertical="center" shrinkToFit="1"/>
    </xf>
    <xf numFmtId="9" fontId="30" fillId="0" borderId="107" xfId="2" applyFont="1" applyBorder="1" applyAlignment="1">
      <alignment vertical="center" shrinkToFit="1"/>
    </xf>
    <xf numFmtId="9" fontId="30" fillId="0" borderId="108" xfId="2" applyFont="1" applyBorder="1" applyAlignment="1">
      <alignment vertical="center" shrinkToFit="1"/>
    </xf>
    <xf numFmtId="38" fontId="26" fillId="0" borderId="2" xfId="1" applyFont="1" applyBorder="1" applyAlignment="1">
      <alignment vertical="center" shrinkToFit="1"/>
    </xf>
    <xf numFmtId="38" fontId="26" fillId="0" borderId="22" xfId="1" applyFont="1" applyBorder="1" applyAlignment="1">
      <alignment vertical="center" shrinkToFit="1"/>
    </xf>
    <xf numFmtId="38" fontId="26" fillId="0" borderId="12" xfId="1" applyFont="1" applyBorder="1" applyAlignment="1">
      <alignment vertical="center" shrinkToFit="1"/>
    </xf>
    <xf numFmtId="38" fontId="26" fillId="0" borderId="13" xfId="1" applyFont="1" applyBorder="1" applyAlignment="1">
      <alignment vertical="center" shrinkToFit="1"/>
    </xf>
    <xf numFmtId="38" fontId="26" fillId="0" borderId="25" xfId="1" applyFont="1" applyBorder="1" applyAlignment="1">
      <alignment vertical="center" shrinkToFit="1"/>
    </xf>
    <xf numFmtId="38" fontId="26" fillId="0" borderId="11" xfId="1" applyFont="1" applyBorder="1" applyAlignment="1">
      <alignment vertical="center" shrinkToFit="1"/>
    </xf>
    <xf numFmtId="38" fontId="26" fillId="0" borderId="43" xfId="1" applyFont="1" applyBorder="1" applyAlignment="1">
      <alignment vertical="center" shrinkToFit="1"/>
    </xf>
    <xf numFmtId="38" fontId="39" fillId="0" borderId="0" xfId="1" applyFont="1" applyAlignment="1">
      <alignment vertical="center" shrinkToFit="1"/>
    </xf>
    <xf numFmtId="0" fontId="39" fillId="0" borderId="0" xfId="0" applyFont="1" applyAlignment="1">
      <alignment vertical="center" shrinkToFit="1"/>
    </xf>
    <xf numFmtId="38" fontId="26" fillId="0" borderId="3" xfId="1" applyFont="1" applyBorder="1" applyAlignment="1">
      <alignment vertical="center" shrinkToFit="1"/>
    </xf>
    <xf numFmtId="38" fontId="26" fillId="0" borderId="32" xfId="1" applyFont="1" applyBorder="1" applyAlignment="1">
      <alignment vertical="center" shrinkToFit="1"/>
    </xf>
    <xf numFmtId="38" fontId="26" fillId="0" borderId="23" xfId="1" applyFont="1" applyBorder="1" applyAlignment="1">
      <alignment vertical="center" shrinkToFit="1"/>
    </xf>
    <xf numFmtId="0" fontId="26" fillId="0" borderId="0" xfId="0" applyFont="1" applyAlignment="1">
      <alignment horizontal="center" vertical="center"/>
    </xf>
    <xf numFmtId="38" fontId="26" fillId="0" borderId="1" xfId="1" applyFont="1" applyBorder="1">
      <alignment vertical="center"/>
    </xf>
    <xf numFmtId="38" fontId="26" fillId="0" borderId="24" xfId="1" applyFont="1" applyBorder="1">
      <alignment vertical="center"/>
    </xf>
    <xf numFmtId="38" fontId="26" fillId="35" borderId="1" xfId="1" applyFont="1" applyFill="1" applyBorder="1">
      <alignment vertical="center"/>
    </xf>
    <xf numFmtId="38" fontId="26" fillId="35" borderId="24" xfId="1" applyFont="1" applyFill="1" applyBorder="1">
      <alignment vertical="center"/>
    </xf>
    <xf numFmtId="0" fontId="26" fillId="0" borderId="3" xfId="0" applyFont="1" applyBorder="1">
      <alignment vertical="center"/>
    </xf>
    <xf numFmtId="38" fontId="26" fillId="0" borderId="3" xfId="1" applyFont="1" applyBorder="1">
      <alignment vertical="center"/>
    </xf>
    <xf numFmtId="38" fontId="26" fillId="0" borderId="32" xfId="1" applyFont="1" applyBorder="1">
      <alignment vertical="center"/>
    </xf>
    <xf numFmtId="38" fontId="26" fillId="0" borderId="15" xfId="1" applyFont="1" applyBorder="1">
      <alignment vertical="center"/>
    </xf>
    <xf numFmtId="38" fontId="26" fillId="0" borderId="16" xfId="1" applyFont="1" applyBorder="1">
      <alignment vertical="center"/>
    </xf>
    <xf numFmtId="38" fontId="26" fillId="33" borderId="12" xfId="1" applyFont="1" applyFill="1" applyBorder="1">
      <alignment vertical="center"/>
    </xf>
    <xf numFmtId="38" fontId="26" fillId="33" borderId="13" xfId="1" applyFont="1" applyFill="1" applyBorder="1">
      <alignment vertical="center"/>
    </xf>
    <xf numFmtId="0" fontId="26" fillId="33" borderId="83" xfId="0" applyFont="1" applyFill="1" applyBorder="1" applyAlignment="1">
      <alignment horizontal="center" vertical="center"/>
    </xf>
    <xf numFmtId="0" fontId="26" fillId="33" borderId="114" xfId="0" applyFont="1" applyFill="1" applyBorder="1" applyAlignment="1">
      <alignment horizontal="center" vertical="center"/>
    </xf>
    <xf numFmtId="38" fontId="26" fillId="14" borderId="2" xfId="1" applyFont="1" applyFill="1" applyBorder="1">
      <alignment vertical="center"/>
    </xf>
    <xf numFmtId="38" fontId="26" fillId="14" borderId="22" xfId="1" applyFont="1" applyFill="1" applyBorder="1">
      <alignment vertical="center"/>
    </xf>
    <xf numFmtId="0" fontId="26" fillId="34" borderId="83" xfId="0" applyFont="1" applyFill="1" applyBorder="1" applyAlignment="1">
      <alignment horizontal="center" vertical="center"/>
    </xf>
    <xf numFmtId="0" fontId="26" fillId="34" borderId="114" xfId="0" applyFont="1" applyFill="1" applyBorder="1" applyAlignment="1">
      <alignment horizontal="center" vertical="center"/>
    </xf>
    <xf numFmtId="178" fontId="26" fillId="0" borderId="1" xfId="1" applyNumberFormat="1" applyFont="1" applyBorder="1">
      <alignment vertical="center"/>
    </xf>
    <xf numFmtId="38" fontId="26" fillId="32" borderId="1" xfId="1" quotePrefix="1" applyFont="1" applyFill="1" applyBorder="1" applyAlignment="1">
      <alignment horizontal="center" vertical="center"/>
    </xf>
    <xf numFmtId="0" fontId="26" fillId="32" borderId="2" xfId="0" applyFont="1" applyFill="1" applyBorder="1">
      <alignment vertical="center"/>
    </xf>
    <xf numFmtId="0" fontId="26" fillId="31" borderId="138" xfId="0" applyFont="1" applyFill="1" applyBorder="1" applyAlignment="1">
      <alignment vertical="center" shrinkToFit="1"/>
    </xf>
    <xf numFmtId="38" fontId="26" fillId="32" borderId="6" xfId="1" quotePrefix="1" applyFont="1" applyFill="1" applyBorder="1" applyAlignment="1">
      <alignment horizontal="center" vertical="center"/>
    </xf>
    <xf numFmtId="38" fontId="26" fillId="0" borderId="6" xfId="1" applyFont="1" applyBorder="1">
      <alignment vertical="center"/>
    </xf>
    <xf numFmtId="38" fontId="26" fillId="35" borderId="6" xfId="1" applyFont="1" applyFill="1" applyBorder="1">
      <alignment vertical="center"/>
    </xf>
    <xf numFmtId="38" fontId="26" fillId="0" borderId="117" xfId="1" applyFont="1" applyBorder="1">
      <alignment vertical="center"/>
    </xf>
    <xf numFmtId="38" fontId="26" fillId="0" borderId="93" xfId="1" applyFont="1" applyBorder="1">
      <alignment vertical="center"/>
    </xf>
    <xf numFmtId="38" fontId="26" fillId="33" borderId="119" xfId="1" applyFont="1" applyFill="1" applyBorder="1">
      <alignment vertical="center"/>
    </xf>
    <xf numFmtId="38" fontId="26" fillId="14" borderId="17" xfId="1" applyFont="1" applyFill="1" applyBorder="1">
      <alignment vertical="center"/>
    </xf>
    <xf numFmtId="38" fontId="26" fillId="32" borderId="24" xfId="1" quotePrefix="1" applyFont="1" applyFill="1" applyBorder="1" applyAlignment="1">
      <alignment horizontal="center" vertical="center"/>
    </xf>
    <xf numFmtId="0" fontId="26" fillId="32" borderId="88" xfId="0" applyFont="1" applyFill="1" applyBorder="1">
      <alignment vertical="center"/>
    </xf>
    <xf numFmtId="0" fontId="26" fillId="0" borderId="5" xfId="0" applyFont="1" applyBorder="1">
      <alignment vertical="center"/>
    </xf>
    <xf numFmtId="0" fontId="26" fillId="0" borderId="7" xfId="0" applyFont="1" applyBorder="1">
      <alignment vertical="center"/>
    </xf>
    <xf numFmtId="0" fontId="26" fillId="0" borderId="92" xfId="0" applyFont="1" applyBorder="1">
      <alignment vertical="center"/>
    </xf>
    <xf numFmtId="0" fontId="26" fillId="33" borderId="143" xfId="0" applyFont="1" applyFill="1" applyBorder="1" applyAlignment="1">
      <alignment horizontal="center" vertical="center"/>
    </xf>
    <xf numFmtId="0" fontId="26" fillId="34" borderId="9" xfId="0" applyFont="1" applyFill="1" applyBorder="1" applyAlignment="1">
      <alignment horizontal="center" vertical="center"/>
    </xf>
    <xf numFmtId="38" fontId="26" fillId="32" borderId="26" xfId="1" quotePrefix="1" applyFont="1" applyFill="1" applyBorder="1" applyAlignment="1">
      <alignment horizontal="center" vertical="center"/>
    </xf>
    <xf numFmtId="38" fontId="26" fillId="0" borderId="26" xfId="1" applyFont="1" applyBorder="1">
      <alignment vertical="center"/>
    </xf>
    <xf numFmtId="38" fontId="26" fillId="35" borderId="26" xfId="1" applyFont="1" applyFill="1" applyBorder="1">
      <alignment vertical="center"/>
    </xf>
    <xf numFmtId="38" fontId="26" fillId="0" borderId="23" xfId="1" applyFont="1" applyBorder="1">
      <alignment vertical="center"/>
    </xf>
    <xf numFmtId="38" fontId="26" fillId="0" borderId="14" xfId="1" applyFont="1" applyBorder="1">
      <alignment vertical="center"/>
    </xf>
    <xf numFmtId="38" fontId="26" fillId="33" borderId="11" xfId="1" applyFont="1" applyFill="1" applyBorder="1">
      <alignment vertical="center"/>
    </xf>
    <xf numFmtId="38" fontId="26" fillId="14" borderId="25" xfId="1" applyFont="1" applyFill="1" applyBorder="1">
      <alignment vertical="center"/>
    </xf>
    <xf numFmtId="38" fontId="26" fillId="32" borderId="5" xfId="1" quotePrefix="1" applyFont="1" applyFill="1" applyBorder="1" applyAlignment="1">
      <alignment horizontal="center" vertical="center"/>
    </xf>
    <xf numFmtId="38" fontId="26" fillId="0" borderId="5" xfId="1" applyFont="1" applyBorder="1">
      <alignment vertical="center"/>
    </xf>
    <xf numFmtId="38" fontId="26" fillId="35" borderId="5" xfId="1" applyFont="1" applyFill="1" applyBorder="1">
      <alignment vertical="center"/>
    </xf>
    <xf numFmtId="38" fontId="26" fillId="0" borderId="7" xfId="1" applyFont="1" applyBorder="1">
      <alignment vertical="center"/>
    </xf>
    <xf numFmtId="38" fontId="26" fillId="0" borderId="92" xfId="1" applyFont="1" applyBorder="1">
      <alignment vertical="center"/>
    </xf>
    <xf numFmtId="38" fontId="26" fillId="33" borderId="143" xfId="1" applyFont="1" applyFill="1" applyBorder="1">
      <alignment vertical="center"/>
    </xf>
    <xf numFmtId="38" fontId="26" fillId="14" borderId="9" xfId="1" applyFont="1" applyFill="1" applyBorder="1">
      <alignment vertical="center"/>
    </xf>
    <xf numFmtId="38" fontId="39" fillId="6" borderId="27" xfId="1" quotePrefix="1" applyFont="1" applyFill="1" applyBorder="1" applyAlignment="1">
      <alignment horizontal="center" vertical="center"/>
    </xf>
    <xf numFmtId="38" fontId="39" fillId="6" borderId="88" xfId="1" quotePrefix="1" applyFont="1" applyFill="1" applyBorder="1" applyAlignment="1">
      <alignment horizontal="center" vertical="center"/>
    </xf>
    <xf numFmtId="38" fontId="39" fillId="6" borderId="46" xfId="1" quotePrefix="1" applyFont="1" applyFill="1" applyBorder="1" applyAlignment="1">
      <alignment horizontal="center" vertical="center"/>
    </xf>
    <xf numFmtId="38" fontId="39" fillId="6" borderId="83" xfId="1" quotePrefix="1" applyFont="1" applyFill="1" applyBorder="1" applyAlignment="1">
      <alignment horizontal="center" vertical="center"/>
    </xf>
    <xf numFmtId="38" fontId="39" fillId="6" borderId="82" xfId="1" quotePrefix="1" applyFont="1" applyFill="1" applyBorder="1" applyAlignment="1">
      <alignment horizontal="center" vertical="center"/>
    </xf>
    <xf numFmtId="56" fontId="26" fillId="0" borderId="131" xfId="0" quotePrefix="1" applyNumberFormat="1" applyFont="1" applyBorder="1" applyAlignment="1">
      <alignment horizontal="center" vertical="center"/>
    </xf>
    <xf numFmtId="0" fontId="26" fillId="0" borderId="95" xfId="0" quotePrefix="1" applyFont="1" applyBorder="1" applyAlignment="1">
      <alignment horizontal="center" vertical="center"/>
    </xf>
    <xf numFmtId="0" fontId="26" fillId="0" borderId="124" xfId="0" quotePrefix="1" applyFont="1" applyBorder="1" applyAlignment="1">
      <alignment horizontal="center" vertical="center"/>
    </xf>
    <xf numFmtId="56" fontId="26" fillId="0" borderId="103" xfId="0" quotePrefix="1" applyNumberFormat="1" applyFont="1" applyBorder="1" applyAlignment="1">
      <alignment horizontal="center" vertical="center"/>
    </xf>
    <xf numFmtId="0" fontId="26" fillId="0" borderId="144" xfId="0" quotePrefix="1" applyFont="1" applyBorder="1" applyAlignment="1">
      <alignment horizontal="center" vertical="center"/>
    </xf>
    <xf numFmtId="0" fontId="40" fillId="0" borderId="0" xfId="0" applyFont="1">
      <alignment vertical="center"/>
    </xf>
    <xf numFmtId="176" fontId="26" fillId="0" borderId="145" xfId="1" applyNumberFormat="1" applyFont="1" applyBorder="1" applyAlignment="1">
      <alignment horizontal="center" vertical="center" shrinkToFit="1"/>
    </xf>
    <xf numFmtId="176" fontId="26" fillId="0" borderId="9" xfId="1" applyNumberFormat="1" applyFont="1" applyBorder="1" applyAlignment="1">
      <alignment vertical="center" shrinkToFit="1"/>
    </xf>
    <xf numFmtId="176" fontId="26" fillId="2" borderId="5" xfId="1" applyNumberFormat="1" applyFont="1" applyFill="1" applyBorder="1" applyAlignment="1">
      <alignment vertical="center" shrinkToFit="1"/>
    </xf>
    <xf numFmtId="176" fontId="30" fillId="0" borderId="5" xfId="1" applyNumberFormat="1" applyFont="1" applyBorder="1" applyAlignment="1">
      <alignment vertical="center" shrinkToFit="1"/>
    </xf>
    <xf numFmtId="176" fontId="26" fillId="3" borderId="5" xfId="1" applyNumberFormat="1" applyFont="1" applyFill="1" applyBorder="1" applyAlignment="1">
      <alignment vertical="center" shrinkToFit="1"/>
    </xf>
    <xf numFmtId="176" fontId="26" fillId="4" borderId="5" xfId="1" applyNumberFormat="1" applyFont="1" applyFill="1" applyBorder="1" applyAlignment="1">
      <alignment vertical="center" shrinkToFit="1"/>
    </xf>
    <xf numFmtId="176" fontId="26" fillId="6" borderId="5" xfId="1" applyNumberFormat="1" applyFont="1" applyFill="1" applyBorder="1" applyAlignment="1">
      <alignment vertical="center" shrinkToFit="1"/>
    </xf>
    <xf numFmtId="176" fontId="26" fillId="7" borderId="5" xfId="1" applyNumberFormat="1" applyFont="1" applyFill="1" applyBorder="1" applyAlignment="1">
      <alignment vertical="center" shrinkToFit="1"/>
    </xf>
    <xf numFmtId="176" fontId="26" fillId="0" borderId="92" xfId="1" applyNumberFormat="1" applyFont="1" applyBorder="1" applyAlignment="1">
      <alignment vertical="center" shrinkToFit="1"/>
    </xf>
    <xf numFmtId="176" fontId="21" fillId="24" borderId="38" xfId="0" applyNumberFormat="1" applyFont="1" applyFill="1" applyBorder="1" applyAlignment="1">
      <alignment vertical="center" shrinkToFit="1"/>
    </xf>
    <xf numFmtId="176" fontId="21" fillId="24" borderId="12" xfId="1" applyNumberFormat="1" applyFont="1" applyFill="1" applyBorder="1" applyAlignment="1">
      <alignment vertical="center" shrinkToFit="1"/>
    </xf>
    <xf numFmtId="177" fontId="21" fillId="24" borderId="13" xfId="2" applyNumberFormat="1" applyFont="1" applyFill="1" applyBorder="1" applyAlignment="1">
      <alignment vertical="center" shrinkToFit="1"/>
    </xf>
    <xf numFmtId="176" fontId="21" fillId="24" borderId="67" xfId="0" applyNumberFormat="1" applyFont="1" applyFill="1" applyBorder="1" applyAlignment="1">
      <alignment vertical="center" shrinkToFit="1"/>
    </xf>
    <xf numFmtId="176" fontId="21" fillId="0" borderId="15" xfId="1" applyNumberFormat="1" applyFont="1" applyBorder="1" applyAlignment="1">
      <alignment vertical="center" shrinkToFit="1"/>
    </xf>
    <xf numFmtId="177" fontId="21" fillId="5" borderId="16" xfId="2" applyNumberFormat="1" applyFont="1" applyFill="1" applyBorder="1" applyAlignment="1">
      <alignment vertical="center" shrinkToFit="1"/>
    </xf>
    <xf numFmtId="176" fontId="21" fillId="0" borderId="12" xfId="1" applyNumberFormat="1" applyFont="1" applyBorder="1" applyAlignment="1">
      <alignment horizontal="center" vertical="center" shrinkToFit="1"/>
    </xf>
    <xf numFmtId="177" fontId="21" fillId="0" borderId="42" xfId="2" applyNumberFormat="1" applyFont="1" applyBorder="1" applyAlignment="1">
      <alignment vertical="center" shrinkToFit="1"/>
    </xf>
    <xf numFmtId="177" fontId="21" fillId="8" borderId="42" xfId="2" applyNumberFormat="1" applyFont="1" applyFill="1" applyBorder="1" applyAlignment="1">
      <alignment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2" borderId="23" xfId="0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0" fillId="3" borderId="23" xfId="0" applyFill="1" applyBorder="1" applyAlignment="1">
      <alignment horizontal="left" vertical="center" shrinkToFit="1"/>
    </xf>
    <xf numFmtId="0" fontId="0" fillId="3" borderId="1" xfId="0" applyFill="1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0" fontId="0" fillId="4" borderId="26" xfId="0" applyFill="1" applyBorder="1" applyAlignment="1">
      <alignment horizontal="left" vertical="center" shrinkToFit="1"/>
    </xf>
    <xf numFmtId="0" fontId="0" fillId="4" borderId="1" xfId="0" applyFill="1" applyBorder="1" applyAlignment="1">
      <alignment horizontal="left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3" borderId="27" xfId="0" applyFont="1" applyFill="1" applyBorder="1" applyAlignment="1">
      <alignment horizontal="center" vertical="center" shrinkToFit="1"/>
    </xf>
    <xf numFmtId="0" fontId="0" fillId="4" borderId="26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0" fontId="0" fillId="6" borderId="28" xfId="0" applyFill="1" applyBorder="1" applyAlignment="1">
      <alignment horizontal="center" vertical="center" shrinkToFit="1"/>
    </xf>
    <xf numFmtId="0" fontId="0" fillId="6" borderId="6" xfId="0" applyFill="1" applyBorder="1" applyAlignment="1">
      <alignment horizontal="center" vertical="center" shrinkToFit="1"/>
    </xf>
    <xf numFmtId="0" fontId="0" fillId="7" borderId="28" xfId="0" applyFill="1" applyBorder="1" applyAlignment="1">
      <alignment horizontal="center" vertical="center" shrinkToFit="1"/>
    </xf>
    <xf numFmtId="0" fontId="0" fillId="7" borderId="6" xfId="0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177" fontId="0" fillId="0" borderId="3" xfId="2" applyNumberFormat="1" applyFont="1" applyBorder="1">
      <alignment vertical="center"/>
    </xf>
    <xf numFmtId="177" fontId="0" fillId="0" borderId="32" xfId="2" applyNumberFormat="1" applyFont="1" applyBorder="1">
      <alignment vertical="center"/>
    </xf>
    <xf numFmtId="0" fontId="3" fillId="0" borderId="1" xfId="5" applyBorder="1" applyAlignment="1">
      <alignment vertical="center" shrinkToFit="1"/>
    </xf>
    <xf numFmtId="3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3" fillId="0" borderId="14" xfId="5" applyBorder="1" applyAlignment="1">
      <alignment vertical="center" shrinkToFit="1"/>
    </xf>
    <xf numFmtId="0" fontId="3" fillId="0" borderId="15" xfId="5" applyBorder="1" applyAlignment="1">
      <alignment vertical="center" shrinkToFit="1"/>
    </xf>
    <xf numFmtId="38" fontId="0" fillId="0" borderId="15" xfId="1" applyFont="1" applyBorder="1">
      <alignment vertical="center"/>
    </xf>
    <xf numFmtId="9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0" fontId="8" fillId="0" borderId="33" xfId="5" applyFont="1" applyBorder="1" applyAlignment="1">
      <alignment vertical="center" shrinkToFit="1"/>
    </xf>
    <xf numFmtId="0" fontId="8" fillId="0" borderId="34" xfId="5" applyFont="1" applyBorder="1" applyAlignment="1">
      <alignment vertical="center" shrinkToFit="1"/>
    </xf>
    <xf numFmtId="38" fontId="6" fillId="0" borderId="34" xfId="1" applyFont="1" applyBorder="1">
      <alignment vertical="center"/>
    </xf>
    <xf numFmtId="0" fontId="6" fillId="0" borderId="34" xfId="0" applyFont="1" applyBorder="1">
      <alignment vertical="center"/>
    </xf>
    <xf numFmtId="0" fontId="6" fillId="0" borderId="35" xfId="0" applyFont="1" applyBorder="1">
      <alignment vertical="center"/>
    </xf>
    <xf numFmtId="0" fontId="3" fillId="0" borderId="25" xfId="5" applyBorder="1" applyAlignment="1">
      <alignment vertical="center" shrinkToFit="1"/>
    </xf>
    <xf numFmtId="0" fontId="3" fillId="0" borderId="2" xfId="5" applyBorder="1" applyAlignment="1">
      <alignment vertical="center" shrinkToFit="1"/>
    </xf>
    <xf numFmtId="38" fontId="0" fillId="0" borderId="2" xfId="1" applyFont="1" applyBorder="1">
      <alignment vertical="center"/>
    </xf>
    <xf numFmtId="9" fontId="0" fillId="0" borderId="2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13" xfId="0" applyBorder="1" applyAlignment="1">
      <alignment horizontal="center" vertical="center"/>
    </xf>
    <xf numFmtId="0" fontId="3" fillId="0" borderId="26" xfId="5" applyBorder="1" applyAlignment="1">
      <alignment vertical="center" shrinkToFit="1"/>
    </xf>
    <xf numFmtId="177" fontId="0" fillId="0" borderId="1" xfId="2" applyNumberFormat="1" applyFont="1" applyBorder="1">
      <alignment vertical="center"/>
    </xf>
    <xf numFmtId="177" fontId="0" fillId="0" borderId="24" xfId="2" applyNumberFormat="1" applyFont="1" applyBorder="1">
      <alignment vertical="center"/>
    </xf>
    <xf numFmtId="0" fontId="3" fillId="0" borderId="23" xfId="5" applyBorder="1" applyAlignment="1">
      <alignment vertical="center" shrinkToFit="1"/>
    </xf>
    <xf numFmtId="0" fontId="3" fillId="0" borderId="3" xfId="5" applyBorder="1" applyAlignment="1">
      <alignment vertical="center" shrinkToFit="1"/>
    </xf>
    <xf numFmtId="0" fontId="0" fillId="0" borderId="3" xfId="0" applyBorder="1">
      <alignment vertical="center"/>
    </xf>
    <xf numFmtId="0" fontId="40" fillId="0" borderId="18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145" xfId="0" applyFont="1" applyBorder="1" applyAlignment="1">
      <alignment horizontal="center" vertical="center"/>
    </xf>
    <xf numFmtId="0" fontId="39" fillId="6" borderId="65" xfId="0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94" xfId="0" applyFont="1" applyBorder="1" applyAlignment="1">
      <alignment horizontal="center" vertical="center"/>
    </xf>
    <xf numFmtId="0" fontId="26" fillId="0" borderId="123" xfId="0" applyFont="1" applyBorder="1" applyAlignment="1">
      <alignment horizontal="center" vertical="center"/>
    </xf>
    <xf numFmtId="0" fontId="26" fillId="0" borderId="135" xfId="0" applyFont="1" applyBorder="1" applyAlignment="1">
      <alignment horizontal="center" vertical="center"/>
    </xf>
    <xf numFmtId="0" fontId="26" fillId="34" borderId="27" xfId="0" applyFont="1" applyFill="1" applyBorder="1" applyAlignment="1">
      <alignment horizontal="center" vertical="center"/>
    </xf>
    <xf numFmtId="0" fontId="26" fillId="34" borderId="43" xfId="0" applyFont="1" applyFill="1" applyBorder="1" applyAlignment="1">
      <alignment horizontal="center" vertical="center"/>
    </xf>
    <xf numFmtId="0" fontId="39" fillId="6" borderId="27" xfId="0" applyFont="1" applyFill="1" applyBorder="1" applyAlignment="1">
      <alignment horizontal="center" vertical="center"/>
    </xf>
    <xf numFmtId="0" fontId="39" fillId="6" borderId="43" xfId="0" applyFont="1" applyFill="1" applyBorder="1" applyAlignment="1">
      <alignment horizontal="center" vertical="center"/>
    </xf>
    <xf numFmtId="0" fontId="26" fillId="35" borderId="88" xfId="0" applyFont="1" applyFill="1" applyBorder="1" applyAlignment="1">
      <alignment horizontal="center" vertical="center"/>
    </xf>
    <xf numFmtId="0" fontId="26" fillId="35" borderId="80" xfId="0" applyFont="1" applyFill="1" applyBorder="1" applyAlignment="1">
      <alignment horizontal="center" vertical="center"/>
    </xf>
    <xf numFmtId="0" fontId="26" fillId="35" borderId="7" xfId="0" applyFont="1" applyFill="1" applyBorder="1" applyAlignment="1">
      <alignment horizontal="center" vertical="center"/>
    </xf>
    <xf numFmtId="0" fontId="26" fillId="35" borderId="116" xfId="0" applyFont="1" applyFill="1" applyBorder="1" applyAlignment="1">
      <alignment horizontal="center" vertical="center"/>
    </xf>
    <xf numFmtId="0" fontId="26" fillId="32" borderId="7" xfId="0" applyFont="1" applyFill="1" applyBorder="1" applyAlignment="1">
      <alignment horizontal="center" vertical="center"/>
    </xf>
    <xf numFmtId="0" fontId="26" fillId="32" borderId="116" xfId="0" applyFont="1" applyFill="1" applyBorder="1" applyAlignment="1">
      <alignment horizontal="center" vertical="center"/>
    </xf>
    <xf numFmtId="0" fontId="26" fillId="33" borderId="132" xfId="0" applyFont="1" applyFill="1" applyBorder="1" applyAlignment="1">
      <alignment horizontal="center" vertical="center"/>
    </xf>
    <xf numFmtId="0" fontId="26" fillId="33" borderId="90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6" fillId="34" borderId="83" xfId="0" applyFont="1" applyFill="1" applyBorder="1" applyAlignment="1">
      <alignment horizontal="center" vertical="center"/>
    </xf>
    <xf numFmtId="0" fontId="26" fillId="34" borderId="2" xfId="0" applyFont="1" applyFill="1" applyBorder="1" applyAlignment="1">
      <alignment horizontal="center" vertical="center"/>
    </xf>
    <xf numFmtId="0" fontId="26" fillId="33" borderId="27" xfId="0" applyFont="1" applyFill="1" applyBorder="1" applyAlignment="1">
      <alignment horizontal="center" vertical="center"/>
    </xf>
    <xf numFmtId="0" fontId="26" fillId="33" borderId="43" xfId="0" applyFont="1" applyFill="1" applyBorder="1" applyAlignment="1">
      <alignment horizontal="center" vertical="center"/>
    </xf>
    <xf numFmtId="38" fontId="26" fillId="0" borderId="126" xfId="1" applyFont="1" applyBorder="1" applyAlignment="1">
      <alignment horizontal="center" vertical="center" shrinkToFit="1"/>
    </xf>
    <xf numFmtId="38" fontId="26" fillId="0" borderId="2" xfId="1" applyFont="1" applyBorder="1" applyAlignment="1">
      <alignment horizontal="center" vertical="center" shrinkToFit="1"/>
    </xf>
    <xf numFmtId="0" fontId="26" fillId="0" borderId="0" xfId="0" applyFont="1" applyAlignment="1">
      <alignment horizontal="left" vertical="center" shrinkToFit="1"/>
    </xf>
    <xf numFmtId="38" fontId="26" fillId="0" borderId="127" xfId="1" applyFont="1" applyBorder="1" applyAlignment="1">
      <alignment horizontal="center" vertical="center" shrinkToFit="1"/>
    </xf>
    <xf numFmtId="38" fontId="26" fillId="0" borderId="22" xfId="1" applyFont="1" applyBorder="1" applyAlignment="1">
      <alignment horizontal="center" vertical="center" shrinkToFit="1"/>
    </xf>
    <xf numFmtId="0" fontId="26" fillId="36" borderId="38" xfId="0" applyFont="1" applyFill="1" applyBorder="1" applyAlignment="1">
      <alignment horizontal="left" vertical="center" indent="1" shrinkToFit="1"/>
    </xf>
    <xf numFmtId="0" fontId="26" fillId="36" borderId="44" xfId="0" applyFont="1" applyFill="1" applyBorder="1" applyAlignment="1">
      <alignment horizontal="left" vertical="center" indent="1" shrinkToFit="1"/>
    </xf>
    <xf numFmtId="0" fontId="26" fillId="36" borderId="45" xfId="0" applyFont="1" applyFill="1" applyBorder="1" applyAlignment="1">
      <alignment horizontal="left" vertical="center" indent="1" shrinkToFit="1"/>
    </xf>
    <xf numFmtId="0" fontId="26" fillId="36" borderId="133" xfId="0" applyFont="1" applyFill="1" applyBorder="1" applyAlignment="1">
      <alignment horizontal="center" vertical="center"/>
    </xf>
    <xf numFmtId="0" fontId="26" fillId="36" borderId="134" xfId="0" applyFont="1" applyFill="1" applyBorder="1" applyAlignment="1">
      <alignment horizontal="center" vertical="center"/>
    </xf>
    <xf numFmtId="0" fontId="31" fillId="36" borderId="38" xfId="0" applyFont="1" applyFill="1" applyBorder="1" applyAlignment="1">
      <alignment horizontal="left" vertical="center" indent="1" shrinkToFit="1"/>
    </xf>
    <xf numFmtId="0" fontId="31" fillId="36" borderId="44" xfId="0" applyFont="1" applyFill="1" applyBorder="1" applyAlignment="1">
      <alignment horizontal="left" vertical="center" indent="1" shrinkToFit="1"/>
    </xf>
    <xf numFmtId="0" fontId="31" fillId="36" borderId="45" xfId="0" applyFont="1" applyFill="1" applyBorder="1" applyAlignment="1">
      <alignment horizontal="left" vertical="center" indent="1" shrinkToFit="1"/>
    </xf>
    <xf numFmtId="38" fontId="26" fillId="0" borderId="132" xfId="1" applyFont="1" applyBorder="1" applyAlignment="1">
      <alignment horizontal="center" vertical="center" shrinkToFit="1"/>
    </xf>
    <xf numFmtId="38" fontId="26" fillId="0" borderId="25" xfId="1" applyFont="1" applyBorder="1" applyAlignment="1">
      <alignment horizontal="center" vertical="center" shrinkToFit="1"/>
    </xf>
    <xf numFmtId="0" fontId="30" fillId="0" borderId="94" xfId="0" applyFont="1" applyBorder="1" applyAlignment="1">
      <alignment horizontal="center" vertical="center" shrinkToFit="1"/>
    </xf>
    <xf numFmtId="0" fontId="30" fillId="0" borderId="123" xfId="0" applyFont="1" applyBorder="1" applyAlignment="1">
      <alignment horizontal="center" vertical="center" shrinkToFit="1"/>
    </xf>
    <xf numFmtId="0" fontId="30" fillId="0" borderId="135" xfId="0" applyFont="1" applyBorder="1" applyAlignment="1">
      <alignment horizontal="center" vertical="center" shrinkToFit="1"/>
    </xf>
    <xf numFmtId="0" fontId="30" fillId="0" borderId="26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 shrinkToFit="1"/>
    </xf>
    <xf numFmtId="0" fontId="30" fillId="0" borderId="25" xfId="0" applyFont="1" applyBorder="1" applyAlignment="1">
      <alignment vertical="center" shrinkToFit="1"/>
    </xf>
    <xf numFmtId="0" fontId="30" fillId="0" borderId="2" xfId="0" applyFont="1" applyBorder="1" applyAlignment="1">
      <alignment vertical="center" shrinkToFit="1"/>
    </xf>
    <xf numFmtId="0" fontId="30" fillId="0" borderId="22" xfId="0" applyFont="1" applyBorder="1" applyAlignment="1">
      <alignment vertical="center" shrinkToFit="1"/>
    </xf>
    <xf numFmtId="0" fontId="30" fillId="0" borderId="78" xfId="0" applyFont="1" applyBorder="1" applyAlignment="1">
      <alignment vertical="center" shrinkToFit="1"/>
    </xf>
    <xf numFmtId="0" fontId="30" fillId="0" borderId="77" xfId="0" applyFont="1" applyBorder="1" applyAlignment="1">
      <alignment vertical="center" shrinkToFit="1"/>
    </xf>
    <xf numFmtId="0" fontId="30" fillId="0" borderId="79" xfId="0" applyFont="1" applyBorder="1" applyAlignment="1">
      <alignment vertical="center" shrinkToFit="1"/>
    </xf>
    <xf numFmtId="0" fontId="26" fillId="31" borderId="26" xfId="0" applyFont="1" applyFill="1" applyBorder="1" applyAlignment="1">
      <alignment vertical="center" shrinkToFit="1"/>
    </xf>
    <xf numFmtId="0" fontId="26" fillId="31" borderId="1" xfId="0" applyFont="1" applyFill="1" applyBorder="1" applyAlignment="1">
      <alignment vertical="center" shrinkToFit="1"/>
    </xf>
    <xf numFmtId="0" fontId="26" fillId="31" borderId="24" xfId="0" applyFont="1" applyFill="1" applyBorder="1" applyAlignment="1">
      <alignment vertical="center" shrinkToFit="1"/>
    </xf>
    <xf numFmtId="0" fontId="30" fillId="0" borderId="26" xfId="0" applyFont="1" applyBorder="1" applyAlignment="1">
      <alignment vertical="center" shrinkToFit="1"/>
    </xf>
    <xf numFmtId="0" fontId="30" fillId="0" borderId="1" xfId="0" applyFont="1" applyBorder="1" applyAlignment="1">
      <alignment vertical="center" shrinkToFit="1"/>
    </xf>
    <xf numFmtId="0" fontId="30" fillId="0" borderId="24" xfId="0" applyFont="1" applyBorder="1" applyAlignment="1">
      <alignment vertical="center" shrinkToFit="1"/>
    </xf>
    <xf numFmtId="0" fontId="30" fillId="0" borderId="28" xfId="0" applyFont="1" applyBorder="1" applyAlignment="1">
      <alignment horizontal="left" vertical="center" shrinkToFit="1"/>
    </xf>
    <xf numFmtId="0" fontId="30" fillId="0" borderId="37" xfId="0" applyFont="1" applyBorder="1" applyAlignment="1">
      <alignment horizontal="left" vertical="center" shrinkToFit="1"/>
    </xf>
    <xf numFmtId="0" fontId="30" fillId="0" borderId="42" xfId="0" applyFont="1" applyBorder="1" applyAlignment="1">
      <alignment horizontal="left" vertical="center" shrinkToFit="1"/>
    </xf>
    <xf numFmtId="0" fontId="30" fillId="0" borderId="67" xfId="0" applyFont="1" applyBorder="1" applyAlignment="1">
      <alignment horizontal="center" vertical="center" shrinkToFit="1"/>
    </xf>
    <xf numFmtId="0" fontId="30" fillId="0" borderId="36" xfId="0" applyFont="1" applyBorder="1" applyAlignment="1">
      <alignment horizontal="center" vertical="center" shrinkToFit="1"/>
    </xf>
    <xf numFmtId="0" fontId="30" fillId="0" borderId="68" xfId="0" applyFont="1" applyBorder="1" applyAlignment="1">
      <alignment horizontal="center" vertical="center" shrinkToFit="1"/>
    </xf>
    <xf numFmtId="0" fontId="30" fillId="0" borderId="21" xfId="0" applyFont="1" applyBorder="1" applyAlignment="1">
      <alignment vertical="center" shrinkToFit="1"/>
    </xf>
    <xf numFmtId="0" fontId="30" fillId="0" borderId="8" xfId="0" applyFont="1" applyBorder="1" applyAlignment="1">
      <alignment vertical="center" shrinkToFit="1"/>
    </xf>
    <xf numFmtId="0" fontId="30" fillId="0" borderId="136" xfId="0" applyFont="1" applyBorder="1" applyAlignment="1">
      <alignment vertical="center" shrinkToFit="1"/>
    </xf>
    <xf numFmtId="0" fontId="30" fillId="0" borderId="28" xfId="0" applyFont="1" applyBorder="1" applyAlignment="1">
      <alignment vertical="center" shrinkToFit="1"/>
    </xf>
    <xf numFmtId="0" fontId="30" fillId="0" borderId="37" xfId="0" applyFont="1" applyBorder="1" applyAlignment="1">
      <alignment vertical="center" shrinkToFit="1"/>
    </xf>
    <xf numFmtId="0" fontId="30" fillId="0" borderId="42" xfId="0" applyFont="1" applyBorder="1" applyAlignment="1">
      <alignment vertical="center" shrinkToFit="1"/>
    </xf>
    <xf numFmtId="0" fontId="37" fillId="0" borderId="26" xfId="0" applyFont="1" applyBorder="1" applyAlignment="1">
      <alignment vertical="center" shrinkToFit="1"/>
    </xf>
    <xf numFmtId="0" fontId="37" fillId="0" borderId="1" xfId="0" applyFont="1" applyBorder="1" applyAlignment="1">
      <alignment vertical="center" shrinkToFit="1"/>
    </xf>
    <xf numFmtId="0" fontId="37" fillId="0" borderId="24" xfId="0" applyFont="1" applyBorder="1" applyAlignment="1">
      <alignment vertical="center" shrinkToFit="1"/>
    </xf>
    <xf numFmtId="0" fontId="37" fillId="0" borderId="28" xfId="0" applyFont="1" applyBorder="1" applyAlignment="1">
      <alignment vertical="center" shrinkToFit="1"/>
    </xf>
    <xf numFmtId="0" fontId="37" fillId="0" borderId="37" xfId="0" applyFont="1" applyBorder="1" applyAlignment="1">
      <alignment vertical="center" shrinkToFit="1"/>
    </xf>
    <xf numFmtId="0" fontId="37" fillId="0" borderId="42" xfId="0" applyFont="1" applyBorder="1" applyAlignment="1">
      <alignment vertical="center" shrinkToFit="1"/>
    </xf>
    <xf numFmtId="0" fontId="30" fillId="0" borderId="120" xfId="0" applyFont="1" applyBorder="1" applyAlignment="1">
      <alignment horizontal="left" vertical="center" shrinkToFit="1"/>
    </xf>
    <xf numFmtId="0" fontId="30" fillId="0" borderId="121" xfId="0" applyFont="1" applyBorder="1" applyAlignment="1">
      <alignment horizontal="left" vertical="center" shrinkToFit="1"/>
    </xf>
    <xf numFmtId="0" fontId="30" fillId="0" borderId="137" xfId="0" applyFont="1" applyBorder="1" applyAlignment="1">
      <alignment horizontal="left" vertical="center" shrinkToFit="1"/>
    </xf>
    <xf numFmtId="0" fontId="30" fillId="0" borderId="125" xfId="0" applyFont="1" applyBorder="1" applyAlignment="1">
      <alignment vertical="center" shrinkToFit="1"/>
    </xf>
    <xf numFmtId="0" fontId="30" fillId="0" borderId="107" xfId="0" applyFont="1" applyBorder="1" applyAlignment="1">
      <alignment vertical="center" shrinkToFit="1"/>
    </xf>
    <xf numFmtId="0" fontId="30" fillId="0" borderId="108" xfId="0" applyFont="1" applyBorder="1" applyAlignment="1">
      <alignment vertical="center" shrinkToFit="1"/>
    </xf>
    <xf numFmtId="0" fontId="26" fillId="4" borderId="25" xfId="0" applyFont="1" applyFill="1" applyBorder="1" applyAlignment="1">
      <alignment vertical="center" shrinkToFit="1"/>
    </xf>
    <xf numFmtId="0" fontId="26" fillId="4" borderId="2" xfId="0" applyFont="1" applyFill="1" applyBorder="1" applyAlignment="1">
      <alignment vertical="center" shrinkToFit="1"/>
    </xf>
    <xf numFmtId="0" fontId="26" fillId="4" borderId="22" xfId="0" applyFont="1" applyFill="1" applyBorder="1" applyAlignment="1">
      <alignment vertical="center" shrinkToFit="1"/>
    </xf>
    <xf numFmtId="0" fontId="30" fillId="0" borderId="104" xfId="0" applyFont="1" applyBorder="1" applyAlignment="1">
      <alignment vertical="center" shrinkToFit="1"/>
    </xf>
    <xf numFmtId="0" fontId="30" fillId="0" borderId="105" xfId="0" applyFont="1" applyBorder="1" applyAlignment="1">
      <alignment vertical="center" shrinkToFit="1"/>
    </xf>
    <xf numFmtId="0" fontId="30" fillId="0" borderId="139" xfId="0" applyFont="1" applyBorder="1" applyAlignment="1">
      <alignment vertical="center" shrinkToFit="1"/>
    </xf>
    <xf numFmtId="0" fontId="30" fillId="0" borderId="140" xfId="0" applyFont="1" applyBorder="1" applyAlignment="1">
      <alignment vertical="center" shrinkToFit="1"/>
    </xf>
    <xf numFmtId="0" fontId="30" fillId="0" borderId="141" xfId="0" applyFont="1" applyBorder="1" applyAlignment="1">
      <alignment vertical="center" shrinkToFit="1"/>
    </xf>
    <xf numFmtId="0" fontId="30" fillId="0" borderId="142" xfId="0" applyFont="1" applyBorder="1" applyAlignment="1">
      <alignment vertical="center" shrinkToFit="1"/>
    </xf>
    <xf numFmtId="0" fontId="30" fillId="0" borderId="120" xfId="0" applyFont="1" applyBorder="1" applyAlignment="1">
      <alignment vertical="center" shrinkToFit="1"/>
    </xf>
    <xf numFmtId="0" fontId="30" fillId="0" borderId="121" xfId="0" applyFont="1" applyBorder="1" applyAlignment="1">
      <alignment vertical="center" shrinkToFit="1"/>
    </xf>
    <xf numFmtId="0" fontId="30" fillId="0" borderId="137" xfId="0" applyFont="1" applyBorder="1" applyAlignment="1">
      <alignment vertical="center" shrinkToFit="1"/>
    </xf>
    <xf numFmtId="0" fontId="26" fillId="0" borderId="6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30" fillId="0" borderId="38" xfId="0" applyFont="1" applyBorder="1" applyAlignment="1">
      <alignment vertical="center" shrinkToFit="1"/>
    </xf>
    <xf numFmtId="0" fontId="30" fillId="0" borderId="44" xfId="0" applyFont="1" applyBorder="1" applyAlignment="1">
      <alignment vertical="center" shrinkToFit="1"/>
    </xf>
    <xf numFmtId="0" fontId="30" fillId="0" borderId="45" xfId="0" applyFont="1" applyBorder="1" applyAlignment="1">
      <alignment vertical="center" shrinkToFit="1"/>
    </xf>
    <xf numFmtId="0" fontId="26" fillId="0" borderId="26" xfId="0" applyFont="1" applyBorder="1" applyAlignment="1">
      <alignment vertical="center" shrinkToFit="1"/>
    </xf>
    <xf numFmtId="0" fontId="26" fillId="0" borderId="1" xfId="0" applyFont="1" applyBorder="1" applyAlignment="1">
      <alignment vertical="center" shrinkToFit="1"/>
    </xf>
    <xf numFmtId="0" fontId="26" fillId="0" borderId="24" xfId="0" applyFont="1" applyBorder="1" applyAlignment="1">
      <alignment vertical="center" shrinkToFit="1"/>
    </xf>
    <xf numFmtId="0" fontId="30" fillId="0" borderId="118" xfId="0" applyFont="1" applyBorder="1" applyAlignment="1">
      <alignment vertical="center" shrinkToFit="1"/>
    </xf>
    <xf numFmtId="0" fontId="30" fillId="0" borderId="39" xfId="0" applyFont="1" applyBorder="1" applyAlignment="1">
      <alignment vertical="center" shrinkToFit="1"/>
    </xf>
    <xf numFmtId="0" fontId="30" fillId="0" borderId="40" xfId="0" applyFont="1" applyBorder="1" applyAlignment="1">
      <alignment vertical="center" shrinkToFit="1"/>
    </xf>
    <xf numFmtId="0" fontId="30" fillId="0" borderId="103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30" fillId="0" borderId="6" xfId="0" applyFont="1" applyBorder="1" applyAlignment="1">
      <alignment horizontal="left" vertical="center" shrinkToFit="1"/>
    </xf>
    <xf numFmtId="0" fontId="30" fillId="0" borderId="125" xfId="0" applyFont="1" applyBorder="1" applyAlignment="1">
      <alignment horizontal="center" vertical="center" shrinkToFit="1"/>
    </xf>
    <xf numFmtId="0" fontId="30" fillId="0" borderId="107" xfId="0" applyFont="1" applyBorder="1" applyAlignment="1">
      <alignment horizontal="center" vertical="center" shrinkToFit="1"/>
    </xf>
    <xf numFmtId="0" fontId="30" fillId="0" borderId="122" xfId="0" applyFont="1" applyBorder="1" applyAlignment="1">
      <alignment horizontal="left" vertical="center" shrinkToFit="1"/>
    </xf>
    <xf numFmtId="0" fontId="30" fillId="0" borderId="114" xfId="0" applyFont="1" applyBorder="1" applyAlignment="1">
      <alignment horizontal="center" vertical="center" shrinkToFit="1"/>
    </xf>
    <xf numFmtId="0" fontId="30" fillId="0" borderId="17" xfId="0" applyFont="1" applyBorder="1" applyAlignment="1">
      <alignment vertical="center" shrinkToFit="1"/>
    </xf>
    <xf numFmtId="0" fontId="30" fillId="0" borderId="6" xfId="0" applyFont="1" applyBorder="1" applyAlignment="1">
      <alignment vertical="center" shrinkToFit="1"/>
    </xf>
    <xf numFmtId="0" fontId="30" fillId="0" borderId="119" xfId="0" applyFont="1" applyBorder="1" applyAlignment="1">
      <alignment vertical="center" shrinkToFit="1"/>
    </xf>
    <xf numFmtId="0" fontId="37" fillId="0" borderId="6" xfId="0" applyFont="1" applyBorder="1" applyAlignment="1">
      <alignment vertical="center" shrinkToFit="1"/>
    </xf>
    <xf numFmtId="0" fontId="30" fillId="0" borderId="122" xfId="0" applyFont="1" applyBorder="1" applyAlignment="1">
      <alignment vertical="center" shrinkToFit="1"/>
    </xf>
    <xf numFmtId="0" fontId="26" fillId="31" borderId="28" xfId="0" applyFont="1" applyFill="1" applyBorder="1" applyAlignment="1">
      <alignment vertical="center" shrinkToFit="1"/>
    </xf>
    <xf numFmtId="0" fontId="26" fillId="31" borderId="37" xfId="0" applyFont="1" applyFill="1" applyBorder="1" applyAlignment="1">
      <alignment vertical="center" shrinkToFit="1"/>
    </xf>
    <xf numFmtId="0" fontId="26" fillId="31" borderId="6" xfId="0" applyFont="1" applyFill="1" applyBorder="1" applyAlignment="1">
      <alignment vertical="center" shrinkToFit="1"/>
    </xf>
    <xf numFmtId="0" fontId="26" fillId="0" borderId="28" xfId="0" applyFont="1" applyBorder="1" applyAlignment="1">
      <alignment vertical="center" shrinkToFit="1"/>
    </xf>
    <xf numFmtId="0" fontId="26" fillId="0" borderId="37" xfId="0" applyFont="1" applyBorder="1" applyAlignment="1">
      <alignment vertical="center" shrinkToFit="1"/>
    </xf>
    <xf numFmtId="0" fontId="26" fillId="0" borderId="6" xfId="0" applyFont="1" applyBorder="1" applyAlignment="1">
      <alignment vertical="center" shrinkToFit="1"/>
    </xf>
    <xf numFmtId="0" fontId="26" fillId="0" borderId="118" xfId="0" applyFont="1" applyBorder="1" applyAlignment="1">
      <alignment horizontal="center" vertical="center" shrinkToFit="1"/>
    </xf>
    <xf numFmtId="0" fontId="26" fillId="0" borderId="39" xfId="0" applyFont="1" applyBorder="1" applyAlignment="1">
      <alignment horizontal="center" vertical="center" shrinkToFit="1"/>
    </xf>
    <xf numFmtId="0" fontId="26" fillId="0" borderId="119" xfId="0" applyFont="1" applyBorder="1" applyAlignment="1">
      <alignment horizontal="center" vertical="center" shrinkToFit="1"/>
    </xf>
    <xf numFmtId="0" fontId="26" fillId="31" borderId="38" xfId="0" applyFont="1" applyFill="1" applyBorder="1" applyAlignment="1">
      <alignment horizontal="center" vertical="center"/>
    </xf>
    <xf numFmtId="0" fontId="26" fillId="31" borderId="65" xfId="0" applyFont="1" applyFill="1" applyBorder="1" applyAlignment="1">
      <alignment horizontal="center" vertical="center"/>
    </xf>
    <xf numFmtId="176" fontId="21" fillId="2" borderId="27" xfId="0" applyNumberFormat="1" applyFont="1" applyFill="1" applyBorder="1" applyAlignment="1">
      <alignment horizontal="center" vertical="center" shrinkToFit="1"/>
    </xf>
    <xf numFmtId="176" fontId="21" fillId="2" borderId="25" xfId="0" applyNumberFormat="1" applyFont="1" applyFill="1" applyBorder="1" applyAlignment="1">
      <alignment horizontal="center" vertical="center" shrinkToFit="1"/>
    </xf>
    <xf numFmtId="176" fontId="21" fillId="0" borderId="5" xfId="0" applyNumberFormat="1" applyFont="1" applyBorder="1" applyAlignment="1">
      <alignment vertical="center" shrinkToFit="1"/>
    </xf>
    <xf numFmtId="176" fontId="21" fillId="0" borderId="42" xfId="0" applyNumberFormat="1" applyFont="1" applyBorder="1" applyAlignment="1">
      <alignment vertical="center" shrinkToFit="1"/>
    </xf>
    <xf numFmtId="176" fontId="21" fillId="3" borderId="23" xfId="0" applyNumberFormat="1" applyFont="1" applyFill="1" applyBorder="1" applyAlignment="1">
      <alignment horizontal="left" vertical="center" shrinkToFit="1"/>
    </xf>
    <xf numFmtId="176" fontId="21" fillId="3" borderId="1" xfId="0" applyNumberFormat="1" applyFont="1" applyFill="1" applyBorder="1" applyAlignment="1">
      <alignment horizontal="left" vertical="center" shrinkToFit="1"/>
    </xf>
    <xf numFmtId="176" fontId="21" fillId="3" borderId="5" xfId="0" applyNumberFormat="1" applyFont="1" applyFill="1" applyBorder="1" applyAlignment="1">
      <alignment vertical="center" shrinkToFit="1"/>
    </xf>
    <xf numFmtId="176" fontId="21" fillId="3" borderId="42" xfId="0" applyNumberFormat="1" applyFont="1" applyFill="1" applyBorder="1" applyAlignment="1">
      <alignment vertical="center" shrinkToFit="1"/>
    </xf>
    <xf numFmtId="176" fontId="21" fillId="3" borderId="25" xfId="0" applyNumberFormat="1" applyFont="1" applyFill="1" applyBorder="1" applyAlignment="1">
      <alignment horizontal="center" vertical="center" shrinkToFit="1"/>
    </xf>
    <xf numFmtId="176" fontId="21" fillId="3" borderId="26" xfId="0" applyNumberFormat="1" applyFont="1" applyFill="1" applyBorder="1" applyAlignment="1">
      <alignment horizontal="center" vertical="center" shrinkToFit="1"/>
    </xf>
    <xf numFmtId="176" fontId="21" fillId="8" borderId="5" xfId="0" applyNumberFormat="1" applyFont="1" applyFill="1" applyBorder="1" applyAlignment="1">
      <alignment horizontal="center" vertical="center" shrinkToFit="1"/>
    </xf>
    <xf numFmtId="176" fontId="21" fillId="8" borderId="6" xfId="0" applyNumberFormat="1" applyFont="1" applyFill="1" applyBorder="1" applyAlignment="1">
      <alignment horizontal="center" vertical="center" shrinkToFit="1"/>
    </xf>
    <xf numFmtId="176" fontId="21" fillId="4" borderId="2" xfId="1" applyNumberFormat="1" applyFont="1" applyFill="1" applyBorder="1" applyAlignment="1">
      <alignment horizontal="left" vertical="center" shrinkToFit="1"/>
    </xf>
    <xf numFmtId="176" fontId="21" fillId="3" borderId="89" xfId="1" applyNumberFormat="1" applyFont="1" applyFill="1" applyBorder="1" applyAlignment="1">
      <alignment horizontal="left" vertical="center" shrinkToFit="1"/>
    </xf>
    <xf numFmtId="176" fontId="21" fillId="3" borderId="1" xfId="1" applyNumberFormat="1" applyFont="1" applyFill="1" applyBorder="1" applyAlignment="1">
      <alignment horizontal="left" vertical="center" shrinkToFit="1"/>
    </xf>
    <xf numFmtId="176" fontId="21" fillId="4" borderId="5" xfId="1" applyNumberFormat="1" applyFont="1" applyFill="1" applyBorder="1" applyAlignment="1">
      <alignment horizontal="left" vertical="center" shrinkToFit="1"/>
    </xf>
    <xf numFmtId="176" fontId="21" fillId="4" borderId="6" xfId="1" applyNumberFormat="1" applyFont="1" applyFill="1" applyBorder="1" applyAlignment="1">
      <alignment horizontal="left" vertical="center" shrinkToFit="1"/>
    </xf>
    <xf numFmtId="176" fontId="21" fillId="3" borderId="5" xfId="1" applyNumberFormat="1" applyFont="1" applyFill="1" applyBorder="1" applyAlignment="1">
      <alignment horizontal="left" vertical="center" shrinkToFit="1"/>
    </xf>
    <xf numFmtId="176" fontId="21" fillId="3" borderId="6" xfId="1" applyNumberFormat="1" applyFont="1" applyFill="1" applyBorder="1" applyAlignment="1">
      <alignment horizontal="left" vertical="center" shrinkToFit="1"/>
    </xf>
    <xf numFmtId="176" fontId="21" fillId="6" borderId="65" xfId="0" applyNumberFormat="1" applyFont="1" applyFill="1" applyBorder="1" applyAlignment="1">
      <alignment horizontal="center" vertical="center" shrinkToFit="1"/>
    </xf>
    <xf numFmtId="176" fontId="21" fillId="6" borderId="8" xfId="0" applyNumberFormat="1" applyFont="1" applyFill="1" applyBorder="1" applyAlignment="1">
      <alignment horizontal="center" vertical="center" shrinkToFit="1"/>
    </xf>
    <xf numFmtId="176" fontId="21" fillId="6" borderId="17" xfId="0" applyNumberFormat="1" applyFont="1" applyFill="1" applyBorder="1" applyAlignment="1">
      <alignment horizontal="center" vertical="center" shrinkToFit="1"/>
    </xf>
    <xf numFmtId="176" fontId="21" fillId="2" borderId="2" xfId="0" applyNumberFormat="1" applyFont="1" applyFill="1" applyBorder="1" applyAlignment="1">
      <alignment horizontal="center" vertical="center" shrinkToFit="1"/>
    </xf>
    <xf numFmtId="176" fontId="21" fillId="2" borderId="1" xfId="0" applyNumberFormat="1" applyFont="1" applyFill="1" applyBorder="1" applyAlignment="1">
      <alignment horizontal="center" vertical="center" shrinkToFit="1"/>
    </xf>
    <xf numFmtId="176" fontId="22" fillId="2" borderId="5" xfId="0" applyNumberFormat="1" applyFont="1" applyFill="1" applyBorder="1" applyAlignment="1">
      <alignment horizontal="left" vertical="center" shrinkToFit="1"/>
    </xf>
    <xf numFmtId="176" fontId="21" fillId="2" borderId="6" xfId="0" applyNumberFormat="1" applyFont="1" applyFill="1" applyBorder="1" applyAlignment="1">
      <alignment horizontal="left" vertical="center" shrinkToFit="1"/>
    </xf>
    <xf numFmtId="176" fontId="21" fillId="2" borderId="15" xfId="0" applyNumberFormat="1" applyFont="1" applyFill="1" applyBorder="1" applyAlignment="1">
      <alignment horizontal="left" vertical="center" shrinkToFit="1"/>
    </xf>
    <xf numFmtId="176" fontId="22" fillId="24" borderId="17" xfId="0" applyNumberFormat="1" applyFont="1" applyFill="1" applyBorder="1" applyAlignment="1">
      <alignment horizontal="left" vertical="center" shrinkToFit="1"/>
    </xf>
    <xf numFmtId="176" fontId="21" fillId="24" borderId="2" xfId="0" applyNumberFormat="1" applyFont="1" applyFill="1" applyBorder="1" applyAlignment="1">
      <alignment horizontal="left" vertical="center" shrinkToFit="1"/>
    </xf>
    <xf numFmtId="176" fontId="21" fillId="10" borderId="88" xfId="0" applyNumberFormat="1" applyFont="1" applyFill="1" applyBorder="1" applyAlignment="1">
      <alignment horizontal="center" vertical="center" shrinkToFit="1"/>
    </xf>
    <xf numFmtId="176" fontId="21" fillId="10" borderId="2" xfId="0" applyNumberFormat="1" applyFont="1" applyFill="1" applyBorder="1" applyAlignment="1">
      <alignment horizontal="center" vertical="center" shrinkToFit="1"/>
    </xf>
    <xf numFmtId="176" fontId="21" fillId="2" borderId="89" xfId="1" applyNumberFormat="1" applyFont="1" applyFill="1" applyBorder="1" applyAlignment="1">
      <alignment horizontal="left" vertical="center" shrinkToFit="1"/>
    </xf>
    <xf numFmtId="176" fontId="21" fillId="2" borderId="1" xfId="1" applyNumberFormat="1" applyFont="1" applyFill="1" applyBorder="1" applyAlignment="1">
      <alignment horizontal="left" vertical="center" shrinkToFit="1"/>
    </xf>
    <xf numFmtId="176" fontId="21" fillId="2" borderId="89" xfId="0" applyNumberFormat="1" applyFont="1" applyFill="1" applyBorder="1" applyAlignment="1">
      <alignment horizontal="left" vertical="center" shrinkToFit="1"/>
    </xf>
    <xf numFmtId="176" fontId="21" fillId="2" borderId="1" xfId="0" applyNumberFormat="1" applyFont="1" applyFill="1" applyBorder="1" applyAlignment="1">
      <alignment horizontal="left" vertical="center" shrinkToFit="1"/>
    </xf>
    <xf numFmtId="176" fontId="21" fillId="2" borderId="5" xfId="0" applyNumberFormat="1" applyFont="1" applyFill="1" applyBorder="1" applyAlignment="1">
      <alignment horizontal="left" vertical="center" shrinkToFit="1"/>
    </xf>
    <xf numFmtId="176" fontId="21" fillId="2" borderId="4" xfId="0" applyNumberFormat="1" applyFont="1" applyFill="1" applyBorder="1" applyAlignment="1">
      <alignment horizontal="center" vertical="center" shrinkToFit="1"/>
    </xf>
    <xf numFmtId="176" fontId="21" fillId="2" borderId="88" xfId="0" applyNumberFormat="1" applyFont="1" applyFill="1" applyBorder="1" applyAlignment="1">
      <alignment horizontal="center" vertical="center" shrinkToFit="1"/>
    </xf>
    <xf numFmtId="176" fontId="21" fillId="3" borderId="4" xfId="0" applyNumberFormat="1" applyFont="1" applyFill="1" applyBorder="1" applyAlignment="1">
      <alignment horizontal="center" vertical="center" shrinkToFit="1"/>
    </xf>
    <xf numFmtId="176" fontId="21" fillId="3" borderId="2" xfId="0" applyNumberFormat="1" applyFont="1" applyFill="1" applyBorder="1" applyAlignment="1">
      <alignment horizontal="center" vertical="center" shrinkToFit="1"/>
    </xf>
    <xf numFmtId="176" fontId="21" fillId="2" borderId="3" xfId="0" applyNumberFormat="1" applyFont="1" applyFill="1" applyBorder="1" applyAlignment="1">
      <alignment horizontal="left" vertical="center" shrinkToFit="1"/>
    </xf>
    <xf numFmtId="176" fontId="21" fillId="0" borderId="5" xfId="0" applyNumberFormat="1" applyFont="1" applyBorder="1" applyAlignment="1">
      <alignment horizontal="center" vertical="center" shrinkToFit="1"/>
    </xf>
    <xf numFmtId="176" fontId="21" fillId="0" borderId="6" xfId="0" applyNumberFormat="1" applyFont="1" applyBorder="1" applyAlignment="1">
      <alignment horizontal="center" vertical="center" shrinkToFit="1"/>
    </xf>
    <xf numFmtId="176" fontId="21" fillId="3" borderId="3" xfId="0" applyNumberFormat="1" applyFont="1" applyFill="1" applyBorder="1" applyAlignment="1">
      <alignment horizontal="left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4" borderId="1" xfId="0" applyNumberFormat="1" applyFont="1" applyFill="1" applyBorder="1" applyAlignment="1">
      <alignment horizontal="left" vertical="center" shrinkToFit="1"/>
    </xf>
    <xf numFmtId="176" fontId="21" fillId="3" borderId="1" xfId="0" applyNumberFormat="1" applyFont="1" applyFill="1" applyBorder="1" applyAlignment="1">
      <alignment horizontal="center" vertical="center" shrinkToFit="1"/>
    </xf>
    <xf numFmtId="176" fontId="21" fillId="0" borderId="0" xfId="0" applyNumberFormat="1" applyFont="1" applyAlignment="1">
      <alignment horizontal="left" vertical="center" shrinkToFit="1"/>
    </xf>
    <xf numFmtId="176" fontId="21" fillId="3" borderId="82" xfId="0" applyNumberFormat="1" applyFont="1" applyFill="1" applyBorder="1" applyAlignment="1">
      <alignment horizontal="center" vertical="center" shrinkToFit="1"/>
    </xf>
    <xf numFmtId="176" fontId="21" fillId="3" borderId="9" xfId="0" applyNumberFormat="1" applyFont="1" applyFill="1" applyBorder="1" applyAlignment="1">
      <alignment horizontal="center" vertical="center" shrinkToFit="1"/>
    </xf>
    <xf numFmtId="176" fontId="21" fillId="2" borderId="23" xfId="0" applyNumberFormat="1" applyFont="1" applyFill="1" applyBorder="1" applyAlignment="1">
      <alignment horizontal="left" vertical="center" shrinkToFit="1"/>
    </xf>
    <xf numFmtId="176" fontId="21" fillId="2" borderId="5" xfId="0" applyNumberFormat="1" applyFont="1" applyFill="1" applyBorder="1" applyAlignment="1">
      <alignment vertical="center" shrinkToFit="1"/>
    </xf>
    <xf numFmtId="176" fontId="21" fillId="2" borderId="42" xfId="0" applyNumberFormat="1" applyFont="1" applyFill="1" applyBorder="1" applyAlignment="1">
      <alignment vertical="center" shrinkToFit="1"/>
    </xf>
    <xf numFmtId="176" fontId="21" fillId="2" borderId="26" xfId="0" applyNumberFormat="1" applyFont="1" applyFill="1" applyBorder="1" applyAlignment="1">
      <alignment horizontal="center" vertical="center" shrinkToFit="1"/>
    </xf>
    <xf numFmtId="176" fontId="21" fillId="2" borderId="91" xfId="1" applyNumberFormat="1" applyFont="1" applyFill="1" applyBorder="1" applyAlignment="1">
      <alignment horizontal="left" vertical="center" shrinkToFit="1"/>
    </xf>
    <xf numFmtId="176" fontId="21" fillId="2" borderId="6" xfId="1" applyNumberFormat="1" applyFont="1" applyFill="1" applyBorder="1" applyAlignment="1">
      <alignment horizontal="left" vertical="center" shrinkToFit="1"/>
    </xf>
    <xf numFmtId="176" fontId="21" fillId="0" borderId="11" xfId="0" applyNumberFormat="1" applyFont="1" applyBorder="1" applyAlignment="1">
      <alignment horizontal="center" vertical="center" shrinkToFit="1"/>
    </xf>
    <xf numFmtId="176" fontId="21" fillId="0" borderId="12" xfId="0" applyNumberFormat="1" applyFont="1" applyBorder="1" applyAlignment="1">
      <alignment horizontal="center" vertical="center" shrinkToFit="1"/>
    </xf>
    <xf numFmtId="176" fontId="21" fillId="0" borderId="143" xfId="1" applyNumberFormat="1" applyFont="1" applyBorder="1" applyAlignment="1">
      <alignment horizontal="center" vertical="center" shrinkToFit="1"/>
    </xf>
    <xf numFmtId="176" fontId="21" fillId="0" borderId="40" xfId="1" applyNumberFormat="1" applyFont="1" applyBorder="1" applyAlignment="1">
      <alignment horizontal="center" vertical="center" shrinkToFit="1"/>
    </xf>
    <xf numFmtId="176" fontId="21" fillId="0" borderId="28" xfId="0" applyNumberFormat="1" applyFont="1" applyBorder="1" applyAlignment="1">
      <alignment horizontal="center" vertical="center" shrinkToFit="1"/>
    </xf>
    <xf numFmtId="176" fontId="21" fillId="0" borderId="6" xfId="0" applyNumberFormat="1" applyFont="1" applyBorder="1" applyAlignment="1">
      <alignment vertical="center" shrinkToFit="1"/>
    </xf>
    <xf numFmtId="176" fontId="21" fillId="4" borderId="92" xfId="1" applyNumberFormat="1" applyFont="1" applyFill="1" applyBorder="1" applyAlignment="1">
      <alignment horizontal="left" vertical="center" shrinkToFit="1"/>
    </xf>
    <xf numFmtId="176" fontId="21" fillId="4" borderId="93" xfId="1" applyNumberFormat="1" applyFont="1" applyFill="1" applyBorder="1" applyAlignment="1">
      <alignment horizontal="left" vertical="center" shrinkToFit="1"/>
    </xf>
    <xf numFmtId="176" fontId="21" fillId="0" borderId="5" xfId="1" applyNumberFormat="1" applyFont="1" applyBorder="1" applyAlignment="1">
      <alignment horizontal="center" vertical="center" shrinkToFit="1"/>
    </xf>
    <xf numFmtId="176" fontId="21" fillId="0" borderId="6" xfId="1" applyNumberFormat="1" applyFont="1" applyBorder="1" applyAlignment="1">
      <alignment horizontal="center" vertical="center" shrinkToFit="1"/>
    </xf>
    <xf numFmtId="176" fontId="21" fillId="2" borderId="6" xfId="0" applyNumberFormat="1" applyFont="1" applyFill="1" applyBorder="1" applyAlignment="1">
      <alignment vertical="center" shrinkToFit="1"/>
    </xf>
    <xf numFmtId="176" fontId="21" fillId="4" borderId="5" xfId="0" applyNumberFormat="1" applyFont="1" applyFill="1" applyBorder="1" applyAlignment="1">
      <alignment vertical="center" shrinkToFit="1"/>
    </xf>
    <xf numFmtId="176" fontId="21" fillId="4" borderId="42" xfId="0" applyNumberFormat="1" applyFont="1" applyFill="1" applyBorder="1" applyAlignment="1">
      <alignment vertical="center" shrinkToFit="1"/>
    </xf>
    <xf numFmtId="176" fontId="21" fillId="4" borderId="6" xfId="0" applyNumberFormat="1" applyFont="1" applyFill="1" applyBorder="1" applyAlignment="1">
      <alignment vertical="center" shrinkToFit="1"/>
    </xf>
    <xf numFmtId="176" fontId="21" fillId="4" borderId="26" xfId="0" applyNumberFormat="1" applyFont="1" applyFill="1" applyBorder="1" applyAlignment="1">
      <alignment horizontal="center" vertical="center" shrinkToFit="1"/>
    </xf>
    <xf numFmtId="176" fontId="21" fillId="4" borderId="1" xfId="0" applyNumberFormat="1" applyFont="1" applyFill="1" applyBorder="1" applyAlignment="1">
      <alignment horizontal="center" vertical="center" shrinkToFit="1"/>
    </xf>
    <xf numFmtId="176" fontId="21" fillId="4" borderId="26" xfId="0" applyNumberFormat="1" applyFont="1" applyFill="1" applyBorder="1" applyAlignment="1">
      <alignment horizontal="left" vertical="center" shrinkToFit="1"/>
    </xf>
    <xf numFmtId="176" fontId="21" fillId="3" borderId="6" xfId="0" applyNumberFormat="1" applyFont="1" applyFill="1" applyBorder="1" applyAlignment="1">
      <alignment vertical="center" shrinkToFit="1"/>
    </xf>
    <xf numFmtId="176" fontId="21" fillId="0" borderId="14" xfId="0" applyNumberFormat="1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92" xfId="0" applyNumberFormat="1" applyFont="1" applyBorder="1" applyAlignment="1">
      <alignment vertical="center" shrinkToFit="1"/>
    </xf>
    <xf numFmtId="176" fontId="21" fillId="0" borderId="146" xfId="0" applyNumberFormat="1" applyFont="1" applyBorder="1" applyAlignment="1">
      <alignment vertical="center" shrinkToFit="1"/>
    </xf>
    <xf numFmtId="176" fontId="21" fillId="3" borderId="27" xfId="0" applyNumberFormat="1" applyFont="1" applyFill="1" applyBorder="1" applyAlignment="1">
      <alignment horizontal="center" vertical="center" shrinkToFit="1"/>
    </xf>
    <xf numFmtId="176" fontId="22" fillId="10" borderId="82" xfId="0" applyNumberFormat="1" applyFont="1" applyFill="1" applyBorder="1" applyAlignment="1">
      <alignment horizontal="left" vertical="center" shrinkToFit="1"/>
    </xf>
    <xf numFmtId="176" fontId="21" fillId="10" borderId="83" xfId="0" applyNumberFormat="1" applyFont="1" applyFill="1" applyBorder="1" applyAlignment="1">
      <alignment horizontal="left" vertical="center" shrinkToFit="1"/>
    </xf>
    <xf numFmtId="176" fontId="22" fillId="10" borderId="91" xfId="0" applyNumberFormat="1" applyFont="1" applyFill="1" applyBorder="1" applyAlignment="1">
      <alignment horizontal="left" vertical="center" shrinkToFit="1"/>
    </xf>
    <xf numFmtId="176" fontId="21" fillId="10" borderId="6" xfId="0" applyNumberFormat="1" applyFont="1" applyFill="1" applyBorder="1" applyAlignment="1">
      <alignment horizontal="left" vertical="center" shrinkToFit="1"/>
    </xf>
    <xf numFmtId="176" fontId="21" fillId="10" borderId="95" xfId="0" applyNumberFormat="1" applyFont="1" applyFill="1" applyBorder="1" applyAlignment="1">
      <alignment horizontal="center" vertical="center" shrinkToFit="1"/>
    </xf>
    <xf numFmtId="176" fontId="21" fillId="8" borderId="28" xfId="0" applyNumberFormat="1" applyFont="1" applyFill="1" applyBorder="1" applyAlignment="1">
      <alignment horizontal="center" vertical="center" shrinkToFit="1"/>
    </xf>
    <xf numFmtId="176" fontId="21" fillId="0" borderId="0" xfId="0" applyNumberFormat="1" applyFont="1" applyAlignment="1">
      <alignment vertical="center" shrinkToFit="1"/>
    </xf>
    <xf numFmtId="176" fontId="21" fillId="0" borderId="29" xfId="0" applyNumberFormat="1" applyFont="1" applyBorder="1" applyAlignment="1">
      <alignment horizontal="center" vertical="center" shrinkToFit="1"/>
    </xf>
    <xf numFmtId="176" fontId="21" fillId="0" borderId="30" xfId="0" applyNumberFormat="1" applyFont="1" applyBorder="1" applyAlignment="1">
      <alignment horizontal="center" vertical="center" shrinkToFit="1"/>
    </xf>
    <xf numFmtId="176" fontId="21" fillId="0" borderId="31" xfId="0" applyNumberFormat="1" applyFont="1" applyBorder="1" applyAlignment="1">
      <alignment horizontal="center" vertical="center" shrinkToFit="1"/>
    </xf>
    <xf numFmtId="176" fontId="21" fillId="6" borderId="67" xfId="0" applyNumberFormat="1" applyFont="1" applyFill="1" applyBorder="1" applyAlignment="1">
      <alignment horizontal="center" vertical="center" shrinkToFit="1"/>
    </xf>
    <xf numFmtId="176" fontId="21" fillId="6" borderId="0" xfId="0" applyNumberFormat="1" applyFont="1" applyFill="1" applyAlignment="1">
      <alignment horizontal="center" vertical="center" shrinkToFit="1"/>
    </xf>
    <xf numFmtId="176" fontId="21" fillId="6" borderId="83" xfId="0" applyNumberFormat="1" applyFont="1" applyFill="1" applyBorder="1" applyAlignment="1">
      <alignment horizontal="center" vertical="center" shrinkToFit="1"/>
    </xf>
    <xf numFmtId="176" fontId="22" fillId="24" borderId="119" xfId="0" applyNumberFormat="1" applyFont="1" applyFill="1" applyBorder="1" applyAlignment="1">
      <alignment horizontal="left" vertical="center" shrinkToFit="1"/>
    </xf>
    <xf numFmtId="176" fontId="21" fillId="24" borderId="12" xfId="0" applyNumberFormat="1" applyFont="1" applyFill="1" applyBorder="1" applyAlignment="1">
      <alignment horizontal="left" vertical="center" shrinkToFit="1"/>
    </xf>
    <xf numFmtId="176" fontId="22" fillId="10" borderId="115" xfId="0" applyNumberFormat="1" applyFont="1" applyFill="1" applyBorder="1" applyAlignment="1">
      <alignment horizontal="left" vertical="center" shrinkToFit="1"/>
    </xf>
    <xf numFmtId="176" fontId="21" fillId="10" borderId="80" xfId="0" applyNumberFormat="1" applyFont="1" applyFill="1" applyBorder="1" applyAlignment="1">
      <alignment horizontal="center" vertical="center" shrinkToFit="1"/>
    </xf>
    <xf numFmtId="176" fontId="21" fillId="3" borderId="65" xfId="0" applyNumberFormat="1" applyFont="1" applyFill="1" applyBorder="1" applyAlignment="1">
      <alignment horizontal="center" vertical="center" shrinkToFit="1"/>
    </xf>
    <xf numFmtId="176" fontId="21" fillId="3" borderId="83" xfId="0" applyNumberFormat="1" applyFont="1" applyFill="1" applyBorder="1" applyAlignment="1">
      <alignment horizontal="center" vertical="center" shrinkToFit="1"/>
    </xf>
    <xf numFmtId="176" fontId="21" fillId="3" borderId="94" xfId="0" applyNumberFormat="1" applyFont="1" applyFill="1" applyBorder="1" applyAlignment="1">
      <alignment horizontal="center" vertical="center" shrinkToFit="1"/>
    </xf>
    <xf numFmtId="176" fontId="21" fillId="3" borderId="103" xfId="0" applyNumberFormat="1" applyFont="1" applyFill="1" applyBorder="1" applyAlignment="1">
      <alignment horizontal="center" vertical="center" shrinkToFit="1"/>
    </xf>
    <xf numFmtId="176" fontId="21" fillId="3" borderId="41" xfId="1" applyNumberFormat="1" applyFont="1" applyFill="1" applyBorder="1" applyAlignment="1">
      <alignment horizontal="center" vertical="center" shrinkToFit="1"/>
    </xf>
    <xf numFmtId="176" fontId="21" fillId="3" borderId="101" xfId="1" applyNumberFormat="1" applyFont="1" applyFill="1" applyBorder="1" applyAlignment="1">
      <alignment horizontal="center" vertical="center" shrinkToFit="1"/>
    </xf>
    <xf numFmtId="176" fontId="21" fillId="3" borderId="102" xfId="1" applyNumberFormat="1" applyFont="1" applyFill="1" applyBorder="1" applyAlignment="1">
      <alignment horizontal="center" vertical="center" shrinkToFit="1"/>
    </xf>
    <xf numFmtId="176" fontId="21" fillId="4" borderId="96" xfId="1" applyNumberFormat="1" applyFont="1" applyFill="1" applyBorder="1" applyAlignment="1">
      <alignment horizontal="center" vertical="center" shrinkToFit="1"/>
    </xf>
    <xf numFmtId="176" fontId="21" fillId="4" borderId="97" xfId="1" applyNumberFormat="1" applyFont="1" applyFill="1" applyBorder="1" applyAlignment="1">
      <alignment horizontal="center" vertical="center" shrinkToFit="1"/>
    </xf>
    <xf numFmtId="176" fontId="21" fillId="4" borderId="98" xfId="1" applyNumberFormat="1" applyFont="1" applyFill="1" applyBorder="1" applyAlignment="1">
      <alignment horizontal="center" vertical="center" shrinkToFit="1"/>
    </xf>
    <xf numFmtId="176" fontId="21" fillId="4" borderId="104" xfId="1" applyNumberFormat="1" applyFont="1" applyFill="1" applyBorder="1" applyAlignment="1">
      <alignment horizontal="left" vertical="center" shrinkToFit="1"/>
    </xf>
    <xf numFmtId="176" fontId="21" fillId="4" borderId="105" xfId="1" applyNumberFormat="1" applyFont="1" applyFill="1" applyBorder="1" applyAlignment="1">
      <alignment horizontal="left" vertical="center" shrinkToFit="1"/>
    </xf>
    <xf numFmtId="176" fontId="21" fillId="4" borderId="106" xfId="1" applyNumberFormat="1" applyFont="1" applyFill="1" applyBorder="1" applyAlignment="1">
      <alignment horizontal="left" vertical="center" shrinkToFit="1"/>
    </xf>
    <xf numFmtId="176" fontId="21" fillId="3" borderId="109" xfId="1" applyNumberFormat="1" applyFont="1" applyFill="1" applyBorder="1" applyAlignment="1">
      <alignment horizontal="left" vertical="center" shrinkToFit="1"/>
    </xf>
    <xf numFmtId="176" fontId="21" fillId="3" borderId="110" xfId="1" applyNumberFormat="1" applyFont="1" applyFill="1" applyBorder="1" applyAlignment="1">
      <alignment horizontal="left" vertical="center" shrinkToFit="1"/>
    </xf>
    <xf numFmtId="176" fontId="21" fillId="3" borderId="111" xfId="1" applyNumberFormat="1" applyFont="1" applyFill="1" applyBorder="1" applyAlignment="1">
      <alignment horizontal="left" vertical="center" shrinkToFit="1"/>
    </xf>
    <xf numFmtId="176" fontId="21" fillId="2" borderId="65" xfId="0" applyNumberFormat="1" applyFont="1" applyFill="1" applyBorder="1" applyAlignment="1">
      <alignment horizontal="center" vertical="center" shrinkToFit="1"/>
    </xf>
    <xf numFmtId="176" fontId="21" fillId="2" borderId="83" xfId="0" applyNumberFormat="1" applyFont="1" applyFill="1" applyBorder="1" applyAlignment="1">
      <alignment horizontal="center" vertical="center" shrinkToFit="1"/>
    </xf>
    <xf numFmtId="176" fontId="21" fillId="2" borderId="94" xfId="0" applyNumberFormat="1" applyFont="1" applyFill="1" applyBorder="1" applyAlignment="1">
      <alignment horizontal="center" vertical="center" shrinkToFit="1"/>
    </xf>
    <xf numFmtId="176" fontId="21" fillId="2" borderId="103" xfId="0" applyNumberFormat="1" applyFont="1" applyFill="1" applyBorder="1" applyAlignment="1">
      <alignment horizontal="center" vertical="center" shrinkToFit="1"/>
    </xf>
    <xf numFmtId="176" fontId="21" fillId="2" borderId="38" xfId="1" applyNumberFormat="1" applyFont="1" applyFill="1" applyBorder="1" applyAlignment="1">
      <alignment horizontal="left" vertical="center" shrinkToFit="1"/>
    </xf>
    <xf numFmtId="176" fontId="21" fillId="2" borderId="44" xfId="1" applyNumberFormat="1" applyFont="1" applyFill="1" applyBorder="1" applyAlignment="1">
      <alignment horizontal="left" vertical="center" shrinkToFit="1"/>
    </xf>
    <xf numFmtId="176" fontId="21" fillId="2" borderId="90" xfId="1" applyNumberFormat="1" applyFont="1" applyFill="1" applyBorder="1" applyAlignment="1">
      <alignment horizontal="left" vertical="center" shrinkToFit="1"/>
    </xf>
    <xf numFmtId="176" fontId="21" fillId="4" borderId="96" xfId="1" applyNumberFormat="1" applyFont="1" applyFill="1" applyBorder="1" applyAlignment="1">
      <alignment horizontal="left" vertical="center" shrinkToFit="1"/>
    </xf>
    <xf numFmtId="176" fontId="21" fillId="4" borderId="97" xfId="1" applyNumberFormat="1" applyFont="1" applyFill="1" applyBorder="1" applyAlignment="1">
      <alignment horizontal="left" vertical="center" shrinkToFit="1"/>
    </xf>
    <xf numFmtId="176" fontId="21" fillId="4" borderId="98" xfId="1" applyNumberFormat="1" applyFont="1" applyFill="1" applyBorder="1" applyAlignment="1">
      <alignment horizontal="left" vertical="center" shrinkToFit="1"/>
    </xf>
    <xf numFmtId="176" fontId="21" fillId="4" borderId="67" xfId="1" applyNumberFormat="1" applyFont="1" applyFill="1" applyBorder="1" applyAlignment="1">
      <alignment horizontal="left" vertical="center" shrinkToFit="1"/>
    </xf>
    <xf numFmtId="176" fontId="21" fillId="4" borderId="36" xfId="1" applyNumberFormat="1" applyFont="1" applyFill="1" applyBorder="1" applyAlignment="1">
      <alignment horizontal="left" vertical="center" shrinkToFit="1"/>
    </xf>
    <xf numFmtId="176" fontId="21" fillId="4" borderId="114" xfId="1" applyNumberFormat="1" applyFont="1" applyFill="1" applyBorder="1" applyAlignment="1">
      <alignment horizontal="left" vertical="center" shrinkToFit="1"/>
    </xf>
    <xf numFmtId="176" fontId="21" fillId="37" borderId="27" xfId="0" applyNumberFormat="1" applyFont="1" applyFill="1" applyBorder="1" applyAlignment="1">
      <alignment horizontal="center" vertical="center" shrinkToFit="1"/>
    </xf>
    <xf numFmtId="176" fontId="21" fillId="37" borderId="43" xfId="0" applyNumberFormat="1" applyFont="1" applyFill="1" applyBorder="1" applyAlignment="1">
      <alignment horizontal="center" vertical="center" shrinkToFit="1"/>
    </xf>
    <xf numFmtId="176" fontId="29" fillId="4" borderId="1" xfId="1" applyNumberFormat="1" applyFont="1" applyFill="1" applyBorder="1" applyAlignment="1">
      <alignment horizontal="left" vertical="center" shrinkToFit="1"/>
    </xf>
    <xf numFmtId="0" fontId="27" fillId="0" borderId="5" xfId="0" applyFont="1" applyBorder="1" applyAlignment="1">
      <alignment horizontal="center" vertical="center" shrinkToFit="1"/>
    </xf>
    <xf numFmtId="0" fontId="27" fillId="0" borderId="6" xfId="0" applyFont="1" applyBorder="1" applyAlignment="1">
      <alignment horizontal="center" vertical="center" shrinkToFit="1"/>
    </xf>
    <xf numFmtId="0" fontId="29" fillId="4" borderId="1" xfId="0" applyFont="1" applyFill="1" applyBorder="1" applyAlignment="1">
      <alignment horizontal="center" vertical="center" shrinkToFit="1"/>
    </xf>
    <xf numFmtId="176" fontId="27" fillId="2" borderId="3" xfId="1" applyNumberFormat="1" applyFont="1" applyFill="1" applyBorder="1" applyAlignment="1">
      <alignment horizontal="left" vertical="center" shrinkToFit="1"/>
    </xf>
    <xf numFmtId="176" fontId="27" fillId="2" borderId="1" xfId="1" applyNumberFormat="1" applyFont="1" applyFill="1" applyBorder="1" applyAlignment="1">
      <alignment horizontal="left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left" vertical="center" shrinkToFit="1"/>
    </xf>
    <xf numFmtId="0" fontId="27" fillId="2" borderId="1" xfId="0" applyFont="1" applyFill="1" applyBorder="1" applyAlignment="1">
      <alignment horizontal="left" vertical="center" shrinkToFit="1"/>
    </xf>
    <xf numFmtId="0" fontId="27" fillId="3" borderId="3" xfId="0" applyFont="1" applyFill="1" applyBorder="1" applyAlignment="1">
      <alignment horizontal="left" vertical="center" shrinkToFit="1"/>
    </xf>
    <xf numFmtId="0" fontId="27" fillId="3" borderId="1" xfId="0" applyFont="1" applyFill="1" applyBorder="1" applyAlignment="1">
      <alignment horizontal="left" vertical="center" shrinkToFit="1"/>
    </xf>
    <xf numFmtId="0" fontId="27" fillId="0" borderId="1" xfId="0" applyFont="1" applyBorder="1" applyAlignment="1">
      <alignment horizontal="center" vertical="center"/>
    </xf>
    <xf numFmtId="176" fontId="29" fillId="4" borderId="7" xfId="1" applyNumberFormat="1" applyFont="1" applyFill="1" applyBorder="1" applyAlignment="1">
      <alignment horizontal="left" vertical="center" shrinkToFit="1"/>
    </xf>
    <xf numFmtId="176" fontId="29" fillId="4" borderId="10" xfId="1" applyNumberFormat="1" applyFont="1" applyFill="1" applyBorder="1" applyAlignment="1">
      <alignment horizontal="left" vertical="center" shrinkToFit="1"/>
    </xf>
    <xf numFmtId="176" fontId="27" fillId="3" borderId="3" xfId="1" applyNumberFormat="1" applyFont="1" applyFill="1" applyBorder="1" applyAlignment="1">
      <alignment horizontal="left" vertical="center" shrinkToFit="1"/>
    </xf>
    <xf numFmtId="176" fontId="27" fillId="3" borderId="1" xfId="1" applyNumberFormat="1" applyFont="1" applyFill="1" applyBorder="1" applyAlignment="1">
      <alignment horizontal="left" vertical="center" shrinkToFit="1"/>
    </xf>
    <xf numFmtId="176" fontId="29" fillId="4" borderId="5" xfId="1" applyNumberFormat="1" applyFont="1" applyFill="1" applyBorder="1" applyAlignment="1">
      <alignment horizontal="left" vertical="center" shrinkToFit="1"/>
    </xf>
    <xf numFmtId="176" fontId="29" fillId="4" borderId="6" xfId="1" applyNumberFormat="1" applyFont="1" applyFill="1" applyBorder="1" applyAlignment="1">
      <alignment horizontal="left" vertical="center" shrinkToFit="1"/>
    </xf>
    <xf numFmtId="176" fontId="27" fillId="3" borderId="5" xfId="1" applyNumberFormat="1" applyFont="1" applyFill="1" applyBorder="1" applyAlignment="1">
      <alignment horizontal="left" vertical="center" shrinkToFit="1"/>
    </xf>
    <xf numFmtId="176" fontId="27" fillId="3" borderId="6" xfId="1" applyNumberFormat="1" applyFont="1" applyFill="1" applyBorder="1" applyAlignment="1">
      <alignment horizontal="left" vertical="center" shrinkToFit="1"/>
    </xf>
    <xf numFmtId="176" fontId="27" fillId="2" borderId="7" xfId="1" applyNumberFormat="1" applyFont="1" applyFill="1" applyBorder="1" applyAlignment="1">
      <alignment horizontal="left" vertical="center" shrinkToFit="1"/>
    </xf>
    <xf numFmtId="176" fontId="27" fillId="2" borderId="6" xfId="1" applyNumberFormat="1" applyFont="1" applyFill="1" applyBorder="1" applyAlignment="1">
      <alignment horizontal="left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11" borderId="1" xfId="0" applyFont="1" applyFill="1" applyBorder="1" applyAlignment="1">
      <alignment horizontal="left" vertical="center" shrinkToFit="1"/>
    </xf>
    <xf numFmtId="176" fontId="26" fillId="0" borderId="8" xfId="0" applyNumberFormat="1" applyFont="1" applyBorder="1" applyAlignment="1">
      <alignment horizontal="center" vertical="center" shrinkToFit="1"/>
    </xf>
    <xf numFmtId="176" fontId="26" fillId="6" borderId="28" xfId="0" applyNumberFormat="1" applyFont="1" applyFill="1" applyBorder="1" applyAlignment="1">
      <alignment horizontal="center" vertical="center" shrinkToFit="1"/>
    </xf>
    <xf numFmtId="176" fontId="26" fillId="6" borderId="6" xfId="0" applyNumberFormat="1" applyFont="1" applyFill="1" applyBorder="1" applyAlignment="1">
      <alignment horizontal="center" vertical="center" shrinkToFit="1"/>
    </xf>
    <xf numFmtId="176" fontId="26" fillId="4" borderId="26" xfId="0" applyNumberFormat="1" applyFont="1" applyFill="1" applyBorder="1" applyAlignment="1">
      <alignment horizontal="center" vertical="center" shrinkToFit="1"/>
    </xf>
    <xf numFmtId="176" fontId="26" fillId="4" borderId="1" xfId="0" applyNumberFormat="1" applyFont="1" applyFill="1" applyBorder="1" applyAlignment="1">
      <alignment horizontal="center" vertical="center" shrinkToFit="1"/>
    </xf>
    <xf numFmtId="176" fontId="26" fillId="0" borderId="14" xfId="0" applyNumberFormat="1" applyFont="1" applyBorder="1" applyAlignment="1">
      <alignment horizontal="center" vertical="center" shrinkToFit="1"/>
    </xf>
    <xf numFmtId="176" fontId="26" fillId="0" borderId="15" xfId="0" applyNumberFormat="1" applyFont="1" applyBorder="1" applyAlignment="1">
      <alignment horizontal="center" vertical="center" shrinkToFit="1"/>
    </xf>
    <xf numFmtId="176" fontId="26" fillId="0" borderId="18" xfId="0" applyNumberFormat="1" applyFont="1" applyBorder="1" applyAlignment="1">
      <alignment horizontal="center" vertical="center" shrinkToFit="1"/>
    </xf>
    <xf numFmtId="176" fontId="26" fillId="0" borderId="19" xfId="0" applyNumberFormat="1" applyFont="1" applyBorder="1" applyAlignment="1">
      <alignment horizontal="center" vertical="center" shrinkToFit="1"/>
    </xf>
    <xf numFmtId="176" fontId="26" fillId="0" borderId="21" xfId="0" applyNumberFormat="1" applyFont="1" applyBorder="1" applyAlignment="1">
      <alignment horizontal="center" vertical="center" shrinkToFit="1"/>
    </xf>
    <xf numFmtId="176" fontId="26" fillId="0" borderId="17" xfId="0" applyNumberFormat="1" applyFont="1" applyBorder="1" applyAlignment="1">
      <alignment horizontal="center" vertical="center" shrinkToFit="1"/>
    </xf>
    <xf numFmtId="176" fontId="26" fillId="2" borderId="23" xfId="0" applyNumberFormat="1" applyFont="1" applyFill="1" applyBorder="1" applyAlignment="1">
      <alignment horizontal="left" vertical="center" shrinkToFit="1"/>
    </xf>
    <xf numFmtId="176" fontId="26" fillId="2" borderId="1" xfId="0" applyNumberFormat="1" applyFont="1" applyFill="1" applyBorder="1" applyAlignment="1">
      <alignment horizontal="left" vertical="center" shrinkToFit="1"/>
    </xf>
    <xf numFmtId="176" fontId="30" fillId="2" borderId="25" xfId="0" applyNumberFormat="1" applyFont="1" applyFill="1" applyBorder="1" applyAlignment="1">
      <alignment horizontal="center" vertical="center" shrinkToFit="1"/>
    </xf>
    <xf numFmtId="176" fontId="30" fillId="2" borderId="26" xfId="0" applyNumberFormat="1" applyFont="1" applyFill="1" applyBorder="1" applyAlignment="1">
      <alignment horizontal="center" vertical="center" shrinkToFit="1"/>
    </xf>
    <xf numFmtId="176" fontId="26" fillId="3" borderId="23" xfId="0" applyNumberFormat="1" applyFont="1" applyFill="1" applyBorder="1" applyAlignment="1">
      <alignment horizontal="left" vertical="center" shrinkToFit="1"/>
    </xf>
    <xf numFmtId="176" fontId="26" fillId="3" borderId="1" xfId="0" applyNumberFormat="1" applyFont="1" applyFill="1" applyBorder="1" applyAlignment="1">
      <alignment horizontal="left" vertical="center" shrinkToFit="1"/>
    </xf>
    <xf numFmtId="176" fontId="30" fillId="3" borderId="25" xfId="0" applyNumberFormat="1" applyFont="1" applyFill="1" applyBorder="1" applyAlignment="1">
      <alignment horizontal="center" vertical="center" shrinkToFit="1"/>
    </xf>
    <xf numFmtId="176" fontId="30" fillId="3" borderId="26" xfId="0" applyNumberFormat="1" applyFont="1" applyFill="1" applyBorder="1" applyAlignment="1">
      <alignment horizontal="center" vertical="center" shrinkToFit="1"/>
    </xf>
    <xf numFmtId="176" fontId="26" fillId="4" borderId="26" xfId="0" applyNumberFormat="1" applyFont="1" applyFill="1" applyBorder="1" applyAlignment="1">
      <alignment horizontal="left" vertical="center" shrinkToFit="1"/>
    </xf>
    <xf numFmtId="176" fontId="26" fillId="4" borderId="1" xfId="0" applyNumberFormat="1" applyFont="1" applyFill="1" applyBorder="1" applyAlignment="1">
      <alignment horizontal="left" vertical="center" shrinkToFit="1"/>
    </xf>
    <xf numFmtId="176" fontId="30" fillId="2" borderId="27" xfId="0" applyNumberFormat="1" applyFont="1" applyFill="1" applyBorder="1" applyAlignment="1">
      <alignment horizontal="center" vertical="center" shrinkToFit="1"/>
    </xf>
    <xf numFmtId="176" fontId="26" fillId="0" borderId="36" xfId="0" applyNumberFormat="1" applyFont="1" applyBorder="1" applyAlignment="1">
      <alignment horizontal="left" vertical="center" shrinkToFit="1"/>
    </xf>
    <xf numFmtId="176" fontId="31" fillId="0" borderId="25" xfId="5" applyNumberFormat="1" applyFont="1" applyBorder="1" applyAlignment="1">
      <alignment vertical="center" shrinkToFit="1"/>
    </xf>
    <xf numFmtId="176" fontId="31" fillId="0" borderId="2" xfId="5" applyNumberFormat="1" applyFont="1" applyBorder="1" applyAlignment="1">
      <alignment vertical="center" shrinkToFit="1"/>
    </xf>
    <xf numFmtId="176" fontId="31" fillId="0" borderId="14" xfId="5" applyNumberFormat="1" applyFont="1" applyBorder="1" applyAlignment="1">
      <alignment vertical="center" shrinkToFit="1"/>
    </xf>
    <xf numFmtId="176" fontId="31" fillId="0" borderId="15" xfId="5" applyNumberFormat="1" applyFont="1" applyBorder="1" applyAlignment="1">
      <alignment vertical="center" shrinkToFit="1"/>
    </xf>
    <xf numFmtId="176" fontId="26" fillId="0" borderId="1" xfId="0" applyNumberFormat="1" applyFont="1" applyBorder="1" applyAlignment="1">
      <alignment vertical="center" shrinkToFit="1"/>
    </xf>
    <xf numFmtId="176" fontId="31" fillId="0" borderId="26" xfId="5" applyNumberFormat="1" applyFont="1" applyBorder="1" applyAlignment="1">
      <alignment vertical="center" shrinkToFit="1"/>
    </xf>
    <xf numFmtId="176" fontId="31" fillId="0" borderId="1" xfId="5" applyNumberFormat="1" applyFont="1" applyBorder="1" applyAlignment="1">
      <alignment vertical="center" shrinkToFit="1"/>
    </xf>
    <xf numFmtId="176" fontId="32" fillId="0" borderId="33" xfId="5" applyNumberFormat="1" applyFont="1" applyBorder="1" applyAlignment="1">
      <alignment vertical="center" shrinkToFit="1"/>
    </xf>
    <xf numFmtId="176" fontId="32" fillId="0" borderId="34" xfId="5" applyNumberFormat="1" applyFont="1" applyBorder="1" applyAlignment="1">
      <alignment vertical="center" shrinkToFit="1"/>
    </xf>
    <xf numFmtId="176" fontId="26" fillId="0" borderId="29" xfId="0" applyNumberFormat="1" applyFont="1" applyBorder="1" applyAlignment="1">
      <alignment horizontal="center" vertical="center" shrinkToFit="1"/>
    </xf>
    <xf numFmtId="176" fontId="26" fillId="0" borderId="30" xfId="0" applyNumberFormat="1" applyFont="1" applyBorder="1" applyAlignment="1">
      <alignment horizontal="center" vertical="center" shrinkToFit="1"/>
    </xf>
    <xf numFmtId="176" fontId="26" fillId="0" borderId="31" xfId="0" applyNumberFormat="1" applyFont="1" applyBorder="1" applyAlignment="1">
      <alignment horizontal="center" vertical="center" shrinkToFit="1"/>
    </xf>
    <xf numFmtId="176" fontId="30" fillId="3" borderId="27" xfId="0" applyNumberFormat="1" applyFont="1" applyFill="1" applyBorder="1" applyAlignment="1">
      <alignment horizontal="center" vertical="center" shrinkToFit="1"/>
    </xf>
    <xf numFmtId="176" fontId="26" fillId="7" borderId="28" xfId="0" applyNumberFormat="1" applyFont="1" applyFill="1" applyBorder="1" applyAlignment="1">
      <alignment horizontal="center" vertical="center" shrinkToFit="1"/>
    </xf>
    <xf numFmtId="176" fontId="26" fillId="7" borderId="6" xfId="0" applyNumberFormat="1" applyFont="1" applyFill="1" applyBorder="1" applyAlignment="1">
      <alignment horizontal="center" vertical="center" shrinkToFit="1"/>
    </xf>
    <xf numFmtId="176" fontId="0" fillId="0" borderId="0" xfId="1" applyNumberFormat="1" applyFont="1" applyBorder="1" applyAlignment="1">
      <alignment horizontal="center" vertical="center" shrinkToFit="1"/>
    </xf>
    <xf numFmtId="176" fontId="6" fillId="0" borderId="18" xfId="1" applyNumberFormat="1" applyFont="1" applyBorder="1" applyAlignment="1">
      <alignment horizontal="center" vertical="center" shrinkToFit="1"/>
    </xf>
    <xf numFmtId="176" fontId="6" fillId="0" borderId="19" xfId="1" applyNumberFormat="1" applyFont="1" applyBorder="1" applyAlignment="1">
      <alignment horizontal="center" vertical="center" shrinkToFit="1"/>
    </xf>
    <xf numFmtId="176" fontId="6" fillId="0" borderId="20" xfId="1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0" fillId="8" borderId="38" xfId="0" applyFill="1" applyBorder="1" applyAlignment="1">
      <alignment horizontal="left" vertical="center"/>
    </xf>
    <xf numFmtId="0" fontId="0" fillId="8" borderId="44" xfId="0" applyFill="1" applyBorder="1" applyAlignment="1">
      <alignment horizontal="left" vertical="center"/>
    </xf>
    <xf numFmtId="0" fontId="0" fillId="8" borderId="45" xfId="0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8" borderId="41" xfId="0" applyFill="1" applyBorder="1" applyAlignment="1">
      <alignment horizontal="left" vertical="center"/>
    </xf>
    <xf numFmtId="0" fontId="0" fillId="8" borderId="37" xfId="0" applyFill="1" applyBorder="1" applyAlignment="1">
      <alignment horizontal="left" vertical="center"/>
    </xf>
    <xf numFmtId="0" fontId="0" fillId="8" borderId="42" xfId="0" applyFill="1" applyBorder="1" applyAlignment="1">
      <alignment horizontal="left" vertical="center"/>
    </xf>
    <xf numFmtId="38" fontId="0" fillId="0" borderId="3" xfId="1" applyFont="1" applyBorder="1" applyAlignment="1">
      <alignment horizontal="center" vertical="center" wrapText="1"/>
    </xf>
    <xf numFmtId="38" fontId="0" fillId="0" borderId="4" xfId="1" applyFont="1" applyBorder="1" applyAlignment="1">
      <alignment horizontal="center" vertical="center" wrapText="1"/>
    </xf>
    <xf numFmtId="38" fontId="0" fillId="0" borderId="2" xfId="1" applyFont="1" applyBorder="1" applyAlignment="1">
      <alignment horizontal="center" vertical="center" wrapText="1"/>
    </xf>
    <xf numFmtId="38" fontId="0" fillId="0" borderId="32" xfId="1" applyFont="1" applyBorder="1" applyAlignment="1">
      <alignment horizontal="center" vertical="center" wrapText="1"/>
    </xf>
    <xf numFmtId="38" fontId="0" fillId="0" borderId="46" xfId="1" applyFont="1" applyBorder="1" applyAlignment="1">
      <alignment horizontal="center" vertical="center" wrapText="1"/>
    </xf>
    <xf numFmtId="38" fontId="0" fillId="0" borderId="22" xfId="1" applyFont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shrinkToFit="1"/>
    </xf>
    <xf numFmtId="0" fontId="0" fillId="8" borderId="43" xfId="0" applyFill="1" applyBorder="1" applyAlignment="1">
      <alignment horizontal="center" vertical="center" shrinkToFit="1"/>
    </xf>
    <xf numFmtId="0" fontId="0" fillId="8" borderId="39" xfId="0" applyFill="1" applyBorder="1" applyAlignment="1">
      <alignment horizontal="left" vertical="center"/>
    </xf>
    <xf numFmtId="0" fontId="0" fillId="8" borderId="40" xfId="0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 shrinkToFit="1"/>
    </xf>
    <xf numFmtId="0" fontId="0" fillId="8" borderId="27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41" xfId="0" applyFill="1" applyBorder="1" applyAlignment="1">
      <alignment horizontal="left" vertical="center" shrinkToFit="1"/>
    </xf>
    <xf numFmtId="0" fontId="0" fillId="8" borderId="37" xfId="0" applyFill="1" applyBorder="1" applyAlignment="1">
      <alignment horizontal="left" vertical="center" shrinkToFit="1"/>
    </xf>
    <xf numFmtId="0" fontId="0" fillId="8" borderId="42" xfId="0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6" fillId="0" borderId="1" xfId="456" applyFont="1" applyBorder="1" applyAlignment="1">
      <alignment horizontal="right" vertical="center"/>
    </xf>
    <xf numFmtId="38" fontId="35" fillId="0" borderId="1" xfId="456" applyNumberFormat="1" applyFont="1" applyBorder="1">
      <alignment vertical="center"/>
    </xf>
    <xf numFmtId="38" fontId="35" fillId="0" borderId="1" xfId="457" applyFont="1" applyBorder="1" applyAlignment="1">
      <alignment vertical="center"/>
    </xf>
    <xf numFmtId="0" fontId="35" fillId="0" borderId="1" xfId="456" applyFont="1" applyBorder="1" applyAlignment="1">
      <alignment horizontal="center" vertical="center"/>
    </xf>
    <xf numFmtId="187" fontId="35" fillId="0" borderId="1" xfId="456" applyNumberFormat="1" applyFont="1" applyBorder="1" applyAlignment="1">
      <alignment horizontal="center" vertical="center"/>
    </xf>
    <xf numFmtId="0" fontId="35" fillId="0" borderId="1" xfId="456" applyFont="1" applyBorder="1">
      <alignment vertical="center"/>
    </xf>
    <xf numFmtId="38" fontId="35" fillId="0" borderId="5" xfId="456" applyNumberFormat="1" applyFont="1" applyBorder="1">
      <alignment vertical="center"/>
    </xf>
    <xf numFmtId="38" fontId="35" fillId="0" borderId="37" xfId="456" applyNumberFormat="1" applyFont="1" applyBorder="1">
      <alignment vertical="center"/>
    </xf>
    <xf numFmtId="38" fontId="35" fillId="0" borderId="6" xfId="456" applyNumberFormat="1" applyFont="1" applyBorder="1">
      <alignment vertical="center"/>
    </xf>
    <xf numFmtId="0" fontId="35" fillId="0" borderId="37" xfId="456" applyFont="1" applyBorder="1" applyAlignment="1">
      <alignment horizontal="center" vertical="center"/>
    </xf>
    <xf numFmtId="0" fontId="36" fillId="0" borderId="5" xfId="456" applyFont="1" applyBorder="1" applyAlignment="1">
      <alignment horizontal="center" vertical="center"/>
    </xf>
    <xf numFmtId="0" fontId="36" fillId="0" borderId="37" xfId="456" applyFont="1" applyBorder="1" applyAlignment="1">
      <alignment horizontal="center" vertical="center"/>
    </xf>
    <xf numFmtId="0" fontId="36" fillId="0" borderId="6" xfId="456" applyFont="1" applyBorder="1" applyAlignment="1">
      <alignment horizontal="center" vertical="center"/>
    </xf>
    <xf numFmtId="0" fontId="34" fillId="0" borderId="0" xfId="456" applyFont="1" applyAlignment="1">
      <alignment horizontal="center" vertical="center"/>
    </xf>
    <xf numFmtId="0" fontId="35" fillId="0" borderId="5" xfId="456" applyFont="1" applyBorder="1" applyAlignment="1">
      <alignment horizontal="center" vertical="center"/>
    </xf>
    <xf numFmtId="0" fontId="35" fillId="0" borderId="6" xfId="456" applyFont="1" applyBorder="1" applyAlignment="1">
      <alignment horizontal="center" vertical="center"/>
    </xf>
    <xf numFmtId="0" fontId="35" fillId="0" borderId="5" xfId="456" applyFont="1" applyBorder="1">
      <alignment vertical="center"/>
    </xf>
    <xf numFmtId="0" fontId="35" fillId="0" borderId="37" xfId="456" applyFont="1" applyBorder="1">
      <alignment vertical="center"/>
    </xf>
    <xf numFmtId="0" fontId="35" fillId="0" borderId="6" xfId="456" applyFont="1" applyBorder="1">
      <alignment vertical="center"/>
    </xf>
    <xf numFmtId="38" fontId="35" fillId="0" borderId="5" xfId="457" applyFont="1" applyBorder="1" applyAlignment="1">
      <alignment vertical="center"/>
    </xf>
    <xf numFmtId="38" fontId="35" fillId="0" borderId="37" xfId="457" applyFont="1" applyBorder="1" applyAlignment="1">
      <alignment vertical="center"/>
    </xf>
    <xf numFmtId="0" fontId="35" fillId="0" borderId="116" xfId="456" applyFont="1" applyBorder="1" applyAlignment="1">
      <alignment horizontal="center" vertical="center"/>
    </xf>
    <xf numFmtId="0" fontId="35" fillId="0" borderId="117" xfId="456" applyFont="1" applyBorder="1" applyAlignment="1">
      <alignment horizontal="center" vertical="center"/>
    </xf>
    <xf numFmtId="186" fontId="35" fillId="0" borderId="5" xfId="458" applyNumberFormat="1" applyFont="1" applyBorder="1" applyAlignment="1">
      <alignment vertical="center"/>
    </xf>
    <xf numFmtId="186" fontId="35" fillId="0" borderId="37" xfId="458" applyNumberFormat="1" applyFont="1" applyBorder="1" applyAlignment="1">
      <alignment vertical="center"/>
    </xf>
    <xf numFmtId="0" fontId="35" fillId="0" borderId="115" xfId="456" applyFont="1" applyBorder="1" applyAlignment="1">
      <alignment horizontal="center" vertical="center"/>
    </xf>
    <xf numFmtId="0" fontId="11" fillId="0" borderId="50" xfId="8" applyFont="1" applyBorder="1" applyAlignment="1">
      <alignment shrinkToFit="1"/>
    </xf>
    <xf numFmtId="0" fontId="11" fillId="0" borderId="50" xfId="0" applyFont="1" applyBorder="1" applyAlignment="1">
      <alignment shrinkToFit="1"/>
    </xf>
    <xf numFmtId="183" fontId="11" fillId="0" borderId="51" xfId="8" applyNumberFormat="1" applyFont="1" applyBorder="1" applyAlignment="1">
      <alignment horizontal="left"/>
    </xf>
    <xf numFmtId="183" fontId="11" fillId="0" borderId="52" xfId="8" applyNumberFormat="1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11" fillId="0" borderId="84" xfId="8" applyFont="1" applyBorder="1" applyAlignment="1">
      <alignment shrinkToFit="1"/>
    </xf>
    <xf numFmtId="0" fontId="11" fillId="0" borderId="84" xfId="0" applyFont="1" applyBorder="1" applyAlignment="1">
      <alignment shrinkToFit="1"/>
    </xf>
    <xf numFmtId="183" fontId="11" fillId="0" borderId="85" xfId="8" applyNumberFormat="1" applyFont="1" applyBorder="1" applyAlignment="1">
      <alignment horizontal="left"/>
    </xf>
    <xf numFmtId="183" fontId="11" fillId="0" borderId="86" xfId="8" applyNumberFormat="1" applyFont="1" applyBorder="1" applyAlignment="1">
      <alignment horizontal="left"/>
    </xf>
    <xf numFmtId="0" fontId="11" fillId="0" borderId="87" xfId="0" applyFont="1" applyBorder="1" applyAlignment="1">
      <alignment horizontal="left"/>
    </xf>
    <xf numFmtId="0" fontId="14" fillId="0" borderId="70" xfId="8" applyFont="1" applyBorder="1" applyAlignment="1">
      <alignment horizontal="center" vertical="center" shrinkToFit="1"/>
    </xf>
    <xf numFmtId="0" fontId="14" fillId="0" borderId="0" xfId="8" applyFont="1" applyAlignment="1">
      <alignment horizontal="center" vertical="center" shrinkToFit="1"/>
    </xf>
    <xf numFmtId="0" fontId="14" fillId="0" borderId="71" xfId="8" applyFont="1" applyBorder="1" applyAlignment="1">
      <alignment horizontal="center" vertical="center" shrinkToFit="1"/>
    </xf>
    <xf numFmtId="0" fontId="14" fillId="0" borderId="36" xfId="8" applyFont="1" applyBorder="1" applyAlignment="1">
      <alignment horizontal="center" vertical="center" shrinkToFit="1"/>
    </xf>
    <xf numFmtId="0" fontId="11" fillId="0" borderId="51" xfId="8" applyFont="1" applyBorder="1" applyAlignment="1">
      <alignment shrinkToFit="1"/>
    </xf>
    <xf numFmtId="0" fontId="11" fillId="0" borderId="52" xfId="8" applyFont="1" applyBorder="1" applyAlignment="1">
      <alignment shrinkToFit="1"/>
    </xf>
    <xf numFmtId="0" fontId="11" fillId="0" borderId="54" xfId="8" applyFont="1" applyBorder="1" applyAlignment="1">
      <alignment shrinkToFit="1"/>
    </xf>
    <xf numFmtId="0" fontId="11" fillId="0" borderId="55" xfId="8" applyFont="1" applyBorder="1" applyAlignment="1">
      <alignment shrinkToFit="1"/>
    </xf>
    <xf numFmtId="0" fontId="0" fillId="10" borderId="74" xfId="0" applyFill="1" applyBorder="1" applyAlignment="1">
      <alignment horizontal="center" vertical="center"/>
    </xf>
    <xf numFmtId="0" fontId="0" fillId="10" borderId="75" xfId="0" applyFill="1" applyBorder="1" applyAlignment="1">
      <alignment horizontal="center" vertical="center"/>
    </xf>
    <xf numFmtId="0" fontId="0" fillId="10" borderId="76" xfId="0" applyFill="1" applyBorder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76" xfId="0" applyFill="1" applyBorder="1" applyAlignment="1">
      <alignment horizontal="center" vertical="center"/>
    </xf>
  </cellXfs>
  <cellStyles count="459">
    <cellStyle name="パーセント" xfId="2" builtinId="5"/>
    <cellStyle name="パーセント 2" xfId="10" xr:uid="{00000000-0005-0000-0000-000001000000}"/>
    <cellStyle name="パーセント 2 2" xfId="458" xr:uid="{D74A6F24-AE9F-4064-B598-E3F72CD299A2}"/>
    <cellStyle name="ハイパーリンク" xfId="7" builtinId="8"/>
    <cellStyle name="ハイパーリンク 10" xfId="27" hidden="1" xr:uid="{00000000-0005-0000-0000-000003000000}"/>
    <cellStyle name="ハイパーリンク 10" xfId="294" xr:uid="{00000000-0005-0000-0000-000004000000}"/>
    <cellStyle name="ハイパーリンク 11" xfId="29" hidden="1" xr:uid="{00000000-0005-0000-0000-000005000000}"/>
    <cellStyle name="ハイパーリンク 11" xfId="296" xr:uid="{00000000-0005-0000-0000-000006000000}"/>
    <cellStyle name="ハイパーリンク 12" xfId="31" hidden="1" xr:uid="{00000000-0005-0000-0000-000007000000}"/>
    <cellStyle name="ハイパーリンク 12" xfId="298" xr:uid="{00000000-0005-0000-0000-000008000000}"/>
    <cellStyle name="ハイパーリンク 13" xfId="33" hidden="1" xr:uid="{00000000-0005-0000-0000-000009000000}"/>
    <cellStyle name="ハイパーリンク 13" xfId="300" xr:uid="{00000000-0005-0000-0000-00000A000000}"/>
    <cellStyle name="ハイパーリンク 14" xfId="35" hidden="1" xr:uid="{00000000-0005-0000-0000-00000B000000}"/>
    <cellStyle name="ハイパーリンク 14" xfId="302" xr:uid="{00000000-0005-0000-0000-00000C000000}"/>
    <cellStyle name="ハイパーリンク 15" xfId="37" hidden="1" xr:uid="{00000000-0005-0000-0000-00000D000000}"/>
    <cellStyle name="ハイパーリンク 15" xfId="304" xr:uid="{00000000-0005-0000-0000-00000E000000}"/>
    <cellStyle name="ハイパーリンク 16" xfId="39" hidden="1" xr:uid="{00000000-0005-0000-0000-00000F000000}"/>
    <cellStyle name="ハイパーリンク 16" xfId="306" xr:uid="{00000000-0005-0000-0000-000010000000}"/>
    <cellStyle name="ハイパーリンク 17" xfId="41" hidden="1" xr:uid="{00000000-0005-0000-0000-000011000000}"/>
    <cellStyle name="ハイパーリンク 17" xfId="308" xr:uid="{00000000-0005-0000-0000-000012000000}"/>
    <cellStyle name="ハイパーリンク 18" xfId="43" hidden="1" xr:uid="{00000000-0005-0000-0000-000013000000}"/>
    <cellStyle name="ハイパーリンク 18" xfId="310" xr:uid="{00000000-0005-0000-0000-000014000000}"/>
    <cellStyle name="ハイパーリンク 19" xfId="45" hidden="1" xr:uid="{00000000-0005-0000-0000-000015000000}"/>
    <cellStyle name="ハイパーリンク 19" xfId="312" xr:uid="{00000000-0005-0000-0000-000016000000}"/>
    <cellStyle name="ハイパーリンク 2" xfId="11" hidden="1" xr:uid="{00000000-0005-0000-0000-000017000000}"/>
    <cellStyle name="ハイパーリンク 2" xfId="278" xr:uid="{00000000-0005-0000-0000-000018000000}"/>
    <cellStyle name="ハイパーリンク 20" xfId="47" hidden="1" xr:uid="{00000000-0005-0000-0000-000019000000}"/>
    <cellStyle name="ハイパーリンク 20" xfId="314" xr:uid="{00000000-0005-0000-0000-00001A000000}"/>
    <cellStyle name="ハイパーリンク 21" xfId="49" hidden="1" xr:uid="{00000000-0005-0000-0000-00001B000000}"/>
    <cellStyle name="ハイパーリンク 21" xfId="316" xr:uid="{00000000-0005-0000-0000-00001C000000}"/>
    <cellStyle name="ハイパーリンク 22" xfId="51" hidden="1" xr:uid="{00000000-0005-0000-0000-00001D000000}"/>
    <cellStyle name="ハイパーリンク 22" xfId="318" xr:uid="{00000000-0005-0000-0000-00001E000000}"/>
    <cellStyle name="ハイパーリンク 23" xfId="53" hidden="1" xr:uid="{00000000-0005-0000-0000-00001F000000}"/>
    <cellStyle name="ハイパーリンク 23" xfId="320" xr:uid="{00000000-0005-0000-0000-000020000000}"/>
    <cellStyle name="ハイパーリンク 24" xfId="55" hidden="1" xr:uid="{00000000-0005-0000-0000-000021000000}"/>
    <cellStyle name="ハイパーリンク 24" xfId="322" xr:uid="{00000000-0005-0000-0000-000022000000}"/>
    <cellStyle name="ハイパーリンク 25" xfId="57" hidden="1" xr:uid="{00000000-0005-0000-0000-000023000000}"/>
    <cellStyle name="ハイパーリンク 25" xfId="324" xr:uid="{00000000-0005-0000-0000-000024000000}"/>
    <cellStyle name="ハイパーリンク 26" xfId="59" hidden="1" xr:uid="{00000000-0005-0000-0000-000025000000}"/>
    <cellStyle name="ハイパーリンク 26" xfId="326" xr:uid="{00000000-0005-0000-0000-000026000000}"/>
    <cellStyle name="ハイパーリンク 27" xfId="61" hidden="1" xr:uid="{00000000-0005-0000-0000-000027000000}"/>
    <cellStyle name="ハイパーリンク 27" xfId="328" xr:uid="{00000000-0005-0000-0000-000028000000}"/>
    <cellStyle name="ハイパーリンク 28" xfId="63" hidden="1" xr:uid="{00000000-0005-0000-0000-000029000000}"/>
    <cellStyle name="ハイパーリンク 28" xfId="330" xr:uid="{00000000-0005-0000-0000-00002A000000}"/>
    <cellStyle name="ハイパーリンク 29" xfId="65" hidden="1" xr:uid="{00000000-0005-0000-0000-00002B000000}"/>
    <cellStyle name="ハイパーリンク 29" xfId="332" xr:uid="{00000000-0005-0000-0000-00002C000000}"/>
    <cellStyle name="ハイパーリンク 3" xfId="13" hidden="1" xr:uid="{00000000-0005-0000-0000-00002D000000}"/>
    <cellStyle name="ハイパーリンク 3" xfId="280" xr:uid="{00000000-0005-0000-0000-00002E000000}"/>
    <cellStyle name="ハイパーリンク 30" xfId="67" hidden="1" xr:uid="{00000000-0005-0000-0000-00002F000000}"/>
    <cellStyle name="ハイパーリンク 30" xfId="334" xr:uid="{00000000-0005-0000-0000-000030000000}"/>
    <cellStyle name="ハイパーリンク 31" xfId="69" hidden="1" xr:uid="{00000000-0005-0000-0000-000031000000}"/>
    <cellStyle name="ハイパーリンク 31" xfId="336" xr:uid="{00000000-0005-0000-0000-000032000000}"/>
    <cellStyle name="ハイパーリンク 32" xfId="71" hidden="1" xr:uid="{00000000-0005-0000-0000-000033000000}"/>
    <cellStyle name="ハイパーリンク 32" xfId="338" xr:uid="{00000000-0005-0000-0000-000034000000}"/>
    <cellStyle name="ハイパーリンク 33" xfId="73" hidden="1" xr:uid="{00000000-0005-0000-0000-000035000000}"/>
    <cellStyle name="ハイパーリンク 33" xfId="340" xr:uid="{00000000-0005-0000-0000-000036000000}"/>
    <cellStyle name="ハイパーリンク 34" xfId="75" hidden="1" xr:uid="{00000000-0005-0000-0000-000037000000}"/>
    <cellStyle name="ハイパーリンク 34" xfId="342" xr:uid="{00000000-0005-0000-0000-000038000000}"/>
    <cellStyle name="ハイパーリンク 35" xfId="77" hidden="1" xr:uid="{00000000-0005-0000-0000-000039000000}"/>
    <cellStyle name="ハイパーリンク 35" xfId="344" xr:uid="{00000000-0005-0000-0000-00003A000000}"/>
    <cellStyle name="ハイパーリンク 36" xfId="79" hidden="1" xr:uid="{00000000-0005-0000-0000-00003B000000}"/>
    <cellStyle name="ハイパーリンク 36" xfId="346" xr:uid="{00000000-0005-0000-0000-00003C000000}"/>
    <cellStyle name="ハイパーリンク 37" xfId="81" hidden="1" xr:uid="{00000000-0005-0000-0000-00003D000000}"/>
    <cellStyle name="ハイパーリンク 37" xfId="348" xr:uid="{00000000-0005-0000-0000-00003E000000}"/>
    <cellStyle name="ハイパーリンク 38" xfId="83" hidden="1" xr:uid="{00000000-0005-0000-0000-00003F000000}"/>
    <cellStyle name="ハイパーリンク 38" xfId="350" xr:uid="{00000000-0005-0000-0000-000040000000}"/>
    <cellStyle name="ハイパーリンク 39" xfId="85" hidden="1" xr:uid="{00000000-0005-0000-0000-000041000000}"/>
    <cellStyle name="ハイパーリンク 39" xfId="352" xr:uid="{00000000-0005-0000-0000-000042000000}"/>
    <cellStyle name="ハイパーリンク 4" xfId="15" hidden="1" xr:uid="{00000000-0005-0000-0000-000043000000}"/>
    <cellStyle name="ハイパーリンク 4" xfId="282" xr:uid="{00000000-0005-0000-0000-000044000000}"/>
    <cellStyle name="ハイパーリンク 40" xfId="87" hidden="1" xr:uid="{00000000-0005-0000-0000-000045000000}"/>
    <cellStyle name="ハイパーリンク 40" xfId="354" xr:uid="{00000000-0005-0000-0000-000046000000}"/>
    <cellStyle name="ハイパーリンク 41" xfId="89" hidden="1" xr:uid="{00000000-0005-0000-0000-000047000000}"/>
    <cellStyle name="ハイパーリンク 41" xfId="356" xr:uid="{00000000-0005-0000-0000-000048000000}"/>
    <cellStyle name="ハイパーリンク 42" xfId="91" hidden="1" xr:uid="{00000000-0005-0000-0000-000049000000}"/>
    <cellStyle name="ハイパーリンク 42" xfId="358" xr:uid="{00000000-0005-0000-0000-00004A000000}"/>
    <cellStyle name="ハイパーリンク 43" xfId="93" hidden="1" xr:uid="{00000000-0005-0000-0000-00004B000000}"/>
    <cellStyle name="ハイパーリンク 43" xfId="360" xr:uid="{00000000-0005-0000-0000-00004C000000}"/>
    <cellStyle name="ハイパーリンク 44" xfId="95" hidden="1" xr:uid="{00000000-0005-0000-0000-00004D000000}"/>
    <cellStyle name="ハイパーリンク 44" xfId="362" xr:uid="{00000000-0005-0000-0000-00004E000000}"/>
    <cellStyle name="ハイパーリンク 45" xfId="97" hidden="1" xr:uid="{00000000-0005-0000-0000-00004F000000}"/>
    <cellStyle name="ハイパーリンク 45" xfId="364" xr:uid="{00000000-0005-0000-0000-000050000000}"/>
    <cellStyle name="ハイパーリンク 46" xfId="99" hidden="1" xr:uid="{00000000-0005-0000-0000-000051000000}"/>
    <cellStyle name="ハイパーリンク 46" xfId="366" xr:uid="{00000000-0005-0000-0000-000052000000}"/>
    <cellStyle name="ハイパーリンク 47" xfId="101" hidden="1" xr:uid="{00000000-0005-0000-0000-000053000000}"/>
    <cellStyle name="ハイパーリンク 47" xfId="368" xr:uid="{00000000-0005-0000-0000-000054000000}"/>
    <cellStyle name="ハイパーリンク 48" xfId="103" hidden="1" xr:uid="{00000000-0005-0000-0000-000055000000}"/>
    <cellStyle name="ハイパーリンク 48" xfId="370" xr:uid="{00000000-0005-0000-0000-000056000000}"/>
    <cellStyle name="ハイパーリンク 49" xfId="105" hidden="1" xr:uid="{00000000-0005-0000-0000-000057000000}"/>
    <cellStyle name="ハイパーリンク 49" xfId="372" xr:uid="{00000000-0005-0000-0000-000058000000}"/>
    <cellStyle name="ハイパーリンク 5" xfId="17" hidden="1" xr:uid="{00000000-0005-0000-0000-000059000000}"/>
    <cellStyle name="ハイパーリンク 5" xfId="284" xr:uid="{00000000-0005-0000-0000-00005A000000}"/>
    <cellStyle name="ハイパーリンク 50" xfId="107" hidden="1" xr:uid="{00000000-0005-0000-0000-00005B000000}"/>
    <cellStyle name="ハイパーリンク 50" xfId="374" xr:uid="{00000000-0005-0000-0000-00005C000000}"/>
    <cellStyle name="ハイパーリンク 51" xfId="109" hidden="1" xr:uid="{00000000-0005-0000-0000-00005D000000}"/>
    <cellStyle name="ハイパーリンク 51" xfId="376" xr:uid="{00000000-0005-0000-0000-00005E000000}"/>
    <cellStyle name="ハイパーリンク 52" xfId="111" hidden="1" xr:uid="{00000000-0005-0000-0000-00005F000000}"/>
    <cellStyle name="ハイパーリンク 52" xfId="378" xr:uid="{00000000-0005-0000-0000-000060000000}"/>
    <cellStyle name="ハイパーリンク 53" xfId="113" hidden="1" xr:uid="{00000000-0005-0000-0000-000061000000}"/>
    <cellStyle name="ハイパーリンク 53" xfId="380" xr:uid="{00000000-0005-0000-0000-000062000000}"/>
    <cellStyle name="ハイパーリンク 54" xfId="115" hidden="1" xr:uid="{00000000-0005-0000-0000-000063000000}"/>
    <cellStyle name="ハイパーリンク 54" xfId="382" xr:uid="{00000000-0005-0000-0000-000064000000}"/>
    <cellStyle name="ハイパーリンク 55" xfId="117" hidden="1" xr:uid="{00000000-0005-0000-0000-000065000000}"/>
    <cellStyle name="ハイパーリンク 55" xfId="384" xr:uid="{00000000-0005-0000-0000-000066000000}"/>
    <cellStyle name="ハイパーリンク 56" xfId="119" hidden="1" xr:uid="{00000000-0005-0000-0000-000067000000}"/>
    <cellStyle name="ハイパーリンク 56" xfId="386" xr:uid="{00000000-0005-0000-0000-000068000000}"/>
    <cellStyle name="ハイパーリンク 57" xfId="121" hidden="1" xr:uid="{00000000-0005-0000-0000-000069000000}"/>
    <cellStyle name="ハイパーリンク 57" xfId="388" xr:uid="{00000000-0005-0000-0000-00006A000000}"/>
    <cellStyle name="ハイパーリンク 58" xfId="123" hidden="1" xr:uid="{00000000-0005-0000-0000-00006B000000}"/>
    <cellStyle name="ハイパーリンク 58" xfId="390" xr:uid="{00000000-0005-0000-0000-00006C000000}"/>
    <cellStyle name="ハイパーリンク 59" xfId="125" hidden="1" xr:uid="{00000000-0005-0000-0000-00006D000000}"/>
    <cellStyle name="ハイパーリンク 59" xfId="392" xr:uid="{00000000-0005-0000-0000-00006E000000}"/>
    <cellStyle name="ハイパーリンク 6" xfId="19" hidden="1" xr:uid="{00000000-0005-0000-0000-00006F000000}"/>
    <cellStyle name="ハイパーリンク 6" xfId="286" xr:uid="{00000000-0005-0000-0000-000070000000}"/>
    <cellStyle name="ハイパーリンク 60" xfId="127" hidden="1" xr:uid="{00000000-0005-0000-0000-000071000000}"/>
    <cellStyle name="ハイパーリンク 60" xfId="394" xr:uid="{00000000-0005-0000-0000-000072000000}"/>
    <cellStyle name="ハイパーリンク 61" xfId="129" hidden="1" xr:uid="{00000000-0005-0000-0000-000073000000}"/>
    <cellStyle name="ハイパーリンク 61" xfId="396" xr:uid="{00000000-0005-0000-0000-000074000000}"/>
    <cellStyle name="ハイパーリンク 62" xfId="131" hidden="1" xr:uid="{00000000-0005-0000-0000-000075000000}"/>
    <cellStyle name="ハイパーリンク 62" xfId="398" xr:uid="{00000000-0005-0000-0000-000076000000}"/>
    <cellStyle name="ハイパーリンク 63" xfId="133" hidden="1" xr:uid="{00000000-0005-0000-0000-000077000000}"/>
    <cellStyle name="ハイパーリンク 63" xfId="400" xr:uid="{00000000-0005-0000-0000-000078000000}"/>
    <cellStyle name="ハイパーリンク 64" xfId="135" hidden="1" xr:uid="{00000000-0005-0000-0000-000079000000}"/>
    <cellStyle name="ハイパーリンク 64" xfId="402" xr:uid="{00000000-0005-0000-0000-00007A000000}"/>
    <cellStyle name="ハイパーリンク 65" xfId="137" hidden="1" xr:uid="{00000000-0005-0000-0000-00007B000000}"/>
    <cellStyle name="ハイパーリンク 65" xfId="404" xr:uid="{00000000-0005-0000-0000-00007C000000}"/>
    <cellStyle name="ハイパーリンク 66" xfId="139" hidden="1" xr:uid="{00000000-0005-0000-0000-00007D000000}"/>
    <cellStyle name="ハイパーリンク 66" xfId="406" xr:uid="{00000000-0005-0000-0000-00007E000000}"/>
    <cellStyle name="ハイパーリンク 67" xfId="141" hidden="1" xr:uid="{00000000-0005-0000-0000-00007F000000}"/>
    <cellStyle name="ハイパーリンク 67" xfId="408" xr:uid="{00000000-0005-0000-0000-000080000000}"/>
    <cellStyle name="ハイパーリンク 68" xfId="143" hidden="1" xr:uid="{00000000-0005-0000-0000-000081000000}"/>
    <cellStyle name="ハイパーリンク 68" xfId="410" xr:uid="{00000000-0005-0000-0000-000082000000}"/>
    <cellStyle name="ハイパーリンク 69" xfId="145" hidden="1" xr:uid="{00000000-0005-0000-0000-000083000000}"/>
    <cellStyle name="ハイパーリンク 69" xfId="412" xr:uid="{00000000-0005-0000-0000-000084000000}"/>
    <cellStyle name="ハイパーリンク 7" xfId="21" hidden="1" xr:uid="{00000000-0005-0000-0000-000085000000}"/>
    <cellStyle name="ハイパーリンク 7" xfId="288" xr:uid="{00000000-0005-0000-0000-000086000000}"/>
    <cellStyle name="ハイパーリンク 70" xfId="147" hidden="1" xr:uid="{00000000-0005-0000-0000-000087000000}"/>
    <cellStyle name="ハイパーリンク 70" xfId="414" xr:uid="{00000000-0005-0000-0000-000088000000}"/>
    <cellStyle name="ハイパーリンク 71" xfId="149" hidden="1" xr:uid="{00000000-0005-0000-0000-000089000000}"/>
    <cellStyle name="ハイパーリンク 71" xfId="416" xr:uid="{00000000-0005-0000-0000-00008A000000}"/>
    <cellStyle name="ハイパーリンク 72" xfId="151" hidden="1" xr:uid="{00000000-0005-0000-0000-00008B000000}"/>
    <cellStyle name="ハイパーリンク 72" xfId="418" xr:uid="{00000000-0005-0000-0000-00008C000000}"/>
    <cellStyle name="ハイパーリンク 73" xfId="153" hidden="1" xr:uid="{00000000-0005-0000-0000-00008D000000}"/>
    <cellStyle name="ハイパーリンク 73" xfId="420" xr:uid="{00000000-0005-0000-0000-00008E000000}"/>
    <cellStyle name="ハイパーリンク 74" xfId="155" hidden="1" xr:uid="{00000000-0005-0000-0000-00008F000000}"/>
    <cellStyle name="ハイパーリンク 74" xfId="422" xr:uid="{00000000-0005-0000-0000-000090000000}"/>
    <cellStyle name="ハイパーリンク 75" xfId="157" hidden="1" xr:uid="{00000000-0005-0000-0000-000091000000}"/>
    <cellStyle name="ハイパーリンク 75" xfId="424" xr:uid="{00000000-0005-0000-0000-000092000000}"/>
    <cellStyle name="ハイパーリンク 76" xfId="159" hidden="1" xr:uid="{00000000-0005-0000-0000-000093000000}"/>
    <cellStyle name="ハイパーリンク 76" xfId="426" xr:uid="{00000000-0005-0000-0000-000094000000}"/>
    <cellStyle name="ハイパーリンク 77" xfId="161" hidden="1" xr:uid="{00000000-0005-0000-0000-000095000000}"/>
    <cellStyle name="ハイパーリンク 77" xfId="428" xr:uid="{00000000-0005-0000-0000-000096000000}"/>
    <cellStyle name="ハイパーリンク 78" xfId="163" hidden="1" xr:uid="{00000000-0005-0000-0000-000097000000}"/>
    <cellStyle name="ハイパーリンク 78" xfId="430" xr:uid="{00000000-0005-0000-0000-000098000000}"/>
    <cellStyle name="ハイパーリンク 79" xfId="165" hidden="1" xr:uid="{00000000-0005-0000-0000-000099000000}"/>
    <cellStyle name="ハイパーリンク 79" xfId="432" xr:uid="{00000000-0005-0000-0000-00009A000000}"/>
    <cellStyle name="ハイパーリンク 8" xfId="23" hidden="1" xr:uid="{00000000-0005-0000-0000-00009B000000}"/>
    <cellStyle name="ハイパーリンク 8" xfId="290" xr:uid="{00000000-0005-0000-0000-00009C000000}"/>
    <cellStyle name="ハイパーリンク 80" xfId="167" hidden="1" xr:uid="{00000000-0005-0000-0000-00009D000000}"/>
    <cellStyle name="ハイパーリンク 80" xfId="434" xr:uid="{00000000-0005-0000-0000-00009E000000}"/>
    <cellStyle name="ハイパーリンク 81" xfId="169" hidden="1" xr:uid="{00000000-0005-0000-0000-00009F000000}"/>
    <cellStyle name="ハイパーリンク 81" xfId="436" xr:uid="{00000000-0005-0000-0000-0000A0000000}"/>
    <cellStyle name="ハイパーリンク 82" xfId="171" hidden="1" xr:uid="{00000000-0005-0000-0000-0000A1000000}"/>
    <cellStyle name="ハイパーリンク 82" xfId="438" xr:uid="{00000000-0005-0000-0000-0000A2000000}"/>
    <cellStyle name="ハイパーリンク 83" xfId="173" hidden="1" xr:uid="{00000000-0005-0000-0000-0000A3000000}"/>
    <cellStyle name="ハイパーリンク 83" xfId="440" xr:uid="{00000000-0005-0000-0000-0000A4000000}"/>
    <cellStyle name="ハイパーリンク 84" xfId="175" hidden="1" xr:uid="{00000000-0005-0000-0000-0000A5000000}"/>
    <cellStyle name="ハイパーリンク 84" xfId="442" xr:uid="{00000000-0005-0000-0000-0000A6000000}"/>
    <cellStyle name="ハイパーリンク 85" xfId="177" hidden="1" xr:uid="{00000000-0005-0000-0000-0000A7000000}"/>
    <cellStyle name="ハイパーリンク 85" xfId="444" xr:uid="{00000000-0005-0000-0000-0000A8000000}"/>
    <cellStyle name="ハイパーリンク 86" xfId="179" hidden="1" xr:uid="{00000000-0005-0000-0000-0000A9000000}"/>
    <cellStyle name="ハイパーリンク 86" xfId="446" xr:uid="{00000000-0005-0000-0000-0000AA000000}"/>
    <cellStyle name="ハイパーリンク 87" xfId="181" hidden="1" xr:uid="{00000000-0005-0000-0000-0000AB000000}"/>
    <cellStyle name="ハイパーリンク 87" xfId="448" xr:uid="{00000000-0005-0000-0000-0000AC000000}"/>
    <cellStyle name="ハイパーリンク 88" xfId="183" hidden="1" xr:uid="{00000000-0005-0000-0000-0000AD000000}"/>
    <cellStyle name="ハイパーリンク 88" xfId="450" xr:uid="{00000000-0005-0000-0000-0000AE000000}"/>
    <cellStyle name="ハイパーリンク 89" xfId="185" hidden="1" xr:uid="{00000000-0005-0000-0000-0000AF000000}"/>
    <cellStyle name="ハイパーリンク 89" xfId="452" xr:uid="{00000000-0005-0000-0000-0000B0000000}"/>
    <cellStyle name="ハイパーリンク 9" xfId="25" hidden="1" xr:uid="{00000000-0005-0000-0000-0000B1000000}"/>
    <cellStyle name="ハイパーリンク 9" xfId="292" xr:uid="{00000000-0005-0000-0000-0000B2000000}"/>
    <cellStyle name="ハイパーリンク 90" xfId="187" hidden="1" xr:uid="{00000000-0005-0000-0000-0000B3000000}"/>
    <cellStyle name="ハイパーリンク 90" xfId="454" xr:uid="{00000000-0005-0000-0000-0000B4000000}"/>
    <cellStyle name="桁区切り" xfId="1" builtinId="6"/>
    <cellStyle name="桁区切り 2" xfId="4" xr:uid="{00000000-0005-0000-0000-0000B6000000}"/>
    <cellStyle name="桁区切り 2 2" xfId="457" xr:uid="{30C7CC4E-77AF-4769-A409-369F1716BDA2}"/>
    <cellStyle name="桁区切り 3" xfId="6" xr:uid="{00000000-0005-0000-0000-0000B7000000}"/>
    <cellStyle name="標準" xfId="0" builtinId="0"/>
    <cellStyle name="標準 2" xfId="3" xr:uid="{00000000-0005-0000-0000-0000B9000000}"/>
    <cellStyle name="標準 2 2" xfId="456" xr:uid="{1B460111-B68D-45F0-A11B-8CDD9E738F8B}"/>
    <cellStyle name="標準 3" xfId="5" xr:uid="{00000000-0005-0000-0000-0000BA000000}"/>
    <cellStyle name="標準 4" xfId="9" xr:uid="{00000000-0005-0000-0000-0000BB000000}"/>
    <cellStyle name="標準_Loan100" xfId="8" xr:uid="{00000000-0005-0000-0000-0000BC000000}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89" builtinId="9" hidden="1"/>
    <cellStyle name="表示済みのハイパーリンク" xfId="190" builtinId="9" hidden="1"/>
    <cellStyle name="表示済みのハイパーリンク" xfId="191" builtinId="9" hidden="1"/>
    <cellStyle name="表示済みのハイパーリンク" xfId="192" builtinId="9" hidden="1"/>
    <cellStyle name="表示済みのハイパーリンク" xfId="193" builtinId="9" hidden="1"/>
    <cellStyle name="表示済みのハイパーリンク" xfId="194" builtinId="9" hidden="1"/>
    <cellStyle name="表示済みのハイパーリンク" xfId="195" builtinId="9" hidden="1"/>
    <cellStyle name="表示済みのハイパーリンク" xfId="196" builtinId="9" hidden="1"/>
    <cellStyle name="表示済みのハイパーリンク" xfId="197" builtinId="9" hidden="1"/>
    <cellStyle name="表示済みのハイパーリンク" xfId="198" builtinId="9" hidden="1"/>
    <cellStyle name="表示済みのハイパーリンク" xfId="199" builtinId="9" hidden="1"/>
    <cellStyle name="表示済みのハイパーリンク" xfId="200" builtinId="9" hidden="1"/>
    <cellStyle name="表示済みのハイパーリンク" xfId="201" builtinId="9" hidden="1"/>
    <cellStyle name="表示済みのハイパーリンク" xfId="202" builtinId="9" hidden="1"/>
    <cellStyle name="表示済みのハイパーリンク" xfId="203" builtinId="9" hidden="1"/>
    <cellStyle name="表示済みのハイパーリンク" xfId="204" builtinId="9" hidden="1"/>
    <cellStyle name="表示済みのハイパーリンク" xfId="205" builtinId="9" hidden="1"/>
    <cellStyle name="表示済みのハイパーリンク" xfId="206" builtinId="9" hidden="1"/>
    <cellStyle name="表示済みのハイパーリンク" xfId="207" builtinId="9" hidden="1"/>
    <cellStyle name="表示済みのハイパーリンク" xfId="208" builtinId="9" hidden="1"/>
    <cellStyle name="表示済みのハイパーリンク" xfId="209" builtinId="9" hidden="1"/>
    <cellStyle name="表示済みのハイパーリンク" xfId="210" builtinId="9" hidden="1"/>
    <cellStyle name="表示済みのハイパーリンク" xfId="211" builtinId="9" hidden="1"/>
    <cellStyle name="表示済みのハイパーリンク" xfId="212" builtinId="9" hidden="1"/>
    <cellStyle name="表示済みのハイパーリンク" xfId="213" builtinId="9" hidden="1"/>
    <cellStyle name="表示済みのハイパーリンク" xfId="214" builtinId="9" hidden="1"/>
    <cellStyle name="表示済みのハイパーリンク" xfId="215" builtinId="9" hidden="1"/>
    <cellStyle name="表示済みのハイパーリンク" xfId="216" builtinId="9" hidden="1"/>
    <cellStyle name="表示済みのハイパーリンク" xfId="217" builtinId="9" hidden="1"/>
    <cellStyle name="表示済みのハイパーリンク" xfId="218" builtinId="9" hidden="1"/>
    <cellStyle name="表示済みのハイパーリンク" xfId="219" builtinId="9" hidden="1"/>
    <cellStyle name="表示済みのハイパーリンク" xfId="220" builtinId="9" hidden="1"/>
    <cellStyle name="表示済みのハイパーリンク" xfId="221" builtinId="9" hidden="1"/>
    <cellStyle name="表示済みのハイパーリンク" xfId="222" builtinId="9" hidden="1"/>
    <cellStyle name="表示済みのハイパーリンク" xfId="223" builtinId="9" hidden="1"/>
    <cellStyle name="表示済みのハイパーリンク" xfId="224" builtinId="9" hidden="1"/>
    <cellStyle name="表示済みのハイパーリンク" xfId="225" builtinId="9" hidden="1"/>
    <cellStyle name="表示済みのハイパーリンク" xfId="226" builtinId="9" hidden="1"/>
    <cellStyle name="表示済みのハイパーリンク" xfId="227" builtinId="9" hidden="1"/>
    <cellStyle name="表示済みのハイパーリンク" xfId="228" builtinId="9" hidden="1"/>
    <cellStyle name="表示済みのハイパーリンク" xfId="229" builtinId="9" hidden="1"/>
    <cellStyle name="表示済みのハイパーリンク" xfId="230" builtinId="9" hidden="1"/>
    <cellStyle name="表示済みのハイパーリンク" xfId="231" builtinId="9" hidden="1"/>
    <cellStyle name="表示済みのハイパーリンク" xfId="232" builtinId="9" hidden="1"/>
    <cellStyle name="表示済みのハイパーリンク" xfId="233" builtinId="9" hidden="1"/>
    <cellStyle name="表示済みのハイパーリンク" xfId="234" builtinId="9" hidden="1"/>
    <cellStyle name="表示済みのハイパーリンク" xfId="235" builtinId="9" hidden="1"/>
    <cellStyle name="表示済みのハイパーリンク" xfId="236" builtinId="9" hidden="1"/>
    <cellStyle name="表示済みのハイパーリンク" xfId="237" builtinId="9" hidden="1"/>
    <cellStyle name="表示済みのハイパーリンク" xfId="238" builtinId="9" hidden="1"/>
    <cellStyle name="表示済みのハイパーリンク" xfId="239" builtinId="9" hidden="1"/>
    <cellStyle name="表示済みのハイパーリンク" xfId="240" builtinId="9" hidden="1"/>
    <cellStyle name="表示済みのハイパーリンク" xfId="241" builtinId="9" hidden="1"/>
    <cellStyle name="表示済みのハイパーリンク" xfId="242" builtinId="9" hidden="1"/>
    <cellStyle name="表示済みのハイパーリンク" xfId="243" builtinId="9" hidden="1"/>
    <cellStyle name="表示済みのハイパーリンク" xfId="244" builtinId="9" hidden="1"/>
    <cellStyle name="表示済みのハイパーリンク" xfId="245" builtinId="9" hidden="1"/>
    <cellStyle name="表示済みのハイパーリンク" xfId="246" builtinId="9" hidden="1"/>
    <cellStyle name="表示済みのハイパーリンク" xfId="247" builtinId="9" hidden="1"/>
    <cellStyle name="表示済みのハイパーリンク" xfId="248" builtinId="9" hidden="1"/>
    <cellStyle name="表示済みのハイパーリンク" xfId="249" builtinId="9" hidden="1"/>
    <cellStyle name="表示済みのハイパーリンク" xfId="250" builtinId="9" hidden="1"/>
    <cellStyle name="表示済みのハイパーリンク" xfId="251" builtinId="9" hidden="1"/>
    <cellStyle name="表示済みのハイパーリンク" xfId="252" builtinId="9" hidden="1"/>
    <cellStyle name="表示済みのハイパーリンク" xfId="253" builtinId="9" hidden="1"/>
    <cellStyle name="表示済みのハイパーリンク" xfId="254" builtinId="9" hidden="1"/>
    <cellStyle name="表示済みのハイパーリンク" xfId="255" builtinId="9" hidden="1"/>
    <cellStyle name="表示済みのハイパーリンク" xfId="256" builtinId="9" hidden="1"/>
    <cellStyle name="表示済みのハイパーリンク" xfId="257" builtinId="9" hidden="1"/>
    <cellStyle name="表示済みのハイパーリンク" xfId="258" builtinId="9" hidden="1"/>
    <cellStyle name="表示済みのハイパーリンク" xfId="259" builtinId="9" hidden="1"/>
    <cellStyle name="表示済みのハイパーリンク" xfId="260" builtinId="9" hidden="1"/>
    <cellStyle name="表示済みのハイパーリンク" xfId="261" builtinId="9" hidden="1"/>
    <cellStyle name="表示済みのハイパーリンク" xfId="262" builtinId="9" hidden="1"/>
    <cellStyle name="表示済みのハイパーリンク" xfId="263" builtinId="9" hidden="1"/>
    <cellStyle name="表示済みのハイパーリンク" xfId="264" builtinId="9" hidden="1"/>
    <cellStyle name="表示済みのハイパーリンク" xfId="265" builtinId="9" hidden="1"/>
    <cellStyle name="表示済みのハイパーリンク" xfId="266" builtinId="9" hidden="1"/>
    <cellStyle name="表示済みのハイパーリンク" xfId="267" builtinId="9" hidden="1"/>
    <cellStyle name="表示済みのハイパーリンク" xfId="268" builtinId="9" hidden="1"/>
    <cellStyle name="表示済みのハイパーリンク" xfId="269" builtinId="9" hidden="1"/>
    <cellStyle name="表示済みのハイパーリンク" xfId="270" builtinId="9" hidden="1"/>
    <cellStyle name="表示済みのハイパーリンク" xfId="271" builtinId="9" hidden="1"/>
    <cellStyle name="表示済みのハイパーリンク" xfId="272" builtinId="9" hidden="1"/>
    <cellStyle name="表示済みのハイパーリンク" xfId="273" builtinId="9" hidden="1"/>
    <cellStyle name="表示済みのハイパーリンク" xfId="274" builtinId="9" hidden="1"/>
    <cellStyle name="表示済みのハイパーリンク" xfId="275" builtinId="9" hidden="1"/>
    <cellStyle name="表示済みのハイパーリンク" xfId="276" builtinId="9" hidden="1"/>
    <cellStyle name="表示済みのハイパーリンク" xfId="277" builtinId="9" hidden="1"/>
    <cellStyle name="表示済みのハイパーリンク" xfId="279" builtinId="9" hidden="1"/>
    <cellStyle name="表示済みのハイパーリンク" xfId="281" builtinId="9" hidden="1"/>
    <cellStyle name="表示済みのハイパーリンク" xfId="283" builtinId="9" hidden="1"/>
    <cellStyle name="表示済みのハイパーリンク" xfId="285" builtinId="9" hidden="1"/>
    <cellStyle name="表示済みのハイパーリンク" xfId="287" builtinId="9" hidden="1"/>
    <cellStyle name="表示済みのハイパーリンク" xfId="289" builtinId="9" hidden="1"/>
    <cellStyle name="表示済みのハイパーリンク" xfId="291" builtinId="9" hidden="1"/>
    <cellStyle name="表示済みのハイパーリンク" xfId="293" builtinId="9" hidden="1"/>
    <cellStyle name="表示済みのハイパーリンク" xfId="295" builtinId="9" hidden="1"/>
    <cellStyle name="表示済みのハイパーリンク" xfId="297" builtinId="9" hidden="1"/>
    <cellStyle name="表示済みのハイパーリンク" xfId="299" builtinId="9" hidden="1"/>
    <cellStyle name="表示済みのハイパーリンク" xfId="301" builtinId="9" hidden="1"/>
    <cellStyle name="表示済みのハイパーリンク" xfId="303" builtinId="9" hidden="1"/>
    <cellStyle name="表示済みのハイパーリンク" xfId="305" builtinId="9" hidden="1"/>
    <cellStyle name="表示済みのハイパーリンク" xfId="307" builtinId="9" hidden="1"/>
    <cellStyle name="表示済みのハイパーリンク" xfId="309" builtinId="9" hidden="1"/>
    <cellStyle name="表示済みのハイパーリンク" xfId="311" builtinId="9" hidden="1"/>
    <cellStyle name="表示済みのハイパーリンク" xfId="313" builtinId="9" hidden="1"/>
    <cellStyle name="表示済みのハイパーリンク" xfId="315" builtinId="9" hidden="1"/>
    <cellStyle name="表示済みのハイパーリンク" xfId="317" builtinId="9" hidden="1"/>
    <cellStyle name="表示済みのハイパーリンク" xfId="319" builtinId="9" hidden="1"/>
    <cellStyle name="表示済みのハイパーリンク" xfId="321" builtinId="9" hidden="1"/>
    <cellStyle name="表示済みのハイパーリンク" xfId="323" builtinId="9" hidden="1"/>
    <cellStyle name="表示済みのハイパーリンク" xfId="325" builtinId="9" hidden="1"/>
    <cellStyle name="表示済みのハイパーリンク" xfId="327" builtinId="9" hidden="1"/>
    <cellStyle name="表示済みのハイパーリンク" xfId="329" builtinId="9" hidden="1"/>
    <cellStyle name="表示済みのハイパーリンク" xfId="331" builtinId="9" hidden="1"/>
    <cellStyle name="表示済みのハイパーリンク" xfId="333" builtinId="9" hidden="1"/>
    <cellStyle name="表示済みのハイパーリンク" xfId="335" builtinId="9" hidden="1"/>
    <cellStyle name="表示済みのハイパーリンク" xfId="337" builtinId="9" hidden="1"/>
    <cellStyle name="表示済みのハイパーリンク" xfId="339" builtinId="9" hidden="1"/>
    <cellStyle name="表示済みのハイパーリンク" xfId="341" builtinId="9" hidden="1"/>
    <cellStyle name="表示済みのハイパーリンク" xfId="343" builtinId="9" hidden="1"/>
    <cellStyle name="表示済みのハイパーリンク" xfId="345" builtinId="9" hidden="1"/>
    <cellStyle name="表示済みのハイパーリンク" xfId="347" builtinId="9" hidden="1"/>
    <cellStyle name="表示済みのハイパーリンク" xfId="349" builtinId="9" hidden="1"/>
    <cellStyle name="表示済みのハイパーリンク" xfId="351" builtinId="9" hidden="1"/>
    <cellStyle name="表示済みのハイパーリンク" xfId="353" builtinId="9" hidden="1"/>
    <cellStyle name="表示済みのハイパーリンク" xfId="355" builtinId="9" hidden="1"/>
    <cellStyle name="表示済みのハイパーリンク" xfId="357" builtinId="9" hidden="1"/>
    <cellStyle name="表示済みのハイパーリンク" xfId="359" builtinId="9" hidden="1"/>
    <cellStyle name="表示済みのハイパーリンク" xfId="361" builtinId="9" hidden="1"/>
    <cellStyle name="表示済みのハイパーリンク" xfId="363" builtinId="9" hidden="1"/>
    <cellStyle name="表示済みのハイパーリンク" xfId="365" builtinId="9" hidden="1"/>
    <cellStyle name="表示済みのハイパーリンク" xfId="367" builtinId="9" hidden="1"/>
    <cellStyle name="表示済みのハイパーリンク" xfId="369" builtinId="9" hidden="1"/>
    <cellStyle name="表示済みのハイパーリンク" xfId="371" builtinId="9" hidden="1"/>
    <cellStyle name="表示済みのハイパーリンク" xfId="373" builtinId="9" hidden="1"/>
    <cellStyle name="表示済みのハイパーリンク" xfId="375" builtinId="9" hidden="1"/>
    <cellStyle name="表示済みのハイパーリンク" xfId="377" builtinId="9" hidden="1"/>
    <cellStyle name="表示済みのハイパーリンク" xfId="379" builtinId="9" hidden="1"/>
    <cellStyle name="表示済みのハイパーリンク" xfId="381" builtinId="9" hidden="1"/>
    <cellStyle name="表示済みのハイパーリンク" xfId="383" builtinId="9" hidden="1"/>
    <cellStyle name="表示済みのハイパーリンク" xfId="385" builtinId="9" hidden="1"/>
    <cellStyle name="表示済みのハイパーリンク" xfId="387" builtinId="9" hidden="1"/>
    <cellStyle name="表示済みのハイパーリンク" xfId="389" builtinId="9" hidden="1"/>
    <cellStyle name="表示済みのハイパーリンク" xfId="391" builtinId="9" hidden="1"/>
    <cellStyle name="表示済みのハイパーリンク" xfId="393" builtinId="9" hidden="1"/>
    <cellStyle name="表示済みのハイパーリンク" xfId="395" builtinId="9" hidden="1"/>
    <cellStyle name="表示済みのハイパーリンク" xfId="397" builtinId="9" hidden="1"/>
    <cellStyle name="表示済みのハイパーリンク" xfId="399" builtinId="9" hidden="1"/>
    <cellStyle name="表示済みのハイパーリンク" xfId="401" builtinId="9" hidden="1"/>
    <cellStyle name="表示済みのハイパーリンク" xfId="403" builtinId="9" hidden="1"/>
    <cellStyle name="表示済みのハイパーリンク" xfId="405" builtinId="9" hidden="1"/>
    <cellStyle name="表示済みのハイパーリンク" xfId="407" builtinId="9" hidden="1"/>
    <cellStyle name="表示済みのハイパーリンク" xfId="409" builtinId="9" hidden="1"/>
    <cellStyle name="表示済みのハイパーリンク" xfId="411" builtinId="9" hidden="1"/>
    <cellStyle name="表示済みのハイパーリンク" xfId="413" builtinId="9" hidden="1"/>
    <cellStyle name="表示済みのハイパーリンク" xfId="415" builtinId="9" hidden="1"/>
    <cellStyle name="表示済みのハイパーリンク" xfId="417" builtinId="9" hidden="1"/>
    <cellStyle name="表示済みのハイパーリンク" xfId="419" builtinId="9" hidden="1"/>
    <cellStyle name="表示済みのハイパーリンク" xfId="421" builtinId="9" hidden="1"/>
    <cellStyle name="表示済みのハイパーリンク" xfId="423" builtinId="9" hidden="1"/>
    <cellStyle name="表示済みのハイパーリンク" xfId="425" builtinId="9" hidden="1"/>
    <cellStyle name="表示済みのハイパーリンク" xfId="427" builtinId="9" hidden="1"/>
    <cellStyle name="表示済みのハイパーリンク" xfId="429" builtinId="9" hidden="1"/>
    <cellStyle name="表示済みのハイパーリンク" xfId="431" builtinId="9" hidden="1"/>
    <cellStyle name="表示済みのハイパーリンク" xfId="433" builtinId="9" hidden="1"/>
    <cellStyle name="表示済みのハイパーリンク" xfId="435" builtinId="9" hidden="1"/>
    <cellStyle name="表示済みのハイパーリンク" xfId="437" builtinId="9" hidden="1"/>
    <cellStyle name="表示済みのハイパーリンク" xfId="439" builtinId="9" hidden="1"/>
    <cellStyle name="表示済みのハイパーリンク" xfId="441" builtinId="9" hidden="1"/>
    <cellStyle name="表示済みのハイパーリンク" xfId="443" builtinId="9" hidden="1"/>
    <cellStyle name="表示済みのハイパーリンク" xfId="445" builtinId="9" hidden="1"/>
    <cellStyle name="表示済みのハイパーリンク" xfId="447" builtinId="9" hidden="1"/>
    <cellStyle name="表示済みのハイパーリンク" xfId="449" builtinId="9" hidden="1"/>
    <cellStyle name="表示済みのハイパーリンク" xfId="451" builtinId="9" hidden="1"/>
    <cellStyle name="表示済みのハイパーリンク" xfId="453" builtinId="9" hidden="1"/>
    <cellStyle name="表示済みのハイパーリンク" xfId="455" builtinId="9" hidden="1"/>
  </cellStyles>
  <dxfs count="2">
    <dxf>
      <font>
        <color rgb="FFFF000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>
              <a:outerShdw blurRad="40005" dist="22987" dir="5400000" algn="tl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売上計画!$D$3:$W$3</c:f>
              <c:strCache>
                <c:ptCount val="20"/>
                <c:pt idx="0">
                  <c:v>5</c:v>
                </c:pt>
                <c:pt idx="1">
                  <c:v>6-8</c:v>
                </c:pt>
                <c:pt idx="2">
                  <c:v>9-11</c:v>
                </c:pt>
                <c:pt idx="3">
                  <c:v>12-2</c:v>
                </c:pt>
                <c:pt idx="4">
                  <c:v>3-5</c:v>
                </c:pt>
                <c:pt idx="5">
                  <c:v>6-8</c:v>
                </c:pt>
                <c:pt idx="6">
                  <c:v>9-11</c:v>
                </c:pt>
                <c:pt idx="7">
                  <c:v>12-2</c:v>
                </c:pt>
                <c:pt idx="8">
                  <c:v>3-5</c:v>
                </c:pt>
                <c:pt idx="9">
                  <c:v>6-8</c:v>
                </c:pt>
                <c:pt idx="10">
                  <c:v>9-11</c:v>
                </c:pt>
                <c:pt idx="11">
                  <c:v>12-2</c:v>
                </c:pt>
                <c:pt idx="12">
                  <c:v>3-5</c:v>
                </c:pt>
                <c:pt idx="13">
                  <c:v>6-8</c:v>
                </c:pt>
                <c:pt idx="14">
                  <c:v>9-11</c:v>
                </c:pt>
                <c:pt idx="15">
                  <c:v>12-2</c:v>
                </c:pt>
                <c:pt idx="16">
                  <c:v>3-5</c:v>
                </c:pt>
                <c:pt idx="17">
                  <c:v>6-8</c:v>
                </c:pt>
                <c:pt idx="18">
                  <c:v>9-11</c:v>
                </c:pt>
                <c:pt idx="19">
                  <c:v>12-2</c:v>
                </c:pt>
              </c:strCache>
            </c:strRef>
          </c:cat>
          <c:val>
            <c:numRef>
              <c:f>売上計画!$D$20:$W$20</c:f>
              <c:numCache>
                <c:formatCode>#,##0_);[Red]\(#,##0\)</c:formatCode>
                <c:ptCount val="20"/>
                <c:pt idx="0">
                  <c:v>28500</c:v>
                </c:pt>
                <c:pt idx="1">
                  <c:v>90630</c:v>
                </c:pt>
                <c:pt idx="2">
                  <c:v>93330</c:v>
                </c:pt>
                <c:pt idx="3">
                  <c:v>181260</c:v>
                </c:pt>
                <c:pt idx="4">
                  <c:v>227880</c:v>
                </c:pt>
                <c:pt idx="5">
                  <c:v>234360</c:v>
                </c:pt>
                <c:pt idx="6">
                  <c:v>256860</c:v>
                </c:pt>
                <c:pt idx="7">
                  <c:v>266040</c:v>
                </c:pt>
                <c:pt idx="8">
                  <c:v>266040</c:v>
                </c:pt>
                <c:pt idx="9">
                  <c:v>345690</c:v>
                </c:pt>
                <c:pt idx="10">
                  <c:v>391770</c:v>
                </c:pt>
                <c:pt idx="11">
                  <c:v>489420</c:v>
                </c:pt>
                <c:pt idx="12">
                  <c:v>520020</c:v>
                </c:pt>
                <c:pt idx="13">
                  <c:v>528120</c:v>
                </c:pt>
                <c:pt idx="14">
                  <c:v>563220</c:v>
                </c:pt>
                <c:pt idx="15">
                  <c:v>630900</c:v>
                </c:pt>
                <c:pt idx="16">
                  <c:v>639000</c:v>
                </c:pt>
                <c:pt idx="17">
                  <c:v>782100</c:v>
                </c:pt>
                <c:pt idx="18">
                  <c:v>790200</c:v>
                </c:pt>
                <c:pt idx="19">
                  <c:v>884880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4-483E-90B4-1FC6F3E91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21184"/>
        <c:axId val="57441280"/>
      </c:barChart>
      <c:catAx>
        <c:axId val="574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441280"/>
        <c:crosses val="autoZero"/>
        <c:auto val="1"/>
        <c:lblAlgn val="ctr"/>
        <c:lblOffset val="100"/>
        <c:noMultiLvlLbl val="0"/>
      </c:catAx>
      <c:valAx>
        <c:axId val="57441280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57421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25</xdr:row>
      <xdr:rowOff>57150</xdr:rowOff>
    </xdr:from>
    <xdr:to>
      <xdr:col>17</xdr:col>
      <xdr:colOff>511175</xdr:colOff>
      <xdr:row>53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fc.dai.co.jp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N55"/>
  <sheetViews>
    <sheetView topLeftCell="A11" workbookViewId="0">
      <selection activeCell="B3" sqref="B3:C3"/>
    </sheetView>
  </sheetViews>
  <sheetFormatPr defaultRowHeight="13.5"/>
  <cols>
    <col min="1" max="1" width="1.875" customWidth="1"/>
    <col min="2" max="2" width="3.875" customWidth="1"/>
    <col min="3" max="3" width="16.125" customWidth="1"/>
    <col min="4" max="13" width="7.875" customWidth="1"/>
    <col min="14" max="14" width="9" hidden="1" customWidth="1"/>
  </cols>
  <sheetData>
    <row r="1" spans="2:13" hidden="1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</row>
    <row r="2" spans="2:13" ht="23.25" customHeight="1" thickBot="1">
      <c r="B2" s="531" t="s">
        <v>107</v>
      </c>
      <c r="C2" s="531"/>
      <c r="D2" s="531"/>
      <c r="E2" s="531"/>
      <c r="M2" s="13" t="s">
        <v>96</v>
      </c>
    </row>
    <row r="3" spans="2:13" ht="14.25" thickBot="1">
      <c r="B3" s="501"/>
      <c r="C3" s="502"/>
      <c r="D3" s="15" t="s">
        <v>71</v>
      </c>
      <c r="E3" s="15" t="s">
        <v>72</v>
      </c>
      <c r="F3" s="15" t="s">
        <v>73</v>
      </c>
      <c r="G3" s="15" t="s">
        <v>74</v>
      </c>
      <c r="H3" s="15" t="s">
        <v>75</v>
      </c>
      <c r="I3" s="15" t="s">
        <v>83</v>
      </c>
      <c r="J3" s="15" t="s">
        <v>84</v>
      </c>
      <c r="K3" s="15" t="s">
        <v>85</v>
      </c>
      <c r="L3" s="15" t="s">
        <v>86</v>
      </c>
      <c r="M3" s="16" t="s">
        <v>87</v>
      </c>
    </row>
    <row r="4" spans="2:13" ht="14.25" thickTop="1">
      <c r="B4" s="503" t="s">
        <v>76</v>
      </c>
      <c r="C4" s="504"/>
      <c r="D4" s="14">
        <v>0</v>
      </c>
      <c r="E4" s="14" t="e">
        <f t="shared" ref="E4:M4" si="0">D40</f>
        <v>#REF!</v>
      </c>
      <c r="F4" s="14" t="e">
        <f t="shared" si="0"/>
        <v>#REF!</v>
      </c>
      <c r="G4" s="14" t="e">
        <f t="shared" si="0"/>
        <v>#REF!</v>
      </c>
      <c r="H4" s="14" t="e">
        <f t="shared" si="0"/>
        <v>#REF!</v>
      </c>
      <c r="I4" s="14" t="e">
        <f t="shared" si="0"/>
        <v>#REF!</v>
      </c>
      <c r="J4" s="14" t="e">
        <f t="shared" si="0"/>
        <v>#REF!</v>
      </c>
      <c r="K4" s="14" t="e">
        <f t="shared" si="0"/>
        <v>#REF!</v>
      </c>
      <c r="L4" s="14" t="e">
        <f t="shared" si="0"/>
        <v>#REF!</v>
      </c>
      <c r="M4" s="17" t="e">
        <f t="shared" si="0"/>
        <v>#REF!</v>
      </c>
    </row>
    <row r="5" spans="2:13">
      <c r="B5" s="505" t="s">
        <v>34</v>
      </c>
      <c r="C5" s="506"/>
      <c r="D5" s="2">
        <f>SUM(基礎!D55:O55)</f>
        <v>39760360</v>
      </c>
      <c r="E5" s="2">
        <f>SUM(基礎!V55:AG55)</f>
        <v>129071704</v>
      </c>
      <c r="F5" s="2">
        <f>SUM(基礎!AM55:AX55)</f>
        <v>146958399</v>
      </c>
      <c r="G5" s="2" t="e">
        <f>SUM(基礎!#REF!)</f>
        <v>#REF!</v>
      </c>
      <c r="H5" s="2" t="e">
        <f>SUM(基礎!#REF!)</f>
        <v>#REF!</v>
      </c>
      <c r="I5" s="2" t="e">
        <f>SUM(基礎!#REF!)</f>
        <v>#REF!</v>
      </c>
      <c r="J5" s="2" t="e">
        <f>SUM(基礎!#REF!)</f>
        <v>#REF!</v>
      </c>
      <c r="K5" s="2" t="e">
        <f>SUM(基礎!#REF!)</f>
        <v>#REF!</v>
      </c>
      <c r="L5" s="2" t="e">
        <f>SUM(基礎!#REF!)</f>
        <v>#REF!</v>
      </c>
      <c r="M5" s="18" t="e">
        <f>SUM(基礎!#REF!)</f>
        <v>#REF!</v>
      </c>
    </row>
    <row r="6" spans="2:13">
      <c r="B6" s="507"/>
      <c r="C6" s="4" t="s">
        <v>29</v>
      </c>
      <c r="D6" s="5">
        <f>SUM(基礎!D56:O56)</f>
        <v>31990360</v>
      </c>
      <c r="E6" s="5">
        <f>SUM(基礎!V56:AG56)</f>
        <v>107291682</v>
      </c>
      <c r="F6" s="5">
        <f>SUM(基礎!AM56:AX56)</f>
        <v>122868375</v>
      </c>
      <c r="G6" s="5" t="e">
        <f>SUM(基礎!#REF!)</f>
        <v>#REF!</v>
      </c>
      <c r="H6" s="5" t="e">
        <f>SUM(基礎!#REF!)</f>
        <v>#REF!</v>
      </c>
      <c r="I6" s="5" t="e">
        <f>SUM(基礎!#REF!)</f>
        <v>#REF!</v>
      </c>
      <c r="J6" s="5" t="e">
        <f>SUM(基礎!#REF!)</f>
        <v>#REF!</v>
      </c>
      <c r="K6" s="5" t="e">
        <f>SUM(基礎!#REF!)</f>
        <v>#REF!</v>
      </c>
      <c r="L6" s="5" t="e">
        <f>SUM(基礎!#REF!)</f>
        <v>#REF!</v>
      </c>
      <c r="M6" s="19" t="e">
        <f>SUM(基礎!#REF!)</f>
        <v>#REF!</v>
      </c>
    </row>
    <row r="7" spans="2:13">
      <c r="B7" s="508"/>
      <c r="C7" s="4" t="s">
        <v>30</v>
      </c>
      <c r="D7" s="5">
        <f>SUM(基礎!D57:O57)</f>
        <v>7770000</v>
      </c>
      <c r="E7" s="5">
        <f>SUM(基礎!V57:AG57)</f>
        <v>21780022</v>
      </c>
      <c r="F7" s="5">
        <f>SUM(基礎!AM57:AX57)</f>
        <v>24090024</v>
      </c>
      <c r="G7" s="5" t="e">
        <f>SUM(基礎!#REF!)</f>
        <v>#REF!</v>
      </c>
      <c r="H7" s="5" t="e">
        <f>SUM(基礎!#REF!)</f>
        <v>#REF!</v>
      </c>
      <c r="I7" s="5" t="e">
        <f>SUM(基礎!#REF!)</f>
        <v>#REF!</v>
      </c>
      <c r="J7" s="5" t="e">
        <f>SUM(基礎!#REF!)</f>
        <v>#REF!</v>
      </c>
      <c r="K7" s="5" t="e">
        <f>SUM(基礎!#REF!)</f>
        <v>#REF!</v>
      </c>
      <c r="L7" s="5" t="e">
        <f>SUM(基礎!#REF!)</f>
        <v>#REF!</v>
      </c>
      <c r="M7" s="19" t="e">
        <f>SUM(基礎!#REF!)</f>
        <v>#REF!</v>
      </c>
    </row>
    <row r="8" spans="2:13">
      <c r="B8" s="508"/>
      <c r="C8" s="4" t="s">
        <v>14</v>
      </c>
      <c r="D8" s="5">
        <f>SUM(基礎!D58:O58)</f>
        <v>0</v>
      </c>
      <c r="E8" s="5">
        <f>SUM(基礎!V58:AG58)</f>
        <v>0</v>
      </c>
      <c r="F8" s="5">
        <f>SUM(基礎!AM58:AX58)</f>
        <v>0</v>
      </c>
      <c r="G8" s="5" t="e">
        <f>SUM(基礎!#REF!)</f>
        <v>#REF!</v>
      </c>
      <c r="H8" s="5" t="e">
        <f>SUM(基礎!#REF!)</f>
        <v>#REF!</v>
      </c>
      <c r="I8" s="5" t="e">
        <f>SUM(基礎!#REF!)</f>
        <v>#REF!</v>
      </c>
      <c r="J8" s="5" t="e">
        <f>SUM(基礎!#REF!)</f>
        <v>#REF!</v>
      </c>
      <c r="K8" s="5" t="e">
        <f>SUM(基礎!#REF!)</f>
        <v>#REF!</v>
      </c>
      <c r="L8" s="5" t="e">
        <f>SUM(基礎!#REF!)</f>
        <v>#REF!</v>
      </c>
      <c r="M8" s="19" t="e">
        <f>SUM(基礎!#REF!)</f>
        <v>#REF!</v>
      </c>
    </row>
    <row r="9" spans="2:13">
      <c r="B9" s="508"/>
      <c r="C9" s="4" t="s">
        <v>33</v>
      </c>
      <c r="D9" s="5">
        <f>SUM(基礎!D59:O59)</f>
        <v>0</v>
      </c>
      <c r="E9" s="5">
        <f>SUM(基礎!V59:AG59)</f>
        <v>0</v>
      </c>
      <c r="F9" s="5">
        <f>SUM(基礎!AM59:AX59)</f>
        <v>0</v>
      </c>
      <c r="G9" s="5" t="e">
        <f>SUM(基礎!#REF!)</f>
        <v>#REF!</v>
      </c>
      <c r="H9" s="5" t="e">
        <f>SUM(基礎!#REF!)</f>
        <v>#REF!</v>
      </c>
      <c r="I9" s="5" t="e">
        <f>SUM(基礎!#REF!)</f>
        <v>#REF!</v>
      </c>
      <c r="J9" s="5" t="e">
        <f>SUM(基礎!#REF!)</f>
        <v>#REF!</v>
      </c>
      <c r="K9" s="5" t="e">
        <f>SUM(基礎!#REF!)</f>
        <v>#REF!</v>
      </c>
      <c r="L9" s="5" t="e">
        <f>SUM(基礎!#REF!)</f>
        <v>#REF!</v>
      </c>
      <c r="M9" s="19" t="e">
        <f>SUM(基礎!#REF!)</f>
        <v>#REF!</v>
      </c>
    </row>
    <row r="10" spans="2:13">
      <c r="B10" s="509" t="s">
        <v>35</v>
      </c>
      <c r="C10" s="510"/>
      <c r="D10" s="3">
        <f>SUM(基礎!D60:O60)</f>
        <v>59863906.920000002</v>
      </c>
      <c r="E10" s="3">
        <f>SUM(基礎!V60:AG60)</f>
        <v>128400542.44</v>
      </c>
      <c r="F10" s="3">
        <f>SUM(基礎!AM60:AX60)</f>
        <v>137554976.5</v>
      </c>
      <c r="G10" s="3" t="e">
        <f>SUM(基礎!#REF!)</f>
        <v>#REF!</v>
      </c>
      <c r="H10" s="3" t="e">
        <f>SUM(基礎!#REF!)</f>
        <v>#REF!</v>
      </c>
      <c r="I10" s="3" t="e">
        <f>SUM(基礎!#REF!)</f>
        <v>#REF!</v>
      </c>
      <c r="J10" s="3" t="e">
        <f>SUM(基礎!#REF!)</f>
        <v>#REF!</v>
      </c>
      <c r="K10" s="3" t="e">
        <f>SUM(基礎!#REF!)</f>
        <v>#REF!</v>
      </c>
      <c r="L10" s="3" t="e">
        <f>SUM(基礎!#REF!)</f>
        <v>#REF!</v>
      </c>
      <c r="M10" s="20" t="e">
        <f>SUM(基礎!#REF!)</f>
        <v>#REF!</v>
      </c>
    </row>
    <row r="11" spans="2:13">
      <c r="B11" s="499"/>
      <c r="C11" s="4" t="s">
        <v>36</v>
      </c>
      <c r="D11" s="5">
        <f>SUM(基礎!D61:O61)</f>
        <v>48137000</v>
      </c>
      <c r="E11" s="5">
        <f>SUM(基礎!V61:AG61)</f>
        <v>107027000</v>
      </c>
      <c r="F11" s="5">
        <f>SUM(基礎!AM61:AX61)</f>
        <v>118214000</v>
      </c>
      <c r="G11" s="5" t="e">
        <f>SUM(基礎!#REF!)</f>
        <v>#REF!</v>
      </c>
      <c r="H11" s="5" t="e">
        <f>SUM(基礎!#REF!)</f>
        <v>#REF!</v>
      </c>
      <c r="I11" s="5" t="e">
        <f>SUM(基礎!#REF!)</f>
        <v>#REF!</v>
      </c>
      <c r="J11" s="5" t="e">
        <f>SUM(基礎!#REF!)</f>
        <v>#REF!</v>
      </c>
      <c r="K11" s="5" t="e">
        <f>SUM(基礎!#REF!)</f>
        <v>#REF!</v>
      </c>
      <c r="L11" s="5" t="e">
        <f>SUM(基礎!#REF!)</f>
        <v>#REF!</v>
      </c>
      <c r="M11" s="19" t="e">
        <f>SUM(基礎!#REF!)</f>
        <v>#REF!</v>
      </c>
    </row>
    <row r="12" spans="2:13">
      <c r="B12" s="500"/>
      <c r="C12" s="4" t="s">
        <v>37</v>
      </c>
      <c r="D12" s="5">
        <f>SUM(基礎!D62:O62)</f>
        <v>5340000</v>
      </c>
      <c r="E12" s="5">
        <f>SUM(基礎!V62:AG62)</f>
        <v>11780000</v>
      </c>
      <c r="F12" s="5">
        <f>SUM(基礎!AM62:AX62)</f>
        <v>12100000</v>
      </c>
      <c r="G12" s="5" t="e">
        <f>SUM(基礎!#REF!)</f>
        <v>#REF!</v>
      </c>
      <c r="H12" s="5" t="e">
        <f>SUM(基礎!#REF!)</f>
        <v>#REF!</v>
      </c>
      <c r="I12" s="5" t="e">
        <f>SUM(基礎!#REF!)</f>
        <v>#REF!</v>
      </c>
      <c r="J12" s="5" t="e">
        <f>SUM(基礎!#REF!)</f>
        <v>#REF!</v>
      </c>
      <c r="K12" s="5" t="e">
        <f>SUM(基礎!#REF!)</f>
        <v>#REF!</v>
      </c>
      <c r="L12" s="5" t="e">
        <f>SUM(基礎!#REF!)</f>
        <v>#REF!</v>
      </c>
      <c r="M12" s="19" t="e">
        <f>SUM(基礎!#REF!)</f>
        <v>#REF!</v>
      </c>
    </row>
    <row r="13" spans="2:13">
      <c r="B13" s="500"/>
      <c r="C13" s="4" t="s">
        <v>38</v>
      </c>
      <c r="D13" s="5">
        <f>SUM(基礎!D63:O63)</f>
        <v>6141906.9199999999</v>
      </c>
      <c r="E13" s="5">
        <f>SUM(基礎!V63:AG63)</f>
        <v>9593542.4399999995</v>
      </c>
      <c r="F13" s="5">
        <f>SUM(基礎!AM63:AX63)</f>
        <v>7240976.5</v>
      </c>
      <c r="G13" s="5" t="e">
        <f>SUM(基礎!#REF!)</f>
        <v>#REF!</v>
      </c>
      <c r="H13" s="5" t="e">
        <f>SUM(基礎!#REF!)</f>
        <v>#REF!</v>
      </c>
      <c r="I13" s="5" t="e">
        <f>SUM(基礎!#REF!)</f>
        <v>#REF!</v>
      </c>
      <c r="J13" s="5" t="e">
        <f>SUM(基礎!#REF!)</f>
        <v>#REF!</v>
      </c>
      <c r="K13" s="5" t="e">
        <f>SUM(基礎!#REF!)</f>
        <v>#REF!</v>
      </c>
      <c r="L13" s="5" t="e">
        <f>SUM(基礎!#REF!)</f>
        <v>#REF!</v>
      </c>
      <c r="M13" s="19" t="e">
        <f>SUM(基礎!#REF!)</f>
        <v>#REF!</v>
      </c>
    </row>
    <row r="14" spans="2:13">
      <c r="B14" s="500"/>
      <c r="C14" s="4" t="s">
        <v>39</v>
      </c>
      <c r="D14" s="5">
        <f>SUM(基礎!D64:O64)</f>
        <v>0</v>
      </c>
      <c r="E14" s="5">
        <f>SUM(基礎!V64:AG64)</f>
        <v>0</v>
      </c>
      <c r="F14" s="5">
        <f>SUM(基礎!AM64:AX64)</f>
        <v>0</v>
      </c>
      <c r="G14" s="5" t="e">
        <f>SUM(基礎!#REF!)</f>
        <v>#REF!</v>
      </c>
      <c r="H14" s="5" t="e">
        <f>SUM(基礎!#REF!)</f>
        <v>#REF!</v>
      </c>
      <c r="I14" s="5" t="e">
        <f>SUM(基礎!#REF!)</f>
        <v>#REF!</v>
      </c>
      <c r="J14" s="5" t="e">
        <f>SUM(基礎!#REF!)</f>
        <v>#REF!</v>
      </c>
      <c r="K14" s="5" t="e">
        <f>SUM(基礎!#REF!)</f>
        <v>#REF!</v>
      </c>
      <c r="L14" s="5" t="e">
        <f>SUM(基礎!#REF!)</f>
        <v>#REF!</v>
      </c>
      <c r="M14" s="19" t="e">
        <f>SUM(基礎!#REF!)</f>
        <v>#REF!</v>
      </c>
    </row>
    <row r="15" spans="2:13">
      <c r="B15" s="500"/>
      <c r="C15" s="4" t="s">
        <v>10</v>
      </c>
      <c r="D15" s="5">
        <f>SUM(基礎!D65:O65)</f>
        <v>245000</v>
      </c>
      <c r="E15" s="5">
        <f>SUM(基礎!V65:AG65)</f>
        <v>0</v>
      </c>
      <c r="F15" s="5">
        <f>SUM(基礎!AM65:AX65)</f>
        <v>0</v>
      </c>
      <c r="G15" s="5" t="e">
        <f>SUM(基礎!#REF!)</f>
        <v>#REF!</v>
      </c>
      <c r="H15" s="5" t="e">
        <f>SUM(基礎!#REF!)</f>
        <v>#REF!</v>
      </c>
      <c r="I15" s="5" t="e">
        <f>SUM(基礎!#REF!)</f>
        <v>#REF!</v>
      </c>
      <c r="J15" s="5" t="e">
        <f>SUM(基礎!#REF!)</f>
        <v>#REF!</v>
      </c>
      <c r="K15" s="5" t="e">
        <f>SUM(基礎!#REF!)</f>
        <v>#REF!</v>
      </c>
      <c r="L15" s="5" t="e">
        <f>SUM(基礎!#REF!)</f>
        <v>#REF!</v>
      </c>
      <c r="M15" s="19" t="e">
        <f>SUM(基礎!#REF!)</f>
        <v>#REF!</v>
      </c>
    </row>
    <row r="16" spans="2:13">
      <c r="B16" s="500"/>
      <c r="C16" s="4" t="s">
        <v>43</v>
      </c>
      <c r="D16" s="5">
        <f>SUM(基礎!D66:O66)</f>
        <v>0</v>
      </c>
      <c r="E16" s="5">
        <f>SUM(基礎!V66:AG66)</f>
        <v>0</v>
      </c>
      <c r="F16" s="5">
        <f>SUM(基礎!AM66:AX66)</f>
        <v>0</v>
      </c>
      <c r="G16" s="5" t="e">
        <f>SUM(基礎!#REF!)</f>
        <v>#REF!</v>
      </c>
      <c r="H16" s="5" t="e">
        <f>SUM(基礎!#REF!)</f>
        <v>#REF!</v>
      </c>
      <c r="I16" s="5" t="e">
        <f>SUM(基礎!#REF!)</f>
        <v>#REF!</v>
      </c>
      <c r="J16" s="5" t="e">
        <f>SUM(基礎!#REF!)</f>
        <v>#REF!</v>
      </c>
      <c r="K16" s="5" t="e">
        <f>SUM(基礎!#REF!)</f>
        <v>#REF!</v>
      </c>
      <c r="L16" s="5" t="e">
        <f>SUM(基礎!#REF!)</f>
        <v>#REF!</v>
      </c>
      <c r="M16" s="19" t="e">
        <f>SUM(基礎!#REF!)</f>
        <v>#REF!</v>
      </c>
    </row>
    <row r="17" spans="2:14">
      <c r="B17" s="500"/>
      <c r="C17" s="4" t="s">
        <v>42</v>
      </c>
      <c r="D17" s="5">
        <f>SUM(基礎!D67:O67)</f>
        <v>0</v>
      </c>
      <c r="E17" s="5">
        <f>SUM(基礎!V67:AG67)</f>
        <v>0</v>
      </c>
      <c r="F17" s="5">
        <f>SUM(基礎!AM67:AX67)</f>
        <v>0</v>
      </c>
      <c r="G17" s="5" t="e">
        <f>SUM(基礎!#REF!)</f>
        <v>#REF!</v>
      </c>
      <c r="H17" s="5" t="e">
        <f>SUM(基礎!#REF!)</f>
        <v>#REF!</v>
      </c>
      <c r="I17" s="5" t="e">
        <f>SUM(基礎!#REF!)</f>
        <v>#REF!</v>
      </c>
      <c r="J17" s="5" t="e">
        <f>SUM(基礎!#REF!)</f>
        <v>#REF!</v>
      </c>
      <c r="K17" s="5" t="e">
        <f>SUM(基礎!#REF!)</f>
        <v>#REF!</v>
      </c>
      <c r="L17" s="5" t="e">
        <f>SUM(基礎!#REF!)</f>
        <v>#REF!</v>
      </c>
      <c r="M17" s="19" t="e">
        <f>SUM(基礎!#REF!)</f>
        <v>#REF!</v>
      </c>
    </row>
    <row r="18" spans="2:14">
      <c r="B18" s="512" t="s">
        <v>44</v>
      </c>
      <c r="C18" s="513"/>
      <c r="D18" s="7">
        <f>SUM(基礎!D68:O68)</f>
        <v>-20103546.919999998</v>
      </c>
      <c r="E18" s="7">
        <f>SUM(基礎!V68:AG68)</f>
        <v>671161.56000000052</v>
      </c>
      <c r="F18" s="7">
        <f>SUM(基礎!AM68:AX68)</f>
        <v>9403422.5</v>
      </c>
      <c r="G18" s="7" t="e">
        <f>SUM(基礎!#REF!)</f>
        <v>#REF!</v>
      </c>
      <c r="H18" s="7" t="e">
        <f>SUM(基礎!#REF!)</f>
        <v>#REF!</v>
      </c>
      <c r="I18" s="7" t="e">
        <f>SUM(基礎!#REF!)</f>
        <v>#REF!</v>
      </c>
      <c r="J18" s="7" t="e">
        <f>SUM(基礎!#REF!)</f>
        <v>#REF!</v>
      </c>
      <c r="K18" s="7" t="e">
        <f>SUM(基礎!#REF!)</f>
        <v>#REF!</v>
      </c>
      <c r="L18" s="7" t="e">
        <f>SUM(基礎!#REF!)</f>
        <v>#REF!</v>
      </c>
      <c r="M18" s="21" t="e">
        <f>SUM(基礎!#REF!)</f>
        <v>#REF!</v>
      </c>
    </row>
    <row r="19" spans="2:14">
      <c r="B19" s="505" t="s">
        <v>52</v>
      </c>
      <c r="C19" s="506"/>
      <c r="D19" s="2" t="e">
        <f>SUM(D20:D27)</f>
        <v>#REF!</v>
      </c>
      <c r="E19" s="2">
        <f>SUM(基礎!V69:AG69)</f>
        <v>0</v>
      </c>
      <c r="F19" s="2">
        <f>SUM(基礎!AM69:AX69)</f>
        <v>0</v>
      </c>
      <c r="G19" s="2" t="e">
        <f>SUM(基礎!#REF!)</f>
        <v>#REF!</v>
      </c>
      <c r="H19" s="2" t="e">
        <f>SUM(基礎!#REF!)</f>
        <v>#REF!</v>
      </c>
      <c r="I19" s="2" t="e">
        <f>SUM(基礎!#REF!)</f>
        <v>#REF!</v>
      </c>
      <c r="J19" s="2" t="e">
        <f>SUM(基礎!#REF!)</f>
        <v>#REF!</v>
      </c>
      <c r="K19" s="2" t="e">
        <f>SUM(基礎!#REF!)</f>
        <v>#REF!</v>
      </c>
      <c r="L19" s="2" t="e">
        <f>SUM(基礎!#REF!)</f>
        <v>#REF!</v>
      </c>
      <c r="M19" s="18" t="e">
        <f>SUM(基礎!#REF!)</f>
        <v>#REF!</v>
      </c>
    </row>
    <row r="20" spans="2:14">
      <c r="B20" s="514"/>
      <c r="C20" s="4" t="s">
        <v>45</v>
      </c>
      <c r="D20" s="5">
        <v>0</v>
      </c>
      <c r="E20" s="5">
        <f>SUM(基礎!V70:AG70)</f>
        <v>0</v>
      </c>
      <c r="F20" s="5">
        <f>SUM(基礎!AM70:AX70)</f>
        <v>0</v>
      </c>
      <c r="G20" s="5" t="e">
        <f>SUM(基礎!#REF!)</f>
        <v>#REF!</v>
      </c>
      <c r="H20" s="5" t="e">
        <f>SUM(基礎!#REF!)</f>
        <v>#REF!</v>
      </c>
      <c r="I20" s="5" t="e">
        <f>SUM(基礎!#REF!)</f>
        <v>#REF!</v>
      </c>
      <c r="J20" s="5" t="e">
        <f>SUM(基礎!#REF!)</f>
        <v>#REF!</v>
      </c>
      <c r="K20" s="5" t="e">
        <f>SUM(基礎!#REF!)</f>
        <v>#REF!</v>
      </c>
      <c r="L20" s="5" t="e">
        <f>SUM(基礎!#REF!)</f>
        <v>#REF!</v>
      </c>
      <c r="M20" s="19" t="e">
        <f>SUM(基礎!#REF!)</f>
        <v>#REF!</v>
      </c>
    </row>
    <row r="21" spans="2:14">
      <c r="B21" s="514"/>
      <c r="C21" s="4" t="s">
        <v>46</v>
      </c>
      <c r="D21" s="5">
        <f>SUM(基礎!D71:O71)</f>
        <v>8000000</v>
      </c>
      <c r="E21" s="5">
        <f>SUM(基礎!V71:AG71)</f>
        <v>0</v>
      </c>
      <c r="F21" s="5">
        <f>SUM(基礎!AM71:AX71)</f>
        <v>0</v>
      </c>
      <c r="G21" s="5" t="e">
        <f>SUM(基礎!#REF!)</f>
        <v>#REF!</v>
      </c>
      <c r="H21" s="5" t="e">
        <f>SUM(基礎!#REF!)</f>
        <v>#REF!</v>
      </c>
      <c r="I21" s="5" t="e">
        <f>SUM(基礎!#REF!)</f>
        <v>#REF!</v>
      </c>
      <c r="J21" s="5" t="e">
        <f>SUM(基礎!#REF!)</f>
        <v>#REF!</v>
      </c>
      <c r="K21" s="5" t="e">
        <f>SUM(基礎!#REF!)</f>
        <v>#REF!</v>
      </c>
      <c r="L21" s="5" t="e">
        <f>SUM(基礎!#REF!)</f>
        <v>#REF!</v>
      </c>
      <c r="M21" s="19" t="e">
        <f>SUM(基礎!#REF!)</f>
        <v>#REF!</v>
      </c>
    </row>
    <row r="22" spans="2:14">
      <c r="B22" s="514"/>
      <c r="C22" s="4" t="s">
        <v>51</v>
      </c>
      <c r="D22" s="5">
        <f>SUM(基礎!D72:O72)</f>
        <v>15000000</v>
      </c>
      <c r="E22" s="5">
        <f>SUM(基礎!V72:AG72)</f>
        <v>0</v>
      </c>
      <c r="F22" s="5">
        <f>SUM(基礎!AM72:AX72)</f>
        <v>0</v>
      </c>
      <c r="G22" s="5" t="e">
        <f>SUM(基礎!#REF!)</f>
        <v>#REF!</v>
      </c>
      <c r="H22" s="5" t="e">
        <f>SUM(基礎!#REF!)</f>
        <v>#REF!</v>
      </c>
      <c r="I22" s="5" t="e">
        <f>SUM(基礎!#REF!)</f>
        <v>#REF!</v>
      </c>
      <c r="J22" s="5" t="e">
        <f>SUM(基礎!#REF!)</f>
        <v>#REF!</v>
      </c>
      <c r="K22" s="5" t="e">
        <f>SUM(基礎!#REF!)</f>
        <v>#REF!</v>
      </c>
      <c r="L22" s="5" t="e">
        <f>SUM(基礎!#REF!)</f>
        <v>#REF!</v>
      </c>
      <c r="M22" s="19" t="e">
        <f>SUM(基礎!#REF!)</f>
        <v>#REF!</v>
      </c>
    </row>
    <row r="23" spans="2:14">
      <c r="B23" s="514"/>
      <c r="C23" s="4" t="s">
        <v>47</v>
      </c>
      <c r="D23" s="5">
        <f>SUM(基礎!D73:O73)</f>
        <v>0</v>
      </c>
      <c r="E23" s="5">
        <f>SUM(基礎!V73:AG73)</f>
        <v>0</v>
      </c>
      <c r="F23" s="5">
        <f>SUM(基礎!AM73:AX73)</f>
        <v>0</v>
      </c>
      <c r="G23" s="5" t="e">
        <f>SUM(基礎!#REF!)</f>
        <v>#REF!</v>
      </c>
      <c r="H23" s="5" t="e">
        <f>SUM(基礎!#REF!)</f>
        <v>#REF!</v>
      </c>
      <c r="I23" s="5" t="e">
        <f>SUM(基礎!#REF!)</f>
        <v>#REF!</v>
      </c>
      <c r="J23" s="5" t="e">
        <f>SUM(基礎!#REF!)</f>
        <v>#REF!</v>
      </c>
      <c r="K23" s="5" t="e">
        <f>SUM(基礎!#REF!)</f>
        <v>#REF!</v>
      </c>
      <c r="L23" s="5" t="e">
        <f>SUM(基礎!#REF!)</f>
        <v>#REF!</v>
      </c>
      <c r="M23" s="19" t="e">
        <f>SUM(基礎!#REF!)</f>
        <v>#REF!</v>
      </c>
    </row>
    <row r="24" spans="2:14">
      <c r="B24" s="514"/>
      <c r="C24" s="4" t="s">
        <v>48</v>
      </c>
      <c r="D24" s="5" t="e">
        <f>SUM(基礎!#REF!)</f>
        <v>#REF!</v>
      </c>
      <c r="E24" s="5" t="e">
        <f>SUM(基礎!#REF!)</f>
        <v>#REF!</v>
      </c>
      <c r="F24" s="5" t="e">
        <f>SUM(基礎!#REF!)</f>
        <v>#REF!</v>
      </c>
      <c r="G24" s="5" t="e">
        <f>SUM(基礎!#REF!)</f>
        <v>#REF!</v>
      </c>
      <c r="H24" s="5" t="e">
        <f>SUM(基礎!#REF!)</f>
        <v>#REF!</v>
      </c>
      <c r="I24" s="5" t="e">
        <f>SUM(基礎!#REF!)</f>
        <v>#REF!</v>
      </c>
      <c r="J24" s="5" t="e">
        <f>SUM(基礎!#REF!)</f>
        <v>#REF!</v>
      </c>
      <c r="K24" s="5" t="e">
        <f>SUM(基礎!#REF!)</f>
        <v>#REF!</v>
      </c>
      <c r="L24" s="5" t="e">
        <f>SUM(基礎!#REF!)</f>
        <v>#REF!</v>
      </c>
      <c r="M24" s="19" t="e">
        <f>SUM(基礎!#REF!)</f>
        <v>#REF!</v>
      </c>
    </row>
    <row r="25" spans="2:14">
      <c r="B25" s="514"/>
      <c r="C25" s="4" t="s">
        <v>49</v>
      </c>
      <c r="D25" s="5" t="e">
        <f>SUM(基礎!#REF!)</f>
        <v>#REF!</v>
      </c>
      <c r="E25" s="5" t="e">
        <f>SUM(基礎!#REF!)</f>
        <v>#REF!</v>
      </c>
      <c r="F25" s="5" t="e">
        <f>SUM(基礎!#REF!)</f>
        <v>#REF!</v>
      </c>
      <c r="G25" s="5" t="e">
        <f>SUM(基礎!#REF!)</f>
        <v>#REF!</v>
      </c>
      <c r="H25" s="5" t="e">
        <f>SUM(基礎!#REF!)</f>
        <v>#REF!</v>
      </c>
      <c r="I25" s="5" t="e">
        <f>SUM(基礎!#REF!)</f>
        <v>#REF!</v>
      </c>
      <c r="J25" s="5" t="e">
        <f>SUM(基礎!#REF!)</f>
        <v>#REF!</v>
      </c>
      <c r="K25" s="5" t="e">
        <f>SUM(基礎!#REF!)</f>
        <v>#REF!</v>
      </c>
      <c r="L25" s="5" t="e">
        <f>SUM(基礎!#REF!)</f>
        <v>#REF!</v>
      </c>
      <c r="M25" s="19" t="e">
        <f>SUM(基礎!#REF!)</f>
        <v>#REF!</v>
      </c>
    </row>
    <row r="26" spans="2:14">
      <c r="B26" s="514"/>
      <c r="C26" s="4" t="s">
        <v>64</v>
      </c>
      <c r="D26" s="5">
        <f>SUM(基礎!D74:O74)</f>
        <v>0</v>
      </c>
      <c r="E26" s="5">
        <f>SUM(基礎!V74:AG74)</f>
        <v>0</v>
      </c>
      <c r="F26" s="5">
        <f>SUM(基礎!AM74:AX74)</f>
        <v>0</v>
      </c>
      <c r="G26" s="5" t="e">
        <f>SUM(基礎!#REF!)</f>
        <v>#REF!</v>
      </c>
      <c r="H26" s="5" t="e">
        <f>SUM(基礎!#REF!)</f>
        <v>#REF!</v>
      </c>
      <c r="I26" s="5" t="e">
        <f>SUM(基礎!#REF!)</f>
        <v>#REF!</v>
      </c>
      <c r="J26" s="5" t="e">
        <f>SUM(基礎!#REF!)</f>
        <v>#REF!</v>
      </c>
      <c r="K26" s="5" t="e">
        <f>SUM(基礎!#REF!)</f>
        <v>#REF!</v>
      </c>
      <c r="L26" s="5" t="e">
        <f>SUM(基礎!#REF!)</f>
        <v>#REF!</v>
      </c>
      <c r="M26" s="19" t="e">
        <f>SUM(基礎!#REF!)</f>
        <v>#REF!</v>
      </c>
    </row>
    <row r="27" spans="2:14">
      <c r="B27" s="507"/>
      <c r="C27" s="4" t="s">
        <v>50</v>
      </c>
      <c r="D27" s="5">
        <f>SUM(基礎!D76:O76)</f>
        <v>0</v>
      </c>
      <c r="E27" s="5">
        <f>SUM(基礎!V76:AG76)</f>
        <v>0</v>
      </c>
      <c r="F27" s="5">
        <f>SUM(基礎!AM76:AX76)</f>
        <v>0</v>
      </c>
      <c r="G27" s="5" t="e">
        <f>SUM(基礎!#REF!)</f>
        <v>#REF!</v>
      </c>
      <c r="H27" s="5" t="e">
        <f>SUM(基礎!#REF!)</f>
        <v>#REF!</v>
      </c>
      <c r="I27" s="5" t="e">
        <f>SUM(基礎!#REF!)</f>
        <v>#REF!</v>
      </c>
      <c r="J27" s="5" t="e">
        <f>SUM(基礎!#REF!)</f>
        <v>#REF!</v>
      </c>
      <c r="K27" s="5" t="e">
        <f>SUM(基礎!#REF!)</f>
        <v>#REF!</v>
      </c>
      <c r="L27" s="5" t="e">
        <f>SUM(基礎!#REF!)</f>
        <v>#REF!</v>
      </c>
      <c r="M27" s="19" t="e">
        <f>SUM(基礎!#REF!)</f>
        <v>#REF!</v>
      </c>
    </row>
    <row r="28" spans="2:14">
      <c r="B28" s="509" t="s">
        <v>53</v>
      </c>
      <c r="C28" s="510"/>
      <c r="D28" s="3" t="e">
        <f>SUM(D29:D35)</f>
        <v>#REF!</v>
      </c>
      <c r="E28" s="3" t="e">
        <f t="shared" ref="E28:N28" si="1">SUM(E29:E35)</f>
        <v>#REF!</v>
      </c>
      <c r="F28" s="3" t="e">
        <f t="shared" si="1"/>
        <v>#REF!</v>
      </c>
      <c r="G28" s="3" t="e">
        <f t="shared" si="1"/>
        <v>#REF!</v>
      </c>
      <c r="H28" s="3" t="e">
        <f t="shared" si="1"/>
        <v>#REF!</v>
      </c>
      <c r="I28" s="3" t="e">
        <f t="shared" si="1"/>
        <v>#REF!</v>
      </c>
      <c r="J28" s="3" t="e">
        <f t="shared" si="1"/>
        <v>#REF!</v>
      </c>
      <c r="K28" s="3" t="e">
        <f t="shared" si="1"/>
        <v>#REF!</v>
      </c>
      <c r="L28" s="3" t="e">
        <f t="shared" si="1"/>
        <v>#REF!</v>
      </c>
      <c r="M28" s="3" t="e">
        <f t="shared" si="1"/>
        <v>#REF!</v>
      </c>
      <c r="N28" s="3">
        <f t="shared" si="1"/>
        <v>0</v>
      </c>
    </row>
    <row r="29" spans="2:14">
      <c r="B29" s="515"/>
      <c r="C29" s="4" t="s">
        <v>55</v>
      </c>
      <c r="D29" s="5">
        <v>24000</v>
      </c>
      <c r="E29" s="5">
        <v>24000</v>
      </c>
      <c r="F29" s="5">
        <v>24000</v>
      </c>
      <c r="G29" s="5">
        <v>24000</v>
      </c>
      <c r="H29" s="5">
        <v>24000</v>
      </c>
      <c r="I29" s="5">
        <v>0</v>
      </c>
      <c r="J29" s="5">
        <v>0</v>
      </c>
      <c r="K29" s="5">
        <v>0</v>
      </c>
      <c r="L29" s="5">
        <v>0</v>
      </c>
      <c r="M29" s="19">
        <v>0</v>
      </c>
    </row>
    <row r="30" spans="2:14">
      <c r="B30" s="515"/>
      <c r="C30" s="4" t="s">
        <v>54</v>
      </c>
      <c r="D30" s="5">
        <f>SUM(基礎!D79:O79)</f>
        <v>399000</v>
      </c>
      <c r="E30" s="5">
        <f>SUM(基礎!V79:AG79)</f>
        <v>684000</v>
      </c>
      <c r="F30" s="5">
        <f>SUM(基礎!AM79:AX79)</f>
        <v>627000</v>
      </c>
      <c r="G30" s="5" t="e">
        <f>SUM(基礎!#REF!)</f>
        <v>#REF!</v>
      </c>
      <c r="H30" s="5" t="e">
        <f>SUM(基礎!#REF!)</f>
        <v>#REF!</v>
      </c>
      <c r="I30" s="5" t="e">
        <f>SUM(基礎!#REF!)</f>
        <v>#REF!</v>
      </c>
      <c r="J30" s="5" t="e">
        <f>SUM(基礎!#REF!)</f>
        <v>#REF!</v>
      </c>
      <c r="K30" s="5" t="e">
        <f>SUM(基礎!#REF!)</f>
        <v>#REF!</v>
      </c>
      <c r="L30" s="5" t="e">
        <f>SUM(基礎!#REF!)</f>
        <v>#REF!</v>
      </c>
      <c r="M30" s="19" t="e">
        <f>SUM(基礎!#REF!)</f>
        <v>#REF!</v>
      </c>
    </row>
    <row r="31" spans="2:14">
      <c r="B31" s="515"/>
      <c r="C31" s="4" t="s">
        <v>56</v>
      </c>
      <c r="D31" s="5" t="e">
        <f>SUM(基礎!#REF!)</f>
        <v>#REF!</v>
      </c>
      <c r="E31" s="5" t="e">
        <f>SUM(基礎!#REF!)</f>
        <v>#REF!</v>
      </c>
      <c r="F31" s="5" t="e">
        <f>SUM(基礎!#REF!)</f>
        <v>#REF!</v>
      </c>
      <c r="G31" s="5" t="e">
        <f>SUM(基礎!#REF!)</f>
        <v>#REF!</v>
      </c>
      <c r="H31" s="5" t="e">
        <f>SUM(基礎!#REF!)</f>
        <v>#REF!</v>
      </c>
      <c r="I31" s="5" t="e">
        <f>SUM(基礎!#REF!)</f>
        <v>#REF!</v>
      </c>
      <c r="J31" s="5" t="e">
        <f>SUM(基礎!#REF!)</f>
        <v>#REF!</v>
      </c>
      <c r="K31" s="5" t="e">
        <f>SUM(基礎!#REF!)</f>
        <v>#REF!</v>
      </c>
      <c r="L31" s="5" t="e">
        <f>SUM(基礎!#REF!)</f>
        <v>#REF!</v>
      </c>
      <c r="M31" s="19" t="e">
        <f>SUM(基礎!#REF!)</f>
        <v>#REF!</v>
      </c>
    </row>
    <row r="32" spans="2:14">
      <c r="B32" s="515"/>
      <c r="C32" s="4" t="s">
        <v>57</v>
      </c>
      <c r="D32" s="5" t="e">
        <f>SUM(基礎!#REF!)</f>
        <v>#REF!</v>
      </c>
      <c r="E32" s="5" t="e">
        <f>SUM(基礎!#REF!)</f>
        <v>#REF!</v>
      </c>
      <c r="F32" s="5" t="e">
        <f>SUM(基礎!#REF!)</f>
        <v>#REF!</v>
      </c>
      <c r="G32" s="5" t="e">
        <f>SUM(基礎!#REF!)</f>
        <v>#REF!</v>
      </c>
      <c r="H32" s="5" t="e">
        <f>SUM(基礎!#REF!)</f>
        <v>#REF!</v>
      </c>
      <c r="I32" s="5" t="e">
        <f>SUM(基礎!#REF!)</f>
        <v>#REF!</v>
      </c>
      <c r="J32" s="5" t="e">
        <f>SUM(基礎!#REF!)</f>
        <v>#REF!</v>
      </c>
      <c r="K32" s="5" t="e">
        <f>SUM(基礎!#REF!)</f>
        <v>#REF!</v>
      </c>
      <c r="L32" s="5" t="e">
        <f>SUM(基礎!#REF!)</f>
        <v>#REF!</v>
      </c>
      <c r="M32" s="19" t="e">
        <f>SUM(基礎!#REF!)</f>
        <v>#REF!</v>
      </c>
    </row>
    <row r="33" spans="2:14">
      <c r="B33" s="515"/>
      <c r="C33" s="4" t="s">
        <v>79</v>
      </c>
      <c r="D33" s="5" t="e">
        <f>SUM(基礎!#REF!)</f>
        <v>#REF!</v>
      </c>
      <c r="E33" s="5" t="e">
        <f>SUM(基礎!#REF!)</f>
        <v>#REF!</v>
      </c>
      <c r="F33" s="5" t="e">
        <f>SUM(基礎!#REF!)</f>
        <v>#REF!</v>
      </c>
      <c r="G33" s="5" t="e">
        <f>SUM(基礎!#REF!)</f>
        <v>#REF!</v>
      </c>
      <c r="H33" s="5" t="e">
        <f>SUM(基礎!#REF!)</f>
        <v>#REF!</v>
      </c>
      <c r="I33" s="5" t="e">
        <f>SUM(基礎!#REF!)</f>
        <v>#REF!</v>
      </c>
      <c r="J33" s="5" t="e">
        <f>SUM(基礎!#REF!)</f>
        <v>#REF!</v>
      </c>
      <c r="K33" s="5" t="e">
        <f>SUM(基礎!#REF!)</f>
        <v>#REF!</v>
      </c>
      <c r="L33" s="5" t="e">
        <f>SUM(基礎!#REF!)</f>
        <v>#REF!</v>
      </c>
      <c r="M33" s="19" t="e">
        <f>SUM(基礎!#REF!)</f>
        <v>#REF!</v>
      </c>
    </row>
    <row r="34" spans="2:14">
      <c r="B34" s="515"/>
      <c r="C34" s="4" t="s">
        <v>78</v>
      </c>
      <c r="D34" s="5">
        <f>SUM(基礎!D80:O80)</f>
        <v>3000000</v>
      </c>
      <c r="E34" s="5">
        <f>SUM(基礎!V80:AG80)</f>
        <v>0</v>
      </c>
      <c r="F34" s="5">
        <f>SUM(基礎!AM80:AX80)</f>
        <v>0</v>
      </c>
      <c r="G34" s="5" t="e">
        <f>SUM(基礎!#REF!)</f>
        <v>#REF!</v>
      </c>
      <c r="H34" s="5" t="e">
        <f>SUM(基礎!#REF!)</f>
        <v>#REF!</v>
      </c>
      <c r="I34" s="5" t="e">
        <f>SUM(基礎!#REF!)</f>
        <v>#REF!</v>
      </c>
      <c r="J34" s="5" t="e">
        <f>SUM(基礎!#REF!)</f>
        <v>#REF!</v>
      </c>
      <c r="K34" s="5" t="e">
        <f>SUM(基礎!#REF!)</f>
        <v>#REF!</v>
      </c>
      <c r="L34" s="5" t="e">
        <f>SUM(基礎!#REF!)</f>
        <v>#REF!</v>
      </c>
      <c r="M34" s="19" t="e">
        <f>SUM(基礎!#REF!)</f>
        <v>#REF!</v>
      </c>
    </row>
    <row r="35" spans="2:14">
      <c r="B35" s="499"/>
      <c r="C35" s="4" t="s">
        <v>50</v>
      </c>
      <c r="D35" s="5">
        <f>SUM(基礎!D82:O82)</f>
        <v>0</v>
      </c>
      <c r="E35" s="5">
        <f>SUM(基礎!V82:AG82)</f>
        <v>0</v>
      </c>
      <c r="F35" s="5">
        <f>SUM(基礎!AM82:AX82)</f>
        <v>0</v>
      </c>
      <c r="G35" s="5" t="e">
        <f>SUM(基礎!#REF!)</f>
        <v>#REF!</v>
      </c>
      <c r="H35" s="5" t="e">
        <f>SUM(基礎!#REF!)</f>
        <v>#REF!</v>
      </c>
      <c r="I35" s="5" t="e">
        <f>SUM(基礎!#REF!)</f>
        <v>#REF!</v>
      </c>
      <c r="J35" s="5" t="e">
        <f>SUM(基礎!#REF!)</f>
        <v>#REF!</v>
      </c>
      <c r="K35" s="5" t="e">
        <f>SUM(基礎!#REF!)</f>
        <v>#REF!</v>
      </c>
      <c r="L35" s="5" t="e">
        <f>SUM(基礎!#REF!)</f>
        <v>#REF!</v>
      </c>
      <c r="M35" s="19" t="e">
        <f>SUM(基礎!#REF!)</f>
        <v>#REF!</v>
      </c>
    </row>
    <row r="36" spans="2:14">
      <c r="B36" s="516" t="s">
        <v>58</v>
      </c>
      <c r="C36" s="517"/>
      <c r="D36" s="7" t="e">
        <f>D19-D28</f>
        <v>#REF!</v>
      </c>
      <c r="E36" s="7" t="e">
        <f t="shared" ref="E36:M36" si="2">E19-E28</f>
        <v>#REF!</v>
      </c>
      <c r="F36" s="7" t="e">
        <f t="shared" si="2"/>
        <v>#REF!</v>
      </c>
      <c r="G36" s="7" t="e">
        <f t="shared" si="2"/>
        <v>#REF!</v>
      </c>
      <c r="H36" s="7" t="e">
        <f t="shared" si="2"/>
        <v>#REF!</v>
      </c>
      <c r="I36" s="7" t="e">
        <f t="shared" si="2"/>
        <v>#REF!</v>
      </c>
      <c r="J36" s="7" t="e">
        <f t="shared" si="2"/>
        <v>#REF!</v>
      </c>
      <c r="K36" s="7" t="e">
        <f t="shared" si="2"/>
        <v>#REF!</v>
      </c>
      <c r="L36" s="7" t="e">
        <f t="shared" si="2"/>
        <v>#REF!</v>
      </c>
      <c r="M36" s="21" t="e">
        <f t="shared" si="2"/>
        <v>#REF!</v>
      </c>
    </row>
    <row r="37" spans="2:14">
      <c r="B37" s="518" t="s">
        <v>70</v>
      </c>
      <c r="C37" s="519"/>
      <c r="D37" s="8" t="e">
        <f t="shared" ref="D37:M37" si="3">D18+D36</f>
        <v>#REF!</v>
      </c>
      <c r="E37" s="8" t="e">
        <f t="shared" si="3"/>
        <v>#REF!</v>
      </c>
      <c r="F37" s="8" t="e">
        <f t="shared" si="3"/>
        <v>#REF!</v>
      </c>
      <c r="G37" s="8" t="e">
        <f t="shared" si="3"/>
        <v>#REF!</v>
      </c>
      <c r="H37" s="8" t="e">
        <f t="shared" si="3"/>
        <v>#REF!</v>
      </c>
      <c r="I37" s="8" t="e">
        <f t="shared" si="3"/>
        <v>#REF!</v>
      </c>
      <c r="J37" s="8" t="e">
        <f t="shared" si="3"/>
        <v>#REF!</v>
      </c>
      <c r="K37" s="8" t="e">
        <f t="shared" si="3"/>
        <v>#REF!</v>
      </c>
      <c r="L37" s="8" t="e">
        <f t="shared" si="3"/>
        <v>#REF!</v>
      </c>
      <c r="M37" s="22" t="e">
        <f t="shared" si="3"/>
        <v>#REF!</v>
      </c>
    </row>
    <row r="38" spans="2:14">
      <c r="B38" s="520" t="s">
        <v>89</v>
      </c>
      <c r="C38" s="521"/>
      <c r="D38" s="11">
        <f>PL!D28</f>
        <v>0</v>
      </c>
      <c r="E38" s="11">
        <f>PL!E28</f>
        <v>579164.6</v>
      </c>
      <c r="F38" s="11">
        <f>PL!F28</f>
        <v>17192711.199999999</v>
      </c>
      <c r="G38" s="11" t="e">
        <f>PL!#REF!</f>
        <v>#REF!</v>
      </c>
      <c r="H38" s="11" t="e">
        <f>PL!#REF!</f>
        <v>#REF!</v>
      </c>
      <c r="I38" s="11" t="e">
        <f>PL!#REF!</f>
        <v>#REF!</v>
      </c>
      <c r="J38" s="11" t="e">
        <f>PL!#REF!</f>
        <v>#REF!</v>
      </c>
      <c r="K38" s="11" t="e">
        <f>PL!#REF!</f>
        <v>#REF!</v>
      </c>
      <c r="L38" s="11" t="e">
        <f>PL!#REF!</f>
        <v>#REF!</v>
      </c>
      <c r="M38" s="23" t="e">
        <f>PL!#REF!</f>
        <v>#REF!</v>
      </c>
    </row>
    <row r="39" spans="2:14">
      <c r="B39" s="518" t="s">
        <v>90</v>
      </c>
      <c r="C39" s="519"/>
      <c r="D39" s="8" t="e">
        <f>D37-D38</f>
        <v>#REF!</v>
      </c>
      <c r="E39" s="8" t="e">
        <f t="shared" ref="E39:M39" si="4">E37-E38</f>
        <v>#REF!</v>
      </c>
      <c r="F39" s="8" t="e">
        <f t="shared" si="4"/>
        <v>#REF!</v>
      </c>
      <c r="G39" s="8" t="e">
        <f t="shared" si="4"/>
        <v>#REF!</v>
      </c>
      <c r="H39" s="8" t="e">
        <f t="shared" si="4"/>
        <v>#REF!</v>
      </c>
      <c r="I39" s="8" t="e">
        <f t="shared" si="4"/>
        <v>#REF!</v>
      </c>
      <c r="J39" s="8" t="e">
        <f t="shared" si="4"/>
        <v>#REF!</v>
      </c>
      <c r="K39" s="8" t="e">
        <f t="shared" si="4"/>
        <v>#REF!</v>
      </c>
      <c r="L39" s="8" t="e">
        <f t="shared" si="4"/>
        <v>#REF!</v>
      </c>
      <c r="M39" s="22" t="e">
        <f t="shared" si="4"/>
        <v>#REF!</v>
      </c>
    </row>
    <row r="40" spans="2:14" ht="14.25" thickBot="1">
      <c r="B40" s="522" t="s">
        <v>77</v>
      </c>
      <c r="C40" s="523"/>
      <c r="D40" s="24" t="e">
        <f>D4+D39</f>
        <v>#REF!</v>
      </c>
      <c r="E40" s="24" t="e">
        <f>E4+E39</f>
        <v>#REF!</v>
      </c>
      <c r="F40" s="24" t="e">
        <f t="shared" ref="F40:M40" si="5">F4+F39</f>
        <v>#REF!</v>
      </c>
      <c r="G40" s="24" t="e">
        <f t="shared" si="5"/>
        <v>#REF!</v>
      </c>
      <c r="H40" s="24" t="e">
        <f t="shared" si="5"/>
        <v>#REF!</v>
      </c>
      <c r="I40" s="24" t="e">
        <f t="shared" si="5"/>
        <v>#REF!</v>
      </c>
      <c r="J40" s="24" t="e">
        <f t="shared" si="5"/>
        <v>#REF!</v>
      </c>
      <c r="K40" s="24" t="e">
        <f t="shared" si="5"/>
        <v>#REF!</v>
      </c>
      <c r="L40" s="24" t="e">
        <f t="shared" si="5"/>
        <v>#REF!</v>
      </c>
      <c r="M40" s="25" t="e">
        <f t="shared" si="5"/>
        <v>#REF!</v>
      </c>
    </row>
    <row r="42" spans="2:14">
      <c r="B42" s="511" t="s">
        <v>91</v>
      </c>
      <c r="C42" s="511"/>
      <c r="D42" s="12" t="e">
        <f>D37</f>
        <v>#REF!</v>
      </c>
      <c r="E42" s="12" t="e">
        <f>E37/(1+$N$42)^(E1-1)</f>
        <v>#REF!</v>
      </c>
      <c r="F42" s="12" t="e">
        <f t="shared" ref="F42:M42" si="6">F37/(1+$N$42)^(F1)</f>
        <v>#REF!</v>
      </c>
      <c r="G42" s="12" t="e">
        <f t="shared" si="6"/>
        <v>#REF!</v>
      </c>
      <c r="H42" s="12" t="e">
        <f t="shared" si="6"/>
        <v>#REF!</v>
      </c>
      <c r="I42" s="12" t="e">
        <f t="shared" si="6"/>
        <v>#REF!</v>
      </c>
      <c r="J42" s="12" t="e">
        <f t="shared" si="6"/>
        <v>#REF!</v>
      </c>
      <c r="K42" s="12" t="e">
        <f t="shared" si="6"/>
        <v>#REF!</v>
      </c>
      <c r="L42" s="12" t="e">
        <f t="shared" si="6"/>
        <v>#REF!</v>
      </c>
      <c r="M42" s="12" t="e">
        <f t="shared" si="6"/>
        <v>#REF!</v>
      </c>
      <c r="N42" s="9">
        <v>1.4999999999999999E-2</v>
      </c>
    </row>
    <row r="43" spans="2:14">
      <c r="B43" s="511" t="s">
        <v>92</v>
      </c>
      <c r="C43" s="511"/>
      <c r="D43" s="12" t="e">
        <f>D39/(1+$N$42)</f>
        <v>#REF!</v>
      </c>
      <c r="E43" s="12" t="e">
        <f>E39/(1+$N$42)^(E1)</f>
        <v>#REF!</v>
      </c>
      <c r="F43" s="12" t="e">
        <f t="shared" ref="F43:M43" si="7">F39/(1+$N$42)^(F1)</f>
        <v>#REF!</v>
      </c>
      <c r="G43" s="12" t="e">
        <f t="shared" si="7"/>
        <v>#REF!</v>
      </c>
      <c r="H43" s="12" t="e">
        <f t="shared" si="7"/>
        <v>#REF!</v>
      </c>
      <c r="I43" s="12" t="e">
        <f t="shared" si="7"/>
        <v>#REF!</v>
      </c>
      <c r="J43" s="12" t="e">
        <f t="shared" si="7"/>
        <v>#REF!</v>
      </c>
      <c r="K43" s="12" t="e">
        <f t="shared" si="7"/>
        <v>#REF!</v>
      </c>
      <c r="L43" s="12" t="e">
        <f t="shared" si="7"/>
        <v>#REF!</v>
      </c>
      <c r="M43" s="12" t="e">
        <f t="shared" si="7"/>
        <v>#REF!</v>
      </c>
      <c r="N43" s="9">
        <v>1.4999999999999999E-2</v>
      </c>
    </row>
    <row r="45" spans="2:14">
      <c r="B45" t="s">
        <v>93</v>
      </c>
    </row>
    <row r="46" spans="2:14">
      <c r="B46" s="526" t="s">
        <v>94</v>
      </c>
      <c r="C46" s="526"/>
      <c r="D46" s="526"/>
      <c r="E46" s="527" t="e">
        <f>SUM(D42:M42)</f>
        <v>#REF!</v>
      </c>
      <c r="F46" s="528"/>
    </row>
    <row r="47" spans="2:14">
      <c r="B47" s="526" t="s">
        <v>95</v>
      </c>
      <c r="C47" s="526"/>
      <c r="D47" s="526"/>
      <c r="E47" s="527" t="e">
        <f>SUM(D43:M43)</f>
        <v>#REF!</v>
      </c>
      <c r="F47" s="528"/>
    </row>
    <row r="48" spans="2:14" ht="14.25" thickBot="1"/>
    <row r="49" spans="2:10" ht="15.75" customHeight="1">
      <c r="B49" s="529"/>
      <c r="C49" s="530"/>
      <c r="D49" s="530"/>
      <c r="E49" s="530"/>
      <c r="F49" s="530"/>
      <c r="G49" s="530" t="s">
        <v>100</v>
      </c>
      <c r="H49" s="530"/>
      <c r="I49" s="530" t="s">
        <v>101</v>
      </c>
      <c r="J49" s="547"/>
    </row>
    <row r="50" spans="2:10" ht="15.75" customHeight="1">
      <c r="B50" s="548" t="s">
        <v>97</v>
      </c>
      <c r="C50" s="526"/>
      <c r="D50" s="526"/>
      <c r="E50" s="526"/>
      <c r="F50" s="526"/>
      <c r="G50" s="527" t="e">
        <f>E46</f>
        <v>#REF!</v>
      </c>
      <c r="H50" s="528"/>
      <c r="I50" s="549">
        <f>66.7%</f>
        <v>0.66700000000000004</v>
      </c>
      <c r="J50" s="550"/>
    </row>
    <row r="51" spans="2:10" ht="15.75" customHeight="1" thickBot="1">
      <c r="B51" s="551" t="s">
        <v>98</v>
      </c>
      <c r="C51" s="552"/>
      <c r="D51" s="552"/>
      <c r="E51" s="552"/>
      <c r="F51" s="552"/>
      <c r="G51" s="553">
        <v>0</v>
      </c>
      <c r="H51" s="553"/>
      <c r="I51" s="524">
        <v>0.33300000000000002</v>
      </c>
      <c r="J51" s="525"/>
    </row>
    <row r="52" spans="2:10" ht="19.5" customHeight="1" thickBot="1">
      <c r="B52" s="537" t="s">
        <v>99</v>
      </c>
      <c r="C52" s="538"/>
      <c r="D52" s="538"/>
      <c r="E52" s="538"/>
      <c r="F52" s="538"/>
      <c r="G52" s="539" t="e">
        <f>G50*I50+G51*I51</f>
        <v>#REF!</v>
      </c>
      <c r="H52" s="539"/>
      <c r="I52" s="540"/>
      <c r="J52" s="541"/>
    </row>
    <row r="53" spans="2:10" ht="15.75" customHeight="1">
      <c r="B53" s="542" t="s">
        <v>102</v>
      </c>
      <c r="C53" s="543"/>
      <c r="D53" s="543"/>
      <c r="E53" s="543"/>
      <c r="F53" s="543"/>
      <c r="G53" s="544" t="e">
        <f>G52*1.1</f>
        <v>#REF!</v>
      </c>
      <c r="H53" s="544"/>
      <c r="I53" s="545">
        <v>0.1</v>
      </c>
      <c r="J53" s="546"/>
    </row>
    <row r="54" spans="2:10" ht="15.75" customHeight="1" thickBot="1">
      <c r="B54" s="532" t="s">
        <v>103</v>
      </c>
      <c r="C54" s="533"/>
      <c r="D54" s="533"/>
      <c r="E54" s="533"/>
      <c r="F54" s="533"/>
      <c r="G54" s="534" t="e">
        <f>G52*0.9</f>
        <v>#REF!</v>
      </c>
      <c r="H54" s="534"/>
      <c r="I54" s="535">
        <v>-0.1</v>
      </c>
      <c r="J54" s="536"/>
    </row>
    <row r="55" spans="2:10">
      <c r="B55" s="26"/>
    </row>
  </sheetData>
  <mergeCells count="41">
    <mergeCell ref="B2:E2"/>
    <mergeCell ref="B54:F54"/>
    <mergeCell ref="G54:H54"/>
    <mergeCell ref="I54:J54"/>
    <mergeCell ref="B52:F52"/>
    <mergeCell ref="G52:H52"/>
    <mergeCell ref="I52:J52"/>
    <mergeCell ref="B53:F53"/>
    <mergeCell ref="G53:H53"/>
    <mergeCell ref="I53:J53"/>
    <mergeCell ref="I49:J49"/>
    <mergeCell ref="B50:F50"/>
    <mergeCell ref="G50:H50"/>
    <mergeCell ref="I50:J50"/>
    <mergeCell ref="B51:F51"/>
    <mergeCell ref="G51:H51"/>
    <mergeCell ref="I51:J51"/>
    <mergeCell ref="B46:D46"/>
    <mergeCell ref="E46:F46"/>
    <mergeCell ref="B47:D47"/>
    <mergeCell ref="E47:F47"/>
    <mergeCell ref="B49:F49"/>
    <mergeCell ref="G49:H49"/>
    <mergeCell ref="B43:C43"/>
    <mergeCell ref="B18:C18"/>
    <mergeCell ref="B19:C19"/>
    <mergeCell ref="B20:B27"/>
    <mergeCell ref="B28:C28"/>
    <mergeCell ref="B29:B35"/>
    <mergeCell ref="B36:C36"/>
    <mergeCell ref="B37:C37"/>
    <mergeCell ref="B38:C38"/>
    <mergeCell ref="B39:C39"/>
    <mergeCell ref="B40:C40"/>
    <mergeCell ref="B42:C42"/>
    <mergeCell ref="B11:B17"/>
    <mergeCell ref="B3:C3"/>
    <mergeCell ref="B4:C4"/>
    <mergeCell ref="B5:C5"/>
    <mergeCell ref="B6:B9"/>
    <mergeCell ref="B10:C10"/>
  </mergeCells>
  <phoneticPr fontId="2"/>
  <pageMargins left="0.25" right="0.25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N55"/>
  <sheetViews>
    <sheetView topLeftCell="A2" workbookViewId="0">
      <selection activeCell="B3" sqref="B3:C3"/>
    </sheetView>
  </sheetViews>
  <sheetFormatPr defaultRowHeight="13.5"/>
  <cols>
    <col min="1" max="1" width="1.875" customWidth="1"/>
    <col min="2" max="2" width="3.875" customWidth="1"/>
    <col min="3" max="3" width="16.125" customWidth="1"/>
    <col min="4" max="13" width="7.875" customWidth="1"/>
    <col min="14" max="14" width="9" hidden="1" customWidth="1"/>
  </cols>
  <sheetData>
    <row r="1" spans="2:13" hidden="1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</row>
    <row r="2" spans="2:13" ht="23.25" customHeight="1" thickBot="1">
      <c r="B2" s="531" t="s">
        <v>106</v>
      </c>
      <c r="C2" s="531"/>
      <c r="D2" s="531"/>
      <c r="E2" s="531"/>
      <c r="M2" s="13" t="s">
        <v>96</v>
      </c>
    </row>
    <row r="3" spans="2:13" ht="14.25" thickBot="1">
      <c r="B3" s="501"/>
      <c r="C3" s="502"/>
      <c r="D3" s="15" t="s">
        <v>71</v>
      </c>
      <c r="E3" s="15" t="s">
        <v>72</v>
      </c>
      <c r="F3" s="15" t="s">
        <v>73</v>
      </c>
      <c r="G3" s="15" t="s">
        <v>74</v>
      </c>
      <c r="H3" s="15" t="s">
        <v>75</v>
      </c>
      <c r="I3" s="15" t="s">
        <v>83</v>
      </c>
      <c r="J3" s="15" t="s">
        <v>84</v>
      </c>
      <c r="K3" s="15" t="s">
        <v>85</v>
      </c>
      <c r="L3" s="15" t="s">
        <v>86</v>
      </c>
      <c r="M3" s="16" t="s">
        <v>87</v>
      </c>
    </row>
    <row r="4" spans="2:13" ht="14.25" thickTop="1">
      <c r="B4" s="503" t="s">
        <v>76</v>
      </c>
      <c r="C4" s="504"/>
      <c r="D4" s="14">
        <v>0</v>
      </c>
      <c r="E4" s="14" t="e">
        <f t="shared" ref="E4:M4" si="0">D40</f>
        <v>#REF!</v>
      </c>
      <c r="F4" s="14" t="e">
        <f t="shared" si="0"/>
        <v>#REF!</v>
      </c>
      <c r="G4" s="14" t="e">
        <f t="shared" si="0"/>
        <v>#REF!</v>
      </c>
      <c r="H4" s="14" t="e">
        <f t="shared" si="0"/>
        <v>#REF!</v>
      </c>
      <c r="I4" s="14" t="e">
        <f t="shared" si="0"/>
        <v>#REF!</v>
      </c>
      <c r="J4" s="14" t="e">
        <f t="shared" si="0"/>
        <v>#REF!</v>
      </c>
      <c r="K4" s="14" t="e">
        <f t="shared" si="0"/>
        <v>#REF!</v>
      </c>
      <c r="L4" s="14" t="e">
        <f t="shared" si="0"/>
        <v>#REF!</v>
      </c>
      <c r="M4" s="17" t="e">
        <f t="shared" si="0"/>
        <v>#REF!</v>
      </c>
    </row>
    <row r="5" spans="2:13">
      <c r="B5" s="505" t="s">
        <v>34</v>
      </c>
      <c r="C5" s="506"/>
      <c r="D5" s="2">
        <f>SUM(基礎!D55:O55)</f>
        <v>39760360</v>
      </c>
      <c r="E5" s="2">
        <f>SUM(基礎!V55:AG55)</f>
        <v>129071704</v>
      </c>
      <c r="F5" s="2">
        <f>SUM(基礎!AM55:AX55)</f>
        <v>146958399</v>
      </c>
      <c r="G5" s="2" t="e">
        <f>SUM(基礎!#REF!)</f>
        <v>#REF!</v>
      </c>
      <c r="H5" s="2" t="e">
        <f>SUM(基礎!#REF!)</f>
        <v>#REF!</v>
      </c>
      <c r="I5" s="2" t="e">
        <f>SUM(基礎!#REF!)</f>
        <v>#REF!</v>
      </c>
      <c r="J5" s="2" t="e">
        <f>SUM(基礎!#REF!)</f>
        <v>#REF!</v>
      </c>
      <c r="K5" s="2" t="e">
        <f>SUM(基礎!#REF!)</f>
        <v>#REF!</v>
      </c>
      <c r="L5" s="2" t="e">
        <f>SUM(基礎!#REF!)</f>
        <v>#REF!</v>
      </c>
      <c r="M5" s="18" t="e">
        <f>SUM(基礎!#REF!)</f>
        <v>#REF!</v>
      </c>
    </row>
    <row r="6" spans="2:13">
      <c r="B6" s="507"/>
      <c r="C6" s="4" t="s">
        <v>29</v>
      </c>
      <c r="D6" s="5">
        <f>SUM(基礎!D56:O56)</f>
        <v>31990360</v>
      </c>
      <c r="E6" s="5">
        <f>SUM(基礎!V56:AG56)</f>
        <v>107291682</v>
      </c>
      <c r="F6" s="5">
        <f>SUM(基礎!AM56:AX56)</f>
        <v>122868375</v>
      </c>
      <c r="G6" s="5" t="e">
        <f>SUM(基礎!#REF!)</f>
        <v>#REF!</v>
      </c>
      <c r="H6" s="5" t="e">
        <f>SUM(基礎!#REF!)</f>
        <v>#REF!</v>
      </c>
      <c r="I6" s="5" t="e">
        <f>SUM(基礎!#REF!)</f>
        <v>#REF!</v>
      </c>
      <c r="J6" s="5" t="e">
        <f>SUM(基礎!#REF!)</f>
        <v>#REF!</v>
      </c>
      <c r="K6" s="5" t="e">
        <f>SUM(基礎!#REF!)</f>
        <v>#REF!</v>
      </c>
      <c r="L6" s="5" t="e">
        <f>SUM(基礎!#REF!)</f>
        <v>#REF!</v>
      </c>
      <c r="M6" s="19" t="e">
        <f>SUM(基礎!#REF!)</f>
        <v>#REF!</v>
      </c>
    </row>
    <row r="7" spans="2:13">
      <c r="B7" s="508"/>
      <c r="C7" s="4" t="s">
        <v>30</v>
      </c>
      <c r="D7" s="5">
        <f>SUM(基礎!D57:O57)</f>
        <v>7770000</v>
      </c>
      <c r="E7" s="5">
        <f>SUM(基礎!V57:AG57)</f>
        <v>21780022</v>
      </c>
      <c r="F7" s="5">
        <f>SUM(基礎!AM57:AX57)</f>
        <v>24090024</v>
      </c>
      <c r="G7" s="5" t="e">
        <f>SUM(基礎!#REF!)</f>
        <v>#REF!</v>
      </c>
      <c r="H7" s="5" t="e">
        <f>SUM(基礎!#REF!)</f>
        <v>#REF!</v>
      </c>
      <c r="I7" s="5" t="e">
        <f>SUM(基礎!#REF!)</f>
        <v>#REF!</v>
      </c>
      <c r="J7" s="5" t="e">
        <f>SUM(基礎!#REF!)</f>
        <v>#REF!</v>
      </c>
      <c r="K7" s="5" t="e">
        <f>SUM(基礎!#REF!)</f>
        <v>#REF!</v>
      </c>
      <c r="L7" s="5" t="e">
        <f>SUM(基礎!#REF!)</f>
        <v>#REF!</v>
      </c>
      <c r="M7" s="19" t="e">
        <f>SUM(基礎!#REF!)</f>
        <v>#REF!</v>
      </c>
    </row>
    <row r="8" spans="2:13">
      <c r="B8" s="508"/>
      <c r="C8" s="4" t="s">
        <v>14</v>
      </c>
      <c r="D8" s="5">
        <f>SUM(基礎!D58:O58)</f>
        <v>0</v>
      </c>
      <c r="E8" s="5">
        <f>SUM(基礎!V58:AG58)</f>
        <v>0</v>
      </c>
      <c r="F8" s="5">
        <f>SUM(基礎!AM58:AX58)</f>
        <v>0</v>
      </c>
      <c r="G8" s="5" t="e">
        <f>SUM(基礎!#REF!)</f>
        <v>#REF!</v>
      </c>
      <c r="H8" s="5" t="e">
        <f>SUM(基礎!#REF!)</f>
        <v>#REF!</v>
      </c>
      <c r="I8" s="5" t="e">
        <f>SUM(基礎!#REF!)</f>
        <v>#REF!</v>
      </c>
      <c r="J8" s="5" t="e">
        <f>SUM(基礎!#REF!)</f>
        <v>#REF!</v>
      </c>
      <c r="K8" s="5" t="e">
        <f>SUM(基礎!#REF!)</f>
        <v>#REF!</v>
      </c>
      <c r="L8" s="5" t="e">
        <f>SUM(基礎!#REF!)</f>
        <v>#REF!</v>
      </c>
      <c r="M8" s="19" t="e">
        <f>SUM(基礎!#REF!)</f>
        <v>#REF!</v>
      </c>
    </row>
    <row r="9" spans="2:13">
      <c r="B9" s="508"/>
      <c r="C9" s="4" t="s">
        <v>33</v>
      </c>
      <c r="D9" s="5">
        <f>SUM(基礎!D59:O59)</f>
        <v>0</v>
      </c>
      <c r="E9" s="5">
        <f>SUM(基礎!V59:AG59)</f>
        <v>0</v>
      </c>
      <c r="F9" s="5">
        <f>SUM(基礎!AM59:AX59)</f>
        <v>0</v>
      </c>
      <c r="G9" s="5" t="e">
        <f>SUM(基礎!#REF!)</f>
        <v>#REF!</v>
      </c>
      <c r="H9" s="5" t="e">
        <f>SUM(基礎!#REF!)</f>
        <v>#REF!</v>
      </c>
      <c r="I9" s="5" t="e">
        <f>SUM(基礎!#REF!)</f>
        <v>#REF!</v>
      </c>
      <c r="J9" s="5" t="e">
        <f>SUM(基礎!#REF!)</f>
        <v>#REF!</v>
      </c>
      <c r="K9" s="5" t="e">
        <f>SUM(基礎!#REF!)</f>
        <v>#REF!</v>
      </c>
      <c r="L9" s="5" t="e">
        <f>SUM(基礎!#REF!)</f>
        <v>#REF!</v>
      </c>
      <c r="M9" s="19" t="e">
        <f>SUM(基礎!#REF!)</f>
        <v>#REF!</v>
      </c>
    </row>
    <row r="10" spans="2:13">
      <c r="B10" s="509" t="s">
        <v>35</v>
      </c>
      <c r="C10" s="510"/>
      <c r="D10" s="3">
        <f>SUM(基礎!D60:O60)</f>
        <v>59863906.920000002</v>
      </c>
      <c r="E10" s="3">
        <f>SUM(基礎!V60:AG60)</f>
        <v>128400542.44</v>
      </c>
      <c r="F10" s="3">
        <f>SUM(基礎!AM60:AX60)</f>
        <v>137554976.5</v>
      </c>
      <c r="G10" s="3" t="e">
        <f>SUM(基礎!#REF!)</f>
        <v>#REF!</v>
      </c>
      <c r="H10" s="3" t="e">
        <f>SUM(基礎!#REF!)</f>
        <v>#REF!</v>
      </c>
      <c r="I10" s="3" t="e">
        <f>SUM(基礎!#REF!)</f>
        <v>#REF!</v>
      </c>
      <c r="J10" s="3" t="e">
        <f>SUM(基礎!#REF!)</f>
        <v>#REF!</v>
      </c>
      <c r="K10" s="3" t="e">
        <f>SUM(基礎!#REF!)</f>
        <v>#REF!</v>
      </c>
      <c r="L10" s="3" t="e">
        <f>SUM(基礎!#REF!)</f>
        <v>#REF!</v>
      </c>
      <c r="M10" s="20" t="e">
        <f>SUM(基礎!#REF!)</f>
        <v>#REF!</v>
      </c>
    </row>
    <row r="11" spans="2:13">
      <c r="B11" s="499"/>
      <c r="C11" s="4" t="s">
        <v>36</v>
      </c>
      <c r="D11" s="5">
        <f>SUM(基礎!D61:O61)</f>
        <v>48137000</v>
      </c>
      <c r="E11" s="5">
        <f>SUM(基礎!V61:AG61)</f>
        <v>107027000</v>
      </c>
      <c r="F11" s="5">
        <f>SUM(基礎!AM61:AX61)</f>
        <v>118214000</v>
      </c>
      <c r="G11" s="5" t="e">
        <f>SUM(基礎!#REF!)</f>
        <v>#REF!</v>
      </c>
      <c r="H11" s="5" t="e">
        <f>SUM(基礎!#REF!)</f>
        <v>#REF!</v>
      </c>
      <c r="I11" s="5" t="e">
        <f>SUM(基礎!#REF!)</f>
        <v>#REF!</v>
      </c>
      <c r="J11" s="5" t="e">
        <f>SUM(基礎!#REF!)</f>
        <v>#REF!</v>
      </c>
      <c r="K11" s="5" t="e">
        <f>SUM(基礎!#REF!)</f>
        <v>#REF!</v>
      </c>
      <c r="L11" s="5" t="e">
        <f>SUM(基礎!#REF!)</f>
        <v>#REF!</v>
      </c>
      <c r="M11" s="19" t="e">
        <f>SUM(基礎!#REF!)</f>
        <v>#REF!</v>
      </c>
    </row>
    <row r="12" spans="2:13">
      <c r="B12" s="500"/>
      <c r="C12" s="4" t="s">
        <v>37</v>
      </c>
      <c r="D12" s="5">
        <f>SUM(基礎!D62:O62)</f>
        <v>5340000</v>
      </c>
      <c r="E12" s="5">
        <f>SUM(基礎!V62:AG62)</f>
        <v>11780000</v>
      </c>
      <c r="F12" s="5">
        <f>SUM(基礎!AM62:AX62)</f>
        <v>12100000</v>
      </c>
      <c r="G12" s="5" t="e">
        <f>SUM(基礎!#REF!)</f>
        <v>#REF!</v>
      </c>
      <c r="H12" s="5" t="e">
        <f>SUM(基礎!#REF!)</f>
        <v>#REF!</v>
      </c>
      <c r="I12" s="5" t="e">
        <f>SUM(基礎!#REF!)</f>
        <v>#REF!</v>
      </c>
      <c r="J12" s="5" t="e">
        <f>SUM(基礎!#REF!)</f>
        <v>#REF!</v>
      </c>
      <c r="K12" s="5" t="e">
        <f>SUM(基礎!#REF!)</f>
        <v>#REF!</v>
      </c>
      <c r="L12" s="5" t="e">
        <f>SUM(基礎!#REF!)</f>
        <v>#REF!</v>
      </c>
      <c r="M12" s="19" t="e">
        <f>SUM(基礎!#REF!)</f>
        <v>#REF!</v>
      </c>
    </row>
    <row r="13" spans="2:13">
      <c r="B13" s="500"/>
      <c r="C13" s="4" t="s">
        <v>38</v>
      </c>
      <c r="D13" s="5">
        <f>SUM(基礎!D63:O63)</f>
        <v>6141906.9199999999</v>
      </c>
      <c r="E13" s="5">
        <f>SUM(基礎!V63:AG63)</f>
        <v>9593542.4399999995</v>
      </c>
      <c r="F13" s="5">
        <f>SUM(基礎!AM63:AX63)</f>
        <v>7240976.5</v>
      </c>
      <c r="G13" s="5" t="e">
        <f>SUM(基礎!#REF!)</f>
        <v>#REF!</v>
      </c>
      <c r="H13" s="5" t="e">
        <f>SUM(基礎!#REF!)</f>
        <v>#REF!</v>
      </c>
      <c r="I13" s="5" t="e">
        <f>SUM(基礎!#REF!)</f>
        <v>#REF!</v>
      </c>
      <c r="J13" s="5" t="e">
        <f>SUM(基礎!#REF!)</f>
        <v>#REF!</v>
      </c>
      <c r="K13" s="5" t="e">
        <f>SUM(基礎!#REF!)</f>
        <v>#REF!</v>
      </c>
      <c r="L13" s="5" t="e">
        <f>SUM(基礎!#REF!)</f>
        <v>#REF!</v>
      </c>
      <c r="M13" s="19" t="e">
        <f>SUM(基礎!#REF!)</f>
        <v>#REF!</v>
      </c>
    </row>
    <row r="14" spans="2:13">
      <c r="B14" s="500"/>
      <c r="C14" s="4" t="s">
        <v>39</v>
      </c>
      <c r="D14" s="5">
        <f>SUM(基礎!D64:O64)</f>
        <v>0</v>
      </c>
      <c r="E14" s="5">
        <f>SUM(基礎!V64:AG64)</f>
        <v>0</v>
      </c>
      <c r="F14" s="5">
        <f>SUM(基礎!AM64:AX64)</f>
        <v>0</v>
      </c>
      <c r="G14" s="5" t="e">
        <f>SUM(基礎!#REF!)</f>
        <v>#REF!</v>
      </c>
      <c r="H14" s="5" t="e">
        <f>SUM(基礎!#REF!)</f>
        <v>#REF!</v>
      </c>
      <c r="I14" s="5" t="e">
        <f>SUM(基礎!#REF!)</f>
        <v>#REF!</v>
      </c>
      <c r="J14" s="5" t="e">
        <f>SUM(基礎!#REF!)</f>
        <v>#REF!</v>
      </c>
      <c r="K14" s="5" t="e">
        <f>SUM(基礎!#REF!)</f>
        <v>#REF!</v>
      </c>
      <c r="L14" s="5" t="e">
        <f>SUM(基礎!#REF!)</f>
        <v>#REF!</v>
      </c>
      <c r="M14" s="19" t="e">
        <f>SUM(基礎!#REF!)</f>
        <v>#REF!</v>
      </c>
    </row>
    <row r="15" spans="2:13">
      <c r="B15" s="500"/>
      <c r="C15" s="4" t="s">
        <v>10</v>
      </c>
      <c r="D15" s="5">
        <f>SUM(基礎!D65:O65)</f>
        <v>245000</v>
      </c>
      <c r="E15" s="5">
        <f>SUM(基礎!V65:AG65)</f>
        <v>0</v>
      </c>
      <c r="F15" s="5">
        <f>SUM(基礎!AM65:AX65)</f>
        <v>0</v>
      </c>
      <c r="G15" s="5" t="e">
        <f>SUM(基礎!#REF!)</f>
        <v>#REF!</v>
      </c>
      <c r="H15" s="5" t="e">
        <f>SUM(基礎!#REF!)</f>
        <v>#REF!</v>
      </c>
      <c r="I15" s="5" t="e">
        <f>SUM(基礎!#REF!)</f>
        <v>#REF!</v>
      </c>
      <c r="J15" s="5" t="e">
        <f>SUM(基礎!#REF!)</f>
        <v>#REF!</v>
      </c>
      <c r="K15" s="5" t="e">
        <f>SUM(基礎!#REF!)</f>
        <v>#REF!</v>
      </c>
      <c r="L15" s="5" t="e">
        <f>SUM(基礎!#REF!)</f>
        <v>#REF!</v>
      </c>
      <c r="M15" s="19" t="e">
        <f>SUM(基礎!#REF!)</f>
        <v>#REF!</v>
      </c>
    </row>
    <row r="16" spans="2:13">
      <c r="B16" s="500"/>
      <c r="C16" s="4" t="s">
        <v>43</v>
      </c>
      <c r="D16" s="5">
        <f>SUM(基礎!D66:O66)</f>
        <v>0</v>
      </c>
      <c r="E16" s="5">
        <f>SUM(基礎!V66:AG66)</f>
        <v>0</v>
      </c>
      <c r="F16" s="5">
        <f>SUM(基礎!AM66:AX66)</f>
        <v>0</v>
      </c>
      <c r="G16" s="5" t="e">
        <f>SUM(基礎!#REF!)</f>
        <v>#REF!</v>
      </c>
      <c r="H16" s="5" t="e">
        <f>SUM(基礎!#REF!)</f>
        <v>#REF!</v>
      </c>
      <c r="I16" s="5" t="e">
        <f>SUM(基礎!#REF!)</f>
        <v>#REF!</v>
      </c>
      <c r="J16" s="5" t="e">
        <f>SUM(基礎!#REF!)</f>
        <v>#REF!</v>
      </c>
      <c r="K16" s="5" t="e">
        <f>SUM(基礎!#REF!)</f>
        <v>#REF!</v>
      </c>
      <c r="L16" s="5" t="e">
        <f>SUM(基礎!#REF!)</f>
        <v>#REF!</v>
      </c>
      <c r="M16" s="19" t="e">
        <f>SUM(基礎!#REF!)</f>
        <v>#REF!</v>
      </c>
    </row>
    <row r="17" spans="2:14">
      <c r="B17" s="500"/>
      <c r="C17" s="4" t="s">
        <v>42</v>
      </c>
      <c r="D17" s="5">
        <f>SUM(基礎!D67:O67)</f>
        <v>0</v>
      </c>
      <c r="E17" s="5">
        <f>SUM(基礎!V67:AG67)</f>
        <v>0</v>
      </c>
      <c r="F17" s="5">
        <f>SUM(基礎!AM67:AX67)</f>
        <v>0</v>
      </c>
      <c r="G17" s="5" t="e">
        <f>SUM(基礎!#REF!)</f>
        <v>#REF!</v>
      </c>
      <c r="H17" s="5" t="e">
        <f>SUM(基礎!#REF!)</f>
        <v>#REF!</v>
      </c>
      <c r="I17" s="5" t="e">
        <f>SUM(基礎!#REF!)</f>
        <v>#REF!</v>
      </c>
      <c r="J17" s="5" t="e">
        <f>SUM(基礎!#REF!)</f>
        <v>#REF!</v>
      </c>
      <c r="K17" s="5" t="e">
        <f>SUM(基礎!#REF!)</f>
        <v>#REF!</v>
      </c>
      <c r="L17" s="5" t="e">
        <f>SUM(基礎!#REF!)</f>
        <v>#REF!</v>
      </c>
      <c r="M17" s="19" t="e">
        <f>SUM(基礎!#REF!)</f>
        <v>#REF!</v>
      </c>
    </row>
    <row r="18" spans="2:14">
      <c r="B18" s="512" t="s">
        <v>44</v>
      </c>
      <c r="C18" s="513"/>
      <c r="D18" s="7">
        <f>SUM(基礎!D68:O68)</f>
        <v>-20103546.919999998</v>
      </c>
      <c r="E18" s="7">
        <f>SUM(基礎!V68:AG68)</f>
        <v>671161.56000000052</v>
      </c>
      <c r="F18" s="7">
        <f>SUM(基礎!AM68:AX68)</f>
        <v>9403422.5</v>
      </c>
      <c r="G18" s="7" t="e">
        <f>SUM(基礎!#REF!)</f>
        <v>#REF!</v>
      </c>
      <c r="H18" s="7" t="e">
        <f>SUM(基礎!#REF!)</f>
        <v>#REF!</v>
      </c>
      <c r="I18" s="7" t="e">
        <f>SUM(基礎!#REF!)</f>
        <v>#REF!</v>
      </c>
      <c r="J18" s="7" t="e">
        <f>SUM(基礎!#REF!)</f>
        <v>#REF!</v>
      </c>
      <c r="K18" s="7" t="e">
        <f>SUM(基礎!#REF!)</f>
        <v>#REF!</v>
      </c>
      <c r="L18" s="7" t="e">
        <f>SUM(基礎!#REF!)</f>
        <v>#REF!</v>
      </c>
      <c r="M18" s="21" t="e">
        <f>SUM(基礎!#REF!)</f>
        <v>#REF!</v>
      </c>
    </row>
    <row r="19" spans="2:14">
      <c r="B19" s="505" t="s">
        <v>52</v>
      </c>
      <c r="C19" s="506"/>
      <c r="D19" s="2" t="e">
        <f>SUM(D20:D27)</f>
        <v>#REF!</v>
      </c>
      <c r="E19" s="2">
        <f>SUM(基礎!V69:AG69)</f>
        <v>0</v>
      </c>
      <c r="F19" s="2">
        <f>SUM(基礎!AM69:AX69)</f>
        <v>0</v>
      </c>
      <c r="G19" s="2" t="e">
        <f>SUM(基礎!#REF!)</f>
        <v>#REF!</v>
      </c>
      <c r="H19" s="2" t="e">
        <f>SUM(基礎!#REF!)</f>
        <v>#REF!</v>
      </c>
      <c r="I19" s="2" t="e">
        <f>SUM(基礎!#REF!)</f>
        <v>#REF!</v>
      </c>
      <c r="J19" s="2" t="e">
        <f>SUM(基礎!#REF!)</f>
        <v>#REF!</v>
      </c>
      <c r="K19" s="2" t="e">
        <f>SUM(基礎!#REF!)</f>
        <v>#REF!</v>
      </c>
      <c r="L19" s="2" t="e">
        <f>SUM(基礎!#REF!)</f>
        <v>#REF!</v>
      </c>
      <c r="M19" s="18" t="e">
        <f>SUM(基礎!#REF!)</f>
        <v>#REF!</v>
      </c>
    </row>
    <row r="20" spans="2:14">
      <c r="B20" s="514"/>
      <c r="C20" s="4" t="s">
        <v>45</v>
      </c>
      <c r="D20" s="5">
        <v>0</v>
      </c>
      <c r="E20" s="5">
        <f>SUM(基礎!V70:AG70)</f>
        <v>0</v>
      </c>
      <c r="F20" s="5">
        <f>SUM(基礎!AM70:AX70)</f>
        <v>0</v>
      </c>
      <c r="G20" s="5" t="e">
        <f>SUM(基礎!#REF!)</f>
        <v>#REF!</v>
      </c>
      <c r="H20" s="5" t="e">
        <f>SUM(基礎!#REF!)</f>
        <v>#REF!</v>
      </c>
      <c r="I20" s="5" t="e">
        <f>SUM(基礎!#REF!)</f>
        <v>#REF!</v>
      </c>
      <c r="J20" s="5" t="e">
        <f>SUM(基礎!#REF!)</f>
        <v>#REF!</v>
      </c>
      <c r="K20" s="5" t="e">
        <f>SUM(基礎!#REF!)</f>
        <v>#REF!</v>
      </c>
      <c r="L20" s="5" t="e">
        <f>SUM(基礎!#REF!)</f>
        <v>#REF!</v>
      </c>
      <c r="M20" s="19" t="e">
        <f>SUM(基礎!#REF!)</f>
        <v>#REF!</v>
      </c>
    </row>
    <row r="21" spans="2:14">
      <c r="B21" s="514"/>
      <c r="C21" s="4" t="s">
        <v>46</v>
      </c>
      <c r="D21" s="5">
        <f>SUM(基礎!D71:O71)</f>
        <v>8000000</v>
      </c>
      <c r="E21" s="5">
        <f>SUM(基礎!V71:AG71)</f>
        <v>0</v>
      </c>
      <c r="F21" s="5">
        <f>SUM(基礎!AM71:AX71)</f>
        <v>0</v>
      </c>
      <c r="G21" s="5" t="e">
        <f>SUM(基礎!#REF!)</f>
        <v>#REF!</v>
      </c>
      <c r="H21" s="5" t="e">
        <f>SUM(基礎!#REF!)</f>
        <v>#REF!</v>
      </c>
      <c r="I21" s="5" t="e">
        <f>SUM(基礎!#REF!)</f>
        <v>#REF!</v>
      </c>
      <c r="J21" s="5" t="e">
        <f>SUM(基礎!#REF!)</f>
        <v>#REF!</v>
      </c>
      <c r="K21" s="5" t="e">
        <f>SUM(基礎!#REF!)</f>
        <v>#REF!</v>
      </c>
      <c r="L21" s="5" t="e">
        <f>SUM(基礎!#REF!)</f>
        <v>#REF!</v>
      </c>
      <c r="M21" s="19" t="e">
        <f>SUM(基礎!#REF!)</f>
        <v>#REF!</v>
      </c>
    </row>
    <row r="22" spans="2:14">
      <c r="B22" s="514"/>
      <c r="C22" s="4" t="s">
        <v>51</v>
      </c>
      <c r="D22" s="5">
        <f>SUM(基礎!D72:O72)</f>
        <v>15000000</v>
      </c>
      <c r="E22" s="5">
        <f>SUM(基礎!V72:AG72)</f>
        <v>0</v>
      </c>
      <c r="F22" s="5">
        <f>SUM(基礎!AM72:AX72)</f>
        <v>0</v>
      </c>
      <c r="G22" s="5" t="e">
        <f>SUM(基礎!#REF!)</f>
        <v>#REF!</v>
      </c>
      <c r="H22" s="5" t="e">
        <f>SUM(基礎!#REF!)</f>
        <v>#REF!</v>
      </c>
      <c r="I22" s="5" t="e">
        <f>SUM(基礎!#REF!)</f>
        <v>#REF!</v>
      </c>
      <c r="J22" s="5" t="e">
        <f>SUM(基礎!#REF!)</f>
        <v>#REF!</v>
      </c>
      <c r="K22" s="5" t="e">
        <f>SUM(基礎!#REF!)</f>
        <v>#REF!</v>
      </c>
      <c r="L22" s="5" t="e">
        <f>SUM(基礎!#REF!)</f>
        <v>#REF!</v>
      </c>
      <c r="M22" s="19" t="e">
        <f>SUM(基礎!#REF!)</f>
        <v>#REF!</v>
      </c>
    </row>
    <row r="23" spans="2:14">
      <c r="B23" s="514"/>
      <c r="C23" s="4" t="s">
        <v>47</v>
      </c>
      <c r="D23" s="5">
        <f>SUM(基礎!D73:O73)</f>
        <v>0</v>
      </c>
      <c r="E23" s="5">
        <f>SUM(基礎!V73:AG73)</f>
        <v>0</v>
      </c>
      <c r="F23" s="5">
        <f>SUM(基礎!AM73:AX73)</f>
        <v>0</v>
      </c>
      <c r="G23" s="5" t="e">
        <f>SUM(基礎!#REF!)</f>
        <v>#REF!</v>
      </c>
      <c r="H23" s="5" t="e">
        <f>SUM(基礎!#REF!)</f>
        <v>#REF!</v>
      </c>
      <c r="I23" s="5" t="e">
        <f>SUM(基礎!#REF!)</f>
        <v>#REF!</v>
      </c>
      <c r="J23" s="5" t="e">
        <f>SUM(基礎!#REF!)</f>
        <v>#REF!</v>
      </c>
      <c r="K23" s="5" t="e">
        <f>SUM(基礎!#REF!)</f>
        <v>#REF!</v>
      </c>
      <c r="L23" s="5" t="e">
        <f>SUM(基礎!#REF!)</f>
        <v>#REF!</v>
      </c>
      <c r="M23" s="19" t="e">
        <f>SUM(基礎!#REF!)</f>
        <v>#REF!</v>
      </c>
    </row>
    <row r="24" spans="2:14">
      <c r="B24" s="514"/>
      <c r="C24" s="4" t="s">
        <v>48</v>
      </c>
      <c r="D24" s="5" t="e">
        <f>SUM(基礎!#REF!)</f>
        <v>#REF!</v>
      </c>
      <c r="E24" s="5" t="e">
        <f>SUM(基礎!#REF!)</f>
        <v>#REF!</v>
      </c>
      <c r="F24" s="5" t="e">
        <f>SUM(基礎!#REF!)</f>
        <v>#REF!</v>
      </c>
      <c r="G24" s="5" t="e">
        <f>SUM(基礎!#REF!)</f>
        <v>#REF!</v>
      </c>
      <c r="H24" s="5" t="e">
        <f>SUM(基礎!#REF!)</f>
        <v>#REF!</v>
      </c>
      <c r="I24" s="5" t="e">
        <f>SUM(基礎!#REF!)</f>
        <v>#REF!</v>
      </c>
      <c r="J24" s="5" t="e">
        <f>SUM(基礎!#REF!)</f>
        <v>#REF!</v>
      </c>
      <c r="K24" s="5" t="e">
        <f>SUM(基礎!#REF!)</f>
        <v>#REF!</v>
      </c>
      <c r="L24" s="5" t="e">
        <f>SUM(基礎!#REF!)</f>
        <v>#REF!</v>
      </c>
      <c r="M24" s="19" t="e">
        <f>SUM(基礎!#REF!)</f>
        <v>#REF!</v>
      </c>
    </row>
    <row r="25" spans="2:14">
      <c r="B25" s="514"/>
      <c r="C25" s="4" t="s">
        <v>49</v>
      </c>
      <c r="D25" s="5" t="e">
        <f>SUM(基礎!#REF!)</f>
        <v>#REF!</v>
      </c>
      <c r="E25" s="5" t="e">
        <f>SUM(基礎!#REF!)</f>
        <v>#REF!</v>
      </c>
      <c r="F25" s="5" t="e">
        <f>SUM(基礎!#REF!)</f>
        <v>#REF!</v>
      </c>
      <c r="G25" s="5" t="e">
        <f>SUM(基礎!#REF!)</f>
        <v>#REF!</v>
      </c>
      <c r="H25" s="5" t="e">
        <f>SUM(基礎!#REF!)</f>
        <v>#REF!</v>
      </c>
      <c r="I25" s="5" t="e">
        <f>SUM(基礎!#REF!)</f>
        <v>#REF!</v>
      </c>
      <c r="J25" s="5" t="e">
        <f>SUM(基礎!#REF!)</f>
        <v>#REF!</v>
      </c>
      <c r="K25" s="5" t="e">
        <f>SUM(基礎!#REF!)</f>
        <v>#REF!</v>
      </c>
      <c r="L25" s="5" t="e">
        <f>SUM(基礎!#REF!)</f>
        <v>#REF!</v>
      </c>
      <c r="M25" s="19" t="e">
        <f>SUM(基礎!#REF!)</f>
        <v>#REF!</v>
      </c>
    </row>
    <row r="26" spans="2:14">
      <c r="B26" s="514"/>
      <c r="C26" s="4" t="s">
        <v>64</v>
      </c>
      <c r="D26" s="5">
        <f>SUM(基礎!D74:O74)</f>
        <v>0</v>
      </c>
      <c r="E26" s="5">
        <f>SUM(基礎!V74:AG74)</f>
        <v>0</v>
      </c>
      <c r="F26" s="5">
        <f>SUM(基礎!AM74:AX74)</f>
        <v>0</v>
      </c>
      <c r="G26" s="5" t="e">
        <f>SUM(基礎!#REF!)</f>
        <v>#REF!</v>
      </c>
      <c r="H26" s="5" t="e">
        <f>SUM(基礎!#REF!)</f>
        <v>#REF!</v>
      </c>
      <c r="I26" s="5" t="e">
        <f>SUM(基礎!#REF!)</f>
        <v>#REF!</v>
      </c>
      <c r="J26" s="5" t="e">
        <f>SUM(基礎!#REF!)</f>
        <v>#REF!</v>
      </c>
      <c r="K26" s="5" t="e">
        <f>SUM(基礎!#REF!)</f>
        <v>#REF!</v>
      </c>
      <c r="L26" s="5" t="e">
        <f>SUM(基礎!#REF!)</f>
        <v>#REF!</v>
      </c>
      <c r="M26" s="19" t="e">
        <f>SUM(基礎!#REF!)</f>
        <v>#REF!</v>
      </c>
    </row>
    <row r="27" spans="2:14">
      <c r="B27" s="507"/>
      <c r="C27" s="4" t="s">
        <v>50</v>
      </c>
      <c r="D27" s="5">
        <f>SUM(基礎!D76:O76)</f>
        <v>0</v>
      </c>
      <c r="E27" s="5">
        <f>SUM(基礎!V76:AG76)</f>
        <v>0</v>
      </c>
      <c r="F27" s="5">
        <f>SUM(基礎!AM76:AX76)</f>
        <v>0</v>
      </c>
      <c r="G27" s="5" t="e">
        <f>SUM(基礎!#REF!)</f>
        <v>#REF!</v>
      </c>
      <c r="H27" s="5" t="e">
        <f>SUM(基礎!#REF!)</f>
        <v>#REF!</v>
      </c>
      <c r="I27" s="5" t="e">
        <f>SUM(基礎!#REF!)</f>
        <v>#REF!</v>
      </c>
      <c r="J27" s="5" t="e">
        <f>SUM(基礎!#REF!)</f>
        <v>#REF!</v>
      </c>
      <c r="K27" s="5" t="e">
        <f>SUM(基礎!#REF!)</f>
        <v>#REF!</v>
      </c>
      <c r="L27" s="5" t="e">
        <f>SUM(基礎!#REF!)</f>
        <v>#REF!</v>
      </c>
      <c r="M27" s="19" t="e">
        <f>SUM(基礎!#REF!)</f>
        <v>#REF!</v>
      </c>
    </row>
    <row r="28" spans="2:14">
      <c r="B28" s="509" t="s">
        <v>53</v>
      </c>
      <c r="C28" s="510"/>
      <c r="D28" s="3" t="e">
        <f>SUM(D29:D35)</f>
        <v>#REF!</v>
      </c>
      <c r="E28" s="3" t="e">
        <f t="shared" ref="E28:N28" si="1">SUM(E29:E35)</f>
        <v>#REF!</v>
      </c>
      <c r="F28" s="3" t="e">
        <f t="shared" si="1"/>
        <v>#REF!</v>
      </c>
      <c r="G28" s="3" t="e">
        <f t="shared" si="1"/>
        <v>#REF!</v>
      </c>
      <c r="H28" s="3" t="e">
        <f t="shared" si="1"/>
        <v>#REF!</v>
      </c>
      <c r="I28" s="3" t="e">
        <f t="shared" si="1"/>
        <v>#REF!</v>
      </c>
      <c r="J28" s="3" t="e">
        <f t="shared" si="1"/>
        <v>#REF!</v>
      </c>
      <c r="K28" s="3" t="e">
        <f t="shared" si="1"/>
        <v>#REF!</v>
      </c>
      <c r="L28" s="3" t="e">
        <f t="shared" si="1"/>
        <v>#REF!</v>
      </c>
      <c r="M28" s="3" t="e">
        <f t="shared" si="1"/>
        <v>#REF!</v>
      </c>
      <c r="N28" s="3">
        <f t="shared" si="1"/>
        <v>0</v>
      </c>
    </row>
    <row r="29" spans="2:14">
      <c r="B29" s="515"/>
      <c r="C29" s="4" t="s">
        <v>55</v>
      </c>
      <c r="D29" s="5">
        <v>24000</v>
      </c>
      <c r="E29" s="5">
        <v>24000</v>
      </c>
      <c r="F29" s="5">
        <v>24000</v>
      </c>
      <c r="G29" s="5">
        <v>24000</v>
      </c>
      <c r="H29" s="5">
        <v>24000</v>
      </c>
      <c r="I29" s="5">
        <v>0</v>
      </c>
      <c r="J29" s="5">
        <v>0</v>
      </c>
      <c r="K29" s="5">
        <v>0</v>
      </c>
      <c r="L29" s="5">
        <v>0</v>
      </c>
      <c r="M29" s="19">
        <v>0</v>
      </c>
    </row>
    <row r="30" spans="2:14">
      <c r="B30" s="515"/>
      <c r="C30" s="4" t="s">
        <v>54</v>
      </c>
      <c r="D30" s="5">
        <f>SUM(基礎!D79:O79)</f>
        <v>399000</v>
      </c>
      <c r="E30" s="5">
        <f>SUM(基礎!V79:AG79)</f>
        <v>684000</v>
      </c>
      <c r="F30" s="5">
        <f>SUM(基礎!AM79:AX79)</f>
        <v>627000</v>
      </c>
      <c r="G30" s="5" t="e">
        <f>SUM(基礎!#REF!)</f>
        <v>#REF!</v>
      </c>
      <c r="H30" s="5" t="e">
        <f>SUM(基礎!#REF!)</f>
        <v>#REF!</v>
      </c>
      <c r="I30" s="5" t="e">
        <f>SUM(基礎!#REF!)</f>
        <v>#REF!</v>
      </c>
      <c r="J30" s="5" t="e">
        <f>SUM(基礎!#REF!)</f>
        <v>#REF!</v>
      </c>
      <c r="K30" s="5" t="e">
        <f>SUM(基礎!#REF!)</f>
        <v>#REF!</v>
      </c>
      <c r="L30" s="5" t="e">
        <f>SUM(基礎!#REF!)</f>
        <v>#REF!</v>
      </c>
      <c r="M30" s="19" t="e">
        <f>SUM(基礎!#REF!)</f>
        <v>#REF!</v>
      </c>
    </row>
    <row r="31" spans="2:14">
      <c r="B31" s="515"/>
      <c r="C31" s="4" t="s">
        <v>56</v>
      </c>
      <c r="D31" s="5" t="e">
        <f>SUM(基礎!#REF!)</f>
        <v>#REF!</v>
      </c>
      <c r="E31" s="5" t="e">
        <f>SUM(基礎!#REF!)</f>
        <v>#REF!</v>
      </c>
      <c r="F31" s="5" t="e">
        <f>SUM(基礎!#REF!)</f>
        <v>#REF!</v>
      </c>
      <c r="G31" s="5" t="e">
        <f>SUM(基礎!#REF!)</f>
        <v>#REF!</v>
      </c>
      <c r="H31" s="5" t="e">
        <f>SUM(基礎!#REF!)</f>
        <v>#REF!</v>
      </c>
      <c r="I31" s="5" t="e">
        <f>SUM(基礎!#REF!)</f>
        <v>#REF!</v>
      </c>
      <c r="J31" s="5" t="e">
        <f>SUM(基礎!#REF!)</f>
        <v>#REF!</v>
      </c>
      <c r="K31" s="5" t="e">
        <f>SUM(基礎!#REF!)</f>
        <v>#REF!</v>
      </c>
      <c r="L31" s="5" t="e">
        <f>SUM(基礎!#REF!)</f>
        <v>#REF!</v>
      </c>
      <c r="M31" s="19" t="e">
        <f>SUM(基礎!#REF!)</f>
        <v>#REF!</v>
      </c>
    </row>
    <row r="32" spans="2:14">
      <c r="B32" s="515"/>
      <c r="C32" s="4" t="s">
        <v>57</v>
      </c>
      <c r="D32" s="5" t="e">
        <f>SUM(基礎!#REF!)</f>
        <v>#REF!</v>
      </c>
      <c r="E32" s="5" t="e">
        <f>SUM(基礎!#REF!)</f>
        <v>#REF!</v>
      </c>
      <c r="F32" s="5" t="e">
        <f>SUM(基礎!#REF!)</f>
        <v>#REF!</v>
      </c>
      <c r="G32" s="5" t="e">
        <f>SUM(基礎!#REF!)</f>
        <v>#REF!</v>
      </c>
      <c r="H32" s="5" t="e">
        <f>SUM(基礎!#REF!)</f>
        <v>#REF!</v>
      </c>
      <c r="I32" s="5" t="e">
        <f>SUM(基礎!#REF!)</f>
        <v>#REF!</v>
      </c>
      <c r="J32" s="5" t="e">
        <f>SUM(基礎!#REF!)</f>
        <v>#REF!</v>
      </c>
      <c r="K32" s="5" t="e">
        <f>SUM(基礎!#REF!)</f>
        <v>#REF!</v>
      </c>
      <c r="L32" s="5" t="e">
        <f>SUM(基礎!#REF!)</f>
        <v>#REF!</v>
      </c>
      <c r="M32" s="19" t="e">
        <f>SUM(基礎!#REF!)</f>
        <v>#REF!</v>
      </c>
    </row>
    <row r="33" spans="2:14">
      <c r="B33" s="515"/>
      <c r="C33" s="4" t="s">
        <v>79</v>
      </c>
      <c r="D33" s="5" t="e">
        <f>SUM(基礎!#REF!)</f>
        <v>#REF!</v>
      </c>
      <c r="E33" s="5" t="e">
        <f>SUM(基礎!#REF!)</f>
        <v>#REF!</v>
      </c>
      <c r="F33" s="5" t="e">
        <f>SUM(基礎!#REF!)</f>
        <v>#REF!</v>
      </c>
      <c r="G33" s="5" t="e">
        <f>SUM(基礎!#REF!)</f>
        <v>#REF!</v>
      </c>
      <c r="H33" s="5" t="e">
        <f>SUM(基礎!#REF!)</f>
        <v>#REF!</v>
      </c>
      <c r="I33" s="5" t="e">
        <f>SUM(基礎!#REF!)</f>
        <v>#REF!</v>
      </c>
      <c r="J33" s="5" t="e">
        <f>SUM(基礎!#REF!)</f>
        <v>#REF!</v>
      </c>
      <c r="K33" s="5" t="e">
        <f>SUM(基礎!#REF!)</f>
        <v>#REF!</v>
      </c>
      <c r="L33" s="5" t="e">
        <f>SUM(基礎!#REF!)</f>
        <v>#REF!</v>
      </c>
      <c r="M33" s="19" t="e">
        <f>SUM(基礎!#REF!)</f>
        <v>#REF!</v>
      </c>
    </row>
    <row r="34" spans="2:14">
      <c r="B34" s="515"/>
      <c r="C34" s="4" t="s">
        <v>78</v>
      </c>
      <c r="D34" s="5">
        <f>SUM(基礎!D80:O80)</f>
        <v>3000000</v>
      </c>
      <c r="E34" s="5">
        <f>SUM(基礎!V80:AG80)</f>
        <v>0</v>
      </c>
      <c r="F34" s="5">
        <f>SUM(基礎!AM80:AX80)</f>
        <v>0</v>
      </c>
      <c r="G34" s="5" t="e">
        <f>SUM(基礎!#REF!)</f>
        <v>#REF!</v>
      </c>
      <c r="H34" s="5" t="e">
        <f>SUM(基礎!#REF!)</f>
        <v>#REF!</v>
      </c>
      <c r="I34" s="5" t="e">
        <f>SUM(基礎!#REF!)</f>
        <v>#REF!</v>
      </c>
      <c r="J34" s="5" t="e">
        <f>SUM(基礎!#REF!)</f>
        <v>#REF!</v>
      </c>
      <c r="K34" s="5" t="e">
        <f>SUM(基礎!#REF!)</f>
        <v>#REF!</v>
      </c>
      <c r="L34" s="5" t="e">
        <f>SUM(基礎!#REF!)</f>
        <v>#REF!</v>
      </c>
      <c r="M34" s="19" t="e">
        <f>SUM(基礎!#REF!)</f>
        <v>#REF!</v>
      </c>
    </row>
    <row r="35" spans="2:14">
      <c r="B35" s="499"/>
      <c r="C35" s="4" t="s">
        <v>50</v>
      </c>
      <c r="D35" s="5">
        <f>SUM(基礎!D82:O82)</f>
        <v>0</v>
      </c>
      <c r="E35" s="5">
        <f>SUM(基礎!V82:AG82)</f>
        <v>0</v>
      </c>
      <c r="F35" s="5">
        <f>SUM(基礎!AM82:AX82)</f>
        <v>0</v>
      </c>
      <c r="G35" s="5" t="e">
        <f>SUM(基礎!#REF!)</f>
        <v>#REF!</v>
      </c>
      <c r="H35" s="5" t="e">
        <f>SUM(基礎!#REF!)</f>
        <v>#REF!</v>
      </c>
      <c r="I35" s="5" t="e">
        <f>SUM(基礎!#REF!)</f>
        <v>#REF!</v>
      </c>
      <c r="J35" s="5" t="e">
        <f>SUM(基礎!#REF!)</f>
        <v>#REF!</v>
      </c>
      <c r="K35" s="5" t="e">
        <f>SUM(基礎!#REF!)</f>
        <v>#REF!</v>
      </c>
      <c r="L35" s="5" t="e">
        <f>SUM(基礎!#REF!)</f>
        <v>#REF!</v>
      </c>
      <c r="M35" s="19" t="e">
        <f>SUM(基礎!#REF!)</f>
        <v>#REF!</v>
      </c>
    </row>
    <row r="36" spans="2:14">
      <c r="B36" s="516" t="s">
        <v>58</v>
      </c>
      <c r="C36" s="517"/>
      <c r="D36" s="7" t="e">
        <f>D19-D28</f>
        <v>#REF!</v>
      </c>
      <c r="E36" s="7" t="e">
        <f t="shared" ref="E36:M36" si="2">E19-E28</f>
        <v>#REF!</v>
      </c>
      <c r="F36" s="7" t="e">
        <f t="shared" si="2"/>
        <v>#REF!</v>
      </c>
      <c r="G36" s="7" t="e">
        <f t="shared" si="2"/>
        <v>#REF!</v>
      </c>
      <c r="H36" s="7" t="e">
        <f t="shared" si="2"/>
        <v>#REF!</v>
      </c>
      <c r="I36" s="7" t="e">
        <f t="shared" si="2"/>
        <v>#REF!</v>
      </c>
      <c r="J36" s="7" t="e">
        <f t="shared" si="2"/>
        <v>#REF!</v>
      </c>
      <c r="K36" s="7" t="e">
        <f t="shared" si="2"/>
        <v>#REF!</v>
      </c>
      <c r="L36" s="7" t="e">
        <f t="shared" si="2"/>
        <v>#REF!</v>
      </c>
      <c r="M36" s="21" t="e">
        <f t="shared" si="2"/>
        <v>#REF!</v>
      </c>
    </row>
    <row r="37" spans="2:14">
      <c r="B37" s="518" t="s">
        <v>70</v>
      </c>
      <c r="C37" s="519"/>
      <c r="D37" s="8" t="e">
        <f t="shared" ref="D37:M37" si="3">D18+D36</f>
        <v>#REF!</v>
      </c>
      <c r="E37" s="8" t="e">
        <f t="shared" si="3"/>
        <v>#REF!</v>
      </c>
      <c r="F37" s="8" t="e">
        <f t="shared" si="3"/>
        <v>#REF!</v>
      </c>
      <c r="G37" s="8" t="e">
        <f t="shared" si="3"/>
        <v>#REF!</v>
      </c>
      <c r="H37" s="8" t="e">
        <f t="shared" si="3"/>
        <v>#REF!</v>
      </c>
      <c r="I37" s="8" t="e">
        <f t="shared" si="3"/>
        <v>#REF!</v>
      </c>
      <c r="J37" s="8" t="e">
        <f t="shared" si="3"/>
        <v>#REF!</v>
      </c>
      <c r="K37" s="8" t="e">
        <f t="shared" si="3"/>
        <v>#REF!</v>
      </c>
      <c r="L37" s="8" t="e">
        <f t="shared" si="3"/>
        <v>#REF!</v>
      </c>
      <c r="M37" s="22" t="e">
        <f t="shared" si="3"/>
        <v>#REF!</v>
      </c>
    </row>
    <row r="38" spans="2:14">
      <c r="B38" s="520" t="s">
        <v>89</v>
      </c>
      <c r="C38" s="521"/>
      <c r="D38" s="11">
        <f>PL!D28</f>
        <v>0</v>
      </c>
      <c r="E38" s="11">
        <f>PL!E28</f>
        <v>579164.6</v>
      </c>
      <c r="F38" s="11">
        <f>PL!F28</f>
        <v>17192711.199999999</v>
      </c>
      <c r="G38" s="11" t="e">
        <f>PL!#REF!</f>
        <v>#REF!</v>
      </c>
      <c r="H38" s="11" t="e">
        <f>PL!#REF!</f>
        <v>#REF!</v>
      </c>
      <c r="I38" s="11" t="e">
        <f>PL!#REF!</f>
        <v>#REF!</v>
      </c>
      <c r="J38" s="11" t="e">
        <f>PL!#REF!</f>
        <v>#REF!</v>
      </c>
      <c r="K38" s="11" t="e">
        <f>PL!#REF!</f>
        <v>#REF!</v>
      </c>
      <c r="L38" s="11" t="e">
        <f>PL!#REF!</f>
        <v>#REF!</v>
      </c>
      <c r="M38" s="23" t="e">
        <f>PL!#REF!</f>
        <v>#REF!</v>
      </c>
    </row>
    <row r="39" spans="2:14">
      <c r="B39" s="518" t="s">
        <v>90</v>
      </c>
      <c r="C39" s="519"/>
      <c r="D39" s="8" t="e">
        <f>D37-D38</f>
        <v>#REF!</v>
      </c>
      <c r="E39" s="8" t="e">
        <f t="shared" ref="E39:M39" si="4">E37-E38</f>
        <v>#REF!</v>
      </c>
      <c r="F39" s="8" t="e">
        <f t="shared" si="4"/>
        <v>#REF!</v>
      </c>
      <c r="G39" s="8" t="e">
        <f t="shared" si="4"/>
        <v>#REF!</v>
      </c>
      <c r="H39" s="8" t="e">
        <f t="shared" si="4"/>
        <v>#REF!</v>
      </c>
      <c r="I39" s="8" t="e">
        <f t="shared" si="4"/>
        <v>#REF!</v>
      </c>
      <c r="J39" s="8" t="e">
        <f t="shared" si="4"/>
        <v>#REF!</v>
      </c>
      <c r="K39" s="8" t="e">
        <f t="shared" si="4"/>
        <v>#REF!</v>
      </c>
      <c r="L39" s="8" t="e">
        <f t="shared" si="4"/>
        <v>#REF!</v>
      </c>
      <c r="M39" s="22" t="e">
        <f t="shared" si="4"/>
        <v>#REF!</v>
      </c>
    </row>
    <row r="40" spans="2:14" ht="14.25" thickBot="1">
      <c r="B40" s="522" t="s">
        <v>77</v>
      </c>
      <c r="C40" s="523"/>
      <c r="D40" s="24" t="e">
        <f>D4+D39</f>
        <v>#REF!</v>
      </c>
      <c r="E40" s="24" t="e">
        <f>E4+E39</f>
        <v>#REF!</v>
      </c>
      <c r="F40" s="24" t="e">
        <f t="shared" ref="F40:M40" si="5">F4+F39</f>
        <v>#REF!</v>
      </c>
      <c r="G40" s="24" t="e">
        <f t="shared" si="5"/>
        <v>#REF!</v>
      </c>
      <c r="H40" s="24" t="e">
        <f t="shared" si="5"/>
        <v>#REF!</v>
      </c>
      <c r="I40" s="24" t="e">
        <f t="shared" si="5"/>
        <v>#REF!</v>
      </c>
      <c r="J40" s="24" t="e">
        <f t="shared" si="5"/>
        <v>#REF!</v>
      </c>
      <c r="K40" s="24" t="e">
        <f t="shared" si="5"/>
        <v>#REF!</v>
      </c>
      <c r="L40" s="24" t="e">
        <f t="shared" si="5"/>
        <v>#REF!</v>
      </c>
      <c r="M40" s="25" t="e">
        <f t="shared" si="5"/>
        <v>#REF!</v>
      </c>
    </row>
    <row r="42" spans="2:14">
      <c r="B42" s="511" t="s">
        <v>91</v>
      </c>
      <c r="C42" s="511"/>
      <c r="D42" s="12" t="e">
        <f>D37</f>
        <v>#REF!</v>
      </c>
      <c r="E42" s="12" t="e">
        <f>E37/(1+$N$42)^(E1-1)</f>
        <v>#REF!</v>
      </c>
      <c r="F42" s="12" t="e">
        <f t="shared" ref="F42:M42" si="6">F37/(1+$N$42)^(F1)</f>
        <v>#REF!</v>
      </c>
      <c r="G42" s="12" t="e">
        <f t="shared" si="6"/>
        <v>#REF!</v>
      </c>
      <c r="H42" s="12" t="e">
        <f t="shared" si="6"/>
        <v>#REF!</v>
      </c>
      <c r="I42" s="12" t="e">
        <f t="shared" si="6"/>
        <v>#REF!</v>
      </c>
      <c r="J42" s="12" t="e">
        <f t="shared" si="6"/>
        <v>#REF!</v>
      </c>
      <c r="K42" s="12" t="e">
        <f t="shared" si="6"/>
        <v>#REF!</v>
      </c>
      <c r="L42" s="12" t="e">
        <f t="shared" si="6"/>
        <v>#REF!</v>
      </c>
      <c r="M42" s="12" t="e">
        <f t="shared" si="6"/>
        <v>#REF!</v>
      </c>
      <c r="N42" s="9">
        <v>1.4999999999999999E-2</v>
      </c>
    </row>
    <row r="43" spans="2:14">
      <c r="B43" s="511" t="s">
        <v>92</v>
      </c>
      <c r="C43" s="511"/>
      <c r="D43" s="12" t="e">
        <f>D39/(1+$N$42)</f>
        <v>#REF!</v>
      </c>
      <c r="E43" s="12" t="e">
        <f>E39/(1+$N$42)^(E1)</f>
        <v>#REF!</v>
      </c>
      <c r="F43" s="12" t="e">
        <f t="shared" ref="F43:M43" si="7">F39/(1+$N$42)^(F1)</f>
        <v>#REF!</v>
      </c>
      <c r="G43" s="12" t="e">
        <f t="shared" si="7"/>
        <v>#REF!</v>
      </c>
      <c r="H43" s="12" t="e">
        <f t="shared" si="7"/>
        <v>#REF!</v>
      </c>
      <c r="I43" s="12" t="e">
        <f t="shared" si="7"/>
        <v>#REF!</v>
      </c>
      <c r="J43" s="12" t="e">
        <f t="shared" si="7"/>
        <v>#REF!</v>
      </c>
      <c r="K43" s="12" t="e">
        <f t="shared" si="7"/>
        <v>#REF!</v>
      </c>
      <c r="L43" s="12" t="e">
        <f t="shared" si="7"/>
        <v>#REF!</v>
      </c>
      <c r="M43" s="12" t="e">
        <f t="shared" si="7"/>
        <v>#REF!</v>
      </c>
      <c r="N43" s="9">
        <v>1.4999999999999999E-2</v>
      </c>
    </row>
    <row r="45" spans="2:14">
      <c r="B45" t="s">
        <v>93</v>
      </c>
    </row>
    <row r="46" spans="2:14">
      <c r="B46" s="526" t="s">
        <v>94</v>
      </c>
      <c r="C46" s="526"/>
      <c r="D46" s="526"/>
      <c r="E46" s="527" t="e">
        <f>SUM(D42:M42)</f>
        <v>#REF!</v>
      </c>
      <c r="F46" s="528"/>
    </row>
    <row r="47" spans="2:14">
      <c r="B47" s="526" t="s">
        <v>95</v>
      </c>
      <c r="C47" s="526"/>
      <c r="D47" s="526"/>
      <c r="E47" s="527" t="e">
        <f>SUM(D43:M43)</f>
        <v>#REF!</v>
      </c>
      <c r="F47" s="528"/>
    </row>
    <row r="48" spans="2:14" ht="14.25" thickBot="1"/>
    <row r="49" spans="2:10" ht="15.75" customHeight="1">
      <c r="B49" s="529"/>
      <c r="C49" s="530"/>
      <c r="D49" s="530"/>
      <c r="E49" s="530"/>
      <c r="F49" s="530"/>
      <c r="G49" s="530" t="s">
        <v>100</v>
      </c>
      <c r="H49" s="530"/>
      <c r="I49" s="530" t="s">
        <v>101</v>
      </c>
      <c r="J49" s="547"/>
    </row>
    <row r="50" spans="2:10" ht="15.75" customHeight="1">
      <c r="B50" s="548" t="s">
        <v>105</v>
      </c>
      <c r="C50" s="526"/>
      <c r="D50" s="526"/>
      <c r="E50" s="526"/>
      <c r="F50" s="526"/>
      <c r="G50" s="527" t="e">
        <f>E47</f>
        <v>#REF!</v>
      </c>
      <c r="H50" s="528"/>
      <c r="I50" s="549">
        <f>66.7%</f>
        <v>0.66700000000000004</v>
      </c>
      <c r="J50" s="550"/>
    </row>
    <row r="51" spans="2:10" ht="15.75" customHeight="1" thickBot="1">
      <c r="B51" s="551" t="s">
        <v>98</v>
      </c>
      <c r="C51" s="552"/>
      <c r="D51" s="552"/>
      <c r="E51" s="552"/>
      <c r="F51" s="552"/>
      <c r="G51" s="553">
        <v>0</v>
      </c>
      <c r="H51" s="553"/>
      <c r="I51" s="524">
        <v>0.33300000000000002</v>
      </c>
      <c r="J51" s="525"/>
    </row>
    <row r="52" spans="2:10" ht="19.5" customHeight="1" thickBot="1">
      <c r="B52" s="537" t="s">
        <v>99</v>
      </c>
      <c r="C52" s="538"/>
      <c r="D52" s="538"/>
      <c r="E52" s="538"/>
      <c r="F52" s="538"/>
      <c r="G52" s="539" t="e">
        <f>G50*I50+G51*I51</f>
        <v>#REF!</v>
      </c>
      <c r="H52" s="539"/>
      <c r="I52" s="540"/>
      <c r="J52" s="541"/>
    </row>
    <row r="53" spans="2:10" ht="15.75" customHeight="1">
      <c r="B53" s="542" t="s">
        <v>102</v>
      </c>
      <c r="C53" s="543"/>
      <c r="D53" s="543"/>
      <c r="E53" s="543"/>
      <c r="F53" s="543"/>
      <c r="G53" s="544" t="e">
        <f>G52*1.1</f>
        <v>#REF!</v>
      </c>
      <c r="H53" s="544"/>
      <c r="I53" s="545">
        <v>0.1</v>
      </c>
      <c r="J53" s="546"/>
    </row>
    <row r="54" spans="2:10" ht="15.75" customHeight="1" thickBot="1">
      <c r="B54" s="532" t="s">
        <v>103</v>
      </c>
      <c r="C54" s="533"/>
      <c r="D54" s="533"/>
      <c r="E54" s="533"/>
      <c r="F54" s="533"/>
      <c r="G54" s="534" t="e">
        <f>G52*0.9</f>
        <v>#REF!</v>
      </c>
      <c r="H54" s="534"/>
      <c r="I54" s="535">
        <v>-0.1</v>
      </c>
      <c r="J54" s="536"/>
    </row>
    <row r="55" spans="2:10">
      <c r="B55" s="26"/>
    </row>
  </sheetData>
  <mergeCells count="41">
    <mergeCell ref="B54:F54"/>
    <mergeCell ref="G54:H54"/>
    <mergeCell ref="I54:J54"/>
    <mergeCell ref="B52:F52"/>
    <mergeCell ref="G52:H52"/>
    <mergeCell ref="I52:J52"/>
    <mergeCell ref="B53:F53"/>
    <mergeCell ref="G53:H53"/>
    <mergeCell ref="I53:J53"/>
    <mergeCell ref="B51:F51"/>
    <mergeCell ref="G51:H51"/>
    <mergeCell ref="I51:J51"/>
    <mergeCell ref="B43:C43"/>
    <mergeCell ref="B46:D46"/>
    <mergeCell ref="E46:F46"/>
    <mergeCell ref="B47:D47"/>
    <mergeCell ref="E47:F47"/>
    <mergeCell ref="B49:F49"/>
    <mergeCell ref="G49:H49"/>
    <mergeCell ref="I49:J49"/>
    <mergeCell ref="B50:F50"/>
    <mergeCell ref="G50:H50"/>
    <mergeCell ref="I50:J50"/>
    <mergeCell ref="B42:C42"/>
    <mergeCell ref="B11:B17"/>
    <mergeCell ref="B18:C18"/>
    <mergeCell ref="B19:C19"/>
    <mergeCell ref="B20:B27"/>
    <mergeCell ref="B28:C28"/>
    <mergeCell ref="B29:B35"/>
    <mergeCell ref="B36:C36"/>
    <mergeCell ref="B37:C37"/>
    <mergeCell ref="B38:C38"/>
    <mergeCell ref="B39:C39"/>
    <mergeCell ref="B40:C40"/>
    <mergeCell ref="B10:C10"/>
    <mergeCell ref="B2:E2"/>
    <mergeCell ref="B3:C3"/>
    <mergeCell ref="B4:C4"/>
    <mergeCell ref="B5:C5"/>
    <mergeCell ref="B6:B9"/>
  </mergeCells>
  <phoneticPr fontId="2"/>
  <pageMargins left="0.25" right="0.25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21C1-422C-4849-9669-D9EAF776CDC8}">
  <dimension ref="B1:Y29"/>
  <sheetViews>
    <sheetView workbookViewId="0">
      <selection activeCell="Y7" sqref="Y7"/>
    </sheetView>
  </sheetViews>
  <sheetFormatPr defaultRowHeight="21.75" customHeight="1"/>
  <cols>
    <col min="1" max="1" width="2.5" style="253" customWidth="1"/>
    <col min="2" max="3" width="3.875" style="253" customWidth="1"/>
    <col min="4" max="4" width="21.125" style="253" bestFit="1" customWidth="1"/>
    <col min="5" max="5" width="6" style="253" customWidth="1"/>
    <col min="6" max="25" width="8.125" style="253" customWidth="1"/>
    <col min="26" max="16384" width="9" style="253"/>
  </cols>
  <sheetData>
    <row r="1" spans="2:25" ht="21.75" customHeight="1" thickBot="1"/>
    <row r="2" spans="2:25" s="480" customFormat="1" ht="24.75" customHeight="1" thickBot="1">
      <c r="B2" s="561" t="s">
        <v>515</v>
      </c>
      <c r="C2" s="562"/>
      <c r="D2" s="562"/>
      <c r="E2" s="563"/>
      <c r="F2" s="554" t="s">
        <v>407</v>
      </c>
      <c r="G2" s="555"/>
      <c r="H2" s="555"/>
      <c r="I2" s="556"/>
      <c r="J2" s="557" t="s">
        <v>498</v>
      </c>
      <c r="K2" s="555"/>
      <c r="L2" s="555"/>
      <c r="M2" s="558"/>
      <c r="N2" s="554" t="s">
        <v>499</v>
      </c>
      <c r="O2" s="555"/>
      <c r="P2" s="555"/>
      <c r="Q2" s="556"/>
      <c r="R2" s="557" t="s">
        <v>500</v>
      </c>
      <c r="S2" s="555"/>
      <c r="T2" s="555"/>
      <c r="U2" s="558"/>
      <c r="V2" s="554" t="s">
        <v>501</v>
      </c>
      <c r="W2" s="555"/>
      <c r="X2" s="555"/>
      <c r="Y2" s="556"/>
    </row>
    <row r="3" spans="2:25" s="420" customFormat="1" ht="17.25" customHeight="1" thickTop="1" thickBot="1">
      <c r="B3" s="564"/>
      <c r="C3" s="565"/>
      <c r="D3" s="565"/>
      <c r="E3" s="566"/>
      <c r="F3" s="475" t="s">
        <v>494</v>
      </c>
      <c r="G3" s="476" t="s">
        <v>495</v>
      </c>
      <c r="H3" s="476" t="s">
        <v>496</v>
      </c>
      <c r="I3" s="477" t="s">
        <v>497</v>
      </c>
      <c r="J3" s="478" t="s">
        <v>494</v>
      </c>
      <c r="K3" s="476" t="s">
        <v>495</v>
      </c>
      <c r="L3" s="476" t="s">
        <v>496</v>
      </c>
      <c r="M3" s="479" t="s">
        <v>497</v>
      </c>
      <c r="N3" s="475" t="s">
        <v>494</v>
      </c>
      <c r="O3" s="476" t="s">
        <v>495</v>
      </c>
      <c r="P3" s="476" t="s">
        <v>496</v>
      </c>
      <c r="Q3" s="477" t="s">
        <v>497</v>
      </c>
      <c r="R3" s="478" t="s">
        <v>494</v>
      </c>
      <c r="S3" s="476" t="s">
        <v>495</v>
      </c>
      <c r="T3" s="476" t="s">
        <v>496</v>
      </c>
      <c r="U3" s="479" t="s">
        <v>497</v>
      </c>
      <c r="V3" s="475" t="s">
        <v>494</v>
      </c>
      <c r="W3" s="476" t="s">
        <v>495</v>
      </c>
      <c r="X3" s="476" t="s">
        <v>496</v>
      </c>
      <c r="Y3" s="477" t="s">
        <v>497</v>
      </c>
    </row>
    <row r="4" spans="2:25" s="420" customFormat="1" ht="21.75" customHeight="1" thickTop="1">
      <c r="B4" s="559" t="s">
        <v>514</v>
      </c>
      <c r="C4" s="560"/>
      <c r="D4" s="560"/>
      <c r="E4" s="560"/>
      <c r="F4" s="470">
        <f>SUM(F6:F15)</f>
        <v>1</v>
      </c>
      <c r="G4" s="471">
        <f>SUM(G6:G15)+F4</f>
        <v>3</v>
      </c>
      <c r="H4" s="471">
        <f t="shared" ref="H4:Y4" si="0">SUM(H6:H15)+G4</f>
        <v>4</v>
      </c>
      <c r="I4" s="472">
        <f t="shared" si="0"/>
        <v>5</v>
      </c>
      <c r="J4" s="473">
        <f t="shared" si="0"/>
        <v>5</v>
      </c>
      <c r="K4" s="471">
        <f t="shared" si="0"/>
        <v>5</v>
      </c>
      <c r="L4" s="471">
        <f t="shared" si="0"/>
        <v>5</v>
      </c>
      <c r="M4" s="474">
        <f t="shared" si="0"/>
        <v>5</v>
      </c>
      <c r="N4" s="470">
        <f t="shared" si="0"/>
        <v>5</v>
      </c>
      <c r="O4" s="471">
        <f t="shared" si="0"/>
        <v>5</v>
      </c>
      <c r="P4" s="471">
        <f t="shared" si="0"/>
        <v>5</v>
      </c>
      <c r="Q4" s="472">
        <f t="shared" si="0"/>
        <v>5</v>
      </c>
      <c r="R4" s="473">
        <f t="shared" si="0"/>
        <v>5</v>
      </c>
      <c r="S4" s="471">
        <f t="shared" si="0"/>
        <v>5</v>
      </c>
      <c r="T4" s="471">
        <f t="shared" si="0"/>
        <v>5</v>
      </c>
      <c r="U4" s="474">
        <f t="shared" si="0"/>
        <v>5</v>
      </c>
      <c r="V4" s="470">
        <f t="shared" si="0"/>
        <v>5</v>
      </c>
      <c r="W4" s="471">
        <f t="shared" si="0"/>
        <v>5</v>
      </c>
      <c r="X4" s="471">
        <f t="shared" si="0"/>
        <v>5</v>
      </c>
      <c r="Y4" s="472">
        <f t="shared" si="0"/>
        <v>5</v>
      </c>
    </row>
    <row r="5" spans="2:25" s="420" customFormat="1" ht="21.75" customHeight="1">
      <c r="B5" s="569"/>
      <c r="C5" s="575" t="s">
        <v>517</v>
      </c>
      <c r="D5" s="576"/>
      <c r="E5" s="576"/>
      <c r="F5" s="456"/>
      <c r="G5" s="439"/>
      <c r="H5" s="439"/>
      <c r="I5" s="449"/>
      <c r="J5" s="442"/>
      <c r="K5" s="439"/>
      <c r="L5" s="439"/>
      <c r="M5" s="463"/>
      <c r="N5" s="456"/>
      <c r="O5" s="439"/>
      <c r="P5" s="439"/>
      <c r="Q5" s="449"/>
      <c r="R5" s="442"/>
      <c r="S5" s="439"/>
      <c r="T5" s="439"/>
      <c r="U5" s="463"/>
      <c r="V5" s="456"/>
      <c r="W5" s="439"/>
      <c r="X5" s="439"/>
      <c r="Y5" s="449"/>
    </row>
    <row r="6" spans="2:25" ht="21.75" customHeight="1">
      <c r="B6" s="569"/>
      <c r="C6" s="450"/>
      <c r="D6" s="299" t="s">
        <v>502</v>
      </c>
      <c r="E6" s="451">
        <v>0.5</v>
      </c>
      <c r="F6" s="457">
        <v>1</v>
      </c>
      <c r="G6" s="438">
        <v>0.5</v>
      </c>
      <c r="H6" s="421">
        <v>1</v>
      </c>
      <c r="I6" s="422">
        <v>1</v>
      </c>
      <c r="J6" s="443"/>
      <c r="K6" s="421"/>
      <c r="L6" s="421"/>
      <c r="M6" s="464"/>
      <c r="N6" s="457"/>
      <c r="O6" s="421"/>
      <c r="P6" s="421"/>
      <c r="Q6" s="422"/>
      <c r="R6" s="443"/>
      <c r="S6" s="421"/>
      <c r="T6" s="421"/>
      <c r="U6" s="464"/>
      <c r="V6" s="457"/>
      <c r="W6" s="421"/>
      <c r="X6" s="421"/>
      <c r="Y6" s="422"/>
    </row>
    <row r="7" spans="2:25" ht="21.75" customHeight="1">
      <c r="B7" s="569"/>
      <c r="C7" s="450"/>
      <c r="D7" s="299" t="s">
        <v>503</v>
      </c>
      <c r="E7" s="451"/>
      <c r="F7" s="457"/>
      <c r="G7" s="421"/>
      <c r="H7" s="421"/>
      <c r="I7" s="422"/>
      <c r="J7" s="443"/>
      <c r="K7" s="421"/>
      <c r="L7" s="421"/>
      <c r="M7" s="464"/>
      <c r="N7" s="457"/>
      <c r="O7" s="421"/>
      <c r="P7" s="421"/>
      <c r="Q7" s="422"/>
      <c r="R7" s="443"/>
      <c r="S7" s="421"/>
      <c r="T7" s="421"/>
      <c r="U7" s="464"/>
      <c r="V7" s="457"/>
      <c r="W7" s="421"/>
      <c r="X7" s="421"/>
      <c r="Y7" s="422"/>
    </row>
    <row r="8" spans="2:25" ht="21.75" customHeight="1">
      <c r="B8" s="569"/>
      <c r="C8" s="450"/>
      <c r="D8" s="299" t="s">
        <v>504</v>
      </c>
      <c r="E8" s="451">
        <v>0.5</v>
      </c>
      <c r="F8" s="457"/>
      <c r="G8" s="438">
        <v>0.5</v>
      </c>
      <c r="H8" s="421"/>
      <c r="I8" s="422"/>
      <c r="J8" s="443"/>
      <c r="K8" s="421"/>
      <c r="L8" s="421"/>
      <c r="M8" s="464"/>
      <c r="N8" s="457"/>
      <c r="O8" s="421"/>
      <c r="P8" s="421"/>
      <c r="Q8" s="422"/>
      <c r="R8" s="443"/>
      <c r="S8" s="421"/>
      <c r="T8" s="421"/>
      <c r="U8" s="464"/>
      <c r="V8" s="457"/>
      <c r="W8" s="421"/>
      <c r="X8" s="421"/>
      <c r="Y8" s="422"/>
    </row>
    <row r="9" spans="2:25" ht="21.75" customHeight="1">
      <c r="B9" s="569"/>
      <c r="C9" s="450"/>
      <c r="D9" s="299" t="s">
        <v>512</v>
      </c>
      <c r="E9" s="451"/>
      <c r="F9" s="457"/>
      <c r="G9" s="421">
        <v>1</v>
      </c>
      <c r="H9" s="421"/>
      <c r="I9" s="422"/>
      <c r="J9" s="443"/>
      <c r="K9" s="421"/>
      <c r="L9" s="421"/>
      <c r="M9" s="464"/>
      <c r="N9" s="457"/>
      <c r="O9" s="421"/>
      <c r="P9" s="421"/>
      <c r="Q9" s="422"/>
      <c r="R9" s="443"/>
      <c r="S9" s="421"/>
      <c r="T9" s="421"/>
      <c r="U9" s="464"/>
      <c r="V9" s="457"/>
      <c r="W9" s="421"/>
      <c r="X9" s="421"/>
      <c r="Y9" s="422"/>
    </row>
    <row r="10" spans="2:25" ht="21.75" customHeight="1">
      <c r="B10" s="569"/>
      <c r="C10" s="440"/>
      <c r="D10" s="299"/>
      <c r="E10" s="451"/>
      <c r="F10" s="457"/>
      <c r="G10" s="421"/>
      <c r="H10" s="421"/>
      <c r="I10" s="422"/>
      <c r="J10" s="443"/>
      <c r="K10" s="421"/>
      <c r="L10" s="421"/>
      <c r="M10" s="464"/>
      <c r="N10" s="457"/>
      <c r="O10" s="421"/>
      <c r="P10" s="421"/>
      <c r="Q10" s="422"/>
      <c r="R10" s="443"/>
      <c r="S10" s="421"/>
      <c r="T10" s="421"/>
      <c r="U10" s="464"/>
      <c r="V10" s="457"/>
      <c r="W10" s="421"/>
      <c r="X10" s="421"/>
      <c r="Y10" s="422"/>
    </row>
    <row r="11" spans="2:25" ht="21.75" customHeight="1">
      <c r="B11" s="569"/>
      <c r="C11" s="573" t="s">
        <v>518</v>
      </c>
      <c r="D11" s="574"/>
      <c r="E11" s="574"/>
      <c r="F11" s="458"/>
      <c r="G11" s="423"/>
      <c r="H11" s="423"/>
      <c r="I11" s="424"/>
      <c r="J11" s="444"/>
      <c r="K11" s="423"/>
      <c r="L11" s="423"/>
      <c r="M11" s="465"/>
      <c r="N11" s="458"/>
      <c r="O11" s="423"/>
      <c r="P11" s="423"/>
      <c r="Q11" s="424"/>
      <c r="R11" s="444"/>
      <c r="S11" s="423"/>
      <c r="T11" s="423"/>
      <c r="U11" s="465"/>
      <c r="V11" s="458"/>
      <c r="W11" s="423"/>
      <c r="X11" s="423"/>
      <c r="Y11" s="424"/>
    </row>
    <row r="12" spans="2:25" ht="21.75" customHeight="1">
      <c r="B12" s="569"/>
      <c r="C12" s="571"/>
      <c r="D12" s="299" t="s">
        <v>505</v>
      </c>
      <c r="E12" s="451">
        <v>1</v>
      </c>
      <c r="F12" s="457"/>
      <c r="G12" s="421"/>
      <c r="H12" s="421"/>
      <c r="I12" s="422"/>
      <c r="J12" s="443"/>
      <c r="K12" s="421"/>
      <c r="L12" s="421"/>
      <c r="M12" s="464"/>
      <c r="N12" s="457"/>
      <c r="O12" s="421"/>
      <c r="P12" s="421"/>
      <c r="Q12" s="422"/>
      <c r="R12" s="443"/>
      <c r="S12" s="421"/>
      <c r="T12" s="421"/>
      <c r="U12" s="464"/>
      <c r="V12" s="457"/>
      <c r="W12" s="421"/>
      <c r="X12" s="421"/>
      <c r="Y12" s="422"/>
    </row>
    <row r="13" spans="2:25" ht="21.75" customHeight="1">
      <c r="B13" s="569"/>
      <c r="C13" s="571"/>
      <c r="D13" s="299" t="s">
        <v>516</v>
      </c>
      <c r="E13" s="451">
        <v>1</v>
      </c>
      <c r="F13" s="457"/>
      <c r="G13" s="421"/>
      <c r="H13" s="421"/>
      <c r="I13" s="422"/>
      <c r="J13" s="443"/>
      <c r="K13" s="421"/>
      <c r="L13" s="421"/>
      <c r="M13" s="464"/>
      <c r="N13" s="457"/>
      <c r="O13" s="421"/>
      <c r="P13" s="421"/>
      <c r="Q13" s="422"/>
      <c r="R13" s="443"/>
      <c r="S13" s="421"/>
      <c r="T13" s="421"/>
      <c r="U13" s="464"/>
      <c r="V13" s="457"/>
      <c r="W13" s="421"/>
      <c r="X13" s="421"/>
      <c r="Y13" s="422"/>
    </row>
    <row r="14" spans="2:25" ht="21.75" customHeight="1">
      <c r="B14" s="569"/>
      <c r="C14" s="571"/>
      <c r="D14" s="425" t="s">
        <v>507</v>
      </c>
      <c r="E14" s="452"/>
      <c r="F14" s="459"/>
      <c r="G14" s="426"/>
      <c r="H14" s="426"/>
      <c r="I14" s="427"/>
      <c r="J14" s="445"/>
      <c r="K14" s="426"/>
      <c r="L14" s="426"/>
      <c r="M14" s="466"/>
      <c r="N14" s="459"/>
      <c r="O14" s="426"/>
      <c r="P14" s="426"/>
      <c r="Q14" s="427"/>
      <c r="R14" s="445"/>
      <c r="S14" s="426"/>
      <c r="T14" s="426"/>
      <c r="U14" s="466"/>
      <c r="V14" s="459"/>
      <c r="W14" s="426"/>
      <c r="X14" s="426"/>
      <c r="Y14" s="427"/>
    </row>
    <row r="15" spans="2:25" ht="21.75" customHeight="1" thickBot="1">
      <c r="B15" s="570"/>
      <c r="C15" s="572"/>
      <c r="D15" s="303"/>
      <c r="E15" s="453"/>
      <c r="F15" s="460"/>
      <c r="G15" s="428"/>
      <c r="H15" s="428"/>
      <c r="I15" s="429"/>
      <c r="J15" s="446"/>
      <c r="K15" s="428"/>
      <c r="L15" s="428"/>
      <c r="M15" s="467"/>
      <c r="N15" s="460"/>
      <c r="O15" s="428"/>
      <c r="P15" s="428"/>
      <c r="Q15" s="429"/>
      <c r="R15" s="446"/>
      <c r="S15" s="428"/>
      <c r="T15" s="428"/>
      <c r="U15" s="467"/>
      <c r="V15" s="460"/>
      <c r="W15" s="428"/>
      <c r="X15" s="428"/>
      <c r="Y15" s="429"/>
    </row>
    <row r="16" spans="2:25" ht="21.75" customHeight="1">
      <c r="B16" s="577" t="s">
        <v>229</v>
      </c>
      <c r="C16" s="578"/>
      <c r="D16" s="579"/>
      <c r="E16" s="454"/>
      <c r="F16" s="461">
        <f>SUM(F17:F24)</f>
        <v>0</v>
      </c>
      <c r="G16" s="430">
        <f>SUM(G17:G24)+F16</f>
        <v>1</v>
      </c>
      <c r="H16" s="430">
        <f t="shared" ref="H16" si="1">SUM(H17:H24)+G16</f>
        <v>1</v>
      </c>
      <c r="I16" s="431">
        <f t="shared" ref="I16" si="2">SUM(I17:I24)+H16</f>
        <v>1</v>
      </c>
      <c r="J16" s="447">
        <f t="shared" ref="J16" si="3">SUM(J17:J24)+I16</f>
        <v>1</v>
      </c>
      <c r="K16" s="430">
        <f t="shared" ref="K16" si="4">SUM(K17:K24)+J16</f>
        <v>1</v>
      </c>
      <c r="L16" s="430">
        <f t="shared" ref="L16" si="5">SUM(L17:L24)+K16</f>
        <v>1</v>
      </c>
      <c r="M16" s="468">
        <f t="shared" ref="M16" si="6">SUM(M17:M24)+L16</f>
        <v>1</v>
      </c>
      <c r="N16" s="461">
        <f t="shared" ref="N16" si="7">SUM(N17:N24)+M16</f>
        <v>1</v>
      </c>
      <c r="O16" s="430">
        <f t="shared" ref="O16" si="8">SUM(O17:O24)+N16</f>
        <v>1</v>
      </c>
      <c r="P16" s="430">
        <f t="shared" ref="P16" si="9">SUM(P17:P24)+O16</f>
        <v>1</v>
      </c>
      <c r="Q16" s="431">
        <f t="shared" ref="Q16" si="10">SUM(Q17:Q24)+P16</f>
        <v>1</v>
      </c>
      <c r="R16" s="447">
        <f t="shared" ref="R16" si="11">SUM(R17:R24)+Q16</f>
        <v>1</v>
      </c>
      <c r="S16" s="430">
        <f t="shared" ref="S16" si="12">SUM(S17:S24)+R16</f>
        <v>1</v>
      </c>
      <c r="T16" s="430">
        <f t="shared" ref="T16" si="13">SUM(T17:T24)+S16</f>
        <v>1</v>
      </c>
      <c r="U16" s="468">
        <f t="shared" ref="U16" si="14">SUM(U17:U24)+T16</f>
        <v>1</v>
      </c>
      <c r="V16" s="461">
        <f t="shared" ref="V16" si="15">SUM(V17:V24)+U16</f>
        <v>1</v>
      </c>
      <c r="W16" s="430">
        <f t="shared" ref="W16" si="16">SUM(W17:W24)+V16</f>
        <v>1</v>
      </c>
      <c r="X16" s="430">
        <f t="shared" ref="X16" si="17">SUM(X17:X24)+W16</f>
        <v>1</v>
      </c>
      <c r="Y16" s="431">
        <f t="shared" ref="Y16" si="18">SUM(Y17:Y24)+X16</f>
        <v>1</v>
      </c>
    </row>
    <row r="17" spans="2:25" ht="21.75" customHeight="1">
      <c r="B17" s="582"/>
      <c r="C17" s="432"/>
      <c r="D17" s="299" t="s">
        <v>502</v>
      </c>
      <c r="E17" s="451"/>
      <c r="F17" s="457"/>
      <c r="G17" s="421">
        <v>1</v>
      </c>
      <c r="H17" s="421"/>
      <c r="I17" s="422"/>
      <c r="J17" s="443"/>
      <c r="K17" s="421"/>
      <c r="L17" s="421"/>
      <c r="M17" s="464"/>
      <c r="N17" s="457"/>
      <c r="O17" s="421"/>
      <c r="P17" s="421"/>
      <c r="Q17" s="422"/>
      <c r="R17" s="443"/>
      <c r="S17" s="421"/>
      <c r="T17" s="421"/>
      <c r="U17" s="464"/>
      <c r="V17" s="457"/>
      <c r="W17" s="421"/>
      <c r="X17" s="421"/>
      <c r="Y17" s="422"/>
    </row>
    <row r="18" spans="2:25" ht="21.75" customHeight="1">
      <c r="B18" s="582"/>
      <c r="C18" s="432"/>
      <c r="D18" s="299" t="s">
        <v>503</v>
      </c>
      <c r="E18" s="451"/>
      <c r="F18" s="457"/>
      <c r="G18" s="421"/>
      <c r="H18" s="421"/>
      <c r="I18" s="422"/>
      <c r="J18" s="443"/>
      <c r="K18" s="421"/>
      <c r="L18" s="421"/>
      <c r="M18" s="464"/>
      <c r="N18" s="457"/>
      <c r="O18" s="421"/>
      <c r="P18" s="421"/>
      <c r="Q18" s="422"/>
      <c r="R18" s="443"/>
      <c r="S18" s="421"/>
      <c r="T18" s="421"/>
      <c r="U18" s="464"/>
      <c r="V18" s="457"/>
      <c r="W18" s="421"/>
      <c r="X18" s="421"/>
      <c r="Y18" s="422"/>
    </row>
    <row r="19" spans="2:25" ht="21.75" customHeight="1">
      <c r="B19" s="582"/>
      <c r="C19" s="432"/>
      <c r="D19" s="299" t="s">
        <v>504</v>
      </c>
      <c r="E19" s="451"/>
      <c r="F19" s="457"/>
      <c r="G19" s="421"/>
      <c r="H19" s="421"/>
      <c r="I19" s="422"/>
      <c r="J19" s="443"/>
      <c r="K19" s="421"/>
      <c r="L19" s="421"/>
      <c r="M19" s="464"/>
      <c r="N19" s="457"/>
      <c r="O19" s="421"/>
      <c r="P19" s="421"/>
      <c r="Q19" s="422"/>
      <c r="R19" s="443"/>
      <c r="S19" s="421"/>
      <c r="T19" s="421"/>
      <c r="U19" s="464"/>
      <c r="V19" s="457"/>
      <c r="W19" s="421"/>
      <c r="X19" s="421"/>
      <c r="Y19" s="422"/>
    </row>
    <row r="20" spans="2:25" ht="21.75" customHeight="1">
      <c r="B20" s="582"/>
      <c r="C20" s="432"/>
      <c r="D20" s="299" t="s">
        <v>505</v>
      </c>
      <c r="E20" s="451"/>
      <c r="F20" s="457"/>
      <c r="G20" s="421"/>
      <c r="H20" s="421"/>
      <c r="I20" s="422"/>
      <c r="J20" s="443"/>
      <c r="K20" s="421"/>
      <c r="L20" s="421"/>
      <c r="M20" s="464"/>
      <c r="N20" s="457"/>
      <c r="O20" s="421"/>
      <c r="P20" s="421"/>
      <c r="Q20" s="422"/>
      <c r="R20" s="443"/>
      <c r="S20" s="421"/>
      <c r="T20" s="421"/>
      <c r="U20" s="464"/>
      <c r="V20" s="457"/>
      <c r="W20" s="421"/>
      <c r="X20" s="421"/>
      <c r="Y20" s="422"/>
    </row>
    <row r="21" spans="2:25" ht="21.75" customHeight="1">
      <c r="B21" s="582"/>
      <c r="C21" s="432"/>
      <c r="D21" s="299" t="s">
        <v>506</v>
      </c>
      <c r="E21" s="451"/>
      <c r="F21" s="457"/>
      <c r="G21" s="421"/>
      <c r="H21" s="421"/>
      <c r="I21" s="422"/>
      <c r="J21" s="443"/>
      <c r="K21" s="421"/>
      <c r="L21" s="421"/>
      <c r="M21" s="464"/>
      <c r="N21" s="457"/>
      <c r="O21" s="421"/>
      <c r="P21" s="421"/>
      <c r="Q21" s="422"/>
      <c r="R21" s="443"/>
      <c r="S21" s="421"/>
      <c r="T21" s="421"/>
      <c r="U21" s="464"/>
      <c r="V21" s="457"/>
      <c r="W21" s="421"/>
      <c r="X21" s="421"/>
      <c r="Y21" s="422"/>
    </row>
    <row r="22" spans="2:25" ht="21.75" customHeight="1" thickBot="1">
      <c r="B22" s="583"/>
      <c r="C22" s="433"/>
      <c r="D22" s="303" t="s">
        <v>507</v>
      </c>
      <c r="E22" s="453"/>
      <c r="F22" s="460"/>
      <c r="G22" s="428"/>
      <c r="H22" s="428"/>
      <c r="I22" s="429"/>
      <c r="J22" s="446"/>
      <c r="K22" s="428"/>
      <c r="L22" s="428"/>
      <c r="M22" s="467"/>
      <c r="N22" s="460"/>
      <c r="O22" s="428"/>
      <c r="P22" s="428"/>
      <c r="Q22" s="429"/>
      <c r="R22" s="446"/>
      <c r="S22" s="428"/>
      <c r="T22" s="428"/>
      <c r="U22" s="467"/>
      <c r="V22" s="460"/>
      <c r="W22" s="428"/>
      <c r="X22" s="428"/>
      <c r="Y22" s="429"/>
    </row>
    <row r="23" spans="2:25" ht="21.75" customHeight="1">
      <c r="B23" s="567" t="s">
        <v>508</v>
      </c>
      <c r="C23" s="580"/>
      <c r="D23" s="581"/>
      <c r="E23" s="455"/>
      <c r="F23" s="462"/>
      <c r="G23" s="434"/>
      <c r="H23" s="434"/>
      <c r="I23" s="435"/>
      <c r="J23" s="448"/>
      <c r="K23" s="434"/>
      <c r="L23" s="434"/>
      <c r="M23" s="469"/>
      <c r="N23" s="462"/>
      <c r="O23" s="434"/>
      <c r="P23" s="434"/>
      <c r="Q23" s="435"/>
      <c r="R23" s="448"/>
      <c r="S23" s="434"/>
      <c r="T23" s="434"/>
      <c r="U23" s="469"/>
      <c r="V23" s="462"/>
      <c r="W23" s="434"/>
      <c r="X23" s="434"/>
      <c r="Y23" s="435"/>
    </row>
    <row r="24" spans="2:25" ht="21.75" customHeight="1">
      <c r="B24" s="567"/>
      <c r="C24" s="436"/>
      <c r="D24" s="299" t="s">
        <v>513</v>
      </c>
      <c r="E24" s="451"/>
      <c r="F24" s="457"/>
      <c r="G24" s="421"/>
      <c r="H24" s="421"/>
      <c r="I24" s="422"/>
      <c r="J24" s="443"/>
      <c r="K24" s="421"/>
      <c r="L24" s="421"/>
      <c r="M24" s="464"/>
      <c r="N24" s="457"/>
      <c r="O24" s="421"/>
      <c r="P24" s="421"/>
      <c r="Q24" s="422"/>
      <c r="R24" s="443"/>
      <c r="S24" s="421"/>
      <c r="T24" s="421"/>
      <c r="U24" s="464"/>
      <c r="V24" s="457"/>
      <c r="W24" s="421"/>
      <c r="X24" s="421"/>
      <c r="Y24" s="422"/>
    </row>
    <row r="25" spans="2:25" ht="21.75" customHeight="1">
      <c r="B25" s="567"/>
      <c r="C25" s="436"/>
      <c r="D25" s="299" t="s">
        <v>510</v>
      </c>
      <c r="E25" s="451"/>
      <c r="F25" s="457"/>
      <c r="G25" s="421"/>
      <c r="H25" s="421"/>
      <c r="I25" s="422"/>
      <c r="J25" s="443"/>
      <c r="K25" s="421"/>
      <c r="L25" s="421"/>
      <c r="M25" s="464"/>
      <c r="N25" s="457"/>
      <c r="O25" s="421"/>
      <c r="P25" s="421"/>
      <c r="Q25" s="422"/>
      <c r="R25" s="443"/>
      <c r="S25" s="421"/>
      <c r="T25" s="421"/>
      <c r="U25" s="464"/>
      <c r="V25" s="457"/>
      <c r="W25" s="421"/>
      <c r="X25" s="421"/>
      <c r="Y25" s="422"/>
    </row>
    <row r="26" spans="2:25" ht="21.75" customHeight="1">
      <c r="B26" s="567"/>
      <c r="C26" s="436"/>
      <c r="D26" s="299" t="s">
        <v>509</v>
      </c>
      <c r="E26" s="451"/>
      <c r="F26" s="457"/>
      <c r="G26" s="421"/>
      <c r="H26" s="421"/>
      <c r="I26" s="422"/>
      <c r="J26" s="443"/>
      <c r="K26" s="421"/>
      <c r="L26" s="421"/>
      <c r="M26" s="464"/>
      <c r="N26" s="457"/>
      <c r="O26" s="421"/>
      <c r="P26" s="421"/>
      <c r="Q26" s="422"/>
      <c r="R26" s="443"/>
      <c r="S26" s="421"/>
      <c r="T26" s="421"/>
      <c r="U26" s="464"/>
      <c r="V26" s="457"/>
      <c r="W26" s="421"/>
      <c r="X26" s="421"/>
      <c r="Y26" s="422"/>
    </row>
    <row r="27" spans="2:25" ht="21.75" customHeight="1">
      <c r="B27" s="567"/>
      <c r="C27" s="436"/>
      <c r="D27" s="299" t="s">
        <v>511</v>
      </c>
      <c r="E27" s="451"/>
      <c r="F27" s="457"/>
      <c r="G27" s="421"/>
      <c r="H27" s="421"/>
      <c r="I27" s="422"/>
      <c r="J27" s="443"/>
      <c r="K27" s="421"/>
      <c r="L27" s="421"/>
      <c r="M27" s="464"/>
      <c r="N27" s="457"/>
      <c r="O27" s="421"/>
      <c r="P27" s="421"/>
      <c r="Q27" s="422"/>
      <c r="R27" s="443"/>
      <c r="S27" s="421"/>
      <c r="T27" s="421"/>
      <c r="U27" s="464"/>
      <c r="V27" s="457"/>
      <c r="W27" s="421"/>
      <c r="X27" s="421"/>
      <c r="Y27" s="422"/>
    </row>
    <row r="28" spans="2:25" ht="21.75" customHeight="1">
      <c r="B28" s="567"/>
      <c r="C28" s="436"/>
      <c r="D28" s="299"/>
      <c r="E28" s="451"/>
      <c r="F28" s="457"/>
      <c r="G28" s="421"/>
      <c r="H28" s="421"/>
      <c r="I28" s="422"/>
      <c r="J28" s="443"/>
      <c r="K28" s="421"/>
      <c r="L28" s="421"/>
      <c r="M28" s="464"/>
      <c r="N28" s="457"/>
      <c r="O28" s="421"/>
      <c r="P28" s="421"/>
      <c r="Q28" s="422"/>
      <c r="R28" s="443"/>
      <c r="S28" s="421"/>
      <c r="T28" s="421"/>
      <c r="U28" s="464"/>
      <c r="V28" s="457"/>
      <c r="W28" s="421"/>
      <c r="X28" s="421"/>
      <c r="Y28" s="422"/>
    </row>
    <row r="29" spans="2:25" ht="21.75" customHeight="1" thickBot="1">
      <c r="B29" s="568"/>
      <c r="C29" s="437"/>
      <c r="D29" s="303"/>
      <c r="E29" s="453"/>
      <c r="F29" s="460"/>
      <c r="G29" s="428"/>
      <c r="H29" s="428"/>
      <c r="I29" s="429"/>
      <c r="J29" s="446"/>
      <c r="K29" s="428"/>
      <c r="L29" s="428"/>
      <c r="M29" s="467"/>
      <c r="N29" s="460"/>
      <c r="O29" s="428"/>
      <c r="P29" s="428"/>
      <c r="Q29" s="429"/>
      <c r="R29" s="446"/>
      <c r="S29" s="428"/>
      <c r="T29" s="428"/>
      <c r="U29" s="467"/>
      <c r="V29" s="460"/>
      <c r="W29" s="428"/>
      <c r="X29" s="428"/>
      <c r="Y29" s="429"/>
    </row>
  </sheetData>
  <mergeCells count="15">
    <mergeCell ref="B24:B29"/>
    <mergeCell ref="B5:B15"/>
    <mergeCell ref="C12:C15"/>
    <mergeCell ref="F2:I2"/>
    <mergeCell ref="J2:M2"/>
    <mergeCell ref="C11:E11"/>
    <mergeCell ref="C5:E5"/>
    <mergeCell ref="B16:D16"/>
    <mergeCell ref="B23:D23"/>
    <mergeCell ref="B17:B22"/>
    <mergeCell ref="N2:Q2"/>
    <mergeCell ref="R2:U2"/>
    <mergeCell ref="V2:Y2"/>
    <mergeCell ref="B4:E4"/>
    <mergeCell ref="B2:E3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9"/>
  <sheetViews>
    <sheetView workbookViewId="0">
      <selection activeCell="J16" sqref="J16"/>
    </sheetView>
  </sheetViews>
  <sheetFormatPr defaultRowHeight="12"/>
  <cols>
    <col min="1" max="1" width="4.5" style="131" customWidth="1"/>
    <col min="2" max="2" width="13.5" style="131" customWidth="1"/>
    <col min="3" max="3" width="9.625" style="131" customWidth="1"/>
    <col min="4" max="35" width="8.125" style="131" customWidth="1"/>
    <col min="36" max="36" width="2" style="131" customWidth="1"/>
    <col min="37" max="16384" width="9" style="131"/>
  </cols>
  <sheetData>
    <row r="1" spans="1:35">
      <c r="D1" s="131" t="s">
        <v>307</v>
      </c>
      <c r="H1" s="131" t="s">
        <v>60</v>
      </c>
      <c r="L1" s="131" t="s">
        <v>65</v>
      </c>
      <c r="P1" s="131" t="s">
        <v>66</v>
      </c>
      <c r="T1" s="131" t="s">
        <v>67</v>
      </c>
      <c r="X1" s="131" t="s">
        <v>80</v>
      </c>
      <c r="AB1" s="131" t="s">
        <v>81</v>
      </c>
      <c r="AF1" s="131" t="s">
        <v>82</v>
      </c>
    </row>
    <row r="2" spans="1:35">
      <c r="D2" s="132" t="s">
        <v>271</v>
      </c>
      <c r="E2" s="132"/>
      <c r="F2" s="132"/>
      <c r="G2" s="132"/>
      <c r="H2" s="132"/>
      <c r="I2" s="133" t="s">
        <v>272</v>
      </c>
      <c r="J2" s="133"/>
      <c r="K2" s="133"/>
      <c r="L2" s="133"/>
      <c r="M2" s="133"/>
      <c r="N2" s="133"/>
      <c r="O2" s="133"/>
      <c r="P2" s="134" t="s">
        <v>273</v>
      </c>
      <c r="Q2" s="135"/>
      <c r="R2" s="135"/>
      <c r="S2" s="135"/>
      <c r="T2" s="135"/>
      <c r="U2" s="135"/>
      <c r="V2" s="135"/>
      <c r="W2" s="135"/>
      <c r="X2" s="136" t="s">
        <v>274</v>
      </c>
      <c r="Y2" s="136"/>
      <c r="Z2" s="136"/>
      <c r="AA2" s="136"/>
      <c r="AB2" s="137" t="s">
        <v>275</v>
      </c>
      <c r="AC2" s="137"/>
      <c r="AD2" s="137"/>
      <c r="AE2" s="137"/>
      <c r="AF2" s="138" t="s">
        <v>276</v>
      </c>
      <c r="AG2" s="139"/>
      <c r="AH2" s="139"/>
      <c r="AI2" s="139"/>
    </row>
    <row r="3" spans="1:35" s="140" customFormat="1">
      <c r="C3" s="140" t="s">
        <v>277</v>
      </c>
      <c r="D3" s="141" t="s">
        <v>338</v>
      </c>
      <c r="E3" s="141" t="s">
        <v>279</v>
      </c>
      <c r="F3" s="141" t="s">
        <v>280</v>
      </c>
      <c r="G3" s="141" t="s">
        <v>281</v>
      </c>
      <c r="H3" s="142" t="s">
        <v>278</v>
      </c>
      <c r="I3" s="142" t="s">
        <v>279</v>
      </c>
      <c r="J3" s="142" t="s">
        <v>280</v>
      </c>
      <c r="K3" s="142" t="s">
        <v>281</v>
      </c>
      <c r="L3" s="143" t="s">
        <v>278</v>
      </c>
      <c r="M3" s="143" t="s">
        <v>279</v>
      </c>
      <c r="N3" s="143" t="s">
        <v>280</v>
      </c>
      <c r="O3" s="143" t="s">
        <v>281</v>
      </c>
      <c r="P3" s="141" t="s">
        <v>278</v>
      </c>
      <c r="Q3" s="141" t="s">
        <v>279</v>
      </c>
      <c r="R3" s="141" t="s">
        <v>280</v>
      </c>
      <c r="S3" s="141" t="s">
        <v>281</v>
      </c>
      <c r="T3" s="142" t="s">
        <v>278</v>
      </c>
      <c r="U3" s="142" t="s">
        <v>279</v>
      </c>
      <c r="V3" s="142" t="s">
        <v>280</v>
      </c>
      <c r="W3" s="142" t="s">
        <v>281</v>
      </c>
      <c r="X3" s="143" t="s">
        <v>278</v>
      </c>
      <c r="Y3" s="143" t="s">
        <v>279</v>
      </c>
      <c r="Z3" s="143" t="s">
        <v>280</v>
      </c>
      <c r="AA3" s="143" t="s">
        <v>281</v>
      </c>
      <c r="AB3" s="141" t="s">
        <v>278</v>
      </c>
      <c r="AC3" s="141" t="s">
        <v>279</v>
      </c>
      <c r="AD3" s="141" t="s">
        <v>280</v>
      </c>
      <c r="AE3" s="141" t="s">
        <v>281</v>
      </c>
      <c r="AF3" s="142" t="s">
        <v>278</v>
      </c>
      <c r="AG3" s="142" t="s">
        <v>279</v>
      </c>
      <c r="AH3" s="142" t="s">
        <v>280</v>
      </c>
      <c r="AI3" s="144" t="s">
        <v>281</v>
      </c>
    </row>
    <row r="4" spans="1:35">
      <c r="A4" s="131" t="s">
        <v>228</v>
      </c>
      <c r="B4" s="131" t="s">
        <v>282</v>
      </c>
      <c r="C4" s="184">
        <v>9000</v>
      </c>
      <c r="D4" s="184">
        <v>1</v>
      </c>
      <c r="E4" s="184">
        <v>1</v>
      </c>
      <c r="F4" s="184">
        <v>1</v>
      </c>
      <c r="G4" s="184">
        <v>2</v>
      </c>
      <c r="H4" s="184">
        <v>3</v>
      </c>
      <c r="I4" s="185">
        <v>3</v>
      </c>
      <c r="J4" s="185">
        <v>3</v>
      </c>
      <c r="K4" s="185">
        <v>3</v>
      </c>
      <c r="L4" s="185">
        <v>3</v>
      </c>
      <c r="M4" s="185">
        <v>4</v>
      </c>
      <c r="N4" s="185">
        <v>5</v>
      </c>
      <c r="O4" s="185">
        <v>6</v>
      </c>
      <c r="P4" s="185">
        <v>6</v>
      </c>
      <c r="Q4" s="185">
        <v>6</v>
      </c>
      <c r="R4" s="185">
        <v>7</v>
      </c>
      <c r="S4" s="185">
        <v>7</v>
      </c>
      <c r="T4" s="185">
        <v>7</v>
      </c>
      <c r="U4" s="185">
        <v>9</v>
      </c>
      <c r="V4" s="185">
        <v>9</v>
      </c>
      <c r="W4" s="185">
        <v>10</v>
      </c>
      <c r="X4" s="185">
        <v>10</v>
      </c>
      <c r="Y4" s="185">
        <v>12</v>
      </c>
      <c r="Z4" s="185">
        <v>14</v>
      </c>
      <c r="AA4" s="185">
        <v>16</v>
      </c>
      <c r="AB4" s="185">
        <v>18</v>
      </c>
      <c r="AC4" s="185">
        <v>20</v>
      </c>
      <c r="AD4" s="185">
        <v>22</v>
      </c>
      <c r="AE4" s="185">
        <v>24</v>
      </c>
      <c r="AF4" s="185">
        <v>26</v>
      </c>
      <c r="AG4" s="185">
        <v>28</v>
      </c>
      <c r="AH4" s="185">
        <v>30</v>
      </c>
      <c r="AI4" s="185">
        <v>31</v>
      </c>
    </row>
    <row r="5" spans="1:35">
      <c r="B5" s="131" t="s">
        <v>283</v>
      </c>
      <c r="C5" s="184">
        <v>6000</v>
      </c>
      <c r="D5" s="184">
        <v>1</v>
      </c>
      <c r="E5" s="184">
        <v>1</v>
      </c>
      <c r="F5" s="184">
        <v>1</v>
      </c>
      <c r="G5" s="184">
        <v>2</v>
      </c>
      <c r="H5" s="184">
        <v>3</v>
      </c>
      <c r="I5" s="185">
        <v>3</v>
      </c>
      <c r="J5" s="185">
        <v>3</v>
      </c>
      <c r="K5" s="185">
        <v>3</v>
      </c>
      <c r="L5" s="185">
        <v>3</v>
      </c>
      <c r="M5" s="185">
        <v>4</v>
      </c>
      <c r="N5" s="185">
        <v>5</v>
      </c>
      <c r="O5" s="185">
        <v>6</v>
      </c>
      <c r="P5" s="185">
        <v>6</v>
      </c>
      <c r="Q5" s="185">
        <v>6</v>
      </c>
      <c r="R5" s="185">
        <v>6</v>
      </c>
      <c r="S5" s="185">
        <v>7</v>
      </c>
      <c r="T5" s="185">
        <v>7</v>
      </c>
      <c r="U5" s="185">
        <v>9</v>
      </c>
      <c r="V5" s="185">
        <v>9</v>
      </c>
      <c r="W5" s="185">
        <v>10</v>
      </c>
      <c r="X5" s="185">
        <v>11</v>
      </c>
      <c r="Y5" s="185">
        <v>12</v>
      </c>
      <c r="Z5" s="185">
        <v>13</v>
      </c>
      <c r="AA5" s="185">
        <v>14</v>
      </c>
      <c r="AB5" s="185">
        <v>14</v>
      </c>
      <c r="AC5" s="185">
        <v>15</v>
      </c>
      <c r="AD5" s="185">
        <v>16</v>
      </c>
      <c r="AE5" s="185">
        <v>18</v>
      </c>
      <c r="AF5" s="185">
        <v>18</v>
      </c>
      <c r="AG5" s="185">
        <v>19</v>
      </c>
      <c r="AH5" s="185">
        <v>20</v>
      </c>
      <c r="AI5" s="185">
        <v>20</v>
      </c>
    </row>
    <row r="6" spans="1:35">
      <c r="B6" s="131" t="s">
        <v>284</v>
      </c>
      <c r="C6" s="184">
        <v>7500</v>
      </c>
      <c r="D6" s="184">
        <v>1</v>
      </c>
      <c r="E6" s="184">
        <v>1</v>
      </c>
      <c r="F6" s="184">
        <v>1</v>
      </c>
      <c r="G6" s="184">
        <v>2</v>
      </c>
      <c r="H6" s="184">
        <v>2</v>
      </c>
      <c r="I6" s="185">
        <v>2</v>
      </c>
      <c r="J6" s="185">
        <v>3</v>
      </c>
      <c r="K6" s="185">
        <v>3</v>
      </c>
      <c r="L6" s="185">
        <v>3</v>
      </c>
      <c r="M6" s="185">
        <v>4</v>
      </c>
      <c r="N6" s="185">
        <v>4</v>
      </c>
      <c r="O6" s="185">
        <v>5</v>
      </c>
      <c r="P6" s="185">
        <v>6</v>
      </c>
      <c r="Q6" s="185">
        <v>6</v>
      </c>
      <c r="R6" s="185">
        <v>6</v>
      </c>
      <c r="S6" s="185">
        <v>7</v>
      </c>
      <c r="T6" s="185">
        <v>7</v>
      </c>
      <c r="U6" s="185">
        <v>9</v>
      </c>
      <c r="V6" s="185">
        <v>9</v>
      </c>
      <c r="W6" s="185">
        <v>10</v>
      </c>
      <c r="X6" s="185">
        <v>10</v>
      </c>
      <c r="Y6" s="185">
        <v>10</v>
      </c>
      <c r="Z6" s="185">
        <v>10</v>
      </c>
      <c r="AA6" s="185">
        <v>10</v>
      </c>
      <c r="AB6" s="185">
        <v>10</v>
      </c>
      <c r="AC6" s="185">
        <v>10</v>
      </c>
      <c r="AD6" s="185">
        <v>10</v>
      </c>
      <c r="AE6" s="185">
        <v>12</v>
      </c>
      <c r="AF6" s="185">
        <v>12</v>
      </c>
      <c r="AG6" s="185">
        <v>12</v>
      </c>
      <c r="AH6" s="185">
        <v>13</v>
      </c>
      <c r="AI6" s="185">
        <v>13</v>
      </c>
    </row>
    <row r="7" spans="1:35">
      <c r="B7" s="131" t="s">
        <v>285</v>
      </c>
      <c r="C7" s="184">
        <v>6000</v>
      </c>
      <c r="D7" s="184">
        <v>1</v>
      </c>
      <c r="E7" s="184">
        <v>1</v>
      </c>
      <c r="F7" s="184">
        <v>1</v>
      </c>
      <c r="G7" s="184">
        <v>2</v>
      </c>
      <c r="H7" s="184">
        <v>2</v>
      </c>
      <c r="I7" s="185">
        <v>2</v>
      </c>
      <c r="J7" s="185">
        <v>2</v>
      </c>
      <c r="K7" s="185">
        <v>2</v>
      </c>
      <c r="L7" s="185">
        <v>2</v>
      </c>
      <c r="M7" s="185">
        <v>2</v>
      </c>
      <c r="N7" s="185">
        <v>2</v>
      </c>
      <c r="O7" s="185">
        <v>3</v>
      </c>
      <c r="P7" s="185">
        <v>3</v>
      </c>
      <c r="Q7" s="185">
        <v>3</v>
      </c>
      <c r="R7" s="185">
        <v>3</v>
      </c>
      <c r="S7" s="185">
        <v>4</v>
      </c>
      <c r="T7" s="185">
        <v>4</v>
      </c>
      <c r="U7" s="185">
        <v>4</v>
      </c>
      <c r="V7" s="185">
        <v>4</v>
      </c>
      <c r="W7" s="185">
        <v>5</v>
      </c>
      <c r="X7" s="185">
        <v>5</v>
      </c>
      <c r="Y7" s="185">
        <v>5</v>
      </c>
      <c r="Z7" s="185">
        <v>5</v>
      </c>
      <c r="AA7" s="185">
        <v>5</v>
      </c>
      <c r="AB7" s="185">
        <v>5</v>
      </c>
      <c r="AC7" s="185">
        <v>5</v>
      </c>
      <c r="AD7" s="185">
        <v>5</v>
      </c>
      <c r="AE7" s="185">
        <v>6</v>
      </c>
      <c r="AF7" s="185">
        <v>6</v>
      </c>
      <c r="AG7" s="185">
        <v>6</v>
      </c>
      <c r="AH7" s="185">
        <v>6</v>
      </c>
      <c r="AI7" s="185">
        <v>6</v>
      </c>
    </row>
    <row r="8" spans="1:35" s="145" customFormat="1">
      <c r="B8" s="145" t="s">
        <v>286</v>
      </c>
      <c r="D8" s="146">
        <f>(($C4*D4)+($C5*D5)+($C6*D6)+($C7*D7))*1</f>
        <v>28500</v>
      </c>
      <c r="E8" s="146">
        <f>(($C4*E4)+($C5*E5)+($C6*E6)+($C7*E7))*3</f>
        <v>85500</v>
      </c>
      <c r="F8" s="146">
        <f t="shared" ref="F8:AI8" si="0">(($C4*F4)+($C5*F5)+($C6*F6)+($C7*F7))*3</f>
        <v>85500</v>
      </c>
      <c r="G8" s="146">
        <f t="shared" si="0"/>
        <v>171000</v>
      </c>
      <c r="H8" s="146">
        <f t="shared" si="0"/>
        <v>216000</v>
      </c>
      <c r="I8" s="146">
        <f t="shared" si="0"/>
        <v>216000</v>
      </c>
      <c r="J8" s="146">
        <f t="shared" si="0"/>
        <v>238500</v>
      </c>
      <c r="K8" s="146">
        <f t="shared" si="0"/>
        <v>238500</v>
      </c>
      <c r="L8" s="146">
        <f t="shared" si="0"/>
        <v>238500</v>
      </c>
      <c r="M8" s="146">
        <f t="shared" si="0"/>
        <v>306000</v>
      </c>
      <c r="N8" s="146">
        <f t="shared" si="0"/>
        <v>351000</v>
      </c>
      <c r="O8" s="146">
        <f t="shared" si="0"/>
        <v>436500</v>
      </c>
      <c r="P8" s="146">
        <f t="shared" si="0"/>
        <v>459000</v>
      </c>
      <c r="Q8" s="146">
        <f t="shared" si="0"/>
        <v>459000</v>
      </c>
      <c r="R8" s="146">
        <f t="shared" si="0"/>
        <v>486000</v>
      </c>
      <c r="S8" s="146">
        <f t="shared" si="0"/>
        <v>544500</v>
      </c>
      <c r="T8" s="146">
        <f t="shared" si="0"/>
        <v>544500</v>
      </c>
      <c r="U8" s="146">
        <f t="shared" si="0"/>
        <v>679500</v>
      </c>
      <c r="V8" s="146">
        <f t="shared" si="0"/>
        <v>679500</v>
      </c>
      <c r="W8" s="146">
        <f t="shared" si="0"/>
        <v>765000</v>
      </c>
      <c r="X8" s="146">
        <f t="shared" si="0"/>
        <v>783000</v>
      </c>
      <c r="Y8" s="146">
        <f t="shared" si="0"/>
        <v>855000</v>
      </c>
      <c r="Z8" s="146">
        <f t="shared" si="0"/>
        <v>927000</v>
      </c>
      <c r="AA8" s="146">
        <f t="shared" si="0"/>
        <v>999000</v>
      </c>
      <c r="AB8" s="146">
        <f t="shared" si="0"/>
        <v>1053000</v>
      </c>
      <c r="AC8" s="146">
        <f t="shared" si="0"/>
        <v>1125000</v>
      </c>
      <c r="AD8" s="146">
        <f t="shared" si="0"/>
        <v>1197000</v>
      </c>
      <c r="AE8" s="146">
        <f t="shared" si="0"/>
        <v>1350000</v>
      </c>
      <c r="AF8" s="146">
        <f t="shared" si="0"/>
        <v>1404000</v>
      </c>
      <c r="AG8" s="146">
        <f t="shared" si="0"/>
        <v>1476000</v>
      </c>
      <c r="AH8" s="146">
        <f t="shared" si="0"/>
        <v>1570500</v>
      </c>
      <c r="AI8" s="146">
        <f t="shared" si="0"/>
        <v>1597500</v>
      </c>
    </row>
    <row r="9" spans="1:35" s="145" customFormat="1">
      <c r="B9" s="145" t="s">
        <v>287</v>
      </c>
      <c r="D9" s="147">
        <f>SUM(D4:D7)</f>
        <v>4</v>
      </c>
      <c r="E9" s="147">
        <f t="shared" ref="E9:AI9" si="1">SUM(E4:E7)</f>
        <v>4</v>
      </c>
      <c r="F9" s="147">
        <f t="shared" si="1"/>
        <v>4</v>
      </c>
      <c r="G9" s="147">
        <f t="shared" si="1"/>
        <v>8</v>
      </c>
      <c r="H9" s="147">
        <f t="shared" si="1"/>
        <v>10</v>
      </c>
      <c r="I9" s="147">
        <f t="shared" si="1"/>
        <v>10</v>
      </c>
      <c r="J9" s="147">
        <f t="shared" si="1"/>
        <v>11</v>
      </c>
      <c r="K9" s="147">
        <f t="shared" si="1"/>
        <v>11</v>
      </c>
      <c r="L9" s="147">
        <f t="shared" si="1"/>
        <v>11</v>
      </c>
      <c r="M9" s="147">
        <f t="shared" si="1"/>
        <v>14</v>
      </c>
      <c r="N9" s="147">
        <f t="shared" si="1"/>
        <v>16</v>
      </c>
      <c r="O9" s="147">
        <f t="shared" si="1"/>
        <v>20</v>
      </c>
      <c r="P9" s="147">
        <f t="shared" si="1"/>
        <v>21</v>
      </c>
      <c r="Q9" s="147">
        <f t="shared" si="1"/>
        <v>21</v>
      </c>
      <c r="R9" s="147">
        <f t="shared" si="1"/>
        <v>22</v>
      </c>
      <c r="S9" s="147">
        <f t="shared" si="1"/>
        <v>25</v>
      </c>
      <c r="T9" s="147">
        <f t="shared" si="1"/>
        <v>25</v>
      </c>
      <c r="U9" s="147">
        <f t="shared" si="1"/>
        <v>31</v>
      </c>
      <c r="V9" s="147">
        <f t="shared" si="1"/>
        <v>31</v>
      </c>
      <c r="W9" s="147">
        <f t="shared" si="1"/>
        <v>35</v>
      </c>
      <c r="X9" s="147">
        <f t="shared" si="1"/>
        <v>36</v>
      </c>
      <c r="Y9" s="147">
        <f t="shared" si="1"/>
        <v>39</v>
      </c>
      <c r="Z9" s="147">
        <f t="shared" si="1"/>
        <v>42</v>
      </c>
      <c r="AA9" s="147">
        <f t="shared" si="1"/>
        <v>45</v>
      </c>
      <c r="AB9" s="147">
        <f t="shared" si="1"/>
        <v>47</v>
      </c>
      <c r="AC9" s="147">
        <f t="shared" si="1"/>
        <v>50</v>
      </c>
      <c r="AD9" s="147">
        <f t="shared" si="1"/>
        <v>53</v>
      </c>
      <c r="AE9" s="147">
        <f t="shared" si="1"/>
        <v>60</v>
      </c>
      <c r="AF9" s="147">
        <f t="shared" si="1"/>
        <v>62</v>
      </c>
      <c r="AG9" s="147">
        <f t="shared" si="1"/>
        <v>65</v>
      </c>
      <c r="AH9" s="147">
        <f t="shared" si="1"/>
        <v>69</v>
      </c>
      <c r="AI9" s="147">
        <f t="shared" si="1"/>
        <v>70</v>
      </c>
    </row>
    <row r="11" spans="1:35">
      <c r="A11" s="131" t="s">
        <v>229</v>
      </c>
      <c r="B11" s="131" t="s">
        <v>282</v>
      </c>
      <c r="C11" s="184">
        <f>9000</f>
        <v>9000</v>
      </c>
      <c r="D11" s="184"/>
      <c r="E11" s="184">
        <v>1</v>
      </c>
      <c r="F11" s="184">
        <v>2</v>
      </c>
      <c r="G11" s="184">
        <v>2</v>
      </c>
      <c r="H11" s="184">
        <v>3</v>
      </c>
      <c r="I11" s="184">
        <v>4</v>
      </c>
      <c r="J11" s="184">
        <v>4</v>
      </c>
      <c r="K11" s="184">
        <v>6</v>
      </c>
      <c r="L11" s="184">
        <v>6</v>
      </c>
      <c r="M11" s="184">
        <v>9</v>
      </c>
      <c r="N11" s="184">
        <v>9</v>
      </c>
      <c r="O11" s="184">
        <v>12</v>
      </c>
      <c r="P11" s="184">
        <v>14</v>
      </c>
      <c r="Q11" s="184">
        <v>16</v>
      </c>
      <c r="R11" s="184">
        <v>18</v>
      </c>
      <c r="S11" s="184">
        <v>20</v>
      </c>
      <c r="T11" s="184">
        <v>22</v>
      </c>
      <c r="U11" s="184">
        <v>24</v>
      </c>
      <c r="V11" s="184">
        <v>26</v>
      </c>
      <c r="W11" s="184">
        <v>28</v>
      </c>
      <c r="X11" s="184">
        <v>31</v>
      </c>
      <c r="Y11" s="184">
        <v>34</v>
      </c>
      <c r="Z11" s="184">
        <v>37</v>
      </c>
      <c r="AA11" s="184">
        <v>40</v>
      </c>
      <c r="AB11" s="184">
        <v>43</v>
      </c>
      <c r="AC11" s="184">
        <v>46</v>
      </c>
      <c r="AD11" s="184">
        <v>49</v>
      </c>
      <c r="AE11" s="184">
        <v>54</v>
      </c>
      <c r="AF11" s="184">
        <v>55</v>
      </c>
      <c r="AG11" s="184">
        <v>58</v>
      </c>
      <c r="AH11" s="184">
        <v>61</v>
      </c>
      <c r="AI11" s="184">
        <v>64</v>
      </c>
    </row>
    <row r="12" spans="1:35">
      <c r="B12" s="131" t="s">
        <v>283</v>
      </c>
      <c r="C12" s="184">
        <f>6000</f>
        <v>6000</v>
      </c>
      <c r="D12" s="184"/>
      <c r="E12" s="184">
        <v>1</v>
      </c>
      <c r="F12" s="184">
        <v>1</v>
      </c>
      <c r="G12" s="184">
        <v>2</v>
      </c>
      <c r="H12" s="184">
        <v>2</v>
      </c>
      <c r="I12" s="184">
        <v>4</v>
      </c>
      <c r="J12" s="184">
        <v>4</v>
      </c>
      <c r="K12" s="184">
        <v>6</v>
      </c>
      <c r="L12" s="184">
        <v>6</v>
      </c>
      <c r="M12" s="184">
        <v>9</v>
      </c>
      <c r="N12" s="184">
        <v>9</v>
      </c>
      <c r="O12" s="184">
        <v>12</v>
      </c>
      <c r="P12" s="184">
        <v>14</v>
      </c>
      <c r="Q12" s="184">
        <v>16</v>
      </c>
      <c r="R12" s="184">
        <v>18</v>
      </c>
      <c r="S12" s="184">
        <v>20</v>
      </c>
      <c r="T12" s="184">
        <v>22</v>
      </c>
      <c r="U12" s="184">
        <v>24</v>
      </c>
      <c r="V12" s="184">
        <v>26</v>
      </c>
      <c r="W12" s="184">
        <v>28</v>
      </c>
      <c r="X12" s="184">
        <v>31</v>
      </c>
      <c r="Y12" s="184">
        <v>34</v>
      </c>
      <c r="Z12" s="184">
        <v>37</v>
      </c>
      <c r="AA12" s="184">
        <v>42</v>
      </c>
      <c r="AB12" s="184">
        <v>43</v>
      </c>
      <c r="AC12" s="184">
        <v>46</v>
      </c>
      <c r="AD12" s="184">
        <v>49</v>
      </c>
      <c r="AE12" s="184">
        <v>54</v>
      </c>
      <c r="AF12" s="184">
        <v>55</v>
      </c>
      <c r="AG12" s="184">
        <v>58</v>
      </c>
      <c r="AH12" s="184">
        <v>61</v>
      </c>
      <c r="AI12" s="184">
        <v>64</v>
      </c>
    </row>
    <row r="13" spans="1:35">
      <c r="B13" s="131" t="s">
        <v>284</v>
      </c>
      <c r="C13" s="184">
        <f>7500</f>
        <v>7500</v>
      </c>
      <c r="D13" s="184"/>
      <c r="E13" s="184">
        <v>1</v>
      </c>
      <c r="F13" s="184">
        <v>1</v>
      </c>
      <c r="G13" s="184">
        <v>2</v>
      </c>
      <c r="H13" s="184">
        <v>2</v>
      </c>
      <c r="I13" s="184">
        <v>4</v>
      </c>
      <c r="J13" s="184">
        <v>4</v>
      </c>
      <c r="K13" s="184">
        <v>6</v>
      </c>
      <c r="L13" s="184">
        <v>6</v>
      </c>
      <c r="M13" s="184">
        <v>9</v>
      </c>
      <c r="N13" s="184">
        <v>9</v>
      </c>
      <c r="O13" s="184">
        <v>12</v>
      </c>
      <c r="P13" s="184">
        <v>14</v>
      </c>
      <c r="Q13" s="184">
        <v>16</v>
      </c>
      <c r="R13" s="184">
        <v>18</v>
      </c>
      <c r="S13" s="184">
        <v>20</v>
      </c>
      <c r="T13" s="184">
        <v>22</v>
      </c>
      <c r="U13" s="184">
        <v>24</v>
      </c>
      <c r="V13" s="184">
        <v>26</v>
      </c>
      <c r="W13" s="184">
        <v>28</v>
      </c>
      <c r="X13" s="184">
        <v>31</v>
      </c>
      <c r="Y13" s="184">
        <v>34</v>
      </c>
      <c r="Z13" s="184">
        <v>37</v>
      </c>
      <c r="AA13" s="184">
        <v>40</v>
      </c>
      <c r="AB13" s="184">
        <v>43</v>
      </c>
      <c r="AC13" s="184">
        <v>46</v>
      </c>
      <c r="AD13" s="184">
        <v>49</v>
      </c>
      <c r="AE13" s="184">
        <v>52</v>
      </c>
      <c r="AF13" s="184">
        <v>55</v>
      </c>
      <c r="AG13" s="184">
        <v>58</v>
      </c>
      <c r="AH13" s="184">
        <v>61</v>
      </c>
      <c r="AI13" s="184">
        <v>64</v>
      </c>
    </row>
    <row r="14" spans="1:35">
      <c r="B14" s="131" t="s">
        <v>285</v>
      </c>
      <c r="C14" s="184">
        <f>6000</f>
        <v>6000</v>
      </c>
      <c r="D14" s="184"/>
      <c r="E14" s="184">
        <v>1</v>
      </c>
      <c r="F14" s="184">
        <v>2</v>
      </c>
      <c r="G14" s="184">
        <v>2</v>
      </c>
      <c r="H14" s="184">
        <v>2</v>
      </c>
      <c r="I14" s="184">
        <v>2</v>
      </c>
      <c r="J14" s="184">
        <v>2</v>
      </c>
      <c r="K14" s="184">
        <v>3</v>
      </c>
      <c r="L14" s="184">
        <v>3</v>
      </c>
      <c r="M14" s="184">
        <v>3</v>
      </c>
      <c r="N14" s="184">
        <v>4</v>
      </c>
      <c r="O14" s="184">
        <v>4</v>
      </c>
      <c r="P14" s="184">
        <v>4</v>
      </c>
      <c r="Q14" s="184">
        <v>4</v>
      </c>
      <c r="R14" s="184">
        <v>4</v>
      </c>
      <c r="S14" s="184">
        <v>5</v>
      </c>
      <c r="T14" s="184">
        <v>5</v>
      </c>
      <c r="U14" s="184">
        <v>5</v>
      </c>
      <c r="V14" s="184">
        <v>5</v>
      </c>
      <c r="W14" s="184">
        <v>6</v>
      </c>
      <c r="X14" s="184">
        <v>6</v>
      </c>
      <c r="Y14" s="184">
        <v>6</v>
      </c>
      <c r="Z14" s="184">
        <v>6</v>
      </c>
      <c r="AA14" s="184">
        <v>8</v>
      </c>
      <c r="AB14" s="184">
        <v>8</v>
      </c>
      <c r="AC14" s="184">
        <v>10</v>
      </c>
      <c r="AD14" s="184">
        <v>10</v>
      </c>
      <c r="AE14" s="184">
        <v>10</v>
      </c>
      <c r="AF14" s="184">
        <v>12</v>
      </c>
      <c r="AG14" s="184">
        <v>12</v>
      </c>
      <c r="AH14" s="184">
        <v>12</v>
      </c>
      <c r="AI14" s="184">
        <v>13</v>
      </c>
    </row>
    <row r="15" spans="1:35" s="145" customFormat="1">
      <c r="B15" s="145" t="s">
        <v>288</v>
      </c>
      <c r="D15" s="145">
        <f>(($C11*D11)+($C12*D12)+($C13*D13)+($C14*D14))*3</f>
        <v>0</v>
      </c>
      <c r="E15" s="145">
        <f>(($C11*E11)+($C12*E12)+($C13*E13)+($C14*E14))*3</f>
        <v>85500</v>
      </c>
      <c r="F15" s="145">
        <f t="shared" ref="F15:AI15" si="2">(($C11*F11)+($C12*F12)+($C13*F13)+($C14*F14))*3</f>
        <v>130500</v>
      </c>
      <c r="G15" s="145">
        <f t="shared" si="2"/>
        <v>171000</v>
      </c>
      <c r="H15" s="145">
        <f t="shared" si="2"/>
        <v>198000</v>
      </c>
      <c r="I15" s="145">
        <f t="shared" si="2"/>
        <v>306000</v>
      </c>
      <c r="J15" s="145">
        <f t="shared" si="2"/>
        <v>306000</v>
      </c>
      <c r="K15" s="145">
        <f t="shared" si="2"/>
        <v>459000</v>
      </c>
      <c r="L15" s="145">
        <f t="shared" si="2"/>
        <v>459000</v>
      </c>
      <c r="M15" s="145">
        <f t="shared" si="2"/>
        <v>661500</v>
      </c>
      <c r="N15" s="145">
        <f t="shared" si="2"/>
        <v>679500</v>
      </c>
      <c r="O15" s="145">
        <f t="shared" si="2"/>
        <v>882000</v>
      </c>
      <c r="P15" s="145">
        <f t="shared" si="2"/>
        <v>1017000</v>
      </c>
      <c r="Q15" s="145">
        <f t="shared" si="2"/>
        <v>1152000</v>
      </c>
      <c r="R15" s="145">
        <f t="shared" si="2"/>
        <v>1287000</v>
      </c>
      <c r="S15" s="145">
        <f t="shared" si="2"/>
        <v>1440000</v>
      </c>
      <c r="T15" s="145">
        <f t="shared" si="2"/>
        <v>1575000</v>
      </c>
      <c r="U15" s="145">
        <f t="shared" si="2"/>
        <v>1710000</v>
      </c>
      <c r="V15" s="145">
        <f t="shared" si="2"/>
        <v>1845000</v>
      </c>
      <c r="W15" s="145">
        <f t="shared" si="2"/>
        <v>1998000</v>
      </c>
      <c r="X15" s="145">
        <f t="shared" si="2"/>
        <v>2200500</v>
      </c>
      <c r="Y15" s="145">
        <f t="shared" si="2"/>
        <v>2403000</v>
      </c>
      <c r="Z15" s="145">
        <f t="shared" si="2"/>
        <v>2605500</v>
      </c>
      <c r="AA15" s="145">
        <f t="shared" si="2"/>
        <v>2880000</v>
      </c>
      <c r="AB15" s="145">
        <f t="shared" si="2"/>
        <v>3046500</v>
      </c>
      <c r="AC15" s="145">
        <f t="shared" si="2"/>
        <v>3285000</v>
      </c>
      <c r="AD15" s="145">
        <f t="shared" si="2"/>
        <v>3487500</v>
      </c>
      <c r="AE15" s="145">
        <f t="shared" si="2"/>
        <v>3780000</v>
      </c>
      <c r="AF15" s="145">
        <f t="shared" si="2"/>
        <v>3928500</v>
      </c>
      <c r="AG15" s="145">
        <f t="shared" si="2"/>
        <v>4131000</v>
      </c>
      <c r="AH15" s="145">
        <f t="shared" si="2"/>
        <v>4333500</v>
      </c>
      <c r="AI15" s="145">
        <f t="shared" si="2"/>
        <v>4554000</v>
      </c>
    </row>
    <row r="16" spans="1:35" s="145" customFormat="1">
      <c r="B16" s="145" t="s">
        <v>289</v>
      </c>
      <c r="D16" s="148">
        <f>D15*0.06</f>
        <v>0</v>
      </c>
      <c r="E16" s="148">
        <f t="shared" ref="E16:AI16" si="3">E15*0.06</f>
        <v>5130</v>
      </c>
      <c r="F16" s="148">
        <f t="shared" si="3"/>
        <v>7830</v>
      </c>
      <c r="G16" s="148">
        <f t="shared" si="3"/>
        <v>10260</v>
      </c>
      <c r="H16" s="148">
        <f t="shared" si="3"/>
        <v>11880</v>
      </c>
      <c r="I16" s="148">
        <f t="shared" si="3"/>
        <v>18360</v>
      </c>
      <c r="J16" s="148">
        <f t="shared" si="3"/>
        <v>18360</v>
      </c>
      <c r="K16" s="148">
        <f t="shared" si="3"/>
        <v>27540</v>
      </c>
      <c r="L16" s="148">
        <f t="shared" si="3"/>
        <v>27540</v>
      </c>
      <c r="M16" s="148">
        <f t="shared" si="3"/>
        <v>39690</v>
      </c>
      <c r="N16" s="148">
        <f t="shared" si="3"/>
        <v>40770</v>
      </c>
      <c r="O16" s="148">
        <f t="shared" si="3"/>
        <v>52920</v>
      </c>
      <c r="P16" s="148">
        <f t="shared" si="3"/>
        <v>61020</v>
      </c>
      <c r="Q16" s="148">
        <f t="shared" si="3"/>
        <v>69120</v>
      </c>
      <c r="R16" s="148">
        <f t="shared" si="3"/>
        <v>77220</v>
      </c>
      <c r="S16" s="148">
        <f t="shared" si="3"/>
        <v>86400</v>
      </c>
      <c r="T16" s="148">
        <f t="shared" si="3"/>
        <v>94500</v>
      </c>
      <c r="U16" s="148">
        <f t="shared" si="3"/>
        <v>102600</v>
      </c>
      <c r="V16" s="148">
        <f t="shared" si="3"/>
        <v>110700</v>
      </c>
      <c r="W16" s="148">
        <f t="shared" si="3"/>
        <v>119880</v>
      </c>
      <c r="X16" s="148">
        <f t="shared" si="3"/>
        <v>132030</v>
      </c>
      <c r="Y16" s="148">
        <f t="shared" si="3"/>
        <v>144180</v>
      </c>
      <c r="Z16" s="148">
        <f t="shared" si="3"/>
        <v>156330</v>
      </c>
      <c r="AA16" s="148">
        <f t="shared" si="3"/>
        <v>172800</v>
      </c>
      <c r="AB16" s="148">
        <f t="shared" si="3"/>
        <v>182790</v>
      </c>
      <c r="AC16" s="148">
        <f t="shared" si="3"/>
        <v>197100</v>
      </c>
      <c r="AD16" s="148">
        <f t="shared" si="3"/>
        <v>209250</v>
      </c>
      <c r="AE16" s="148">
        <f t="shared" si="3"/>
        <v>226800</v>
      </c>
      <c r="AF16" s="148">
        <f t="shared" si="3"/>
        <v>235710</v>
      </c>
      <c r="AG16" s="148">
        <f t="shared" si="3"/>
        <v>247860</v>
      </c>
      <c r="AH16" s="148">
        <f t="shared" si="3"/>
        <v>260010</v>
      </c>
      <c r="AI16" s="148">
        <f t="shared" si="3"/>
        <v>273240</v>
      </c>
    </row>
    <row r="17" spans="2:36">
      <c r="B17" s="131" t="s">
        <v>290</v>
      </c>
      <c r="D17" s="149">
        <f>SUM(D11:D14)</f>
        <v>0</v>
      </c>
      <c r="E17" s="149">
        <f t="shared" ref="E17:AI17" si="4">SUM(E11:E14)</f>
        <v>4</v>
      </c>
      <c r="F17" s="149">
        <f t="shared" si="4"/>
        <v>6</v>
      </c>
      <c r="G17" s="149">
        <f t="shared" si="4"/>
        <v>8</v>
      </c>
      <c r="H17" s="149">
        <f t="shared" si="4"/>
        <v>9</v>
      </c>
      <c r="I17" s="149">
        <f t="shared" si="4"/>
        <v>14</v>
      </c>
      <c r="J17" s="149">
        <f t="shared" si="4"/>
        <v>14</v>
      </c>
      <c r="K17" s="149">
        <f t="shared" si="4"/>
        <v>21</v>
      </c>
      <c r="L17" s="149">
        <f t="shared" si="4"/>
        <v>21</v>
      </c>
      <c r="M17" s="149">
        <f t="shared" si="4"/>
        <v>30</v>
      </c>
      <c r="N17" s="149">
        <f t="shared" si="4"/>
        <v>31</v>
      </c>
      <c r="O17" s="149">
        <f t="shared" si="4"/>
        <v>40</v>
      </c>
      <c r="P17" s="149">
        <f t="shared" si="4"/>
        <v>46</v>
      </c>
      <c r="Q17" s="149">
        <f t="shared" si="4"/>
        <v>52</v>
      </c>
      <c r="R17" s="149">
        <f t="shared" si="4"/>
        <v>58</v>
      </c>
      <c r="S17" s="149">
        <f t="shared" si="4"/>
        <v>65</v>
      </c>
      <c r="T17" s="149">
        <f t="shared" si="4"/>
        <v>71</v>
      </c>
      <c r="U17" s="149">
        <f t="shared" si="4"/>
        <v>77</v>
      </c>
      <c r="V17" s="149">
        <f t="shared" si="4"/>
        <v>83</v>
      </c>
      <c r="W17" s="149">
        <f t="shared" si="4"/>
        <v>90</v>
      </c>
      <c r="X17" s="149">
        <f t="shared" si="4"/>
        <v>99</v>
      </c>
      <c r="Y17" s="149">
        <f t="shared" si="4"/>
        <v>108</v>
      </c>
      <c r="Z17" s="149">
        <f t="shared" si="4"/>
        <v>117</v>
      </c>
      <c r="AA17" s="149">
        <f t="shared" si="4"/>
        <v>130</v>
      </c>
      <c r="AB17" s="149">
        <f t="shared" si="4"/>
        <v>137</v>
      </c>
      <c r="AC17" s="149">
        <f t="shared" si="4"/>
        <v>148</v>
      </c>
      <c r="AD17" s="149">
        <f t="shared" si="4"/>
        <v>157</v>
      </c>
      <c r="AE17" s="149">
        <f t="shared" si="4"/>
        <v>170</v>
      </c>
      <c r="AF17" s="149">
        <f t="shared" si="4"/>
        <v>177</v>
      </c>
      <c r="AG17" s="149">
        <f t="shared" si="4"/>
        <v>186</v>
      </c>
      <c r="AH17" s="149">
        <f t="shared" si="4"/>
        <v>195</v>
      </c>
      <c r="AI17" s="149">
        <f t="shared" si="4"/>
        <v>205</v>
      </c>
    </row>
    <row r="19" spans="2:36">
      <c r="B19" s="131" t="s">
        <v>291</v>
      </c>
      <c r="D19" s="150">
        <f>D9+D17</f>
        <v>4</v>
      </c>
      <c r="E19" s="150">
        <f t="shared" ref="E19:AI19" si="5">E9+E17</f>
        <v>8</v>
      </c>
      <c r="F19" s="150">
        <f t="shared" si="5"/>
        <v>10</v>
      </c>
      <c r="G19" s="150">
        <f t="shared" si="5"/>
        <v>16</v>
      </c>
      <c r="H19" s="150">
        <f t="shared" si="5"/>
        <v>19</v>
      </c>
      <c r="I19" s="150">
        <f t="shared" si="5"/>
        <v>24</v>
      </c>
      <c r="J19" s="150">
        <f t="shared" si="5"/>
        <v>25</v>
      </c>
      <c r="K19" s="150">
        <f t="shared" si="5"/>
        <v>32</v>
      </c>
      <c r="L19" s="150">
        <f t="shared" si="5"/>
        <v>32</v>
      </c>
      <c r="M19" s="150">
        <f t="shared" si="5"/>
        <v>44</v>
      </c>
      <c r="N19" s="150">
        <f t="shared" si="5"/>
        <v>47</v>
      </c>
      <c r="O19" s="150">
        <f t="shared" si="5"/>
        <v>60</v>
      </c>
      <c r="P19" s="150">
        <f t="shared" si="5"/>
        <v>67</v>
      </c>
      <c r="Q19" s="150">
        <f t="shared" si="5"/>
        <v>73</v>
      </c>
      <c r="R19" s="150">
        <f t="shared" si="5"/>
        <v>80</v>
      </c>
      <c r="S19" s="150">
        <f t="shared" si="5"/>
        <v>90</v>
      </c>
      <c r="T19" s="150">
        <f t="shared" si="5"/>
        <v>96</v>
      </c>
      <c r="U19" s="150">
        <f t="shared" si="5"/>
        <v>108</v>
      </c>
      <c r="V19" s="150">
        <f t="shared" si="5"/>
        <v>114</v>
      </c>
      <c r="W19" s="150">
        <f t="shared" si="5"/>
        <v>125</v>
      </c>
      <c r="X19" s="150">
        <f t="shared" si="5"/>
        <v>135</v>
      </c>
      <c r="Y19" s="150">
        <f t="shared" si="5"/>
        <v>147</v>
      </c>
      <c r="Z19" s="150">
        <f t="shared" si="5"/>
        <v>159</v>
      </c>
      <c r="AA19" s="150">
        <f t="shared" si="5"/>
        <v>175</v>
      </c>
      <c r="AB19" s="150">
        <f t="shared" si="5"/>
        <v>184</v>
      </c>
      <c r="AC19" s="150">
        <f t="shared" si="5"/>
        <v>198</v>
      </c>
      <c r="AD19" s="150">
        <f t="shared" si="5"/>
        <v>210</v>
      </c>
      <c r="AE19" s="150">
        <f t="shared" si="5"/>
        <v>230</v>
      </c>
      <c r="AF19" s="150">
        <f t="shared" si="5"/>
        <v>239</v>
      </c>
      <c r="AG19" s="150">
        <f t="shared" si="5"/>
        <v>251</v>
      </c>
      <c r="AH19" s="150">
        <f t="shared" si="5"/>
        <v>264</v>
      </c>
      <c r="AI19" s="150">
        <f t="shared" si="5"/>
        <v>275</v>
      </c>
    </row>
    <row r="20" spans="2:36">
      <c r="B20" s="131" t="s">
        <v>292</v>
      </c>
      <c r="D20" s="151">
        <f>D8+D16</f>
        <v>28500</v>
      </c>
      <c r="E20" s="151">
        <f t="shared" ref="E20:AI20" si="6">E8+E16</f>
        <v>90630</v>
      </c>
      <c r="F20" s="151">
        <f t="shared" si="6"/>
        <v>93330</v>
      </c>
      <c r="G20" s="151">
        <f t="shared" si="6"/>
        <v>181260</v>
      </c>
      <c r="H20" s="151">
        <f t="shared" si="6"/>
        <v>227880</v>
      </c>
      <c r="I20" s="151">
        <f t="shared" si="6"/>
        <v>234360</v>
      </c>
      <c r="J20" s="151">
        <f t="shared" si="6"/>
        <v>256860</v>
      </c>
      <c r="K20" s="151">
        <f t="shared" si="6"/>
        <v>266040</v>
      </c>
      <c r="L20" s="151">
        <f t="shared" si="6"/>
        <v>266040</v>
      </c>
      <c r="M20" s="151">
        <f t="shared" si="6"/>
        <v>345690</v>
      </c>
      <c r="N20" s="151">
        <f t="shared" si="6"/>
        <v>391770</v>
      </c>
      <c r="O20" s="151">
        <f t="shared" si="6"/>
        <v>489420</v>
      </c>
      <c r="P20" s="151">
        <f t="shared" si="6"/>
        <v>520020</v>
      </c>
      <c r="Q20" s="151">
        <f t="shared" si="6"/>
        <v>528120</v>
      </c>
      <c r="R20" s="151">
        <f t="shared" si="6"/>
        <v>563220</v>
      </c>
      <c r="S20" s="151">
        <f t="shared" si="6"/>
        <v>630900</v>
      </c>
      <c r="T20" s="151">
        <f t="shared" si="6"/>
        <v>639000</v>
      </c>
      <c r="U20" s="151">
        <f t="shared" si="6"/>
        <v>782100</v>
      </c>
      <c r="V20" s="151">
        <f t="shared" si="6"/>
        <v>790200</v>
      </c>
      <c r="W20" s="151">
        <f t="shared" si="6"/>
        <v>884880</v>
      </c>
      <c r="X20" s="151">
        <f t="shared" si="6"/>
        <v>915030</v>
      </c>
      <c r="Y20" s="151">
        <f t="shared" si="6"/>
        <v>999180</v>
      </c>
      <c r="Z20" s="151">
        <f t="shared" si="6"/>
        <v>1083330</v>
      </c>
      <c r="AA20" s="151">
        <f t="shared" si="6"/>
        <v>1171800</v>
      </c>
      <c r="AB20" s="151">
        <f t="shared" si="6"/>
        <v>1235790</v>
      </c>
      <c r="AC20" s="151">
        <f t="shared" si="6"/>
        <v>1322100</v>
      </c>
      <c r="AD20" s="151">
        <f t="shared" si="6"/>
        <v>1406250</v>
      </c>
      <c r="AE20" s="151">
        <f t="shared" si="6"/>
        <v>1576800</v>
      </c>
      <c r="AF20" s="151">
        <f t="shared" si="6"/>
        <v>1639710</v>
      </c>
      <c r="AG20" s="151">
        <f t="shared" si="6"/>
        <v>1723860</v>
      </c>
      <c r="AH20" s="151">
        <f t="shared" si="6"/>
        <v>1830510</v>
      </c>
      <c r="AI20" s="151">
        <f t="shared" si="6"/>
        <v>1870740</v>
      </c>
    </row>
    <row r="21" spans="2:36">
      <c r="B21" s="131" t="s">
        <v>293</v>
      </c>
      <c r="G21" s="145">
        <f>SUM(D20:G20)</f>
        <v>393720</v>
      </c>
      <c r="K21" s="145">
        <f>SUM(H20:K20)</f>
        <v>985140</v>
      </c>
      <c r="O21" s="145">
        <f>SUM(L20:O20)</f>
        <v>1492920</v>
      </c>
      <c r="S21" s="145">
        <f>SUM(P20:S20)</f>
        <v>2242260</v>
      </c>
      <c r="W21" s="145">
        <f>SUM(T20:W20)</f>
        <v>3096180</v>
      </c>
      <c r="AA21" s="145">
        <f>SUM(X20:AA20)</f>
        <v>4169340</v>
      </c>
      <c r="AE21" s="145">
        <f>SUM(AB20:AE20)</f>
        <v>5540940</v>
      </c>
      <c r="AI21" s="145">
        <f>SUM(AF20:AI20)</f>
        <v>7064820</v>
      </c>
    </row>
    <row r="22" spans="2:36">
      <c r="B22" s="131" t="s">
        <v>294</v>
      </c>
      <c r="K22" s="152">
        <f>K21/G21</f>
        <v>2.5021334958854009</v>
      </c>
      <c r="O22" s="152">
        <f>O21/K21</f>
        <v>1.515439429928741</v>
      </c>
      <c r="S22" s="152">
        <f>S21/O21</f>
        <v>1.5019291053773813</v>
      </c>
      <c r="W22" s="152">
        <f>W21/S21</f>
        <v>1.3808300553905435</v>
      </c>
      <c r="AA22" s="152">
        <f>AA21/W21</f>
        <v>1.3466077553630602</v>
      </c>
      <c r="AE22" s="152">
        <f>AE21/AA21</f>
        <v>1.3289729309674914</v>
      </c>
      <c r="AI22" s="152">
        <f>AI21/AE21</f>
        <v>1.27502192768736</v>
      </c>
    </row>
    <row r="23" spans="2:36" s="153" customFormat="1" ht="11.25">
      <c r="K23" s="153" t="s">
        <v>295</v>
      </c>
      <c r="O23" s="153" t="s">
        <v>296</v>
      </c>
      <c r="S23" s="153" t="s">
        <v>297</v>
      </c>
      <c r="AI23" s="153" t="s">
        <v>298</v>
      </c>
    </row>
    <row r="24" spans="2:36" ht="12.75" thickBot="1">
      <c r="W24" s="153" t="s">
        <v>299</v>
      </c>
    </row>
    <row r="25" spans="2:36">
      <c r="U25" s="154" t="s">
        <v>300</v>
      </c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6"/>
    </row>
    <row r="26" spans="2:36">
      <c r="U26" s="157"/>
      <c r="X26" s="158" t="s">
        <v>274</v>
      </c>
      <c r="Y26" s="158"/>
      <c r="Z26" s="158"/>
      <c r="AA26" s="158"/>
      <c r="AB26" s="159" t="s">
        <v>275</v>
      </c>
      <c r="AC26" s="159"/>
      <c r="AD26" s="159"/>
      <c r="AE26" s="159"/>
      <c r="AF26" s="159"/>
      <c r="AG26" s="160"/>
      <c r="AH26" s="160"/>
      <c r="AI26" s="160"/>
      <c r="AJ26" s="161"/>
    </row>
    <row r="27" spans="2:36">
      <c r="U27" s="162"/>
      <c r="V27" s="140"/>
      <c r="W27" s="140" t="s">
        <v>277</v>
      </c>
      <c r="X27" s="163" t="s">
        <v>278</v>
      </c>
      <c r="Y27" s="163" t="s">
        <v>279</v>
      </c>
      <c r="Z27" s="163" t="s">
        <v>280</v>
      </c>
      <c r="AA27" s="163" t="s">
        <v>281</v>
      </c>
      <c r="AB27" s="164" t="s">
        <v>278</v>
      </c>
      <c r="AC27" s="164" t="s">
        <v>279</v>
      </c>
      <c r="AD27" s="164" t="s">
        <v>280</v>
      </c>
      <c r="AE27" s="164" t="s">
        <v>281</v>
      </c>
      <c r="AF27" s="165" t="s">
        <v>278</v>
      </c>
      <c r="AG27" s="165" t="s">
        <v>279</v>
      </c>
      <c r="AH27" s="165" t="s">
        <v>280</v>
      </c>
      <c r="AI27" s="166" t="s">
        <v>281</v>
      </c>
      <c r="AJ27" s="161"/>
    </row>
    <row r="28" spans="2:36">
      <c r="U28" s="157" t="s">
        <v>228</v>
      </c>
      <c r="V28" s="131" t="s">
        <v>282</v>
      </c>
      <c r="W28" s="131">
        <v>500</v>
      </c>
      <c r="X28" s="167">
        <v>3</v>
      </c>
      <c r="Y28" s="167">
        <v>3</v>
      </c>
      <c r="Z28" s="167">
        <v>3</v>
      </c>
      <c r="AA28" s="167">
        <v>5</v>
      </c>
      <c r="AB28" s="167">
        <v>6</v>
      </c>
      <c r="AC28" s="167">
        <v>9</v>
      </c>
      <c r="AD28" s="167">
        <v>12</v>
      </c>
      <c r="AE28" s="167">
        <v>15</v>
      </c>
      <c r="AF28" s="167">
        <v>17</v>
      </c>
      <c r="AG28" s="167">
        <v>19</v>
      </c>
      <c r="AH28" s="167">
        <v>21</v>
      </c>
      <c r="AI28" s="167">
        <v>23</v>
      </c>
      <c r="AJ28" s="161"/>
    </row>
    <row r="29" spans="2:36">
      <c r="U29" s="157"/>
      <c r="V29" s="131" t="s">
        <v>283</v>
      </c>
      <c r="W29" s="131">
        <v>200</v>
      </c>
      <c r="X29" s="167">
        <v>3</v>
      </c>
      <c r="Y29" s="167">
        <v>3</v>
      </c>
      <c r="Z29" s="167">
        <v>3</v>
      </c>
      <c r="AA29" s="167">
        <v>5</v>
      </c>
      <c r="AB29" s="167">
        <v>6</v>
      </c>
      <c r="AC29" s="167">
        <v>9</v>
      </c>
      <c r="AD29" s="167">
        <v>12</v>
      </c>
      <c r="AE29" s="167">
        <v>15</v>
      </c>
      <c r="AF29" s="167">
        <v>17</v>
      </c>
      <c r="AG29" s="167">
        <v>19</v>
      </c>
      <c r="AH29" s="167">
        <v>21</v>
      </c>
      <c r="AI29" s="167">
        <v>23</v>
      </c>
      <c r="AJ29" s="161"/>
    </row>
    <row r="30" spans="2:36">
      <c r="U30" s="157"/>
      <c r="V30" s="131" t="s">
        <v>284</v>
      </c>
      <c r="W30" s="131">
        <v>250</v>
      </c>
      <c r="X30" s="167">
        <v>3</v>
      </c>
      <c r="Y30" s="167">
        <v>3</v>
      </c>
      <c r="Z30" s="167">
        <v>3</v>
      </c>
      <c r="AA30" s="167">
        <v>5</v>
      </c>
      <c r="AB30" s="167">
        <v>6</v>
      </c>
      <c r="AC30" s="167">
        <v>9</v>
      </c>
      <c r="AD30" s="167">
        <v>12</v>
      </c>
      <c r="AE30" s="167">
        <v>15</v>
      </c>
      <c r="AF30" s="167">
        <v>17</v>
      </c>
      <c r="AG30" s="167">
        <v>19</v>
      </c>
      <c r="AH30" s="167">
        <v>21</v>
      </c>
      <c r="AI30" s="167">
        <v>23</v>
      </c>
      <c r="AJ30" s="161"/>
    </row>
    <row r="31" spans="2:36">
      <c r="U31" s="157"/>
      <c r="V31" s="131" t="s">
        <v>285</v>
      </c>
      <c r="W31" s="131">
        <v>100</v>
      </c>
      <c r="X31" s="167">
        <v>3</v>
      </c>
      <c r="Y31" s="167">
        <v>3</v>
      </c>
      <c r="Z31" s="167">
        <v>3</v>
      </c>
      <c r="AA31" s="167">
        <v>5</v>
      </c>
      <c r="AB31" s="167">
        <v>6</v>
      </c>
      <c r="AC31" s="167">
        <v>9</v>
      </c>
      <c r="AD31" s="167">
        <v>12</v>
      </c>
      <c r="AE31" s="167">
        <v>15</v>
      </c>
      <c r="AF31" s="167">
        <v>17</v>
      </c>
      <c r="AG31" s="167">
        <v>19</v>
      </c>
      <c r="AH31" s="167">
        <v>21</v>
      </c>
      <c r="AI31" s="167">
        <v>23</v>
      </c>
      <c r="AJ31" s="161"/>
    </row>
    <row r="32" spans="2:36">
      <c r="U32" s="168"/>
      <c r="V32" s="145" t="s">
        <v>286</v>
      </c>
      <c r="W32" s="145"/>
      <c r="X32" s="169">
        <f>(($W28*X28)+($W29*X29)+($W30*X30)+($W31*X31))*3</f>
        <v>9450</v>
      </c>
      <c r="Y32" s="169">
        <f t="shared" ref="Y32:AI32" si="7">(($W28*Y28)+($W29*Y29)+($W30*Y30)+($W31*Y31))*3</f>
        <v>9450</v>
      </c>
      <c r="Z32" s="169">
        <f t="shared" si="7"/>
        <v>9450</v>
      </c>
      <c r="AA32" s="169">
        <f t="shared" si="7"/>
        <v>15750</v>
      </c>
      <c r="AB32" s="169">
        <f t="shared" si="7"/>
        <v>18900</v>
      </c>
      <c r="AC32" s="169">
        <f t="shared" si="7"/>
        <v>28350</v>
      </c>
      <c r="AD32" s="169">
        <f t="shared" si="7"/>
        <v>37800</v>
      </c>
      <c r="AE32" s="169">
        <f t="shared" si="7"/>
        <v>47250</v>
      </c>
      <c r="AF32" s="169">
        <f t="shared" si="7"/>
        <v>53550</v>
      </c>
      <c r="AG32" s="169">
        <f t="shared" si="7"/>
        <v>59850</v>
      </c>
      <c r="AH32" s="169">
        <f t="shared" si="7"/>
        <v>66150</v>
      </c>
      <c r="AI32" s="169">
        <f t="shared" si="7"/>
        <v>72450</v>
      </c>
      <c r="AJ32" s="161"/>
    </row>
    <row r="33" spans="21:36">
      <c r="U33" s="168"/>
      <c r="V33" s="145" t="s">
        <v>287</v>
      </c>
      <c r="W33" s="145"/>
      <c r="X33" s="170">
        <f t="shared" ref="X33:AI33" si="8">SUM(X28:X31)</f>
        <v>12</v>
      </c>
      <c r="Y33" s="170">
        <f t="shared" si="8"/>
        <v>12</v>
      </c>
      <c r="Z33" s="170">
        <f t="shared" si="8"/>
        <v>12</v>
      </c>
      <c r="AA33" s="170">
        <f t="shared" si="8"/>
        <v>20</v>
      </c>
      <c r="AB33" s="170">
        <f t="shared" si="8"/>
        <v>24</v>
      </c>
      <c r="AC33" s="170">
        <f t="shared" si="8"/>
        <v>36</v>
      </c>
      <c r="AD33" s="170">
        <f t="shared" si="8"/>
        <v>48</v>
      </c>
      <c r="AE33" s="170">
        <f t="shared" si="8"/>
        <v>60</v>
      </c>
      <c r="AF33" s="170">
        <f t="shared" si="8"/>
        <v>68</v>
      </c>
      <c r="AG33" s="170">
        <f t="shared" si="8"/>
        <v>76</v>
      </c>
      <c r="AH33" s="170">
        <f t="shared" si="8"/>
        <v>84</v>
      </c>
      <c r="AI33" s="170">
        <f t="shared" si="8"/>
        <v>92</v>
      </c>
      <c r="AJ33" s="161"/>
    </row>
    <row r="34" spans="21:36">
      <c r="U34" s="157"/>
      <c r="AJ34" s="161"/>
    </row>
    <row r="35" spans="21:36">
      <c r="U35" s="157" t="s">
        <v>229</v>
      </c>
      <c r="V35" s="131" t="s">
        <v>282</v>
      </c>
      <c r="W35" s="131">
        <v>500</v>
      </c>
      <c r="X35" s="131">
        <v>0</v>
      </c>
      <c r="Y35" s="131">
        <v>0</v>
      </c>
      <c r="Z35" s="131">
        <v>1</v>
      </c>
      <c r="AA35" s="131">
        <v>1</v>
      </c>
      <c r="AB35" s="167">
        <v>3</v>
      </c>
      <c r="AC35" s="167">
        <v>5</v>
      </c>
      <c r="AD35" s="131">
        <v>11</v>
      </c>
      <c r="AE35" s="131">
        <v>17</v>
      </c>
      <c r="AF35" s="131">
        <v>29</v>
      </c>
      <c r="AG35" s="131">
        <v>41</v>
      </c>
      <c r="AH35" s="131">
        <v>53</v>
      </c>
      <c r="AI35" s="131">
        <v>65</v>
      </c>
      <c r="AJ35" s="161"/>
    </row>
    <row r="36" spans="21:36">
      <c r="U36" s="157"/>
      <c r="V36" s="131" t="s">
        <v>283</v>
      </c>
      <c r="W36" s="131">
        <v>200</v>
      </c>
      <c r="X36" s="131">
        <v>0</v>
      </c>
      <c r="Y36" s="131">
        <v>0</v>
      </c>
      <c r="Z36" s="131">
        <v>1</v>
      </c>
      <c r="AA36" s="131">
        <v>1</v>
      </c>
      <c r="AB36" s="167">
        <v>3</v>
      </c>
      <c r="AC36" s="167">
        <v>5</v>
      </c>
      <c r="AD36" s="131">
        <v>11</v>
      </c>
      <c r="AE36" s="131">
        <v>17</v>
      </c>
      <c r="AF36" s="131">
        <v>29</v>
      </c>
      <c r="AG36" s="131">
        <v>41</v>
      </c>
      <c r="AH36" s="131">
        <v>53</v>
      </c>
      <c r="AI36" s="131">
        <v>65</v>
      </c>
      <c r="AJ36" s="161"/>
    </row>
    <row r="37" spans="21:36">
      <c r="U37" s="157"/>
      <c r="V37" s="131" t="s">
        <v>284</v>
      </c>
      <c r="W37" s="131">
        <v>250</v>
      </c>
      <c r="X37" s="131">
        <v>0</v>
      </c>
      <c r="Y37" s="131">
        <v>0</v>
      </c>
      <c r="Z37" s="131">
        <v>1</v>
      </c>
      <c r="AA37" s="131">
        <v>1</v>
      </c>
      <c r="AB37" s="167">
        <v>3</v>
      </c>
      <c r="AC37" s="167">
        <v>5</v>
      </c>
      <c r="AD37" s="131">
        <v>11</v>
      </c>
      <c r="AE37" s="131">
        <v>17</v>
      </c>
      <c r="AF37" s="131">
        <v>29</v>
      </c>
      <c r="AG37" s="131">
        <v>41</v>
      </c>
      <c r="AH37" s="131">
        <v>53</v>
      </c>
      <c r="AI37" s="131">
        <v>65</v>
      </c>
      <c r="AJ37" s="161"/>
    </row>
    <row r="38" spans="21:36">
      <c r="U38" s="157"/>
      <c r="V38" s="131" t="s">
        <v>285</v>
      </c>
      <c r="W38" s="131">
        <v>100</v>
      </c>
      <c r="X38" s="131">
        <v>0</v>
      </c>
      <c r="Y38" s="131">
        <v>0</v>
      </c>
      <c r="Z38" s="131">
        <v>1</v>
      </c>
      <c r="AA38" s="131">
        <v>1</v>
      </c>
      <c r="AB38" s="167">
        <v>3</v>
      </c>
      <c r="AC38" s="167">
        <v>5</v>
      </c>
      <c r="AD38" s="131">
        <v>11</v>
      </c>
      <c r="AE38" s="131">
        <v>17</v>
      </c>
      <c r="AF38" s="131">
        <v>29</v>
      </c>
      <c r="AG38" s="131">
        <v>41</v>
      </c>
      <c r="AH38" s="131">
        <v>53</v>
      </c>
      <c r="AI38" s="131">
        <v>65</v>
      </c>
      <c r="AJ38" s="161"/>
    </row>
    <row r="39" spans="21:36">
      <c r="U39" s="168"/>
      <c r="V39" s="145" t="s">
        <v>288</v>
      </c>
      <c r="W39" s="145"/>
      <c r="X39" s="145">
        <f>(($W35*X35)+($W36*X36)+($W37*X37)+($W38*X38))*3</f>
        <v>0</v>
      </c>
      <c r="Y39" s="145">
        <f t="shared" ref="Y39:AI39" si="9">(($W35*Y35)+($W36*Y36)+($W37*Y37)+($W38*Y38))*3</f>
        <v>0</v>
      </c>
      <c r="Z39" s="145">
        <f t="shared" si="9"/>
        <v>3150</v>
      </c>
      <c r="AA39" s="145">
        <f t="shared" si="9"/>
        <v>3150</v>
      </c>
      <c r="AB39" s="145">
        <f t="shared" si="9"/>
        <v>9450</v>
      </c>
      <c r="AC39" s="145">
        <f t="shared" si="9"/>
        <v>15750</v>
      </c>
      <c r="AD39" s="145">
        <f t="shared" si="9"/>
        <v>34650</v>
      </c>
      <c r="AE39" s="145">
        <f t="shared" si="9"/>
        <v>53550</v>
      </c>
      <c r="AF39" s="145">
        <f t="shared" si="9"/>
        <v>91350</v>
      </c>
      <c r="AG39" s="145">
        <f t="shared" si="9"/>
        <v>129150</v>
      </c>
      <c r="AH39" s="145">
        <f t="shared" si="9"/>
        <v>166950</v>
      </c>
      <c r="AI39" s="145">
        <f t="shared" si="9"/>
        <v>204750</v>
      </c>
      <c r="AJ39" s="161"/>
    </row>
    <row r="40" spans="21:36">
      <c r="U40" s="168"/>
      <c r="V40" s="145" t="s">
        <v>289</v>
      </c>
      <c r="W40" s="145"/>
      <c r="X40" s="169">
        <f t="shared" ref="X40:AI40" si="10">X39*0.06</f>
        <v>0</v>
      </c>
      <c r="Y40" s="169">
        <f t="shared" si="10"/>
        <v>0</v>
      </c>
      <c r="Z40" s="169">
        <f t="shared" si="10"/>
        <v>189</v>
      </c>
      <c r="AA40" s="169">
        <f t="shared" si="10"/>
        <v>189</v>
      </c>
      <c r="AB40" s="169">
        <f t="shared" si="10"/>
        <v>567</v>
      </c>
      <c r="AC40" s="169">
        <f t="shared" si="10"/>
        <v>945</v>
      </c>
      <c r="AD40" s="169">
        <f t="shared" si="10"/>
        <v>2079</v>
      </c>
      <c r="AE40" s="169">
        <f t="shared" si="10"/>
        <v>3213</v>
      </c>
      <c r="AF40" s="169">
        <f t="shared" si="10"/>
        <v>5481</v>
      </c>
      <c r="AG40" s="169">
        <f t="shared" si="10"/>
        <v>7749</v>
      </c>
      <c r="AH40" s="169">
        <f t="shared" si="10"/>
        <v>10017</v>
      </c>
      <c r="AI40" s="169">
        <f t="shared" si="10"/>
        <v>12285</v>
      </c>
      <c r="AJ40" s="161"/>
    </row>
    <row r="41" spans="21:36">
      <c r="U41" s="157"/>
      <c r="V41" s="131" t="s">
        <v>290</v>
      </c>
      <c r="X41" s="171">
        <f t="shared" ref="X41:AI41" si="11">SUM(X35:X38)</f>
        <v>0</v>
      </c>
      <c r="Y41" s="171">
        <f t="shared" si="11"/>
        <v>0</v>
      </c>
      <c r="Z41" s="171">
        <f t="shared" si="11"/>
        <v>4</v>
      </c>
      <c r="AA41" s="171">
        <f t="shared" si="11"/>
        <v>4</v>
      </c>
      <c r="AB41" s="171">
        <f t="shared" si="11"/>
        <v>12</v>
      </c>
      <c r="AC41" s="171">
        <f t="shared" si="11"/>
        <v>20</v>
      </c>
      <c r="AD41" s="171">
        <f t="shared" si="11"/>
        <v>44</v>
      </c>
      <c r="AE41" s="171">
        <f t="shared" si="11"/>
        <v>68</v>
      </c>
      <c r="AF41" s="171">
        <f t="shared" si="11"/>
        <v>116</v>
      </c>
      <c r="AG41" s="171">
        <f t="shared" si="11"/>
        <v>164</v>
      </c>
      <c r="AH41" s="171">
        <f t="shared" si="11"/>
        <v>212</v>
      </c>
      <c r="AI41" s="171">
        <f t="shared" si="11"/>
        <v>260</v>
      </c>
      <c r="AJ41" s="161"/>
    </row>
    <row r="42" spans="21:36">
      <c r="U42" s="157"/>
      <c r="AJ42" s="161"/>
    </row>
    <row r="43" spans="21:36">
      <c r="U43" s="157"/>
      <c r="V43" s="131" t="s">
        <v>301</v>
      </c>
      <c r="X43" s="172">
        <f t="shared" ref="X43:AI43" si="12">X33+X41</f>
        <v>12</v>
      </c>
      <c r="Y43" s="172">
        <f t="shared" si="12"/>
        <v>12</v>
      </c>
      <c r="Z43" s="172">
        <f t="shared" si="12"/>
        <v>16</v>
      </c>
      <c r="AA43" s="172">
        <f t="shared" si="12"/>
        <v>24</v>
      </c>
      <c r="AB43" s="172">
        <f t="shared" si="12"/>
        <v>36</v>
      </c>
      <c r="AC43" s="172">
        <f t="shared" si="12"/>
        <v>56</v>
      </c>
      <c r="AD43" s="172">
        <f t="shared" si="12"/>
        <v>92</v>
      </c>
      <c r="AE43" s="172">
        <f t="shared" si="12"/>
        <v>128</v>
      </c>
      <c r="AF43" s="172">
        <f t="shared" si="12"/>
        <v>184</v>
      </c>
      <c r="AG43" s="172">
        <f t="shared" si="12"/>
        <v>240</v>
      </c>
      <c r="AH43" s="172">
        <f t="shared" si="12"/>
        <v>296</v>
      </c>
      <c r="AI43" s="172">
        <f t="shared" si="12"/>
        <v>352</v>
      </c>
      <c r="AJ43" s="161"/>
    </row>
    <row r="44" spans="21:36">
      <c r="U44" s="157"/>
      <c r="V44" s="131" t="s">
        <v>292</v>
      </c>
      <c r="X44" s="173">
        <f t="shared" ref="X44:AI44" si="13">X32+X40</f>
        <v>9450</v>
      </c>
      <c r="Y44" s="173">
        <f t="shared" si="13"/>
        <v>9450</v>
      </c>
      <c r="Z44" s="173">
        <f t="shared" si="13"/>
        <v>9639</v>
      </c>
      <c r="AA44" s="173">
        <f t="shared" si="13"/>
        <v>15939</v>
      </c>
      <c r="AB44" s="173">
        <f t="shared" si="13"/>
        <v>19467</v>
      </c>
      <c r="AC44" s="173">
        <f t="shared" si="13"/>
        <v>29295</v>
      </c>
      <c r="AD44" s="173">
        <f t="shared" si="13"/>
        <v>39879</v>
      </c>
      <c r="AE44" s="173">
        <f t="shared" si="13"/>
        <v>50463</v>
      </c>
      <c r="AF44" s="173">
        <f t="shared" si="13"/>
        <v>59031</v>
      </c>
      <c r="AG44" s="173">
        <f t="shared" si="13"/>
        <v>67599</v>
      </c>
      <c r="AH44" s="173">
        <f t="shared" si="13"/>
        <v>76167</v>
      </c>
      <c r="AI44" s="173">
        <f t="shared" si="13"/>
        <v>84735</v>
      </c>
      <c r="AJ44" s="161"/>
    </row>
    <row r="45" spans="21:36">
      <c r="U45" s="157"/>
      <c r="V45" s="131" t="s">
        <v>293</v>
      </c>
      <c r="AA45" s="145">
        <f>SUM(X44:AA44)</f>
        <v>44478</v>
      </c>
      <c r="AE45" s="145">
        <f>SUM(AB44:AE44)</f>
        <v>139104</v>
      </c>
      <c r="AI45" s="145">
        <f>SUM(AF44:AI44)</f>
        <v>287532</v>
      </c>
      <c r="AJ45" s="161"/>
    </row>
    <row r="46" spans="21:36">
      <c r="U46" s="157"/>
      <c r="V46" s="131" t="s">
        <v>294</v>
      </c>
      <c r="AA46" s="174"/>
      <c r="AE46" s="174">
        <f>AE45/AA45</f>
        <v>3.1274787535410766</v>
      </c>
      <c r="AI46" s="174">
        <f>AI45/AE45</f>
        <v>2.0670289855072466</v>
      </c>
      <c r="AJ46" s="161"/>
    </row>
    <row r="47" spans="21:36">
      <c r="U47" s="157"/>
      <c r="X47" s="153" t="s">
        <v>302</v>
      </c>
      <c r="Y47" s="153"/>
      <c r="Z47" s="153"/>
      <c r="AA47" s="153" t="s">
        <v>303</v>
      </c>
      <c r="AB47" s="153"/>
      <c r="AC47" s="153"/>
      <c r="AD47" s="153" t="s">
        <v>304</v>
      </c>
      <c r="AE47" s="153"/>
      <c r="AF47" s="153" t="s">
        <v>303</v>
      </c>
      <c r="AG47" s="153"/>
      <c r="AH47" s="153"/>
      <c r="AI47" s="153"/>
      <c r="AJ47" s="161"/>
    </row>
    <row r="48" spans="21:36">
      <c r="U48" s="157"/>
      <c r="X48" s="153"/>
      <c r="Y48" s="153"/>
      <c r="Z48" s="153" t="s">
        <v>305</v>
      </c>
      <c r="AA48" s="153"/>
      <c r="AB48" s="153"/>
      <c r="AC48" s="153"/>
      <c r="AD48" s="153" t="s">
        <v>306</v>
      </c>
      <c r="AE48" s="153"/>
      <c r="AF48" s="153"/>
      <c r="AG48" s="153" t="s">
        <v>306</v>
      </c>
      <c r="AH48" s="153"/>
      <c r="AI48" s="153"/>
      <c r="AJ48" s="161"/>
    </row>
    <row r="49" spans="21:36" ht="12.75" thickBot="1">
      <c r="U49" s="175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7"/>
    </row>
  </sheetData>
  <phoneticPr fontId="2"/>
  <pageMargins left="0.7" right="0.7" top="0.75" bottom="0.75" header="0.3" footer="0.3"/>
  <pageSetup paperSize="9" orientation="portrait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FAC8-71C3-4FAC-A039-65AF3F0AFE5F}">
  <dimension ref="A1:BP56"/>
  <sheetViews>
    <sheetView view="pageBreakPreview" zoomScale="115" zoomScaleNormal="130" zoomScaleSheetLayoutView="115" workbookViewId="0">
      <selection activeCell="L61" sqref="L61"/>
    </sheetView>
  </sheetViews>
  <sheetFormatPr defaultRowHeight="18" customHeight="1"/>
  <cols>
    <col min="1" max="2" width="9" style="253"/>
    <col min="3" max="3" width="0.5" style="253" customWidth="1"/>
    <col min="4" max="4" width="2.75" style="253" customWidth="1"/>
    <col min="5" max="9" width="5.625" style="254" hidden="1" customWidth="1"/>
    <col min="10" max="16" width="5.625" style="254" customWidth="1"/>
    <col min="17" max="17" width="4.25" style="254" customWidth="1"/>
    <col min="18" max="29" width="6.125" style="254" customWidth="1"/>
    <col min="30" max="30" width="4.25" style="254" customWidth="1"/>
    <col min="31" max="42" width="6.125" style="254" customWidth="1"/>
    <col min="43" max="43" width="4.25" style="254" hidden="1" customWidth="1"/>
    <col min="44" max="55" width="6.125" style="254" hidden="1" customWidth="1"/>
    <col min="56" max="56" width="4.25" style="254" hidden="1" customWidth="1"/>
    <col min="57" max="68" width="6.125" style="254" hidden="1" customWidth="1"/>
    <col min="69" max="16384" width="9" style="253"/>
  </cols>
  <sheetData>
    <row r="1" spans="1:68" ht="18" customHeight="1" thickBot="1">
      <c r="A1" s="253" t="s">
        <v>537</v>
      </c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</row>
    <row r="2" spans="1:68" ht="28.5" customHeight="1" thickBot="1">
      <c r="A2" s="561"/>
      <c r="B2" s="562"/>
      <c r="C2" s="563"/>
      <c r="D2" s="589" t="s">
        <v>490</v>
      </c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1"/>
      <c r="Q2" s="594" t="s">
        <v>519</v>
      </c>
      <c r="R2" s="595" t="s">
        <v>491</v>
      </c>
      <c r="S2" s="595"/>
      <c r="T2" s="595">
        <v>30000</v>
      </c>
      <c r="U2" s="595"/>
      <c r="V2" s="595"/>
      <c r="W2" s="595"/>
      <c r="X2" s="595"/>
      <c r="Y2" s="595"/>
      <c r="Z2" s="595"/>
      <c r="AA2" s="595"/>
      <c r="AB2" s="595"/>
      <c r="AC2" s="596"/>
      <c r="AD2" s="594" t="s">
        <v>520</v>
      </c>
      <c r="AE2" s="595" t="s">
        <v>491</v>
      </c>
      <c r="AF2" s="595"/>
      <c r="AG2" s="595">
        <v>30000</v>
      </c>
      <c r="AH2" s="595"/>
      <c r="AI2" s="595"/>
      <c r="AJ2" s="595"/>
      <c r="AK2" s="595"/>
      <c r="AL2" s="595"/>
      <c r="AM2" s="595"/>
      <c r="AN2" s="595"/>
      <c r="AO2" s="595"/>
      <c r="AP2" s="596"/>
      <c r="AQ2" s="594" t="s">
        <v>521</v>
      </c>
      <c r="AR2" s="595" t="s">
        <v>491</v>
      </c>
      <c r="AS2" s="595"/>
      <c r="AT2" s="595">
        <v>30000</v>
      </c>
      <c r="AU2" s="595"/>
      <c r="AV2" s="595"/>
      <c r="AW2" s="595"/>
      <c r="AX2" s="595"/>
      <c r="AY2" s="595"/>
      <c r="AZ2" s="595"/>
      <c r="BA2" s="595"/>
      <c r="BB2" s="595"/>
      <c r="BC2" s="596"/>
      <c r="BD2" s="594" t="s">
        <v>522</v>
      </c>
      <c r="BE2" s="595" t="s">
        <v>491</v>
      </c>
      <c r="BF2" s="595"/>
      <c r="BG2" s="595">
        <v>30000</v>
      </c>
      <c r="BH2" s="595"/>
      <c r="BI2" s="595"/>
      <c r="BJ2" s="595"/>
      <c r="BK2" s="595"/>
      <c r="BL2" s="595"/>
      <c r="BM2" s="595"/>
      <c r="BN2" s="595"/>
      <c r="BO2" s="595"/>
      <c r="BP2" s="596"/>
    </row>
    <row r="3" spans="1:68" ht="18" customHeight="1" thickBot="1">
      <c r="A3" s="653"/>
      <c r="B3" s="654"/>
      <c r="C3" s="655"/>
      <c r="D3" s="592"/>
      <c r="E3" s="286" t="s">
        <v>351</v>
      </c>
      <c r="F3" s="283" t="s">
        <v>23</v>
      </c>
      <c r="G3" s="283" t="s">
        <v>68</v>
      </c>
      <c r="H3" s="283" t="s">
        <v>69</v>
      </c>
      <c r="I3" s="283" t="s">
        <v>15</v>
      </c>
      <c r="J3" s="283" t="s">
        <v>16</v>
      </c>
      <c r="K3" s="283" t="s">
        <v>17</v>
      </c>
      <c r="L3" s="283" t="s">
        <v>18</v>
      </c>
      <c r="M3" s="283" t="s">
        <v>19</v>
      </c>
      <c r="N3" s="283" t="s">
        <v>20</v>
      </c>
      <c r="O3" s="283" t="s">
        <v>21</v>
      </c>
      <c r="P3" s="284" t="s">
        <v>22</v>
      </c>
      <c r="Q3" s="592"/>
      <c r="R3" s="286" t="s">
        <v>351</v>
      </c>
      <c r="S3" s="283" t="s">
        <v>23</v>
      </c>
      <c r="T3" s="283" t="s">
        <v>68</v>
      </c>
      <c r="U3" s="283" t="s">
        <v>69</v>
      </c>
      <c r="V3" s="283" t="s">
        <v>15</v>
      </c>
      <c r="W3" s="283" t="s">
        <v>16</v>
      </c>
      <c r="X3" s="283" t="s">
        <v>17</v>
      </c>
      <c r="Y3" s="283" t="s">
        <v>18</v>
      </c>
      <c r="Z3" s="283" t="s">
        <v>19</v>
      </c>
      <c r="AA3" s="283" t="s">
        <v>20</v>
      </c>
      <c r="AB3" s="283" t="s">
        <v>21</v>
      </c>
      <c r="AC3" s="284" t="s">
        <v>22</v>
      </c>
      <c r="AD3" s="592"/>
      <c r="AE3" s="286" t="s">
        <v>351</v>
      </c>
      <c r="AF3" s="283" t="s">
        <v>23</v>
      </c>
      <c r="AG3" s="283" t="s">
        <v>68</v>
      </c>
      <c r="AH3" s="283" t="s">
        <v>69</v>
      </c>
      <c r="AI3" s="283" t="s">
        <v>15</v>
      </c>
      <c r="AJ3" s="283" t="s">
        <v>16</v>
      </c>
      <c r="AK3" s="283" t="s">
        <v>17</v>
      </c>
      <c r="AL3" s="283" t="s">
        <v>18</v>
      </c>
      <c r="AM3" s="283" t="s">
        <v>19</v>
      </c>
      <c r="AN3" s="283" t="s">
        <v>20</v>
      </c>
      <c r="AO3" s="283" t="s">
        <v>21</v>
      </c>
      <c r="AP3" s="284" t="s">
        <v>22</v>
      </c>
      <c r="AQ3" s="592"/>
      <c r="AR3" s="286" t="s">
        <v>351</v>
      </c>
      <c r="AS3" s="283" t="s">
        <v>23</v>
      </c>
      <c r="AT3" s="283" t="s">
        <v>68</v>
      </c>
      <c r="AU3" s="283" t="s">
        <v>69</v>
      </c>
      <c r="AV3" s="283" t="s">
        <v>15</v>
      </c>
      <c r="AW3" s="283" t="s">
        <v>16</v>
      </c>
      <c r="AX3" s="283" t="s">
        <v>17</v>
      </c>
      <c r="AY3" s="283" t="s">
        <v>18</v>
      </c>
      <c r="AZ3" s="283" t="s">
        <v>19</v>
      </c>
      <c r="BA3" s="283" t="s">
        <v>20</v>
      </c>
      <c r="BB3" s="283" t="s">
        <v>21</v>
      </c>
      <c r="BC3" s="284" t="s">
        <v>22</v>
      </c>
      <c r="BD3" s="592"/>
      <c r="BE3" s="286" t="s">
        <v>351</v>
      </c>
      <c r="BF3" s="283" t="s">
        <v>23</v>
      </c>
      <c r="BG3" s="283" t="s">
        <v>68</v>
      </c>
      <c r="BH3" s="283" t="s">
        <v>69</v>
      </c>
      <c r="BI3" s="283" t="s">
        <v>15</v>
      </c>
      <c r="BJ3" s="283" t="s">
        <v>16</v>
      </c>
      <c r="BK3" s="283" t="s">
        <v>17</v>
      </c>
      <c r="BL3" s="283" t="s">
        <v>18</v>
      </c>
      <c r="BM3" s="283" t="s">
        <v>19</v>
      </c>
      <c r="BN3" s="283" t="s">
        <v>20</v>
      </c>
      <c r="BO3" s="283" t="s">
        <v>21</v>
      </c>
      <c r="BP3" s="284" t="s">
        <v>22</v>
      </c>
    </row>
    <row r="4" spans="1:68" s="344" customFormat="1" ht="15.75" customHeight="1" thickBot="1">
      <c r="A4" s="599" t="s">
        <v>470</v>
      </c>
      <c r="B4" s="600"/>
      <c r="C4" s="601"/>
      <c r="D4" s="592"/>
      <c r="E4" s="360">
        <v>22</v>
      </c>
      <c r="F4" s="360">
        <v>20</v>
      </c>
      <c r="G4" s="360">
        <v>23</v>
      </c>
      <c r="H4" s="360">
        <v>22</v>
      </c>
      <c r="I4" s="360">
        <v>23</v>
      </c>
      <c r="J4" s="360">
        <v>22</v>
      </c>
      <c r="K4" s="360">
        <v>23</v>
      </c>
      <c r="L4" s="360">
        <v>22</v>
      </c>
      <c r="M4" s="360">
        <v>22</v>
      </c>
      <c r="N4" s="360">
        <v>23</v>
      </c>
      <c r="O4" s="360">
        <v>22</v>
      </c>
      <c r="P4" s="361">
        <v>22</v>
      </c>
      <c r="Q4" s="592"/>
      <c r="R4" s="393">
        <v>22</v>
      </c>
      <c r="S4" s="360">
        <v>20</v>
      </c>
      <c r="T4" s="360">
        <v>23</v>
      </c>
      <c r="U4" s="360">
        <v>22</v>
      </c>
      <c r="V4" s="360">
        <v>23</v>
      </c>
      <c r="W4" s="360">
        <v>22</v>
      </c>
      <c r="X4" s="360">
        <v>23</v>
      </c>
      <c r="Y4" s="360">
        <v>22</v>
      </c>
      <c r="Z4" s="360">
        <v>22</v>
      </c>
      <c r="AA4" s="360">
        <v>23</v>
      </c>
      <c r="AB4" s="360">
        <v>22</v>
      </c>
      <c r="AC4" s="361">
        <v>22</v>
      </c>
      <c r="AD4" s="592"/>
      <c r="AE4" s="393">
        <v>22</v>
      </c>
      <c r="AF4" s="360">
        <v>20</v>
      </c>
      <c r="AG4" s="360">
        <v>23</v>
      </c>
      <c r="AH4" s="360">
        <v>22</v>
      </c>
      <c r="AI4" s="360">
        <v>23</v>
      </c>
      <c r="AJ4" s="360">
        <v>22</v>
      </c>
      <c r="AK4" s="360">
        <v>23</v>
      </c>
      <c r="AL4" s="360">
        <v>22</v>
      </c>
      <c r="AM4" s="360">
        <v>22</v>
      </c>
      <c r="AN4" s="360">
        <v>23</v>
      </c>
      <c r="AO4" s="360">
        <v>22</v>
      </c>
      <c r="AP4" s="361">
        <v>22</v>
      </c>
      <c r="AQ4" s="592"/>
      <c r="AR4" s="393">
        <v>22</v>
      </c>
      <c r="AS4" s="360">
        <v>20</v>
      </c>
      <c r="AT4" s="360">
        <v>23</v>
      </c>
      <c r="AU4" s="360">
        <v>22</v>
      </c>
      <c r="AV4" s="360">
        <v>23</v>
      </c>
      <c r="AW4" s="360">
        <v>22</v>
      </c>
      <c r="AX4" s="360">
        <v>23</v>
      </c>
      <c r="AY4" s="360">
        <v>22</v>
      </c>
      <c r="AZ4" s="360">
        <v>22</v>
      </c>
      <c r="BA4" s="360">
        <v>23</v>
      </c>
      <c r="BB4" s="360">
        <v>22</v>
      </c>
      <c r="BC4" s="361">
        <v>22</v>
      </c>
      <c r="BD4" s="592"/>
      <c r="BE4" s="393">
        <v>22</v>
      </c>
      <c r="BF4" s="360">
        <v>20</v>
      </c>
      <c r="BG4" s="360">
        <v>23</v>
      </c>
      <c r="BH4" s="360">
        <v>22</v>
      </c>
      <c r="BI4" s="360">
        <v>23</v>
      </c>
      <c r="BJ4" s="360">
        <v>22</v>
      </c>
      <c r="BK4" s="360">
        <v>23</v>
      </c>
      <c r="BL4" s="360">
        <v>22</v>
      </c>
      <c r="BM4" s="360">
        <v>22</v>
      </c>
      <c r="BN4" s="360">
        <v>23</v>
      </c>
      <c r="BO4" s="360">
        <v>22</v>
      </c>
      <c r="BP4" s="361">
        <v>22</v>
      </c>
    </row>
    <row r="5" spans="1:68" s="331" customFormat="1" ht="15.75" customHeight="1" thickTop="1">
      <c r="A5" s="602" t="s">
        <v>356</v>
      </c>
      <c r="B5" s="603"/>
      <c r="C5" s="604"/>
      <c r="D5" s="592"/>
      <c r="E5" s="403">
        <v>0.8</v>
      </c>
      <c r="F5" s="403">
        <v>0.8</v>
      </c>
      <c r="G5" s="403">
        <v>0.8</v>
      </c>
      <c r="H5" s="403">
        <v>0.8</v>
      </c>
      <c r="I5" s="403">
        <v>0.8</v>
      </c>
      <c r="J5" s="403">
        <v>0.8</v>
      </c>
      <c r="K5" s="403">
        <v>0.8</v>
      </c>
      <c r="L5" s="403">
        <v>0.8</v>
      </c>
      <c r="M5" s="403">
        <v>0.8</v>
      </c>
      <c r="N5" s="403">
        <v>0.8</v>
      </c>
      <c r="O5" s="403">
        <v>0.8</v>
      </c>
      <c r="P5" s="404">
        <v>0.8</v>
      </c>
      <c r="Q5" s="592"/>
      <c r="R5" s="405">
        <v>0.8</v>
      </c>
      <c r="S5" s="403">
        <v>0.8</v>
      </c>
      <c r="T5" s="403">
        <v>0.8</v>
      </c>
      <c r="U5" s="403">
        <v>0.8</v>
      </c>
      <c r="V5" s="403">
        <v>0.8</v>
      </c>
      <c r="W5" s="403">
        <v>0.8</v>
      </c>
      <c r="X5" s="403">
        <v>0.8</v>
      </c>
      <c r="Y5" s="403">
        <v>0.8</v>
      </c>
      <c r="Z5" s="403">
        <v>0.8</v>
      </c>
      <c r="AA5" s="403">
        <v>0.8</v>
      </c>
      <c r="AB5" s="403">
        <v>0.8</v>
      </c>
      <c r="AC5" s="404">
        <v>0.8</v>
      </c>
      <c r="AD5" s="592"/>
      <c r="AE5" s="405">
        <v>0.8</v>
      </c>
      <c r="AF5" s="403">
        <v>0.8</v>
      </c>
      <c r="AG5" s="403">
        <v>0.8</v>
      </c>
      <c r="AH5" s="403">
        <v>0.8</v>
      </c>
      <c r="AI5" s="403">
        <v>0.8</v>
      </c>
      <c r="AJ5" s="403">
        <v>0.8</v>
      </c>
      <c r="AK5" s="403">
        <v>0.8</v>
      </c>
      <c r="AL5" s="403">
        <v>0.8</v>
      </c>
      <c r="AM5" s="403">
        <v>0.8</v>
      </c>
      <c r="AN5" s="403">
        <v>0.8</v>
      </c>
      <c r="AO5" s="403">
        <v>0.8</v>
      </c>
      <c r="AP5" s="404">
        <v>0.8</v>
      </c>
      <c r="AQ5" s="592"/>
      <c r="AR5" s="405">
        <v>0.8</v>
      </c>
      <c r="AS5" s="403">
        <v>0.8</v>
      </c>
      <c r="AT5" s="403">
        <v>0.8</v>
      </c>
      <c r="AU5" s="403">
        <v>0.8</v>
      </c>
      <c r="AV5" s="403">
        <v>0.8</v>
      </c>
      <c r="AW5" s="403">
        <v>0.8</v>
      </c>
      <c r="AX5" s="403">
        <v>0.8</v>
      </c>
      <c r="AY5" s="403">
        <v>0.8</v>
      </c>
      <c r="AZ5" s="403">
        <v>0.8</v>
      </c>
      <c r="BA5" s="403">
        <v>0.8</v>
      </c>
      <c r="BB5" s="403">
        <v>0.8</v>
      </c>
      <c r="BC5" s="404">
        <v>0.8</v>
      </c>
      <c r="BD5" s="592"/>
      <c r="BE5" s="405">
        <v>0.8</v>
      </c>
      <c r="BF5" s="403">
        <v>0.8</v>
      </c>
      <c r="BG5" s="403">
        <v>0.8</v>
      </c>
      <c r="BH5" s="403">
        <v>0.8</v>
      </c>
      <c r="BI5" s="403">
        <v>0.8</v>
      </c>
      <c r="BJ5" s="403">
        <v>0.8</v>
      </c>
      <c r="BK5" s="403">
        <v>0.8</v>
      </c>
      <c r="BL5" s="403">
        <v>0.8</v>
      </c>
      <c r="BM5" s="403">
        <v>0.8</v>
      </c>
      <c r="BN5" s="403">
        <v>0.8</v>
      </c>
      <c r="BO5" s="403">
        <v>0.8</v>
      </c>
      <c r="BP5" s="404">
        <v>0.8</v>
      </c>
    </row>
    <row r="6" spans="1:68" s="344" customFormat="1" ht="15.75" customHeight="1">
      <c r="A6" s="605" t="s">
        <v>456</v>
      </c>
      <c r="B6" s="606"/>
      <c r="C6" s="607"/>
      <c r="D6" s="592"/>
      <c r="E6" s="345">
        <v>7</v>
      </c>
      <c r="F6" s="345">
        <v>7</v>
      </c>
      <c r="G6" s="345">
        <v>10</v>
      </c>
      <c r="H6" s="345">
        <v>10</v>
      </c>
      <c r="I6" s="345">
        <v>10</v>
      </c>
      <c r="J6" s="345">
        <v>10</v>
      </c>
      <c r="K6" s="345">
        <v>10</v>
      </c>
      <c r="L6" s="345">
        <v>10</v>
      </c>
      <c r="M6" s="345">
        <v>10</v>
      </c>
      <c r="N6" s="345">
        <v>10</v>
      </c>
      <c r="O6" s="345">
        <v>10</v>
      </c>
      <c r="P6" s="346">
        <v>10</v>
      </c>
      <c r="Q6" s="592"/>
      <c r="R6" s="338">
        <v>10</v>
      </c>
      <c r="S6" s="345">
        <v>10</v>
      </c>
      <c r="T6" s="345">
        <v>10</v>
      </c>
      <c r="U6" s="345">
        <v>10</v>
      </c>
      <c r="V6" s="345">
        <v>10</v>
      </c>
      <c r="W6" s="345">
        <v>10</v>
      </c>
      <c r="X6" s="345">
        <v>10</v>
      </c>
      <c r="Y6" s="345">
        <v>10</v>
      </c>
      <c r="Z6" s="345">
        <v>10</v>
      </c>
      <c r="AA6" s="345">
        <v>10</v>
      </c>
      <c r="AB6" s="345">
        <v>10</v>
      </c>
      <c r="AC6" s="346">
        <v>10</v>
      </c>
      <c r="AD6" s="592"/>
      <c r="AE6" s="338">
        <v>10</v>
      </c>
      <c r="AF6" s="345">
        <v>10</v>
      </c>
      <c r="AG6" s="345">
        <v>10</v>
      </c>
      <c r="AH6" s="345">
        <v>10</v>
      </c>
      <c r="AI6" s="345">
        <v>10</v>
      </c>
      <c r="AJ6" s="345">
        <v>10</v>
      </c>
      <c r="AK6" s="345">
        <v>10</v>
      </c>
      <c r="AL6" s="345">
        <v>10</v>
      </c>
      <c r="AM6" s="345">
        <v>10</v>
      </c>
      <c r="AN6" s="345">
        <v>10</v>
      </c>
      <c r="AO6" s="345">
        <v>10</v>
      </c>
      <c r="AP6" s="346">
        <v>10</v>
      </c>
      <c r="AQ6" s="592"/>
      <c r="AR6" s="338">
        <v>10</v>
      </c>
      <c r="AS6" s="345">
        <v>10</v>
      </c>
      <c r="AT6" s="345">
        <v>10</v>
      </c>
      <c r="AU6" s="345">
        <v>10</v>
      </c>
      <c r="AV6" s="345">
        <v>10</v>
      </c>
      <c r="AW6" s="345">
        <v>10</v>
      </c>
      <c r="AX6" s="345">
        <v>10</v>
      </c>
      <c r="AY6" s="345">
        <v>10</v>
      </c>
      <c r="AZ6" s="345">
        <v>10</v>
      </c>
      <c r="BA6" s="345">
        <v>10</v>
      </c>
      <c r="BB6" s="345">
        <v>10</v>
      </c>
      <c r="BC6" s="346">
        <v>10</v>
      </c>
      <c r="BD6" s="592"/>
      <c r="BE6" s="338">
        <v>10</v>
      </c>
      <c r="BF6" s="345">
        <v>10</v>
      </c>
      <c r="BG6" s="345">
        <v>10</v>
      </c>
      <c r="BH6" s="345">
        <v>10</v>
      </c>
      <c r="BI6" s="345">
        <v>10</v>
      </c>
      <c r="BJ6" s="345">
        <v>10</v>
      </c>
      <c r="BK6" s="345">
        <v>10</v>
      </c>
      <c r="BL6" s="345">
        <v>10</v>
      </c>
      <c r="BM6" s="345">
        <v>10</v>
      </c>
      <c r="BN6" s="345">
        <v>10</v>
      </c>
      <c r="BO6" s="345">
        <v>10</v>
      </c>
      <c r="BP6" s="346">
        <v>10</v>
      </c>
    </row>
    <row r="7" spans="1:68" s="344" customFormat="1" ht="15.75" customHeight="1" thickBot="1">
      <c r="A7" s="608" t="s">
        <v>457</v>
      </c>
      <c r="B7" s="609"/>
      <c r="C7" s="610"/>
      <c r="D7" s="592"/>
      <c r="E7" s="353"/>
      <c r="F7" s="353"/>
      <c r="G7" s="353"/>
      <c r="H7" s="353"/>
      <c r="I7" s="353"/>
      <c r="J7" s="353"/>
      <c r="K7" s="353">
        <v>2</v>
      </c>
      <c r="L7" s="353">
        <v>3</v>
      </c>
      <c r="M7" s="353">
        <v>4</v>
      </c>
      <c r="N7" s="353">
        <v>5</v>
      </c>
      <c r="O7" s="353">
        <v>6</v>
      </c>
      <c r="P7" s="354">
        <v>7</v>
      </c>
      <c r="Q7" s="592"/>
      <c r="R7" s="352">
        <v>8</v>
      </c>
      <c r="S7" s="353">
        <v>9</v>
      </c>
      <c r="T7" s="353">
        <v>10</v>
      </c>
      <c r="U7" s="353">
        <v>10</v>
      </c>
      <c r="V7" s="353">
        <v>10</v>
      </c>
      <c r="W7" s="353">
        <v>10</v>
      </c>
      <c r="X7" s="353">
        <v>10</v>
      </c>
      <c r="Y7" s="353">
        <v>10</v>
      </c>
      <c r="Z7" s="353">
        <v>10</v>
      </c>
      <c r="AA7" s="353">
        <v>10</v>
      </c>
      <c r="AB7" s="353">
        <v>10</v>
      </c>
      <c r="AC7" s="354">
        <v>10</v>
      </c>
      <c r="AD7" s="592"/>
      <c r="AE7" s="352">
        <v>10</v>
      </c>
      <c r="AF7" s="353">
        <v>10</v>
      </c>
      <c r="AG7" s="353">
        <v>10</v>
      </c>
      <c r="AH7" s="353">
        <v>10</v>
      </c>
      <c r="AI7" s="353">
        <v>10</v>
      </c>
      <c r="AJ7" s="353">
        <v>10</v>
      </c>
      <c r="AK7" s="353">
        <v>10</v>
      </c>
      <c r="AL7" s="353">
        <v>10</v>
      </c>
      <c r="AM7" s="353">
        <v>10</v>
      </c>
      <c r="AN7" s="353">
        <v>10</v>
      </c>
      <c r="AO7" s="353">
        <v>10</v>
      </c>
      <c r="AP7" s="354">
        <v>10</v>
      </c>
      <c r="AQ7" s="592"/>
      <c r="AR7" s="352">
        <v>10</v>
      </c>
      <c r="AS7" s="353">
        <v>10</v>
      </c>
      <c r="AT7" s="353">
        <v>10</v>
      </c>
      <c r="AU7" s="353">
        <v>10</v>
      </c>
      <c r="AV7" s="353">
        <v>10</v>
      </c>
      <c r="AW7" s="353">
        <v>10</v>
      </c>
      <c r="AX7" s="353">
        <v>10</v>
      </c>
      <c r="AY7" s="353">
        <v>10</v>
      </c>
      <c r="AZ7" s="353">
        <v>10</v>
      </c>
      <c r="BA7" s="353">
        <v>10</v>
      </c>
      <c r="BB7" s="353">
        <v>10</v>
      </c>
      <c r="BC7" s="354">
        <v>10</v>
      </c>
      <c r="BD7" s="592"/>
      <c r="BE7" s="352">
        <v>10</v>
      </c>
      <c r="BF7" s="353">
        <v>10</v>
      </c>
      <c r="BG7" s="353">
        <v>10</v>
      </c>
      <c r="BH7" s="353">
        <v>10</v>
      </c>
      <c r="BI7" s="353">
        <v>10</v>
      </c>
      <c r="BJ7" s="353">
        <v>10</v>
      </c>
      <c r="BK7" s="353">
        <v>10</v>
      </c>
      <c r="BL7" s="353">
        <v>10</v>
      </c>
      <c r="BM7" s="353">
        <v>10</v>
      </c>
      <c r="BN7" s="353">
        <v>10</v>
      </c>
      <c r="BO7" s="353">
        <v>10</v>
      </c>
      <c r="BP7" s="354">
        <v>10</v>
      </c>
    </row>
    <row r="8" spans="1:68" s="344" customFormat="1" ht="15.75" customHeight="1" thickTop="1" thickBot="1">
      <c r="A8" s="620" t="s">
        <v>476</v>
      </c>
      <c r="B8" s="621"/>
      <c r="C8" s="622"/>
      <c r="D8" s="592"/>
      <c r="E8" s="357">
        <f>SUM(E6:E7)</f>
        <v>7</v>
      </c>
      <c r="F8" s="357">
        <f t="shared" ref="F8:P8" si="0">SUM(F6:F7)</f>
        <v>7</v>
      </c>
      <c r="G8" s="357">
        <f t="shared" si="0"/>
        <v>10</v>
      </c>
      <c r="H8" s="357">
        <f t="shared" si="0"/>
        <v>10</v>
      </c>
      <c r="I8" s="357">
        <f t="shared" si="0"/>
        <v>10</v>
      </c>
      <c r="J8" s="357">
        <f t="shared" si="0"/>
        <v>10</v>
      </c>
      <c r="K8" s="357">
        <f t="shared" si="0"/>
        <v>12</v>
      </c>
      <c r="L8" s="357">
        <f t="shared" si="0"/>
        <v>13</v>
      </c>
      <c r="M8" s="357">
        <f t="shared" si="0"/>
        <v>14</v>
      </c>
      <c r="N8" s="357">
        <f t="shared" si="0"/>
        <v>15</v>
      </c>
      <c r="O8" s="357">
        <f t="shared" si="0"/>
        <v>16</v>
      </c>
      <c r="P8" s="358">
        <f t="shared" si="0"/>
        <v>17</v>
      </c>
      <c r="Q8" s="592"/>
      <c r="R8" s="369">
        <f>SUM(R6:R7)</f>
        <v>18</v>
      </c>
      <c r="S8" s="357">
        <f t="shared" ref="S8:AC8" si="1">SUM(S6:S7)</f>
        <v>19</v>
      </c>
      <c r="T8" s="357">
        <f t="shared" si="1"/>
        <v>20</v>
      </c>
      <c r="U8" s="357">
        <f t="shared" si="1"/>
        <v>20</v>
      </c>
      <c r="V8" s="357">
        <f t="shared" si="1"/>
        <v>20</v>
      </c>
      <c r="W8" s="357">
        <f t="shared" si="1"/>
        <v>20</v>
      </c>
      <c r="X8" s="357">
        <f t="shared" si="1"/>
        <v>20</v>
      </c>
      <c r="Y8" s="357">
        <f t="shared" si="1"/>
        <v>20</v>
      </c>
      <c r="Z8" s="357">
        <f t="shared" si="1"/>
        <v>20</v>
      </c>
      <c r="AA8" s="357">
        <f t="shared" si="1"/>
        <v>20</v>
      </c>
      <c r="AB8" s="357">
        <f t="shared" si="1"/>
        <v>20</v>
      </c>
      <c r="AC8" s="358">
        <f t="shared" si="1"/>
        <v>20</v>
      </c>
      <c r="AD8" s="592"/>
      <c r="AE8" s="369">
        <f>SUM(AE6:AE7)</f>
        <v>20</v>
      </c>
      <c r="AF8" s="357">
        <f t="shared" ref="AF8:AP8" si="2">SUM(AF6:AF7)</f>
        <v>20</v>
      </c>
      <c r="AG8" s="357">
        <f t="shared" si="2"/>
        <v>20</v>
      </c>
      <c r="AH8" s="357">
        <f t="shared" si="2"/>
        <v>20</v>
      </c>
      <c r="AI8" s="357">
        <f t="shared" si="2"/>
        <v>20</v>
      </c>
      <c r="AJ8" s="357">
        <f t="shared" si="2"/>
        <v>20</v>
      </c>
      <c r="AK8" s="357">
        <f t="shared" si="2"/>
        <v>20</v>
      </c>
      <c r="AL8" s="357">
        <f t="shared" si="2"/>
        <v>20</v>
      </c>
      <c r="AM8" s="357">
        <f t="shared" si="2"/>
        <v>20</v>
      </c>
      <c r="AN8" s="357">
        <f t="shared" si="2"/>
        <v>20</v>
      </c>
      <c r="AO8" s="357">
        <f t="shared" si="2"/>
        <v>20</v>
      </c>
      <c r="AP8" s="358">
        <f t="shared" si="2"/>
        <v>20</v>
      </c>
      <c r="AQ8" s="592"/>
      <c r="AR8" s="369">
        <f>SUM(AR6:AR7)</f>
        <v>20</v>
      </c>
      <c r="AS8" s="357">
        <f t="shared" ref="AS8:BC8" si="3">SUM(AS6:AS7)</f>
        <v>20</v>
      </c>
      <c r="AT8" s="357">
        <f t="shared" si="3"/>
        <v>20</v>
      </c>
      <c r="AU8" s="357">
        <f t="shared" si="3"/>
        <v>20</v>
      </c>
      <c r="AV8" s="357">
        <f t="shared" si="3"/>
        <v>20</v>
      </c>
      <c r="AW8" s="357">
        <f t="shared" si="3"/>
        <v>20</v>
      </c>
      <c r="AX8" s="357">
        <f t="shared" si="3"/>
        <v>20</v>
      </c>
      <c r="AY8" s="357">
        <f t="shared" si="3"/>
        <v>20</v>
      </c>
      <c r="AZ8" s="357">
        <f t="shared" si="3"/>
        <v>20</v>
      </c>
      <c r="BA8" s="357">
        <f t="shared" si="3"/>
        <v>20</v>
      </c>
      <c r="BB8" s="357">
        <f t="shared" si="3"/>
        <v>20</v>
      </c>
      <c r="BC8" s="358">
        <f t="shared" si="3"/>
        <v>20</v>
      </c>
      <c r="BD8" s="592"/>
      <c r="BE8" s="369">
        <f>SUM(BE6:BE7)</f>
        <v>20</v>
      </c>
      <c r="BF8" s="357">
        <f t="shared" ref="BF8:BP8" si="4">SUM(BF6:BF7)</f>
        <v>20</v>
      </c>
      <c r="BG8" s="357">
        <f t="shared" si="4"/>
        <v>20</v>
      </c>
      <c r="BH8" s="357">
        <f t="shared" si="4"/>
        <v>20</v>
      </c>
      <c r="BI8" s="357">
        <f t="shared" si="4"/>
        <v>20</v>
      </c>
      <c r="BJ8" s="357">
        <f t="shared" si="4"/>
        <v>20</v>
      </c>
      <c r="BK8" s="357">
        <f t="shared" si="4"/>
        <v>20</v>
      </c>
      <c r="BL8" s="357">
        <f t="shared" si="4"/>
        <v>20</v>
      </c>
      <c r="BM8" s="357">
        <f t="shared" si="4"/>
        <v>20</v>
      </c>
      <c r="BN8" s="357">
        <f t="shared" si="4"/>
        <v>20</v>
      </c>
      <c r="BO8" s="357">
        <f t="shared" si="4"/>
        <v>20</v>
      </c>
      <c r="BP8" s="358">
        <f t="shared" si="4"/>
        <v>20</v>
      </c>
    </row>
    <row r="9" spans="1:68" s="344" customFormat="1" ht="15.75" customHeight="1">
      <c r="A9" s="623" t="s">
        <v>458</v>
      </c>
      <c r="B9" s="624"/>
      <c r="C9" s="625"/>
      <c r="D9" s="592"/>
      <c r="E9" s="345">
        <v>4</v>
      </c>
      <c r="F9" s="345">
        <v>5</v>
      </c>
      <c r="G9" s="345">
        <v>5</v>
      </c>
      <c r="H9" s="345">
        <v>6</v>
      </c>
      <c r="I9" s="345">
        <v>6</v>
      </c>
      <c r="J9" s="345">
        <v>4</v>
      </c>
      <c r="K9" s="345">
        <v>5</v>
      </c>
      <c r="L9" s="345">
        <v>6</v>
      </c>
      <c r="M9" s="345">
        <v>6</v>
      </c>
      <c r="N9" s="345">
        <v>7</v>
      </c>
      <c r="O9" s="345">
        <v>8</v>
      </c>
      <c r="P9" s="346">
        <v>9</v>
      </c>
      <c r="Q9" s="592"/>
      <c r="R9" s="338">
        <v>10</v>
      </c>
      <c r="S9" s="345">
        <v>10</v>
      </c>
      <c r="T9" s="345">
        <v>10</v>
      </c>
      <c r="U9" s="345">
        <v>10</v>
      </c>
      <c r="V9" s="345">
        <v>10</v>
      </c>
      <c r="W9" s="345">
        <v>10</v>
      </c>
      <c r="X9" s="345">
        <v>10</v>
      </c>
      <c r="Y9" s="345">
        <v>10</v>
      </c>
      <c r="Z9" s="345">
        <v>10</v>
      </c>
      <c r="AA9" s="345">
        <v>10</v>
      </c>
      <c r="AB9" s="345">
        <v>10</v>
      </c>
      <c r="AC9" s="346">
        <v>10</v>
      </c>
      <c r="AD9" s="592"/>
      <c r="AE9" s="338">
        <v>10</v>
      </c>
      <c r="AF9" s="345">
        <v>10</v>
      </c>
      <c r="AG9" s="345">
        <v>10</v>
      </c>
      <c r="AH9" s="345">
        <v>10</v>
      </c>
      <c r="AI9" s="345">
        <v>10</v>
      </c>
      <c r="AJ9" s="345">
        <v>10</v>
      </c>
      <c r="AK9" s="345">
        <v>10</v>
      </c>
      <c r="AL9" s="345">
        <v>10</v>
      </c>
      <c r="AM9" s="345">
        <v>10</v>
      </c>
      <c r="AN9" s="345">
        <v>10</v>
      </c>
      <c r="AO9" s="345">
        <v>10</v>
      </c>
      <c r="AP9" s="346">
        <v>10</v>
      </c>
      <c r="AQ9" s="592"/>
      <c r="AR9" s="338">
        <v>10</v>
      </c>
      <c r="AS9" s="345">
        <v>10</v>
      </c>
      <c r="AT9" s="345">
        <v>10</v>
      </c>
      <c r="AU9" s="345">
        <v>10</v>
      </c>
      <c r="AV9" s="345">
        <v>10</v>
      </c>
      <c r="AW9" s="345">
        <v>10</v>
      </c>
      <c r="AX9" s="345">
        <v>10</v>
      </c>
      <c r="AY9" s="345">
        <v>10</v>
      </c>
      <c r="AZ9" s="345">
        <v>10</v>
      </c>
      <c r="BA9" s="345">
        <v>10</v>
      </c>
      <c r="BB9" s="345">
        <v>10</v>
      </c>
      <c r="BC9" s="346">
        <v>10</v>
      </c>
      <c r="BD9" s="592"/>
      <c r="BE9" s="338">
        <v>10</v>
      </c>
      <c r="BF9" s="345">
        <v>10</v>
      </c>
      <c r="BG9" s="345">
        <v>10</v>
      </c>
      <c r="BH9" s="345">
        <v>10</v>
      </c>
      <c r="BI9" s="345">
        <v>10</v>
      </c>
      <c r="BJ9" s="345">
        <v>10</v>
      </c>
      <c r="BK9" s="345">
        <v>10</v>
      </c>
      <c r="BL9" s="345">
        <v>10</v>
      </c>
      <c r="BM9" s="345">
        <v>10</v>
      </c>
      <c r="BN9" s="345">
        <v>10</v>
      </c>
      <c r="BO9" s="345">
        <v>10</v>
      </c>
      <c r="BP9" s="346">
        <v>10</v>
      </c>
    </row>
    <row r="10" spans="1:68" s="344" customFormat="1" ht="15.75" customHeight="1">
      <c r="A10" s="626" t="s">
        <v>459</v>
      </c>
      <c r="B10" s="627"/>
      <c r="C10" s="628"/>
      <c r="D10" s="592"/>
      <c r="E10" s="333"/>
      <c r="F10" s="333"/>
      <c r="G10" s="333"/>
      <c r="H10" s="333"/>
      <c r="I10" s="333"/>
      <c r="J10" s="333"/>
      <c r="K10" s="333"/>
      <c r="L10" s="333"/>
      <c r="M10" s="333">
        <v>2</v>
      </c>
      <c r="N10" s="333">
        <v>4</v>
      </c>
      <c r="O10" s="333">
        <v>6</v>
      </c>
      <c r="P10" s="335">
        <v>8</v>
      </c>
      <c r="Q10" s="592"/>
      <c r="R10" s="334">
        <v>10</v>
      </c>
      <c r="S10" s="333">
        <v>10</v>
      </c>
      <c r="T10" s="333">
        <v>10</v>
      </c>
      <c r="U10" s="333">
        <v>10</v>
      </c>
      <c r="V10" s="333">
        <v>10</v>
      </c>
      <c r="W10" s="333">
        <v>10</v>
      </c>
      <c r="X10" s="333">
        <v>10</v>
      </c>
      <c r="Y10" s="333">
        <v>10</v>
      </c>
      <c r="Z10" s="333">
        <v>10</v>
      </c>
      <c r="AA10" s="333">
        <v>10</v>
      </c>
      <c r="AB10" s="333">
        <v>10</v>
      </c>
      <c r="AC10" s="335">
        <v>10</v>
      </c>
      <c r="AD10" s="592"/>
      <c r="AE10" s="334">
        <v>10</v>
      </c>
      <c r="AF10" s="333">
        <v>10</v>
      </c>
      <c r="AG10" s="333">
        <v>10</v>
      </c>
      <c r="AH10" s="333">
        <v>10</v>
      </c>
      <c r="AI10" s="333">
        <v>10</v>
      </c>
      <c r="AJ10" s="333">
        <v>10</v>
      </c>
      <c r="AK10" s="333">
        <v>10</v>
      </c>
      <c r="AL10" s="333">
        <v>10</v>
      </c>
      <c r="AM10" s="333">
        <v>10</v>
      </c>
      <c r="AN10" s="333">
        <v>10</v>
      </c>
      <c r="AO10" s="333">
        <v>10</v>
      </c>
      <c r="AP10" s="335">
        <v>10</v>
      </c>
      <c r="AQ10" s="592"/>
      <c r="AR10" s="334">
        <v>10</v>
      </c>
      <c r="AS10" s="333">
        <v>10</v>
      </c>
      <c r="AT10" s="333">
        <v>10</v>
      </c>
      <c r="AU10" s="333">
        <v>10</v>
      </c>
      <c r="AV10" s="333">
        <v>10</v>
      </c>
      <c r="AW10" s="333">
        <v>10</v>
      </c>
      <c r="AX10" s="333">
        <v>10</v>
      </c>
      <c r="AY10" s="333">
        <v>10</v>
      </c>
      <c r="AZ10" s="333">
        <v>10</v>
      </c>
      <c r="BA10" s="333">
        <v>10</v>
      </c>
      <c r="BB10" s="333">
        <v>10</v>
      </c>
      <c r="BC10" s="335">
        <v>10</v>
      </c>
      <c r="BD10" s="592"/>
      <c r="BE10" s="334">
        <v>10</v>
      </c>
      <c r="BF10" s="333">
        <v>10</v>
      </c>
      <c r="BG10" s="333">
        <v>10</v>
      </c>
      <c r="BH10" s="333">
        <v>10</v>
      </c>
      <c r="BI10" s="333">
        <v>10</v>
      </c>
      <c r="BJ10" s="333">
        <v>10</v>
      </c>
      <c r="BK10" s="333">
        <v>10</v>
      </c>
      <c r="BL10" s="333">
        <v>10</v>
      </c>
      <c r="BM10" s="333">
        <v>10</v>
      </c>
      <c r="BN10" s="333">
        <v>10</v>
      </c>
      <c r="BO10" s="333">
        <v>10</v>
      </c>
      <c r="BP10" s="335">
        <v>10</v>
      </c>
    </row>
    <row r="11" spans="1:68" s="344" customFormat="1" ht="15.75" customHeight="1" thickBot="1">
      <c r="A11" s="620" t="s">
        <v>477</v>
      </c>
      <c r="B11" s="621"/>
      <c r="C11" s="622"/>
      <c r="D11" s="592"/>
      <c r="E11" s="357">
        <f>SUM(E9:E10)</f>
        <v>4</v>
      </c>
      <c r="F11" s="357">
        <f t="shared" ref="F11:P11" si="5">SUM(F9:F10)</f>
        <v>5</v>
      </c>
      <c r="G11" s="357">
        <f t="shared" si="5"/>
        <v>5</v>
      </c>
      <c r="H11" s="357">
        <f t="shared" si="5"/>
        <v>6</v>
      </c>
      <c r="I11" s="357">
        <f t="shared" si="5"/>
        <v>6</v>
      </c>
      <c r="J11" s="357">
        <f t="shared" si="5"/>
        <v>4</v>
      </c>
      <c r="K11" s="357">
        <f t="shared" si="5"/>
        <v>5</v>
      </c>
      <c r="L11" s="357">
        <f t="shared" si="5"/>
        <v>6</v>
      </c>
      <c r="M11" s="357">
        <f t="shared" si="5"/>
        <v>8</v>
      </c>
      <c r="N11" s="357">
        <f t="shared" si="5"/>
        <v>11</v>
      </c>
      <c r="O11" s="357">
        <f t="shared" si="5"/>
        <v>14</v>
      </c>
      <c r="P11" s="358">
        <f t="shared" si="5"/>
        <v>17</v>
      </c>
      <c r="Q11" s="592"/>
      <c r="R11" s="352">
        <f>SUM(R9:R10)</f>
        <v>20</v>
      </c>
      <c r="S11" s="353">
        <f t="shared" ref="S11:AC11" si="6">SUM(S9:S10)</f>
        <v>20</v>
      </c>
      <c r="T11" s="353">
        <f t="shared" si="6"/>
        <v>20</v>
      </c>
      <c r="U11" s="353">
        <f t="shared" si="6"/>
        <v>20</v>
      </c>
      <c r="V11" s="353">
        <f t="shared" si="6"/>
        <v>20</v>
      </c>
      <c r="W11" s="353">
        <f t="shared" si="6"/>
        <v>20</v>
      </c>
      <c r="X11" s="353">
        <f t="shared" si="6"/>
        <v>20</v>
      </c>
      <c r="Y11" s="353">
        <f t="shared" si="6"/>
        <v>20</v>
      </c>
      <c r="Z11" s="353">
        <f t="shared" si="6"/>
        <v>20</v>
      </c>
      <c r="AA11" s="353">
        <f t="shared" si="6"/>
        <v>20</v>
      </c>
      <c r="AB11" s="353">
        <f t="shared" si="6"/>
        <v>20</v>
      </c>
      <c r="AC11" s="354">
        <f t="shared" si="6"/>
        <v>20</v>
      </c>
      <c r="AD11" s="592"/>
      <c r="AE11" s="352">
        <f>SUM(AE9:AE10)</f>
        <v>20</v>
      </c>
      <c r="AF11" s="353">
        <f t="shared" ref="AF11:AP11" si="7">SUM(AF9:AF10)</f>
        <v>20</v>
      </c>
      <c r="AG11" s="353">
        <f t="shared" si="7"/>
        <v>20</v>
      </c>
      <c r="AH11" s="353">
        <f t="shared" si="7"/>
        <v>20</v>
      </c>
      <c r="AI11" s="353">
        <f t="shared" si="7"/>
        <v>20</v>
      </c>
      <c r="AJ11" s="353">
        <f t="shared" si="7"/>
        <v>20</v>
      </c>
      <c r="AK11" s="353">
        <f t="shared" si="7"/>
        <v>20</v>
      </c>
      <c r="AL11" s="353">
        <f t="shared" si="7"/>
        <v>20</v>
      </c>
      <c r="AM11" s="353">
        <f t="shared" si="7"/>
        <v>20</v>
      </c>
      <c r="AN11" s="353">
        <f t="shared" si="7"/>
        <v>20</v>
      </c>
      <c r="AO11" s="353">
        <f t="shared" si="7"/>
        <v>20</v>
      </c>
      <c r="AP11" s="354">
        <f t="shared" si="7"/>
        <v>20</v>
      </c>
      <c r="AQ11" s="592"/>
      <c r="AR11" s="352">
        <f>SUM(AR9:AR10)</f>
        <v>20</v>
      </c>
      <c r="AS11" s="353">
        <f t="shared" ref="AS11:BC11" si="8">SUM(AS9:AS10)</f>
        <v>20</v>
      </c>
      <c r="AT11" s="353">
        <f t="shared" si="8"/>
        <v>20</v>
      </c>
      <c r="AU11" s="353">
        <f t="shared" si="8"/>
        <v>20</v>
      </c>
      <c r="AV11" s="353">
        <f t="shared" si="8"/>
        <v>20</v>
      </c>
      <c r="AW11" s="353">
        <f t="shared" si="8"/>
        <v>20</v>
      </c>
      <c r="AX11" s="353">
        <f t="shared" si="8"/>
        <v>20</v>
      </c>
      <c r="AY11" s="353">
        <f t="shared" si="8"/>
        <v>20</v>
      </c>
      <c r="AZ11" s="353">
        <f t="shared" si="8"/>
        <v>20</v>
      </c>
      <c r="BA11" s="353">
        <f t="shared" si="8"/>
        <v>20</v>
      </c>
      <c r="BB11" s="353">
        <f t="shared" si="8"/>
        <v>20</v>
      </c>
      <c r="BC11" s="354">
        <f t="shared" si="8"/>
        <v>20</v>
      </c>
      <c r="BD11" s="592"/>
      <c r="BE11" s="352">
        <f>SUM(BE9:BE10)</f>
        <v>20</v>
      </c>
      <c r="BF11" s="353">
        <f t="shared" ref="BF11:BP11" si="9">SUM(BF9:BF10)</f>
        <v>20</v>
      </c>
      <c r="BG11" s="353">
        <f t="shared" si="9"/>
        <v>20</v>
      </c>
      <c r="BH11" s="353">
        <f t="shared" si="9"/>
        <v>20</v>
      </c>
      <c r="BI11" s="353">
        <f t="shared" si="9"/>
        <v>20</v>
      </c>
      <c r="BJ11" s="353">
        <f t="shared" si="9"/>
        <v>20</v>
      </c>
      <c r="BK11" s="353">
        <f t="shared" si="9"/>
        <v>20</v>
      </c>
      <c r="BL11" s="353">
        <f t="shared" si="9"/>
        <v>20</v>
      </c>
      <c r="BM11" s="353">
        <f t="shared" si="9"/>
        <v>20</v>
      </c>
      <c r="BN11" s="353">
        <f t="shared" si="9"/>
        <v>20</v>
      </c>
      <c r="BO11" s="353">
        <f t="shared" si="9"/>
        <v>20</v>
      </c>
      <c r="BP11" s="354">
        <f t="shared" si="9"/>
        <v>20</v>
      </c>
    </row>
    <row r="12" spans="1:68" s="344" customFormat="1" ht="15.75" customHeight="1">
      <c r="A12" s="602" t="s">
        <v>478</v>
      </c>
      <c r="B12" s="603"/>
      <c r="C12" s="604"/>
      <c r="D12" s="592"/>
      <c r="E12" s="328">
        <f>E8:F8+E11</f>
        <v>11</v>
      </c>
      <c r="F12" s="328">
        <f t="shared" ref="F12:P12" si="10">F8:G8+F11</f>
        <v>12</v>
      </c>
      <c r="G12" s="328">
        <f t="shared" si="10"/>
        <v>15</v>
      </c>
      <c r="H12" s="328">
        <f t="shared" si="10"/>
        <v>16</v>
      </c>
      <c r="I12" s="328">
        <f t="shared" si="10"/>
        <v>16</v>
      </c>
      <c r="J12" s="328">
        <f t="shared" si="10"/>
        <v>14</v>
      </c>
      <c r="K12" s="328">
        <f t="shared" si="10"/>
        <v>17</v>
      </c>
      <c r="L12" s="328">
        <f t="shared" si="10"/>
        <v>19</v>
      </c>
      <c r="M12" s="328">
        <f t="shared" si="10"/>
        <v>22</v>
      </c>
      <c r="N12" s="328">
        <f t="shared" si="10"/>
        <v>26</v>
      </c>
      <c r="O12" s="328">
        <f t="shared" si="10"/>
        <v>30</v>
      </c>
      <c r="P12" s="329">
        <f t="shared" si="10"/>
        <v>34</v>
      </c>
      <c r="Q12" s="592"/>
      <c r="R12" s="394">
        <f>R8:S8+R11</f>
        <v>38</v>
      </c>
      <c r="S12" s="391">
        <f t="shared" ref="S12:AC12" si="11">S8:T8+S11</f>
        <v>39</v>
      </c>
      <c r="T12" s="391">
        <f t="shared" si="11"/>
        <v>40</v>
      </c>
      <c r="U12" s="391">
        <f t="shared" si="11"/>
        <v>40</v>
      </c>
      <c r="V12" s="391">
        <f t="shared" si="11"/>
        <v>40</v>
      </c>
      <c r="W12" s="391">
        <f t="shared" si="11"/>
        <v>40</v>
      </c>
      <c r="X12" s="391">
        <f t="shared" si="11"/>
        <v>40</v>
      </c>
      <c r="Y12" s="391">
        <f t="shared" si="11"/>
        <v>40</v>
      </c>
      <c r="Z12" s="391">
        <f t="shared" si="11"/>
        <v>40</v>
      </c>
      <c r="AA12" s="391">
        <f t="shared" si="11"/>
        <v>40</v>
      </c>
      <c r="AB12" s="391">
        <f t="shared" si="11"/>
        <v>40</v>
      </c>
      <c r="AC12" s="392">
        <f t="shared" si="11"/>
        <v>40</v>
      </c>
      <c r="AD12" s="592"/>
      <c r="AE12" s="394">
        <f>AE8:AF8+AE11</f>
        <v>40</v>
      </c>
      <c r="AF12" s="391">
        <f t="shared" ref="AF12:AO12" si="12">AF8:AG8+AF11</f>
        <v>40</v>
      </c>
      <c r="AG12" s="391">
        <f t="shared" si="12"/>
        <v>40</v>
      </c>
      <c r="AH12" s="391">
        <f t="shared" si="12"/>
        <v>40</v>
      </c>
      <c r="AI12" s="391">
        <f t="shared" si="12"/>
        <v>40</v>
      </c>
      <c r="AJ12" s="391">
        <f t="shared" si="12"/>
        <v>40</v>
      </c>
      <c r="AK12" s="391">
        <f t="shared" si="12"/>
        <v>40</v>
      </c>
      <c r="AL12" s="391">
        <f t="shared" si="12"/>
        <v>40</v>
      </c>
      <c r="AM12" s="391">
        <f t="shared" si="12"/>
        <v>40</v>
      </c>
      <c r="AN12" s="391">
        <f t="shared" si="12"/>
        <v>40</v>
      </c>
      <c r="AO12" s="391">
        <f t="shared" si="12"/>
        <v>40</v>
      </c>
      <c r="AP12" s="392">
        <f>AP8:AP8+AP11</f>
        <v>40</v>
      </c>
      <c r="AQ12" s="592"/>
      <c r="AR12" s="394">
        <f>AR8:AS8+AR11</f>
        <v>40</v>
      </c>
      <c r="AS12" s="391">
        <f t="shared" ref="AS12:BB12" si="13">AS8:AT8+AS11</f>
        <v>40</v>
      </c>
      <c r="AT12" s="391">
        <f t="shared" si="13"/>
        <v>40</v>
      </c>
      <c r="AU12" s="391">
        <f t="shared" si="13"/>
        <v>40</v>
      </c>
      <c r="AV12" s="391">
        <f t="shared" si="13"/>
        <v>40</v>
      </c>
      <c r="AW12" s="391">
        <f t="shared" si="13"/>
        <v>40</v>
      </c>
      <c r="AX12" s="391">
        <f t="shared" si="13"/>
        <v>40</v>
      </c>
      <c r="AY12" s="391">
        <f t="shared" si="13"/>
        <v>40</v>
      </c>
      <c r="AZ12" s="391">
        <f t="shared" si="13"/>
        <v>40</v>
      </c>
      <c r="BA12" s="391">
        <f t="shared" si="13"/>
        <v>40</v>
      </c>
      <c r="BB12" s="391">
        <f t="shared" si="13"/>
        <v>40</v>
      </c>
      <c r="BC12" s="392">
        <f>BC8:BC8+BC11</f>
        <v>40</v>
      </c>
      <c r="BD12" s="592"/>
      <c r="BE12" s="394">
        <f>BE8:BF8+BE11</f>
        <v>40</v>
      </c>
      <c r="BF12" s="391">
        <f t="shared" ref="BF12:BO12" si="14">BF8:BG8+BF11</f>
        <v>40</v>
      </c>
      <c r="BG12" s="391">
        <f t="shared" si="14"/>
        <v>40</v>
      </c>
      <c r="BH12" s="391">
        <f t="shared" si="14"/>
        <v>40</v>
      </c>
      <c r="BI12" s="391">
        <f t="shared" si="14"/>
        <v>40</v>
      </c>
      <c r="BJ12" s="391">
        <f t="shared" si="14"/>
        <v>40</v>
      </c>
      <c r="BK12" s="391">
        <f t="shared" si="14"/>
        <v>40</v>
      </c>
      <c r="BL12" s="391">
        <f t="shared" si="14"/>
        <v>40</v>
      </c>
      <c r="BM12" s="391">
        <f t="shared" si="14"/>
        <v>40</v>
      </c>
      <c r="BN12" s="391">
        <f t="shared" si="14"/>
        <v>40</v>
      </c>
      <c r="BO12" s="391">
        <f t="shared" si="14"/>
        <v>40</v>
      </c>
      <c r="BP12" s="392">
        <f>BP8:BP8+BP11</f>
        <v>40</v>
      </c>
    </row>
    <row r="13" spans="1:68" ht="3.75" customHeight="1">
      <c r="A13" s="611"/>
      <c r="B13" s="612"/>
      <c r="C13" s="613"/>
      <c r="D13" s="592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6"/>
      <c r="Q13" s="592"/>
      <c r="R13" s="327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6"/>
      <c r="AD13" s="592"/>
      <c r="AE13" s="327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6"/>
      <c r="AQ13" s="592"/>
      <c r="AR13" s="327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6"/>
      <c r="BD13" s="592"/>
      <c r="BE13" s="327"/>
      <c r="BF13" s="295"/>
      <c r="BG13" s="295"/>
      <c r="BH13" s="295"/>
      <c r="BI13" s="295"/>
      <c r="BJ13" s="295"/>
      <c r="BK13" s="295"/>
      <c r="BL13" s="295"/>
      <c r="BM13" s="295"/>
      <c r="BN13" s="295"/>
      <c r="BO13" s="295"/>
      <c r="BP13" s="296"/>
    </row>
    <row r="14" spans="1:68" ht="10.5" customHeight="1">
      <c r="A14" s="614" t="s">
        <v>464</v>
      </c>
      <c r="B14" s="615"/>
      <c r="C14" s="616"/>
      <c r="D14" s="592"/>
      <c r="E14" s="255">
        <f t="shared" ref="E14:P14" si="15">ROUNDDOWN(E6*E23*E4*E5,-2)</f>
        <v>725600</v>
      </c>
      <c r="F14" s="255">
        <f t="shared" si="15"/>
        <v>659600</v>
      </c>
      <c r="G14" s="255">
        <f t="shared" si="15"/>
        <v>1083700</v>
      </c>
      <c r="H14" s="255">
        <f t="shared" si="15"/>
        <v>1036600</v>
      </c>
      <c r="I14" s="255">
        <f t="shared" si="15"/>
        <v>1083700</v>
      </c>
      <c r="J14" s="255">
        <f t="shared" si="15"/>
        <v>1036600</v>
      </c>
      <c r="K14" s="255">
        <f t="shared" si="15"/>
        <v>1083700</v>
      </c>
      <c r="L14" s="255">
        <f t="shared" si="15"/>
        <v>1036600</v>
      </c>
      <c r="M14" s="255">
        <f t="shared" si="15"/>
        <v>1036600</v>
      </c>
      <c r="N14" s="255">
        <f t="shared" si="15"/>
        <v>1083700</v>
      </c>
      <c r="O14" s="255">
        <f t="shared" si="15"/>
        <v>1036600</v>
      </c>
      <c r="P14" s="293">
        <f t="shared" si="15"/>
        <v>1036600</v>
      </c>
      <c r="Q14" s="592"/>
      <c r="R14" s="294">
        <f t="shared" ref="R14:AC14" si="16">ROUNDDOWN(R6*R23*R4*R5,-2)</f>
        <v>1036600</v>
      </c>
      <c r="S14" s="255">
        <f t="shared" si="16"/>
        <v>942400</v>
      </c>
      <c r="T14" s="255">
        <f t="shared" si="16"/>
        <v>1083700</v>
      </c>
      <c r="U14" s="255">
        <f t="shared" si="16"/>
        <v>1036600</v>
      </c>
      <c r="V14" s="255">
        <f t="shared" si="16"/>
        <v>1083700</v>
      </c>
      <c r="W14" s="255">
        <f t="shared" si="16"/>
        <v>1036600</v>
      </c>
      <c r="X14" s="255">
        <f t="shared" si="16"/>
        <v>1083700</v>
      </c>
      <c r="Y14" s="255">
        <f t="shared" si="16"/>
        <v>1036600</v>
      </c>
      <c r="Z14" s="255">
        <f t="shared" si="16"/>
        <v>1036600</v>
      </c>
      <c r="AA14" s="255">
        <f t="shared" si="16"/>
        <v>1083700</v>
      </c>
      <c r="AB14" s="255">
        <f t="shared" si="16"/>
        <v>1036600</v>
      </c>
      <c r="AC14" s="293">
        <f t="shared" si="16"/>
        <v>1036600</v>
      </c>
      <c r="AD14" s="592"/>
      <c r="AE14" s="294">
        <f t="shared" ref="AE14:AP14" si="17">ROUNDDOWN(AE6*AE23*AE4*AE5,-2)</f>
        <v>1036600</v>
      </c>
      <c r="AF14" s="255">
        <f t="shared" si="17"/>
        <v>942400</v>
      </c>
      <c r="AG14" s="255">
        <f t="shared" si="17"/>
        <v>1083700</v>
      </c>
      <c r="AH14" s="255">
        <f t="shared" si="17"/>
        <v>1036600</v>
      </c>
      <c r="AI14" s="255">
        <f t="shared" si="17"/>
        <v>1083700</v>
      </c>
      <c r="AJ14" s="255">
        <f t="shared" si="17"/>
        <v>1036600</v>
      </c>
      <c r="AK14" s="255">
        <f t="shared" si="17"/>
        <v>1083700</v>
      </c>
      <c r="AL14" s="255">
        <f t="shared" si="17"/>
        <v>1036600</v>
      </c>
      <c r="AM14" s="255">
        <f t="shared" si="17"/>
        <v>1036600</v>
      </c>
      <c r="AN14" s="255">
        <f t="shared" si="17"/>
        <v>1083700</v>
      </c>
      <c r="AO14" s="255">
        <f t="shared" si="17"/>
        <v>1036600</v>
      </c>
      <c r="AP14" s="293">
        <f t="shared" si="17"/>
        <v>1036600</v>
      </c>
      <c r="AQ14" s="592"/>
      <c r="AR14" s="294">
        <f t="shared" ref="AR14:BC14" si="18">ROUNDDOWN(AR6*AR23*AR4*AR5,-2)</f>
        <v>1036600</v>
      </c>
      <c r="AS14" s="255">
        <f t="shared" si="18"/>
        <v>942400</v>
      </c>
      <c r="AT14" s="255">
        <f t="shared" si="18"/>
        <v>1083700</v>
      </c>
      <c r="AU14" s="255">
        <f t="shared" si="18"/>
        <v>1036600</v>
      </c>
      <c r="AV14" s="255">
        <f t="shared" si="18"/>
        <v>1083700</v>
      </c>
      <c r="AW14" s="255">
        <f t="shared" si="18"/>
        <v>1036600</v>
      </c>
      <c r="AX14" s="255">
        <f t="shared" si="18"/>
        <v>1083700</v>
      </c>
      <c r="AY14" s="255">
        <f t="shared" si="18"/>
        <v>1036600</v>
      </c>
      <c r="AZ14" s="255">
        <f t="shared" si="18"/>
        <v>1036600</v>
      </c>
      <c r="BA14" s="255">
        <f t="shared" si="18"/>
        <v>1083700</v>
      </c>
      <c r="BB14" s="255">
        <f t="shared" si="18"/>
        <v>1036600</v>
      </c>
      <c r="BC14" s="293">
        <f t="shared" si="18"/>
        <v>1036600</v>
      </c>
      <c r="BD14" s="592"/>
      <c r="BE14" s="294">
        <f t="shared" ref="BE14:BP14" si="19">ROUNDDOWN(BE6*BE23*BE4*BE5,-2)</f>
        <v>1036600</v>
      </c>
      <c r="BF14" s="255">
        <f t="shared" si="19"/>
        <v>942400</v>
      </c>
      <c r="BG14" s="255">
        <f t="shared" si="19"/>
        <v>1083700</v>
      </c>
      <c r="BH14" s="255">
        <f t="shared" si="19"/>
        <v>1036600</v>
      </c>
      <c r="BI14" s="255">
        <f t="shared" si="19"/>
        <v>1083700</v>
      </c>
      <c r="BJ14" s="255">
        <f t="shared" si="19"/>
        <v>1036600</v>
      </c>
      <c r="BK14" s="255">
        <f t="shared" si="19"/>
        <v>1083700</v>
      </c>
      <c r="BL14" s="255">
        <f t="shared" si="19"/>
        <v>1036600</v>
      </c>
      <c r="BM14" s="255">
        <f t="shared" si="19"/>
        <v>1036600</v>
      </c>
      <c r="BN14" s="255">
        <f t="shared" si="19"/>
        <v>1083700</v>
      </c>
      <c r="BO14" s="255">
        <f t="shared" si="19"/>
        <v>1036600</v>
      </c>
      <c r="BP14" s="293">
        <f t="shared" si="19"/>
        <v>1036600</v>
      </c>
    </row>
    <row r="15" spans="1:68" ht="10.5" customHeight="1">
      <c r="A15" s="614" t="s">
        <v>465</v>
      </c>
      <c r="B15" s="615"/>
      <c r="C15" s="616"/>
      <c r="D15" s="592"/>
      <c r="E15" s="255">
        <f>ROUNDDOWN(E7*E24*E4*E29,-2)</f>
        <v>0</v>
      </c>
      <c r="F15" s="255">
        <f t="shared" ref="F15:P15" si="20">F7*F24*F4*F29</f>
        <v>0</v>
      </c>
      <c r="G15" s="255">
        <f t="shared" si="20"/>
        <v>0</v>
      </c>
      <c r="H15" s="255">
        <f t="shared" si="20"/>
        <v>0</v>
      </c>
      <c r="I15" s="255">
        <f t="shared" si="20"/>
        <v>0</v>
      </c>
      <c r="J15" s="255">
        <f t="shared" si="20"/>
        <v>0</v>
      </c>
      <c r="K15" s="255">
        <f t="shared" si="20"/>
        <v>253552</v>
      </c>
      <c r="L15" s="255">
        <f t="shared" si="20"/>
        <v>363792</v>
      </c>
      <c r="M15" s="255">
        <f t="shared" si="20"/>
        <v>485056</v>
      </c>
      <c r="N15" s="255">
        <f t="shared" si="20"/>
        <v>633880</v>
      </c>
      <c r="O15" s="255">
        <f t="shared" si="20"/>
        <v>727584</v>
      </c>
      <c r="P15" s="293">
        <f t="shared" si="20"/>
        <v>848848</v>
      </c>
      <c r="Q15" s="592"/>
      <c r="R15" s="294">
        <f>ROUNDDOWN(R7*R24*R4*R29,-2)</f>
        <v>909400</v>
      </c>
      <c r="S15" s="255">
        <f t="shared" ref="S15:AC15" si="21">S7*S24*S4*S29</f>
        <v>930150</v>
      </c>
      <c r="T15" s="255">
        <f t="shared" si="21"/>
        <v>1188525</v>
      </c>
      <c r="U15" s="255">
        <f t="shared" si="21"/>
        <v>1136850</v>
      </c>
      <c r="V15" s="255">
        <f t="shared" si="21"/>
        <v>1188525</v>
      </c>
      <c r="W15" s="255">
        <f t="shared" si="21"/>
        <v>1136850</v>
      </c>
      <c r="X15" s="255">
        <f t="shared" si="21"/>
        <v>1188525</v>
      </c>
      <c r="Y15" s="255">
        <f t="shared" si="21"/>
        <v>1136850</v>
      </c>
      <c r="Z15" s="255">
        <f t="shared" si="21"/>
        <v>1136850</v>
      </c>
      <c r="AA15" s="255">
        <f t="shared" si="21"/>
        <v>1188525</v>
      </c>
      <c r="AB15" s="255">
        <f t="shared" si="21"/>
        <v>1136850</v>
      </c>
      <c r="AC15" s="293">
        <f t="shared" si="21"/>
        <v>1136850</v>
      </c>
      <c r="AD15" s="592"/>
      <c r="AE15" s="294">
        <f>ROUNDDOWN(AE7*AE24*AE4*AE29,-2)</f>
        <v>1136800</v>
      </c>
      <c r="AF15" s="255">
        <f t="shared" ref="AF15:AP15" si="22">AF7*AF24*AF4*AF29</f>
        <v>1033500</v>
      </c>
      <c r="AG15" s="255">
        <f t="shared" si="22"/>
        <v>1188525</v>
      </c>
      <c r="AH15" s="255">
        <f t="shared" si="22"/>
        <v>1136850</v>
      </c>
      <c r="AI15" s="255">
        <f t="shared" si="22"/>
        <v>1188525</v>
      </c>
      <c r="AJ15" s="255">
        <f t="shared" si="22"/>
        <v>1136850</v>
      </c>
      <c r="AK15" s="255">
        <f t="shared" si="22"/>
        <v>1188525</v>
      </c>
      <c r="AL15" s="255">
        <f t="shared" si="22"/>
        <v>1136850</v>
      </c>
      <c r="AM15" s="255">
        <f t="shared" si="22"/>
        <v>1136850</v>
      </c>
      <c r="AN15" s="255">
        <f t="shared" si="22"/>
        <v>1188525</v>
      </c>
      <c r="AO15" s="255">
        <f t="shared" si="22"/>
        <v>1136850</v>
      </c>
      <c r="AP15" s="293">
        <f t="shared" si="22"/>
        <v>1136850</v>
      </c>
      <c r="AQ15" s="592"/>
      <c r="AR15" s="294">
        <f>ROUNDDOWN(AR7*AR24*AR4*AR29,-2)</f>
        <v>1136800</v>
      </c>
      <c r="AS15" s="255">
        <f t="shared" ref="AS15:BC15" si="23">AS7*AS24*AS4*AS29</f>
        <v>1033500</v>
      </c>
      <c r="AT15" s="255">
        <f t="shared" si="23"/>
        <v>1188525</v>
      </c>
      <c r="AU15" s="255">
        <f t="shared" si="23"/>
        <v>1136850</v>
      </c>
      <c r="AV15" s="255">
        <f t="shared" si="23"/>
        <v>1188525</v>
      </c>
      <c r="AW15" s="255">
        <f t="shared" si="23"/>
        <v>1136850</v>
      </c>
      <c r="AX15" s="255">
        <f t="shared" si="23"/>
        <v>1188525</v>
      </c>
      <c r="AY15" s="255">
        <f t="shared" si="23"/>
        <v>1136850</v>
      </c>
      <c r="AZ15" s="255">
        <f t="shared" si="23"/>
        <v>1136850</v>
      </c>
      <c r="BA15" s="255">
        <f t="shared" si="23"/>
        <v>1188525</v>
      </c>
      <c r="BB15" s="255">
        <f t="shared" si="23"/>
        <v>1136850</v>
      </c>
      <c r="BC15" s="293">
        <f t="shared" si="23"/>
        <v>1136850</v>
      </c>
      <c r="BD15" s="592"/>
      <c r="BE15" s="294">
        <f>ROUNDDOWN(BE7*BE24*BE4*BE29,-2)</f>
        <v>1136800</v>
      </c>
      <c r="BF15" s="255">
        <f t="shared" ref="BF15:BP15" si="24">BF7*BF24*BF4*BF29</f>
        <v>1033500</v>
      </c>
      <c r="BG15" s="255">
        <f t="shared" si="24"/>
        <v>1188525</v>
      </c>
      <c r="BH15" s="255">
        <f t="shared" si="24"/>
        <v>1136850</v>
      </c>
      <c r="BI15" s="255">
        <f t="shared" si="24"/>
        <v>1188525</v>
      </c>
      <c r="BJ15" s="255">
        <f t="shared" si="24"/>
        <v>1136850</v>
      </c>
      <c r="BK15" s="255">
        <f t="shared" si="24"/>
        <v>1188525</v>
      </c>
      <c r="BL15" s="255">
        <f t="shared" si="24"/>
        <v>1136850</v>
      </c>
      <c r="BM15" s="255">
        <f t="shared" si="24"/>
        <v>1136850</v>
      </c>
      <c r="BN15" s="255">
        <f t="shared" si="24"/>
        <v>1188525</v>
      </c>
      <c r="BO15" s="255">
        <f t="shared" si="24"/>
        <v>1136850</v>
      </c>
      <c r="BP15" s="293">
        <f t="shared" si="24"/>
        <v>1136850</v>
      </c>
    </row>
    <row r="16" spans="1:68" ht="10.5" customHeight="1">
      <c r="A16" s="617" t="s">
        <v>468</v>
      </c>
      <c r="B16" s="618"/>
      <c r="C16" s="619"/>
      <c r="D16" s="592"/>
      <c r="E16" s="255">
        <f t="shared" ref="E16:P16" si="25">ROUNDDOWN(((E6+E7)*(E27+E28*0.8))*E4,-2)</f>
        <v>203500</v>
      </c>
      <c r="F16" s="255">
        <f t="shared" si="25"/>
        <v>185000</v>
      </c>
      <c r="G16" s="255">
        <f t="shared" si="25"/>
        <v>304000</v>
      </c>
      <c r="H16" s="255">
        <f t="shared" si="25"/>
        <v>290800</v>
      </c>
      <c r="I16" s="255">
        <f t="shared" si="25"/>
        <v>304000</v>
      </c>
      <c r="J16" s="255">
        <f t="shared" si="25"/>
        <v>290800</v>
      </c>
      <c r="K16" s="255">
        <f t="shared" si="25"/>
        <v>364800</v>
      </c>
      <c r="L16" s="255">
        <f t="shared" si="25"/>
        <v>378000</v>
      </c>
      <c r="M16" s="255">
        <f t="shared" si="25"/>
        <v>407100</v>
      </c>
      <c r="N16" s="255">
        <f t="shared" si="25"/>
        <v>456000</v>
      </c>
      <c r="O16" s="255">
        <f t="shared" si="25"/>
        <v>465300</v>
      </c>
      <c r="P16" s="293">
        <f t="shared" si="25"/>
        <v>494400</v>
      </c>
      <c r="Q16" s="592"/>
      <c r="R16" s="294">
        <f t="shared" ref="R16:AC16" si="26">ROUNDDOWN(((R6+R7)*(R27+R28*0.8))*R4,-2)</f>
        <v>523500</v>
      </c>
      <c r="S16" s="255">
        <f t="shared" si="26"/>
        <v>502300</v>
      </c>
      <c r="T16" s="255">
        <f t="shared" si="26"/>
        <v>608100</v>
      </c>
      <c r="U16" s="255">
        <f t="shared" si="26"/>
        <v>581600</v>
      </c>
      <c r="V16" s="255">
        <f t="shared" si="26"/>
        <v>608100</v>
      </c>
      <c r="W16" s="255">
        <f t="shared" si="26"/>
        <v>581600</v>
      </c>
      <c r="X16" s="255">
        <f t="shared" si="26"/>
        <v>608100</v>
      </c>
      <c r="Y16" s="255">
        <f t="shared" si="26"/>
        <v>581600</v>
      </c>
      <c r="Z16" s="255">
        <f t="shared" si="26"/>
        <v>581600</v>
      </c>
      <c r="AA16" s="255">
        <f t="shared" si="26"/>
        <v>608100</v>
      </c>
      <c r="AB16" s="255">
        <f t="shared" si="26"/>
        <v>581600</v>
      </c>
      <c r="AC16" s="293">
        <f t="shared" si="26"/>
        <v>581600</v>
      </c>
      <c r="AD16" s="592"/>
      <c r="AE16" s="294">
        <f t="shared" ref="AE16:AP16" si="27">ROUNDDOWN(((AE6+AE7)*(AE27+AE28*0.8))*AE4,-2)</f>
        <v>581600</v>
      </c>
      <c r="AF16" s="255">
        <f t="shared" si="27"/>
        <v>528800</v>
      </c>
      <c r="AG16" s="255">
        <f t="shared" si="27"/>
        <v>608100</v>
      </c>
      <c r="AH16" s="255">
        <f t="shared" si="27"/>
        <v>581600</v>
      </c>
      <c r="AI16" s="255">
        <f t="shared" si="27"/>
        <v>608100</v>
      </c>
      <c r="AJ16" s="255">
        <f t="shared" si="27"/>
        <v>581600</v>
      </c>
      <c r="AK16" s="255">
        <f t="shared" si="27"/>
        <v>608100</v>
      </c>
      <c r="AL16" s="255">
        <f t="shared" si="27"/>
        <v>581600</v>
      </c>
      <c r="AM16" s="255">
        <f t="shared" si="27"/>
        <v>581600</v>
      </c>
      <c r="AN16" s="255">
        <f t="shared" si="27"/>
        <v>608100</v>
      </c>
      <c r="AO16" s="255">
        <f t="shared" si="27"/>
        <v>581600</v>
      </c>
      <c r="AP16" s="293">
        <f t="shared" si="27"/>
        <v>581600</v>
      </c>
      <c r="AQ16" s="592"/>
      <c r="AR16" s="294">
        <f t="shared" ref="AR16:BC16" si="28">ROUNDDOWN(((AR6+AR7)*(AR27+AR28*0.8))*AR4,-2)</f>
        <v>581600</v>
      </c>
      <c r="AS16" s="255">
        <f t="shared" si="28"/>
        <v>528800</v>
      </c>
      <c r="AT16" s="255">
        <f t="shared" si="28"/>
        <v>608100</v>
      </c>
      <c r="AU16" s="255">
        <f t="shared" si="28"/>
        <v>581600</v>
      </c>
      <c r="AV16" s="255">
        <f t="shared" si="28"/>
        <v>608100</v>
      </c>
      <c r="AW16" s="255">
        <f t="shared" si="28"/>
        <v>581600</v>
      </c>
      <c r="AX16" s="255">
        <f t="shared" si="28"/>
        <v>608100</v>
      </c>
      <c r="AY16" s="255">
        <f t="shared" si="28"/>
        <v>581600</v>
      </c>
      <c r="AZ16" s="255">
        <f t="shared" si="28"/>
        <v>581600</v>
      </c>
      <c r="BA16" s="255">
        <f t="shared" si="28"/>
        <v>608100</v>
      </c>
      <c r="BB16" s="255">
        <f t="shared" si="28"/>
        <v>581600</v>
      </c>
      <c r="BC16" s="293">
        <f t="shared" si="28"/>
        <v>581600</v>
      </c>
      <c r="BD16" s="592"/>
      <c r="BE16" s="294">
        <f t="shared" ref="BE16:BP16" si="29">ROUNDDOWN(((BE6+BE7)*(BE27+BE28*0.8))*BE4,-2)</f>
        <v>581600</v>
      </c>
      <c r="BF16" s="255">
        <f t="shared" si="29"/>
        <v>528800</v>
      </c>
      <c r="BG16" s="255">
        <f t="shared" si="29"/>
        <v>608100</v>
      </c>
      <c r="BH16" s="255">
        <f t="shared" si="29"/>
        <v>581600</v>
      </c>
      <c r="BI16" s="255">
        <f t="shared" si="29"/>
        <v>608100</v>
      </c>
      <c r="BJ16" s="255">
        <f t="shared" si="29"/>
        <v>581600</v>
      </c>
      <c r="BK16" s="255">
        <f t="shared" si="29"/>
        <v>608100</v>
      </c>
      <c r="BL16" s="255">
        <f t="shared" si="29"/>
        <v>581600</v>
      </c>
      <c r="BM16" s="255">
        <f t="shared" si="29"/>
        <v>581600</v>
      </c>
      <c r="BN16" s="255">
        <f t="shared" si="29"/>
        <v>608100</v>
      </c>
      <c r="BO16" s="255">
        <f t="shared" si="29"/>
        <v>581600</v>
      </c>
      <c r="BP16" s="293">
        <f t="shared" si="29"/>
        <v>581600</v>
      </c>
    </row>
    <row r="17" spans="1:68" ht="10.5" customHeight="1">
      <c r="A17" s="614" t="s">
        <v>466</v>
      </c>
      <c r="B17" s="615"/>
      <c r="C17" s="616"/>
      <c r="D17" s="592"/>
      <c r="E17" s="255">
        <f t="shared" ref="E17:P17" si="30">ROUNDDOWN(E9*E25*E4*E5,-2)</f>
        <v>568800</v>
      </c>
      <c r="F17" s="255">
        <f t="shared" si="30"/>
        <v>646400</v>
      </c>
      <c r="G17" s="255">
        <f t="shared" si="30"/>
        <v>743300</v>
      </c>
      <c r="H17" s="255">
        <f t="shared" si="30"/>
        <v>853200</v>
      </c>
      <c r="I17" s="255">
        <f t="shared" si="30"/>
        <v>892000</v>
      </c>
      <c r="J17" s="255">
        <f t="shared" si="30"/>
        <v>568800</v>
      </c>
      <c r="K17" s="255">
        <f t="shared" si="30"/>
        <v>743300</v>
      </c>
      <c r="L17" s="255">
        <f t="shared" si="30"/>
        <v>853200</v>
      </c>
      <c r="M17" s="255">
        <f t="shared" si="30"/>
        <v>853200</v>
      </c>
      <c r="N17" s="255">
        <f t="shared" si="30"/>
        <v>1040700</v>
      </c>
      <c r="O17" s="255">
        <f t="shared" si="30"/>
        <v>1137600</v>
      </c>
      <c r="P17" s="293">
        <f t="shared" si="30"/>
        <v>1279800</v>
      </c>
      <c r="Q17" s="592"/>
      <c r="R17" s="294">
        <f t="shared" ref="R17:AC17" si="31">ROUNDDOWN(R9*R25*R4*R5,-2)</f>
        <v>1422000</v>
      </c>
      <c r="S17" s="255">
        <f t="shared" si="31"/>
        <v>1292800</v>
      </c>
      <c r="T17" s="255">
        <f t="shared" si="31"/>
        <v>1486700</v>
      </c>
      <c r="U17" s="255">
        <f t="shared" si="31"/>
        <v>1422000</v>
      </c>
      <c r="V17" s="255">
        <f t="shared" si="31"/>
        <v>1486700</v>
      </c>
      <c r="W17" s="255">
        <f t="shared" si="31"/>
        <v>1422000</v>
      </c>
      <c r="X17" s="255">
        <f t="shared" si="31"/>
        <v>1486700</v>
      </c>
      <c r="Y17" s="255">
        <f t="shared" si="31"/>
        <v>1422000</v>
      </c>
      <c r="Z17" s="255">
        <f t="shared" si="31"/>
        <v>1422000</v>
      </c>
      <c r="AA17" s="255">
        <f t="shared" si="31"/>
        <v>1486700</v>
      </c>
      <c r="AB17" s="255">
        <f t="shared" si="31"/>
        <v>1422000</v>
      </c>
      <c r="AC17" s="293">
        <f t="shared" si="31"/>
        <v>1422000</v>
      </c>
      <c r="AD17" s="592"/>
      <c r="AE17" s="294">
        <f t="shared" ref="AE17:AP17" si="32">ROUNDDOWN(AE9*AE25*AE4*AE5,-2)</f>
        <v>1422000</v>
      </c>
      <c r="AF17" s="255">
        <f t="shared" si="32"/>
        <v>1292800</v>
      </c>
      <c r="AG17" s="255">
        <f t="shared" si="32"/>
        <v>1486700</v>
      </c>
      <c r="AH17" s="255">
        <f t="shared" si="32"/>
        <v>1422000</v>
      </c>
      <c r="AI17" s="255">
        <f t="shared" si="32"/>
        <v>1486700</v>
      </c>
      <c r="AJ17" s="255">
        <f t="shared" si="32"/>
        <v>1422000</v>
      </c>
      <c r="AK17" s="255">
        <f t="shared" si="32"/>
        <v>1486700</v>
      </c>
      <c r="AL17" s="255">
        <f t="shared" si="32"/>
        <v>1422000</v>
      </c>
      <c r="AM17" s="255">
        <f t="shared" si="32"/>
        <v>1422000</v>
      </c>
      <c r="AN17" s="255">
        <f t="shared" si="32"/>
        <v>1486700</v>
      </c>
      <c r="AO17" s="255">
        <f t="shared" si="32"/>
        <v>1422000</v>
      </c>
      <c r="AP17" s="293">
        <f t="shared" si="32"/>
        <v>1422000</v>
      </c>
      <c r="AQ17" s="592"/>
      <c r="AR17" s="294">
        <f t="shared" ref="AR17:BC17" si="33">ROUNDDOWN(AR9*AR25*AR4*AR5,-2)</f>
        <v>1422000</v>
      </c>
      <c r="AS17" s="255">
        <f t="shared" si="33"/>
        <v>1292800</v>
      </c>
      <c r="AT17" s="255">
        <f t="shared" si="33"/>
        <v>1486700</v>
      </c>
      <c r="AU17" s="255">
        <f t="shared" si="33"/>
        <v>1422000</v>
      </c>
      <c r="AV17" s="255">
        <f t="shared" si="33"/>
        <v>1486700</v>
      </c>
      <c r="AW17" s="255">
        <f t="shared" si="33"/>
        <v>1422000</v>
      </c>
      <c r="AX17" s="255">
        <f t="shared" si="33"/>
        <v>1486700</v>
      </c>
      <c r="AY17" s="255">
        <f t="shared" si="33"/>
        <v>1422000</v>
      </c>
      <c r="AZ17" s="255">
        <f t="shared" si="33"/>
        <v>1422000</v>
      </c>
      <c r="BA17" s="255">
        <f t="shared" si="33"/>
        <v>1486700</v>
      </c>
      <c r="BB17" s="255">
        <f t="shared" si="33"/>
        <v>1422000</v>
      </c>
      <c r="BC17" s="293">
        <f t="shared" si="33"/>
        <v>1422000</v>
      </c>
      <c r="BD17" s="592"/>
      <c r="BE17" s="294">
        <f t="shared" ref="BE17:BP17" si="34">ROUNDDOWN(BE9*BE25*BE4*BE5,-2)</f>
        <v>1422000</v>
      </c>
      <c r="BF17" s="255">
        <f t="shared" si="34"/>
        <v>1292800</v>
      </c>
      <c r="BG17" s="255">
        <f t="shared" si="34"/>
        <v>1486700</v>
      </c>
      <c r="BH17" s="255">
        <f t="shared" si="34"/>
        <v>1422000</v>
      </c>
      <c r="BI17" s="255">
        <f t="shared" si="34"/>
        <v>1486700</v>
      </c>
      <c r="BJ17" s="255">
        <f t="shared" si="34"/>
        <v>1422000</v>
      </c>
      <c r="BK17" s="255">
        <f t="shared" si="34"/>
        <v>1486700</v>
      </c>
      <c r="BL17" s="255">
        <f t="shared" si="34"/>
        <v>1422000</v>
      </c>
      <c r="BM17" s="255">
        <f t="shared" si="34"/>
        <v>1422000</v>
      </c>
      <c r="BN17" s="255">
        <f t="shared" si="34"/>
        <v>1486700</v>
      </c>
      <c r="BO17" s="255">
        <f t="shared" si="34"/>
        <v>1422000</v>
      </c>
      <c r="BP17" s="293">
        <f t="shared" si="34"/>
        <v>1422000</v>
      </c>
    </row>
    <row r="18" spans="1:68" ht="10.5" customHeight="1">
      <c r="A18" s="614" t="s">
        <v>467</v>
      </c>
      <c r="B18" s="615"/>
      <c r="C18" s="616"/>
      <c r="D18" s="592"/>
      <c r="E18" s="255">
        <f t="shared" ref="E18:P18" si="35">ROUNDDOWN(E10*E26*E4*E5,-2)</f>
        <v>0</v>
      </c>
      <c r="F18" s="255">
        <f t="shared" si="35"/>
        <v>0</v>
      </c>
      <c r="G18" s="255">
        <f t="shared" si="35"/>
        <v>0</v>
      </c>
      <c r="H18" s="255">
        <f t="shared" si="35"/>
        <v>0</v>
      </c>
      <c r="I18" s="255">
        <f t="shared" si="35"/>
        <v>0</v>
      </c>
      <c r="J18" s="255">
        <f t="shared" si="35"/>
        <v>0</v>
      </c>
      <c r="K18" s="255">
        <f t="shared" si="35"/>
        <v>0</v>
      </c>
      <c r="L18" s="255">
        <f t="shared" si="35"/>
        <v>0</v>
      </c>
      <c r="M18" s="255">
        <f t="shared" si="35"/>
        <v>319600</v>
      </c>
      <c r="N18" s="255">
        <f t="shared" si="35"/>
        <v>668200</v>
      </c>
      <c r="O18" s="255">
        <f t="shared" si="35"/>
        <v>958800</v>
      </c>
      <c r="P18" s="293">
        <f t="shared" si="35"/>
        <v>1278400</v>
      </c>
      <c r="Q18" s="592"/>
      <c r="R18" s="294">
        <f t="shared" ref="R18:AC18" si="36">ROUNDDOWN(R10*R26*R4*R5,-2)</f>
        <v>1598000</v>
      </c>
      <c r="S18" s="255">
        <f t="shared" si="36"/>
        <v>1452800</v>
      </c>
      <c r="T18" s="255">
        <f t="shared" si="36"/>
        <v>1670700</v>
      </c>
      <c r="U18" s="255">
        <f t="shared" si="36"/>
        <v>1598000</v>
      </c>
      <c r="V18" s="255">
        <f t="shared" si="36"/>
        <v>1670700</v>
      </c>
      <c r="W18" s="255">
        <f t="shared" si="36"/>
        <v>1598000</v>
      </c>
      <c r="X18" s="255">
        <f t="shared" si="36"/>
        <v>1670700</v>
      </c>
      <c r="Y18" s="255">
        <f t="shared" si="36"/>
        <v>1598000</v>
      </c>
      <c r="Z18" s="255">
        <f t="shared" si="36"/>
        <v>1598000</v>
      </c>
      <c r="AA18" s="255">
        <f t="shared" si="36"/>
        <v>1670700</v>
      </c>
      <c r="AB18" s="255">
        <f t="shared" si="36"/>
        <v>1598000</v>
      </c>
      <c r="AC18" s="293">
        <f t="shared" si="36"/>
        <v>1598000</v>
      </c>
      <c r="AD18" s="592"/>
      <c r="AE18" s="294">
        <f t="shared" ref="AE18:AP18" si="37">ROUNDDOWN(AE10*AE26*AE4*AE5,-2)</f>
        <v>1598000</v>
      </c>
      <c r="AF18" s="255">
        <f t="shared" si="37"/>
        <v>1452800</v>
      </c>
      <c r="AG18" s="255">
        <f t="shared" si="37"/>
        <v>1670700</v>
      </c>
      <c r="AH18" s="255">
        <f t="shared" si="37"/>
        <v>1598000</v>
      </c>
      <c r="AI18" s="255">
        <f t="shared" si="37"/>
        <v>1670700</v>
      </c>
      <c r="AJ18" s="255">
        <f t="shared" si="37"/>
        <v>1598000</v>
      </c>
      <c r="AK18" s="255">
        <f t="shared" si="37"/>
        <v>1670700</v>
      </c>
      <c r="AL18" s="255">
        <f t="shared" si="37"/>
        <v>1598000</v>
      </c>
      <c r="AM18" s="255">
        <f t="shared" si="37"/>
        <v>1598000</v>
      </c>
      <c r="AN18" s="255">
        <f t="shared" si="37"/>
        <v>1670700</v>
      </c>
      <c r="AO18" s="255">
        <f t="shared" si="37"/>
        <v>1598000</v>
      </c>
      <c r="AP18" s="293">
        <f t="shared" si="37"/>
        <v>1598000</v>
      </c>
      <c r="AQ18" s="592"/>
      <c r="AR18" s="294">
        <f t="shared" ref="AR18:BC18" si="38">ROUNDDOWN(AR10*AR26*AR4*AR5,-2)</f>
        <v>1598000</v>
      </c>
      <c r="AS18" s="255">
        <f t="shared" si="38"/>
        <v>1452800</v>
      </c>
      <c r="AT18" s="255">
        <f t="shared" si="38"/>
        <v>1670700</v>
      </c>
      <c r="AU18" s="255">
        <f t="shared" si="38"/>
        <v>1598000</v>
      </c>
      <c r="AV18" s="255">
        <f t="shared" si="38"/>
        <v>1670700</v>
      </c>
      <c r="AW18" s="255">
        <f t="shared" si="38"/>
        <v>1598000</v>
      </c>
      <c r="AX18" s="255">
        <f t="shared" si="38"/>
        <v>1670700</v>
      </c>
      <c r="AY18" s="255">
        <f t="shared" si="38"/>
        <v>1598000</v>
      </c>
      <c r="AZ18" s="255">
        <f t="shared" si="38"/>
        <v>1598000</v>
      </c>
      <c r="BA18" s="255">
        <f t="shared" si="38"/>
        <v>1670700</v>
      </c>
      <c r="BB18" s="255">
        <f t="shared" si="38"/>
        <v>1598000</v>
      </c>
      <c r="BC18" s="293">
        <f t="shared" si="38"/>
        <v>1598000</v>
      </c>
      <c r="BD18" s="592"/>
      <c r="BE18" s="294">
        <f t="shared" ref="BE18:BP18" si="39">ROUNDDOWN(BE10*BE26*BE4*BE5,-2)</f>
        <v>1598000</v>
      </c>
      <c r="BF18" s="255">
        <f t="shared" si="39"/>
        <v>1452800</v>
      </c>
      <c r="BG18" s="255">
        <f t="shared" si="39"/>
        <v>1670700</v>
      </c>
      <c r="BH18" s="255">
        <f t="shared" si="39"/>
        <v>1598000</v>
      </c>
      <c r="BI18" s="255">
        <f t="shared" si="39"/>
        <v>1670700</v>
      </c>
      <c r="BJ18" s="255">
        <f t="shared" si="39"/>
        <v>1598000</v>
      </c>
      <c r="BK18" s="255">
        <f t="shared" si="39"/>
        <v>1670700</v>
      </c>
      <c r="BL18" s="255">
        <f t="shared" si="39"/>
        <v>1598000</v>
      </c>
      <c r="BM18" s="255">
        <f t="shared" si="39"/>
        <v>1598000</v>
      </c>
      <c r="BN18" s="255">
        <f t="shared" si="39"/>
        <v>1670700</v>
      </c>
      <c r="BO18" s="255">
        <f t="shared" si="39"/>
        <v>1598000</v>
      </c>
      <c r="BP18" s="293">
        <f t="shared" si="39"/>
        <v>1598000</v>
      </c>
    </row>
    <row r="19" spans="1:68" ht="10.5" customHeight="1" thickBot="1">
      <c r="A19" s="635" t="s">
        <v>469</v>
      </c>
      <c r="B19" s="636"/>
      <c r="C19" s="637"/>
      <c r="D19" s="592"/>
      <c r="E19" s="336">
        <f t="shared" ref="E19:P19" si="40">ROUNDDOWN((E9+E10)*E4*E5*E28,-2)</f>
        <v>38000</v>
      </c>
      <c r="F19" s="336">
        <f t="shared" si="40"/>
        <v>43200</v>
      </c>
      <c r="G19" s="336">
        <f t="shared" si="40"/>
        <v>49600</v>
      </c>
      <c r="H19" s="336">
        <f t="shared" si="40"/>
        <v>57000</v>
      </c>
      <c r="I19" s="336">
        <f t="shared" si="40"/>
        <v>59600</v>
      </c>
      <c r="J19" s="336">
        <f t="shared" si="40"/>
        <v>38000</v>
      </c>
      <c r="K19" s="336">
        <f t="shared" si="40"/>
        <v>49600</v>
      </c>
      <c r="L19" s="336">
        <f t="shared" si="40"/>
        <v>57000</v>
      </c>
      <c r="M19" s="336">
        <f t="shared" si="40"/>
        <v>76000</v>
      </c>
      <c r="N19" s="336">
        <f t="shared" si="40"/>
        <v>109200</v>
      </c>
      <c r="O19" s="336">
        <f t="shared" si="40"/>
        <v>133000</v>
      </c>
      <c r="P19" s="337">
        <f t="shared" si="40"/>
        <v>161500</v>
      </c>
      <c r="Q19" s="592"/>
      <c r="R19" s="395">
        <f t="shared" ref="R19:AC19" si="41">ROUNDDOWN((R9+R10)*R4*R5*R28,-2)</f>
        <v>190000</v>
      </c>
      <c r="S19" s="336">
        <f t="shared" si="41"/>
        <v>172800</v>
      </c>
      <c r="T19" s="336">
        <f t="shared" si="41"/>
        <v>198700</v>
      </c>
      <c r="U19" s="336">
        <f t="shared" si="41"/>
        <v>190000</v>
      </c>
      <c r="V19" s="336">
        <f t="shared" si="41"/>
        <v>198700</v>
      </c>
      <c r="W19" s="336">
        <f t="shared" si="41"/>
        <v>190000</v>
      </c>
      <c r="X19" s="336">
        <f t="shared" si="41"/>
        <v>198700</v>
      </c>
      <c r="Y19" s="336">
        <f t="shared" si="41"/>
        <v>190000</v>
      </c>
      <c r="Z19" s="336">
        <f t="shared" si="41"/>
        <v>190000</v>
      </c>
      <c r="AA19" s="336">
        <f t="shared" si="41"/>
        <v>198700</v>
      </c>
      <c r="AB19" s="336">
        <f t="shared" si="41"/>
        <v>190000</v>
      </c>
      <c r="AC19" s="337">
        <f t="shared" si="41"/>
        <v>190000</v>
      </c>
      <c r="AD19" s="592"/>
      <c r="AE19" s="395">
        <f t="shared" ref="AE19:AP19" si="42">ROUNDDOWN((AE9+AE10)*AE4*AE5*AE28,-2)</f>
        <v>190000</v>
      </c>
      <c r="AF19" s="336">
        <f t="shared" si="42"/>
        <v>172800</v>
      </c>
      <c r="AG19" s="336">
        <f t="shared" si="42"/>
        <v>198700</v>
      </c>
      <c r="AH19" s="336">
        <f t="shared" si="42"/>
        <v>190000</v>
      </c>
      <c r="AI19" s="336">
        <f t="shared" si="42"/>
        <v>198700</v>
      </c>
      <c r="AJ19" s="336">
        <f t="shared" si="42"/>
        <v>190000</v>
      </c>
      <c r="AK19" s="336">
        <f t="shared" si="42"/>
        <v>198700</v>
      </c>
      <c r="AL19" s="336">
        <f t="shared" si="42"/>
        <v>190000</v>
      </c>
      <c r="AM19" s="336">
        <f t="shared" si="42"/>
        <v>190000</v>
      </c>
      <c r="AN19" s="336">
        <f t="shared" si="42"/>
        <v>198700</v>
      </c>
      <c r="AO19" s="336">
        <f t="shared" si="42"/>
        <v>190000</v>
      </c>
      <c r="AP19" s="337">
        <f t="shared" si="42"/>
        <v>190000</v>
      </c>
      <c r="AQ19" s="592"/>
      <c r="AR19" s="395">
        <f t="shared" ref="AR19:BC19" si="43">ROUNDDOWN((AR9+AR10)*AR4*AR5*AR28,-2)</f>
        <v>190000</v>
      </c>
      <c r="AS19" s="336">
        <f t="shared" si="43"/>
        <v>172800</v>
      </c>
      <c r="AT19" s="336">
        <f t="shared" si="43"/>
        <v>198700</v>
      </c>
      <c r="AU19" s="336">
        <f t="shared" si="43"/>
        <v>190000</v>
      </c>
      <c r="AV19" s="336">
        <f t="shared" si="43"/>
        <v>198700</v>
      </c>
      <c r="AW19" s="336">
        <f t="shared" si="43"/>
        <v>190000</v>
      </c>
      <c r="AX19" s="336">
        <f t="shared" si="43"/>
        <v>198700</v>
      </c>
      <c r="AY19" s="336">
        <f t="shared" si="43"/>
        <v>190000</v>
      </c>
      <c r="AZ19" s="336">
        <f t="shared" si="43"/>
        <v>190000</v>
      </c>
      <c r="BA19" s="336">
        <f t="shared" si="43"/>
        <v>198700</v>
      </c>
      <c r="BB19" s="336">
        <f t="shared" si="43"/>
        <v>190000</v>
      </c>
      <c r="BC19" s="337">
        <f t="shared" si="43"/>
        <v>190000</v>
      </c>
      <c r="BD19" s="592"/>
      <c r="BE19" s="395">
        <f t="shared" ref="BE19:BP19" si="44">ROUNDDOWN((BE9+BE10)*BE4*BE5*BE28,-2)</f>
        <v>190000</v>
      </c>
      <c r="BF19" s="336">
        <f t="shared" si="44"/>
        <v>172800</v>
      </c>
      <c r="BG19" s="336">
        <f t="shared" si="44"/>
        <v>198700</v>
      </c>
      <c r="BH19" s="336">
        <f t="shared" si="44"/>
        <v>190000</v>
      </c>
      <c r="BI19" s="336">
        <f t="shared" si="44"/>
        <v>198700</v>
      </c>
      <c r="BJ19" s="336">
        <f t="shared" si="44"/>
        <v>190000</v>
      </c>
      <c r="BK19" s="336">
        <f t="shared" si="44"/>
        <v>198700</v>
      </c>
      <c r="BL19" s="336">
        <f t="shared" si="44"/>
        <v>190000</v>
      </c>
      <c r="BM19" s="336">
        <f t="shared" si="44"/>
        <v>190000</v>
      </c>
      <c r="BN19" s="336">
        <f t="shared" si="44"/>
        <v>198700</v>
      </c>
      <c r="BO19" s="336">
        <f t="shared" si="44"/>
        <v>190000</v>
      </c>
      <c r="BP19" s="337">
        <f t="shared" si="44"/>
        <v>190000</v>
      </c>
    </row>
    <row r="20" spans="1:68" ht="18" customHeight="1" thickTop="1" thickBot="1">
      <c r="A20" s="638" t="s">
        <v>380</v>
      </c>
      <c r="B20" s="639"/>
      <c r="C20" s="640"/>
      <c r="D20" s="592"/>
      <c r="E20" s="367">
        <f t="shared" ref="E20:P20" si="45">SUM(E14:E19)</f>
        <v>1535900</v>
      </c>
      <c r="F20" s="367">
        <f t="shared" si="45"/>
        <v>1534200</v>
      </c>
      <c r="G20" s="367">
        <f t="shared" si="45"/>
        <v>2180600</v>
      </c>
      <c r="H20" s="367">
        <f t="shared" si="45"/>
        <v>2237600</v>
      </c>
      <c r="I20" s="367">
        <f t="shared" si="45"/>
        <v>2339300</v>
      </c>
      <c r="J20" s="367">
        <f t="shared" si="45"/>
        <v>1934200</v>
      </c>
      <c r="K20" s="367">
        <f t="shared" si="45"/>
        <v>2494952</v>
      </c>
      <c r="L20" s="367">
        <f t="shared" si="45"/>
        <v>2688592</v>
      </c>
      <c r="M20" s="367">
        <f t="shared" si="45"/>
        <v>3177556</v>
      </c>
      <c r="N20" s="367">
        <f t="shared" si="45"/>
        <v>3991680</v>
      </c>
      <c r="O20" s="367">
        <f t="shared" si="45"/>
        <v>4458884</v>
      </c>
      <c r="P20" s="368">
        <f t="shared" si="45"/>
        <v>5099548</v>
      </c>
      <c r="Q20" s="592"/>
      <c r="R20" s="396">
        <f t="shared" ref="R20:AC20" si="46">SUM(R14:R19)</f>
        <v>5679500</v>
      </c>
      <c r="S20" s="367">
        <f t="shared" si="46"/>
        <v>5293250</v>
      </c>
      <c r="T20" s="367">
        <f t="shared" si="46"/>
        <v>6236425</v>
      </c>
      <c r="U20" s="367">
        <f t="shared" si="46"/>
        <v>5965050</v>
      </c>
      <c r="V20" s="367">
        <f t="shared" si="46"/>
        <v>6236425</v>
      </c>
      <c r="W20" s="367">
        <f t="shared" si="46"/>
        <v>5965050</v>
      </c>
      <c r="X20" s="367">
        <f t="shared" si="46"/>
        <v>6236425</v>
      </c>
      <c r="Y20" s="367">
        <f t="shared" si="46"/>
        <v>5965050</v>
      </c>
      <c r="Z20" s="367">
        <f t="shared" si="46"/>
        <v>5965050</v>
      </c>
      <c r="AA20" s="367">
        <f t="shared" si="46"/>
        <v>6236425</v>
      </c>
      <c r="AB20" s="367">
        <f t="shared" si="46"/>
        <v>5965050</v>
      </c>
      <c r="AC20" s="368">
        <f t="shared" si="46"/>
        <v>5965050</v>
      </c>
      <c r="AD20" s="592"/>
      <c r="AE20" s="396">
        <f t="shared" ref="AE20:AP20" si="47">SUM(AE14:AE19)</f>
        <v>5965000</v>
      </c>
      <c r="AF20" s="367">
        <f t="shared" si="47"/>
        <v>5423100</v>
      </c>
      <c r="AG20" s="367">
        <f t="shared" si="47"/>
        <v>6236425</v>
      </c>
      <c r="AH20" s="367">
        <f t="shared" si="47"/>
        <v>5965050</v>
      </c>
      <c r="AI20" s="367">
        <f t="shared" si="47"/>
        <v>6236425</v>
      </c>
      <c r="AJ20" s="367">
        <f t="shared" si="47"/>
        <v>5965050</v>
      </c>
      <c r="AK20" s="367">
        <f t="shared" si="47"/>
        <v>6236425</v>
      </c>
      <c r="AL20" s="367">
        <f t="shared" si="47"/>
        <v>5965050</v>
      </c>
      <c r="AM20" s="367">
        <f t="shared" si="47"/>
        <v>5965050</v>
      </c>
      <c r="AN20" s="367">
        <f t="shared" si="47"/>
        <v>6236425</v>
      </c>
      <c r="AO20" s="367">
        <f t="shared" si="47"/>
        <v>5965050</v>
      </c>
      <c r="AP20" s="368">
        <f t="shared" si="47"/>
        <v>5965050</v>
      </c>
      <c r="AQ20" s="592"/>
      <c r="AR20" s="396">
        <f t="shared" ref="AR20:BC20" si="48">SUM(AR14:AR19)</f>
        <v>5965000</v>
      </c>
      <c r="AS20" s="367">
        <f t="shared" si="48"/>
        <v>5423100</v>
      </c>
      <c r="AT20" s="367">
        <f t="shared" si="48"/>
        <v>6236425</v>
      </c>
      <c r="AU20" s="367">
        <f t="shared" si="48"/>
        <v>5965050</v>
      </c>
      <c r="AV20" s="367">
        <f t="shared" si="48"/>
        <v>6236425</v>
      </c>
      <c r="AW20" s="367">
        <f t="shared" si="48"/>
        <v>5965050</v>
      </c>
      <c r="AX20" s="367">
        <f t="shared" si="48"/>
        <v>6236425</v>
      </c>
      <c r="AY20" s="367">
        <f t="shared" si="48"/>
        <v>5965050</v>
      </c>
      <c r="AZ20" s="367">
        <f t="shared" si="48"/>
        <v>5965050</v>
      </c>
      <c r="BA20" s="367">
        <f t="shared" si="48"/>
        <v>6236425</v>
      </c>
      <c r="BB20" s="367">
        <f t="shared" si="48"/>
        <v>5965050</v>
      </c>
      <c r="BC20" s="368">
        <f t="shared" si="48"/>
        <v>5965050</v>
      </c>
      <c r="BD20" s="592"/>
      <c r="BE20" s="396">
        <f t="shared" ref="BE20:BP20" si="49">SUM(BE14:BE19)</f>
        <v>5965000</v>
      </c>
      <c r="BF20" s="367">
        <f t="shared" si="49"/>
        <v>5423100</v>
      </c>
      <c r="BG20" s="367">
        <f t="shared" si="49"/>
        <v>6236425</v>
      </c>
      <c r="BH20" s="367">
        <f t="shared" si="49"/>
        <v>5965050</v>
      </c>
      <c r="BI20" s="367">
        <f t="shared" si="49"/>
        <v>6236425</v>
      </c>
      <c r="BJ20" s="367">
        <f t="shared" si="49"/>
        <v>5965050</v>
      </c>
      <c r="BK20" s="367">
        <f t="shared" si="49"/>
        <v>6236425</v>
      </c>
      <c r="BL20" s="367">
        <f t="shared" si="49"/>
        <v>5965050</v>
      </c>
      <c r="BM20" s="367">
        <f t="shared" si="49"/>
        <v>5965050</v>
      </c>
      <c r="BN20" s="367">
        <f t="shared" si="49"/>
        <v>6236425</v>
      </c>
      <c r="BO20" s="367">
        <f t="shared" si="49"/>
        <v>5965050</v>
      </c>
      <c r="BP20" s="368">
        <f t="shared" si="49"/>
        <v>5965050</v>
      </c>
    </row>
    <row r="21" spans="1:68" ht="15.75" hidden="1" customHeight="1" thickTop="1">
      <c r="A21" s="641" t="s">
        <v>381</v>
      </c>
      <c r="B21" s="642"/>
      <c r="C21" s="643"/>
      <c r="D21" s="592"/>
      <c r="E21" s="365">
        <f>E20/1000</f>
        <v>1535.9</v>
      </c>
      <c r="F21" s="365">
        <f t="shared" ref="F21:P21" si="50">F20/1000</f>
        <v>1534.2</v>
      </c>
      <c r="G21" s="365">
        <f t="shared" si="50"/>
        <v>2180.6</v>
      </c>
      <c r="H21" s="365">
        <f t="shared" si="50"/>
        <v>2237.6</v>
      </c>
      <c r="I21" s="365">
        <f t="shared" si="50"/>
        <v>2339.3000000000002</v>
      </c>
      <c r="J21" s="365">
        <f t="shared" si="50"/>
        <v>1934.2</v>
      </c>
      <c r="K21" s="365">
        <f t="shared" si="50"/>
        <v>2494.9520000000002</v>
      </c>
      <c r="L21" s="365">
        <f t="shared" si="50"/>
        <v>2688.5920000000001</v>
      </c>
      <c r="M21" s="365">
        <f t="shared" si="50"/>
        <v>3177.556</v>
      </c>
      <c r="N21" s="365">
        <f t="shared" si="50"/>
        <v>3991.68</v>
      </c>
      <c r="O21" s="365">
        <f t="shared" si="50"/>
        <v>4458.884</v>
      </c>
      <c r="P21" s="366">
        <f t="shared" si="50"/>
        <v>5099.5479999999998</v>
      </c>
      <c r="Q21" s="592"/>
      <c r="R21" s="397">
        <f>R20/1000</f>
        <v>5679.5</v>
      </c>
      <c r="S21" s="365">
        <f t="shared" ref="S21:AC21" si="51">S20/1000</f>
        <v>5293.25</v>
      </c>
      <c r="T21" s="365">
        <f t="shared" si="51"/>
        <v>6236.4250000000002</v>
      </c>
      <c r="U21" s="365">
        <f t="shared" si="51"/>
        <v>5965.05</v>
      </c>
      <c r="V21" s="365">
        <f t="shared" si="51"/>
        <v>6236.4250000000002</v>
      </c>
      <c r="W21" s="365">
        <f t="shared" si="51"/>
        <v>5965.05</v>
      </c>
      <c r="X21" s="365">
        <f t="shared" si="51"/>
        <v>6236.4250000000002</v>
      </c>
      <c r="Y21" s="365">
        <f t="shared" si="51"/>
        <v>5965.05</v>
      </c>
      <c r="Z21" s="365">
        <f t="shared" si="51"/>
        <v>5965.05</v>
      </c>
      <c r="AA21" s="365">
        <f t="shared" si="51"/>
        <v>6236.4250000000002</v>
      </c>
      <c r="AB21" s="365">
        <f t="shared" si="51"/>
        <v>5965.05</v>
      </c>
      <c r="AC21" s="366">
        <f t="shared" si="51"/>
        <v>5965.05</v>
      </c>
      <c r="AD21" s="592"/>
      <c r="AE21" s="397">
        <f>AE20/1000</f>
        <v>5965</v>
      </c>
      <c r="AF21" s="365">
        <f t="shared" ref="AF21:AP21" si="52">AF20/1000</f>
        <v>5423.1</v>
      </c>
      <c r="AG21" s="365">
        <f t="shared" si="52"/>
        <v>6236.4250000000002</v>
      </c>
      <c r="AH21" s="365">
        <f t="shared" si="52"/>
        <v>5965.05</v>
      </c>
      <c r="AI21" s="365">
        <f t="shared" si="52"/>
        <v>6236.4250000000002</v>
      </c>
      <c r="AJ21" s="365">
        <f t="shared" si="52"/>
        <v>5965.05</v>
      </c>
      <c r="AK21" s="365">
        <f t="shared" si="52"/>
        <v>6236.4250000000002</v>
      </c>
      <c r="AL21" s="365">
        <f t="shared" si="52"/>
        <v>5965.05</v>
      </c>
      <c r="AM21" s="365">
        <f t="shared" si="52"/>
        <v>5965.05</v>
      </c>
      <c r="AN21" s="365">
        <f t="shared" si="52"/>
        <v>6236.4250000000002</v>
      </c>
      <c r="AO21" s="365">
        <f t="shared" si="52"/>
        <v>5965.05</v>
      </c>
      <c r="AP21" s="366">
        <f t="shared" si="52"/>
        <v>5965.05</v>
      </c>
      <c r="AQ21" s="592"/>
      <c r="AR21" s="397">
        <f>AR20/1000</f>
        <v>5965</v>
      </c>
      <c r="AS21" s="365">
        <f t="shared" ref="AS21:BC21" si="53">AS20/1000</f>
        <v>5423.1</v>
      </c>
      <c r="AT21" s="365">
        <f t="shared" si="53"/>
        <v>6236.4250000000002</v>
      </c>
      <c r="AU21" s="365">
        <f t="shared" si="53"/>
        <v>5965.05</v>
      </c>
      <c r="AV21" s="365">
        <f t="shared" si="53"/>
        <v>6236.4250000000002</v>
      </c>
      <c r="AW21" s="365">
        <f t="shared" si="53"/>
        <v>5965.05</v>
      </c>
      <c r="AX21" s="365">
        <f t="shared" si="53"/>
        <v>6236.4250000000002</v>
      </c>
      <c r="AY21" s="365">
        <f t="shared" si="53"/>
        <v>5965.05</v>
      </c>
      <c r="AZ21" s="365">
        <f t="shared" si="53"/>
        <v>5965.05</v>
      </c>
      <c r="BA21" s="365">
        <f t="shared" si="53"/>
        <v>6236.4250000000002</v>
      </c>
      <c r="BB21" s="365">
        <f t="shared" si="53"/>
        <v>5965.05</v>
      </c>
      <c r="BC21" s="366">
        <f t="shared" si="53"/>
        <v>5965.05</v>
      </c>
      <c r="BD21" s="592"/>
      <c r="BE21" s="397">
        <f>BE20/1000</f>
        <v>5965</v>
      </c>
      <c r="BF21" s="365">
        <f t="shared" ref="BF21:BP21" si="54">BF20/1000</f>
        <v>5423.1</v>
      </c>
      <c r="BG21" s="365">
        <f t="shared" si="54"/>
        <v>6236.4250000000002</v>
      </c>
      <c r="BH21" s="365">
        <f t="shared" si="54"/>
        <v>5965.05</v>
      </c>
      <c r="BI21" s="365">
        <f t="shared" si="54"/>
        <v>6236.4250000000002</v>
      </c>
      <c r="BJ21" s="365">
        <f t="shared" si="54"/>
        <v>5965.05</v>
      </c>
      <c r="BK21" s="365">
        <f t="shared" si="54"/>
        <v>6236.4250000000002</v>
      </c>
      <c r="BL21" s="365">
        <f t="shared" si="54"/>
        <v>5965.05</v>
      </c>
      <c r="BM21" s="365">
        <f t="shared" si="54"/>
        <v>5965.05</v>
      </c>
      <c r="BN21" s="365">
        <f t="shared" si="54"/>
        <v>6236.4250000000002</v>
      </c>
      <c r="BO21" s="365">
        <f t="shared" si="54"/>
        <v>5965.05</v>
      </c>
      <c r="BP21" s="366">
        <f t="shared" si="54"/>
        <v>5965.05</v>
      </c>
    </row>
    <row r="22" spans="1:68" ht="3.75" customHeight="1" thickTop="1">
      <c r="A22" s="611"/>
      <c r="B22" s="612"/>
      <c r="C22" s="613"/>
      <c r="D22" s="592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6"/>
      <c r="Q22" s="592"/>
      <c r="R22" s="327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6"/>
      <c r="AD22" s="592"/>
      <c r="AE22" s="327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6"/>
      <c r="AQ22" s="592"/>
      <c r="AR22" s="327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6"/>
      <c r="BD22" s="592"/>
      <c r="BE22" s="327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  <c r="BP22" s="296"/>
    </row>
    <row r="23" spans="1:68" s="339" customFormat="1" ht="15.75" customHeight="1">
      <c r="A23" s="629" t="s">
        <v>460</v>
      </c>
      <c r="B23" s="630"/>
      <c r="C23" s="631"/>
      <c r="D23" s="592"/>
      <c r="E23" s="340">
        <v>5890</v>
      </c>
      <c r="F23" s="340">
        <v>5890</v>
      </c>
      <c r="G23" s="340">
        <v>5890</v>
      </c>
      <c r="H23" s="340">
        <v>5890</v>
      </c>
      <c r="I23" s="340">
        <v>5890</v>
      </c>
      <c r="J23" s="340">
        <v>5890</v>
      </c>
      <c r="K23" s="340">
        <v>5890</v>
      </c>
      <c r="L23" s="340">
        <v>5890</v>
      </c>
      <c r="M23" s="340">
        <v>5890</v>
      </c>
      <c r="N23" s="340">
        <v>5890</v>
      </c>
      <c r="O23" s="340">
        <v>5890</v>
      </c>
      <c r="P23" s="341">
        <v>5890</v>
      </c>
      <c r="Q23" s="592"/>
      <c r="R23" s="343">
        <v>5890</v>
      </c>
      <c r="S23" s="340">
        <v>5890</v>
      </c>
      <c r="T23" s="340">
        <v>5890</v>
      </c>
      <c r="U23" s="340">
        <v>5890</v>
      </c>
      <c r="V23" s="340">
        <v>5890</v>
      </c>
      <c r="W23" s="340">
        <v>5890</v>
      </c>
      <c r="X23" s="340">
        <v>5890</v>
      </c>
      <c r="Y23" s="340">
        <v>5890</v>
      </c>
      <c r="Z23" s="340">
        <v>5890</v>
      </c>
      <c r="AA23" s="340">
        <v>5890</v>
      </c>
      <c r="AB23" s="340">
        <v>5890</v>
      </c>
      <c r="AC23" s="341">
        <v>5890</v>
      </c>
      <c r="AD23" s="592"/>
      <c r="AE23" s="343">
        <v>5890</v>
      </c>
      <c r="AF23" s="340">
        <v>5890</v>
      </c>
      <c r="AG23" s="340">
        <v>5890</v>
      </c>
      <c r="AH23" s="340">
        <v>5890</v>
      </c>
      <c r="AI23" s="340">
        <v>5890</v>
      </c>
      <c r="AJ23" s="340">
        <v>5890</v>
      </c>
      <c r="AK23" s="340">
        <v>5890</v>
      </c>
      <c r="AL23" s="340">
        <v>5890</v>
      </c>
      <c r="AM23" s="340">
        <v>5890</v>
      </c>
      <c r="AN23" s="340">
        <v>5890</v>
      </c>
      <c r="AO23" s="340">
        <v>5890</v>
      </c>
      <c r="AP23" s="341">
        <v>5890</v>
      </c>
      <c r="AQ23" s="592"/>
      <c r="AR23" s="343">
        <v>5890</v>
      </c>
      <c r="AS23" s="340">
        <v>5890</v>
      </c>
      <c r="AT23" s="340">
        <v>5890</v>
      </c>
      <c r="AU23" s="340">
        <v>5890</v>
      </c>
      <c r="AV23" s="340">
        <v>5890</v>
      </c>
      <c r="AW23" s="340">
        <v>5890</v>
      </c>
      <c r="AX23" s="340">
        <v>5890</v>
      </c>
      <c r="AY23" s="340">
        <v>5890</v>
      </c>
      <c r="AZ23" s="340">
        <v>5890</v>
      </c>
      <c r="BA23" s="340">
        <v>5890</v>
      </c>
      <c r="BB23" s="340">
        <v>5890</v>
      </c>
      <c r="BC23" s="341">
        <v>5890</v>
      </c>
      <c r="BD23" s="592"/>
      <c r="BE23" s="343">
        <v>5890</v>
      </c>
      <c r="BF23" s="340">
        <v>5890</v>
      </c>
      <c r="BG23" s="340">
        <v>5890</v>
      </c>
      <c r="BH23" s="340">
        <v>5890</v>
      </c>
      <c r="BI23" s="340">
        <v>5890</v>
      </c>
      <c r="BJ23" s="340">
        <v>5890</v>
      </c>
      <c r="BK23" s="340">
        <v>5890</v>
      </c>
      <c r="BL23" s="340">
        <v>5890</v>
      </c>
      <c r="BM23" s="340">
        <v>5890</v>
      </c>
      <c r="BN23" s="340">
        <v>5890</v>
      </c>
      <c r="BO23" s="340">
        <v>5890</v>
      </c>
      <c r="BP23" s="341">
        <v>5890</v>
      </c>
    </row>
    <row r="24" spans="1:68" s="339" customFormat="1" ht="15.75" customHeight="1">
      <c r="A24" s="629" t="s">
        <v>461</v>
      </c>
      <c r="B24" s="630"/>
      <c r="C24" s="631"/>
      <c r="D24" s="592"/>
      <c r="E24" s="340">
        <v>6890</v>
      </c>
      <c r="F24" s="340">
        <v>6890</v>
      </c>
      <c r="G24" s="340">
        <v>6890</v>
      </c>
      <c r="H24" s="340">
        <v>6890</v>
      </c>
      <c r="I24" s="340">
        <v>6890</v>
      </c>
      <c r="J24" s="340">
        <v>6890</v>
      </c>
      <c r="K24" s="340">
        <v>6890</v>
      </c>
      <c r="L24" s="340">
        <v>6890</v>
      </c>
      <c r="M24" s="340">
        <v>6890</v>
      </c>
      <c r="N24" s="340">
        <v>6890</v>
      </c>
      <c r="O24" s="340">
        <v>6890</v>
      </c>
      <c r="P24" s="341">
        <v>6890</v>
      </c>
      <c r="Q24" s="592"/>
      <c r="R24" s="343">
        <v>6890</v>
      </c>
      <c r="S24" s="340">
        <v>6890</v>
      </c>
      <c r="T24" s="340">
        <v>6890</v>
      </c>
      <c r="U24" s="340">
        <v>6890</v>
      </c>
      <c r="V24" s="340">
        <v>6890</v>
      </c>
      <c r="W24" s="340">
        <v>6890</v>
      </c>
      <c r="X24" s="340">
        <v>6890</v>
      </c>
      <c r="Y24" s="340">
        <v>6890</v>
      </c>
      <c r="Z24" s="340">
        <v>6890</v>
      </c>
      <c r="AA24" s="340">
        <v>6890</v>
      </c>
      <c r="AB24" s="340">
        <v>6890</v>
      </c>
      <c r="AC24" s="341">
        <v>6890</v>
      </c>
      <c r="AD24" s="592"/>
      <c r="AE24" s="343">
        <v>6890</v>
      </c>
      <c r="AF24" s="340">
        <v>6890</v>
      </c>
      <c r="AG24" s="340">
        <v>6890</v>
      </c>
      <c r="AH24" s="340">
        <v>6890</v>
      </c>
      <c r="AI24" s="340">
        <v>6890</v>
      </c>
      <c r="AJ24" s="340">
        <v>6890</v>
      </c>
      <c r="AK24" s="340">
        <v>6890</v>
      </c>
      <c r="AL24" s="340">
        <v>6890</v>
      </c>
      <c r="AM24" s="340">
        <v>6890</v>
      </c>
      <c r="AN24" s="340">
        <v>6890</v>
      </c>
      <c r="AO24" s="340">
        <v>6890</v>
      </c>
      <c r="AP24" s="341">
        <v>6890</v>
      </c>
      <c r="AQ24" s="592"/>
      <c r="AR24" s="343">
        <v>6890</v>
      </c>
      <c r="AS24" s="340">
        <v>6890</v>
      </c>
      <c r="AT24" s="340">
        <v>6890</v>
      </c>
      <c r="AU24" s="340">
        <v>6890</v>
      </c>
      <c r="AV24" s="340">
        <v>6890</v>
      </c>
      <c r="AW24" s="340">
        <v>6890</v>
      </c>
      <c r="AX24" s="340">
        <v>6890</v>
      </c>
      <c r="AY24" s="340">
        <v>6890</v>
      </c>
      <c r="AZ24" s="340">
        <v>6890</v>
      </c>
      <c r="BA24" s="340">
        <v>6890</v>
      </c>
      <c r="BB24" s="340">
        <v>6890</v>
      </c>
      <c r="BC24" s="341">
        <v>6890</v>
      </c>
      <c r="BD24" s="592"/>
      <c r="BE24" s="343">
        <v>6890</v>
      </c>
      <c r="BF24" s="340">
        <v>6890</v>
      </c>
      <c r="BG24" s="340">
        <v>6890</v>
      </c>
      <c r="BH24" s="340">
        <v>6890</v>
      </c>
      <c r="BI24" s="340">
        <v>6890</v>
      </c>
      <c r="BJ24" s="340">
        <v>6890</v>
      </c>
      <c r="BK24" s="340">
        <v>6890</v>
      </c>
      <c r="BL24" s="340">
        <v>6890</v>
      </c>
      <c r="BM24" s="340">
        <v>6890</v>
      </c>
      <c r="BN24" s="340">
        <v>6890</v>
      </c>
      <c r="BO24" s="340">
        <v>6890</v>
      </c>
      <c r="BP24" s="341">
        <v>6890</v>
      </c>
    </row>
    <row r="25" spans="1:68" s="339" customFormat="1" ht="15.75" customHeight="1">
      <c r="A25" s="629" t="s">
        <v>462</v>
      </c>
      <c r="B25" s="630"/>
      <c r="C25" s="631"/>
      <c r="D25" s="592"/>
      <c r="E25" s="340">
        <v>8080</v>
      </c>
      <c r="F25" s="340">
        <v>8080</v>
      </c>
      <c r="G25" s="340">
        <v>8080</v>
      </c>
      <c r="H25" s="340">
        <v>8080</v>
      </c>
      <c r="I25" s="340">
        <v>8080</v>
      </c>
      <c r="J25" s="340">
        <v>8080</v>
      </c>
      <c r="K25" s="340">
        <v>8080</v>
      </c>
      <c r="L25" s="340">
        <v>8080</v>
      </c>
      <c r="M25" s="340">
        <v>8080</v>
      </c>
      <c r="N25" s="340">
        <v>8080</v>
      </c>
      <c r="O25" s="340">
        <v>8080</v>
      </c>
      <c r="P25" s="341">
        <v>8080</v>
      </c>
      <c r="Q25" s="592"/>
      <c r="R25" s="343">
        <v>8080</v>
      </c>
      <c r="S25" s="340">
        <v>8080</v>
      </c>
      <c r="T25" s="340">
        <v>8080</v>
      </c>
      <c r="U25" s="340">
        <v>8080</v>
      </c>
      <c r="V25" s="340">
        <v>8080</v>
      </c>
      <c r="W25" s="340">
        <v>8080</v>
      </c>
      <c r="X25" s="340">
        <v>8080</v>
      </c>
      <c r="Y25" s="340">
        <v>8080</v>
      </c>
      <c r="Z25" s="340">
        <v>8080</v>
      </c>
      <c r="AA25" s="340">
        <v>8080</v>
      </c>
      <c r="AB25" s="340">
        <v>8080</v>
      </c>
      <c r="AC25" s="341">
        <v>8080</v>
      </c>
      <c r="AD25" s="592"/>
      <c r="AE25" s="343">
        <v>8080</v>
      </c>
      <c r="AF25" s="340">
        <v>8080</v>
      </c>
      <c r="AG25" s="340">
        <v>8080</v>
      </c>
      <c r="AH25" s="340">
        <v>8080</v>
      </c>
      <c r="AI25" s="340">
        <v>8080</v>
      </c>
      <c r="AJ25" s="340">
        <v>8080</v>
      </c>
      <c r="AK25" s="340">
        <v>8080</v>
      </c>
      <c r="AL25" s="340">
        <v>8080</v>
      </c>
      <c r="AM25" s="340">
        <v>8080</v>
      </c>
      <c r="AN25" s="340">
        <v>8080</v>
      </c>
      <c r="AO25" s="340">
        <v>8080</v>
      </c>
      <c r="AP25" s="341">
        <v>8080</v>
      </c>
      <c r="AQ25" s="592"/>
      <c r="AR25" s="343">
        <v>8080</v>
      </c>
      <c r="AS25" s="340">
        <v>8080</v>
      </c>
      <c r="AT25" s="340">
        <v>8080</v>
      </c>
      <c r="AU25" s="340">
        <v>8080</v>
      </c>
      <c r="AV25" s="340">
        <v>8080</v>
      </c>
      <c r="AW25" s="340">
        <v>8080</v>
      </c>
      <c r="AX25" s="340">
        <v>8080</v>
      </c>
      <c r="AY25" s="340">
        <v>8080</v>
      </c>
      <c r="AZ25" s="340">
        <v>8080</v>
      </c>
      <c r="BA25" s="340">
        <v>8080</v>
      </c>
      <c r="BB25" s="340">
        <v>8080</v>
      </c>
      <c r="BC25" s="341">
        <v>8080</v>
      </c>
      <c r="BD25" s="592"/>
      <c r="BE25" s="343">
        <v>8080</v>
      </c>
      <c r="BF25" s="340">
        <v>8080</v>
      </c>
      <c r="BG25" s="340">
        <v>8080</v>
      </c>
      <c r="BH25" s="340">
        <v>8080</v>
      </c>
      <c r="BI25" s="340">
        <v>8080</v>
      </c>
      <c r="BJ25" s="340">
        <v>8080</v>
      </c>
      <c r="BK25" s="340">
        <v>8080</v>
      </c>
      <c r="BL25" s="340">
        <v>8080</v>
      </c>
      <c r="BM25" s="340">
        <v>8080</v>
      </c>
      <c r="BN25" s="340">
        <v>8080</v>
      </c>
      <c r="BO25" s="340">
        <v>8080</v>
      </c>
      <c r="BP25" s="341">
        <v>8080</v>
      </c>
    </row>
    <row r="26" spans="1:68" s="339" customFormat="1" ht="15.75" customHeight="1">
      <c r="A26" s="629" t="s">
        <v>463</v>
      </c>
      <c r="B26" s="630"/>
      <c r="C26" s="631"/>
      <c r="D26" s="592"/>
      <c r="E26" s="340">
        <v>9080</v>
      </c>
      <c r="F26" s="340">
        <v>9080</v>
      </c>
      <c r="G26" s="340">
        <v>9080</v>
      </c>
      <c r="H26" s="340">
        <v>9080</v>
      </c>
      <c r="I26" s="340">
        <v>9080</v>
      </c>
      <c r="J26" s="340">
        <v>9080</v>
      </c>
      <c r="K26" s="340">
        <v>9080</v>
      </c>
      <c r="L26" s="340">
        <v>9080</v>
      </c>
      <c r="M26" s="340">
        <v>9080</v>
      </c>
      <c r="N26" s="340">
        <v>9080</v>
      </c>
      <c r="O26" s="340">
        <v>9080</v>
      </c>
      <c r="P26" s="341">
        <v>9080</v>
      </c>
      <c r="Q26" s="592"/>
      <c r="R26" s="343">
        <v>9080</v>
      </c>
      <c r="S26" s="340">
        <v>9080</v>
      </c>
      <c r="T26" s="340">
        <v>9080</v>
      </c>
      <c r="U26" s="340">
        <v>9080</v>
      </c>
      <c r="V26" s="340">
        <v>9080</v>
      </c>
      <c r="W26" s="340">
        <v>9080</v>
      </c>
      <c r="X26" s="340">
        <v>9080</v>
      </c>
      <c r="Y26" s="340">
        <v>9080</v>
      </c>
      <c r="Z26" s="340">
        <v>9080</v>
      </c>
      <c r="AA26" s="340">
        <v>9080</v>
      </c>
      <c r="AB26" s="340">
        <v>9080</v>
      </c>
      <c r="AC26" s="341">
        <v>9080</v>
      </c>
      <c r="AD26" s="592"/>
      <c r="AE26" s="343">
        <v>9080</v>
      </c>
      <c r="AF26" s="340">
        <v>9080</v>
      </c>
      <c r="AG26" s="340">
        <v>9080</v>
      </c>
      <c r="AH26" s="340">
        <v>9080</v>
      </c>
      <c r="AI26" s="340">
        <v>9080</v>
      </c>
      <c r="AJ26" s="340">
        <v>9080</v>
      </c>
      <c r="AK26" s="340">
        <v>9080</v>
      </c>
      <c r="AL26" s="340">
        <v>9080</v>
      </c>
      <c r="AM26" s="340">
        <v>9080</v>
      </c>
      <c r="AN26" s="340">
        <v>9080</v>
      </c>
      <c r="AO26" s="340">
        <v>9080</v>
      </c>
      <c r="AP26" s="341">
        <v>9080</v>
      </c>
      <c r="AQ26" s="592"/>
      <c r="AR26" s="343">
        <v>9080</v>
      </c>
      <c r="AS26" s="340">
        <v>9080</v>
      </c>
      <c r="AT26" s="340">
        <v>9080</v>
      </c>
      <c r="AU26" s="340">
        <v>9080</v>
      </c>
      <c r="AV26" s="340">
        <v>9080</v>
      </c>
      <c r="AW26" s="340">
        <v>9080</v>
      </c>
      <c r="AX26" s="340">
        <v>9080</v>
      </c>
      <c r="AY26" s="340">
        <v>9080</v>
      </c>
      <c r="AZ26" s="340">
        <v>9080</v>
      </c>
      <c r="BA26" s="340">
        <v>9080</v>
      </c>
      <c r="BB26" s="340">
        <v>9080</v>
      </c>
      <c r="BC26" s="341">
        <v>9080</v>
      </c>
      <c r="BD26" s="592"/>
      <c r="BE26" s="343">
        <v>9080</v>
      </c>
      <c r="BF26" s="340">
        <v>9080</v>
      </c>
      <c r="BG26" s="340">
        <v>9080</v>
      </c>
      <c r="BH26" s="340">
        <v>9080</v>
      </c>
      <c r="BI26" s="340">
        <v>9080</v>
      </c>
      <c r="BJ26" s="340">
        <v>9080</v>
      </c>
      <c r="BK26" s="340">
        <v>9080</v>
      </c>
      <c r="BL26" s="340">
        <v>9080</v>
      </c>
      <c r="BM26" s="340">
        <v>9080</v>
      </c>
      <c r="BN26" s="340">
        <v>9080</v>
      </c>
      <c r="BO26" s="340">
        <v>9080</v>
      </c>
      <c r="BP26" s="341">
        <v>9080</v>
      </c>
    </row>
    <row r="27" spans="1:68" s="339" customFormat="1" ht="15.75" customHeight="1">
      <c r="A27" s="632" t="s">
        <v>368</v>
      </c>
      <c r="B27" s="633"/>
      <c r="C27" s="634"/>
      <c r="D27" s="592"/>
      <c r="E27" s="340">
        <v>890</v>
      </c>
      <c r="F27" s="340">
        <v>890</v>
      </c>
      <c r="G27" s="340">
        <v>890</v>
      </c>
      <c r="H27" s="340">
        <v>890</v>
      </c>
      <c r="I27" s="340">
        <v>890</v>
      </c>
      <c r="J27" s="340">
        <v>890</v>
      </c>
      <c r="K27" s="340">
        <v>890</v>
      </c>
      <c r="L27" s="340">
        <v>890</v>
      </c>
      <c r="M27" s="340">
        <v>890</v>
      </c>
      <c r="N27" s="340">
        <v>890</v>
      </c>
      <c r="O27" s="340">
        <v>890</v>
      </c>
      <c r="P27" s="341">
        <v>890</v>
      </c>
      <c r="Q27" s="592"/>
      <c r="R27" s="343">
        <v>890</v>
      </c>
      <c r="S27" s="340">
        <v>890</v>
      </c>
      <c r="T27" s="340">
        <v>890</v>
      </c>
      <c r="U27" s="340">
        <v>890</v>
      </c>
      <c r="V27" s="340">
        <v>890</v>
      </c>
      <c r="W27" s="340">
        <v>890</v>
      </c>
      <c r="X27" s="340">
        <v>890</v>
      </c>
      <c r="Y27" s="340">
        <v>890</v>
      </c>
      <c r="Z27" s="340">
        <v>890</v>
      </c>
      <c r="AA27" s="340">
        <v>890</v>
      </c>
      <c r="AB27" s="340">
        <v>890</v>
      </c>
      <c r="AC27" s="341">
        <v>890</v>
      </c>
      <c r="AD27" s="592"/>
      <c r="AE27" s="343">
        <v>890</v>
      </c>
      <c r="AF27" s="340">
        <v>890</v>
      </c>
      <c r="AG27" s="340">
        <v>890</v>
      </c>
      <c r="AH27" s="340">
        <v>890</v>
      </c>
      <c r="AI27" s="340">
        <v>890</v>
      </c>
      <c r="AJ27" s="340">
        <v>890</v>
      </c>
      <c r="AK27" s="340">
        <v>890</v>
      </c>
      <c r="AL27" s="340">
        <v>890</v>
      </c>
      <c r="AM27" s="340">
        <v>890</v>
      </c>
      <c r="AN27" s="340">
        <v>890</v>
      </c>
      <c r="AO27" s="340">
        <v>890</v>
      </c>
      <c r="AP27" s="341">
        <v>890</v>
      </c>
      <c r="AQ27" s="592"/>
      <c r="AR27" s="343">
        <v>890</v>
      </c>
      <c r="AS27" s="340">
        <v>890</v>
      </c>
      <c r="AT27" s="340">
        <v>890</v>
      </c>
      <c r="AU27" s="340">
        <v>890</v>
      </c>
      <c r="AV27" s="340">
        <v>890</v>
      </c>
      <c r="AW27" s="340">
        <v>890</v>
      </c>
      <c r="AX27" s="340">
        <v>890</v>
      </c>
      <c r="AY27" s="340">
        <v>890</v>
      </c>
      <c r="AZ27" s="340">
        <v>890</v>
      </c>
      <c r="BA27" s="340">
        <v>890</v>
      </c>
      <c r="BB27" s="340">
        <v>890</v>
      </c>
      <c r="BC27" s="341">
        <v>890</v>
      </c>
      <c r="BD27" s="592"/>
      <c r="BE27" s="343">
        <v>890</v>
      </c>
      <c r="BF27" s="340">
        <v>890</v>
      </c>
      <c r="BG27" s="340">
        <v>890</v>
      </c>
      <c r="BH27" s="340">
        <v>890</v>
      </c>
      <c r="BI27" s="340">
        <v>890</v>
      </c>
      <c r="BJ27" s="340">
        <v>890</v>
      </c>
      <c r="BK27" s="340">
        <v>890</v>
      </c>
      <c r="BL27" s="340">
        <v>890</v>
      </c>
      <c r="BM27" s="340">
        <v>890</v>
      </c>
      <c r="BN27" s="340">
        <v>890</v>
      </c>
      <c r="BO27" s="340">
        <v>890</v>
      </c>
      <c r="BP27" s="341">
        <v>890</v>
      </c>
    </row>
    <row r="28" spans="1:68" s="339" customFormat="1" ht="15.75" customHeight="1">
      <c r="A28" s="629" t="s">
        <v>388</v>
      </c>
      <c r="B28" s="630"/>
      <c r="C28" s="631"/>
      <c r="D28" s="592"/>
      <c r="E28" s="340">
        <v>540</v>
      </c>
      <c r="F28" s="340">
        <v>540</v>
      </c>
      <c r="G28" s="340">
        <v>540</v>
      </c>
      <c r="H28" s="340">
        <v>540</v>
      </c>
      <c r="I28" s="340">
        <v>540</v>
      </c>
      <c r="J28" s="340">
        <v>540</v>
      </c>
      <c r="K28" s="340">
        <v>540</v>
      </c>
      <c r="L28" s="340">
        <v>540</v>
      </c>
      <c r="M28" s="340">
        <v>540</v>
      </c>
      <c r="N28" s="340">
        <v>540</v>
      </c>
      <c r="O28" s="340">
        <v>540</v>
      </c>
      <c r="P28" s="341">
        <v>540</v>
      </c>
      <c r="Q28" s="592"/>
      <c r="R28" s="343">
        <v>540</v>
      </c>
      <c r="S28" s="340">
        <v>540</v>
      </c>
      <c r="T28" s="340">
        <v>540</v>
      </c>
      <c r="U28" s="340">
        <v>540</v>
      </c>
      <c r="V28" s="340">
        <v>540</v>
      </c>
      <c r="W28" s="340">
        <v>540</v>
      </c>
      <c r="X28" s="340">
        <v>540</v>
      </c>
      <c r="Y28" s="340">
        <v>540</v>
      </c>
      <c r="Z28" s="340">
        <v>540</v>
      </c>
      <c r="AA28" s="340">
        <v>540</v>
      </c>
      <c r="AB28" s="340">
        <v>540</v>
      </c>
      <c r="AC28" s="341">
        <v>540</v>
      </c>
      <c r="AD28" s="592"/>
      <c r="AE28" s="343">
        <v>540</v>
      </c>
      <c r="AF28" s="340">
        <v>540</v>
      </c>
      <c r="AG28" s="340">
        <v>540</v>
      </c>
      <c r="AH28" s="340">
        <v>540</v>
      </c>
      <c r="AI28" s="340">
        <v>540</v>
      </c>
      <c r="AJ28" s="340">
        <v>540</v>
      </c>
      <c r="AK28" s="340">
        <v>540</v>
      </c>
      <c r="AL28" s="340">
        <v>540</v>
      </c>
      <c r="AM28" s="340">
        <v>540</v>
      </c>
      <c r="AN28" s="340">
        <v>540</v>
      </c>
      <c r="AO28" s="340">
        <v>540</v>
      </c>
      <c r="AP28" s="341">
        <v>540</v>
      </c>
      <c r="AQ28" s="592"/>
      <c r="AR28" s="343">
        <v>540</v>
      </c>
      <c r="AS28" s="340">
        <v>540</v>
      </c>
      <c r="AT28" s="340">
        <v>540</v>
      </c>
      <c r="AU28" s="340">
        <v>540</v>
      </c>
      <c r="AV28" s="340">
        <v>540</v>
      </c>
      <c r="AW28" s="340">
        <v>540</v>
      </c>
      <c r="AX28" s="340">
        <v>540</v>
      </c>
      <c r="AY28" s="340">
        <v>540</v>
      </c>
      <c r="AZ28" s="340">
        <v>540</v>
      </c>
      <c r="BA28" s="340">
        <v>540</v>
      </c>
      <c r="BB28" s="340">
        <v>540</v>
      </c>
      <c r="BC28" s="341">
        <v>540</v>
      </c>
      <c r="BD28" s="592"/>
      <c r="BE28" s="343">
        <v>540</v>
      </c>
      <c r="BF28" s="340">
        <v>540</v>
      </c>
      <c r="BG28" s="340">
        <v>540</v>
      </c>
      <c r="BH28" s="340">
        <v>540</v>
      </c>
      <c r="BI28" s="340">
        <v>540</v>
      </c>
      <c r="BJ28" s="340">
        <v>540</v>
      </c>
      <c r="BK28" s="340">
        <v>540</v>
      </c>
      <c r="BL28" s="340">
        <v>540</v>
      </c>
      <c r="BM28" s="340">
        <v>540</v>
      </c>
      <c r="BN28" s="340">
        <v>540</v>
      </c>
      <c r="BO28" s="340">
        <v>540</v>
      </c>
      <c r="BP28" s="341">
        <v>540</v>
      </c>
    </row>
    <row r="29" spans="1:68" ht="15.75" customHeight="1">
      <c r="A29" s="659" t="s">
        <v>356</v>
      </c>
      <c r="B29" s="660"/>
      <c r="C29" s="661"/>
      <c r="D29" s="592"/>
      <c r="E29" s="287">
        <v>0.8</v>
      </c>
      <c r="F29" s="287">
        <v>0.8</v>
      </c>
      <c r="G29" s="287">
        <v>0.8</v>
      </c>
      <c r="H29" s="287">
        <v>0.8</v>
      </c>
      <c r="I29" s="287">
        <v>0.8</v>
      </c>
      <c r="J29" s="287">
        <v>0.8</v>
      </c>
      <c r="K29" s="287">
        <v>0.8</v>
      </c>
      <c r="L29" s="287">
        <v>0.8</v>
      </c>
      <c r="M29" s="287">
        <v>0.8</v>
      </c>
      <c r="N29" s="287">
        <v>0.8</v>
      </c>
      <c r="O29" s="287">
        <v>0.8</v>
      </c>
      <c r="P29" s="288">
        <v>0.8</v>
      </c>
      <c r="Q29" s="592"/>
      <c r="R29" s="298">
        <v>0.75</v>
      </c>
      <c r="S29" s="299">
        <v>0.75</v>
      </c>
      <c r="T29" s="299">
        <v>0.75</v>
      </c>
      <c r="U29" s="299">
        <v>0.75</v>
      </c>
      <c r="V29" s="299">
        <v>0.75</v>
      </c>
      <c r="W29" s="299">
        <v>0.75</v>
      </c>
      <c r="X29" s="299">
        <v>0.75</v>
      </c>
      <c r="Y29" s="299">
        <v>0.75</v>
      </c>
      <c r="Z29" s="299">
        <v>0.75</v>
      </c>
      <c r="AA29" s="299">
        <v>0.75</v>
      </c>
      <c r="AB29" s="299">
        <v>0.75</v>
      </c>
      <c r="AC29" s="300">
        <v>0.75</v>
      </c>
      <c r="AD29" s="592"/>
      <c r="AE29" s="298">
        <v>0.75</v>
      </c>
      <c r="AF29" s="299">
        <v>0.75</v>
      </c>
      <c r="AG29" s="299">
        <v>0.75</v>
      </c>
      <c r="AH29" s="299">
        <v>0.75</v>
      </c>
      <c r="AI29" s="299">
        <v>0.75</v>
      </c>
      <c r="AJ29" s="299">
        <v>0.75</v>
      </c>
      <c r="AK29" s="299">
        <v>0.75</v>
      </c>
      <c r="AL29" s="299">
        <v>0.75</v>
      </c>
      <c r="AM29" s="299">
        <v>0.75</v>
      </c>
      <c r="AN29" s="299">
        <v>0.75</v>
      </c>
      <c r="AO29" s="299">
        <v>0.75</v>
      </c>
      <c r="AP29" s="300">
        <v>0.75</v>
      </c>
      <c r="AQ29" s="592"/>
      <c r="AR29" s="298">
        <v>0.75</v>
      </c>
      <c r="AS29" s="299">
        <v>0.75</v>
      </c>
      <c r="AT29" s="299">
        <v>0.75</v>
      </c>
      <c r="AU29" s="299">
        <v>0.75</v>
      </c>
      <c r="AV29" s="299">
        <v>0.75</v>
      </c>
      <c r="AW29" s="299">
        <v>0.75</v>
      </c>
      <c r="AX29" s="299">
        <v>0.75</v>
      </c>
      <c r="AY29" s="299">
        <v>0.75</v>
      </c>
      <c r="AZ29" s="299">
        <v>0.75</v>
      </c>
      <c r="BA29" s="299">
        <v>0.75</v>
      </c>
      <c r="BB29" s="299">
        <v>0.75</v>
      </c>
      <c r="BC29" s="300">
        <v>0.75</v>
      </c>
      <c r="BD29" s="592"/>
      <c r="BE29" s="298">
        <v>0.75</v>
      </c>
      <c r="BF29" s="299">
        <v>0.75</v>
      </c>
      <c r="BG29" s="299">
        <v>0.75</v>
      </c>
      <c r="BH29" s="299">
        <v>0.75</v>
      </c>
      <c r="BI29" s="299">
        <v>0.75</v>
      </c>
      <c r="BJ29" s="299">
        <v>0.75</v>
      </c>
      <c r="BK29" s="299">
        <v>0.75</v>
      </c>
      <c r="BL29" s="299">
        <v>0.75</v>
      </c>
      <c r="BM29" s="299">
        <v>0.75</v>
      </c>
      <c r="BN29" s="299">
        <v>0.75</v>
      </c>
      <c r="BO29" s="299">
        <v>0.75</v>
      </c>
      <c r="BP29" s="300">
        <v>0.75</v>
      </c>
    </row>
    <row r="30" spans="1:68" ht="3.75" customHeight="1">
      <c r="A30" s="327"/>
      <c r="B30" s="301"/>
      <c r="C30" s="296"/>
      <c r="D30" s="592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6"/>
      <c r="Q30" s="592"/>
      <c r="R30" s="327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6"/>
      <c r="AD30" s="592"/>
      <c r="AE30" s="327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6"/>
      <c r="AQ30" s="592"/>
      <c r="AR30" s="327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6"/>
      <c r="BD30" s="592"/>
      <c r="BE30" s="327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6"/>
    </row>
    <row r="31" spans="1:68" ht="15.75" hidden="1" customHeight="1">
      <c r="A31" s="289"/>
      <c r="B31" s="299"/>
      <c r="C31" s="288"/>
      <c r="D31" s="592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8"/>
      <c r="Q31" s="592"/>
      <c r="R31" s="289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8"/>
      <c r="AD31" s="592"/>
      <c r="AE31" s="289"/>
      <c r="AF31" s="287"/>
      <c r="AG31" s="287"/>
      <c r="AH31" s="287"/>
      <c r="AI31" s="287"/>
      <c r="AJ31" s="287"/>
      <c r="AK31" s="287"/>
      <c r="AL31" s="287"/>
      <c r="AM31" s="287"/>
      <c r="AN31" s="287"/>
      <c r="AO31" s="287"/>
      <c r="AP31" s="288"/>
      <c r="AQ31" s="592"/>
      <c r="AR31" s="289"/>
      <c r="AS31" s="287"/>
      <c r="AT31" s="287"/>
      <c r="AU31" s="287"/>
      <c r="AV31" s="287"/>
      <c r="AW31" s="287"/>
      <c r="AX31" s="287"/>
      <c r="AY31" s="287"/>
      <c r="AZ31" s="287"/>
      <c r="BA31" s="287"/>
      <c r="BB31" s="287"/>
      <c r="BC31" s="288"/>
      <c r="BD31" s="592"/>
      <c r="BE31" s="289"/>
      <c r="BF31" s="287"/>
      <c r="BG31" s="287"/>
      <c r="BH31" s="287"/>
      <c r="BI31" s="287"/>
      <c r="BJ31" s="287"/>
      <c r="BK31" s="287"/>
      <c r="BL31" s="287"/>
      <c r="BM31" s="287"/>
      <c r="BN31" s="287"/>
      <c r="BO31" s="287"/>
      <c r="BP31" s="288"/>
    </row>
    <row r="32" spans="1:68" s="344" customFormat="1" ht="15.75" customHeight="1">
      <c r="A32" s="614" t="s">
        <v>471</v>
      </c>
      <c r="B32" s="615"/>
      <c r="C32" s="616"/>
      <c r="D32" s="592"/>
      <c r="E32" s="348">
        <f>ROUNDUP(E6/7.5,0)</f>
        <v>1</v>
      </c>
      <c r="F32" s="350">
        <f>ROUNDUP(F6/7.5,0)</f>
        <v>1</v>
      </c>
      <c r="G32" s="350">
        <f t="shared" ref="G32:P32" si="55">ROUNDUP(G6/7.5,1)</f>
        <v>1.4000000000000001</v>
      </c>
      <c r="H32" s="350">
        <f t="shared" si="55"/>
        <v>1.4000000000000001</v>
      </c>
      <c r="I32" s="350">
        <f t="shared" si="55"/>
        <v>1.4000000000000001</v>
      </c>
      <c r="J32" s="350">
        <f t="shared" si="55"/>
        <v>1.4000000000000001</v>
      </c>
      <c r="K32" s="350">
        <f t="shared" si="55"/>
        <v>1.4000000000000001</v>
      </c>
      <c r="L32" s="350">
        <f t="shared" si="55"/>
        <v>1.4000000000000001</v>
      </c>
      <c r="M32" s="350">
        <f t="shared" si="55"/>
        <v>1.4000000000000001</v>
      </c>
      <c r="N32" s="350">
        <f t="shared" si="55"/>
        <v>1.4000000000000001</v>
      </c>
      <c r="O32" s="350">
        <f t="shared" si="55"/>
        <v>1.4000000000000001</v>
      </c>
      <c r="P32" s="351">
        <f t="shared" si="55"/>
        <v>1.4000000000000001</v>
      </c>
      <c r="Q32" s="592"/>
      <c r="R32" s="398">
        <f>ROUNDUP(R6/7.5,0)</f>
        <v>2</v>
      </c>
      <c r="S32" s="350">
        <f>ROUNDUP(S6/7.5,0)</f>
        <v>2</v>
      </c>
      <c r="T32" s="350">
        <f t="shared" ref="T32:AC32" si="56">ROUNDUP(T6/7.5,1)</f>
        <v>1.4000000000000001</v>
      </c>
      <c r="U32" s="350">
        <f t="shared" si="56"/>
        <v>1.4000000000000001</v>
      </c>
      <c r="V32" s="350">
        <f t="shared" si="56"/>
        <v>1.4000000000000001</v>
      </c>
      <c r="W32" s="350">
        <f t="shared" si="56"/>
        <v>1.4000000000000001</v>
      </c>
      <c r="X32" s="350">
        <f t="shared" si="56"/>
        <v>1.4000000000000001</v>
      </c>
      <c r="Y32" s="350">
        <f t="shared" si="56"/>
        <v>1.4000000000000001</v>
      </c>
      <c r="Z32" s="350">
        <f t="shared" si="56"/>
        <v>1.4000000000000001</v>
      </c>
      <c r="AA32" s="350">
        <f t="shared" si="56"/>
        <v>1.4000000000000001</v>
      </c>
      <c r="AB32" s="350">
        <f t="shared" si="56"/>
        <v>1.4000000000000001</v>
      </c>
      <c r="AC32" s="351">
        <f t="shared" si="56"/>
        <v>1.4000000000000001</v>
      </c>
      <c r="AD32" s="592"/>
      <c r="AE32" s="398">
        <f>ROUNDUP(AE6/7.5,0)</f>
        <v>2</v>
      </c>
      <c r="AF32" s="350">
        <f>ROUNDUP(AF6/7.5,0)</f>
        <v>2</v>
      </c>
      <c r="AG32" s="350">
        <f t="shared" ref="AG32:AP32" si="57">ROUNDUP(AG6/7.5,1)</f>
        <v>1.4000000000000001</v>
      </c>
      <c r="AH32" s="350">
        <f t="shared" si="57"/>
        <v>1.4000000000000001</v>
      </c>
      <c r="AI32" s="350">
        <f t="shared" si="57"/>
        <v>1.4000000000000001</v>
      </c>
      <c r="AJ32" s="350">
        <f t="shared" si="57"/>
        <v>1.4000000000000001</v>
      </c>
      <c r="AK32" s="350">
        <f t="shared" si="57"/>
        <v>1.4000000000000001</v>
      </c>
      <c r="AL32" s="350">
        <f t="shared" si="57"/>
        <v>1.4000000000000001</v>
      </c>
      <c r="AM32" s="350">
        <f t="shared" si="57"/>
        <v>1.4000000000000001</v>
      </c>
      <c r="AN32" s="350">
        <f t="shared" si="57"/>
        <v>1.4000000000000001</v>
      </c>
      <c r="AO32" s="350">
        <f t="shared" si="57"/>
        <v>1.4000000000000001</v>
      </c>
      <c r="AP32" s="351">
        <f t="shared" si="57"/>
        <v>1.4000000000000001</v>
      </c>
      <c r="AQ32" s="592"/>
      <c r="AR32" s="398">
        <f>ROUNDUP(AR6/7.5,0)</f>
        <v>2</v>
      </c>
      <c r="AS32" s="350">
        <f>ROUNDUP(AS6/7.5,0)</f>
        <v>2</v>
      </c>
      <c r="AT32" s="350">
        <f t="shared" ref="AT32:BC32" si="58">ROUNDUP(AT6/7.5,1)</f>
        <v>1.4000000000000001</v>
      </c>
      <c r="AU32" s="350">
        <f t="shared" si="58"/>
        <v>1.4000000000000001</v>
      </c>
      <c r="AV32" s="350">
        <f t="shared" si="58"/>
        <v>1.4000000000000001</v>
      </c>
      <c r="AW32" s="350">
        <f t="shared" si="58"/>
        <v>1.4000000000000001</v>
      </c>
      <c r="AX32" s="350">
        <f t="shared" si="58"/>
        <v>1.4000000000000001</v>
      </c>
      <c r="AY32" s="350">
        <f t="shared" si="58"/>
        <v>1.4000000000000001</v>
      </c>
      <c r="AZ32" s="350">
        <f t="shared" si="58"/>
        <v>1.4000000000000001</v>
      </c>
      <c r="BA32" s="350">
        <f t="shared" si="58"/>
        <v>1.4000000000000001</v>
      </c>
      <c r="BB32" s="350">
        <f t="shared" si="58"/>
        <v>1.4000000000000001</v>
      </c>
      <c r="BC32" s="351">
        <f t="shared" si="58"/>
        <v>1.4000000000000001</v>
      </c>
      <c r="BD32" s="592"/>
      <c r="BE32" s="398">
        <f>ROUNDUP(BE6/7.5,0)</f>
        <v>2</v>
      </c>
      <c r="BF32" s="350">
        <f>ROUNDUP(BF6/7.5,0)</f>
        <v>2</v>
      </c>
      <c r="BG32" s="350">
        <f t="shared" ref="BG32:BP32" si="59">ROUNDUP(BG6/7.5,1)</f>
        <v>1.4000000000000001</v>
      </c>
      <c r="BH32" s="350">
        <f t="shared" si="59"/>
        <v>1.4000000000000001</v>
      </c>
      <c r="BI32" s="350">
        <f t="shared" si="59"/>
        <v>1.4000000000000001</v>
      </c>
      <c r="BJ32" s="350">
        <f t="shared" si="59"/>
        <v>1.4000000000000001</v>
      </c>
      <c r="BK32" s="350">
        <f t="shared" si="59"/>
        <v>1.4000000000000001</v>
      </c>
      <c r="BL32" s="350">
        <f t="shared" si="59"/>
        <v>1.4000000000000001</v>
      </c>
      <c r="BM32" s="350">
        <f t="shared" si="59"/>
        <v>1.4000000000000001</v>
      </c>
      <c r="BN32" s="350">
        <f t="shared" si="59"/>
        <v>1.4000000000000001</v>
      </c>
      <c r="BO32" s="350">
        <f t="shared" si="59"/>
        <v>1.4000000000000001</v>
      </c>
      <c r="BP32" s="351">
        <f t="shared" si="59"/>
        <v>1.4000000000000001</v>
      </c>
    </row>
    <row r="33" spans="1:68" s="344" customFormat="1" ht="15.75" customHeight="1">
      <c r="A33" s="614" t="s">
        <v>472</v>
      </c>
      <c r="B33" s="615"/>
      <c r="C33" s="616"/>
      <c r="D33" s="592"/>
      <c r="E33" s="348">
        <f t="shared" ref="E33:P33" si="60">IF(E7/7.5&lt;1,2,1+E7/7.5)</f>
        <v>2</v>
      </c>
      <c r="F33" s="348">
        <f t="shared" si="60"/>
        <v>2</v>
      </c>
      <c r="G33" s="348">
        <f t="shared" si="60"/>
        <v>2</v>
      </c>
      <c r="H33" s="348">
        <f t="shared" si="60"/>
        <v>2</v>
      </c>
      <c r="I33" s="348">
        <f t="shared" si="60"/>
        <v>2</v>
      </c>
      <c r="J33" s="348">
        <f t="shared" si="60"/>
        <v>2</v>
      </c>
      <c r="K33" s="348">
        <f t="shared" si="60"/>
        <v>2</v>
      </c>
      <c r="L33" s="348">
        <f t="shared" si="60"/>
        <v>2</v>
      </c>
      <c r="M33" s="348">
        <f t="shared" si="60"/>
        <v>2</v>
      </c>
      <c r="N33" s="348">
        <f t="shared" si="60"/>
        <v>2</v>
      </c>
      <c r="O33" s="348">
        <f t="shared" si="60"/>
        <v>2</v>
      </c>
      <c r="P33" s="349">
        <f t="shared" si="60"/>
        <v>2</v>
      </c>
      <c r="Q33" s="592"/>
      <c r="R33" s="398">
        <f t="shared" ref="R33:AC33" si="61">IF(R7/7.5&lt;1,2,1+R7/7.5)</f>
        <v>2.0666666666666664</v>
      </c>
      <c r="S33" s="348">
        <f t="shared" si="61"/>
        <v>2.2000000000000002</v>
      </c>
      <c r="T33" s="348">
        <f t="shared" si="61"/>
        <v>2.333333333333333</v>
      </c>
      <c r="U33" s="348">
        <f t="shared" si="61"/>
        <v>2.333333333333333</v>
      </c>
      <c r="V33" s="348">
        <f t="shared" si="61"/>
        <v>2.333333333333333</v>
      </c>
      <c r="W33" s="348">
        <f t="shared" si="61"/>
        <v>2.333333333333333</v>
      </c>
      <c r="X33" s="348">
        <f t="shared" si="61"/>
        <v>2.333333333333333</v>
      </c>
      <c r="Y33" s="348">
        <f t="shared" si="61"/>
        <v>2.333333333333333</v>
      </c>
      <c r="Z33" s="348">
        <f t="shared" si="61"/>
        <v>2.333333333333333</v>
      </c>
      <c r="AA33" s="348">
        <f t="shared" si="61"/>
        <v>2.333333333333333</v>
      </c>
      <c r="AB33" s="348">
        <f t="shared" si="61"/>
        <v>2.333333333333333</v>
      </c>
      <c r="AC33" s="349">
        <f t="shared" si="61"/>
        <v>2.333333333333333</v>
      </c>
      <c r="AD33" s="592"/>
      <c r="AE33" s="398">
        <f t="shared" ref="AE33:AP33" si="62">IF(AE7/7.5&lt;1,2,1+AE7/7.5)</f>
        <v>2.333333333333333</v>
      </c>
      <c r="AF33" s="348">
        <f t="shared" si="62"/>
        <v>2.333333333333333</v>
      </c>
      <c r="AG33" s="348">
        <f t="shared" si="62"/>
        <v>2.333333333333333</v>
      </c>
      <c r="AH33" s="348">
        <f t="shared" si="62"/>
        <v>2.333333333333333</v>
      </c>
      <c r="AI33" s="348">
        <f t="shared" si="62"/>
        <v>2.333333333333333</v>
      </c>
      <c r="AJ33" s="348">
        <f t="shared" si="62"/>
        <v>2.333333333333333</v>
      </c>
      <c r="AK33" s="348">
        <f t="shared" si="62"/>
        <v>2.333333333333333</v>
      </c>
      <c r="AL33" s="348">
        <f t="shared" si="62"/>
        <v>2.333333333333333</v>
      </c>
      <c r="AM33" s="348">
        <f t="shared" si="62"/>
        <v>2.333333333333333</v>
      </c>
      <c r="AN33" s="348">
        <f t="shared" si="62"/>
        <v>2.333333333333333</v>
      </c>
      <c r="AO33" s="348">
        <f t="shared" si="62"/>
        <v>2.333333333333333</v>
      </c>
      <c r="AP33" s="349">
        <f t="shared" si="62"/>
        <v>2.333333333333333</v>
      </c>
      <c r="AQ33" s="592"/>
      <c r="AR33" s="398">
        <f t="shared" ref="AR33:BC33" si="63">IF(AR7/7.5&lt;1,2,1+AR7/7.5)</f>
        <v>2.333333333333333</v>
      </c>
      <c r="AS33" s="348">
        <f t="shared" si="63"/>
        <v>2.333333333333333</v>
      </c>
      <c r="AT33" s="348">
        <f t="shared" si="63"/>
        <v>2.333333333333333</v>
      </c>
      <c r="AU33" s="348">
        <f t="shared" si="63"/>
        <v>2.333333333333333</v>
      </c>
      <c r="AV33" s="348">
        <f t="shared" si="63"/>
        <v>2.333333333333333</v>
      </c>
      <c r="AW33" s="348">
        <f t="shared" si="63"/>
        <v>2.333333333333333</v>
      </c>
      <c r="AX33" s="348">
        <f t="shared" si="63"/>
        <v>2.333333333333333</v>
      </c>
      <c r="AY33" s="348">
        <f t="shared" si="63"/>
        <v>2.333333333333333</v>
      </c>
      <c r="AZ33" s="348">
        <f t="shared" si="63"/>
        <v>2.333333333333333</v>
      </c>
      <c r="BA33" s="348">
        <f t="shared" si="63"/>
        <v>2.333333333333333</v>
      </c>
      <c r="BB33" s="348">
        <f t="shared" si="63"/>
        <v>2.333333333333333</v>
      </c>
      <c r="BC33" s="349">
        <f t="shared" si="63"/>
        <v>2.333333333333333</v>
      </c>
      <c r="BD33" s="592"/>
      <c r="BE33" s="398">
        <f t="shared" ref="BE33:BP33" si="64">IF(BE7/7.5&lt;1,2,1+BE7/7.5)</f>
        <v>2.333333333333333</v>
      </c>
      <c r="BF33" s="348">
        <f t="shared" si="64"/>
        <v>2.333333333333333</v>
      </c>
      <c r="BG33" s="348">
        <f t="shared" si="64"/>
        <v>2.333333333333333</v>
      </c>
      <c r="BH33" s="348">
        <f t="shared" si="64"/>
        <v>2.333333333333333</v>
      </c>
      <c r="BI33" s="348">
        <f t="shared" si="64"/>
        <v>2.333333333333333</v>
      </c>
      <c r="BJ33" s="348">
        <f t="shared" si="64"/>
        <v>2.333333333333333</v>
      </c>
      <c r="BK33" s="348">
        <f t="shared" si="64"/>
        <v>2.333333333333333</v>
      </c>
      <c r="BL33" s="348">
        <f t="shared" si="64"/>
        <v>2.333333333333333</v>
      </c>
      <c r="BM33" s="348">
        <f t="shared" si="64"/>
        <v>2.333333333333333</v>
      </c>
      <c r="BN33" s="348">
        <f t="shared" si="64"/>
        <v>2.333333333333333</v>
      </c>
      <c r="BO33" s="348">
        <f t="shared" si="64"/>
        <v>2.333333333333333</v>
      </c>
      <c r="BP33" s="349">
        <f t="shared" si="64"/>
        <v>2.333333333333333</v>
      </c>
    </row>
    <row r="34" spans="1:68" s="344" customFormat="1" ht="15.75" customHeight="1">
      <c r="A34" s="614" t="s">
        <v>473</v>
      </c>
      <c r="B34" s="615"/>
      <c r="C34" s="616"/>
      <c r="D34" s="592"/>
      <c r="E34" s="348">
        <f>ROUNDUP(E9/6,0)</f>
        <v>1</v>
      </c>
      <c r="F34" s="350">
        <f t="shared" ref="F34:P34" si="65">(F9+F10)/6</f>
        <v>0.83333333333333337</v>
      </c>
      <c r="G34" s="350">
        <f t="shared" si="65"/>
        <v>0.83333333333333337</v>
      </c>
      <c r="H34" s="350">
        <f t="shared" si="65"/>
        <v>1</v>
      </c>
      <c r="I34" s="350">
        <f t="shared" si="65"/>
        <v>1</v>
      </c>
      <c r="J34" s="350">
        <f t="shared" si="65"/>
        <v>0.66666666666666663</v>
      </c>
      <c r="K34" s="350">
        <f t="shared" si="65"/>
        <v>0.83333333333333337</v>
      </c>
      <c r="L34" s="350">
        <f t="shared" si="65"/>
        <v>1</v>
      </c>
      <c r="M34" s="350">
        <f t="shared" si="65"/>
        <v>1.3333333333333333</v>
      </c>
      <c r="N34" s="350">
        <f t="shared" si="65"/>
        <v>1.8333333333333333</v>
      </c>
      <c r="O34" s="350">
        <f t="shared" si="65"/>
        <v>2.3333333333333335</v>
      </c>
      <c r="P34" s="351">
        <f t="shared" si="65"/>
        <v>2.8333333333333335</v>
      </c>
      <c r="Q34" s="592"/>
      <c r="R34" s="398">
        <f>ROUNDUP(R9/6,1)</f>
        <v>1.7000000000000002</v>
      </c>
      <c r="S34" s="350">
        <f t="shared" ref="S34:AC34" si="66">(S9+S10)/6</f>
        <v>3.3333333333333335</v>
      </c>
      <c r="T34" s="350">
        <f t="shared" si="66"/>
        <v>3.3333333333333335</v>
      </c>
      <c r="U34" s="350">
        <f t="shared" si="66"/>
        <v>3.3333333333333335</v>
      </c>
      <c r="V34" s="350">
        <f t="shared" si="66"/>
        <v>3.3333333333333335</v>
      </c>
      <c r="W34" s="350">
        <f t="shared" si="66"/>
        <v>3.3333333333333335</v>
      </c>
      <c r="X34" s="350">
        <f t="shared" si="66"/>
        <v>3.3333333333333335</v>
      </c>
      <c r="Y34" s="350">
        <f t="shared" si="66"/>
        <v>3.3333333333333335</v>
      </c>
      <c r="Z34" s="350">
        <f t="shared" si="66"/>
        <v>3.3333333333333335</v>
      </c>
      <c r="AA34" s="350">
        <f t="shared" si="66"/>
        <v>3.3333333333333335</v>
      </c>
      <c r="AB34" s="350">
        <f t="shared" si="66"/>
        <v>3.3333333333333335</v>
      </c>
      <c r="AC34" s="351">
        <f t="shared" si="66"/>
        <v>3.3333333333333335</v>
      </c>
      <c r="AD34" s="592"/>
      <c r="AE34" s="398">
        <f>ROUNDUP(AE9/6,1)</f>
        <v>1.7000000000000002</v>
      </c>
      <c r="AF34" s="350">
        <f t="shared" ref="AF34:AP34" si="67">(AF9+AF10)/6</f>
        <v>3.3333333333333335</v>
      </c>
      <c r="AG34" s="350">
        <f t="shared" si="67"/>
        <v>3.3333333333333335</v>
      </c>
      <c r="AH34" s="350">
        <f t="shared" si="67"/>
        <v>3.3333333333333335</v>
      </c>
      <c r="AI34" s="350">
        <f t="shared" si="67"/>
        <v>3.3333333333333335</v>
      </c>
      <c r="AJ34" s="350">
        <f t="shared" si="67"/>
        <v>3.3333333333333335</v>
      </c>
      <c r="AK34" s="350">
        <f t="shared" si="67"/>
        <v>3.3333333333333335</v>
      </c>
      <c r="AL34" s="350">
        <f t="shared" si="67"/>
        <v>3.3333333333333335</v>
      </c>
      <c r="AM34" s="350">
        <f t="shared" si="67"/>
        <v>3.3333333333333335</v>
      </c>
      <c r="AN34" s="350">
        <f t="shared" si="67"/>
        <v>3.3333333333333335</v>
      </c>
      <c r="AO34" s="350">
        <f t="shared" si="67"/>
        <v>3.3333333333333335</v>
      </c>
      <c r="AP34" s="351">
        <f t="shared" si="67"/>
        <v>3.3333333333333335</v>
      </c>
      <c r="AQ34" s="592"/>
      <c r="AR34" s="398">
        <f>ROUNDUP(AR9/6,1)</f>
        <v>1.7000000000000002</v>
      </c>
      <c r="AS34" s="350">
        <f t="shared" ref="AS34:BC34" si="68">(AS9+AS10)/6</f>
        <v>3.3333333333333335</v>
      </c>
      <c r="AT34" s="350">
        <f t="shared" si="68"/>
        <v>3.3333333333333335</v>
      </c>
      <c r="AU34" s="350">
        <f t="shared" si="68"/>
        <v>3.3333333333333335</v>
      </c>
      <c r="AV34" s="350">
        <f t="shared" si="68"/>
        <v>3.3333333333333335</v>
      </c>
      <c r="AW34" s="350">
        <f t="shared" si="68"/>
        <v>3.3333333333333335</v>
      </c>
      <c r="AX34" s="350">
        <f t="shared" si="68"/>
        <v>3.3333333333333335</v>
      </c>
      <c r="AY34" s="350">
        <f t="shared" si="68"/>
        <v>3.3333333333333335</v>
      </c>
      <c r="AZ34" s="350">
        <f t="shared" si="68"/>
        <v>3.3333333333333335</v>
      </c>
      <c r="BA34" s="350">
        <f t="shared" si="68"/>
        <v>3.3333333333333335</v>
      </c>
      <c r="BB34" s="350">
        <f t="shared" si="68"/>
        <v>3.3333333333333335</v>
      </c>
      <c r="BC34" s="351">
        <f t="shared" si="68"/>
        <v>3.3333333333333335</v>
      </c>
      <c r="BD34" s="592"/>
      <c r="BE34" s="398">
        <f>ROUNDUP(BE9/6,1)</f>
        <v>1.7000000000000002</v>
      </c>
      <c r="BF34" s="350">
        <f t="shared" ref="BF34:BP34" si="69">(BF9+BF10)/6</f>
        <v>3.3333333333333335</v>
      </c>
      <c r="BG34" s="350">
        <f t="shared" si="69"/>
        <v>3.3333333333333335</v>
      </c>
      <c r="BH34" s="350">
        <f t="shared" si="69"/>
        <v>3.3333333333333335</v>
      </c>
      <c r="BI34" s="350">
        <f t="shared" si="69"/>
        <v>3.3333333333333335</v>
      </c>
      <c r="BJ34" s="350">
        <f t="shared" si="69"/>
        <v>3.3333333333333335</v>
      </c>
      <c r="BK34" s="350">
        <f t="shared" si="69"/>
        <v>3.3333333333333335</v>
      </c>
      <c r="BL34" s="350">
        <f t="shared" si="69"/>
        <v>3.3333333333333335</v>
      </c>
      <c r="BM34" s="350">
        <f t="shared" si="69"/>
        <v>3.3333333333333335</v>
      </c>
      <c r="BN34" s="350">
        <f t="shared" si="69"/>
        <v>3.3333333333333335</v>
      </c>
      <c r="BO34" s="350">
        <f t="shared" si="69"/>
        <v>3.3333333333333335</v>
      </c>
      <c r="BP34" s="351">
        <f t="shared" si="69"/>
        <v>3.3333333333333335</v>
      </c>
    </row>
    <row r="35" spans="1:68" s="344" customFormat="1" ht="15.75" customHeight="1">
      <c r="A35" s="614" t="s">
        <v>474</v>
      </c>
      <c r="B35" s="615"/>
      <c r="C35" s="616"/>
      <c r="D35" s="592"/>
      <c r="E35" s="348">
        <f t="shared" ref="E35:P35" si="70">IF((E9+E10)/15&lt;1,1,(E9+E10)/15)</f>
        <v>1</v>
      </c>
      <c r="F35" s="350">
        <f t="shared" si="70"/>
        <v>1</v>
      </c>
      <c r="G35" s="350">
        <f t="shared" si="70"/>
        <v>1</v>
      </c>
      <c r="H35" s="350">
        <f t="shared" si="70"/>
        <v>1</v>
      </c>
      <c r="I35" s="350">
        <f t="shared" si="70"/>
        <v>1</v>
      </c>
      <c r="J35" s="350">
        <f t="shared" si="70"/>
        <v>1</v>
      </c>
      <c r="K35" s="350">
        <f t="shared" si="70"/>
        <v>1</v>
      </c>
      <c r="L35" s="350">
        <f t="shared" si="70"/>
        <v>1</v>
      </c>
      <c r="M35" s="350">
        <f t="shared" si="70"/>
        <v>1</v>
      </c>
      <c r="N35" s="350">
        <f t="shared" si="70"/>
        <v>1</v>
      </c>
      <c r="O35" s="350">
        <f t="shared" si="70"/>
        <v>1</v>
      </c>
      <c r="P35" s="351">
        <f t="shared" si="70"/>
        <v>1.1333333333333333</v>
      </c>
      <c r="Q35" s="592"/>
      <c r="R35" s="398">
        <f t="shared" ref="R35:AC35" si="71">IF((R9+R10)/15&lt;1,1,(R9+R10)/15)</f>
        <v>1.3333333333333333</v>
      </c>
      <c r="S35" s="350">
        <f t="shared" si="71"/>
        <v>1.3333333333333333</v>
      </c>
      <c r="T35" s="350">
        <f t="shared" si="71"/>
        <v>1.3333333333333333</v>
      </c>
      <c r="U35" s="350">
        <f t="shared" si="71"/>
        <v>1.3333333333333333</v>
      </c>
      <c r="V35" s="350">
        <f t="shared" si="71"/>
        <v>1.3333333333333333</v>
      </c>
      <c r="W35" s="350">
        <f t="shared" si="71"/>
        <v>1.3333333333333333</v>
      </c>
      <c r="X35" s="350">
        <f t="shared" si="71"/>
        <v>1.3333333333333333</v>
      </c>
      <c r="Y35" s="350">
        <f t="shared" si="71"/>
        <v>1.3333333333333333</v>
      </c>
      <c r="Z35" s="350">
        <f t="shared" si="71"/>
        <v>1.3333333333333333</v>
      </c>
      <c r="AA35" s="350">
        <f t="shared" si="71"/>
        <v>1.3333333333333333</v>
      </c>
      <c r="AB35" s="350">
        <f t="shared" si="71"/>
        <v>1.3333333333333333</v>
      </c>
      <c r="AC35" s="351">
        <f t="shared" si="71"/>
        <v>1.3333333333333333</v>
      </c>
      <c r="AD35" s="592"/>
      <c r="AE35" s="398">
        <f t="shared" ref="AE35:AP35" si="72">IF((AE9+AE10)/15&lt;1,1,(AE9+AE10)/15)</f>
        <v>1.3333333333333333</v>
      </c>
      <c r="AF35" s="350">
        <f t="shared" si="72"/>
        <v>1.3333333333333333</v>
      </c>
      <c r="AG35" s="350">
        <f t="shared" si="72"/>
        <v>1.3333333333333333</v>
      </c>
      <c r="AH35" s="350">
        <f t="shared" si="72"/>
        <v>1.3333333333333333</v>
      </c>
      <c r="AI35" s="350">
        <f t="shared" si="72"/>
        <v>1.3333333333333333</v>
      </c>
      <c r="AJ35" s="350">
        <f t="shared" si="72"/>
        <v>1.3333333333333333</v>
      </c>
      <c r="AK35" s="350">
        <f t="shared" si="72"/>
        <v>1.3333333333333333</v>
      </c>
      <c r="AL35" s="350">
        <f t="shared" si="72"/>
        <v>1.3333333333333333</v>
      </c>
      <c r="AM35" s="350">
        <f t="shared" si="72"/>
        <v>1.3333333333333333</v>
      </c>
      <c r="AN35" s="350">
        <f t="shared" si="72"/>
        <v>1.3333333333333333</v>
      </c>
      <c r="AO35" s="350">
        <f t="shared" si="72"/>
        <v>1.3333333333333333</v>
      </c>
      <c r="AP35" s="351">
        <f t="shared" si="72"/>
        <v>1.3333333333333333</v>
      </c>
      <c r="AQ35" s="592"/>
      <c r="AR35" s="398">
        <f t="shared" ref="AR35:BC35" si="73">IF((AR9+AR10)/15&lt;1,1,(AR9+AR10)/15)</f>
        <v>1.3333333333333333</v>
      </c>
      <c r="AS35" s="350">
        <f t="shared" si="73"/>
        <v>1.3333333333333333</v>
      </c>
      <c r="AT35" s="350">
        <f t="shared" si="73"/>
        <v>1.3333333333333333</v>
      </c>
      <c r="AU35" s="350">
        <f t="shared" si="73"/>
        <v>1.3333333333333333</v>
      </c>
      <c r="AV35" s="350">
        <f t="shared" si="73"/>
        <v>1.3333333333333333</v>
      </c>
      <c r="AW35" s="350">
        <f t="shared" si="73"/>
        <v>1.3333333333333333</v>
      </c>
      <c r="AX35" s="350">
        <f t="shared" si="73"/>
        <v>1.3333333333333333</v>
      </c>
      <c r="AY35" s="350">
        <f t="shared" si="73"/>
        <v>1.3333333333333333</v>
      </c>
      <c r="AZ35" s="350">
        <f t="shared" si="73"/>
        <v>1.3333333333333333</v>
      </c>
      <c r="BA35" s="350">
        <f t="shared" si="73"/>
        <v>1.3333333333333333</v>
      </c>
      <c r="BB35" s="350">
        <f t="shared" si="73"/>
        <v>1.3333333333333333</v>
      </c>
      <c r="BC35" s="351">
        <f t="shared" si="73"/>
        <v>1.3333333333333333</v>
      </c>
      <c r="BD35" s="592"/>
      <c r="BE35" s="398">
        <f t="shared" ref="BE35:BP35" si="74">IF((BE9+BE10)/15&lt;1,1,(BE9+BE10)/15)</f>
        <v>1.3333333333333333</v>
      </c>
      <c r="BF35" s="350">
        <f t="shared" si="74"/>
        <v>1.3333333333333333</v>
      </c>
      <c r="BG35" s="350">
        <f t="shared" si="74"/>
        <v>1.3333333333333333</v>
      </c>
      <c r="BH35" s="350">
        <f t="shared" si="74"/>
        <v>1.3333333333333333</v>
      </c>
      <c r="BI35" s="350">
        <f t="shared" si="74"/>
        <v>1.3333333333333333</v>
      </c>
      <c r="BJ35" s="350">
        <f t="shared" si="74"/>
        <v>1.3333333333333333</v>
      </c>
      <c r="BK35" s="350">
        <f t="shared" si="74"/>
        <v>1.3333333333333333</v>
      </c>
      <c r="BL35" s="350">
        <f t="shared" si="74"/>
        <v>1.3333333333333333</v>
      </c>
      <c r="BM35" s="350">
        <f t="shared" si="74"/>
        <v>1.3333333333333333</v>
      </c>
      <c r="BN35" s="350">
        <f t="shared" si="74"/>
        <v>1.3333333333333333</v>
      </c>
      <c r="BO35" s="350">
        <f t="shared" si="74"/>
        <v>1.3333333333333333</v>
      </c>
      <c r="BP35" s="351">
        <f t="shared" si="74"/>
        <v>1.3333333333333333</v>
      </c>
    </row>
    <row r="36" spans="1:68" s="344" customFormat="1" ht="15.75" customHeight="1">
      <c r="A36" s="614" t="s">
        <v>475</v>
      </c>
      <c r="B36" s="615"/>
      <c r="C36" s="616"/>
      <c r="D36" s="592"/>
      <c r="E36" s="348">
        <f t="shared" ref="E36:P36" si="75">IF(E10/6&lt;1,1,E10/6)</f>
        <v>1</v>
      </c>
      <c r="F36" s="350">
        <f t="shared" si="75"/>
        <v>1</v>
      </c>
      <c r="G36" s="350">
        <f t="shared" si="75"/>
        <v>1</v>
      </c>
      <c r="H36" s="350">
        <f t="shared" si="75"/>
        <v>1</v>
      </c>
      <c r="I36" s="350">
        <f t="shared" si="75"/>
        <v>1</v>
      </c>
      <c r="J36" s="350">
        <f t="shared" si="75"/>
        <v>1</v>
      </c>
      <c r="K36" s="350">
        <f t="shared" si="75"/>
        <v>1</v>
      </c>
      <c r="L36" s="348">
        <f t="shared" si="75"/>
        <v>1</v>
      </c>
      <c r="M36" s="348">
        <f t="shared" si="75"/>
        <v>1</v>
      </c>
      <c r="N36" s="348">
        <f t="shared" si="75"/>
        <v>1</v>
      </c>
      <c r="O36" s="348">
        <f t="shared" si="75"/>
        <v>1</v>
      </c>
      <c r="P36" s="349">
        <f t="shared" si="75"/>
        <v>1.3333333333333333</v>
      </c>
      <c r="Q36" s="592"/>
      <c r="R36" s="398">
        <f t="shared" ref="R36:AC36" si="76">IF(R10/6&lt;1,1,R10/6)</f>
        <v>1.6666666666666667</v>
      </c>
      <c r="S36" s="350">
        <f t="shared" si="76"/>
        <v>1.6666666666666667</v>
      </c>
      <c r="T36" s="350">
        <f t="shared" si="76"/>
        <v>1.6666666666666667</v>
      </c>
      <c r="U36" s="350">
        <f t="shared" si="76"/>
        <v>1.6666666666666667</v>
      </c>
      <c r="V36" s="350">
        <f t="shared" si="76"/>
        <v>1.6666666666666667</v>
      </c>
      <c r="W36" s="350">
        <f t="shared" si="76"/>
        <v>1.6666666666666667</v>
      </c>
      <c r="X36" s="350">
        <f t="shared" si="76"/>
        <v>1.6666666666666667</v>
      </c>
      <c r="Y36" s="348">
        <f t="shared" si="76"/>
        <v>1.6666666666666667</v>
      </c>
      <c r="Z36" s="348">
        <f t="shared" si="76"/>
        <v>1.6666666666666667</v>
      </c>
      <c r="AA36" s="348">
        <f t="shared" si="76"/>
        <v>1.6666666666666667</v>
      </c>
      <c r="AB36" s="348">
        <f t="shared" si="76"/>
        <v>1.6666666666666667</v>
      </c>
      <c r="AC36" s="349">
        <f t="shared" si="76"/>
        <v>1.6666666666666667</v>
      </c>
      <c r="AD36" s="592"/>
      <c r="AE36" s="398">
        <f t="shared" ref="AE36:AP36" si="77">IF(AE10/6&lt;1,1,AE10/6)</f>
        <v>1.6666666666666667</v>
      </c>
      <c r="AF36" s="350">
        <f t="shared" si="77"/>
        <v>1.6666666666666667</v>
      </c>
      <c r="AG36" s="350">
        <f t="shared" si="77"/>
        <v>1.6666666666666667</v>
      </c>
      <c r="AH36" s="350">
        <f t="shared" si="77"/>
        <v>1.6666666666666667</v>
      </c>
      <c r="AI36" s="350">
        <f t="shared" si="77"/>
        <v>1.6666666666666667</v>
      </c>
      <c r="AJ36" s="350">
        <f t="shared" si="77"/>
        <v>1.6666666666666667</v>
      </c>
      <c r="AK36" s="350">
        <f t="shared" si="77"/>
        <v>1.6666666666666667</v>
      </c>
      <c r="AL36" s="348">
        <f t="shared" si="77"/>
        <v>1.6666666666666667</v>
      </c>
      <c r="AM36" s="348">
        <f t="shared" si="77"/>
        <v>1.6666666666666667</v>
      </c>
      <c r="AN36" s="348">
        <f t="shared" si="77"/>
        <v>1.6666666666666667</v>
      </c>
      <c r="AO36" s="348">
        <f t="shared" si="77"/>
        <v>1.6666666666666667</v>
      </c>
      <c r="AP36" s="349">
        <f t="shared" si="77"/>
        <v>1.6666666666666667</v>
      </c>
      <c r="AQ36" s="592"/>
      <c r="AR36" s="398">
        <f t="shared" ref="AR36:BC36" si="78">IF(AR10/6&lt;1,1,AR10/6)</f>
        <v>1.6666666666666667</v>
      </c>
      <c r="AS36" s="350">
        <f t="shared" si="78"/>
        <v>1.6666666666666667</v>
      </c>
      <c r="AT36" s="350">
        <f t="shared" si="78"/>
        <v>1.6666666666666667</v>
      </c>
      <c r="AU36" s="350">
        <f t="shared" si="78"/>
        <v>1.6666666666666667</v>
      </c>
      <c r="AV36" s="350">
        <f t="shared" si="78"/>
        <v>1.6666666666666667</v>
      </c>
      <c r="AW36" s="350">
        <f t="shared" si="78"/>
        <v>1.6666666666666667</v>
      </c>
      <c r="AX36" s="350">
        <f t="shared" si="78"/>
        <v>1.6666666666666667</v>
      </c>
      <c r="AY36" s="348">
        <f t="shared" si="78"/>
        <v>1.6666666666666667</v>
      </c>
      <c r="AZ36" s="348">
        <f t="shared" si="78"/>
        <v>1.6666666666666667</v>
      </c>
      <c r="BA36" s="348">
        <f t="shared" si="78"/>
        <v>1.6666666666666667</v>
      </c>
      <c r="BB36" s="348">
        <f t="shared" si="78"/>
        <v>1.6666666666666667</v>
      </c>
      <c r="BC36" s="349">
        <f t="shared" si="78"/>
        <v>1.6666666666666667</v>
      </c>
      <c r="BD36" s="592"/>
      <c r="BE36" s="398">
        <f t="shared" ref="BE36:BP36" si="79">IF(BE10/6&lt;1,1,BE10/6)</f>
        <v>1.6666666666666667</v>
      </c>
      <c r="BF36" s="350">
        <f t="shared" si="79"/>
        <v>1.6666666666666667</v>
      </c>
      <c r="BG36" s="350">
        <f t="shared" si="79"/>
        <v>1.6666666666666667</v>
      </c>
      <c r="BH36" s="350">
        <f t="shared" si="79"/>
        <v>1.6666666666666667</v>
      </c>
      <c r="BI36" s="350">
        <f t="shared" si="79"/>
        <v>1.6666666666666667</v>
      </c>
      <c r="BJ36" s="350">
        <f t="shared" si="79"/>
        <v>1.6666666666666667</v>
      </c>
      <c r="BK36" s="350">
        <f t="shared" si="79"/>
        <v>1.6666666666666667</v>
      </c>
      <c r="BL36" s="348">
        <f t="shared" si="79"/>
        <v>1.6666666666666667</v>
      </c>
      <c r="BM36" s="348">
        <f t="shared" si="79"/>
        <v>1.6666666666666667</v>
      </c>
      <c r="BN36" s="348">
        <f t="shared" si="79"/>
        <v>1.6666666666666667</v>
      </c>
      <c r="BO36" s="348">
        <f t="shared" si="79"/>
        <v>1.6666666666666667</v>
      </c>
      <c r="BP36" s="349">
        <f t="shared" si="79"/>
        <v>1.6666666666666667</v>
      </c>
    </row>
    <row r="37" spans="1:68" ht="3" customHeight="1" thickBot="1">
      <c r="A37" s="377"/>
      <c r="B37" s="378"/>
      <c r="C37" s="441"/>
      <c r="D37" s="592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1"/>
      <c r="Q37" s="592"/>
      <c r="R37" s="399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1"/>
      <c r="AD37" s="592"/>
      <c r="AE37" s="399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1"/>
      <c r="AQ37" s="592"/>
      <c r="AR37" s="399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1"/>
      <c r="BD37" s="592"/>
      <c r="BE37" s="399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1"/>
    </row>
    <row r="38" spans="1:68" ht="15.75" customHeight="1">
      <c r="A38" s="656" t="s">
        <v>359</v>
      </c>
      <c r="B38" s="657"/>
      <c r="C38" s="658"/>
      <c r="D38" s="592"/>
      <c r="E38" s="584">
        <v>130000</v>
      </c>
      <c r="F38" s="584">
        <v>130000</v>
      </c>
      <c r="G38" s="584">
        <v>130000</v>
      </c>
      <c r="H38" s="584">
        <v>130000</v>
      </c>
      <c r="I38" s="584">
        <v>130000</v>
      </c>
      <c r="J38" s="584">
        <v>130000</v>
      </c>
      <c r="K38" s="584">
        <v>130000</v>
      </c>
      <c r="L38" s="584">
        <v>250000</v>
      </c>
      <c r="M38" s="584">
        <v>250000</v>
      </c>
      <c r="N38" s="584">
        <v>250000</v>
      </c>
      <c r="O38" s="584">
        <v>250000</v>
      </c>
      <c r="P38" s="587">
        <v>250000</v>
      </c>
      <c r="Q38" s="592"/>
      <c r="R38" s="597">
        <v>250000</v>
      </c>
      <c r="S38" s="584">
        <v>250000</v>
      </c>
      <c r="T38" s="584">
        <v>250000</v>
      </c>
      <c r="U38" s="584">
        <v>250000</v>
      </c>
      <c r="V38" s="584">
        <v>250000</v>
      </c>
      <c r="W38" s="584">
        <v>250000</v>
      </c>
      <c r="X38" s="584">
        <v>250000</v>
      </c>
      <c r="Y38" s="584">
        <v>250000</v>
      </c>
      <c r="Z38" s="584">
        <v>250000</v>
      </c>
      <c r="AA38" s="584">
        <v>250000</v>
      </c>
      <c r="AB38" s="584">
        <v>250000</v>
      </c>
      <c r="AC38" s="587">
        <v>250000</v>
      </c>
      <c r="AD38" s="592"/>
      <c r="AE38" s="597">
        <v>250000</v>
      </c>
      <c r="AF38" s="584">
        <v>250000</v>
      </c>
      <c r="AG38" s="584">
        <v>250000</v>
      </c>
      <c r="AH38" s="584">
        <v>250000</v>
      </c>
      <c r="AI38" s="584">
        <v>250000</v>
      </c>
      <c r="AJ38" s="584">
        <v>250000</v>
      </c>
      <c r="AK38" s="584">
        <v>250000</v>
      </c>
      <c r="AL38" s="584">
        <v>250000</v>
      </c>
      <c r="AM38" s="584">
        <v>250000</v>
      </c>
      <c r="AN38" s="584">
        <v>250000</v>
      </c>
      <c r="AO38" s="584">
        <v>250000</v>
      </c>
      <c r="AP38" s="587">
        <v>250000</v>
      </c>
      <c r="AQ38" s="592"/>
      <c r="AR38" s="597">
        <v>180000</v>
      </c>
      <c r="AS38" s="584">
        <v>180000</v>
      </c>
      <c r="AT38" s="584">
        <v>180000</v>
      </c>
      <c r="AU38" s="584">
        <v>180000</v>
      </c>
      <c r="AV38" s="584">
        <v>180000</v>
      </c>
      <c r="AW38" s="584">
        <v>180000</v>
      </c>
      <c r="AX38" s="584">
        <v>180000</v>
      </c>
      <c r="AY38" s="584">
        <v>180000</v>
      </c>
      <c r="AZ38" s="584">
        <v>180000</v>
      </c>
      <c r="BA38" s="584">
        <v>180000</v>
      </c>
      <c r="BB38" s="584">
        <v>180000</v>
      </c>
      <c r="BC38" s="587">
        <v>180000</v>
      </c>
      <c r="BD38" s="592"/>
      <c r="BE38" s="597">
        <v>180000</v>
      </c>
      <c r="BF38" s="584">
        <v>180000</v>
      </c>
      <c r="BG38" s="584">
        <v>180000</v>
      </c>
      <c r="BH38" s="584">
        <v>180000</v>
      </c>
      <c r="BI38" s="584">
        <v>180000</v>
      </c>
      <c r="BJ38" s="584">
        <v>180000</v>
      </c>
      <c r="BK38" s="584">
        <v>180000</v>
      </c>
      <c r="BL38" s="584">
        <v>180000</v>
      </c>
      <c r="BM38" s="584">
        <v>180000</v>
      </c>
      <c r="BN38" s="584">
        <v>180000</v>
      </c>
      <c r="BO38" s="584">
        <v>180000</v>
      </c>
      <c r="BP38" s="587">
        <v>180000</v>
      </c>
    </row>
    <row r="39" spans="1:68" ht="15.75" customHeight="1">
      <c r="A39" s="623" t="s">
        <v>360</v>
      </c>
      <c r="B39" s="624"/>
      <c r="C39" s="625"/>
      <c r="D39" s="592"/>
      <c r="E39" s="585"/>
      <c r="F39" s="585"/>
      <c r="G39" s="585"/>
      <c r="H39" s="585"/>
      <c r="I39" s="585"/>
      <c r="J39" s="585"/>
      <c r="K39" s="585"/>
      <c r="L39" s="585"/>
      <c r="M39" s="585"/>
      <c r="N39" s="585"/>
      <c r="O39" s="585"/>
      <c r="P39" s="588"/>
      <c r="Q39" s="592"/>
      <c r="R39" s="598"/>
      <c r="S39" s="585"/>
      <c r="T39" s="585"/>
      <c r="U39" s="585"/>
      <c r="V39" s="585"/>
      <c r="W39" s="585"/>
      <c r="X39" s="585"/>
      <c r="Y39" s="585"/>
      <c r="Z39" s="585"/>
      <c r="AA39" s="585"/>
      <c r="AB39" s="585"/>
      <c r="AC39" s="588"/>
      <c r="AD39" s="592"/>
      <c r="AE39" s="598"/>
      <c r="AF39" s="585"/>
      <c r="AG39" s="585"/>
      <c r="AH39" s="585"/>
      <c r="AI39" s="585"/>
      <c r="AJ39" s="585"/>
      <c r="AK39" s="585"/>
      <c r="AL39" s="585"/>
      <c r="AM39" s="585"/>
      <c r="AN39" s="585"/>
      <c r="AO39" s="585"/>
      <c r="AP39" s="588"/>
      <c r="AQ39" s="592"/>
      <c r="AR39" s="598"/>
      <c r="AS39" s="585"/>
      <c r="AT39" s="585"/>
      <c r="AU39" s="585"/>
      <c r="AV39" s="585"/>
      <c r="AW39" s="585"/>
      <c r="AX39" s="585"/>
      <c r="AY39" s="585"/>
      <c r="AZ39" s="585"/>
      <c r="BA39" s="585"/>
      <c r="BB39" s="585"/>
      <c r="BC39" s="588"/>
      <c r="BD39" s="592"/>
      <c r="BE39" s="598"/>
      <c r="BF39" s="585"/>
      <c r="BG39" s="585"/>
      <c r="BH39" s="585"/>
      <c r="BI39" s="585"/>
      <c r="BJ39" s="585"/>
      <c r="BK39" s="585"/>
      <c r="BL39" s="585"/>
      <c r="BM39" s="585"/>
      <c r="BN39" s="585"/>
      <c r="BO39" s="585"/>
      <c r="BP39" s="588"/>
    </row>
    <row r="40" spans="1:68" ht="15.75" customHeight="1">
      <c r="A40" s="626" t="s">
        <v>479</v>
      </c>
      <c r="B40" s="627"/>
      <c r="C40" s="628"/>
      <c r="D40" s="592"/>
      <c r="E40" s="255">
        <v>120000</v>
      </c>
      <c r="F40" s="255">
        <v>120000</v>
      </c>
      <c r="G40" s="255">
        <v>120000</v>
      </c>
      <c r="H40" s="255">
        <v>120000</v>
      </c>
      <c r="I40" s="255">
        <v>120000</v>
      </c>
      <c r="J40" s="255">
        <v>120000</v>
      </c>
      <c r="K40" s="255">
        <v>120000</v>
      </c>
      <c r="L40" s="255">
        <v>120000</v>
      </c>
      <c r="M40" s="255">
        <v>120000</v>
      </c>
      <c r="N40" s="255">
        <v>120000</v>
      </c>
      <c r="O40" s="255">
        <v>120000</v>
      </c>
      <c r="P40" s="293">
        <v>120000</v>
      </c>
      <c r="Q40" s="592"/>
      <c r="R40" s="294">
        <v>150000</v>
      </c>
      <c r="S40" s="255">
        <v>150000</v>
      </c>
      <c r="T40" s="255">
        <v>150000</v>
      </c>
      <c r="U40" s="255">
        <v>150000</v>
      </c>
      <c r="V40" s="255">
        <v>150000</v>
      </c>
      <c r="W40" s="255">
        <v>150000</v>
      </c>
      <c r="X40" s="255">
        <v>150000</v>
      </c>
      <c r="Y40" s="255">
        <v>150000</v>
      </c>
      <c r="Z40" s="255">
        <v>150000</v>
      </c>
      <c r="AA40" s="255">
        <v>150000</v>
      </c>
      <c r="AB40" s="255">
        <v>150000</v>
      </c>
      <c r="AC40" s="293">
        <v>150000</v>
      </c>
      <c r="AD40" s="592"/>
      <c r="AE40" s="294">
        <v>150000</v>
      </c>
      <c r="AF40" s="255">
        <v>150000</v>
      </c>
      <c r="AG40" s="255">
        <v>150000</v>
      </c>
      <c r="AH40" s="255">
        <v>150000</v>
      </c>
      <c r="AI40" s="255">
        <v>150000</v>
      </c>
      <c r="AJ40" s="255">
        <v>150000</v>
      </c>
      <c r="AK40" s="255">
        <v>150000</v>
      </c>
      <c r="AL40" s="255">
        <v>150000</v>
      </c>
      <c r="AM40" s="255">
        <v>150000</v>
      </c>
      <c r="AN40" s="255">
        <v>150000</v>
      </c>
      <c r="AO40" s="255">
        <v>150000</v>
      </c>
      <c r="AP40" s="293">
        <v>150000</v>
      </c>
      <c r="AQ40" s="592"/>
      <c r="AR40" s="294">
        <v>150000</v>
      </c>
      <c r="AS40" s="255">
        <v>150000</v>
      </c>
      <c r="AT40" s="255">
        <v>150000</v>
      </c>
      <c r="AU40" s="255">
        <v>150000</v>
      </c>
      <c r="AV40" s="255">
        <v>150000</v>
      </c>
      <c r="AW40" s="255">
        <v>150000</v>
      </c>
      <c r="AX40" s="255">
        <v>150000</v>
      </c>
      <c r="AY40" s="255">
        <v>150000</v>
      </c>
      <c r="AZ40" s="255">
        <v>150000</v>
      </c>
      <c r="BA40" s="255">
        <v>150000</v>
      </c>
      <c r="BB40" s="255">
        <v>150000</v>
      </c>
      <c r="BC40" s="293">
        <v>150000</v>
      </c>
      <c r="BD40" s="592"/>
      <c r="BE40" s="294">
        <v>150000</v>
      </c>
      <c r="BF40" s="255">
        <v>150000</v>
      </c>
      <c r="BG40" s="255">
        <v>150000</v>
      </c>
      <c r="BH40" s="255">
        <v>150000</v>
      </c>
      <c r="BI40" s="255">
        <v>150000</v>
      </c>
      <c r="BJ40" s="255">
        <v>150000</v>
      </c>
      <c r="BK40" s="255">
        <v>150000</v>
      </c>
      <c r="BL40" s="255">
        <v>150000</v>
      </c>
      <c r="BM40" s="255">
        <v>150000</v>
      </c>
      <c r="BN40" s="255">
        <v>150000</v>
      </c>
      <c r="BO40" s="255">
        <v>150000</v>
      </c>
      <c r="BP40" s="293">
        <v>150000</v>
      </c>
    </row>
    <row r="41" spans="1:68" ht="15.75" customHeight="1">
      <c r="A41" s="626" t="s">
        <v>479</v>
      </c>
      <c r="B41" s="627"/>
      <c r="C41" s="628"/>
      <c r="D41" s="592"/>
      <c r="E41" s="255">
        <v>180000</v>
      </c>
      <c r="F41" s="255">
        <v>180000</v>
      </c>
      <c r="G41" s="255">
        <v>180000</v>
      </c>
      <c r="H41" s="255">
        <v>180000</v>
      </c>
      <c r="I41" s="255">
        <v>180000</v>
      </c>
      <c r="J41" s="255">
        <v>180000</v>
      </c>
      <c r="K41" s="255">
        <v>180000</v>
      </c>
      <c r="L41" s="255">
        <v>180000</v>
      </c>
      <c r="M41" s="255">
        <v>180000</v>
      </c>
      <c r="N41" s="255">
        <v>180000</v>
      </c>
      <c r="O41" s="255">
        <v>180000</v>
      </c>
      <c r="P41" s="293">
        <v>180000</v>
      </c>
      <c r="Q41" s="592"/>
      <c r="R41" s="294">
        <v>180000</v>
      </c>
      <c r="S41" s="255">
        <v>180000</v>
      </c>
      <c r="T41" s="255">
        <v>180000</v>
      </c>
      <c r="U41" s="255">
        <v>180000</v>
      </c>
      <c r="V41" s="255">
        <v>180000</v>
      </c>
      <c r="W41" s="255">
        <v>180000</v>
      </c>
      <c r="X41" s="255">
        <v>180000</v>
      </c>
      <c r="Y41" s="255">
        <v>180000</v>
      </c>
      <c r="Z41" s="255">
        <v>180000</v>
      </c>
      <c r="AA41" s="255">
        <v>180000</v>
      </c>
      <c r="AB41" s="255">
        <v>180000</v>
      </c>
      <c r="AC41" s="293">
        <v>180000</v>
      </c>
      <c r="AD41" s="592"/>
      <c r="AE41" s="294">
        <v>180000</v>
      </c>
      <c r="AF41" s="255">
        <v>180000</v>
      </c>
      <c r="AG41" s="255">
        <v>180000</v>
      </c>
      <c r="AH41" s="255">
        <v>180000</v>
      </c>
      <c r="AI41" s="255">
        <v>180000</v>
      </c>
      <c r="AJ41" s="255">
        <v>180000</v>
      </c>
      <c r="AK41" s="255">
        <v>180000</v>
      </c>
      <c r="AL41" s="255">
        <v>180000</v>
      </c>
      <c r="AM41" s="255">
        <v>180000</v>
      </c>
      <c r="AN41" s="255">
        <v>180000</v>
      </c>
      <c r="AO41" s="255">
        <v>180000</v>
      </c>
      <c r="AP41" s="293">
        <v>180000</v>
      </c>
      <c r="AQ41" s="592"/>
      <c r="AR41" s="294">
        <v>180000</v>
      </c>
      <c r="AS41" s="255">
        <v>180000</v>
      </c>
      <c r="AT41" s="255">
        <v>180000</v>
      </c>
      <c r="AU41" s="255">
        <v>180000</v>
      </c>
      <c r="AV41" s="255">
        <v>180000</v>
      </c>
      <c r="AW41" s="255">
        <v>180000</v>
      </c>
      <c r="AX41" s="255">
        <v>180000</v>
      </c>
      <c r="AY41" s="255">
        <v>180000</v>
      </c>
      <c r="AZ41" s="255">
        <v>180000</v>
      </c>
      <c r="BA41" s="255">
        <v>180000</v>
      </c>
      <c r="BB41" s="255">
        <v>180000</v>
      </c>
      <c r="BC41" s="293">
        <v>180000</v>
      </c>
      <c r="BD41" s="592"/>
      <c r="BE41" s="294">
        <v>180000</v>
      </c>
      <c r="BF41" s="255">
        <v>180000</v>
      </c>
      <c r="BG41" s="255">
        <v>180000</v>
      </c>
      <c r="BH41" s="255">
        <v>180000</v>
      </c>
      <c r="BI41" s="255">
        <v>180000</v>
      </c>
      <c r="BJ41" s="255">
        <v>180000</v>
      </c>
      <c r="BK41" s="255">
        <v>180000</v>
      </c>
      <c r="BL41" s="255">
        <v>180000</v>
      </c>
      <c r="BM41" s="255">
        <v>180000</v>
      </c>
      <c r="BN41" s="255">
        <v>180000</v>
      </c>
      <c r="BO41" s="255">
        <v>180000</v>
      </c>
      <c r="BP41" s="293">
        <v>180000</v>
      </c>
    </row>
    <row r="42" spans="1:68" ht="15.75" customHeight="1">
      <c r="A42" s="626" t="s">
        <v>479</v>
      </c>
      <c r="B42" s="627"/>
      <c r="C42" s="628"/>
      <c r="D42" s="592"/>
      <c r="E42" s="255">
        <v>120000</v>
      </c>
      <c r="F42" s="255">
        <v>120000</v>
      </c>
      <c r="G42" s="255">
        <v>120000</v>
      </c>
      <c r="H42" s="255">
        <v>120000</v>
      </c>
      <c r="I42" s="255">
        <v>120000</v>
      </c>
      <c r="J42" s="255"/>
      <c r="K42" s="255"/>
      <c r="L42" s="255">
        <v>120000</v>
      </c>
      <c r="M42" s="255">
        <v>120000</v>
      </c>
      <c r="N42" s="255">
        <v>120000</v>
      </c>
      <c r="O42" s="255">
        <v>120000</v>
      </c>
      <c r="P42" s="293">
        <v>120000</v>
      </c>
      <c r="Q42" s="592"/>
      <c r="R42" s="294">
        <v>180000</v>
      </c>
      <c r="S42" s="255">
        <v>180000</v>
      </c>
      <c r="T42" s="255">
        <v>180000</v>
      </c>
      <c r="U42" s="255">
        <v>180000</v>
      </c>
      <c r="V42" s="255">
        <v>180000</v>
      </c>
      <c r="W42" s="255">
        <v>180000</v>
      </c>
      <c r="X42" s="255">
        <v>180000</v>
      </c>
      <c r="Y42" s="255">
        <v>180000</v>
      </c>
      <c r="Z42" s="255">
        <v>180000</v>
      </c>
      <c r="AA42" s="255">
        <v>180000</v>
      </c>
      <c r="AB42" s="255">
        <v>180000</v>
      </c>
      <c r="AC42" s="293">
        <v>180000</v>
      </c>
      <c r="AD42" s="592"/>
      <c r="AE42" s="294">
        <v>180000</v>
      </c>
      <c r="AF42" s="255">
        <v>180000</v>
      </c>
      <c r="AG42" s="255">
        <v>180000</v>
      </c>
      <c r="AH42" s="255">
        <v>180000</v>
      </c>
      <c r="AI42" s="255">
        <v>180000</v>
      </c>
      <c r="AJ42" s="255">
        <v>180000</v>
      </c>
      <c r="AK42" s="255">
        <v>180000</v>
      </c>
      <c r="AL42" s="255">
        <v>180000</v>
      </c>
      <c r="AM42" s="255">
        <v>180000</v>
      </c>
      <c r="AN42" s="255">
        <v>180000</v>
      </c>
      <c r="AO42" s="255">
        <v>180000</v>
      </c>
      <c r="AP42" s="293">
        <v>180000</v>
      </c>
      <c r="AQ42" s="592"/>
      <c r="AR42" s="294">
        <v>180000</v>
      </c>
      <c r="AS42" s="255">
        <v>180000</v>
      </c>
      <c r="AT42" s="255">
        <v>180000</v>
      </c>
      <c r="AU42" s="255">
        <v>180000</v>
      </c>
      <c r="AV42" s="255">
        <v>180000</v>
      </c>
      <c r="AW42" s="255">
        <v>180000</v>
      </c>
      <c r="AX42" s="255">
        <v>180000</v>
      </c>
      <c r="AY42" s="255">
        <v>180000</v>
      </c>
      <c r="AZ42" s="255">
        <v>180000</v>
      </c>
      <c r="BA42" s="255">
        <v>180000</v>
      </c>
      <c r="BB42" s="255">
        <v>180000</v>
      </c>
      <c r="BC42" s="293">
        <v>180000</v>
      </c>
      <c r="BD42" s="592"/>
      <c r="BE42" s="294">
        <v>180000</v>
      </c>
      <c r="BF42" s="255">
        <v>180000</v>
      </c>
      <c r="BG42" s="255">
        <v>180000</v>
      </c>
      <c r="BH42" s="255">
        <v>180000</v>
      </c>
      <c r="BI42" s="255">
        <v>180000</v>
      </c>
      <c r="BJ42" s="255">
        <v>180000</v>
      </c>
      <c r="BK42" s="255">
        <v>180000</v>
      </c>
      <c r="BL42" s="255">
        <v>180000</v>
      </c>
      <c r="BM42" s="255">
        <v>180000</v>
      </c>
      <c r="BN42" s="255">
        <v>180000</v>
      </c>
      <c r="BO42" s="255">
        <v>180000</v>
      </c>
      <c r="BP42" s="293">
        <v>180000</v>
      </c>
    </row>
    <row r="43" spans="1:68" ht="15.75" customHeight="1">
      <c r="A43" s="626" t="s">
        <v>370</v>
      </c>
      <c r="B43" s="627"/>
      <c r="C43" s="628"/>
      <c r="D43" s="592"/>
      <c r="E43" s="255">
        <v>180000</v>
      </c>
      <c r="F43" s="255">
        <v>180000</v>
      </c>
      <c r="G43" s="255">
        <v>180000</v>
      </c>
      <c r="H43" s="255">
        <v>180000</v>
      </c>
      <c r="I43" s="255">
        <v>180000</v>
      </c>
      <c r="J43" s="255">
        <v>180000</v>
      </c>
      <c r="K43" s="255">
        <v>180000</v>
      </c>
      <c r="L43" s="255">
        <v>180000</v>
      </c>
      <c r="M43" s="255">
        <v>180000</v>
      </c>
      <c r="N43" s="255">
        <v>180000</v>
      </c>
      <c r="O43" s="255">
        <v>180000</v>
      </c>
      <c r="P43" s="293">
        <v>180000</v>
      </c>
      <c r="Q43" s="592"/>
      <c r="R43" s="294">
        <v>180000</v>
      </c>
      <c r="S43" s="255">
        <v>180000</v>
      </c>
      <c r="T43" s="255">
        <v>180000</v>
      </c>
      <c r="U43" s="255">
        <v>180000</v>
      </c>
      <c r="V43" s="255">
        <v>180000</v>
      </c>
      <c r="W43" s="255">
        <v>180000</v>
      </c>
      <c r="X43" s="255">
        <v>180000</v>
      </c>
      <c r="Y43" s="255">
        <v>180000</v>
      </c>
      <c r="Z43" s="255">
        <v>180000</v>
      </c>
      <c r="AA43" s="255">
        <v>180000</v>
      </c>
      <c r="AB43" s="255">
        <v>180000</v>
      </c>
      <c r="AC43" s="293">
        <v>180000</v>
      </c>
      <c r="AD43" s="592"/>
      <c r="AE43" s="294">
        <v>180000</v>
      </c>
      <c r="AF43" s="255">
        <v>180000</v>
      </c>
      <c r="AG43" s="255">
        <v>180000</v>
      </c>
      <c r="AH43" s="255">
        <v>180000</v>
      </c>
      <c r="AI43" s="255">
        <v>180000</v>
      </c>
      <c r="AJ43" s="255">
        <v>180000</v>
      </c>
      <c r="AK43" s="255">
        <v>180000</v>
      </c>
      <c r="AL43" s="255">
        <v>180000</v>
      </c>
      <c r="AM43" s="255">
        <v>180000</v>
      </c>
      <c r="AN43" s="255">
        <v>180000</v>
      </c>
      <c r="AO43" s="255">
        <v>180000</v>
      </c>
      <c r="AP43" s="293">
        <v>180000</v>
      </c>
      <c r="AQ43" s="592"/>
      <c r="AR43" s="294">
        <v>180000</v>
      </c>
      <c r="AS43" s="255">
        <v>180000</v>
      </c>
      <c r="AT43" s="255">
        <v>180000</v>
      </c>
      <c r="AU43" s="255">
        <v>180000</v>
      </c>
      <c r="AV43" s="255">
        <v>180000</v>
      </c>
      <c r="AW43" s="255">
        <v>180000</v>
      </c>
      <c r="AX43" s="255">
        <v>180000</v>
      </c>
      <c r="AY43" s="255">
        <v>180000</v>
      </c>
      <c r="AZ43" s="255">
        <v>180000</v>
      </c>
      <c r="BA43" s="255">
        <v>180000</v>
      </c>
      <c r="BB43" s="255">
        <v>180000</v>
      </c>
      <c r="BC43" s="293">
        <v>180000</v>
      </c>
      <c r="BD43" s="592"/>
      <c r="BE43" s="294">
        <v>180000</v>
      </c>
      <c r="BF43" s="255">
        <v>180000</v>
      </c>
      <c r="BG43" s="255">
        <v>180000</v>
      </c>
      <c r="BH43" s="255">
        <v>180000</v>
      </c>
      <c r="BI43" s="255">
        <v>180000</v>
      </c>
      <c r="BJ43" s="255">
        <v>180000</v>
      </c>
      <c r="BK43" s="255">
        <v>180000</v>
      </c>
      <c r="BL43" s="255">
        <v>180000</v>
      </c>
      <c r="BM43" s="255">
        <v>180000</v>
      </c>
      <c r="BN43" s="255">
        <v>180000</v>
      </c>
      <c r="BO43" s="255">
        <v>180000</v>
      </c>
      <c r="BP43" s="293">
        <v>180000</v>
      </c>
    </row>
    <row r="44" spans="1:68" ht="15.75" customHeight="1">
      <c r="A44" s="626" t="s">
        <v>480</v>
      </c>
      <c r="B44" s="627"/>
      <c r="C44" s="628"/>
      <c r="D44" s="592"/>
      <c r="E44" s="255">
        <v>120000</v>
      </c>
      <c r="F44" s="255">
        <v>120000</v>
      </c>
      <c r="G44" s="255">
        <v>120000</v>
      </c>
      <c r="H44" s="255">
        <v>120000</v>
      </c>
      <c r="I44" s="255">
        <v>120000</v>
      </c>
      <c r="J44" s="255">
        <v>120000</v>
      </c>
      <c r="K44" s="255">
        <v>120000</v>
      </c>
      <c r="L44" s="255">
        <v>120000</v>
      </c>
      <c r="M44" s="255">
        <v>120000</v>
      </c>
      <c r="N44" s="255">
        <v>120000</v>
      </c>
      <c r="O44" s="255">
        <v>120000</v>
      </c>
      <c r="P44" s="293">
        <v>120000</v>
      </c>
      <c r="Q44" s="592"/>
      <c r="R44" s="294">
        <v>150000</v>
      </c>
      <c r="S44" s="255">
        <v>150000</v>
      </c>
      <c r="T44" s="255">
        <v>150000</v>
      </c>
      <c r="U44" s="255">
        <v>150000</v>
      </c>
      <c r="V44" s="255">
        <v>150000</v>
      </c>
      <c r="W44" s="255">
        <v>150000</v>
      </c>
      <c r="X44" s="255">
        <v>150000</v>
      </c>
      <c r="Y44" s="255">
        <v>150000</v>
      </c>
      <c r="Z44" s="255">
        <v>150000</v>
      </c>
      <c r="AA44" s="255">
        <v>150000</v>
      </c>
      <c r="AB44" s="255">
        <v>150000</v>
      </c>
      <c r="AC44" s="293">
        <v>150000</v>
      </c>
      <c r="AD44" s="592"/>
      <c r="AE44" s="294">
        <v>150000</v>
      </c>
      <c r="AF44" s="255">
        <v>150000</v>
      </c>
      <c r="AG44" s="255">
        <v>150000</v>
      </c>
      <c r="AH44" s="255">
        <v>150000</v>
      </c>
      <c r="AI44" s="255">
        <v>150000</v>
      </c>
      <c r="AJ44" s="255">
        <v>150000</v>
      </c>
      <c r="AK44" s="255">
        <v>150000</v>
      </c>
      <c r="AL44" s="255">
        <v>150000</v>
      </c>
      <c r="AM44" s="255">
        <v>150000</v>
      </c>
      <c r="AN44" s="255">
        <v>150000</v>
      </c>
      <c r="AO44" s="255">
        <v>150000</v>
      </c>
      <c r="AP44" s="293">
        <v>150000</v>
      </c>
      <c r="AQ44" s="592"/>
      <c r="AR44" s="294">
        <v>150000</v>
      </c>
      <c r="AS44" s="255">
        <v>150000</v>
      </c>
      <c r="AT44" s="255">
        <v>150000</v>
      </c>
      <c r="AU44" s="255">
        <v>150000</v>
      </c>
      <c r="AV44" s="255">
        <v>150000</v>
      </c>
      <c r="AW44" s="255">
        <v>150000</v>
      </c>
      <c r="AX44" s="255">
        <v>150000</v>
      </c>
      <c r="AY44" s="255">
        <v>150000</v>
      </c>
      <c r="AZ44" s="255">
        <v>150000</v>
      </c>
      <c r="BA44" s="255">
        <v>150000</v>
      </c>
      <c r="BB44" s="255">
        <v>150000</v>
      </c>
      <c r="BC44" s="293">
        <v>150000</v>
      </c>
      <c r="BD44" s="592"/>
      <c r="BE44" s="294">
        <v>150000</v>
      </c>
      <c r="BF44" s="255">
        <v>150000</v>
      </c>
      <c r="BG44" s="255">
        <v>150000</v>
      </c>
      <c r="BH44" s="255">
        <v>150000</v>
      </c>
      <c r="BI44" s="255">
        <v>150000</v>
      </c>
      <c r="BJ44" s="255">
        <v>150000</v>
      </c>
      <c r="BK44" s="255">
        <v>150000</v>
      </c>
      <c r="BL44" s="255">
        <v>150000</v>
      </c>
      <c r="BM44" s="255">
        <v>150000</v>
      </c>
      <c r="BN44" s="255">
        <v>150000</v>
      </c>
      <c r="BO44" s="255">
        <v>150000</v>
      </c>
      <c r="BP44" s="293">
        <v>150000</v>
      </c>
    </row>
    <row r="45" spans="1:68" ht="15.75" customHeight="1">
      <c r="A45" s="626" t="s">
        <v>480</v>
      </c>
      <c r="B45" s="627"/>
      <c r="C45" s="628"/>
      <c r="D45" s="592"/>
      <c r="E45" s="255">
        <v>280000</v>
      </c>
      <c r="F45" s="255">
        <v>280000</v>
      </c>
      <c r="G45" s="255">
        <v>280000</v>
      </c>
      <c r="H45" s="255">
        <v>280000</v>
      </c>
      <c r="I45" s="255">
        <v>280000</v>
      </c>
      <c r="J45" s="255"/>
      <c r="K45" s="255"/>
      <c r="L45" s="255">
        <v>280000</v>
      </c>
      <c r="M45" s="255">
        <v>280000</v>
      </c>
      <c r="N45" s="255">
        <v>280000</v>
      </c>
      <c r="O45" s="255">
        <v>280000</v>
      </c>
      <c r="P45" s="293">
        <v>280000</v>
      </c>
      <c r="Q45" s="592"/>
      <c r="R45" s="294">
        <v>300000</v>
      </c>
      <c r="S45" s="255">
        <v>300000</v>
      </c>
      <c r="T45" s="255">
        <v>300000</v>
      </c>
      <c r="U45" s="255">
        <v>300000</v>
      </c>
      <c r="V45" s="255">
        <v>300000</v>
      </c>
      <c r="W45" s="255">
        <v>300000</v>
      </c>
      <c r="X45" s="255">
        <v>300000</v>
      </c>
      <c r="Y45" s="255">
        <v>300000</v>
      </c>
      <c r="Z45" s="255">
        <v>300000</v>
      </c>
      <c r="AA45" s="255">
        <v>300000</v>
      </c>
      <c r="AB45" s="255">
        <v>300000</v>
      </c>
      <c r="AC45" s="293">
        <v>250000</v>
      </c>
      <c r="AD45" s="592"/>
      <c r="AE45" s="294">
        <v>250000</v>
      </c>
      <c r="AF45" s="255">
        <v>250000</v>
      </c>
      <c r="AG45" s="255">
        <v>250000</v>
      </c>
      <c r="AH45" s="255">
        <v>250000</v>
      </c>
      <c r="AI45" s="255">
        <v>250000</v>
      </c>
      <c r="AJ45" s="255">
        <v>250000</v>
      </c>
      <c r="AK45" s="255">
        <v>250000</v>
      </c>
      <c r="AL45" s="255">
        <v>250000</v>
      </c>
      <c r="AM45" s="255">
        <v>250000</v>
      </c>
      <c r="AN45" s="255">
        <v>250000</v>
      </c>
      <c r="AO45" s="255">
        <v>250000</v>
      </c>
      <c r="AP45" s="293">
        <v>250000</v>
      </c>
      <c r="AQ45" s="592"/>
      <c r="AR45" s="294">
        <v>250000</v>
      </c>
      <c r="AS45" s="255">
        <v>250000</v>
      </c>
      <c r="AT45" s="255">
        <v>250000</v>
      </c>
      <c r="AU45" s="255">
        <v>250000</v>
      </c>
      <c r="AV45" s="255">
        <v>250000</v>
      </c>
      <c r="AW45" s="255">
        <v>250000</v>
      </c>
      <c r="AX45" s="255">
        <v>250000</v>
      </c>
      <c r="AY45" s="255">
        <v>250000</v>
      </c>
      <c r="AZ45" s="255">
        <v>250000</v>
      </c>
      <c r="BA45" s="255">
        <v>250000</v>
      </c>
      <c r="BB45" s="255">
        <v>250000</v>
      </c>
      <c r="BC45" s="293">
        <v>250000</v>
      </c>
      <c r="BD45" s="592"/>
      <c r="BE45" s="294">
        <v>250000</v>
      </c>
      <c r="BF45" s="255">
        <v>250000</v>
      </c>
      <c r="BG45" s="255">
        <v>250000</v>
      </c>
      <c r="BH45" s="255">
        <v>250000</v>
      </c>
      <c r="BI45" s="255">
        <v>250000</v>
      </c>
      <c r="BJ45" s="255">
        <v>250000</v>
      </c>
      <c r="BK45" s="255">
        <v>250000</v>
      </c>
      <c r="BL45" s="255">
        <v>250000</v>
      </c>
      <c r="BM45" s="255">
        <v>250000</v>
      </c>
      <c r="BN45" s="255">
        <v>250000</v>
      </c>
      <c r="BO45" s="255">
        <v>250000</v>
      </c>
      <c r="BP45" s="293">
        <v>250000</v>
      </c>
    </row>
    <row r="46" spans="1:68" ht="15.75" customHeight="1">
      <c r="A46" s="626" t="s">
        <v>481</v>
      </c>
      <c r="B46" s="627"/>
      <c r="C46" s="628"/>
      <c r="D46" s="592"/>
      <c r="E46" s="255">
        <v>180000</v>
      </c>
      <c r="F46" s="255">
        <v>180000</v>
      </c>
      <c r="G46" s="255">
        <v>180000</v>
      </c>
      <c r="H46" s="255">
        <v>180000</v>
      </c>
      <c r="I46" s="255">
        <v>180000</v>
      </c>
      <c r="J46" s="255">
        <v>180000</v>
      </c>
      <c r="K46" s="255">
        <v>180000</v>
      </c>
      <c r="L46" s="255">
        <v>180000</v>
      </c>
      <c r="M46" s="255">
        <v>180000</v>
      </c>
      <c r="N46" s="255">
        <v>180000</v>
      </c>
      <c r="O46" s="255">
        <v>180000</v>
      </c>
      <c r="P46" s="293">
        <v>180000</v>
      </c>
      <c r="Q46" s="592"/>
      <c r="R46" s="294">
        <v>180000</v>
      </c>
      <c r="S46" s="255">
        <v>180000</v>
      </c>
      <c r="T46" s="255">
        <v>180000</v>
      </c>
      <c r="U46" s="255">
        <v>180000</v>
      </c>
      <c r="V46" s="255">
        <v>180000</v>
      </c>
      <c r="W46" s="255">
        <v>180000</v>
      </c>
      <c r="X46" s="255">
        <v>180000</v>
      </c>
      <c r="Y46" s="255">
        <v>180000</v>
      </c>
      <c r="Z46" s="255">
        <v>180000</v>
      </c>
      <c r="AA46" s="255">
        <v>180000</v>
      </c>
      <c r="AB46" s="255">
        <v>180000</v>
      </c>
      <c r="AC46" s="293">
        <v>180000</v>
      </c>
      <c r="AD46" s="592"/>
      <c r="AE46" s="294">
        <v>180000</v>
      </c>
      <c r="AF46" s="255">
        <v>180000</v>
      </c>
      <c r="AG46" s="255">
        <v>180000</v>
      </c>
      <c r="AH46" s="255">
        <v>180000</v>
      </c>
      <c r="AI46" s="255">
        <v>180000</v>
      </c>
      <c r="AJ46" s="255">
        <v>180000</v>
      </c>
      <c r="AK46" s="255">
        <v>180000</v>
      </c>
      <c r="AL46" s="255">
        <v>180000</v>
      </c>
      <c r="AM46" s="255">
        <v>180000</v>
      </c>
      <c r="AN46" s="255">
        <v>180000</v>
      </c>
      <c r="AO46" s="255">
        <v>180000</v>
      </c>
      <c r="AP46" s="293">
        <v>180000</v>
      </c>
      <c r="AQ46" s="592"/>
      <c r="AR46" s="294">
        <v>180000</v>
      </c>
      <c r="AS46" s="255">
        <v>180000</v>
      </c>
      <c r="AT46" s="255">
        <v>180000</v>
      </c>
      <c r="AU46" s="255">
        <v>180000</v>
      </c>
      <c r="AV46" s="255">
        <v>180000</v>
      </c>
      <c r="AW46" s="255">
        <v>180000</v>
      </c>
      <c r="AX46" s="255">
        <v>180000</v>
      </c>
      <c r="AY46" s="255">
        <v>180000</v>
      </c>
      <c r="AZ46" s="255">
        <v>180000</v>
      </c>
      <c r="BA46" s="255">
        <v>180000</v>
      </c>
      <c r="BB46" s="255">
        <v>180000</v>
      </c>
      <c r="BC46" s="293">
        <v>180000</v>
      </c>
      <c r="BD46" s="592"/>
      <c r="BE46" s="294">
        <v>180000</v>
      </c>
      <c r="BF46" s="255">
        <v>180000</v>
      </c>
      <c r="BG46" s="255">
        <v>180000</v>
      </c>
      <c r="BH46" s="255">
        <v>180000</v>
      </c>
      <c r="BI46" s="255">
        <v>180000</v>
      </c>
      <c r="BJ46" s="255">
        <v>180000</v>
      </c>
      <c r="BK46" s="255">
        <v>180000</v>
      </c>
      <c r="BL46" s="255">
        <v>180000</v>
      </c>
      <c r="BM46" s="255">
        <v>180000</v>
      </c>
      <c r="BN46" s="255">
        <v>180000</v>
      </c>
      <c r="BO46" s="255">
        <v>180000</v>
      </c>
      <c r="BP46" s="293">
        <v>180000</v>
      </c>
    </row>
    <row r="47" spans="1:68" ht="15.75" customHeight="1">
      <c r="A47" s="626" t="s">
        <v>481</v>
      </c>
      <c r="B47" s="627"/>
      <c r="C47" s="628"/>
      <c r="D47" s="592"/>
      <c r="E47" s="255">
        <v>180000</v>
      </c>
      <c r="F47" s="255">
        <v>180000</v>
      </c>
      <c r="G47" s="255">
        <v>180000</v>
      </c>
      <c r="H47" s="255">
        <v>180000</v>
      </c>
      <c r="I47" s="255">
        <v>180000</v>
      </c>
      <c r="J47" s="255">
        <v>180000</v>
      </c>
      <c r="K47" s="255">
        <v>180000</v>
      </c>
      <c r="L47" s="255">
        <v>180000</v>
      </c>
      <c r="M47" s="255">
        <v>180000</v>
      </c>
      <c r="N47" s="255">
        <v>180000</v>
      </c>
      <c r="O47" s="255">
        <v>180000</v>
      </c>
      <c r="P47" s="293">
        <v>180000</v>
      </c>
      <c r="Q47" s="592"/>
      <c r="R47" s="294">
        <v>180000</v>
      </c>
      <c r="S47" s="255">
        <v>180000</v>
      </c>
      <c r="T47" s="255">
        <v>180000</v>
      </c>
      <c r="U47" s="255">
        <v>180000</v>
      </c>
      <c r="V47" s="255">
        <v>180000</v>
      </c>
      <c r="W47" s="255">
        <v>180000</v>
      </c>
      <c r="X47" s="255">
        <v>180000</v>
      </c>
      <c r="Y47" s="255">
        <v>180000</v>
      </c>
      <c r="Z47" s="255">
        <v>180000</v>
      </c>
      <c r="AA47" s="255">
        <v>180000</v>
      </c>
      <c r="AB47" s="255">
        <v>180000</v>
      </c>
      <c r="AC47" s="293">
        <v>180000</v>
      </c>
      <c r="AD47" s="592"/>
      <c r="AE47" s="294">
        <v>180000</v>
      </c>
      <c r="AF47" s="255">
        <v>180000</v>
      </c>
      <c r="AG47" s="255">
        <v>180000</v>
      </c>
      <c r="AH47" s="255">
        <v>180000</v>
      </c>
      <c r="AI47" s="255">
        <v>180000</v>
      </c>
      <c r="AJ47" s="255">
        <v>180000</v>
      </c>
      <c r="AK47" s="255">
        <v>180000</v>
      </c>
      <c r="AL47" s="255">
        <v>180000</v>
      </c>
      <c r="AM47" s="255">
        <v>180000</v>
      </c>
      <c r="AN47" s="255">
        <v>180000</v>
      </c>
      <c r="AO47" s="255">
        <v>180000</v>
      </c>
      <c r="AP47" s="293">
        <v>180000</v>
      </c>
      <c r="AQ47" s="592"/>
      <c r="AR47" s="294">
        <v>180000</v>
      </c>
      <c r="AS47" s="255">
        <v>180000</v>
      </c>
      <c r="AT47" s="255">
        <v>180000</v>
      </c>
      <c r="AU47" s="255">
        <v>180000</v>
      </c>
      <c r="AV47" s="255">
        <v>180000</v>
      </c>
      <c r="AW47" s="255">
        <v>180000</v>
      </c>
      <c r="AX47" s="255">
        <v>180000</v>
      </c>
      <c r="AY47" s="255">
        <v>180000</v>
      </c>
      <c r="AZ47" s="255">
        <v>180000</v>
      </c>
      <c r="BA47" s="255">
        <v>180000</v>
      </c>
      <c r="BB47" s="255">
        <v>180000</v>
      </c>
      <c r="BC47" s="293">
        <v>180000</v>
      </c>
      <c r="BD47" s="592"/>
      <c r="BE47" s="294">
        <v>180000</v>
      </c>
      <c r="BF47" s="255">
        <v>180000</v>
      </c>
      <c r="BG47" s="255">
        <v>180000</v>
      </c>
      <c r="BH47" s="255">
        <v>180000</v>
      </c>
      <c r="BI47" s="255">
        <v>180000</v>
      </c>
      <c r="BJ47" s="255">
        <v>180000</v>
      </c>
      <c r="BK47" s="255">
        <v>180000</v>
      </c>
      <c r="BL47" s="255">
        <v>180000</v>
      </c>
      <c r="BM47" s="255">
        <v>180000</v>
      </c>
      <c r="BN47" s="255">
        <v>180000</v>
      </c>
      <c r="BO47" s="255">
        <v>180000</v>
      </c>
      <c r="BP47" s="293">
        <v>180000</v>
      </c>
    </row>
    <row r="48" spans="1:68" ht="15.75" customHeight="1">
      <c r="A48" s="626" t="s">
        <v>481</v>
      </c>
      <c r="B48" s="627"/>
      <c r="C48" s="628"/>
      <c r="D48" s="592"/>
      <c r="E48" s="255">
        <v>180000</v>
      </c>
      <c r="F48" s="255">
        <v>180000</v>
      </c>
      <c r="G48" s="255">
        <v>180000</v>
      </c>
      <c r="H48" s="255">
        <v>180000</v>
      </c>
      <c r="I48" s="255">
        <v>180000</v>
      </c>
      <c r="J48" s="255"/>
      <c r="K48" s="255"/>
      <c r="L48" s="255">
        <v>180000</v>
      </c>
      <c r="M48" s="255">
        <v>180000</v>
      </c>
      <c r="N48" s="255">
        <v>180000</v>
      </c>
      <c r="O48" s="255">
        <v>180000</v>
      </c>
      <c r="P48" s="293">
        <v>180000</v>
      </c>
      <c r="Q48" s="592"/>
      <c r="R48" s="294">
        <v>250000</v>
      </c>
      <c r="S48" s="255">
        <v>250000</v>
      </c>
      <c r="T48" s="255">
        <v>250000</v>
      </c>
      <c r="U48" s="255">
        <v>250000</v>
      </c>
      <c r="V48" s="255">
        <v>250000</v>
      </c>
      <c r="W48" s="255">
        <v>250000</v>
      </c>
      <c r="X48" s="255">
        <v>250000</v>
      </c>
      <c r="Y48" s="255">
        <v>250000</v>
      </c>
      <c r="Z48" s="255">
        <v>250000</v>
      </c>
      <c r="AA48" s="255">
        <v>250000</v>
      </c>
      <c r="AB48" s="255">
        <v>250000</v>
      </c>
      <c r="AC48" s="293">
        <v>250000</v>
      </c>
      <c r="AD48" s="592"/>
      <c r="AE48" s="294">
        <v>250000</v>
      </c>
      <c r="AF48" s="255">
        <v>250000</v>
      </c>
      <c r="AG48" s="255">
        <v>250000</v>
      </c>
      <c r="AH48" s="255">
        <v>250000</v>
      </c>
      <c r="AI48" s="255">
        <v>250000</v>
      </c>
      <c r="AJ48" s="255">
        <v>250000</v>
      </c>
      <c r="AK48" s="255">
        <v>250000</v>
      </c>
      <c r="AL48" s="255">
        <v>250000</v>
      </c>
      <c r="AM48" s="255">
        <v>250000</v>
      </c>
      <c r="AN48" s="255">
        <v>250000</v>
      </c>
      <c r="AO48" s="255">
        <v>250000</v>
      </c>
      <c r="AP48" s="293">
        <v>250000</v>
      </c>
      <c r="AQ48" s="592"/>
      <c r="AR48" s="294">
        <v>250000</v>
      </c>
      <c r="AS48" s="255">
        <v>250000</v>
      </c>
      <c r="AT48" s="255">
        <v>250000</v>
      </c>
      <c r="AU48" s="255">
        <v>250000</v>
      </c>
      <c r="AV48" s="255">
        <v>250000</v>
      </c>
      <c r="AW48" s="255">
        <v>250000</v>
      </c>
      <c r="AX48" s="255">
        <v>250000</v>
      </c>
      <c r="AY48" s="255">
        <v>250000</v>
      </c>
      <c r="AZ48" s="255">
        <v>250000</v>
      </c>
      <c r="BA48" s="255">
        <v>250000</v>
      </c>
      <c r="BB48" s="255">
        <v>250000</v>
      </c>
      <c r="BC48" s="293">
        <v>250000</v>
      </c>
      <c r="BD48" s="592"/>
      <c r="BE48" s="294">
        <v>250000</v>
      </c>
      <c r="BF48" s="255">
        <v>250000</v>
      </c>
      <c r="BG48" s="255">
        <v>250000</v>
      </c>
      <c r="BH48" s="255">
        <v>250000</v>
      </c>
      <c r="BI48" s="255">
        <v>250000</v>
      </c>
      <c r="BJ48" s="255">
        <v>250000</v>
      </c>
      <c r="BK48" s="255">
        <v>250000</v>
      </c>
      <c r="BL48" s="255">
        <v>250000</v>
      </c>
      <c r="BM48" s="255">
        <v>250000</v>
      </c>
      <c r="BN48" s="255">
        <v>250000</v>
      </c>
      <c r="BO48" s="255">
        <v>250000</v>
      </c>
      <c r="BP48" s="293">
        <v>250000</v>
      </c>
    </row>
    <row r="49" spans="1:68" ht="15.75" customHeight="1">
      <c r="A49" s="626" t="s">
        <v>362</v>
      </c>
      <c r="B49" s="627"/>
      <c r="C49" s="628"/>
      <c r="D49" s="592"/>
      <c r="E49" s="255">
        <v>250000</v>
      </c>
      <c r="F49" s="255">
        <v>250000</v>
      </c>
      <c r="G49" s="255">
        <v>250000</v>
      </c>
      <c r="H49" s="255">
        <v>250000</v>
      </c>
      <c r="I49" s="255">
        <v>250000</v>
      </c>
      <c r="J49" s="255">
        <v>150000</v>
      </c>
      <c r="K49" s="255">
        <v>150000</v>
      </c>
      <c r="L49" s="255">
        <v>250000</v>
      </c>
      <c r="M49" s="255">
        <v>250000</v>
      </c>
      <c r="N49" s="255">
        <v>250000</v>
      </c>
      <c r="O49" s="255">
        <v>250000</v>
      </c>
      <c r="P49" s="293">
        <v>250000</v>
      </c>
      <c r="Q49" s="592"/>
      <c r="R49" s="294">
        <v>300000</v>
      </c>
      <c r="S49" s="255">
        <v>300000</v>
      </c>
      <c r="T49" s="255">
        <v>300000</v>
      </c>
      <c r="U49" s="255">
        <v>300000</v>
      </c>
      <c r="V49" s="255">
        <v>300000</v>
      </c>
      <c r="W49" s="255">
        <v>300000</v>
      </c>
      <c r="X49" s="255">
        <v>300000</v>
      </c>
      <c r="Y49" s="255">
        <v>300000</v>
      </c>
      <c r="Z49" s="255">
        <v>300000</v>
      </c>
      <c r="AA49" s="255">
        <v>300000</v>
      </c>
      <c r="AB49" s="255">
        <v>300000</v>
      </c>
      <c r="AC49" s="293">
        <v>300000</v>
      </c>
      <c r="AD49" s="592"/>
      <c r="AE49" s="294">
        <v>300000</v>
      </c>
      <c r="AF49" s="255">
        <v>300000</v>
      </c>
      <c r="AG49" s="255">
        <v>300000</v>
      </c>
      <c r="AH49" s="255">
        <v>300000</v>
      </c>
      <c r="AI49" s="255">
        <v>300000</v>
      </c>
      <c r="AJ49" s="255">
        <v>300000</v>
      </c>
      <c r="AK49" s="255">
        <v>300000</v>
      </c>
      <c r="AL49" s="255">
        <v>300000</v>
      </c>
      <c r="AM49" s="255">
        <v>300000</v>
      </c>
      <c r="AN49" s="255">
        <v>300000</v>
      </c>
      <c r="AO49" s="255">
        <v>300000</v>
      </c>
      <c r="AP49" s="293">
        <v>300000</v>
      </c>
      <c r="AQ49" s="592"/>
      <c r="AR49" s="294">
        <v>300000</v>
      </c>
      <c r="AS49" s="255">
        <v>300000</v>
      </c>
      <c r="AT49" s="255">
        <v>300000</v>
      </c>
      <c r="AU49" s="255">
        <v>300000</v>
      </c>
      <c r="AV49" s="255">
        <v>300000</v>
      </c>
      <c r="AW49" s="255">
        <v>300000</v>
      </c>
      <c r="AX49" s="255">
        <v>300000</v>
      </c>
      <c r="AY49" s="255">
        <v>300000</v>
      </c>
      <c r="AZ49" s="255">
        <v>300000</v>
      </c>
      <c r="BA49" s="255">
        <v>300000</v>
      </c>
      <c r="BB49" s="255">
        <v>300000</v>
      </c>
      <c r="BC49" s="293">
        <v>300000</v>
      </c>
      <c r="BD49" s="592"/>
      <c r="BE49" s="294">
        <v>300000</v>
      </c>
      <c r="BF49" s="255">
        <v>300000</v>
      </c>
      <c r="BG49" s="255">
        <v>300000</v>
      </c>
      <c r="BH49" s="255">
        <v>300000</v>
      </c>
      <c r="BI49" s="255">
        <v>300000</v>
      </c>
      <c r="BJ49" s="255">
        <v>300000</v>
      </c>
      <c r="BK49" s="255">
        <v>300000</v>
      </c>
      <c r="BL49" s="255">
        <v>300000</v>
      </c>
      <c r="BM49" s="255">
        <v>300000</v>
      </c>
      <c r="BN49" s="255">
        <v>300000</v>
      </c>
      <c r="BO49" s="255">
        <v>300000</v>
      </c>
      <c r="BP49" s="293">
        <v>300000</v>
      </c>
    </row>
    <row r="50" spans="1:68" ht="15.75" customHeight="1">
      <c r="A50" s="626" t="s">
        <v>362</v>
      </c>
      <c r="B50" s="627"/>
      <c r="C50" s="628"/>
      <c r="D50" s="592"/>
      <c r="E50" s="255"/>
      <c r="F50" s="255"/>
      <c r="G50" s="255"/>
      <c r="H50" s="255"/>
      <c r="I50" s="255">
        <v>250000</v>
      </c>
      <c r="J50" s="255"/>
      <c r="K50" s="255"/>
      <c r="L50" s="255">
        <v>250000</v>
      </c>
      <c r="M50" s="255">
        <v>250000</v>
      </c>
      <c r="N50" s="255">
        <v>250000</v>
      </c>
      <c r="O50" s="255">
        <v>250000</v>
      </c>
      <c r="P50" s="293">
        <v>250000</v>
      </c>
      <c r="Q50" s="592"/>
      <c r="R50" s="294">
        <v>300000</v>
      </c>
      <c r="S50" s="255">
        <v>300000</v>
      </c>
      <c r="T50" s="255">
        <v>300000</v>
      </c>
      <c r="U50" s="255">
        <v>300000</v>
      </c>
      <c r="V50" s="255">
        <v>300000</v>
      </c>
      <c r="W50" s="255">
        <v>300000</v>
      </c>
      <c r="X50" s="255">
        <v>300000</v>
      </c>
      <c r="Y50" s="255">
        <v>300000</v>
      </c>
      <c r="Z50" s="255">
        <v>300000</v>
      </c>
      <c r="AA50" s="255">
        <v>300000</v>
      </c>
      <c r="AB50" s="255">
        <v>300000</v>
      </c>
      <c r="AC50" s="293">
        <v>300000</v>
      </c>
      <c r="AD50" s="592"/>
      <c r="AE50" s="294">
        <v>300000</v>
      </c>
      <c r="AF50" s="255">
        <v>300000</v>
      </c>
      <c r="AG50" s="255">
        <v>300000</v>
      </c>
      <c r="AH50" s="255">
        <v>300000</v>
      </c>
      <c r="AI50" s="255">
        <v>300000</v>
      </c>
      <c r="AJ50" s="255">
        <v>300000</v>
      </c>
      <c r="AK50" s="255">
        <v>300000</v>
      </c>
      <c r="AL50" s="255">
        <v>300000</v>
      </c>
      <c r="AM50" s="255">
        <v>300000</v>
      </c>
      <c r="AN50" s="255">
        <v>300000</v>
      </c>
      <c r="AO50" s="255">
        <v>300000</v>
      </c>
      <c r="AP50" s="293">
        <v>300000</v>
      </c>
      <c r="AQ50" s="592"/>
      <c r="AR50" s="294">
        <v>300000</v>
      </c>
      <c r="AS50" s="255">
        <v>300000</v>
      </c>
      <c r="AT50" s="255">
        <v>300000</v>
      </c>
      <c r="AU50" s="255">
        <v>300000</v>
      </c>
      <c r="AV50" s="255">
        <v>300000</v>
      </c>
      <c r="AW50" s="255">
        <v>300000</v>
      </c>
      <c r="AX50" s="255">
        <v>300000</v>
      </c>
      <c r="AY50" s="255">
        <v>300000</v>
      </c>
      <c r="AZ50" s="255">
        <v>300000</v>
      </c>
      <c r="BA50" s="255">
        <v>300000</v>
      </c>
      <c r="BB50" s="255">
        <v>300000</v>
      </c>
      <c r="BC50" s="293">
        <v>300000</v>
      </c>
      <c r="BD50" s="592"/>
      <c r="BE50" s="294">
        <v>300000</v>
      </c>
      <c r="BF50" s="255">
        <v>300000</v>
      </c>
      <c r="BG50" s="255">
        <v>300000</v>
      </c>
      <c r="BH50" s="255">
        <v>300000</v>
      </c>
      <c r="BI50" s="255">
        <v>300000</v>
      </c>
      <c r="BJ50" s="255">
        <v>300000</v>
      </c>
      <c r="BK50" s="255">
        <v>300000</v>
      </c>
      <c r="BL50" s="255">
        <v>300000</v>
      </c>
      <c r="BM50" s="255">
        <v>300000</v>
      </c>
      <c r="BN50" s="255">
        <v>300000</v>
      </c>
      <c r="BO50" s="255">
        <v>300000</v>
      </c>
      <c r="BP50" s="293">
        <v>300000</v>
      </c>
    </row>
    <row r="51" spans="1:68" ht="15.75" customHeight="1">
      <c r="A51" s="626" t="s">
        <v>390</v>
      </c>
      <c r="B51" s="627"/>
      <c r="C51" s="628"/>
      <c r="D51" s="592"/>
      <c r="E51" s="417">
        <v>50000</v>
      </c>
      <c r="F51" s="417">
        <v>150000</v>
      </c>
      <c r="G51" s="417">
        <v>150000</v>
      </c>
      <c r="H51" s="417">
        <v>150000</v>
      </c>
      <c r="I51" s="417">
        <v>150000</v>
      </c>
      <c r="J51" s="417"/>
      <c r="K51" s="417"/>
      <c r="L51" s="417">
        <v>250000</v>
      </c>
      <c r="M51" s="417">
        <v>250000</v>
      </c>
      <c r="N51" s="417">
        <v>250000</v>
      </c>
      <c r="O51" s="417">
        <v>250000</v>
      </c>
      <c r="P51" s="418">
        <v>150000</v>
      </c>
      <c r="Q51" s="592"/>
      <c r="R51" s="419">
        <v>250000</v>
      </c>
      <c r="S51" s="417">
        <v>250000</v>
      </c>
      <c r="T51" s="417">
        <v>250000</v>
      </c>
      <c r="U51" s="417">
        <v>250000</v>
      </c>
      <c r="V51" s="417">
        <v>250000</v>
      </c>
      <c r="W51" s="417">
        <v>250000</v>
      </c>
      <c r="X51" s="417">
        <v>250000</v>
      </c>
      <c r="Y51" s="417">
        <v>250000</v>
      </c>
      <c r="Z51" s="417">
        <v>250000</v>
      </c>
      <c r="AA51" s="417">
        <v>250000</v>
      </c>
      <c r="AB51" s="417">
        <v>250000</v>
      </c>
      <c r="AC51" s="418">
        <v>250000</v>
      </c>
      <c r="AD51" s="592"/>
      <c r="AE51" s="419">
        <v>250000</v>
      </c>
      <c r="AF51" s="417">
        <v>250000</v>
      </c>
      <c r="AG51" s="417">
        <v>250000</v>
      </c>
      <c r="AH51" s="417">
        <v>250000</v>
      </c>
      <c r="AI51" s="417">
        <v>250000</v>
      </c>
      <c r="AJ51" s="417">
        <v>250000</v>
      </c>
      <c r="AK51" s="417">
        <v>250000</v>
      </c>
      <c r="AL51" s="417">
        <v>250000</v>
      </c>
      <c r="AM51" s="417">
        <v>250000</v>
      </c>
      <c r="AN51" s="417">
        <v>250000</v>
      </c>
      <c r="AO51" s="417">
        <v>250000</v>
      </c>
      <c r="AP51" s="418">
        <v>250000</v>
      </c>
      <c r="AQ51" s="592"/>
      <c r="AR51" s="419">
        <v>250000</v>
      </c>
      <c r="AS51" s="417">
        <v>250000</v>
      </c>
      <c r="AT51" s="417">
        <v>250000</v>
      </c>
      <c r="AU51" s="417">
        <v>250000</v>
      </c>
      <c r="AV51" s="417">
        <v>250000</v>
      </c>
      <c r="AW51" s="417">
        <v>250000</v>
      </c>
      <c r="AX51" s="417">
        <v>250000</v>
      </c>
      <c r="AY51" s="417">
        <v>250000</v>
      </c>
      <c r="AZ51" s="417">
        <v>250000</v>
      </c>
      <c r="BA51" s="417">
        <v>250000</v>
      </c>
      <c r="BB51" s="417">
        <v>250000</v>
      </c>
      <c r="BC51" s="418">
        <v>250000</v>
      </c>
      <c r="BD51" s="592"/>
      <c r="BE51" s="419">
        <v>250000</v>
      </c>
      <c r="BF51" s="417">
        <v>250000</v>
      </c>
      <c r="BG51" s="417">
        <v>250000</v>
      </c>
      <c r="BH51" s="417">
        <v>250000</v>
      </c>
      <c r="BI51" s="417">
        <v>250000</v>
      </c>
      <c r="BJ51" s="417">
        <v>250000</v>
      </c>
      <c r="BK51" s="417">
        <v>250000</v>
      </c>
      <c r="BL51" s="417">
        <v>250000</v>
      </c>
      <c r="BM51" s="417">
        <v>250000</v>
      </c>
      <c r="BN51" s="417">
        <v>250000</v>
      </c>
      <c r="BO51" s="417">
        <v>250000</v>
      </c>
      <c r="BP51" s="418">
        <v>250000</v>
      </c>
    </row>
    <row r="52" spans="1:68" ht="15.75" customHeight="1" thickBot="1">
      <c r="A52" s="650" t="s">
        <v>390</v>
      </c>
      <c r="B52" s="651"/>
      <c r="C52" s="652"/>
      <c r="D52" s="592"/>
      <c r="E52" s="336">
        <v>180000</v>
      </c>
      <c r="F52" s="336">
        <v>180000</v>
      </c>
      <c r="G52" s="336">
        <v>180000</v>
      </c>
      <c r="H52" s="336">
        <v>180000</v>
      </c>
      <c r="I52" s="336">
        <v>180000</v>
      </c>
      <c r="J52" s="336">
        <v>180000</v>
      </c>
      <c r="K52" s="336">
        <v>180000</v>
      </c>
      <c r="L52" s="336">
        <v>180000</v>
      </c>
      <c r="M52" s="336">
        <v>180000</v>
      </c>
      <c r="N52" s="336">
        <v>180000</v>
      </c>
      <c r="O52" s="336">
        <v>180000</v>
      </c>
      <c r="P52" s="337">
        <v>180000</v>
      </c>
      <c r="Q52" s="592"/>
      <c r="R52" s="395">
        <v>180000</v>
      </c>
      <c r="S52" s="336">
        <v>180000</v>
      </c>
      <c r="T52" s="336">
        <v>180000</v>
      </c>
      <c r="U52" s="336">
        <v>180000</v>
      </c>
      <c r="V52" s="336">
        <v>180000</v>
      </c>
      <c r="W52" s="336">
        <v>180000</v>
      </c>
      <c r="X52" s="336">
        <v>180000</v>
      </c>
      <c r="Y52" s="336">
        <v>180000</v>
      </c>
      <c r="Z52" s="336">
        <v>180000</v>
      </c>
      <c r="AA52" s="336">
        <v>180000</v>
      </c>
      <c r="AB52" s="336">
        <v>180000</v>
      </c>
      <c r="AC52" s="337">
        <v>180000</v>
      </c>
      <c r="AD52" s="592"/>
      <c r="AE52" s="395">
        <v>180000</v>
      </c>
      <c r="AF52" s="336">
        <v>180000</v>
      </c>
      <c r="AG52" s="336">
        <v>180000</v>
      </c>
      <c r="AH52" s="336">
        <v>180000</v>
      </c>
      <c r="AI52" s="336">
        <v>180000</v>
      </c>
      <c r="AJ52" s="336">
        <v>180000</v>
      </c>
      <c r="AK52" s="336">
        <v>180000</v>
      </c>
      <c r="AL52" s="336">
        <v>180000</v>
      </c>
      <c r="AM52" s="336">
        <v>180000</v>
      </c>
      <c r="AN52" s="336">
        <v>180000</v>
      </c>
      <c r="AO52" s="336">
        <v>180000</v>
      </c>
      <c r="AP52" s="337">
        <v>180000</v>
      </c>
      <c r="AQ52" s="592"/>
      <c r="AR52" s="395">
        <v>180000</v>
      </c>
      <c r="AS52" s="336">
        <v>180000</v>
      </c>
      <c r="AT52" s="336">
        <v>180000</v>
      </c>
      <c r="AU52" s="336">
        <v>180000</v>
      </c>
      <c r="AV52" s="336">
        <v>180000</v>
      </c>
      <c r="AW52" s="336">
        <v>180000</v>
      </c>
      <c r="AX52" s="336">
        <v>180000</v>
      </c>
      <c r="AY52" s="336">
        <v>180000</v>
      </c>
      <c r="AZ52" s="336">
        <v>180000</v>
      </c>
      <c r="BA52" s="336">
        <v>180000</v>
      </c>
      <c r="BB52" s="336">
        <v>180000</v>
      </c>
      <c r="BC52" s="337">
        <v>180000</v>
      </c>
      <c r="BD52" s="592"/>
      <c r="BE52" s="395">
        <v>180000</v>
      </c>
      <c r="BF52" s="336">
        <v>180000</v>
      </c>
      <c r="BG52" s="336">
        <v>180000</v>
      </c>
      <c r="BH52" s="336">
        <v>180000</v>
      </c>
      <c r="BI52" s="336">
        <v>180000</v>
      </c>
      <c r="BJ52" s="336">
        <v>180000</v>
      </c>
      <c r="BK52" s="336">
        <v>180000</v>
      </c>
      <c r="BL52" s="336">
        <v>180000</v>
      </c>
      <c r="BM52" s="336">
        <v>180000</v>
      </c>
      <c r="BN52" s="336">
        <v>180000</v>
      </c>
      <c r="BO52" s="336">
        <v>180000</v>
      </c>
      <c r="BP52" s="337">
        <v>180000</v>
      </c>
    </row>
    <row r="53" spans="1:68" ht="15.75" customHeight="1" thickTop="1" thickBot="1">
      <c r="A53" s="644" t="s">
        <v>450</v>
      </c>
      <c r="B53" s="645"/>
      <c r="C53" s="646"/>
      <c r="D53" s="592"/>
      <c r="E53" s="389"/>
      <c r="F53" s="389"/>
      <c r="G53" s="389"/>
      <c r="H53" s="389"/>
      <c r="I53" s="389"/>
      <c r="J53" s="389">
        <v>1000000</v>
      </c>
      <c r="K53" s="389"/>
      <c r="L53" s="389"/>
      <c r="M53" s="389"/>
      <c r="N53" s="389"/>
      <c r="O53" s="389"/>
      <c r="P53" s="390">
        <v>2000000</v>
      </c>
      <c r="Q53" s="592"/>
      <c r="R53" s="400"/>
      <c r="S53" s="389"/>
      <c r="T53" s="389"/>
      <c r="U53" s="389"/>
      <c r="V53" s="389"/>
      <c r="W53" s="389">
        <v>2000000</v>
      </c>
      <c r="X53" s="389"/>
      <c r="Y53" s="389"/>
      <c r="Z53" s="389"/>
      <c r="AA53" s="389"/>
      <c r="AB53" s="389"/>
      <c r="AC53" s="390">
        <v>3000000</v>
      </c>
      <c r="AD53" s="592"/>
      <c r="AE53" s="400"/>
      <c r="AF53" s="389"/>
      <c r="AG53" s="389"/>
      <c r="AH53" s="389"/>
      <c r="AI53" s="389"/>
      <c r="AJ53" s="389">
        <v>2000000</v>
      </c>
      <c r="AK53" s="389"/>
      <c r="AL53" s="389"/>
      <c r="AM53" s="389"/>
      <c r="AN53" s="389"/>
      <c r="AO53" s="389"/>
      <c r="AP53" s="390">
        <v>3000000</v>
      </c>
      <c r="AQ53" s="592"/>
      <c r="AR53" s="400"/>
      <c r="AS53" s="389"/>
      <c r="AT53" s="389"/>
      <c r="AU53" s="389"/>
      <c r="AV53" s="389"/>
      <c r="AW53" s="389">
        <v>2000000</v>
      </c>
      <c r="AX53" s="389"/>
      <c r="AY53" s="389"/>
      <c r="AZ53" s="389"/>
      <c r="BA53" s="389"/>
      <c r="BB53" s="389"/>
      <c r="BC53" s="390">
        <v>3000000</v>
      </c>
      <c r="BD53" s="592"/>
      <c r="BE53" s="400"/>
      <c r="BF53" s="389"/>
      <c r="BG53" s="389"/>
      <c r="BH53" s="389"/>
      <c r="BI53" s="389"/>
      <c r="BJ53" s="389">
        <v>2000000</v>
      </c>
      <c r="BK53" s="389"/>
      <c r="BL53" s="389"/>
      <c r="BM53" s="389"/>
      <c r="BN53" s="389"/>
      <c r="BO53" s="389"/>
      <c r="BP53" s="390">
        <v>3000000</v>
      </c>
    </row>
    <row r="54" spans="1:68" ht="15.75" customHeight="1" thickTop="1" thickBot="1">
      <c r="A54" s="644" t="s">
        <v>483</v>
      </c>
      <c r="B54" s="645"/>
      <c r="C54" s="646"/>
      <c r="D54" s="592"/>
      <c r="E54" s="367">
        <f t="shared" ref="E54:P54" si="80">SUM(E38:E52)</f>
        <v>2150000</v>
      </c>
      <c r="F54" s="367">
        <f t="shared" si="80"/>
        <v>2250000</v>
      </c>
      <c r="G54" s="367">
        <f t="shared" si="80"/>
        <v>2250000</v>
      </c>
      <c r="H54" s="367">
        <f t="shared" si="80"/>
        <v>2250000</v>
      </c>
      <c r="I54" s="367">
        <f t="shared" si="80"/>
        <v>2500000</v>
      </c>
      <c r="J54" s="367">
        <f t="shared" si="80"/>
        <v>1420000</v>
      </c>
      <c r="K54" s="367">
        <f t="shared" si="80"/>
        <v>1420000</v>
      </c>
      <c r="L54" s="367">
        <f t="shared" si="80"/>
        <v>2720000</v>
      </c>
      <c r="M54" s="367">
        <f t="shared" si="80"/>
        <v>2720000</v>
      </c>
      <c r="N54" s="367">
        <f t="shared" si="80"/>
        <v>2720000</v>
      </c>
      <c r="O54" s="367">
        <f t="shared" si="80"/>
        <v>2720000</v>
      </c>
      <c r="P54" s="368">
        <f t="shared" si="80"/>
        <v>2620000</v>
      </c>
      <c r="Q54" s="592"/>
      <c r="R54" s="396">
        <f t="shared" ref="R54:AC54" si="81">SUM(R38:R52)</f>
        <v>3030000</v>
      </c>
      <c r="S54" s="367">
        <f t="shared" si="81"/>
        <v>3030000</v>
      </c>
      <c r="T54" s="367">
        <f t="shared" si="81"/>
        <v>3030000</v>
      </c>
      <c r="U54" s="367">
        <f t="shared" si="81"/>
        <v>3030000</v>
      </c>
      <c r="V54" s="367">
        <f t="shared" si="81"/>
        <v>3030000</v>
      </c>
      <c r="W54" s="367">
        <f t="shared" si="81"/>
        <v>3030000</v>
      </c>
      <c r="X54" s="367">
        <f t="shared" si="81"/>
        <v>3030000</v>
      </c>
      <c r="Y54" s="367">
        <f t="shared" si="81"/>
        <v>3030000</v>
      </c>
      <c r="Z54" s="367">
        <f t="shared" si="81"/>
        <v>3030000</v>
      </c>
      <c r="AA54" s="367">
        <f t="shared" si="81"/>
        <v>3030000</v>
      </c>
      <c r="AB54" s="367">
        <f t="shared" si="81"/>
        <v>3030000</v>
      </c>
      <c r="AC54" s="368">
        <f t="shared" si="81"/>
        <v>2980000</v>
      </c>
      <c r="AD54" s="592"/>
      <c r="AE54" s="396">
        <f t="shared" ref="AE54:AP54" si="82">SUM(AE38:AE52)</f>
        <v>2980000</v>
      </c>
      <c r="AF54" s="367">
        <f t="shared" si="82"/>
        <v>2980000</v>
      </c>
      <c r="AG54" s="367">
        <f t="shared" si="82"/>
        <v>2980000</v>
      </c>
      <c r="AH54" s="367">
        <f t="shared" si="82"/>
        <v>2980000</v>
      </c>
      <c r="AI54" s="367">
        <f t="shared" si="82"/>
        <v>2980000</v>
      </c>
      <c r="AJ54" s="367">
        <f t="shared" si="82"/>
        <v>2980000</v>
      </c>
      <c r="AK54" s="367">
        <f t="shared" si="82"/>
        <v>2980000</v>
      </c>
      <c r="AL54" s="367">
        <f t="shared" si="82"/>
        <v>2980000</v>
      </c>
      <c r="AM54" s="367">
        <f t="shared" si="82"/>
        <v>2980000</v>
      </c>
      <c r="AN54" s="367">
        <f t="shared" si="82"/>
        <v>2980000</v>
      </c>
      <c r="AO54" s="367">
        <f t="shared" si="82"/>
        <v>2980000</v>
      </c>
      <c r="AP54" s="368">
        <f t="shared" si="82"/>
        <v>2980000</v>
      </c>
      <c r="AQ54" s="592"/>
      <c r="AR54" s="396">
        <f t="shared" ref="AR54:BC54" si="83">SUM(AR38:AR52)</f>
        <v>2910000</v>
      </c>
      <c r="AS54" s="367">
        <f t="shared" si="83"/>
        <v>2910000</v>
      </c>
      <c r="AT54" s="367">
        <f t="shared" si="83"/>
        <v>2910000</v>
      </c>
      <c r="AU54" s="367">
        <f t="shared" si="83"/>
        <v>2910000</v>
      </c>
      <c r="AV54" s="367">
        <f t="shared" si="83"/>
        <v>2910000</v>
      </c>
      <c r="AW54" s="367">
        <f t="shared" si="83"/>
        <v>2910000</v>
      </c>
      <c r="AX54" s="367">
        <f t="shared" si="83"/>
        <v>2910000</v>
      </c>
      <c r="AY54" s="367">
        <f t="shared" si="83"/>
        <v>2910000</v>
      </c>
      <c r="AZ54" s="367">
        <f t="shared" si="83"/>
        <v>2910000</v>
      </c>
      <c r="BA54" s="367">
        <f t="shared" si="83"/>
        <v>2910000</v>
      </c>
      <c r="BB54" s="367">
        <f t="shared" si="83"/>
        <v>2910000</v>
      </c>
      <c r="BC54" s="368">
        <f t="shared" si="83"/>
        <v>2910000</v>
      </c>
      <c r="BD54" s="592"/>
      <c r="BE54" s="396">
        <f t="shared" ref="BE54:BP54" si="84">SUM(BE38:BE52)</f>
        <v>2910000</v>
      </c>
      <c r="BF54" s="367">
        <f t="shared" si="84"/>
        <v>2910000</v>
      </c>
      <c r="BG54" s="367">
        <f t="shared" si="84"/>
        <v>2910000</v>
      </c>
      <c r="BH54" s="367">
        <f t="shared" si="84"/>
        <v>2910000</v>
      </c>
      <c r="BI54" s="367">
        <f t="shared" si="84"/>
        <v>2910000</v>
      </c>
      <c r="BJ54" s="367">
        <f t="shared" si="84"/>
        <v>2910000</v>
      </c>
      <c r="BK54" s="367">
        <f t="shared" si="84"/>
        <v>2910000</v>
      </c>
      <c r="BL54" s="367">
        <f t="shared" si="84"/>
        <v>2910000</v>
      </c>
      <c r="BM54" s="367">
        <f t="shared" si="84"/>
        <v>2910000</v>
      </c>
      <c r="BN54" s="367">
        <f t="shared" si="84"/>
        <v>2910000</v>
      </c>
      <c r="BO54" s="367">
        <f t="shared" si="84"/>
        <v>2910000</v>
      </c>
      <c r="BP54" s="368">
        <f t="shared" si="84"/>
        <v>2910000</v>
      </c>
    </row>
    <row r="55" spans="1:68" ht="15.75" customHeight="1" thickTop="1" thickBot="1">
      <c r="A55" s="644" t="s">
        <v>385</v>
      </c>
      <c r="B55" s="645"/>
      <c r="C55" s="646"/>
      <c r="D55" s="592"/>
      <c r="E55" s="371">
        <f>E54*0.1</f>
        <v>215000</v>
      </c>
      <c r="F55" s="371">
        <f t="shared" ref="F55:P55" si="85">F54*0.1</f>
        <v>225000</v>
      </c>
      <c r="G55" s="371">
        <f t="shared" si="85"/>
        <v>225000</v>
      </c>
      <c r="H55" s="371">
        <f t="shared" si="85"/>
        <v>225000</v>
      </c>
      <c r="I55" s="371">
        <f t="shared" si="85"/>
        <v>250000</v>
      </c>
      <c r="J55" s="371">
        <f t="shared" si="85"/>
        <v>142000</v>
      </c>
      <c r="K55" s="371">
        <f t="shared" si="85"/>
        <v>142000</v>
      </c>
      <c r="L55" s="372">
        <f t="shared" si="85"/>
        <v>272000</v>
      </c>
      <c r="M55" s="372">
        <f t="shared" si="85"/>
        <v>272000</v>
      </c>
      <c r="N55" s="372">
        <f t="shared" si="85"/>
        <v>272000</v>
      </c>
      <c r="O55" s="372">
        <f t="shared" si="85"/>
        <v>272000</v>
      </c>
      <c r="P55" s="373">
        <f t="shared" si="85"/>
        <v>262000</v>
      </c>
      <c r="Q55" s="592"/>
      <c r="R55" s="401">
        <f>R54*0.1</f>
        <v>303000</v>
      </c>
      <c r="S55" s="371">
        <f t="shared" ref="S55:AC55" si="86">S54*0.1</f>
        <v>303000</v>
      </c>
      <c r="T55" s="371">
        <f t="shared" si="86"/>
        <v>303000</v>
      </c>
      <c r="U55" s="371">
        <f t="shared" si="86"/>
        <v>303000</v>
      </c>
      <c r="V55" s="371">
        <f t="shared" si="86"/>
        <v>303000</v>
      </c>
      <c r="W55" s="371">
        <f t="shared" si="86"/>
        <v>303000</v>
      </c>
      <c r="X55" s="371">
        <f t="shared" si="86"/>
        <v>303000</v>
      </c>
      <c r="Y55" s="372">
        <f t="shared" si="86"/>
        <v>303000</v>
      </c>
      <c r="Z55" s="372">
        <f t="shared" si="86"/>
        <v>303000</v>
      </c>
      <c r="AA55" s="372">
        <f t="shared" si="86"/>
        <v>303000</v>
      </c>
      <c r="AB55" s="372">
        <f t="shared" si="86"/>
        <v>303000</v>
      </c>
      <c r="AC55" s="373">
        <f t="shared" si="86"/>
        <v>298000</v>
      </c>
      <c r="AD55" s="592"/>
      <c r="AE55" s="401">
        <f>AE54*0.1</f>
        <v>298000</v>
      </c>
      <c r="AF55" s="371">
        <f t="shared" ref="AF55:AP55" si="87">AF54*0.1</f>
        <v>298000</v>
      </c>
      <c r="AG55" s="371">
        <f t="shared" si="87"/>
        <v>298000</v>
      </c>
      <c r="AH55" s="371">
        <f t="shared" si="87"/>
        <v>298000</v>
      </c>
      <c r="AI55" s="371">
        <f t="shared" si="87"/>
        <v>298000</v>
      </c>
      <c r="AJ55" s="371">
        <f t="shared" si="87"/>
        <v>298000</v>
      </c>
      <c r="AK55" s="371">
        <f t="shared" si="87"/>
        <v>298000</v>
      </c>
      <c r="AL55" s="372">
        <f t="shared" si="87"/>
        <v>298000</v>
      </c>
      <c r="AM55" s="372">
        <f t="shared" si="87"/>
        <v>298000</v>
      </c>
      <c r="AN55" s="372">
        <f t="shared" si="87"/>
        <v>298000</v>
      </c>
      <c r="AO55" s="372">
        <f t="shared" si="87"/>
        <v>298000</v>
      </c>
      <c r="AP55" s="373">
        <f t="shared" si="87"/>
        <v>298000</v>
      </c>
      <c r="AQ55" s="592"/>
      <c r="AR55" s="401">
        <f>AR54*0.1</f>
        <v>291000</v>
      </c>
      <c r="AS55" s="371">
        <f t="shared" ref="AS55:BC55" si="88">AS54*0.1</f>
        <v>291000</v>
      </c>
      <c r="AT55" s="371">
        <f t="shared" si="88"/>
        <v>291000</v>
      </c>
      <c r="AU55" s="371">
        <f t="shared" si="88"/>
        <v>291000</v>
      </c>
      <c r="AV55" s="371">
        <f t="shared" si="88"/>
        <v>291000</v>
      </c>
      <c r="AW55" s="371">
        <f t="shared" si="88"/>
        <v>291000</v>
      </c>
      <c r="AX55" s="371">
        <f t="shared" si="88"/>
        <v>291000</v>
      </c>
      <c r="AY55" s="372">
        <f t="shared" si="88"/>
        <v>291000</v>
      </c>
      <c r="AZ55" s="372">
        <f t="shared" si="88"/>
        <v>291000</v>
      </c>
      <c r="BA55" s="372">
        <f t="shared" si="88"/>
        <v>291000</v>
      </c>
      <c r="BB55" s="372">
        <f t="shared" si="88"/>
        <v>291000</v>
      </c>
      <c r="BC55" s="373">
        <f t="shared" si="88"/>
        <v>291000</v>
      </c>
      <c r="BD55" s="592"/>
      <c r="BE55" s="401">
        <f>BE54*0.1</f>
        <v>291000</v>
      </c>
      <c r="BF55" s="371">
        <f t="shared" ref="BF55:BP55" si="89">BF54*0.1</f>
        <v>291000</v>
      </c>
      <c r="BG55" s="371">
        <f t="shared" si="89"/>
        <v>291000</v>
      </c>
      <c r="BH55" s="371">
        <f t="shared" si="89"/>
        <v>291000</v>
      </c>
      <c r="BI55" s="371">
        <f t="shared" si="89"/>
        <v>291000</v>
      </c>
      <c r="BJ55" s="371">
        <f t="shared" si="89"/>
        <v>291000</v>
      </c>
      <c r="BK55" s="371">
        <f t="shared" si="89"/>
        <v>291000</v>
      </c>
      <c r="BL55" s="372">
        <f t="shared" si="89"/>
        <v>291000</v>
      </c>
      <c r="BM55" s="372">
        <f t="shared" si="89"/>
        <v>291000</v>
      </c>
      <c r="BN55" s="372">
        <f t="shared" si="89"/>
        <v>291000</v>
      </c>
      <c r="BO55" s="372">
        <f t="shared" si="89"/>
        <v>291000</v>
      </c>
      <c r="BP55" s="373">
        <f t="shared" si="89"/>
        <v>291000</v>
      </c>
    </row>
    <row r="56" spans="1:68" ht="15.75" customHeight="1" thickTop="1" thickBot="1">
      <c r="A56" s="647" t="s">
        <v>484</v>
      </c>
      <c r="B56" s="648"/>
      <c r="C56" s="649"/>
      <c r="D56" s="593"/>
      <c r="E56" s="385">
        <f>E54+E55</f>
        <v>2365000</v>
      </c>
      <c r="F56" s="385">
        <f t="shared" ref="F56:P56" si="90">F54+F55</f>
        <v>2475000</v>
      </c>
      <c r="G56" s="385">
        <f t="shared" si="90"/>
        <v>2475000</v>
      </c>
      <c r="H56" s="385">
        <f t="shared" si="90"/>
        <v>2475000</v>
      </c>
      <c r="I56" s="385">
        <f t="shared" si="90"/>
        <v>2750000</v>
      </c>
      <c r="J56" s="385">
        <f t="shared" si="90"/>
        <v>1562000</v>
      </c>
      <c r="K56" s="385">
        <f t="shared" si="90"/>
        <v>1562000</v>
      </c>
      <c r="L56" s="385">
        <f t="shared" si="90"/>
        <v>2992000</v>
      </c>
      <c r="M56" s="385">
        <f t="shared" si="90"/>
        <v>2992000</v>
      </c>
      <c r="N56" s="385">
        <f t="shared" si="90"/>
        <v>2992000</v>
      </c>
      <c r="O56" s="385">
        <f t="shared" si="90"/>
        <v>2992000</v>
      </c>
      <c r="P56" s="386">
        <f t="shared" si="90"/>
        <v>2882000</v>
      </c>
      <c r="Q56" s="593"/>
      <c r="R56" s="402">
        <f>R54+R55</f>
        <v>3333000</v>
      </c>
      <c r="S56" s="385">
        <f t="shared" ref="S56" si="91">S54+S55</f>
        <v>3333000</v>
      </c>
      <c r="T56" s="385">
        <f t="shared" ref="T56" si="92">T54+T55</f>
        <v>3333000</v>
      </c>
      <c r="U56" s="385">
        <f t="shared" ref="U56" si="93">U54+U55</f>
        <v>3333000</v>
      </c>
      <c r="V56" s="385">
        <f t="shared" ref="V56" si="94">V54+V55</f>
        <v>3333000</v>
      </c>
      <c r="W56" s="385">
        <f t="shared" ref="W56" si="95">W54+W55</f>
        <v>3333000</v>
      </c>
      <c r="X56" s="385">
        <f t="shared" ref="X56" si="96">X54+X55</f>
        <v>3333000</v>
      </c>
      <c r="Y56" s="385">
        <f t="shared" ref="Y56" si="97">Y54+Y55</f>
        <v>3333000</v>
      </c>
      <c r="Z56" s="385">
        <f t="shared" ref="Z56" si="98">Z54+Z55</f>
        <v>3333000</v>
      </c>
      <c r="AA56" s="385">
        <f t="shared" ref="AA56" si="99">AA54+AA55</f>
        <v>3333000</v>
      </c>
      <c r="AB56" s="385">
        <f t="shared" ref="AB56" si="100">AB54+AB55</f>
        <v>3333000</v>
      </c>
      <c r="AC56" s="386">
        <f t="shared" ref="AC56" si="101">AC54+AC55</f>
        <v>3278000</v>
      </c>
      <c r="AD56" s="593"/>
      <c r="AE56" s="402">
        <f>AE54+AE55</f>
        <v>3278000</v>
      </c>
      <c r="AF56" s="385">
        <f t="shared" ref="AF56:AP56" si="102">AF54+AF55</f>
        <v>3278000</v>
      </c>
      <c r="AG56" s="385">
        <f t="shared" si="102"/>
        <v>3278000</v>
      </c>
      <c r="AH56" s="385">
        <f t="shared" si="102"/>
        <v>3278000</v>
      </c>
      <c r="AI56" s="385">
        <f t="shared" si="102"/>
        <v>3278000</v>
      </c>
      <c r="AJ56" s="385">
        <f t="shared" si="102"/>
        <v>3278000</v>
      </c>
      <c r="AK56" s="385">
        <f t="shared" si="102"/>
        <v>3278000</v>
      </c>
      <c r="AL56" s="385">
        <f t="shared" si="102"/>
        <v>3278000</v>
      </c>
      <c r="AM56" s="385">
        <f t="shared" si="102"/>
        <v>3278000</v>
      </c>
      <c r="AN56" s="385">
        <f t="shared" si="102"/>
        <v>3278000</v>
      </c>
      <c r="AO56" s="385">
        <f t="shared" si="102"/>
        <v>3278000</v>
      </c>
      <c r="AP56" s="386">
        <f t="shared" si="102"/>
        <v>3278000</v>
      </c>
      <c r="AQ56" s="593"/>
      <c r="AR56" s="402">
        <f>AR54+AR55</f>
        <v>3201000</v>
      </c>
      <c r="AS56" s="385">
        <f t="shared" ref="AS56:BC56" si="103">AS54+AS55</f>
        <v>3201000</v>
      </c>
      <c r="AT56" s="385">
        <f t="shared" si="103"/>
        <v>3201000</v>
      </c>
      <c r="AU56" s="385">
        <f t="shared" si="103"/>
        <v>3201000</v>
      </c>
      <c r="AV56" s="385">
        <f t="shared" si="103"/>
        <v>3201000</v>
      </c>
      <c r="AW56" s="385">
        <f t="shared" si="103"/>
        <v>3201000</v>
      </c>
      <c r="AX56" s="385">
        <f t="shared" si="103"/>
        <v>3201000</v>
      </c>
      <c r="AY56" s="385">
        <f t="shared" si="103"/>
        <v>3201000</v>
      </c>
      <c r="AZ56" s="385">
        <f t="shared" si="103"/>
        <v>3201000</v>
      </c>
      <c r="BA56" s="385">
        <f t="shared" si="103"/>
        <v>3201000</v>
      </c>
      <c r="BB56" s="385">
        <f t="shared" si="103"/>
        <v>3201000</v>
      </c>
      <c r="BC56" s="386">
        <f t="shared" si="103"/>
        <v>3201000</v>
      </c>
      <c r="BD56" s="593"/>
      <c r="BE56" s="402">
        <f>BE54+BE55</f>
        <v>3201000</v>
      </c>
      <c r="BF56" s="385">
        <f t="shared" ref="BF56:BP56" si="104">BF54+BF55</f>
        <v>3201000</v>
      </c>
      <c r="BG56" s="385">
        <f t="shared" si="104"/>
        <v>3201000</v>
      </c>
      <c r="BH56" s="385">
        <f t="shared" si="104"/>
        <v>3201000</v>
      </c>
      <c r="BI56" s="385">
        <f t="shared" si="104"/>
        <v>3201000</v>
      </c>
      <c r="BJ56" s="385">
        <f t="shared" si="104"/>
        <v>3201000</v>
      </c>
      <c r="BK56" s="385">
        <f t="shared" si="104"/>
        <v>3201000</v>
      </c>
      <c r="BL56" s="385">
        <f t="shared" si="104"/>
        <v>3201000</v>
      </c>
      <c r="BM56" s="385">
        <f t="shared" si="104"/>
        <v>3201000</v>
      </c>
      <c r="BN56" s="385">
        <f t="shared" si="104"/>
        <v>3201000</v>
      </c>
      <c r="BO56" s="385">
        <f t="shared" si="104"/>
        <v>3201000</v>
      </c>
      <c r="BP56" s="386">
        <f t="shared" si="104"/>
        <v>3201000</v>
      </c>
    </row>
  </sheetData>
  <mergeCells count="122">
    <mergeCell ref="A55:C55"/>
    <mergeCell ref="A56:C56"/>
    <mergeCell ref="A51:C51"/>
    <mergeCell ref="A52:C52"/>
    <mergeCell ref="A2:C3"/>
    <mergeCell ref="A53:C53"/>
    <mergeCell ref="A54:C54"/>
    <mergeCell ref="A46:C46"/>
    <mergeCell ref="A47:C47"/>
    <mergeCell ref="A48:C48"/>
    <mergeCell ref="A49:C49"/>
    <mergeCell ref="A50:C50"/>
    <mergeCell ref="A41:C41"/>
    <mergeCell ref="A42:C42"/>
    <mergeCell ref="A43:C43"/>
    <mergeCell ref="A44:C44"/>
    <mergeCell ref="A45:C45"/>
    <mergeCell ref="A35:C35"/>
    <mergeCell ref="A36:C36"/>
    <mergeCell ref="A38:C38"/>
    <mergeCell ref="A39:C39"/>
    <mergeCell ref="A40:C40"/>
    <mergeCell ref="A28:C28"/>
    <mergeCell ref="A29:C29"/>
    <mergeCell ref="A32:C32"/>
    <mergeCell ref="A33:C33"/>
    <mergeCell ref="A34:C34"/>
    <mergeCell ref="A23:C23"/>
    <mergeCell ref="A24:C24"/>
    <mergeCell ref="A25:C25"/>
    <mergeCell ref="A26:C26"/>
    <mergeCell ref="A27:C27"/>
    <mergeCell ref="A18:C18"/>
    <mergeCell ref="A19:C19"/>
    <mergeCell ref="A20:C20"/>
    <mergeCell ref="A21:C21"/>
    <mergeCell ref="A22:C22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2:C12"/>
    <mergeCell ref="A4:C4"/>
    <mergeCell ref="A5:C5"/>
    <mergeCell ref="A6:C6"/>
    <mergeCell ref="A7:C7"/>
    <mergeCell ref="BD2:BP2"/>
    <mergeCell ref="BD3:BD56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AO38:AO39"/>
    <mergeCell ref="AP38:AP39"/>
    <mergeCell ref="AQ2:BC2"/>
    <mergeCell ref="AQ3:AQ56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D2:P2"/>
    <mergeCell ref="D3:D56"/>
    <mergeCell ref="Q3:Q56"/>
    <mergeCell ref="Q2:AC2"/>
    <mergeCell ref="AD2:AP2"/>
    <mergeCell ref="AD3:AD56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C38:AC39"/>
    <mergeCell ref="R38:R39"/>
    <mergeCell ref="X38:X39"/>
    <mergeCell ref="Y38:Y39"/>
    <mergeCell ref="Z38:Z39"/>
    <mergeCell ref="AA38:AA39"/>
    <mergeCell ref="AB38:AB39"/>
    <mergeCell ref="V38:V39"/>
    <mergeCell ref="W38:W39"/>
    <mergeCell ref="O38:O39"/>
    <mergeCell ref="P38:P39"/>
    <mergeCell ref="J38:J39"/>
    <mergeCell ref="K38:K39"/>
    <mergeCell ref="L38:L39"/>
    <mergeCell ref="M38:M39"/>
    <mergeCell ref="N38:N39"/>
    <mergeCell ref="E38:E39"/>
    <mergeCell ref="F38:F39"/>
    <mergeCell ref="G38:G39"/>
    <mergeCell ref="H38:H39"/>
    <mergeCell ref="I38:I39"/>
    <mergeCell ref="E1:P1"/>
    <mergeCell ref="S38:S39"/>
    <mergeCell ref="T38:T39"/>
    <mergeCell ref="U38:U39"/>
  </mergeCells>
  <phoneticPr fontId="2"/>
  <pageMargins left="0.23622047244094491" right="0.23622047244094491" top="0.74803149606299213" bottom="0.74803149606299213" header="0.31496062992125984" footer="0.31496062992125984"/>
  <pageSetup paperSize="9" fitToWidth="5" orientation="portrait" horizontalDpi="1200" verticalDpi="1200" r:id="rId1"/>
  <colBreaks count="4" manualBreakCount="4">
    <brk id="16" max="55" man="1"/>
    <brk id="29" max="55" man="1"/>
    <brk id="42" max="55" man="1"/>
    <brk id="55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A6C-A99F-4655-B8A7-C04547BCF5A4}">
  <dimension ref="A1:BP56"/>
  <sheetViews>
    <sheetView view="pageBreakPreview" zoomScale="115" zoomScaleNormal="130" zoomScaleSheetLayoutView="115" workbookViewId="0">
      <selection activeCell="L61" sqref="L61"/>
    </sheetView>
  </sheetViews>
  <sheetFormatPr defaultRowHeight="18" customHeight="1"/>
  <cols>
    <col min="1" max="2" width="9" style="253"/>
    <col min="3" max="3" width="0.5" style="253" customWidth="1"/>
    <col min="4" max="4" width="3.375" style="253" customWidth="1"/>
    <col min="5" max="16" width="5.625" style="254" customWidth="1"/>
    <col min="17" max="17" width="4.25" style="254" customWidth="1"/>
    <col min="18" max="29" width="6.125" style="254" customWidth="1"/>
    <col min="30" max="30" width="4.25" style="254" customWidth="1"/>
    <col min="31" max="42" width="6.125" style="254" customWidth="1"/>
    <col min="43" max="43" width="4.25" style="254" hidden="1" customWidth="1"/>
    <col min="44" max="55" width="6.125" style="254" hidden="1" customWidth="1"/>
    <col min="56" max="56" width="4.25" style="254" hidden="1" customWidth="1"/>
    <col min="57" max="68" width="6.125" style="254" hidden="1" customWidth="1"/>
    <col min="69" max="16384" width="9" style="253"/>
  </cols>
  <sheetData>
    <row r="1" spans="1:68" ht="18" customHeight="1" thickBot="1">
      <c r="A1" s="253" t="s">
        <v>538</v>
      </c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</row>
    <row r="2" spans="1:68" ht="28.5" customHeight="1" thickBot="1">
      <c r="A2" s="561"/>
      <c r="B2" s="562"/>
      <c r="C2" s="563"/>
      <c r="D2" s="589" t="s">
        <v>490</v>
      </c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1"/>
      <c r="Q2" s="594" t="s">
        <v>519</v>
      </c>
      <c r="R2" s="595" t="s">
        <v>491</v>
      </c>
      <c r="S2" s="595"/>
      <c r="T2" s="595">
        <v>30000</v>
      </c>
      <c r="U2" s="595"/>
      <c r="V2" s="595"/>
      <c r="W2" s="595"/>
      <c r="X2" s="595"/>
      <c r="Y2" s="595"/>
      <c r="Z2" s="595"/>
      <c r="AA2" s="595"/>
      <c r="AB2" s="595"/>
      <c r="AC2" s="596"/>
      <c r="AD2" s="594" t="s">
        <v>520</v>
      </c>
      <c r="AE2" s="595" t="s">
        <v>491</v>
      </c>
      <c r="AF2" s="595"/>
      <c r="AG2" s="595">
        <v>30000</v>
      </c>
      <c r="AH2" s="595"/>
      <c r="AI2" s="595"/>
      <c r="AJ2" s="595"/>
      <c r="AK2" s="595"/>
      <c r="AL2" s="595"/>
      <c r="AM2" s="595"/>
      <c r="AN2" s="595"/>
      <c r="AO2" s="595"/>
      <c r="AP2" s="596"/>
      <c r="AQ2" s="594" t="s">
        <v>521</v>
      </c>
      <c r="AR2" s="595" t="s">
        <v>491</v>
      </c>
      <c r="AS2" s="595"/>
      <c r="AT2" s="595">
        <v>30000</v>
      </c>
      <c r="AU2" s="595"/>
      <c r="AV2" s="595"/>
      <c r="AW2" s="595"/>
      <c r="AX2" s="595"/>
      <c r="AY2" s="595"/>
      <c r="AZ2" s="595"/>
      <c r="BA2" s="595"/>
      <c r="BB2" s="595"/>
      <c r="BC2" s="596"/>
      <c r="BD2" s="594" t="s">
        <v>522</v>
      </c>
      <c r="BE2" s="595" t="s">
        <v>491</v>
      </c>
      <c r="BF2" s="595"/>
      <c r="BG2" s="595">
        <v>30000</v>
      </c>
      <c r="BH2" s="595"/>
      <c r="BI2" s="595"/>
      <c r="BJ2" s="595"/>
      <c r="BK2" s="595"/>
      <c r="BL2" s="595"/>
      <c r="BM2" s="595"/>
      <c r="BN2" s="595"/>
      <c r="BO2" s="595"/>
      <c r="BP2" s="596"/>
    </row>
    <row r="3" spans="1:68" ht="18" customHeight="1" thickBot="1">
      <c r="A3" s="653"/>
      <c r="B3" s="654"/>
      <c r="C3" s="655"/>
      <c r="D3" s="592"/>
      <c r="E3" s="286" t="s">
        <v>351</v>
      </c>
      <c r="F3" s="283" t="s">
        <v>23</v>
      </c>
      <c r="G3" s="283" t="s">
        <v>68</v>
      </c>
      <c r="H3" s="283" t="s">
        <v>69</v>
      </c>
      <c r="I3" s="283" t="s">
        <v>15</v>
      </c>
      <c r="J3" s="283" t="s">
        <v>16</v>
      </c>
      <c r="K3" s="283" t="s">
        <v>17</v>
      </c>
      <c r="L3" s="283" t="s">
        <v>18</v>
      </c>
      <c r="M3" s="283" t="s">
        <v>19</v>
      </c>
      <c r="N3" s="283" t="s">
        <v>20</v>
      </c>
      <c r="O3" s="283" t="s">
        <v>21</v>
      </c>
      <c r="P3" s="284" t="s">
        <v>22</v>
      </c>
      <c r="Q3" s="592"/>
      <c r="R3" s="286" t="s">
        <v>351</v>
      </c>
      <c r="S3" s="283" t="s">
        <v>23</v>
      </c>
      <c r="T3" s="283" t="s">
        <v>68</v>
      </c>
      <c r="U3" s="283" t="s">
        <v>69</v>
      </c>
      <c r="V3" s="283" t="s">
        <v>15</v>
      </c>
      <c r="W3" s="283" t="s">
        <v>16</v>
      </c>
      <c r="X3" s="283" t="s">
        <v>17</v>
      </c>
      <c r="Y3" s="283" t="s">
        <v>18</v>
      </c>
      <c r="Z3" s="283" t="s">
        <v>19</v>
      </c>
      <c r="AA3" s="283" t="s">
        <v>20</v>
      </c>
      <c r="AB3" s="283" t="s">
        <v>21</v>
      </c>
      <c r="AC3" s="284" t="s">
        <v>22</v>
      </c>
      <c r="AD3" s="592"/>
      <c r="AE3" s="286" t="s">
        <v>351</v>
      </c>
      <c r="AF3" s="283" t="s">
        <v>23</v>
      </c>
      <c r="AG3" s="283" t="s">
        <v>68</v>
      </c>
      <c r="AH3" s="283" t="s">
        <v>69</v>
      </c>
      <c r="AI3" s="283" t="s">
        <v>15</v>
      </c>
      <c r="AJ3" s="283" t="s">
        <v>16</v>
      </c>
      <c r="AK3" s="283" t="s">
        <v>17</v>
      </c>
      <c r="AL3" s="283" t="s">
        <v>18</v>
      </c>
      <c r="AM3" s="283" t="s">
        <v>19</v>
      </c>
      <c r="AN3" s="283" t="s">
        <v>20</v>
      </c>
      <c r="AO3" s="283" t="s">
        <v>21</v>
      </c>
      <c r="AP3" s="284" t="s">
        <v>22</v>
      </c>
      <c r="AQ3" s="592"/>
      <c r="AR3" s="286" t="s">
        <v>351</v>
      </c>
      <c r="AS3" s="283" t="s">
        <v>23</v>
      </c>
      <c r="AT3" s="283" t="s">
        <v>68</v>
      </c>
      <c r="AU3" s="283" t="s">
        <v>69</v>
      </c>
      <c r="AV3" s="283" t="s">
        <v>15</v>
      </c>
      <c r="AW3" s="283" t="s">
        <v>16</v>
      </c>
      <c r="AX3" s="283" t="s">
        <v>17</v>
      </c>
      <c r="AY3" s="283" t="s">
        <v>18</v>
      </c>
      <c r="AZ3" s="283" t="s">
        <v>19</v>
      </c>
      <c r="BA3" s="283" t="s">
        <v>20</v>
      </c>
      <c r="BB3" s="283" t="s">
        <v>21</v>
      </c>
      <c r="BC3" s="284" t="s">
        <v>22</v>
      </c>
      <c r="BD3" s="592"/>
      <c r="BE3" s="286" t="s">
        <v>351</v>
      </c>
      <c r="BF3" s="283" t="s">
        <v>23</v>
      </c>
      <c r="BG3" s="283" t="s">
        <v>68</v>
      </c>
      <c r="BH3" s="283" t="s">
        <v>69</v>
      </c>
      <c r="BI3" s="283" t="s">
        <v>15</v>
      </c>
      <c r="BJ3" s="283" t="s">
        <v>16</v>
      </c>
      <c r="BK3" s="283" t="s">
        <v>17</v>
      </c>
      <c r="BL3" s="283" t="s">
        <v>18</v>
      </c>
      <c r="BM3" s="283" t="s">
        <v>19</v>
      </c>
      <c r="BN3" s="283" t="s">
        <v>20</v>
      </c>
      <c r="BO3" s="283" t="s">
        <v>21</v>
      </c>
      <c r="BP3" s="284" t="s">
        <v>22</v>
      </c>
    </row>
    <row r="4" spans="1:68" s="344" customFormat="1" ht="15.75" customHeight="1" thickBot="1">
      <c r="A4" s="599" t="s">
        <v>470</v>
      </c>
      <c r="B4" s="600"/>
      <c r="C4" s="601"/>
      <c r="D4" s="592"/>
      <c r="E4" s="360">
        <v>22</v>
      </c>
      <c r="F4" s="360">
        <v>20</v>
      </c>
      <c r="G4" s="360">
        <v>23</v>
      </c>
      <c r="H4" s="360">
        <v>22</v>
      </c>
      <c r="I4" s="360">
        <v>23</v>
      </c>
      <c r="J4" s="360">
        <v>22</v>
      </c>
      <c r="K4" s="360">
        <v>23</v>
      </c>
      <c r="L4" s="360">
        <v>22</v>
      </c>
      <c r="M4" s="360">
        <v>22</v>
      </c>
      <c r="N4" s="360">
        <v>23</v>
      </c>
      <c r="O4" s="360">
        <v>22</v>
      </c>
      <c r="P4" s="361">
        <v>22</v>
      </c>
      <c r="Q4" s="592"/>
      <c r="R4" s="393">
        <v>22</v>
      </c>
      <c r="S4" s="360">
        <v>20</v>
      </c>
      <c r="T4" s="360">
        <v>23</v>
      </c>
      <c r="U4" s="360">
        <v>22</v>
      </c>
      <c r="V4" s="360">
        <v>23</v>
      </c>
      <c r="W4" s="360">
        <v>22</v>
      </c>
      <c r="X4" s="360">
        <v>23</v>
      </c>
      <c r="Y4" s="360">
        <v>22</v>
      </c>
      <c r="Z4" s="360">
        <v>22</v>
      </c>
      <c r="AA4" s="360">
        <v>23</v>
      </c>
      <c r="AB4" s="360">
        <v>22</v>
      </c>
      <c r="AC4" s="361">
        <v>22</v>
      </c>
      <c r="AD4" s="592"/>
      <c r="AE4" s="393">
        <v>22</v>
      </c>
      <c r="AF4" s="360">
        <v>20</v>
      </c>
      <c r="AG4" s="360">
        <v>23</v>
      </c>
      <c r="AH4" s="360">
        <v>22</v>
      </c>
      <c r="AI4" s="360">
        <v>23</v>
      </c>
      <c r="AJ4" s="360">
        <v>22</v>
      </c>
      <c r="AK4" s="360">
        <v>23</v>
      </c>
      <c r="AL4" s="360">
        <v>22</v>
      </c>
      <c r="AM4" s="360">
        <v>22</v>
      </c>
      <c r="AN4" s="360">
        <v>23</v>
      </c>
      <c r="AO4" s="360">
        <v>22</v>
      </c>
      <c r="AP4" s="361">
        <v>22</v>
      </c>
      <c r="AQ4" s="592"/>
      <c r="AR4" s="393">
        <v>22</v>
      </c>
      <c r="AS4" s="360">
        <v>20</v>
      </c>
      <c r="AT4" s="360">
        <v>23</v>
      </c>
      <c r="AU4" s="360">
        <v>22</v>
      </c>
      <c r="AV4" s="360">
        <v>23</v>
      </c>
      <c r="AW4" s="360">
        <v>22</v>
      </c>
      <c r="AX4" s="360">
        <v>23</v>
      </c>
      <c r="AY4" s="360">
        <v>22</v>
      </c>
      <c r="AZ4" s="360">
        <v>22</v>
      </c>
      <c r="BA4" s="360">
        <v>23</v>
      </c>
      <c r="BB4" s="360">
        <v>22</v>
      </c>
      <c r="BC4" s="361">
        <v>22</v>
      </c>
      <c r="BD4" s="592"/>
      <c r="BE4" s="393">
        <v>22</v>
      </c>
      <c r="BF4" s="360">
        <v>20</v>
      </c>
      <c r="BG4" s="360">
        <v>23</v>
      </c>
      <c r="BH4" s="360">
        <v>22</v>
      </c>
      <c r="BI4" s="360">
        <v>23</v>
      </c>
      <c r="BJ4" s="360">
        <v>22</v>
      </c>
      <c r="BK4" s="360">
        <v>23</v>
      </c>
      <c r="BL4" s="360">
        <v>22</v>
      </c>
      <c r="BM4" s="360">
        <v>22</v>
      </c>
      <c r="BN4" s="360">
        <v>23</v>
      </c>
      <c r="BO4" s="360">
        <v>22</v>
      </c>
      <c r="BP4" s="361">
        <v>22</v>
      </c>
    </row>
    <row r="5" spans="1:68" s="331" customFormat="1" ht="15.75" customHeight="1" thickTop="1">
      <c r="A5" s="602" t="s">
        <v>356</v>
      </c>
      <c r="B5" s="603"/>
      <c r="C5" s="604"/>
      <c r="D5" s="592"/>
      <c r="E5" s="403">
        <v>0.8</v>
      </c>
      <c r="F5" s="403">
        <v>0.8</v>
      </c>
      <c r="G5" s="403">
        <v>0.8</v>
      </c>
      <c r="H5" s="403">
        <v>0.8</v>
      </c>
      <c r="I5" s="403">
        <v>0.8</v>
      </c>
      <c r="J5" s="403">
        <v>0.8</v>
      </c>
      <c r="K5" s="403">
        <v>0.8</v>
      </c>
      <c r="L5" s="403">
        <v>0.8</v>
      </c>
      <c r="M5" s="403">
        <v>0.8</v>
      </c>
      <c r="N5" s="403">
        <v>0.8</v>
      </c>
      <c r="O5" s="403">
        <v>0.8</v>
      </c>
      <c r="P5" s="404">
        <v>0.8</v>
      </c>
      <c r="Q5" s="592"/>
      <c r="R5" s="405">
        <v>0.8</v>
      </c>
      <c r="S5" s="403">
        <v>0.8</v>
      </c>
      <c r="T5" s="403">
        <v>0.8</v>
      </c>
      <c r="U5" s="403">
        <v>0.8</v>
      </c>
      <c r="V5" s="403">
        <v>0.8</v>
      </c>
      <c r="W5" s="403">
        <v>0.8</v>
      </c>
      <c r="X5" s="403">
        <v>0.8</v>
      </c>
      <c r="Y5" s="403">
        <v>0.8</v>
      </c>
      <c r="Z5" s="403">
        <v>0.8</v>
      </c>
      <c r="AA5" s="403">
        <v>0.8</v>
      </c>
      <c r="AB5" s="403">
        <v>0.8</v>
      </c>
      <c r="AC5" s="404">
        <v>0.8</v>
      </c>
      <c r="AD5" s="592"/>
      <c r="AE5" s="405">
        <v>0.8</v>
      </c>
      <c r="AF5" s="403">
        <v>0.8</v>
      </c>
      <c r="AG5" s="403">
        <v>0.8</v>
      </c>
      <c r="AH5" s="403">
        <v>0.8</v>
      </c>
      <c r="AI5" s="403">
        <v>0.8</v>
      </c>
      <c r="AJ5" s="403">
        <v>0.8</v>
      </c>
      <c r="AK5" s="403">
        <v>0.8</v>
      </c>
      <c r="AL5" s="403">
        <v>0.8</v>
      </c>
      <c r="AM5" s="403">
        <v>0.8</v>
      </c>
      <c r="AN5" s="403">
        <v>0.8</v>
      </c>
      <c r="AO5" s="403">
        <v>0.8</v>
      </c>
      <c r="AP5" s="404">
        <v>0.8</v>
      </c>
      <c r="AQ5" s="592"/>
      <c r="AR5" s="405">
        <v>0.8</v>
      </c>
      <c r="AS5" s="403">
        <v>0.8</v>
      </c>
      <c r="AT5" s="403">
        <v>0.8</v>
      </c>
      <c r="AU5" s="403">
        <v>0.8</v>
      </c>
      <c r="AV5" s="403">
        <v>0.8</v>
      </c>
      <c r="AW5" s="403">
        <v>0.8</v>
      </c>
      <c r="AX5" s="403">
        <v>0.8</v>
      </c>
      <c r="AY5" s="403">
        <v>0.8</v>
      </c>
      <c r="AZ5" s="403">
        <v>0.8</v>
      </c>
      <c r="BA5" s="403">
        <v>0.8</v>
      </c>
      <c r="BB5" s="403">
        <v>0.8</v>
      </c>
      <c r="BC5" s="404">
        <v>0.8</v>
      </c>
      <c r="BD5" s="592"/>
      <c r="BE5" s="405">
        <v>0.8</v>
      </c>
      <c r="BF5" s="403">
        <v>0.8</v>
      </c>
      <c r="BG5" s="403">
        <v>0.8</v>
      </c>
      <c r="BH5" s="403">
        <v>0.8</v>
      </c>
      <c r="BI5" s="403">
        <v>0.8</v>
      </c>
      <c r="BJ5" s="403">
        <v>0.8</v>
      </c>
      <c r="BK5" s="403">
        <v>0.8</v>
      </c>
      <c r="BL5" s="403">
        <v>0.8</v>
      </c>
      <c r="BM5" s="403">
        <v>0.8</v>
      </c>
      <c r="BN5" s="403">
        <v>0.8</v>
      </c>
      <c r="BO5" s="403">
        <v>0.8</v>
      </c>
      <c r="BP5" s="404">
        <v>0.8</v>
      </c>
    </row>
    <row r="6" spans="1:68" s="344" customFormat="1" ht="15.75" customHeight="1">
      <c r="A6" s="605" t="s">
        <v>456</v>
      </c>
      <c r="B6" s="606"/>
      <c r="C6" s="607"/>
      <c r="D6" s="592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6"/>
      <c r="Q6" s="592"/>
      <c r="R6" s="338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6"/>
      <c r="AD6" s="592"/>
      <c r="AE6" s="338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6"/>
      <c r="AQ6" s="592"/>
      <c r="AR6" s="338">
        <v>10</v>
      </c>
      <c r="AS6" s="345">
        <v>10</v>
      </c>
      <c r="AT6" s="345">
        <v>10</v>
      </c>
      <c r="AU6" s="345">
        <v>10</v>
      </c>
      <c r="AV6" s="345">
        <v>10</v>
      </c>
      <c r="AW6" s="345">
        <v>10</v>
      </c>
      <c r="AX6" s="345">
        <v>10</v>
      </c>
      <c r="AY6" s="345">
        <v>10</v>
      </c>
      <c r="AZ6" s="345">
        <v>10</v>
      </c>
      <c r="BA6" s="345">
        <v>10</v>
      </c>
      <c r="BB6" s="345">
        <v>10</v>
      </c>
      <c r="BC6" s="346">
        <v>10</v>
      </c>
      <c r="BD6" s="592"/>
      <c r="BE6" s="338">
        <v>10</v>
      </c>
      <c r="BF6" s="345">
        <v>10</v>
      </c>
      <c r="BG6" s="345">
        <v>10</v>
      </c>
      <c r="BH6" s="345">
        <v>10</v>
      </c>
      <c r="BI6" s="345">
        <v>10</v>
      </c>
      <c r="BJ6" s="345">
        <v>10</v>
      </c>
      <c r="BK6" s="345">
        <v>10</v>
      </c>
      <c r="BL6" s="345">
        <v>10</v>
      </c>
      <c r="BM6" s="345">
        <v>10</v>
      </c>
      <c r="BN6" s="345">
        <v>10</v>
      </c>
      <c r="BO6" s="345">
        <v>10</v>
      </c>
      <c r="BP6" s="346">
        <v>10</v>
      </c>
    </row>
    <row r="7" spans="1:68" s="344" customFormat="1" ht="15.75" customHeight="1" thickBot="1">
      <c r="A7" s="608" t="s">
        <v>457</v>
      </c>
      <c r="B7" s="609"/>
      <c r="C7" s="610"/>
      <c r="D7" s="592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4"/>
      <c r="Q7" s="592"/>
      <c r="R7" s="352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4"/>
      <c r="AD7" s="592"/>
      <c r="AE7" s="352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4"/>
      <c r="AQ7" s="592"/>
      <c r="AR7" s="352">
        <v>10</v>
      </c>
      <c r="AS7" s="353">
        <v>10</v>
      </c>
      <c r="AT7" s="353">
        <v>10</v>
      </c>
      <c r="AU7" s="353">
        <v>10</v>
      </c>
      <c r="AV7" s="353">
        <v>10</v>
      </c>
      <c r="AW7" s="353">
        <v>10</v>
      </c>
      <c r="AX7" s="353">
        <v>10</v>
      </c>
      <c r="AY7" s="353">
        <v>10</v>
      </c>
      <c r="AZ7" s="353">
        <v>10</v>
      </c>
      <c r="BA7" s="353">
        <v>10</v>
      </c>
      <c r="BB7" s="353">
        <v>10</v>
      </c>
      <c r="BC7" s="354">
        <v>10</v>
      </c>
      <c r="BD7" s="592"/>
      <c r="BE7" s="352">
        <v>10</v>
      </c>
      <c r="BF7" s="353">
        <v>10</v>
      </c>
      <c r="BG7" s="353">
        <v>10</v>
      </c>
      <c r="BH7" s="353">
        <v>10</v>
      </c>
      <c r="BI7" s="353">
        <v>10</v>
      </c>
      <c r="BJ7" s="353">
        <v>10</v>
      </c>
      <c r="BK7" s="353">
        <v>10</v>
      </c>
      <c r="BL7" s="353">
        <v>10</v>
      </c>
      <c r="BM7" s="353">
        <v>10</v>
      </c>
      <c r="BN7" s="353">
        <v>10</v>
      </c>
      <c r="BO7" s="353">
        <v>10</v>
      </c>
      <c r="BP7" s="354">
        <v>10</v>
      </c>
    </row>
    <row r="8" spans="1:68" s="344" customFormat="1" ht="15.75" customHeight="1" thickTop="1" thickBot="1">
      <c r="A8" s="620" t="s">
        <v>476</v>
      </c>
      <c r="B8" s="621"/>
      <c r="C8" s="622"/>
      <c r="D8" s="592"/>
      <c r="E8" s="357">
        <f>SUM(E6:E7)</f>
        <v>0</v>
      </c>
      <c r="F8" s="357">
        <f t="shared" ref="F8:P8" si="0">SUM(F6:F7)</f>
        <v>0</v>
      </c>
      <c r="G8" s="357">
        <f t="shared" si="0"/>
        <v>0</v>
      </c>
      <c r="H8" s="357">
        <f t="shared" si="0"/>
        <v>0</v>
      </c>
      <c r="I8" s="357">
        <f t="shared" si="0"/>
        <v>0</v>
      </c>
      <c r="J8" s="357">
        <f t="shared" si="0"/>
        <v>0</v>
      </c>
      <c r="K8" s="357">
        <f t="shared" si="0"/>
        <v>0</v>
      </c>
      <c r="L8" s="357">
        <f t="shared" si="0"/>
        <v>0</v>
      </c>
      <c r="M8" s="357">
        <f t="shared" si="0"/>
        <v>0</v>
      </c>
      <c r="N8" s="357">
        <f t="shared" si="0"/>
        <v>0</v>
      </c>
      <c r="O8" s="357">
        <f t="shared" si="0"/>
        <v>0</v>
      </c>
      <c r="P8" s="358">
        <f t="shared" si="0"/>
        <v>0</v>
      </c>
      <c r="Q8" s="592"/>
      <c r="R8" s="369">
        <f>SUM(R6:R7)</f>
        <v>0</v>
      </c>
      <c r="S8" s="357">
        <f t="shared" ref="S8:AC8" si="1">SUM(S6:S7)</f>
        <v>0</v>
      </c>
      <c r="T8" s="357">
        <f t="shared" si="1"/>
        <v>0</v>
      </c>
      <c r="U8" s="357">
        <f t="shared" si="1"/>
        <v>0</v>
      </c>
      <c r="V8" s="357">
        <f t="shared" si="1"/>
        <v>0</v>
      </c>
      <c r="W8" s="357">
        <f t="shared" si="1"/>
        <v>0</v>
      </c>
      <c r="X8" s="357">
        <f t="shared" si="1"/>
        <v>0</v>
      </c>
      <c r="Y8" s="357">
        <f t="shared" si="1"/>
        <v>0</v>
      </c>
      <c r="Z8" s="357">
        <f t="shared" si="1"/>
        <v>0</v>
      </c>
      <c r="AA8" s="357">
        <f t="shared" si="1"/>
        <v>0</v>
      </c>
      <c r="AB8" s="357">
        <f t="shared" si="1"/>
        <v>0</v>
      </c>
      <c r="AC8" s="358">
        <f t="shared" si="1"/>
        <v>0</v>
      </c>
      <c r="AD8" s="592"/>
      <c r="AE8" s="369">
        <f>SUM(AE6:AE7)</f>
        <v>0</v>
      </c>
      <c r="AF8" s="357">
        <f t="shared" ref="AF8:AP8" si="2">SUM(AF6:AF7)</f>
        <v>0</v>
      </c>
      <c r="AG8" s="357">
        <f t="shared" si="2"/>
        <v>0</v>
      </c>
      <c r="AH8" s="357">
        <f t="shared" si="2"/>
        <v>0</v>
      </c>
      <c r="AI8" s="357">
        <f t="shared" si="2"/>
        <v>0</v>
      </c>
      <c r="AJ8" s="357">
        <f t="shared" si="2"/>
        <v>0</v>
      </c>
      <c r="AK8" s="357">
        <f t="shared" si="2"/>
        <v>0</v>
      </c>
      <c r="AL8" s="357">
        <f t="shared" si="2"/>
        <v>0</v>
      </c>
      <c r="AM8" s="357">
        <f t="shared" si="2"/>
        <v>0</v>
      </c>
      <c r="AN8" s="357">
        <f t="shared" si="2"/>
        <v>0</v>
      </c>
      <c r="AO8" s="357">
        <f t="shared" si="2"/>
        <v>0</v>
      </c>
      <c r="AP8" s="358">
        <f t="shared" si="2"/>
        <v>0</v>
      </c>
      <c r="AQ8" s="592"/>
      <c r="AR8" s="369">
        <f>SUM(AR6:AR7)</f>
        <v>20</v>
      </c>
      <c r="AS8" s="357">
        <f t="shared" ref="AS8:BC8" si="3">SUM(AS6:AS7)</f>
        <v>20</v>
      </c>
      <c r="AT8" s="357">
        <f t="shared" si="3"/>
        <v>20</v>
      </c>
      <c r="AU8" s="357">
        <f t="shared" si="3"/>
        <v>20</v>
      </c>
      <c r="AV8" s="357">
        <f t="shared" si="3"/>
        <v>20</v>
      </c>
      <c r="AW8" s="357">
        <f t="shared" si="3"/>
        <v>20</v>
      </c>
      <c r="AX8" s="357">
        <f t="shared" si="3"/>
        <v>20</v>
      </c>
      <c r="AY8" s="357">
        <f t="shared" si="3"/>
        <v>20</v>
      </c>
      <c r="AZ8" s="357">
        <f t="shared" si="3"/>
        <v>20</v>
      </c>
      <c r="BA8" s="357">
        <f t="shared" si="3"/>
        <v>20</v>
      </c>
      <c r="BB8" s="357">
        <f t="shared" si="3"/>
        <v>20</v>
      </c>
      <c r="BC8" s="358">
        <f t="shared" si="3"/>
        <v>20</v>
      </c>
      <c r="BD8" s="592"/>
      <c r="BE8" s="369">
        <f>SUM(BE6:BE7)</f>
        <v>20</v>
      </c>
      <c r="BF8" s="357">
        <f t="shared" ref="BF8:BP8" si="4">SUM(BF6:BF7)</f>
        <v>20</v>
      </c>
      <c r="BG8" s="357">
        <f t="shared" si="4"/>
        <v>20</v>
      </c>
      <c r="BH8" s="357">
        <f t="shared" si="4"/>
        <v>20</v>
      </c>
      <c r="BI8" s="357">
        <f t="shared" si="4"/>
        <v>20</v>
      </c>
      <c r="BJ8" s="357">
        <f t="shared" si="4"/>
        <v>20</v>
      </c>
      <c r="BK8" s="357">
        <f t="shared" si="4"/>
        <v>20</v>
      </c>
      <c r="BL8" s="357">
        <f t="shared" si="4"/>
        <v>20</v>
      </c>
      <c r="BM8" s="357">
        <f t="shared" si="4"/>
        <v>20</v>
      </c>
      <c r="BN8" s="357">
        <f t="shared" si="4"/>
        <v>20</v>
      </c>
      <c r="BO8" s="357">
        <f t="shared" si="4"/>
        <v>20</v>
      </c>
      <c r="BP8" s="358">
        <f t="shared" si="4"/>
        <v>20</v>
      </c>
    </row>
    <row r="9" spans="1:68" s="344" customFormat="1" ht="15.75" customHeight="1">
      <c r="A9" s="623" t="s">
        <v>458</v>
      </c>
      <c r="B9" s="624"/>
      <c r="C9" s="625"/>
      <c r="D9" s="592"/>
      <c r="E9" s="345"/>
      <c r="F9" s="345"/>
      <c r="G9" s="345"/>
      <c r="H9" s="345"/>
      <c r="I9" s="345"/>
      <c r="J9" s="345">
        <v>3</v>
      </c>
      <c r="K9" s="345">
        <v>5</v>
      </c>
      <c r="L9" s="345">
        <v>7</v>
      </c>
      <c r="M9" s="345">
        <v>9</v>
      </c>
      <c r="N9" s="345">
        <v>11</v>
      </c>
      <c r="O9" s="345">
        <v>12</v>
      </c>
      <c r="P9" s="346">
        <v>13</v>
      </c>
      <c r="Q9" s="592"/>
      <c r="R9" s="338">
        <v>14</v>
      </c>
      <c r="S9" s="345">
        <v>15</v>
      </c>
      <c r="T9" s="345">
        <v>15</v>
      </c>
      <c r="U9" s="345">
        <v>15</v>
      </c>
      <c r="V9" s="345">
        <v>15</v>
      </c>
      <c r="W9" s="345">
        <v>15</v>
      </c>
      <c r="X9" s="345">
        <v>15</v>
      </c>
      <c r="Y9" s="345">
        <v>15</v>
      </c>
      <c r="Z9" s="345">
        <v>15</v>
      </c>
      <c r="AA9" s="345">
        <v>15</v>
      </c>
      <c r="AB9" s="345">
        <v>15</v>
      </c>
      <c r="AC9" s="346">
        <v>15</v>
      </c>
      <c r="AD9" s="592"/>
      <c r="AE9" s="338">
        <v>15</v>
      </c>
      <c r="AF9" s="345">
        <v>15</v>
      </c>
      <c r="AG9" s="345">
        <v>15</v>
      </c>
      <c r="AH9" s="345">
        <v>15</v>
      </c>
      <c r="AI9" s="345">
        <v>15</v>
      </c>
      <c r="AJ9" s="345">
        <v>15</v>
      </c>
      <c r="AK9" s="345">
        <v>15</v>
      </c>
      <c r="AL9" s="345">
        <v>15</v>
      </c>
      <c r="AM9" s="345">
        <v>15</v>
      </c>
      <c r="AN9" s="345">
        <v>15</v>
      </c>
      <c r="AO9" s="345">
        <v>15</v>
      </c>
      <c r="AP9" s="346">
        <v>15</v>
      </c>
      <c r="AQ9" s="592"/>
      <c r="AR9" s="338">
        <v>10</v>
      </c>
      <c r="AS9" s="345">
        <v>10</v>
      </c>
      <c r="AT9" s="345">
        <v>10</v>
      </c>
      <c r="AU9" s="345">
        <v>10</v>
      </c>
      <c r="AV9" s="345">
        <v>10</v>
      </c>
      <c r="AW9" s="345">
        <v>10</v>
      </c>
      <c r="AX9" s="345">
        <v>10</v>
      </c>
      <c r="AY9" s="345">
        <v>10</v>
      </c>
      <c r="AZ9" s="345">
        <v>10</v>
      </c>
      <c r="BA9" s="345">
        <v>10</v>
      </c>
      <c r="BB9" s="345">
        <v>10</v>
      </c>
      <c r="BC9" s="346">
        <v>10</v>
      </c>
      <c r="BD9" s="592"/>
      <c r="BE9" s="338">
        <v>10</v>
      </c>
      <c r="BF9" s="345">
        <v>10</v>
      </c>
      <c r="BG9" s="345">
        <v>10</v>
      </c>
      <c r="BH9" s="345">
        <v>10</v>
      </c>
      <c r="BI9" s="345">
        <v>10</v>
      </c>
      <c r="BJ9" s="345">
        <v>10</v>
      </c>
      <c r="BK9" s="345">
        <v>10</v>
      </c>
      <c r="BL9" s="345">
        <v>10</v>
      </c>
      <c r="BM9" s="345">
        <v>10</v>
      </c>
      <c r="BN9" s="345">
        <v>10</v>
      </c>
      <c r="BO9" s="345">
        <v>10</v>
      </c>
      <c r="BP9" s="346">
        <v>10</v>
      </c>
    </row>
    <row r="10" spans="1:68" s="344" customFormat="1" ht="15.75" customHeight="1">
      <c r="A10" s="626" t="s">
        <v>459</v>
      </c>
      <c r="B10" s="627"/>
      <c r="C10" s="628"/>
      <c r="D10" s="592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5">
        <v>1</v>
      </c>
      <c r="Q10" s="592"/>
      <c r="R10" s="334">
        <v>2</v>
      </c>
      <c r="S10" s="333">
        <v>3</v>
      </c>
      <c r="T10" s="333">
        <v>4</v>
      </c>
      <c r="U10" s="333">
        <v>5</v>
      </c>
      <c r="V10" s="333">
        <v>6</v>
      </c>
      <c r="W10" s="333">
        <v>7</v>
      </c>
      <c r="X10" s="333">
        <v>8</v>
      </c>
      <c r="Y10" s="333">
        <v>9</v>
      </c>
      <c r="Z10" s="333">
        <v>10</v>
      </c>
      <c r="AA10" s="333">
        <v>11</v>
      </c>
      <c r="AB10" s="333">
        <v>12</v>
      </c>
      <c r="AC10" s="335">
        <v>13</v>
      </c>
      <c r="AD10" s="592"/>
      <c r="AE10" s="334">
        <v>14</v>
      </c>
      <c r="AF10" s="333">
        <v>15</v>
      </c>
      <c r="AG10" s="333">
        <v>16</v>
      </c>
      <c r="AH10" s="333">
        <v>17</v>
      </c>
      <c r="AI10" s="333">
        <v>18</v>
      </c>
      <c r="AJ10" s="333">
        <v>19</v>
      </c>
      <c r="AK10" s="333">
        <v>20</v>
      </c>
      <c r="AL10" s="333">
        <v>21</v>
      </c>
      <c r="AM10" s="333">
        <v>22</v>
      </c>
      <c r="AN10" s="333">
        <v>23</v>
      </c>
      <c r="AO10" s="333">
        <v>24</v>
      </c>
      <c r="AP10" s="335">
        <v>25</v>
      </c>
      <c r="AQ10" s="592"/>
      <c r="AR10" s="334">
        <v>10</v>
      </c>
      <c r="AS10" s="333">
        <v>10</v>
      </c>
      <c r="AT10" s="333">
        <v>10</v>
      </c>
      <c r="AU10" s="333">
        <v>10</v>
      </c>
      <c r="AV10" s="333">
        <v>10</v>
      </c>
      <c r="AW10" s="333">
        <v>10</v>
      </c>
      <c r="AX10" s="333">
        <v>10</v>
      </c>
      <c r="AY10" s="333">
        <v>10</v>
      </c>
      <c r="AZ10" s="333">
        <v>10</v>
      </c>
      <c r="BA10" s="333">
        <v>10</v>
      </c>
      <c r="BB10" s="333">
        <v>10</v>
      </c>
      <c r="BC10" s="335">
        <v>10</v>
      </c>
      <c r="BD10" s="592"/>
      <c r="BE10" s="334">
        <v>10</v>
      </c>
      <c r="BF10" s="333">
        <v>10</v>
      </c>
      <c r="BG10" s="333">
        <v>10</v>
      </c>
      <c r="BH10" s="333">
        <v>10</v>
      </c>
      <c r="BI10" s="333">
        <v>10</v>
      </c>
      <c r="BJ10" s="333">
        <v>10</v>
      </c>
      <c r="BK10" s="333">
        <v>10</v>
      </c>
      <c r="BL10" s="333">
        <v>10</v>
      </c>
      <c r="BM10" s="333">
        <v>10</v>
      </c>
      <c r="BN10" s="333">
        <v>10</v>
      </c>
      <c r="BO10" s="333">
        <v>10</v>
      </c>
      <c r="BP10" s="335">
        <v>10</v>
      </c>
    </row>
    <row r="11" spans="1:68" s="344" customFormat="1" ht="15.75" customHeight="1" thickBot="1">
      <c r="A11" s="620" t="s">
        <v>477</v>
      </c>
      <c r="B11" s="621"/>
      <c r="C11" s="622"/>
      <c r="D11" s="592"/>
      <c r="E11" s="357">
        <f>SUM(E9:E10)</f>
        <v>0</v>
      </c>
      <c r="F11" s="357">
        <f t="shared" ref="F11:P11" si="5">SUM(F9:F10)</f>
        <v>0</v>
      </c>
      <c r="G11" s="357">
        <f t="shared" si="5"/>
        <v>0</v>
      </c>
      <c r="H11" s="357">
        <f t="shared" si="5"/>
        <v>0</v>
      </c>
      <c r="I11" s="357">
        <f t="shared" si="5"/>
        <v>0</v>
      </c>
      <c r="J11" s="357">
        <f t="shared" si="5"/>
        <v>3</v>
      </c>
      <c r="K11" s="357">
        <f t="shared" si="5"/>
        <v>5</v>
      </c>
      <c r="L11" s="357">
        <f t="shared" si="5"/>
        <v>7</v>
      </c>
      <c r="M11" s="357">
        <f t="shared" si="5"/>
        <v>9</v>
      </c>
      <c r="N11" s="357">
        <f t="shared" si="5"/>
        <v>11</v>
      </c>
      <c r="O11" s="357">
        <f t="shared" si="5"/>
        <v>12</v>
      </c>
      <c r="P11" s="358">
        <f t="shared" si="5"/>
        <v>14</v>
      </c>
      <c r="Q11" s="592"/>
      <c r="R11" s="352">
        <f>SUM(R9:R10)</f>
        <v>16</v>
      </c>
      <c r="S11" s="353">
        <f t="shared" ref="S11:AC11" si="6">SUM(S9:S10)</f>
        <v>18</v>
      </c>
      <c r="T11" s="353">
        <f t="shared" si="6"/>
        <v>19</v>
      </c>
      <c r="U11" s="353">
        <f t="shared" si="6"/>
        <v>20</v>
      </c>
      <c r="V11" s="353">
        <f t="shared" si="6"/>
        <v>21</v>
      </c>
      <c r="W11" s="353">
        <f t="shared" si="6"/>
        <v>22</v>
      </c>
      <c r="X11" s="353">
        <f t="shared" si="6"/>
        <v>23</v>
      </c>
      <c r="Y11" s="353">
        <f t="shared" si="6"/>
        <v>24</v>
      </c>
      <c r="Z11" s="353">
        <f t="shared" si="6"/>
        <v>25</v>
      </c>
      <c r="AA11" s="353">
        <f t="shared" si="6"/>
        <v>26</v>
      </c>
      <c r="AB11" s="353">
        <f t="shared" si="6"/>
        <v>27</v>
      </c>
      <c r="AC11" s="354">
        <f t="shared" si="6"/>
        <v>28</v>
      </c>
      <c r="AD11" s="592"/>
      <c r="AE11" s="352">
        <f>SUM(AE9:AE10)</f>
        <v>29</v>
      </c>
      <c r="AF11" s="353">
        <f t="shared" ref="AF11:AP11" si="7">SUM(AF9:AF10)</f>
        <v>30</v>
      </c>
      <c r="AG11" s="353">
        <f t="shared" si="7"/>
        <v>31</v>
      </c>
      <c r="AH11" s="353">
        <f t="shared" si="7"/>
        <v>32</v>
      </c>
      <c r="AI11" s="353">
        <f t="shared" si="7"/>
        <v>33</v>
      </c>
      <c r="AJ11" s="353">
        <f t="shared" si="7"/>
        <v>34</v>
      </c>
      <c r="AK11" s="353">
        <f t="shared" si="7"/>
        <v>35</v>
      </c>
      <c r="AL11" s="353">
        <f t="shared" si="7"/>
        <v>36</v>
      </c>
      <c r="AM11" s="353">
        <f t="shared" si="7"/>
        <v>37</v>
      </c>
      <c r="AN11" s="353">
        <f t="shared" si="7"/>
        <v>38</v>
      </c>
      <c r="AO11" s="353">
        <f t="shared" si="7"/>
        <v>39</v>
      </c>
      <c r="AP11" s="354">
        <f t="shared" si="7"/>
        <v>40</v>
      </c>
      <c r="AQ11" s="592"/>
      <c r="AR11" s="352">
        <f>SUM(AR9:AR10)</f>
        <v>20</v>
      </c>
      <c r="AS11" s="353">
        <f t="shared" ref="AS11:BC11" si="8">SUM(AS9:AS10)</f>
        <v>20</v>
      </c>
      <c r="AT11" s="353">
        <f t="shared" si="8"/>
        <v>20</v>
      </c>
      <c r="AU11" s="353">
        <f t="shared" si="8"/>
        <v>20</v>
      </c>
      <c r="AV11" s="353">
        <f t="shared" si="8"/>
        <v>20</v>
      </c>
      <c r="AW11" s="353">
        <f t="shared" si="8"/>
        <v>20</v>
      </c>
      <c r="AX11" s="353">
        <f t="shared" si="8"/>
        <v>20</v>
      </c>
      <c r="AY11" s="353">
        <f t="shared" si="8"/>
        <v>20</v>
      </c>
      <c r="AZ11" s="353">
        <f t="shared" si="8"/>
        <v>20</v>
      </c>
      <c r="BA11" s="353">
        <f t="shared" si="8"/>
        <v>20</v>
      </c>
      <c r="BB11" s="353">
        <f t="shared" si="8"/>
        <v>20</v>
      </c>
      <c r="BC11" s="354">
        <f t="shared" si="8"/>
        <v>20</v>
      </c>
      <c r="BD11" s="592"/>
      <c r="BE11" s="352">
        <f>SUM(BE9:BE10)</f>
        <v>20</v>
      </c>
      <c r="BF11" s="353">
        <f t="shared" ref="BF11:BP11" si="9">SUM(BF9:BF10)</f>
        <v>20</v>
      </c>
      <c r="BG11" s="353">
        <f t="shared" si="9"/>
        <v>20</v>
      </c>
      <c r="BH11" s="353">
        <f t="shared" si="9"/>
        <v>20</v>
      </c>
      <c r="BI11" s="353">
        <f t="shared" si="9"/>
        <v>20</v>
      </c>
      <c r="BJ11" s="353">
        <f t="shared" si="9"/>
        <v>20</v>
      </c>
      <c r="BK11" s="353">
        <f t="shared" si="9"/>
        <v>20</v>
      </c>
      <c r="BL11" s="353">
        <f t="shared" si="9"/>
        <v>20</v>
      </c>
      <c r="BM11" s="353">
        <f t="shared" si="9"/>
        <v>20</v>
      </c>
      <c r="BN11" s="353">
        <f t="shared" si="9"/>
        <v>20</v>
      </c>
      <c r="BO11" s="353">
        <f t="shared" si="9"/>
        <v>20</v>
      </c>
      <c r="BP11" s="354">
        <f t="shared" si="9"/>
        <v>20</v>
      </c>
    </row>
    <row r="12" spans="1:68" s="344" customFormat="1" ht="15.75" customHeight="1">
      <c r="A12" s="602" t="s">
        <v>478</v>
      </c>
      <c r="B12" s="603"/>
      <c r="C12" s="604"/>
      <c r="D12" s="592"/>
      <c r="E12" s="328">
        <f>E8:F8+E11</f>
        <v>0</v>
      </c>
      <c r="F12" s="328">
        <f t="shared" ref="F12:P12" si="10">F8:G8+F11</f>
        <v>0</v>
      </c>
      <c r="G12" s="328">
        <f t="shared" si="10"/>
        <v>0</v>
      </c>
      <c r="H12" s="328">
        <f t="shared" si="10"/>
        <v>0</v>
      </c>
      <c r="I12" s="328">
        <f t="shared" si="10"/>
        <v>0</v>
      </c>
      <c r="J12" s="328">
        <f t="shared" si="10"/>
        <v>3</v>
      </c>
      <c r="K12" s="328">
        <f t="shared" si="10"/>
        <v>5</v>
      </c>
      <c r="L12" s="328">
        <f t="shared" si="10"/>
        <v>7</v>
      </c>
      <c r="M12" s="328">
        <f t="shared" si="10"/>
        <v>9</v>
      </c>
      <c r="N12" s="328">
        <f t="shared" si="10"/>
        <v>11</v>
      </c>
      <c r="O12" s="328">
        <f t="shared" si="10"/>
        <v>12</v>
      </c>
      <c r="P12" s="329">
        <f t="shared" si="10"/>
        <v>14</v>
      </c>
      <c r="Q12" s="592"/>
      <c r="R12" s="394">
        <f>R8:S8+R11</f>
        <v>16</v>
      </c>
      <c r="S12" s="391">
        <f t="shared" ref="S12:AC12" si="11">S8:T8+S11</f>
        <v>18</v>
      </c>
      <c r="T12" s="391">
        <f t="shared" si="11"/>
        <v>19</v>
      </c>
      <c r="U12" s="391">
        <f t="shared" si="11"/>
        <v>20</v>
      </c>
      <c r="V12" s="391">
        <f t="shared" si="11"/>
        <v>21</v>
      </c>
      <c r="W12" s="391">
        <f t="shared" si="11"/>
        <v>22</v>
      </c>
      <c r="X12" s="391">
        <f t="shared" si="11"/>
        <v>23</v>
      </c>
      <c r="Y12" s="391">
        <f t="shared" si="11"/>
        <v>24</v>
      </c>
      <c r="Z12" s="391">
        <f t="shared" si="11"/>
        <v>25</v>
      </c>
      <c r="AA12" s="391">
        <f t="shared" si="11"/>
        <v>26</v>
      </c>
      <c r="AB12" s="391">
        <f t="shared" si="11"/>
        <v>27</v>
      </c>
      <c r="AC12" s="392">
        <f t="shared" si="11"/>
        <v>28</v>
      </c>
      <c r="AD12" s="592"/>
      <c r="AE12" s="394">
        <f>AE8:AF8+AE11</f>
        <v>29</v>
      </c>
      <c r="AF12" s="391">
        <f t="shared" ref="AF12:AO12" si="12">AF8:AG8+AF11</f>
        <v>30</v>
      </c>
      <c r="AG12" s="391">
        <f t="shared" si="12"/>
        <v>31</v>
      </c>
      <c r="AH12" s="391">
        <f t="shared" si="12"/>
        <v>32</v>
      </c>
      <c r="AI12" s="391">
        <f t="shared" si="12"/>
        <v>33</v>
      </c>
      <c r="AJ12" s="391">
        <f t="shared" si="12"/>
        <v>34</v>
      </c>
      <c r="AK12" s="391">
        <f t="shared" si="12"/>
        <v>35</v>
      </c>
      <c r="AL12" s="391">
        <f t="shared" si="12"/>
        <v>36</v>
      </c>
      <c r="AM12" s="391">
        <f t="shared" si="12"/>
        <v>37</v>
      </c>
      <c r="AN12" s="391">
        <f t="shared" si="12"/>
        <v>38</v>
      </c>
      <c r="AO12" s="391">
        <f t="shared" si="12"/>
        <v>39</v>
      </c>
      <c r="AP12" s="392">
        <f>AP8:AP8+AP11</f>
        <v>40</v>
      </c>
      <c r="AQ12" s="592"/>
      <c r="AR12" s="394">
        <f>AR8:AS8+AR11</f>
        <v>40</v>
      </c>
      <c r="AS12" s="391">
        <f t="shared" ref="AS12:BB12" si="13">AS8:AT8+AS11</f>
        <v>40</v>
      </c>
      <c r="AT12" s="391">
        <f t="shared" si="13"/>
        <v>40</v>
      </c>
      <c r="AU12" s="391">
        <f t="shared" si="13"/>
        <v>40</v>
      </c>
      <c r="AV12" s="391">
        <f t="shared" si="13"/>
        <v>40</v>
      </c>
      <c r="AW12" s="391">
        <f t="shared" si="13"/>
        <v>40</v>
      </c>
      <c r="AX12" s="391">
        <f t="shared" si="13"/>
        <v>40</v>
      </c>
      <c r="AY12" s="391">
        <f t="shared" si="13"/>
        <v>40</v>
      </c>
      <c r="AZ12" s="391">
        <f t="shared" si="13"/>
        <v>40</v>
      </c>
      <c r="BA12" s="391">
        <f t="shared" si="13"/>
        <v>40</v>
      </c>
      <c r="BB12" s="391">
        <f t="shared" si="13"/>
        <v>40</v>
      </c>
      <c r="BC12" s="392">
        <f>BC8:BC8+BC11</f>
        <v>40</v>
      </c>
      <c r="BD12" s="592"/>
      <c r="BE12" s="394">
        <f>BE8:BF8+BE11</f>
        <v>40</v>
      </c>
      <c r="BF12" s="391">
        <f t="shared" ref="BF12:BO12" si="14">BF8:BG8+BF11</f>
        <v>40</v>
      </c>
      <c r="BG12" s="391">
        <f t="shared" si="14"/>
        <v>40</v>
      </c>
      <c r="BH12" s="391">
        <f t="shared" si="14"/>
        <v>40</v>
      </c>
      <c r="BI12" s="391">
        <f t="shared" si="14"/>
        <v>40</v>
      </c>
      <c r="BJ12" s="391">
        <f t="shared" si="14"/>
        <v>40</v>
      </c>
      <c r="BK12" s="391">
        <f t="shared" si="14"/>
        <v>40</v>
      </c>
      <c r="BL12" s="391">
        <f t="shared" si="14"/>
        <v>40</v>
      </c>
      <c r="BM12" s="391">
        <f t="shared" si="14"/>
        <v>40</v>
      </c>
      <c r="BN12" s="391">
        <f t="shared" si="14"/>
        <v>40</v>
      </c>
      <c r="BO12" s="391">
        <f t="shared" si="14"/>
        <v>40</v>
      </c>
      <c r="BP12" s="392">
        <f>BP8:BP8+BP11</f>
        <v>40</v>
      </c>
    </row>
    <row r="13" spans="1:68" ht="6.75" customHeight="1">
      <c r="A13" s="611"/>
      <c r="B13" s="612"/>
      <c r="C13" s="613"/>
      <c r="D13" s="592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6"/>
      <c r="Q13" s="592"/>
      <c r="R13" s="327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6"/>
      <c r="AD13" s="592"/>
      <c r="AE13" s="327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6"/>
      <c r="AQ13" s="592"/>
      <c r="AR13" s="327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6"/>
      <c r="BD13" s="592"/>
      <c r="BE13" s="327"/>
      <c r="BF13" s="295"/>
      <c r="BG13" s="295"/>
      <c r="BH13" s="295"/>
      <c r="BI13" s="295"/>
      <c r="BJ13" s="295"/>
      <c r="BK13" s="295"/>
      <c r="BL13" s="295"/>
      <c r="BM13" s="295"/>
      <c r="BN13" s="295"/>
      <c r="BO13" s="295"/>
      <c r="BP13" s="296"/>
    </row>
    <row r="14" spans="1:68" ht="15.75" customHeight="1">
      <c r="A14" s="614" t="s">
        <v>464</v>
      </c>
      <c r="B14" s="615"/>
      <c r="C14" s="616"/>
      <c r="D14" s="592"/>
      <c r="E14" s="255">
        <f t="shared" ref="E14:P14" si="15">ROUNDDOWN(E6*E23*E4*E5,-2)</f>
        <v>0</v>
      </c>
      <c r="F14" s="255">
        <f t="shared" si="15"/>
        <v>0</v>
      </c>
      <c r="G14" s="255">
        <f t="shared" si="15"/>
        <v>0</v>
      </c>
      <c r="H14" s="255">
        <f t="shared" si="15"/>
        <v>0</v>
      </c>
      <c r="I14" s="255">
        <f t="shared" si="15"/>
        <v>0</v>
      </c>
      <c r="J14" s="255">
        <f t="shared" si="15"/>
        <v>0</v>
      </c>
      <c r="K14" s="255">
        <f t="shared" si="15"/>
        <v>0</v>
      </c>
      <c r="L14" s="255">
        <f t="shared" si="15"/>
        <v>0</v>
      </c>
      <c r="M14" s="255">
        <f t="shared" si="15"/>
        <v>0</v>
      </c>
      <c r="N14" s="255">
        <f t="shared" si="15"/>
        <v>0</v>
      </c>
      <c r="O14" s="255">
        <f t="shared" si="15"/>
        <v>0</v>
      </c>
      <c r="P14" s="293">
        <f t="shared" si="15"/>
        <v>0</v>
      </c>
      <c r="Q14" s="592"/>
      <c r="R14" s="294">
        <f t="shared" ref="R14:AC14" si="16">ROUNDDOWN(R6*R23*R4*R5,-2)</f>
        <v>0</v>
      </c>
      <c r="S14" s="255">
        <f t="shared" si="16"/>
        <v>0</v>
      </c>
      <c r="T14" s="255">
        <f t="shared" si="16"/>
        <v>0</v>
      </c>
      <c r="U14" s="255">
        <f t="shared" si="16"/>
        <v>0</v>
      </c>
      <c r="V14" s="255">
        <f t="shared" si="16"/>
        <v>0</v>
      </c>
      <c r="W14" s="255">
        <f t="shared" si="16"/>
        <v>0</v>
      </c>
      <c r="X14" s="255">
        <f t="shared" si="16"/>
        <v>0</v>
      </c>
      <c r="Y14" s="255">
        <f t="shared" si="16"/>
        <v>0</v>
      </c>
      <c r="Z14" s="255">
        <f t="shared" si="16"/>
        <v>0</v>
      </c>
      <c r="AA14" s="255">
        <f t="shared" si="16"/>
        <v>0</v>
      </c>
      <c r="AB14" s="255">
        <f t="shared" si="16"/>
        <v>0</v>
      </c>
      <c r="AC14" s="293">
        <f t="shared" si="16"/>
        <v>0</v>
      </c>
      <c r="AD14" s="592"/>
      <c r="AE14" s="294">
        <f t="shared" ref="AE14:AP14" si="17">ROUNDDOWN(AE6*AE23*AE4*AE5,-2)</f>
        <v>0</v>
      </c>
      <c r="AF14" s="255">
        <f t="shared" si="17"/>
        <v>0</v>
      </c>
      <c r="AG14" s="255">
        <f t="shared" si="17"/>
        <v>0</v>
      </c>
      <c r="AH14" s="255">
        <f t="shared" si="17"/>
        <v>0</v>
      </c>
      <c r="AI14" s="255">
        <f t="shared" si="17"/>
        <v>0</v>
      </c>
      <c r="AJ14" s="255">
        <f t="shared" si="17"/>
        <v>0</v>
      </c>
      <c r="AK14" s="255">
        <f t="shared" si="17"/>
        <v>0</v>
      </c>
      <c r="AL14" s="255">
        <f t="shared" si="17"/>
        <v>0</v>
      </c>
      <c r="AM14" s="255">
        <f t="shared" si="17"/>
        <v>0</v>
      </c>
      <c r="AN14" s="255">
        <f t="shared" si="17"/>
        <v>0</v>
      </c>
      <c r="AO14" s="255">
        <f t="shared" si="17"/>
        <v>0</v>
      </c>
      <c r="AP14" s="293">
        <f t="shared" si="17"/>
        <v>0</v>
      </c>
      <c r="AQ14" s="592"/>
      <c r="AR14" s="294">
        <f t="shared" ref="AR14:BC14" si="18">ROUNDDOWN(AR6*AR23*AR4*AR5,-2)</f>
        <v>1036600</v>
      </c>
      <c r="AS14" s="255">
        <f t="shared" si="18"/>
        <v>942400</v>
      </c>
      <c r="AT14" s="255">
        <f t="shared" si="18"/>
        <v>1083700</v>
      </c>
      <c r="AU14" s="255">
        <f t="shared" si="18"/>
        <v>1036600</v>
      </c>
      <c r="AV14" s="255">
        <f t="shared" si="18"/>
        <v>1083700</v>
      </c>
      <c r="AW14" s="255">
        <f t="shared" si="18"/>
        <v>1036600</v>
      </c>
      <c r="AX14" s="255">
        <f t="shared" si="18"/>
        <v>1083700</v>
      </c>
      <c r="AY14" s="255">
        <f t="shared" si="18"/>
        <v>1036600</v>
      </c>
      <c r="AZ14" s="255">
        <f t="shared" si="18"/>
        <v>1036600</v>
      </c>
      <c r="BA14" s="255">
        <f t="shared" si="18"/>
        <v>1083700</v>
      </c>
      <c r="BB14" s="255">
        <f t="shared" si="18"/>
        <v>1036600</v>
      </c>
      <c r="BC14" s="293">
        <f t="shared" si="18"/>
        <v>1036600</v>
      </c>
      <c r="BD14" s="592"/>
      <c r="BE14" s="294">
        <f t="shared" ref="BE14:BP14" si="19">ROUNDDOWN(BE6*BE23*BE4*BE5,-2)</f>
        <v>1036600</v>
      </c>
      <c r="BF14" s="255">
        <f t="shared" si="19"/>
        <v>942400</v>
      </c>
      <c r="BG14" s="255">
        <f t="shared" si="19"/>
        <v>1083700</v>
      </c>
      <c r="BH14" s="255">
        <f t="shared" si="19"/>
        <v>1036600</v>
      </c>
      <c r="BI14" s="255">
        <f t="shared" si="19"/>
        <v>1083700</v>
      </c>
      <c r="BJ14" s="255">
        <f t="shared" si="19"/>
        <v>1036600</v>
      </c>
      <c r="BK14" s="255">
        <f t="shared" si="19"/>
        <v>1083700</v>
      </c>
      <c r="BL14" s="255">
        <f t="shared" si="19"/>
        <v>1036600</v>
      </c>
      <c r="BM14" s="255">
        <f t="shared" si="19"/>
        <v>1036600</v>
      </c>
      <c r="BN14" s="255">
        <f t="shared" si="19"/>
        <v>1083700</v>
      </c>
      <c r="BO14" s="255">
        <f t="shared" si="19"/>
        <v>1036600</v>
      </c>
      <c r="BP14" s="293">
        <f t="shared" si="19"/>
        <v>1036600</v>
      </c>
    </row>
    <row r="15" spans="1:68" ht="15.75" customHeight="1">
      <c r="A15" s="614" t="s">
        <v>465</v>
      </c>
      <c r="B15" s="615"/>
      <c r="C15" s="616"/>
      <c r="D15" s="592"/>
      <c r="E15" s="255">
        <f>ROUNDDOWN(E7*E24*E4*E29,-2)</f>
        <v>0</v>
      </c>
      <c r="F15" s="255">
        <f t="shared" ref="F15:P15" si="20">F7*F24*F4*F29</f>
        <v>0</v>
      </c>
      <c r="G15" s="255">
        <f t="shared" si="20"/>
        <v>0</v>
      </c>
      <c r="H15" s="255">
        <f t="shared" si="20"/>
        <v>0</v>
      </c>
      <c r="I15" s="255">
        <f t="shared" si="20"/>
        <v>0</v>
      </c>
      <c r="J15" s="255">
        <f t="shared" si="20"/>
        <v>0</v>
      </c>
      <c r="K15" s="255">
        <f t="shared" si="20"/>
        <v>0</v>
      </c>
      <c r="L15" s="255">
        <f t="shared" si="20"/>
        <v>0</v>
      </c>
      <c r="M15" s="255">
        <f t="shared" si="20"/>
        <v>0</v>
      </c>
      <c r="N15" s="255">
        <f t="shared" si="20"/>
        <v>0</v>
      </c>
      <c r="O15" s="255">
        <f t="shared" si="20"/>
        <v>0</v>
      </c>
      <c r="P15" s="293">
        <f t="shared" si="20"/>
        <v>0</v>
      </c>
      <c r="Q15" s="592"/>
      <c r="R15" s="294">
        <f>ROUNDDOWN(R7*R24*R4*R29,-2)</f>
        <v>0</v>
      </c>
      <c r="S15" s="255">
        <f t="shared" ref="S15:AC15" si="21">S7*S24*S4*S29</f>
        <v>0</v>
      </c>
      <c r="T15" s="255">
        <f t="shared" si="21"/>
        <v>0</v>
      </c>
      <c r="U15" s="255">
        <f t="shared" si="21"/>
        <v>0</v>
      </c>
      <c r="V15" s="255">
        <f t="shared" si="21"/>
        <v>0</v>
      </c>
      <c r="W15" s="255">
        <f t="shared" si="21"/>
        <v>0</v>
      </c>
      <c r="X15" s="255">
        <f t="shared" si="21"/>
        <v>0</v>
      </c>
      <c r="Y15" s="255">
        <f t="shared" si="21"/>
        <v>0</v>
      </c>
      <c r="Z15" s="255">
        <f t="shared" si="21"/>
        <v>0</v>
      </c>
      <c r="AA15" s="255">
        <f t="shared" si="21"/>
        <v>0</v>
      </c>
      <c r="AB15" s="255">
        <f t="shared" si="21"/>
        <v>0</v>
      </c>
      <c r="AC15" s="293">
        <f t="shared" si="21"/>
        <v>0</v>
      </c>
      <c r="AD15" s="592"/>
      <c r="AE15" s="294">
        <f>ROUNDDOWN(AE7*AE24*AE4*AE29,-2)</f>
        <v>0</v>
      </c>
      <c r="AF15" s="255">
        <f t="shared" ref="AF15:AP15" si="22">AF7*AF24*AF4*AF29</f>
        <v>0</v>
      </c>
      <c r="AG15" s="255">
        <f t="shared" si="22"/>
        <v>0</v>
      </c>
      <c r="AH15" s="255">
        <f t="shared" si="22"/>
        <v>0</v>
      </c>
      <c r="AI15" s="255">
        <f t="shared" si="22"/>
        <v>0</v>
      </c>
      <c r="AJ15" s="255">
        <f t="shared" si="22"/>
        <v>0</v>
      </c>
      <c r="AK15" s="255">
        <f t="shared" si="22"/>
        <v>0</v>
      </c>
      <c r="AL15" s="255">
        <f t="shared" si="22"/>
        <v>0</v>
      </c>
      <c r="AM15" s="255">
        <f t="shared" si="22"/>
        <v>0</v>
      </c>
      <c r="AN15" s="255">
        <f t="shared" si="22"/>
        <v>0</v>
      </c>
      <c r="AO15" s="255">
        <f t="shared" si="22"/>
        <v>0</v>
      </c>
      <c r="AP15" s="293">
        <f t="shared" si="22"/>
        <v>0</v>
      </c>
      <c r="AQ15" s="592"/>
      <c r="AR15" s="294">
        <f>ROUNDDOWN(AR7*AR24*AR4*AR29,-2)</f>
        <v>1136800</v>
      </c>
      <c r="AS15" s="255">
        <f t="shared" ref="AS15:BC15" si="23">AS7*AS24*AS4*AS29</f>
        <v>1033500</v>
      </c>
      <c r="AT15" s="255">
        <f t="shared" si="23"/>
        <v>1188525</v>
      </c>
      <c r="AU15" s="255">
        <f t="shared" si="23"/>
        <v>1136850</v>
      </c>
      <c r="AV15" s="255">
        <f t="shared" si="23"/>
        <v>1188525</v>
      </c>
      <c r="AW15" s="255">
        <f t="shared" si="23"/>
        <v>1136850</v>
      </c>
      <c r="AX15" s="255">
        <f t="shared" si="23"/>
        <v>1188525</v>
      </c>
      <c r="AY15" s="255">
        <f t="shared" si="23"/>
        <v>1136850</v>
      </c>
      <c r="AZ15" s="255">
        <f t="shared" si="23"/>
        <v>1136850</v>
      </c>
      <c r="BA15" s="255">
        <f t="shared" si="23"/>
        <v>1188525</v>
      </c>
      <c r="BB15" s="255">
        <f t="shared" si="23"/>
        <v>1136850</v>
      </c>
      <c r="BC15" s="293">
        <f t="shared" si="23"/>
        <v>1136850</v>
      </c>
      <c r="BD15" s="592"/>
      <c r="BE15" s="294">
        <f>ROUNDDOWN(BE7*BE24*BE4*BE29,-2)</f>
        <v>1136800</v>
      </c>
      <c r="BF15" s="255">
        <f t="shared" ref="BF15:BP15" si="24">BF7*BF24*BF4*BF29</f>
        <v>1033500</v>
      </c>
      <c r="BG15" s="255">
        <f t="shared" si="24"/>
        <v>1188525</v>
      </c>
      <c r="BH15" s="255">
        <f t="shared" si="24"/>
        <v>1136850</v>
      </c>
      <c r="BI15" s="255">
        <f t="shared" si="24"/>
        <v>1188525</v>
      </c>
      <c r="BJ15" s="255">
        <f t="shared" si="24"/>
        <v>1136850</v>
      </c>
      <c r="BK15" s="255">
        <f t="shared" si="24"/>
        <v>1188525</v>
      </c>
      <c r="BL15" s="255">
        <f t="shared" si="24"/>
        <v>1136850</v>
      </c>
      <c r="BM15" s="255">
        <f t="shared" si="24"/>
        <v>1136850</v>
      </c>
      <c r="BN15" s="255">
        <f t="shared" si="24"/>
        <v>1188525</v>
      </c>
      <c r="BO15" s="255">
        <f t="shared" si="24"/>
        <v>1136850</v>
      </c>
      <c r="BP15" s="293">
        <f t="shared" si="24"/>
        <v>1136850</v>
      </c>
    </row>
    <row r="16" spans="1:68" ht="15.75" customHeight="1">
      <c r="A16" s="617" t="s">
        <v>468</v>
      </c>
      <c r="B16" s="618"/>
      <c r="C16" s="619"/>
      <c r="D16" s="592"/>
      <c r="E16" s="255">
        <f t="shared" ref="E16:P16" si="25">ROUNDDOWN(((E6+E7)*(E27+E28*0.8))*E4,-2)</f>
        <v>0</v>
      </c>
      <c r="F16" s="255">
        <f t="shared" si="25"/>
        <v>0</v>
      </c>
      <c r="G16" s="255">
        <f t="shared" si="25"/>
        <v>0</v>
      </c>
      <c r="H16" s="255">
        <f t="shared" si="25"/>
        <v>0</v>
      </c>
      <c r="I16" s="255">
        <f t="shared" si="25"/>
        <v>0</v>
      </c>
      <c r="J16" s="255">
        <f t="shared" si="25"/>
        <v>0</v>
      </c>
      <c r="K16" s="255">
        <f t="shared" si="25"/>
        <v>0</v>
      </c>
      <c r="L16" s="255">
        <f t="shared" si="25"/>
        <v>0</v>
      </c>
      <c r="M16" s="255">
        <f t="shared" si="25"/>
        <v>0</v>
      </c>
      <c r="N16" s="255">
        <f t="shared" si="25"/>
        <v>0</v>
      </c>
      <c r="O16" s="255">
        <f t="shared" si="25"/>
        <v>0</v>
      </c>
      <c r="P16" s="293">
        <f t="shared" si="25"/>
        <v>0</v>
      </c>
      <c r="Q16" s="592"/>
      <c r="R16" s="294">
        <f t="shared" ref="R16:AC16" si="26">ROUNDDOWN(((R6+R7)*(R27+R28*0.8))*R4,-2)</f>
        <v>0</v>
      </c>
      <c r="S16" s="255">
        <f t="shared" si="26"/>
        <v>0</v>
      </c>
      <c r="T16" s="255">
        <f t="shared" si="26"/>
        <v>0</v>
      </c>
      <c r="U16" s="255">
        <f t="shared" si="26"/>
        <v>0</v>
      </c>
      <c r="V16" s="255">
        <f t="shared" si="26"/>
        <v>0</v>
      </c>
      <c r="W16" s="255">
        <f t="shared" si="26"/>
        <v>0</v>
      </c>
      <c r="X16" s="255">
        <f t="shared" si="26"/>
        <v>0</v>
      </c>
      <c r="Y16" s="255">
        <f t="shared" si="26"/>
        <v>0</v>
      </c>
      <c r="Z16" s="255">
        <f t="shared" si="26"/>
        <v>0</v>
      </c>
      <c r="AA16" s="255">
        <f t="shared" si="26"/>
        <v>0</v>
      </c>
      <c r="AB16" s="255">
        <f t="shared" si="26"/>
        <v>0</v>
      </c>
      <c r="AC16" s="293">
        <f t="shared" si="26"/>
        <v>0</v>
      </c>
      <c r="AD16" s="592"/>
      <c r="AE16" s="294">
        <f t="shared" ref="AE16:AP16" si="27">ROUNDDOWN(((AE6+AE7)*(AE27+AE28*0.8))*AE4,-2)</f>
        <v>0</v>
      </c>
      <c r="AF16" s="255">
        <f t="shared" si="27"/>
        <v>0</v>
      </c>
      <c r="AG16" s="255">
        <f t="shared" si="27"/>
        <v>0</v>
      </c>
      <c r="AH16" s="255">
        <f t="shared" si="27"/>
        <v>0</v>
      </c>
      <c r="AI16" s="255">
        <f t="shared" si="27"/>
        <v>0</v>
      </c>
      <c r="AJ16" s="255">
        <f t="shared" si="27"/>
        <v>0</v>
      </c>
      <c r="AK16" s="255">
        <f t="shared" si="27"/>
        <v>0</v>
      </c>
      <c r="AL16" s="255">
        <f t="shared" si="27"/>
        <v>0</v>
      </c>
      <c r="AM16" s="255">
        <f t="shared" si="27"/>
        <v>0</v>
      </c>
      <c r="AN16" s="255">
        <f t="shared" si="27"/>
        <v>0</v>
      </c>
      <c r="AO16" s="255">
        <f t="shared" si="27"/>
        <v>0</v>
      </c>
      <c r="AP16" s="293">
        <f t="shared" si="27"/>
        <v>0</v>
      </c>
      <c r="AQ16" s="592"/>
      <c r="AR16" s="294">
        <f t="shared" ref="AR16:BC16" si="28">ROUNDDOWN(((AR6+AR7)*(AR27+AR28*0.8))*AR4,-2)</f>
        <v>581600</v>
      </c>
      <c r="AS16" s="255">
        <f t="shared" si="28"/>
        <v>528800</v>
      </c>
      <c r="AT16" s="255">
        <f t="shared" si="28"/>
        <v>608100</v>
      </c>
      <c r="AU16" s="255">
        <f t="shared" si="28"/>
        <v>581600</v>
      </c>
      <c r="AV16" s="255">
        <f t="shared" si="28"/>
        <v>608100</v>
      </c>
      <c r="AW16" s="255">
        <f t="shared" si="28"/>
        <v>581600</v>
      </c>
      <c r="AX16" s="255">
        <f t="shared" si="28"/>
        <v>608100</v>
      </c>
      <c r="AY16" s="255">
        <f t="shared" si="28"/>
        <v>581600</v>
      </c>
      <c r="AZ16" s="255">
        <f t="shared" si="28"/>
        <v>581600</v>
      </c>
      <c r="BA16" s="255">
        <f t="shared" si="28"/>
        <v>608100</v>
      </c>
      <c r="BB16" s="255">
        <f t="shared" si="28"/>
        <v>581600</v>
      </c>
      <c r="BC16" s="293">
        <f t="shared" si="28"/>
        <v>581600</v>
      </c>
      <c r="BD16" s="592"/>
      <c r="BE16" s="294">
        <f t="shared" ref="BE16:BP16" si="29">ROUNDDOWN(((BE6+BE7)*(BE27+BE28*0.8))*BE4,-2)</f>
        <v>581600</v>
      </c>
      <c r="BF16" s="255">
        <f t="shared" si="29"/>
        <v>528800</v>
      </c>
      <c r="BG16" s="255">
        <f t="shared" si="29"/>
        <v>608100</v>
      </c>
      <c r="BH16" s="255">
        <f t="shared" si="29"/>
        <v>581600</v>
      </c>
      <c r="BI16" s="255">
        <f t="shared" si="29"/>
        <v>608100</v>
      </c>
      <c r="BJ16" s="255">
        <f t="shared" si="29"/>
        <v>581600</v>
      </c>
      <c r="BK16" s="255">
        <f t="shared" si="29"/>
        <v>608100</v>
      </c>
      <c r="BL16" s="255">
        <f t="shared" si="29"/>
        <v>581600</v>
      </c>
      <c r="BM16" s="255">
        <f t="shared" si="29"/>
        <v>581600</v>
      </c>
      <c r="BN16" s="255">
        <f t="shared" si="29"/>
        <v>608100</v>
      </c>
      <c r="BO16" s="255">
        <f t="shared" si="29"/>
        <v>581600</v>
      </c>
      <c r="BP16" s="293">
        <f t="shared" si="29"/>
        <v>581600</v>
      </c>
    </row>
    <row r="17" spans="1:68" ht="15.75" customHeight="1">
      <c r="A17" s="614" t="s">
        <v>466</v>
      </c>
      <c r="B17" s="615"/>
      <c r="C17" s="616"/>
      <c r="D17" s="592"/>
      <c r="E17" s="255">
        <f t="shared" ref="E17:P17" si="30">ROUNDDOWN(E9*E25*E4*E5,-2)</f>
        <v>0</v>
      </c>
      <c r="F17" s="255">
        <f t="shared" si="30"/>
        <v>0</v>
      </c>
      <c r="G17" s="255">
        <f t="shared" si="30"/>
        <v>0</v>
      </c>
      <c r="H17" s="255">
        <f t="shared" si="30"/>
        <v>0</v>
      </c>
      <c r="I17" s="255">
        <f t="shared" si="30"/>
        <v>0</v>
      </c>
      <c r="J17" s="255">
        <f t="shared" si="30"/>
        <v>426600</v>
      </c>
      <c r="K17" s="255">
        <f t="shared" si="30"/>
        <v>743300</v>
      </c>
      <c r="L17" s="255">
        <f t="shared" si="30"/>
        <v>995400</v>
      </c>
      <c r="M17" s="255">
        <f t="shared" si="30"/>
        <v>1279800</v>
      </c>
      <c r="N17" s="255">
        <f t="shared" si="30"/>
        <v>1635300</v>
      </c>
      <c r="O17" s="255">
        <f t="shared" si="30"/>
        <v>1706400</v>
      </c>
      <c r="P17" s="293">
        <f t="shared" si="30"/>
        <v>1848700</v>
      </c>
      <c r="Q17" s="592"/>
      <c r="R17" s="294">
        <f t="shared" ref="R17:AC17" si="31">ROUNDDOWN(R9*R25*R4*R5,-2)</f>
        <v>1990900</v>
      </c>
      <c r="S17" s="255">
        <f t="shared" si="31"/>
        <v>1939200</v>
      </c>
      <c r="T17" s="255">
        <f t="shared" si="31"/>
        <v>2230000</v>
      </c>
      <c r="U17" s="255">
        <f t="shared" si="31"/>
        <v>2133100</v>
      </c>
      <c r="V17" s="255">
        <f t="shared" si="31"/>
        <v>2230000</v>
      </c>
      <c r="W17" s="255">
        <f t="shared" si="31"/>
        <v>2133100</v>
      </c>
      <c r="X17" s="255">
        <f t="shared" si="31"/>
        <v>2230000</v>
      </c>
      <c r="Y17" s="255">
        <f t="shared" si="31"/>
        <v>2133100</v>
      </c>
      <c r="Z17" s="255">
        <f t="shared" si="31"/>
        <v>2133100</v>
      </c>
      <c r="AA17" s="255">
        <f t="shared" si="31"/>
        <v>2230000</v>
      </c>
      <c r="AB17" s="255">
        <f t="shared" si="31"/>
        <v>2133100</v>
      </c>
      <c r="AC17" s="293">
        <f t="shared" si="31"/>
        <v>2133100</v>
      </c>
      <c r="AD17" s="592"/>
      <c r="AE17" s="294">
        <f t="shared" ref="AE17:AP17" si="32">ROUNDDOWN(AE9*AE25*AE4*AE5,-2)</f>
        <v>2133100</v>
      </c>
      <c r="AF17" s="255">
        <f t="shared" si="32"/>
        <v>1939200</v>
      </c>
      <c r="AG17" s="255">
        <f t="shared" si="32"/>
        <v>2230000</v>
      </c>
      <c r="AH17" s="255">
        <f t="shared" si="32"/>
        <v>2133100</v>
      </c>
      <c r="AI17" s="255">
        <f t="shared" si="32"/>
        <v>2230000</v>
      </c>
      <c r="AJ17" s="255">
        <f t="shared" si="32"/>
        <v>2133100</v>
      </c>
      <c r="AK17" s="255">
        <f t="shared" si="32"/>
        <v>2230000</v>
      </c>
      <c r="AL17" s="255">
        <f t="shared" si="32"/>
        <v>2133100</v>
      </c>
      <c r="AM17" s="255">
        <f t="shared" si="32"/>
        <v>2133100</v>
      </c>
      <c r="AN17" s="255">
        <f t="shared" si="32"/>
        <v>2230000</v>
      </c>
      <c r="AO17" s="255">
        <f t="shared" si="32"/>
        <v>2133100</v>
      </c>
      <c r="AP17" s="293">
        <f t="shared" si="32"/>
        <v>2133100</v>
      </c>
      <c r="AQ17" s="592"/>
      <c r="AR17" s="294">
        <f t="shared" ref="AR17:BC17" si="33">ROUNDDOWN(AR9*AR25*AR4*AR5,-2)</f>
        <v>1422000</v>
      </c>
      <c r="AS17" s="255">
        <f t="shared" si="33"/>
        <v>1292800</v>
      </c>
      <c r="AT17" s="255">
        <f t="shared" si="33"/>
        <v>1486700</v>
      </c>
      <c r="AU17" s="255">
        <f t="shared" si="33"/>
        <v>1422000</v>
      </c>
      <c r="AV17" s="255">
        <f t="shared" si="33"/>
        <v>1486700</v>
      </c>
      <c r="AW17" s="255">
        <f t="shared" si="33"/>
        <v>1422000</v>
      </c>
      <c r="AX17" s="255">
        <f t="shared" si="33"/>
        <v>1486700</v>
      </c>
      <c r="AY17" s="255">
        <f t="shared" si="33"/>
        <v>1422000</v>
      </c>
      <c r="AZ17" s="255">
        <f t="shared" si="33"/>
        <v>1422000</v>
      </c>
      <c r="BA17" s="255">
        <f t="shared" si="33"/>
        <v>1486700</v>
      </c>
      <c r="BB17" s="255">
        <f t="shared" si="33"/>
        <v>1422000</v>
      </c>
      <c r="BC17" s="293">
        <f t="shared" si="33"/>
        <v>1422000</v>
      </c>
      <c r="BD17" s="592"/>
      <c r="BE17" s="294">
        <f t="shared" ref="BE17:BP17" si="34">ROUNDDOWN(BE9*BE25*BE4*BE5,-2)</f>
        <v>1422000</v>
      </c>
      <c r="BF17" s="255">
        <f t="shared" si="34"/>
        <v>1292800</v>
      </c>
      <c r="BG17" s="255">
        <f t="shared" si="34"/>
        <v>1486700</v>
      </c>
      <c r="BH17" s="255">
        <f t="shared" si="34"/>
        <v>1422000</v>
      </c>
      <c r="BI17" s="255">
        <f t="shared" si="34"/>
        <v>1486700</v>
      </c>
      <c r="BJ17" s="255">
        <f t="shared" si="34"/>
        <v>1422000</v>
      </c>
      <c r="BK17" s="255">
        <f t="shared" si="34"/>
        <v>1486700</v>
      </c>
      <c r="BL17" s="255">
        <f t="shared" si="34"/>
        <v>1422000</v>
      </c>
      <c r="BM17" s="255">
        <f t="shared" si="34"/>
        <v>1422000</v>
      </c>
      <c r="BN17" s="255">
        <f t="shared" si="34"/>
        <v>1486700</v>
      </c>
      <c r="BO17" s="255">
        <f t="shared" si="34"/>
        <v>1422000</v>
      </c>
      <c r="BP17" s="293">
        <f t="shared" si="34"/>
        <v>1422000</v>
      </c>
    </row>
    <row r="18" spans="1:68" ht="15.75" customHeight="1">
      <c r="A18" s="614" t="s">
        <v>467</v>
      </c>
      <c r="B18" s="615"/>
      <c r="C18" s="616"/>
      <c r="D18" s="592"/>
      <c r="E18" s="255">
        <f t="shared" ref="E18:P18" si="35">ROUNDDOWN(E10*E26*E4*E5,-2)</f>
        <v>0</v>
      </c>
      <c r="F18" s="255">
        <f t="shared" si="35"/>
        <v>0</v>
      </c>
      <c r="G18" s="255">
        <f t="shared" si="35"/>
        <v>0</v>
      </c>
      <c r="H18" s="255">
        <f t="shared" si="35"/>
        <v>0</v>
      </c>
      <c r="I18" s="255">
        <f t="shared" si="35"/>
        <v>0</v>
      </c>
      <c r="J18" s="255">
        <f t="shared" si="35"/>
        <v>0</v>
      </c>
      <c r="K18" s="255">
        <f t="shared" si="35"/>
        <v>0</v>
      </c>
      <c r="L18" s="255">
        <f t="shared" si="35"/>
        <v>0</v>
      </c>
      <c r="M18" s="255">
        <f t="shared" si="35"/>
        <v>0</v>
      </c>
      <c r="N18" s="255">
        <f t="shared" si="35"/>
        <v>0</v>
      </c>
      <c r="O18" s="255">
        <f t="shared" si="35"/>
        <v>0</v>
      </c>
      <c r="P18" s="293">
        <f t="shared" si="35"/>
        <v>159800</v>
      </c>
      <c r="Q18" s="592"/>
      <c r="R18" s="294">
        <f t="shared" ref="R18:AC18" si="36">ROUNDDOWN(R10*R26*R4*R5,-2)</f>
        <v>319600</v>
      </c>
      <c r="S18" s="255">
        <f t="shared" si="36"/>
        <v>435800</v>
      </c>
      <c r="T18" s="255">
        <f t="shared" si="36"/>
        <v>668200</v>
      </c>
      <c r="U18" s="255">
        <f t="shared" si="36"/>
        <v>799000</v>
      </c>
      <c r="V18" s="255">
        <f t="shared" si="36"/>
        <v>1002400</v>
      </c>
      <c r="W18" s="255">
        <f t="shared" si="36"/>
        <v>1118600</v>
      </c>
      <c r="X18" s="255">
        <f t="shared" si="36"/>
        <v>1336500</v>
      </c>
      <c r="Y18" s="255">
        <f t="shared" si="36"/>
        <v>1438200</v>
      </c>
      <c r="Z18" s="255">
        <f t="shared" si="36"/>
        <v>1598000</v>
      </c>
      <c r="AA18" s="255">
        <f t="shared" si="36"/>
        <v>1837700</v>
      </c>
      <c r="AB18" s="255">
        <f t="shared" si="36"/>
        <v>1917600</v>
      </c>
      <c r="AC18" s="293">
        <f t="shared" si="36"/>
        <v>2077500</v>
      </c>
      <c r="AD18" s="592"/>
      <c r="AE18" s="294">
        <f t="shared" ref="AE18:AP18" si="37">ROUNDDOWN(AE10*AE26*AE4*AE5,-2)</f>
        <v>2237300</v>
      </c>
      <c r="AF18" s="255">
        <f t="shared" si="37"/>
        <v>2179200</v>
      </c>
      <c r="AG18" s="255">
        <f t="shared" si="37"/>
        <v>2673100</v>
      </c>
      <c r="AH18" s="255">
        <f t="shared" si="37"/>
        <v>2716700</v>
      </c>
      <c r="AI18" s="255">
        <f t="shared" si="37"/>
        <v>3007200</v>
      </c>
      <c r="AJ18" s="255">
        <f t="shared" si="37"/>
        <v>3036300</v>
      </c>
      <c r="AK18" s="255">
        <f t="shared" si="37"/>
        <v>3341400</v>
      </c>
      <c r="AL18" s="255">
        <f t="shared" si="37"/>
        <v>3355900</v>
      </c>
      <c r="AM18" s="255">
        <f t="shared" si="37"/>
        <v>3515700</v>
      </c>
      <c r="AN18" s="255">
        <f t="shared" si="37"/>
        <v>3842600</v>
      </c>
      <c r="AO18" s="255">
        <f t="shared" si="37"/>
        <v>3835300</v>
      </c>
      <c r="AP18" s="293">
        <f t="shared" si="37"/>
        <v>3995200</v>
      </c>
      <c r="AQ18" s="592"/>
      <c r="AR18" s="294">
        <f t="shared" ref="AR18:BC18" si="38">ROUNDDOWN(AR10*AR26*AR4*AR5,-2)</f>
        <v>1598000</v>
      </c>
      <c r="AS18" s="255">
        <f t="shared" si="38"/>
        <v>1452800</v>
      </c>
      <c r="AT18" s="255">
        <f t="shared" si="38"/>
        <v>1670700</v>
      </c>
      <c r="AU18" s="255">
        <f t="shared" si="38"/>
        <v>1598000</v>
      </c>
      <c r="AV18" s="255">
        <f t="shared" si="38"/>
        <v>1670700</v>
      </c>
      <c r="AW18" s="255">
        <f t="shared" si="38"/>
        <v>1598000</v>
      </c>
      <c r="AX18" s="255">
        <f t="shared" si="38"/>
        <v>1670700</v>
      </c>
      <c r="AY18" s="255">
        <f t="shared" si="38"/>
        <v>1598000</v>
      </c>
      <c r="AZ18" s="255">
        <f t="shared" si="38"/>
        <v>1598000</v>
      </c>
      <c r="BA18" s="255">
        <f t="shared" si="38"/>
        <v>1670700</v>
      </c>
      <c r="BB18" s="255">
        <f t="shared" si="38"/>
        <v>1598000</v>
      </c>
      <c r="BC18" s="293">
        <f t="shared" si="38"/>
        <v>1598000</v>
      </c>
      <c r="BD18" s="592"/>
      <c r="BE18" s="294">
        <f t="shared" ref="BE18:BP18" si="39">ROUNDDOWN(BE10*BE26*BE4*BE5,-2)</f>
        <v>1598000</v>
      </c>
      <c r="BF18" s="255">
        <f t="shared" si="39"/>
        <v>1452800</v>
      </c>
      <c r="BG18" s="255">
        <f t="shared" si="39"/>
        <v>1670700</v>
      </c>
      <c r="BH18" s="255">
        <f t="shared" si="39"/>
        <v>1598000</v>
      </c>
      <c r="BI18" s="255">
        <f t="shared" si="39"/>
        <v>1670700</v>
      </c>
      <c r="BJ18" s="255">
        <f t="shared" si="39"/>
        <v>1598000</v>
      </c>
      <c r="BK18" s="255">
        <f t="shared" si="39"/>
        <v>1670700</v>
      </c>
      <c r="BL18" s="255">
        <f t="shared" si="39"/>
        <v>1598000</v>
      </c>
      <c r="BM18" s="255">
        <f t="shared" si="39"/>
        <v>1598000</v>
      </c>
      <c r="BN18" s="255">
        <f t="shared" si="39"/>
        <v>1670700</v>
      </c>
      <c r="BO18" s="255">
        <f t="shared" si="39"/>
        <v>1598000</v>
      </c>
      <c r="BP18" s="293">
        <f t="shared" si="39"/>
        <v>1598000</v>
      </c>
    </row>
    <row r="19" spans="1:68" ht="15.75" customHeight="1" thickBot="1">
      <c r="A19" s="635" t="s">
        <v>469</v>
      </c>
      <c r="B19" s="636"/>
      <c r="C19" s="637"/>
      <c r="D19" s="592"/>
      <c r="E19" s="336">
        <f t="shared" ref="E19:P19" si="40">ROUNDDOWN((E9+E10)*E4*E5*E28,-2)</f>
        <v>0</v>
      </c>
      <c r="F19" s="336">
        <f t="shared" si="40"/>
        <v>0</v>
      </c>
      <c r="G19" s="336">
        <f t="shared" si="40"/>
        <v>0</v>
      </c>
      <c r="H19" s="336">
        <f t="shared" si="40"/>
        <v>0</v>
      </c>
      <c r="I19" s="336">
        <f t="shared" si="40"/>
        <v>0</v>
      </c>
      <c r="J19" s="336">
        <f t="shared" si="40"/>
        <v>28500</v>
      </c>
      <c r="K19" s="336">
        <f t="shared" si="40"/>
        <v>49600</v>
      </c>
      <c r="L19" s="336">
        <f t="shared" si="40"/>
        <v>66500</v>
      </c>
      <c r="M19" s="336">
        <f t="shared" si="40"/>
        <v>85500</v>
      </c>
      <c r="N19" s="336">
        <f t="shared" si="40"/>
        <v>109200</v>
      </c>
      <c r="O19" s="336">
        <f t="shared" si="40"/>
        <v>114000</v>
      </c>
      <c r="P19" s="337">
        <f t="shared" si="40"/>
        <v>133000</v>
      </c>
      <c r="Q19" s="592"/>
      <c r="R19" s="395">
        <f t="shared" ref="R19:AC19" si="41">ROUNDDOWN((R9+R10)*R4*R5*R28,-2)</f>
        <v>152000</v>
      </c>
      <c r="S19" s="336">
        <f t="shared" si="41"/>
        <v>155500</v>
      </c>
      <c r="T19" s="336">
        <f t="shared" si="41"/>
        <v>188700</v>
      </c>
      <c r="U19" s="336">
        <f t="shared" si="41"/>
        <v>190000</v>
      </c>
      <c r="V19" s="336">
        <f t="shared" si="41"/>
        <v>208600</v>
      </c>
      <c r="W19" s="336">
        <f t="shared" si="41"/>
        <v>209000</v>
      </c>
      <c r="X19" s="336">
        <f t="shared" si="41"/>
        <v>228500</v>
      </c>
      <c r="Y19" s="336">
        <f t="shared" si="41"/>
        <v>228000</v>
      </c>
      <c r="Z19" s="336">
        <f t="shared" si="41"/>
        <v>237600</v>
      </c>
      <c r="AA19" s="336">
        <f t="shared" si="41"/>
        <v>258300</v>
      </c>
      <c r="AB19" s="336">
        <f t="shared" si="41"/>
        <v>256600</v>
      </c>
      <c r="AC19" s="337">
        <f t="shared" si="41"/>
        <v>266100</v>
      </c>
      <c r="AD19" s="592"/>
      <c r="AE19" s="395">
        <f t="shared" ref="AE19:AP19" si="42">ROUNDDOWN((AE9+AE10)*AE4*AE5*AE28,-2)</f>
        <v>275600</v>
      </c>
      <c r="AF19" s="336">
        <f t="shared" si="42"/>
        <v>259200</v>
      </c>
      <c r="AG19" s="336">
        <f t="shared" si="42"/>
        <v>308000</v>
      </c>
      <c r="AH19" s="336">
        <f t="shared" si="42"/>
        <v>304100</v>
      </c>
      <c r="AI19" s="336">
        <f t="shared" si="42"/>
        <v>327800</v>
      </c>
      <c r="AJ19" s="336">
        <f t="shared" si="42"/>
        <v>323100</v>
      </c>
      <c r="AK19" s="336">
        <f t="shared" si="42"/>
        <v>347700</v>
      </c>
      <c r="AL19" s="336">
        <f t="shared" si="42"/>
        <v>342100</v>
      </c>
      <c r="AM19" s="336">
        <f t="shared" si="42"/>
        <v>351600</v>
      </c>
      <c r="AN19" s="336">
        <f t="shared" si="42"/>
        <v>377500</v>
      </c>
      <c r="AO19" s="336">
        <f t="shared" si="42"/>
        <v>370600</v>
      </c>
      <c r="AP19" s="337">
        <f t="shared" si="42"/>
        <v>380100</v>
      </c>
      <c r="AQ19" s="592"/>
      <c r="AR19" s="395">
        <f t="shared" ref="AR19:BC19" si="43">ROUNDDOWN((AR9+AR10)*AR4*AR5*AR28,-2)</f>
        <v>190000</v>
      </c>
      <c r="AS19" s="336">
        <f t="shared" si="43"/>
        <v>172800</v>
      </c>
      <c r="AT19" s="336">
        <f t="shared" si="43"/>
        <v>198700</v>
      </c>
      <c r="AU19" s="336">
        <f t="shared" si="43"/>
        <v>190000</v>
      </c>
      <c r="AV19" s="336">
        <f t="shared" si="43"/>
        <v>198700</v>
      </c>
      <c r="AW19" s="336">
        <f t="shared" si="43"/>
        <v>190000</v>
      </c>
      <c r="AX19" s="336">
        <f t="shared" si="43"/>
        <v>198700</v>
      </c>
      <c r="AY19" s="336">
        <f t="shared" si="43"/>
        <v>190000</v>
      </c>
      <c r="AZ19" s="336">
        <f t="shared" si="43"/>
        <v>190000</v>
      </c>
      <c r="BA19" s="336">
        <f t="shared" si="43"/>
        <v>198700</v>
      </c>
      <c r="BB19" s="336">
        <f t="shared" si="43"/>
        <v>190000</v>
      </c>
      <c r="BC19" s="337">
        <f t="shared" si="43"/>
        <v>190000</v>
      </c>
      <c r="BD19" s="592"/>
      <c r="BE19" s="395">
        <f t="shared" ref="BE19:BP19" si="44">ROUNDDOWN((BE9+BE10)*BE4*BE5*BE28,-2)</f>
        <v>190000</v>
      </c>
      <c r="BF19" s="336">
        <f t="shared" si="44"/>
        <v>172800</v>
      </c>
      <c r="BG19" s="336">
        <f t="shared" si="44"/>
        <v>198700</v>
      </c>
      <c r="BH19" s="336">
        <f t="shared" si="44"/>
        <v>190000</v>
      </c>
      <c r="BI19" s="336">
        <f t="shared" si="44"/>
        <v>198700</v>
      </c>
      <c r="BJ19" s="336">
        <f t="shared" si="44"/>
        <v>190000</v>
      </c>
      <c r="BK19" s="336">
        <f t="shared" si="44"/>
        <v>198700</v>
      </c>
      <c r="BL19" s="336">
        <f t="shared" si="44"/>
        <v>190000</v>
      </c>
      <c r="BM19" s="336">
        <f t="shared" si="44"/>
        <v>190000</v>
      </c>
      <c r="BN19" s="336">
        <f t="shared" si="44"/>
        <v>198700</v>
      </c>
      <c r="BO19" s="336">
        <f t="shared" si="44"/>
        <v>190000</v>
      </c>
      <c r="BP19" s="337">
        <f t="shared" si="44"/>
        <v>190000</v>
      </c>
    </row>
    <row r="20" spans="1:68" ht="15.75" customHeight="1" thickTop="1" thickBot="1">
      <c r="A20" s="638" t="s">
        <v>380</v>
      </c>
      <c r="B20" s="639"/>
      <c r="C20" s="640"/>
      <c r="D20" s="592"/>
      <c r="E20" s="367">
        <f t="shared" ref="E20:P20" si="45">SUM(E14:E19)</f>
        <v>0</v>
      </c>
      <c r="F20" s="367">
        <f t="shared" si="45"/>
        <v>0</v>
      </c>
      <c r="G20" s="367">
        <f t="shared" si="45"/>
        <v>0</v>
      </c>
      <c r="H20" s="367">
        <f t="shared" si="45"/>
        <v>0</v>
      </c>
      <c r="I20" s="367">
        <f t="shared" si="45"/>
        <v>0</v>
      </c>
      <c r="J20" s="367">
        <f t="shared" si="45"/>
        <v>455100</v>
      </c>
      <c r="K20" s="367">
        <f t="shared" si="45"/>
        <v>792900</v>
      </c>
      <c r="L20" s="367">
        <f t="shared" si="45"/>
        <v>1061900</v>
      </c>
      <c r="M20" s="367">
        <f t="shared" si="45"/>
        <v>1365300</v>
      </c>
      <c r="N20" s="367">
        <f t="shared" si="45"/>
        <v>1744500</v>
      </c>
      <c r="O20" s="367">
        <f t="shared" si="45"/>
        <v>1820400</v>
      </c>
      <c r="P20" s="368">
        <f t="shared" si="45"/>
        <v>2141500</v>
      </c>
      <c r="Q20" s="592"/>
      <c r="R20" s="396">
        <f t="shared" ref="R20:AC20" si="46">SUM(R14:R19)</f>
        <v>2462500</v>
      </c>
      <c r="S20" s="367">
        <f t="shared" si="46"/>
        <v>2530500</v>
      </c>
      <c r="T20" s="367">
        <f t="shared" si="46"/>
        <v>3086900</v>
      </c>
      <c r="U20" s="367">
        <f t="shared" si="46"/>
        <v>3122100</v>
      </c>
      <c r="V20" s="367">
        <f t="shared" si="46"/>
        <v>3441000</v>
      </c>
      <c r="W20" s="367">
        <f t="shared" si="46"/>
        <v>3460700</v>
      </c>
      <c r="X20" s="367">
        <f t="shared" si="46"/>
        <v>3795000</v>
      </c>
      <c r="Y20" s="367">
        <f t="shared" si="46"/>
        <v>3799300</v>
      </c>
      <c r="Z20" s="367">
        <f t="shared" si="46"/>
        <v>3968700</v>
      </c>
      <c r="AA20" s="367">
        <f t="shared" si="46"/>
        <v>4326000</v>
      </c>
      <c r="AB20" s="367">
        <f t="shared" si="46"/>
        <v>4307300</v>
      </c>
      <c r="AC20" s="368">
        <f t="shared" si="46"/>
        <v>4476700</v>
      </c>
      <c r="AD20" s="592"/>
      <c r="AE20" s="396">
        <f t="shared" ref="AE20:AP20" si="47">SUM(AE14:AE19)</f>
        <v>4646000</v>
      </c>
      <c r="AF20" s="367">
        <f t="shared" si="47"/>
        <v>4377600</v>
      </c>
      <c r="AG20" s="367">
        <f t="shared" si="47"/>
        <v>5211100</v>
      </c>
      <c r="AH20" s="367">
        <f t="shared" si="47"/>
        <v>5153900</v>
      </c>
      <c r="AI20" s="367">
        <f t="shared" si="47"/>
        <v>5565000</v>
      </c>
      <c r="AJ20" s="367">
        <f t="shared" si="47"/>
        <v>5492500</v>
      </c>
      <c r="AK20" s="367">
        <f t="shared" si="47"/>
        <v>5919100</v>
      </c>
      <c r="AL20" s="367">
        <f t="shared" si="47"/>
        <v>5831100</v>
      </c>
      <c r="AM20" s="367">
        <f t="shared" si="47"/>
        <v>6000400</v>
      </c>
      <c r="AN20" s="367">
        <f t="shared" si="47"/>
        <v>6450100</v>
      </c>
      <c r="AO20" s="367">
        <f t="shared" si="47"/>
        <v>6339000</v>
      </c>
      <c r="AP20" s="368">
        <f t="shared" si="47"/>
        <v>6508400</v>
      </c>
      <c r="AQ20" s="592"/>
      <c r="AR20" s="396">
        <f t="shared" ref="AR20:BC20" si="48">SUM(AR14:AR19)</f>
        <v>5965000</v>
      </c>
      <c r="AS20" s="367">
        <f t="shared" si="48"/>
        <v>5423100</v>
      </c>
      <c r="AT20" s="367">
        <f t="shared" si="48"/>
        <v>6236425</v>
      </c>
      <c r="AU20" s="367">
        <f t="shared" si="48"/>
        <v>5965050</v>
      </c>
      <c r="AV20" s="367">
        <f t="shared" si="48"/>
        <v>6236425</v>
      </c>
      <c r="AW20" s="367">
        <f t="shared" si="48"/>
        <v>5965050</v>
      </c>
      <c r="AX20" s="367">
        <f t="shared" si="48"/>
        <v>6236425</v>
      </c>
      <c r="AY20" s="367">
        <f t="shared" si="48"/>
        <v>5965050</v>
      </c>
      <c r="AZ20" s="367">
        <f t="shared" si="48"/>
        <v>5965050</v>
      </c>
      <c r="BA20" s="367">
        <f t="shared" si="48"/>
        <v>6236425</v>
      </c>
      <c r="BB20" s="367">
        <f t="shared" si="48"/>
        <v>5965050</v>
      </c>
      <c r="BC20" s="368">
        <f t="shared" si="48"/>
        <v>5965050</v>
      </c>
      <c r="BD20" s="592"/>
      <c r="BE20" s="396">
        <f t="shared" ref="BE20:BP20" si="49">SUM(BE14:BE19)</f>
        <v>5965000</v>
      </c>
      <c r="BF20" s="367">
        <f t="shared" si="49"/>
        <v>5423100</v>
      </c>
      <c r="BG20" s="367">
        <f t="shared" si="49"/>
        <v>6236425</v>
      </c>
      <c r="BH20" s="367">
        <f t="shared" si="49"/>
        <v>5965050</v>
      </c>
      <c r="BI20" s="367">
        <f t="shared" si="49"/>
        <v>6236425</v>
      </c>
      <c r="BJ20" s="367">
        <f t="shared" si="49"/>
        <v>5965050</v>
      </c>
      <c r="BK20" s="367">
        <f t="shared" si="49"/>
        <v>6236425</v>
      </c>
      <c r="BL20" s="367">
        <f t="shared" si="49"/>
        <v>5965050</v>
      </c>
      <c r="BM20" s="367">
        <f t="shared" si="49"/>
        <v>5965050</v>
      </c>
      <c r="BN20" s="367">
        <f t="shared" si="49"/>
        <v>6236425</v>
      </c>
      <c r="BO20" s="367">
        <f t="shared" si="49"/>
        <v>5965050</v>
      </c>
      <c r="BP20" s="368">
        <f t="shared" si="49"/>
        <v>5965050</v>
      </c>
    </row>
    <row r="21" spans="1:68" ht="15.75" customHeight="1" thickTop="1">
      <c r="A21" s="641" t="s">
        <v>381</v>
      </c>
      <c r="B21" s="642"/>
      <c r="C21" s="643"/>
      <c r="D21" s="592"/>
      <c r="E21" s="365">
        <f>E20/1000</f>
        <v>0</v>
      </c>
      <c r="F21" s="365">
        <f t="shared" ref="F21:P21" si="50">F20/1000</f>
        <v>0</v>
      </c>
      <c r="G21" s="365">
        <f t="shared" si="50"/>
        <v>0</v>
      </c>
      <c r="H21" s="365">
        <f t="shared" si="50"/>
        <v>0</v>
      </c>
      <c r="I21" s="365">
        <f t="shared" si="50"/>
        <v>0</v>
      </c>
      <c r="J21" s="365">
        <f t="shared" si="50"/>
        <v>455.1</v>
      </c>
      <c r="K21" s="365">
        <f t="shared" si="50"/>
        <v>792.9</v>
      </c>
      <c r="L21" s="365">
        <f t="shared" si="50"/>
        <v>1061.9000000000001</v>
      </c>
      <c r="M21" s="365">
        <f t="shared" si="50"/>
        <v>1365.3</v>
      </c>
      <c r="N21" s="365">
        <f t="shared" si="50"/>
        <v>1744.5</v>
      </c>
      <c r="O21" s="365">
        <f t="shared" si="50"/>
        <v>1820.4</v>
      </c>
      <c r="P21" s="366">
        <f t="shared" si="50"/>
        <v>2141.5</v>
      </c>
      <c r="Q21" s="592"/>
      <c r="R21" s="397">
        <f>R20/1000</f>
        <v>2462.5</v>
      </c>
      <c r="S21" s="365">
        <f t="shared" ref="S21:AC21" si="51">S20/1000</f>
        <v>2530.5</v>
      </c>
      <c r="T21" s="365">
        <f t="shared" si="51"/>
        <v>3086.9</v>
      </c>
      <c r="U21" s="365">
        <f t="shared" si="51"/>
        <v>3122.1</v>
      </c>
      <c r="V21" s="365">
        <f t="shared" si="51"/>
        <v>3441</v>
      </c>
      <c r="W21" s="365">
        <f t="shared" si="51"/>
        <v>3460.7</v>
      </c>
      <c r="X21" s="365">
        <f t="shared" si="51"/>
        <v>3795</v>
      </c>
      <c r="Y21" s="365">
        <f t="shared" si="51"/>
        <v>3799.3</v>
      </c>
      <c r="Z21" s="365">
        <f t="shared" si="51"/>
        <v>3968.7</v>
      </c>
      <c r="AA21" s="365">
        <f t="shared" si="51"/>
        <v>4326</v>
      </c>
      <c r="AB21" s="365">
        <f t="shared" si="51"/>
        <v>4307.3</v>
      </c>
      <c r="AC21" s="366">
        <f t="shared" si="51"/>
        <v>4476.7</v>
      </c>
      <c r="AD21" s="592"/>
      <c r="AE21" s="397">
        <f>AE20/1000</f>
        <v>4646</v>
      </c>
      <c r="AF21" s="365">
        <f t="shared" ref="AF21:AP21" si="52">AF20/1000</f>
        <v>4377.6000000000004</v>
      </c>
      <c r="AG21" s="365">
        <f t="shared" si="52"/>
        <v>5211.1000000000004</v>
      </c>
      <c r="AH21" s="365">
        <f t="shared" si="52"/>
        <v>5153.8999999999996</v>
      </c>
      <c r="AI21" s="365">
        <f t="shared" si="52"/>
        <v>5565</v>
      </c>
      <c r="AJ21" s="365">
        <f t="shared" si="52"/>
        <v>5492.5</v>
      </c>
      <c r="AK21" s="365">
        <f t="shared" si="52"/>
        <v>5919.1</v>
      </c>
      <c r="AL21" s="365">
        <f t="shared" si="52"/>
        <v>5831.1</v>
      </c>
      <c r="AM21" s="365">
        <f t="shared" si="52"/>
        <v>6000.4</v>
      </c>
      <c r="AN21" s="365">
        <f t="shared" si="52"/>
        <v>6450.1</v>
      </c>
      <c r="AO21" s="365">
        <f t="shared" si="52"/>
        <v>6339</v>
      </c>
      <c r="AP21" s="366">
        <f t="shared" si="52"/>
        <v>6508.4</v>
      </c>
      <c r="AQ21" s="592"/>
      <c r="AR21" s="397">
        <f>AR20/1000</f>
        <v>5965</v>
      </c>
      <c r="AS21" s="365">
        <f t="shared" ref="AS21:BC21" si="53">AS20/1000</f>
        <v>5423.1</v>
      </c>
      <c r="AT21" s="365">
        <f t="shared" si="53"/>
        <v>6236.4250000000002</v>
      </c>
      <c r="AU21" s="365">
        <f t="shared" si="53"/>
        <v>5965.05</v>
      </c>
      <c r="AV21" s="365">
        <f t="shared" si="53"/>
        <v>6236.4250000000002</v>
      </c>
      <c r="AW21" s="365">
        <f t="shared" si="53"/>
        <v>5965.05</v>
      </c>
      <c r="AX21" s="365">
        <f t="shared" si="53"/>
        <v>6236.4250000000002</v>
      </c>
      <c r="AY21" s="365">
        <f t="shared" si="53"/>
        <v>5965.05</v>
      </c>
      <c r="AZ21" s="365">
        <f t="shared" si="53"/>
        <v>5965.05</v>
      </c>
      <c r="BA21" s="365">
        <f t="shared" si="53"/>
        <v>6236.4250000000002</v>
      </c>
      <c r="BB21" s="365">
        <f t="shared" si="53"/>
        <v>5965.05</v>
      </c>
      <c r="BC21" s="366">
        <f t="shared" si="53"/>
        <v>5965.05</v>
      </c>
      <c r="BD21" s="592"/>
      <c r="BE21" s="397">
        <f>BE20/1000</f>
        <v>5965</v>
      </c>
      <c r="BF21" s="365">
        <f t="shared" ref="BF21:BP21" si="54">BF20/1000</f>
        <v>5423.1</v>
      </c>
      <c r="BG21" s="365">
        <f t="shared" si="54"/>
        <v>6236.4250000000002</v>
      </c>
      <c r="BH21" s="365">
        <f t="shared" si="54"/>
        <v>5965.05</v>
      </c>
      <c r="BI21" s="365">
        <f t="shared" si="54"/>
        <v>6236.4250000000002</v>
      </c>
      <c r="BJ21" s="365">
        <f t="shared" si="54"/>
        <v>5965.05</v>
      </c>
      <c r="BK21" s="365">
        <f t="shared" si="54"/>
        <v>6236.4250000000002</v>
      </c>
      <c r="BL21" s="365">
        <f t="shared" si="54"/>
        <v>5965.05</v>
      </c>
      <c r="BM21" s="365">
        <f t="shared" si="54"/>
        <v>5965.05</v>
      </c>
      <c r="BN21" s="365">
        <f t="shared" si="54"/>
        <v>6236.4250000000002</v>
      </c>
      <c r="BO21" s="365">
        <f t="shared" si="54"/>
        <v>5965.05</v>
      </c>
      <c r="BP21" s="366">
        <f t="shared" si="54"/>
        <v>5965.05</v>
      </c>
    </row>
    <row r="22" spans="1:68" ht="6.75" customHeight="1">
      <c r="A22" s="611"/>
      <c r="B22" s="612"/>
      <c r="C22" s="613"/>
      <c r="D22" s="592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6"/>
      <c r="Q22" s="592"/>
      <c r="R22" s="327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6"/>
      <c r="AD22" s="592"/>
      <c r="AE22" s="327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6"/>
      <c r="AQ22" s="592"/>
      <c r="AR22" s="327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6"/>
      <c r="BD22" s="592"/>
      <c r="BE22" s="327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  <c r="BP22" s="296"/>
    </row>
    <row r="23" spans="1:68" s="339" customFormat="1" ht="15.75" hidden="1" customHeight="1">
      <c r="A23" s="629" t="s">
        <v>460</v>
      </c>
      <c r="B23" s="630"/>
      <c r="C23" s="631"/>
      <c r="D23" s="592"/>
      <c r="E23" s="340">
        <v>5890</v>
      </c>
      <c r="F23" s="340">
        <v>5890</v>
      </c>
      <c r="G23" s="340">
        <v>5890</v>
      </c>
      <c r="H23" s="340">
        <v>5890</v>
      </c>
      <c r="I23" s="340">
        <v>5890</v>
      </c>
      <c r="J23" s="340">
        <v>5890</v>
      </c>
      <c r="K23" s="340">
        <v>5890</v>
      </c>
      <c r="L23" s="340">
        <v>5890</v>
      </c>
      <c r="M23" s="340">
        <v>5890</v>
      </c>
      <c r="N23" s="340">
        <v>5890</v>
      </c>
      <c r="O23" s="340">
        <v>5890</v>
      </c>
      <c r="P23" s="341">
        <v>5890</v>
      </c>
      <c r="Q23" s="592"/>
      <c r="R23" s="343">
        <v>5890</v>
      </c>
      <c r="S23" s="340">
        <v>5890</v>
      </c>
      <c r="T23" s="340">
        <v>5890</v>
      </c>
      <c r="U23" s="340">
        <v>5890</v>
      </c>
      <c r="V23" s="340">
        <v>5890</v>
      </c>
      <c r="W23" s="340">
        <v>5890</v>
      </c>
      <c r="X23" s="340">
        <v>5890</v>
      </c>
      <c r="Y23" s="340">
        <v>5890</v>
      </c>
      <c r="Z23" s="340">
        <v>5890</v>
      </c>
      <c r="AA23" s="340">
        <v>5890</v>
      </c>
      <c r="AB23" s="340">
        <v>5890</v>
      </c>
      <c r="AC23" s="341">
        <v>5890</v>
      </c>
      <c r="AD23" s="592"/>
      <c r="AE23" s="343">
        <v>5890</v>
      </c>
      <c r="AF23" s="340">
        <v>5890</v>
      </c>
      <c r="AG23" s="340">
        <v>5890</v>
      </c>
      <c r="AH23" s="340">
        <v>5890</v>
      </c>
      <c r="AI23" s="340">
        <v>5890</v>
      </c>
      <c r="AJ23" s="340">
        <v>5890</v>
      </c>
      <c r="AK23" s="340">
        <v>5890</v>
      </c>
      <c r="AL23" s="340">
        <v>5890</v>
      </c>
      <c r="AM23" s="340">
        <v>5890</v>
      </c>
      <c r="AN23" s="340">
        <v>5890</v>
      </c>
      <c r="AO23" s="340">
        <v>5890</v>
      </c>
      <c r="AP23" s="341">
        <v>5890</v>
      </c>
      <c r="AQ23" s="592"/>
      <c r="AR23" s="343">
        <v>5890</v>
      </c>
      <c r="AS23" s="340">
        <v>5890</v>
      </c>
      <c r="AT23" s="340">
        <v>5890</v>
      </c>
      <c r="AU23" s="340">
        <v>5890</v>
      </c>
      <c r="AV23" s="340">
        <v>5890</v>
      </c>
      <c r="AW23" s="340">
        <v>5890</v>
      </c>
      <c r="AX23" s="340">
        <v>5890</v>
      </c>
      <c r="AY23" s="340">
        <v>5890</v>
      </c>
      <c r="AZ23" s="340">
        <v>5890</v>
      </c>
      <c r="BA23" s="340">
        <v>5890</v>
      </c>
      <c r="BB23" s="340">
        <v>5890</v>
      </c>
      <c r="BC23" s="341">
        <v>5890</v>
      </c>
      <c r="BD23" s="592"/>
      <c r="BE23" s="343">
        <v>5890</v>
      </c>
      <c r="BF23" s="340">
        <v>5890</v>
      </c>
      <c r="BG23" s="340">
        <v>5890</v>
      </c>
      <c r="BH23" s="340">
        <v>5890</v>
      </c>
      <c r="BI23" s="340">
        <v>5890</v>
      </c>
      <c r="BJ23" s="340">
        <v>5890</v>
      </c>
      <c r="BK23" s="340">
        <v>5890</v>
      </c>
      <c r="BL23" s="340">
        <v>5890</v>
      </c>
      <c r="BM23" s="340">
        <v>5890</v>
      </c>
      <c r="BN23" s="340">
        <v>5890</v>
      </c>
      <c r="BO23" s="340">
        <v>5890</v>
      </c>
      <c r="BP23" s="341">
        <v>5890</v>
      </c>
    </row>
    <row r="24" spans="1:68" s="339" customFormat="1" ht="15.75" hidden="1" customHeight="1">
      <c r="A24" s="629" t="s">
        <v>461</v>
      </c>
      <c r="B24" s="630"/>
      <c r="C24" s="631"/>
      <c r="D24" s="592"/>
      <c r="E24" s="340">
        <v>6890</v>
      </c>
      <c r="F24" s="340">
        <v>6890</v>
      </c>
      <c r="G24" s="340">
        <v>6890</v>
      </c>
      <c r="H24" s="340">
        <v>6890</v>
      </c>
      <c r="I24" s="340">
        <v>6890</v>
      </c>
      <c r="J24" s="340">
        <v>6890</v>
      </c>
      <c r="K24" s="340">
        <v>6890</v>
      </c>
      <c r="L24" s="340">
        <v>6890</v>
      </c>
      <c r="M24" s="340">
        <v>6890</v>
      </c>
      <c r="N24" s="340">
        <v>6890</v>
      </c>
      <c r="O24" s="340">
        <v>6890</v>
      </c>
      <c r="P24" s="341">
        <v>6890</v>
      </c>
      <c r="Q24" s="592"/>
      <c r="R24" s="343">
        <v>6890</v>
      </c>
      <c r="S24" s="340">
        <v>6890</v>
      </c>
      <c r="T24" s="340">
        <v>6890</v>
      </c>
      <c r="U24" s="340">
        <v>6890</v>
      </c>
      <c r="V24" s="340">
        <v>6890</v>
      </c>
      <c r="W24" s="340">
        <v>6890</v>
      </c>
      <c r="X24" s="340">
        <v>6890</v>
      </c>
      <c r="Y24" s="340">
        <v>6890</v>
      </c>
      <c r="Z24" s="340">
        <v>6890</v>
      </c>
      <c r="AA24" s="340">
        <v>6890</v>
      </c>
      <c r="AB24" s="340">
        <v>6890</v>
      </c>
      <c r="AC24" s="341">
        <v>6890</v>
      </c>
      <c r="AD24" s="592"/>
      <c r="AE24" s="343">
        <v>6890</v>
      </c>
      <c r="AF24" s="340">
        <v>6890</v>
      </c>
      <c r="AG24" s="340">
        <v>6890</v>
      </c>
      <c r="AH24" s="340">
        <v>6890</v>
      </c>
      <c r="AI24" s="340">
        <v>6890</v>
      </c>
      <c r="AJ24" s="340">
        <v>6890</v>
      </c>
      <c r="AK24" s="340">
        <v>6890</v>
      </c>
      <c r="AL24" s="340">
        <v>6890</v>
      </c>
      <c r="AM24" s="340">
        <v>6890</v>
      </c>
      <c r="AN24" s="340">
        <v>6890</v>
      </c>
      <c r="AO24" s="340">
        <v>6890</v>
      </c>
      <c r="AP24" s="341">
        <v>6890</v>
      </c>
      <c r="AQ24" s="592"/>
      <c r="AR24" s="343">
        <v>6890</v>
      </c>
      <c r="AS24" s="340">
        <v>6890</v>
      </c>
      <c r="AT24" s="340">
        <v>6890</v>
      </c>
      <c r="AU24" s="340">
        <v>6890</v>
      </c>
      <c r="AV24" s="340">
        <v>6890</v>
      </c>
      <c r="AW24" s="340">
        <v>6890</v>
      </c>
      <c r="AX24" s="340">
        <v>6890</v>
      </c>
      <c r="AY24" s="340">
        <v>6890</v>
      </c>
      <c r="AZ24" s="340">
        <v>6890</v>
      </c>
      <c r="BA24" s="340">
        <v>6890</v>
      </c>
      <c r="BB24" s="340">
        <v>6890</v>
      </c>
      <c r="BC24" s="341">
        <v>6890</v>
      </c>
      <c r="BD24" s="592"/>
      <c r="BE24" s="343">
        <v>6890</v>
      </c>
      <c r="BF24" s="340">
        <v>6890</v>
      </c>
      <c r="BG24" s="340">
        <v>6890</v>
      </c>
      <c r="BH24" s="340">
        <v>6890</v>
      </c>
      <c r="BI24" s="340">
        <v>6890</v>
      </c>
      <c r="BJ24" s="340">
        <v>6890</v>
      </c>
      <c r="BK24" s="340">
        <v>6890</v>
      </c>
      <c r="BL24" s="340">
        <v>6890</v>
      </c>
      <c r="BM24" s="340">
        <v>6890</v>
      </c>
      <c r="BN24" s="340">
        <v>6890</v>
      </c>
      <c r="BO24" s="340">
        <v>6890</v>
      </c>
      <c r="BP24" s="341">
        <v>6890</v>
      </c>
    </row>
    <row r="25" spans="1:68" s="339" customFormat="1" ht="15.75" customHeight="1">
      <c r="A25" s="629" t="s">
        <v>462</v>
      </c>
      <c r="B25" s="630"/>
      <c r="C25" s="631"/>
      <c r="D25" s="592"/>
      <c r="E25" s="340">
        <v>8080</v>
      </c>
      <c r="F25" s="340">
        <v>8080</v>
      </c>
      <c r="G25" s="340">
        <v>8080</v>
      </c>
      <c r="H25" s="340">
        <v>8080</v>
      </c>
      <c r="I25" s="340">
        <v>8080</v>
      </c>
      <c r="J25" s="340">
        <v>8080</v>
      </c>
      <c r="K25" s="340">
        <v>8080</v>
      </c>
      <c r="L25" s="340">
        <v>8080</v>
      </c>
      <c r="M25" s="340">
        <v>8080</v>
      </c>
      <c r="N25" s="340">
        <v>8080</v>
      </c>
      <c r="O25" s="340">
        <v>8080</v>
      </c>
      <c r="P25" s="341">
        <v>8080</v>
      </c>
      <c r="Q25" s="592"/>
      <c r="R25" s="343">
        <v>8080</v>
      </c>
      <c r="S25" s="340">
        <v>8080</v>
      </c>
      <c r="T25" s="340">
        <v>8080</v>
      </c>
      <c r="U25" s="340">
        <v>8080</v>
      </c>
      <c r="V25" s="340">
        <v>8080</v>
      </c>
      <c r="W25" s="340">
        <v>8080</v>
      </c>
      <c r="X25" s="340">
        <v>8080</v>
      </c>
      <c r="Y25" s="340">
        <v>8080</v>
      </c>
      <c r="Z25" s="340">
        <v>8080</v>
      </c>
      <c r="AA25" s="340">
        <v>8080</v>
      </c>
      <c r="AB25" s="340">
        <v>8080</v>
      </c>
      <c r="AC25" s="341">
        <v>8080</v>
      </c>
      <c r="AD25" s="592"/>
      <c r="AE25" s="343">
        <v>8080</v>
      </c>
      <c r="AF25" s="340">
        <v>8080</v>
      </c>
      <c r="AG25" s="340">
        <v>8080</v>
      </c>
      <c r="AH25" s="340">
        <v>8080</v>
      </c>
      <c r="AI25" s="340">
        <v>8080</v>
      </c>
      <c r="AJ25" s="340">
        <v>8080</v>
      </c>
      <c r="AK25" s="340">
        <v>8080</v>
      </c>
      <c r="AL25" s="340">
        <v>8080</v>
      </c>
      <c r="AM25" s="340">
        <v>8080</v>
      </c>
      <c r="AN25" s="340">
        <v>8080</v>
      </c>
      <c r="AO25" s="340">
        <v>8080</v>
      </c>
      <c r="AP25" s="341">
        <v>8080</v>
      </c>
      <c r="AQ25" s="592"/>
      <c r="AR25" s="343">
        <v>8080</v>
      </c>
      <c r="AS25" s="340">
        <v>8080</v>
      </c>
      <c r="AT25" s="340">
        <v>8080</v>
      </c>
      <c r="AU25" s="340">
        <v>8080</v>
      </c>
      <c r="AV25" s="340">
        <v>8080</v>
      </c>
      <c r="AW25" s="340">
        <v>8080</v>
      </c>
      <c r="AX25" s="340">
        <v>8080</v>
      </c>
      <c r="AY25" s="340">
        <v>8080</v>
      </c>
      <c r="AZ25" s="340">
        <v>8080</v>
      </c>
      <c r="BA25" s="340">
        <v>8080</v>
      </c>
      <c r="BB25" s="340">
        <v>8080</v>
      </c>
      <c r="BC25" s="341">
        <v>8080</v>
      </c>
      <c r="BD25" s="592"/>
      <c r="BE25" s="343">
        <v>8080</v>
      </c>
      <c r="BF25" s="340">
        <v>8080</v>
      </c>
      <c r="BG25" s="340">
        <v>8080</v>
      </c>
      <c r="BH25" s="340">
        <v>8080</v>
      </c>
      <c r="BI25" s="340">
        <v>8080</v>
      </c>
      <c r="BJ25" s="340">
        <v>8080</v>
      </c>
      <c r="BK25" s="340">
        <v>8080</v>
      </c>
      <c r="BL25" s="340">
        <v>8080</v>
      </c>
      <c r="BM25" s="340">
        <v>8080</v>
      </c>
      <c r="BN25" s="340">
        <v>8080</v>
      </c>
      <c r="BO25" s="340">
        <v>8080</v>
      </c>
      <c r="BP25" s="341">
        <v>8080</v>
      </c>
    </row>
    <row r="26" spans="1:68" s="339" customFormat="1" ht="15.75" customHeight="1">
      <c r="A26" s="629" t="s">
        <v>463</v>
      </c>
      <c r="B26" s="630"/>
      <c r="C26" s="631"/>
      <c r="D26" s="592"/>
      <c r="E26" s="340">
        <v>9080</v>
      </c>
      <c r="F26" s="340">
        <v>9080</v>
      </c>
      <c r="G26" s="340">
        <v>9080</v>
      </c>
      <c r="H26" s="340">
        <v>9080</v>
      </c>
      <c r="I26" s="340">
        <v>9080</v>
      </c>
      <c r="J26" s="340">
        <v>9080</v>
      </c>
      <c r="K26" s="340">
        <v>9080</v>
      </c>
      <c r="L26" s="340">
        <v>9080</v>
      </c>
      <c r="M26" s="340">
        <v>9080</v>
      </c>
      <c r="N26" s="340">
        <v>9080</v>
      </c>
      <c r="O26" s="340">
        <v>9080</v>
      </c>
      <c r="P26" s="341">
        <v>9080</v>
      </c>
      <c r="Q26" s="592"/>
      <c r="R26" s="343">
        <v>9080</v>
      </c>
      <c r="S26" s="340">
        <v>9080</v>
      </c>
      <c r="T26" s="340">
        <v>9080</v>
      </c>
      <c r="U26" s="340">
        <v>9080</v>
      </c>
      <c r="V26" s="340">
        <v>9080</v>
      </c>
      <c r="W26" s="340">
        <v>9080</v>
      </c>
      <c r="X26" s="340">
        <v>9080</v>
      </c>
      <c r="Y26" s="340">
        <v>9080</v>
      </c>
      <c r="Z26" s="340">
        <v>9080</v>
      </c>
      <c r="AA26" s="340">
        <v>9080</v>
      </c>
      <c r="AB26" s="340">
        <v>9080</v>
      </c>
      <c r="AC26" s="341">
        <v>9080</v>
      </c>
      <c r="AD26" s="592"/>
      <c r="AE26" s="343">
        <v>9080</v>
      </c>
      <c r="AF26" s="340">
        <v>9080</v>
      </c>
      <c r="AG26" s="340">
        <v>9080</v>
      </c>
      <c r="AH26" s="340">
        <v>9080</v>
      </c>
      <c r="AI26" s="340">
        <v>9080</v>
      </c>
      <c r="AJ26" s="340">
        <v>9080</v>
      </c>
      <c r="AK26" s="340">
        <v>9080</v>
      </c>
      <c r="AL26" s="340">
        <v>9080</v>
      </c>
      <c r="AM26" s="340">
        <v>9080</v>
      </c>
      <c r="AN26" s="340">
        <v>9080</v>
      </c>
      <c r="AO26" s="340">
        <v>9080</v>
      </c>
      <c r="AP26" s="341">
        <v>9080</v>
      </c>
      <c r="AQ26" s="592"/>
      <c r="AR26" s="343">
        <v>9080</v>
      </c>
      <c r="AS26" s="340">
        <v>9080</v>
      </c>
      <c r="AT26" s="340">
        <v>9080</v>
      </c>
      <c r="AU26" s="340">
        <v>9080</v>
      </c>
      <c r="AV26" s="340">
        <v>9080</v>
      </c>
      <c r="AW26" s="340">
        <v>9080</v>
      </c>
      <c r="AX26" s="340">
        <v>9080</v>
      </c>
      <c r="AY26" s="340">
        <v>9080</v>
      </c>
      <c r="AZ26" s="340">
        <v>9080</v>
      </c>
      <c r="BA26" s="340">
        <v>9080</v>
      </c>
      <c r="BB26" s="340">
        <v>9080</v>
      </c>
      <c r="BC26" s="341">
        <v>9080</v>
      </c>
      <c r="BD26" s="592"/>
      <c r="BE26" s="343">
        <v>9080</v>
      </c>
      <c r="BF26" s="340">
        <v>9080</v>
      </c>
      <c r="BG26" s="340">
        <v>9080</v>
      </c>
      <c r="BH26" s="340">
        <v>9080</v>
      </c>
      <c r="BI26" s="340">
        <v>9080</v>
      </c>
      <c r="BJ26" s="340">
        <v>9080</v>
      </c>
      <c r="BK26" s="340">
        <v>9080</v>
      </c>
      <c r="BL26" s="340">
        <v>9080</v>
      </c>
      <c r="BM26" s="340">
        <v>9080</v>
      </c>
      <c r="BN26" s="340">
        <v>9080</v>
      </c>
      <c r="BO26" s="340">
        <v>9080</v>
      </c>
      <c r="BP26" s="341">
        <v>9080</v>
      </c>
    </row>
    <row r="27" spans="1:68" s="339" customFormat="1" ht="15.75" customHeight="1">
      <c r="A27" s="632" t="s">
        <v>368</v>
      </c>
      <c r="B27" s="633"/>
      <c r="C27" s="634"/>
      <c r="D27" s="592"/>
      <c r="E27" s="340">
        <v>890</v>
      </c>
      <c r="F27" s="340">
        <v>890</v>
      </c>
      <c r="G27" s="340">
        <v>890</v>
      </c>
      <c r="H27" s="340">
        <v>890</v>
      </c>
      <c r="I27" s="340">
        <v>890</v>
      </c>
      <c r="J27" s="340">
        <v>890</v>
      </c>
      <c r="K27" s="340">
        <v>890</v>
      </c>
      <c r="L27" s="340">
        <v>890</v>
      </c>
      <c r="M27" s="340">
        <v>890</v>
      </c>
      <c r="N27" s="340">
        <v>890</v>
      </c>
      <c r="O27" s="340">
        <v>890</v>
      </c>
      <c r="P27" s="341">
        <v>890</v>
      </c>
      <c r="Q27" s="592"/>
      <c r="R27" s="343">
        <v>890</v>
      </c>
      <c r="S27" s="340">
        <v>890</v>
      </c>
      <c r="T27" s="340">
        <v>890</v>
      </c>
      <c r="U27" s="340">
        <v>890</v>
      </c>
      <c r="V27" s="340">
        <v>890</v>
      </c>
      <c r="W27" s="340">
        <v>890</v>
      </c>
      <c r="X27" s="340">
        <v>890</v>
      </c>
      <c r="Y27" s="340">
        <v>890</v>
      </c>
      <c r="Z27" s="340">
        <v>890</v>
      </c>
      <c r="AA27" s="340">
        <v>890</v>
      </c>
      <c r="AB27" s="340">
        <v>890</v>
      </c>
      <c r="AC27" s="341">
        <v>890</v>
      </c>
      <c r="AD27" s="592"/>
      <c r="AE27" s="343">
        <v>890</v>
      </c>
      <c r="AF27" s="340">
        <v>890</v>
      </c>
      <c r="AG27" s="340">
        <v>890</v>
      </c>
      <c r="AH27" s="340">
        <v>890</v>
      </c>
      <c r="AI27" s="340">
        <v>890</v>
      </c>
      <c r="AJ27" s="340">
        <v>890</v>
      </c>
      <c r="AK27" s="340">
        <v>890</v>
      </c>
      <c r="AL27" s="340">
        <v>890</v>
      </c>
      <c r="AM27" s="340">
        <v>890</v>
      </c>
      <c r="AN27" s="340">
        <v>890</v>
      </c>
      <c r="AO27" s="340">
        <v>890</v>
      </c>
      <c r="AP27" s="341">
        <v>890</v>
      </c>
      <c r="AQ27" s="592"/>
      <c r="AR27" s="343">
        <v>890</v>
      </c>
      <c r="AS27" s="340">
        <v>890</v>
      </c>
      <c r="AT27" s="340">
        <v>890</v>
      </c>
      <c r="AU27" s="340">
        <v>890</v>
      </c>
      <c r="AV27" s="340">
        <v>890</v>
      </c>
      <c r="AW27" s="340">
        <v>890</v>
      </c>
      <c r="AX27" s="340">
        <v>890</v>
      </c>
      <c r="AY27" s="340">
        <v>890</v>
      </c>
      <c r="AZ27" s="340">
        <v>890</v>
      </c>
      <c r="BA27" s="340">
        <v>890</v>
      </c>
      <c r="BB27" s="340">
        <v>890</v>
      </c>
      <c r="BC27" s="341">
        <v>890</v>
      </c>
      <c r="BD27" s="592"/>
      <c r="BE27" s="343">
        <v>890</v>
      </c>
      <c r="BF27" s="340">
        <v>890</v>
      </c>
      <c r="BG27" s="340">
        <v>890</v>
      </c>
      <c r="BH27" s="340">
        <v>890</v>
      </c>
      <c r="BI27" s="340">
        <v>890</v>
      </c>
      <c r="BJ27" s="340">
        <v>890</v>
      </c>
      <c r="BK27" s="340">
        <v>890</v>
      </c>
      <c r="BL27" s="340">
        <v>890</v>
      </c>
      <c r="BM27" s="340">
        <v>890</v>
      </c>
      <c r="BN27" s="340">
        <v>890</v>
      </c>
      <c r="BO27" s="340">
        <v>890</v>
      </c>
      <c r="BP27" s="341">
        <v>890</v>
      </c>
    </row>
    <row r="28" spans="1:68" s="339" customFormat="1" ht="15.75" customHeight="1">
      <c r="A28" s="629" t="s">
        <v>388</v>
      </c>
      <c r="B28" s="630"/>
      <c r="C28" s="631"/>
      <c r="D28" s="592"/>
      <c r="E28" s="340">
        <v>540</v>
      </c>
      <c r="F28" s="340">
        <v>540</v>
      </c>
      <c r="G28" s="340">
        <v>540</v>
      </c>
      <c r="H28" s="340">
        <v>540</v>
      </c>
      <c r="I28" s="340">
        <v>540</v>
      </c>
      <c r="J28" s="340">
        <v>540</v>
      </c>
      <c r="K28" s="340">
        <v>540</v>
      </c>
      <c r="L28" s="340">
        <v>540</v>
      </c>
      <c r="M28" s="340">
        <v>540</v>
      </c>
      <c r="N28" s="340">
        <v>540</v>
      </c>
      <c r="O28" s="340">
        <v>540</v>
      </c>
      <c r="P28" s="341">
        <v>540</v>
      </c>
      <c r="Q28" s="592"/>
      <c r="R28" s="343">
        <v>540</v>
      </c>
      <c r="S28" s="340">
        <v>540</v>
      </c>
      <c r="T28" s="340">
        <v>540</v>
      </c>
      <c r="U28" s="340">
        <v>540</v>
      </c>
      <c r="V28" s="340">
        <v>540</v>
      </c>
      <c r="W28" s="340">
        <v>540</v>
      </c>
      <c r="X28" s="340">
        <v>540</v>
      </c>
      <c r="Y28" s="340">
        <v>540</v>
      </c>
      <c r="Z28" s="340">
        <v>540</v>
      </c>
      <c r="AA28" s="340">
        <v>540</v>
      </c>
      <c r="AB28" s="340">
        <v>540</v>
      </c>
      <c r="AC28" s="341">
        <v>540</v>
      </c>
      <c r="AD28" s="592"/>
      <c r="AE28" s="343">
        <v>540</v>
      </c>
      <c r="AF28" s="340">
        <v>540</v>
      </c>
      <c r="AG28" s="340">
        <v>540</v>
      </c>
      <c r="AH28" s="340">
        <v>540</v>
      </c>
      <c r="AI28" s="340">
        <v>540</v>
      </c>
      <c r="AJ28" s="340">
        <v>540</v>
      </c>
      <c r="AK28" s="340">
        <v>540</v>
      </c>
      <c r="AL28" s="340">
        <v>540</v>
      </c>
      <c r="AM28" s="340">
        <v>540</v>
      </c>
      <c r="AN28" s="340">
        <v>540</v>
      </c>
      <c r="AO28" s="340">
        <v>540</v>
      </c>
      <c r="AP28" s="341">
        <v>540</v>
      </c>
      <c r="AQ28" s="592"/>
      <c r="AR28" s="343">
        <v>540</v>
      </c>
      <c r="AS28" s="340">
        <v>540</v>
      </c>
      <c r="AT28" s="340">
        <v>540</v>
      </c>
      <c r="AU28" s="340">
        <v>540</v>
      </c>
      <c r="AV28" s="340">
        <v>540</v>
      </c>
      <c r="AW28" s="340">
        <v>540</v>
      </c>
      <c r="AX28" s="340">
        <v>540</v>
      </c>
      <c r="AY28" s="340">
        <v>540</v>
      </c>
      <c r="AZ28" s="340">
        <v>540</v>
      </c>
      <c r="BA28" s="340">
        <v>540</v>
      </c>
      <c r="BB28" s="340">
        <v>540</v>
      </c>
      <c r="BC28" s="341">
        <v>540</v>
      </c>
      <c r="BD28" s="592"/>
      <c r="BE28" s="343">
        <v>540</v>
      </c>
      <c r="BF28" s="340">
        <v>540</v>
      </c>
      <c r="BG28" s="340">
        <v>540</v>
      </c>
      <c r="BH28" s="340">
        <v>540</v>
      </c>
      <c r="BI28" s="340">
        <v>540</v>
      </c>
      <c r="BJ28" s="340">
        <v>540</v>
      </c>
      <c r="BK28" s="340">
        <v>540</v>
      </c>
      <c r="BL28" s="340">
        <v>540</v>
      </c>
      <c r="BM28" s="340">
        <v>540</v>
      </c>
      <c r="BN28" s="340">
        <v>540</v>
      </c>
      <c r="BO28" s="340">
        <v>540</v>
      </c>
      <c r="BP28" s="341">
        <v>540</v>
      </c>
    </row>
    <row r="29" spans="1:68" ht="13.5">
      <c r="A29" s="659" t="s">
        <v>356</v>
      </c>
      <c r="B29" s="660"/>
      <c r="C29" s="661"/>
      <c r="D29" s="592"/>
      <c r="E29" s="287">
        <v>0.8</v>
      </c>
      <c r="F29" s="287">
        <v>0.8</v>
      </c>
      <c r="G29" s="287">
        <v>0.8</v>
      </c>
      <c r="H29" s="287">
        <v>0.8</v>
      </c>
      <c r="I29" s="287">
        <v>0.8</v>
      </c>
      <c r="J29" s="287">
        <v>0.8</v>
      </c>
      <c r="K29" s="287">
        <v>0.8</v>
      </c>
      <c r="L29" s="287">
        <v>0.8</v>
      </c>
      <c r="M29" s="287">
        <v>0.8</v>
      </c>
      <c r="N29" s="287">
        <v>0.8</v>
      </c>
      <c r="O29" s="287">
        <v>0.8</v>
      </c>
      <c r="P29" s="288">
        <v>0.8</v>
      </c>
      <c r="Q29" s="592"/>
      <c r="R29" s="298">
        <v>0.75</v>
      </c>
      <c r="S29" s="299">
        <v>0.75</v>
      </c>
      <c r="T29" s="299">
        <v>0.75</v>
      </c>
      <c r="U29" s="299">
        <v>0.75</v>
      </c>
      <c r="V29" s="299">
        <v>0.75</v>
      </c>
      <c r="W29" s="299">
        <v>0.75</v>
      </c>
      <c r="X29" s="299">
        <v>0.75</v>
      </c>
      <c r="Y29" s="299">
        <v>0.75</v>
      </c>
      <c r="Z29" s="299">
        <v>0.75</v>
      </c>
      <c r="AA29" s="299">
        <v>0.75</v>
      </c>
      <c r="AB29" s="299">
        <v>0.75</v>
      </c>
      <c r="AC29" s="300">
        <v>0.75</v>
      </c>
      <c r="AD29" s="592"/>
      <c r="AE29" s="298">
        <v>0.75</v>
      </c>
      <c r="AF29" s="299">
        <v>0.75</v>
      </c>
      <c r="AG29" s="299">
        <v>0.75</v>
      </c>
      <c r="AH29" s="299">
        <v>0.75</v>
      </c>
      <c r="AI29" s="299">
        <v>0.75</v>
      </c>
      <c r="AJ29" s="299">
        <v>0.75</v>
      </c>
      <c r="AK29" s="299">
        <v>0.75</v>
      </c>
      <c r="AL29" s="299">
        <v>0.75</v>
      </c>
      <c r="AM29" s="299">
        <v>0.75</v>
      </c>
      <c r="AN29" s="299">
        <v>0.75</v>
      </c>
      <c r="AO29" s="299">
        <v>0.75</v>
      </c>
      <c r="AP29" s="300">
        <v>0.75</v>
      </c>
      <c r="AQ29" s="592"/>
      <c r="AR29" s="298">
        <v>0.75</v>
      </c>
      <c r="AS29" s="299">
        <v>0.75</v>
      </c>
      <c r="AT29" s="299">
        <v>0.75</v>
      </c>
      <c r="AU29" s="299">
        <v>0.75</v>
      </c>
      <c r="AV29" s="299">
        <v>0.75</v>
      </c>
      <c r="AW29" s="299">
        <v>0.75</v>
      </c>
      <c r="AX29" s="299">
        <v>0.75</v>
      </c>
      <c r="AY29" s="299">
        <v>0.75</v>
      </c>
      <c r="AZ29" s="299">
        <v>0.75</v>
      </c>
      <c r="BA29" s="299">
        <v>0.75</v>
      </c>
      <c r="BB29" s="299">
        <v>0.75</v>
      </c>
      <c r="BC29" s="300">
        <v>0.75</v>
      </c>
      <c r="BD29" s="592"/>
      <c r="BE29" s="298">
        <v>0.75</v>
      </c>
      <c r="BF29" s="299">
        <v>0.75</v>
      </c>
      <c r="BG29" s="299">
        <v>0.75</v>
      </c>
      <c r="BH29" s="299">
        <v>0.75</v>
      </c>
      <c r="BI29" s="299">
        <v>0.75</v>
      </c>
      <c r="BJ29" s="299">
        <v>0.75</v>
      </c>
      <c r="BK29" s="299">
        <v>0.75</v>
      </c>
      <c r="BL29" s="299">
        <v>0.75</v>
      </c>
      <c r="BM29" s="299">
        <v>0.75</v>
      </c>
      <c r="BN29" s="299">
        <v>0.75</v>
      </c>
      <c r="BO29" s="299">
        <v>0.75</v>
      </c>
      <c r="BP29" s="300">
        <v>0.75</v>
      </c>
    </row>
    <row r="30" spans="1:68" ht="6.75" customHeight="1">
      <c r="A30" s="327"/>
      <c r="B30" s="301"/>
      <c r="C30" s="296"/>
      <c r="D30" s="592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6"/>
      <c r="Q30" s="592"/>
      <c r="R30" s="327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6"/>
      <c r="AD30" s="592"/>
      <c r="AE30" s="327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6"/>
      <c r="AQ30" s="592"/>
      <c r="AR30" s="327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6"/>
      <c r="BD30" s="592"/>
      <c r="BE30" s="327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6"/>
    </row>
    <row r="31" spans="1:68" ht="8.25" hidden="1" customHeight="1">
      <c r="A31" s="289"/>
      <c r="B31" s="299"/>
      <c r="C31" s="288"/>
      <c r="D31" s="592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8"/>
      <c r="Q31" s="592"/>
      <c r="R31" s="289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8"/>
      <c r="AD31" s="592"/>
      <c r="AE31" s="289"/>
      <c r="AF31" s="287"/>
      <c r="AG31" s="287"/>
      <c r="AH31" s="287"/>
      <c r="AI31" s="287"/>
      <c r="AJ31" s="287"/>
      <c r="AK31" s="287"/>
      <c r="AL31" s="287"/>
      <c r="AM31" s="287"/>
      <c r="AN31" s="287"/>
      <c r="AO31" s="287"/>
      <c r="AP31" s="288"/>
      <c r="AQ31" s="592"/>
      <c r="AR31" s="289"/>
      <c r="AS31" s="287"/>
      <c r="AT31" s="287"/>
      <c r="AU31" s="287"/>
      <c r="AV31" s="287"/>
      <c r="AW31" s="287"/>
      <c r="AX31" s="287"/>
      <c r="AY31" s="287"/>
      <c r="AZ31" s="287"/>
      <c r="BA31" s="287"/>
      <c r="BB31" s="287"/>
      <c r="BC31" s="288"/>
      <c r="BD31" s="592"/>
      <c r="BE31" s="289"/>
      <c r="BF31" s="287"/>
      <c r="BG31" s="287"/>
      <c r="BH31" s="287"/>
      <c r="BI31" s="287"/>
      <c r="BJ31" s="287"/>
      <c r="BK31" s="287"/>
      <c r="BL31" s="287"/>
      <c r="BM31" s="287"/>
      <c r="BN31" s="287"/>
      <c r="BO31" s="287"/>
      <c r="BP31" s="288"/>
    </row>
    <row r="32" spans="1:68" s="344" customFormat="1" ht="15.75" hidden="1" customHeight="1">
      <c r="A32" s="614" t="s">
        <v>471</v>
      </c>
      <c r="B32" s="615"/>
      <c r="C32" s="616"/>
      <c r="D32" s="592"/>
      <c r="E32" s="348">
        <f>ROUNDUP(E6/7.5,0)</f>
        <v>0</v>
      </c>
      <c r="F32" s="350">
        <f>ROUNDUP(F6/7.5,0)</f>
        <v>0</v>
      </c>
      <c r="G32" s="350">
        <f t="shared" ref="G32:P32" si="55">ROUNDUP(G6/7.5,1)</f>
        <v>0</v>
      </c>
      <c r="H32" s="350">
        <f t="shared" si="55"/>
        <v>0</v>
      </c>
      <c r="I32" s="350">
        <f t="shared" si="55"/>
        <v>0</v>
      </c>
      <c r="J32" s="350">
        <f t="shared" si="55"/>
        <v>0</v>
      </c>
      <c r="K32" s="350">
        <f t="shared" si="55"/>
        <v>0</v>
      </c>
      <c r="L32" s="350">
        <f t="shared" si="55"/>
        <v>0</v>
      </c>
      <c r="M32" s="350">
        <f t="shared" si="55"/>
        <v>0</v>
      </c>
      <c r="N32" s="350">
        <f t="shared" si="55"/>
        <v>0</v>
      </c>
      <c r="O32" s="350">
        <f t="shared" si="55"/>
        <v>0</v>
      </c>
      <c r="P32" s="351">
        <f t="shared" si="55"/>
        <v>0</v>
      </c>
      <c r="Q32" s="592"/>
      <c r="R32" s="398">
        <f>ROUNDUP(R6/7.5,0)</f>
        <v>0</v>
      </c>
      <c r="S32" s="350">
        <f>ROUNDUP(S6/7.5,0)</f>
        <v>0</v>
      </c>
      <c r="T32" s="350">
        <f t="shared" ref="T32:AC32" si="56">ROUNDUP(T6/7.5,1)</f>
        <v>0</v>
      </c>
      <c r="U32" s="350">
        <f t="shared" si="56"/>
        <v>0</v>
      </c>
      <c r="V32" s="350">
        <f t="shared" si="56"/>
        <v>0</v>
      </c>
      <c r="W32" s="350">
        <f t="shared" si="56"/>
        <v>0</v>
      </c>
      <c r="X32" s="350">
        <f t="shared" si="56"/>
        <v>0</v>
      </c>
      <c r="Y32" s="350">
        <f t="shared" si="56"/>
        <v>0</v>
      </c>
      <c r="Z32" s="350">
        <f t="shared" si="56"/>
        <v>0</v>
      </c>
      <c r="AA32" s="350">
        <f t="shared" si="56"/>
        <v>0</v>
      </c>
      <c r="AB32" s="350">
        <f t="shared" si="56"/>
        <v>0</v>
      </c>
      <c r="AC32" s="351">
        <f t="shared" si="56"/>
        <v>0</v>
      </c>
      <c r="AD32" s="592"/>
      <c r="AE32" s="398">
        <f>ROUNDUP(AE6/7.5,0)</f>
        <v>0</v>
      </c>
      <c r="AF32" s="350">
        <f>ROUNDUP(AF6/7.5,0)</f>
        <v>0</v>
      </c>
      <c r="AG32" s="350">
        <f t="shared" ref="AG32:AP32" si="57">ROUNDUP(AG6/7.5,1)</f>
        <v>0</v>
      </c>
      <c r="AH32" s="350">
        <f t="shared" si="57"/>
        <v>0</v>
      </c>
      <c r="AI32" s="350">
        <f t="shared" si="57"/>
        <v>0</v>
      </c>
      <c r="AJ32" s="350">
        <f t="shared" si="57"/>
        <v>0</v>
      </c>
      <c r="AK32" s="350">
        <f t="shared" si="57"/>
        <v>0</v>
      </c>
      <c r="AL32" s="350">
        <f t="shared" si="57"/>
        <v>0</v>
      </c>
      <c r="AM32" s="350">
        <f t="shared" si="57"/>
        <v>0</v>
      </c>
      <c r="AN32" s="350">
        <f t="shared" si="57"/>
        <v>0</v>
      </c>
      <c r="AO32" s="350">
        <f t="shared" si="57"/>
        <v>0</v>
      </c>
      <c r="AP32" s="351">
        <f t="shared" si="57"/>
        <v>0</v>
      </c>
      <c r="AQ32" s="592"/>
      <c r="AR32" s="398">
        <f>ROUNDUP(AR6/7.5,0)</f>
        <v>2</v>
      </c>
      <c r="AS32" s="350">
        <f>ROUNDUP(AS6/7.5,0)</f>
        <v>2</v>
      </c>
      <c r="AT32" s="350">
        <f t="shared" ref="AT32:BC32" si="58">ROUNDUP(AT6/7.5,1)</f>
        <v>1.4000000000000001</v>
      </c>
      <c r="AU32" s="350">
        <f t="shared" si="58"/>
        <v>1.4000000000000001</v>
      </c>
      <c r="AV32" s="350">
        <f t="shared" si="58"/>
        <v>1.4000000000000001</v>
      </c>
      <c r="AW32" s="350">
        <f t="shared" si="58"/>
        <v>1.4000000000000001</v>
      </c>
      <c r="AX32" s="350">
        <f t="shared" si="58"/>
        <v>1.4000000000000001</v>
      </c>
      <c r="AY32" s="350">
        <f t="shared" si="58"/>
        <v>1.4000000000000001</v>
      </c>
      <c r="AZ32" s="350">
        <f t="shared" si="58"/>
        <v>1.4000000000000001</v>
      </c>
      <c r="BA32" s="350">
        <f t="shared" si="58"/>
        <v>1.4000000000000001</v>
      </c>
      <c r="BB32" s="350">
        <f t="shared" si="58"/>
        <v>1.4000000000000001</v>
      </c>
      <c r="BC32" s="351">
        <f t="shared" si="58"/>
        <v>1.4000000000000001</v>
      </c>
      <c r="BD32" s="592"/>
      <c r="BE32" s="398">
        <f>ROUNDUP(BE6/7.5,0)</f>
        <v>2</v>
      </c>
      <c r="BF32" s="350">
        <f>ROUNDUP(BF6/7.5,0)</f>
        <v>2</v>
      </c>
      <c r="BG32" s="350">
        <f t="shared" ref="BG32:BP32" si="59">ROUNDUP(BG6/7.5,1)</f>
        <v>1.4000000000000001</v>
      </c>
      <c r="BH32" s="350">
        <f t="shared" si="59"/>
        <v>1.4000000000000001</v>
      </c>
      <c r="BI32" s="350">
        <f t="shared" si="59"/>
        <v>1.4000000000000001</v>
      </c>
      <c r="BJ32" s="350">
        <f t="shared" si="59"/>
        <v>1.4000000000000001</v>
      </c>
      <c r="BK32" s="350">
        <f t="shared" si="59"/>
        <v>1.4000000000000001</v>
      </c>
      <c r="BL32" s="350">
        <f t="shared" si="59"/>
        <v>1.4000000000000001</v>
      </c>
      <c r="BM32" s="350">
        <f t="shared" si="59"/>
        <v>1.4000000000000001</v>
      </c>
      <c r="BN32" s="350">
        <f t="shared" si="59"/>
        <v>1.4000000000000001</v>
      </c>
      <c r="BO32" s="350">
        <f t="shared" si="59"/>
        <v>1.4000000000000001</v>
      </c>
      <c r="BP32" s="351">
        <f t="shared" si="59"/>
        <v>1.4000000000000001</v>
      </c>
    </row>
    <row r="33" spans="1:68" s="344" customFormat="1" ht="15.75" hidden="1" customHeight="1">
      <c r="A33" s="614" t="s">
        <v>472</v>
      </c>
      <c r="B33" s="615"/>
      <c r="C33" s="616"/>
      <c r="D33" s="592"/>
      <c r="E33" s="348">
        <f t="shared" ref="E33:P33" si="60">IF(E7/7.5&lt;1,2,1+E7/7.5)</f>
        <v>2</v>
      </c>
      <c r="F33" s="348">
        <f t="shared" si="60"/>
        <v>2</v>
      </c>
      <c r="G33" s="348">
        <f t="shared" si="60"/>
        <v>2</v>
      </c>
      <c r="H33" s="348">
        <f t="shared" si="60"/>
        <v>2</v>
      </c>
      <c r="I33" s="348">
        <f t="shared" si="60"/>
        <v>2</v>
      </c>
      <c r="J33" s="348">
        <f t="shared" si="60"/>
        <v>2</v>
      </c>
      <c r="K33" s="348">
        <f t="shared" si="60"/>
        <v>2</v>
      </c>
      <c r="L33" s="348">
        <f t="shared" si="60"/>
        <v>2</v>
      </c>
      <c r="M33" s="348">
        <f t="shared" si="60"/>
        <v>2</v>
      </c>
      <c r="N33" s="348">
        <f t="shared" si="60"/>
        <v>2</v>
      </c>
      <c r="O33" s="348">
        <f t="shared" si="60"/>
        <v>2</v>
      </c>
      <c r="P33" s="349">
        <f t="shared" si="60"/>
        <v>2</v>
      </c>
      <c r="Q33" s="592"/>
      <c r="R33" s="398">
        <f t="shared" ref="R33:AC33" si="61">IF(R7/7.5&lt;1,2,1+R7/7.5)</f>
        <v>2</v>
      </c>
      <c r="S33" s="348">
        <f t="shared" si="61"/>
        <v>2</v>
      </c>
      <c r="T33" s="348">
        <f t="shared" si="61"/>
        <v>2</v>
      </c>
      <c r="U33" s="348">
        <f t="shared" si="61"/>
        <v>2</v>
      </c>
      <c r="V33" s="348">
        <f t="shared" si="61"/>
        <v>2</v>
      </c>
      <c r="W33" s="348">
        <f t="shared" si="61"/>
        <v>2</v>
      </c>
      <c r="X33" s="348">
        <f t="shared" si="61"/>
        <v>2</v>
      </c>
      <c r="Y33" s="348">
        <f t="shared" si="61"/>
        <v>2</v>
      </c>
      <c r="Z33" s="348">
        <f t="shared" si="61"/>
        <v>2</v>
      </c>
      <c r="AA33" s="348">
        <f t="shared" si="61"/>
        <v>2</v>
      </c>
      <c r="AB33" s="348">
        <f t="shared" si="61"/>
        <v>2</v>
      </c>
      <c r="AC33" s="349">
        <f t="shared" si="61"/>
        <v>2</v>
      </c>
      <c r="AD33" s="592"/>
      <c r="AE33" s="398">
        <f t="shared" ref="AE33:AP33" si="62">IF(AE7/7.5&lt;1,2,1+AE7/7.5)</f>
        <v>2</v>
      </c>
      <c r="AF33" s="348">
        <f t="shared" si="62"/>
        <v>2</v>
      </c>
      <c r="AG33" s="348">
        <f t="shared" si="62"/>
        <v>2</v>
      </c>
      <c r="AH33" s="348">
        <f t="shared" si="62"/>
        <v>2</v>
      </c>
      <c r="AI33" s="348">
        <f t="shared" si="62"/>
        <v>2</v>
      </c>
      <c r="AJ33" s="348">
        <f t="shared" si="62"/>
        <v>2</v>
      </c>
      <c r="AK33" s="348">
        <f t="shared" si="62"/>
        <v>2</v>
      </c>
      <c r="AL33" s="348">
        <f t="shared" si="62"/>
        <v>2</v>
      </c>
      <c r="AM33" s="348">
        <f t="shared" si="62"/>
        <v>2</v>
      </c>
      <c r="AN33" s="348">
        <f t="shared" si="62"/>
        <v>2</v>
      </c>
      <c r="AO33" s="348">
        <f t="shared" si="62"/>
        <v>2</v>
      </c>
      <c r="AP33" s="349">
        <f t="shared" si="62"/>
        <v>2</v>
      </c>
      <c r="AQ33" s="592"/>
      <c r="AR33" s="398">
        <f t="shared" ref="AR33:BC33" si="63">IF(AR7/7.5&lt;1,2,1+AR7/7.5)</f>
        <v>2.333333333333333</v>
      </c>
      <c r="AS33" s="348">
        <f t="shared" si="63"/>
        <v>2.333333333333333</v>
      </c>
      <c r="AT33" s="348">
        <f t="shared" si="63"/>
        <v>2.333333333333333</v>
      </c>
      <c r="AU33" s="348">
        <f t="shared" si="63"/>
        <v>2.333333333333333</v>
      </c>
      <c r="AV33" s="348">
        <f t="shared" si="63"/>
        <v>2.333333333333333</v>
      </c>
      <c r="AW33" s="348">
        <f t="shared" si="63"/>
        <v>2.333333333333333</v>
      </c>
      <c r="AX33" s="348">
        <f t="shared" si="63"/>
        <v>2.333333333333333</v>
      </c>
      <c r="AY33" s="348">
        <f t="shared" si="63"/>
        <v>2.333333333333333</v>
      </c>
      <c r="AZ33" s="348">
        <f t="shared" si="63"/>
        <v>2.333333333333333</v>
      </c>
      <c r="BA33" s="348">
        <f t="shared" si="63"/>
        <v>2.333333333333333</v>
      </c>
      <c r="BB33" s="348">
        <f t="shared" si="63"/>
        <v>2.333333333333333</v>
      </c>
      <c r="BC33" s="349">
        <f t="shared" si="63"/>
        <v>2.333333333333333</v>
      </c>
      <c r="BD33" s="592"/>
      <c r="BE33" s="398">
        <f t="shared" ref="BE33:BP33" si="64">IF(BE7/7.5&lt;1,2,1+BE7/7.5)</f>
        <v>2.333333333333333</v>
      </c>
      <c r="BF33" s="348">
        <f t="shared" si="64"/>
        <v>2.333333333333333</v>
      </c>
      <c r="BG33" s="348">
        <f t="shared" si="64"/>
        <v>2.333333333333333</v>
      </c>
      <c r="BH33" s="348">
        <f t="shared" si="64"/>
        <v>2.333333333333333</v>
      </c>
      <c r="BI33" s="348">
        <f t="shared" si="64"/>
        <v>2.333333333333333</v>
      </c>
      <c r="BJ33" s="348">
        <f t="shared" si="64"/>
        <v>2.333333333333333</v>
      </c>
      <c r="BK33" s="348">
        <f t="shared" si="64"/>
        <v>2.333333333333333</v>
      </c>
      <c r="BL33" s="348">
        <f t="shared" si="64"/>
        <v>2.333333333333333</v>
      </c>
      <c r="BM33" s="348">
        <f t="shared" si="64"/>
        <v>2.333333333333333</v>
      </c>
      <c r="BN33" s="348">
        <f t="shared" si="64"/>
        <v>2.333333333333333</v>
      </c>
      <c r="BO33" s="348">
        <f t="shared" si="64"/>
        <v>2.333333333333333</v>
      </c>
      <c r="BP33" s="349">
        <f t="shared" si="64"/>
        <v>2.333333333333333</v>
      </c>
    </row>
    <row r="34" spans="1:68" s="344" customFormat="1" ht="15.75" customHeight="1">
      <c r="A34" s="614" t="s">
        <v>473</v>
      </c>
      <c r="B34" s="615"/>
      <c r="C34" s="616"/>
      <c r="D34" s="592"/>
      <c r="E34" s="348">
        <f>ROUNDUP(E9/6,0)</f>
        <v>0</v>
      </c>
      <c r="F34" s="350">
        <f t="shared" ref="F34:P34" si="65">(F9+F10)/6</f>
        <v>0</v>
      </c>
      <c r="G34" s="350">
        <f t="shared" si="65"/>
        <v>0</v>
      </c>
      <c r="H34" s="350">
        <f t="shared" si="65"/>
        <v>0</v>
      </c>
      <c r="I34" s="350">
        <f t="shared" si="65"/>
        <v>0</v>
      </c>
      <c r="J34" s="350">
        <f t="shared" si="65"/>
        <v>0.5</v>
      </c>
      <c r="K34" s="350">
        <f t="shared" si="65"/>
        <v>0.83333333333333337</v>
      </c>
      <c r="L34" s="350">
        <f t="shared" si="65"/>
        <v>1.1666666666666667</v>
      </c>
      <c r="M34" s="350">
        <f t="shared" si="65"/>
        <v>1.5</v>
      </c>
      <c r="N34" s="350">
        <f t="shared" si="65"/>
        <v>1.8333333333333333</v>
      </c>
      <c r="O34" s="350">
        <f t="shared" si="65"/>
        <v>2</v>
      </c>
      <c r="P34" s="351">
        <f t="shared" si="65"/>
        <v>2.3333333333333335</v>
      </c>
      <c r="Q34" s="592"/>
      <c r="R34" s="398">
        <f>ROUNDUP(R9/6,1)</f>
        <v>2.4</v>
      </c>
      <c r="S34" s="350">
        <f t="shared" ref="S34:AC34" si="66">(S9+S10)/6</f>
        <v>3</v>
      </c>
      <c r="T34" s="350">
        <f t="shared" si="66"/>
        <v>3.1666666666666665</v>
      </c>
      <c r="U34" s="350">
        <f t="shared" si="66"/>
        <v>3.3333333333333335</v>
      </c>
      <c r="V34" s="350">
        <f t="shared" si="66"/>
        <v>3.5</v>
      </c>
      <c r="W34" s="350">
        <f t="shared" si="66"/>
        <v>3.6666666666666665</v>
      </c>
      <c r="X34" s="350">
        <f t="shared" si="66"/>
        <v>3.8333333333333335</v>
      </c>
      <c r="Y34" s="350">
        <f t="shared" si="66"/>
        <v>4</v>
      </c>
      <c r="Z34" s="350">
        <f t="shared" si="66"/>
        <v>4.166666666666667</v>
      </c>
      <c r="AA34" s="350">
        <f t="shared" si="66"/>
        <v>4.333333333333333</v>
      </c>
      <c r="AB34" s="350">
        <f t="shared" si="66"/>
        <v>4.5</v>
      </c>
      <c r="AC34" s="351">
        <f t="shared" si="66"/>
        <v>4.666666666666667</v>
      </c>
      <c r="AD34" s="592"/>
      <c r="AE34" s="398">
        <f>ROUNDUP(AE9/6,1)</f>
        <v>2.5</v>
      </c>
      <c r="AF34" s="350">
        <f t="shared" ref="AF34:AP34" si="67">(AF9+AF10)/6</f>
        <v>5</v>
      </c>
      <c r="AG34" s="350">
        <f t="shared" si="67"/>
        <v>5.166666666666667</v>
      </c>
      <c r="AH34" s="350">
        <f t="shared" si="67"/>
        <v>5.333333333333333</v>
      </c>
      <c r="AI34" s="350">
        <f t="shared" si="67"/>
        <v>5.5</v>
      </c>
      <c r="AJ34" s="350">
        <f t="shared" si="67"/>
        <v>5.666666666666667</v>
      </c>
      <c r="AK34" s="350">
        <f t="shared" si="67"/>
        <v>5.833333333333333</v>
      </c>
      <c r="AL34" s="350">
        <f t="shared" si="67"/>
        <v>6</v>
      </c>
      <c r="AM34" s="350">
        <f t="shared" si="67"/>
        <v>6.166666666666667</v>
      </c>
      <c r="AN34" s="350">
        <f t="shared" si="67"/>
        <v>6.333333333333333</v>
      </c>
      <c r="AO34" s="350">
        <f t="shared" si="67"/>
        <v>6.5</v>
      </c>
      <c r="AP34" s="351">
        <f t="shared" si="67"/>
        <v>6.666666666666667</v>
      </c>
      <c r="AQ34" s="592"/>
      <c r="AR34" s="398">
        <f>ROUNDUP(AR9/6,1)</f>
        <v>1.7000000000000002</v>
      </c>
      <c r="AS34" s="350">
        <f t="shared" ref="AS34:BC34" si="68">(AS9+AS10)/6</f>
        <v>3.3333333333333335</v>
      </c>
      <c r="AT34" s="350">
        <f t="shared" si="68"/>
        <v>3.3333333333333335</v>
      </c>
      <c r="AU34" s="350">
        <f t="shared" si="68"/>
        <v>3.3333333333333335</v>
      </c>
      <c r="AV34" s="350">
        <f t="shared" si="68"/>
        <v>3.3333333333333335</v>
      </c>
      <c r="AW34" s="350">
        <f t="shared" si="68"/>
        <v>3.3333333333333335</v>
      </c>
      <c r="AX34" s="350">
        <f t="shared" si="68"/>
        <v>3.3333333333333335</v>
      </c>
      <c r="AY34" s="350">
        <f t="shared" si="68"/>
        <v>3.3333333333333335</v>
      </c>
      <c r="AZ34" s="350">
        <f t="shared" si="68"/>
        <v>3.3333333333333335</v>
      </c>
      <c r="BA34" s="350">
        <f t="shared" si="68"/>
        <v>3.3333333333333335</v>
      </c>
      <c r="BB34" s="350">
        <f t="shared" si="68"/>
        <v>3.3333333333333335</v>
      </c>
      <c r="BC34" s="351">
        <f t="shared" si="68"/>
        <v>3.3333333333333335</v>
      </c>
      <c r="BD34" s="592"/>
      <c r="BE34" s="398">
        <f>ROUNDUP(BE9/6,1)</f>
        <v>1.7000000000000002</v>
      </c>
      <c r="BF34" s="350">
        <f t="shared" ref="BF34:BP34" si="69">(BF9+BF10)/6</f>
        <v>3.3333333333333335</v>
      </c>
      <c r="BG34" s="350">
        <f t="shared" si="69"/>
        <v>3.3333333333333335</v>
      </c>
      <c r="BH34" s="350">
        <f t="shared" si="69"/>
        <v>3.3333333333333335</v>
      </c>
      <c r="BI34" s="350">
        <f t="shared" si="69"/>
        <v>3.3333333333333335</v>
      </c>
      <c r="BJ34" s="350">
        <f t="shared" si="69"/>
        <v>3.3333333333333335</v>
      </c>
      <c r="BK34" s="350">
        <f t="shared" si="69"/>
        <v>3.3333333333333335</v>
      </c>
      <c r="BL34" s="350">
        <f t="shared" si="69"/>
        <v>3.3333333333333335</v>
      </c>
      <c r="BM34" s="350">
        <f t="shared" si="69"/>
        <v>3.3333333333333335</v>
      </c>
      <c r="BN34" s="350">
        <f t="shared" si="69"/>
        <v>3.3333333333333335</v>
      </c>
      <c r="BO34" s="350">
        <f t="shared" si="69"/>
        <v>3.3333333333333335</v>
      </c>
      <c r="BP34" s="351">
        <f t="shared" si="69"/>
        <v>3.3333333333333335</v>
      </c>
    </row>
    <row r="35" spans="1:68" s="344" customFormat="1" ht="15.75" customHeight="1">
      <c r="A35" s="614" t="s">
        <v>474</v>
      </c>
      <c r="B35" s="615"/>
      <c r="C35" s="616"/>
      <c r="D35" s="592"/>
      <c r="E35" s="348">
        <f t="shared" ref="E35:P35" si="70">IF((E9+E10)/15&lt;1,1,(E9+E10)/15)</f>
        <v>1</v>
      </c>
      <c r="F35" s="350">
        <f t="shared" si="70"/>
        <v>1</v>
      </c>
      <c r="G35" s="350">
        <f t="shared" si="70"/>
        <v>1</v>
      </c>
      <c r="H35" s="350">
        <f t="shared" si="70"/>
        <v>1</v>
      </c>
      <c r="I35" s="350">
        <f t="shared" si="70"/>
        <v>1</v>
      </c>
      <c r="J35" s="350">
        <f t="shared" si="70"/>
        <v>1</v>
      </c>
      <c r="K35" s="350">
        <f t="shared" si="70"/>
        <v>1</v>
      </c>
      <c r="L35" s="350">
        <f t="shared" si="70"/>
        <v>1</v>
      </c>
      <c r="M35" s="350">
        <f t="shared" si="70"/>
        <v>1</v>
      </c>
      <c r="N35" s="350">
        <f t="shared" si="70"/>
        <v>1</v>
      </c>
      <c r="O35" s="350">
        <f t="shared" si="70"/>
        <v>1</v>
      </c>
      <c r="P35" s="351">
        <f t="shared" si="70"/>
        <v>1</v>
      </c>
      <c r="Q35" s="592"/>
      <c r="R35" s="398">
        <f t="shared" ref="R35:AC35" si="71">IF((R9+R10)/15&lt;1,1,(R9+R10)/15)</f>
        <v>1.0666666666666667</v>
      </c>
      <c r="S35" s="350">
        <f t="shared" si="71"/>
        <v>1.2</v>
      </c>
      <c r="T35" s="350">
        <f t="shared" si="71"/>
        <v>1.2666666666666666</v>
      </c>
      <c r="U35" s="350">
        <f t="shared" si="71"/>
        <v>1.3333333333333333</v>
      </c>
      <c r="V35" s="350">
        <f t="shared" si="71"/>
        <v>1.4</v>
      </c>
      <c r="W35" s="350">
        <f t="shared" si="71"/>
        <v>1.4666666666666666</v>
      </c>
      <c r="X35" s="350">
        <f t="shared" si="71"/>
        <v>1.5333333333333334</v>
      </c>
      <c r="Y35" s="350">
        <f t="shared" si="71"/>
        <v>1.6</v>
      </c>
      <c r="Z35" s="350">
        <f t="shared" si="71"/>
        <v>1.6666666666666667</v>
      </c>
      <c r="AA35" s="350">
        <f t="shared" si="71"/>
        <v>1.7333333333333334</v>
      </c>
      <c r="AB35" s="350">
        <f t="shared" si="71"/>
        <v>1.8</v>
      </c>
      <c r="AC35" s="351">
        <f t="shared" si="71"/>
        <v>1.8666666666666667</v>
      </c>
      <c r="AD35" s="592"/>
      <c r="AE35" s="398">
        <f t="shared" ref="AE35:AP35" si="72">IF((AE9+AE10)/15&lt;1,1,(AE9+AE10)/15)</f>
        <v>1.9333333333333333</v>
      </c>
      <c r="AF35" s="350">
        <f t="shared" si="72"/>
        <v>2</v>
      </c>
      <c r="AG35" s="350">
        <f t="shared" si="72"/>
        <v>2.0666666666666669</v>
      </c>
      <c r="AH35" s="350">
        <f t="shared" si="72"/>
        <v>2.1333333333333333</v>
      </c>
      <c r="AI35" s="350">
        <f t="shared" si="72"/>
        <v>2.2000000000000002</v>
      </c>
      <c r="AJ35" s="350">
        <f t="shared" si="72"/>
        <v>2.2666666666666666</v>
      </c>
      <c r="AK35" s="350">
        <f t="shared" si="72"/>
        <v>2.3333333333333335</v>
      </c>
      <c r="AL35" s="350">
        <f t="shared" si="72"/>
        <v>2.4</v>
      </c>
      <c r="AM35" s="350">
        <f t="shared" si="72"/>
        <v>2.4666666666666668</v>
      </c>
      <c r="AN35" s="350">
        <f t="shared" si="72"/>
        <v>2.5333333333333332</v>
      </c>
      <c r="AO35" s="350">
        <f t="shared" si="72"/>
        <v>2.6</v>
      </c>
      <c r="AP35" s="351">
        <f t="shared" si="72"/>
        <v>2.6666666666666665</v>
      </c>
      <c r="AQ35" s="592"/>
      <c r="AR35" s="398">
        <f t="shared" ref="AR35:BC35" si="73">IF((AR9+AR10)/15&lt;1,1,(AR9+AR10)/15)</f>
        <v>1.3333333333333333</v>
      </c>
      <c r="AS35" s="350">
        <f t="shared" si="73"/>
        <v>1.3333333333333333</v>
      </c>
      <c r="AT35" s="350">
        <f t="shared" si="73"/>
        <v>1.3333333333333333</v>
      </c>
      <c r="AU35" s="350">
        <f t="shared" si="73"/>
        <v>1.3333333333333333</v>
      </c>
      <c r="AV35" s="350">
        <f t="shared" si="73"/>
        <v>1.3333333333333333</v>
      </c>
      <c r="AW35" s="350">
        <f t="shared" si="73"/>
        <v>1.3333333333333333</v>
      </c>
      <c r="AX35" s="350">
        <f t="shared" si="73"/>
        <v>1.3333333333333333</v>
      </c>
      <c r="AY35" s="350">
        <f t="shared" si="73"/>
        <v>1.3333333333333333</v>
      </c>
      <c r="AZ35" s="350">
        <f t="shared" si="73"/>
        <v>1.3333333333333333</v>
      </c>
      <c r="BA35" s="350">
        <f t="shared" si="73"/>
        <v>1.3333333333333333</v>
      </c>
      <c r="BB35" s="350">
        <f t="shared" si="73"/>
        <v>1.3333333333333333</v>
      </c>
      <c r="BC35" s="351">
        <f t="shared" si="73"/>
        <v>1.3333333333333333</v>
      </c>
      <c r="BD35" s="592"/>
      <c r="BE35" s="398">
        <f t="shared" ref="BE35:BP35" si="74">IF((BE9+BE10)/15&lt;1,1,(BE9+BE10)/15)</f>
        <v>1.3333333333333333</v>
      </c>
      <c r="BF35" s="350">
        <f t="shared" si="74"/>
        <v>1.3333333333333333</v>
      </c>
      <c r="BG35" s="350">
        <f t="shared" si="74"/>
        <v>1.3333333333333333</v>
      </c>
      <c r="BH35" s="350">
        <f t="shared" si="74"/>
        <v>1.3333333333333333</v>
      </c>
      <c r="BI35" s="350">
        <f t="shared" si="74"/>
        <v>1.3333333333333333</v>
      </c>
      <c r="BJ35" s="350">
        <f t="shared" si="74"/>
        <v>1.3333333333333333</v>
      </c>
      <c r="BK35" s="350">
        <f t="shared" si="74"/>
        <v>1.3333333333333333</v>
      </c>
      <c r="BL35" s="350">
        <f t="shared" si="74"/>
        <v>1.3333333333333333</v>
      </c>
      <c r="BM35" s="350">
        <f t="shared" si="74"/>
        <v>1.3333333333333333</v>
      </c>
      <c r="BN35" s="350">
        <f t="shared" si="74"/>
        <v>1.3333333333333333</v>
      </c>
      <c r="BO35" s="350">
        <f t="shared" si="74"/>
        <v>1.3333333333333333</v>
      </c>
      <c r="BP35" s="351">
        <f t="shared" si="74"/>
        <v>1.3333333333333333</v>
      </c>
    </row>
    <row r="36" spans="1:68" s="344" customFormat="1" ht="15.75" customHeight="1">
      <c r="A36" s="614" t="s">
        <v>475</v>
      </c>
      <c r="B36" s="615"/>
      <c r="C36" s="616"/>
      <c r="D36" s="592"/>
      <c r="E36" s="348">
        <f t="shared" ref="E36:P36" si="75">IF(E10/6&lt;1,1,E10/6)</f>
        <v>1</v>
      </c>
      <c r="F36" s="350">
        <f t="shared" si="75"/>
        <v>1</v>
      </c>
      <c r="G36" s="350">
        <f t="shared" si="75"/>
        <v>1</v>
      </c>
      <c r="H36" s="350">
        <f t="shared" si="75"/>
        <v>1</v>
      </c>
      <c r="I36" s="350">
        <f t="shared" si="75"/>
        <v>1</v>
      </c>
      <c r="J36" s="350">
        <f t="shared" si="75"/>
        <v>1</v>
      </c>
      <c r="K36" s="350">
        <f t="shared" si="75"/>
        <v>1</v>
      </c>
      <c r="L36" s="348">
        <f t="shared" si="75"/>
        <v>1</v>
      </c>
      <c r="M36" s="348">
        <f t="shared" si="75"/>
        <v>1</v>
      </c>
      <c r="N36" s="348">
        <f t="shared" si="75"/>
        <v>1</v>
      </c>
      <c r="O36" s="348">
        <f t="shared" si="75"/>
        <v>1</v>
      </c>
      <c r="P36" s="349">
        <f t="shared" si="75"/>
        <v>1</v>
      </c>
      <c r="Q36" s="592"/>
      <c r="R36" s="398">
        <f t="shared" ref="R36:AC36" si="76">IF(R10/6&lt;1,1,R10/6)</f>
        <v>1</v>
      </c>
      <c r="S36" s="350">
        <f t="shared" si="76"/>
        <v>1</v>
      </c>
      <c r="T36" s="350">
        <f t="shared" si="76"/>
        <v>1</v>
      </c>
      <c r="U36" s="350">
        <f t="shared" si="76"/>
        <v>1</v>
      </c>
      <c r="V36" s="350">
        <f t="shared" si="76"/>
        <v>1</v>
      </c>
      <c r="W36" s="350">
        <f t="shared" si="76"/>
        <v>1.1666666666666667</v>
      </c>
      <c r="X36" s="350">
        <f t="shared" si="76"/>
        <v>1.3333333333333333</v>
      </c>
      <c r="Y36" s="348">
        <f t="shared" si="76"/>
        <v>1.5</v>
      </c>
      <c r="Z36" s="348">
        <f t="shared" si="76"/>
        <v>1.6666666666666667</v>
      </c>
      <c r="AA36" s="348">
        <f t="shared" si="76"/>
        <v>1.8333333333333333</v>
      </c>
      <c r="AB36" s="348">
        <f t="shared" si="76"/>
        <v>2</v>
      </c>
      <c r="AC36" s="349">
        <f t="shared" si="76"/>
        <v>2.1666666666666665</v>
      </c>
      <c r="AD36" s="592"/>
      <c r="AE36" s="398">
        <f t="shared" ref="AE36:AP36" si="77">IF(AE10/6&lt;1,1,AE10/6)</f>
        <v>2.3333333333333335</v>
      </c>
      <c r="AF36" s="350">
        <f t="shared" si="77"/>
        <v>2.5</v>
      </c>
      <c r="AG36" s="350">
        <f t="shared" si="77"/>
        <v>2.6666666666666665</v>
      </c>
      <c r="AH36" s="350">
        <f t="shared" si="77"/>
        <v>2.8333333333333335</v>
      </c>
      <c r="AI36" s="350">
        <f t="shared" si="77"/>
        <v>3</v>
      </c>
      <c r="AJ36" s="350">
        <f t="shared" si="77"/>
        <v>3.1666666666666665</v>
      </c>
      <c r="AK36" s="350">
        <f t="shared" si="77"/>
        <v>3.3333333333333335</v>
      </c>
      <c r="AL36" s="348">
        <f t="shared" si="77"/>
        <v>3.5</v>
      </c>
      <c r="AM36" s="348">
        <f t="shared" si="77"/>
        <v>3.6666666666666665</v>
      </c>
      <c r="AN36" s="348">
        <f t="shared" si="77"/>
        <v>3.8333333333333335</v>
      </c>
      <c r="AO36" s="348">
        <f t="shared" si="77"/>
        <v>4</v>
      </c>
      <c r="AP36" s="349">
        <f t="shared" si="77"/>
        <v>4.166666666666667</v>
      </c>
      <c r="AQ36" s="592"/>
      <c r="AR36" s="398">
        <f t="shared" ref="AR36:BC36" si="78">IF(AR10/6&lt;1,1,AR10/6)</f>
        <v>1.6666666666666667</v>
      </c>
      <c r="AS36" s="350">
        <f t="shared" si="78"/>
        <v>1.6666666666666667</v>
      </c>
      <c r="AT36" s="350">
        <f t="shared" si="78"/>
        <v>1.6666666666666667</v>
      </c>
      <c r="AU36" s="350">
        <f t="shared" si="78"/>
        <v>1.6666666666666667</v>
      </c>
      <c r="AV36" s="350">
        <f t="shared" si="78"/>
        <v>1.6666666666666667</v>
      </c>
      <c r="AW36" s="350">
        <f t="shared" si="78"/>
        <v>1.6666666666666667</v>
      </c>
      <c r="AX36" s="350">
        <f t="shared" si="78"/>
        <v>1.6666666666666667</v>
      </c>
      <c r="AY36" s="348">
        <f t="shared" si="78"/>
        <v>1.6666666666666667</v>
      </c>
      <c r="AZ36" s="348">
        <f t="shared" si="78"/>
        <v>1.6666666666666667</v>
      </c>
      <c r="BA36" s="348">
        <f t="shared" si="78"/>
        <v>1.6666666666666667</v>
      </c>
      <c r="BB36" s="348">
        <f t="shared" si="78"/>
        <v>1.6666666666666667</v>
      </c>
      <c r="BC36" s="349">
        <f t="shared" si="78"/>
        <v>1.6666666666666667</v>
      </c>
      <c r="BD36" s="592"/>
      <c r="BE36" s="398">
        <f t="shared" ref="BE36:BP36" si="79">IF(BE10/6&lt;1,1,BE10/6)</f>
        <v>1.6666666666666667</v>
      </c>
      <c r="BF36" s="350">
        <f t="shared" si="79"/>
        <v>1.6666666666666667</v>
      </c>
      <c r="BG36" s="350">
        <f t="shared" si="79"/>
        <v>1.6666666666666667</v>
      </c>
      <c r="BH36" s="350">
        <f t="shared" si="79"/>
        <v>1.6666666666666667</v>
      </c>
      <c r="BI36" s="350">
        <f t="shared" si="79"/>
        <v>1.6666666666666667</v>
      </c>
      <c r="BJ36" s="350">
        <f t="shared" si="79"/>
        <v>1.6666666666666667</v>
      </c>
      <c r="BK36" s="350">
        <f t="shared" si="79"/>
        <v>1.6666666666666667</v>
      </c>
      <c r="BL36" s="348">
        <f t="shared" si="79"/>
        <v>1.6666666666666667</v>
      </c>
      <c r="BM36" s="348">
        <f t="shared" si="79"/>
        <v>1.6666666666666667</v>
      </c>
      <c r="BN36" s="348">
        <f t="shared" si="79"/>
        <v>1.6666666666666667</v>
      </c>
      <c r="BO36" s="348">
        <f t="shared" si="79"/>
        <v>1.6666666666666667</v>
      </c>
      <c r="BP36" s="349">
        <f t="shared" si="79"/>
        <v>1.6666666666666667</v>
      </c>
    </row>
    <row r="37" spans="1:68" ht="6.75" customHeight="1" thickBot="1">
      <c r="A37" s="377"/>
      <c r="B37" s="378"/>
      <c r="C37" s="441"/>
      <c r="D37" s="592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1"/>
      <c r="Q37" s="592"/>
      <c r="R37" s="399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1"/>
      <c r="AD37" s="592"/>
      <c r="AE37" s="399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1"/>
      <c r="AQ37" s="592"/>
      <c r="AR37" s="399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1"/>
      <c r="BD37" s="592"/>
      <c r="BE37" s="399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1"/>
    </row>
    <row r="38" spans="1:68" ht="13.5">
      <c r="A38" s="662" t="s">
        <v>523</v>
      </c>
      <c r="B38" s="663"/>
      <c r="C38" s="664"/>
      <c r="D38" s="592"/>
      <c r="E38" s="413">
        <v>210000</v>
      </c>
      <c r="F38" s="410">
        <v>210000</v>
      </c>
      <c r="G38" s="410">
        <v>210000</v>
      </c>
      <c r="H38" s="410">
        <v>250000</v>
      </c>
      <c r="I38" s="410">
        <v>250000</v>
      </c>
      <c r="J38" s="410">
        <v>250000</v>
      </c>
      <c r="K38" s="410">
        <v>250000</v>
      </c>
      <c r="L38" s="410">
        <v>250000</v>
      </c>
      <c r="M38" s="410">
        <v>250000</v>
      </c>
      <c r="N38" s="410">
        <v>250000</v>
      </c>
      <c r="O38" s="410">
        <v>250000</v>
      </c>
      <c r="P38" s="411">
        <v>250000</v>
      </c>
      <c r="Q38" s="592"/>
      <c r="R38" s="413">
        <v>250000</v>
      </c>
      <c r="S38" s="410">
        <v>250000</v>
      </c>
      <c r="T38" s="410">
        <v>250000</v>
      </c>
      <c r="U38" s="410">
        <v>250000</v>
      </c>
      <c r="V38" s="410">
        <v>250000</v>
      </c>
      <c r="W38" s="410">
        <v>250000</v>
      </c>
      <c r="X38" s="410">
        <v>250000</v>
      </c>
      <c r="Y38" s="410">
        <v>250000</v>
      </c>
      <c r="Z38" s="410">
        <v>250000</v>
      </c>
      <c r="AA38" s="410">
        <v>250000</v>
      </c>
      <c r="AB38" s="410">
        <v>250000</v>
      </c>
      <c r="AC38" s="411">
        <v>250000</v>
      </c>
      <c r="AD38" s="592"/>
      <c r="AE38" s="413">
        <v>300000</v>
      </c>
      <c r="AF38" s="410">
        <v>300000</v>
      </c>
      <c r="AG38" s="410">
        <v>300000</v>
      </c>
      <c r="AH38" s="410">
        <v>300000</v>
      </c>
      <c r="AI38" s="410">
        <v>300000</v>
      </c>
      <c r="AJ38" s="410">
        <v>300000</v>
      </c>
      <c r="AK38" s="410">
        <v>300000</v>
      </c>
      <c r="AL38" s="410">
        <v>300000</v>
      </c>
      <c r="AM38" s="410">
        <v>300000</v>
      </c>
      <c r="AN38" s="410">
        <v>300000</v>
      </c>
      <c r="AO38" s="410">
        <v>300000</v>
      </c>
      <c r="AP38" s="411">
        <v>300000</v>
      </c>
      <c r="AQ38" s="592"/>
      <c r="AR38" s="597">
        <v>180000</v>
      </c>
      <c r="AS38" s="584">
        <v>180000</v>
      </c>
      <c r="AT38" s="584">
        <v>180000</v>
      </c>
      <c r="AU38" s="584">
        <v>180000</v>
      </c>
      <c r="AV38" s="584">
        <v>180000</v>
      </c>
      <c r="AW38" s="584">
        <v>180000</v>
      </c>
      <c r="AX38" s="584">
        <v>180000</v>
      </c>
      <c r="AY38" s="584">
        <v>180000</v>
      </c>
      <c r="AZ38" s="584">
        <v>180000</v>
      </c>
      <c r="BA38" s="584">
        <v>180000</v>
      </c>
      <c r="BB38" s="584">
        <v>180000</v>
      </c>
      <c r="BC38" s="587">
        <v>180000</v>
      </c>
      <c r="BD38" s="592"/>
      <c r="BE38" s="597">
        <v>180000</v>
      </c>
      <c r="BF38" s="584">
        <v>180000</v>
      </c>
      <c r="BG38" s="584">
        <v>180000</v>
      </c>
      <c r="BH38" s="584">
        <v>180000</v>
      </c>
      <c r="BI38" s="584">
        <v>180000</v>
      </c>
      <c r="BJ38" s="584">
        <v>180000</v>
      </c>
      <c r="BK38" s="584">
        <v>180000</v>
      </c>
      <c r="BL38" s="584">
        <v>180000</v>
      </c>
      <c r="BM38" s="584">
        <v>180000</v>
      </c>
      <c r="BN38" s="584">
        <v>180000</v>
      </c>
      <c r="BO38" s="584">
        <v>180000</v>
      </c>
      <c r="BP38" s="587">
        <v>180000</v>
      </c>
    </row>
    <row r="39" spans="1:68" ht="15.75" customHeight="1">
      <c r="A39" s="623" t="s">
        <v>524</v>
      </c>
      <c r="B39" s="624"/>
      <c r="C39" s="625"/>
      <c r="D39" s="592"/>
      <c r="E39" s="408"/>
      <c r="F39" s="408"/>
      <c r="G39" s="408"/>
      <c r="H39" s="408"/>
      <c r="I39" s="408"/>
      <c r="J39" s="408">
        <v>100000</v>
      </c>
      <c r="K39" s="408">
        <v>100000</v>
      </c>
      <c r="L39" s="408">
        <v>200000</v>
      </c>
      <c r="M39" s="408">
        <v>200000</v>
      </c>
      <c r="N39" s="408">
        <v>200000</v>
      </c>
      <c r="O39" s="408">
        <v>200000</v>
      </c>
      <c r="P39" s="409">
        <v>200000</v>
      </c>
      <c r="Q39" s="592"/>
      <c r="R39" s="412">
        <v>210000</v>
      </c>
      <c r="S39" s="408">
        <v>210000</v>
      </c>
      <c r="T39" s="408">
        <v>210000</v>
      </c>
      <c r="U39" s="408">
        <v>210000</v>
      </c>
      <c r="V39" s="408">
        <v>210000</v>
      </c>
      <c r="W39" s="408">
        <v>210000</v>
      </c>
      <c r="X39" s="408">
        <v>210000</v>
      </c>
      <c r="Y39" s="408">
        <v>210000</v>
      </c>
      <c r="Z39" s="408">
        <v>210000</v>
      </c>
      <c r="AA39" s="408">
        <v>210000</v>
      </c>
      <c r="AB39" s="408">
        <v>210000</v>
      </c>
      <c r="AC39" s="409">
        <v>210000</v>
      </c>
      <c r="AD39" s="592"/>
      <c r="AE39" s="412">
        <v>300000</v>
      </c>
      <c r="AF39" s="408">
        <v>300000</v>
      </c>
      <c r="AG39" s="408">
        <v>300000</v>
      </c>
      <c r="AH39" s="408">
        <v>300000</v>
      </c>
      <c r="AI39" s="408">
        <v>300000</v>
      </c>
      <c r="AJ39" s="408">
        <v>300000</v>
      </c>
      <c r="AK39" s="408">
        <v>300000</v>
      </c>
      <c r="AL39" s="408">
        <v>300000</v>
      </c>
      <c r="AM39" s="408">
        <v>300000</v>
      </c>
      <c r="AN39" s="408">
        <v>300000</v>
      </c>
      <c r="AO39" s="408">
        <v>300000</v>
      </c>
      <c r="AP39" s="409">
        <v>300000</v>
      </c>
      <c r="AQ39" s="592"/>
      <c r="AR39" s="598"/>
      <c r="AS39" s="585"/>
      <c r="AT39" s="585"/>
      <c r="AU39" s="585"/>
      <c r="AV39" s="585"/>
      <c r="AW39" s="585"/>
      <c r="AX39" s="585"/>
      <c r="AY39" s="585"/>
      <c r="AZ39" s="585"/>
      <c r="BA39" s="585"/>
      <c r="BB39" s="585"/>
      <c r="BC39" s="588"/>
      <c r="BD39" s="592"/>
      <c r="BE39" s="598"/>
      <c r="BF39" s="585"/>
      <c r="BG39" s="585"/>
      <c r="BH39" s="585"/>
      <c r="BI39" s="585"/>
      <c r="BJ39" s="585"/>
      <c r="BK39" s="585"/>
      <c r="BL39" s="585"/>
      <c r="BM39" s="585"/>
      <c r="BN39" s="585"/>
      <c r="BO39" s="585"/>
      <c r="BP39" s="588"/>
    </row>
    <row r="40" spans="1:68" ht="15.75" customHeight="1">
      <c r="A40" s="626" t="s">
        <v>525</v>
      </c>
      <c r="B40" s="627"/>
      <c r="C40" s="628"/>
      <c r="D40" s="592"/>
      <c r="E40" s="255"/>
      <c r="F40" s="255"/>
      <c r="G40" s="255"/>
      <c r="H40" s="255"/>
      <c r="I40" s="255"/>
      <c r="J40" s="255">
        <v>180000</v>
      </c>
      <c r="K40" s="255">
        <v>180000</v>
      </c>
      <c r="L40" s="255">
        <v>180000</v>
      </c>
      <c r="M40" s="255">
        <v>180000</v>
      </c>
      <c r="N40" s="255">
        <v>180000</v>
      </c>
      <c r="O40" s="255">
        <v>180000</v>
      </c>
      <c r="P40" s="293">
        <v>180000</v>
      </c>
      <c r="Q40" s="592"/>
      <c r="R40" s="294">
        <v>200000</v>
      </c>
      <c r="S40" s="255">
        <v>200000</v>
      </c>
      <c r="T40" s="255">
        <v>200000</v>
      </c>
      <c r="U40" s="255">
        <v>200000</v>
      </c>
      <c r="V40" s="255">
        <v>200000</v>
      </c>
      <c r="W40" s="255">
        <v>200000</v>
      </c>
      <c r="X40" s="255">
        <v>200000</v>
      </c>
      <c r="Y40" s="255">
        <v>200000</v>
      </c>
      <c r="Z40" s="255">
        <v>200000</v>
      </c>
      <c r="AA40" s="255">
        <v>200000</v>
      </c>
      <c r="AB40" s="255">
        <v>200000</v>
      </c>
      <c r="AC40" s="293">
        <v>200000</v>
      </c>
      <c r="AD40" s="592"/>
      <c r="AE40" s="294">
        <v>250000</v>
      </c>
      <c r="AF40" s="255">
        <v>250000</v>
      </c>
      <c r="AG40" s="255">
        <v>250000</v>
      </c>
      <c r="AH40" s="255">
        <v>250000</v>
      </c>
      <c r="AI40" s="255">
        <v>250000</v>
      </c>
      <c r="AJ40" s="255">
        <v>250000</v>
      </c>
      <c r="AK40" s="255">
        <v>250000</v>
      </c>
      <c r="AL40" s="255">
        <v>250000</v>
      </c>
      <c r="AM40" s="255">
        <v>250000</v>
      </c>
      <c r="AN40" s="255">
        <v>250000</v>
      </c>
      <c r="AO40" s="255">
        <v>250000</v>
      </c>
      <c r="AP40" s="293">
        <v>250000</v>
      </c>
      <c r="AQ40" s="592"/>
      <c r="AR40" s="294">
        <v>150000</v>
      </c>
      <c r="AS40" s="255">
        <v>150000</v>
      </c>
      <c r="AT40" s="255">
        <v>150000</v>
      </c>
      <c r="AU40" s="255">
        <v>150000</v>
      </c>
      <c r="AV40" s="255">
        <v>150000</v>
      </c>
      <c r="AW40" s="255">
        <v>150000</v>
      </c>
      <c r="AX40" s="255">
        <v>150000</v>
      </c>
      <c r="AY40" s="255">
        <v>150000</v>
      </c>
      <c r="AZ40" s="255">
        <v>150000</v>
      </c>
      <c r="BA40" s="255">
        <v>150000</v>
      </c>
      <c r="BB40" s="255">
        <v>150000</v>
      </c>
      <c r="BC40" s="293">
        <v>150000</v>
      </c>
      <c r="BD40" s="592"/>
      <c r="BE40" s="294">
        <v>150000</v>
      </c>
      <c r="BF40" s="255">
        <v>150000</v>
      </c>
      <c r="BG40" s="255">
        <v>150000</v>
      </c>
      <c r="BH40" s="255">
        <v>150000</v>
      </c>
      <c r="BI40" s="255">
        <v>150000</v>
      </c>
      <c r="BJ40" s="255">
        <v>150000</v>
      </c>
      <c r="BK40" s="255">
        <v>150000</v>
      </c>
      <c r="BL40" s="255">
        <v>150000</v>
      </c>
      <c r="BM40" s="255">
        <v>150000</v>
      </c>
      <c r="BN40" s="255">
        <v>150000</v>
      </c>
      <c r="BO40" s="255">
        <v>150000</v>
      </c>
      <c r="BP40" s="293">
        <v>150000</v>
      </c>
    </row>
    <row r="41" spans="1:68" ht="15.75" customHeight="1">
      <c r="A41" s="626" t="s">
        <v>525</v>
      </c>
      <c r="B41" s="627"/>
      <c r="C41" s="628"/>
      <c r="D41" s="592"/>
      <c r="E41" s="255"/>
      <c r="F41" s="255"/>
      <c r="G41" s="255"/>
      <c r="H41" s="255"/>
      <c r="I41" s="255"/>
      <c r="J41" s="255">
        <v>120000</v>
      </c>
      <c r="K41" s="255">
        <v>120000</v>
      </c>
      <c r="L41" s="255">
        <v>180000</v>
      </c>
      <c r="M41" s="255">
        <v>180000</v>
      </c>
      <c r="N41" s="255">
        <v>180000</v>
      </c>
      <c r="O41" s="255">
        <v>180000</v>
      </c>
      <c r="P41" s="255">
        <v>180000</v>
      </c>
      <c r="Q41" s="592"/>
      <c r="R41" s="294">
        <v>200000</v>
      </c>
      <c r="S41" s="255">
        <v>200000</v>
      </c>
      <c r="T41" s="255">
        <v>200000</v>
      </c>
      <c r="U41" s="255">
        <v>200000</v>
      </c>
      <c r="V41" s="255">
        <v>200000</v>
      </c>
      <c r="W41" s="255">
        <v>200000</v>
      </c>
      <c r="X41" s="255">
        <v>200000</v>
      </c>
      <c r="Y41" s="255">
        <v>200000</v>
      </c>
      <c r="Z41" s="255">
        <v>200000</v>
      </c>
      <c r="AA41" s="255">
        <v>200000</v>
      </c>
      <c r="AB41" s="255">
        <v>200000</v>
      </c>
      <c r="AC41" s="293">
        <v>200000</v>
      </c>
      <c r="AD41" s="592"/>
      <c r="AE41" s="294">
        <v>250000</v>
      </c>
      <c r="AF41" s="255">
        <v>250000</v>
      </c>
      <c r="AG41" s="255">
        <v>250000</v>
      </c>
      <c r="AH41" s="255">
        <v>250000</v>
      </c>
      <c r="AI41" s="255">
        <v>250000</v>
      </c>
      <c r="AJ41" s="255">
        <v>250000</v>
      </c>
      <c r="AK41" s="255">
        <v>250000</v>
      </c>
      <c r="AL41" s="255">
        <v>250000</v>
      </c>
      <c r="AM41" s="255">
        <v>250000</v>
      </c>
      <c r="AN41" s="255">
        <v>250000</v>
      </c>
      <c r="AO41" s="255">
        <v>250000</v>
      </c>
      <c r="AP41" s="293">
        <v>250000</v>
      </c>
      <c r="AQ41" s="592"/>
      <c r="AR41" s="294">
        <v>180000</v>
      </c>
      <c r="AS41" s="255">
        <v>180000</v>
      </c>
      <c r="AT41" s="255">
        <v>180000</v>
      </c>
      <c r="AU41" s="255">
        <v>180000</v>
      </c>
      <c r="AV41" s="255">
        <v>180000</v>
      </c>
      <c r="AW41" s="255">
        <v>180000</v>
      </c>
      <c r="AX41" s="255">
        <v>180000</v>
      </c>
      <c r="AY41" s="255">
        <v>180000</v>
      </c>
      <c r="AZ41" s="255">
        <v>180000</v>
      </c>
      <c r="BA41" s="255">
        <v>180000</v>
      </c>
      <c r="BB41" s="255">
        <v>180000</v>
      </c>
      <c r="BC41" s="293">
        <v>180000</v>
      </c>
      <c r="BD41" s="592"/>
      <c r="BE41" s="294">
        <v>180000</v>
      </c>
      <c r="BF41" s="255">
        <v>180000</v>
      </c>
      <c r="BG41" s="255">
        <v>180000</v>
      </c>
      <c r="BH41" s="255">
        <v>180000</v>
      </c>
      <c r="BI41" s="255">
        <v>180000</v>
      </c>
      <c r="BJ41" s="255">
        <v>180000</v>
      </c>
      <c r="BK41" s="255">
        <v>180000</v>
      </c>
      <c r="BL41" s="255">
        <v>180000</v>
      </c>
      <c r="BM41" s="255">
        <v>180000</v>
      </c>
      <c r="BN41" s="255">
        <v>180000</v>
      </c>
      <c r="BO41" s="255">
        <v>180000</v>
      </c>
      <c r="BP41" s="293">
        <v>180000</v>
      </c>
    </row>
    <row r="42" spans="1:68" ht="15.75" customHeight="1">
      <c r="A42" s="626" t="s">
        <v>525</v>
      </c>
      <c r="B42" s="627"/>
      <c r="C42" s="628"/>
      <c r="D42" s="592"/>
      <c r="E42" s="255"/>
      <c r="F42" s="255"/>
      <c r="G42" s="255"/>
      <c r="H42" s="255"/>
      <c r="I42" s="255"/>
      <c r="J42" s="255"/>
      <c r="K42" s="255"/>
      <c r="L42" s="255">
        <v>180000</v>
      </c>
      <c r="M42" s="255">
        <v>180000</v>
      </c>
      <c r="N42" s="255">
        <v>180000</v>
      </c>
      <c r="O42" s="255">
        <v>180000</v>
      </c>
      <c r="P42" s="255">
        <v>180000</v>
      </c>
      <c r="Q42" s="592"/>
      <c r="R42" s="294">
        <v>200000</v>
      </c>
      <c r="S42" s="255">
        <v>200000</v>
      </c>
      <c r="T42" s="255">
        <v>200000</v>
      </c>
      <c r="U42" s="255">
        <v>200000</v>
      </c>
      <c r="V42" s="255">
        <v>200000</v>
      </c>
      <c r="W42" s="255">
        <v>200000</v>
      </c>
      <c r="X42" s="255">
        <v>200000</v>
      </c>
      <c r="Y42" s="255">
        <v>200000</v>
      </c>
      <c r="Z42" s="255">
        <v>200000</v>
      </c>
      <c r="AA42" s="255">
        <v>200000</v>
      </c>
      <c r="AB42" s="255">
        <v>200000</v>
      </c>
      <c r="AC42" s="293">
        <v>200000</v>
      </c>
      <c r="AD42" s="592"/>
      <c r="AE42" s="294">
        <v>250000</v>
      </c>
      <c r="AF42" s="255">
        <v>250000</v>
      </c>
      <c r="AG42" s="255">
        <v>250000</v>
      </c>
      <c r="AH42" s="255">
        <v>250000</v>
      </c>
      <c r="AI42" s="255">
        <v>250000</v>
      </c>
      <c r="AJ42" s="255">
        <v>250000</v>
      </c>
      <c r="AK42" s="255">
        <v>250000</v>
      </c>
      <c r="AL42" s="255">
        <v>250000</v>
      </c>
      <c r="AM42" s="255">
        <v>250000</v>
      </c>
      <c r="AN42" s="255">
        <v>250000</v>
      </c>
      <c r="AO42" s="255">
        <v>250000</v>
      </c>
      <c r="AP42" s="293">
        <v>250000</v>
      </c>
      <c r="AQ42" s="592"/>
      <c r="AR42" s="294">
        <v>180000</v>
      </c>
      <c r="AS42" s="255">
        <v>180000</v>
      </c>
      <c r="AT42" s="255">
        <v>180000</v>
      </c>
      <c r="AU42" s="255">
        <v>180000</v>
      </c>
      <c r="AV42" s="255">
        <v>180000</v>
      </c>
      <c r="AW42" s="255">
        <v>180000</v>
      </c>
      <c r="AX42" s="255">
        <v>180000</v>
      </c>
      <c r="AY42" s="255">
        <v>180000</v>
      </c>
      <c r="AZ42" s="255">
        <v>180000</v>
      </c>
      <c r="BA42" s="255">
        <v>180000</v>
      </c>
      <c r="BB42" s="255">
        <v>180000</v>
      </c>
      <c r="BC42" s="293">
        <v>180000</v>
      </c>
      <c r="BD42" s="592"/>
      <c r="BE42" s="294">
        <v>180000</v>
      </c>
      <c r="BF42" s="255">
        <v>180000</v>
      </c>
      <c r="BG42" s="255">
        <v>180000</v>
      </c>
      <c r="BH42" s="255">
        <v>180000</v>
      </c>
      <c r="BI42" s="255">
        <v>180000</v>
      </c>
      <c r="BJ42" s="255">
        <v>180000</v>
      </c>
      <c r="BK42" s="255">
        <v>180000</v>
      </c>
      <c r="BL42" s="255">
        <v>180000</v>
      </c>
      <c r="BM42" s="255">
        <v>180000</v>
      </c>
      <c r="BN42" s="255">
        <v>180000</v>
      </c>
      <c r="BO42" s="255">
        <v>180000</v>
      </c>
      <c r="BP42" s="293">
        <v>180000</v>
      </c>
    </row>
    <row r="43" spans="1:68" ht="15.75" customHeight="1">
      <c r="A43" s="626" t="s">
        <v>526</v>
      </c>
      <c r="B43" s="627"/>
      <c r="C43" s="628"/>
      <c r="D43" s="592"/>
      <c r="E43" s="255"/>
      <c r="F43" s="255"/>
      <c r="G43" s="255"/>
      <c r="H43" s="255"/>
      <c r="I43" s="255"/>
      <c r="J43" s="255">
        <v>120000</v>
      </c>
      <c r="K43" s="255">
        <v>120000</v>
      </c>
      <c r="L43" s="255">
        <v>180000</v>
      </c>
      <c r="M43" s="255">
        <v>180000</v>
      </c>
      <c r="N43" s="255">
        <v>180000</v>
      </c>
      <c r="O43" s="255">
        <v>180000</v>
      </c>
      <c r="P43" s="255">
        <v>180000</v>
      </c>
      <c r="Q43" s="592"/>
      <c r="R43" s="294">
        <v>200000</v>
      </c>
      <c r="S43" s="255">
        <v>200000</v>
      </c>
      <c r="T43" s="255">
        <v>200000</v>
      </c>
      <c r="U43" s="255">
        <v>200000</v>
      </c>
      <c r="V43" s="255">
        <v>200000</v>
      </c>
      <c r="W43" s="255">
        <v>200000</v>
      </c>
      <c r="X43" s="255">
        <v>200000</v>
      </c>
      <c r="Y43" s="255">
        <v>200000</v>
      </c>
      <c r="Z43" s="255">
        <v>200000</v>
      </c>
      <c r="AA43" s="255">
        <v>200000</v>
      </c>
      <c r="AB43" s="255">
        <v>200000</v>
      </c>
      <c r="AC43" s="293">
        <v>200000</v>
      </c>
      <c r="AD43" s="592"/>
      <c r="AE43" s="294">
        <v>250000</v>
      </c>
      <c r="AF43" s="255">
        <v>250000</v>
      </c>
      <c r="AG43" s="255">
        <v>250000</v>
      </c>
      <c r="AH43" s="255">
        <v>250000</v>
      </c>
      <c r="AI43" s="255">
        <v>250000</v>
      </c>
      <c r="AJ43" s="255">
        <v>250000</v>
      </c>
      <c r="AK43" s="255">
        <v>250000</v>
      </c>
      <c r="AL43" s="255">
        <v>250000</v>
      </c>
      <c r="AM43" s="255">
        <v>250000</v>
      </c>
      <c r="AN43" s="255">
        <v>250000</v>
      </c>
      <c r="AO43" s="255">
        <v>250000</v>
      </c>
      <c r="AP43" s="293">
        <v>250000</v>
      </c>
      <c r="AQ43" s="592"/>
      <c r="AR43" s="294">
        <v>180000</v>
      </c>
      <c r="AS43" s="255">
        <v>180000</v>
      </c>
      <c r="AT43" s="255">
        <v>180000</v>
      </c>
      <c r="AU43" s="255">
        <v>180000</v>
      </c>
      <c r="AV43" s="255">
        <v>180000</v>
      </c>
      <c r="AW43" s="255">
        <v>180000</v>
      </c>
      <c r="AX43" s="255">
        <v>180000</v>
      </c>
      <c r="AY43" s="255">
        <v>180000</v>
      </c>
      <c r="AZ43" s="255">
        <v>180000</v>
      </c>
      <c r="BA43" s="255">
        <v>180000</v>
      </c>
      <c r="BB43" s="255">
        <v>180000</v>
      </c>
      <c r="BC43" s="293">
        <v>180000</v>
      </c>
      <c r="BD43" s="592"/>
      <c r="BE43" s="294">
        <v>180000</v>
      </c>
      <c r="BF43" s="255">
        <v>180000</v>
      </c>
      <c r="BG43" s="255">
        <v>180000</v>
      </c>
      <c r="BH43" s="255">
        <v>180000</v>
      </c>
      <c r="BI43" s="255">
        <v>180000</v>
      </c>
      <c r="BJ43" s="255">
        <v>180000</v>
      </c>
      <c r="BK43" s="255">
        <v>180000</v>
      </c>
      <c r="BL43" s="255">
        <v>180000</v>
      </c>
      <c r="BM43" s="255">
        <v>180000</v>
      </c>
      <c r="BN43" s="255">
        <v>180000</v>
      </c>
      <c r="BO43" s="255">
        <v>180000</v>
      </c>
      <c r="BP43" s="293">
        <v>180000</v>
      </c>
    </row>
    <row r="44" spans="1:68" ht="15.75" customHeight="1">
      <c r="A44" s="626" t="s">
        <v>527</v>
      </c>
      <c r="B44" s="627"/>
      <c r="C44" s="628"/>
      <c r="D44" s="592"/>
      <c r="E44" s="255"/>
      <c r="F44" s="255"/>
      <c r="G44" s="255"/>
      <c r="H44" s="255"/>
      <c r="I44" s="255"/>
      <c r="J44" s="255">
        <v>100000</v>
      </c>
      <c r="K44" s="255">
        <v>100000</v>
      </c>
      <c r="L44" s="255">
        <v>180000</v>
      </c>
      <c r="M44" s="255">
        <v>180000</v>
      </c>
      <c r="N44" s="255">
        <v>180000</v>
      </c>
      <c r="O44" s="255">
        <v>180000</v>
      </c>
      <c r="P44" s="255">
        <v>180000</v>
      </c>
      <c r="Q44" s="592"/>
      <c r="R44" s="294">
        <v>200000</v>
      </c>
      <c r="S44" s="255">
        <v>200000</v>
      </c>
      <c r="T44" s="255">
        <v>200000</v>
      </c>
      <c r="U44" s="255">
        <v>200000</v>
      </c>
      <c r="V44" s="255">
        <v>200000</v>
      </c>
      <c r="W44" s="255">
        <v>200000</v>
      </c>
      <c r="X44" s="255">
        <v>200000</v>
      </c>
      <c r="Y44" s="255">
        <v>200000</v>
      </c>
      <c r="Z44" s="255">
        <v>200000</v>
      </c>
      <c r="AA44" s="255">
        <v>200000</v>
      </c>
      <c r="AB44" s="255">
        <v>200000</v>
      </c>
      <c r="AC44" s="293">
        <v>200000</v>
      </c>
      <c r="AD44" s="592"/>
      <c r="AE44" s="294">
        <v>250000</v>
      </c>
      <c r="AF44" s="255">
        <v>250000</v>
      </c>
      <c r="AG44" s="255">
        <v>250000</v>
      </c>
      <c r="AH44" s="255">
        <v>250000</v>
      </c>
      <c r="AI44" s="255">
        <v>250000</v>
      </c>
      <c r="AJ44" s="255">
        <v>250000</v>
      </c>
      <c r="AK44" s="255">
        <v>250000</v>
      </c>
      <c r="AL44" s="255">
        <v>250000</v>
      </c>
      <c r="AM44" s="255">
        <v>250000</v>
      </c>
      <c r="AN44" s="255">
        <v>250000</v>
      </c>
      <c r="AO44" s="255">
        <v>250000</v>
      </c>
      <c r="AP44" s="293">
        <v>250000</v>
      </c>
      <c r="AQ44" s="592"/>
      <c r="AR44" s="294">
        <v>150000</v>
      </c>
      <c r="AS44" s="255">
        <v>150000</v>
      </c>
      <c r="AT44" s="255">
        <v>150000</v>
      </c>
      <c r="AU44" s="255">
        <v>150000</v>
      </c>
      <c r="AV44" s="255">
        <v>150000</v>
      </c>
      <c r="AW44" s="255">
        <v>150000</v>
      </c>
      <c r="AX44" s="255">
        <v>150000</v>
      </c>
      <c r="AY44" s="255">
        <v>150000</v>
      </c>
      <c r="AZ44" s="255">
        <v>150000</v>
      </c>
      <c r="BA44" s="255">
        <v>150000</v>
      </c>
      <c r="BB44" s="255">
        <v>150000</v>
      </c>
      <c r="BC44" s="293">
        <v>150000</v>
      </c>
      <c r="BD44" s="592"/>
      <c r="BE44" s="294">
        <v>150000</v>
      </c>
      <c r="BF44" s="255">
        <v>150000</v>
      </c>
      <c r="BG44" s="255">
        <v>150000</v>
      </c>
      <c r="BH44" s="255">
        <v>150000</v>
      </c>
      <c r="BI44" s="255">
        <v>150000</v>
      </c>
      <c r="BJ44" s="255">
        <v>150000</v>
      </c>
      <c r="BK44" s="255">
        <v>150000</v>
      </c>
      <c r="BL44" s="255">
        <v>150000</v>
      </c>
      <c r="BM44" s="255">
        <v>150000</v>
      </c>
      <c r="BN44" s="255">
        <v>150000</v>
      </c>
      <c r="BO44" s="255">
        <v>150000</v>
      </c>
      <c r="BP44" s="293">
        <v>150000</v>
      </c>
    </row>
    <row r="45" spans="1:68" ht="15.75" customHeight="1">
      <c r="A45" s="626" t="s">
        <v>527</v>
      </c>
      <c r="B45" s="627"/>
      <c r="C45" s="628"/>
      <c r="D45" s="592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>
        <v>100000</v>
      </c>
      <c r="P45" s="293">
        <v>100000</v>
      </c>
      <c r="Q45" s="592"/>
      <c r="R45" s="294">
        <v>100000</v>
      </c>
      <c r="S45" s="255">
        <v>100000</v>
      </c>
      <c r="T45" s="255">
        <v>100000</v>
      </c>
      <c r="U45" s="255">
        <v>100000</v>
      </c>
      <c r="V45" s="255">
        <v>100000</v>
      </c>
      <c r="W45" s="255">
        <v>100000</v>
      </c>
      <c r="X45" s="255">
        <v>100000</v>
      </c>
      <c r="Y45" s="255">
        <v>100000</v>
      </c>
      <c r="Z45" s="255">
        <v>100000</v>
      </c>
      <c r="AA45" s="255">
        <v>100000</v>
      </c>
      <c r="AB45" s="255">
        <v>100000</v>
      </c>
      <c r="AC45" s="293">
        <v>100000</v>
      </c>
      <c r="AD45" s="592"/>
      <c r="AE45" s="294">
        <v>100000</v>
      </c>
      <c r="AF45" s="255">
        <v>100000</v>
      </c>
      <c r="AG45" s="255">
        <v>100000</v>
      </c>
      <c r="AH45" s="255">
        <v>100000</v>
      </c>
      <c r="AI45" s="255">
        <v>100000</v>
      </c>
      <c r="AJ45" s="255">
        <v>100000</v>
      </c>
      <c r="AK45" s="255">
        <v>100000</v>
      </c>
      <c r="AL45" s="255">
        <v>100000</v>
      </c>
      <c r="AM45" s="255">
        <v>100000</v>
      </c>
      <c r="AN45" s="255">
        <v>100000</v>
      </c>
      <c r="AO45" s="255">
        <v>100000</v>
      </c>
      <c r="AP45" s="293">
        <v>100000</v>
      </c>
      <c r="AQ45" s="592"/>
      <c r="AR45" s="294">
        <v>250000</v>
      </c>
      <c r="AS45" s="255">
        <v>250000</v>
      </c>
      <c r="AT45" s="255">
        <v>250000</v>
      </c>
      <c r="AU45" s="255">
        <v>250000</v>
      </c>
      <c r="AV45" s="255">
        <v>250000</v>
      </c>
      <c r="AW45" s="255">
        <v>250000</v>
      </c>
      <c r="AX45" s="255">
        <v>250000</v>
      </c>
      <c r="AY45" s="255">
        <v>250000</v>
      </c>
      <c r="AZ45" s="255">
        <v>250000</v>
      </c>
      <c r="BA45" s="255">
        <v>250000</v>
      </c>
      <c r="BB45" s="255">
        <v>250000</v>
      </c>
      <c r="BC45" s="293">
        <v>250000</v>
      </c>
      <c r="BD45" s="592"/>
      <c r="BE45" s="294">
        <v>250000</v>
      </c>
      <c r="BF45" s="255">
        <v>250000</v>
      </c>
      <c r="BG45" s="255">
        <v>250000</v>
      </c>
      <c r="BH45" s="255">
        <v>250000</v>
      </c>
      <c r="BI45" s="255">
        <v>250000</v>
      </c>
      <c r="BJ45" s="255">
        <v>250000</v>
      </c>
      <c r="BK45" s="255">
        <v>250000</v>
      </c>
      <c r="BL45" s="255">
        <v>250000</v>
      </c>
      <c r="BM45" s="255">
        <v>250000</v>
      </c>
      <c r="BN45" s="255">
        <v>250000</v>
      </c>
      <c r="BO45" s="255">
        <v>250000</v>
      </c>
      <c r="BP45" s="293">
        <v>250000</v>
      </c>
    </row>
    <row r="46" spans="1:68" ht="15.75" customHeight="1">
      <c r="A46" s="626" t="s">
        <v>527</v>
      </c>
      <c r="B46" s="627"/>
      <c r="C46" s="628"/>
      <c r="D46" s="592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93"/>
      <c r="Q46" s="592"/>
      <c r="R46" s="294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93"/>
      <c r="AD46" s="592"/>
      <c r="AE46" s="294">
        <v>130000</v>
      </c>
      <c r="AF46" s="255">
        <v>130000</v>
      </c>
      <c r="AG46" s="255">
        <v>130000</v>
      </c>
      <c r="AH46" s="255">
        <v>130000</v>
      </c>
      <c r="AI46" s="255">
        <v>130000</v>
      </c>
      <c r="AJ46" s="255">
        <v>130000</v>
      </c>
      <c r="AK46" s="255">
        <v>130000</v>
      </c>
      <c r="AL46" s="255">
        <v>130000</v>
      </c>
      <c r="AM46" s="255">
        <v>130000</v>
      </c>
      <c r="AN46" s="255">
        <v>130000</v>
      </c>
      <c r="AO46" s="255">
        <v>130000</v>
      </c>
      <c r="AP46" s="293">
        <v>130000</v>
      </c>
      <c r="AQ46" s="592"/>
      <c r="AR46" s="294">
        <v>180000</v>
      </c>
      <c r="AS46" s="255">
        <v>180000</v>
      </c>
      <c r="AT46" s="255">
        <v>180000</v>
      </c>
      <c r="AU46" s="255">
        <v>180000</v>
      </c>
      <c r="AV46" s="255">
        <v>180000</v>
      </c>
      <c r="AW46" s="255">
        <v>180000</v>
      </c>
      <c r="AX46" s="255">
        <v>180000</v>
      </c>
      <c r="AY46" s="255">
        <v>180000</v>
      </c>
      <c r="AZ46" s="255">
        <v>180000</v>
      </c>
      <c r="BA46" s="255">
        <v>180000</v>
      </c>
      <c r="BB46" s="255">
        <v>180000</v>
      </c>
      <c r="BC46" s="293">
        <v>180000</v>
      </c>
      <c r="BD46" s="592"/>
      <c r="BE46" s="294">
        <v>180000</v>
      </c>
      <c r="BF46" s="255">
        <v>180000</v>
      </c>
      <c r="BG46" s="255">
        <v>180000</v>
      </c>
      <c r="BH46" s="255">
        <v>180000</v>
      </c>
      <c r="BI46" s="255">
        <v>180000</v>
      </c>
      <c r="BJ46" s="255">
        <v>180000</v>
      </c>
      <c r="BK46" s="255">
        <v>180000</v>
      </c>
      <c r="BL46" s="255">
        <v>180000</v>
      </c>
      <c r="BM46" s="255">
        <v>180000</v>
      </c>
      <c r="BN46" s="255">
        <v>180000</v>
      </c>
      <c r="BO46" s="255">
        <v>180000</v>
      </c>
      <c r="BP46" s="293">
        <v>180000</v>
      </c>
    </row>
    <row r="47" spans="1:68" ht="15.75" hidden="1" customHeight="1">
      <c r="A47" s="626" t="s">
        <v>527</v>
      </c>
      <c r="B47" s="627"/>
      <c r="C47" s="628"/>
      <c r="D47" s="592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93"/>
      <c r="Q47" s="592"/>
      <c r="R47" s="294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93"/>
      <c r="AD47" s="592"/>
      <c r="AE47" s="294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93"/>
      <c r="AQ47" s="592"/>
      <c r="AR47" s="294">
        <v>180000</v>
      </c>
      <c r="AS47" s="255">
        <v>180000</v>
      </c>
      <c r="AT47" s="255">
        <v>180000</v>
      </c>
      <c r="AU47" s="255">
        <v>180000</v>
      </c>
      <c r="AV47" s="255">
        <v>180000</v>
      </c>
      <c r="AW47" s="255">
        <v>180000</v>
      </c>
      <c r="AX47" s="255">
        <v>180000</v>
      </c>
      <c r="AY47" s="255">
        <v>180000</v>
      </c>
      <c r="AZ47" s="255">
        <v>180000</v>
      </c>
      <c r="BA47" s="255">
        <v>180000</v>
      </c>
      <c r="BB47" s="255">
        <v>180000</v>
      </c>
      <c r="BC47" s="293">
        <v>180000</v>
      </c>
      <c r="BD47" s="592"/>
      <c r="BE47" s="294">
        <v>180000</v>
      </c>
      <c r="BF47" s="255">
        <v>180000</v>
      </c>
      <c r="BG47" s="255">
        <v>180000</v>
      </c>
      <c r="BH47" s="255">
        <v>180000</v>
      </c>
      <c r="BI47" s="255">
        <v>180000</v>
      </c>
      <c r="BJ47" s="255">
        <v>180000</v>
      </c>
      <c r="BK47" s="255">
        <v>180000</v>
      </c>
      <c r="BL47" s="255">
        <v>180000</v>
      </c>
      <c r="BM47" s="255">
        <v>180000</v>
      </c>
      <c r="BN47" s="255">
        <v>180000</v>
      </c>
      <c r="BO47" s="255">
        <v>180000</v>
      </c>
      <c r="BP47" s="293">
        <v>180000</v>
      </c>
    </row>
    <row r="48" spans="1:68" ht="15.75" customHeight="1">
      <c r="A48" s="626" t="s">
        <v>528</v>
      </c>
      <c r="B48" s="627"/>
      <c r="C48" s="628"/>
      <c r="D48" s="592"/>
      <c r="E48" s="255"/>
      <c r="F48" s="255"/>
      <c r="G48" s="255"/>
      <c r="H48" s="255"/>
      <c r="I48" s="255"/>
      <c r="J48" s="255">
        <v>270000</v>
      </c>
      <c r="K48" s="255">
        <v>270000</v>
      </c>
      <c r="L48" s="255">
        <v>270000</v>
      </c>
      <c r="M48" s="255">
        <v>270000</v>
      </c>
      <c r="N48" s="255">
        <v>270000</v>
      </c>
      <c r="O48" s="255">
        <v>270000</v>
      </c>
      <c r="P48" s="293">
        <v>270000</v>
      </c>
      <c r="Q48" s="592"/>
      <c r="R48" s="294">
        <v>270000</v>
      </c>
      <c r="S48" s="255">
        <v>270000</v>
      </c>
      <c r="T48" s="255">
        <v>270000</v>
      </c>
      <c r="U48" s="255">
        <v>270000</v>
      </c>
      <c r="V48" s="255">
        <v>270000</v>
      </c>
      <c r="W48" s="255">
        <v>270000</v>
      </c>
      <c r="X48" s="255">
        <v>270000</v>
      </c>
      <c r="Y48" s="255">
        <v>270000</v>
      </c>
      <c r="Z48" s="255">
        <v>270000</v>
      </c>
      <c r="AA48" s="255">
        <v>270000</v>
      </c>
      <c r="AB48" s="255">
        <v>270000</v>
      </c>
      <c r="AC48" s="293">
        <v>270000</v>
      </c>
      <c r="AD48" s="592"/>
      <c r="AE48" s="294">
        <v>270000</v>
      </c>
      <c r="AF48" s="255">
        <v>270000</v>
      </c>
      <c r="AG48" s="255">
        <v>270000</v>
      </c>
      <c r="AH48" s="255">
        <v>270000</v>
      </c>
      <c r="AI48" s="255">
        <v>270000</v>
      </c>
      <c r="AJ48" s="255">
        <v>270000</v>
      </c>
      <c r="AK48" s="255">
        <v>270000</v>
      </c>
      <c r="AL48" s="255">
        <v>270000</v>
      </c>
      <c r="AM48" s="255">
        <v>270000</v>
      </c>
      <c r="AN48" s="255">
        <v>270000</v>
      </c>
      <c r="AO48" s="255">
        <v>270000</v>
      </c>
      <c r="AP48" s="293">
        <v>270000</v>
      </c>
      <c r="AQ48" s="592"/>
      <c r="AR48" s="294">
        <v>250000</v>
      </c>
      <c r="AS48" s="255">
        <v>250000</v>
      </c>
      <c r="AT48" s="255">
        <v>250000</v>
      </c>
      <c r="AU48" s="255">
        <v>250000</v>
      </c>
      <c r="AV48" s="255">
        <v>250000</v>
      </c>
      <c r="AW48" s="255">
        <v>250000</v>
      </c>
      <c r="AX48" s="255">
        <v>250000</v>
      </c>
      <c r="AY48" s="255">
        <v>250000</v>
      </c>
      <c r="AZ48" s="255">
        <v>250000</v>
      </c>
      <c r="BA48" s="255">
        <v>250000</v>
      </c>
      <c r="BB48" s="255">
        <v>250000</v>
      </c>
      <c r="BC48" s="293">
        <v>250000</v>
      </c>
      <c r="BD48" s="592"/>
      <c r="BE48" s="294">
        <v>250000</v>
      </c>
      <c r="BF48" s="255">
        <v>250000</v>
      </c>
      <c r="BG48" s="255">
        <v>250000</v>
      </c>
      <c r="BH48" s="255">
        <v>250000</v>
      </c>
      <c r="BI48" s="255">
        <v>250000</v>
      </c>
      <c r="BJ48" s="255">
        <v>250000</v>
      </c>
      <c r="BK48" s="255">
        <v>250000</v>
      </c>
      <c r="BL48" s="255">
        <v>250000</v>
      </c>
      <c r="BM48" s="255">
        <v>250000</v>
      </c>
      <c r="BN48" s="255">
        <v>250000</v>
      </c>
      <c r="BO48" s="255">
        <v>250000</v>
      </c>
      <c r="BP48" s="293">
        <v>250000</v>
      </c>
    </row>
    <row r="49" spans="1:68" ht="15.75" customHeight="1">
      <c r="A49" s="626" t="s">
        <v>528</v>
      </c>
      <c r="B49" s="627"/>
      <c r="C49" s="628"/>
      <c r="D49" s="592"/>
      <c r="E49" s="255"/>
      <c r="F49" s="255"/>
      <c r="G49" s="255"/>
      <c r="H49" s="255"/>
      <c r="I49" s="255"/>
      <c r="J49" s="255">
        <v>50000</v>
      </c>
      <c r="K49" s="255">
        <v>50000</v>
      </c>
      <c r="L49" s="255">
        <v>150000</v>
      </c>
      <c r="M49" s="255">
        <v>150000</v>
      </c>
      <c r="N49" s="255">
        <v>150000</v>
      </c>
      <c r="O49" s="255">
        <v>150000</v>
      </c>
      <c r="P49" s="293">
        <v>150000</v>
      </c>
      <c r="Q49" s="592"/>
      <c r="R49" s="294">
        <v>180000</v>
      </c>
      <c r="S49" s="255">
        <v>180000</v>
      </c>
      <c r="T49" s="255">
        <v>180000</v>
      </c>
      <c r="U49" s="255">
        <v>180000</v>
      </c>
      <c r="V49" s="255">
        <v>180000</v>
      </c>
      <c r="W49" s="255">
        <v>180000</v>
      </c>
      <c r="X49" s="255">
        <v>180000</v>
      </c>
      <c r="Y49" s="255">
        <v>180000</v>
      </c>
      <c r="Z49" s="255">
        <v>180000</v>
      </c>
      <c r="AA49" s="255">
        <v>180000</v>
      </c>
      <c r="AB49" s="255">
        <v>180000</v>
      </c>
      <c r="AC49" s="293">
        <v>180000</v>
      </c>
      <c r="AD49" s="592"/>
      <c r="AE49" s="294">
        <v>200000</v>
      </c>
      <c r="AF49" s="255">
        <v>200000</v>
      </c>
      <c r="AG49" s="255">
        <v>200000</v>
      </c>
      <c r="AH49" s="255">
        <v>200000</v>
      </c>
      <c r="AI49" s="255">
        <v>200000</v>
      </c>
      <c r="AJ49" s="255">
        <v>200000</v>
      </c>
      <c r="AK49" s="255">
        <v>200000</v>
      </c>
      <c r="AL49" s="255">
        <v>200000</v>
      </c>
      <c r="AM49" s="255">
        <v>200000</v>
      </c>
      <c r="AN49" s="255">
        <v>200000</v>
      </c>
      <c r="AO49" s="255">
        <v>200000</v>
      </c>
      <c r="AP49" s="293">
        <v>200000</v>
      </c>
      <c r="AQ49" s="592"/>
      <c r="AR49" s="294">
        <v>300000</v>
      </c>
      <c r="AS49" s="255">
        <v>300000</v>
      </c>
      <c r="AT49" s="255">
        <v>300000</v>
      </c>
      <c r="AU49" s="255">
        <v>300000</v>
      </c>
      <c r="AV49" s="255">
        <v>300000</v>
      </c>
      <c r="AW49" s="255">
        <v>300000</v>
      </c>
      <c r="AX49" s="255">
        <v>300000</v>
      </c>
      <c r="AY49" s="255">
        <v>300000</v>
      </c>
      <c r="AZ49" s="255">
        <v>300000</v>
      </c>
      <c r="BA49" s="255">
        <v>300000</v>
      </c>
      <c r="BB49" s="255">
        <v>300000</v>
      </c>
      <c r="BC49" s="293">
        <v>300000</v>
      </c>
      <c r="BD49" s="592"/>
      <c r="BE49" s="294">
        <v>300000</v>
      </c>
      <c r="BF49" s="255">
        <v>300000</v>
      </c>
      <c r="BG49" s="255">
        <v>300000</v>
      </c>
      <c r="BH49" s="255">
        <v>300000</v>
      </c>
      <c r="BI49" s="255">
        <v>300000</v>
      </c>
      <c r="BJ49" s="255">
        <v>300000</v>
      </c>
      <c r="BK49" s="255">
        <v>300000</v>
      </c>
      <c r="BL49" s="255">
        <v>300000</v>
      </c>
      <c r="BM49" s="255">
        <v>300000</v>
      </c>
      <c r="BN49" s="255">
        <v>300000</v>
      </c>
      <c r="BO49" s="255">
        <v>300000</v>
      </c>
      <c r="BP49" s="293">
        <v>300000</v>
      </c>
    </row>
    <row r="50" spans="1:68" ht="15.75" hidden="1" customHeight="1">
      <c r="A50" s="626" t="s">
        <v>528</v>
      </c>
      <c r="B50" s="627"/>
      <c r="C50" s="628"/>
      <c r="D50" s="592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93"/>
      <c r="Q50" s="592"/>
      <c r="R50" s="294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93"/>
      <c r="AD50" s="592"/>
      <c r="AE50" s="294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93"/>
      <c r="AQ50" s="592"/>
      <c r="AR50" s="294">
        <v>300000</v>
      </c>
      <c r="AS50" s="255">
        <v>300000</v>
      </c>
      <c r="AT50" s="255">
        <v>300000</v>
      </c>
      <c r="AU50" s="255">
        <v>300000</v>
      </c>
      <c r="AV50" s="255">
        <v>300000</v>
      </c>
      <c r="AW50" s="255">
        <v>300000</v>
      </c>
      <c r="AX50" s="255">
        <v>300000</v>
      </c>
      <c r="AY50" s="255">
        <v>300000</v>
      </c>
      <c r="AZ50" s="255">
        <v>300000</v>
      </c>
      <c r="BA50" s="255">
        <v>300000</v>
      </c>
      <c r="BB50" s="255">
        <v>300000</v>
      </c>
      <c r="BC50" s="293">
        <v>300000</v>
      </c>
      <c r="BD50" s="592"/>
      <c r="BE50" s="294">
        <v>300000</v>
      </c>
      <c r="BF50" s="255">
        <v>300000</v>
      </c>
      <c r="BG50" s="255">
        <v>300000</v>
      </c>
      <c r="BH50" s="255">
        <v>300000</v>
      </c>
      <c r="BI50" s="255">
        <v>300000</v>
      </c>
      <c r="BJ50" s="255">
        <v>300000</v>
      </c>
      <c r="BK50" s="255">
        <v>300000</v>
      </c>
      <c r="BL50" s="255">
        <v>300000</v>
      </c>
      <c r="BM50" s="255">
        <v>300000</v>
      </c>
      <c r="BN50" s="255">
        <v>300000</v>
      </c>
      <c r="BO50" s="255">
        <v>300000</v>
      </c>
      <c r="BP50" s="293">
        <v>300000</v>
      </c>
    </row>
    <row r="51" spans="1:68" ht="15.75" hidden="1" customHeight="1">
      <c r="A51" s="626"/>
      <c r="B51" s="627"/>
      <c r="C51" s="628"/>
      <c r="D51" s="592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8"/>
      <c r="Q51" s="592"/>
      <c r="R51" s="419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8"/>
      <c r="AD51" s="592"/>
      <c r="AE51" s="419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8"/>
      <c r="AQ51" s="592"/>
      <c r="AR51" s="419">
        <v>250000</v>
      </c>
      <c r="AS51" s="417">
        <v>250000</v>
      </c>
      <c r="AT51" s="417">
        <v>250000</v>
      </c>
      <c r="AU51" s="417">
        <v>250000</v>
      </c>
      <c r="AV51" s="417">
        <v>250000</v>
      </c>
      <c r="AW51" s="417">
        <v>250000</v>
      </c>
      <c r="AX51" s="417">
        <v>250000</v>
      </c>
      <c r="AY51" s="417">
        <v>250000</v>
      </c>
      <c r="AZ51" s="417">
        <v>250000</v>
      </c>
      <c r="BA51" s="417">
        <v>250000</v>
      </c>
      <c r="BB51" s="417">
        <v>250000</v>
      </c>
      <c r="BC51" s="418">
        <v>250000</v>
      </c>
      <c r="BD51" s="592"/>
      <c r="BE51" s="419">
        <v>250000</v>
      </c>
      <c r="BF51" s="417">
        <v>250000</v>
      </c>
      <c r="BG51" s="417">
        <v>250000</v>
      </c>
      <c r="BH51" s="417">
        <v>250000</v>
      </c>
      <c r="BI51" s="417">
        <v>250000</v>
      </c>
      <c r="BJ51" s="417">
        <v>250000</v>
      </c>
      <c r="BK51" s="417">
        <v>250000</v>
      </c>
      <c r="BL51" s="417">
        <v>250000</v>
      </c>
      <c r="BM51" s="417">
        <v>250000</v>
      </c>
      <c r="BN51" s="417">
        <v>250000</v>
      </c>
      <c r="BO51" s="417">
        <v>250000</v>
      </c>
      <c r="BP51" s="418">
        <v>250000</v>
      </c>
    </row>
    <row r="52" spans="1:68" ht="15.75" customHeight="1" thickBot="1">
      <c r="A52" s="650"/>
      <c r="B52" s="651"/>
      <c r="C52" s="652"/>
      <c r="D52" s="592"/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7"/>
      <c r="Q52" s="592"/>
      <c r="R52" s="395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7"/>
      <c r="AD52" s="592"/>
      <c r="AE52" s="395">
        <v>180000</v>
      </c>
      <c r="AF52" s="336">
        <v>180000</v>
      </c>
      <c r="AG52" s="336">
        <v>180000</v>
      </c>
      <c r="AH52" s="336">
        <v>180000</v>
      </c>
      <c r="AI52" s="336">
        <v>180000</v>
      </c>
      <c r="AJ52" s="336">
        <v>180000</v>
      </c>
      <c r="AK52" s="336">
        <v>180000</v>
      </c>
      <c r="AL52" s="336">
        <v>180000</v>
      </c>
      <c r="AM52" s="336">
        <v>180000</v>
      </c>
      <c r="AN52" s="336">
        <v>180000</v>
      </c>
      <c r="AO52" s="336">
        <v>180000</v>
      </c>
      <c r="AP52" s="337">
        <v>180000</v>
      </c>
      <c r="AQ52" s="592"/>
      <c r="AR52" s="395">
        <v>180000</v>
      </c>
      <c r="AS52" s="336">
        <v>180000</v>
      </c>
      <c r="AT52" s="336">
        <v>180000</v>
      </c>
      <c r="AU52" s="336">
        <v>180000</v>
      </c>
      <c r="AV52" s="336">
        <v>180000</v>
      </c>
      <c r="AW52" s="336">
        <v>180000</v>
      </c>
      <c r="AX52" s="336">
        <v>180000</v>
      </c>
      <c r="AY52" s="336">
        <v>180000</v>
      </c>
      <c r="AZ52" s="336">
        <v>180000</v>
      </c>
      <c r="BA52" s="336">
        <v>180000</v>
      </c>
      <c r="BB52" s="336">
        <v>180000</v>
      </c>
      <c r="BC52" s="337">
        <v>180000</v>
      </c>
      <c r="BD52" s="592"/>
      <c r="BE52" s="395">
        <v>180000</v>
      </c>
      <c r="BF52" s="336">
        <v>180000</v>
      </c>
      <c r="BG52" s="336">
        <v>180000</v>
      </c>
      <c r="BH52" s="336">
        <v>180000</v>
      </c>
      <c r="BI52" s="336">
        <v>180000</v>
      </c>
      <c r="BJ52" s="336">
        <v>180000</v>
      </c>
      <c r="BK52" s="336">
        <v>180000</v>
      </c>
      <c r="BL52" s="336">
        <v>180000</v>
      </c>
      <c r="BM52" s="336">
        <v>180000</v>
      </c>
      <c r="BN52" s="336">
        <v>180000</v>
      </c>
      <c r="BO52" s="336">
        <v>180000</v>
      </c>
      <c r="BP52" s="337">
        <v>180000</v>
      </c>
    </row>
    <row r="53" spans="1:68" ht="15.75" customHeight="1" thickTop="1" thickBot="1">
      <c r="A53" s="644" t="s">
        <v>450</v>
      </c>
      <c r="B53" s="645"/>
      <c r="C53" s="646"/>
      <c r="D53" s="592"/>
      <c r="E53" s="389"/>
      <c r="F53" s="389"/>
      <c r="G53" s="389"/>
      <c r="H53" s="389"/>
      <c r="I53" s="389"/>
      <c r="J53" s="389">
        <v>300000</v>
      </c>
      <c r="K53" s="389"/>
      <c r="L53" s="389"/>
      <c r="M53" s="389"/>
      <c r="N53" s="389"/>
      <c r="O53" s="389"/>
      <c r="P53" s="390">
        <v>1000000</v>
      </c>
      <c r="Q53" s="592"/>
      <c r="R53" s="400"/>
      <c r="S53" s="389"/>
      <c r="T53" s="389"/>
      <c r="U53" s="389"/>
      <c r="V53" s="389"/>
      <c r="W53" s="389">
        <v>1500000</v>
      </c>
      <c r="X53" s="389"/>
      <c r="Y53" s="389"/>
      <c r="Z53" s="389"/>
      <c r="AA53" s="389"/>
      <c r="AB53" s="389"/>
      <c r="AC53" s="390">
        <v>2000000</v>
      </c>
      <c r="AD53" s="592"/>
      <c r="AE53" s="400"/>
      <c r="AF53" s="389"/>
      <c r="AG53" s="389"/>
      <c r="AH53" s="389"/>
      <c r="AI53" s="389"/>
      <c r="AJ53" s="389">
        <v>1500000</v>
      </c>
      <c r="AK53" s="389"/>
      <c r="AL53" s="389"/>
      <c r="AM53" s="389"/>
      <c r="AN53" s="389"/>
      <c r="AO53" s="389"/>
      <c r="AP53" s="390">
        <v>2000000</v>
      </c>
      <c r="AQ53" s="592"/>
      <c r="AR53" s="400"/>
      <c r="AS53" s="389"/>
      <c r="AT53" s="389"/>
      <c r="AU53" s="389"/>
      <c r="AV53" s="389"/>
      <c r="AW53" s="389">
        <v>2000000</v>
      </c>
      <c r="AX53" s="389"/>
      <c r="AY53" s="389"/>
      <c r="AZ53" s="389"/>
      <c r="BA53" s="389"/>
      <c r="BB53" s="389"/>
      <c r="BC53" s="390">
        <v>3000000</v>
      </c>
      <c r="BD53" s="592"/>
      <c r="BE53" s="400"/>
      <c r="BF53" s="389"/>
      <c r="BG53" s="389"/>
      <c r="BH53" s="389"/>
      <c r="BI53" s="389"/>
      <c r="BJ53" s="389">
        <v>2000000</v>
      </c>
      <c r="BK53" s="389"/>
      <c r="BL53" s="389"/>
      <c r="BM53" s="389"/>
      <c r="BN53" s="389"/>
      <c r="BO53" s="389"/>
      <c r="BP53" s="390">
        <v>3000000</v>
      </c>
    </row>
    <row r="54" spans="1:68" ht="15.75" customHeight="1" thickTop="1" thickBot="1">
      <c r="A54" s="644" t="s">
        <v>483</v>
      </c>
      <c r="B54" s="645"/>
      <c r="C54" s="646"/>
      <c r="D54" s="592"/>
      <c r="E54" s="367">
        <f t="shared" ref="E54:P54" si="80">SUM(E38:E52)</f>
        <v>210000</v>
      </c>
      <c r="F54" s="367">
        <f t="shared" si="80"/>
        <v>210000</v>
      </c>
      <c r="G54" s="367">
        <f t="shared" si="80"/>
        <v>210000</v>
      </c>
      <c r="H54" s="367">
        <f t="shared" si="80"/>
        <v>250000</v>
      </c>
      <c r="I54" s="367">
        <f t="shared" si="80"/>
        <v>250000</v>
      </c>
      <c r="J54" s="367">
        <f t="shared" si="80"/>
        <v>1190000</v>
      </c>
      <c r="K54" s="367">
        <f t="shared" si="80"/>
        <v>1190000</v>
      </c>
      <c r="L54" s="367">
        <f t="shared" si="80"/>
        <v>1770000</v>
      </c>
      <c r="M54" s="367">
        <f t="shared" si="80"/>
        <v>1770000</v>
      </c>
      <c r="N54" s="367">
        <f t="shared" si="80"/>
        <v>1770000</v>
      </c>
      <c r="O54" s="367">
        <f t="shared" si="80"/>
        <v>1870000</v>
      </c>
      <c r="P54" s="368">
        <f t="shared" si="80"/>
        <v>1870000</v>
      </c>
      <c r="Q54" s="592"/>
      <c r="R54" s="396">
        <f t="shared" ref="R54:AC54" si="81">SUM(R38:R52)</f>
        <v>2010000</v>
      </c>
      <c r="S54" s="367">
        <f t="shared" si="81"/>
        <v>2010000</v>
      </c>
      <c r="T54" s="367">
        <f t="shared" si="81"/>
        <v>2010000</v>
      </c>
      <c r="U54" s="367">
        <f t="shared" si="81"/>
        <v>2010000</v>
      </c>
      <c r="V54" s="367">
        <f t="shared" si="81"/>
        <v>2010000</v>
      </c>
      <c r="W54" s="367">
        <f t="shared" si="81"/>
        <v>2010000</v>
      </c>
      <c r="X54" s="367">
        <f t="shared" si="81"/>
        <v>2010000</v>
      </c>
      <c r="Y54" s="367">
        <f t="shared" si="81"/>
        <v>2010000</v>
      </c>
      <c r="Z54" s="367">
        <f t="shared" si="81"/>
        <v>2010000</v>
      </c>
      <c r="AA54" s="367">
        <f t="shared" si="81"/>
        <v>2010000</v>
      </c>
      <c r="AB54" s="367">
        <f t="shared" si="81"/>
        <v>2010000</v>
      </c>
      <c r="AC54" s="368">
        <f t="shared" si="81"/>
        <v>2010000</v>
      </c>
      <c r="AD54" s="592"/>
      <c r="AE54" s="396">
        <f t="shared" ref="AE54:AP54" si="82">SUM(AE38:AE52)</f>
        <v>2730000</v>
      </c>
      <c r="AF54" s="367">
        <f t="shared" si="82"/>
        <v>2730000</v>
      </c>
      <c r="AG54" s="367">
        <f t="shared" si="82"/>
        <v>2730000</v>
      </c>
      <c r="AH54" s="367">
        <f t="shared" si="82"/>
        <v>2730000</v>
      </c>
      <c r="AI54" s="367">
        <f t="shared" si="82"/>
        <v>2730000</v>
      </c>
      <c r="AJ54" s="367">
        <f t="shared" si="82"/>
        <v>2730000</v>
      </c>
      <c r="AK54" s="367">
        <f t="shared" si="82"/>
        <v>2730000</v>
      </c>
      <c r="AL54" s="367">
        <f t="shared" si="82"/>
        <v>2730000</v>
      </c>
      <c r="AM54" s="367">
        <f t="shared" si="82"/>
        <v>2730000</v>
      </c>
      <c r="AN54" s="367">
        <f t="shared" si="82"/>
        <v>2730000</v>
      </c>
      <c r="AO54" s="367">
        <f t="shared" si="82"/>
        <v>2730000</v>
      </c>
      <c r="AP54" s="368">
        <f t="shared" si="82"/>
        <v>2730000</v>
      </c>
      <c r="AQ54" s="592"/>
      <c r="AR54" s="396">
        <f t="shared" ref="AR54:BC54" si="83">SUM(AR38:AR52)</f>
        <v>2910000</v>
      </c>
      <c r="AS54" s="367">
        <f t="shared" si="83"/>
        <v>2910000</v>
      </c>
      <c r="AT54" s="367">
        <f t="shared" si="83"/>
        <v>2910000</v>
      </c>
      <c r="AU54" s="367">
        <f t="shared" si="83"/>
        <v>2910000</v>
      </c>
      <c r="AV54" s="367">
        <f t="shared" si="83"/>
        <v>2910000</v>
      </c>
      <c r="AW54" s="367">
        <f t="shared" si="83"/>
        <v>2910000</v>
      </c>
      <c r="AX54" s="367">
        <f t="shared" si="83"/>
        <v>2910000</v>
      </c>
      <c r="AY54" s="367">
        <f t="shared" si="83"/>
        <v>2910000</v>
      </c>
      <c r="AZ54" s="367">
        <f t="shared" si="83"/>
        <v>2910000</v>
      </c>
      <c r="BA54" s="367">
        <f t="shared" si="83"/>
        <v>2910000</v>
      </c>
      <c r="BB54" s="367">
        <f t="shared" si="83"/>
        <v>2910000</v>
      </c>
      <c r="BC54" s="368">
        <f t="shared" si="83"/>
        <v>2910000</v>
      </c>
      <c r="BD54" s="592"/>
      <c r="BE54" s="396">
        <f t="shared" ref="BE54:BP54" si="84">SUM(BE38:BE52)</f>
        <v>2910000</v>
      </c>
      <c r="BF54" s="367">
        <f t="shared" si="84"/>
        <v>2910000</v>
      </c>
      <c r="BG54" s="367">
        <f t="shared" si="84"/>
        <v>2910000</v>
      </c>
      <c r="BH54" s="367">
        <f t="shared" si="84"/>
        <v>2910000</v>
      </c>
      <c r="BI54" s="367">
        <f t="shared" si="84"/>
        <v>2910000</v>
      </c>
      <c r="BJ54" s="367">
        <f t="shared" si="84"/>
        <v>2910000</v>
      </c>
      <c r="BK54" s="367">
        <f t="shared" si="84"/>
        <v>2910000</v>
      </c>
      <c r="BL54" s="367">
        <f t="shared" si="84"/>
        <v>2910000</v>
      </c>
      <c r="BM54" s="367">
        <f t="shared" si="84"/>
        <v>2910000</v>
      </c>
      <c r="BN54" s="367">
        <f t="shared" si="84"/>
        <v>2910000</v>
      </c>
      <c r="BO54" s="367">
        <f t="shared" si="84"/>
        <v>2910000</v>
      </c>
      <c r="BP54" s="368">
        <f t="shared" si="84"/>
        <v>2910000</v>
      </c>
    </row>
    <row r="55" spans="1:68" ht="15.75" customHeight="1" thickTop="1" thickBot="1">
      <c r="A55" s="644" t="s">
        <v>385</v>
      </c>
      <c r="B55" s="645"/>
      <c r="C55" s="646"/>
      <c r="D55" s="592"/>
      <c r="E55" s="371">
        <f>E54*0.1</f>
        <v>21000</v>
      </c>
      <c r="F55" s="371">
        <f t="shared" ref="F55:P55" si="85">F54*0.1</f>
        <v>21000</v>
      </c>
      <c r="G55" s="371">
        <f t="shared" si="85"/>
        <v>21000</v>
      </c>
      <c r="H55" s="371">
        <f t="shared" si="85"/>
        <v>25000</v>
      </c>
      <c r="I55" s="371">
        <f t="shared" si="85"/>
        <v>25000</v>
      </c>
      <c r="J55" s="371">
        <f t="shared" si="85"/>
        <v>119000</v>
      </c>
      <c r="K55" s="371">
        <f t="shared" si="85"/>
        <v>119000</v>
      </c>
      <c r="L55" s="372">
        <f t="shared" si="85"/>
        <v>177000</v>
      </c>
      <c r="M55" s="372">
        <f t="shared" si="85"/>
        <v>177000</v>
      </c>
      <c r="N55" s="372">
        <f t="shared" si="85"/>
        <v>177000</v>
      </c>
      <c r="O55" s="372">
        <f t="shared" si="85"/>
        <v>187000</v>
      </c>
      <c r="P55" s="373">
        <f t="shared" si="85"/>
        <v>187000</v>
      </c>
      <c r="Q55" s="592"/>
      <c r="R55" s="401">
        <f>R54*0.1</f>
        <v>201000</v>
      </c>
      <c r="S55" s="371">
        <f t="shared" ref="S55:AC55" si="86">S54*0.1</f>
        <v>201000</v>
      </c>
      <c r="T55" s="371">
        <f t="shared" si="86"/>
        <v>201000</v>
      </c>
      <c r="U55" s="371">
        <f t="shared" si="86"/>
        <v>201000</v>
      </c>
      <c r="V55" s="371">
        <f t="shared" si="86"/>
        <v>201000</v>
      </c>
      <c r="W55" s="371">
        <f t="shared" si="86"/>
        <v>201000</v>
      </c>
      <c r="X55" s="371">
        <f t="shared" si="86"/>
        <v>201000</v>
      </c>
      <c r="Y55" s="372">
        <f t="shared" si="86"/>
        <v>201000</v>
      </c>
      <c r="Z55" s="372">
        <f t="shared" si="86"/>
        <v>201000</v>
      </c>
      <c r="AA55" s="372">
        <f t="shared" si="86"/>
        <v>201000</v>
      </c>
      <c r="AB55" s="372">
        <f t="shared" si="86"/>
        <v>201000</v>
      </c>
      <c r="AC55" s="373">
        <f t="shared" si="86"/>
        <v>201000</v>
      </c>
      <c r="AD55" s="592"/>
      <c r="AE55" s="401">
        <f>AE54*0.1</f>
        <v>273000</v>
      </c>
      <c r="AF55" s="371">
        <f t="shared" ref="AF55:AP55" si="87">AF54*0.1</f>
        <v>273000</v>
      </c>
      <c r="AG55" s="371">
        <f t="shared" si="87"/>
        <v>273000</v>
      </c>
      <c r="AH55" s="371">
        <f t="shared" si="87"/>
        <v>273000</v>
      </c>
      <c r="AI55" s="371">
        <f t="shared" si="87"/>
        <v>273000</v>
      </c>
      <c r="AJ55" s="371">
        <f t="shared" si="87"/>
        <v>273000</v>
      </c>
      <c r="AK55" s="371">
        <f t="shared" si="87"/>
        <v>273000</v>
      </c>
      <c r="AL55" s="372">
        <f t="shared" si="87"/>
        <v>273000</v>
      </c>
      <c r="AM55" s="372">
        <f t="shared" si="87"/>
        <v>273000</v>
      </c>
      <c r="AN55" s="372">
        <f t="shared" si="87"/>
        <v>273000</v>
      </c>
      <c r="AO55" s="372">
        <f t="shared" si="87"/>
        <v>273000</v>
      </c>
      <c r="AP55" s="373">
        <f t="shared" si="87"/>
        <v>273000</v>
      </c>
      <c r="AQ55" s="592"/>
      <c r="AR55" s="401">
        <f>AR54*0.1</f>
        <v>291000</v>
      </c>
      <c r="AS55" s="371">
        <f t="shared" ref="AS55:BC55" si="88">AS54*0.1</f>
        <v>291000</v>
      </c>
      <c r="AT55" s="371">
        <f t="shared" si="88"/>
        <v>291000</v>
      </c>
      <c r="AU55" s="371">
        <f t="shared" si="88"/>
        <v>291000</v>
      </c>
      <c r="AV55" s="371">
        <f t="shared" si="88"/>
        <v>291000</v>
      </c>
      <c r="AW55" s="371">
        <f t="shared" si="88"/>
        <v>291000</v>
      </c>
      <c r="AX55" s="371">
        <f t="shared" si="88"/>
        <v>291000</v>
      </c>
      <c r="AY55" s="372">
        <f t="shared" si="88"/>
        <v>291000</v>
      </c>
      <c r="AZ55" s="372">
        <f t="shared" si="88"/>
        <v>291000</v>
      </c>
      <c r="BA55" s="372">
        <f t="shared" si="88"/>
        <v>291000</v>
      </c>
      <c r="BB55" s="372">
        <f t="shared" si="88"/>
        <v>291000</v>
      </c>
      <c r="BC55" s="373">
        <f t="shared" si="88"/>
        <v>291000</v>
      </c>
      <c r="BD55" s="592"/>
      <c r="BE55" s="401">
        <f>BE54*0.1</f>
        <v>291000</v>
      </c>
      <c r="BF55" s="371">
        <f t="shared" ref="BF55:BP55" si="89">BF54*0.1</f>
        <v>291000</v>
      </c>
      <c r="BG55" s="371">
        <f t="shared" si="89"/>
        <v>291000</v>
      </c>
      <c r="BH55" s="371">
        <f t="shared" si="89"/>
        <v>291000</v>
      </c>
      <c r="BI55" s="371">
        <f t="shared" si="89"/>
        <v>291000</v>
      </c>
      <c r="BJ55" s="371">
        <f t="shared" si="89"/>
        <v>291000</v>
      </c>
      <c r="BK55" s="371">
        <f t="shared" si="89"/>
        <v>291000</v>
      </c>
      <c r="BL55" s="372">
        <f t="shared" si="89"/>
        <v>291000</v>
      </c>
      <c r="BM55" s="372">
        <f t="shared" si="89"/>
        <v>291000</v>
      </c>
      <c r="BN55" s="372">
        <f t="shared" si="89"/>
        <v>291000</v>
      </c>
      <c r="BO55" s="372">
        <f t="shared" si="89"/>
        <v>291000</v>
      </c>
      <c r="BP55" s="373">
        <f t="shared" si="89"/>
        <v>291000</v>
      </c>
    </row>
    <row r="56" spans="1:68" ht="15.75" customHeight="1" thickTop="1" thickBot="1">
      <c r="A56" s="647" t="s">
        <v>484</v>
      </c>
      <c r="B56" s="648"/>
      <c r="C56" s="649"/>
      <c r="D56" s="593"/>
      <c r="E56" s="385">
        <f>E54+E55</f>
        <v>231000</v>
      </c>
      <c r="F56" s="385">
        <f t="shared" ref="F56:P56" si="90">F54+F55</f>
        <v>231000</v>
      </c>
      <c r="G56" s="385">
        <f t="shared" si="90"/>
        <v>231000</v>
      </c>
      <c r="H56" s="385">
        <f t="shared" si="90"/>
        <v>275000</v>
      </c>
      <c r="I56" s="385">
        <f t="shared" si="90"/>
        <v>275000</v>
      </c>
      <c r="J56" s="385">
        <f t="shared" si="90"/>
        <v>1309000</v>
      </c>
      <c r="K56" s="385">
        <f t="shared" si="90"/>
        <v>1309000</v>
      </c>
      <c r="L56" s="385">
        <f t="shared" si="90"/>
        <v>1947000</v>
      </c>
      <c r="M56" s="385">
        <f t="shared" si="90"/>
        <v>1947000</v>
      </c>
      <c r="N56" s="385">
        <f t="shared" si="90"/>
        <v>1947000</v>
      </c>
      <c r="O56" s="385">
        <f t="shared" si="90"/>
        <v>2057000</v>
      </c>
      <c r="P56" s="386">
        <f t="shared" si="90"/>
        <v>2057000</v>
      </c>
      <c r="Q56" s="593"/>
      <c r="R56" s="402">
        <f>R54+R55</f>
        <v>2211000</v>
      </c>
      <c r="S56" s="385">
        <f t="shared" ref="S56:AC56" si="91">S54+S55</f>
        <v>2211000</v>
      </c>
      <c r="T56" s="385">
        <f t="shared" si="91"/>
        <v>2211000</v>
      </c>
      <c r="U56" s="385">
        <f t="shared" si="91"/>
        <v>2211000</v>
      </c>
      <c r="V56" s="385">
        <f t="shared" si="91"/>
        <v>2211000</v>
      </c>
      <c r="W56" s="385">
        <f t="shared" si="91"/>
        <v>2211000</v>
      </c>
      <c r="X56" s="385">
        <f t="shared" si="91"/>
        <v>2211000</v>
      </c>
      <c r="Y56" s="385">
        <f t="shared" si="91"/>
        <v>2211000</v>
      </c>
      <c r="Z56" s="385">
        <f t="shared" si="91"/>
        <v>2211000</v>
      </c>
      <c r="AA56" s="385">
        <f t="shared" si="91"/>
        <v>2211000</v>
      </c>
      <c r="AB56" s="385">
        <f t="shared" si="91"/>
        <v>2211000</v>
      </c>
      <c r="AC56" s="386">
        <f t="shared" si="91"/>
        <v>2211000</v>
      </c>
      <c r="AD56" s="593"/>
      <c r="AE56" s="402">
        <f>AE54+AE55</f>
        <v>3003000</v>
      </c>
      <c r="AF56" s="385">
        <f t="shared" ref="AF56:AP56" si="92">AF54+AF55</f>
        <v>3003000</v>
      </c>
      <c r="AG56" s="385">
        <f t="shared" si="92"/>
        <v>3003000</v>
      </c>
      <c r="AH56" s="385">
        <f t="shared" si="92"/>
        <v>3003000</v>
      </c>
      <c r="AI56" s="385">
        <f t="shared" si="92"/>
        <v>3003000</v>
      </c>
      <c r="AJ56" s="385">
        <f t="shared" si="92"/>
        <v>3003000</v>
      </c>
      <c r="AK56" s="385">
        <f t="shared" si="92"/>
        <v>3003000</v>
      </c>
      <c r="AL56" s="385">
        <f t="shared" si="92"/>
        <v>3003000</v>
      </c>
      <c r="AM56" s="385">
        <f t="shared" si="92"/>
        <v>3003000</v>
      </c>
      <c r="AN56" s="385">
        <f t="shared" si="92"/>
        <v>3003000</v>
      </c>
      <c r="AO56" s="385">
        <f t="shared" si="92"/>
        <v>3003000</v>
      </c>
      <c r="AP56" s="386">
        <f t="shared" si="92"/>
        <v>3003000</v>
      </c>
      <c r="AQ56" s="593"/>
      <c r="AR56" s="402">
        <f>AR54+AR55</f>
        <v>3201000</v>
      </c>
      <c r="AS56" s="385">
        <f t="shared" ref="AS56:BC56" si="93">AS54+AS55</f>
        <v>3201000</v>
      </c>
      <c r="AT56" s="385">
        <f t="shared" si="93"/>
        <v>3201000</v>
      </c>
      <c r="AU56" s="385">
        <f t="shared" si="93"/>
        <v>3201000</v>
      </c>
      <c r="AV56" s="385">
        <f t="shared" si="93"/>
        <v>3201000</v>
      </c>
      <c r="AW56" s="385">
        <f t="shared" si="93"/>
        <v>3201000</v>
      </c>
      <c r="AX56" s="385">
        <f t="shared" si="93"/>
        <v>3201000</v>
      </c>
      <c r="AY56" s="385">
        <f t="shared" si="93"/>
        <v>3201000</v>
      </c>
      <c r="AZ56" s="385">
        <f t="shared" si="93"/>
        <v>3201000</v>
      </c>
      <c r="BA56" s="385">
        <f t="shared" si="93"/>
        <v>3201000</v>
      </c>
      <c r="BB56" s="385">
        <f t="shared" si="93"/>
        <v>3201000</v>
      </c>
      <c r="BC56" s="386">
        <f t="shared" si="93"/>
        <v>3201000</v>
      </c>
      <c r="BD56" s="593"/>
      <c r="BE56" s="402">
        <f>BE54+BE55</f>
        <v>3201000</v>
      </c>
      <c r="BF56" s="385">
        <f t="shared" ref="BF56:BP56" si="94">BF54+BF55</f>
        <v>3201000</v>
      </c>
      <c r="BG56" s="385">
        <f t="shared" si="94"/>
        <v>3201000</v>
      </c>
      <c r="BH56" s="385">
        <f t="shared" si="94"/>
        <v>3201000</v>
      </c>
      <c r="BI56" s="385">
        <f t="shared" si="94"/>
        <v>3201000</v>
      </c>
      <c r="BJ56" s="385">
        <f t="shared" si="94"/>
        <v>3201000</v>
      </c>
      <c r="BK56" s="385">
        <f t="shared" si="94"/>
        <v>3201000</v>
      </c>
      <c r="BL56" s="385">
        <f t="shared" si="94"/>
        <v>3201000</v>
      </c>
      <c r="BM56" s="385">
        <f t="shared" si="94"/>
        <v>3201000</v>
      </c>
      <c r="BN56" s="385">
        <f t="shared" si="94"/>
        <v>3201000</v>
      </c>
      <c r="BO56" s="385">
        <f t="shared" si="94"/>
        <v>3201000</v>
      </c>
      <c r="BP56" s="386">
        <f t="shared" si="94"/>
        <v>3201000</v>
      </c>
    </row>
  </sheetData>
  <mergeCells count="86">
    <mergeCell ref="E1:P1"/>
    <mergeCell ref="A2:C3"/>
    <mergeCell ref="D2:P2"/>
    <mergeCell ref="Q2:AC2"/>
    <mergeCell ref="AD2:AP2"/>
    <mergeCell ref="BD2:BP2"/>
    <mergeCell ref="D3:D56"/>
    <mergeCell ref="Q3:Q56"/>
    <mergeCell ref="AD3:AD56"/>
    <mergeCell ref="AQ3:AQ56"/>
    <mergeCell ref="BD3:BD56"/>
    <mergeCell ref="AQ2:BC2"/>
    <mergeCell ref="AR38:AR39"/>
    <mergeCell ref="AS38:AS39"/>
    <mergeCell ref="BC38:BC39"/>
    <mergeCell ref="BE38:BE39"/>
    <mergeCell ref="BF38:BF39"/>
    <mergeCell ref="AT38:AT39"/>
    <mergeCell ref="AU38:AU39"/>
    <mergeCell ref="AV38:AV39"/>
    <mergeCell ref="AW38:AW39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6:C36"/>
    <mergeCell ref="A38:C38"/>
    <mergeCell ref="A28:C28"/>
    <mergeCell ref="A29:C29"/>
    <mergeCell ref="A32:C32"/>
    <mergeCell ref="A33:C33"/>
    <mergeCell ref="A34:C34"/>
    <mergeCell ref="A35:C35"/>
    <mergeCell ref="A46:C46"/>
    <mergeCell ref="BM38:BM39"/>
    <mergeCell ref="BN38:BN39"/>
    <mergeCell ref="A41:C41"/>
    <mergeCell ref="A42:C42"/>
    <mergeCell ref="A43:C43"/>
    <mergeCell ref="A44:C44"/>
    <mergeCell ref="A45:C45"/>
    <mergeCell ref="BO38:BO39"/>
    <mergeCell ref="BP38:BP39"/>
    <mergeCell ref="A39:C39"/>
    <mergeCell ref="A40:C40"/>
    <mergeCell ref="BG38:BG39"/>
    <mergeCell ref="BH38:BH39"/>
    <mergeCell ref="BI38:BI39"/>
    <mergeCell ref="BJ38:BJ39"/>
    <mergeCell ref="BK38:BK39"/>
    <mergeCell ref="BL38:BL39"/>
    <mergeCell ref="AZ38:AZ39"/>
    <mergeCell ref="BA38:BA39"/>
    <mergeCell ref="BB38:BB39"/>
    <mergeCell ref="AX38:AX39"/>
    <mergeCell ref="AY38:AY39"/>
    <mergeCell ref="A53:C53"/>
    <mergeCell ref="A54:C54"/>
    <mergeCell ref="A55:C55"/>
    <mergeCell ref="A56:C56"/>
    <mergeCell ref="A47:C47"/>
    <mergeCell ref="A48:C48"/>
    <mergeCell ref="A49:C49"/>
    <mergeCell ref="A50:C50"/>
    <mergeCell ref="A51:C51"/>
    <mergeCell ref="A52:C52"/>
  </mergeCells>
  <phoneticPr fontId="2"/>
  <pageMargins left="0.23622047244094491" right="0.23622047244094491" top="0.74803149606299213" bottom="0.74803149606299213" header="0.31496062992125984" footer="0.31496062992125984"/>
  <pageSetup paperSize="9" fitToWidth="5" orientation="portrait" horizontalDpi="1200" verticalDpi="1200" r:id="rId1"/>
  <colBreaks count="4" manualBreakCount="4">
    <brk id="16" max="55" man="1"/>
    <brk id="29" max="55" man="1"/>
    <brk id="42" max="55" man="1"/>
    <brk id="55" max="5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0FF7-4C42-4888-9A32-826A5233ACF0}">
  <dimension ref="B1:AZ54"/>
  <sheetViews>
    <sheetView view="pageBreakPreview" topLeftCell="A7" zoomScale="115" zoomScaleNormal="130" zoomScaleSheetLayoutView="115" workbookViewId="0">
      <selection activeCell="X43" sqref="X43"/>
    </sheetView>
  </sheetViews>
  <sheetFormatPr defaultRowHeight="18" customHeight="1"/>
  <cols>
    <col min="1" max="1" width="3.375" style="253" customWidth="1"/>
    <col min="2" max="2" width="11.25" style="254" customWidth="1"/>
    <col min="3" max="3" width="2.75" style="253" customWidth="1"/>
    <col min="4" max="4" width="3" style="254" customWidth="1"/>
    <col min="5" max="16" width="4.375" style="254" customWidth="1"/>
    <col min="17" max="21" width="4" style="254" hidden="1" customWidth="1"/>
    <col min="22" max="22" width="3" style="254" customWidth="1"/>
    <col min="23" max="34" width="5.125" style="254" customWidth="1"/>
    <col min="35" max="39" width="5.375" style="254" hidden="1" customWidth="1"/>
    <col min="40" max="40" width="1.5" style="253" customWidth="1"/>
    <col min="41" max="52" width="5.125" style="254" hidden="1" customWidth="1"/>
    <col min="53" max="53" width="0" style="253" hidden="1" customWidth="1"/>
    <col min="54" max="16384" width="9" style="253"/>
  </cols>
  <sheetData>
    <row r="1" spans="2:52" ht="18" customHeight="1">
      <c r="B1" s="586" t="s">
        <v>493</v>
      </c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</row>
    <row r="2" spans="2:52" ht="18" customHeight="1" thickBot="1">
      <c r="B2" s="254" t="s">
        <v>490</v>
      </c>
      <c r="E2" s="666" t="s">
        <v>387</v>
      </c>
      <c r="F2" s="666"/>
      <c r="G2" s="415">
        <v>25000</v>
      </c>
      <c r="H2" s="416"/>
      <c r="W2" s="586" t="s">
        <v>491</v>
      </c>
      <c r="X2" s="586"/>
      <c r="Y2" s="415">
        <v>30000</v>
      </c>
      <c r="AO2" s="667" t="s">
        <v>387</v>
      </c>
      <c r="AP2" s="667"/>
      <c r="AQ2" s="282">
        <v>40000</v>
      </c>
    </row>
    <row r="3" spans="2:52" ht="18" customHeight="1" thickBot="1">
      <c r="B3" s="668"/>
      <c r="C3" s="669"/>
      <c r="D3" s="670"/>
      <c r="E3" s="355" t="s">
        <v>351</v>
      </c>
      <c r="F3" s="355" t="s">
        <v>23</v>
      </c>
      <c r="G3" s="355" t="s">
        <v>68</v>
      </c>
      <c r="H3" s="355" t="s">
        <v>69</v>
      </c>
      <c r="I3" s="355" t="s">
        <v>15</v>
      </c>
      <c r="J3" s="355" t="s">
        <v>16</v>
      </c>
      <c r="K3" s="355" t="s">
        <v>17</v>
      </c>
      <c r="L3" s="355" t="s">
        <v>18</v>
      </c>
      <c r="M3" s="355" t="s">
        <v>19</v>
      </c>
      <c r="N3" s="355" t="s">
        <v>20</v>
      </c>
      <c r="O3" s="355" t="s">
        <v>21</v>
      </c>
      <c r="P3" s="356" t="s">
        <v>22</v>
      </c>
      <c r="Q3" s="285"/>
      <c r="R3" s="285"/>
      <c r="S3" s="285"/>
      <c r="T3" s="285"/>
      <c r="U3" s="285"/>
      <c r="V3" s="285"/>
      <c r="W3" s="286" t="s">
        <v>351</v>
      </c>
      <c r="X3" s="283" t="s">
        <v>23</v>
      </c>
      <c r="Y3" s="283" t="s">
        <v>68</v>
      </c>
      <c r="Z3" s="283" t="s">
        <v>69</v>
      </c>
      <c r="AA3" s="283" t="s">
        <v>15</v>
      </c>
      <c r="AB3" s="283" t="s">
        <v>16</v>
      </c>
      <c r="AC3" s="283" t="s">
        <v>17</v>
      </c>
      <c r="AD3" s="283" t="s">
        <v>18</v>
      </c>
      <c r="AE3" s="283" t="s">
        <v>19</v>
      </c>
      <c r="AF3" s="283" t="s">
        <v>20</v>
      </c>
      <c r="AG3" s="283" t="s">
        <v>21</v>
      </c>
      <c r="AH3" s="284" t="s">
        <v>22</v>
      </c>
      <c r="AI3" s="285"/>
      <c r="AJ3" s="285"/>
      <c r="AK3" s="285"/>
      <c r="AL3" s="285"/>
      <c r="AM3" s="285"/>
      <c r="AO3" s="286" t="s">
        <v>351</v>
      </c>
      <c r="AP3" s="283" t="s">
        <v>23</v>
      </c>
      <c r="AQ3" s="283" t="s">
        <v>68</v>
      </c>
      <c r="AR3" s="283" t="s">
        <v>69</v>
      </c>
      <c r="AS3" s="283" t="s">
        <v>15</v>
      </c>
      <c r="AT3" s="283" t="s">
        <v>16</v>
      </c>
      <c r="AU3" s="283" t="s">
        <v>17</v>
      </c>
      <c r="AV3" s="283" t="s">
        <v>18</v>
      </c>
      <c r="AW3" s="283" t="s">
        <v>19</v>
      </c>
      <c r="AX3" s="283" t="s">
        <v>20</v>
      </c>
      <c r="AY3" s="283" t="s">
        <v>21</v>
      </c>
      <c r="AZ3" s="284" t="s">
        <v>22</v>
      </c>
    </row>
    <row r="4" spans="2:52" s="344" customFormat="1" ht="9" customHeight="1" thickTop="1" thickBot="1">
      <c r="B4" s="599" t="s">
        <v>470</v>
      </c>
      <c r="C4" s="600"/>
      <c r="D4" s="665"/>
      <c r="E4" s="360">
        <v>22</v>
      </c>
      <c r="F4" s="360">
        <v>20</v>
      </c>
      <c r="G4" s="360">
        <v>23</v>
      </c>
      <c r="H4" s="360">
        <v>22</v>
      </c>
      <c r="I4" s="360">
        <v>23</v>
      </c>
      <c r="J4" s="360">
        <v>22</v>
      </c>
      <c r="K4" s="360">
        <v>23</v>
      </c>
      <c r="L4" s="360">
        <v>22</v>
      </c>
      <c r="M4" s="360">
        <v>22</v>
      </c>
      <c r="N4" s="360">
        <v>23</v>
      </c>
      <c r="O4" s="360">
        <v>22</v>
      </c>
      <c r="P4" s="361">
        <v>22</v>
      </c>
      <c r="Q4" s="362"/>
      <c r="R4" s="362"/>
      <c r="S4" s="362"/>
      <c r="T4" s="362"/>
      <c r="U4" s="362"/>
      <c r="V4" s="362"/>
      <c r="W4" s="393">
        <v>22</v>
      </c>
      <c r="X4" s="360">
        <v>20</v>
      </c>
      <c r="Y4" s="360">
        <v>23</v>
      </c>
      <c r="Z4" s="360">
        <v>22</v>
      </c>
      <c r="AA4" s="360">
        <v>23</v>
      </c>
      <c r="AB4" s="360">
        <v>22</v>
      </c>
      <c r="AC4" s="360">
        <v>23</v>
      </c>
      <c r="AD4" s="360">
        <v>22</v>
      </c>
      <c r="AE4" s="360">
        <v>22</v>
      </c>
      <c r="AF4" s="360">
        <v>23</v>
      </c>
      <c r="AG4" s="360">
        <v>22</v>
      </c>
      <c r="AH4" s="361">
        <v>22</v>
      </c>
      <c r="AI4" s="362"/>
      <c r="AJ4" s="362"/>
      <c r="AK4" s="362"/>
      <c r="AL4" s="362"/>
      <c r="AM4" s="362"/>
      <c r="AO4" s="363"/>
      <c r="AP4" s="359"/>
      <c r="AQ4" s="359"/>
      <c r="AR4" s="359"/>
      <c r="AS4" s="359"/>
      <c r="AT4" s="359"/>
      <c r="AU4" s="359"/>
      <c r="AV4" s="359"/>
      <c r="AW4" s="359"/>
      <c r="AX4" s="359"/>
      <c r="AY4" s="359"/>
      <c r="AZ4" s="364"/>
    </row>
    <row r="5" spans="2:52" s="331" customFormat="1" ht="9" customHeight="1" thickTop="1" thickBot="1">
      <c r="B5" s="672" t="s">
        <v>356</v>
      </c>
      <c r="C5" s="673"/>
      <c r="D5" s="673"/>
      <c r="E5" s="406">
        <v>0.8</v>
      </c>
      <c r="F5" s="406">
        <v>0.8</v>
      </c>
      <c r="G5" s="406">
        <v>0.8</v>
      </c>
      <c r="H5" s="406">
        <v>0.8</v>
      </c>
      <c r="I5" s="406">
        <v>0.8</v>
      </c>
      <c r="J5" s="406">
        <v>0.8</v>
      </c>
      <c r="K5" s="406">
        <v>0.8</v>
      </c>
      <c r="L5" s="406">
        <v>0.8</v>
      </c>
      <c r="M5" s="406">
        <v>0.8</v>
      </c>
      <c r="N5" s="406">
        <v>0.8</v>
      </c>
      <c r="O5" s="406">
        <v>0.8</v>
      </c>
      <c r="P5" s="407">
        <v>0.8</v>
      </c>
      <c r="W5" s="405">
        <v>0.8</v>
      </c>
      <c r="X5" s="403">
        <v>0.8</v>
      </c>
      <c r="Y5" s="403">
        <v>0.8</v>
      </c>
      <c r="Z5" s="403">
        <v>0.8</v>
      </c>
      <c r="AA5" s="403">
        <v>0.8</v>
      </c>
      <c r="AB5" s="403">
        <v>0.8</v>
      </c>
      <c r="AC5" s="403">
        <v>0.8</v>
      </c>
      <c r="AD5" s="403">
        <v>0.8</v>
      </c>
      <c r="AE5" s="403">
        <v>0.8</v>
      </c>
      <c r="AF5" s="403">
        <v>0.8</v>
      </c>
      <c r="AG5" s="403">
        <v>0.8</v>
      </c>
      <c r="AH5" s="404">
        <v>0.8</v>
      </c>
      <c r="AO5" s="334">
        <v>0.8</v>
      </c>
      <c r="AP5" s="333">
        <v>0.8</v>
      </c>
      <c r="AQ5" s="333">
        <v>0.8</v>
      </c>
      <c r="AR5" s="333">
        <v>0.8</v>
      </c>
      <c r="AS5" s="333">
        <v>0.8</v>
      </c>
      <c r="AT5" s="333">
        <v>0.8</v>
      </c>
      <c r="AU5" s="333">
        <v>0.8</v>
      </c>
      <c r="AV5" s="333">
        <v>0.8</v>
      </c>
      <c r="AW5" s="333">
        <v>0.8</v>
      </c>
      <c r="AX5" s="333">
        <v>0.8</v>
      </c>
      <c r="AY5" s="333">
        <v>0.8</v>
      </c>
      <c r="AZ5" s="335">
        <v>0.8</v>
      </c>
    </row>
    <row r="6" spans="2:52" s="344" customFormat="1" ht="9.75" customHeight="1" thickTop="1">
      <c r="B6" s="605" t="s">
        <v>456</v>
      </c>
      <c r="C6" s="606"/>
      <c r="D6" s="606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6"/>
      <c r="Q6" s="331"/>
      <c r="R6" s="331"/>
      <c r="S6" s="331"/>
      <c r="T6" s="331"/>
      <c r="U6" s="331"/>
      <c r="V6" s="331"/>
      <c r="W6" s="338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6"/>
      <c r="AI6" s="331"/>
      <c r="AJ6" s="331"/>
      <c r="AK6" s="331"/>
      <c r="AL6" s="331"/>
      <c r="AM6" s="331"/>
      <c r="AO6" s="333">
        <v>18</v>
      </c>
      <c r="AP6" s="333">
        <v>18</v>
      </c>
      <c r="AQ6" s="333">
        <v>18</v>
      </c>
      <c r="AR6" s="333">
        <v>20</v>
      </c>
      <c r="AS6" s="333">
        <v>20</v>
      </c>
      <c r="AT6" s="333">
        <v>20</v>
      </c>
      <c r="AU6" s="333">
        <v>20</v>
      </c>
      <c r="AV6" s="333">
        <v>20</v>
      </c>
      <c r="AW6" s="333">
        <v>20</v>
      </c>
      <c r="AX6" s="333">
        <v>20</v>
      </c>
      <c r="AY6" s="333">
        <v>20</v>
      </c>
      <c r="AZ6" s="335">
        <v>20</v>
      </c>
    </row>
    <row r="7" spans="2:52" s="344" customFormat="1" ht="9.75" customHeight="1" thickBot="1">
      <c r="B7" s="608" t="s">
        <v>457</v>
      </c>
      <c r="C7" s="609"/>
      <c r="D7" s="609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4"/>
      <c r="Q7" s="331"/>
      <c r="R7" s="331"/>
      <c r="S7" s="331"/>
      <c r="T7" s="331"/>
      <c r="U7" s="331" t="s">
        <v>492</v>
      </c>
      <c r="V7" s="331"/>
      <c r="W7" s="352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4"/>
      <c r="AI7" s="331"/>
      <c r="AJ7" s="331"/>
      <c r="AK7" s="331"/>
      <c r="AL7" s="331"/>
      <c r="AM7" s="331"/>
      <c r="AO7" s="333">
        <v>12</v>
      </c>
      <c r="AP7" s="333">
        <v>12</v>
      </c>
      <c r="AQ7" s="333">
        <v>14</v>
      </c>
      <c r="AR7" s="333">
        <v>14</v>
      </c>
      <c r="AS7" s="333">
        <v>14</v>
      </c>
      <c r="AT7" s="333">
        <v>14</v>
      </c>
      <c r="AU7" s="333">
        <v>16</v>
      </c>
      <c r="AV7" s="333">
        <v>16</v>
      </c>
      <c r="AW7" s="333">
        <v>16</v>
      </c>
      <c r="AX7" s="333">
        <v>16</v>
      </c>
      <c r="AY7" s="333">
        <v>18</v>
      </c>
      <c r="AZ7" s="335">
        <v>18</v>
      </c>
    </row>
    <row r="8" spans="2:52" s="344" customFormat="1" ht="9.75" customHeight="1" thickTop="1" thickBot="1">
      <c r="B8" s="620" t="s">
        <v>476</v>
      </c>
      <c r="C8" s="621"/>
      <c r="D8" s="675"/>
      <c r="E8" s="357">
        <f>SUM(E6:E7)</f>
        <v>0</v>
      </c>
      <c r="F8" s="357">
        <f t="shared" ref="F8:P8" si="0">SUM(F6:F7)</f>
        <v>0</v>
      </c>
      <c r="G8" s="357">
        <f t="shared" si="0"/>
        <v>0</v>
      </c>
      <c r="H8" s="357">
        <f t="shared" si="0"/>
        <v>0</v>
      </c>
      <c r="I8" s="357">
        <f t="shared" si="0"/>
        <v>0</v>
      </c>
      <c r="J8" s="357">
        <f t="shared" si="0"/>
        <v>0</v>
      </c>
      <c r="K8" s="357">
        <f t="shared" si="0"/>
        <v>0</v>
      </c>
      <c r="L8" s="357">
        <f t="shared" si="0"/>
        <v>0</v>
      </c>
      <c r="M8" s="357">
        <f t="shared" si="0"/>
        <v>0</v>
      </c>
      <c r="N8" s="357">
        <f t="shared" si="0"/>
        <v>0</v>
      </c>
      <c r="O8" s="357">
        <f t="shared" si="0"/>
        <v>0</v>
      </c>
      <c r="P8" s="358">
        <f t="shared" si="0"/>
        <v>0</v>
      </c>
      <c r="Q8" s="331"/>
      <c r="R8" s="331"/>
      <c r="S8" s="331"/>
      <c r="T8" s="331"/>
      <c r="U8" s="331"/>
      <c r="V8" s="331"/>
      <c r="W8" s="369">
        <f>SUM(W6:W7)</f>
        <v>0</v>
      </c>
      <c r="X8" s="357">
        <f t="shared" ref="X8:AH8" si="1">SUM(X6:X7)</f>
        <v>0</v>
      </c>
      <c r="Y8" s="357">
        <f t="shared" si="1"/>
        <v>0</v>
      </c>
      <c r="Z8" s="357">
        <f t="shared" si="1"/>
        <v>0</v>
      </c>
      <c r="AA8" s="357">
        <f t="shared" si="1"/>
        <v>0</v>
      </c>
      <c r="AB8" s="357">
        <f t="shared" si="1"/>
        <v>0</v>
      </c>
      <c r="AC8" s="357">
        <f t="shared" si="1"/>
        <v>0</v>
      </c>
      <c r="AD8" s="357">
        <f t="shared" si="1"/>
        <v>0</v>
      </c>
      <c r="AE8" s="357">
        <f t="shared" si="1"/>
        <v>0</v>
      </c>
      <c r="AF8" s="357">
        <f t="shared" si="1"/>
        <v>0</v>
      </c>
      <c r="AG8" s="357">
        <f t="shared" si="1"/>
        <v>0</v>
      </c>
      <c r="AH8" s="358">
        <f t="shared" si="1"/>
        <v>0</v>
      </c>
      <c r="AI8" s="331"/>
      <c r="AJ8" s="331"/>
      <c r="AK8" s="331"/>
      <c r="AL8" s="331"/>
      <c r="AM8" s="331"/>
      <c r="AO8" s="347"/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5"/>
    </row>
    <row r="9" spans="2:52" s="344" customFormat="1" ht="9.75" customHeight="1">
      <c r="B9" s="623" t="s">
        <v>458</v>
      </c>
      <c r="C9" s="624"/>
      <c r="D9" s="676"/>
      <c r="E9" s="345"/>
      <c r="F9" s="345"/>
      <c r="G9" s="345"/>
      <c r="H9" s="345">
        <v>6</v>
      </c>
      <c r="I9" s="345">
        <v>8</v>
      </c>
      <c r="J9" s="345">
        <v>9</v>
      </c>
      <c r="K9" s="345">
        <v>10</v>
      </c>
      <c r="L9" s="345">
        <v>11</v>
      </c>
      <c r="M9" s="345">
        <v>12</v>
      </c>
      <c r="N9" s="345">
        <v>13</v>
      </c>
      <c r="O9" s="345">
        <v>14</v>
      </c>
      <c r="P9" s="346">
        <v>15</v>
      </c>
      <c r="Q9" s="331"/>
      <c r="R9" s="331"/>
      <c r="S9" s="331"/>
      <c r="T9" s="331"/>
      <c r="U9" s="331"/>
      <c r="V9" s="331"/>
      <c r="W9" s="338">
        <v>15</v>
      </c>
      <c r="X9" s="345">
        <v>15</v>
      </c>
      <c r="Y9" s="345">
        <v>15</v>
      </c>
      <c r="Z9" s="345">
        <v>15</v>
      </c>
      <c r="AA9" s="345">
        <v>15</v>
      </c>
      <c r="AB9" s="345">
        <v>15</v>
      </c>
      <c r="AC9" s="345">
        <v>15</v>
      </c>
      <c r="AD9" s="345">
        <v>15</v>
      </c>
      <c r="AE9" s="345">
        <v>15</v>
      </c>
      <c r="AF9" s="345">
        <v>15</v>
      </c>
      <c r="AG9" s="345">
        <v>15</v>
      </c>
      <c r="AH9" s="346">
        <v>15</v>
      </c>
      <c r="AI9" s="331"/>
      <c r="AJ9" s="331"/>
      <c r="AK9" s="331"/>
      <c r="AL9" s="331"/>
      <c r="AM9" s="331"/>
      <c r="AO9" s="347"/>
      <c r="AP9" s="333"/>
      <c r="AQ9" s="333"/>
      <c r="AR9" s="333"/>
      <c r="AS9" s="333"/>
      <c r="AT9" s="333"/>
      <c r="AU9" s="333"/>
      <c r="AV9" s="333"/>
      <c r="AW9" s="333"/>
      <c r="AX9" s="333"/>
      <c r="AY9" s="333"/>
      <c r="AZ9" s="335"/>
    </row>
    <row r="10" spans="2:52" s="344" customFormat="1" ht="9.75" customHeight="1">
      <c r="B10" s="626" t="s">
        <v>459</v>
      </c>
      <c r="C10" s="627"/>
      <c r="D10" s="677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5"/>
      <c r="Q10" s="331"/>
      <c r="R10" s="331"/>
      <c r="S10" s="331"/>
      <c r="T10" s="331"/>
      <c r="U10" s="331"/>
      <c r="V10" s="331"/>
      <c r="W10" s="334">
        <v>2</v>
      </c>
      <c r="X10" s="333">
        <v>3</v>
      </c>
      <c r="Y10" s="333">
        <v>4</v>
      </c>
      <c r="Z10" s="333">
        <v>5</v>
      </c>
      <c r="AA10" s="333">
        <v>6</v>
      </c>
      <c r="AB10" s="333">
        <v>7</v>
      </c>
      <c r="AC10" s="333">
        <v>8</v>
      </c>
      <c r="AD10" s="333">
        <v>9</v>
      </c>
      <c r="AE10" s="333">
        <v>10</v>
      </c>
      <c r="AF10" s="333">
        <v>11</v>
      </c>
      <c r="AG10" s="333">
        <v>12</v>
      </c>
      <c r="AH10" s="335">
        <v>13</v>
      </c>
      <c r="AI10" s="331"/>
      <c r="AJ10" s="331"/>
      <c r="AK10" s="331"/>
      <c r="AL10" s="331"/>
      <c r="AM10" s="331"/>
      <c r="AO10" s="347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5"/>
    </row>
    <row r="11" spans="2:52" s="344" customFormat="1" ht="9.75" customHeight="1" thickBot="1">
      <c r="B11" s="620" t="s">
        <v>477</v>
      </c>
      <c r="C11" s="621"/>
      <c r="D11" s="675"/>
      <c r="E11" s="357">
        <f>SUM(E9:E10)</f>
        <v>0</v>
      </c>
      <c r="F11" s="357">
        <f t="shared" ref="F11:P11" si="2">SUM(F9:F10)</f>
        <v>0</v>
      </c>
      <c r="G11" s="357">
        <f t="shared" si="2"/>
        <v>0</v>
      </c>
      <c r="H11" s="357">
        <f t="shared" si="2"/>
        <v>6</v>
      </c>
      <c r="I11" s="357">
        <f t="shared" si="2"/>
        <v>8</v>
      </c>
      <c r="J11" s="357">
        <f t="shared" si="2"/>
        <v>9</v>
      </c>
      <c r="K11" s="357">
        <f t="shared" si="2"/>
        <v>10</v>
      </c>
      <c r="L11" s="357">
        <f t="shared" si="2"/>
        <v>11</v>
      </c>
      <c r="M11" s="357">
        <f t="shared" si="2"/>
        <v>12</v>
      </c>
      <c r="N11" s="357">
        <f t="shared" si="2"/>
        <v>13</v>
      </c>
      <c r="O11" s="357">
        <f t="shared" si="2"/>
        <v>14</v>
      </c>
      <c r="P11" s="358">
        <f t="shared" si="2"/>
        <v>15</v>
      </c>
      <c r="Q11" s="331"/>
      <c r="R11" s="331"/>
      <c r="S11" s="331"/>
      <c r="T11" s="331"/>
      <c r="U11" s="331"/>
      <c r="V11" s="331"/>
      <c r="W11" s="352">
        <f>SUM(W9:W10)</f>
        <v>17</v>
      </c>
      <c r="X11" s="353">
        <f t="shared" ref="X11:AH11" si="3">SUM(X9:X10)</f>
        <v>18</v>
      </c>
      <c r="Y11" s="353">
        <f t="shared" si="3"/>
        <v>19</v>
      </c>
      <c r="Z11" s="353">
        <f t="shared" si="3"/>
        <v>20</v>
      </c>
      <c r="AA11" s="353">
        <f t="shared" si="3"/>
        <v>21</v>
      </c>
      <c r="AB11" s="353">
        <f t="shared" si="3"/>
        <v>22</v>
      </c>
      <c r="AC11" s="353">
        <f t="shared" si="3"/>
        <v>23</v>
      </c>
      <c r="AD11" s="353">
        <f t="shared" si="3"/>
        <v>24</v>
      </c>
      <c r="AE11" s="353">
        <f t="shared" si="3"/>
        <v>25</v>
      </c>
      <c r="AF11" s="353">
        <f t="shared" si="3"/>
        <v>26</v>
      </c>
      <c r="AG11" s="353">
        <f t="shared" si="3"/>
        <v>27</v>
      </c>
      <c r="AH11" s="354">
        <f t="shared" si="3"/>
        <v>28</v>
      </c>
      <c r="AI11" s="331"/>
      <c r="AJ11" s="331"/>
      <c r="AK11" s="331"/>
      <c r="AL11" s="331"/>
      <c r="AM11" s="331"/>
      <c r="AO11" s="347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5"/>
    </row>
    <row r="12" spans="2:52" s="344" customFormat="1" ht="9.75" customHeight="1">
      <c r="B12" s="602" t="s">
        <v>478</v>
      </c>
      <c r="C12" s="603"/>
      <c r="D12" s="603"/>
      <c r="E12" s="328">
        <f>E8:F8+E11</f>
        <v>0</v>
      </c>
      <c r="F12" s="328">
        <f t="shared" ref="F12:P12" si="4">F8:G8+F11</f>
        <v>0</v>
      </c>
      <c r="G12" s="328">
        <f t="shared" si="4"/>
        <v>0</v>
      </c>
      <c r="H12" s="328">
        <f t="shared" si="4"/>
        <v>6</v>
      </c>
      <c r="I12" s="328">
        <f t="shared" si="4"/>
        <v>8</v>
      </c>
      <c r="J12" s="328">
        <f t="shared" si="4"/>
        <v>9</v>
      </c>
      <c r="K12" s="328">
        <f t="shared" si="4"/>
        <v>10</v>
      </c>
      <c r="L12" s="328">
        <f t="shared" si="4"/>
        <v>11</v>
      </c>
      <c r="M12" s="328">
        <f t="shared" si="4"/>
        <v>12</v>
      </c>
      <c r="N12" s="328">
        <f t="shared" si="4"/>
        <v>13</v>
      </c>
      <c r="O12" s="328">
        <f t="shared" si="4"/>
        <v>14</v>
      </c>
      <c r="P12" s="329">
        <f t="shared" si="4"/>
        <v>15</v>
      </c>
      <c r="Q12" s="330"/>
      <c r="R12" s="330"/>
      <c r="S12" s="330"/>
      <c r="T12" s="330"/>
      <c r="U12" s="330"/>
      <c r="V12" s="330"/>
      <c r="W12" s="394">
        <f>W8:X8+W11</f>
        <v>17</v>
      </c>
      <c r="X12" s="391">
        <f t="shared" ref="X12:AH12" si="5">X8:Y8+X11</f>
        <v>18</v>
      </c>
      <c r="Y12" s="391">
        <f t="shared" si="5"/>
        <v>19</v>
      </c>
      <c r="Z12" s="391">
        <f t="shared" si="5"/>
        <v>20</v>
      </c>
      <c r="AA12" s="391">
        <f t="shared" si="5"/>
        <v>21</v>
      </c>
      <c r="AB12" s="391">
        <f t="shared" si="5"/>
        <v>22</v>
      </c>
      <c r="AC12" s="391">
        <f t="shared" si="5"/>
        <v>23</v>
      </c>
      <c r="AD12" s="391">
        <f t="shared" si="5"/>
        <v>24</v>
      </c>
      <c r="AE12" s="391">
        <f t="shared" si="5"/>
        <v>25</v>
      </c>
      <c r="AF12" s="391">
        <f t="shared" si="5"/>
        <v>26</v>
      </c>
      <c r="AG12" s="391">
        <f t="shared" si="5"/>
        <v>27</v>
      </c>
      <c r="AH12" s="392">
        <f t="shared" si="5"/>
        <v>28</v>
      </c>
      <c r="AI12" s="330"/>
      <c r="AJ12" s="330"/>
      <c r="AK12" s="330"/>
      <c r="AL12" s="330"/>
      <c r="AM12" s="330"/>
      <c r="AO12" s="332">
        <f t="shared" ref="AO12:AZ12" si="6">$AQ$2*(AO6+AO7)</f>
        <v>1200000</v>
      </c>
      <c r="AP12" s="328">
        <f t="shared" si="6"/>
        <v>1200000</v>
      </c>
      <c r="AQ12" s="328">
        <f t="shared" si="6"/>
        <v>1280000</v>
      </c>
      <c r="AR12" s="328">
        <f t="shared" si="6"/>
        <v>1360000</v>
      </c>
      <c r="AS12" s="328">
        <f t="shared" si="6"/>
        <v>1360000</v>
      </c>
      <c r="AT12" s="328">
        <f t="shared" si="6"/>
        <v>1360000</v>
      </c>
      <c r="AU12" s="328">
        <f t="shared" si="6"/>
        <v>1440000</v>
      </c>
      <c r="AV12" s="328">
        <f t="shared" si="6"/>
        <v>1440000</v>
      </c>
      <c r="AW12" s="328">
        <f t="shared" si="6"/>
        <v>1440000</v>
      </c>
      <c r="AX12" s="328">
        <f t="shared" si="6"/>
        <v>1440000</v>
      </c>
      <c r="AY12" s="328">
        <f t="shared" si="6"/>
        <v>1520000</v>
      </c>
      <c r="AZ12" s="329">
        <f t="shared" si="6"/>
        <v>1520000</v>
      </c>
    </row>
    <row r="13" spans="2:52" ht="5.25" customHeight="1">
      <c r="B13" s="611"/>
      <c r="C13" s="612"/>
      <c r="D13" s="612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6"/>
      <c r="W13" s="327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6"/>
      <c r="AO13" s="327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6"/>
    </row>
    <row r="14" spans="2:52" ht="9.75" customHeight="1">
      <c r="B14" s="614" t="s">
        <v>464</v>
      </c>
      <c r="C14" s="615"/>
      <c r="D14" s="615"/>
      <c r="E14" s="255">
        <f t="shared" ref="E14:P14" si="7">ROUNDDOWN(E6*E23*E4*E5,-2)</f>
        <v>0</v>
      </c>
      <c r="F14" s="255">
        <f t="shared" si="7"/>
        <v>0</v>
      </c>
      <c r="G14" s="255">
        <f t="shared" si="7"/>
        <v>0</v>
      </c>
      <c r="H14" s="255">
        <f t="shared" si="7"/>
        <v>0</v>
      </c>
      <c r="I14" s="255">
        <f t="shared" si="7"/>
        <v>0</v>
      </c>
      <c r="J14" s="255">
        <f t="shared" si="7"/>
        <v>0</v>
      </c>
      <c r="K14" s="255">
        <f t="shared" si="7"/>
        <v>0</v>
      </c>
      <c r="L14" s="255">
        <f t="shared" si="7"/>
        <v>0</v>
      </c>
      <c r="M14" s="255">
        <f t="shared" si="7"/>
        <v>0</v>
      </c>
      <c r="N14" s="255">
        <f t="shared" si="7"/>
        <v>0</v>
      </c>
      <c r="O14" s="255">
        <f t="shared" si="7"/>
        <v>0</v>
      </c>
      <c r="P14" s="293">
        <f t="shared" si="7"/>
        <v>0</v>
      </c>
      <c r="Q14" s="282"/>
      <c r="R14" s="282"/>
      <c r="S14" s="282"/>
      <c r="T14" s="282"/>
      <c r="U14" s="282" t="s">
        <v>492</v>
      </c>
      <c r="V14" s="282"/>
      <c r="W14" s="294">
        <f t="shared" ref="W14:AH14" si="8">ROUNDDOWN(W6*W23*W4*W5,-2)</f>
        <v>0</v>
      </c>
      <c r="X14" s="255">
        <f t="shared" si="8"/>
        <v>0</v>
      </c>
      <c r="Y14" s="255">
        <f t="shared" si="8"/>
        <v>0</v>
      </c>
      <c r="Z14" s="255">
        <f t="shared" si="8"/>
        <v>0</v>
      </c>
      <c r="AA14" s="255">
        <f t="shared" si="8"/>
        <v>0</v>
      </c>
      <c r="AB14" s="255">
        <f t="shared" si="8"/>
        <v>0</v>
      </c>
      <c r="AC14" s="255">
        <f t="shared" si="8"/>
        <v>0</v>
      </c>
      <c r="AD14" s="255">
        <f t="shared" si="8"/>
        <v>0</v>
      </c>
      <c r="AE14" s="255">
        <f t="shared" si="8"/>
        <v>0</v>
      </c>
      <c r="AF14" s="255">
        <f t="shared" si="8"/>
        <v>0</v>
      </c>
      <c r="AG14" s="255">
        <f t="shared" si="8"/>
        <v>0</v>
      </c>
      <c r="AH14" s="293">
        <f t="shared" si="8"/>
        <v>0</v>
      </c>
      <c r="AI14" s="282"/>
      <c r="AJ14" s="282"/>
      <c r="AK14" s="282"/>
      <c r="AL14" s="282"/>
      <c r="AM14" s="282"/>
      <c r="AO14" s="294">
        <f t="shared" ref="AO14:AZ14" si="9">ROUND((AO6*(AO23+AO27+AO28*0.6)*23*AO5),-2)</f>
        <v>2352800</v>
      </c>
      <c r="AP14" s="255">
        <f t="shared" si="9"/>
        <v>2352800</v>
      </c>
      <c r="AQ14" s="255">
        <f t="shared" si="9"/>
        <v>2352800</v>
      </c>
      <c r="AR14" s="255">
        <f t="shared" si="9"/>
        <v>2614300</v>
      </c>
      <c r="AS14" s="255">
        <f t="shared" si="9"/>
        <v>2614300</v>
      </c>
      <c r="AT14" s="255">
        <f t="shared" si="9"/>
        <v>2614300</v>
      </c>
      <c r="AU14" s="255">
        <f t="shared" si="9"/>
        <v>2614300</v>
      </c>
      <c r="AV14" s="255">
        <f t="shared" si="9"/>
        <v>2614300</v>
      </c>
      <c r="AW14" s="255">
        <f t="shared" si="9"/>
        <v>2614300</v>
      </c>
      <c r="AX14" s="255">
        <f t="shared" si="9"/>
        <v>2614300</v>
      </c>
      <c r="AY14" s="255">
        <f t="shared" si="9"/>
        <v>2614300</v>
      </c>
      <c r="AZ14" s="293">
        <f t="shared" si="9"/>
        <v>2614300</v>
      </c>
    </row>
    <row r="15" spans="2:52" ht="9.75" customHeight="1">
      <c r="B15" s="614" t="s">
        <v>465</v>
      </c>
      <c r="C15" s="615"/>
      <c r="D15" s="615"/>
      <c r="E15" s="255">
        <f>ROUNDDOWN(E7*E24*E4*E29,-2)</f>
        <v>0</v>
      </c>
      <c r="F15" s="255">
        <f t="shared" ref="F15:P15" si="10">F7*F24*F4*F29</f>
        <v>0</v>
      </c>
      <c r="G15" s="255">
        <f t="shared" si="10"/>
        <v>0</v>
      </c>
      <c r="H15" s="255">
        <f t="shared" si="10"/>
        <v>0</v>
      </c>
      <c r="I15" s="255">
        <f t="shared" si="10"/>
        <v>0</v>
      </c>
      <c r="J15" s="255">
        <f t="shared" si="10"/>
        <v>0</v>
      </c>
      <c r="K15" s="255">
        <f t="shared" si="10"/>
        <v>0</v>
      </c>
      <c r="L15" s="255">
        <f t="shared" si="10"/>
        <v>0</v>
      </c>
      <c r="M15" s="255">
        <f t="shared" si="10"/>
        <v>0</v>
      </c>
      <c r="N15" s="255">
        <f t="shared" si="10"/>
        <v>0</v>
      </c>
      <c r="O15" s="255">
        <f t="shared" si="10"/>
        <v>0</v>
      </c>
      <c r="P15" s="293">
        <f t="shared" si="10"/>
        <v>0</v>
      </c>
      <c r="Q15" s="282"/>
      <c r="R15" s="282"/>
      <c r="S15" s="282"/>
      <c r="T15" s="282"/>
      <c r="U15" s="282"/>
      <c r="V15" s="282"/>
      <c r="W15" s="294">
        <f>ROUNDDOWN(W7*W24*W4*W29,-2)</f>
        <v>0</v>
      </c>
      <c r="X15" s="255">
        <f t="shared" ref="X15:AH15" si="11">X7*X24*X4*X29</f>
        <v>0</v>
      </c>
      <c r="Y15" s="255">
        <f t="shared" si="11"/>
        <v>0</v>
      </c>
      <c r="Z15" s="255">
        <f t="shared" si="11"/>
        <v>0</v>
      </c>
      <c r="AA15" s="255">
        <f t="shared" si="11"/>
        <v>0</v>
      </c>
      <c r="AB15" s="255">
        <f t="shared" si="11"/>
        <v>0</v>
      </c>
      <c r="AC15" s="255">
        <f t="shared" si="11"/>
        <v>0</v>
      </c>
      <c r="AD15" s="255">
        <f t="shared" si="11"/>
        <v>0</v>
      </c>
      <c r="AE15" s="255">
        <f t="shared" si="11"/>
        <v>0</v>
      </c>
      <c r="AF15" s="255">
        <f t="shared" si="11"/>
        <v>0</v>
      </c>
      <c r="AG15" s="255">
        <f t="shared" si="11"/>
        <v>0</v>
      </c>
      <c r="AH15" s="293">
        <f t="shared" si="11"/>
        <v>0</v>
      </c>
      <c r="AI15" s="282"/>
      <c r="AJ15" s="282"/>
      <c r="AK15" s="282"/>
      <c r="AL15" s="282"/>
      <c r="AM15" s="282"/>
      <c r="AO15" s="294">
        <f t="shared" ref="AO15:AZ15" si="12">ROUND((AO7*(AO27+AO24+AO28*0.6)*23*AO29),-2)</f>
        <v>1677500</v>
      </c>
      <c r="AP15" s="255">
        <f t="shared" si="12"/>
        <v>1677500</v>
      </c>
      <c r="AQ15" s="255">
        <f t="shared" si="12"/>
        <v>1957100</v>
      </c>
      <c r="AR15" s="255">
        <f t="shared" si="12"/>
        <v>1957100</v>
      </c>
      <c r="AS15" s="255">
        <f t="shared" si="12"/>
        <v>1957100</v>
      </c>
      <c r="AT15" s="255">
        <f t="shared" si="12"/>
        <v>1957100</v>
      </c>
      <c r="AU15" s="255">
        <f t="shared" si="12"/>
        <v>2236700</v>
      </c>
      <c r="AV15" s="255">
        <f t="shared" si="12"/>
        <v>2236700</v>
      </c>
      <c r="AW15" s="255">
        <f t="shared" si="12"/>
        <v>2236700</v>
      </c>
      <c r="AX15" s="255">
        <f t="shared" si="12"/>
        <v>2236700</v>
      </c>
      <c r="AY15" s="255">
        <f t="shared" si="12"/>
        <v>2516300</v>
      </c>
      <c r="AZ15" s="293">
        <f t="shared" si="12"/>
        <v>2516300</v>
      </c>
    </row>
    <row r="16" spans="2:52" ht="9.75" customHeight="1">
      <c r="B16" s="617" t="s">
        <v>468</v>
      </c>
      <c r="C16" s="618"/>
      <c r="D16" s="671"/>
      <c r="E16" s="255">
        <f t="shared" ref="E16:P16" si="13">ROUNDDOWN(((E6+E7)*(E27+E28*0.8))*E4,-2)</f>
        <v>0</v>
      </c>
      <c r="F16" s="255">
        <f t="shared" si="13"/>
        <v>0</v>
      </c>
      <c r="G16" s="255">
        <f t="shared" si="13"/>
        <v>0</v>
      </c>
      <c r="H16" s="255">
        <f t="shared" si="13"/>
        <v>0</v>
      </c>
      <c r="I16" s="255">
        <f t="shared" si="13"/>
        <v>0</v>
      </c>
      <c r="J16" s="255">
        <f t="shared" si="13"/>
        <v>0</v>
      </c>
      <c r="K16" s="255">
        <f t="shared" si="13"/>
        <v>0</v>
      </c>
      <c r="L16" s="255">
        <f t="shared" si="13"/>
        <v>0</v>
      </c>
      <c r="M16" s="255">
        <f t="shared" si="13"/>
        <v>0</v>
      </c>
      <c r="N16" s="255">
        <f t="shared" si="13"/>
        <v>0</v>
      </c>
      <c r="O16" s="255">
        <f t="shared" si="13"/>
        <v>0</v>
      </c>
      <c r="P16" s="293">
        <f t="shared" si="13"/>
        <v>0</v>
      </c>
      <c r="Q16" s="282"/>
      <c r="R16" s="282"/>
      <c r="S16" s="282"/>
      <c r="T16" s="282"/>
      <c r="U16" s="282"/>
      <c r="V16" s="282"/>
      <c r="W16" s="294">
        <f t="shared" ref="W16:AH16" si="14">ROUNDDOWN(((W6+W7)*(W27+W28*0.8))*W4,-2)</f>
        <v>0</v>
      </c>
      <c r="X16" s="255">
        <f t="shared" si="14"/>
        <v>0</v>
      </c>
      <c r="Y16" s="255">
        <f t="shared" si="14"/>
        <v>0</v>
      </c>
      <c r="Z16" s="255">
        <f t="shared" si="14"/>
        <v>0</v>
      </c>
      <c r="AA16" s="255">
        <f t="shared" si="14"/>
        <v>0</v>
      </c>
      <c r="AB16" s="255">
        <f t="shared" si="14"/>
        <v>0</v>
      </c>
      <c r="AC16" s="255">
        <f t="shared" si="14"/>
        <v>0</v>
      </c>
      <c r="AD16" s="255">
        <f t="shared" si="14"/>
        <v>0</v>
      </c>
      <c r="AE16" s="255">
        <f t="shared" si="14"/>
        <v>0</v>
      </c>
      <c r="AF16" s="255">
        <f t="shared" si="14"/>
        <v>0</v>
      </c>
      <c r="AG16" s="255">
        <f t="shared" si="14"/>
        <v>0</v>
      </c>
      <c r="AH16" s="293">
        <f t="shared" si="14"/>
        <v>0</v>
      </c>
      <c r="AI16" s="282"/>
      <c r="AJ16" s="282"/>
      <c r="AK16" s="282"/>
      <c r="AL16" s="282"/>
      <c r="AM16" s="282"/>
      <c r="AO16" s="294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93"/>
    </row>
    <row r="17" spans="2:52" ht="9.75" customHeight="1">
      <c r="B17" s="614" t="s">
        <v>466</v>
      </c>
      <c r="C17" s="615"/>
      <c r="D17" s="615"/>
      <c r="E17" s="255">
        <f t="shared" ref="E17:P17" si="15">ROUNDDOWN(E9*E25*E4*E5,-2)</f>
        <v>0</v>
      </c>
      <c r="F17" s="255">
        <f t="shared" si="15"/>
        <v>0</v>
      </c>
      <c r="G17" s="255">
        <f t="shared" si="15"/>
        <v>0</v>
      </c>
      <c r="H17" s="255">
        <f t="shared" si="15"/>
        <v>853200</v>
      </c>
      <c r="I17" s="255">
        <f t="shared" si="15"/>
        <v>1189300</v>
      </c>
      <c r="J17" s="255">
        <f t="shared" si="15"/>
        <v>1279800</v>
      </c>
      <c r="K17" s="255">
        <f t="shared" si="15"/>
        <v>1486700</v>
      </c>
      <c r="L17" s="255">
        <f t="shared" si="15"/>
        <v>1564200</v>
      </c>
      <c r="M17" s="255">
        <f t="shared" si="15"/>
        <v>1706400</v>
      </c>
      <c r="N17" s="255">
        <f t="shared" si="15"/>
        <v>1932700</v>
      </c>
      <c r="O17" s="255">
        <f t="shared" si="15"/>
        <v>1990900</v>
      </c>
      <c r="P17" s="293">
        <f t="shared" si="15"/>
        <v>2133100</v>
      </c>
      <c r="Q17" s="282"/>
      <c r="R17" s="282"/>
      <c r="S17" s="282"/>
      <c r="T17" s="282"/>
      <c r="U17" s="282"/>
      <c r="V17" s="282"/>
      <c r="W17" s="294">
        <f t="shared" ref="W17:AH17" si="16">ROUNDDOWN(W9*W25*W4*W5,-2)</f>
        <v>2133100</v>
      </c>
      <c r="X17" s="255">
        <f t="shared" si="16"/>
        <v>1939200</v>
      </c>
      <c r="Y17" s="255">
        <f t="shared" si="16"/>
        <v>2230000</v>
      </c>
      <c r="Z17" s="255">
        <f t="shared" si="16"/>
        <v>2133100</v>
      </c>
      <c r="AA17" s="255">
        <f t="shared" si="16"/>
        <v>2230000</v>
      </c>
      <c r="AB17" s="255">
        <f t="shared" si="16"/>
        <v>2133100</v>
      </c>
      <c r="AC17" s="255">
        <f t="shared" si="16"/>
        <v>2230000</v>
      </c>
      <c r="AD17" s="255">
        <f t="shared" si="16"/>
        <v>2133100</v>
      </c>
      <c r="AE17" s="255">
        <f t="shared" si="16"/>
        <v>2133100</v>
      </c>
      <c r="AF17" s="255">
        <f t="shared" si="16"/>
        <v>2230000</v>
      </c>
      <c r="AG17" s="255">
        <f t="shared" si="16"/>
        <v>2133100</v>
      </c>
      <c r="AH17" s="293">
        <f t="shared" si="16"/>
        <v>2133100</v>
      </c>
      <c r="AI17" s="282"/>
      <c r="AJ17" s="282"/>
      <c r="AK17" s="282"/>
      <c r="AL17" s="282"/>
      <c r="AM17" s="282"/>
      <c r="AO17" s="294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93"/>
    </row>
    <row r="18" spans="2:52" ht="9.75" customHeight="1">
      <c r="B18" s="614" t="s">
        <v>467</v>
      </c>
      <c r="C18" s="615"/>
      <c r="D18" s="615"/>
      <c r="E18" s="255">
        <f t="shared" ref="E18:P18" si="17">ROUNDDOWN(E10*E26*E4*E5,-2)</f>
        <v>0</v>
      </c>
      <c r="F18" s="255">
        <f t="shared" si="17"/>
        <v>0</v>
      </c>
      <c r="G18" s="255">
        <f t="shared" si="17"/>
        <v>0</v>
      </c>
      <c r="H18" s="255">
        <f t="shared" si="17"/>
        <v>0</v>
      </c>
      <c r="I18" s="255">
        <f t="shared" si="17"/>
        <v>0</v>
      </c>
      <c r="J18" s="255">
        <f t="shared" si="17"/>
        <v>0</v>
      </c>
      <c r="K18" s="255">
        <f t="shared" si="17"/>
        <v>0</v>
      </c>
      <c r="L18" s="255">
        <f t="shared" si="17"/>
        <v>0</v>
      </c>
      <c r="M18" s="255">
        <f t="shared" si="17"/>
        <v>0</v>
      </c>
      <c r="N18" s="255">
        <f t="shared" si="17"/>
        <v>0</v>
      </c>
      <c r="O18" s="255">
        <f t="shared" si="17"/>
        <v>0</v>
      </c>
      <c r="P18" s="293">
        <f t="shared" si="17"/>
        <v>0</v>
      </c>
      <c r="Q18" s="282"/>
      <c r="R18" s="282"/>
      <c r="S18" s="282"/>
      <c r="T18" s="282"/>
      <c r="U18" s="282"/>
      <c r="V18" s="282"/>
      <c r="W18" s="294">
        <f t="shared" ref="W18:AH18" si="18">ROUNDDOWN(W10*W26*W4*W5,-2)</f>
        <v>319600</v>
      </c>
      <c r="X18" s="255">
        <f t="shared" si="18"/>
        <v>435800</v>
      </c>
      <c r="Y18" s="255">
        <f t="shared" si="18"/>
        <v>668200</v>
      </c>
      <c r="Z18" s="255">
        <f t="shared" si="18"/>
        <v>799000</v>
      </c>
      <c r="AA18" s="255">
        <f t="shared" si="18"/>
        <v>1002400</v>
      </c>
      <c r="AB18" s="255">
        <f t="shared" si="18"/>
        <v>1118600</v>
      </c>
      <c r="AC18" s="255">
        <f t="shared" si="18"/>
        <v>1336500</v>
      </c>
      <c r="AD18" s="255">
        <f t="shared" si="18"/>
        <v>1438200</v>
      </c>
      <c r="AE18" s="255">
        <f t="shared" si="18"/>
        <v>1598000</v>
      </c>
      <c r="AF18" s="255">
        <f t="shared" si="18"/>
        <v>1837700</v>
      </c>
      <c r="AG18" s="255">
        <f t="shared" si="18"/>
        <v>1917600</v>
      </c>
      <c r="AH18" s="293">
        <f t="shared" si="18"/>
        <v>2077500</v>
      </c>
      <c r="AI18" s="282"/>
      <c r="AJ18" s="282"/>
      <c r="AK18" s="282"/>
      <c r="AL18" s="282"/>
      <c r="AM18" s="282"/>
      <c r="AO18" s="294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93"/>
    </row>
    <row r="19" spans="2:52" ht="9.75" customHeight="1" thickBot="1">
      <c r="B19" s="635" t="s">
        <v>469</v>
      </c>
      <c r="C19" s="636"/>
      <c r="D19" s="674"/>
      <c r="E19" s="336">
        <f t="shared" ref="E19:P19" si="19">ROUNDDOWN((E9+E10)*E4*E5*E28,-2)</f>
        <v>0</v>
      </c>
      <c r="F19" s="336">
        <f t="shared" si="19"/>
        <v>0</v>
      </c>
      <c r="G19" s="336">
        <f t="shared" si="19"/>
        <v>0</v>
      </c>
      <c r="H19" s="336">
        <f t="shared" si="19"/>
        <v>57000</v>
      </c>
      <c r="I19" s="336">
        <f t="shared" si="19"/>
        <v>79400</v>
      </c>
      <c r="J19" s="336">
        <f t="shared" si="19"/>
        <v>85500</v>
      </c>
      <c r="K19" s="336">
        <f t="shared" si="19"/>
        <v>99300</v>
      </c>
      <c r="L19" s="336">
        <f t="shared" si="19"/>
        <v>104500</v>
      </c>
      <c r="M19" s="336">
        <f t="shared" si="19"/>
        <v>114000</v>
      </c>
      <c r="N19" s="336">
        <f t="shared" si="19"/>
        <v>129100</v>
      </c>
      <c r="O19" s="336">
        <f t="shared" si="19"/>
        <v>133000</v>
      </c>
      <c r="P19" s="337">
        <f t="shared" si="19"/>
        <v>142500</v>
      </c>
      <c r="Q19" s="282"/>
      <c r="R19" s="282"/>
      <c r="S19" s="282"/>
      <c r="T19" s="282"/>
      <c r="U19" s="282"/>
      <c r="V19" s="282"/>
      <c r="W19" s="395">
        <f t="shared" ref="W19:AH19" si="20">ROUNDDOWN((W9+W10)*W4*W5*W28,-2)</f>
        <v>161500</v>
      </c>
      <c r="X19" s="336">
        <f t="shared" si="20"/>
        <v>155500</v>
      </c>
      <c r="Y19" s="336">
        <f t="shared" si="20"/>
        <v>188700</v>
      </c>
      <c r="Z19" s="336">
        <f t="shared" si="20"/>
        <v>190000</v>
      </c>
      <c r="AA19" s="336">
        <f t="shared" si="20"/>
        <v>208600</v>
      </c>
      <c r="AB19" s="336">
        <f t="shared" si="20"/>
        <v>209000</v>
      </c>
      <c r="AC19" s="336">
        <f t="shared" si="20"/>
        <v>228500</v>
      </c>
      <c r="AD19" s="336">
        <f t="shared" si="20"/>
        <v>228000</v>
      </c>
      <c r="AE19" s="336">
        <f t="shared" si="20"/>
        <v>237600</v>
      </c>
      <c r="AF19" s="336">
        <f t="shared" si="20"/>
        <v>258300</v>
      </c>
      <c r="AG19" s="336">
        <f t="shared" si="20"/>
        <v>256600</v>
      </c>
      <c r="AH19" s="337">
        <f t="shared" si="20"/>
        <v>266100</v>
      </c>
      <c r="AI19" s="282"/>
      <c r="AJ19" s="282"/>
      <c r="AK19" s="282"/>
      <c r="AL19" s="282"/>
      <c r="AM19" s="282"/>
      <c r="AO19" s="294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93"/>
    </row>
    <row r="20" spans="2:52" ht="9.75" customHeight="1" thickTop="1" thickBot="1">
      <c r="B20" s="638" t="s">
        <v>380</v>
      </c>
      <c r="C20" s="639"/>
      <c r="D20" s="639"/>
      <c r="E20" s="367">
        <f t="shared" ref="E20:P20" si="21">SUM(E14:E19)</f>
        <v>0</v>
      </c>
      <c r="F20" s="367">
        <f t="shared" si="21"/>
        <v>0</v>
      </c>
      <c r="G20" s="367">
        <f t="shared" si="21"/>
        <v>0</v>
      </c>
      <c r="H20" s="367">
        <f t="shared" si="21"/>
        <v>910200</v>
      </c>
      <c r="I20" s="367">
        <f t="shared" si="21"/>
        <v>1268700</v>
      </c>
      <c r="J20" s="367">
        <f t="shared" si="21"/>
        <v>1365300</v>
      </c>
      <c r="K20" s="367">
        <f t="shared" si="21"/>
        <v>1586000</v>
      </c>
      <c r="L20" s="367">
        <f t="shared" si="21"/>
        <v>1668700</v>
      </c>
      <c r="M20" s="367">
        <f t="shared" si="21"/>
        <v>1820400</v>
      </c>
      <c r="N20" s="367">
        <f t="shared" si="21"/>
        <v>2061800</v>
      </c>
      <c r="O20" s="367">
        <f t="shared" si="21"/>
        <v>2123900</v>
      </c>
      <c r="P20" s="368">
        <f t="shared" si="21"/>
        <v>2275600</v>
      </c>
      <c r="Q20" s="282"/>
      <c r="R20" s="282"/>
      <c r="S20" s="282"/>
      <c r="T20" s="282"/>
      <c r="U20" s="282"/>
      <c r="V20" s="282"/>
      <c r="W20" s="396">
        <f t="shared" ref="W20:AH20" si="22">SUM(W14:W19)</f>
        <v>2614200</v>
      </c>
      <c r="X20" s="367">
        <f t="shared" si="22"/>
        <v>2530500</v>
      </c>
      <c r="Y20" s="367">
        <f t="shared" si="22"/>
        <v>3086900</v>
      </c>
      <c r="Z20" s="367">
        <f t="shared" si="22"/>
        <v>3122100</v>
      </c>
      <c r="AA20" s="367">
        <f t="shared" si="22"/>
        <v>3441000</v>
      </c>
      <c r="AB20" s="367">
        <f t="shared" si="22"/>
        <v>3460700</v>
      </c>
      <c r="AC20" s="367">
        <f t="shared" si="22"/>
        <v>3795000</v>
      </c>
      <c r="AD20" s="367">
        <f t="shared" si="22"/>
        <v>3799300</v>
      </c>
      <c r="AE20" s="367">
        <f t="shared" si="22"/>
        <v>3968700</v>
      </c>
      <c r="AF20" s="367">
        <f t="shared" si="22"/>
        <v>4326000</v>
      </c>
      <c r="AG20" s="367">
        <f t="shared" si="22"/>
        <v>4307300</v>
      </c>
      <c r="AH20" s="368">
        <f t="shared" si="22"/>
        <v>4476700</v>
      </c>
      <c r="AI20" s="282"/>
      <c r="AJ20" s="282"/>
      <c r="AK20" s="282"/>
      <c r="AL20" s="282"/>
      <c r="AM20" s="282"/>
      <c r="AO20" s="294">
        <f t="shared" ref="AO20:AZ20" si="23">SUM(AO14:AO15)</f>
        <v>4030300</v>
      </c>
      <c r="AP20" s="255">
        <f t="shared" si="23"/>
        <v>4030300</v>
      </c>
      <c r="AQ20" s="255">
        <f t="shared" si="23"/>
        <v>4309900</v>
      </c>
      <c r="AR20" s="255">
        <f t="shared" si="23"/>
        <v>4571400</v>
      </c>
      <c r="AS20" s="255">
        <f t="shared" si="23"/>
        <v>4571400</v>
      </c>
      <c r="AT20" s="255">
        <f t="shared" si="23"/>
        <v>4571400</v>
      </c>
      <c r="AU20" s="255">
        <f t="shared" si="23"/>
        <v>4851000</v>
      </c>
      <c r="AV20" s="255">
        <f t="shared" si="23"/>
        <v>4851000</v>
      </c>
      <c r="AW20" s="255">
        <f t="shared" si="23"/>
        <v>4851000</v>
      </c>
      <c r="AX20" s="255">
        <f t="shared" si="23"/>
        <v>4851000</v>
      </c>
      <c r="AY20" s="255">
        <f t="shared" si="23"/>
        <v>5130600</v>
      </c>
      <c r="AZ20" s="293">
        <f t="shared" si="23"/>
        <v>5130600</v>
      </c>
    </row>
    <row r="21" spans="2:52" ht="18" customHeight="1" thickTop="1">
      <c r="B21" s="641" t="s">
        <v>381</v>
      </c>
      <c r="C21" s="642"/>
      <c r="D21" s="642"/>
      <c r="E21" s="365">
        <f>E20/1000</f>
        <v>0</v>
      </c>
      <c r="F21" s="365">
        <f t="shared" ref="F21:P21" si="24">F20/1000</f>
        <v>0</v>
      </c>
      <c r="G21" s="365">
        <f t="shared" si="24"/>
        <v>0</v>
      </c>
      <c r="H21" s="365">
        <f t="shared" si="24"/>
        <v>910.2</v>
      </c>
      <c r="I21" s="365">
        <f t="shared" si="24"/>
        <v>1268.7</v>
      </c>
      <c r="J21" s="365">
        <f t="shared" si="24"/>
        <v>1365.3</v>
      </c>
      <c r="K21" s="365">
        <f t="shared" si="24"/>
        <v>1586</v>
      </c>
      <c r="L21" s="365">
        <f t="shared" si="24"/>
        <v>1668.7</v>
      </c>
      <c r="M21" s="365">
        <f t="shared" si="24"/>
        <v>1820.4</v>
      </c>
      <c r="N21" s="365">
        <f t="shared" si="24"/>
        <v>2061.8000000000002</v>
      </c>
      <c r="O21" s="365">
        <f t="shared" si="24"/>
        <v>2123.9</v>
      </c>
      <c r="P21" s="366">
        <f t="shared" si="24"/>
        <v>2275.6</v>
      </c>
      <c r="Q21" s="282"/>
      <c r="R21" s="282"/>
      <c r="S21" s="282"/>
      <c r="T21" s="282"/>
      <c r="U21" s="282"/>
      <c r="V21" s="282"/>
      <c r="W21" s="397">
        <f>W20/1000</f>
        <v>2614.1999999999998</v>
      </c>
      <c r="X21" s="365">
        <f t="shared" ref="X21:AH21" si="25">X20/1000</f>
        <v>2530.5</v>
      </c>
      <c r="Y21" s="365">
        <f t="shared" si="25"/>
        <v>3086.9</v>
      </c>
      <c r="Z21" s="365">
        <f t="shared" si="25"/>
        <v>3122.1</v>
      </c>
      <c r="AA21" s="365">
        <f t="shared" si="25"/>
        <v>3441</v>
      </c>
      <c r="AB21" s="365">
        <f t="shared" si="25"/>
        <v>3460.7</v>
      </c>
      <c r="AC21" s="365">
        <f t="shared" si="25"/>
        <v>3795</v>
      </c>
      <c r="AD21" s="365">
        <f t="shared" si="25"/>
        <v>3799.3</v>
      </c>
      <c r="AE21" s="365">
        <f t="shared" si="25"/>
        <v>3968.7</v>
      </c>
      <c r="AF21" s="365">
        <f t="shared" si="25"/>
        <v>4326</v>
      </c>
      <c r="AG21" s="365">
        <f t="shared" si="25"/>
        <v>4307.3</v>
      </c>
      <c r="AH21" s="366">
        <f t="shared" si="25"/>
        <v>4476.7</v>
      </c>
      <c r="AI21" s="282"/>
      <c r="AJ21" s="282"/>
      <c r="AK21" s="282"/>
      <c r="AL21" s="282"/>
      <c r="AM21" s="282"/>
      <c r="AO21" s="294">
        <f t="shared" ref="AO21:AZ21" si="26">AO20/1000</f>
        <v>4030.3</v>
      </c>
      <c r="AP21" s="255">
        <f t="shared" si="26"/>
        <v>4030.3</v>
      </c>
      <c r="AQ21" s="255">
        <f t="shared" si="26"/>
        <v>4309.8999999999996</v>
      </c>
      <c r="AR21" s="255">
        <f t="shared" si="26"/>
        <v>4571.3999999999996</v>
      </c>
      <c r="AS21" s="255">
        <f t="shared" si="26"/>
        <v>4571.3999999999996</v>
      </c>
      <c r="AT21" s="255">
        <f t="shared" si="26"/>
        <v>4571.3999999999996</v>
      </c>
      <c r="AU21" s="255">
        <f t="shared" si="26"/>
        <v>4851</v>
      </c>
      <c r="AV21" s="255">
        <f t="shared" si="26"/>
        <v>4851</v>
      </c>
      <c r="AW21" s="255">
        <f t="shared" si="26"/>
        <v>4851</v>
      </c>
      <c r="AX21" s="255">
        <f t="shared" si="26"/>
        <v>4851</v>
      </c>
      <c r="AY21" s="255">
        <f t="shared" si="26"/>
        <v>5130.6000000000004</v>
      </c>
      <c r="AZ21" s="293">
        <f t="shared" si="26"/>
        <v>5130.6000000000004</v>
      </c>
    </row>
    <row r="22" spans="2:52" ht="8.25" customHeight="1">
      <c r="B22" s="611"/>
      <c r="C22" s="612"/>
      <c r="D22" s="612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6"/>
      <c r="W22" s="327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6"/>
      <c r="AO22" s="327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6"/>
    </row>
    <row r="23" spans="2:52" s="339" customFormat="1" ht="7.5" customHeight="1">
      <c r="B23" s="629" t="s">
        <v>460</v>
      </c>
      <c r="C23" s="630"/>
      <c r="D23" s="630"/>
      <c r="E23" s="340">
        <v>5890</v>
      </c>
      <c r="F23" s="340">
        <v>5890</v>
      </c>
      <c r="G23" s="340">
        <v>5890</v>
      </c>
      <c r="H23" s="340">
        <v>5890</v>
      </c>
      <c r="I23" s="340">
        <v>5890</v>
      </c>
      <c r="J23" s="340">
        <v>5890</v>
      </c>
      <c r="K23" s="340">
        <v>5890</v>
      </c>
      <c r="L23" s="340">
        <v>5890</v>
      </c>
      <c r="M23" s="340">
        <v>5890</v>
      </c>
      <c r="N23" s="340">
        <v>5890</v>
      </c>
      <c r="O23" s="340">
        <v>5890</v>
      </c>
      <c r="P23" s="341">
        <v>5890</v>
      </c>
      <c r="Q23" s="342"/>
      <c r="R23" s="342"/>
      <c r="S23" s="342"/>
      <c r="T23" s="342"/>
      <c r="U23" s="342"/>
      <c r="V23" s="342"/>
      <c r="W23" s="343">
        <v>5890</v>
      </c>
      <c r="X23" s="340">
        <v>5890</v>
      </c>
      <c r="Y23" s="340">
        <v>5890</v>
      </c>
      <c r="Z23" s="340">
        <v>5890</v>
      </c>
      <c r="AA23" s="340">
        <v>5890</v>
      </c>
      <c r="AB23" s="340">
        <v>5890</v>
      </c>
      <c r="AC23" s="340">
        <v>5890</v>
      </c>
      <c r="AD23" s="340">
        <v>5890</v>
      </c>
      <c r="AE23" s="340">
        <v>5890</v>
      </c>
      <c r="AF23" s="340">
        <v>5890</v>
      </c>
      <c r="AG23" s="340">
        <v>5890</v>
      </c>
      <c r="AH23" s="341">
        <v>5890</v>
      </c>
      <c r="AI23" s="342"/>
      <c r="AJ23" s="342"/>
      <c r="AK23" s="342"/>
      <c r="AL23" s="342"/>
      <c r="AM23" s="342"/>
      <c r="AO23" s="343">
        <v>5890</v>
      </c>
      <c r="AP23" s="340">
        <v>5890</v>
      </c>
      <c r="AQ23" s="340">
        <v>5890</v>
      </c>
      <c r="AR23" s="340">
        <v>5890</v>
      </c>
      <c r="AS23" s="340">
        <v>5890</v>
      </c>
      <c r="AT23" s="340">
        <v>5890</v>
      </c>
      <c r="AU23" s="340">
        <v>5890</v>
      </c>
      <c r="AV23" s="340">
        <v>5890</v>
      </c>
      <c r="AW23" s="340">
        <v>5890</v>
      </c>
      <c r="AX23" s="340">
        <v>5890</v>
      </c>
      <c r="AY23" s="340">
        <v>5890</v>
      </c>
      <c r="AZ23" s="341">
        <v>5890</v>
      </c>
    </row>
    <row r="24" spans="2:52" s="339" customFormat="1" ht="7.5" customHeight="1">
      <c r="B24" s="629" t="s">
        <v>461</v>
      </c>
      <c r="C24" s="630"/>
      <c r="D24" s="630"/>
      <c r="E24" s="340">
        <v>6890</v>
      </c>
      <c r="F24" s="340">
        <v>6890</v>
      </c>
      <c r="G24" s="340">
        <v>6890</v>
      </c>
      <c r="H24" s="340">
        <v>6890</v>
      </c>
      <c r="I24" s="340">
        <v>6890</v>
      </c>
      <c r="J24" s="340">
        <v>6890</v>
      </c>
      <c r="K24" s="340">
        <v>6890</v>
      </c>
      <c r="L24" s="340">
        <v>6890</v>
      </c>
      <c r="M24" s="340">
        <v>6890</v>
      </c>
      <c r="N24" s="340">
        <v>6890</v>
      </c>
      <c r="O24" s="340">
        <v>6890</v>
      </c>
      <c r="P24" s="341">
        <v>6890</v>
      </c>
      <c r="Q24" s="342"/>
      <c r="R24" s="342"/>
      <c r="S24" s="342"/>
      <c r="T24" s="342"/>
      <c r="U24" s="342"/>
      <c r="V24" s="342"/>
      <c r="W24" s="343">
        <v>6890</v>
      </c>
      <c r="X24" s="340">
        <v>6890</v>
      </c>
      <c r="Y24" s="340">
        <v>6890</v>
      </c>
      <c r="Z24" s="340">
        <v>6890</v>
      </c>
      <c r="AA24" s="340">
        <v>6890</v>
      </c>
      <c r="AB24" s="340">
        <v>6890</v>
      </c>
      <c r="AC24" s="340">
        <v>6890</v>
      </c>
      <c r="AD24" s="340">
        <v>6890</v>
      </c>
      <c r="AE24" s="340">
        <v>6890</v>
      </c>
      <c r="AF24" s="340">
        <v>6890</v>
      </c>
      <c r="AG24" s="340">
        <v>6890</v>
      </c>
      <c r="AH24" s="341">
        <v>6890</v>
      </c>
      <c r="AI24" s="342"/>
      <c r="AJ24" s="342"/>
      <c r="AK24" s="342"/>
      <c r="AL24" s="342"/>
      <c r="AM24" s="342"/>
      <c r="AO24" s="343">
        <v>6890</v>
      </c>
      <c r="AP24" s="340">
        <v>6890</v>
      </c>
      <c r="AQ24" s="340">
        <v>6890</v>
      </c>
      <c r="AR24" s="340">
        <v>6890</v>
      </c>
      <c r="AS24" s="340">
        <v>6890</v>
      </c>
      <c r="AT24" s="340">
        <v>6890</v>
      </c>
      <c r="AU24" s="340">
        <v>6890</v>
      </c>
      <c r="AV24" s="340">
        <v>6890</v>
      </c>
      <c r="AW24" s="340">
        <v>6890</v>
      </c>
      <c r="AX24" s="340">
        <v>6890</v>
      </c>
      <c r="AY24" s="340">
        <v>6890</v>
      </c>
      <c r="AZ24" s="341">
        <v>6890</v>
      </c>
    </row>
    <row r="25" spans="2:52" s="339" customFormat="1" ht="7.5" customHeight="1">
      <c r="B25" s="629" t="s">
        <v>462</v>
      </c>
      <c r="C25" s="630"/>
      <c r="D25" s="630"/>
      <c r="E25" s="340">
        <v>8080</v>
      </c>
      <c r="F25" s="340">
        <v>8080</v>
      </c>
      <c r="G25" s="340">
        <v>8080</v>
      </c>
      <c r="H25" s="340">
        <v>8080</v>
      </c>
      <c r="I25" s="340">
        <v>8080</v>
      </c>
      <c r="J25" s="340">
        <v>8080</v>
      </c>
      <c r="K25" s="340">
        <v>8080</v>
      </c>
      <c r="L25" s="340">
        <v>8080</v>
      </c>
      <c r="M25" s="340">
        <v>8080</v>
      </c>
      <c r="N25" s="340">
        <v>8080</v>
      </c>
      <c r="O25" s="340">
        <v>8080</v>
      </c>
      <c r="P25" s="341">
        <v>8080</v>
      </c>
      <c r="Q25" s="342"/>
      <c r="R25" s="342"/>
      <c r="S25" s="342"/>
      <c r="T25" s="342"/>
      <c r="U25" s="342"/>
      <c r="V25" s="342"/>
      <c r="W25" s="343">
        <v>8080</v>
      </c>
      <c r="X25" s="340">
        <v>8080</v>
      </c>
      <c r="Y25" s="340">
        <v>8080</v>
      </c>
      <c r="Z25" s="340">
        <v>8080</v>
      </c>
      <c r="AA25" s="340">
        <v>8080</v>
      </c>
      <c r="AB25" s="340">
        <v>8080</v>
      </c>
      <c r="AC25" s="340">
        <v>8080</v>
      </c>
      <c r="AD25" s="340">
        <v>8080</v>
      </c>
      <c r="AE25" s="340">
        <v>8080</v>
      </c>
      <c r="AF25" s="340">
        <v>8080</v>
      </c>
      <c r="AG25" s="340">
        <v>8080</v>
      </c>
      <c r="AH25" s="341">
        <v>8080</v>
      </c>
      <c r="AI25" s="342"/>
      <c r="AJ25" s="342"/>
      <c r="AK25" s="342"/>
      <c r="AL25" s="342"/>
      <c r="AM25" s="342"/>
      <c r="AO25" s="343"/>
      <c r="AP25" s="340"/>
      <c r="AQ25" s="340"/>
      <c r="AR25" s="340"/>
      <c r="AS25" s="340"/>
      <c r="AT25" s="340"/>
      <c r="AU25" s="340"/>
      <c r="AV25" s="340"/>
      <c r="AW25" s="340"/>
      <c r="AX25" s="340"/>
      <c r="AY25" s="340"/>
      <c r="AZ25" s="341"/>
    </row>
    <row r="26" spans="2:52" s="339" customFormat="1" ht="7.5" customHeight="1">
      <c r="B26" s="629" t="s">
        <v>463</v>
      </c>
      <c r="C26" s="630"/>
      <c r="D26" s="630"/>
      <c r="E26" s="340">
        <v>9080</v>
      </c>
      <c r="F26" s="340">
        <v>9080</v>
      </c>
      <c r="G26" s="340">
        <v>9080</v>
      </c>
      <c r="H26" s="340">
        <v>9080</v>
      </c>
      <c r="I26" s="340">
        <v>9080</v>
      </c>
      <c r="J26" s="340">
        <v>9080</v>
      </c>
      <c r="K26" s="340">
        <v>9080</v>
      </c>
      <c r="L26" s="340">
        <v>9080</v>
      </c>
      <c r="M26" s="340">
        <v>9080</v>
      </c>
      <c r="N26" s="340">
        <v>9080</v>
      </c>
      <c r="O26" s="340">
        <v>9080</v>
      </c>
      <c r="P26" s="341">
        <v>9080</v>
      </c>
      <c r="Q26" s="342"/>
      <c r="R26" s="342"/>
      <c r="S26" s="342"/>
      <c r="T26" s="342"/>
      <c r="U26" s="342"/>
      <c r="V26" s="342"/>
      <c r="W26" s="343">
        <v>9080</v>
      </c>
      <c r="X26" s="340">
        <v>9080</v>
      </c>
      <c r="Y26" s="340">
        <v>9080</v>
      </c>
      <c r="Z26" s="340">
        <v>9080</v>
      </c>
      <c r="AA26" s="340">
        <v>9080</v>
      </c>
      <c r="AB26" s="340">
        <v>9080</v>
      </c>
      <c r="AC26" s="340">
        <v>9080</v>
      </c>
      <c r="AD26" s="340">
        <v>9080</v>
      </c>
      <c r="AE26" s="340">
        <v>9080</v>
      </c>
      <c r="AF26" s="340">
        <v>9080</v>
      </c>
      <c r="AG26" s="340">
        <v>9080</v>
      </c>
      <c r="AH26" s="341">
        <v>9080</v>
      </c>
      <c r="AI26" s="342"/>
      <c r="AJ26" s="342"/>
      <c r="AK26" s="342"/>
      <c r="AL26" s="342"/>
      <c r="AM26" s="342"/>
      <c r="AO26" s="343"/>
      <c r="AP26" s="340"/>
      <c r="AQ26" s="340"/>
      <c r="AR26" s="340"/>
      <c r="AS26" s="340"/>
      <c r="AT26" s="340"/>
      <c r="AU26" s="340"/>
      <c r="AV26" s="340"/>
      <c r="AW26" s="340"/>
      <c r="AX26" s="340"/>
      <c r="AY26" s="340"/>
      <c r="AZ26" s="341"/>
    </row>
    <row r="27" spans="2:52" s="339" customFormat="1" ht="7.5" customHeight="1">
      <c r="B27" s="632" t="s">
        <v>368</v>
      </c>
      <c r="C27" s="633"/>
      <c r="D27" s="679"/>
      <c r="E27" s="340">
        <v>890</v>
      </c>
      <c r="F27" s="340">
        <v>890</v>
      </c>
      <c r="G27" s="340">
        <v>890</v>
      </c>
      <c r="H27" s="340">
        <v>890</v>
      </c>
      <c r="I27" s="340">
        <v>890</v>
      </c>
      <c r="J27" s="340">
        <v>890</v>
      </c>
      <c r="K27" s="340">
        <v>890</v>
      </c>
      <c r="L27" s="340">
        <v>890</v>
      </c>
      <c r="M27" s="340">
        <v>890</v>
      </c>
      <c r="N27" s="340">
        <v>890</v>
      </c>
      <c r="O27" s="340">
        <v>890</v>
      </c>
      <c r="P27" s="341">
        <v>890</v>
      </c>
      <c r="W27" s="343">
        <v>890</v>
      </c>
      <c r="X27" s="340">
        <v>890</v>
      </c>
      <c r="Y27" s="340">
        <v>890</v>
      </c>
      <c r="Z27" s="340">
        <v>890</v>
      </c>
      <c r="AA27" s="340">
        <v>890</v>
      </c>
      <c r="AB27" s="340">
        <v>890</v>
      </c>
      <c r="AC27" s="340">
        <v>890</v>
      </c>
      <c r="AD27" s="340">
        <v>890</v>
      </c>
      <c r="AE27" s="340">
        <v>890</v>
      </c>
      <c r="AF27" s="340">
        <v>890</v>
      </c>
      <c r="AG27" s="340">
        <v>890</v>
      </c>
      <c r="AH27" s="341">
        <v>890</v>
      </c>
      <c r="AO27" s="343">
        <v>890</v>
      </c>
      <c r="AP27" s="340">
        <v>890</v>
      </c>
      <c r="AQ27" s="340">
        <v>890</v>
      </c>
      <c r="AR27" s="340">
        <v>890</v>
      </c>
      <c r="AS27" s="340">
        <v>890</v>
      </c>
      <c r="AT27" s="340">
        <v>890</v>
      </c>
      <c r="AU27" s="340">
        <v>890</v>
      </c>
      <c r="AV27" s="340">
        <v>890</v>
      </c>
      <c r="AW27" s="340">
        <v>890</v>
      </c>
      <c r="AX27" s="340">
        <v>890</v>
      </c>
      <c r="AY27" s="340">
        <v>890</v>
      </c>
      <c r="AZ27" s="341">
        <v>890</v>
      </c>
    </row>
    <row r="28" spans="2:52" s="339" customFormat="1" ht="7.5" customHeight="1">
      <c r="B28" s="629" t="s">
        <v>388</v>
      </c>
      <c r="C28" s="630"/>
      <c r="D28" s="630"/>
      <c r="E28" s="340">
        <v>540</v>
      </c>
      <c r="F28" s="340">
        <v>540</v>
      </c>
      <c r="G28" s="340">
        <v>540</v>
      </c>
      <c r="H28" s="340">
        <v>540</v>
      </c>
      <c r="I28" s="340">
        <v>540</v>
      </c>
      <c r="J28" s="340">
        <v>540</v>
      </c>
      <c r="K28" s="340">
        <v>540</v>
      </c>
      <c r="L28" s="340">
        <v>540</v>
      </c>
      <c r="M28" s="340">
        <v>540</v>
      </c>
      <c r="N28" s="340">
        <v>540</v>
      </c>
      <c r="O28" s="340">
        <v>540</v>
      </c>
      <c r="P28" s="341">
        <v>540</v>
      </c>
      <c r="W28" s="343">
        <v>540</v>
      </c>
      <c r="X28" s="340">
        <v>540</v>
      </c>
      <c r="Y28" s="340">
        <v>540</v>
      </c>
      <c r="Z28" s="340">
        <v>540</v>
      </c>
      <c r="AA28" s="340">
        <v>540</v>
      </c>
      <c r="AB28" s="340">
        <v>540</v>
      </c>
      <c r="AC28" s="340">
        <v>540</v>
      </c>
      <c r="AD28" s="340">
        <v>540</v>
      </c>
      <c r="AE28" s="340">
        <v>540</v>
      </c>
      <c r="AF28" s="340">
        <v>540</v>
      </c>
      <c r="AG28" s="340">
        <v>540</v>
      </c>
      <c r="AH28" s="341">
        <v>540</v>
      </c>
      <c r="AO28" s="343">
        <v>540</v>
      </c>
      <c r="AP28" s="340">
        <v>540</v>
      </c>
      <c r="AQ28" s="340">
        <v>540</v>
      </c>
      <c r="AR28" s="340">
        <v>540</v>
      </c>
      <c r="AS28" s="340">
        <v>540</v>
      </c>
      <c r="AT28" s="340">
        <v>540</v>
      </c>
      <c r="AU28" s="340">
        <v>540</v>
      </c>
      <c r="AV28" s="340">
        <v>540</v>
      </c>
      <c r="AW28" s="340">
        <v>540</v>
      </c>
      <c r="AX28" s="340">
        <v>540</v>
      </c>
      <c r="AY28" s="340">
        <v>540</v>
      </c>
      <c r="AZ28" s="341">
        <v>540</v>
      </c>
    </row>
    <row r="29" spans="2:52" ht="18" hidden="1" customHeight="1">
      <c r="B29" s="659" t="s">
        <v>356</v>
      </c>
      <c r="C29" s="660"/>
      <c r="D29" s="660"/>
      <c r="E29" s="287">
        <v>0.8</v>
      </c>
      <c r="F29" s="287">
        <v>0.8</v>
      </c>
      <c r="G29" s="287">
        <v>0.8</v>
      </c>
      <c r="H29" s="287">
        <v>0.8</v>
      </c>
      <c r="I29" s="287">
        <v>0.8</v>
      </c>
      <c r="J29" s="287">
        <v>0.8</v>
      </c>
      <c r="K29" s="287">
        <v>0.8</v>
      </c>
      <c r="L29" s="287">
        <v>0.8</v>
      </c>
      <c r="M29" s="287">
        <v>0.8</v>
      </c>
      <c r="N29" s="287">
        <v>0.8</v>
      </c>
      <c r="O29" s="287">
        <v>0.8</v>
      </c>
      <c r="P29" s="288">
        <v>0.8</v>
      </c>
      <c r="Q29" s="253"/>
      <c r="R29" s="253"/>
      <c r="S29" s="253"/>
      <c r="T29" s="253"/>
      <c r="U29" s="253"/>
      <c r="V29" s="253"/>
      <c r="W29" s="298">
        <v>0.75</v>
      </c>
      <c r="X29" s="299">
        <v>0.75</v>
      </c>
      <c r="Y29" s="299">
        <v>0.75</v>
      </c>
      <c r="Z29" s="299">
        <v>0.75</v>
      </c>
      <c r="AA29" s="299">
        <v>0.75</v>
      </c>
      <c r="AB29" s="299">
        <v>0.75</v>
      </c>
      <c r="AC29" s="299">
        <v>0.75</v>
      </c>
      <c r="AD29" s="299">
        <v>0.75</v>
      </c>
      <c r="AE29" s="299">
        <v>0.75</v>
      </c>
      <c r="AF29" s="299">
        <v>0.75</v>
      </c>
      <c r="AG29" s="299">
        <v>0.75</v>
      </c>
      <c r="AH29" s="300">
        <v>0.75</v>
      </c>
      <c r="AI29" s="253"/>
      <c r="AJ29" s="253"/>
      <c r="AK29" s="253"/>
      <c r="AL29" s="253"/>
      <c r="AM29" s="253"/>
      <c r="AO29" s="298">
        <v>0.75</v>
      </c>
      <c r="AP29" s="299">
        <v>0.75</v>
      </c>
      <c r="AQ29" s="299">
        <v>0.75</v>
      </c>
      <c r="AR29" s="299">
        <v>0.75</v>
      </c>
      <c r="AS29" s="299">
        <v>0.75</v>
      </c>
      <c r="AT29" s="299">
        <v>0.75</v>
      </c>
      <c r="AU29" s="299">
        <v>0.75</v>
      </c>
      <c r="AV29" s="299">
        <v>0.75</v>
      </c>
      <c r="AW29" s="299">
        <v>0.75</v>
      </c>
      <c r="AX29" s="299">
        <v>0.75</v>
      </c>
      <c r="AY29" s="299">
        <v>0.75</v>
      </c>
      <c r="AZ29" s="300">
        <v>0.75</v>
      </c>
    </row>
    <row r="30" spans="2:52" ht="5.25" customHeight="1">
      <c r="B30" s="327"/>
      <c r="C30" s="301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6"/>
      <c r="W30" s="327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6"/>
      <c r="AO30" s="327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6"/>
    </row>
    <row r="31" spans="2:52" ht="18" hidden="1" customHeight="1">
      <c r="B31" s="289"/>
      <c r="C31" s="299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8"/>
      <c r="W31" s="289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8"/>
      <c r="AO31" s="289"/>
      <c r="AP31" s="287"/>
      <c r="AQ31" s="287"/>
      <c r="AR31" s="287"/>
      <c r="AS31" s="287"/>
      <c r="AT31" s="287"/>
      <c r="AU31" s="287"/>
      <c r="AV31" s="287"/>
      <c r="AW31" s="287"/>
      <c r="AX31" s="287"/>
      <c r="AY31" s="287"/>
      <c r="AZ31" s="288"/>
    </row>
    <row r="32" spans="2:52" s="344" customFormat="1" ht="8.25" customHeight="1">
      <c r="B32" s="614" t="s">
        <v>471</v>
      </c>
      <c r="C32" s="615"/>
      <c r="D32" s="615"/>
      <c r="E32" s="348">
        <f>ROUNDUP(E6/7.5,0)</f>
        <v>0</v>
      </c>
      <c r="F32" s="350">
        <f>ROUNDUP(F6/7.5,0)</f>
        <v>0</v>
      </c>
      <c r="G32" s="350">
        <f t="shared" ref="G32:P32" si="27">ROUNDUP(G6/7.5,1)</f>
        <v>0</v>
      </c>
      <c r="H32" s="350">
        <f t="shared" si="27"/>
        <v>0</v>
      </c>
      <c r="I32" s="350">
        <f t="shared" si="27"/>
        <v>0</v>
      </c>
      <c r="J32" s="350">
        <f t="shared" si="27"/>
        <v>0</v>
      </c>
      <c r="K32" s="350">
        <f t="shared" si="27"/>
        <v>0</v>
      </c>
      <c r="L32" s="350">
        <f t="shared" si="27"/>
        <v>0</v>
      </c>
      <c r="M32" s="350">
        <f t="shared" si="27"/>
        <v>0</v>
      </c>
      <c r="N32" s="350">
        <f t="shared" si="27"/>
        <v>0</v>
      </c>
      <c r="O32" s="350">
        <f t="shared" si="27"/>
        <v>0</v>
      </c>
      <c r="P32" s="351">
        <f t="shared" si="27"/>
        <v>0</v>
      </c>
      <c r="Q32" s="331"/>
      <c r="R32" s="331"/>
      <c r="S32" s="331"/>
      <c r="T32" s="331"/>
      <c r="U32" s="331"/>
      <c r="V32" s="331"/>
      <c r="W32" s="398">
        <f>ROUNDUP(W6/7.5,0)</f>
        <v>0</v>
      </c>
      <c r="X32" s="350">
        <f>ROUNDUP(X6/7.5,0)</f>
        <v>0</v>
      </c>
      <c r="Y32" s="350">
        <f t="shared" ref="Y32:AH32" si="28">ROUNDUP(Y6/7.5,1)</f>
        <v>0</v>
      </c>
      <c r="Z32" s="350">
        <f t="shared" si="28"/>
        <v>0</v>
      </c>
      <c r="AA32" s="350">
        <f t="shared" si="28"/>
        <v>0</v>
      </c>
      <c r="AB32" s="350">
        <f t="shared" si="28"/>
        <v>0</v>
      </c>
      <c r="AC32" s="350">
        <f t="shared" si="28"/>
        <v>0</v>
      </c>
      <c r="AD32" s="350">
        <f t="shared" si="28"/>
        <v>0</v>
      </c>
      <c r="AE32" s="350">
        <f t="shared" si="28"/>
        <v>0</v>
      </c>
      <c r="AF32" s="350">
        <f t="shared" si="28"/>
        <v>0</v>
      </c>
      <c r="AG32" s="350">
        <f t="shared" si="28"/>
        <v>0</v>
      </c>
      <c r="AH32" s="351">
        <f t="shared" si="28"/>
        <v>0</v>
      </c>
      <c r="AI32" s="331"/>
      <c r="AJ32" s="331"/>
      <c r="AK32" s="331"/>
      <c r="AL32" s="331"/>
      <c r="AM32" s="331"/>
      <c r="AO32" s="334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5"/>
    </row>
    <row r="33" spans="2:52" s="344" customFormat="1" ht="8.25" customHeight="1">
      <c r="B33" s="614" t="s">
        <v>472</v>
      </c>
      <c r="C33" s="615"/>
      <c r="D33" s="615"/>
      <c r="E33" s="348">
        <f t="shared" ref="E33:P33" si="29">IF(E7/7.5&lt;1,2,1+E7/7.5)</f>
        <v>2</v>
      </c>
      <c r="F33" s="348">
        <f t="shared" si="29"/>
        <v>2</v>
      </c>
      <c r="G33" s="348">
        <f t="shared" si="29"/>
        <v>2</v>
      </c>
      <c r="H33" s="348">
        <f t="shared" si="29"/>
        <v>2</v>
      </c>
      <c r="I33" s="348">
        <f t="shared" si="29"/>
        <v>2</v>
      </c>
      <c r="J33" s="348">
        <f t="shared" si="29"/>
        <v>2</v>
      </c>
      <c r="K33" s="348">
        <f t="shared" si="29"/>
        <v>2</v>
      </c>
      <c r="L33" s="348">
        <f t="shared" si="29"/>
        <v>2</v>
      </c>
      <c r="M33" s="348">
        <f t="shared" si="29"/>
        <v>2</v>
      </c>
      <c r="N33" s="348">
        <f t="shared" si="29"/>
        <v>2</v>
      </c>
      <c r="O33" s="348">
        <f t="shared" si="29"/>
        <v>2</v>
      </c>
      <c r="P33" s="349">
        <f t="shared" si="29"/>
        <v>2</v>
      </c>
      <c r="Q33" s="331"/>
      <c r="R33" s="331"/>
      <c r="S33" s="331"/>
      <c r="T33" s="331"/>
      <c r="U33" s="331"/>
      <c r="V33" s="331"/>
      <c r="W33" s="398">
        <f t="shared" ref="W33:AH33" si="30">IF(W7/7.5&lt;1,2,1+W7/7.5)</f>
        <v>2</v>
      </c>
      <c r="X33" s="348">
        <f t="shared" si="30"/>
        <v>2</v>
      </c>
      <c r="Y33" s="348">
        <f t="shared" si="30"/>
        <v>2</v>
      </c>
      <c r="Z33" s="348">
        <f t="shared" si="30"/>
        <v>2</v>
      </c>
      <c r="AA33" s="348">
        <f t="shared" si="30"/>
        <v>2</v>
      </c>
      <c r="AB33" s="348">
        <f t="shared" si="30"/>
        <v>2</v>
      </c>
      <c r="AC33" s="348">
        <f t="shared" si="30"/>
        <v>2</v>
      </c>
      <c r="AD33" s="348">
        <f t="shared" si="30"/>
        <v>2</v>
      </c>
      <c r="AE33" s="348">
        <f t="shared" si="30"/>
        <v>2</v>
      </c>
      <c r="AF33" s="348">
        <f t="shared" si="30"/>
        <v>2</v>
      </c>
      <c r="AG33" s="348">
        <f t="shared" si="30"/>
        <v>2</v>
      </c>
      <c r="AH33" s="349">
        <f t="shared" si="30"/>
        <v>2</v>
      </c>
      <c r="AI33" s="331"/>
      <c r="AJ33" s="331"/>
      <c r="AK33" s="331"/>
      <c r="AL33" s="331"/>
      <c r="AM33" s="331"/>
      <c r="AO33" s="334"/>
      <c r="AP33" s="333"/>
      <c r="AQ33" s="333"/>
      <c r="AR33" s="333"/>
      <c r="AS33" s="333"/>
      <c r="AT33" s="333"/>
      <c r="AU33" s="333"/>
      <c r="AV33" s="333"/>
      <c r="AW33" s="333"/>
      <c r="AX33" s="333"/>
      <c r="AY33" s="333"/>
      <c r="AZ33" s="335"/>
    </row>
    <row r="34" spans="2:52" s="344" customFormat="1" ht="8.25" customHeight="1">
      <c r="B34" s="614" t="s">
        <v>473</v>
      </c>
      <c r="C34" s="615"/>
      <c r="D34" s="615"/>
      <c r="E34" s="348">
        <f>ROUNDUP(E9/6,0)</f>
        <v>0</v>
      </c>
      <c r="F34" s="350">
        <f t="shared" ref="F34:P34" si="31">(F9+F10)/6</f>
        <v>0</v>
      </c>
      <c r="G34" s="350">
        <f t="shared" si="31"/>
        <v>0</v>
      </c>
      <c r="H34" s="350">
        <f t="shared" si="31"/>
        <v>1</v>
      </c>
      <c r="I34" s="350">
        <f t="shared" si="31"/>
        <v>1.3333333333333333</v>
      </c>
      <c r="J34" s="350">
        <f t="shared" si="31"/>
        <v>1.5</v>
      </c>
      <c r="K34" s="350">
        <f t="shared" si="31"/>
        <v>1.6666666666666667</v>
      </c>
      <c r="L34" s="350">
        <f t="shared" si="31"/>
        <v>1.8333333333333333</v>
      </c>
      <c r="M34" s="350">
        <f t="shared" si="31"/>
        <v>2</v>
      </c>
      <c r="N34" s="350">
        <f t="shared" si="31"/>
        <v>2.1666666666666665</v>
      </c>
      <c r="O34" s="350">
        <f t="shared" si="31"/>
        <v>2.3333333333333335</v>
      </c>
      <c r="P34" s="351">
        <f t="shared" si="31"/>
        <v>2.5</v>
      </c>
      <c r="Q34" s="331"/>
      <c r="R34" s="331"/>
      <c r="S34" s="331"/>
      <c r="T34" s="331"/>
      <c r="U34" s="331"/>
      <c r="V34" s="331"/>
      <c r="W34" s="398">
        <f>ROUNDUP(W9/6,1)</f>
        <v>2.5</v>
      </c>
      <c r="X34" s="350">
        <f t="shared" ref="X34:AH34" si="32">(X9+X10)/6</f>
        <v>3</v>
      </c>
      <c r="Y34" s="350">
        <f t="shared" si="32"/>
        <v>3.1666666666666665</v>
      </c>
      <c r="Z34" s="350">
        <f t="shared" si="32"/>
        <v>3.3333333333333335</v>
      </c>
      <c r="AA34" s="350">
        <f t="shared" si="32"/>
        <v>3.5</v>
      </c>
      <c r="AB34" s="350">
        <f t="shared" si="32"/>
        <v>3.6666666666666665</v>
      </c>
      <c r="AC34" s="350">
        <f t="shared" si="32"/>
        <v>3.8333333333333335</v>
      </c>
      <c r="AD34" s="350">
        <f t="shared" si="32"/>
        <v>4</v>
      </c>
      <c r="AE34" s="350">
        <f t="shared" si="32"/>
        <v>4.166666666666667</v>
      </c>
      <c r="AF34" s="350">
        <f t="shared" si="32"/>
        <v>4.333333333333333</v>
      </c>
      <c r="AG34" s="350">
        <f t="shared" si="32"/>
        <v>4.5</v>
      </c>
      <c r="AH34" s="351">
        <f t="shared" si="32"/>
        <v>4.666666666666667</v>
      </c>
      <c r="AI34" s="331"/>
      <c r="AJ34" s="331"/>
      <c r="AK34" s="331"/>
      <c r="AL34" s="331"/>
      <c r="AM34" s="331"/>
      <c r="AO34" s="334"/>
      <c r="AP34" s="333"/>
      <c r="AQ34" s="333"/>
      <c r="AR34" s="333"/>
      <c r="AS34" s="333"/>
      <c r="AT34" s="333"/>
      <c r="AU34" s="333"/>
      <c r="AV34" s="333"/>
      <c r="AW34" s="333"/>
      <c r="AX34" s="333"/>
      <c r="AY34" s="333"/>
      <c r="AZ34" s="335"/>
    </row>
    <row r="35" spans="2:52" s="344" customFormat="1" ht="8.25" customHeight="1">
      <c r="B35" s="614" t="s">
        <v>474</v>
      </c>
      <c r="C35" s="615"/>
      <c r="D35" s="615"/>
      <c r="E35" s="348">
        <f t="shared" ref="E35:P35" si="33">IF((E9+E10)/15&lt;1,1,(E9+E10)/15)</f>
        <v>1</v>
      </c>
      <c r="F35" s="350">
        <f t="shared" si="33"/>
        <v>1</v>
      </c>
      <c r="G35" s="350">
        <f t="shared" si="33"/>
        <v>1</v>
      </c>
      <c r="H35" s="350">
        <f t="shared" si="33"/>
        <v>1</v>
      </c>
      <c r="I35" s="350">
        <f t="shared" si="33"/>
        <v>1</v>
      </c>
      <c r="J35" s="350">
        <f t="shared" si="33"/>
        <v>1</v>
      </c>
      <c r="K35" s="350">
        <f t="shared" si="33"/>
        <v>1</v>
      </c>
      <c r="L35" s="350">
        <f t="shared" si="33"/>
        <v>1</v>
      </c>
      <c r="M35" s="350">
        <f t="shared" si="33"/>
        <v>1</v>
      </c>
      <c r="N35" s="350">
        <f t="shared" si="33"/>
        <v>1</v>
      </c>
      <c r="O35" s="350">
        <f t="shared" si="33"/>
        <v>1</v>
      </c>
      <c r="P35" s="351">
        <f t="shared" si="33"/>
        <v>1</v>
      </c>
      <c r="Q35" s="331"/>
      <c r="R35" s="331"/>
      <c r="S35" s="331"/>
      <c r="T35" s="331"/>
      <c r="U35" s="331"/>
      <c r="V35" s="331"/>
      <c r="W35" s="398">
        <f t="shared" ref="W35:AH35" si="34">IF((W9+W10)/15&lt;1,1,(W9+W10)/15)</f>
        <v>1.1333333333333333</v>
      </c>
      <c r="X35" s="350">
        <f t="shared" si="34"/>
        <v>1.2</v>
      </c>
      <c r="Y35" s="350">
        <f t="shared" si="34"/>
        <v>1.2666666666666666</v>
      </c>
      <c r="Z35" s="350">
        <f t="shared" si="34"/>
        <v>1.3333333333333333</v>
      </c>
      <c r="AA35" s="350">
        <f t="shared" si="34"/>
        <v>1.4</v>
      </c>
      <c r="AB35" s="350">
        <f t="shared" si="34"/>
        <v>1.4666666666666666</v>
      </c>
      <c r="AC35" s="350">
        <f t="shared" si="34"/>
        <v>1.5333333333333334</v>
      </c>
      <c r="AD35" s="350">
        <f t="shared" si="34"/>
        <v>1.6</v>
      </c>
      <c r="AE35" s="350">
        <f t="shared" si="34"/>
        <v>1.6666666666666667</v>
      </c>
      <c r="AF35" s="350">
        <f t="shared" si="34"/>
        <v>1.7333333333333334</v>
      </c>
      <c r="AG35" s="350">
        <f t="shared" si="34"/>
        <v>1.8</v>
      </c>
      <c r="AH35" s="351">
        <f t="shared" si="34"/>
        <v>1.8666666666666667</v>
      </c>
      <c r="AI35" s="331"/>
      <c r="AJ35" s="331"/>
      <c r="AK35" s="331"/>
      <c r="AL35" s="331"/>
      <c r="AM35" s="331"/>
      <c r="AO35" s="334"/>
      <c r="AP35" s="333"/>
      <c r="AQ35" s="333"/>
      <c r="AR35" s="333"/>
      <c r="AS35" s="333"/>
      <c r="AT35" s="333"/>
      <c r="AU35" s="333"/>
      <c r="AV35" s="333"/>
      <c r="AW35" s="333"/>
      <c r="AX35" s="333"/>
      <c r="AY35" s="333"/>
      <c r="AZ35" s="335"/>
    </row>
    <row r="36" spans="2:52" s="344" customFormat="1" ht="8.25" customHeight="1">
      <c r="B36" s="614" t="s">
        <v>475</v>
      </c>
      <c r="C36" s="615"/>
      <c r="D36" s="615"/>
      <c r="E36" s="348">
        <f t="shared" ref="E36:P36" si="35">IF(E10/6&lt;1,1,E10/6)</f>
        <v>1</v>
      </c>
      <c r="F36" s="350">
        <f t="shared" si="35"/>
        <v>1</v>
      </c>
      <c r="G36" s="350">
        <f t="shared" si="35"/>
        <v>1</v>
      </c>
      <c r="H36" s="350">
        <f t="shared" si="35"/>
        <v>1</v>
      </c>
      <c r="I36" s="350">
        <f t="shared" si="35"/>
        <v>1</v>
      </c>
      <c r="J36" s="350">
        <f t="shared" si="35"/>
        <v>1</v>
      </c>
      <c r="K36" s="350">
        <f t="shared" si="35"/>
        <v>1</v>
      </c>
      <c r="L36" s="348">
        <f t="shared" si="35"/>
        <v>1</v>
      </c>
      <c r="M36" s="348">
        <f t="shared" si="35"/>
        <v>1</v>
      </c>
      <c r="N36" s="348">
        <f t="shared" si="35"/>
        <v>1</v>
      </c>
      <c r="O36" s="348">
        <f t="shared" si="35"/>
        <v>1</v>
      </c>
      <c r="P36" s="349">
        <f t="shared" si="35"/>
        <v>1</v>
      </c>
      <c r="Q36" s="331"/>
      <c r="R36" s="331"/>
      <c r="S36" s="331"/>
      <c r="T36" s="331"/>
      <c r="U36" s="331"/>
      <c r="V36" s="331"/>
      <c r="W36" s="398">
        <f t="shared" ref="W36:AH36" si="36">IF(W10/6&lt;1,1,W10/6)</f>
        <v>1</v>
      </c>
      <c r="X36" s="350">
        <f t="shared" si="36"/>
        <v>1</v>
      </c>
      <c r="Y36" s="350">
        <f t="shared" si="36"/>
        <v>1</v>
      </c>
      <c r="Z36" s="350">
        <f t="shared" si="36"/>
        <v>1</v>
      </c>
      <c r="AA36" s="350">
        <f t="shared" si="36"/>
        <v>1</v>
      </c>
      <c r="AB36" s="350">
        <f t="shared" si="36"/>
        <v>1.1666666666666667</v>
      </c>
      <c r="AC36" s="350">
        <f t="shared" si="36"/>
        <v>1.3333333333333333</v>
      </c>
      <c r="AD36" s="348">
        <f t="shared" si="36"/>
        <v>1.5</v>
      </c>
      <c r="AE36" s="348">
        <f t="shared" si="36"/>
        <v>1.6666666666666667</v>
      </c>
      <c r="AF36" s="348">
        <f t="shared" si="36"/>
        <v>1.8333333333333333</v>
      </c>
      <c r="AG36" s="348">
        <f t="shared" si="36"/>
        <v>2</v>
      </c>
      <c r="AH36" s="349">
        <f t="shared" si="36"/>
        <v>2.1666666666666665</v>
      </c>
      <c r="AI36" s="331"/>
      <c r="AJ36" s="331"/>
      <c r="AK36" s="331"/>
      <c r="AL36" s="331"/>
      <c r="AM36" s="331"/>
      <c r="AO36" s="334"/>
      <c r="AP36" s="333"/>
      <c r="AQ36" s="333"/>
      <c r="AR36" s="333"/>
      <c r="AS36" s="333"/>
      <c r="AT36" s="333"/>
      <c r="AU36" s="333"/>
      <c r="AV36" s="333"/>
      <c r="AW36" s="333"/>
      <c r="AX36" s="333"/>
      <c r="AY36" s="333"/>
      <c r="AZ36" s="335"/>
    </row>
    <row r="37" spans="2:52" ht="5.25" customHeight="1" thickBot="1">
      <c r="B37" s="377"/>
      <c r="C37" s="378"/>
      <c r="D37" s="379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1"/>
      <c r="W37" s="399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1"/>
      <c r="AO37" s="289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8"/>
    </row>
    <row r="38" spans="2:52" ht="12.75" customHeight="1">
      <c r="B38" s="662" t="s">
        <v>359</v>
      </c>
      <c r="C38" s="663"/>
      <c r="D38" s="678"/>
      <c r="E38" s="410">
        <v>210000</v>
      </c>
      <c r="F38" s="410">
        <v>210000</v>
      </c>
      <c r="G38" s="410">
        <v>210000</v>
      </c>
      <c r="H38" s="410">
        <v>250000</v>
      </c>
      <c r="I38" s="410">
        <v>250000</v>
      </c>
      <c r="J38" s="410">
        <v>250000</v>
      </c>
      <c r="K38" s="410">
        <v>250000</v>
      </c>
      <c r="L38" s="410">
        <v>250000</v>
      </c>
      <c r="M38" s="410">
        <v>250000</v>
      </c>
      <c r="N38" s="410">
        <v>250000</v>
      </c>
      <c r="O38" s="410">
        <v>250000</v>
      </c>
      <c r="P38" s="411">
        <v>250000</v>
      </c>
      <c r="Q38" s="282"/>
      <c r="R38" s="282"/>
      <c r="S38" s="282"/>
      <c r="T38" s="282"/>
      <c r="U38" s="282"/>
      <c r="V38" s="282"/>
      <c r="W38" s="413">
        <v>250000</v>
      </c>
      <c r="X38" s="410">
        <v>250000</v>
      </c>
      <c r="Y38" s="410">
        <v>250000</v>
      </c>
      <c r="Z38" s="410">
        <v>250000</v>
      </c>
      <c r="AA38" s="410">
        <v>250000</v>
      </c>
      <c r="AB38" s="410">
        <v>250000</v>
      </c>
      <c r="AC38" s="410">
        <v>250000</v>
      </c>
      <c r="AD38" s="410">
        <v>250000</v>
      </c>
      <c r="AE38" s="410">
        <v>250000</v>
      </c>
      <c r="AF38" s="410">
        <v>250000</v>
      </c>
      <c r="AG38" s="410">
        <v>250000</v>
      </c>
      <c r="AH38" s="411">
        <v>250000</v>
      </c>
      <c r="AI38" s="282"/>
      <c r="AJ38" s="282"/>
      <c r="AK38" s="282"/>
      <c r="AL38" s="282"/>
      <c r="AM38" s="282"/>
      <c r="AO38" s="294">
        <v>300000</v>
      </c>
      <c r="AP38" s="255">
        <v>300000</v>
      </c>
      <c r="AQ38" s="255">
        <v>300000</v>
      </c>
      <c r="AR38" s="255">
        <v>350000</v>
      </c>
      <c r="AS38" s="255">
        <v>350000</v>
      </c>
      <c r="AT38" s="255">
        <v>350000</v>
      </c>
      <c r="AU38" s="255">
        <v>350000</v>
      </c>
      <c r="AV38" s="255">
        <v>350000</v>
      </c>
      <c r="AW38" s="255">
        <v>350000</v>
      </c>
      <c r="AX38" s="255">
        <v>350000</v>
      </c>
      <c r="AY38" s="255">
        <v>350000</v>
      </c>
      <c r="AZ38" s="293">
        <v>350000</v>
      </c>
    </row>
    <row r="39" spans="2:52" ht="12.75" customHeight="1">
      <c r="B39" s="626" t="s">
        <v>360</v>
      </c>
      <c r="C39" s="627"/>
      <c r="D39" s="677"/>
      <c r="E39" s="408"/>
      <c r="F39" s="408"/>
      <c r="G39" s="408"/>
      <c r="H39" s="408">
        <v>180000</v>
      </c>
      <c r="I39" s="408">
        <v>180000</v>
      </c>
      <c r="J39" s="408">
        <v>180000</v>
      </c>
      <c r="K39" s="408">
        <v>180000</v>
      </c>
      <c r="L39" s="408">
        <v>180000</v>
      </c>
      <c r="M39" s="408">
        <v>180000</v>
      </c>
      <c r="N39" s="408">
        <v>180000</v>
      </c>
      <c r="O39" s="408">
        <v>180000</v>
      </c>
      <c r="P39" s="409">
        <v>180000</v>
      </c>
      <c r="Q39" s="282"/>
      <c r="R39" s="282"/>
      <c r="S39" s="282"/>
      <c r="T39" s="282"/>
      <c r="U39" s="282"/>
      <c r="V39" s="282"/>
      <c r="W39" s="412">
        <v>180000</v>
      </c>
      <c r="X39" s="408">
        <v>180000</v>
      </c>
      <c r="Y39" s="408">
        <v>180000</v>
      </c>
      <c r="Z39" s="408">
        <v>180000</v>
      </c>
      <c r="AA39" s="408">
        <v>180000</v>
      </c>
      <c r="AB39" s="408">
        <v>180000</v>
      </c>
      <c r="AC39" s="408">
        <v>180000</v>
      </c>
      <c r="AD39" s="408">
        <v>180000</v>
      </c>
      <c r="AE39" s="408">
        <v>180000</v>
      </c>
      <c r="AF39" s="408">
        <v>180000</v>
      </c>
      <c r="AG39" s="408">
        <v>180000</v>
      </c>
      <c r="AH39" s="409">
        <v>180000</v>
      </c>
      <c r="AI39" s="282"/>
      <c r="AJ39" s="282"/>
      <c r="AK39" s="282"/>
      <c r="AL39" s="282"/>
      <c r="AM39" s="282"/>
      <c r="AO39" s="294">
        <v>150000</v>
      </c>
      <c r="AP39" s="255">
        <v>150000</v>
      </c>
      <c r="AQ39" s="255">
        <v>150000</v>
      </c>
      <c r="AR39" s="255">
        <v>150000</v>
      </c>
      <c r="AS39" s="255">
        <v>150000</v>
      </c>
      <c r="AT39" s="255">
        <v>150000</v>
      </c>
      <c r="AU39" s="255">
        <v>150000</v>
      </c>
      <c r="AV39" s="255">
        <v>150000</v>
      </c>
      <c r="AW39" s="255">
        <v>150000</v>
      </c>
      <c r="AX39" s="255">
        <v>150000</v>
      </c>
      <c r="AY39" s="255">
        <v>150000</v>
      </c>
      <c r="AZ39" s="293">
        <v>150000</v>
      </c>
    </row>
    <row r="40" spans="2:52" ht="12.75" customHeight="1">
      <c r="B40" s="626" t="s">
        <v>485</v>
      </c>
      <c r="C40" s="627"/>
      <c r="D40" s="677"/>
      <c r="E40" s="255"/>
      <c r="F40" s="255"/>
      <c r="G40" s="255"/>
      <c r="H40" s="255">
        <v>200000</v>
      </c>
      <c r="I40" s="255">
        <v>180000</v>
      </c>
      <c r="J40" s="255">
        <v>180000</v>
      </c>
      <c r="K40" s="255">
        <v>180000</v>
      </c>
      <c r="L40" s="255">
        <v>180000</v>
      </c>
      <c r="M40" s="255">
        <v>180000</v>
      </c>
      <c r="N40" s="255">
        <v>180000</v>
      </c>
      <c r="O40" s="255">
        <v>180000</v>
      </c>
      <c r="P40" s="293">
        <v>180000</v>
      </c>
      <c r="Q40" s="282"/>
      <c r="R40" s="282"/>
      <c r="S40" s="282"/>
      <c r="T40" s="282"/>
      <c r="U40" s="282"/>
      <c r="V40" s="282"/>
      <c r="W40" s="294">
        <v>250000</v>
      </c>
      <c r="X40" s="255">
        <v>250000</v>
      </c>
      <c r="Y40" s="255">
        <v>250000</v>
      </c>
      <c r="Z40" s="255">
        <v>250000</v>
      </c>
      <c r="AA40" s="255">
        <v>250000</v>
      </c>
      <c r="AB40" s="255">
        <v>250000</v>
      </c>
      <c r="AC40" s="255">
        <v>250000</v>
      </c>
      <c r="AD40" s="255">
        <v>250000</v>
      </c>
      <c r="AE40" s="255">
        <v>250000</v>
      </c>
      <c r="AF40" s="255">
        <v>250000</v>
      </c>
      <c r="AG40" s="255">
        <v>250000</v>
      </c>
      <c r="AH40" s="293">
        <v>250000</v>
      </c>
      <c r="AI40" s="282"/>
      <c r="AJ40" s="282"/>
      <c r="AK40" s="282"/>
      <c r="AL40" s="282"/>
      <c r="AM40" s="282"/>
      <c r="AO40" s="294">
        <v>90000</v>
      </c>
      <c r="AP40" s="255">
        <v>90000</v>
      </c>
      <c r="AQ40" s="255">
        <v>90000</v>
      </c>
      <c r="AR40" s="255">
        <v>90000</v>
      </c>
      <c r="AS40" s="255">
        <v>90000</v>
      </c>
      <c r="AT40" s="255">
        <v>90000</v>
      </c>
      <c r="AU40" s="255">
        <v>90000</v>
      </c>
      <c r="AV40" s="255">
        <v>90000</v>
      </c>
      <c r="AW40" s="255">
        <v>90000</v>
      </c>
      <c r="AX40" s="255">
        <v>90000</v>
      </c>
      <c r="AY40" s="255">
        <v>90000</v>
      </c>
      <c r="AZ40" s="293">
        <v>90000</v>
      </c>
    </row>
    <row r="41" spans="2:52" ht="12.75" customHeight="1">
      <c r="B41" s="626" t="s">
        <v>485</v>
      </c>
      <c r="C41" s="627"/>
      <c r="D41" s="677"/>
      <c r="E41" s="255"/>
      <c r="F41" s="255"/>
      <c r="G41" s="255"/>
      <c r="H41" s="255">
        <v>140000</v>
      </c>
      <c r="I41" s="255">
        <v>120000</v>
      </c>
      <c r="J41" s="255">
        <v>120000</v>
      </c>
      <c r="K41" s="255">
        <v>120000</v>
      </c>
      <c r="L41" s="255">
        <v>120000</v>
      </c>
      <c r="M41" s="255">
        <v>120000</v>
      </c>
      <c r="N41" s="255">
        <v>120000</v>
      </c>
      <c r="O41" s="255">
        <v>120000</v>
      </c>
      <c r="P41" s="293">
        <v>120000</v>
      </c>
      <c r="Q41" s="282"/>
      <c r="R41" s="282"/>
      <c r="S41" s="282"/>
      <c r="T41" s="282"/>
      <c r="U41" s="282"/>
      <c r="V41" s="282"/>
      <c r="W41" s="294">
        <v>180000</v>
      </c>
      <c r="X41" s="255">
        <v>180000</v>
      </c>
      <c r="Y41" s="255">
        <v>180000</v>
      </c>
      <c r="Z41" s="255">
        <v>180000</v>
      </c>
      <c r="AA41" s="255">
        <v>180000</v>
      </c>
      <c r="AB41" s="255">
        <v>180000</v>
      </c>
      <c r="AC41" s="255">
        <v>180000</v>
      </c>
      <c r="AD41" s="255">
        <v>180000</v>
      </c>
      <c r="AE41" s="255">
        <v>180000</v>
      </c>
      <c r="AF41" s="255">
        <v>180000</v>
      </c>
      <c r="AG41" s="255">
        <v>180000</v>
      </c>
      <c r="AH41" s="293">
        <v>180000</v>
      </c>
      <c r="AI41" s="282"/>
      <c r="AJ41" s="282"/>
      <c r="AK41" s="282"/>
      <c r="AL41" s="282"/>
      <c r="AM41" s="282"/>
      <c r="AO41" s="294">
        <v>0</v>
      </c>
      <c r="AP41" s="255">
        <v>0</v>
      </c>
      <c r="AQ41" s="255">
        <v>0</v>
      </c>
      <c r="AR41" s="255">
        <v>0</v>
      </c>
      <c r="AS41" s="255">
        <v>0</v>
      </c>
      <c r="AT41" s="255">
        <v>0</v>
      </c>
      <c r="AU41" s="255">
        <v>0</v>
      </c>
      <c r="AV41" s="255">
        <v>0</v>
      </c>
      <c r="AW41" s="255">
        <v>0</v>
      </c>
      <c r="AX41" s="255">
        <v>0</v>
      </c>
      <c r="AY41" s="255">
        <v>0</v>
      </c>
      <c r="AZ41" s="293">
        <v>0</v>
      </c>
    </row>
    <row r="42" spans="2:52" ht="12.75" customHeight="1">
      <c r="B42" s="626" t="s">
        <v>485</v>
      </c>
      <c r="C42" s="627"/>
      <c r="D42" s="677"/>
      <c r="E42" s="255"/>
      <c r="F42" s="255"/>
      <c r="G42" s="255"/>
      <c r="H42" s="255">
        <v>120000</v>
      </c>
      <c r="I42" s="255">
        <v>100000</v>
      </c>
      <c r="J42" s="255">
        <v>100000</v>
      </c>
      <c r="K42" s="255">
        <v>100000</v>
      </c>
      <c r="L42" s="255">
        <v>100000</v>
      </c>
      <c r="M42" s="255">
        <v>100000</v>
      </c>
      <c r="N42" s="255">
        <v>100000</v>
      </c>
      <c r="O42" s="255">
        <v>100000</v>
      </c>
      <c r="P42" s="293">
        <v>100000</v>
      </c>
      <c r="Q42" s="282"/>
      <c r="R42" s="282"/>
      <c r="S42" s="282"/>
      <c r="T42" s="282"/>
      <c r="U42" s="282"/>
      <c r="V42" s="282"/>
      <c r="W42" s="294">
        <v>180000</v>
      </c>
      <c r="X42" s="255">
        <v>180000</v>
      </c>
      <c r="Y42" s="255">
        <v>180000</v>
      </c>
      <c r="Z42" s="255">
        <v>180000</v>
      </c>
      <c r="AA42" s="255">
        <v>180000</v>
      </c>
      <c r="AB42" s="255">
        <v>180000</v>
      </c>
      <c r="AC42" s="255">
        <v>180000</v>
      </c>
      <c r="AD42" s="255">
        <v>180000</v>
      </c>
      <c r="AE42" s="255">
        <v>180000</v>
      </c>
      <c r="AF42" s="255">
        <v>180000</v>
      </c>
      <c r="AG42" s="255">
        <v>180000</v>
      </c>
      <c r="AH42" s="293">
        <v>180000</v>
      </c>
      <c r="AI42" s="282"/>
      <c r="AJ42" s="282"/>
      <c r="AK42" s="282"/>
      <c r="AL42" s="282"/>
      <c r="AM42" s="282"/>
      <c r="AO42" s="294">
        <v>120000</v>
      </c>
      <c r="AP42" s="255">
        <v>120000</v>
      </c>
      <c r="AQ42" s="255">
        <v>120000</v>
      </c>
      <c r="AR42" s="255">
        <v>120000</v>
      </c>
      <c r="AS42" s="255">
        <v>120000</v>
      </c>
      <c r="AT42" s="255">
        <v>120000</v>
      </c>
      <c r="AU42" s="255">
        <v>120000</v>
      </c>
      <c r="AV42" s="255">
        <v>120000</v>
      </c>
      <c r="AW42" s="255">
        <v>120000</v>
      </c>
      <c r="AX42" s="255">
        <v>120000</v>
      </c>
      <c r="AY42" s="255">
        <v>120000</v>
      </c>
      <c r="AZ42" s="293">
        <v>120000</v>
      </c>
    </row>
    <row r="43" spans="2:52" ht="12.75" customHeight="1">
      <c r="B43" s="626" t="s">
        <v>486</v>
      </c>
      <c r="C43" s="627"/>
      <c r="D43" s="677"/>
      <c r="E43" s="255"/>
      <c r="F43" s="255"/>
      <c r="G43" s="255"/>
      <c r="H43" s="255">
        <v>140000</v>
      </c>
      <c r="I43" s="255">
        <v>120000</v>
      </c>
      <c r="J43" s="255">
        <v>120000</v>
      </c>
      <c r="K43" s="255">
        <v>120000</v>
      </c>
      <c r="L43" s="255">
        <v>120000</v>
      </c>
      <c r="M43" s="255">
        <v>120000</v>
      </c>
      <c r="N43" s="255">
        <v>120000</v>
      </c>
      <c r="O43" s="255">
        <v>120000</v>
      </c>
      <c r="P43" s="293">
        <v>120000</v>
      </c>
      <c r="Q43" s="282"/>
      <c r="R43" s="282"/>
      <c r="S43" s="282"/>
      <c r="T43" s="282"/>
      <c r="U43" s="282"/>
      <c r="V43" s="282"/>
      <c r="W43" s="294">
        <v>180000</v>
      </c>
      <c r="X43" s="255">
        <v>180000</v>
      </c>
      <c r="Y43" s="255">
        <v>180000</v>
      </c>
      <c r="Z43" s="255">
        <v>180000</v>
      </c>
      <c r="AA43" s="255">
        <v>180000</v>
      </c>
      <c r="AB43" s="255">
        <v>180000</v>
      </c>
      <c r="AC43" s="255">
        <v>180000</v>
      </c>
      <c r="AD43" s="255">
        <v>180000</v>
      </c>
      <c r="AE43" s="255">
        <v>180000</v>
      </c>
      <c r="AF43" s="255">
        <v>180000</v>
      </c>
      <c r="AG43" s="255">
        <v>180000</v>
      </c>
      <c r="AH43" s="293">
        <v>180000</v>
      </c>
      <c r="AI43" s="282"/>
      <c r="AJ43" s="282"/>
      <c r="AK43" s="282"/>
      <c r="AL43" s="282"/>
      <c r="AM43" s="282"/>
      <c r="AO43" s="294">
        <v>250000</v>
      </c>
      <c r="AP43" s="255">
        <v>250000</v>
      </c>
      <c r="AQ43" s="255">
        <v>250000</v>
      </c>
      <c r="AR43" s="255">
        <v>300000</v>
      </c>
      <c r="AS43" s="255">
        <v>300000</v>
      </c>
      <c r="AT43" s="255">
        <v>300000</v>
      </c>
      <c r="AU43" s="255">
        <v>300000</v>
      </c>
      <c r="AV43" s="255">
        <v>300000</v>
      </c>
      <c r="AW43" s="255">
        <v>300000</v>
      </c>
      <c r="AX43" s="255">
        <v>300000</v>
      </c>
      <c r="AY43" s="255">
        <v>300000</v>
      </c>
      <c r="AZ43" s="293">
        <v>300000</v>
      </c>
    </row>
    <row r="44" spans="2:52" ht="12.75" customHeight="1">
      <c r="B44" s="626" t="s">
        <v>488</v>
      </c>
      <c r="C44" s="627"/>
      <c r="D44" s="677"/>
      <c r="E44" s="255"/>
      <c r="F44" s="255"/>
      <c r="G44" s="255"/>
      <c r="H44" s="255">
        <v>150000</v>
      </c>
      <c r="I44" s="255">
        <v>130000</v>
      </c>
      <c r="J44" s="255">
        <v>130000</v>
      </c>
      <c r="K44" s="255">
        <v>130000</v>
      </c>
      <c r="L44" s="255">
        <v>130000</v>
      </c>
      <c r="M44" s="255">
        <v>130000</v>
      </c>
      <c r="N44" s="255">
        <v>130000</v>
      </c>
      <c r="O44" s="255">
        <v>130000</v>
      </c>
      <c r="P44" s="293">
        <v>130000</v>
      </c>
      <c r="Q44" s="282"/>
      <c r="R44" s="282"/>
      <c r="S44" s="282"/>
      <c r="T44" s="282"/>
      <c r="U44" s="282"/>
      <c r="V44" s="282"/>
      <c r="W44" s="294">
        <v>170000</v>
      </c>
      <c r="X44" s="255">
        <v>170000</v>
      </c>
      <c r="Y44" s="255">
        <v>170000</v>
      </c>
      <c r="Z44" s="255">
        <v>170000</v>
      </c>
      <c r="AA44" s="255">
        <v>170000</v>
      </c>
      <c r="AB44" s="255">
        <v>170000</v>
      </c>
      <c r="AC44" s="255">
        <v>170000</v>
      </c>
      <c r="AD44" s="255">
        <v>170000</v>
      </c>
      <c r="AE44" s="255">
        <v>170000</v>
      </c>
      <c r="AF44" s="255">
        <v>170000</v>
      </c>
      <c r="AG44" s="255">
        <v>170000</v>
      </c>
      <c r="AH44" s="293">
        <v>170000</v>
      </c>
      <c r="AI44" s="282"/>
      <c r="AJ44" s="282"/>
      <c r="AK44" s="282"/>
      <c r="AL44" s="282"/>
      <c r="AM44" s="282"/>
      <c r="AO44" s="294">
        <v>120000</v>
      </c>
      <c r="AP44" s="255">
        <v>120000</v>
      </c>
      <c r="AQ44" s="255">
        <v>120000</v>
      </c>
      <c r="AR44" s="255">
        <v>150000</v>
      </c>
      <c r="AS44" s="255">
        <v>150000</v>
      </c>
      <c r="AT44" s="255">
        <v>150000</v>
      </c>
      <c r="AU44" s="255">
        <v>150000</v>
      </c>
      <c r="AV44" s="255">
        <v>150000</v>
      </c>
      <c r="AW44" s="255">
        <v>150000</v>
      </c>
      <c r="AX44" s="255">
        <v>150000</v>
      </c>
      <c r="AY44" s="255">
        <v>150000</v>
      </c>
      <c r="AZ44" s="293">
        <v>150000</v>
      </c>
    </row>
    <row r="45" spans="2:52" ht="12.75" customHeight="1">
      <c r="B45" s="626" t="s">
        <v>488</v>
      </c>
      <c r="C45" s="627"/>
      <c r="D45" s="677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93"/>
      <c r="Q45" s="282"/>
      <c r="R45" s="282"/>
      <c r="S45" s="282"/>
      <c r="T45" s="282"/>
      <c r="U45" s="282"/>
      <c r="V45" s="282"/>
      <c r="W45" s="294">
        <v>130000</v>
      </c>
      <c r="X45" s="255">
        <v>130000</v>
      </c>
      <c r="Y45" s="255">
        <v>130000</v>
      </c>
      <c r="Z45" s="255">
        <v>130000</v>
      </c>
      <c r="AA45" s="255">
        <v>130000</v>
      </c>
      <c r="AB45" s="255">
        <v>130000</v>
      </c>
      <c r="AC45" s="255">
        <v>130000</v>
      </c>
      <c r="AD45" s="255">
        <v>130000</v>
      </c>
      <c r="AE45" s="255">
        <v>130000</v>
      </c>
      <c r="AF45" s="255">
        <v>130000</v>
      </c>
      <c r="AG45" s="255">
        <v>130000</v>
      </c>
      <c r="AH45" s="293">
        <v>130000</v>
      </c>
      <c r="AI45" s="282"/>
      <c r="AJ45" s="282"/>
      <c r="AK45" s="282"/>
      <c r="AL45" s="282"/>
      <c r="AM45" s="282"/>
      <c r="AO45" s="294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93"/>
    </row>
    <row r="46" spans="2:52" ht="12.75" customHeight="1">
      <c r="B46" s="626" t="s">
        <v>488</v>
      </c>
      <c r="C46" s="627"/>
      <c r="D46" s="677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93"/>
      <c r="Q46" s="282"/>
      <c r="R46" s="282"/>
      <c r="S46" s="282"/>
      <c r="T46" s="282"/>
      <c r="U46" s="282"/>
      <c r="V46" s="282"/>
      <c r="W46" s="294"/>
      <c r="X46" s="255"/>
      <c r="Y46" s="255"/>
      <c r="Z46" s="255"/>
      <c r="AA46" s="255"/>
      <c r="AB46" s="255"/>
      <c r="AC46" s="255"/>
      <c r="AD46" s="255"/>
      <c r="AE46" s="255">
        <v>130000</v>
      </c>
      <c r="AF46" s="255">
        <v>130000</v>
      </c>
      <c r="AG46" s="255">
        <v>130000</v>
      </c>
      <c r="AH46" s="293">
        <v>130000</v>
      </c>
      <c r="AI46" s="282"/>
      <c r="AJ46" s="282"/>
      <c r="AK46" s="282"/>
      <c r="AL46" s="282"/>
      <c r="AM46" s="282"/>
      <c r="AO46" s="294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93"/>
    </row>
    <row r="47" spans="2:52" ht="12.75" hidden="1" customHeight="1">
      <c r="B47" s="626" t="s">
        <v>488</v>
      </c>
      <c r="C47" s="627"/>
      <c r="D47" s="677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93"/>
      <c r="Q47" s="282"/>
      <c r="R47" s="282"/>
      <c r="S47" s="282"/>
      <c r="T47" s="282"/>
      <c r="U47" s="282"/>
      <c r="V47" s="282"/>
      <c r="W47" s="294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93"/>
      <c r="AI47" s="282"/>
      <c r="AJ47" s="282"/>
      <c r="AK47" s="282"/>
      <c r="AL47" s="282"/>
      <c r="AM47" s="282"/>
      <c r="AO47" s="294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93"/>
    </row>
    <row r="48" spans="2:52" ht="12.75" customHeight="1">
      <c r="B48" s="626" t="s">
        <v>487</v>
      </c>
      <c r="C48" s="627"/>
      <c r="D48" s="677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93"/>
      <c r="Q48" s="282"/>
      <c r="R48" s="282"/>
      <c r="S48" s="282"/>
      <c r="T48" s="282"/>
      <c r="U48" s="282"/>
      <c r="V48" s="282"/>
      <c r="W48" s="294">
        <v>180000</v>
      </c>
      <c r="X48" s="255">
        <v>180000</v>
      </c>
      <c r="Y48" s="255">
        <v>180000</v>
      </c>
      <c r="Z48" s="255">
        <v>180000</v>
      </c>
      <c r="AA48" s="255">
        <v>180000</v>
      </c>
      <c r="AB48" s="255">
        <v>180000</v>
      </c>
      <c r="AC48" s="255">
        <v>180000</v>
      </c>
      <c r="AD48" s="255">
        <v>180000</v>
      </c>
      <c r="AE48" s="255">
        <v>180000</v>
      </c>
      <c r="AF48" s="255">
        <v>180000</v>
      </c>
      <c r="AG48" s="255">
        <v>180000</v>
      </c>
      <c r="AH48" s="293">
        <v>180000</v>
      </c>
      <c r="AI48" s="282"/>
      <c r="AJ48" s="282"/>
      <c r="AK48" s="282"/>
      <c r="AL48" s="282"/>
      <c r="AM48" s="282"/>
      <c r="AO48" s="294"/>
      <c r="AP48" s="255"/>
      <c r="AQ48" s="255"/>
      <c r="AR48" s="255"/>
      <c r="AS48" s="255"/>
      <c r="AT48" s="255"/>
      <c r="AU48" s="255"/>
      <c r="AV48" s="255"/>
      <c r="AW48" s="255"/>
      <c r="AX48" s="255"/>
      <c r="AY48" s="255"/>
      <c r="AZ48" s="293"/>
    </row>
    <row r="49" spans="2:52" ht="12.75" customHeight="1">
      <c r="B49" s="626" t="s">
        <v>487</v>
      </c>
      <c r="C49" s="627"/>
      <c r="D49" s="677"/>
      <c r="E49" s="255"/>
      <c r="F49" s="255"/>
      <c r="G49" s="255"/>
      <c r="H49" s="255">
        <v>50000</v>
      </c>
      <c r="I49" s="255">
        <v>50000</v>
      </c>
      <c r="J49" s="255">
        <v>50000</v>
      </c>
      <c r="K49" s="255">
        <v>50000</v>
      </c>
      <c r="L49" s="255">
        <v>50000</v>
      </c>
      <c r="M49" s="255">
        <v>50000</v>
      </c>
      <c r="N49" s="255">
        <v>50000</v>
      </c>
      <c r="O49" s="255">
        <v>50000</v>
      </c>
      <c r="P49" s="293">
        <v>50000</v>
      </c>
      <c r="Q49" s="282"/>
      <c r="R49" s="282"/>
      <c r="S49" s="282"/>
      <c r="T49" s="282"/>
      <c r="U49" s="282"/>
      <c r="V49" s="282"/>
      <c r="W49" s="294">
        <v>50000</v>
      </c>
      <c r="X49" s="255">
        <v>50000</v>
      </c>
      <c r="Y49" s="255">
        <v>50000</v>
      </c>
      <c r="Z49" s="255">
        <v>50000</v>
      </c>
      <c r="AA49" s="255">
        <v>50000</v>
      </c>
      <c r="AB49" s="255">
        <v>50000</v>
      </c>
      <c r="AC49" s="255">
        <v>50000</v>
      </c>
      <c r="AD49" s="255">
        <v>50000</v>
      </c>
      <c r="AE49" s="255">
        <v>50000</v>
      </c>
      <c r="AF49" s="255">
        <v>50000</v>
      </c>
      <c r="AG49" s="255">
        <v>50000</v>
      </c>
      <c r="AH49" s="293">
        <v>50000</v>
      </c>
      <c r="AI49" s="282"/>
      <c r="AJ49" s="282"/>
      <c r="AK49" s="282"/>
      <c r="AL49" s="282"/>
      <c r="AM49" s="282"/>
      <c r="AO49" s="294">
        <v>120000</v>
      </c>
      <c r="AP49" s="255">
        <v>120000</v>
      </c>
      <c r="AQ49" s="255">
        <v>120000</v>
      </c>
      <c r="AR49" s="255">
        <v>120000</v>
      </c>
      <c r="AS49" s="255">
        <v>120000</v>
      </c>
      <c r="AT49" s="255">
        <v>120000</v>
      </c>
      <c r="AU49" s="255">
        <v>120000</v>
      </c>
      <c r="AV49" s="255">
        <v>120000</v>
      </c>
      <c r="AW49" s="255">
        <v>120000</v>
      </c>
      <c r="AX49" s="255">
        <v>120000</v>
      </c>
      <c r="AY49" s="255">
        <v>120000</v>
      </c>
      <c r="AZ49" s="293">
        <v>120000</v>
      </c>
    </row>
    <row r="50" spans="2:52" ht="8.25" customHeight="1" thickBot="1">
      <c r="B50" s="650" t="s">
        <v>487</v>
      </c>
      <c r="C50" s="651"/>
      <c r="D50" s="680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7"/>
      <c r="Q50" s="282"/>
      <c r="R50" s="282"/>
      <c r="S50" s="282"/>
      <c r="T50" s="282"/>
      <c r="U50" s="282"/>
      <c r="V50" s="282"/>
      <c r="W50" s="395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7"/>
      <c r="AI50" s="282"/>
      <c r="AJ50" s="282"/>
      <c r="AK50" s="282"/>
      <c r="AL50" s="282"/>
      <c r="AM50" s="282"/>
      <c r="AO50" s="294">
        <v>250000</v>
      </c>
      <c r="AP50" s="255">
        <v>250000</v>
      </c>
      <c r="AQ50" s="255">
        <v>250000</v>
      </c>
      <c r="AR50" s="255">
        <v>250000</v>
      </c>
      <c r="AS50" s="255">
        <v>250000</v>
      </c>
      <c r="AT50" s="255">
        <v>250000</v>
      </c>
      <c r="AU50" s="255">
        <v>250000</v>
      </c>
      <c r="AV50" s="255">
        <v>250000</v>
      </c>
      <c r="AW50" s="255">
        <v>250000</v>
      </c>
      <c r="AX50" s="255">
        <v>250000</v>
      </c>
      <c r="AY50" s="255">
        <v>250000</v>
      </c>
      <c r="AZ50" s="293">
        <v>250000</v>
      </c>
    </row>
    <row r="51" spans="2:52" ht="12.75" customHeight="1" thickTop="1" thickBot="1">
      <c r="B51" s="387" t="s">
        <v>450</v>
      </c>
      <c r="C51" s="388"/>
      <c r="D51" s="360"/>
      <c r="E51" s="389"/>
      <c r="F51" s="389"/>
      <c r="G51" s="389"/>
      <c r="H51" s="389"/>
      <c r="I51" s="389"/>
      <c r="J51" s="389">
        <v>300000</v>
      </c>
      <c r="K51" s="389"/>
      <c r="L51" s="389"/>
      <c r="M51" s="389"/>
      <c r="N51" s="389"/>
      <c r="O51" s="389"/>
      <c r="P51" s="390">
        <v>1000000</v>
      </c>
      <c r="Q51" s="282"/>
      <c r="R51" s="282"/>
      <c r="S51" s="282"/>
      <c r="T51" s="282"/>
      <c r="U51" s="282"/>
      <c r="V51" s="282"/>
      <c r="W51" s="400"/>
      <c r="X51" s="389"/>
      <c r="Y51" s="389"/>
      <c r="Z51" s="389"/>
      <c r="AA51" s="389"/>
      <c r="AB51" s="389">
        <v>1500000</v>
      </c>
      <c r="AC51" s="389"/>
      <c r="AD51" s="389"/>
      <c r="AE51" s="389"/>
      <c r="AF51" s="389"/>
      <c r="AG51" s="389"/>
      <c r="AH51" s="390">
        <v>2000000</v>
      </c>
      <c r="AI51" s="282"/>
      <c r="AJ51" s="282"/>
      <c r="AK51" s="282"/>
      <c r="AL51" s="282"/>
      <c r="AM51" s="282"/>
      <c r="AO51" s="294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93"/>
    </row>
    <row r="52" spans="2:52" ht="12" customHeight="1" thickTop="1" thickBot="1">
      <c r="B52" s="374" t="s">
        <v>483</v>
      </c>
      <c r="C52" s="375"/>
      <c r="D52" s="376"/>
      <c r="E52" s="367">
        <f t="shared" ref="E52:P52" si="37">SUM(E38:E50)</f>
        <v>210000</v>
      </c>
      <c r="F52" s="367">
        <f t="shared" si="37"/>
        <v>210000</v>
      </c>
      <c r="G52" s="367">
        <f t="shared" si="37"/>
        <v>210000</v>
      </c>
      <c r="H52" s="367">
        <f t="shared" si="37"/>
        <v>1230000</v>
      </c>
      <c r="I52" s="367">
        <f t="shared" si="37"/>
        <v>1130000</v>
      </c>
      <c r="J52" s="367">
        <f t="shared" si="37"/>
        <v>1130000</v>
      </c>
      <c r="K52" s="367">
        <f t="shared" si="37"/>
        <v>1130000</v>
      </c>
      <c r="L52" s="367">
        <f t="shared" si="37"/>
        <v>1130000</v>
      </c>
      <c r="M52" s="367">
        <f t="shared" si="37"/>
        <v>1130000</v>
      </c>
      <c r="N52" s="367">
        <f t="shared" si="37"/>
        <v>1130000</v>
      </c>
      <c r="O52" s="367">
        <f t="shared" si="37"/>
        <v>1130000</v>
      </c>
      <c r="P52" s="368">
        <f t="shared" si="37"/>
        <v>1130000</v>
      </c>
      <c r="Q52" s="282"/>
      <c r="R52" s="282"/>
      <c r="S52" s="282"/>
      <c r="T52" s="282"/>
      <c r="U52" s="282"/>
      <c r="V52" s="282"/>
      <c r="W52" s="396">
        <f t="shared" ref="W52:AH52" si="38">SUM(W38:W50)</f>
        <v>1750000</v>
      </c>
      <c r="X52" s="367">
        <f t="shared" si="38"/>
        <v>1750000</v>
      </c>
      <c r="Y52" s="367">
        <f t="shared" si="38"/>
        <v>1750000</v>
      </c>
      <c r="Z52" s="367">
        <f t="shared" si="38"/>
        <v>1750000</v>
      </c>
      <c r="AA52" s="367">
        <f t="shared" si="38"/>
        <v>1750000</v>
      </c>
      <c r="AB52" s="367">
        <f t="shared" si="38"/>
        <v>1750000</v>
      </c>
      <c r="AC52" s="367">
        <f t="shared" si="38"/>
        <v>1750000</v>
      </c>
      <c r="AD52" s="367">
        <f t="shared" si="38"/>
        <v>1750000</v>
      </c>
      <c r="AE52" s="367">
        <f t="shared" si="38"/>
        <v>1880000</v>
      </c>
      <c r="AF52" s="367">
        <f t="shared" si="38"/>
        <v>1880000</v>
      </c>
      <c r="AG52" s="367">
        <f t="shared" si="38"/>
        <v>1880000</v>
      </c>
      <c r="AH52" s="368">
        <f t="shared" si="38"/>
        <v>1880000</v>
      </c>
      <c r="AI52" s="282"/>
      <c r="AJ52" s="282"/>
      <c r="AK52" s="282"/>
      <c r="AL52" s="282"/>
      <c r="AM52" s="282"/>
      <c r="AO52" s="294">
        <f t="shared" ref="AO52:AZ52" si="39">SUM(AO38:AO50)</f>
        <v>1400000</v>
      </c>
      <c r="AP52" s="255">
        <f t="shared" si="39"/>
        <v>1400000</v>
      </c>
      <c r="AQ52" s="255">
        <f t="shared" si="39"/>
        <v>1400000</v>
      </c>
      <c r="AR52" s="255">
        <f t="shared" si="39"/>
        <v>1530000</v>
      </c>
      <c r="AS52" s="255">
        <f t="shared" si="39"/>
        <v>1530000</v>
      </c>
      <c r="AT52" s="255">
        <f t="shared" si="39"/>
        <v>1530000</v>
      </c>
      <c r="AU52" s="255">
        <f t="shared" si="39"/>
        <v>1530000</v>
      </c>
      <c r="AV52" s="255">
        <f t="shared" si="39"/>
        <v>1530000</v>
      </c>
      <c r="AW52" s="255">
        <f t="shared" si="39"/>
        <v>1530000</v>
      </c>
      <c r="AX52" s="255">
        <f t="shared" si="39"/>
        <v>1530000</v>
      </c>
      <c r="AY52" s="255">
        <f t="shared" si="39"/>
        <v>1530000</v>
      </c>
      <c r="AZ52" s="293">
        <f t="shared" si="39"/>
        <v>1530000</v>
      </c>
    </row>
    <row r="53" spans="2:52" ht="12" customHeight="1" thickTop="1" thickBot="1">
      <c r="B53" s="369" t="s">
        <v>385</v>
      </c>
      <c r="C53" s="370"/>
      <c r="D53" s="357" t="s">
        <v>482</v>
      </c>
      <c r="E53" s="371">
        <f>E52*0.1</f>
        <v>21000</v>
      </c>
      <c r="F53" s="371">
        <f t="shared" ref="F53:U53" si="40">F52*0.1</f>
        <v>21000</v>
      </c>
      <c r="G53" s="371">
        <f t="shared" si="40"/>
        <v>21000</v>
      </c>
      <c r="H53" s="371">
        <f t="shared" si="40"/>
        <v>123000</v>
      </c>
      <c r="I53" s="371">
        <f t="shared" si="40"/>
        <v>113000</v>
      </c>
      <c r="J53" s="371">
        <f t="shared" si="40"/>
        <v>113000</v>
      </c>
      <c r="K53" s="371">
        <f t="shared" si="40"/>
        <v>113000</v>
      </c>
      <c r="L53" s="372">
        <f t="shared" si="40"/>
        <v>113000</v>
      </c>
      <c r="M53" s="372">
        <f t="shared" si="40"/>
        <v>113000</v>
      </c>
      <c r="N53" s="372">
        <f t="shared" si="40"/>
        <v>113000</v>
      </c>
      <c r="O53" s="372">
        <f t="shared" si="40"/>
        <v>113000</v>
      </c>
      <c r="P53" s="373">
        <f t="shared" si="40"/>
        <v>113000</v>
      </c>
      <c r="Q53" s="282">
        <f t="shared" si="40"/>
        <v>0</v>
      </c>
      <c r="R53" s="282">
        <f t="shared" si="40"/>
        <v>0</v>
      </c>
      <c r="S53" s="282">
        <f t="shared" si="40"/>
        <v>0</v>
      </c>
      <c r="T53" s="282">
        <f t="shared" si="40"/>
        <v>0</v>
      </c>
      <c r="U53" s="282">
        <f t="shared" si="40"/>
        <v>0</v>
      </c>
      <c r="V53" s="282"/>
      <c r="W53" s="414">
        <f>W52*0.1</f>
        <v>175000</v>
      </c>
      <c r="X53" s="372">
        <f t="shared" ref="X53:AH53" si="41">X52*0.1</f>
        <v>175000</v>
      </c>
      <c r="Y53" s="372">
        <f t="shared" si="41"/>
        <v>175000</v>
      </c>
      <c r="Z53" s="372">
        <f t="shared" si="41"/>
        <v>175000</v>
      </c>
      <c r="AA53" s="372">
        <f t="shared" si="41"/>
        <v>175000</v>
      </c>
      <c r="AB53" s="372">
        <f t="shared" si="41"/>
        <v>175000</v>
      </c>
      <c r="AC53" s="372">
        <f t="shared" si="41"/>
        <v>175000</v>
      </c>
      <c r="AD53" s="372">
        <f t="shared" si="41"/>
        <v>175000</v>
      </c>
      <c r="AE53" s="372">
        <f t="shared" si="41"/>
        <v>188000</v>
      </c>
      <c r="AF53" s="372">
        <f t="shared" si="41"/>
        <v>188000</v>
      </c>
      <c r="AG53" s="372">
        <f t="shared" si="41"/>
        <v>188000</v>
      </c>
      <c r="AH53" s="373">
        <f t="shared" si="41"/>
        <v>188000</v>
      </c>
      <c r="AI53" s="282"/>
      <c r="AJ53" s="282"/>
      <c r="AK53" s="282"/>
      <c r="AL53" s="282"/>
      <c r="AM53" s="282"/>
      <c r="AN53" s="297"/>
      <c r="AO53" s="302">
        <f>AO52*0.16</f>
        <v>224000</v>
      </c>
      <c r="AP53" s="304">
        <f t="shared" ref="AP53:AY53" si="42">AP52*0.16</f>
        <v>224000</v>
      </c>
      <c r="AQ53" s="304">
        <f t="shared" si="42"/>
        <v>224000</v>
      </c>
      <c r="AR53" s="304">
        <f t="shared" si="42"/>
        <v>244800</v>
      </c>
      <c r="AS53" s="304">
        <f t="shared" si="42"/>
        <v>244800</v>
      </c>
      <c r="AT53" s="304">
        <f t="shared" si="42"/>
        <v>244800</v>
      </c>
      <c r="AU53" s="304">
        <f t="shared" si="42"/>
        <v>244800</v>
      </c>
      <c r="AV53" s="305">
        <f t="shared" si="42"/>
        <v>244800</v>
      </c>
      <c r="AW53" s="305">
        <f t="shared" si="42"/>
        <v>244800</v>
      </c>
      <c r="AX53" s="305">
        <f t="shared" si="42"/>
        <v>244800</v>
      </c>
      <c r="AY53" s="305">
        <f t="shared" si="42"/>
        <v>244800</v>
      </c>
      <c r="AZ53" s="306">
        <f>AZ52*0.16</f>
        <v>244800</v>
      </c>
    </row>
    <row r="54" spans="2:52" ht="15" customHeight="1" thickTop="1" thickBot="1">
      <c r="B54" s="382" t="s">
        <v>484</v>
      </c>
      <c r="C54" s="383"/>
      <c r="D54" s="384"/>
      <c r="E54" s="385">
        <f>E52+E53</f>
        <v>231000</v>
      </c>
      <c r="F54" s="385">
        <f t="shared" ref="F54:U54" si="43">F52+F53</f>
        <v>231000</v>
      </c>
      <c r="G54" s="385">
        <f t="shared" si="43"/>
        <v>231000</v>
      </c>
      <c r="H54" s="385">
        <f t="shared" si="43"/>
        <v>1353000</v>
      </c>
      <c r="I54" s="385">
        <f t="shared" si="43"/>
        <v>1243000</v>
      </c>
      <c r="J54" s="385">
        <f t="shared" si="43"/>
        <v>1243000</v>
      </c>
      <c r="K54" s="385">
        <f t="shared" si="43"/>
        <v>1243000</v>
      </c>
      <c r="L54" s="385">
        <f t="shared" si="43"/>
        <v>1243000</v>
      </c>
      <c r="M54" s="385">
        <f t="shared" si="43"/>
        <v>1243000</v>
      </c>
      <c r="N54" s="385">
        <f t="shared" si="43"/>
        <v>1243000</v>
      </c>
      <c r="O54" s="385">
        <f t="shared" si="43"/>
        <v>1243000</v>
      </c>
      <c r="P54" s="386">
        <f t="shared" si="43"/>
        <v>1243000</v>
      </c>
      <c r="Q54" s="254">
        <f t="shared" si="43"/>
        <v>0</v>
      </c>
      <c r="R54" s="254">
        <f t="shared" si="43"/>
        <v>0</v>
      </c>
      <c r="S54" s="254">
        <f t="shared" si="43"/>
        <v>0</v>
      </c>
      <c r="T54" s="254">
        <f t="shared" si="43"/>
        <v>0</v>
      </c>
      <c r="U54" s="254">
        <f t="shared" si="43"/>
        <v>0</v>
      </c>
      <c r="W54" s="402">
        <f>W52+W53</f>
        <v>1925000</v>
      </c>
      <c r="X54" s="385">
        <f t="shared" ref="X54:AH54" si="44">X52+X53</f>
        <v>1925000</v>
      </c>
      <c r="Y54" s="385">
        <f t="shared" si="44"/>
        <v>1925000</v>
      </c>
      <c r="Z54" s="385">
        <f t="shared" si="44"/>
        <v>1925000</v>
      </c>
      <c r="AA54" s="385">
        <f t="shared" si="44"/>
        <v>1925000</v>
      </c>
      <c r="AB54" s="385">
        <f t="shared" si="44"/>
        <v>1925000</v>
      </c>
      <c r="AC54" s="385">
        <f t="shared" si="44"/>
        <v>1925000</v>
      </c>
      <c r="AD54" s="385">
        <f t="shared" si="44"/>
        <v>1925000</v>
      </c>
      <c r="AE54" s="385">
        <f t="shared" si="44"/>
        <v>2068000</v>
      </c>
      <c r="AF54" s="385">
        <f t="shared" si="44"/>
        <v>2068000</v>
      </c>
      <c r="AG54" s="385">
        <f t="shared" si="44"/>
        <v>2068000</v>
      </c>
      <c r="AH54" s="386">
        <f t="shared" si="44"/>
        <v>2068000</v>
      </c>
    </row>
  </sheetData>
  <mergeCells count="49">
    <mergeCell ref="B50:D50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6:D36"/>
    <mergeCell ref="B38:D38"/>
    <mergeCell ref="B39:D39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35:D35"/>
    <mergeCell ref="B5:D5"/>
    <mergeCell ref="B18:D18"/>
    <mergeCell ref="B19:D19"/>
    <mergeCell ref="B20:D20"/>
    <mergeCell ref="B21:D21"/>
    <mergeCell ref="B6:D6"/>
    <mergeCell ref="B7:D7"/>
    <mergeCell ref="B8:D8"/>
    <mergeCell ref="B9:D9"/>
    <mergeCell ref="B10:D10"/>
    <mergeCell ref="B11:D11"/>
    <mergeCell ref="B22:D22"/>
    <mergeCell ref="B23:D23"/>
    <mergeCell ref="B12:D12"/>
    <mergeCell ref="B13:D13"/>
    <mergeCell ref="B14:D14"/>
    <mergeCell ref="B15:D15"/>
    <mergeCell ref="B16:D16"/>
    <mergeCell ref="B17:D17"/>
    <mergeCell ref="B4:D4"/>
    <mergeCell ref="B1:P1"/>
    <mergeCell ref="E2:F2"/>
    <mergeCell ref="W2:X2"/>
    <mergeCell ref="AO2:AP2"/>
    <mergeCell ref="B3:D3"/>
  </mergeCells>
  <phoneticPr fontId="2"/>
  <pageMargins left="0.25" right="0.25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A86-F8D0-4776-8B7C-A643AFEF8BE2}">
  <dimension ref="B1:BC39"/>
  <sheetViews>
    <sheetView workbookViewId="0">
      <selection activeCell="AA25" sqref="AA25"/>
    </sheetView>
  </sheetViews>
  <sheetFormatPr defaultRowHeight="23.25" customHeight="1"/>
  <cols>
    <col min="1" max="1" width="1.375" style="253" customWidth="1"/>
    <col min="2" max="2" width="12.25" style="254" customWidth="1"/>
    <col min="3" max="3" width="2.5" style="253" customWidth="1"/>
    <col min="4" max="4" width="7.5" style="254" customWidth="1"/>
    <col min="5" max="16" width="4.75" style="254" customWidth="1"/>
    <col min="17" max="21" width="5.375" style="254" hidden="1" customWidth="1"/>
    <col min="22" max="22" width="1.625" style="253" customWidth="1"/>
    <col min="23" max="23" width="4.625" style="253" customWidth="1"/>
    <col min="24" max="35" width="4.75" style="254" customWidth="1"/>
    <col min="36" max="39" width="5.375" style="254" hidden="1" customWidth="1"/>
    <col min="40" max="40" width="2.375" style="254" customWidth="1"/>
    <col min="41" max="41" width="4.75" style="253" customWidth="1"/>
    <col min="42" max="53" width="4.75" style="254" customWidth="1"/>
    <col min="54" max="54" width="9" style="253"/>
    <col min="55" max="55" width="11.5" style="253" bestFit="1" customWidth="1"/>
    <col min="56" max="16384" width="9" style="253"/>
  </cols>
  <sheetData>
    <row r="1" spans="2:55" ht="23.25" customHeight="1">
      <c r="B1" s="586" t="s">
        <v>443</v>
      </c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</row>
    <row r="2" spans="2:55" ht="23.25" customHeight="1" thickBot="1">
      <c r="E2" s="254" t="s">
        <v>387</v>
      </c>
      <c r="F2" s="282">
        <v>60000</v>
      </c>
      <c r="X2" s="254" t="s">
        <v>387</v>
      </c>
      <c r="Y2" s="282">
        <v>40000</v>
      </c>
      <c r="AP2" s="254" t="s">
        <v>387</v>
      </c>
      <c r="AQ2" s="282">
        <v>50000</v>
      </c>
    </row>
    <row r="3" spans="2:55" ht="23.25" customHeight="1">
      <c r="B3" s="687"/>
      <c r="C3" s="688"/>
      <c r="D3" s="689"/>
      <c r="E3" s="283" t="s">
        <v>351</v>
      </c>
      <c r="F3" s="283" t="s">
        <v>23</v>
      </c>
      <c r="G3" s="283" t="s">
        <v>68</v>
      </c>
      <c r="H3" s="283" t="s">
        <v>69</v>
      </c>
      <c r="I3" s="283" t="s">
        <v>15</v>
      </c>
      <c r="J3" s="283" t="s">
        <v>16</v>
      </c>
      <c r="K3" s="283" t="s">
        <v>17</v>
      </c>
      <c r="L3" s="283" t="s">
        <v>18</v>
      </c>
      <c r="M3" s="283" t="s">
        <v>19</v>
      </c>
      <c r="N3" s="283" t="s">
        <v>20</v>
      </c>
      <c r="O3" s="283" t="s">
        <v>21</v>
      </c>
      <c r="P3" s="284" t="s">
        <v>22</v>
      </c>
      <c r="Q3" s="285"/>
      <c r="R3" s="285"/>
      <c r="S3" s="285"/>
      <c r="T3" s="285"/>
      <c r="U3" s="285"/>
      <c r="W3" s="690"/>
      <c r="X3" s="283" t="s">
        <v>351</v>
      </c>
      <c r="Y3" s="283" t="s">
        <v>23</v>
      </c>
      <c r="Z3" s="283" t="s">
        <v>68</v>
      </c>
      <c r="AA3" s="283" t="s">
        <v>69</v>
      </c>
      <c r="AB3" s="283" t="s">
        <v>15</v>
      </c>
      <c r="AC3" s="283" t="s">
        <v>16</v>
      </c>
      <c r="AD3" s="283" t="s">
        <v>17</v>
      </c>
      <c r="AE3" s="283" t="s">
        <v>18</v>
      </c>
      <c r="AF3" s="283" t="s">
        <v>19</v>
      </c>
      <c r="AG3" s="283" t="s">
        <v>20</v>
      </c>
      <c r="AH3" s="283" t="s">
        <v>21</v>
      </c>
      <c r="AI3" s="284" t="s">
        <v>22</v>
      </c>
      <c r="AJ3" s="285"/>
      <c r="AK3" s="285"/>
      <c r="AL3" s="285"/>
      <c r="AM3" s="285"/>
      <c r="AN3" s="285"/>
      <c r="AO3" s="690"/>
      <c r="AP3" s="283" t="s">
        <v>351</v>
      </c>
      <c r="AQ3" s="283" t="s">
        <v>23</v>
      </c>
      <c r="AR3" s="283" t="s">
        <v>68</v>
      </c>
      <c r="AS3" s="283" t="s">
        <v>69</v>
      </c>
      <c r="AT3" s="283" t="s">
        <v>15</v>
      </c>
      <c r="AU3" s="283" t="s">
        <v>16</v>
      </c>
      <c r="AV3" s="283" t="s">
        <v>17</v>
      </c>
      <c r="AW3" s="283" t="s">
        <v>18</v>
      </c>
      <c r="AX3" s="283" t="s">
        <v>19</v>
      </c>
      <c r="AY3" s="283" t="s">
        <v>20</v>
      </c>
      <c r="AZ3" s="283" t="s">
        <v>21</v>
      </c>
      <c r="BA3" s="284" t="s">
        <v>22</v>
      </c>
    </row>
    <row r="4" spans="2:55" ht="23.25" customHeight="1">
      <c r="B4" s="684" t="s">
        <v>354</v>
      </c>
      <c r="C4" s="685"/>
      <c r="D4" s="686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>
        <v>10</v>
      </c>
      <c r="P4" s="288">
        <v>10</v>
      </c>
      <c r="W4" s="691"/>
      <c r="X4" s="289">
        <v>12</v>
      </c>
      <c r="Y4" s="287">
        <v>12</v>
      </c>
      <c r="Z4" s="287">
        <v>12</v>
      </c>
      <c r="AA4" s="287">
        <v>12</v>
      </c>
      <c r="AB4" s="287">
        <v>14</v>
      </c>
      <c r="AC4" s="287">
        <v>14</v>
      </c>
      <c r="AD4" s="287">
        <v>14</v>
      </c>
      <c r="AE4" s="287">
        <v>14</v>
      </c>
      <c r="AF4" s="287">
        <v>16</v>
      </c>
      <c r="AG4" s="287">
        <v>16</v>
      </c>
      <c r="AH4" s="287">
        <v>16</v>
      </c>
      <c r="AI4" s="288">
        <v>16</v>
      </c>
      <c r="AO4" s="691"/>
      <c r="AP4" s="289">
        <v>18</v>
      </c>
      <c r="AQ4" s="287">
        <v>18</v>
      </c>
      <c r="AR4" s="287">
        <v>18</v>
      </c>
      <c r="AS4" s="287">
        <v>18</v>
      </c>
      <c r="AT4" s="287">
        <v>20</v>
      </c>
      <c r="AU4" s="287">
        <v>20</v>
      </c>
      <c r="AV4" s="287">
        <v>20</v>
      </c>
      <c r="AW4" s="287">
        <v>20</v>
      </c>
      <c r="AX4" s="287">
        <v>20</v>
      </c>
      <c r="AY4" s="287">
        <v>20</v>
      </c>
      <c r="AZ4" s="287">
        <v>20</v>
      </c>
      <c r="BA4" s="288">
        <v>20</v>
      </c>
    </row>
    <row r="5" spans="2:55" ht="23.25" customHeight="1">
      <c r="B5" s="684" t="s">
        <v>355</v>
      </c>
      <c r="C5" s="685"/>
      <c r="D5" s="686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>
        <v>4</v>
      </c>
      <c r="P5" s="288">
        <v>4</v>
      </c>
      <c r="W5" s="691"/>
      <c r="X5" s="289">
        <v>4</v>
      </c>
      <c r="Y5" s="287">
        <v>4</v>
      </c>
      <c r="Z5" s="287">
        <v>6</v>
      </c>
      <c r="AA5" s="287">
        <v>6</v>
      </c>
      <c r="AB5" s="287">
        <v>6</v>
      </c>
      <c r="AC5" s="287">
        <v>6</v>
      </c>
      <c r="AD5" s="287">
        <v>8</v>
      </c>
      <c r="AE5" s="287">
        <v>8</v>
      </c>
      <c r="AF5" s="287">
        <v>8</v>
      </c>
      <c r="AG5" s="287">
        <v>8</v>
      </c>
      <c r="AH5" s="287">
        <v>10</v>
      </c>
      <c r="AI5" s="288">
        <v>10</v>
      </c>
      <c r="AO5" s="691"/>
      <c r="AP5" s="289">
        <v>10</v>
      </c>
      <c r="AQ5" s="287">
        <v>10</v>
      </c>
      <c r="AR5" s="287">
        <v>12</v>
      </c>
      <c r="AS5" s="287">
        <v>12</v>
      </c>
      <c r="AT5" s="287">
        <v>12</v>
      </c>
      <c r="AU5" s="287">
        <v>12</v>
      </c>
      <c r="AV5" s="287">
        <v>14</v>
      </c>
      <c r="AW5" s="287">
        <v>14</v>
      </c>
      <c r="AX5" s="287">
        <v>14</v>
      </c>
      <c r="AY5" s="287">
        <v>14</v>
      </c>
      <c r="AZ5" s="287">
        <v>16</v>
      </c>
      <c r="BA5" s="288">
        <v>16</v>
      </c>
    </row>
    <row r="6" spans="2:55" ht="23.25" customHeight="1">
      <c r="B6" s="684" t="s">
        <v>369</v>
      </c>
      <c r="C6" s="685"/>
      <c r="D6" s="686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>
        <f>18/6</f>
        <v>3</v>
      </c>
      <c r="P6" s="288">
        <f>18/6</f>
        <v>3</v>
      </c>
      <c r="W6" s="691"/>
      <c r="X6" s="290">
        <f t="shared" ref="X6:AD6" si="0">18/6</f>
        <v>3</v>
      </c>
      <c r="Y6" s="290">
        <f t="shared" si="0"/>
        <v>3</v>
      </c>
      <c r="Z6" s="290">
        <f t="shared" si="0"/>
        <v>3</v>
      </c>
      <c r="AA6" s="290">
        <f t="shared" si="0"/>
        <v>3</v>
      </c>
      <c r="AB6" s="290">
        <f t="shared" si="0"/>
        <v>3</v>
      </c>
      <c r="AC6" s="290">
        <f t="shared" si="0"/>
        <v>3</v>
      </c>
      <c r="AD6" s="290">
        <f t="shared" si="0"/>
        <v>3</v>
      </c>
      <c r="AE6" s="290">
        <f>(AE4+AE5)/6</f>
        <v>3.6666666666666665</v>
      </c>
      <c r="AF6" s="290">
        <f>(AF4+AF5)/6</f>
        <v>4</v>
      </c>
      <c r="AG6" s="290">
        <f>(AG4+AG5)/6</f>
        <v>4</v>
      </c>
      <c r="AH6" s="290">
        <f>(AH4+AH5)/6</f>
        <v>4.333333333333333</v>
      </c>
      <c r="AI6" s="291">
        <f>(AI4+AI5)/6</f>
        <v>4.333333333333333</v>
      </c>
      <c r="AJ6" s="292"/>
      <c r="AK6" s="292"/>
      <c r="AL6" s="292"/>
      <c r="AM6" s="292"/>
      <c r="AN6" s="292"/>
      <c r="AO6" s="691"/>
      <c r="AP6" s="290">
        <f t="shared" ref="AP6:BA6" si="1">(AP4+AP5)/6</f>
        <v>4.666666666666667</v>
      </c>
      <c r="AQ6" s="290">
        <f t="shared" si="1"/>
        <v>4.666666666666667</v>
      </c>
      <c r="AR6" s="290">
        <f t="shared" si="1"/>
        <v>5</v>
      </c>
      <c r="AS6" s="290">
        <f t="shared" si="1"/>
        <v>5</v>
      </c>
      <c r="AT6" s="290">
        <f t="shared" si="1"/>
        <v>5.333333333333333</v>
      </c>
      <c r="AU6" s="290">
        <f t="shared" si="1"/>
        <v>5.333333333333333</v>
      </c>
      <c r="AV6" s="290">
        <f t="shared" si="1"/>
        <v>5.666666666666667</v>
      </c>
      <c r="AW6" s="290">
        <f t="shared" si="1"/>
        <v>5.666666666666667</v>
      </c>
      <c r="AX6" s="290">
        <f t="shared" si="1"/>
        <v>5.666666666666667</v>
      </c>
      <c r="AY6" s="290">
        <f t="shared" si="1"/>
        <v>5.666666666666667</v>
      </c>
      <c r="AZ6" s="290">
        <f t="shared" si="1"/>
        <v>6</v>
      </c>
      <c r="BA6" s="291">
        <f t="shared" si="1"/>
        <v>6</v>
      </c>
    </row>
    <row r="7" spans="2:55" ht="23.25" customHeight="1">
      <c r="B7" s="684" t="s">
        <v>437</v>
      </c>
      <c r="C7" s="685"/>
      <c r="D7" s="686"/>
      <c r="E7" s="287"/>
      <c r="F7" s="287"/>
      <c r="G7" s="287"/>
      <c r="H7" s="287"/>
      <c r="I7" s="287"/>
      <c r="J7" s="287"/>
      <c r="K7" s="287"/>
      <c r="L7" s="290"/>
      <c r="M7" s="290"/>
      <c r="N7" s="290"/>
      <c r="O7" s="290">
        <f>18/15</f>
        <v>1.2</v>
      </c>
      <c r="P7" s="291">
        <f>18/15</f>
        <v>1.2</v>
      </c>
      <c r="Q7" s="292"/>
      <c r="R7" s="292"/>
      <c r="S7" s="292"/>
      <c r="T7" s="292"/>
      <c r="U7" s="292"/>
      <c r="W7" s="691"/>
      <c r="X7" s="290">
        <f>18/15</f>
        <v>1.2</v>
      </c>
      <c r="Y7" s="290">
        <f t="shared" ref="Y7:AD7" si="2">18/15</f>
        <v>1.2</v>
      </c>
      <c r="Z7" s="290">
        <f t="shared" si="2"/>
        <v>1.2</v>
      </c>
      <c r="AA7" s="290">
        <f t="shared" si="2"/>
        <v>1.2</v>
      </c>
      <c r="AB7" s="290">
        <f t="shared" si="2"/>
        <v>1.2</v>
      </c>
      <c r="AC7" s="290">
        <f>18/15</f>
        <v>1.2</v>
      </c>
      <c r="AD7" s="290">
        <f t="shared" si="2"/>
        <v>1.2</v>
      </c>
      <c r="AE7" s="290">
        <f>(AE4+AE5)/15</f>
        <v>1.4666666666666666</v>
      </c>
      <c r="AF7" s="290">
        <f>(AF4+AF5)/15</f>
        <v>1.6</v>
      </c>
      <c r="AG7" s="290">
        <f>(AG4+AG5)/15</f>
        <v>1.6</v>
      </c>
      <c r="AH7" s="290">
        <f>(AH4+AH5)/15</f>
        <v>1.7333333333333334</v>
      </c>
      <c r="AI7" s="291">
        <f>(AI4+AI5)/15</f>
        <v>1.7333333333333334</v>
      </c>
      <c r="AJ7" s="292"/>
      <c r="AK7" s="292"/>
      <c r="AL7" s="292"/>
      <c r="AM7" s="292"/>
      <c r="AN7" s="292"/>
      <c r="AO7" s="691"/>
      <c r="AP7" s="290">
        <f t="shared" ref="AP7:BA7" si="3">(AP4+AP5)/15</f>
        <v>1.8666666666666667</v>
      </c>
      <c r="AQ7" s="290">
        <f t="shared" si="3"/>
        <v>1.8666666666666667</v>
      </c>
      <c r="AR7" s="290">
        <f t="shared" si="3"/>
        <v>2</v>
      </c>
      <c r="AS7" s="290">
        <f t="shared" si="3"/>
        <v>2</v>
      </c>
      <c r="AT7" s="290">
        <f t="shared" si="3"/>
        <v>2.1333333333333333</v>
      </c>
      <c r="AU7" s="290">
        <f t="shared" si="3"/>
        <v>2.1333333333333333</v>
      </c>
      <c r="AV7" s="290">
        <f t="shared" si="3"/>
        <v>2.2666666666666666</v>
      </c>
      <c r="AW7" s="290">
        <f t="shared" si="3"/>
        <v>2.2666666666666666</v>
      </c>
      <c r="AX7" s="290">
        <f t="shared" si="3"/>
        <v>2.2666666666666666</v>
      </c>
      <c r="AY7" s="290">
        <f t="shared" si="3"/>
        <v>2.2666666666666666</v>
      </c>
      <c r="AZ7" s="290">
        <f t="shared" si="3"/>
        <v>2.4</v>
      </c>
      <c r="BA7" s="291">
        <f t="shared" si="3"/>
        <v>2.4</v>
      </c>
    </row>
    <row r="8" spans="2:55" ht="23.25" customHeight="1">
      <c r="B8" s="684" t="s">
        <v>379</v>
      </c>
      <c r="C8" s="685"/>
      <c r="D8" s="686"/>
      <c r="E8" s="255"/>
      <c r="F8" s="255"/>
      <c r="G8" s="255"/>
      <c r="H8" s="255"/>
      <c r="I8" s="255"/>
      <c r="J8" s="255"/>
      <c r="K8" s="255"/>
      <c r="L8" s="255">
        <f>$F$2*(L4+L5)*L21</f>
        <v>0</v>
      </c>
      <c r="M8" s="255">
        <f>$F$2*(M4+M5)*M21</f>
        <v>0</v>
      </c>
      <c r="N8" s="255">
        <f>$F$2*(N4+N5)*N21</f>
        <v>0</v>
      </c>
      <c r="O8" s="255">
        <f>$F$2*(O4+O5)*O21</f>
        <v>672000</v>
      </c>
      <c r="P8" s="293">
        <f>$F$2*(P4+P5)*P21</f>
        <v>672000</v>
      </c>
      <c r="Q8" s="282"/>
      <c r="R8" s="282"/>
      <c r="S8" s="282"/>
      <c r="T8" s="282"/>
      <c r="U8" s="282"/>
      <c r="V8" s="297"/>
      <c r="W8" s="691"/>
      <c r="X8" s="255">
        <f t="shared" ref="X8:AI8" si="4">$Y$2*(X4+X5)*X21</f>
        <v>512000</v>
      </c>
      <c r="Y8" s="255">
        <f t="shared" si="4"/>
        <v>512000</v>
      </c>
      <c r="Z8" s="255">
        <f t="shared" si="4"/>
        <v>576000</v>
      </c>
      <c r="AA8" s="255">
        <f t="shared" si="4"/>
        <v>576000</v>
      </c>
      <c r="AB8" s="255">
        <f t="shared" si="4"/>
        <v>640000</v>
      </c>
      <c r="AC8" s="255">
        <f t="shared" si="4"/>
        <v>640000</v>
      </c>
      <c r="AD8" s="255">
        <f t="shared" si="4"/>
        <v>704000</v>
      </c>
      <c r="AE8" s="255">
        <f t="shared" si="4"/>
        <v>704000</v>
      </c>
      <c r="AF8" s="255">
        <f t="shared" si="4"/>
        <v>768000</v>
      </c>
      <c r="AG8" s="255">
        <f t="shared" si="4"/>
        <v>768000</v>
      </c>
      <c r="AH8" s="255">
        <f t="shared" si="4"/>
        <v>832000</v>
      </c>
      <c r="AI8" s="293">
        <f t="shared" si="4"/>
        <v>832000</v>
      </c>
      <c r="AJ8" s="282"/>
      <c r="AK8" s="282"/>
      <c r="AL8" s="282"/>
      <c r="AM8" s="282"/>
      <c r="AN8" s="282"/>
      <c r="AO8" s="691"/>
      <c r="AP8" s="255">
        <f t="shared" ref="AP8:BA8" si="5">$F$2*(AP4+AP5)*AP21</f>
        <v>1344000</v>
      </c>
      <c r="AQ8" s="255">
        <f t="shared" si="5"/>
        <v>1344000</v>
      </c>
      <c r="AR8" s="255">
        <f t="shared" si="5"/>
        <v>1440000</v>
      </c>
      <c r="AS8" s="255">
        <f>$F$2*(AS4+AS5)*AS21</f>
        <v>1440000</v>
      </c>
      <c r="AT8" s="255">
        <f t="shared" si="5"/>
        <v>1536000</v>
      </c>
      <c r="AU8" s="255">
        <f t="shared" si="5"/>
        <v>1536000</v>
      </c>
      <c r="AV8" s="255">
        <f t="shared" si="5"/>
        <v>1632000</v>
      </c>
      <c r="AW8" s="255">
        <f t="shared" si="5"/>
        <v>1632000</v>
      </c>
      <c r="AX8" s="255">
        <f t="shared" si="5"/>
        <v>1632000</v>
      </c>
      <c r="AY8" s="255">
        <f t="shared" si="5"/>
        <v>1632000</v>
      </c>
      <c r="AZ8" s="255">
        <f t="shared" si="5"/>
        <v>1728000</v>
      </c>
      <c r="BA8" s="293">
        <f t="shared" si="5"/>
        <v>1728000</v>
      </c>
    </row>
    <row r="9" spans="2:55" ht="9" customHeight="1">
      <c r="B9" s="681"/>
      <c r="C9" s="682"/>
      <c r="D9" s="683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6"/>
      <c r="W9" s="691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6"/>
      <c r="AO9" s="691"/>
      <c r="AP9" s="295"/>
      <c r="AQ9" s="295"/>
      <c r="AR9" s="295"/>
      <c r="AS9" s="295"/>
      <c r="AT9" s="295"/>
      <c r="AU9" s="295"/>
      <c r="AV9" s="295"/>
      <c r="AW9" s="295"/>
      <c r="AX9" s="295"/>
      <c r="AY9" s="295"/>
      <c r="AZ9" s="295"/>
      <c r="BA9" s="296"/>
    </row>
    <row r="10" spans="2:55" ht="23.25" customHeight="1">
      <c r="B10" s="684" t="s">
        <v>357</v>
      </c>
      <c r="C10" s="685"/>
      <c r="D10" s="686"/>
      <c r="E10" s="255">
        <f>E4*E15*23*E20</f>
        <v>0</v>
      </c>
      <c r="F10" s="255">
        <f>F4*F15*20*F20</f>
        <v>0</v>
      </c>
      <c r="G10" s="255">
        <f>G4*G15*23*G20</f>
        <v>0</v>
      </c>
      <c r="H10" s="255">
        <f>H4*H15*22*H20</f>
        <v>0</v>
      </c>
      <c r="I10" s="255">
        <f>I4*I15*23*I20</f>
        <v>0</v>
      </c>
      <c r="J10" s="255">
        <f>J4*J15*22*J20</f>
        <v>0</v>
      </c>
      <c r="K10" s="255">
        <f>K4*K15*23*K20</f>
        <v>0</v>
      </c>
      <c r="L10" s="255">
        <f>ROUND((L4*(L15+L17+L18*0.6)*23*L20),-2)</f>
        <v>0</v>
      </c>
      <c r="M10" s="255">
        <f>ROUND((M4*(M15+M17+M18*0.6)*23*M20),-2)</f>
        <v>0</v>
      </c>
      <c r="N10" s="255">
        <f>ROUND((N4*(N15+N17+N18*0.6)*23*N20),-2)</f>
        <v>0</v>
      </c>
      <c r="O10" s="255">
        <f>ROUND((O4*(O15+O17+O18*0.6)*23*O20),-2)</f>
        <v>1393800</v>
      </c>
      <c r="P10" s="293">
        <f>ROUND((P4*(P15+P17+P18*0.6)*23*P20),-2)</f>
        <v>1393800</v>
      </c>
      <c r="Q10" s="282"/>
      <c r="R10" s="282"/>
      <c r="S10" s="282"/>
      <c r="T10" s="282"/>
      <c r="U10" s="282"/>
      <c r="W10" s="691"/>
      <c r="X10" s="255">
        <f t="shared" ref="X10:AI10" si="6">ROUND((X4*(X15+X17+X18*0.6)*23*X20),-2)</f>
        <v>1784100</v>
      </c>
      <c r="Y10" s="255">
        <f t="shared" si="6"/>
        <v>1784100</v>
      </c>
      <c r="Z10" s="255">
        <f t="shared" si="6"/>
        <v>1784100</v>
      </c>
      <c r="AA10" s="255">
        <f t="shared" si="6"/>
        <v>1784100</v>
      </c>
      <c r="AB10" s="255">
        <f t="shared" si="6"/>
        <v>2081400</v>
      </c>
      <c r="AC10" s="255">
        <f t="shared" si="6"/>
        <v>2081400</v>
      </c>
      <c r="AD10" s="255">
        <f t="shared" si="6"/>
        <v>2081400</v>
      </c>
      <c r="AE10" s="255">
        <f t="shared" si="6"/>
        <v>1951300</v>
      </c>
      <c r="AF10" s="255">
        <f t="shared" si="6"/>
        <v>2230100</v>
      </c>
      <c r="AG10" s="255">
        <f t="shared" si="6"/>
        <v>2230100</v>
      </c>
      <c r="AH10" s="255">
        <f t="shared" si="6"/>
        <v>2230100</v>
      </c>
      <c r="AI10" s="293">
        <f t="shared" si="6"/>
        <v>2230100</v>
      </c>
      <c r="AJ10" s="282"/>
      <c r="AK10" s="282"/>
      <c r="AL10" s="282"/>
      <c r="AM10" s="282"/>
      <c r="AN10" s="282"/>
      <c r="AO10" s="691"/>
      <c r="AP10" s="255">
        <f t="shared" ref="AP10:BA10" si="7">ROUND((AP4*(AP15+AP17+AP18*0.6)*23*AP20),-2)</f>
        <v>2676100</v>
      </c>
      <c r="AQ10" s="255">
        <f t="shared" si="7"/>
        <v>2676100</v>
      </c>
      <c r="AR10" s="255">
        <f t="shared" si="7"/>
        <v>2676100</v>
      </c>
      <c r="AS10" s="255">
        <f t="shared" si="7"/>
        <v>2676100</v>
      </c>
      <c r="AT10" s="255">
        <f t="shared" si="7"/>
        <v>2973400</v>
      </c>
      <c r="AU10" s="255">
        <f t="shared" si="7"/>
        <v>2973400</v>
      </c>
      <c r="AV10" s="255">
        <f t="shared" si="7"/>
        <v>2973400</v>
      </c>
      <c r="AW10" s="255">
        <f t="shared" si="7"/>
        <v>2787600</v>
      </c>
      <c r="AX10" s="255">
        <f t="shared" si="7"/>
        <v>2787600</v>
      </c>
      <c r="AY10" s="255">
        <f t="shared" si="7"/>
        <v>2787600</v>
      </c>
      <c r="AZ10" s="255">
        <f t="shared" si="7"/>
        <v>2787600</v>
      </c>
      <c r="BA10" s="293">
        <f t="shared" si="7"/>
        <v>2787600</v>
      </c>
    </row>
    <row r="11" spans="2:55" ht="23.25" customHeight="1">
      <c r="B11" s="684" t="s">
        <v>358</v>
      </c>
      <c r="C11" s="685"/>
      <c r="D11" s="686"/>
      <c r="E11" s="255">
        <f>E5*E16*23*E21</f>
        <v>0</v>
      </c>
      <c r="F11" s="255">
        <f>F5*F16*20*F21</f>
        <v>0</v>
      </c>
      <c r="G11" s="255">
        <f>G5*G16*23*G21</f>
        <v>0</v>
      </c>
      <c r="H11" s="255">
        <f>H5*H16*22*H21</f>
        <v>0</v>
      </c>
      <c r="I11" s="255">
        <f>I5*I16*23*I21</f>
        <v>0</v>
      </c>
      <c r="J11" s="255">
        <f>J5*J16*22*J21</f>
        <v>0</v>
      </c>
      <c r="K11" s="255">
        <f>K5*K16*23*K21</f>
        <v>0</v>
      </c>
      <c r="L11" s="255">
        <f>ROUND((L5*(L17+L16+L18*0.6)*23*L21),-2)</f>
        <v>0</v>
      </c>
      <c r="M11" s="255">
        <f>ROUND((M5*(M17+M16+M18*0.6)*23*M21),-2)</f>
        <v>0</v>
      </c>
      <c r="N11" s="255">
        <f>ROUND((N5*(N17+N16+N18*0.6)*23*N21),-2)</f>
        <v>0</v>
      </c>
      <c r="O11" s="255">
        <f>ROUND((O5*(O17+O16+O18*0.6)*23*O21),-2)</f>
        <v>668300</v>
      </c>
      <c r="P11" s="293">
        <f>ROUND((P5*(P17+P16+P18*0.6)*23*P21),-2)</f>
        <v>668300</v>
      </c>
      <c r="Q11" s="282"/>
      <c r="R11" s="282"/>
      <c r="S11" s="282"/>
      <c r="T11" s="282"/>
      <c r="U11" s="282"/>
      <c r="W11" s="691"/>
      <c r="X11" s="255">
        <f t="shared" ref="X11:AI11" si="8">ROUND((X5*(X17+X16+X18*0.6)*23*X21),-2)</f>
        <v>668300</v>
      </c>
      <c r="Y11" s="255">
        <f t="shared" si="8"/>
        <v>668300</v>
      </c>
      <c r="Z11" s="255">
        <f t="shared" si="8"/>
        <v>1002400</v>
      </c>
      <c r="AA11" s="255">
        <f t="shared" si="8"/>
        <v>1002400</v>
      </c>
      <c r="AB11" s="255">
        <f t="shared" si="8"/>
        <v>1002400</v>
      </c>
      <c r="AC11" s="255">
        <f t="shared" si="8"/>
        <v>1002400</v>
      </c>
      <c r="AD11" s="255">
        <f t="shared" si="8"/>
        <v>1336600</v>
      </c>
      <c r="AE11" s="255">
        <f t="shared" si="8"/>
        <v>1336600</v>
      </c>
      <c r="AF11" s="255">
        <f t="shared" si="8"/>
        <v>1336600</v>
      </c>
      <c r="AG11" s="255">
        <f t="shared" si="8"/>
        <v>1336600</v>
      </c>
      <c r="AH11" s="255">
        <f t="shared" si="8"/>
        <v>1670700</v>
      </c>
      <c r="AI11" s="293">
        <f t="shared" si="8"/>
        <v>1670700</v>
      </c>
      <c r="AJ11" s="282"/>
      <c r="AK11" s="282"/>
      <c r="AL11" s="282"/>
      <c r="AM11" s="282"/>
      <c r="AN11" s="282"/>
      <c r="AO11" s="691"/>
      <c r="AP11" s="255">
        <f t="shared" ref="AP11:BA11" si="9">ROUND((AP5*(AP17+AP16+AP18*0.6)*23*AP21),-2)</f>
        <v>1670700</v>
      </c>
      <c r="AQ11" s="255">
        <f t="shared" si="9"/>
        <v>1670700</v>
      </c>
      <c r="AR11" s="255">
        <f t="shared" si="9"/>
        <v>2004900</v>
      </c>
      <c r="AS11" s="255">
        <f t="shared" si="9"/>
        <v>2004900</v>
      </c>
      <c r="AT11" s="255">
        <f t="shared" si="9"/>
        <v>2004900</v>
      </c>
      <c r="AU11" s="255">
        <f t="shared" si="9"/>
        <v>2004900</v>
      </c>
      <c r="AV11" s="255">
        <f t="shared" si="9"/>
        <v>2339000</v>
      </c>
      <c r="AW11" s="255">
        <f t="shared" si="9"/>
        <v>2339000</v>
      </c>
      <c r="AX11" s="255">
        <f t="shared" si="9"/>
        <v>2339000</v>
      </c>
      <c r="AY11" s="255">
        <f t="shared" si="9"/>
        <v>2339000</v>
      </c>
      <c r="AZ11" s="255">
        <f t="shared" si="9"/>
        <v>2673200</v>
      </c>
      <c r="BA11" s="293">
        <f t="shared" si="9"/>
        <v>2673200</v>
      </c>
    </row>
    <row r="12" spans="2:55" ht="23.25" customHeight="1">
      <c r="B12" s="684" t="s">
        <v>380</v>
      </c>
      <c r="C12" s="685"/>
      <c r="D12" s="686"/>
      <c r="E12" s="255">
        <f>SUM(E10:E11)</f>
        <v>0</v>
      </c>
      <c r="F12" s="255">
        <f t="shared" ref="F12:P12" si="10">SUM(F10:F11)</f>
        <v>0</v>
      </c>
      <c r="G12" s="255">
        <f t="shared" si="10"/>
        <v>0</v>
      </c>
      <c r="H12" s="255">
        <f t="shared" si="10"/>
        <v>0</v>
      </c>
      <c r="I12" s="255">
        <f t="shared" si="10"/>
        <v>0</v>
      </c>
      <c r="J12" s="255">
        <f t="shared" si="10"/>
        <v>0</v>
      </c>
      <c r="K12" s="255">
        <f t="shared" si="10"/>
        <v>0</v>
      </c>
      <c r="L12" s="255">
        <f t="shared" si="10"/>
        <v>0</v>
      </c>
      <c r="M12" s="255">
        <f t="shared" si="10"/>
        <v>0</v>
      </c>
      <c r="N12" s="255">
        <f t="shared" si="10"/>
        <v>0</v>
      </c>
      <c r="O12" s="255">
        <f t="shared" si="10"/>
        <v>2062100</v>
      </c>
      <c r="P12" s="293">
        <f t="shared" si="10"/>
        <v>2062100</v>
      </c>
      <c r="Q12" s="282"/>
      <c r="R12" s="282"/>
      <c r="S12" s="282"/>
      <c r="T12" s="282"/>
      <c r="U12" s="282"/>
      <c r="W12" s="691"/>
      <c r="X12" s="255">
        <f>SUM(X10:X11)</f>
        <v>2452400</v>
      </c>
      <c r="Y12" s="255">
        <f t="shared" ref="Y12:AI12" si="11">SUM(Y10:Y11)</f>
        <v>2452400</v>
      </c>
      <c r="Z12" s="255">
        <f t="shared" si="11"/>
        <v>2786500</v>
      </c>
      <c r="AA12" s="255">
        <f t="shared" si="11"/>
        <v>2786500</v>
      </c>
      <c r="AB12" s="255">
        <f t="shared" si="11"/>
        <v>3083800</v>
      </c>
      <c r="AC12" s="255">
        <f t="shared" si="11"/>
        <v>3083800</v>
      </c>
      <c r="AD12" s="255">
        <f t="shared" si="11"/>
        <v>3418000</v>
      </c>
      <c r="AE12" s="255">
        <f t="shared" si="11"/>
        <v>3287900</v>
      </c>
      <c r="AF12" s="255">
        <f t="shared" si="11"/>
        <v>3566700</v>
      </c>
      <c r="AG12" s="255">
        <f t="shared" si="11"/>
        <v>3566700</v>
      </c>
      <c r="AH12" s="255">
        <f t="shared" si="11"/>
        <v>3900800</v>
      </c>
      <c r="AI12" s="293">
        <f t="shared" si="11"/>
        <v>3900800</v>
      </c>
      <c r="AJ12" s="282"/>
      <c r="AK12" s="282"/>
      <c r="AL12" s="282"/>
      <c r="AM12" s="282"/>
      <c r="AN12" s="282"/>
      <c r="AO12" s="691"/>
      <c r="AP12" s="255">
        <f>SUM(AP10:AP11)</f>
        <v>4346800</v>
      </c>
      <c r="AQ12" s="255">
        <f t="shared" ref="AQ12:BA12" si="12">SUM(AQ10:AQ11)</f>
        <v>4346800</v>
      </c>
      <c r="AR12" s="255">
        <f t="shared" si="12"/>
        <v>4681000</v>
      </c>
      <c r="AS12" s="255">
        <f t="shared" si="12"/>
        <v>4681000</v>
      </c>
      <c r="AT12" s="255">
        <f t="shared" si="12"/>
        <v>4978300</v>
      </c>
      <c r="AU12" s="255">
        <f t="shared" si="12"/>
        <v>4978300</v>
      </c>
      <c r="AV12" s="255">
        <f t="shared" si="12"/>
        <v>5312400</v>
      </c>
      <c r="AW12" s="255">
        <f t="shared" si="12"/>
        <v>5126600</v>
      </c>
      <c r="AX12" s="255">
        <f t="shared" si="12"/>
        <v>5126600</v>
      </c>
      <c r="AY12" s="255">
        <f t="shared" si="12"/>
        <v>5126600</v>
      </c>
      <c r="AZ12" s="255">
        <f t="shared" si="12"/>
        <v>5460800</v>
      </c>
      <c r="BA12" s="293">
        <f t="shared" si="12"/>
        <v>5460800</v>
      </c>
    </row>
    <row r="13" spans="2:55" ht="23.25" customHeight="1">
      <c r="B13" s="684" t="s">
        <v>381</v>
      </c>
      <c r="C13" s="685"/>
      <c r="D13" s="686"/>
      <c r="E13" s="255"/>
      <c r="F13" s="255"/>
      <c r="G13" s="255"/>
      <c r="H13" s="255"/>
      <c r="I13" s="255"/>
      <c r="J13" s="255"/>
      <c r="K13" s="255"/>
      <c r="L13" s="255">
        <f>L12/1000</f>
        <v>0</v>
      </c>
      <c r="M13" s="255">
        <f>M12/1000</f>
        <v>0</v>
      </c>
      <c r="N13" s="255">
        <f>N12/1000</f>
        <v>0</v>
      </c>
      <c r="O13" s="255">
        <f>O12/1000</f>
        <v>2062.1</v>
      </c>
      <c r="P13" s="293">
        <f>P12/1000</f>
        <v>2062.1</v>
      </c>
      <c r="Q13" s="282"/>
      <c r="R13" s="282"/>
      <c r="S13" s="282"/>
      <c r="T13" s="282"/>
      <c r="U13" s="282"/>
      <c r="W13" s="691"/>
      <c r="X13" s="255">
        <f t="shared" ref="X13:AI13" si="13">X12/1000</f>
        <v>2452.4</v>
      </c>
      <c r="Y13" s="255">
        <f t="shared" si="13"/>
        <v>2452.4</v>
      </c>
      <c r="Z13" s="255">
        <f t="shared" si="13"/>
        <v>2786.5</v>
      </c>
      <c r="AA13" s="255">
        <f t="shared" si="13"/>
        <v>2786.5</v>
      </c>
      <c r="AB13" s="255">
        <f t="shared" si="13"/>
        <v>3083.8</v>
      </c>
      <c r="AC13" s="255">
        <f t="shared" si="13"/>
        <v>3083.8</v>
      </c>
      <c r="AD13" s="255">
        <f t="shared" si="13"/>
        <v>3418</v>
      </c>
      <c r="AE13" s="255">
        <f t="shared" si="13"/>
        <v>3287.9</v>
      </c>
      <c r="AF13" s="255">
        <f t="shared" si="13"/>
        <v>3566.7</v>
      </c>
      <c r="AG13" s="255">
        <f t="shared" si="13"/>
        <v>3566.7</v>
      </c>
      <c r="AH13" s="255">
        <f t="shared" si="13"/>
        <v>3900.8</v>
      </c>
      <c r="AI13" s="293">
        <f t="shared" si="13"/>
        <v>3900.8</v>
      </c>
      <c r="AJ13" s="282"/>
      <c r="AK13" s="282"/>
      <c r="AL13" s="282"/>
      <c r="AM13" s="282"/>
      <c r="AN13" s="282"/>
      <c r="AO13" s="691"/>
      <c r="AP13" s="255">
        <f t="shared" ref="AP13:BA13" si="14">AP12/1000</f>
        <v>4346.8</v>
      </c>
      <c r="AQ13" s="255">
        <f t="shared" si="14"/>
        <v>4346.8</v>
      </c>
      <c r="AR13" s="255">
        <f t="shared" si="14"/>
        <v>4681</v>
      </c>
      <c r="AS13" s="255">
        <f t="shared" si="14"/>
        <v>4681</v>
      </c>
      <c r="AT13" s="255">
        <f t="shared" si="14"/>
        <v>4978.3</v>
      </c>
      <c r="AU13" s="255">
        <f t="shared" si="14"/>
        <v>4978.3</v>
      </c>
      <c r="AV13" s="255">
        <f t="shared" si="14"/>
        <v>5312.4</v>
      </c>
      <c r="AW13" s="255">
        <f t="shared" si="14"/>
        <v>5126.6000000000004</v>
      </c>
      <c r="AX13" s="255">
        <f t="shared" si="14"/>
        <v>5126.6000000000004</v>
      </c>
      <c r="AY13" s="255">
        <f t="shared" si="14"/>
        <v>5126.6000000000004</v>
      </c>
      <c r="AZ13" s="255">
        <f t="shared" si="14"/>
        <v>5460.8</v>
      </c>
      <c r="BA13" s="293">
        <f t="shared" si="14"/>
        <v>5460.8</v>
      </c>
    </row>
    <row r="14" spans="2:55" ht="9" customHeight="1">
      <c r="B14" s="681"/>
      <c r="C14" s="682"/>
      <c r="D14" s="683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6"/>
      <c r="W14" s="691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6"/>
      <c r="AO14" s="691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6"/>
    </row>
    <row r="15" spans="2:55" ht="23.25" customHeight="1">
      <c r="B15" s="684" t="s">
        <v>352</v>
      </c>
      <c r="C15" s="685"/>
      <c r="D15" s="686"/>
      <c r="E15" s="255">
        <v>8080</v>
      </c>
      <c r="F15" s="255">
        <v>8080</v>
      </c>
      <c r="G15" s="255">
        <v>8080</v>
      </c>
      <c r="H15" s="255">
        <v>8080</v>
      </c>
      <c r="I15" s="255">
        <v>8080</v>
      </c>
      <c r="J15" s="255">
        <v>8080</v>
      </c>
      <c r="K15" s="255">
        <v>8080</v>
      </c>
      <c r="L15" s="255">
        <v>8080</v>
      </c>
      <c r="M15" s="255">
        <v>8080</v>
      </c>
      <c r="N15" s="255">
        <v>8080</v>
      </c>
      <c r="O15" s="255">
        <v>8080</v>
      </c>
      <c r="P15" s="293">
        <v>8080</v>
      </c>
      <c r="Q15" s="282"/>
      <c r="R15" s="282"/>
      <c r="S15" s="282"/>
      <c r="T15" s="282"/>
      <c r="U15" s="282"/>
      <c r="W15" s="691"/>
      <c r="X15" s="255">
        <v>8080</v>
      </c>
      <c r="Y15" s="255">
        <v>8080</v>
      </c>
      <c r="Z15" s="255">
        <v>8080</v>
      </c>
      <c r="AA15" s="255">
        <v>8080</v>
      </c>
      <c r="AB15" s="255">
        <v>8080</v>
      </c>
      <c r="AC15" s="255">
        <v>8080</v>
      </c>
      <c r="AD15" s="255">
        <v>8080</v>
      </c>
      <c r="AE15" s="255">
        <v>8080</v>
      </c>
      <c r="AF15" s="255">
        <v>8080</v>
      </c>
      <c r="AG15" s="255">
        <v>8080</v>
      </c>
      <c r="AH15" s="255">
        <v>8080</v>
      </c>
      <c r="AI15" s="293">
        <v>8080</v>
      </c>
      <c r="AJ15" s="282"/>
      <c r="AK15" s="282"/>
      <c r="AL15" s="282"/>
      <c r="AM15" s="282"/>
      <c r="AN15" s="282"/>
      <c r="AO15" s="691"/>
      <c r="AP15" s="255">
        <v>8080</v>
      </c>
      <c r="AQ15" s="255">
        <v>8080</v>
      </c>
      <c r="AR15" s="255">
        <v>8080</v>
      </c>
      <c r="AS15" s="255">
        <v>8080</v>
      </c>
      <c r="AT15" s="255">
        <v>8080</v>
      </c>
      <c r="AU15" s="255">
        <v>8080</v>
      </c>
      <c r="AV15" s="255">
        <v>8080</v>
      </c>
      <c r="AW15" s="255">
        <v>8080</v>
      </c>
      <c r="AX15" s="255">
        <v>8080</v>
      </c>
      <c r="AY15" s="255">
        <v>8080</v>
      </c>
      <c r="AZ15" s="255">
        <v>8080</v>
      </c>
      <c r="BA15" s="293">
        <v>8080</v>
      </c>
    </row>
    <row r="16" spans="2:55" ht="23.25" customHeight="1">
      <c r="B16" s="684" t="s">
        <v>353</v>
      </c>
      <c r="C16" s="685"/>
      <c r="D16" s="686"/>
      <c r="E16" s="255">
        <v>9080</v>
      </c>
      <c r="F16" s="255">
        <v>9080</v>
      </c>
      <c r="G16" s="255">
        <v>9080</v>
      </c>
      <c r="H16" s="255">
        <v>9080</v>
      </c>
      <c r="I16" s="255">
        <v>9080</v>
      </c>
      <c r="J16" s="255">
        <v>9080</v>
      </c>
      <c r="K16" s="255">
        <v>9080</v>
      </c>
      <c r="L16" s="255">
        <v>9080</v>
      </c>
      <c r="M16" s="255">
        <v>9080</v>
      </c>
      <c r="N16" s="255">
        <v>9080</v>
      </c>
      <c r="O16" s="255">
        <v>9080</v>
      </c>
      <c r="P16" s="293">
        <v>9080</v>
      </c>
      <c r="Q16" s="282"/>
      <c r="R16" s="282"/>
      <c r="S16" s="282"/>
      <c r="T16" s="282"/>
      <c r="U16" s="282"/>
      <c r="W16" s="691"/>
      <c r="X16" s="255">
        <v>9080</v>
      </c>
      <c r="Y16" s="255">
        <v>9080</v>
      </c>
      <c r="Z16" s="255">
        <v>9080</v>
      </c>
      <c r="AA16" s="255">
        <v>9080</v>
      </c>
      <c r="AB16" s="255">
        <v>9080</v>
      </c>
      <c r="AC16" s="255">
        <v>9080</v>
      </c>
      <c r="AD16" s="255">
        <v>9080</v>
      </c>
      <c r="AE16" s="255">
        <v>9080</v>
      </c>
      <c r="AF16" s="255">
        <v>9080</v>
      </c>
      <c r="AG16" s="255">
        <v>9080</v>
      </c>
      <c r="AH16" s="255">
        <v>9080</v>
      </c>
      <c r="AI16" s="293">
        <v>9080</v>
      </c>
      <c r="AJ16" s="282"/>
      <c r="AK16" s="282"/>
      <c r="AL16" s="282"/>
      <c r="AM16" s="282"/>
      <c r="AN16" s="282"/>
      <c r="AO16" s="691"/>
      <c r="AP16" s="255">
        <v>9080</v>
      </c>
      <c r="AQ16" s="255">
        <v>9080</v>
      </c>
      <c r="AR16" s="255">
        <v>9080</v>
      </c>
      <c r="AS16" s="255">
        <v>9080</v>
      </c>
      <c r="AT16" s="255">
        <v>9080</v>
      </c>
      <c r="AU16" s="255">
        <v>9080</v>
      </c>
      <c r="AV16" s="255">
        <v>9080</v>
      </c>
      <c r="AW16" s="255">
        <v>9080</v>
      </c>
      <c r="AX16" s="255">
        <v>9080</v>
      </c>
      <c r="AY16" s="255">
        <v>9080</v>
      </c>
      <c r="AZ16" s="255">
        <v>9080</v>
      </c>
      <c r="BA16" s="293">
        <v>9080</v>
      </c>
      <c r="BC16" s="253">
        <f>120*15000</f>
        <v>1800000</v>
      </c>
    </row>
    <row r="17" spans="2:55" ht="23.25" hidden="1" customHeight="1">
      <c r="B17" s="684"/>
      <c r="C17" s="685"/>
      <c r="D17" s="686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93"/>
      <c r="Q17" s="282"/>
      <c r="R17" s="282"/>
      <c r="S17" s="282"/>
      <c r="T17" s="282"/>
      <c r="U17" s="282"/>
      <c r="W17" s="691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93"/>
      <c r="AJ17" s="282"/>
      <c r="AK17" s="282"/>
      <c r="AL17" s="282"/>
      <c r="AM17" s="282"/>
      <c r="AN17" s="282"/>
      <c r="AO17" s="691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93"/>
    </row>
    <row r="18" spans="2:55" ht="21.75" customHeight="1">
      <c r="B18" s="684" t="s">
        <v>388</v>
      </c>
      <c r="C18" s="685"/>
      <c r="D18" s="686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93"/>
      <c r="Q18" s="282"/>
      <c r="R18" s="282"/>
      <c r="S18" s="282"/>
      <c r="T18" s="282"/>
      <c r="U18" s="282"/>
      <c r="W18" s="691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82"/>
      <c r="AK18" s="282"/>
      <c r="AL18" s="282"/>
      <c r="AM18" s="282"/>
      <c r="AN18" s="282"/>
      <c r="AO18" s="691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C18" s="253">
        <f>240000*6</f>
        <v>1440000</v>
      </c>
    </row>
    <row r="19" spans="2:55" ht="23.25" hidden="1" customHeight="1">
      <c r="B19" s="684"/>
      <c r="C19" s="685"/>
      <c r="D19" s="686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93"/>
      <c r="Q19" s="282"/>
      <c r="R19" s="282"/>
      <c r="S19" s="282"/>
      <c r="T19" s="282"/>
      <c r="U19" s="282"/>
      <c r="W19" s="691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93"/>
      <c r="AJ19" s="282"/>
      <c r="AK19" s="282"/>
      <c r="AL19" s="282"/>
      <c r="AM19" s="282"/>
      <c r="AN19" s="282"/>
      <c r="AO19" s="691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93"/>
    </row>
    <row r="20" spans="2:55" ht="23.25" hidden="1" customHeight="1">
      <c r="B20" s="684" t="s">
        <v>356</v>
      </c>
      <c r="C20" s="685"/>
      <c r="D20" s="686"/>
      <c r="E20" s="287">
        <v>0.8</v>
      </c>
      <c r="F20" s="287">
        <v>0.8</v>
      </c>
      <c r="G20" s="287">
        <v>0.8</v>
      </c>
      <c r="H20" s="287">
        <v>0.8</v>
      </c>
      <c r="I20" s="287">
        <v>0.8</v>
      </c>
      <c r="J20" s="287">
        <v>0.8</v>
      </c>
      <c r="K20" s="287">
        <v>0.8</v>
      </c>
      <c r="L20" s="287">
        <v>0.75</v>
      </c>
      <c r="M20" s="287">
        <v>0.75</v>
      </c>
      <c r="N20" s="287">
        <v>0.75</v>
      </c>
      <c r="O20" s="287">
        <v>0.75</v>
      </c>
      <c r="P20" s="288">
        <v>0.75</v>
      </c>
      <c r="W20" s="691"/>
      <c r="X20" s="287">
        <v>0.8</v>
      </c>
      <c r="Y20" s="287">
        <v>0.8</v>
      </c>
      <c r="Z20" s="287">
        <v>0.8</v>
      </c>
      <c r="AA20" s="287">
        <v>0.8</v>
      </c>
      <c r="AB20" s="287">
        <v>0.8</v>
      </c>
      <c r="AC20" s="287">
        <v>0.8</v>
      </c>
      <c r="AD20" s="287">
        <v>0.8</v>
      </c>
      <c r="AE20" s="287">
        <v>0.75</v>
      </c>
      <c r="AF20" s="287">
        <v>0.75</v>
      </c>
      <c r="AG20" s="287">
        <v>0.75</v>
      </c>
      <c r="AH20" s="287">
        <v>0.75</v>
      </c>
      <c r="AI20" s="288">
        <v>0.75</v>
      </c>
      <c r="AO20" s="691"/>
      <c r="AP20" s="287">
        <v>0.8</v>
      </c>
      <c r="AQ20" s="287">
        <v>0.8</v>
      </c>
      <c r="AR20" s="287">
        <v>0.8</v>
      </c>
      <c r="AS20" s="287">
        <v>0.8</v>
      </c>
      <c r="AT20" s="287">
        <v>0.8</v>
      </c>
      <c r="AU20" s="287">
        <v>0.8</v>
      </c>
      <c r="AV20" s="287">
        <v>0.8</v>
      </c>
      <c r="AW20" s="287">
        <v>0.75</v>
      </c>
      <c r="AX20" s="287">
        <v>0.75</v>
      </c>
      <c r="AY20" s="287">
        <v>0.75</v>
      </c>
      <c r="AZ20" s="287">
        <v>0.75</v>
      </c>
      <c r="BA20" s="288">
        <v>0.75</v>
      </c>
    </row>
    <row r="21" spans="2:55" ht="23.25" customHeight="1">
      <c r="B21" s="684" t="s">
        <v>356</v>
      </c>
      <c r="C21" s="685"/>
      <c r="D21" s="686"/>
      <c r="E21" s="287">
        <v>0.8</v>
      </c>
      <c r="F21" s="287">
        <v>0.8</v>
      </c>
      <c r="G21" s="287">
        <v>0.8</v>
      </c>
      <c r="H21" s="287">
        <v>0.8</v>
      </c>
      <c r="I21" s="287">
        <v>0.8</v>
      </c>
      <c r="J21" s="287">
        <v>0.8</v>
      </c>
      <c r="K21" s="287">
        <v>0.8</v>
      </c>
      <c r="L21" s="287">
        <v>0.8</v>
      </c>
      <c r="M21" s="287">
        <v>0.8</v>
      </c>
      <c r="N21" s="287">
        <v>0.8</v>
      </c>
      <c r="O21" s="287">
        <v>0.8</v>
      </c>
      <c r="P21" s="288">
        <v>0.8</v>
      </c>
      <c r="W21" s="691"/>
      <c r="X21" s="287">
        <v>0.8</v>
      </c>
      <c r="Y21" s="287">
        <v>0.8</v>
      </c>
      <c r="Z21" s="287">
        <v>0.8</v>
      </c>
      <c r="AA21" s="287">
        <v>0.8</v>
      </c>
      <c r="AB21" s="287">
        <v>0.8</v>
      </c>
      <c r="AC21" s="287">
        <v>0.8</v>
      </c>
      <c r="AD21" s="287">
        <v>0.8</v>
      </c>
      <c r="AE21" s="287">
        <v>0.8</v>
      </c>
      <c r="AF21" s="287">
        <v>0.8</v>
      </c>
      <c r="AG21" s="287">
        <v>0.8</v>
      </c>
      <c r="AH21" s="287">
        <v>0.8</v>
      </c>
      <c r="AI21" s="288">
        <v>0.8</v>
      </c>
      <c r="AO21" s="691"/>
      <c r="AP21" s="287">
        <v>0.8</v>
      </c>
      <c r="AQ21" s="287">
        <v>0.8</v>
      </c>
      <c r="AR21" s="287">
        <v>0.8</v>
      </c>
      <c r="AS21" s="287">
        <v>0.8</v>
      </c>
      <c r="AT21" s="287">
        <v>0.8</v>
      </c>
      <c r="AU21" s="287">
        <v>0.8</v>
      </c>
      <c r="AV21" s="287">
        <v>0.8</v>
      </c>
      <c r="AW21" s="287">
        <v>0.8</v>
      </c>
      <c r="AX21" s="287">
        <v>0.8</v>
      </c>
      <c r="AY21" s="287">
        <v>0.8</v>
      </c>
      <c r="AZ21" s="287">
        <v>0.8</v>
      </c>
      <c r="BA21" s="288">
        <v>0.8</v>
      </c>
    </row>
    <row r="22" spans="2:55" ht="9" customHeight="1">
      <c r="B22" s="681"/>
      <c r="C22" s="682"/>
      <c r="D22" s="683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6"/>
      <c r="W22" s="691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6"/>
      <c r="AO22" s="691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6"/>
    </row>
    <row r="23" spans="2:55" ht="23.25" customHeight="1">
      <c r="B23" s="684" t="s">
        <v>389</v>
      </c>
      <c r="C23" s="685"/>
      <c r="D23" s="686"/>
      <c r="E23" s="287"/>
      <c r="F23" s="287"/>
      <c r="G23" s="287"/>
      <c r="H23" s="287"/>
      <c r="I23" s="287"/>
      <c r="J23" s="287"/>
      <c r="K23" s="287"/>
      <c r="L23" s="287">
        <v>3</v>
      </c>
      <c r="M23" s="287">
        <v>3</v>
      </c>
      <c r="N23" s="287">
        <v>3</v>
      </c>
      <c r="O23" s="287">
        <v>3</v>
      </c>
      <c r="P23" s="288">
        <v>3</v>
      </c>
      <c r="W23" s="307"/>
      <c r="X23" s="287">
        <v>4</v>
      </c>
      <c r="Y23" s="287">
        <v>4</v>
      </c>
      <c r="Z23" s="287">
        <v>4</v>
      </c>
      <c r="AA23" s="287">
        <v>4</v>
      </c>
      <c r="AB23" s="287">
        <v>4</v>
      </c>
      <c r="AC23" s="287">
        <v>4</v>
      </c>
      <c r="AD23" s="287">
        <v>4</v>
      </c>
      <c r="AE23" s="287">
        <v>4</v>
      </c>
      <c r="AF23" s="287">
        <v>4</v>
      </c>
      <c r="AG23" s="287">
        <v>4</v>
      </c>
      <c r="AH23" s="287">
        <v>4</v>
      </c>
      <c r="AI23" s="288">
        <v>4</v>
      </c>
      <c r="AO23" s="307"/>
      <c r="AP23" s="287">
        <v>5</v>
      </c>
      <c r="AQ23" s="287">
        <v>6</v>
      </c>
      <c r="AR23" s="287">
        <v>6</v>
      </c>
      <c r="AS23" s="287">
        <v>6</v>
      </c>
      <c r="AT23" s="287">
        <v>6</v>
      </c>
      <c r="AU23" s="287">
        <v>6</v>
      </c>
      <c r="AV23" s="287">
        <v>6</v>
      </c>
      <c r="AW23" s="287">
        <v>6</v>
      </c>
      <c r="AX23" s="287">
        <v>6</v>
      </c>
      <c r="AY23" s="287">
        <v>6</v>
      </c>
      <c r="AZ23" s="287">
        <v>6</v>
      </c>
      <c r="BA23" s="288">
        <v>6</v>
      </c>
    </row>
    <row r="24" spans="2:55" ht="23.25" customHeight="1">
      <c r="B24" s="289" t="s">
        <v>359</v>
      </c>
      <c r="C24" s="299">
        <v>7</v>
      </c>
      <c r="D24" s="287" t="s">
        <v>382</v>
      </c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93"/>
      <c r="Q24" s="282"/>
      <c r="R24" s="282"/>
      <c r="S24" s="282"/>
      <c r="T24" s="282"/>
      <c r="U24" s="282"/>
      <c r="W24" s="308" t="s">
        <v>451</v>
      </c>
      <c r="X24" s="255"/>
      <c r="Y24" s="255"/>
      <c r="Z24" s="255"/>
      <c r="AA24" s="255">
        <v>250000</v>
      </c>
      <c r="AB24" s="255">
        <v>250000</v>
      </c>
      <c r="AC24" s="255">
        <v>250000</v>
      </c>
      <c r="AD24" s="255">
        <v>250000</v>
      </c>
      <c r="AE24" s="255">
        <v>250000</v>
      </c>
      <c r="AF24" s="255">
        <v>250000</v>
      </c>
      <c r="AG24" s="255">
        <v>250000</v>
      </c>
      <c r="AH24" s="255">
        <v>250000</v>
      </c>
      <c r="AI24" s="293">
        <v>250000</v>
      </c>
      <c r="AJ24" s="282"/>
      <c r="AK24" s="282"/>
      <c r="AL24" s="282"/>
      <c r="AM24" s="282"/>
      <c r="AN24" s="282"/>
      <c r="AO24" s="308" t="s">
        <v>440</v>
      </c>
      <c r="AP24" s="255">
        <v>250000</v>
      </c>
      <c r="AQ24" s="255">
        <v>250000</v>
      </c>
      <c r="AR24" s="255">
        <v>250000</v>
      </c>
      <c r="AS24" s="255">
        <v>300000</v>
      </c>
      <c r="AT24" s="255">
        <v>300000</v>
      </c>
      <c r="AU24" s="255">
        <v>300000</v>
      </c>
      <c r="AV24" s="255">
        <v>300000</v>
      </c>
      <c r="AW24" s="255">
        <v>300000</v>
      </c>
      <c r="AX24" s="255">
        <v>300000</v>
      </c>
      <c r="AY24" s="255">
        <v>300000</v>
      </c>
      <c r="AZ24" s="255">
        <v>300000</v>
      </c>
      <c r="BA24" s="293">
        <v>300000</v>
      </c>
    </row>
    <row r="25" spans="2:55" ht="23.25" customHeight="1">
      <c r="B25" s="289" t="s">
        <v>360</v>
      </c>
      <c r="C25" s="299"/>
      <c r="D25" s="287" t="s">
        <v>363</v>
      </c>
      <c r="E25" s="255"/>
      <c r="F25" s="255"/>
      <c r="G25" s="255"/>
      <c r="H25" s="255"/>
      <c r="I25" s="255"/>
      <c r="J25" s="255"/>
      <c r="K25" s="255"/>
      <c r="L25" s="255">
        <v>200000</v>
      </c>
      <c r="M25" s="255">
        <v>200000</v>
      </c>
      <c r="N25" s="255">
        <v>200000</v>
      </c>
      <c r="O25" s="255">
        <v>200000</v>
      </c>
      <c r="P25" s="293">
        <v>200000</v>
      </c>
      <c r="Q25" s="282"/>
      <c r="R25" s="282"/>
      <c r="S25" s="282"/>
      <c r="T25" s="282"/>
      <c r="U25" s="282"/>
      <c r="W25" s="308" t="s">
        <v>363</v>
      </c>
      <c r="X25" s="255">
        <v>200000</v>
      </c>
      <c r="Y25" s="255">
        <v>200000</v>
      </c>
      <c r="Z25" s="255">
        <v>200000</v>
      </c>
      <c r="AA25" s="255">
        <v>250000</v>
      </c>
      <c r="AB25" s="255">
        <v>250000</v>
      </c>
      <c r="AC25" s="255">
        <v>250000</v>
      </c>
      <c r="AD25" s="255">
        <v>250000</v>
      </c>
      <c r="AE25" s="255">
        <v>250000</v>
      </c>
      <c r="AF25" s="255">
        <v>250000</v>
      </c>
      <c r="AG25" s="255">
        <v>250000</v>
      </c>
      <c r="AH25" s="255">
        <v>250000</v>
      </c>
      <c r="AI25" s="293">
        <v>250000</v>
      </c>
      <c r="AJ25" s="282"/>
      <c r="AK25" s="282"/>
      <c r="AL25" s="282"/>
      <c r="AM25" s="282"/>
      <c r="AN25" s="282"/>
      <c r="AO25" s="308" t="s">
        <v>363</v>
      </c>
      <c r="AP25" s="255">
        <v>250000</v>
      </c>
      <c r="AQ25" s="255">
        <v>250000</v>
      </c>
      <c r="AR25" s="255">
        <v>250000</v>
      </c>
      <c r="AS25" s="255">
        <v>300000</v>
      </c>
      <c r="AT25" s="255">
        <v>300000</v>
      </c>
      <c r="AU25" s="255">
        <v>300000</v>
      </c>
      <c r="AV25" s="255">
        <v>300000</v>
      </c>
      <c r="AW25" s="255">
        <v>300000</v>
      </c>
      <c r="AX25" s="255">
        <v>300000</v>
      </c>
      <c r="AY25" s="255">
        <v>300000</v>
      </c>
      <c r="AZ25" s="255">
        <v>300000</v>
      </c>
      <c r="BA25" s="293">
        <v>300000</v>
      </c>
    </row>
    <row r="26" spans="2:55" ht="23.25" customHeight="1">
      <c r="B26" s="289" t="s">
        <v>361</v>
      </c>
      <c r="C26" s="299">
        <v>6.5</v>
      </c>
      <c r="D26" s="287" t="s">
        <v>382</v>
      </c>
      <c r="E26" s="255"/>
      <c r="F26" s="255"/>
      <c r="G26" s="255"/>
      <c r="H26" s="255"/>
      <c r="I26" s="255"/>
      <c r="J26" s="255"/>
      <c r="K26" s="255"/>
      <c r="L26" s="255">
        <v>120000</v>
      </c>
      <c r="M26" s="255">
        <v>120000</v>
      </c>
      <c r="N26" s="255">
        <v>120000</v>
      </c>
      <c r="O26" s="255">
        <v>160000</v>
      </c>
      <c r="P26" s="293">
        <v>160000</v>
      </c>
      <c r="Q26" s="282"/>
      <c r="R26" s="282"/>
      <c r="S26" s="282"/>
      <c r="T26" s="282"/>
      <c r="U26" s="282"/>
      <c r="W26" s="308" t="s">
        <v>382</v>
      </c>
      <c r="X26" s="255">
        <v>160000</v>
      </c>
      <c r="Y26" s="255">
        <v>160000</v>
      </c>
      <c r="Z26" s="255">
        <v>160000</v>
      </c>
      <c r="AA26" s="255">
        <v>180000</v>
      </c>
      <c r="AB26" s="255">
        <v>180000</v>
      </c>
      <c r="AC26" s="255">
        <v>180000</v>
      </c>
      <c r="AD26" s="255">
        <v>180000</v>
      </c>
      <c r="AE26" s="255">
        <v>180000</v>
      </c>
      <c r="AF26" s="255">
        <v>180000</v>
      </c>
      <c r="AG26" s="255">
        <v>180000</v>
      </c>
      <c r="AH26" s="255">
        <v>180000</v>
      </c>
      <c r="AI26" s="293">
        <v>180000</v>
      </c>
      <c r="AJ26" s="282"/>
      <c r="AK26" s="282"/>
      <c r="AL26" s="282"/>
      <c r="AM26" s="282"/>
      <c r="AN26" s="282"/>
      <c r="AO26" s="308" t="s">
        <v>382</v>
      </c>
      <c r="AP26" s="255">
        <v>180000</v>
      </c>
      <c r="AQ26" s="255">
        <v>180000</v>
      </c>
      <c r="AR26" s="255">
        <v>180000</v>
      </c>
      <c r="AS26" s="255">
        <v>200000</v>
      </c>
      <c r="AT26" s="255">
        <v>200000</v>
      </c>
      <c r="AU26" s="255">
        <v>200000</v>
      </c>
      <c r="AV26" s="255">
        <v>200000</v>
      </c>
      <c r="AW26" s="255">
        <v>200000</v>
      </c>
      <c r="AX26" s="255">
        <v>200000</v>
      </c>
      <c r="AY26" s="255">
        <v>200000</v>
      </c>
      <c r="AZ26" s="255">
        <v>200000</v>
      </c>
      <c r="BA26" s="293">
        <v>200000</v>
      </c>
    </row>
    <row r="27" spans="2:55" ht="23.25" customHeight="1">
      <c r="B27" s="289" t="s">
        <v>361</v>
      </c>
      <c r="C27" s="299">
        <v>6.5</v>
      </c>
      <c r="D27" s="287" t="s">
        <v>455</v>
      </c>
      <c r="E27" s="255"/>
      <c r="F27" s="255"/>
      <c r="G27" s="255"/>
      <c r="H27" s="255"/>
      <c r="I27" s="255"/>
      <c r="J27" s="255"/>
      <c r="K27" s="255"/>
      <c r="L27" s="255">
        <v>120000</v>
      </c>
      <c r="M27" s="255">
        <v>120000</v>
      </c>
      <c r="N27" s="255">
        <v>120000</v>
      </c>
      <c r="O27" s="255">
        <v>160000</v>
      </c>
      <c r="P27" s="293">
        <v>160000</v>
      </c>
      <c r="Q27" s="282"/>
      <c r="R27" s="282"/>
      <c r="S27" s="282"/>
      <c r="T27" s="282"/>
      <c r="U27" s="282"/>
      <c r="W27" s="308" t="s">
        <v>383</v>
      </c>
      <c r="X27" s="255">
        <v>160000</v>
      </c>
      <c r="Y27" s="255">
        <v>160000</v>
      </c>
      <c r="Z27" s="255">
        <v>160000</v>
      </c>
      <c r="AA27" s="255">
        <v>160000</v>
      </c>
      <c r="AB27" s="255">
        <v>160000</v>
      </c>
      <c r="AC27" s="255">
        <v>160000</v>
      </c>
      <c r="AD27" s="255">
        <v>160000</v>
      </c>
      <c r="AE27" s="255">
        <v>160000</v>
      </c>
      <c r="AF27" s="255">
        <v>160000</v>
      </c>
      <c r="AG27" s="255">
        <v>160000</v>
      </c>
      <c r="AH27" s="255">
        <v>160000</v>
      </c>
      <c r="AI27" s="293">
        <v>160000</v>
      </c>
      <c r="AJ27" s="282"/>
      <c r="AK27" s="282"/>
      <c r="AL27" s="282"/>
      <c r="AM27" s="282"/>
      <c r="AN27" s="282"/>
      <c r="AO27" s="308" t="s">
        <v>383</v>
      </c>
      <c r="AP27" s="255">
        <v>160000</v>
      </c>
      <c r="AQ27" s="255">
        <v>160000</v>
      </c>
      <c r="AR27" s="255">
        <v>160000</v>
      </c>
      <c r="AS27" s="255">
        <v>160000</v>
      </c>
      <c r="AT27" s="255">
        <v>160000</v>
      </c>
      <c r="AU27" s="255">
        <v>160000</v>
      </c>
      <c r="AV27" s="255">
        <v>160000</v>
      </c>
      <c r="AW27" s="255">
        <v>160000</v>
      </c>
      <c r="AX27" s="255">
        <v>160000</v>
      </c>
      <c r="AY27" s="255">
        <v>160000</v>
      </c>
      <c r="AZ27" s="255">
        <v>160000</v>
      </c>
      <c r="BA27" s="293">
        <v>160000</v>
      </c>
    </row>
    <row r="28" spans="2:55" ht="23.25" customHeight="1">
      <c r="B28" s="289" t="s">
        <v>361</v>
      </c>
      <c r="C28" s="299">
        <v>6.5</v>
      </c>
      <c r="D28" s="287" t="s">
        <v>384</v>
      </c>
      <c r="E28" s="255"/>
      <c r="F28" s="255"/>
      <c r="G28" s="255"/>
      <c r="H28" s="255">
        <v>60000</v>
      </c>
      <c r="I28" s="255">
        <v>60000</v>
      </c>
      <c r="J28" s="255">
        <v>60000</v>
      </c>
      <c r="K28" s="255">
        <v>60000</v>
      </c>
      <c r="L28" s="255">
        <v>120000</v>
      </c>
      <c r="M28" s="255">
        <v>120000</v>
      </c>
      <c r="N28" s="255">
        <v>120000</v>
      </c>
      <c r="O28" s="255">
        <v>160000</v>
      </c>
      <c r="P28" s="293">
        <v>160000</v>
      </c>
      <c r="Q28" s="282"/>
      <c r="R28" s="282"/>
      <c r="S28" s="282"/>
      <c r="T28" s="282"/>
      <c r="U28" s="282"/>
      <c r="W28" s="308" t="s">
        <v>384</v>
      </c>
      <c r="X28" s="255">
        <v>160000</v>
      </c>
      <c r="Y28" s="255">
        <v>160000</v>
      </c>
      <c r="Z28" s="255">
        <v>160000</v>
      </c>
      <c r="AA28" s="255">
        <v>180000</v>
      </c>
      <c r="AB28" s="255">
        <v>180000</v>
      </c>
      <c r="AC28" s="255">
        <v>180000</v>
      </c>
      <c r="AD28" s="255">
        <v>180000</v>
      </c>
      <c r="AE28" s="255">
        <v>180000</v>
      </c>
      <c r="AF28" s="255">
        <v>180000</v>
      </c>
      <c r="AG28" s="255">
        <v>180000</v>
      </c>
      <c r="AH28" s="255">
        <v>180000</v>
      </c>
      <c r="AI28" s="293">
        <v>180000</v>
      </c>
      <c r="AJ28" s="282"/>
      <c r="AK28" s="282"/>
      <c r="AL28" s="282"/>
      <c r="AM28" s="282"/>
      <c r="AN28" s="282"/>
      <c r="AO28" s="308" t="s">
        <v>384</v>
      </c>
      <c r="AP28" s="255">
        <v>180000</v>
      </c>
      <c r="AQ28" s="255">
        <v>180000</v>
      </c>
      <c r="AR28" s="255">
        <v>180000</v>
      </c>
      <c r="AS28" s="255">
        <v>200000</v>
      </c>
      <c r="AT28" s="255">
        <v>200000</v>
      </c>
      <c r="AU28" s="255">
        <v>200000</v>
      </c>
      <c r="AV28" s="255">
        <v>200000</v>
      </c>
      <c r="AW28" s="255">
        <v>200000</v>
      </c>
      <c r="AX28" s="255">
        <v>200000</v>
      </c>
      <c r="AY28" s="255">
        <v>200000</v>
      </c>
      <c r="AZ28" s="255">
        <v>200000</v>
      </c>
      <c r="BA28" s="293">
        <v>200000</v>
      </c>
    </row>
    <row r="29" spans="2:55" ht="23.25" customHeight="1">
      <c r="B29" s="289" t="s">
        <v>361</v>
      </c>
      <c r="C29" s="299">
        <v>7</v>
      </c>
      <c r="D29" s="287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93"/>
      <c r="Q29" s="282"/>
      <c r="R29" s="282"/>
      <c r="S29" s="282"/>
      <c r="T29" s="282"/>
      <c r="U29" s="282"/>
      <c r="W29" s="308" t="s">
        <v>393</v>
      </c>
      <c r="X29" s="255">
        <v>180000</v>
      </c>
      <c r="Y29" s="255">
        <v>180000</v>
      </c>
      <c r="Z29" s="255">
        <v>180000</v>
      </c>
      <c r="AA29" s="255">
        <v>180000</v>
      </c>
      <c r="AB29" s="255">
        <v>180000</v>
      </c>
      <c r="AC29" s="255">
        <v>180000</v>
      </c>
      <c r="AD29" s="255">
        <v>180000</v>
      </c>
      <c r="AE29" s="255">
        <v>180000</v>
      </c>
      <c r="AF29" s="255">
        <v>180000</v>
      </c>
      <c r="AG29" s="255">
        <v>180000</v>
      </c>
      <c r="AH29" s="255">
        <v>180000</v>
      </c>
      <c r="AI29" s="293">
        <v>180000</v>
      </c>
      <c r="AJ29" s="282"/>
      <c r="AK29" s="282"/>
      <c r="AL29" s="282"/>
      <c r="AM29" s="282"/>
      <c r="AN29" s="282"/>
      <c r="AO29" s="308" t="s">
        <v>393</v>
      </c>
      <c r="AP29" s="255">
        <v>180000</v>
      </c>
      <c r="AQ29" s="255">
        <v>180000</v>
      </c>
      <c r="AR29" s="255">
        <v>180000</v>
      </c>
      <c r="AS29" s="255">
        <v>180000</v>
      </c>
      <c r="AT29" s="255">
        <v>180000</v>
      </c>
      <c r="AU29" s="255">
        <v>180000</v>
      </c>
      <c r="AV29" s="255">
        <v>180000</v>
      </c>
      <c r="AW29" s="255">
        <v>180000</v>
      </c>
      <c r="AX29" s="255">
        <v>180000</v>
      </c>
      <c r="AY29" s="255">
        <v>180000</v>
      </c>
      <c r="AZ29" s="255">
        <v>180000</v>
      </c>
      <c r="BA29" s="293">
        <v>180000</v>
      </c>
    </row>
    <row r="30" spans="2:55" ht="23.25" customHeight="1">
      <c r="B30" s="289" t="s">
        <v>361</v>
      </c>
      <c r="C30" s="299"/>
      <c r="D30" s="287" t="s">
        <v>439</v>
      </c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93"/>
      <c r="Q30" s="282"/>
      <c r="R30" s="282"/>
      <c r="S30" s="282"/>
      <c r="T30" s="282"/>
      <c r="U30" s="282"/>
      <c r="W30" s="308" t="s">
        <v>439</v>
      </c>
      <c r="X30" s="255"/>
      <c r="Y30" s="255"/>
      <c r="Z30" s="255"/>
      <c r="AA30" s="255"/>
      <c r="AB30" s="255"/>
      <c r="AC30" s="255"/>
      <c r="AD30" s="255"/>
      <c r="AE30" s="255">
        <v>120000</v>
      </c>
      <c r="AF30" s="255">
        <v>120000</v>
      </c>
      <c r="AG30" s="255">
        <v>120000</v>
      </c>
      <c r="AH30" s="255">
        <v>120000</v>
      </c>
      <c r="AI30" s="293">
        <v>120000</v>
      </c>
      <c r="AJ30" s="282"/>
      <c r="AK30" s="282"/>
      <c r="AL30" s="282"/>
      <c r="AM30" s="282"/>
      <c r="AN30" s="282"/>
      <c r="AO30" s="308" t="s">
        <v>439</v>
      </c>
      <c r="AP30" s="255">
        <v>120000</v>
      </c>
      <c r="AQ30" s="255">
        <v>120000</v>
      </c>
      <c r="AR30" s="255">
        <v>120000</v>
      </c>
      <c r="AS30" s="255">
        <v>120000</v>
      </c>
      <c r="AT30" s="255">
        <v>120000</v>
      </c>
      <c r="AU30" s="255">
        <v>120000</v>
      </c>
      <c r="AV30" s="255">
        <v>120000</v>
      </c>
      <c r="AW30" s="255">
        <v>120000</v>
      </c>
      <c r="AX30" s="255">
        <v>120000</v>
      </c>
      <c r="AY30" s="255">
        <v>120000</v>
      </c>
      <c r="AZ30" s="255">
        <v>120000</v>
      </c>
      <c r="BA30" s="293">
        <v>120000</v>
      </c>
    </row>
    <row r="31" spans="2:55" ht="23.25" customHeight="1">
      <c r="B31" s="289" t="s">
        <v>390</v>
      </c>
      <c r="C31" s="299">
        <v>7</v>
      </c>
      <c r="D31" s="287"/>
      <c r="E31" s="255"/>
      <c r="F31" s="255"/>
      <c r="G31" s="255"/>
      <c r="H31" s="255"/>
      <c r="I31" s="255"/>
      <c r="J31" s="255"/>
      <c r="K31" s="255"/>
      <c r="L31" s="255">
        <v>200000</v>
      </c>
      <c r="M31" s="255">
        <v>200000</v>
      </c>
      <c r="N31" s="255">
        <v>200000</v>
      </c>
      <c r="O31" s="255">
        <v>200000</v>
      </c>
      <c r="P31" s="293">
        <v>200000</v>
      </c>
      <c r="Q31" s="282"/>
      <c r="R31" s="282"/>
      <c r="S31" s="282"/>
      <c r="T31" s="282"/>
      <c r="U31" s="282"/>
      <c r="W31" s="308" t="s">
        <v>449</v>
      </c>
      <c r="X31" s="255">
        <v>200000</v>
      </c>
      <c r="Y31" s="255">
        <v>200000</v>
      </c>
      <c r="Z31" s="255">
        <v>200000</v>
      </c>
      <c r="AA31" s="255">
        <v>240000</v>
      </c>
      <c r="AB31" s="255">
        <v>240000</v>
      </c>
      <c r="AC31" s="255">
        <v>240000</v>
      </c>
      <c r="AD31" s="255">
        <v>240000</v>
      </c>
      <c r="AE31" s="255">
        <v>240000</v>
      </c>
      <c r="AF31" s="255">
        <v>240000</v>
      </c>
      <c r="AG31" s="255">
        <v>240000</v>
      </c>
      <c r="AH31" s="255">
        <v>240000</v>
      </c>
      <c r="AI31" s="293">
        <v>240000</v>
      </c>
      <c r="AJ31" s="282"/>
      <c r="AK31" s="282"/>
      <c r="AL31" s="282"/>
      <c r="AM31" s="282"/>
      <c r="AN31" s="282"/>
      <c r="AO31" s="308" t="s">
        <v>438</v>
      </c>
      <c r="AP31" s="255">
        <v>300000</v>
      </c>
      <c r="AQ31" s="255">
        <v>300000</v>
      </c>
      <c r="AR31" s="255">
        <v>300000</v>
      </c>
      <c r="AS31" s="255">
        <v>300000</v>
      </c>
      <c r="AT31" s="255">
        <v>300000</v>
      </c>
      <c r="AU31" s="255">
        <v>300000</v>
      </c>
      <c r="AV31" s="255">
        <v>300000</v>
      </c>
      <c r="AW31" s="255">
        <v>300000</v>
      </c>
      <c r="AX31" s="255">
        <v>300000</v>
      </c>
      <c r="AY31" s="255">
        <v>300000</v>
      </c>
      <c r="AZ31" s="255">
        <v>300000</v>
      </c>
      <c r="BA31" s="293">
        <v>300000</v>
      </c>
    </row>
    <row r="32" spans="2:55" ht="23.25" customHeight="1">
      <c r="B32" s="289" t="s">
        <v>390</v>
      </c>
      <c r="C32" s="299"/>
      <c r="D32" s="287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93"/>
      <c r="Q32" s="282"/>
      <c r="R32" s="282"/>
      <c r="S32" s="282"/>
      <c r="T32" s="282"/>
      <c r="U32" s="282"/>
      <c r="W32" s="308" t="s">
        <v>441</v>
      </c>
      <c r="X32" s="255">
        <v>180000</v>
      </c>
      <c r="Y32" s="255">
        <v>180000</v>
      </c>
      <c r="Z32" s="255">
        <v>180000</v>
      </c>
      <c r="AA32" s="255">
        <v>180000</v>
      </c>
      <c r="AB32" s="255">
        <v>180000</v>
      </c>
      <c r="AC32" s="255">
        <v>180000</v>
      </c>
      <c r="AD32" s="255">
        <v>180000</v>
      </c>
      <c r="AE32" s="255">
        <v>180000</v>
      </c>
      <c r="AF32" s="255">
        <v>180000</v>
      </c>
      <c r="AG32" s="255">
        <v>180000</v>
      </c>
      <c r="AH32" s="255">
        <v>180000</v>
      </c>
      <c r="AI32" s="293">
        <v>180000</v>
      </c>
      <c r="AJ32" s="282"/>
      <c r="AK32" s="282"/>
      <c r="AL32" s="282"/>
      <c r="AM32" s="282"/>
      <c r="AN32" s="282"/>
      <c r="AO32" s="308" t="s">
        <v>441</v>
      </c>
      <c r="AP32" s="255">
        <v>180000</v>
      </c>
      <c r="AQ32" s="255">
        <v>180000</v>
      </c>
      <c r="AR32" s="255">
        <v>180000</v>
      </c>
      <c r="AS32" s="255">
        <v>180000</v>
      </c>
      <c r="AT32" s="255">
        <v>180000</v>
      </c>
      <c r="AU32" s="255">
        <v>180000</v>
      </c>
      <c r="AV32" s="255">
        <v>180000</v>
      </c>
      <c r="AW32" s="255">
        <v>180000</v>
      </c>
      <c r="AX32" s="255">
        <v>180000</v>
      </c>
      <c r="AY32" s="255">
        <v>180000</v>
      </c>
      <c r="AZ32" s="255">
        <v>180000</v>
      </c>
      <c r="BA32" s="293">
        <v>180000</v>
      </c>
    </row>
    <row r="33" spans="2:53" ht="23.25" customHeight="1">
      <c r="B33" s="289" t="s">
        <v>390</v>
      </c>
      <c r="C33" s="299">
        <v>2</v>
      </c>
      <c r="D33" s="287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93"/>
      <c r="Q33" s="282"/>
      <c r="R33" s="282"/>
      <c r="S33" s="282"/>
      <c r="T33" s="282"/>
      <c r="U33" s="282"/>
      <c r="V33" s="282"/>
      <c r="W33" s="308" t="s">
        <v>442</v>
      </c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93"/>
      <c r="AJ33" s="282"/>
      <c r="AK33" s="282"/>
      <c r="AL33" s="282"/>
      <c r="AM33" s="282"/>
      <c r="AN33" s="282"/>
      <c r="AO33" s="308" t="s">
        <v>442</v>
      </c>
      <c r="AP33" s="255">
        <v>120000</v>
      </c>
      <c r="AQ33" s="255">
        <v>120000</v>
      </c>
      <c r="AR33" s="255">
        <v>120000</v>
      </c>
      <c r="AS33" s="255">
        <v>120000</v>
      </c>
      <c r="AT33" s="255">
        <v>120000</v>
      </c>
      <c r="AU33" s="255">
        <v>120000</v>
      </c>
      <c r="AV33" s="255">
        <v>120000</v>
      </c>
      <c r="AW33" s="255">
        <v>120000</v>
      </c>
      <c r="AX33" s="255">
        <v>120000</v>
      </c>
      <c r="AY33" s="255">
        <v>120000</v>
      </c>
      <c r="AZ33" s="255">
        <v>120000</v>
      </c>
      <c r="BA33" s="293">
        <v>120000</v>
      </c>
    </row>
    <row r="34" spans="2:53" ht="23.25" customHeight="1">
      <c r="B34" s="289" t="s">
        <v>390</v>
      </c>
      <c r="C34" s="299"/>
      <c r="D34" s="287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93"/>
      <c r="Q34" s="282"/>
      <c r="R34" s="282"/>
      <c r="S34" s="282"/>
      <c r="T34" s="282"/>
      <c r="U34" s="282"/>
      <c r="W34" s="308" t="s">
        <v>454</v>
      </c>
      <c r="X34" s="255"/>
      <c r="Y34" s="255"/>
      <c r="Z34" s="255"/>
      <c r="AA34" s="255"/>
      <c r="AB34" s="255"/>
      <c r="AC34" s="255"/>
      <c r="AD34" s="255">
        <v>120000</v>
      </c>
      <c r="AE34" s="255">
        <v>120000</v>
      </c>
      <c r="AF34" s="255">
        <v>120000</v>
      </c>
      <c r="AG34" s="255">
        <v>120000</v>
      </c>
      <c r="AH34" s="255">
        <v>120000</v>
      </c>
      <c r="AI34" s="293">
        <v>120000</v>
      </c>
      <c r="AJ34" s="282"/>
      <c r="AK34" s="282"/>
      <c r="AL34" s="282"/>
      <c r="AM34" s="282"/>
      <c r="AN34" s="282"/>
      <c r="AO34" s="308" t="s">
        <v>453</v>
      </c>
      <c r="AP34" s="255">
        <v>120000</v>
      </c>
      <c r="AQ34" s="255">
        <v>120000</v>
      </c>
      <c r="AR34" s="255">
        <v>120000</v>
      </c>
      <c r="AS34" s="255">
        <v>120000</v>
      </c>
      <c r="AT34" s="255">
        <v>120000</v>
      </c>
      <c r="AU34" s="255">
        <v>120000</v>
      </c>
      <c r="AV34" s="255">
        <v>120000</v>
      </c>
      <c r="AW34" s="255">
        <v>120000</v>
      </c>
      <c r="AX34" s="255">
        <v>120000</v>
      </c>
      <c r="AY34" s="255">
        <v>120000</v>
      </c>
      <c r="AZ34" s="255">
        <v>120000</v>
      </c>
      <c r="BA34" s="293">
        <v>120000</v>
      </c>
    </row>
    <row r="35" spans="2:53" ht="23.25" customHeight="1">
      <c r="B35" s="289" t="s">
        <v>362</v>
      </c>
      <c r="C35" s="299"/>
      <c r="D35" s="287" t="s">
        <v>391</v>
      </c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93"/>
      <c r="Q35" s="282"/>
      <c r="R35" s="282"/>
      <c r="S35" s="282"/>
      <c r="T35" s="282"/>
      <c r="U35" s="282"/>
      <c r="W35" s="308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93"/>
      <c r="AJ35" s="282"/>
      <c r="AK35" s="282"/>
      <c r="AL35" s="282"/>
      <c r="AM35" s="282"/>
      <c r="AN35" s="282"/>
      <c r="AO35" s="308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93"/>
    </row>
    <row r="36" spans="2:53" ht="23.25" customHeight="1">
      <c r="B36" s="289" t="s">
        <v>362</v>
      </c>
      <c r="C36" s="299"/>
      <c r="D36" s="287" t="s">
        <v>392</v>
      </c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93"/>
      <c r="Q36" s="282"/>
      <c r="R36" s="282"/>
      <c r="S36" s="282"/>
      <c r="T36" s="282"/>
      <c r="U36" s="282"/>
      <c r="W36" s="308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93"/>
      <c r="AJ36" s="282"/>
      <c r="AK36" s="282"/>
      <c r="AL36" s="282"/>
      <c r="AM36" s="282"/>
      <c r="AN36" s="282"/>
      <c r="AO36" s="308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93"/>
    </row>
    <row r="37" spans="2:53" ht="23.25" customHeight="1">
      <c r="B37" s="289" t="s">
        <v>450</v>
      </c>
      <c r="C37" s="299"/>
      <c r="D37" s="287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93"/>
      <c r="Q37" s="282"/>
      <c r="R37" s="282"/>
      <c r="S37" s="282"/>
      <c r="T37" s="282"/>
      <c r="U37" s="282"/>
      <c r="W37" s="308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93"/>
      <c r="AJ37" s="282"/>
      <c r="AK37" s="282"/>
      <c r="AL37" s="282"/>
      <c r="AM37" s="282"/>
      <c r="AN37" s="282"/>
      <c r="AO37" s="308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93"/>
    </row>
    <row r="38" spans="2:53" ht="23.25" customHeight="1">
      <c r="B38" s="289"/>
      <c r="C38" s="299"/>
      <c r="D38" s="287"/>
      <c r="E38" s="255">
        <f>SUM(E24:E36)</f>
        <v>0</v>
      </c>
      <c r="F38" s="255">
        <f t="shared" ref="F38:O38" si="15">SUM(F24:F36)</f>
        <v>0</v>
      </c>
      <c r="G38" s="255">
        <f t="shared" si="15"/>
        <v>0</v>
      </c>
      <c r="H38" s="255">
        <f t="shared" si="15"/>
        <v>60000</v>
      </c>
      <c r="I38" s="255">
        <f t="shared" si="15"/>
        <v>60000</v>
      </c>
      <c r="J38" s="255">
        <f t="shared" si="15"/>
        <v>60000</v>
      </c>
      <c r="K38" s="255">
        <f t="shared" si="15"/>
        <v>60000</v>
      </c>
      <c r="L38" s="255">
        <f t="shared" si="15"/>
        <v>760000</v>
      </c>
      <c r="M38" s="255">
        <f t="shared" si="15"/>
        <v>760000</v>
      </c>
      <c r="N38" s="255">
        <f t="shared" si="15"/>
        <v>760000</v>
      </c>
      <c r="O38" s="255">
        <f t="shared" si="15"/>
        <v>880000</v>
      </c>
      <c r="P38" s="293">
        <f>SUM(P24:P36)</f>
        <v>880000</v>
      </c>
      <c r="Q38" s="282"/>
      <c r="R38" s="282"/>
      <c r="S38" s="282"/>
      <c r="T38" s="282"/>
      <c r="U38" s="282"/>
      <c r="W38" s="308"/>
      <c r="X38" s="255">
        <f>SUM(X24:X36)</f>
        <v>1240000</v>
      </c>
      <c r="Y38" s="255">
        <f t="shared" ref="Y38:AD38" si="16">SUM(Y24:Y36)</f>
        <v>1240000</v>
      </c>
      <c r="Z38" s="255">
        <f t="shared" si="16"/>
        <v>1240000</v>
      </c>
      <c r="AA38" s="255">
        <f t="shared" si="16"/>
        <v>1620000</v>
      </c>
      <c r="AB38" s="255">
        <f t="shared" si="16"/>
        <v>1620000</v>
      </c>
      <c r="AC38" s="255">
        <f t="shared" si="16"/>
        <v>1620000</v>
      </c>
      <c r="AD38" s="255">
        <f t="shared" si="16"/>
        <v>1740000</v>
      </c>
      <c r="AE38" s="255">
        <f>SUM(AE24:AE36)</f>
        <v>1860000</v>
      </c>
      <c r="AF38" s="255">
        <f>SUM(AF24:AF36)</f>
        <v>1860000</v>
      </c>
      <c r="AG38" s="255">
        <f>SUM(AG24:AG36)</f>
        <v>1860000</v>
      </c>
      <c r="AH38" s="255">
        <f>SUM(AH24:AH36)</f>
        <v>1860000</v>
      </c>
      <c r="AI38" s="293">
        <f>SUM(AI24:AI36)</f>
        <v>1860000</v>
      </c>
      <c r="AJ38" s="282"/>
      <c r="AK38" s="282"/>
      <c r="AL38" s="282"/>
      <c r="AM38" s="282"/>
      <c r="AN38" s="282"/>
      <c r="AO38" s="308"/>
      <c r="AP38" s="255">
        <f t="shared" ref="AP38:BA38" si="17">SUM(AP24:AP36)</f>
        <v>2040000</v>
      </c>
      <c r="AQ38" s="255">
        <f t="shared" si="17"/>
        <v>2040000</v>
      </c>
      <c r="AR38" s="255">
        <f t="shared" si="17"/>
        <v>2040000</v>
      </c>
      <c r="AS38" s="255">
        <f t="shared" si="17"/>
        <v>2180000</v>
      </c>
      <c r="AT38" s="255">
        <f t="shared" si="17"/>
        <v>2180000</v>
      </c>
      <c r="AU38" s="255">
        <f t="shared" si="17"/>
        <v>2180000</v>
      </c>
      <c r="AV38" s="255">
        <f t="shared" si="17"/>
        <v>2180000</v>
      </c>
      <c r="AW38" s="255">
        <f t="shared" si="17"/>
        <v>2180000</v>
      </c>
      <c r="AX38" s="255">
        <f t="shared" si="17"/>
        <v>2180000</v>
      </c>
      <c r="AY38" s="255">
        <f t="shared" si="17"/>
        <v>2180000</v>
      </c>
      <c r="AZ38" s="255">
        <f t="shared" si="17"/>
        <v>2180000</v>
      </c>
      <c r="BA38" s="293">
        <f t="shared" si="17"/>
        <v>2180000</v>
      </c>
    </row>
    <row r="39" spans="2:53" ht="23.25" customHeight="1" thickBot="1">
      <c r="B39" s="302" t="s">
        <v>385</v>
      </c>
      <c r="C39" s="303"/>
      <c r="D39" s="304" t="s">
        <v>386</v>
      </c>
      <c r="E39" s="304">
        <f>E38*0.16</f>
        <v>0</v>
      </c>
      <c r="F39" s="304">
        <f t="shared" ref="F39:K39" si="18">F38*0.16</f>
        <v>0</v>
      </c>
      <c r="G39" s="304">
        <f t="shared" si="18"/>
        <v>0</v>
      </c>
      <c r="H39" s="304">
        <f t="shared" si="18"/>
        <v>9600</v>
      </c>
      <c r="I39" s="304">
        <f t="shared" si="18"/>
        <v>9600</v>
      </c>
      <c r="J39" s="304">
        <f t="shared" si="18"/>
        <v>9600</v>
      </c>
      <c r="K39" s="304">
        <f t="shared" si="18"/>
        <v>9600</v>
      </c>
      <c r="L39" s="305">
        <f>(L38-L33-L35-L36)*0.16</f>
        <v>121600</v>
      </c>
      <c r="M39" s="305">
        <f>(M38-M33-M35-M36)*0.16</f>
        <v>121600</v>
      </c>
      <c r="N39" s="305">
        <f>(N38-N33-N35-N36)*0.16</f>
        <v>121600</v>
      </c>
      <c r="O39" s="305">
        <f>(O38-O33-O35-O36)*0.16</f>
        <v>140800</v>
      </c>
      <c r="P39" s="306">
        <f>(P38-P33-P35-P36)*0.16</f>
        <v>140800</v>
      </c>
      <c r="Q39" s="282"/>
      <c r="R39" s="282"/>
      <c r="S39" s="282"/>
      <c r="T39" s="282"/>
      <c r="U39" s="282"/>
      <c r="V39" s="297"/>
      <c r="W39" s="309"/>
      <c r="X39" s="304">
        <f t="shared" ref="X39:AI39" si="19">(X38-X33-X35-X36)*0.16</f>
        <v>198400</v>
      </c>
      <c r="Y39" s="304">
        <f t="shared" si="19"/>
        <v>198400</v>
      </c>
      <c r="Z39" s="304">
        <f t="shared" si="19"/>
        <v>198400</v>
      </c>
      <c r="AA39" s="304">
        <f t="shared" si="19"/>
        <v>259200</v>
      </c>
      <c r="AB39" s="304">
        <f t="shared" si="19"/>
        <v>259200</v>
      </c>
      <c r="AC39" s="304">
        <f t="shared" si="19"/>
        <v>259200</v>
      </c>
      <c r="AD39" s="304">
        <f t="shared" si="19"/>
        <v>278400</v>
      </c>
      <c r="AE39" s="305">
        <f t="shared" si="19"/>
        <v>297600</v>
      </c>
      <c r="AF39" s="305">
        <f t="shared" si="19"/>
        <v>297600</v>
      </c>
      <c r="AG39" s="305">
        <f t="shared" si="19"/>
        <v>297600</v>
      </c>
      <c r="AH39" s="305">
        <f t="shared" si="19"/>
        <v>297600</v>
      </c>
      <c r="AI39" s="306">
        <f t="shared" si="19"/>
        <v>297600</v>
      </c>
      <c r="AJ39" s="282"/>
      <c r="AK39" s="282"/>
      <c r="AL39" s="282"/>
      <c r="AM39" s="282"/>
      <c r="AN39" s="282"/>
      <c r="AO39" s="310"/>
      <c r="AP39" s="305">
        <f t="shared" ref="AP39:BA39" si="20">(AP38-AP33-AP35-AP36)*0.16</f>
        <v>307200</v>
      </c>
      <c r="AQ39" s="305">
        <f t="shared" si="20"/>
        <v>307200</v>
      </c>
      <c r="AR39" s="305">
        <f t="shared" si="20"/>
        <v>307200</v>
      </c>
      <c r="AS39" s="305">
        <f t="shared" si="20"/>
        <v>329600</v>
      </c>
      <c r="AT39" s="305">
        <f t="shared" si="20"/>
        <v>329600</v>
      </c>
      <c r="AU39" s="305">
        <f t="shared" si="20"/>
        <v>329600</v>
      </c>
      <c r="AV39" s="305">
        <f t="shared" si="20"/>
        <v>329600</v>
      </c>
      <c r="AW39" s="305">
        <f t="shared" si="20"/>
        <v>329600</v>
      </c>
      <c r="AX39" s="305">
        <f t="shared" si="20"/>
        <v>329600</v>
      </c>
      <c r="AY39" s="305">
        <f t="shared" si="20"/>
        <v>329600</v>
      </c>
      <c r="AZ39" s="305">
        <f t="shared" si="20"/>
        <v>329600</v>
      </c>
      <c r="BA39" s="306">
        <f t="shared" si="20"/>
        <v>329600</v>
      </c>
    </row>
  </sheetData>
  <mergeCells count="24">
    <mergeCell ref="B1:P1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B15:D15"/>
    <mergeCell ref="B4:D4"/>
    <mergeCell ref="B5:D5"/>
    <mergeCell ref="B6:D6"/>
    <mergeCell ref="B7:D7"/>
    <mergeCell ref="B8:D8"/>
    <mergeCell ref="B22:D22"/>
    <mergeCell ref="B23:D23"/>
    <mergeCell ref="B3:D3"/>
    <mergeCell ref="W3:W22"/>
    <mergeCell ref="AO3:AO22"/>
    <mergeCell ref="B20:D20"/>
    <mergeCell ref="B21:D21"/>
    <mergeCell ref="B9:D9"/>
  </mergeCells>
  <phoneticPr fontId="2"/>
  <pageMargins left="0.25" right="0.25" top="0.75" bottom="0.75" header="0.3" footer="0.3"/>
  <pageSetup paperSize="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A1:BA101"/>
  <sheetViews>
    <sheetView tabSelected="1" view="pageBreakPreview" zoomScale="130" zoomScaleNormal="130" zoomScaleSheetLayoutView="130" workbookViewId="0">
      <pane xSplit="3" ySplit="2" topLeftCell="D53" activePane="bottomRight" state="frozen"/>
      <selection activeCell="E53" sqref="E53:AH53"/>
      <selection pane="topRight" activeCell="E53" sqref="E53:AH53"/>
      <selection pane="bottomLeft" activeCell="E53" sqref="E53:AH53"/>
      <selection pane="bottomRight" activeCell="D56" sqref="D56"/>
    </sheetView>
  </sheetViews>
  <sheetFormatPr defaultColWidth="9" defaultRowHeight="12" outlineLevelCol="1"/>
  <cols>
    <col min="1" max="1" width="1" style="186" customWidth="1"/>
    <col min="2" max="2" width="2.875" style="186" customWidth="1"/>
    <col min="3" max="3" width="9.75" style="186" customWidth="1"/>
    <col min="4" max="9" width="4.75" style="186" customWidth="1" outlineLevel="1"/>
    <col min="10" max="15" width="4.875" style="186" customWidth="1" outlineLevel="1"/>
    <col min="16" max="16" width="6.25" style="186" customWidth="1"/>
    <col min="17" max="17" width="5.625" style="187" customWidth="1"/>
    <col min="18" max="18" width="1" style="186" customWidth="1"/>
    <col min="19" max="19" width="1.75" style="186" customWidth="1"/>
    <col min="20" max="20" width="2.875" style="186" customWidth="1"/>
    <col min="21" max="21" width="12.375" style="186" customWidth="1"/>
    <col min="22" max="33" width="4.5" style="186" customWidth="1"/>
    <col min="34" max="34" width="7.125" style="186" customWidth="1"/>
    <col min="35" max="35" width="6.875" style="187" customWidth="1"/>
    <col min="36" max="36" width="1.375" style="186" customWidth="1"/>
    <col min="37" max="37" width="2.125" style="186" customWidth="1"/>
    <col min="38" max="38" width="6.875" style="186" customWidth="1"/>
    <col min="39" max="39" width="14.5" style="186" customWidth="1"/>
    <col min="40" max="51" width="4.375" style="186" customWidth="1"/>
    <col min="52" max="52" width="6.625" style="186" customWidth="1"/>
    <col min="53" max="53" width="4.375" style="187" customWidth="1"/>
    <col min="54" max="55" width="6.875" style="186" customWidth="1"/>
    <col min="56" max="16384" width="9" style="186"/>
  </cols>
  <sheetData>
    <row r="1" spans="1:53" ht="12.75" thickBot="1">
      <c r="A1" s="739" t="s">
        <v>531</v>
      </c>
      <c r="B1" s="739"/>
      <c r="C1" s="739"/>
      <c r="S1" s="739" t="s">
        <v>532</v>
      </c>
      <c r="T1" s="739"/>
      <c r="U1" s="739"/>
      <c r="AK1" s="739" t="s">
        <v>533</v>
      </c>
      <c r="AL1" s="739"/>
      <c r="AM1" s="739"/>
    </row>
    <row r="2" spans="1:53" s="190" customFormat="1" ht="15" customHeight="1" thickBot="1">
      <c r="A2" s="778"/>
      <c r="B2" s="779"/>
      <c r="C2" s="780"/>
      <c r="D2" s="188" t="s">
        <v>339</v>
      </c>
      <c r="E2" s="188" t="s">
        <v>340</v>
      </c>
      <c r="F2" s="188" t="s">
        <v>341</v>
      </c>
      <c r="G2" s="188" t="s">
        <v>342</v>
      </c>
      <c r="H2" s="188" t="s">
        <v>343</v>
      </c>
      <c r="I2" s="188" t="s">
        <v>344</v>
      </c>
      <c r="J2" s="188" t="s">
        <v>345</v>
      </c>
      <c r="K2" s="188" t="s">
        <v>346</v>
      </c>
      <c r="L2" s="188" t="s">
        <v>347</v>
      </c>
      <c r="M2" s="188" t="s">
        <v>348</v>
      </c>
      <c r="N2" s="188" t="s">
        <v>349</v>
      </c>
      <c r="O2" s="188" t="s">
        <v>350</v>
      </c>
      <c r="P2" s="188" t="s">
        <v>24</v>
      </c>
      <c r="Q2" s="189" t="s">
        <v>27</v>
      </c>
      <c r="S2" s="778"/>
      <c r="T2" s="779"/>
      <c r="U2" s="780"/>
      <c r="V2" s="188" t="s">
        <v>339</v>
      </c>
      <c r="W2" s="188" t="s">
        <v>340</v>
      </c>
      <c r="X2" s="188" t="s">
        <v>341</v>
      </c>
      <c r="Y2" s="188" t="s">
        <v>342</v>
      </c>
      <c r="Z2" s="188" t="s">
        <v>343</v>
      </c>
      <c r="AA2" s="188" t="s">
        <v>344</v>
      </c>
      <c r="AB2" s="188" t="s">
        <v>345</v>
      </c>
      <c r="AC2" s="188" t="s">
        <v>346</v>
      </c>
      <c r="AD2" s="188" t="s">
        <v>347</v>
      </c>
      <c r="AE2" s="188" t="s">
        <v>348</v>
      </c>
      <c r="AF2" s="188" t="s">
        <v>349</v>
      </c>
      <c r="AG2" s="188" t="s">
        <v>350</v>
      </c>
      <c r="AH2" s="188" t="s">
        <v>24</v>
      </c>
      <c r="AI2" s="189" t="s">
        <v>27</v>
      </c>
      <c r="AK2" s="778"/>
      <c r="AL2" s="779"/>
      <c r="AM2" s="780"/>
      <c r="AN2" s="188" t="s">
        <v>339</v>
      </c>
      <c r="AO2" s="188" t="s">
        <v>340</v>
      </c>
      <c r="AP2" s="188" t="s">
        <v>341</v>
      </c>
      <c r="AQ2" s="188" t="s">
        <v>342</v>
      </c>
      <c r="AR2" s="188" t="s">
        <v>343</v>
      </c>
      <c r="AS2" s="188" t="s">
        <v>344</v>
      </c>
      <c r="AT2" s="188" t="s">
        <v>345</v>
      </c>
      <c r="AU2" s="188" t="s">
        <v>346</v>
      </c>
      <c r="AV2" s="188" t="s">
        <v>347</v>
      </c>
      <c r="AW2" s="188" t="s">
        <v>348</v>
      </c>
      <c r="AX2" s="188" t="s">
        <v>349</v>
      </c>
      <c r="AY2" s="188" t="s">
        <v>350</v>
      </c>
      <c r="AZ2" s="188" t="s">
        <v>24</v>
      </c>
      <c r="BA2" s="189" t="s">
        <v>27</v>
      </c>
    </row>
    <row r="3" spans="1:53" s="190" customFormat="1" ht="11.25" customHeight="1" thickTop="1">
      <c r="A3" s="711" t="s">
        <v>25</v>
      </c>
      <c r="B3" s="712"/>
      <c r="C3" s="713"/>
      <c r="D3" s="191">
        <f t="shared" ref="D3:O3" si="0">D5+D12+D18+D22+D21</f>
        <v>1865900</v>
      </c>
      <c r="E3" s="191">
        <f t="shared" si="0"/>
        <v>1894200</v>
      </c>
      <c r="F3" s="191">
        <f t="shared" si="0"/>
        <v>2630600</v>
      </c>
      <c r="G3" s="191">
        <f t="shared" si="0"/>
        <v>2897600</v>
      </c>
      <c r="H3" s="191">
        <f t="shared" si="0"/>
        <v>3059300</v>
      </c>
      <c r="I3" s="191">
        <f t="shared" si="0"/>
        <v>2899300</v>
      </c>
      <c r="J3" s="191">
        <f t="shared" si="0"/>
        <v>3947852</v>
      </c>
      <c r="K3" s="191">
        <f t="shared" si="0"/>
        <v>4530492</v>
      </c>
      <c r="L3" s="191">
        <f t="shared" si="0"/>
        <v>5472856</v>
      </c>
      <c r="M3" s="191">
        <f t="shared" si="0"/>
        <v>6846180</v>
      </c>
      <c r="N3" s="191">
        <f t="shared" si="0"/>
        <v>7539284</v>
      </c>
      <c r="O3" s="191">
        <f t="shared" si="0"/>
        <v>8681048</v>
      </c>
      <c r="P3" s="191">
        <f>SUM(D3:O3)</f>
        <v>52264612</v>
      </c>
      <c r="Q3" s="192">
        <f>P3/P3</f>
        <v>1</v>
      </c>
      <c r="S3" s="711"/>
      <c r="T3" s="782" t="s">
        <v>25</v>
      </c>
      <c r="U3" s="783"/>
      <c r="V3" s="191">
        <f t="shared" ref="V3:AF3" si="1">V5+V12+V18+V22+V21+V19+V20</f>
        <v>9762000</v>
      </c>
      <c r="W3" s="191">
        <f t="shared" si="1"/>
        <v>9533752</v>
      </c>
      <c r="X3" s="191">
        <f t="shared" si="1"/>
        <v>11093327</v>
      </c>
      <c r="Y3" s="191">
        <f t="shared" si="1"/>
        <v>10887152</v>
      </c>
      <c r="Z3" s="191">
        <f t="shared" si="1"/>
        <v>11507427</v>
      </c>
      <c r="AA3" s="191">
        <f t="shared" si="1"/>
        <v>11285752</v>
      </c>
      <c r="AB3" s="191">
        <f t="shared" si="1"/>
        <v>11921427</v>
      </c>
      <c r="AC3" s="191">
        <f t="shared" si="1"/>
        <v>11684352</v>
      </c>
      <c r="AD3" s="191">
        <f t="shared" si="1"/>
        <v>11883752</v>
      </c>
      <c r="AE3" s="191">
        <f t="shared" si="1"/>
        <v>12542428</v>
      </c>
      <c r="AF3" s="191">
        <f t="shared" si="1"/>
        <v>12282353</v>
      </c>
      <c r="AG3" s="191">
        <f>AG5+AG12+AG18+AG22+AG21+AG19+AG20</f>
        <v>12481753</v>
      </c>
      <c r="AH3" s="191">
        <f>SUM(V3:AG3)</f>
        <v>136865475</v>
      </c>
      <c r="AI3" s="192">
        <f>AH3/P3</f>
        <v>2.6187025936402244</v>
      </c>
      <c r="AK3" s="711"/>
      <c r="AL3" s="782" t="s">
        <v>25</v>
      </c>
      <c r="AM3" s="783"/>
      <c r="AN3" s="191">
        <f>AN5+AN12+AN18+AN22+AN21+AN19+AN20</f>
        <v>12681002</v>
      </c>
      <c r="AO3" s="191">
        <f t="shared" ref="AO3:AY3" si="2">AO5+AO12+AO18+AO22+AO21+AO19+AO20</f>
        <v>11900702</v>
      </c>
      <c r="AP3" s="191">
        <f t="shared" si="2"/>
        <v>13577527</v>
      </c>
      <c r="AQ3" s="191">
        <f t="shared" si="2"/>
        <v>13278952</v>
      </c>
      <c r="AR3" s="191">
        <f t="shared" si="2"/>
        <v>13991427</v>
      </c>
      <c r="AS3" s="191">
        <f t="shared" si="2"/>
        <v>13677552</v>
      </c>
      <c r="AT3" s="191">
        <f t="shared" si="2"/>
        <v>14405527</v>
      </c>
      <c r="AU3" s="191">
        <f t="shared" si="2"/>
        <v>14076152</v>
      </c>
      <c r="AV3" s="191">
        <f t="shared" si="2"/>
        <v>14275452</v>
      </c>
      <c r="AW3" s="191">
        <f t="shared" si="2"/>
        <v>15026528</v>
      </c>
      <c r="AX3" s="191">
        <f t="shared" si="2"/>
        <v>14674053</v>
      </c>
      <c r="AY3" s="191">
        <f t="shared" si="2"/>
        <v>14873453</v>
      </c>
      <c r="AZ3" s="191">
        <f>SUM(AN3:AY3)</f>
        <v>166438327</v>
      </c>
      <c r="BA3" s="192">
        <f>AZ3/AH3</f>
        <v>1.2160724024813416</v>
      </c>
    </row>
    <row r="4" spans="1:53" s="190" customFormat="1" ht="11.25" customHeight="1">
      <c r="A4" s="711"/>
      <c r="B4" s="193"/>
      <c r="C4" s="194" t="s">
        <v>403</v>
      </c>
      <c r="D4" s="195">
        <f>'シェル '!E12+ACT川崎!E12</f>
        <v>11</v>
      </c>
      <c r="E4" s="195">
        <f>'シェル '!F12+ACT川崎!F12</f>
        <v>12</v>
      </c>
      <c r="F4" s="195">
        <f>'シェル '!G12+ACT川崎!G12</f>
        <v>15</v>
      </c>
      <c r="G4" s="195">
        <f>'シェル '!H12+ACT川崎!H12</f>
        <v>22</v>
      </c>
      <c r="H4" s="195">
        <f>'シェル '!I12+ACT川崎!I12</f>
        <v>24</v>
      </c>
      <c r="I4" s="195">
        <f>'シェル '!J12+'ACT01'!J12</f>
        <v>17</v>
      </c>
      <c r="J4" s="195">
        <f>'シェル '!K12+'ACT01'!K12</f>
        <v>22</v>
      </c>
      <c r="K4" s="195">
        <f>'シェル '!L12+'ACT01'!L12</f>
        <v>26</v>
      </c>
      <c r="L4" s="195">
        <f>'シェル '!M12+'ACT01'!M12</f>
        <v>31</v>
      </c>
      <c r="M4" s="195">
        <f>'シェル '!N12+'ACT01'!N12</f>
        <v>37</v>
      </c>
      <c r="N4" s="195">
        <f>'シェル '!O12+'ACT01'!O12</f>
        <v>42</v>
      </c>
      <c r="O4" s="195">
        <f>'シェル '!P12+'ACT01'!P12</f>
        <v>48</v>
      </c>
      <c r="P4" s="195"/>
      <c r="Q4" s="196"/>
      <c r="S4" s="197"/>
      <c r="T4" s="193"/>
      <c r="U4" s="198" t="s">
        <v>403</v>
      </c>
      <c r="V4" s="193">
        <f>'シェル '!R12+'ACT01'!R12</f>
        <v>54</v>
      </c>
      <c r="W4" s="199">
        <f>'シェル '!S12+'ACT01'!S12</f>
        <v>57</v>
      </c>
      <c r="X4" s="200">
        <f>'シェル '!T12+'ACT01'!T12</f>
        <v>59</v>
      </c>
      <c r="Y4" s="200">
        <f>'シェル '!U12+'ACT01'!U12</f>
        <v>60</v>
      </c>
      <c r="Z4" s="200">
        <f>'シェル '!V12+'ACT01'!V12</f>
        <v>61</v>
      </c>
      <c r="AA4" s="200">
        <f>'シェル '!W12+'ACT01'!W12</f>
        <v>62</v>
      </c>
      <c r="AB4" s="200">
        <f>'シェル '!X12+'ACT01'!X12</f>
        <v>63</v>
      </c>
      <c r="AC4" s="200">
        <f>'シェル '!Y12+'ACT01'!Y12</f>
        <v>64</v>
      </c>
      <c r="AD4" s="200">
        <f>'シェル '!Z12+'ACT01'!Z12</f>
        <v>65</v>
      </c>
      <c r="AE4" s="200">
        <f>'シェル '!AA12+'ACT01'!AA12</f>
        <v>66</v>
      </c>
      <c r="AF4" s="200">
        <f>'シェル '!AB12+'ACT01'!AB12</f>
        <v>67</v>
      </c>
      <c r="AG4" s="200">
        <f>'シェル '!AC12+'ACT01'!AC12</f>
        <v>68</v>
      </c>
      <c r="AH4" s="195"/>
      <c r="AI4" s="201"/>
      <c r="AK4" s="197"/>
      <c r="AL4" s="193"/>
      <c r="AM4" s="198"/>
      <c r="AN4" s="193">
        <f>'シェル '!AE12+'ACT01'!AE12</f>
        <v>69</v>
      </c>
      <c r="AO4" s="199">
        <f>'シェル '!AF12+'ACT01'!AF12</f>
        <v>70</v>
      </c>
      <c r="AP4" s="200">
        <f>'シェル '!AG12+'ACT01'!AG12</f>
        <v>71</v>
      </c>
      <c r="AQ4" s="200">
        <f>'シェル '!AH12+'ACT01'!AH12</f>
        <v>72</v>
      </c>
      <c r="AR4" s="200">
        <f>'シェル '!AI12+'ACT01'!AI12</f>
        <v>73</v>
      </c>
      <c r="AS4" s="200">
        <f>'シェル '!AJ12+'ACT01'!AJ12</f>
        <v>74</v>
      </c>
      <c r="AT4" s="200">
        <f>'シェル '!AK12+'ACT01'!AK12</f>
        <v>75</v>
      </c>
      <c r="AU4" s="200">
        <f>'シェル '!AL12+'ACT01'!AL12</f>
        <v>76</v>
      </c>
      <c r="AV4" s="200">
        <f>'シェル '!AM12+'ACT01'!AM12</f>
        <v>77</v>
      </c>
      <c r="AW4" s="200">
        <f>'シェル '!AN12+'ACT01'!AN12</f>
        <v>78</v>
      </c>
      <c r="AX4" s="200">
        <f>'シェル '!AO12+'ACT01'!AO12</f>
        <v>79</v>
      </c>
      <c r="AY4" s="200">
        <f>'シェル '!AP12+'ACT01'!AP12</f>
        <v>80</v>
      </c>
      <c r="AZ4" s="195"/>
      <c r="BA4" s="201"/>
    </row>
    <row r="5" spans="1:53" ht="11.25" customHeight="1">
      <c r="A5" s="711"/>
      <c r="B5" s="723" t="s">
        <v>364</v>
      </c>
      <c r="C5" s="724"/>
      <c r="D5" s="202">
        <f>SUM(D6:D11)</f>
        <v>1535900</v>
      </c>
      <c r="E5" s="202">
        <f t="shared" ref="E5:O5" si="3">SUM(E6:E11)</f>
        <v>1534200</v>
      </c>
      <c r="F5" s="202">
        <f t="shared" si="3"/>
        <v>2180600</v>
      </c>
      <c r="G5" s="202">
        <f t="shared" si="3"/>
        <v>2237600</v>
      </c>
      <c r="H5" s="202">
        <f t="shared" si="3"/>
        <v>2339300</v>
      </c>
      <c r="I5" s="202">
        <f t="shared" si="3"/>
        <v>2389300</v>
      </c>
      <c r="J5" s="202">
        <f t="shared" si="3"/>
        <v>3287852</v>
      </c>
      <c r="K5" s="202">
        <f t="shared" si="3"/>
        <v>3750492</v>
      </c>
      <c r="L5" s="202">
        <f t="shared" si="3"/>
        <v>4542856</v>
      </c>
      <c r="M5" s="202">
        <f t="shared" si="3"/>
        <v>5736180</v>
      </c>
      <c r="N5" s="202">
        <f t="shared" si="3"/>
        <v>6279284</v>
      </c>
      <c r="O5" s="202">
        <f t="shared" si="3"/>
        <v>7241048</v>
      </c>
      <c r="P5" s="202">
        <f t="shared" ref="P5:P50" si="4">SUM(D5:O5)</f>
        <v>43054612</v>
      </c>
      <c r="Q5" s="203">
        <f>IF(P5=0,"",P5/$P$3)</f>
        <v>0.82378133793473873</v>
      </c>
      <c r="S5" s="204"/>
      <c r="T5" s="723" t="s">
        <v>364</v>
      </c>
      <c r="U5" s="724"/>
      <c r="V5" s="202">
        <f t="shared" ref="V5" si="5">SUM(V6:V11)</f>
        <v>8142000</v>
      </c>
      <c r="W5" s="202">
        <f t="shared" ref="W5:AG5" si="6">SUM(W6:W11)</f>
        <v>7823750</v>
      </c>
      <c r="X5" s="202">
        <f t="shared" si="6"/>
        <v>9323325</v>
      </c>
      <c r="Y5" s="202">
        <f t="shared" si="6"/>
        <v>9087150</v>
      </c>
      <c r="Z5" s="202">
        <f t="shared" si="6"/>
        <v>9677425</v>
      </c>
      <c r="AA5" s="202">
        <f t="shared" si="6"/>
        <v>9425750</v>
      </c>
      <c r="AB5" s="202">
        <f t="shared" si="6"/>
        <v>10031425</v>
      </c>
      <c r="AC5" s="202">
        <f t="shared" si="6"/>
        <v>9764350</v>
      </c>
      <c r="AD5" s="202">
        <f t="shared" si="6"/>
        <v>9933750</v>
      </c>
      <c r="AE5" s="202">
        <f t="shared" si="6"/>
        <v>10562425</v>
      </c>
      <c r="AF5" s="202">
        <f t="shared" si="6"/>
        <v>10272350</v>
      </c>
      <c r="AG5" s="202">
        <f t="shared" si="6"/>
        <v>10441750</v>
      </c>
      <c r="AH5" s="202">
        <f>SUM(V5:AG5)</f>
        <v>114485450</v>
      </c>
      <c r="AI5" s="203">
        <f>IF(AH5=0,"",AH5/AH$3)</f>
        <v>0.83648158894710301</v>
      </c>
      <c r="AJ5" s="190"/>
      <c r="AK5" s="204"/>
      <c r="AL5" s="723" t="s">
        <v>364</v>
      </c>
      <c r="AM5" s="724"/>
      <c r="AN5" s="202">
        <f t="shared" ref="AN5:AY5" si="7">SUM(AN6:AN11)</f>
        <v>10611000</v>
      </c>
      <c r="AO5" s="202">
        <f t="shared" si="7"/>
        <v>9800700</v>
      </c>
      <c r="AP5" s="202">
        <f t="shared" si="7"/>
        <v>11447525</v>
      </c>
      <c r="AQ5" s="202">
        <f t="shared" si="7"/>
        <v>11118950</v>
      </c>
      <c r="AR5" s="202">
        <f t="shared" si="7"/>
        <v>11801425</v>
      </c>
      <c r="AS5" s="202">
        <f t="shared" si="7"/>
        <v>11457550</v>
      </c>
      <c r="AT5" s="202">
        <f t="shared" si="7"/>
        <v>12155525</v>
      </c>
      <c r="AU5" s="202">
        <f t="shared" si="7"/>
        <v>11796150</v>
      </c>
      <c r="AV5" s="202">
        <f t="shared" si="7"/>
        <v>11965450</v>
      </c>
      <c r="AW5" s="202">
        <f t="shared" si="7"/>
        <v>12686525</v>
      </c>
      <c r="AX5" s="202">
        <f t="shared" si="7"/>
        <v>12304050</v>
      </c>
      <c r="AY5" s="202">
        <f t="shared" si="7"/>
        <v>12473450</v>
      </c>
      <c r="AZ5" s="202">
        <f>SUM(AN5:AY5)</f>
        <v>139618300</v>
      </c>
      <c r="BA5" s="203">
        <f>IF(AZ5=0,"",AZ5/AZ$3)</f>
        <v>0.83885906880090189</v>
      </c>
    </row>
    <row r="6" spans="1:53" ht="11.25" customHeight="1">
      <c r="A6" s="711"/>
      <c r="B6" s="714"/>
      <c r="C6" s="219" t="s">
        <v>489</v>
      </c>
      <c r="D6" s="205">
        <f>'シェル '!E20</f>
        <v>1535900</v>
      </c>
      <c r="E6" s="205">
        <f>'シェル '!F20</f>
        <v>1534200</v>
      </c>
      <c r="F6" s="205">
        <f>'シェル '!G20</f>
        <v>2180600</v>
      </c>
      <c r="G6" s="205">
        <f>'シェル '!H20</f>
        <v>2237600</v>
      </c>
      <c r="H6" s="205">
        <f>'シェル '!I20</f>
        <v>2339300</v>
      </c>
      <c r="I6" s="205">
        <f>'シェル '!J20</f>
        <v>1934200</v>
      </c>
      <c r="J6" s="205">
        <f>'シェル '!K20</f>
        <v>2494952</v>
      </c>
      <c r="K6" s="205">
        <f>'シェル '!L20</f>
        <v>2688592</v>
      </c>
      <c r="L6" s="205">
        <f>'シェル '!M20</f>
        <v>3177556</v>
      </c>
      <c r="M6" s="205">
        <f>'シェル '!N20</f>
        <v>3991680</v>
      </c>
      <c r="N6" s="205">
        <f>'シェル '!O20</f>
        <v>4458884</v>
      </c>
      <c r="O6" s="205">
        <f>'シェル '!P20</f>
        <v>5099548</v>
      </c>
      <c r="P6" s="205">
        <f>SUM(D6:O6)</f>
        <v>33673012</v>
      </c>
      <c r="Q6" s="206">
        <f t="shared" ref="Q6:Q50" si="8">IF(P6=0,"",P6/$P$3)</f>
        <v>0.64427938353392922</v>
      </c>
      <c r="S6" s="204"/>
      <c r="T6" s="714"/>
      <c r="U6" s="219" t="s">
        <v>489</v>
      </c>
      <c r="V6" s="205">
        <f>'シェル '!R20</f>
        <v>5679500</v>
      </c>
      <c r="W6" s="205">
        <f>'シェル '!S20</f>
        <v>5293250</v>
      </c>
      <c r="X6" s="205">
        <f>'シェル '!T20</f>
        <v>6236425</v>
      </c>
      <c r="Y6" s="205">
        <f>'シェル '!U20</f>
        <v>5965050</v>
      </c>
      <c r="Z6" s="205">
        <f>'シェル '!V20</f>
        <v>6236425</v>
      </c>
      <c r="AA6" s="205">
        <f>'シェル '!W20</f>
        <v>5965050</v>
      </c>
      <c r="AB6" s="205">
        <f>'シェル '!X20</f>
        <v>6236425</v>
      </c>
      <c r="AC6" s="205">
        <f>'シェル '!Y20</f>
        <v>5965050</v>
      </c>
      <c r="AD6" s="205">
        <f>'シェル '!Z20</f>
        <v>5965050</v>
      </c>
      <c r="AE6" s="205">
        <f>'シェル '!AA20</f>
        <v>6236425</v>
      </c>
      <c r="AF6" s="205">
        <f>'シェル '!AB20</f>
        <v>5965050</v>
      </c>
      <c r="AG6" s="205">
        <f>'シェル '!AC20</f>
        <v>5965050</v>
      </c>
      <c r="AH6" s="205">
        <f>SUM(V6:AG6)</f>
        <v>71708750</v>
      </c>
      <c r="AI6" s="206">
        <f t="shared" ref="AI6:AI50" si="9">IF(AH6=0,"",AH6/AH$3)</f>
        <v>0.52393600358308035</v>
      </c>
      <c r="AJ6" s="190"/>
      <c r="AK6" s="204"/>
      <c r="AL6" s="714"/>
      <c r="AM6" s="219" t="s">
        <v>489</v>
      </c>
      <c r="AN6" s="205">
        <f>'シェル '!AE20</f>
        <v>5965000</v>
      </c>
      <c r="AO6" s="205">
        <f>'シェル '!AF20</f>
        <v>5423100</v>
      </c>
      <c r="AP6" s="205">
        <f>'シェル '!AG20</f>
        <v>6236425</v>
      </c>
      <c r="AQ6" s="205">
        <f>'シェル '!AH20</f>
        <v>5965050</v>
      </c>
      <c r="AR6" s="205">
        <f>'シェル '!AI20</f>
        <v>6236425</v>
      </c>
      <c r="AS6" s="205">
        <f>'シェル '!AJ20</f>
        <v>5965050</v>
      </c>
      <c r="AT6" s="205">
        <f>'シェル '!AK20</f>
        <v>6236425</v>
      </c>
      <c r="AU6" s="205">
        <f>'シェル '!AL20</f>
        <v>5965050</v>
      </c>
      <c r="AV6" s="205">
        <f>'シェル '!AM20</f>
        <v>5965050</v>
      </c>
      <c r="AW6" s="205">
        <f>'シェル '!AN20</f>
        <v>6236425</v>
      </c>
      <c r="AX6" s="205">
        <f>'シェル '!AO20</f>
        <v>5965050</v>
      </c>
      <c r="AY6" s="205">
        <f>'シェル '!AP20</f>
        <v>5965050</v>
      </c>
      <c r="AZ6" s="205">
        <f>SUM(AN6:AY6)</f>
        <v>72124100</v>
      </c>
      <c r="BA6" s="206">
        <f t="shared" ref="BA6:BA18" si="10">IF(AZ6=0,"",AZ6/AZ$3)</f>
        <v>0.43333828992405099</v>
      </c>
    </row>
    <row r="7" spans="1:53" ht="12" customHeight="1">
      <c r="A7" s="711"/>
      <c r="B7" s="715"/>
      <c r="C7" s="205" t="s">
        <v>529</v>
      </c>
      <c r="D7" s="205">
        <f>'ACT01'!E20</f>
        <v>0</v>
      </c>
      <c r="E7" s="205">
        <f>'ACT01'!F20</f>
        <v>0</v>
      </c>
      <c r="F7" s="205">
        <f>'ACT01'!G20</f>
        <v>0</v>
      </c>
      <c r="G7" s="205">
        <f>'ACT01'!H20</f>
        <v>0</v>
      </c>
      <c r="H7" s="205">
        <f>'ACT01'!I20</f>
        <v>0</v>
      </c>
      <c r="I7" s="205">
        <f>'ACT01'!J20</f>
        <v>455100</v>
      </c>
      <c r="J7" s="205">
        <f>'ACT01'!K20</f>
        <v>792900</v>
      </c>
      <c r="K7" s="205">
        <f>'ACT01'!L20</f>
        <v>1061900</v>
      </c>
      <c r="L7" s="205">
        <f>'ACT01'!M20</f>
        <v>1365300</v>
      </c>
      <c r="M7" s="205">
        <f>'ACT01'!N20</f>
        <v>1744500</v>
      </c>
      <c r="N7" s="205">
        <f>'ACT01'!O20</f>
        <v>1820400</v>
      </c>
      <c r="O7" s="205">
        <f>'ACT01'!P20</f>
        <v>2141500</v>
      </c>
      <c r="P7" s="205">
        <f>SUM(D7:O7)</f>
        <v>9381600</v>
      </c>
      <c r="Q7" s="206">
        <f t="shared" si="8"/>
        <v>0.17950195440080949</v>
      </c>
      <c r="S7" s="204"/>
      <c r="T7" s="715"/>
      <c r="U7" s="205" t="s">
        <v>529</v>
      </c>
      <c r="V7" s="205">
        <f>'ACT01'!R20</f>
        <v>2462500</v>
      </c>
      <c r="W7" s="205">
        <f>'ACT01'!S20</f>
        <v>2530500</v>
      </c>
      <c r="X7" s="205">
        <f>'ACT01'!T20</f>
        <v>3086900</v>
      </c>
      <c r="Y7" s="205">
        <f>'ACT01'!U20</f>
        <v>3122100</v>
      </c>
      <c r="Z7" s="205">
        <f>'ACT01'!V20</f>
        <v>3441000</v>
      </c>
      <c r="AA7" s="205">
        <f>'ACT01'!W20</f>
        <v>3460700</v>
      </c>
      <c r="AB7" s="205">
        <f>'ACT01'!X20</f>
        <v>3795000</v>
      </c>
      <c r="AC7" s="205">
        <f>'ACT01'!Y20</f>
        <v>3799300</v>
      </c>
      <c r="AD7" s="205">
        <f>'ACT01'!Z20</f>
        <v>3968700</v>
      </c>
      <c r="AE7" s="205">
        <f>'ACT01'!AA20</f>
        <v>4326000</v>
      </c>
      <c r="AF7" s="205">
        <f>'ACT01'!AB20</f>
        <v>4307300</v>
      </c>
      <c r="AG7" s="205">
        <f>'ACT01'!AC20</f>
        <v>4476700</v>
      </c>
      <c r="AH7" s="205">
        <f t="shared" ref="AH7:AH36" si="11">SUM(V7:AG7)</f>
        <v>42776700</v>
      </c>
      <c r="AI7" s="206">
        <f t="shared" si="9"/>
        <v>0.3125455853640226</v>
      </c>
      <c r="AJ7" s="190"/>
      <c r="AK7" s="204"/>
      <c r="AL7" s="715"/>
      <c r="AM7" s="205" t="s">
        <v>530</v>
      </c>
      <c r="AN7" s="205">
        <f>'ACT01'!AE20</f>
        <v>4646000</v>
      </c>
      <c r="AO7" s="205">
        <f>'ACT01'!AF20</f>
        <v>4377600</v>
      </c>
      <c r="AP7" s="205">
        <f>'ACT01'!AG20</f>
        <v>5211100</v>
      </c>
      <c r="AQ7" s="205">
        <f>'ACT01'!AH20</f>
        <v>5153900</v>
      </c>
      <c r="AR7" s="205">
        <f>'ACT01'!AI20</f>
        <v>5565000</v>
      </c>
      <c r="AS7" s="205">
        <f>'ACT01'!AJ20</f>
        <v>5492500</v>
      </c>
      <c r="AT7" s="205">
        <f>'ACT01'!AK20</f>
        <v>5919100</v>
      </c>
      <c r="AU7" s="205">
        <f>'ACT01'!AL20</f>
        <v>5831100</v>
      </c>
      <c r="AV7" s="205">
        <f>'ACT01'!AM20</f>
        <v>6000400</v>
      </c>
      <c r="AW7" s="205">
        <f>'ACT01'!AN20</f>
        <v>6450100</v>
      </c>
      <c r="AX7" s="205">
        <f>'ACT01'!AO20</f>
        <v>6339000</v>
      </c>
      <c r="AY7" s="205">
        <f>'ACT01'!AP20</f>
        <v>6508400</v>
      </c>
      <c r="AZ7" s="205">
        <f t="shared" ref="AZ7:AZ36" si="12">SUM(AN7:AY7)</f>
        <v>67494200</v>
      </c>
      <c r="BA7" s="206">
        <f t="shared" si="10"/>
        <v>0.4055207788768509</v>
      </c>
    </row>
    <row r="8" spans="1:53" ht="12" hidden="1" customHeight="1">
      <c r="A8" s="711"/>
      <c r="B8" s="71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>
        <f>SUM(D8:O8)*3000</f>
        <v>0</v>
      </c>
      <c r="Q8" s="206" t="str">
        <f t="shared" si="8"/>
        <v/>
      </c>
      <c r="S8" s="204"/>
      <c r="T8" s="71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>
        <f t="shared" si="11"/>
        <v>0</v>
      </c>
      <c r="AI8" s="206" t="str">
        <f t="shared" si="9"/>
        <v/>
      </c>
      <c r="AK8" s="204"/>
      <c r="AL8" s="71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>
        <f t="shared" si="12"/>
        <v>0</v>
      </c>
      <c r="BA8" s="206" t="str">
        <f t="shared" si="10"/>
        <v/>
      </c>
    </row>
    <row r="9" spans="1:53" ht="12" hidden="1" customHeight="1">
      <c r="A9" s="711"/>
      <c r="B9" s="71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>
        <f>SUM(D9:O9)*2500</f>
        <v>0</v>
      </c>
      <c r="Q9" s="206" t="str">
        <f t="shared" si="8"/>
        <v/>
      </c>
      <c r="S9" s="204"/>
      <c r="T9" s="71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>
        <f t="shared" si="11"/>
        <v>0</v>
      </c>
      <c r="AI9" s="206" t="str">
        <f t="shared" si="9"/>
        <v/>
      </c>
      <c r="AK9" s="204"/>
      <c r="AL9" s="71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>
        <f t="shared" si="12"/>
        <v>0</v>
      </c>
      <c r="BA9" s="206" t="str">
        <f t="shared" si="10"/>
        <v/>
      </c>
    </row>
    <row r="10" spans="1:53" ht="12" hidden="1" customHeight="1">
      <c r="A10" s="711"/>
      <c r="B10" s="71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>
        <f>SUM(D10:O10)*5000</f>
        <v>0</v>
      </c>
      <c r="Q10" s="206" t="str">
        <f t="shared" si="8"/>
        <v/>
      </c>
      <c r="S10" s="204"/>
      <c r="T10" s="71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>
        <f t="shared" si="11"/>
        <v>0</v>
      </c>
      <c r="AI10" s="206" t="str">
        <f t="shared" si="9"/>
        <v/>
      </c>
      <c r="AK10" s="204"/>
      <c r="AL10" s="71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>
        <f t="shared" si="12"/>
        <v>0</v>
      </c>
      <c r="BA10" s="206" t="str">
        <f t="shared" si="10"/>
        <v/>
      </c>
    </row>
    <row r="11" spans="1:53" ht="12" customHeight="1">
      <c r="A11" s="711"/>
      <c r="B11" s="71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>
        <f>SUM(D11:O11)*5000</f>
        <v>0</v>
      </c>
      <c r="Q11" s="207" t="str">
        <f t="shared" si="8"/>
        <v/>
      </c>
      <c r="S11" s="204"/>
      <c r="T11" s="71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>
        <f t="shared" si="11"/>
        <v>0</v>
      </c>
      <c r="AI11" s="207" t="str">
        <f t="shared" si="9"/>
        <v/>
      </c>
      <c r="AK11" s="204"/>
      <c r="AL11" s="71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>
        <f t="shared" si="12"/>
        <v>0</v>
      </c>
      <c r="BA11" s="207" t="str">
        <f t="shared" si="10"/>
        <v/>
      </c>
    </row>
    <row r="12" spans="1:53" ht="11.25" customHeight="1">
      <c r="A12" s="711"/>
      <c r="B12" s="725" t="s">
        <v>371</v>
      </c>
      <c r="C12" s="726"/>
      <c r="D12" s="202">
        <f>SUM(D13:D17)</f>
        <v>330000</v>
      </c>
      <c r="E12" s="202">
        <f t="shared" ref="E12:O12" si="13">SUM(E13:E17)</f>
        <v>360000</v>
      </c>
      <c r="F12" s="202">
        <f t="shared" si="13"/>
        <v>450000</v>
      </c>
      <c r="G12" s="202">
        <f t="shared" si="13"/>
        <v>660000</v>
      </c>
      <c r="H12" s="202">
        <f t="shared" si="13"/>
        <v>720000</v>
      </c>
      <c r="I12" s="202">
        <f t="shared" si="13"/>
        <v>510000</v>
      </c>
      <c r="J12" s="202">
        <f t="shared" si="13"/>
        <v>660000</v>
      </c>
      <c r="K12" s="202">
        <f t="shared" si="13"/>
        <v>780000</v>
      </c>
      <c r="L12" s="202">
        <f t="shared" si="13"/>
        <v>930000</v>
      </c>
      <c r="M12" s="202">
        <f t="shared" si="13"/>
        <v>1110000</v>
      </c>
      <c r="N12" s="202">
        <f t="shared" si="13"/>
        <v>1260000</v>
      </c>
      <c r="O12" s="202">
        <f t="shared" si="13"/>
        <v>1440000</v>
      </c>
      <c r="P12" s="202">
        <f t="shared" si="4"/>
        <v>9210000</v>
      </c>
      <c r="Q12" s="203">
        <f t="shared" si="8"/>
        <v>0.17621866206526129</v>
      </c>
      <c r="S12" s="204"/>
      <c r="T12" s="725" t="s">
        <v>371</v>
      </c>
      <c r="U12" s="726"/>
      <c r="V12" s="202">
        <f t="shared" ref="V12" si="14">SUM(V13:V17)</f>
        <v>1620000</v>
      </c>
      <c r="W12" s="202">
        <f t="shared" ref="W12:AG12" si="15">SUM(W13:W17)</f>
        <v>1710002</v>
      </c>
      <c r="X12" s="202">
        <f t="shared" si="15"/>
        <v>1770002</v>
      </c>
      <c r="Y12" s="202">
        <f t="shared" si="15"/>
        <v>1800002</v>
      </c>
      <c r="Z12" s="202">
        <f t="shared" si="15"/>
        <v>1830002</v>
      </c>
      <c r="AA12" s="202">
        <f t="shared" si="15"/>
        <v>1860002</v>
      </c>
      <c r="AB12" s="202">
        <f t="shared" si="15"/>
        <v>1890002</v>
      </c>
      <c r="AC12" s="202">
        <f t="shared" si="15"/>
        <v>1920002</v>
      </c>
      <c r="AD12" s="202">
        <f t="shared" si="15"/>
        <v>1950002</v>
      </c>
      <c r="AE12" s="202">
        <f t="shared" si="15"/>
        <v>1980003</v>
      </c>
      <c r="AF12" s="202">
        <f t="shared" si="15"/>
        <v>2010003</v>
      </c>
      <c r="AG12" s="202">
        <f t="shared" si="15"/>
        <v>2040003</v>
      </c>
      <c r="AH12" s="202">
        <f t="shared" si="11"/>
        <v>22380025</v>
      </c>
      <c r="AI12" s="203">
        <f t="shared" si="9"/>
        <v>0.16351841105289702</v>
      </c>
      <c r="AK12" s="204"/>
      <c r="AL12" s="725" t="s">
        <v>371</v>
      </c>
      <c r="AM12" s="726"/>
      <c r="AN12" s="202">
        <f t="shared" ref="AN12:AY12" si="16">SUM(AN13:AN17)</f>
        <v>2070002</v>
      </c>
      <c r="AO12" s="202">
        <f t="shared" si="16"/>
        <v>2100002</v>
      </c>
      <c r="AP12" s="202">
        <f t="shared" si="16"/>
        <v>2130002</v>
      </c>
      <c r="AQ12" s="202">
        <f t="shared" si="16"/>
        <v>2160002</v>
      </c>
      <c r="AR12" s="202">
        <f t="shared" si="16"/>
        <v>2190002</v>
      </c>
      <c r="AS12" s="202">
        <f t="shared" si="16"/>
        <v>2220002</v>
      </c>
      <c r="AT12" s="202">
        <f t="shared" si="16"/>
        <v>2250002</v>
      </c>
      <c r="AU12" s="202">
        <f t="shared" si="16"/>
        <v>2280002</v>
      </c>
      <c r="AV12" s="202">
        <f t="shared" si="16"/>
        <v>2310002</v>
      </c>
      <c r="AW12" s="202">
        <f t="shared" si="16"/>
        <v>2340003</v>
      </c>
      <c r="AX12" s="202">
        <f t="shared" si="16"/>
        <v>2370003</v>
      </c>
      <c r="AY12" s="202">
        <f t="shared" si="16"/>
        <v>2400003</v>
      </c>
      <c r="AZ12" s="202">
        <f t="shared" si="12"/>
        <v>26820027</v>
      </c>
      <c r="BA12" s="203">
        <f t="shared" si="10"/>
        <v>0.16114093119909814</v>
      </c>
    </row>
    <row r="13" spans="1:53" ht="9" customHeight="1">
      <c r="A13" s="711"/>
      <c r="B13" s="714"/>
      <c r="C13" s="219" t="s">
        <v>489</v>
      </c>
      <c r="D13" s="205">
        <f>'シェル '!E12*30000</f>
        <v>330000</v>
      </c>
      <c r="E13" s="205">
        <f>'シェル '!F12*30000</f>
        <v>360000</v>
      </c>
      <c r="F13" s="205">
        <f>'シェル '!G12*30000</f>
        <v>450000</v>
      </c>
      <c r="G13" s="205">
        <f>'シェル '!H12*30000</f>
        <v>480000</v>
      </c>
      <c r="H13" s="205">
        <f>'シェル '!I12*30000</f>
        <v>480000</v>
      </c>
      <c r="I13" s="205">
        <f>'シェル '!J12*30000</f>
        <v>420000</v>
      </c>
      <c r="J13" s="205">
        <f>'シェル '!K12*30000</f>
        <v>510000</v>
      </c>
      <c r="K13" s="205">
        <f>'シェル '!L12*30000</f>
        <v>570000</v>
      </c>
      <c r="L13" s="205">
        <f>'シェル '!M12*30000</f>
        <v>660000</v>
      </c>
      <c r="M13" s="205">
        <f>'シェル '!N12*30000</f>
        <v>780000</v>
      </c>
      <c r="N13" s="205">
        <f>'シェル '!O12*30000</f>
        <v>900000</v>
      </c>
      <c r="O13" s="205">
        <f>'シェル '!P12*30000</f>
        <v>1020000</v>
      </c>
      <c r="P13" s="205">
        <f>SUM(D13:O13)</f>
        <v>6960000</v>
      </c>
      <c r="Q13" s="206">
        <f t="shared" si="8"/>
        <v>0.13316850032293362</v>
      </c>
      <c r="S13" s="204"/>
      <c r="T13" s="714"/>
      <c r="U13" s="219" t="s">
        <v>489</v>
      </c>
      <c r="V13" s="205">
        <f>'シェル '!R12*30000</f>
        <v>1140000</v>
      </c>
      <c r="W13" s="205">
        <f>'シェル '!S12*30000</f>
        <v>1170000</v>
      </c>
      <c r="X13" s="205">
        <f>'シェル '!T12*30000</f>
        <v>1200000</v>
      </c>
      <c r="Y13" s="205">
        <f>'シェル '!U12*30000</f>
        <v>1200000</v>
      </c>
      <c r="Z13" s="205">
        <f>'シェル '!V12*30000</f>
        <v>1200000</v>
      </c>
      <c r="AA13" s="205">
        <f>'シェル '!W12*30000</f>
        <v>1200000</v>
      </c>
      <c r="AB13" s="205">
        <f>'シェル '!X12*30000</f>
        <v>1200000</v>
      </c>
      <c r="AC13" s="205">
        <f>'シェル '!Y12*30000</f>
        <v>1200000</v>
      </c>
      <c r="AD13" s="205">
        <f>'シェル '!Z12*30000</f>
        <v>1200000</v>
      </c>
      <c r="AE13" s="205">
        <f>'シェル '!AA12*30000</f>
        <v>1200000</v>
      </c>
      <c r="AF13" s="205">
        <f>'シェル '!AB12*30000</f>
        <v>1200000</v>
      </c>
      <c r="AG13" s="205">
        <f>'シェル '!AC12*30000</f>
        <v>1200000</v>
      </c>
      <c r="AH13" s="205">
        <f t="shared" si="11"/>
        <v>14310000</v>
      </c>
      <c r="AI13" s="206">
        <f t="shared" si="9"/>
        <v>0.10455522110305758</v>
      </c>
      <c r="AK13" s="204"/>
      <c r="AL13" s="714"/>
      <c r="AM13" s="219" t="s">
        <v>489</v>
      </c>
      <c r="AN13" s="205">
        <f>'シェル '!AE12*30000</f>
        <v>1200000</v>
      </c>
      <c r="AO13" s="205">
        <f>'シェル '!AF12*30000</f>
        <v>1200000</v>
      </c>
      <c r="AP13" s="205">
        <f>'シェル '!AG12*30000</f>
        <v>1200000</v>
      </c>
      <c r="AQ13" s="205">
        <f>'シェル '!AH12*30000</f>
        <v>1200000</v>
      </c>
      <c r="AR13" s="205">
        <f>'シェル '!AI12*30000</f>
        <v>1200000</v>
      </c>
      <c r="AS13" s="205">
        <f>'シェル '!AJ12*30000</f>
        <v>1200000</v>
      </c>
      <c r="AT13" s="205">
        <f>'シェル '!AK12*30000</f>
        <v>1200000</v>
      </c>
      <c r="AU13" s="205">
        <f>'シェル '!AL12*30000</f>
        <v>1200000</v>
      </c>
      <c r="AV13" s="205">
        <f>'シェル '!AM12*30000</f>
        <v>1200000</v>
      </c>
      <c r="AW13" s="205">
        <f>'シェル '!AN12*30000</f>
        <v>1200000</v>
      </c>
      <c r="AX13" s="205">
        <f>'シェル '!AO12*30000</f>
        <v>1200000</v>
      </c>
      <c r="AY13" s="205">
        <f>'シェル '!AP12*30000</f>
        <v>1200000</v>
      </c>
      <c r="AZ13" s="205">
        <f>'シェル '!AD12*30000</f>
        <v>0</v>
      </c>
      <c r="BA13" s="206" t="str">
        <f t="shared" si="10"/>
        <v/>
      </c>
    </row>
    <row r="14" spans="1:53" ht="9" customHeight="1">
      <c r="A14" s="711"/>
      <c r="B14" s="715"/>
      <c r="C14" s="205" t="s">
        <v>492</v>
      </c>
      <c r="D14" s="205">
        <f>ACT川崎!E12*30000</f>
        <v>0</v>
      </c>
      <c r="E14" s="205">
        <f>ACT川崎!F12*30000</f>
        <v>0</v>
      </c>
      <c r="F14" s="205">
        <f>ACT川崎!G12*30000</f>
        <v>0</v>
      </c>
      <c r="G14" s="205">
        <f>ACT川崎!H12*30000</f>
        <v>180000</v>
      </c>
      <c r="H14" s="205">
        <f>ACT川崎!I12*30000</f>
        <v>240000</v>
      </c>
      <c r="I14" s="205">
        <f>'ACT01'!J12*30000</f>
        <v>90000</v>
      </c>
      <c r="J14" s="205">
        <f>'ACT01'!K12*30000</f>
        <v>150000</v>
      </c>
      <c r="K14" s="205">
        <f>'ACT01'!L12*30000</f>
        <v>210000</v>
      </c>
      <c r="L14" s="205">
        <f>'ACT01'!M12*30000</f>
        <v>270000</v>
      </c>
      <c r="M14" s="205">
        <f>'ACT01'!N12*30000</f>
        <v>330000</v>
      </c>
      <c r="N14" s="205">
        <f>'ACT01'!O12*30000</f>
        <v>360000</v>
      </c>
      <c r="O14" s="205">
        <f>'ACT01'!P12*30000</f>
        <v>420000</v>
      </c>
      <c r="P14" s="205">
        <f>SUM(D14:O14)</f>
        <v>2250000</v>
      </c>
      <c r="Q14" s="206">
        <f t="shared" si="8"/>
        <v>4.3050161742327675E-2</v>
      </c>
      <c r="S14" s="204"/>
      <c r="T14" s="715"/>
      <c r="U14" s="205" t="s">
        <v>530</v>
      </c>
      <c r="V14" s="205">
        <f>'ACT01'!R12*30000</f>
        <v>480000</v>
      </c>
      <c r="W14" s="205">
        <f>'ACT01'!S12*30000</f>
        <v>540000</v>
      </c>
      <c r="X14" s="205">
        <f>'ACT01'!T12*30000</f>
        <v>570000</v>
      </c>
      <c r="Y14" s="205">
        <f>'ACT01'!U12*30000</f>
        <v>600000</v>
      </c>
      <c r="Z14" s="205">
        <f>'ACT01'!V12*30000</f>
        <v>630000</v>
      </c>
      <c r="AA14" s="205">
        <f>'ACT01'!W12*30000</f>
        <v>660000</v>
      </c>
      <c r="AB14" s="205">
        <f>'ACT01'!X12*30000</f>
        <v>690000</v>
      </c>
      <c r="AC14" s="205">
        <f>'ACT01'!Y12*30000</f>
        <v>720000</v>
      </c>
      <c r="AD14" s="205">
        <f>'ACT01'!Z12*30000</f>
        <v>750000</v>
      </c>
      <c r="AE14" s="205">
        <f>'ACT01'!AA12*30000</f>
        <v>780000</v>
      </c>
      <c r="AF14" s="205">
        <f>'ACT01'!AB12*30000</f>
        <v>810000</v>
      </c>
      <c r="AG14" s="205">
        <f>'ACT01'!AC12*30000</f>
        <v>840000</v>
      </c>
      <c r="AH14" s="205">
        <f t="shared" si="11"/>
        <v>8070000</v>
      </c>
      <c r="AI14" s="206">
        <f t="shared" si="9"/>
        <v>5.8963007288726395E-2</v>
      </c>
      <c r="AK14" s="204"/>
      <c r="AL14" s="715"/>
      <c r="AM14" s="205" t="s">
        <v>530</v>
      </c>
      <c r="AN14" s="205">
        <f>'ACT01'!AE12*30000</f>
        <v>870000</v>
      </c>
      <c r="AO14" s="205">
        <f>'ACT01'!AF12*30000</f>
        <v>900000</v>
      </c>
      <c r="AP14" s="205">
        <f>'ACT01'!AG12*30000</f>
        <v>930000</v>
      </c>
      <c r="AQ14" s="205">
        <f>'ACT01'!AH12*30000</f>
        <v>960000</v>
      </c>
      <c r="AR14" s="205">
        <f>'ACT01'!AI12*30000</f>
        <v>990000</v>
      </c>
      <c r="AS14" s="205">
        <f>'ACT01'!AJ12*30000</f>
        <v>1020000</v>
      </c>
      <c r="AT14" s="205">
        <f>'ACT01'!AK12*30000</f>
        <v>1050000</v>
      </c>
      <c r="AU14" s="205">
        <f>'ACT01'!AL12*30000</f>
        <v>1080000</v>
      </c>
      <c r="AV14" s="205">
        <f>'ACT01'!AM12*30000</f>
        <v>1110000</v>
      </c>
      <c r="AW14" s="205">
        <f>'ACT01'!AN12*30000</f>
        <v>1140000</v>
      </c>
      <c r="AX14" s="205">
        <f>'ACT01'!AO12*30000</f>
        <v>1170000</v>
      </c>
      <c r="AY14" s="205">
        <f>'ACT01'!AP12*30000</f>
        <v>1200000</v>
      </c>
      <c r="AZ14" s="205">
        <f>'ACT01'!AV12*30000</f>
        <v>1200000</v>
      </c>
      <c r="BA14" s="206">
        <f t="shared" si="10"/>
        <v>7.2098778065703582E-3</v>
      </c>
    </row>
    <row r="15" spans="1:53" ht="8.25" hidden="1" customHeight="1">
      <c r="A15" s="711"/>
      <c r="B15" s="71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>
        <f>SUM(D15:O15)</f>
        <v>0</v>
      </c>
      <c r="Q15" s="206" t="str">
        <f t="shared" si="8"/>
        <v/>
      </c>
      <c r="S15" s="204"/>
      <c r="T15" s="715"/>
      <c r="U15" s="205" t="s">
        <v>50</v>
      </c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>
        <f t="shared" si="11"/>
        <v>0</v>
      </c>
      <c r="AI15" s="206" t="str">
        <f t="shared" si="9"/>
        <v/>
      </c>
      <c r="AK15" s="204"/>
      <c r="AL15" s="715"/>
      <c r="AM15" s="205" t="s">
        <v>50</v>
      </c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>
        <f t="shared" si="12"/>
        <v>0</v>
      </c>
      <c r="BA15" s="206" t="str">
        <f t="shared" si="10"/>
        <v/>
      </c>
    </row>
    <row r="16" spans="1:53" ht="9" hidden="1" customHeight="1">
      <c r="A16" s="711"/>
      <c r="B16" s="71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>
        <f>SUM(D16:O16)</f>
        <v>0</v>
      </c>
      <c r="Q16" s="206" t="str">
        <f t="shared" si="8"/>
        <v/>
      </c>
      <c r="S16" s="204"/>
      <c r="T16" s="715"/>
      <c r="U16" s="205"/>
      <c r="V16" s="205"/>
      <c r="W16" s="205">
        <f>売上計画!$H14</f>
        <v>2</v>
      </c>
      <c r="X16" s="205">
        <f>売上計画!$H14</f>
        <v>2</v>
      </c>
      <c r="Y16" s="205">
        <f>売上計画!$I14</f>
        <v>2</v>
      </c>
      <c r="Z16" s="205">
        <f>売上計画!$I14</f>
        <v>2</v>
      </c>
      <c r="AA16" s="205">
        <f>売上計画!$I14</f>
        <v>2</v>
      </c>
      <c r="AB16" s="205">
        <f>売上計画!$J14</f>
        <v>2</v>
      </c>
      <c r="AC16" s="205">
        <f>売上計画!$J14</f>
        <v>2</v>
      </c>
      <c r="AD16" s="205">
        <f>売上計画!$J14</f>
        <v>2</v>
      </c>
      <c r="AE16" s="205">
        <f>売上計画!$K14</f>
        <v>3</v>
      </c>
      <c r="AF16" s="205">
        <f>売上計画!$K14</f>
        <v>3</v>
      </c>
      <c r="AG16" s="205">
        <f>売上計画!$K14</f>
        <v>3</v>
      </c>
      <c r="AH16" s="205">
        <f t="shared" si="11"/>
        <v>25</v>
      </c>
      <c r="AI16" s="206">
        <f t="shared" si="9"/>
        <v>1.8266111303818584E-7</v>
      </c>
      <c r="AK16" s="204"/>
      <c r="AL16" s="715"/>
      <c r="AM16" s="205"/>
      <c r="AN16" s="205">
        <f>売上計画!$H14</f>
        <v>2</v>
      </c>
      <c r="AO16" s="205">
        <f>売上計画!$H14</f>
        <v>2</v>
      </c>
      <c r="AP16" s="205">
        <f>売上計画!$H14</f>
        <v>2</v>
      </c>
      <c r="AQ16" s="205">
        <f>売上計画!$I14</f>
        <v>2</v>
      </c>
      <c r="AR16" s="205">
        <f>売上計画!$I14</f>
        <v>2</v>
      </c>
      <c r="AS16" s="205">
        <f>売上計画!$I14</f>
        <v>2</v>
      </c>
      <c r="AT16" s="205">
        <f>売上計画!$J14</f>
        <v>2</v>
      </c>
      <c r="AU16" s="205">
        <f>売上計画!$J14</f>
        <v>2</v>
      </c>
      <c r="AV16" s="205">
        <f>売上計画!$J14</f>
        <v>2</v>
      </c>
      <c r="AW16" s="205">
        <f>売上計画!$K14</f>
        <v>3</v>
      </c>
      <c r="AX16" s="205">
        <f>売上計画!$K14</f>
        <v>3</v>
      </c>
      <c r="AY16" s="205">
        <f>売上計画!$K14</f>
        <v>3</v>
      </c>
      <c r="AZ16" s="205">
        <f t="shared" si="12"/>
        <v>27</v>
      </c>
      <c r="BA16" s="206">
        <f t="shared" si="10"/>
        <v>1.6222225064783305E-7</v>
      </c>
    </row>
    <row r="17" spans="1:53" ht="9" hidden="1" customHeight="1">
      <c r="A17" s="711"/>
      <c r="B17" s="715"/>
      <c r="C17" s="208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>
        <f>SUM(D17:O17)</f>
        <v>0</v>
      </c>
      <c r="Q17" s="206" t="str">
        <f t="shared" si="8"/>
        <v/>
      </c>
      <c r="S17" s="204"/>
      <c r="T17" s="715"/>
      <c r="U17" s="208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>
        <f t="shared" si="11"/>
        <v>0</v>
      </c>
      <c r="AI17" s="206" t="str">
        <f t="shared" si="9"/>
        <v/>
      </c>
      <c r="AK17" s="204"/>
      <c r="AL17" s="715"/>
      <c r="AM17" s="208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>
        <f t="shared" si="12"/>
        <v>0</v>
      </c>
      <c r="BA17" s="206" t="str">
        <f t="shared" si="10"/>
        <v/>
      </c>
    </row>
    <row r="18" spans="1:53" ht="10.5" hidden="1" customHeight="1">
      <c r="A18" s="711"/>
      <c r="B18" s="716" t="s">
        <v>378</v>
      </c>
      <c r="C18" s="717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>
        <f t="shared" si="4"/>
        <v>0</v>
      </c>
      <c r="Q18" s="203" t="str">
        <f t="shared" si="8"/>
        <v/>
      </c>
      <c r="S18" s="204"/>
      <c r="T18" s="716" t="s">
        <v>378</v>
      </c>
      <c r="U18" s="717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>
        <f t="shared" si="11"/>
        <v>0</v>
      </c>
      <c r="AI18" s="203" t="str">
        <f t="shared" si="9"/>
        <v/>
      </c>
      <c r="AK18" s="204"/>
      <c r="AL18" s="716" t="s">
        <v>378</v>
      </c>
      <c r="AM18" s="717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>
        <f t="shared" si="12"/>
        <v>0</v>
      </c>
      <c r="BA18" s="203" t="str">
        <f t="shared" si="10"/>
        <v/>
      </c>
    </row>
    <row r="19" spans="1:53" ht="10.5" hidden="1" customHeight="1">
      <c r="A19" s="711"/>
      <c r="B19" s="209"/>
      <c r="C19" s="210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3"/>
      <c r="S19" s="204"/>
      <c r="T19" s="209"/>
      <c r="U19" s="210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>
        <f t="shared" si="11"/>
        <v>0</v>
      </c>
      <c r="AI19" s="203"/>
      <c r="AK19" s="204"/>
      <c r="AL19" s="209"/>
      <c r="AM19" s="210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>
        <f t="shared" si="12"/>
        <v>0</v>
      </c>
      <c r="BA19" s="203"/>
    </row>
    <row r="20" spans="1:53" ht="10.5" hidden="1" customHeight="1">
      <c r="A20" s="711"/>
      <c r="B20" s="209"/>
      <c r="C20" s="210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3"/>
      <c r="S20" s="204"/>
      <c r="T20" s="209"/>
      <c r="U20" s="210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>
        <f t="shared" si="11"/>
        <v>0</v>
      </c>
      <c r="AI20" s="203"/>
      <c r="AK20" s="204"/>
      <c r="AL20" s="209"/>
      <c r="AM20" s="210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>
        <f t="shared" si="12"/>
        <v>0</v>
      </c>
      <c r="BA20" s="203"/>
    </row>
    <row r="21" spans="1:53" ht="10.5" customHeight="1">
      <c r="A21" s="711"/>
      <c r="B21" s="727"/>
      <c r="C21" s="717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>
        <f t="shared" si="4"/>
        <v>0</v>
      </c>
      <c r="Q21" s="203"/>
      <c r="S21" s="204"/>
      <c r="T21" s="727"/>
      <c r="U21" s="717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>
        <f t="shared" si="11"/>
        <v>0</v>
      </c>
      <c r="AI21" s="203" t="str">
        <f t="shared" si="9"/>
        <v/>
      </c>
      <c r="AK21" s="204"/>
      <c r="AL21" s="727" t="s">
        <v>402</v>
      </c>
      <c r="AM21" s="717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>
        <f t="shared" si="12"/>
        <v>0</v>
      </c>
      <c r="BA21" s="203" t="str">
        <f t="shared" ref="BA21:BA50" si="17">IF(AZ21=0,"",AZ21/AZ$3)</f>
        <v/>
      </c>
    </row>
    <row r="22" spans="1:53" ht="10.5" customHeight="1" thickBot="1">
      <c r="A22" s="781"/>
      <c r="B22" s="718" t="s">
        <v>0</v>
      </c>
      <c r="C22" s="718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>
        <f t="shared" si="4"/>
        <v>0</v>
      </c>
      <c r="Q22" s="212" t="str">
        <f t="shared" si="8"/>
        <v/>
      </c>
      <c r="S22" s="213"/>
      <c r="T22" s="718" t="s">
        <v>0</v>
      </c>
      <c r="U22" s="718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>
        <f t="shared" si="11"/>
        <v>0</v>
      </c>
      <c r="AI22" s="212" t="str">
        <f t="shared" si="9"/>
        <v/>
      </c>
      <c r="AK22" s="213"/>
      <c r="AL22" s="718" t="s">
        <v>0</v>
      </c>
      <c r="AM22" s="718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>
        <f t="shared" si="12"/>
        <v>0</v>
      </c>
      <c r="BA22" s="212" t="str">
        <f t="shared" si="17"/>
        <v/>
      </c>
    </row>
    <row r="23" spans="1:53" ht="11.25" customHeight="1">
      <c r="A23" s="214"/>
      <c r="B23" s="719" t="s">
        <v>409</v>
      </c>
      <c r="C23" s="720"/>
      <c r="D23" s="215">
        <f t="shared" ref="D23:J23" si="18">SUM(D25:D29)</f>
        <v>2962077</v>
      </c>
      <c r="E23" s="215">
        <f t="shared" si="18"/>
        <v>2862026</v>
      </c>
      <c r="F23" s="215">
        <f t="shared" si="18"/>
        <v>3018918</v>
      </c>
      <c r="G23" s="215">
        <f t="shared" si="18"/>
        <v>3232628</v>
      </c>
      <c r="H23" s="215">
        <f t="shared" si="18"/>
        <v>3500679</v>
      </c>
      <c r="I23" s="215">
        <f t="shared" si="18"/>
        <v>2552179</v>
      </c>
      <c r="J23" s="215">
        <f t="shared" si="18"/>
        <v>2579135.56</v>
      </c>
      <c r="K23" s="215">
        <f>K24+K30</f>
        <v>5023014.76</v>
      </c>
      <c r="L23" s="215">
        <f>L24+L30</f>
        <v>5236785.68</v>
      </c>
      <c r="M23" s="215">
        <f>M24+M30</f>
        <v>5452585.4000000004</v>
      </c>
      <c r="N23" s="215">
        <f>N24+N30</f>
        <v>6558878.5199999996</v>
      </c>
      <c r="O23" s="215">
        <f>O24+O30</f>
        <v>6657731.4400000004</v>
      </c>
      <c r="P23" s="215">
        <f t="shared" si="4"/>
        <v>49636638.359999999</v>
      </c>
      <c r="Q23" s="216">
        <f t="shared" si="8"/>
        <v>0.94971791544152284</v>
      </c>
      <c r="S23" s="214"/>
      <c r="T23" s="719" t="s">
        <v>372</v>
      </c>
      <c r="U23" s="720"/>
      <c r="V23" s="215">
        <f>V24+V30</f>
        <v>8355760</v>
      </c>
      <c r="W23" s="215">
        <f t="shared" ref="W23:AG23" si="19">W24+W30</f>
        <v>8536212.5</v>
      </c>
      <c r="X23" s="215">
        <f t="shared" si="19"/>
        <v>8641199.75</v>
      </c>
      <c r="Y23" s="215">
        <f t="shared" si="19"/>
        <v>8664114.5</v>
      </c>
      <c r="Z23" s="215">
        <f t="shared" si="19"/>
        <v>8711822.75</v>
      </c>
      <c r="AA23" s="215">
        <f t="shared" si="19"/>
        <v>8734272.5</v>
      </c>
      <c r="AB23" s="215">
        <f t="shared" si="19"/>
        <v>8782442.75</v>
      </c>
      <c r="AC23" s="215">
        <f t="shared" si="19"/>
        <v>8804430.5</v>
      </c>
      <c r="AD23" s="215">
        <f t="shared" si="19"/>
        <v>8839512.5</v>
      </c>
      <c r="AE23" s="215">
        <f t="shared" si="19"/>
        <v>8888372.75</v>
      </c>
      <c r="AF23" s="215">
        <f t="shared" si="19"/>
        <v>8909670.5</v>
      </c>
      <c r="AG23" s="215">
        <f t="shared" si="19"/>
        <v>8889752.5</v>
      </c>
      <c r="AH23" s="215">
        <f t="shared" si="11"/>
        <v>104757563.5</v>
      </c>
      <c r="AI23" s="216">
        <f t="shared" si="9"/>
        <v>0.76540532592313726</v>
      </c>
      <c r="AK23" s="490"/>
      <c r="AL23" s="784" t="s">
        <v>372</v>
      </c>
      <c r="AM23" s="785"/>
      <c r="AN23" s="491">
        <f t="shared" ref="AN23:AY23" si="20">SUM(AN25:AN29)</f>
        <v>6800330</v>
      </c>
      <c r="AO23" s="491">
        <f t="shared" si="20"/>
        <v>6776021</v>
      </c>
      <c r="AP23" s="491">
        <f t="shared" si="20"/>
        <v>6825425.75</v>
      </c>
      <c r="AQ23" s="491">
        <f t="shared" si="20"/>
        <v>6815568.5</v>
      </c>
      <c r="AR23" s="491">
        <f t="shared" si="20"/>
        <v>6836042.75</v>
      </c>
      <c r="AS23" s="491">
        <f t="shared" si="20"/>
        <v>6825726.5</v>
      </c>
      <c r="AT23" s="491">
        <f t="shared" si="20"/>
        <v>6846665.75</v>
      </c>
      <c r="AU23" s="491">
        <f t="shared" si="20"/>
        <v>6835884.5</v>
      </c>
      <c r="AV23" s="491">
        <f t="shared" si="20"/>
        <v>6840963.5</v>
      </c>
      <c r="AW23" s="491">
        <f t="shared" si="20"/>
        <v>6862595.75</v>
      </c>
      <c r="AX23" s="491">
        <f t="shared" si="20"/>
        <v>6851121.5</v>
      </c>
      <c r="AY23" s="491">
        <f t="shared" si="20"/>
        <v>6856203.5</v>
      </c>
      <c r="AZ23" s="491">
        <f t="shared" si="12"/>
        <v>81972549</v>
      </c>
      <c r="BA23" s="492">
        <f t="shared" si="17"/>
        <v>0.49251005148591764</v>
      </c>
    </row>
    <row r="24" spans="1:53" ht="9.75" customHeight="1">
      <c r="A24" s="214"/>
      <c r="B24" s="771" t="s">
        <v>364</v>
      </c>
      <c r="C24" s="772"/>
      <c r="D24" s="217">
        <f t="shared" ref="D24:J24" si="21">SUM(D25:D29)</f>
        <v>2962077</v>
      </c>
      <c r="E24" s="217">
        <f t="shared" si="21"/>
        <v>2862026</v>
      </c>
      <c r="F24" s="217">
        <f t="shared" si="21"/>
        <v>3018918</v>
      </c>
      <c r="G24" s="217">
        <f t="shared" si="21"/>
        <v>3232628</v>
      </c>
      <c r="H24" s="217">
        <f t="shared" si="21"/>
        <v>3500679</v>
      </c>
      <c r="I24" s="217">
        <f t="shared" si="21"/>
        <v>2552179</v>
      </c>
      <c r="J24" s="217">
        <f t="shared" si="21"/>
        <v>2579135.56</v>
      </c>
      <c r="K24" s="217">
        <f>SUM(K25:K29)</f>
        <v>4023014.76</v>
      </c>
      <c r="L24" s="217">
        <f>SUM(L25:L29)</f>
        <v>4086785.68</v>
      </c>
      <c r="M24" s="217">
        <f>SUM(M25:M29)</f>
        <v>4122585.4</v>
      </c>
      <c r="N24" s="217">
        <f>SUM(N25:N29)</f>
        <v>5078878.5199999996</v>
      </c>
      <c r="O24" s="217">
        <f>SUM(O25:O29)</f>
        <v>4997731.4400000004</v>
      </c>
      <c r="P24" s="217">
        <f t="shared" si="4"/>
        <v>43016638.359999999</v>
      </c>
      <c r="Q24" s="218"/>
      <c r="S24" s="214"/>
      <c r="T24" s="771" t="s">
        <v>364</v>
      </c>
      <c r="U24" s="772"/>
      <c r="V24" s="217">
        <f>SUM(V25:V29)</f>
        <v>6295760</v>
      </c>
      <c r="W24" s="217">
        <f t="shared" ref="W24:AG24" si="22">SUM(W25:W29)</f>
        <v>6386212.5</v>
      </c>
      <c r="X24" s="217">
        <f t="shared" si="22"/>
        <v>6431199.75</v>
      </c>
      <c r="Y24" s="217">
        <f t="shared" si="22"/>
        <v>6424114.5</v>
      </c>
      <c r="Z24" s="217">
        <f t="shared" si="22"/>
        <v>6441822.75</v>
      </c>
      <c r="AA24" s="217">
        <f t="shared" si="22"/>
        <v>6434272.5</v>
      </c>
      <c r="AB24" s="217">
        <f t="shared" si="22"/>
        <v>6452442.75</v>
      </c>
      <c r="AC24" s="217">
        <f t="shared" si="22"/>
        <v>6444430.5</v>
      </c>
      <c r="AD24" s="217">
        <f t="shared" si="22"/>
        <v>6449512.5</v>
      </c>
      <c r="AE24" s="217">
        <f t="shared" si="22"/>
        <v>6468372.75</v>
      </c>
      <c r="AF24" s="217">
        <f t="shared" si="22"/>
        <v>6459670.5</v>
      </c>
      <c r="AG24" s="217">
        <f t="shared" si="22"/>
        <v>6409752.5</v>
      </c>
      <c r="AH24" s="217">
        <f t="shared" si="11"/>
        <v>77097563.5</v>
      </c>
      <c r="AI24" s="218">
        <f t="shared" si="9"/>
        <v>0.56330907045768852</v>
      </c>
      <c r="AK24" s="214"/>
      <c r="AL24" s="771" t="s">
        <v>364</v>
      </c>
      <c r="AM24" s="772"/>
      <c r="AN24" s="217">
        <f t="shared" ref="AN24:AY24" si="23">SUM(AN25:AN29)</f>
        <v>6800330</v>
      </c>
      <c r="AO24" s="217">
        <f t="shared" si="23"/>
        <v>6776021</v>
      </c>
      <c r="AP24" s="217">
        <f t="shared" si="23"/>
        <v>6825425.75</v>
      </c>
      <c r="AQ24" s="217">
        <f t="shared" si="23"/>
        <v>6815568.5</v>
      </c>
      <c r="AR24" s="217">
        <f t="shared" si="23"/>
        <v>6836042.75</v>
      </c>
      <c r="AS24" s="217">
        <f t="shared" si="23"/>
        <v>6825726.5</v>
      </c>
      <c r="AT24" s="217">
        <f t="shared" si="23"/>
        <v>6846665.75</v>
      </c>
      <c r="AU24" s="217">
        <f t="shared" si="23"/>
        <v>6835884.5</v>
      </c>
      <c r="AV24" s="217">
        <f t="shared" si="23"/>
        <v>6840963.5</v>
      </c>
      <c r="AW24" s="217">
        <f t="shared" si="23"/>
        <v>6862595.75</v>
      </c>
      <c r="AX24" s="217">
        <f t="shared" si="23"/>
        <v>6851121.5</v>
      </c>
      <c r="AY24" s="217">
        <f t="shared" si="23"/>
        <v>6856203.5</v>
      </c>
      <c r="AZ24" s="217">
        <f t="shared" si="12"/>
        <v>81972549</v>
      </c>
      <c r="BA24" s="218">
        <f t="shared" si="17"/>
        <v>0.49251005148591764</v>
      </c>
    </row>
    <row r="25" spans="1:53" ht="9.75" customHeight="1">
      <c r="A25" s="214"/>
      <c r="B25" s="721"/>
      <c r="C25" s="219" t="s">
        <v>373</v>
      </c>
      <c r="D25" s="205">
        <f>'シェル '!E54+ACT川崎!E52</f>
        <v>2360000</v>
      </c>
      <c r="E25" s="205">
        <f>'シェル '!F54+シェルあざみ野!F38</f>
        <v>2250000</v>
      </c>
      <c r="F25" s="205">
        <f>'シェル '!G54+シェルあざみ野!G38</f>
        <v>2250000</v>
      </c>
      <c r="G25" s="205">
        <f>'シェル '!H54+シェルあざみ野!H38</f>
        <v>2310000</v>
      </c>
      <c r="H25" s="205">
        <f>'シェル '!I54+シェルあざみ野!I38</f>
        <v>2560000</v>
      </c>
      <c r="I25" s="205">
        <f>'シェル '!J54+'ACT01'!E54</f>
        <v>1630000</v>
      </c>
      <c r="J25" s="205">
        <f>'シェル '!K54+'ACT01'!F54</f>
        <v>1630000</v>
      </c>
      <c r="K25" s="205">
        <f>'シェル '!L54+'ACT01'!G54</f>
        <v>2930000</v>
      </c>
      <c r="L25" s="205">
        <f>'シェル '!M54+'ACT01'!H54</f>
        <v>2970000</v>
      </c>
      <c r="M25" s="205">
        <f>'シェル '!N54+'ACT01'!I54</f>
        <v>2970000</v>
      </c>
      <c r="N25" s="205">
        <f>'シェル '!O54+'ACT01'!J54</f>
        <v>3910000</v>
      </c>
      <c r="O25" s="205">
        <f>'シェル '!P54+'ACT01'!K54</f>
        <v>3810000</v>
      </c>
      <c r="P25" s="205">
        <f t="shared" si="4"/>
        <v>31580000</v>
      </c>
      <c r="Q25" s="206">
        <f t="shared" si="8"/>
        <v>0.60423293681009249</v>
      </c>
      <c r="S25" s="214"/>
      <c r="T25" s="721"/>
      <c r="U25" s="219" t="s">
        <v>373</v>
      </c>
      <c r="V25" s="205">
        <f>'シェル '!R54+'ACT01'!R54</f>
        <v>5040000</v>
      </c>
      <c r="W25" s="205">
        <f>'シェル '!S54+'ACT01'!S54</f>
        <v>5040000</v>
      </c>
      <c r="X25" s="205">
        <f>'シェル '!T54+'ACT01'!T54</f>
        <v>5040000</v>
      </c>
      <c r="Y25" s="205">
        <f>'シェル '!U54+'ACT01'!U54</f>
        <v>5040000</v>
      </c>
      <c r="Z25" s="205">
        <f>'シェル '!V54+'ACT01'!V54</f>
        <v>5040000</v>
      </c>
      <c r="AA25" s="205">
        <f>'シェル '!W54+'ACT01'!W54</f>
        <v>5040000</v>
      </c>
      <c r="AB25" s="205">
        <f>'シェル '!X54+'ACT01'!X54</f>
        <v>5040000</v>
      </c>
      <c r="AC25" s="205">
        <f>'シェル '!Y54+'ACT01'!Y54</f>
        <v>5040000</v>
      </c>
      <c r="AD25" s="205">
        <f>'シェル '!Z54+'ACT01'!Z54</f>
        <v>5040000</v>
      </c>
      <c r="AE25" s="205">
        <f>'シェル '!AA54+'ACT01'!AA54</f>
        <v>5040000</v>
      </c>
      <c r="AF25" s="205">
        <f>'シェル '!AB54+'ACT01'!AB54</f>
        <v>5040000</v>
      </c>
      <c r="AG25" s="205">
        <f>'シェル '!AC54+'ACT01'!AC54</f>
        <v>4990000</v>
      </c>
      <c r="AH25" s="205">
        <f t="shared" si="11"/>
        <v>60430000</v>
      </c>
      <c r="AI25" s="206">
        <f t="shared" si="9"/>
        <v>0.44152844243590283</v>
      </c>
      <c r="AK25" s="214"/>
      <c r="AL25" s="721"/>
      <c r="AM25" s="219" t="s">
        <v>373</v>
      </c>
      <c r="AN25" s="205">
        <f>'シェル '!AE54+'ACT01'!AE54</f>
        <v>5710000</v>
      </c>
      <c r="AO25" s="205">
        <f>'シェル '!AF54+'ACT01'!AF54</f>
        <v>5710000</v>
      </c>
      <c r="AP25" s="205">
        <f>'シェル '!AG54+'ACT01'!AG54</f>
        <v>5710000</v>
      </c>
      <c r="AQ25" s="205">
        <f>'シェル '!AH54+'ACT01'!AH54</f>
        <v>5710000</v>
      </c>
      <c r="AR25" s="205">
        <f>'シェル '!AI54+'ACT01'!AI54</f>
        <v>5710000</v>
      </c>
      <c r="AS25" s="205">
        <f>'シェル '!AJ54+'ACT01'!AJ54</f>
        <v>5710000</v>
      </c>
      <c r="AT25" s="205">
        <f>'シェル '!AK54+'ACT01'!AK54</f>
        <v>5710000</v>
      </c>
      <c r="AU25" s="205">
        <f>'シェル '!AL54+'ACT01'!AL54</f>
        <v>5710000</v>
      </c>
      <c r="AV25" s="205">
        <f>'シェル '!AM54+'ACT01'!AM54</f>
        <v>5710000</v>
      </c>
      <c r="AW25" s="205">
        <f>'シェル '!AN54+'ACT01'!AN54</f>
        <v>5710000</v>
      </c>
      <c r="AX25" s="205">
        <f>'シェル '!AO54+'ACT01'!AO54</f>
        <v>5710000</v>
      </c>
      <c r="AY25" s="205">
        <f>'シェル '!AP54+'ACT01'!AP54</f>
        <v>5710000</v>
      </c>
      <c r="AZ25" s="205">
        <f>SUM(AN25:AY25)</f>
        <v>68520000</v>
      </c>
      <c r="BA25" s="206">
        <f t="shared" si="17"/>
        <v>0.41168402275516747</v>
      </c>
    </row>
    <row r="26" spans="1:53" ht="9.75" customHeight="1">
      <c r="A26" s="214"/>
      <c r="B26" s="721"/>
      <c r="C26" s="219" t="s">
        <v>394</v>
      </c>
      <c r="D26" s="205">
        <f>'シェル '!E55+ACT川崎!E53</f>
        <v>236000</v>
      </c>
      <c r="E26" s="205">
        <f>'シェル '!F55+ACT川崎!F53</f>
        <v>246000</v>
      </c>
      <c r="F26" s="205">
        <f>'シェル '!G55+ACT川崎!G53</f>
        <v>246000</v>
      </c>
      <c r="G26" s="205">
        <f>'シェル '!H55+ACT川崎!H53</f>
        <v>348000</v>
      </c>
      <c r="H26" s="205">
        <f>'シェル '!I55+ACT川崎!I53</f>
        <v>363000</v>
      </c>
      <c r="I26" s="205">
        <f>'シェル '!J55+'ACT01'!R55</f>
        <v>343000</v>
      </c>
      <c r="J26" s="205">
        <f>'シェル '!K55+'ACT01'!S55</f>
        <v>343000</v>
      </c>
      <c r="K26" s="205">
        <f>'シェル '!L55+'ACT01'!T55</f>
        <v>473000</v>
      </c>
      <c r="L26" s="205">
        <f>'シェル '!M55+'ACT01'!U55</f>
        <v>473000</v>
      </c>
      <c r="M26" s="205">
        <f>'シェル '!N55+'ACT01'!V55</f>
        <v>473000</v>
      </c>
      <c r="N26" s="205">
        <f>'シェル '!O55+'ACT01'!W55</f>
        <v>473000</v>
      </c>
      <c r="O26" s="205">
        <f>'シェル '!P55+'ACT01'!X55</f>
        <v>463000</v>
      </c>
      <c r="P26" s="205">
        <f t="shared" si="4"/>
        <v>4480000</v>
      </c>
      <c r="Q26" s="206">
        <f t="shared" si="8"/>
        <v>8.5717655380279104E-2</v>
      </c>
      <c r="S26" s="214"/>
      <c r="T26" s="721"/>
      <c r="U26" s="219" t="s">
        <v>394</v>
      </c>
      <c r="V26" s="205">
        <f>'シェル '!R55+'ACT01'!R55</f>
        <v>504000</v>
      </c>
      <c r="W26" s="205">
        <f>'シェル '!S55+'ACT01'!S55</f>
        <v>504000</v>
      </c>
      <c r="X26" s="205">
        <f>'シェル '!T55+'ACT01'!T55</f>
        <v>504000</v>
      </c>
      <c r="Y26" s="205">
        <f>'シェル '!U55+'ACT01'!U55</f>
        <v>504000</v>
      </c>
      <c r="Z26" s="205">
        <f>'シェル '!V55+'ACT01'!V55</f>
        <v>504000</v>
      </c>
      <c r="AA26" s="205">
        <f>'シェル '!W55+'ACT01'!W55</f>
        <v>504000</v>
      </c>
      <c r="AB26" s="205">
        <f>'シェル '!X55+'ACT01'!X55</f>
        <v>504000</v>
      </c>
      <c r="AC26" s="205">
        <f>'シェル '!Y55+'ACT01'!Y55</f>
        <v>504000</v>
      </c>
      <c r="AD26" s="205">
        <f>'シェル '!Z55+'ACT01'!Z55</f>
        <v>504000</v>
      </c>
      <c r="AE26" s="205">
        <f>'シェル '!AA55+'ACT01'!AA55</f>
        <v>504000</v>
      </c>
      <c r="AF26" s="205">
        <f>'シェル '!AB55+'ACT01'!AB55</f>
        <v>504000</v>
      </c>
      <c r="AG26" s="205">
        <f>'シェル '!AC55+'ACT01'!AC55</f>
        <v>499000</v>
      </c>
      <c r="AH26" s="205">
        <f t="shared" si="11"/>
        <v>6043000</v>
      </c>
      <c r="AI26" s="206">
        <f t="shared" si="9"/>
        <v>4.4152844243590283E-2</v>
      </c>
      <c r="AK26" s="214"/>
      <c r="AL26" s="721"/>
      <c r="AM26" s="219" t="s">
        <v>394</v>
      </c>
      <c r="AN26" s="205">
        <f>'シェル '!AE55+'ACT01'!AE55</f>
        <v>571000</v>
      </c>
      <c r="AO26" s="205">
        <f>'シェル '!AF55+'ACT01'!AF55</f>
        <v>571000</v>
      </c>
      <c r="AP26" s="205">
        <f>'シェル '!AG55+'ACT01'!AG55</f>
        <v>571000</v>
      </c>
      <c r="AQ26" s="205">
        <f>'シェル '!AH55+'ACT01'!AH55</f>
        <v>571000</v>
      </c>
      <c r="AR26" s="205">
        <f>'シェル '!AI55+'ACT01'!AI55</f>
        <v>571000</v>
      </c>
      <c r="AS26" s="205">
        <f>'シェル '!AJ55+'ACT01'!AJ55</f>
        <v>571000</v>
      </c>
      <c r="AT26" s="205">
        <f>'シェル '!AK55+'ACT01'!AK55</f>
        <v>571000</v>
      </c>
      <c r="AU26" s="205">
        <f>'シェル '!AL55+'ACT01'!AL55</f>
        <v>571000</v>
      </c>
      <c r="AV26" s="205">
        <f>'シェル '!AM55+'ACT01'!AM55</f>
        <v>571000</v>
      </c>
      <c r="AW26" s="205">
        <f>'シェル '!AN55+'ACT01'!AN55</f>
        <v>571000</v>
      </c>
      <c r="AX26" s="205">
        <f>'シェル '!AO55+'ACT01'!AO55</f>
        <v>571000</v>
      </c>
      <c r="AY26" s="205">
        <f>'シェル '!AP55+'ACT01'!AP55</f>
        <v>571000</v>
      </c>
      <c r="AZ26" s="205">
        <f t="shared" si="12"/>
        <v>6852000</v>
      </c>
      <c r="BA26" s="206">
        <f t="shared" si="17"/>
        <v>4.1168402275516741E-2</v>
      </c>
    </row>
    <row r="27" spans="1:53" ht="9.75" customHeight="1">
      <c r="A27" s="214"/>
      <c r="B27" s="721"/>
      <c r="C27" s="219" t="s">
        <v>395</v>
      </c>
      <c r="D27" s="205">
        <f>D5*0.03</f>
        <v>46077</v>
      </c>
      <c r="E27" s="205">
        <f t="shared" ref="E27:O27" si="24">E5*0.03</f>
        <v>46026</v>
      </c>
      <c r="F27" s="205">
        <f t="shared" si="24"/>
        <v>65418</v>
      </c>
      <c r="G27" s="205">
        <f t="shared" si="24"/>
        <v>67128</v>
      </c>
      <c r="H27" s="205">
        <f t="shared" si="24"/>
        <v>70179</v>
      </c>
      <c r="I27" s="205">
        <f t="shared" si="24"/>
        <v>71679</v>
      </c>
      <c r="J27" s="205">
        <f t="shared" si="24"/>
        <v>98635.56</v>
      </c>
      <c r="K27" s="205">
        <f t="shared" si="24"/>
        <v>112514.76</v>
      </c>
      <c r="L27" s="205">
        <f t="shared" si="24"/>
        <v>136285.68</v>
      </c>
      <c r="M27" s="205">
        <f t="shared" si="24"/>
        <v>172085.4</v>
      </c>
      <c r="N27" s="205">
        <f t="shared" si="24"/>
        <v>188378.52</v>
      </c>
      <c r="O27" s="205">
        <f t="shared" si="24"/>
        <v>217231.44</v>
      </c>
      <c r="P27" s="205">
        <f t="shared" si="4"/>
        <v>1291638.3599999999</v>
      </c>
      <c r="Q27" s="206">
        <f t="shared" si="8"/>
        <v>2.4713440138042157E-2</v>
      </c>
      <c r="S27" s="214"/>
      <c r="T27" s="721"/>
      <c r="U27" s="219" t="s">
        <v>395</v>
      </c>
      <c r="V27" s="205">
        <f t="shared" ref="V27:AG27" si="25">V5*0.03</f>
        <v>244260</v>
      </c>
      <c r="W27" s="205">
        <f t="shared" si="25"/>
        <v>234712.5</v>
      </c>
      <c r="X27" s="205">
        <f t="shared" si="25"/>
        <v>279699.75</v>
      </c>
      <c r="Y27" s="205">
        <f t="shared" si="25"/>
        <v>272614.5</v>
      </c>
      <c r="Z27" s="205">
        <f t="shared" si="25"/>
        <v>290322.75</v>
      </c>
      <c r="AA27" s="205">
        <f t="shared" si="25"/>
        <v>282772.5</v>
      </c>
      <c r="AB27" s="205">
        <f t="shared" si="25"/>
        <v>300942.75</v>
      </c>
      <c r="AC27" s="205">
        <f t="shared" si="25"/>
        <v>292930.5</v>
      </c>
      <c r="AD27" s="205">
        <f t="shared" si="25"/>
        <v>298012.5</v>
      </c>
      <c r="AE27" s="205">
        <f t="shared" si="25"/>
        <v>316872.75</v>
      </c>
      <c r="AF27" s="205">
        <f t="shared" si="25"/>
        <v>308170.5</v>
      </c>
      <c r="AG27" s="205">
        <f t="shared" si="25"/>
        <v>313252.5</v>
      </c>
      <c r="AH27" s="205">
        <f t="shared" si="11"/>
        <v>3434563.5</v>
      </c>
      <c r="AI27" s="206">
        <f t="shared" si="9"/>
        <v>2.5094447668413091E-2</v>
      </c>
      <c r="AK27" s="214"/>
      <c r="AL27" s="721"/>
      <c r="AM27" s="219" t="s">
        <v>395</v>
      </c>
      <c r="AN27" s="205">
        <f>AN5*0.03</f>
        <v>318330</v>
      </c>
      <c r="AO27" s="205">
        <f t="shared" ref="AO27:AY27" si="26">AO5*0.03</f>
        <v>294021</v>
      </c>
      <c r="AP27" s="205">
        <f t="shared" si="26"/>
        <v>343425.75</v>
      </c>
      <c r="AQ27" s="205">
        <f t="shared" si="26"/>
        <v>333568.5</v>
      </c>
      <c r="AR27" s="205">
        <f t="shared" si="26"/>
        <v>354042.75</v>
      </c>
      <c r="AS27" s="205">
        <f t="shared" si="26"/>
        <v>343726.5</v>
      </c>
      <c r="AT27" s="205">
        <f t="shared" si="26"/>
        <v>364665.75</v>
      </c>
      <c r="AU27" s="205">
        <f t="shared" si="26"/>
        <v>353884.5</v>
      </c>
      <c r="AV27" s="205">
        <f t="shared" si="26"/>
        <v>358963.5</v>
      </c>
      <c r="AW27" s="205">
        <f t="shared" si="26"/>
        <v>380595.75</v>
      </c>
      <c r="AX27" s="205">
        <f t="shared" si="26"/>
        <v>369121.5</v>
      </c>
      <c r="AY27" s="205">
        <f t="shared" si="26"/>
        <v>374203.5</v>
      </c>
      <c r="AZ27" s="205">
        <f t="shared" si="12"/>
        <v>4188549</v>
      </c>
      <c r="BA27" s="206">
        <f t="shared" si="17"/>
        <v>2.5165772064027054E-2</v>
      </c>
    </row>
    <row r="28" spans="1:53" ht="9.75" customHeight="1">
      <c r="A28" s="214"/>
      <c r="B28" s="721"/>
      <c r="C28" s="219" t="s">
        <v>374</v>
      </c>
      <c r="D28" s="205">
        <v>220000</v>
      </c>
      <c r="E28" s="205">
        <v>220000</v>
      </c>
      <c r="F28" s="205">
        <v>357500</v>
      </c>
      <c r="G28" s="205">
        <f>220000+132000+5500</f>
        <v>357500</v>
      </c>
      <c r="H28" s="205">
        <f t="shared" ref="H28:O28" si="27">220000+132000+5500</f>
        <v>357500</v>
      </c>
      <c r="I28" s="205">
        <f t="shared" si="27"/>
        <v>357500</v>
      </c>
      <c r="J28" s="205">
        <f t="shared" si="27"/>
        <v>357500</v>
      </c>
      <c r="K28" s="205">
        <f t="shared" si="27"/>
        <v>357500</v>
      </c>
      <c r="L28" s="205">
        <f t="shared" si="27"/>
        <v>357500</v>
      </c>
      <c r="M28" s="205">
        <f t="shared" si="27"/>
        <v>357500</v>
      </c>
      <c r="N28" s="205">
        <f t="shared" si="27"/>
        <v>357500</v>
      </c>
      <c r="O28" s="205">
        <f t="shared" si="27"/>
        <v>357500</v>
      </c>
      <c r="P28" s="205">
        <f t="shared" si="4"/>
        <v>4015000</v>
      </c>
      <c r="Q28" s="206">
        <f t="shared" si="8"/>
        <v>7.6820621953531384E-2</v>
      </c>
      <c r="S28" s="214"/>
      <c r="T28" s="721"/>
      <c r="U28" s="219" t="s">
        <v>374</v>
      </c>
      <c r="V28" s="205">
        <f t="shared" ref="V28:AG28" si="28">220000+132000+5500</f>
        <v>357500</v>
      </c>
      <c r="W28" s="205">
        <f t="shared" si="28"/>
        <v>357500</v>
      </c>
      <c r="X28" s="205">
        <f t="shared" si="28"/>
        <v>357500</v>
      </c>
      <c r="Y28" s="205">
        <f t="shared" si="28"/>
        <v>357500</v>
      </c>
      <c r="Z28" s="205">
        <f t="shared" si="28"/>
        <v>357500</v>
      </c>
      <c r="AA28" s="205">
        <f t="shared" si="28"/>
        <v>357500</v>
      </c>
      <c r="AB28" s="205">
        <f t="shared" si="28"/>
        <v>357500</v>
      </c>
      <c r="AC28" s="205">
        <f t="shared" si="28"/>
        <v>357500</v>
      </c>
      <c r="AD28" s="205">
        <f t="shared" si="28"/>
        <v>357500</v>
      </c>
      <c r="AE28" s="205">
        <f t="shared" si="28"/>
        <v>357500</v>
      </c>
      <c r="AF28" s="205">
        <f t="shared" si="28"/>
        <v>357500</v>
      </c>
      <c r="AG28" s="205">
        <f t="shared" si="28"/>
        <v>357500</v>
      </c>
      <c r="AH28" s="205">
        <f t="shared" si="11"/>
        <v>4290000</v>
      </c>
      <c r="AI28" s="206">
        <f t="shared" si="9"/>
        <v>3.134464699735269E-2</v>
      </c>
      <c r="AK28" s="214"/>
      <c r="AL28" s="721"/>
      <c r="AM28" s="219" t="s">
        <v>374</v>
      </c>
      <c r="AN28" s="205">
        <v>101000</v>
      </c>
      <c r="AO28" s="205">
        <v>101000</v>
      </c>
      <c r="AP28" s="205">
        <v>101000</v>
      </c>
      <c r="AQ28" s="205">
        <v>101000</v>
      </c>
      <c r="AR28" s="205">
        <v>101000</v>
      </c>
      <c r="AS28" s="205">
        <v>101000</v>
      </c>
      <c r="AT28" s="205">
        <v>101000</v>
      </c>
      <c r="AU28" s="205">
        <v>101000</v>
      </c>
      <c r="AV28" s="205">
        <v>101000</v>
      </c>
      <c r="AW28" s="205">
        <v>101000</v>
      </c>
      <c r="AX28" s="205">
        <v>101000</v>
      </c>
      <c r="AY28" s="205">
        <v>101000</v>
      </c>
      <c r="AZ28" s="205">
        <f t="shared" si="12"/>
        <v>1212000</v>
      </c>
      <c r="BA28" s="206">
        <f t="shared" si="17"/>
        <v>7.2819765846360617E-3</v>
      </c>
    </row>
    <row r="29" spans="1:53" ht="9.75" customHeight="1">
      <c r="A29" s="214"/>
      <c r="B29" s="722"/>
      <c r="C29" s="219" t="s">
        <v>397</v>
      </c>
      <c r="D29" s="205">
        <v>100000</v>
      </c>
      <c r="E29" s="205">
        <v>100000</v>
      </c>
      <c r="F29" s="205">
        <v>100000</v>
      </c>
      <c r="G29" s="205">
        <v>150000</v>
      </c>
      <c r="H29" s="205">
        <v>150000</v>
      </c>
      <c r="I29" s="205">
        <v>150000</v>
      </c>
      <c r="J29" s="205">
        <v>150000</v>
      </c>
      <c r="K29" s="205">
        <v>150000</v>
      </c>
      <c r="L29" s="205">
        <v>150000</v>
      </c>
      <c r="M29" s="205">
        <v>150000</v>
      </c>
      <c r="N29" s="205">
        <v>150000</v>
      </c>
      <c r="O29" s="205">
        <v>150000</v>
      </c>
      <c r="P29" s="205">
        <f t="shared" si="4"/>
        <v>1650000</v>
      </c>
      <c r="Q29" s="206">
        <f t="shared" si="8"/>
        <v>3.1570118611040296E-2</v>
      </c>
      <c r="S29" s="214"/>
      <c r="T29" s="722"/>
      <c r="U29" s="219" t="s">
        <v>397</v>
      </c>
      <c r="V29" s="205">
        <v>150000</v>
      </c>
      <c r="W29" s="205">
        <v>250000</v>
      </c>
      <c r="X29" s="205">
        <v>250000</v>
      </c>
      <c r="Y29" s="205">
        <v>250000</v>
      </c>
      <c r="Z29" s="205">
        <v>250000</v>
      </c>
      <c r="AA29" s="205">
        <v>250000</v>
      </c>
      <c r="AB29" s="205">
        <v>250000</v>
      </c>
      <c r="AC29" s="205">
        <v>250000</v>
      </c>
      <c r="AD29" s="205">
        <v>250000</v>
      </c>
      <c r="AE29" s="205">
        <v>250000</v>
      </c>
      <c r="AF29" s="205">
        <v>250000</v>
      </c>
      <c r="AG29" s="205">
        <v>250000</v>
      </c>
      <c r="AH29" s="205">
        <f t="shared" si="11"/>
        <v>2900000</v>
      </c>
      <c r="AI29" s="206">
        <f t="shared" si="9"/>
        <v>2.1188689112429559E-2</v>
      </c>
      <c r="AK29" s="214"/>
      <c r="AL29" s="722"/>
      <c r="AM29" s="219" t="s">
        <v>397</v>
      </c>
      <c r="AN29" s="205">
        <v>100000</v>
      </c>
      <c r="AO29" s="205">
        <v>100000</v>
      </c>
      <c r="AP29" s="205">
        <v>100000</v>
      </c>
      <c r="AQ29" s="205">
        <v>100000</v>
      </c>
      <c r="AR29" s="205">
        <v>100000</v>
      </c>
      <c r="AS29" s="205">
        <v>100000</v>
      </c>
      <c r="AT29" s="205">
        <v>100000</v>
      </c>
      <c r="AU29" s="205">
        <v>100000</v>
      </c>
      <c r="AV29" s="205">
        <v>100000</v>
      </c>
      <c r="AW29" s="205">
        <v>100000</v>
      </c>
      <c r="AX29" s="205">
        <v>100000</v>
      </c>
      <c r="AY29" s="205">
        <v>100000</v>
      </c>
      <c r="AZ29" s="205">
        <f t="shared" si="12"/>
        <v>1200000</v>
      </c>
      <c r="BA29" s="206">
        <f t="shared" si="17"/>
        <v>7.2098778065703582E-3</v>
      </c>
    </row>
    <row r="30" spans="1:53" ht="9.75" customHeight="1">
      <c r="A30" s="214"/>
      <c r="B30" s="773" t="s">
        <v>375</v>
      </c>
      <c r="C30" s="774"/>
      <c r="D30" s="217">
        <f t="shared" ref="D30:J30" si="29">SUM(D31:D34)</f>
        <v>550000</v>
      </c>
      <c r="E30" s="217">
        <f t="shared" si="29"/>
        <v>580000</v>
      </c>
      <c r="F30" s="217">
        <f t="shared" si="29"/>
        <v>670000</v>
      </c>
      <c r="G30" s="217">
        <f t="shared" si="29"/>
        <v>880000</v>
      </c>
      <c r="H30" s="217">
        <f t="shared" si="29"/>
        <v>940000</v>
      </c>
      <c r="I30" s="217">
        <f t="shared" si="29"/>
        <v>730000</v>
      </c>
      <c r="J30" s="217">
        <f t="shared" si="29"/>
        <v>880000</v>
      </c>
      <c r="K30" s="217">
        <f>SUM(K31:K34)</f>
        <v>1000000</v>
      </c>
      <c r="L30" s="217">
        <f>SUM(L31:L34)</f>
        <v>1150000</v>
      </c>
      <c r="M30" s="217">
        <f>SUM(M31:M34)</f>
        <v>1330000</v>
      </c>
      <c r="N30" s="217">
        <f>SUM(N31:N34)</f>
        <v>1480000</v>
      </c>
      <c r="O30" s="217">
        <f>SUM(O31:O34)</f>
        <v>1660000</v>
      </c>
      <c r="P30" s="217">
        <f t="shared" si="4"/>
        <v>11850000</v>
      </c>
      <c r="Q30" s="218">
        <f t="shared" si="8"/>
        <v>0.22673085184292577</v>
      </c>
      <c r="S30" s="214"/>
      <c r="T30" s="773" t="s">
        <v>375</v>
      </c>
      <c r="U30" s="774"/>
      <c r="V30" s="217">
        <f>SUM(V31:V34)</f>
        <v>2060000</v>
      </c>
      <c r="W30" s="217">
        <f t="shared" ref="W30:AG30" si="30">SUM(W31:W34)</f>
        <v>2150000</v>
      </c>
      <c r="X30" s="217">
        <f t="shared" si="30"/>
        <v>2210000</v>
      </c>
      <c r="Y30" s="217">
        <f t="shared" si="30"/>
        <v>2240000</v>
      </c>
      <c r="Z30" s="217">
        <f t="shared" si="30"/>
        <v>2270000</v>
      </c>
      <c r="AA30" s="217">
        <f t="shared" si="30"/>
        <v>2300000</v>
      </c>
      <c r="AB30" s="217">
        <f t="shared" si="30"/>
        <v>2330000</v>
      </c>
      <c r="AC30" s="217">
        <f t="shared" si="30"/>
        <v>2360000</v>
      </c>
      <c r="AD30" s="217">
        <f t="shared" si="30"/>
        <v>2390000</v>
      </c>
      <c r="AE30" s="217">
        <f t="shared" si="30"/>
        <v>2420000</v>
      </c>
      <c r="AF30" s="217">
        <f t="shared" si="30"/>
        <v>2450000</v>
      </c>
      <c r="AG30" s="217">
        <f t="shared" si="30"/>
        <v>2480000</v>
      </c>
      <c r="AH30" s="217">
        <f t="shared" si="11"/>
        <v>27660000</v>
      </c>
      <c r="AI30" s="218">
        <f t="shared" si="9"/>
        <v>0.20209625546544882</v>
      </c>
      <c r="AK30" s="214"/>
      <c r="AL30" s="786" t="s">
        <v>375</v>
      </c>
      <c r="AM30" s="774"/>
      <c r="AN30" s="217">
        <f t="shared" ref="AN30:AY30" si="31">SUM(AN31:AN34)</f>
        <v>2670000</v>
      </c>
      <c r="AO30" s="217">
        <f t="shared" si="31"/>
        <v>2700000</v>
      </c>
      <c r="AP30" s="217">
        <f t="shared" si="31"/>
        <v>2730000</v>
      </c>
      <c r="AQ30" s="217">
        <f t="shared" si="31"/>
        <v>2760000</v>
      </c>
      <c r="AR30" s="217">
        <f t="shared" si="31"/>
        <v>2790000</v>
      </c>
      <c r="AS30" s="217">
        <f t="shared" si="31"/>
        <v>2820000</v>
      </c>
      <c r="AT30" s="217">
        <f t="shared" si="31"/>
        <v>2850000</v>
      </c>
      <c r="AU30" s="217">
        <f t="shared" si="31"/>
        <v>2880000</v>
      </c>
      <c r="AV30" s="217">
        <f t="shared" si="31"/>
        <v>2910000</v>
      </c>
      <c r="AW30" s="217">
        <f t="shared" si="31"/>
        <v>2940000</v>
      </c>
      <c r="AX30" s="217">
        <f t="shared" si="31"/>
        <v>2970000</v>
      </c>
      <c r="AY30" s="217">
        <f t="shared" si="31"/>
        <v>3000000</v>
      </c>
      <c r="AZ30" s="217">
        <f t="shared" si="12"/>
        <v>34020000</v>
      </c>
      <c r="BA30" s="218">
        <f t="shared" si="17"/>
        <v>0.20440003581626964</v>
      </c>
    </row>
    <row r="31" spans="1:53" ht="9.75" customHeight="1">
      <c r="A31" s="214"/>
      <c r="B31" s="721"/>
      <c r="C31" s="219" t="s">
        <v>376</v>
      </c>
      <c r="D31" s="205">
        <f>D12</f>
        <v>330000</v>
      </c>
      <c r="E31" s="205">
        <f t="shared" ref="E31:O31" si="32">E12</f>
        <v>360000</v>
      </c>
      <c r="F31" s="205">
        <f t="shared" si="32"/>
        <v>450000</v>
      </c>
      <c r="G31" s="205">
        <f t="shared" si="32"/>
        <v>660000</v>
      </c>
      <c r="H31" s="205">
        <f t="shared" si="32"/>
        <v>720000</v>
      </c>
      <c r="I31" s="205">
        <f t="shared" si="32"/>
        <v>510000</v>
      </c>
      <c r="J31" s="205">
        <f t="shared" si="32"/>
        <v>660000</v>
      </c>
      <c r="K31" s="205">
        <f t="shared" si="32"/>
        <v>780000</v>
      </c>
      <c r="L31" s="205">
        <f t="shared" si="32"/>
        <v>930000</v>
      </c>
      <c r="M31" s="205">
        <f t="shared" si="32"/>
        <v>1110000</v>
      </c>
      <c r="N31" s="205">
        <f t="shared" si="32"/>
        <v>1260000</v>
      </c>
      <c r="O31" s="205">
        <f t="shared" si="32"/>
        <v>1440000</v>
      </c>
      <c r="P31" s="205">
        <f t="shared" si="4"/>
        <v>9210000</v>
      </c>
      <c r="Q31" s="206">
        <f>IF(P31=0,"",P31/$P$3)</f>
        <v>0.17621866206526129</v>
      </c>
      <c r="S31" s="214"/>
      <c r="T31" s="721"/>
      <c r="U31" s="219" t="s">
        <v>376</v>
      </c>
      <c r="V31" s="205">
        <f t="shared" ref="V31" si="33">V12</f>
        <v>1620000</v>
      </c>
      <c r="W31" s="205">
        <f t="shared" ref="W31:AG31" si="34">W13+W14</f>
        <v>1710000</v>
      </c>
      <c r="X31" s="205">
        <f t="shared" si="34"/>
        <v>1770000</v>
      </c>
      <c r="Y31" s="205">
        <f t="shared" si="34"/>
        <v>1800000</v>
      </c>
      <c r="Z31" s="205">
        <f t="shared" si="34"/>
        <v>1830000</v>
      </c>
      <c r="AA31" s="205">
        <f t="shared" si="34"/>
        <v>1860000</v>
      </c>
      <c r="AB31" s="205">
        <f t="shared" si="34"/>
        <v>1890000</v>
      </c>
      <c r="AC31" s="205">
        <f t="shared" si="34"/>
        <v>1920000</v>
      </c>
      <c r="AD31" s="205">
        <f t="shared" si="34"/>
        <v>1950000</v>
      </c>
      <c r="AE31" s="205">
        <f t="shared" si="34"/>
        <v>1980000</v>
      </c>
      <c r="AF31" s="205">
        <f t="shared" si="34"/>
        <v>2010000</v>
      </c>
      <c r="AG31" s="205">
        <f t="shared" si="34"/>
        <v>2040000</v>
      </c>
      <c r="AH31" s="205">
        <f t="shared" si="11"/>
        <v>22380000</v>
      </c>
      <c r="AI31" s="206">
        <f t="shared" si="9"/>
        <v>0.16351822839178398</v>
      </c>
      <c r="AK31" s="214"/>
      <c r="AL31" s="721"/>
      <c r="AM31" s="219" t="s">
        <v>376</v>
      </c>
      <c r="AN31" s="205">
        <f t="shared" ref="AN31:AY31" si="35">AN13+AN14</f>
        <v>2070000</v>
      </c>
      <c r="AO31" s="205">
        <f t="shared" si="35"/>
        <v>2100000</v>
      </c>
      <c r="AP31" s="205">
        <f t="shared" si="35"/>
        <v>2130000</v>
      </c>
      <c r="AQ31" s="205">
        <f t="shared" si="35"/>
        <v>2160000</v>
      </c>
      <c r="AR31" s="205">
        <f t="shared" si="35"/>
        <v>2190000</v>
      </c>
      <c r="AS31" s="205">
        <f t="shared" si="35"/>
        <v>2220000</v>
      </c>
      <c r="AT31" s="205">
        <f t="shared" si="35"/>
        <v>2250000</v>
      </c>
      <c r="AU31" s="205">
        <f t="shared" si="35"/>
        <v>2280000</v>
      </c>
      <c r="AV31" s="205">
        <f t="shared" si="35"/>
        <v>2310000</v>
      </c>
      <c r="AW31" s="205">
        <f t="shared" si="35"/>
        <v>2340000</v>
      </c>
      <c r="AX31" s="205">
        <f t="shared" si="35"/>
        <v>2370000</v>
      </c>
      <c r="AY31" s="205">
        <f t="shared" si="35"/>
        <v>2400000</v>
      </c>
      <c r="AZ31" s="205">
        <f t="shared" si="12"/>
        <v>26820000</v>
      </c>
      <c r="BA31" s="206">
        <f t="shared" si="17"/>
        <v>0.16114076897684751</v>
      </c>
    </row>
    <row r="32" spans="1:53" ht="9.75" customHeight="1">
      <c r="A32" s="214"/>
      <c r="B32" s="721"/>
      <c r="C32" s="219" t="s">
        <v>377</v>
      </c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>
        <f t="shared" si="4"/>
        <v>0</v>
      </c>
      <c r="Q32" s="206" t="str">
        <f t="shared" si="8"/>
        <v/>
      </c>
      <c r="S32" s="214"/>
      <c r="T32" s="721"/>
      <c r="U32" s="219" t="s">
        <v>377</v>
      </c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>
        <f t="shared" si="11"/>
        <v>0</v>
      </c>
      <c r="AI32" s="206" t="str">
        <f t="shared" si="9"/>
        <v/>
      </c>
      <c r="AK32" s="214"/>
      <c r="AL32" s="721"/>
      <c r="AM32" s="219" t="s">
        <v>377</v>
      </c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>
        <f t="shared" si="12"/>
        <v>0</v>
      </c>
      <c r="BA32" s="206" t="str">
        <f t="shared" si="17"/>
        <v/>
      </c>
    </row>
    <row r="33" spans="1:53" ht="9.75" customHeight="1">
      <c r="A33" s="214"/>
      <c r="B33" s="721"/>
      <c r="C33" s="219" t="s">
        <v>452</v>
      </c>
      <c r="D33" s="205">
        <v>220000</v>
      </c>
      <c r="E33" s="205">
        <v>220000</v>
      </c>
      <c r="F33" s="205">
        <v>220000</v>
      </c>
      <c r="G33" s="205">
        <v>220000</v>
      </c>
      <c r="H33" s="205">
        <v>220000</v>
      </c>
      <c r="I33" s="205">
        <v>220000</v>
      </c>
      <c r="J33" s="205">
        <v>220000</v>
      </c>
      <c r="K33" s="205">
        <v>220000</v>
      </c>
      <c r="L33" s="205">
        <v>220000</v>
      </c>
      <c r="M33" s="205">
        <v>220000</v>
      </c>
      <c r="N33" s="205">
        <v>220000</v>
      </c>
      <c r="O33" s="205">
        <v>220000</v>
      </c>
      <c r="P33" s="205">
        <f t="shared" si="4"/>
        <v>2640000</v>
      </c>
      <c r="Q33" s="206">
        <f t="shared" si="8"/>
        <v>5.0512189777664473E-2</v>
      </c>
      <c r="S33" s="214"/>
      <c r="T33" s="721"/>
      <c r="U33" s="219" t="s">
        <v>452</v>
      </c>
      <c r="V33" s="205">
        <v>440000</v>
      </c>
      <c r="W33" s="205">
        <v>440000</v>
      </c>
      <c r="X33" s="205">
        <v>440000</v>
      </c>
      <c r="Y33" s="205">
        <v>440000</v>
      </c>
      <c r="Z33" s="205">
        <v>440000</v>
      </c>
      <c r="AA33" s="205">
        <v>440000</v>
      </c>
      <c r="AB33" s="205">
        <v>440000</v>
      </c>
      <c r="AC33" s="205">
        <v>440000</v>
      </c>
      <c r="AD33" s="205">
        <v>440000</v>
      </c>
      <c r="AE33" s="205">
        <v>440000</v>
      </c>
      <c r="AF33" s="205">
        <v>440000</v>
      </c>
      <c r="AG33" s="205">
        <v>440000</v>
      </c>
      <c r="AH33" s="205">
        <f t="shared" si="11"/>
        <v>5280000</v>
      </c>
      <c r="AI33" s="206">
        <f t="shared" si="9"/>
        <v>3.8578027073664853E-2</v>
      </c>
      <c r="AK33" s="214"/>
      <c r="AL33" s="721"/>
      <c r="AM33" s="219" t="s">
        <v>452</v>
      </c>
      <c r="AN33" s="205">
        <v>600000</v>
      </c>
      <c r="AO33" s="205">
        <v>600000</v>
      </c>
      <c r="AP33" s="205">
        <v>600000</v>
      </c>
      <c r="AQ33" s="205">
        <v>600000</v>
      </c>
      <c r="AR33" s="205">
        <v>600000</v>
      </c>
      <c r="AS33" s="205">
        <v>600000</v>
      </c>
      <c r="AT33" s="205">
        <v>600000</v>
      </c>
      <c r="AU33" s="205">
        <v>600000</v>
      </c>
      <c r="AV33" s="205">
        <v>600000</v>
      </c>
      <c r="AW33" s="205">
        <v>600000</v>
      </c>
      <c r="AX33" s="205">
        <v>600000</v>
      </c>
      <c r="AY33" s="205">
        <v>600000</v>
      </c>
      <c r="AZ33" s="205">
        <f t="shared" si="12"/>
        <v>7200000</v>
      </c>
      <c r="BA33" s="206">
        <f t="shared" si="17"/>
        <v>4.3259266839422147E-2</v>
      </c>
    </row>
    <row r="34" spans="1:53" ht="9.75" customHeight="1" thickBot="1">
      <c r="A34" s="220"/>
      <c r="B34" s="775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>
        <f t="shared" si="4"/>
        <v>0</v>
      </c>
      <c r="Q34" s="222" t="str">
        <f t="shared" si="8"/>
        <v/>
      </c>
      <c r="S34" s="214"/>
      <c r="T34" s="775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>
        <f t="shared" si="11"/>
        <v>0</v>
      </c>
      <c r="AI34" s="222" t="str">
        <f t="shared" si="9"/>
        <v/>
      </c>
      <c r="AK34" s="493"/>
      <c r="AL34" s="787"/>
      <c r="AM34" s="494"/>
      <c r="AN34" s="494"/>
      <c r="AO34" s="494"/>
      <c r="AP34" s="494"/>
      <c r="AQ34" s="494"/>
      <c r="AR34" s="494"/>
      <c r="AS34" s="494"/>
      <c r="AT34" s="494"/>
      <c r="AU34" s="494"/>
      <c r="AV34" s="494"/>
      <c r="AW34" s="494"/>
      <c r="AX34" s="494"/>
      <c r="AY34" s="494"/>
      <c r="AZ34" s="494">
        <f t="shared" si="12"/>
        <v>0</v>
      </c>
      <c r="BA34" s="495" t="str">
        <f t="shared" si="17"/>
        <v/>
      </c>
    </row>
    <row r="35" spans="1:53" ht="11.25" customHeight="1" thickTop="1">
      <c r="A35" s="795" t="s">
        <v>1</v>
      </c>
      <c r="B35" s="796"/>
      <c r="C35" s="797"/>
      <c r="D35" s="223">
        <f t="shared" ref="D35:O35" si="36">D3-D23</f>
        <v>-1096177</v>
      </c>
      <c r="E35" s="223">
        <f t="shared" si="36"/>
        <v>-967826</v>
      </c>
      <c r="F35" s="223">
        <f t="shared" si="36"/>
        <v>-388318</v>
      </c>
      <c r="G35" s="223">
        <f t="shared" si="36"/>
        <v>-335028</v>
      </c>
      <c r="H35" s="223">
        <f t="shared" si="36"/>
        <v>-441379</v>
      </c>
      <c r="I35" s="223">
        <f t="shared" si="36"/>
        <v>347121</v>
      </c>
      <c r="J35" s="223">
        <f t="shared" si="36"/>
        <v>1368716.44</v>
      </c>
      <c r="K35" s="223">
        <f t="shared" si="36"/>
        <v>-492522.75999999978</v>
      </c>
      <c r="L35" s="223">
        <f t="shared" si="36"/>
        <v>236070.3200000003</v>
      </c>
      <c r="M35" s="223">
        <f t="shared" si="36"/>
        <v>1393594.5999999996</v>
      </c>
      <c r="N35" s="223">
        <f t="shared" si="36"/>
        <v>980405.48000000045</v>
      </c>
      <c r="O35" s="223">
        <f t="shared" si="36"/>
        <v>2023316.5599999996</v>
      </c>
      <c r="P35" s="223">
        <f t="shared" si="4"/>
        <v>2627973.64</v>
      </c>
      <c r="Q35" s="224">
        <f t="shared" si="8"/>
        <v>5.0282084558477158E-2</v>
      </c>
      <c r="S35" s="817"/>
      <c r="T35" s="704" t="s">
        <v>1</v>
      </c>
      <c r="U35" s="704"/>
      <c r="V35" s="238">
        <f t="shared" ref="V35:AG35" si="37">V3-V23</f>
        <v>1406240</v>
      </c>
      <c r="W35" s="238">
        <f t="shared" si="37"/>
        <v>997539.5</v>
      </c>
      <c r="X35" s="238">
        <f t="shared" si="37"/>
        <v>2452127.25</v>
      </c>
      <c r="Y35" s="238">
        <f t="shared" si="37"/>
        <v>2223037.5</v>
      </c>
      <c r="Z35" s="238">
        <f t="shared" si="37"/>
        <v>2795604.25</v>
      </c>
      <c r="AA35" s="238">
        <f t="shared" si="37"/>
        <v>2551479.5</v>
      </c>
      <c r="AB35" s="238">
        <f t="shared" si="37"/>
        <v>3138984.25</v>
      </c>
      <c r="AC35" s="238">
        <f t="shared" si="37"/>
        <v>2879921.5</v>
      </c>
      <c r="AD35" s="238">
        <f t="shared" si="37"/>
        <v>3044239.5</v>
      </c>
      <c r="AE35" s="238">
        <f t="shared" si="37"/>
        <v>3654055.25</v>
      </c>
      <c r="AF35" s="238">
        <f t="shared" si="37"/>
        <v>3372682.5</v>
      </c>
      <c r="AG35" s="238">
        <f t="shared" si="37"/>
        <v>3592000.5</v>
      </c>
      <c r="AH35" s="238">
        <f t="shared" si="11"/>
        <v>32107911.5</v>
      </c>
      <c r="AI35" s="239">
        <f t="shared" si="9"/>
        <v>0.23459467407686271</v>
      </c>
      <c r="AK35" s="817"/>
      <c r="AL35" s="704" t="s">
        <v>1</v>
      </c>
      <c r="AM35" s="704"/>
      <c r="AN35" s="238">
        <f t="shared" ref="AN35:AY35" si="38">AN3-AN23</f>
        <v>5880672</v>
      </c>
      <c r="AO35" s="238">
        <f t="shared" si="38"/>
        <v>5124681</v>
      </c>
      <c r="AP35" s="238">
        <f t="shared" si="38"/>
        <v>6752101.25</v>
      </c>
      <c r="AQ35" s="238">
        <f t="shared" si="38"/>
        <v>6463383.5</v>
      </c>
      <c r="AR35" s="238">
        <f t="shared" si="38"/>
        <v>7155384.25</v>
      </c>
      <c r="AS35" s="238">
        <f t="shared" si="38"/>
        <v>6851825.5</v>
      </c>
      <c r="AT35" s="238">
        <f t="shared" si="38"/>
        <v>7558861.25</v>
      </c>
      <c r="AU35" s="238">
        <f t="shared" si="38"/>
        <v>7240267.5</v>
      </c>
      <c r="AV35" s="238">
        <f t="shared" si="38"/>
        <v>7434488.5</v>
      </c>
      <c r="AW35" s="238">
        <f t="shared" si="38"/>
        <v>8163932.25</v>
      </c>
      <c r="AX35" s="238">
        <f t="shared" si="38"/>
        <v>7822931.5</v>
      </c>
      <c r="AY35" s="238">
        <f t="shared" si="38"/>
        <v>8017249.5</v>
      </c>
      <c r="AZ35" s="238">
        <f t="shared" si="12"/>
        <v>84465778</v>
      </c>
      <c r="BA35" s="239">
        <f t="shared" si="17"/>
        <v>0.50748994851408236</v>
      </c>
    </row>
    <row r="36" spans="1:53" ht="11.25" customHeight="1">
      <c r="A36" s="792" t="s">
        <v>7</v>
      </c>
      <c r="B36" s="793"/>
      <c r="C36" s="794"/>
      <c r="D36" s="227">
        <f t="shared" ref="D36:N36" si="39">SUM(D37:D44)</f>
        <v>340000</v>
      </c>
      <c r="E36" s="227">
        <f t="shared" si="39"/>
        <v>340000</v>
      </c>
      <c r="F36" s="227">
        <f t="shared" si="39"/>
        <v>340000</v>
      </c>
      <c r="G36" s="227">
        <f t="shared" si="39"/>
        <v>745000</v>
      </c>
      <c r="H36" s="227">
        <f t="shared" si="39"/>
        <v>745000</v>
      </c>
      <c r="I36" s="227">
        <f t="shared" si="39"/>
        <v>745000</v>
      </c>
      <c r="J36" s="227">
        <f t="shared" si="39"/>
        <v>745000</v>
      </c>
      <c r="K36" s="227">
        <f t="shared" si="39"/>
        <v>1185000</v>
      </c>
      <c r="L36" s="227">
        <f t="shared" si="39"/>
        <v>1185000</v>
      </c>
      <c r="M36" s="227">
        <f t="shared" si="39"/>
        <v>1185000</v>
      </c>
      <c r="N36" s="227">
        <f t="shared" si="39"/>
        <v>1185000</v>
      </c>
      <c r="O36" s="227">
        <f>SUM(O37:O44)</f>
        <v>1185000</v>
      </c>
      <c r="P36" s="227">
        <f t="shared" si="4"/>
        <v>9925000</v>
      </c>
      <c r="Q36" s="228">
        <f t="shared" si="8"/>
        <v>0.18989904679671207</v>
      </c>
      <c r="S36" s="817"/>
      <c r="T36" s="705" t="s">
        <v>7</v>
      </c>
      <c r="U36" s="706"/>
      <c r="V36" s="227">
        <f>SUM(V37:V44)</f>
        <v>2520000</v>
      </c>
      <c r="W36" s="227">
        <f t="shared" ref="W36:AG36" si="40">SUM(W37:W44)</f>
        <v>2520000</v>
      </c>
      <c r="X36" s="227">
        <f t="shared" si="40"/>
        <v>2520000</v>
      </c>
      <c r="Y36" s="227">
        <f t="shared" si="40"/>
        <v>2520000</v>
      </c>
      <c r="Z36" s="227">
        <f t="shared" si="40"/>
        <v>2520000</v>
      </c>
      <c r="AA36" s="227">
        <f t="shared" si="40"/>
        <v>2520000</v>
      </c>
      <c r="AB36" s="227">
        <f t="shared" si="40"/>
        <v>2520000</v>
      </c>
      <c r="AC36" s="227">
        <f t="shared" si="40"/>
        <v>2520000</v>
      </c>
      <c r="AD36" s="227">
        <f t="shared" si="40"/>
        <v>2520000</v>
      </c>
      <c r="AE36" s="227">
        <f t="shared" si="40"/>
        <v>2520000</v>
      </c>
      <c r="AF36" s="227">
        <f t="shared" si="40"/>
        <v>2520000</v>
      </c>
      <c r="AG36" s="227">
        <f t="shared" si="40"/>
        <v>2520000</v>
      </c>
      <c r="AH36" s="227">
        <f t="shared" si="11"/>
        <v>30240000</v>
      </c>
      <c r="AI36" s="228">
        <f t="shared" si="9"/>
        <v>0.22094688233098961</v>
      </c>
      <c r="AK36" s="817"/>
      <c r="AL36" s="705" t="s">
        <v>7</v>
      </c>
      <c r="AM36" s="706"/>
      <c r="AN36" s="227">
        <f t="shared" ref="AN36:AY36" si="41">SUM(AN37:AN44)</f>
        <v>3422000</v>
      </c>
      <c r="AO36" s="227">
        <f t="shared" si="41"/>
        <v>3422000</v>
      </c>
      <c r="AP36" s="227">
        <f t="shared" si="41"/>
        <v>3422000</v>
      </c>
      <c r="AQ36" s="227">
        <f t="shared" si="41"/>
        <v>3422000</v>
      </c>
      <c r="AR36" s="227">
        <f t="shared" si="41"/>
        <v>3422000</v>
      </c>
      <c r="AS36" s="227">
        <f t="shared" si="41"/>
        <v>3422000</v>
      </c>
      <c r="AT36" s="227">
        <f t="shared" si="41"/>
        <v>3422000</v>
      </c>
      <c r="AU36" s="227">
        <f t="shared" si="41"/>
        <v>3422000</v>
      </c>
      <c r="AV36" s="227">
        <f t="shared" si="41"/>
        <v>3422000</v>
      </c>
      <c r="AW36" s="227">
        <f t="shared" si="41"/>
        <v>3422000</v>
      </c>
      <c r="AX36" s="227">
        <f t="shared" si="41"/>
        <v>3422000</v>
      </c>
      <c r="AY36" s="227">
        <f t="shared" si="41"/>
        <v>3422000</v>
      </c>
      <c r="AZ36" s="227">
        <f t="shared" si="12"/>
        <v>41064000</v>
      </c>
      <c r="BA36" s="228">
        <f t="shared" si="17"/>
        <v>0.24672201854083764</v>
      </c>
    </row>
    <row r="37" spans="1:53" ht="9" customHeight="1">
      <c r="A37" s="788"/>
      <c r="B37" s="789"/>
      <c r="C37" s="229" t="s">
        <v>2</v>
      </c>
      <c r="D37" s="205">
        <v>200000</v>
      </c>
      <c r="E37" s="205">
        <v>200000</v>
      </c>
      <c r="F37" s="205">
        <v>200000</v>
      </c>
      <c r="G37" s="205">
        <v>200000</v>
      </c>
      <c r="H37" s="205">
        <v>200000</v>
      </c>
      <c r="I37" s="205">
        <v>200000</v>
      </c>
      <c r="J37" s="205">
        <v>200000</v>
      </c>
      <c r="K37" s="205">
        <v>600000</v>
      </c>
      <c r="L37" s="205">
        <v>600000</v>
      </c>
      <c r="M37" s="205">
        <v>600000</v>
      </c>
      <c r="N37" s="205">
        <v>600000</v>
      </c>
      <c r="O37" s="205">
        <v>600000</v>
      </c>
      <c r="P37" s="205">
        <f t="shared" si="4"/>
        <v>4400000</v>
      </c>
      <c r="Q37" s="206">
        <f t="shared" si="8"/>
        <v>8.4186982962774118E-2</v>
      </c>
      <c r="S37" s="817"/>
      <c r="T37" s="740"/>
      <c r="U37" s="229" t="s">
        <v>2</v>
      </c>
      <c r="V37" s="205">
        <v>1000000</v>
      </c>
      <c r="W37" s="205">
        <v>1000000</v>
      </c>
      <c r="X37" s="205">
        <v>1000000</v>
      </c>
      <c r="Y37" s="205">
        <v>1000000</v>
      </c>
      <c r="Z37" s="205">
        <v>1000000</v>
      </c>
      <c r="AA37" s="205">
        <v>1000000</v>
      </c>
      <c r="AB37" s="205">
        <v>1000000</v>
      </c>
      <c r="AC37" s="205">
        <v>1000000</v>
      </c>
      <c r="AD37" s="205">
        <v>1000000</v>
      </c>
      <c r="AE37" s="205">
        <v>1000000</v>
      </c>
      <c r="AF37" s="205">
        <v>1000000</v>
      </c>
      <c r="AG37" s="205">
        <v>1000000</v>
      </c>
      <c r="AH37" s="205">
        <f t="shared" ref="AH37:AH44" si="42">SUM(V37:AG37)</f>
        <v>12000000</v>
      </c>
      <c r="AI37" s="206">
        <f t="shared" si="9"/>
        <v>8.7677334258329215E-2</v>
      </c>
      <c r="AK37" s="817"/>
      <c r="AL37" s="740"/>
      <c r="AM37" s="229" t="s">
        <v>2</v>
      </c>
      <c r="AN37" s="205">
        <v>1500000</v>
      </c>
      <c r="AO37" s="205">
        <v>1500000</v>
      </c>
      <c r="AP37" s="205">
        <v>1500000</v>
      </c>
      <c r="AQ37" s="205">
        <v>1500000</v>
      </c>
      <c r="AR37" s="205">
        <v>1500000</v>
      </c>
      <c r="AS37" s="205">
        <v>1500000</v>
      </c>
      <c r="AT37" s="205">
        <v>1500000</v>
      </c>
      <c r="AU37" s="205">
        <v>1500000</v>
      </c>
      <c r="AV37" s="205">
        <v>1500000</v>
      </c>
      <c r="AW37" s="205">
        <v>1500000</v>
      </c>
      <c r="AX37" s="205">
        <v>1500000</v>
      </c>
      <c r="AY37" s="205">
        <v>1500000</v>
      </c>
      <c r="AZ37" s="205">
        <f t="shared" ref="AZ37:AZ44" si="43">SUM(AN37:AY37)</f>
        <v>18000000</v>
      </c>
      <c r="BA37" s="206">
        <f t="shared" si="17"/>
        <v>0.10814816709855538</v>
      </c>
    </row>
    <row r="38" spans="1:53" ht="9" customHeight="1">
      <c r="A38" s="788"/>
      <c r="B38" s="789"/>
      <c r="C38" s="229" t="s">
        <v>3</v>
      </c>
      <c r="D38" s="205"/>
      <c r="E38" s="205"/>
      <c r="F38" s="205"/>
      <c r="G38" s="205">
        <v>250000</v>
      </c>
      <c r="H38" s="205">
        <v>250000</v>
      </c>
      <c r="I38" s="205">
        <v>250000</v>
      </c>
      <c r="J38" s="205">
        <v>250000</v>
      </c>
      <c r="K38" s="205">
        <v>250000</v>
      </c>
      <c r="L38" s="205">
        <v>250000</v>
      </c>
      <c r="M38" s="205">
        <v>250000</v>
      </c>
      <c r="N38" s="205">
        <v>250000</v>
      </c>
      <c r="O38" s="205">
        <v>250000</v>
      </c>
      <c r="P38" s="205">
        <f t="shared" si="4"/>
        <v>2250000</v>
      </c>
      <c r="Q38" s="206">
        <f t="shared" si="8"/>
        <v>4.3050161742327675E-2</v>
      </c>
      <c r="S38" s="817"/>
      <c r="T38" s="740"/>
      <c r="U38" s="229" t="s">
        <v>3</v>
      </c>
      <c r="V38" s="205">
        <v>500000</v>
      </c>
      <c r="W38" s="205">
        <v>500000</v>
      </c>
      <c r="X38" s="205">
        <v>500000</v>
      </c>
      <c r="Y38" s="205">
        <v>500000</v>
      </c>
      <c r="Z38" s="205">
        <v>500000</v>
      </c>
      <c r="AA38" s="205">
        <v>500000</v>
      </c>
      <c r="AB38" s="205">
        <v>500000</v>
      </c>
      <c r="AC38" s="205">
        <v>500000</v>
      </c>
      <c r="AD38" s="205">
        <v>500000</v>
      </c>
      <c r="AE38" s="205">
        <v>500000</v>
      </c>
      <c r="AF38" s="205">
        <v>500000</v>
      </c>
      <c r="AG38" s="205">
        <v>500000</v>
      </c>
      <c r="AH38" s="205">
        <f t="shared" si="42"/>
        <v>6000000</v>
      </c>
      <c r="AI38" s="206">
        <f t="shared" si="9"/>
        <v>4.3838667129164607E-2</v>
      </c>
      <c r="AK38" s="817"/>
      <c r="AL38" s="740"/>
      <c r="AM38" s="229" t="s">
        <v>3</v>
      </c>
      <c r="AN38" s="205">
        <v>600000</v>
      </c>
      <c r="AO38" s="205">
        <v>600000</v>
      </c>
      <c r="AP38" s="205">
        <v>600000</v>
      </c>
      <c r="AQ38" s="205">
        <v>600000</v>
      </c>
      <c r="AR38" s="205">
        <v>600000</v>
      </c>
      <c r="AS38" s="205">
        <v>600000</v>
      </c>
      <c r="AT38" s="205">
        <v>600000</v>
      </c>
      <c r="AU38" s="205">
        <v>600000</v>
      </c>
      <c r="AV38" s="205">
        <v>600000</v>
      </c>
      <c r="AW38" s="205">
        <v>600000</v>
      </c>
      <c r="AX38" s="205">
        <v>600000</v>
      </c>
      <c r="AY38" s="205">
        <v>600000</v>
      </c>
      <c r="AZ38" s="205">
        <f t="shared" si="43"/>
        <v>7200000</v>
      </c>
      <c r="BA38" s="206">
        <f t="shared" si="17"/>
        <v>4.3259266839422147E-2</v>
      </c>
    </row>
    <row r="39" spans="1:53" ht="9" customHeight="1">
      <c r="A39" s="788"/>
      <c r="B39" s="789"/>
      <c r="C39" s="229" t="s">
        <v>4</v>
      </c>
      <c r="D39" s="205">
        <f t="shared" ref="D39" si="44">(D37+D38)*0.1</f>
        <v>20000</v>
      </c>
      <c r="E39" s="205">
        <f t="shared" ref="E39" si="45">(E37+E38)*0.1</f>
        <v>20000</v>
      </c>
      <c r="F39" s="205">
        <f t="shared" ref="F39" si="46">(F37+F38)*0.1</f>
        <v>20000</v>
      </c>
      <c r="G39" s="205">
        <f t="shared" ref="G39:O39" si="47">(G37+G38)*0.1</f>
        <v>45000</v>
      </c>
      <c r="H39" s="205">
        <f t="shared" si="47"/>
        <v>45000</v>
      </c>
      <c r="I39" s="205">
        <f t="shared" si="47"/>
        <v>45000</v>
      </c>
      <c r="J39" s="205">
        <f t="shared" si="47"/>
        <v>45000</v>
      </c>
      <c r="K39" s="205">
        <f t="shared" si="47"/>
        <v>85000</v>
      </c>
      <c r="L39" s="205">
        <f t="shared" si="47"/>
        <v>85000</v>
      </c>
      <c r="M39" s="205">
        <f t="shared" si="47"/>
        <v>85000</v>
      </c>
      <c r="N39" s="205">
        <f t="shared" si="47"/>
        <v>85000</v>
      </c>
      <c r="O39" s="205">
        <f t="shared" si="47"/>
        <v>85000</v>
      </c>
      <c r="P39" s="205">
        <f t="shared" si="4"/>
        <v>665000</v>
      </c>
      <c r="Q39" s="206">
        <f t="shared" si="8"/>
        <v>1.272371447051018E-2</v>
      </c>
      <c r="S39" s="817"/>
      <c r="T39" s="740"/>
      <c r="U39" s="229" t="s">
        <v>4</v>
      </c>
      <c r="V39" s="205">
        <f>(V37+V38)*0.17</f>
        <v>255000.00000000003</v>
      </c>
      <c r="W39" s="205">
        <f t="shared" ref="W39:AG39" si="48">(W37+W38)*0.17</f>
        <v>255000.00000000003</v>
      </c>
      <c r="X39" s="205">
        <f t="shared" si="48"/>
        <v>255000.00000000003</v>
      </c>
      <c r="Y39" s="205">
        <f t="shared" si="48"/>
        <v>255000.00000000003</v>
      </c>
      <c r="Z39" s="205">
        <f t="shared" si="48"/>
        <v>255000.00000000003</v>
      </c>
      <c r="AA39" s="205">
        <f t="shared" si="48"/>
        <v>255000.00000000003</v>
      </c>
      <c r="AB39" s="205">
        <f t="shared" si="48"/>
        <v>255000.00000000003</v>
      </c>
      <c r="AC39" s="205">
        <f t="shared" si="48"/>
        <v>255000.00000000003</v>
      </c>
      <c r="AD39" s="205">
        <f t="shared" si="48"/>
        <v>255000.00000000003</v>
      </c>
      <c r="AE39" s="205">
        <f t="shared" si="48"/>
        <v>255000.00000000003</v>
      </c>
      <c r="AF39" s="205">
        <f t="shared" si="48"/>
        <v>255000.00000000003</v>
      </c>
      <c r="AG39" s="205">
        <f t="shared" si="48"/>
        <v>255000.00000000003</v>
      </c>
      <c r="AH39" s="205">
        <f t="shared" si="42"/>
        <v>3060000.0000000005</v>
      </c>
      <c r="AI39" s="206">
        <f t="shared" si="9"/>
        <v>2.2357720235873953E-2</v>
      </c>
      <c r="AK39" s="817"/>
      <c r="AL39" s="740"/>
      <c r="AM39" s="229" t="s">
        <v>4</v>
      </c>
      <c r="AN39" s="205">
        <f t="shared" ref="AN39" si="49">(AN37+AN38)*0.17</f>
        <v>357000</v>
      </c>
      <c r="AO39" s="205">
        <f t="shared" ref="AO39:AY39" si="50">(AO37+AO38)*0.17</f>
        <v>357000</v>
      </c>
      <c r="AP39" s="205">
        <f t="shared" si="50"/>
        <v>357000</v>
      </c>
      <c r="AQ39" s="205">
        <f t="shared" si="50"/>
        <v>357000</v>
      </c>
      <c r="AR39" s="205">
        <f t="shared" si="50"/>
        <v>357000</v>
      </c>
      <c r="AS39" s="205">
        <f t="shared" si="50"/>
        <v>357000</v>
      </c>
      <c r="AT39" s="205">
        <f t="shared" si="50"/>
        <v>357000</v>
      </c>
      <c r="AU39" s="205">
        <f t="shared" si="50"/>
        <v>357000</v>
      </c>
      <c r="AV39" s="205">
        <f t="shared" si="50"/>
        <v>357000</v>
      </c>
      <c r="AW39" s="205">
        <f t="shared" si="50"/>
        <v>357000</v>
      </c>
      <c r="AX39" s="205">
        <f t="shared" si="50"/>
        <v>357000</v>
      </c>
      <c r="AY39" s="205">
        <f t="shared" si="50"/>
        <v>357000</v>
      </c>
      <c r="AZ39" s="205">
        <f t="shared" si="43"/>
        <v>4284000</v>
      </c>
      <c r="BA39" s="206">
        <f t="shared" si="17"/>
        <v>2.5739263769456178E-2</v>
      </c>
    </row>
    <row r="40" spans="1:53" ht="9" customHeight="1">
      <c r="A40" s="788"/>
      <c r="B40" s="789"/>
      <c r="C40" s="230" t="s">
        <v>399</v>
      </c>
      <c r="D40" s="205">
        <v>50000</v>
      </c>
      <c r="E40" s="205">
        <v>50000</v>
      </c>
      <c r="F40" s="205">
        <v>50000</v>
      </c>
      <c r="G40" s="205">
        <v>100000</v>
      </c>
      <c r="H40" s="205">
        <v>100000</v>
      </c>
      <c r="I40" s="205">
        <v>100000</v>
      </c>
      <c r="J40" s="205">
        <v>100000</v>
      </c>
      <c r="K40" s="205">
        <v>100000</v>
      </c>
      <c r="L40" s="205">
        <v>100000</v>
      </c>
      <c r="M40" s="205">
        <v>100000</v>
      </c>
      <c r="N40" s="205">
        <v>100000</v>
      </c>
      <c r="O40" s="205">
        <v>100000</v>
      </c>
      <c r="P40" s="205">
        <f t="shared" si="4"/>
        <v>1050000</v>
      </c>
      <c r="Q40" s="206">
        <f t="shared" si="8"/>
        <v>2.0090075479752917E-2</v>
      </c>
      <c r="S40" s="817"/>
      <c r="T40" s="740"/>
      <c r="U40" s="230" t="s">
        <v>399</v>
      </c>
      <c r="V40" s="205">
        <v>300000</v>
      </c>
      <c r="W40" s="205">
        <v>300000</v>
      </c>
      <c r="X40" s="205">
        <v>300000</v>
      </c>
      <c r="Y40" s="205">
        <v>300000</v>
      </c>
      <c r="Z40" s="205">
        <v>300000</v>
      </c>
      <c r="AA40" s="205">
        <v>300000</v>
      </c>
      <c r="AB40" s="205">
        <v>300000</v>
      </c>
      <c r="AC40" s="205">
        <v>300000</v>
      </c>
      <c r="AD40" s="205">
        <v>300000</v>
      </c>
      <c r="AE40" s="205">
        <v>300000</v>
      </c>
      <c r="AF40" s="205">
        <v>300000</v>
      </c>
      <c r="AG40" s="205">
        <v>300000</v>
      </c>
      <c r="AH40" s="205">
        <f t="shared" si="42"/>
        <v>3600000</v>
      </c>
      <c r="AI40" s="206">
        <f t="shared" si="9"/>
        <v>2.6303200277498762E-2</v>
      </c>
      <c r="AK40" s="817"/>
      <c r="AL40" s="740"/>
      <c r="AM40" s="230" t="s">
        <v>399</v>
      </c>
      <c r="AN40" s="205">
        <v>400000</v>
      </c>
      <c r="AO40" s="205">
        <v>400000</v>
      </c>
      <c r="AP40" s="205">
        <v>400000</v>
      </c>
      <c r="AQ40" s="205">
        <v>400000</v>
      </c>
      <c r="AR40" s="205">
        <v>400000</v>
      </c>
      <c r="AS40" s="205">
        <v>400000</v>
      </c>
      <c r="AT40" s="205">
        <v>400000</v>
      </c>
      <c r="AU40" s="205">
        <v>400000</v>
      </c>
      <c r="AV40" s="205">
        <v>400000</v>
      </c>
      <c r="AW40" s="205">
        <v>400000</v>
      </c>
      <c r="AX40" s="205">
        <v>400000</v>
      </c>
      <c r="AY40" s="205">
        <v>400000</v>
      </c>
      <c r="AZ40" s="205">
        <f t="shared" si="43"/>
        <v>4800000</v>
      </c>
      <c r="BA40" s="206">
        <f t="shared" si="17"/>
        <v>2.8839511226281433E-2</v>
      </c>
    </row>
    <row r="41" spans="1:53" ht="9" customHeight="1">
      <c r="A41" s="788"/>
      <c r="B41" s="789"/>
      <c r="C41" s="229" t="s">
        <v>223</v>
      </c>
      <c r="D41" s="205">
        <v>70000</v>
      </c>
      <c r="E41" s="205">
        <v>70000</v>
      </c>
      <c r="F41" s="205">
        <v>70000</v>
      </c>
      <c r="G41" s="205">
        <v>150000</v>
      </c>
      <c r="H41" s="205">
        <v>150000</v>
      </c>
      <c r="I41" s="205">
        <v>150000</v>
      </c>
      <c r="J41" s="205">
        <v>150000</v>
      </c>
      <c r="K41" s="205">
        <v>150000</v>
      </c>
      <c r="L41" s="205">
        <v>150000</v>
      </c>
      <c r="M41" s="205">
        <v>150000</v>
      </c>
      <c r="N41" s="205">
        <v>150000</v>
      </c>
      <c r="O41" s="205">
        <v>150000</v>
      </c>
      <c r="P41" s="205">
        <f t="shared" si="4"/>
        <v>1560000</v>
      </c>
      <c r="Q41" s="206">
        <f t="shared" si="8"/>
        <v>2.984811214134719E-2</v>
      </c>
      <c r="S41" s="817"/>
      <c r="T41" s="740"/>
      <c r="U41" s="229" t="s">
        <v>223</v>
      </c>
      <c r="V41" s="205">
        <v>300000</v>
      </c>
      <c r="W41" s="205">
        <v>300000</v>
      </c>
      <c r="X41" s="205">
        <v>300000</v>
      </c>
      <c r="Y41" s="205">
        <v>300000</v>
      </c>
      <c r="Z41" s="205">
        <v>300000</v>
      </c>
      <c r="AA41" s="205">
        <v>300000</v>
      </c>
      <c r="AB41" s="205">
        <v>300000</v>
      </c>
      <c r="AC41" s="205">
        <v>300000</v>
      </c>
      <c r="AD41" s="205">
        <v>300000</v>
      </c>
      <c r="AE41" s="205">
        <v>300000</v>
      </c>
      <c r="AF41" s="205">
        <v>300000</v>
      </c>
      <c r="AG41" s="205">
        <v>300000</v>
      </c>
      <c r="AH41" s="205">
        <f t="shared" si="42"/>
        <v>3600000</v>
      </c>
      <c r="AI41" s="206">
        <f t="shared" si="9"/>
        <v>2.6303200277498762E-2</v>
      </c>
      <c r="AK41" s="817"/>
      <c r="AL41" s="740"/>
      <c r="AM41" s="229" t="s">
        <v>223</v>
      </c>
      <c r="AN41" s="205">
        <v>400000</v>
      </c>
      <c r="AO41" s="205">
        <v>400000</v>
      </c>
      <c r="AP41" s="205">
        <v>400000</v>
      </c>
      <c r="AQ41" s="205">
        <v>400000</v>
      </c>
      <c r="AR41" s="205">
        <v>400000</v>
      </c>
      <c r="AS41" s="205">
        <v>400000</v>
      </c>
      <c r="AT41" s="205">
        <v>400000</v>
      </c>
      <c r="AU41" s="205">
        <v>400000</v>
      </c>
      <c r="AV41" s="205">
        <v>400000</v>
      </c>
      <c r="AW41" s="205">
        <v>400000</v>
      </c>
      <c r="AX41" s="205">
        <v>400000</v>
      </c>
      <c r="AY41" s="205">
        <v>400000</v>
      </c>
      <c r="AZ41" s="205">
        <f t="shared" si="43"/>
        <v>4800000</v>
      </c>
      <c r="BA41" s="206">
        <f t="shared" si="17"/>
        <v>2.8839511226281433E-2</v>
      </c>
    </row>
    <row r="42" spans="1:53" ht="9" customHeight="1">
      <c r="A42" s="788"/>
      <c r="B42" s="789"/>
      <c r="C42" s="229" t="s">
        <v>5</v>
      </c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>
        <f t="shared" si="4"/>
        <v>0</v>
      </c>
      <c r="Q42" s="206" t="str">
        <f t="shared" si="8"/>
        <v/>
      </c>
      <c r="S42" s="817"/>
      <c r="T42" s="740"/>
      <c r="U42" s="229" t="s">
        <v>5</v>
      </c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>
        <f t="shared" si="42"/>
        <v>0</v>
      </c>
      <c r="AI42" s="206" t="str">
        <f t="shared" si="9"/>
        <v/>
      </c>
      <c r="AK42" s="817"/>
      <c r="AL42" s="740"/>
      <c r="AM42" s="229" t="s">
        <v>5</v>
      </c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>
        <f t="shared" si="43"/>
        <v>0</v>
      </c>
      <c r="BA42" s="206" t="str">
        <f t="shared" si="17"/>
        <v/>
      </c>
    </row>
    <row r="43" spans="1:53" ht="9" customHeight="1">
      <c r="A43" s="788"/>
      <c r="B43" s="789"/>
      <c r="C43" s="229" t="s">
        <v>6</v>
      </c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>
        <f t="shared" si="4"/>
        <v>0</v>
      </c>
      <c r="Q43" s="206" t="str">
        <f t="shared" si="8"/>
        <v/>
      </c>
      <c r="S43" s="817"/>
      <c r="T43" s="740"/>
      <c r="U43" s="229" t="s">
        <v>6</v>
      </c>
      <c r="V43" s="205">
        <v>165000</v>
      </c>
      <c r="W43" s="205">
        <v>165000</v>
      </c>
      <c r="X43" s="205">
        <v>165000</v>
      </c>
      <c r="Y43" s="205">
        <v>165000</v>
      </c>
      <c r="Z43" s="205">
        <v>165000</v>
      </c>
      <c r="AA43" s="205">
        <v>165000</v>
      </c>
      <c r="AB43" s="205">
        <v>165000</v>
      </c>
      <c r="AC43" s="205">
        <v>165000</v>
      </c>
      <c r="AD43" s="205">
        <v>165000</v>
      </c>
      <c r="AE43" s="205">
        <v>165000</v>
      </c>
      <c r="AF43" s="205">
        <v>165000</v>
      </c>
      <c r="AG43" s="205">
        <v>165000</v>
      </c>
      <c r="AH43" s="205">
        <f t="shared" si="42"/>
        <v>1980000</v>
      </c>
      <c r="AI43" s="206">
        <f t="shared" si="9"/>
        <v>1.446676015262432E-2</v>
      </c>
      <c r="AK43" s="817"/>
      <c r="AL43" s="740"/>
      <c r="AM43" s="229" t="s">
        <v>6</v>
      </c>
      <c r="AN43" s="205">
        <v>165000</v>
      </c>
      <c r="AO43" s="205">
        <v>165000</v>
      </c>
      <c r="AP43" s="205">
        <v>165000</v>
      </c>
      <c r="AQ43" s="205">
        <v>165000</v>
      </c>
      <c r="AR43" s="205">
        <v>165000</v>
      </c>
      <c r="AS43" s="205">
        <v>165000</v>
      </c>
      <c r="AT43" s="205">
        <v>165000</v>
      </c>
      <c r="AU43" s="205">
        <v>165000</v>
      </c>
      <c r="AV43" s="205">
        <v>165000</v>
      </c>
      <c r="AW43" s="205">
        <v>165000</v>
      </c>
      <c r="AX43" s="205">
        <v>165000</v>
      </c>
      <c r="AY43" s="205">
        <v>165000</v>
      </c>
      <c r="AZ43" s="205">
        <f t="shared" si="43"/>
        <v>1980000</v>
      </c>
      <c r="BA43" s="206">
        <f t="shared" si="17"/>
        <v>1.1896298380841091E-2</v>
      </c>
    </row>
    <row r="44" spans="1:53" ht="9" customHeight="1" thickBot="1">
      <c r="A44" s="790"/>
      <c r="B44" s="791"/>
      <c r="C44" s="231" t="s">
        <v>64</v>
      </c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>
        <f t="shared" si="4"/>
        <v>0</v>
      </c>
      <c r="Q44" s="222" t="str">
        <f t="shared" si="8"/>
        <v/>
      </c>
      <c r="S44" s="817"/>
      <c r="T44" s="741"/>
      <c r="U44" s="229" t="s">
        <v>64</v>
      </c>
      <c r="V44" s="205">
        <f>$P$44/10</f>
        <v>0</v>
      </c>
      <c r="W44" s="205">
        <f t="shared" ref="W44:AG44" si="51">$P$44/10</f>
        <v>0</v>
      </c>
      <c r="X44" s="205">
        <f t="shared" si="51"/>
        <v>0</v>
      </c>
      <c r="Y44" s="205">
        <f t="shared" si="51"/>
        <v>0</v>
      </c>
      <c r="Z44" s="205">
        <f t="shared" si="51"/>
        <v>0</v>
      </c>
      <c r="AA44" s="205">
        <f t="shared" si="51"/>
        <v>0</v>
      </c>
      <c r="AB44" s="205">
        <f t="shared" si="51"/>
        <v>0</v>
      </c>
      <c r="AC44" s="205">
        <f t="shared" si="51"/>
        <v>0</v>
      </c>
      <c r="AD44" s="205">
        <f t="shared" si="51"/>
        <v>0</v>
      </c>
      <c r="AE44" s="205">
        <f t="shared" si="51"/>
        <v>0</v>
      </c>
      <c r="AF44" s="205">
        <f t="shared" si="51"/>
        <v>0</v>
      </c>
      <c r="AG44" s="205">
        <f t="shared" si="51"/>
        <v>0</v>
      </c>
      <c r="AH44" s="205">
        <f t="shared" si="42"/>
        <v>0</v>
      </c>
      <c r="AI44" s="206" t="str">
        <f t="shared" si="9"/>
        <v/>
      </c>
      <c r="AK44" s="817"/>
      <c r="AL44" s="741"/>
      <c r="AM44" s="229" t="s">
        <v>64</v>
      </c>
      <c r="AN44" s="205">
        <f t="shared" ref="AN44:AY44" si="52">$P$44/10</f>
        <v>0</v>
      </c>
      <c r="AO44" s="205">
        <f t="shared" si="52"/>
        <v>0</v>
      </c>
      <c r="AP44" s="205">
        <f t="shared" si="52"/>
        <v>0</v>
      </c>
      <c r="AQ44" s="205">
        <f t="shared" si="52"/>
        <v>0</v>
      </c>
      <c r="AR44" s="205">
        <f t="shared" si="52"/>
        <v>0</v>
      </c>
      <c r="AS44" s="205">
        <f t="shared" si="52"/>
        <v>0</v>
      </c>
      <c r="AT44" s="205">
        <f t="shared" si="52"/>
        <v>0</v>
      </c>
      <c r="AU44" s="205">
        <f t="shared" si="52"/>
        <v>0</v>
      </c>
      <c r="AV44" s="205">
        <f t="shared" si="52"/>
        <v>0</v>
      </c>
      <c r="AW44" s="205">
        <f t="shared" si="52"/>
        <v>0</v>
      </c>
      <c r="AX44" s="205">
        <f t="shared" si="52"/>
        <v>0</v>
      </c>
      <c r="AY44" s="205">
        <f t="shared" si="52"/>
        <v>0</v>
      </c>
      <c r="AZ44" s="205">
        <f t="shared" si="43"/>
        <v>0</v>
      </c>
      <c r="BA44" s="206" t="str">
        <f t="shared" si="17"/>
        <v/>
      </c>
    </row>
    <row r="45" spans="1:53" ht="11.25" customHeight="1" thickTop="1" thickBot="1">
      <c r="A45" s="798" t="s">
        <v>8</v>
      </c>
      <c r="B45" s="799"/>
      <c r="C45" s="800"/>
      <c r="D45" s="232">
        <f>D35-D36</f>
        <v>-1436177</v>
      </c>
      <c r="E45" s="232">
        <f t="shared" ref="E45:O45" si="53">E35-E36</f>
        <v>-1307826</v>
      </c>
      <c r="F45" s="232">
        <f t="shared" si="53"/>
        <v>-728318</v>
      </c>
      <c r="G45" s="232">
        <f t="shared" si="53"/>
        <v>-1080028</v>
      </c>
      <c r="H45" s="232">
        <f t="shared" si="53"/>
        <v>-1186379</v>
      </c>
      <c r="I45" s="232">
        <f t="shared" si="53"/>
        <v>-397879</v>
      </c>
      <c r="J45" s="232">
        <f t="shared" si="53"/>
        <v>623716.43999999994</v>
      </c>
      <c r="K45" s="232">
        <f t="shared" si="53"/>
        <v>-1677522.7599999998</v>
      </c>
      <c r="L45" s="232">
        <f t="shared" si="53"/>
        <v>-948929.6799999997</v>
      </c>
      <c r="M45" s="232">
        <f t="shared" si="53"/>
        <v>208594.59999999963</v>
      </c>
      <c r="N45" s="232">
        <f t="shared" si="53"/>
        <v>-204594.51999999955</v>
      </c>
      <c r="O45" s="232">
        <f t="shared" si="53"/>
        <v>838316.55999999959</v>
      </c>
      <c r="P45" s="232">
        <f>SUM(D45:O45)</f>
        <v>-7297026.3600000003</v>
      </c>
      <c r="Q45" s="233">
        <f t="shared" si="8"/>
        <v>-0.13961696223823494</v>
      </c>
      <c r="S45" s="817"/>
      <c r="T45" s="707" t="s">
        <v>8</v>
      </c>
      <c r="U45" s="708"/>
      <c r="V45" s="225">
        <f>V35-V36</f>
        <v>-1113760</v>
      </c>
      <c r="W45" s="225">
        <f t="shared" ref="W45:AG45" si="54">W35-W36</f>
        <v>-1522460.5</v>
      </c>
      <c r="X45" s="225">
        <f t="shared" si="54"/>
        <v>-67872.75</v>
      </c>
      <c r="Y45" s="225">
        <f t="shared" si="54"/>
        <v>-296962.5</v>
      </c>
      <c r="Z45" s="225">
        <f t="shared" si="54"/>
        <v>275604.25</v>
      </c>
      <c r="AA45" s="225">
        <f t="shared" si="54"/>
        <v>31479.5</v>
      </c>
      <c r="AB45" s="225">
        <f t="shared" si="54"/>
        <v>618984.25</v>
      </c>
      <c r="AC45" s="225">
        <f t="shared" si="54"/>
        <v>359921.5</v>
      </c>
      <c r="AD45" s="225">
        <f t="shared" si="54"/>
        <v>524239.5</v>
      </c>
      <c r="AE45" s="225">
        <f t="shared" si="54"/>
        <v>1134055.25</v>
      </c>
      <c r="AF45" s="225">
        <f t="shared" si="54"/>
        <v>852682.5</v>
      </c>
      <c r="AG45" s="225">
        <f t="shared" si="54"/>
        <v>1072000.5</v>
      </c>
      <c r="AH45" s="225">
        <f t="shared" ref="AH45:AH50" si="55">SUM(V45:AG45)</f>
        <v>1867911.5</v>
      </c>
      <c r="AI45" s="226">
        <f t="shared" si="9"/>
        <v>1.3647791745873092E-2</v>
      </c>
      <c r="AK45" s="817"/>
      <c r="AL45" s="707" t="s">
        <v>8</v>
      </c>
      <c r="AM45" s="708"/>
      <c r="AN45" s="225">
        <f>AN35-AN36</f>
        <v>2458672</v>
      </c>
      <c r="AO45" s="225">
        <f t="shared" ref="AO45:AY45" si="56">AO35-AO36</f>
        <v>1702681</v>
      </c>
      <c r="AP45" s="225">
        <f t="shared" si="56"/>
        <v>3330101.25</v>
      </c>
      <c r="AQ45" s="225">
        <f t="shared" si="56"/>
        <v>3041383.5</v>
      </c>
      <c r="AR45" s="225">
        <f t="shared" si="56"/>
        <v>3733384.25</v>
      </c>
      <c r="AS45" s="225">
        <f t="shared" si="56"/>
        <v>3429825.5</v>
      </c>
      <c r="AT45" s="225">
        <f t="shared" si="56"/>
        <v>4136861.25</v>
      </c>
      <c r="AU45" s="225">
        <f t="shared" si="56"/>
        <v>3818267.5</v>
      </c>
      <c r="AV45" s="225">
        <f t="shared" si="56"/>
        <v>4012488.5</v>
      </c>
      <c r="AW45" s="225">
        <f t="shared" si="56"/>
        <v>4741932.25</v>
      </c>
      <c r="AX45" s="225">
        <f t="shared" si="56"/>
        <v>4400931.5</v>
      </c>
      <c r="AY45" s="225">
        <f t="shared" si="56"/>
        <v>4595249.5</v>
      </c>
      <c r="AZ45" s="225">
        <f t="shared" ref="AZ45:AZ50" si="57">SUM(AN45:AY45)</f>
        <v>43401778</v>
      </c>
      <c r="BA45" s="226">
        <f t="shared" si="17"/>
        <v>0.26076792997324466</v>
      </c>
    </row>
    <row r="46" spans="1:53" ht="11.25" customHeight="1" thickTop="1" thickBot="1">
      <c r="A46" s="801" t="s">
        <v>9</v>
      </c>
      <c r="B46" s="802"/>
      <c r="C46" s="803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>
        <f t="shared" si="4"/>
        <v>0</v>
      </c>
      <c r="Q46" s="235" t="str">
        <f t="shared" si="8"/>
        <v/>
      </c>
      <c r="S46" s="817"/>
      <c r="T46" s="709" t="s">
        <v>9</v>
      </c>
      <c r="U46" s="710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>
        <f t="shared" si="55"/>
        <v>0</v>
      </c>
      <c r="AI46" s="228" t="str">
        <f t="shared" si="9"/>
        <v/>
      </c>
      <c r="AK46" s="817"/>
      <c r="AL46" s="709" t="s">
        <v>9</v>
      </c>
      <c r="AM46" s="710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>
        <f t="shared" si="57"/>
        <v>0</v>
      </c>
      <c r="BA46" s="228" t="str">
        <f t="shared" si="17"/>
        <v/>
      </c>
    </row>
    <row r="47" spans="1:53" ht="11.25" customHeight="1">
      <c r="A47" s="808" t="s">
        <v>12</v>
      </c>
      <c r="B47" s="809"/>
      <c r="C47" s="810"/>
      <c r="D47" s="236">
        <f>SUM(D48:D49)</f>
        <v>0</v>
      </c>
      <c r="E47" s="236">
        <f t="shared" ref="E47:O47" si="58">SUM(E48:E49)</f>
        <v>0</v>
      </c>
      <c r="F47" s="236">
        <f t="shared" si="58"/>
        <v>0</v>
      </c>
      <c r="G47" s="236">
        <f t="shared" si="58"/>
        <v>0</v>
      </c>
      <c r="H47" s="236">
        <f t="shared" si="58"/>
        <v>0</v>
      </c>
      <c r="I47" s="236">
        <f t="shared" si="58"/>
        <v>35000</v>
      </c>
      <c r="J47" s="236">
        <f t="shared" si="58"/>
        <v>35000</v>
      </c>
      <c r="K47" s="236">
        <f t="shared" si="58"/>
        <v>35000</v>
      </c>
      <c r="L47" s="236">
        <f t="shared" si="58"/>
        <v>35000</v>
      </c>
      <c r="M47" s="236">
        <f t="shared" si="58"/>
        <v>35000</v>
      </c>
      <c r="N47" s="236">
        <f t="shared" si="58"/>
        <v>35000</v>
      </c>
      <c r="O47" s="236">
        <f t="shared" si="58"/>
        <v>35000</v>
      </c>
      <c r="P47" s="236">
        <f t="shared" si="4"/>
        <v>245000</v>
      </c>
      <c r="Q47" s="237">
        <f t="shared" si="8"/>
        <v>4.6876842786090136E-3</v>
      </c>
      <c r="S47" s="817"/>
      <c r="T47" s="746" t="s">
        <v>12</v>
      </c>
      <c r="U47" s="747"/>
      <c r="V47" s="202">
        <f>SUM(V48:V49)</f>
        <v>35000</v>
      </c>
      <c r="W47" s="202">
        <f t="shared" ref="W47:AG47" si="59">SUM(W48:W49)</f>
        <v>35000</v>
      </c>
      <c r="X47" s="202">
        <f t="shared" si="59"/>
        <v>35000</v>
      </c>
      <c r="Y47" s="202">
        <f t="shared" si="59"/>
        <v>35000</v>
      </c>
      <c r="Z47" s="202">
        <f t="shared" si="59"/>
        <v>35000</v>
      </c>
      <c r="AA47" s="202">
        <f t="shared" si="59"/>
        <v>35000</v>
      </c>
      <c r="AB47" s="202">
        <f t="shared" si="59"/>
        <v>35000</v>
      </c>
      <c r="AC47" s="202">
        <f t="shared" si="59"/>
        <v>35000</v>
      </c>
      <c r="AD47" s="202">
        <f t="shared" si="59"/>
        <v>35000</v>
      </c>
      <c r="AE47" s="202">
        <f t="shared" si="59"/>
        <v>35000</v>
      </c>
      <c r="AF47" s="202">
        <f t="shared" si="59"/>
        <v>35000</v>
      </c>
      <c r="AG47" s="202">
        <f t="shared" si="59"/>
        <v>35000</v>
      </c>
      <c r="AH47" s="202">
        <f t="shared" si="55"/>
        <v>420000</v>
      </c>
      <c r="AI47" s="203">
        <f t="shared" si="9"/>
        <v>3.0687066990415222E-3</v>
      </c>
      <c r="AK47" s="817"/>
      <c r="AL47" s="746" t="s">
        <v>12</v>
      </c>
      <c r="AM47" s="747"/>
      <c r="AN47" s="202">
        <f>SUM(AN48:AN49)</f>
        <v>35000</v>
      </c>
      <c r="AO47" s="202">
        <f t="shared" ref="AO47:AY47" si="60">SUM(AO48:AO49)</f>
        <v>35000</v>
      </c>
      <c r="AP47" s="202">
        <f t="shared" si="60"/>
        <v>35000</v>
      </c>
      <c r="AQ47" s="202">
        <f t="shared" si="60"/>
        <v>35000</v>
      </c>
      <c r="AR47" s="202">
        <f t="shared" si="60"/>
        <v>35000</v>
      </c>
      <c r="AS47" s="202">
        <f t="shared" si="60"/>
        <v>35000</v>
      </c>
      <c r="AT47" s="202">
        <f t="shared" si="60"/>
        <v>35000</v>
      </c>
      <c r="AU47" s="202">
        <f t="shared" si="60"/>
        <v>35000</v>
      </c>
      <c r="AV47" s="202">
        <f t="shared" si="60"/>
        <v>35000</v>
      </c>
      <c r="AW47" s="202">
        <f t="shared" si="60"/>
        <v>35000</v>
      </c>
      <c r="AX47" s="202">
        <f t="shared" si="60"/>
        <v>35000</v>
      </c>
      <c r="AY47" s="202">
        <f t="shared" si="60"/>
        <v>35000</v>
      </c>
      <c r="AZ47" s="202">
        <f t="shared" si="57"/>
        <v>420000</v>
      </c>
      <c r="BA47" s="203">
        <f t="shared" si="17"/>
        <v>2.5234572322996255E-3</v>
      </c>
    </row>
    <row r="48" spans="1:53" ht="11.25" customHeight="1">
      <c r="A48" s="804"/>
      <c r="B48" s="805"/>
      <c r="C48" s="229" t="s">
        <v>10</v>
      </c>
      <c r="D48" s="205"/>
      <c r="E48" s="205"/>
      <c r="F48" s="205"/>
      <c r="G48" s="205"/>
      <c r="H48" s="205"/>
      <c r="I48" s="205">
        <v>35000</v>
      </c>
      <c r="J48" s="205">
        <v>35000</v>
      </c>
      <c r="K48" s="205">
        <v>35000</v>
      </c>
      <c r="L48" s="205">
        <v>35000</v>
      </c>
      <c r="M48" s="205">
        <v>35000</v>
      </c>
      <c r="N48" s="205">
        <v>35000</v>
      </c>
      <c r="O48" s="205">
        <v>35000</v>
      </c>
      <c r="P48" s="205">
        <f t="shared" si="4"/>
        <v>245000</v>
      </c>
      <c r="Q48" s="206">
        <f t="shared" si="8"/>
        <v>4.6876842786090136E-3</v>
      </c>
      <c r="S48" s="817"/>
      <c r="T48" s="729"/>
      <c r="U48" s="229" t="s">
        <v>10</v>
      </c>
      <c r="V48" s="205">
        <v>35000</v>
      </c>
      <c r="W48" s="205">
        <v>35000</v>
      </c>
      <c r="X48" s="205">
        <v>35000</v>
      </c>
      <c r="Y48" s="205">
        <v>35000</v>
      </c>
      <c r="Z48" s="205">
        <v>35000</v>
      </c>
      <c r="AA48" s="205">
        <v>35000</v>
      </c>
      <c r="AB48" s="205">
        <v>35000</v>
      </c>
      <c r="AC48" s="205">
        <v>35000</v>
      </c>
      <c r="AD48" s="205">
        <v>35000</v>
      </c>
      <c r="AE48" s="205">
        <v>35000</v>
      </c>
      <c r="AF48" s="205">
        <v>35000</v>
      </c>
      <c r="AG48" s="205">
        <v>35000</v>
      </c>
      <c r="AH48" s="205">
        <f t="shared" si="55"/>
        <v>420000</v>
      </c>
      <c r="AI48" s="206">
        <f t="shared" si="9"/>
        <v>3.0687066990415222E-3</v>
      </c>
      <c r="AK48" s="817"/>
      <c r="AL48" s="729"/>
      <c r="AM48" s="229" t="s">
        <v>10</v>
      </c>
      <c r="AN48" s="205">
        <v>35000</v>
      </c>
      <c r="AO48" s="205">
        <v>35000</v>
      </c>
      <c r="AP48" s="205">
        <v>35000</v>
      </c>
      <c r="AQ48" s="205">
        <v>35000</v>
      </c>
      <c r="AR48" s="205">
        <v>35000</v>
      </c>
      <c r="AS48" s="205">
        <v>35000</v>
      </c>
      <c r="AT48" s="205">
        <v>35000</v>
      </c>
      <c r="AU48" s="205">
        <v>35000</v>
      </c>
      <c r="AV48" s="205">
        <v>35000</v>
      </c>
      <c r="AW48" s="205">
        <v>35000</v>
      </c>
      <c r="AX48" s="205">
        <v>35000</v>
      </c>
      <c r="AY48" s="205">
        <v>35000</v>
      </c>
      <c r="AZ48" s="205">
        <f t="shared" si="57"/>
        <v>420000</v>
      </c>
      <c r="BA48" s="206">
        <f t="shared" si="17"/>
        <v>2.5234572322996255E-3</v>
      </c>
    </row>
    <row r="49" spans="1:53" ht="11.25" customHeight="1" thickBot="1">
      <c r="A49" s="806"/>
      <c r="B49" s="807"/>
      <c r="C49" s="231" t="s">
        <v>11</v>
      </c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>
        <f t="shared" si="4"/>
        <v>0</v>
      </c>
      <c r="Q49" s="222" t="str">
        <f t="shared" si="8"/>
        <v/>
      </c>
      <c r="S49" s="817"/>
      <c r="T49" s="714"/>
      <c r="U49" s="229" t="s">
        <v>11</v>
      </c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>
        <f t="shared" si="55"/>
        <v>0</v>
      </c>
      <c r="AI49" s="206" t="str">
        <f t="shared" si="9"/>
        <v/>
      </c>
      <c r="AK49" s="817"/>
      <c r="AL49" s="714"/>
      <c r="AM49" s="229" t="s">
        <v>11</v>
      </c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>
        <f t="shared" si="57"/>
        <v>0</v>
      </c>
      <c r="BA49" s="206" t="str">
        <f t="shared" si="17"/>
        <v/>
      </c>
    </row>
    <row r="50" spans="1:53" ht="11.25" customHeight="1" thickTop="1">
      <c r="A50" s="811" t="s">
        <v>13</v>
      </c>
      <c r="B50" s="812"/>
      <c r="C50" s="813"/>
      <c r="D50" s="223"/>
      <c r="E50" s="223"/>
      <c r="F50" s="223">
        <f>F45+F46-F47</f>
        <v>-728318</v>
      </c>
      <c r="G50" s="238">
        <f t="shared" ref="G50:O50" si="61">G45+G46-G47</f>
        <v>-1080028</v>
      </c>
      <c r="H50" s="238">
        <f t="shared" si="61"/>
        <v>-1186379</v>
      </c>
      <c r="I50" s="238">
        <f t="shared" si="61"/>
        <v>-432879</v>
      </c>
      <c r="J50" s="238">
        <f t="shared" si="61"/>
        <v>588716.43999999994</v>
      </c>
      <c r="K50" s="238">
        <f t="shared" si="61"/>
        <v>-1712522.7599999998</v>
      </c>
      <c r="L50" s="238">
        <f t="shared" si="61"/>
        <v>-983929.6799999997</v>
      </c>
      <c r="M50" s="238">
        <f t="shared" si="61"/>
        <v>173594.59999999963</v>
      </c>
      <c r="N50" s="238">
        <f t="shared" si="61"/>
        <v>-239594.51999999955</v>
      </c>
      <c r="O50" s="238">
        <f t="shared" si="61"/>
        <v>803316.55999999959</v>
      </c>
      <c r="P50" s="238">
        <f t="shared" si="4"/>
        <v>-4798023.3600000003</v>
      </c>
      <c r="Q50" s="239">
        <f t="shared" si="8"/>
        <v>-9.1802525196207338E-2</v>
      </c>
      <c r="S50" s="817"/>
      <c r="T50" s="707" t="s">
        <v>13</v>
      </c>
      <c r="U50" s="708"/>
      <c r="V50" s="225">
        <f>V45+V46-V47</f>
        <v>-1148760</v>
      </c>
      <c r="W50" s="225">
        <f>W45+W46-W47</f>
        <v>-1557460.5</v>
      </c>
      <c r="X50" s="225">
        <f>X45+X46-X47</f>
        <v>-102872.75</v>
      </c>
      <c r="Y50" s="225">
        <f t="shared" ref="Y50:AG50" si="62">Y45+Y46-Y47</f>
        <v>-331962.5</v>
      </c>
      <c r="Z50" s="225">
        <f t="shared" si="62"/>
        <v>240604.25</v>
      </c>
      <c r="AA50" s="225">
        <f t="shared" si="62"/>
        <v>-3520.5</v>
      </c>
      <c r="AB50" s="225">
        <f t="shared" si="62"/>
        <v>583984.25</v>
      </c>
      <c r="AC50" s="225">
        <f t="shared" si="62"/>
        <v>324921.5</v>
      </c>
      <c r="AD50" s="225">
        <f t="shared" si="62"/>
        <v>489239.5</v>
      </c>
      <c r="AE50" s="225">
        <f t="shared" si="62"/>
        <v>1099055.25</v>
      </c>
      <c r="AF50" s="225">
        <f t="shared" si="62"/>
        <v>817682.5</v>
      </c>
      <c r="AG50" s="225">
        <f t="shared" si="62"/>
        <v>1037000.5</v>
      </c>
      <c r="AH50" s="225">
        <f t="shared" si="55"/>
        <v>1447911.5</v>
      </c>
      <c r="AI50" s="226">
        <f t="shared" si="9"/>
        <v>1.057908504683157E-2</v>
      </c>
      <c r="AK50" s="817"/>
      <c r="AL50" s="707" t="s">
        <v>13</v>
      </c>
      <c r="AM50" s="708"/>
      <c r="AN50" s="225">
        <f>AN45+AN46-AN47</f>
        <v>2423672</v>
      </c>
      <c r="AO50" s="225">
        <f>AO45+AO46-AO47</f>
        <v>1667681</v>
      </c>
      <c r="AP50" s="225">
        <f>AP45+AP46-AP47</f>
        <v>3295101.25</v>
      </c>
      <c r="AQ50" s="225">
        <f t="shared" ref="AQ50:AY50" si="63">AQ45+AQ46-AQ47</f>
        <v>3006383.5</v>
      </c>
      <c r="AR50" s="225">
        <f t="shared" si="63"/>
        <v>3698384.25</v>
      </c>
      <c r="AS50" s="225">
        <f t="shared" si="63"/>
        <v>3394825.5</v>
      </c>
      <c r="AT50" s="225">
        <f t="shared" si="63"/>
        <v>4101861.25</v>
      </c>
      <c r="AU50" s="225">
        <f t="shared" si="63"/>
        <v>3783267.5</v>
      </c>
      <c r="AV50" s="225">
        <f t="shared" si="63"/>
        <v>3977488.5</v>
      </c>
      <c r="AW50" s="225">
        <f t="shared" si="63"/>
        <v>4706932.25</v>
      </c>
      <c r="AX50" s="225">
        <f t="shared" si="63"/>
        <v>4365931.5</v>
      </c>
      <c r="AY50" s="225">
        <f t="shared" si="63"/>
        <v>4560249.5</v>
      </c>
      <c r="AZ50" s="225">
        <f t="shared" si="57"/>
        <v>42981778</v>
      </c>
      <c r="BA50" s="226">
        <f t="shared" si="17"/>
        <v>0.25824447274094509</v>
      </c>
    </row>
    <row r="51" spans="1:53" ht="12.75" customHeight="1" thickBot="1">
      <c r="A51" s="814" t="s">
        <v>232</v>
      </c>
      <c r="B51" s="815"/>
      <c r="C51" s="816"/>
      <c r="D51" s="240"/>
      <c r="E51" s="240"/>
      <c r="F51" s="240"/>
      <c r="G51" s="241"/>
      <c r="H51" s="241"/>
      <c r="I51" s="241"/>
      <c r="J51" s="241"/>
      <c r="K51" s="241"/>
      <c r="L51" s="241"/>
      <c r="M51" s="241"/>
      <c r="N51" s="241"/>
      <c r="O51" s="241"/>
      <c r="P51" s="241">
        <f>IF(P50&lt;0,0,P50*0.6)</f>
        <v>0</v>
      </c>
      <c r="Q51" s="242"/>
      <c r="S51" s="818"/>
      <c r="T51" s="754" t="s">
        <v>232</v>
      </c>
      <c r="U51" s="755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>
        <f>AH50*0.8</f>
        <v>1158329.2</v>
      </c>
      <c r="AI51" s="242"/>
      <c r="AK51" s="818"/>
      <c r="AL51" s="754"/>
      <c r="AM51" s="755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>
        <f>AZ50*0.6</f>
        <v>25789066.800000001</v>
      </c>
      <c r="BA51" s="242"/>
    </row>
    <row r="52" spans="1:53" ht="11.25" customHeight="1" thickBot="1">
      <c r="A52" s="739" t="s">
        <v>534</v>
      </c>
      <c r="B52" s="739"/>
      <c r="C52" s="739"/>
      <c r="D52" s="739"/>
      <c r="S52" s="739" t="s">
        <v>535</v>
      </c>
      <c r="T52" s="739"/>
      <c r="U52" s="739"/>
      <c r="V52" s="739"/>
      <c r="AK52" s="739" t="s">
        <v>536</v>
      </c>
      <c r="AL52" s="739"/>
      <c r="AM52" s="739"/>
      <c r="AN52" s="739"/>
    </row>
    <row r="53" spans="1:53" s="190" customFormat="1" ht="11.25" customHeight="1">
      <c r="B53" s="736"/>
      <c r="C53" s="736"/>
      <c r="D53" s="243" t="s">
        <v>339</v>
      </c>
      <c r="E53" s="243" t="s">
        <v>340</v>
      </c>
      <c r="F53" s="243" t="s">
        <v>341</v>
      </c>
      <c r="G53" s="243" t="s">
        <v>342</v>
      </c>
      <c r="H53" s="243" t="s">
        <v>343</v>
      </c>
      <c r="I53" s="243" t="s">
        <v>344</v>
      </c>
      <c r="J53" s="243" t="s">
        <v>345</v>
      </c>
      <c r="K53" s="243" t="s">
        <v>346</v>
      </c>
      <c r="L53" s="243" t="s">
        <v>347</v>
      </c>
      <c r="M53" s="243" t="s">
        <v>348</v>
      </c>
      <c r="N53" s="243" t="s">
        <v>349</v>
      </c>
      <c r="O53" s="243" t="s">
        <v>350</v>
      </c>
      <c r="P53" s="756" t="s">
        <v>32</v>
      </c>
      <c r="Q53" s="757"/>
      <c r="T53" s="748"/>
      <c r="U53" s="749"/>
      <c r="V53" s="496" t="s">
        <v>339</v>
      </c>
      <c r="W53" s="496" t="s">
        <v>340</v>
      </c>
      <c r="X53" s="496" t="s">
        <v>341</v>
      </c>
      <c r="Y53" s="496" t="s">
        <v>342</v>
      </c>
      <c r="Z53" s="496" t="s">
        <v>343</v>
      </c>
      <c r="AA53" s="496" t="s">
        <v>344</v>
      </c>
      <c r="AB53" s="496" t="s">
        <v>345</v>
      </c>
      <c r="AC53" s="496" t="s">
        <v>346</v>
      </c>
      <c r="AD53" s="496" t="s">
        <v>347</v>
      </c>
      <c r="AE53" s="496" t="s">
        <v>348</v>
      </c>
      <c r="AF53" s="496" t="s">
        <v>349</v>
      </c>
      <c r="AG53" s="496" t="s">
        <v>350</v>
      </c>
      <c r="AH53" s="750" t="s">
        <v>32</v>
      </c>
      <c r="AI53" s="751"/>
      <c r="AL53" s="748"/>
      <c r="AM53" s="749"/>
      <c r="AN53" s="496" t="s">
        <v>339</v>
      </c>
      <c r="AO53" s="496" t="s">
        <v>340</v>
      </c>
      <c r="AP53" s="496" t="s">
        <v>341</v>
      </c>
      <c r="AQ53" s="496" t="s">
        <v>342</v>
      </c>
      <c r="AR53" s="496" t="s">
        <v>343</v>
      </c>
      <c r="AS53" s="496" t="s">
        <v>344</v>
      </c>
      <c r="AT53" s="496" t="s">
        <v>345</v>
      </c>
      <c r="AU53" s="496" t="s">
        <v>346</v>
      </c>
      <c r="AV53" s="496" t="s">
        <v>347</v>
      </c>
      <c r="AW53" s="496" t="s">
        <v>348</v>
      </c>
      <c r="AX53" s="496" t="s">
        <v>349</v>
      </c>
      <c r="AY53" s="496" t="s">
        <v>350</v>
      </c>
      <c r="AZ53" s="750" t="s">
        <v>32</v>
      </c>
      <c r="BA53" s="751"/>
    </row>
    <row r="54" spans="1:53" ht="12.75" customHeight="1">
      <c r="B54" s="733" t="s">
        <v>28</v>
      </c>
      <c r="C54" s="734"/>
      <c r="D54" s="205">
        <v>1200000</v>
      </c>
      <c r="E54" s="205">
        <f>D85</f>
        <v>2858720</v>
      </c>
      <c r="F54" s="205">
        <f t="shared" ref="F54:O54" si="64">E85</f>
        <v>564003</v>
      </c>
      <c r="G54" s="205">
        <f t="shared" si="64"/>
        <v>-1322123</v>
      </c>
      <c r="H54" s="205">
        <f t="shared" si="64"/>
        <v>-3466841</v>
      </c>
      <c r="I54" s="205">
        <v>500000</v>
      </c>
      <c r="J54" s="205">
        <f t="shared" si="64"/>
        <v>15179921</v>
      </c>
      <c r="K54" s="205">
        <f t="shared" si="64"/>
        <v>13910042</v>
      </c>
      <c r="L54" s="205">
        <f t="shared" si="64"/>
        <v>12663206.439999999</v>
      </c>
      <c r="M54" s="205">
        <f t="shared" si="64"/>
        <v>10431043.68</v>
      </c>
      <c r="N54" s="205">
        <f t="shared" si="64"/>
        <v>8597750</v>
      </c>
      <c r="O54" s="205">
        <f t="shared" si="64"/>
        <v>7521020.5999999996</v>
      </c>
      <c r="P54" s="694"/>
      <c r="Q54" s="753"/>
      <c r="T54" s="752" t="s">
        <v>28</v>
      </c>
      <c r="U54" s="734"/>
      <c r="V54" s="205">
        <f>O85</f>
        <v>6681322.0800000001</v>
      </c>
      <c r="W54" s="205">
        <f t="shared" ref="W54:AG54" si="65">V85</f>
        <v>6330874.6400000006</v>
      </c>
      <c r="X54" s="205">
        <f t="shared" si="65"/>
        <v>4459162.6400000006</v>
      </c>
      <c r="Y54" s="205">
        <f t="shared" si="65"/>
        <v>3497952.1400000006</v>
      </c>
      <c r="Z54" s="205">
        <f t="shared" si="65"/>
        <v>2173504.3900000006</v>
      </c>
      <c r="AA54" s="205">
        <f t="shared" si="65"/>
        <v>2355716.8900000006</v>
      </c>
      <c r="AB54" s="205">
        <f t="shared" si="65"/>
        <v>2284046.1400000006</v>
      </c>
      <c r="AC54" s="205">
        <f t="shared" si="65"/>
        <v>2810200.6400000006</v>
      </c>
      <c r="AD54" s="205">
        <f t="shared" si="65"/>
        <v>3066509.8900000006</v>
      </c>
      <c r="AE54" s="205">
        <f t="shared" si="65"/>
        <v>3936506.3900000006</v>
      </c>
      <c r="AF54" s="205">
        <f t="shared" si="65"/>
        <v>4534345.8900000006</v>
      </c>
      <c r="AG54" s="205">
        <f t="shared" si="65"/>
        <v>5282726.1400000006</v>
      </c>
      <c r="AH54" s="694"/>
      <c r="AI54" s="695"/>
      <c r="AL54" s="752" t="s">
        <v>28</v>
      </c>
      <c r="AM54" s="734"/>
      <c r="AN54" s="205">
        <f>AG85</f>
        <v>6378901.3400000008</v>
      </c>
      <c r="AO54" s="205">
        <f t="shared" ref="AO54:AY54" si="66">AN85</f>
        <v>7614501.8400000008</v>
      </c>
      <c r="AP54" s="205">
        <f t="shared" si="66"/>
        <v>7576923.8400000008</v>
      </c>
      <c r="AQ54" s="205">
        <f t="shared" si="66"/>
        <v>7732904.8400000008</v>
      </c>
      <c r="AR54" s="205">
        <f t="shared" si="66"/>
        <v>7029181.0900000008</v>
      </c>
      <c r="AS54" s="205">
        <f t="shared" si="66"/>
        <v>7982139.5900000008</v>
      </c>
      <c r="AT54" s="205">
        <f t="shared" si="66"/>
        <v>8586048.8399999999</v>
      </c>
      <c r="AU54" s="205">
        <f t="shared" si="66"/>
        <v>9882749.3399999999</v>
      </c>
      <c r="AV54" s="205">
        <f t="shared" si="66"/>
        <v>10814635.59</v>
      </c>
      <c r="AW54" s="205">
        <f t="shared" si="66"/>
        <v>12455278.09</v>
      </c>
      <c r="AX54" s="205">
        <f t="shared" si="66"/>
        <v>13731466.59</v>
      </c>
      <c r="AY54" s="205">
        <f t="shared" si="66"/>
        <v>15155323.84</v>
      </c>
      <c r="AZ54" s="694"/>
      <c r="BA54" s="695"/>
    </row>
    <row r="55" spans="1:53" ht="11.25" customHeight="1">
      <c r="B55" s="732" t="s">
        <v>34</v>
      </c>
      <c r="C55" s="726"/>
      <c r="D55" s="202">
        <f t="shared" ref="D55:O55" si="67">SUM(D56:D59)</f>
        <v>1228720</v>
      </c>
      <c r="E55" s="202">
        <f t="shared" si="67"/>
        <v>1557360</v>
      </c>
      <c r="F55" s="202">
        <f t="shared" si="67"/>
        <v>1895900</v>
      </c>
      <c r="G55" s="202">
        <f t="shared" si="67"/>
        <v>1984200</v>
      </c>
      <c r="H55" s="202">
        <f t="shared" si="67"/>
        <v>2840600</v>
      </c>
      <c r="I55" s="202">
        <f t="shared" si="67"/>
        <v>2957600</v>
      </c>
      <c r="J55" s="202">
        <f t="shared" si="67"/>
        <v>2849300</v>
      </c>
      <c r="K55" s="202">
        <f t="shared" si="67"/>
        <v>3049300</v>
      </c>
      <c r="L55" s="202">
        <f t="shared" si="67"/>
        <v>4067852</v>
      </c>
      <c r="M55" s="202">
        <f t="shared" si="67"/>
        <v>4680492</v>
      </c>
      <c r="N55" s="202">
        <f t="shared" si="67"/>
        <v>5652856</v>
      </c>
      <c r="O55" s="202">
        <f t="shared" si="67"/>
        <v>6996180</v>
      </c>
      <c r="P55" s="743"/>
      <c r="Q55" s="758"/>
      <c r="T55" s="742" t="s">
        <v>34</v>
      </c>
      <c r="U55" s="726"/>
      <c r="V55" s="202">
        <f t="shared" ref="V55:AG55" si="68">SUM(V56:V59)</f>
        <v>7719284</v>
      </c>
      <c r="W55" s="202">
        <f t="shared" si="68"/>
        <v>8861048</v>
      </c>
      <c r="X55" s="202">
        <f t="shared" si="68"/>
        <v>9852002</v>
      </c>
      <c r="Y55" s="202">
        <f t="shared" si="68"/>
        <v>9593752</v>
      </c>
      <c r="Z55" s="202">
        <f t="shared" si="68"/>
        <v>11123327</v>
      </c>
      <c r="AA55" s="202">
        <f t="shared" si="68"/>
        <v>10917152</v>
      </c>
      <c r="AB55" s="202">
        <f t="shared" si="68"/>
        <v>11537427</v>
      </c>
      <c r="AC55" s="202">
        <f t="shared" si="68"/>
        <v>11315752</v>
      </c>
      <c r="AD55" s="202">
        <f t="shared" si="68"/>
        <v>11951427</v>
      </c>
      <c r="AE55" s="202">
        <f t="shared" si="68"/>
        <v>11714352</v>
      </c>
      <c r="AF55" s="202">
        <f t="shared" si="68"/>
        <v>11913753</v>
      </c>
      <c r="AG55" s="202">
        <f t="shared" si="68"/>
        <v>12572428</v>
      </c>
      <c r="AH55" s="743"/>
      <c r="AI55" s="744"/>
      <c r="AL55" s="742" t="s">
        <v>34</v>
      </c>
      <c r="AM55" s="726"/>
      <c r="AN55" s="202">
        <f t="shared" ref="AN55:AY55" si="69">SUM(AN56:AN59)</f>
        <v>12312353</v>
      </c>
      <c r="AO55" s="202">
        <f t="shared" si="69"/>
        <v>12511752</v>
      </c>
      <c r="AP55" s="202">
        <f t="shared" si="69"/>
        <v>12711002</v>
      </c>
      <c r="AQ55" s="202">
        <f t="shared" si="69"/>
        <v>11930702</v>
      </c>
      <c r="AR55" s="202">
        <f t="shared" si="69"/>
        <v>13607527</v>
      </c>
      <c r="AS55" s="202">
        <f t="shared" si="69"/>
        <v>13308952</v>
      </c>
      <c r="AT55" s="202">
        <f t="shared" si="69"/>
        <v>14021427</v>
      </c>
      <c r="AU55" s="202">
        <f t="shared" si="69"/>
        <v>13707552</v>
      </c>
      <c r="AV55" s="202">
        <f t="shared" si="69"/>
        <v>14435527</v>
      </c>
      <c r="AW55" s="202">
        <f t="shared" si="69"/>
        <v>14106152</v>
      </c>
      <c r="AX55" s="202">
        <f t="shared" si="69"/>
        <v>14305453</v>
      </c>
      <c r="AY55" s="202">
        <f t="shared" si="69"/>
        <v>15056528</v>
      </c>
      <c r="AZ55" s="743"/>
      <c r="BA55" s="744"/>
    </row>
    <row r="56" spans="1:53" ht="9.75" customHeight="1">
      <c r="B56" s="714"/>
      <c r="C56" s="244" t="s">
        <v>365</v>
      </c>
      <c r="D56" s="205">
        <f>D5*0.8</f>
        <v>1228720</v>
      </c>
      <c r="E56" s="205">
        <f>E5*0.8</f>
        <v>1227360</v>
      </c>
      <c r="F56" s="205">
        <f>D5</f>
        <v>1535900</v>
      </c>
      <c r="G56" s="205">
        <f t="shared" ref="G56:O56" si="70">E5</f>
        <v>1534200</v>
      </c>
      <c r="H56" s="205">
        <f t="shared" si="70"/>
        <v>2180600</v>
      </c>
      <c r="I56" s="205">
        <f t="shared" si="70"/>
        <v>2237600</v>
      </c>
      <c r="J56" s="205">
        <f t="shared" si="70"/>
        <v>2339300</v>
      </c>
      <c r="K56" s="205">
        <f t="shared" si="70"/>
        <v>2389300</v>
      </c>
      <c r="L56" s="205">
        <f t="shared" si="70"/>
        <v>3287852</v>
      </c>
      <c r="M56" s="205">
        <f t="shared" si="70"/>
        <v>3750492</v>
      </c>
      <c r="N56" s="205">
        <f t="shared" si="70"/>
        <v>4542856</v>
      </c>
      <c r="O56" s="205">
        <f t="shared" si="70"/>
        <v>5736180</v>
      </c>
      <c r="P56" s="694" t="s">
        <v>366</v>
      </c>
      <c r="Q56" s="753"/>
      <c r="T56" s="693"/>
      <c r="U56" s="244" t="s">
        <v>365</v>
      </c>
      <c r="V56" s="205">
        <f>N5</f>
        <v>6279284</v>
      </c>
      <c r="W56" s="205">
        <f>O5</f>
        <v>7241048</v>
      </c>
      <c r="X56" s="205">
        <f>V5</f>
        <v>8142000</v>
      </c>
      <c r="Y56" s="205">
        <f t="shared" ref="Y56:AG56" si="71">W5</f>
        <v>7823750</v>
      </c>
      <c r="Z56" s="205">
        <f t="shared" si="71"/>
        <v>9323325</v>
      </c>
      <c r="AA56" s="205">
        <f t="shared" si="71"/>
        <v>9087150</v>
      </c>
      <c r="AB56" s="205">
        <f t="shared" si="71"/>
        <v>9677425</v>
      </c>
      <c r="AC56" s="205">
        <f t="shared" si="71"/>
        <v>9425750</v>
      </c>
      <c r="AD56" s="205">
        <f t="shared" si="71"/>
        <v>10031425</v>
      </c>
      <c r="AE56" s="205">
        <f t="shared" si="71"/>
        <v>9764350</v>
      </c>
      <c r="AF56" s="205">
        <f t="shared" si="71"/>
        <v>9933750</v>
      </c>
      <c r="AG56" s="205">
        <f t="shared" si="71"/>
        <v>10562425</v>
      </c>
      <c r="AH56" s="694" t="s">
        <v>366</v>
      </c>
      <c r="AI56" s="695"/>
      <c r="AL56" s="693"/>
      <c r="AM56" s="244" t="s">
        <v>365</v>
      </c>
      <c r="AN56" s="205">
        <f>AF5</f>
        <v>10272350</v>
      </c>
      <c r="AO56" s="205">
        <f>AG5</f>
        <v>10441750</v>
      </c>
      <c r="AP56" s="205">
        <f t="shared" ref="AP56:AY56" si="72">AN5</f>
        <v>10611000</v>
      </c>
      <c r="AQ56" s="205">
        <f t="shared" si="72"/>
        <v>9800700</v>
      </c>
      <c r="AR56" s="205">
        <f t="shared" si="72"/>
        <v>11447525</v>
      </c>
      <c r="AS56" s="205">
        <f t="shared" si="72"/>
        <v>11118950</v>
      </c>
      <c r="AT56" s="205">
        <f t="shared" si="72"/>
        <v>11801425</v>
      </c>
      <c r="AU56" s="205">
        <f t="shared" si="72"/>
        <v>11457550</v>
      </c>
      <c r="AV56" s="205">
        <f t="shared" si="72"/>
        <v>12155525</v>
      </c>
      <c r="AW56" s="205">
        <f t="shared" si="72"/>
        <v>11796150</v>
      </c>
      <c r="AX56" s="205">
        <f t="shared" si="72"/>
        <v>11965450</v>
      </c>
      <c r="AY56" s="205">
        <f t="shared" si="72"/>
        <v>12686525</v>
      </c>
      <c r="AZ56" s="694" t="s">
        <v>366</v>
      </c>
      <c r="BA56" s="695"/>
    </row>
    <row r="57" spans="1:53" ht="9.75" customHeight="1">
      <c r="B57" s="715"/>
      <c r="C57" s="244" t="s">
        <v>367</v>
      </c>
      <c r="D57" s="205">
        <f>C12*0.2</f>
        <v>0</v>
      </c>
      <c r="E57" s="205">
        <f>D12</f>
        <v>330000</v>
      </c>
      <c r="F57" s="205">
        <f t="shared" ref="F57:O57" si="73">E12</f>
        <v>360000</v>
      </c>
      <c r="G57" s="205">
        <f t="shared" si="73"/>
        <v>450000</v>
      </c>
      <c r="H57" s="205">
        <f t="shared" si="73"/>
        <v>660000</v>
      </c>
      <c r="I57" s="205">
        <f t="shared" si="73"/>
        <v>720000</v>
      </c>
      <c r="J57" s="205">
        <f t="shared" si="73"/>
        <v>510000</v>
      </c>
      <c r="K57" s="205">
        <f t="shared" si="73"/>
        <v>660000</v>
      </c>
      <c r="L57" s="205">
        <f t="shared" si="73"/>
        <v>780000</v>
      </c>
      <c r="M57" s="205">
        <f t="shared" si="73"/>
        <v>930000</v>
      </c>
      <c r="N57" s="205">
        <f t="shared" si="73"/>
        <v>1110000</v>
      </c>
      <c r="O57" s="205">
        <f t="shared" si="73"/>
        <v>1260000</v>
      </c>
      <c r="P57" s="694" t="s">
        <v>396</v>
      </c>
      <c r="Q57" s="753"/>
      <c r="T57" s="745"/>
      <c r="U57" s="244" t="s">
        <v>367</v>
      </c>
      <c r="V57" s="205">
        <f>O12</f>
        <v>1440000</v>
      </c>
      <c r="W57" s="205">
        <f>V12</f>
        <v>1620000</v>
      </c>
      <c r="X57" s="205">
        <f t="shared" ref="X57:AG57" si="74">W12</f>
        <v>1710002</v>
      </c>
      <c r="Y57" s="205">
        <f t="shared" si="74"/>
        <v>1770002</v>
      </c>
      <c r="Z57" s="205">
        <f t="shared" si="74"/>
        <v>1800002</v>
      </c>
      <c r="AA57" s="205">
        <f t="shared" si="74"/>
        <v>1830002</v>
      </c>
      <c r="AB57" s="205">
        <f t="shared" si="74"/>
        <v>1860002</v>
      </c>
      <c r="AC57" s="205">
        <f t="shared" si="74"/>
        <v>1890002</v>
      </c>
      <c r="AD57" s="205">
        <f t="shared" si="74"/>
        <v>1920002</v>
      </c>
      <c r="AE57" s="205">
        <f t="shared" si="74"/>
        <v>1950002</v>
      </c>
      <c r="AF57" s="205">
        <f t="shared" si="74"/>
        <v>1980003</v>
      </c>
      <c r="AG57" s="205">
        <f t="shared" si="74"/>
        <v>2010003</v>
      </c>
      <c r="AH57" s="694" t="s">
        <v>396</v>
      </c>
      <c r="AI57" s="695"/>
      <c r="AL57" s="745"/>
      <c r="AM57" s="244" t="s">
        <v>367</v>
      </c>
      <c r="AN57" s="205">
        <f>AG12</f>
        <v>2040003</v>
      </c>
      <c r="AO57" s="205">
        <f>AN12</f>
        <v>2070002</v>
      </c>
      <c r="AP57" s="205">
        <f t="shared" ref="AP57:AY57" si="75">AO12</f>
        <v>2100002</v>
      </c>
      <c r="AQ57" s="205">
        <f t="shared" si="75"/>
        <v>2130002</v>
      </c>
      <c r="AR57" s="205">
        <f t="shared" si="75"/>
        <v>2160002</v>
      </c>
      <c r="AS57" s="205">
        <f t="shared" si="75"/>
        <v>2190002</v>
      </c>
      <c r="AT57" s="205">
        <f t="shared" si="75"/>
        <v>2220002</v>
      </c>
      <c r="AU57" s="205">
        <f t="shared" si="75"/>
        <v>2250002</v>
      </c>
      <c r="AV57" s="205">
        <f t="shared" si="75"/>
        <v>2280002</v>
      </c>
      <c r="AW57" s="205">
        <f t="shared" si="75"/>
        <v>2310002</v>
      </c>
      <c r="AX57" s="205">
        <f t="shared" si="75"/>
        <v>2340003</v>
      </c>
      <c r="AY57" s="205">
        <f t="shared" si="75"/>
        <v>2370003</v>
      </c>
      <c r="AZ57" s="694" t="s">
        <v>396</v>
      </c>
      <c r="BA57" s="695"/>
    </row>
    <row r="58" spans="1:53" ht="9.75" customHeight="1">
      <c r="B58" s="715"/>
      <c r="C58" s="245" t="s">
        <v>50</v>
      </c>
      <c r="D58" s="205"/>
      <c r="E58" s="205">
        <f>D18+D19+D20+D21+D22</f>
        <v>0</v>
      </c>
      <c r="F58" s="205">
        <f t="shared" ref="F58:O58" si="76">E18+E19+E20+E21+E22</f>
        <v>0</v>
      </c>
      <c r="G58" s="205">
        <f t="shared" si="76"/>
        <v>0</v>
      </c>
      <c r="H58" s="205">
        <f t="shared" si="76"/>
        <v>0</v>
      </c>
      <c r="I58" s="205">
        <f t="shared" si="76"/>
        <v>0</v>
      </c>
      <c r="J58" s="205">
        <f t="shared" si="76"/>
        <v>0</v>
      </c>
      <c r="K58" s="205">
        <f t="shared" si="76"/>
        <v>0</v>
      </c>
      <c r="L58" s="205">
        <f t="shared" si="76"/>
        <v>0</v>
      </c>
      <c r="M58" s="205">
        <f t="shared" si="76"/>
        <v>0</v>
      </c>
      <c r="N58" s="205">
        <f t="shared" si="76"/>
        <v>0</v>
      </c>
      <c r="O58" s="205">
        <f t="shared" si="76"/>
        <v>0</v>
      </c>
      <c r="P58" s="694" t="s">
        <v>31</v>
      </c>
      <c r="Q58" s="753"/>
      <c r="T58" s="745"/>
      <c r="U58" s="245" t="s">
        <v>50</v>
      </c>
      <c r="V58" s="205">
        <f>O18+O19+O20+O21+O22</f>
        <v>0</v>
      </c>
      <c r="W58" s="205">
        <f>V18+V19+V20+V21+V22</f>
        <v>0</v>
      </c>
      <c r="X58" s="205">
        <f t="shared" ref="X58:AG58" si="77">W18+W19+W20+W21+W22</f>
        <v>0</v>
      </c>
      <c r="Y58" s="205">
        <f>X18+X19+X20+X21+X22</f>
        <v>0</v>
      </c>
      <c r="Z58" s="205">
        <f t="shared" si="77"/>
        <v>0</v>
      </c>
      <c r="AA58" s="205">
        <f t="shared" si="77"/>
        <v>0</v>
      </c>
      <c r="AB58" s="205">
        <f t="shared" si="77"/>
        <v>0</v>
      </c>
      <c r="AC58" s="205">
        <f t="shared" si="77"/>
        <v>0</v>
      </c>
      <c r="AD58" s="205">
        <f t="shared" si="77"/>
        <v>0</v>
      </c>
      <c r="AE58" s="205">
        <f t="shared" si="77"/>
        <v>0</v>
      </c>
      <c r="AF58" s="205">
        <f t="shared" si="77"/>
        <v>0</v>
      </c>
      <c r="AG58" s="205">
        <f t="shared" si="77"/>
        <v>0</v>
      </c>
      <c r="AH58" s="694" t="s">
        <v>31</v>
      </c>
      <c r="AI58" s="695"/>
      <c r="AL58" s="745"/>
      <c r="AM58" s="245" t="s">
        <v>50</v>
      </c>
      <c r="AN58" s="205">
        <f>AG18+AG19+AG20+AG21+AG22</f>
        <v>0</v>
      </c>
      <c r="AO58" s="205">
        <f>AN18+AN19+AN20+AN21+AN22</f>
        <v>0</v>
      </c>
      <c r="AP58" s="205">
        <f>AO18+AO19+AO20+AO21+AO22</f>
        <v>0</v>
      </c>
      <c r="AQ58" s="205">
        <f>AP18+AP19+AP20+AP21+AP22</f>
        <v>0</v>
      </c>
      <c r="AR58" s="205">
        <f t="shared" ref="AR58:AY58" si="78">AQ18+AQ19+AQ20+AQ21+AQ22</f>
        <v>0</v>
      </c>
      <c r="AS58" s="205">
        <f t="shared" si="78"/>
        <v>0</v>
      </c>
      <c r="AT58" s="205">
        <f t="shared" si="78"/>
        <v>0</v>
      </c>
      <c r="AU58" s="205">
        <f t="shared" si="78"/>
        <v>0</v>
      </c>
      <c r="AV58" s="205">
        <f t="shared" si="78"/>
        <v>0</v>
      </c>
      <c r="AW58" s="205">
        <f t="shared" si="78"/>
        <v>0</v>
      </c>
      <c r="AX58" s="205">
        <f t="shared" si="78"/>
        <v>0</v>
      </c>
      <c r="AY58" s="205">
        <f t="shared" si="78"/>
        <v>0</v>
      </c>
      <c r="AZ58" s="694" t="s">
        <v>31</v>
      </c>
      <c r="BA58" s="695"/>
    </row>
    <row r="59" spans="1:53" ht="9.75" customHeight="1">
      <c r="B59" s="715"/>
      <c r="C59" s="244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694" t="s">
        <v>31</v>
      </c>
      <c r="Q59" s="753"/>
      <c r="T59" s="745"/>
      <c r="U59" s="244" t="s">
        <v>33</v>
      </c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694" t="s">
        <v>31</v>
      </c>
      <c r="AI59" s="695"/>
      <c r="AL59" s="745"/>
      <c r="AM59" s="244" t="s">
        <v>33</v>
      </c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694" t="s">
        <v>31</v>
      </c>
      <c r="BA59" s="695"/>
    </row>
    <row r="60" spans="1:53" ht="11.25" customHeight="1">
      <c r="B60" s="735" t="s">
        <v>35</v>
      </c>
      <c r="C60" s="697"/>
      <c r="D60" s="227">
        <f>SUM(D61:D67)</f>
        <v>2570000</v>
      </c>
      <c r="E60" s="227">
        <f t="shared" ref="E60:N60" si="79">SUM(E61:E67)</f>
        <v>3852077</v>
      </c>
      <c r="F60" s="227">
        <f t="shared" si="79"/>
        <v>3782026</v>
      </c>
      <c r="G60" s="227">
        <f t="shared" si="79"/>
        <v>4128918</v>
      </c>
      <c r="H60" s="227">
        <f t="shared" si="79"/>
        <v>4857628</v>
      </c>
      <c r="I60" s="227">
        <f t="shared" si="79"/>
        <v>5220679</v>
      </c>
      <c r="J60" s="227">
        <f t="shared" si="79"/>
        <v>4062179</v>
      </c>
      <c r="K60" s="227">
        <f t="shared" si="79"/>
        <v>4239135.5600000005</v>
      </c>
      <c r="L60" s="227">
        <f t="shared" si="79"/>
        <v>6243014.7599999998</v>
      </c>
      <c r="M60" s="227">
        <f t="shared" si="79"/>
        <v>6456785.6799999997</v>
      </c>
      <c r="N60" s="227">
        <f t="shared" si="79"/>
        <v>6672585.4000000004</v>
      </c>
      <c r="O60" s="227">
        <f>SUM(O61:O67)</f>
        <v>7778878.5199999996</v>
      </c>
      <c r="P60" s="698"/>
      <c r="Q60" s="765"/>
      <c r="T60" s="696" t="s">
        <v>35</v>
      </c>
      <c r="U60" s="697"/>
      <c r="V60" s="227">
        <f>SUM(V61:V67)</f>
        <v>8012731.4399999995</v>
      </c>
      <c r="W60" s="227">
        <f t="shared" ref="W60:AG60" si="80">SUM(W61:W67)</f>
        <v>10675760</v>
      </c>
      <c r="X60" s="227">
        <f t="shared" si="80"/>
        <v>10756212.5</v>
      </c>
      <c r="Y60" s="227">
        <f t="shared" si="80"/>
        <v>10861199.75</v>
      </c>
      <c r="Z60" s="227">
        <f t="shared" si="80"/>
        <v>10884114.5</v>
      </c>
      <c r="AA60" s="227">
        <f t="shared" si="80"/>
        <v>10931822.75</v>
      </c>
      <c r="AB60" s="227">
        <f t="shared" si="80"/>
        <v>10954272.5</v>
      </c>
      <c r="AC60" s="227">
        <f t="shared" si="80"/>
        <v>11002442.75</v>
      </c>
      <c r="AD60" s="227">
        <f t="shared" si="80"/>
        <v>11024430.5</v>
      </c>
      <c r="AE60" s="227">
        <f t="shared" si="80"/>
        <v>11059512.5</v>
      </c>
      <c r="AF60" s="227">
        <f t="shared" si="80"/>
        <v>11108372.75</v>
      </c>
      <c r="AG60" s="227">
        <f t="shared" si="80"/>
        <v>11129670.5</v>
      </c>
      <c r="AH60" s="698"/>
      <c r="AI60" s="699"/>
      <c r="AL60" s="696" t="s">
        <v>35</v>
      </c>
      <c r="AM60" s="697"/>
      <c r="AN60" s="227">
        <f>SUM(AN61:AN67)</f>
        <v>11019752.5</v>
      </c>
      <c r="AO60" s="227">
        <f t="shared" ref="AO60:AY60" si="81">SUM(AO61:AO67)</f>
        <v>12492330</v>
      </c>
      <c r="AP60" s="227">
        <f t="shared" si="81"/>
        <v>12498021</v>
      </c>
      <c r="AQ60" s="227">
        <f t="shared" si="81"/>
        <v>12577425.75</v>
      </c>
      <c r="AR60" s="227">
        <f t="shared" si="81"/>
        <v>12597568.5</v>
      </c>
      <c r="AS60" s="227">
        <f t="shared" si="81"/>
        <v>12648042.75</v>
      </c>
      <c r="AT60" s="227">
        <f t="shared" si="81"/>
        <v>12667726.5</v>
      </c>
      <c r="AU60" s="227">
        <f t="shared" si="81"/>
        <v>12718665.75</v>
      </c>
      <c r="AV60" s="227">
        <f t="shared" si="81"/>
        <v>12737884.5</v>
      </c>
      <c r="AW60" s="227">
        <f t="shared" si="81"/>
        <v>12772963.5</v>
      </c>
      <c r="AX60" s="227">
        <f t="shared" si="81"/>
        <v>12824595.75</v>
      </c>
      <c r="AY60" s="227">
        <f t="shared" si="81"/>
        <v>12843121.5</v>
      </c>
      <c r="AZ60" s="698"/>
      <c r="BA60" s="699"/>
    </row>
    <row r="61" spans="1:53" ht="9.75" customHeight="1">
      <c r="B61" s="731"/>
      <c r="C61" s="245" t="s">
        <v>398</v>
      </c>
      <c r="D61" s="205">
        <v>2200000</v>
      </c>
      <c r="E61" s="205">
        <f>D37+D38+D39+D25+D26+D31</f>
        <v>3146000</v>
      </c>
      <c r="F61" s="205">
        <f t="shared" ref="F61:O61" si="82">E37+E38+E39+E25+E26+E31</f>
        <v>3076000</v>
      </c>
      <c r="G61" s="205">
        <f t="shared" si="82"/>
        <v>3166000</v>
      </c>
      <c r="H61" s="205">
        <f t="shared" si="82"/>
        <v>3813000</v>
      </c>
      <c r="I61" s="205">
        <f t="shared" si="82"/>
        <v>4138000</v>
      </c>
      <c r="J61" s="205">
        <f t="shared" si="82"/>
        <v>2978000</v>
      </c>
      <c r="K61" s="205">
        <f t="shared" si="82"/>
        <v>3128000</v>
      </c>
      <c r="L61" s="205">
        <f t="shared" si="82"/>
        <v>5118000</v>
      </c>
      <c r="M61" s="205">
        <f t="shared" si="82"/>
        <v>5308000</v>
      </c>
      <c r="N61" s="205">
        <f t="shared" si="82"/>
        <v>5488000</v>
      </c>
      <c r="O61" s="205">
        <f t="shared" si="82"/>
        <v>6578000</v>
      </c>
      <c r="P61" s="694" t="s">
        <v>31</v>
      </c>
      <c r="Q61" s="753"/>
      <c r="T61" s="700"/>
      <c r="U61" s="245" t="s">
        <v>398</v>
      </c>
      <c r="V61" s="246">
        <f>O25+O26+O37+O39+O31</f>
        <v>6398000</v>
      </c>
      <c r="W61" s="205">
        <f>V37+V38+V39+V25+V26+V31</f>
        <v>8919000</v>
      </c>
      <c r="X61" s="205">
        <f t="shared" ref="X61:AG61" si="83">W37+W38+W39+W25+W26+W31</f>
        <v>9009000</v>
      </c>
      <c r="Y61" s="205">
        <f t="shared" si="83"/>
        <v>9069000</v>
      </c>
      <c r="Z61" s="205">
        <f t="shared" si="83"/>
        <v>9099000</v>
      </c>
      <c r="AA61" s="205">
        <f t="shared" si="83"/>
        <v>9129000</v>
      </c>
      <c r="AB61" s="205">
        <f t="shared" si="83"/>
        <v>9159000</v>
      </c>
      <c r="AC61" s="205">
        <f t="shared" si="83"/>
        <v>9189000</v>
      </c>
      <c r="AD61" s="205">
        <f t="shared" si="83"/>
        <v>9219000</v>
      </c>
      <c r="AE61" s="205">
        <f t="shared" si="83"/>
        <v>9249000</v>
      </c>
      <c r="AF61" s="205">
        <f t="shared" si="83"/>
        <v>9279000</v>
      </c>
      <c r="AG61" s="205">
        <f t="shared" si="83"/>
        <v>9309000</v>
      </c>
      <c r="AH61" s="694" t="s">
        <v>31</v>
      </c>
      <c r="AI61" s="695"/>
      <c r="AL61" s="700"/>
      <c r="AM61" s="245" t="s">
        <v>398</v>
      </c>
      <c r="AN61" s="246">
        <f>AG25+AG26+AG37+AG39+AG31</f>
        <v>8784000</v>
      </c>
      <c r="AO61" s="205">
        <f>AN37+AN38+AN39+AN25+AN26+AN31</f>
        <v>10808000</v>
      </c>
      <c r="AP61" s="205">
        <f t="shared" ref="AP61:AY61" si="84">AO37+AO38+AO39+AO25+AO26+AO31</f>
        <v>10838000</v>
      </c>
      <c r="AQ61" s="205">
        <f t="shared" si="84"/>
        <v>10868000</v>
      </c>
      <c r="AR61" s="205">
        <f t="shared" si="84"/>
        <v>10898000</v>
      </c>
      <c r="AS61" s="205">
        <f t="shared" si="84"/>
        <v>10928000</v>
      </c>
      <c r="AT61" s="205">
        <f t="shared" si="84"/>
        <v>10958000</v>
      </c>
      <c r="AU61" s="205">
        <f t="shared" si="84"/>
        <v>10988000</v>
      </c>
      <c r="AV61" s="205">
        <f t="shared" si="84"/>
        <v>11018000</v>
      </c>
      <c r="AW61" s="205">
        <f t="shared" si="84"/>
        <v>11048000</v>
      </c>
      <c r="AX61" s="205">
        <f t="shared" si="84"/>
        <v>11078000</v>
      </c>
      <c r="AY61" s="205">
        <f t="shared" si="84"/>
        <v>11108000</v>
      </c>
      <c r="AZ61" s="694" t="s">
        <v>31</v>
      </c>
      <c r="BA61" s="695"/>
    </row>
    <row r="62" spans="1:53" ht="9.75" customHeight="1">
      <c r="B62" s="738"/>
      <c r="C62" s="245" t="s">
        <v>399</v>
      </c>
      <c r="D62" s="205">
        <f>D40+D32+D33+D29</f>
        <v>370000</v>
      </c>
      <c r="E62" s="205">
        <f t="shared" ref="E62:O62" si="85">E40+E32+E33+E29</f>
        <v>370000</v>
      </c>
      <c r="F62" s="205">
        <f t="shared" si="85"/>
        <v>370000</v>
      </c>
      <c r="G62" s="205">
        <f t="shared" si="85"/>
        <v>470000</v>
      </c>
      <c r="H62" s="205">
        <f t="shared" si="85"/>
        <v>470000</v>
      </c>
      <c r="I62" s="205">
        <f t="shared" si="85"/>
        <v>470000</v>
      </c>
      <c r="J62" s="205">
        <f t="shared" si="85"/>
        <v>470000</v>
      </c>
      <c r="K62" s="205">
        <f t="shared" si="85"/>
        <v>470000</v>
      </c>
      <c r="L62" s="205">
        <f t="shared" si="85"/>
        <v>470000</v>
      </c>
      <c r="M62" s="205">
        <f t="shared" si="85"/>
        <v>470000</v>
      </c>
      <c r="N62" s="205">
        <f t="shared" si="85"/>
        <v>470000</v>
      </c>
      <c r="O62" s="205">
        <f t="shared" si="85"/>
        <v>470000</v>
      </c>
      <c r="P62" s="694" t="s">
        <v>400</v>
      </c>
      <c r="Q62" s="753"/>
      <c r="T62" s="701"/>
      <c r="U62" s="245" t="s">
        <v>399</v>
      </c>
      <c r="V62" s="205">
        <f>V40+V32+V33+V29</f>
        <v>890000</v>
      </c>
      <c r="W62" s="205">
        <f t="shared" ref="W62:AG62" si="86">W40+W32+W33+W29</f>
        <v>990000</v>
      </c>
      <c r="X62" s="205">
        <f t="shared" si="86"/>
        <v>990000</v>
      </c>
      <c r="Y62" s="205">
        <f t="shared" si="86"/>
        <v>990000</v>
      </c>
      <c r="Z62" s="205">
        <f t="shared" si="86"/>
        <v>990000</v>
      </c>
      <c r="AA62" s="205">
        <f t="shared" si="86"/>
        <v>990000</v>
      </c>
      <c r="AB62" s="205">
        <f t="shared" si="86"/>
        <v>990000</v>
      </c>
      <c r="AC62" s="205">
        <f t="shared" si="86"/>
        <v>990000</v>
      </c>
      <c r="AD62" s="205">
        <f t="shared" si="86"/>
        <v>990000</v>
      </c>
      <c r="AE62" s="205">
        <f t="shared" si="86"/>
        <v>990000</v>
      </c>
      <c r="AF62" s="205">
        <f t="shared" si="86"/>
        <v>990000</v>
      </c>
      <c r="AG62" s="205">
        <f t="shared" si="86"/>
        <v>990000</v>
      </c>
      <c r="AH62" s="694" t="s">
        <v>400</v>
      </c>
      <c r="AI62" s="695"/>
      <c r="AL62" s="701"/>
      <c r="AM62" s="245" t="s">
        <v>399</v>
      </c>
      <c r="AN62" s="205">
        <f>AN40+AN32+AN33+AN29</f>
        <v>1100000</v>
      </c>
      <c r="AO62" s="205">
        <f t="shared" ref="AO62:AY62" si="87">AO40+AO32+AO33+AO29</f>
        <v>1100000</v>
      </c>
      <c r="AP62" s="205">
        <f t="shared" si="87"/>
        <v>1100000</v>
      </c>
      <c r="AQ62" s="205">
        <f t="shared" si="87"/>
        <v>1100000</v>
      </c>
      <c r="AR62" s="205">
        <f t="shared" si="87"/>
        <v>1100000</v>
      </c>
      <c r="AS62" s="205">
        <f t="shared" si="87"/>
        <v>1100000</v>
      </c>
      <c r="AT62" s="205">
        <f t="shared" si="87"/>
        <v>1100000</v>
      </c>
      <c r="AU62" s="205">
        <f t="shared" si="87"/>
        <v>1100000</v>
      </c>
      <c r="AV62" s="205">
        <f t="shared" si="87"/>
        <v>1100000</v>
      </c>
      <c r="AW62" s="205">
        <f t="shared" si="87"/>
        <v>1100000</v>
      </c>
      <c r="AX62" s="205">
        <f t="shared" si="87"/>
        <v>1100000</v>
      </c>
      <c r="AY62" s="205">
        <f t="shared" si="87"/>
        <v>1100000</v>
      </c>
      <c r="AZ62" s="694" t="s">
        <v>400</v>
      </c>
      <c r="BA62" s="695"/>
    </row>
    <row r="63" spans="1:53" ht="9.75" customHeight="1">
      <c r="B63" s="738"/>
      <c r="C63" s="245" t="s">
        <v>401</v>
      </c>
      <c r="D63" s="205"/>
      <c r="E63" s="205">
        <f>D27+D28+D42+D43+D41</f>
        <v>336077</v>
      </c>
      <c r="F63" s="205">
        <f t="shared" ref="F63:O63" si="88">E27+E28+E42+E43+E41</f>
        <v>336026</v>
      </c>
      <c r="G63" s="205">
        <f t="shared" si="88"/>
        <v>492918</v>
      </c>
      <c r="H63" s="205">
        <f t="shared" si="88"/>
        <v>574628</v>
      </c>
      <c r="I63" s="205">
        <f t="shared" si="88"/>
        <v>577679</v>
      </c>
      <c r="J63" s="205">
        <f t="shared" si="88"/>
        <v>579179</v>
      </c>
      <c r="K63" s="205">
        <f t="shared" si="88"/>
        <v>606135.56000000006</v>
      </c>
      <c r="L63" s="205">
        <f t="shared" si="88"/>
        <v>620014.76</v>
      </c>
      <c r="M63" s="205">
        <f t="shared" si="88"/>
        <v>643785.67999999993</v>
      </c>
      <c r="N63" s="205">
        <f t="shared" si="88"/>
        <v>679585.4</v>
      </c>
      <c r="O63" s="205">
        <f t="shared" si="88"/>
        <v>695878.52</v>
      </c>
      <c r="P63" s="694" t="s">
        <v>40</v>
      </c>
      <c r="Q63" s="753"/>
      <c r="T63" s="701"/>
      <c r="U63" s="245" t="s">
        <v>401</v>
      </c>
      <c r="V63" s="246">
        <f>O43+O42+O41+O28+O27</f>
        <v>724731.44</v>
      </c>
      <c r="W63" s="205">
        <f>V27+V28+V42+V43</f>
        <v>766760</v>
      </c>
      <c r="X63" s="205">
        <f t="shared" ref="X63:AG63" si="89">W27+W28+W42+W43</f>
        <v>757212.5</v>
      </c>
      <c r="Y63" s="205">
        <f t="shared" si="89"/>
        <v>802199.75</v>
      </c>
      <c r="Z63" s="205">
        <f t="shared" si="89"/>
        <v>795114.5</v>
      </c>
      <c r="AA63" s="205">
        <f t="shared" si="89"/>
        <v>812822.75</v>
      </c>
      <c r="AB63" s="205">
        <f t="shared" si="89"/>
        <v>805272.5</v>
      </c>
      <c r="AC63" s="205">
        <f t="shared" si="89"/>
        <v>823442.75</v>
      </c>
      <c r="AD63" s="205">
        <f t="shared" si="89"/>
        <v>815430.5</v>
      </c>
      <c r="AE63" s="205">
        <f t="shared" si="89"/>
        <v>820512.5</v>
      </c>
      <c r="AF63" s="205">
        <f t="shared" si="89"/>
        <v>839372.75</v>
      </c>
      <c r="AG63" s="205">
        <f t="shared" si="89"/>
        <v>830670.5</v>
      </c>
      <c r="AH63" s="694" t="s">
        <v>40</v>
      </c>
      <c r="AI63" s="695"/>
      <c r="AL63" s="701"/>
      <c r="AM63" s="245" t="s">
        <v>401</v>
      </c>
      <c r="AN63" s="246">
        <f>AG43+AG42+AG41+AG28+AG27</f>
        <v>1135752.5</v>
      </c>
      <c r="AO63" s="205">
        <f>AN27+AN28+AN42+AN43</f>
        <v>584330</v>
      </c>
      <c r="AP63" s="205">
        <f t="shared" ref="AP63:AY63" si="90">AO27+AO28+AO42+AO43</f>
        <v>560021</v>
      </c>
      <c r="AQ63" s="205">
        <f t="shared" si="90"/>
        <v>609425.75</v>
      </c>
      <c r="AR63" s="205">
        <f t="shared" si="90"/>
        <v>599568.5</v>
      </c>
      <c r="AS63" s="205">
        <f t="shared" si="90"/>
        <v>620042.75</v>
      </c>
      <c r="AT63" s="205">
        <f t="shared" si="90"/>
        <v>609726.5</v>
      </c>
      <c r="AU63" s="205">
        <f t="shared" si="90"/>
        <v>630665.75</v>
      </c>
      <c r="AV63" s="205">
        <f t="shared" si="90"/>
        <v>619884.5</v>
      </c>
      <c r="AW63" s="205">
        <f t="shared" si="90"/>
        <v>624963.5</v>
      </c>
      <c r="AX63" s="205">
        <f t="shared" si="90"/>
        <v>646595.75</v>
      </c>
      <c r="AY63" s="205">
        <f t="shared" si="90"/>
        <v>635121.5</v>
      </c>
      <c r="AZ63" s="694" t="s">
        <v>40</v>
      </c>
      <c r="BA63" s="695"/>
    </row>
    <row r="64" spans="1:53" ht="9.75" hidden="1" customHeight="1">
      <c r="B64" s="738"/>
      <c r="C64" s="244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694" t="s">
        <v>41</v>
      </c>
      <c r="Q64" s="753"/>
      <c r="T64" s="701"/>
      <c r="U64" s="244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694" t="s">
        <v>41</v>
      </c>
      <c r="AI64" s="695"/>
      <c r="AL64" s="701"/>
      <c r="AM64" s="244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694" t="s">
        <v>41</v>
      </c>
      <c r="BA64" s="695"/>
    </row>
    <row r="65" spans="2:53" ht="9.75" hidden="1" customHeight="1">
      <c r="B65" s="738"/>
      <c r="C65" s="244"/>
      <c r="D65" s="205">
        <f t="shared" ref="D65:O65" si="91">D48</f>
        <v>0</v>
      </c>
      <c r="E65" s="205">
        <f t="shared" si="91"/>
        <v>0</v>
      </c>
      <c r="F65" s="205">
        <f t="shared" si="91"/>
        <v>0</v>
      </c>
      <c r="G65" s="205">
        <f t="shared" si="91"/>
        <v>0</v>
      </c>
      <c r="H65" s="205">
        <f t="shared" si="91"/>
        <v>0</v>
      </c>
      <c r="I65" s="205">
        <f t="shared" si="91"/>
        <v>35000</v>
      </c>
      <c r="J65" s="205">
        <f t="shared" si="91"/>
        <v>35000</v>
      </c>
      <c r="K65" s="205">
        <f t="shared" si="91"/>
        <v>35000</v>
      </c>
      <c r="L65" s="205">
        <f t="shared" si="91"/>
        <v>35000</v>
      </c>
      <c r="M65" s="205">
        <f t="shared" si="91"/>
        <v>35000</v>
      </c>
      <c r="N65" s="205">
        <f t="shared" si="91"/>
        <v>35000</v>
      </c>
      <c r="O65" s="205">
        <f t="shared" si="91"/>
        <v>35000</v>
      </c>
      <c r="P65" s="694"/>
      <c r="Q65" s="753"/>
      <c r="T65" s="701"/>
      <c r="U65" s="244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694"/>
      <c r="AI65" s="695"/>
      <c r="AL65" s="701"/>
      <c r="AM65" s="244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694"/>
      <c r="BA65" s="695"/>
    </row>
    <row r="66" spans="2:53" ht="9.75" hidden="1" customHeight="1">
      <c r="B66" s="738"/>
      <c r="C66" s="244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694"/>
      <c r="Q66" s="753"/>
      <c r="T66" s="701"/>
      <c r="U66" s="244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694"/>
      <c r="AI66" s="695"/>
      <c r="AL66" s="701"/>
      <c r="AM66" s="244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694"/>
      <c r="BA66" s="695"/>
    </row>
    <row r="67" spans="2:53" ht="9.75" customHeight="1">
      <c r="B67" s="738"/>
      <c r="C67" s="244"/>
      <c r="D67" s="205">
        <f t="shared" ref="D67:N67" si="92">D44</f>
        <v>0</v>
      </c>
      <c r="E67" s="205">
        <f t="shared" si="92"/>
        <v>0</v>
      </c>
      <c r="F67" s="205">
        <f t="shared" si="92"/>
        <v>0</v>
      </c>
      <c r="G67" s="205">
        <f t="shared" si="92"/>
        <v>0</v>
      </c>
      <c r="H67" s="205">
        <f t="shared" si="92"/>
        <v>0</v>
      </c>
      <c r="I67" s="205">
        <f t="shared" si="92"/>
        <v>0</v>
      </c>
      <c r="J67" s="205">
        <f t="shared" si="92"/>
        <v>0</v>
      </c>
      <c r="K67" s="205">
        <f t="shared" si="92"/>
        <v>0</v>
      </c>
      <c r="L67" s="205">
        <f t="shared" si="92"/>
        <v>0</v>
      </c>
      <c r="M67" s="205">
        <f t="shared" si="92"/>
        <v>0</v>
      </c>
      <c r="N67" s="205">
        <f t="shared" si="92"/>
        <v>0</v>
      </c>
      <c r="O67" s="205">
        <f>O44</f>
        <v>0</v>
      </c>
      <c r="P67" s="694"/>
      <c r="Q67" s="753"/>
      <c r="T67" s="701"/>
      <c r="U67" s="244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694"/>
      <c r="AI67" s="695"/>
      <c r="AL67" s="701"/>
      <c r="AM67" s="244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694"/>
      <c r="BA67" s="695"/>
    </row>
    <row r="68" spans="2:53" ht="11.25" customHeight="1">
      <c r="B68" s="737" t="s">
        <v>44</v>
      </c>
      <c r="C68" s="737"/>
      <c r="D68" s="225">
        <f t="shared" ref="D68:O68" si="93">D55-D60</f>
        <v>-1341280</v>
      </c>
      <c r="E68" s="225">
        <f t="shared" si="93"/>
        <v>-2294717</v>
      </c>
      <c r="F68" s="225">
        <f t="shared" si="93"/>
        <v>-1886126</v>
      </c>
      <c r="G68" s="225">
        <f t="shared" si="93"/>
        <v>-2144718</v>
      </c>
      <c r="H68" s="225">
        <f t="shared" si="93"/>
        <v>-2017028</v>
      </c>
      <c r="I68" s="225">
        <f t="shared" si="93"/>
        <v>-2263079</v>
      </c>
      <c r="J68" s="225">
        <f t="shared" si="93"/>
        <v>-1212879</v>
      </c>
      <c r="K68" s="225">
        <f t="shared" si="93"/>
        <v>-1189835.5600000005</v>
      </c>
      <c r="L68" s="225">
        <f t="shared" si="93"/>
        <v>-2175162.7599999998</v>
      </c>
      <c r="M68" s="225">
        <f t="shared" si="93"/>
        <v>-1776293.6799999997</v>
      </c>
      <c r="N68" s="225">
        <f t="shared" si="93"/>
        <v>-1019729.4000000004</v>
      </c>
      <c r="O68" s="225">
        <f t="shared" si="93"/>
        <v>-782698.51999999955</v>
      </c>
      <c r="P68" s="759"/>
      <c r="Q68" s="761"/>
      <c r="T68" s="764" t="s">
        <v>44</v>
      </c>
      <c r="U68" s="737"/>
      <c r="V68" s="225">
        <f t="shared" ref="V68:AG68" si="94">V55-V60</f>
        <v>-293447.43999999948</v>
      </c>
      <c r="W68" s="225">
        <f t="shared" si="94"/>
        <v>-1814712</v>
      </c>
      <c r="X68" s="225">
        <f t="shared" si="94"/>
        <v>-904210.5</v>
      </c>
      <c r="Y68" s="225">
        <f t="shared" si="94"/>
        <v>-1267447.75</v>
      </c>
      <c r="Z68" s="225">
        <f t="shared" si="94"/>
        <v>239212.5</v>
      </c>
      <c r="AA68" s="225">
        <f t="shared" si="94"/>
        <v>-14670.75</v>
      </c>
      <c r="AB68" s="225">
        <f t="shared" si="94"/>
        <v>583154.5</v>
      </c>
      <c r="AC68" s="225">
        <f t="shared" si="94"/>
        <v>313309.25</v>
      </c>
      <c r="AD68" s="225">
        <f t="shared" si="94"/>
        <v>926996.5</v>
      </c>
      <c r="AE68" s="225">
        <f t="shared" si="94"/>
        <v>654839.5</v>
      </c>
      <c r="AF68" s="225">
        <f t="shared" si="94"/>
        <v>805380.25</v>
      </c>
      <c r="AG68" s="225">
        <f t="shared" si="94"/>
        <v>1442757.5</v>
      </c>
      <c r="AH68" s="759"/>
      <c r="AI68" s="760"/>
      <c r="AL68" s="764" t="s">
        <v>44</v>
      </c>
      <c r="AM68" s="737"/>
      <c r="AN68" s="225">
        <f t="shared" ref="AN68:AY68" si="95">AN55-AN60</f>
        <v>1292600.5</v>
      </c>
      <c r="AO68" s="225">
        <f t="shared" si="95"/>
        <v>19422</v>
      </c>
      <c r="AP68" s="225">
        <f t="shared" si="95"/>
        <v>212981</v>
      </c>
      <c r="AQ68" s="225">
        <f t="shared" si="95"/>
        <v>-646723.75</v>
      </c>
      <c r="AR68" s="225">
        <f t="shared" si="95"/>
        <v>1009958.5</v>
      </c>
      <c r="AS68" s="225">
        <f t="shared" si="95"/>
        <v>660909.25</v>
      </c>
      <c r="AT68" s="225">
        <f t="shared" si="95"/>
        <v>1353700.5</v>
      </c>
      <c r="AU68" s="225">
        <f t="shared" si="95"/>
        <v>988886.25</v>
      </c>
      <c r="AV68" s="225">
        <f t="shared" si="95"/>
        <v>1697642.5</v>
      </c>
      <c r="AW68" s="225">
        <f t="shared" si="95"/>
        <v>1333188.5</v>
      </c>
      <c r="AX68" s="225">
        <f t="shared" si="95"/>
        <v>1480857.25</v>
      </c>
      <c r="AY68" s="225">
        <f t="shared" si="95"/>
        <v>2213406.5</v>
      </c>
      <c r="AZ68" s="759"/>
      <c r="BA68" s="760"/>
    </row>
    <row r="69" spans="2:53" ht="11.25" customHeight="1">
      <c r="B69" s="732" t="s">
        <v>52</v>
      </c>
      <c r="C69" s="726"/>
      <c r="D69" s="202">
        <f t="shared" ref="D69:O69" si="96">SUM(D70:D76)</f>
        <v>6000000</v>
      </c>
      <c r="E69" s="202">
        <f t="shared" si="96"/>
        <v>0</v>
      </c>
      <c r="F69" s="202">
        <f t="shared" si="96"/>
        <v>0</v>
      </c>
      <c r="G69" s="202">
        <f t="shared" si="96"/>
        <v>0</v>
      </c>
      <c r="H69" s="202">
        <f t="shared" si="96"/>
        <v>0</v>
      </c>
      <c r="I69" s="202">
        <f t="shared" si="96"/>
        <v>17000000</v>
      </c>
      <c r="J69" s="202">
        <f t="shared" si="96"/>
        <v>0</v>
      </c>
      <c r="K69" s="202">
        <f t="shared" si="96"/>
        <v>0</v>
      </c>
      <c r="L69" s="202">
        <f t="shared" si="96"/>
        <v>0</v>
      </c>
      <c r="M69" s="202">
        <f t="shared" si="96"/>
        <v>0</v>
      </c>
      <c r="N69" s="202">
        <f t="shared" si="96"/>
        <v>0</v>
      </c>
      <c r="O69" s="202">
        <f t="shared" si="96"/>
        <v>0</v>
      </c>
      <c r="P69" s="743"/>
      <c r="Q69" s="758"/>
      <c r="T69" s="742" t="s">
        <v>52</v>
      </c>
      <c r="U69" s="726"/>
      <c r="V69" s="202">
        <f t="shared" ref="V69:AG69" si="97">SUM(V70:V76)</f>
        <v>0</v>
      </c>
      <c r="W69" s="202">
        <f t="shared" si="97"/>
        <v>0</v>
      </c>
      <c r="X69" s="202">
        <f t="shared" si="97"/>
        <v>0</v>
      </c>
      <c r="Y69" s="202">
        <f t="shared" si="97"/>
        <v>0</v>
      </c>
      <c r="Z69" s="202">
        <f t="shared" si="97"/>
        <v>0</v>
      </c>
      <c r="AA69" s="202">
        <f t="shared" si="97"/>
        <v>0</v>
      </c>
      <c r="AB69" s="202">
        <f t="shared" si="97"/>
        <v>0</v>
      </c>
      <c r="AC69" s="202">
        <f t="shared" si="97"/>
        <v>0</v>
      </c>
      <c r="AD69" s="202">
        <f t="shared" si="97"/>
        <v>0</v>
      </c>
      <c r="AE69" s="202">
        <f t="shared" si="97"/>
        <v>0</v>
      </c>
      <c r="AF69" s="202">
        <f t="shared" si="97"/>
        <v>0</v>
      </c>
      <c r="AG69" s="202">
        <f t="shared" si="97"/>
        <v>0</v>
      </c>
      <c r="AH69" s="743"/>
      <c r="AI69" s="744"/>
      <c r="AL69" s="742" t="s">
        <v>52</v>
      </c>
      <c r="AM69" s="726"/>
      <c r="AN69" s="202">
        <f t="shared" ref="AN69:AY69" si="98">SUM(AN70:AN76)</f>
        <v>0</v>
      </c>
      <c r="AO69" s="202">
        <f t="shared" si="98"/>
        <v>0</v>
      </c>
      <c r="AP69" s="202">
        <f t="shared" si="98"/>
        <v>0</v>
      </c>
      <c r="AQ69" s="202">
        <f t="shared" si="98"/>
        <v>0</v>
      </c>
      <c r="AR69" s="202">
        <f t="shared" si="98"/>
        <v>0</v>
      </c>
      <c r="AS69" s="202">
        <f t="shared" si="98"/>
        <v>0</v>
      </c>
      <c r="AT69" s="202">
        <f t="shared" si="98"/>
        <v>0</v>
      </c>
      <c r="AU69" s="202">
        <f t="shared" si="98"/>
        <v>0</v>
      </c>
      <c r="AV69" s="202">
        <f t="shared" si="98"/>
        <v>0</v>
      </c>
      <c r="AW69" s="202">
        <f t="shared" si="98"/>
        <v>0</v>
      </c>
      <c r="AX69" s="202">
        <f t="shared" si="98"/>
        <v>0</v>
      </c>
      <c r="AY69" s="202">
        <f t="shared" si="98"/>
        <v>0</v>
      </c>
      <c r="AZ69" s="743"/>
      <c r="BA69" s="744"/>
    </row>
    <row r="70" spans="2:53" ht="9.75" customHeight="1">
      <c r="B70" s="728"/>
      <c r="C70" s="244" t="s">
        <v>45</v>
      </c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694"/>
      <c r="Q70" s="753"/>
      <c r="T70" s="692"/>
      <c r="U70" s="244" t="s">
        <v>45</v>
      </c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694"/>
      <c r="AI70" s="695"/>
      <c r="AL70" s="692"/>
      <c r="AM70" s="244" t="s">
        <v>45</v>
      </c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694"/>
      <c r="BA70" s="695"/>
    </row>
    <row r="71" spans="2:53" ht="9.75" customHeight="1">
      <c r="B71" s="728"/>
      <c r="C71" s="245" t="s">
        <v>46</v>
      </c>
      <c r="D71" s="205">
        <v>6000000</v>
      </c>
      <c r="E71" s="205"/>
      <c r="F71" s="205"/>
      <c r="G71" s="205"/>
      <c r="H71" s="205"/>
      <c r="I71" s="205">
        <v>2000000</v>
      </c>
      <c r="J71" s="205"/>
      <c r="K71" s="205"/>
      <c r="L71" s="205"/>
      <c r="M71" s="205"/>
      <c r="N71" s="205"/>
      <c r="O71" s="205"/>
      <c r="P71" s="694"/>
      <c r="Q71" s="753"/>
      <c r="T71" s="692"/>
      <c r="U71" s="245" t="s">
        <v>46</v>
      </c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694"/>
      <c r="AI71" s="695"/>
      <c r="AL71" s="692"/>
      <c r="AM71" s="245" t="s">
        <v>46</v>
      </c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694"/>
      <c r="BA71" s="695"/>
    </row>
    <row r="72" spans="2:53" ht="9.75" customHeight="1">
      <c r="B72" s="728"/>
      <c r="C72" s="244" t="s">
        <v>51</v>
      </c>
      <c r="D72" s="205"/>
      <c r="E72" s="247"/>
      <c r="F72" s="247"/>
      <c r="G72" s="247"/>
      <c r="H72" s="205"/>
      <c r="I72" s="205">
        <v>15000000</v>
      </c>
      <c r="J72" s="205"/>
      <c r="K72" s="205"/>
      <c r="L72" s="205"/>
      <c r="M72" s="205"/>
      <c r="N72" s="205"/>
      <c r="O72" s="205"/>
      <c r="P72" s="694"/>
      <c r="Q72" s="753"/>
      <c r="T72" s="692"/>
      <c r="U72" s="244" t="s">
        <v>51</v>
      </c>
      <c r="V72" s="205"/>
      <c r="W72" s="247"/>
      <c r="X72" s="247"/>
      <c r="Y72" s="247"/>
      <c r="Z72" s="205"/>
      <c r="AA72" s="205"/>
      <c r="AB72" s="205"/>
      <c r="AC72" s="205"/>
      <c r="AD72" s="205"/>
      <c r="AE72" s="205"/>
      <c r="AF72" s="205"/>
      <c r="AG72" s="205"/>
      <c r="AH72" s="694"/>
      <c r="AI72" s="695"/>
      <c r="AL72" s="692"/>
      <c r="AM72" s="244" t="s">
        <v>51</v>
      </c>
      <c r="AN72" s="205"/>
      <c r="AO72" s="247"/>
      <c r="AP72" s="247"/>
      <c r="AQ72" s="247"/>
      <c r="AR72" s="205"/>
      <c r="AS72" s="205"/>
      <c r="AT72" s="205"/>
      <c r="AU72" s="205"/>
      <c r="AV72" s="205"/>
      <c r="AW72" s="205"/>
      <c r="AX72" s="205"/>
      <c r="AY72" s="205"/>
      <c r="AZ72" s="694"/>
      <c r="BA72" s="695"/>
    </row>
    <row r="73" spans="2:53" ht="9.75" customHeight="1">
      <c r="B73" s="728"/>
      <c r="C73" s="244" t="s">
        <v>47</v>
      </c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694"/>
      <c r="Q73" s="753"/>
      <c r="T73" s="692"/>
      <c r="U73" s="244" t="s">
        <v>47</v>
      </c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694"/>
      <c r="AI73" s="695"/>
      <c r="AL73" s="692"/>
      <c r="AM73" s="244" t="s">
        <v>47</v>
      </c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694"/>
      <c r="BA73" s="695"/>
    </row>
    <row r="74" spans="2:53" ht="9.75" customHeight="1">
      <c r="B74" s="728"/>
      <c r="C74" s="244" t="s">
        <v>64</v>
      </c>
      <c r="D74" s="205">
        <f t="shared" ref="D74:O74" si="99">D44</f>
        <v>0</v>
      </c>
      <c r="E74" s="205">
        <f t="shared" si="99"/>
        <v>0</v>
      </c>
      <c r="F74" s="205">
        <f t="shared" si="99"/>
        <v>0</v>
      </c>
      <c r="G74" s="205">
        <f t="shared" si="99"/>
        <v>0</v>
      </c>
      <c r="H74" s="205">
        <f t="shared" si="99"/>
        <v>0</v>
      </c>
      <c r="I74" s="205">
        <f t="shared" si="99"/>
        <v>0</v>
      </c>
      <c r="J74" s="205">
        <f t="shared" si="99"/>
        <v>0</v>
      </c>
      <c r="K74" s="205">
        <f t="shared" si="99"/>
        <v>0</v>
      </c>
      <c r="L74" s="205">
        <f t="shared" si="99"/>
        <v>0</v>
      </c>
      <c r="M74" s="205">
        <f t="shared" si="99"/>
        <v>0</v>
      </c>
      <c r="N74" s="205">
        <f t="shared" si="99"/>
        <v>0</v>
      </c>
      <c r="O74" s="205">
        <f t="shared" si="99"/>
        <v>0</v>
      </c>
      <c r="P74" s="248"/>
      <c r="Q74" s="249"/>
      <c r="T74" s="692"/>
      <c r="U74" s="244" t="s">
        <v>64</v>
      </c>
      <c r="V74" s="205">
        <f t="shared" ref="V74:AG74" si="100">V44</f>
        <v>0</v>
      </c>
      <c r="W74" s="205">
        <f t="shared" si="100"/>
        <v>0</v>
      </c>
      <c r="X74" s="205">
        <f t="shared" si="100"/>
        <v>0</v>
      </c>
      <c r="Y74" s="205">
        <f t="shared" si="100"/>
        <v>0</v>
      </c>
      <c r="Z74" s="205">
        <f t="shared" si="100"/>
        <v>0</v>
      </c>
      <c r="AA74" s="205">
        <f t="shared" si="100"/>
        <v>0</v>
      </c>
      <c r="AB74" s="205">
        <f t="shared" si="100"/>
        <v>0</v>
      </c>
      <c r="AC74" s="205">
        <f t="shared" si="100"/>
        <v>0</v>
      </c>
      <c r="AD74" s="205">
        <f t="shared" si="100"/>
        <v>0</v>
      </c>
      <c r="AE74" s="205">
        <f t="shared" si="100"/>
        <v>0</v>
      </c>
      <c r="AF74" s="205">
        <f t="shared" si="100"/>
        <v>0</v>
      </c>
      <c r="AG74" s="205">
        <f t="shared" si="100"/>
        <v>0</v>
      </c>
      <c r="AH74" s="248"/>
      <c r="AI74" s="497"/>
      <c r="AL74" s="692"/>
      <c r="AM74" s="244" t="s">
        <v>64</v>
      </c>
      <c r="AN74" s="205">
        <f t="shared" ref="AN74:AY74" si="101">AN44</f>
        <v>0</v>
      </c>
      <c r="AO74" s="205">
        <f t="shared" si="101"/>
        <v>0</v>
      </c>
      <c r="AP74" s="205">
        <f t="shared" si="101"/>
        <v>0</v>
      </c>
      <c r="AQ74" s="205">
        <f t="shared" si="101"/>
        <v>0</v>
      </c>
      <c r="AR74" s="205">
        <f t="shared" si="101"/>
        <v>0</v>
      </c>
      <c r="AS74" s="205">
        <f t="shared" si="101"/>
        <v>0</v>
      </c>
      <c r="AT74" s="205">
        <f t="shared" si="101"/>
        <v>0</v>
      </c>
      <c r="AU74" s="205">
        <f t="shared" si="101"/>
        <v>0</v>
      </c>
      <c r="AV74" s="205">
        <f t="shared" si="101"/>
        <v>0</v>
      </c>
      <c r="AW74" s="205">
        <f t="shared" si="101"/>
        <v>0</v>
      </c>
      <c r="AX74" s="205">
        <f t="shared" si="101"/>
        <v>0</v>
      </c>
      <c r="AY74" s="205">
        <f t="shared" si="101"/>
        <v>0</v>
      </c>
      <c r="AZ74" s="248"/>
      <c r="BA74" s="497"/>
    </row>
    <row r="75" spans="2:53" ht="9.75" customHeight="1">
      <c r="B75" s="729"/>
      <c r="C75" s="244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48"/>
      <c r="Q75" s="249"/>
      <c r="T75" s="692"/>
      <c r="U75" s="244" t="s">
        <v>336</v>
      </c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48"/>
      <c r="AI75" s="497"/>
      <c r="AL75" s="692"/>
      <c r="AM75" s="244" t="s">
        <v>335</v>
      </c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48"/>
      <c r="BA75" s="497"/>
    </row>
    <row r="76" spans="2:53" ht="9.75" customHeight="1">
      <c r="B76" s="714"/>
      <c r="C76" s="244" t="s">
        <v>231</v>
      </c>
      <c r="D76" s="205"/>
      <c r="E76" s="205">
        <v>0</v>
      </c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694"/>
      <c r="Q76" s="753"/>
      <c r="T76" s="693"/>
      <c r="U76" s="244" t="s">
        <v>231</v>
      </c>
      <c r="V76" s="205"/>
      <c r="W76" s="205">
        <v>0</v>
      </c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694"/>
      <c r="AI76" s="695"/>
      <c r="AL76" s="693"/>
      <c r="AM76" s="244" t="s">
        <v>231</v>
      </c>
      <c r="AN76" s="205"/>
      <c r="AO76" s="205">
        <v>0</v>
      </c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694"/>
      <c r="BA76" s="695"/>
    </row>
    <row r="77" spans="2:53" ht="11.25" customHeight="1">
      <c r="B77" s="735" t="s">
        <v>53</v>
      </c>
      <c r="C77" s="697"/>
      <c r="D77" s="227">
        <f t="shared" ref="D77:O77" si="102">SUM(D78:D82)</f>
        <v>3000000</v>
      </c>
      <c r="E77" s="227">
        <f t="shared" si="102"/>
        <v>0</v>
      </c>
      <c r="F77" s="227">
        <f t="shared" si="102"/>
        <v>0</v>
      </c>
      <c r="G77" s="227">
        <f t="shared" si="102"/>
        <v>0</v>
      </c>
      <c r="H77" s="227">
        <f t="shared" si="102"/>
        <v>0</v>
      </c>
      <c r="I77" s="227">
        <f t="shared" si="102"/>
        <v>57000</v>
      </c>
      <c r="J77" s="227">
        <f t="shared" si="102"/>
        <v>57000</v>
      </c>
      <c r="K77" s="227">
        <f t="shared" si="102"/>
        <v>57000</v>
      </c>
      <c r="L77" s="227">
        <f t="shared" si="102"/>
        <v>57000</v>
      </c>
      <c r="M77" s="227">
        <f t="shared" si="102"/>
        <v>57000</v>
      </c>
      <c r="N77" s="227">
        <f t="shared" si="102"/>
        <v>57000</v>
      </c>
      <c r="O77" s="227">
        <f t="shared" si="102"/>
        <v>57000</v>
      </c>
      <c r="P77" s="698"/>
      <c r="Q77" s="765"/>
      <c r="T77" s="696" t="s">
        <v>53</v>
      </c>
      <c r="U77" s="697"/>
      <c r="V77" s="227">
        <f t="shared" ref="V77:AG77" si="103">SUM(V78:V82)</f>
        <v>57000</v>
      </c>
      <c r="W77" s="227">
        <f t="shared" si="103"/>
        <v>57000</v>
      </c>
      <c r="X77" s="227">
        <f t="shared" si="103"/>
        <v>57000</v>
      </c>
      <c r="Y77" s="227">
        <f t="shared" si="103"/>
        <v>57000</v>
      </c>
      <c r="Z77" s="227">
        <f t="shared" si="103"/>
        <v>57000</v>
      </c>
      <c r="AA77" s="227">
        <f t="shared" si="103"/>
        <v>57000</v>
      </c>
      <c r="AB77" s="227">
        <f t="shared" si="103"/>
        <v>57000</v>
      </c>
      <c r="AC77" s="227">
        <f t="shared" si="103"/>
        <v>57000</v>
      </c>
      <c r="AD77" s="227">
        <f t="shared" si="103"/>
        <v>57000</v>
      </c>
      <c r="AE77" s="227">
        <f t="shared" si="103"/>
        <v>57000</v>
      </c>
      <c r="AF77" s="227">
        <f t="shared" si="103"/>
        <v>57000</v>
      </c>
      <c r="AG77" s="227">
        <f t="shared" si="103"/>
        <v>57000</v>
      </c>
      <c r="AH77" s="698"/>
      <c r="AI77" s="699"/>
      <c r="AL77" s="696" t="s">
        <v>53</v>
      </c>
      <c r="AM77" s="697"/>
      <c r="AN77" s="227">
        <f t="shared" ref="AN77:AY77" si="104">SUM(AN78:AN82)</f>
        <v>57000</v>
      </c>
      <c r="AO77" s="227">
        <f t="shared" si="104"/>
        <v>57000</v>
      </c>
      <c r="AP77" s="227">
        <f t="shared" si="104"/>
        <v>57000</v>
      </c>
      <c r="AQ77" s="227">
        <f t="shared" si="104"/>
        <v>57000</v>
      </c>
      <c r="AR77" s="227">
        <f t="shared" si="104"/>
        <v>57000</v>
      </c>
      <c r="AS77" s="227">
        <f t="shared" si="104"/>
        <v>57000</v>
      </c>
      <c r="AT77" s="227">
        <f t="shared" si="104"/>
        <v>57000</v>
      </c>
      <c r="AU77" s="227">
        <f t="shared" si="104"/>
        <v>57000</v>
      </c>
      <c r="AV77" s="227">
        <f t="shared" si="104"/>
        <v>57000</v>
      </c>
      <c r="AW77" s="227">
        <f t="shared" si="104"/>
        <v>57000</v>
      </c>
      <c r="AX77" s="227">
        <f t="shared" si="104"/>
        <v>57000</v>
      </c>
      <c r="AY77" s="227">
        <f t="shared" si="104"/>
        <v>57000</v>
      </c>
      <c r="AZ77" s="698"/>
      <c r="BA77" s="699"/>
    </row>
    <row r="78" spans="2:53" ht="9.75" customHeight="1">
      <c r="B78" s="730"/>
      <c r="C78" s="245" t="s">
        <v>405</v>
      </c>
      <c r="D78" s="205"/>
      <c r="E78" s="247"/>
      <c r="F78" s="247"/>
      <c r="G78" s="247"/>
      <c r="H78" s="205"/>
      <c r="I78" s="205"/>
      <c r="J78" s="205"/>
      <c r="K78" s="205"/>
      <c r="L78" s="205"/>
      <c r="M78" s="205"/>
      <c r="N78" s="205"/>
      <c r="O78" s="205"/>
      <c r="P78" s="694"/>
      <c r="Q78" s="753"/>
      <c r="T78" s="770"/>
      <c r="U78" s="244" t="s">
        <v>227</v>
      </c>
      <c r="V78" s="205"/>
      <c r="W78" s="205"/>
      <c r="X78" s="205"/>
      <c r="Y78" s="247"/>
      <c r="Z78" s="205"/>
      <c r="AA78" s="205"/>
      <c r="AB78" s="205"/>
      <c r="AC78" s="205"/>
      <c r="AD78" s="205"/>
      <c r="AE78" s="205"/>
      <c r="AF78" s="205"/>
      <c r="AG78" s="205"/>
      <c r="AH78" s="694"/>
      <c r="AI78" s="695"/>
      <c r="AL78" s="770"/>
      <c r="AM78" s="244" t="s">
        <v>227</v>
      </c>
      <c r="AN78" s="205"/>
      <c r="AO78" s="205"/>
      <c r="AP78" s="205"/>
      <c r="AQ78" s="247"/>
      <c r="AR78" s="205"/>
      <c r="AS78" s="205"/>
      <c r="AT78" s="205"/>
      <c r="AU78" s="205"/>
      <c r="AV78" s="205"/>
      <c r="AW78" s="205"/>
      <c r="AX78" s="205"/>
      <c r="AY78" s="205"/>
      <c r="AZ78" s="694"/>
      <c r="BA78" s="695"/>
    </row>
    <row r="79" spans="2:53" ht="9.75" customHeight="1">
      <c r="B79" s="730"/>
      <c r="C79" s="244" t="s">
        <v>54</v>
      </c>
      <c r="D79" s="205"/>
      <c r="E79" s="205"/>
      <c r="F79" s="205"/>
      <c r="G79" s="205"/>
      <c r="H79" s="205"/>
      <c r="I79" s="205">
        <v>57000</v>
      </c>
      <c r="J79" s="205">
        <v>57000</v>
      </c>
      <c r="K79" s="205">
        <v>57000</v>
      </c>
      <c r="L79" s="205">
        <v>57000</v>
      </c>
      <c r="M79" s="205">
        <v>57000</v>
      </c>
      <c r="N79" s="205">
        <v>57000</v>
      </c>
      <c r="O79" s="205">
        <v>57000</v>
      </c>
      <c r="P79" s="694"/>
      <c r="Q79" s="753"/>
      <c r="T79" s="770"/>
      <c r="U79" s="244" t="s">
        <v>54</v>
      </c>
      <c r="V79" s="205">
        <v>57000</v>
      </c>
      <c r="W79" s="205">
        <v>57000</v>
      </c>
      <c r="X79" s="205">
        <v>57000</v>
      </c>
      <c r="Y79" s="205">
        <v>57000</v>
      </c>
      <c r="Z79" s="205">
        <v>57000</v>
      </c>
      <c r="AA79" s="205">
        <v>57000</v>
      </c>
      <c r="AB79" s="205">
        <v>57000</v>
      </c>
      <c r="AC79" s="205">
        <v>57000</v>
      </c>
      <c r="AD79" s="205">
        <v>57000</v>
      </c>
      <c r="AE79" s="205">
        <v>57000</v>
      </c>
      <c r="AF79" s="205">
        <v>57000</v>
      </c>
      <c r="AG79" s="205">
        <v>57000</v>
      </c>
      <c r="AH79" s="694"/>
      <c r="AI79" s="695"/>
      <c r="AL79" s="770"/>
      <c r="AM79" s="244" t="s">
        <v>54</v>
      </c>
      <c r="AN79" s="205">
        <v>57000</v>
      </c>
      <c r="AO79" s="205">
        <v>57000</v>
      </c>
      <c r="AP79" s="205">
        <v>57000</v>
      </c>
      <c r="AQ79" s="205">
        <v>57000</v>
      </c>
      <c r="AR79" s="205">
        <v>57000</v>
      </c>
      <c r="AS79" s="205">
        <v>57000</v>
      </c>
      <c r="AT79" s="205">
        <v>57000</v>
      </c>
      <c r="AU79" s="205">
        <v>57000</v>
      </c>
      <c r="AV79" s="205">
        <v>57000</v>
      </c>
      <c r="AW79" s="205">
        <v>57000</v>
      </c>
      <c r="AX79" s="205">
        <v>57000</v>
      </c>
      <c r="AY79" s="205">
        <v>57000</v>
      </c>
      <c r="AZ79" s="694"/>
      <c r="BA79" s="695"/>
    </row>
    <row r="80" spans="2:53" ht="9.75" customHeight="1">
      <c r="B80" s="730"/>
      <c r="C80" s="245" t="s">
        <v>404</v>
      </c>
      <c r="D80" s="205">
        <v>3000000</v>
      </c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48"/>
      <c r="Q80" s="249"/>
      <c r="T80" s="770"/>
      <c r="U80" s="245" t="s">
        <v>404</v>
      </c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48"/>
      <c r="AI80" s="497"/>
      <c r="AL80" s="770"/>
      <c r="AM80" s="245" t="s">
        <v>404</v>
      </c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48"/>
      <c r="BA80" s="497"/>
    </row>
    <row r="81" spans="2:53" ht="9.75" hidden="1" customHeight="1">
      <c r="B81" s="730"/>
      <c r="C81" s="244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48"/>
      <c r="Q81" s="249"/>
      <c r="T81" s="770"/>
      <c r="U81" s="244" t="s">
        <v>225</v>
      </c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48"/>
      <c r="AI81" s="497"/>
      <c r="AL81" s="770"/>
      <c r="AM81" s="244" t="s">
        <v>225</v>
      </c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48"/>
      <c r="BA81" s="497"/>
    </row>
    <row r="82" spans="2:53" ht="9.75" customHeight="1">
      <c r="B82" s="731"/>
      <c r="C82" s="244" t="s">
        <v>50</v>
      </c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694"/>
      <c r="Q82" s="753"/>
      <c r="T82" s="700"/>
      <c r="U82" s="244" t="s">
        <v>50</v>
      </c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694"/>
      <c r="AI82" s="695"/>
      <c r="AL82" s="700"/>
      <c r="AM82" s="244" t="s">
        <v>50</v>
      </c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694"/>
      <c r="BA82" s="695"/>
    </row>
    <row r="83" spans="2:53" ht="11.25" customHeight="1">
      <c r="B83" s="763" t="s">
        <v>58</v>
      </c>
      <c r="C83" s="763"/>
      <c r="D83" s="225">
        <f t="shared" ref="D83:O83" si="105">D69-D77</f>
        <v>3000000</v>
      </c>
      <c r="E83" s="225">
        <f t="shared" si="105"/>
        <v>0</v>
      </c>
      <c r="F83" s="225">
        <f t="shared" si="105"/>
        <v>0</v>
      </c>
      <c r="G83" s="225">
        <f t="shared" si="105"/>
        <v>0</v>
      </c>
      <c r="H83" s="225">
        <f t="shared" si="105"/>
        <v>0</v>
      </c>
      <c r="I83" s="225">
        <f t="shared" si="105"/>
        <v>16943000</v>
      </c>
      <c r="J83" s="225">
        <f t="shared" si="105"/>
        <v>-57000</v>
      </c>
      <c r="K83" s="225">
        <f t="shared" si="105"/>
        <v>-57000</v>
      </c>
      <c r="L83" s="225">
        <f t="shared" si="105"/>
        <v>-57000</v>
      </c>
      <c r="M83" s="225">
        <f t="shared" si="105"/>
        <v>-57000</v>
      </c>
      <c r="N83" s="225">
        <f t="shared" si="105"/>
        <v>-57000</v>
      </c>
      <c r="O83" s="225">
        <f t="shared" si="105"/>
        <v>-57000</v>
      </c>
      <c r="P83" s="759"/>
      <c r="Q83" s="761"/>
      <c r="T83" s="762" t="s">
        <v>58</v>
      </c>
      <c r="U83" s="763"/>
      <c r="V83" s="225">
        <f t="shared" ref="V83:AG83" si="106">V69-V77</f>
        <v>-57000</v>
      </c>
      <c r="W83" s="225">
        <f t="shared" si="106"/>
        <v>-57000</v>
      </c>
      <c r="X83" s="225">
        <f t="shared" si="106"/>
        <v>-57000</v>
      </c>
      <c r="Y83" s="225">
        <f t="shared" si="106"/>
        <v>-57000</v>
      </c>
      <c r="Z83" s="225">
        <f t="shared" si="106"/>
        <v>-57000</v>
      </c>
      <c r="AA83" s="225">
        <f t="shared" si="106"/>
        <v>-57000</v>
      </c>
      <c r="AB83" s="225">
        <f t="shared" si="106"/>
        <v>-57000</v>
      </c>
      <c r="AC83" s="225">
        <f t="shared" si="106"/>
        <v>-57000</v>
      </c>
      <c r="AD83" s="225">
        <f t="shared" si="106"/>
        <v>-57000</v>
      </c>
      <c r="AE83" s="225">
        <f t="shared" si="106"/>
        <v>-57000</v>
      </c>
      <c r="AF83" s="225">
        <f t="shared" si="106"/>
        <v>-57000</v>
      </c>
      <c r="AG83" s="225">
        <f t="shared" si="106"/>
        <v>-57000</v>
      </c>
      <c r="AH83" s="759"/>
      <c r="AI83" s="760"/>
      <c r="AL83" s="762" t="s">
        <v>58</v>
      </c>
      <c r="AM83" s="763"/>
      <c r="AN83" s="225">
        <f t="shared" ref="AN83:AY83" si="107">AN69-AN77</f>
        <v>-57000</v>
      </c>
      <c r="AO83" s="225">
        <f t="shared" si="107"/>
        <v>-57000</v>
      </c>
      <c r="AP83" s="225">
        <f t="shared" si="107"/>
        <v>-57000</v>
      </c>
      <c r="AQ83" s="225">
        <f t="shared" si="107"/>
        <v>-57000</v>
      </c>
      <c r="AR83" s="225">
        <f t="shared" si="107"/>
        <v>-57000</v>
      </c>
      <c r="AS83" s="225">
        <f t="shared" si="107"/>
        <v>-57000</v>
      </c>
      <c r="AT83" s="225">
        <f t="shared" si="107"/>
        <v>-57000</v>
      </c>
      <c r="AU83" s="225">
        <f t="shared" si="107"/>
        <v>-57000</v>
      </c>
      <c r="AV83" s="225">
        <f t="shared" si="107"/>
        <v>-57000</v>
      </c>
      <c r="AW83" s="225">
        <f t="shared" si="107"/>
        <v>-57000</v>
      </c>
      <c r="AX83" s="225">
        <f t="shared" si="107"/>
        <v>-57000</v>
      </c>
      <c r="AY83" s="225">
        <f t="shared" si="107"/>
        <v>-57000</v>
      </c>
      <c r="AZ83" s="759"/>
      <c r="BA83" s="760"/>
    </row>
    <row r="84" spans="2:53" ht="11.25" customHeight="1">
      <c r="B84" s="702" t="s">
        <v>89</v>
      </c>
      <c r="C84" s="703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1"/>
      <c r="Q84" s="252"/>
      <c r="T84" s="776" t="s">
        <v>89</v>
      </c>
      <c r="U84" s="703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>
        <f>AH50-AH51</f>
        <v>289582.30000000005</v>
      </c>
      <c r="AH84" s="251"/>
      <c r="AI84" s="498"/>
      <c r="AL84" s="776" t="s">
        <v>89</v>
      </c>
      <c r="AM84" s="703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1"/>
      <c r="BA84" s="498"/>
    </row>
    <row r="85" spans="2:53" ht="11.25" customHeight="1" thickBot="1">
      <c r="B85" s="736" t="s">
        <v>59</v>
      </c>
      <c r="C85" s="736"/>
      <c r="D85" s="205">
        <f t="shared" ref="D85:O85" si="108">D54+D68+D83-D84</f>
        <v>2858720</v>
      </c>
      <c r="E85" s="205">
        <f t="shared" si="108"/>
        <v>564003</v>
      </c>
      <c r="F85" s="205">
        <f t="shared" si="108"/>
        <v>-1322123</v>
      </c>
      <c r="G85" s="205">
        <f t="shared" si="108"/>
        <v>-3466841</v>
      </c>
      <c r="H85" s="205">
        <f t="shared" si="108"/>
        <v>-5483869</v>
      </c>
      <c r="I85" s="205">
        <f t="shared" si="108"/>
        <v>15179921</v>
      </c>
      <c r="J85" s="205">
        <f t="shared" si="108"/>
        <v>13910042</v>
      </c>
      <c r="K85" s="205">
        <f t="shared" si="108"/>
        <v>12663206.439999999</v>
      </c>
      <c r="L85" s="205">
        <f t="shared" si="108"/>
        <v>10431043.68</v>
      </c>
      <c r="M85" s="205">
        <f t="shared" si="108"/>
        <v>8597750</v>
      </c>
      <c r="N85" s="205">
        <f t="shared" si="108"/>
        <v>7521020.5999999996</v>
      </c>
      <c r="O85" s="205">
        <f t="shared" si="108"/>
        <v>6681322.0800000001</v>
      </c>
      <c r="P85" s="694"/>
      <c r="Q85" s="753"/>
      <c r="T85" s="766" t="s">
        <v>59</v>
      </c>
      <c r="U85" s="767"/>
      <c r="V85" s="494">
        <f t="shared" ref="V85:AG85" si="109">V54+V68+V83-V84</f>
        <v>6330874.6400000006</v>
      </c>
      <c r="W85" s="494">
        <f t="shared" si="109"/>
        <v>4459162.6400000006</v>
      </c>
      <c r="X85" s="494">
        <f t="shared" si="109"/>
        <v>3497952.1400000006</v>
      </c>
      <c r="Y85" s="494">
        <f t="shared" si="109"/>
        <v>2173504.3900000006</v>
      </c>
      <c r="Z85" s="494">
        <f t="shared" si="109"/>
        <v>2355716.8900000006</v>
      </c>
      <c r="AA85" s="494">
        <f t="shared" si="109"/>
        <v>2284046.1400000006</v>
      </c>
      <c r="AB85" s="494">
        <f t="shared" si="109"/>
        <v>2810200.6400000006</v>
      </c>
      <c r="AC85" s="494">
        <f t="shared" si="109"/>
        <v>3066509.8900000006</v>
      </c>
      <c r="AD85" s="494">
        <f t="shared" si="109"/>
        <v>3936506.3900000006</v>
      </c>
      <c r="AE85" s="494">
        <f t="shared" si="109"/>
        <v>4534345.8900000006</v>
      </c>
      <c r="AF85" s="494">
        <f t="shared" si="109"/>
        <v>5282726.1400000006</v>
      </c>
      <c r="AG85" s="494">
        <f t="shared" si="109"/>
        <v>6378901.3400000008</v>
      </c>
      <c r="AH85" s="768"/>
      <c r="AI85" s="769"/>
      <c r="AL85" s="766" t="s">
        <v>59</v>
      </c>
      <c r="AM85" s="767"/>
      <c r="AN85" s="494">
        <f t="shared" ref="AN85:AY85" si="110">AN54+AN68+AN83-AN84</f>
        <v>7614501.8400000008</v>
      </c>
      <c r="AO85" s="494">
        <f t="shared" si="110"/>
        <v>7576923.8400000008</v>
      </c>
      <c r="AP85" s="494">
        <f t="shared" si="110"/>
        <v>7732904.8400000008</v>
      </c>
      <c r="AQ85" s="494">
        <f t="shared" si="110"/>
        <v>7029181.0900000008</v>
      </c>
      <c r="AR85" s="494">
        <f t="shared" si="110"/>
        <v>7982139.5900000008</v>
      </c>
      <c r="AS85" s="494">
        <f t="shared" si="110"/>
        <v>8586048.8399999999</v>
      </c>
      <c r="AT85" s="494">
        <f t="shared" si="110"/>
        <v>9882749.3399999999</v>
      </c>
      <c r="AU85" s="494">
        <f t="shared" si="110"/>
        <v>10814635.59</v>
      </c>
      <c r="AV85" s="494">
        <f t="shared" si="110"/>
        <v>12455278.09</v>
      </c>
      <c r="AW85" s="494">
        <f t="shared" si="110"/>
        <v>13731466.59</v>
      </c>
      <c r="AX85" s="494">
        <f t="shared" si="110"/>
        <v>15155323.84</v>
      </c>
      <c r="AY85" s="494">
        <f t="shared" si="110"/>
        <v>17311730.34</v>
      </c>
      <c r="AZ85" s="768"/>
      <c r="BA85" s="769"/>
    </row>
    <row r="86" spans="2:53" ht="6" customHeight="1"/>
    <row r="87" spans="2:53" hidden="1"/>
    <row r="88" spans="2:53" ht="0.75" hidden="1" customHeight="1"/>
    <row r="89" spans="2:53" ht="0.75" hidden="1" customHeight="1">
      <c r="C89" s="186" t="s">
        <v>228</v>
      </c>
      <c r="H89" s="186" t="s">
        <v>229</v>
      </c>
      <c r="K89" s="186" t="s">
        <v>230</v>
      </c>
    </row>
    <row r="90" spans="2:53" ht="0.75" hidden="1" customHeight="1">
      <c r="C90" s="186" t="s">
        <v>217</v>
      </c>
      <c r="D90" s="186" t="s">
        <v>224</v>
      </c>
      <c r="E90" s="186" t="s">
        <v>225</v>
      </c>
      <c r="F90" s="186" t="s">
        <v>226</v>
      </c>
      <c r="H90" s="777" t="s">
        <v>217</v>
      </c>
      <c r="I90" s="777"/>
      <c r="J90" s="777"/>
      <c r="K90" s="186">
        <v>2000</v>
      </c>
    </row>
    <row r="91" spans="2:53" ht="0.75" hidden="1" customHeight="1">
      <c r="C91" s="186" t="s">
        <v>218</v>
      </c>
      <c r="D91" s="186">
        <f>店舗初期投資!C10</f>
        <v>25000</v>
      </c>
      <c r="E91" s="186">
        <f>店舗初期投資!C11</f>
        <v>6500</v>
      </c>
      <c r="F91" s="186">
        <f>店舗初期投資!C12</f>
        <v>650</v>
      </c>
      <c r="H91" s="777" t="s">
        <v>218</v>
      </c>
      <c r="I91" s="777"/>
      <c r="J91" s="777"/>
      <c r="K91" s="186">
        <v>2000</v>
      </c>
    </row>
    <row r="92" spans="2:53" ht="0.75" hidden="1" customHeight="1">
      <c r="C92" s="186" t="s">
        <v>219</v>
      </c>
      <c r="D92" s="186">
        <f>店舗初期投資!D10</f>
        <v>50000</v>
      </c>
      <c r="E92" s="186">
        <f>店舗初期投資!D11</f>
        <v>16500</v>
      </c>
      <c r="F92" s="186">
        <f>店舗初期投資!D12</f>
        <v>1650</v>
      </c>
      <c r="H92" s="777" t="s">
        <v>219</v>
      </c>
      <c r="I92" s="777"/>
      <c r="J92" s="777"/>
      <c r="K92" s="186">
        <v>2000</v>
      </c>
    </row>
    <row r="93" spans="2:53" ht="0.75" hidden="1" customHeight="1">
      <c r="C93" s="186" t="s">
        <v>220</v>
      </c>
      <c r="D93" s="186">
        <f>店舗初期投資!E10</f>
        <v>15000</v>
      </c>
      <c r="E93" s="186">
        <f>店舗初期投資!E11</f>
        <v>6500</v>
      </c>
      <c r="F93" s="186">
        <f>店舗初期投資!E12</f>
        <v>650</v>
      </c>
      <c r="H93" s="777" t="s">
        <v>220</v>
      </c>
      <c r="I93" s="777"/>
      <c r="J93" s="777"/>
      <c r="K93" s="186">
        <v>2000</v>
      </c>
    </row>
    <row r="94" spans="2:53" ht="0.75" hidden="1" customHeight="1">
      <c r="C94" s="186" t="s">
        <v>221</v>
      </c>
      <c r="D94" s="186">
        <f>店舗初期投資!F10</f>
        <v>12000</v>
      </c>
      <c r="E94" s="186">
        <f>店舗初期投資!F11</f>
        <v>3000</v>
      </c>
      <c r="F94" s="186">
        <f>店舗初期投資!F12</f>
        <v>300</v>
      </c>
      <c r="H94" s="777" t="s">
        <v>221</v>
      </c>
      <c r="I94" s="777"/>
      <c r="J94" s="777"/>
      <c r="K94" s="186">
        <v>2000</v>
      </c>
    </row>
    <row r="95" spans="2:53" ht="0.75" hidden="1" customHeight="1"/>
    <row r="96" spans="2:53" ht="0.75" hidden="1" customHeight="1">
      <c r="C96" s="186" t="s">
        <v>222</v>
      </c>
    </row>
    <row r="97" ht="0.75" hidden="1" customHeight="1"/>
    <row r="98" ht="0.75" hidden="1" customHeight="1"/>
    <row r="99" ht="0.75" hidden="1" customHeight="1"/>
    <row r="100" ht="0.75" hidden="1" customHeight="1"/>
    <row r="101" hidden="1"/>
  </sheetData>
  <mergeCells count="209">
    <mergeCell ref="AL84:AM84"/>
    <mergeCell ref="AL85:AM85"/>
    <mergeCell ref="AZ85:BA85"/>
    <mergeCell ref="S2:U2"/>
    <mergeCell ref="AK2:AM2"/>
    <mergeCell ref="AL70:AL76"/>
    <mergeCell ref="AZ70:BA70"/>
    <mergeCell ref="AZ71:BA71"/>
    <mergeCell ref="AZ72:BA72"/>
    <mergeCell ref="AZ73:BA73"/>
    <mergeCell ref="AZ76:BA76"/>
    <mergeCell ref="AL77:AM77"/>
    <mergeCell ref="AZ77:BA77"/>
    <mergeCell ref="AL78:AL82"/>
    <mergeCell ref="AZ78:BA78"/>
    <mergeCell ref="AZ57:BA57"/>
    <mergeCell ref="AZ58:BA58"/>
    <mergeCell ref="AZ59:BA59"/>
    <mergeCell ref="AL60:AM60"/>
    <mergeCell ref="AZ60:BA60"/>
    <mergeCell ref="AL61:AL67"/>
    <mergeCell ref="AZ61:BA61"/>
    <mergeCell ref="AZ62:BA62"/>
    <mergeCell ref="AZ63:BA63"/>
    <mergeCell ref="AZ64:BA64"/>
    <mergeCell ref="AZ65:BA65"/>
    <mergeCell ref="AZ66:BA66"/>
    <mergeCell ref="AZ67:BA67"/>
    <mergeCell ref="S1:U1"/>
    <mergeCell ref="S3:U3"/>
    <mergeCell ref="T24:U24"/>
    <mergeCell ref="T30:U30"/>
    <mergeCell ref="T31:T34"/>
    <mergeCell ref="AL23:AM23"/>
    <mergeCell ref="AL24:AM24"/>
    <mergeCell ref="AL25:AL29"/>
    <mergeCell ref="AL30:AM30"/>
    <mergeCell ref="AL31:AL34"/>
    <mergeCell ref="AL53:AM53"/>
    <mergeCell ref="AZ53:BA53"/>
    <mergeCell ref="AL54:AM54"/>
    <mergeCell ref="AZ54:BA54"/>
    <mergeCell ref="AL55:AM55"/>
    <mergeCell ref="AZ55:BA55"/>
    <mergeCell ref="A2:C2"/>
    <mergeCell ref="A4:A22"/>
    <mergeCell ref="AK1:AM1"/>
    <mergeCell ref="AK3:AM3"/>
    <mergeCell ref="AL5:AM5"/>
    <mergeCell ref="AL6:AL11"/>
    <mergeCell ref="AL12:AM12"/>
    <mergeCell ref="AL13:AL17"/>
    <mergeCell ref="AL18:AM18"/>
    <mergeCell ref="AL21:AM21"/>
    <mergeCell ref="AL22:AM22"/>
    <mergeCell ref="B6:B11"/>
    <mergeCell ref="B13:B17"/>
    <mergeCell ref="A1:C1"/>
    <mergeCell ref="T21:U21"/>
    <mergeCell ref="H93:J93"/>
    <mergeCell ref="H94:J94"/>
    <mergeCell ref="T51:U51"/>
    <mergeCell ref="H90:J90"/>
    <mergeCell ref="H91:J91"/>
    <mergeCell ref="H92:J92"/>
    <mergeCell ref="T83:U83"/>
    <mergeCell ref="B83:C83"/>
    <mergeCell ref="B85:C85"/>
    <mergeCell ref="P70:Q70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A51:C51"/>
    <mergeCell ref="S35:S51"/>
    <mergeCell ref="S52:V52"/>
    <mergeCell ref="P83:Q83"/>
    <mergeCell ref="P85:Q85"/>
    <mergeCell ref="AH83:AI83"/>
    <mergeCell ref="AL83:AM83"/>
    <mergeCell ref="AZ83:BA83"/>
    <mergeCell ref="AL68:AM68"/>
    <mergeCell ref="AZ68:BA68"/>
    <mergeCell ref="AL69:AM69"/>
    <mergeCell ref="AZ69:BA69"/>
    <mergeCell ref="P77:Q77"/>
    <mergeCell ref="P78:Q78"/>
    <mergeCell ref="P79:Q79"/>
    <mergeCell ref="P82:Q82"/>
    <mergeCell ref="P71:Q71"/>
    <mergeCell ref="P72:Q72"/>
    <mergeCell ref="P73:Q73"/>
    <mergeCell ref="P76:Q76"/>
    <mergeCell ref="T85:U85"/>
    <mergeCell ref="AH85:AI85"/>
    <mergeCell ref="T77:U77"/>
    <mergeCell ref="T78:T82"/>
    <mergeCell ref="T68:U68"/>
    <mergeCell ref="T69:U69"/>
    <mergeCell ref="T84:U84"/>
    <mergeCell ref="AZ79:BA79"/>
    <mergeCell ref="AZ82:BA82"/>
    <mergeCell ref="AH77:AI77"/>
    <mergeCell ref="AH78:AI78"/>
    <mergeCell ref="AH79:AI79"/>
    <mergeCell ref="AH82:AI82"/>
    <mergeCell ref="AH68:AI68"/>
    <mergeCell ref="AH69:AI69"/>
    <mergeCell ref="P69:Q69"/>
    <mergeCell ref="P58:Q58"/>
    <mergeCell ref="P53:Q53"/>
    <mergeCell ref="P54:Q54"/>
    <mergeCell ref="P55:Q55"/>
    <mergeCell ref="AH61:AI61"/>
    <mergeCell ref="AH62:AI62"/>
    <mergeCell ref="AH63:AI63"/>
    <mergeCell ref="AH64:AI64"/>
    <mergeCell ref="AH65:AI65"/>
    <mergeCell ref="AZ56:BA56"/>
    <mergeCell ref="P56:Q56"/>
    <mergeCell ref="P57:Q57"/>
    <mergeCell ref="AL48:AL49"/>
    <mergeCell ref="AL50:AM50"/>
    <mergeCell ref="AL51:AM51"/>
    <mergeCell ref="AL45:AM45"/>
    <mergeCell ref="AL46:AM46"/>
    <mergeCell ref="AL47:AM47"/>
    <mergeCell ref="AK35:AK51"/>
    <mergeCell ref="AK52:AN52"/>
    <mergeCell ref="AL35:AM35"/>
    <mergeCell ref="AL36:AM36"/>
    <mergeCell ref="AL37:AL44"/>
    <mergeCell ref="AH54:AI54"/>
    <mergeCell ref="T55:U55"/>
    <mergeCell ref="AH55:AI55"/>
    <mergeCell ref="T56:T59"/>
    <mergeCell ref="AH56:AI56"/>
    <mergeCell ref="AH57:AI57"/>
    <mergeCell ref="AH58:AI58"/>
    <mergeCell ref="AH59:AI59"/>
    <mergeCell ref="T47:U47"/>
    <mergeCell ref="T48:T49"/>
    <mergeCell ref="T50:U50"/>
    <mergeCell ref="T53:U53"/>
    <mergeCell ref="AH53:AI53"/>
    <mergeCell ref="T37:T44"/>
    <mergeCell ref="T54:U54"/>
    <mergeCell ref="AL56:AL59"/>
    <mergeCell ref="B69:C69"/>
    <mergeCell ref="B77:C77"/>
    <mergeCell ref="B53:C53"/>
    <mergeCell ref="B60:C60"/>
    <mergeCell ref="B68:C68"/>
    <mergeCell ref="B56:B59"/>
    <mergeCell ref="B61:B67"/>
    <mergeCell ref="A52:D52"/>
    <mergeCell ref="B23:C23"/>
    <mergeCell ref="B24:C24"/>
    <mergeCell ref="B30:C30"/>
    <mergeCell ref="B31:B34"/>
    <mergeCell ref="A37:B44"/>
    <mergeCell ref="A36:C36"/>
    <mergeCell ref="A35:C35"/>
    <mergeCell ref="A45:C45"/>
    <mergeCell ref="A46:C46"/>
    <mergeCell ref="A48:B49"/>
    <mergeCell ref="A47:C47"/>
    <mergeCell ref="A50:C50"/>
    <mergeCell ref="B84:C84"/>
    <mergeCell ref="T35:U35"/>
    <mergeCell ref="T36:U36"/>
    <mergeCell ref="T45:U45"/>
    <mergeCell ref="T46:U46"/>
    <mergeCell ref="A3:C3"/>
    <mergeCell ref="T13:T17"/>
    <mergeCell ref="T18:U18"/>
    <mergeCell ref="T22:U22"/>
    <mergeCell ref="T23:U23"/>
    <mergeCell ref="T25:T29"/>
    <mergeCell ref="T5:U5"/>
    <mergeCell ref="T6:T11"/>
    <mergeCell ref="T12:U12"/>
    <mergeCell ref="B21:C21"/>
    <mergeCell ref="B70:B76"/>
    <mergeCell ref="B78:B82"/>
    <mergeCell ref="B55:C55"/>
    <mergeCell ref="B54:C54"/>
    <mergeCell ref="B25:B29"/>
    <mergeCell ref="B5:C5"/>
    <mergeCell ref="B12:C12"/>
    <mergeCell ref="B18:C18"/>
    <mergeCell ref="B22:C22"/>
    <mergeCell ref="T70:T76"/>
    <mergeCell ref="AH70:AI70"/>
    <mergeCell ref="AH71:AI71"/>
    <mergeCell ref="AH72:AI72"/>
    <mergeCell ref="AH73:AI73"/>
    <mergeCell ref="AH76:AI76"/>
    <mergeCell ref="T60:U60"/>
    <mergeCell ref="AH60:AI60"/>
    <mergeCell ref="T61:T67"/>
    <mergeCell ref="AH66:AI66"/>
    <mergeCell ref="AH67:AI67"/>
  </mergeCells>
  <phoneticPr fontId="2"/>
  <conditionalFormatting sqref="A1:XFD1048576">
    <cfRule type="expression" dxfId="1" priority="1">
      <formula>AND(NOT(_xlfn.ISFORMULA(A1)), NOT(ISTEXT(A1)), A1&lt;&gt;"")</formula>
    </cfRule>
  </conditionalFormatting>
  <pageMargins left="0.7" right="0.7" top="0.75" bottom="0.75" header="0.3" footer="0.3"/>
  <pageSetup paperSize="9" fitToWidth="0" orientation="portrait" r:id="rId1"/>
  <colBreaks count="2" manualBreakCount="2">
    <brk id="17" max="85" man="1"/>
    <brk id="35" max="8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B1:F46"/>
  <sheetViews>
    <sheetView topLeftCell="A41" zoomScaleNormal="100" workbookViewId="0">
      <selection activeCell="D4" sqref="D4"/>
    </sheetView>
  </sheetViews>
  <sheetFormatPr defaultRowHeight="12"/>
  <cols>
    <col min="1" max="1" width="2.625" style="311" customWidth="1"/>
    <col min="2" max="2" width="2.875" style="312" customWidth="1"/>
    <col min="3" max="3" width="19.375" style="312" customWidth="1"/>
    <col min="4" max="6" width="19.625" style="312" customWidth="1"/>
    <col min="7" max="16384" width="9" style="311"/>
  </cols>
  <sheetData>
    <row r="1" spans="2:6" ht="24" customHeight="1">
      <c r="B1" s="311" t="s">
        <v>104</v>
      </c>
      <c r="C1" s="311"/>
    </row>
    <row r="2" spans="2:6">
      <c r="B2" s="820"/>
      <c r="C2" s="821"/>
      <c r="D2" s="313" t="s">
        <v>407</v>
      </c>
      <c r="E2" s="313" t="s">
        <v>407</v>
      </c>
      <c r="F2" s="313" t="s">
        <v>408</v>
      </c>
    </row>
    <row r="3" spans="2:6" ht="25.5" customHeight="1">
      <c r="B3" s="822" t="s">
        <v>25</v>
      </c>
      <c r="C3" s="822"/>
      <c r="D3" s="314">
        <f>基礎!P3</f>
        <v>52264612</v>
      </c>
      <c r="E3" s="314">
        <f>基礎!AH3</f>
        <v>136865475</v>
      </c>
      <c r="F3" s="314">
        <f>基礎!AZ3</f>
        <v>166438327</v>
      </c>
    </row>
    <row r="4" spans="2:6" ht="21" customHeight="1">
      <c r="B4" s="823" t="str">
        <f>基礎!B5</f>
        <v>訓練給付金等</v>
      </c>
      <c r="C4" s="824"/>
      <c r="D4" s="315">
        <f>基礎!P5</f>
        <v>43054612</v>
      </c>
      <c r="E4" s="315">
        <f>基礎!AH5</f>
        <v>114485450</v>
      </c>
      <c r="F4" s="315">
        <f>基礎!AZ5</f>
        <v>139618300</v>
      </c>
    </row>
    <row r="5" spans="2:6" hidden="1">
      <c r="B5" s="825"/>
      <c r="C5" s="316" t="str">
        <f>IF(基礎!C6="","",基礎!C6)</f>
        <v>シェル（笠岡）</v>
      </c>
      <c r="D5" s="317">
        <f>基礎!P6</f>
        <v>33673012</v>
      </c>
      <c r="E5" s="317">
        <f>基礎!AH6</f>
        <v>71708750</v>
      </c>
      <c r="F5" s="317">
        <f>基礎!AY6</f>
        <v>5965050</v>
      </c>
    </row>
    <row r="6" spans="2:6" hidden="1">
      <c r="B6" s="826"/>
      <c r="C6" s="316" t="str">
        <f>IF(基礎!C7="","",基礎!C7)</f>
        <v>ACT01（川崎）</v>
      </c>
      <c r="D6" s="317">
        <f>基礎!P7</f>
        <v>9381600</v>
      </c>
      <c r="E6" s="317">
        <f>基礎!AH7</f>
        <v>42776700</v>
      </c>
      <c r="F6" s="317">
        <f>基礎!AY7</f>
        <v>6508400</v>
      </c>
    </row>
    <row r="7" spans="2:6" hidden="1">
      <c r="B7" s="826"/>
      <c r="C7" s="316" t="str">
        <f>IF(基礎!C8="","",基礎!C8)</f>
        <v/>
      </c>
      <c r="D7" s="317">
        <f>基礎!P8</f>
        <v>0</v>
      </c>
      <c r="E7" s="317">
        <f>基礎!AH8</f>
        <v>0</v>
      </c>
      <c r="F7" s="317">
        <f>基礎!AY8</f>
        <v>0</v>
      </c>
    </row>
    <row r="8" spans="2:6" hidden="1">
      <c r="B8" s="826"/>
      <c r="C8" s="316" t="str">
        <f>IF(基礎!C9="","",基礎!C9)</f>
        <v/>
      </c>
      <c r="D8" s="317">
        <f>基礎!P9</f>
        <v>0</v>
      </c>
      <c r="E8" s="317">
        <f>基礎!AH9</f>
        <v>0</v>
      </c>
      <c r="F8" s="317">
        <f>基礎!AY9</f>
        <v>0</v>
      </c>
    </row>
    <row r="9" spans="2:6" hidden="1">
      <c r="B9" s="826"/>
      <c r="C9" s="316" t="str">
        <f>IF(基礎!C10="","",基礎!C10)</f>
        <v/>
      </c>
      <c r="D9" s="317">
        <f>基礎!P10</f>
        <v>0</v>
      </c>
      <c r="E9" s="317">
        <f>基礎!AH10</f>
        <v>0</v>
      </c>
      <c r="F9" s="317">
        <f>基礎!AY10</f>
        <v>0</v>
      </c>
    </row>
    <row r="10" spans="2:6" hidden="1">
      <c r="B10" s="826"/>
      <c r="C10" s="316" t="str">
        <f>IF(基礎!C11="","",基礎!C11)</f>
        <v/>
      </c>
      <c r="D10" s="317">
        <f>基礎!P11</f>
        <v>0</v>
      </c>
      <c r="E10" s="317">
        <f>基礎!AH11</f>
        <v>0</v>
      </c>
      <c r="F10" s="317">
        <f>基礎!AY11</f>
        <v>0</v>
      </c>
    </row>
    <row r="11" spans="2:6" ht="21" customHeight="1">
      <c r="B11" s="827" t="str">
        <f>基礎!B12</f>
        <v>福祉的就労売上</v>
      </c>
      <c r="C11" s="828"/>
      <c r="D11" s="315">
        <f>基礎!P12</f>
        <v>9210000</v>
      </c>
      <c r="E11" s="315">
        <f>基礎!AH12</f>
        <v>22380025</v>
      </c>
      <c r="F11" s="315">
        <f>基礎!AZ12</f>
        <v>26820027</v>
      </c>
    </row>
    <row r="12" spans="2:6" ht="26.25" hidden="1" customHeight="1">
      <c r="B12" s="825"/>
      <c r="C12" s="316" t="str">
        <f>IF(基礎!C13="","",基礎!C13)</f>
        <v>シェル（笠岡）</v>
      </c>
      <c r="D12" s="317">
        <f>基礎!P13</f>
        <v>6960000</v>
      </c>
      <c r="E12" s="317">
        <f>基礎!AH13</f>
        <v>14310000</v>
      </c>
      <c r="F12" s="317">
        <f>基礎!AY13</f>
        <v>1200000</v>
      </c>
    </row>
    <row r="13" spans="2:6" ht="26.25" hidden="1" customHeight="1">
      <c r="B13" s="826"/>
      <c r="C13" s="316" t="str">
        <f>IF(基礎!C14="","",基礎!C14)</f>
        <v>シェル（川崎）</v>
      </c>
      <c r="D13" s="317">
        <f>基礎!P14</f>
        <v>2250000</v>
      </c>
      <c r="E13" s="317">
        <f>基礎!AH14</f>
        <v>8070000</v>
      </c>
      <c r="F13" s="317">
        <f>基礎!AY14</f>
        <v>1200000</v>
      </c>
    </row>
    <row r="14" spans="2:6" ht="26.25" hidden="1" customHeight="1">
      <c r="B14" s="826"/>
      <c r="C14" s="316" t="str">
        <f>IF(基礎!C15="","",基礎!C15)</f>
        <v/>
      </c>
      <c r="D14" s="317">
        <f>基礎!P15</f>
        <v>0</v>
      </c>
      <c r="E14" s="317">
        <f>基礎!AH15</f>
        <v>0</v>
      </c>
      <c r="F14" s="317">
        <f>基礎!AY15</f>
        <v>0</v>
      </c>
    </row>
    <row r="15" spans="2:6" ht="26.25" hidden="1" customHeight="1">
      <c r="B15" s="826"/>
      <c r="C15" s="316" t="str">
        <f>IF(基礎!C16="","",基礎!C16)</f>
        <v/>
      </c>
      <c r="D15" s="317">
        <f>基礎!P16</f>
        <v>0</v>
      </c>
      <c r="E15" s="317">
        <f>基礎!AH16</f>
        <v>25</v>
      </c>
      <c r="F15" s="317">
        <f>基礎!AY16</f>
        <v>3</v>
      </c>
    </row>
    <row r="16" spans="2:6" ht="26.25" hidden="1" customHeight="1">
      <c r="B16" s="826"/>
      <c r="C16" s="316" t="str">
        <f>IF(基礎!C17="","",基礎!C17)</f>
        <v/>
      </c>
      <c r="D16" s="317">
        <f>基礎!P17</f>
        <v>0</v>
      </c>
      <c r="E16" s="317">
        <f>基礎!AH17</f>
        <v>0</v>
      </c>
      <c r="F16" s="317">
        <f>基礎!AY17</f>
        <v>0</v>
      </c>
    </row>
    <row r="17" spans="2:6" ht="21" customHeight="1">
      <c r="B17" s="828" t="s">
        <v>0</v>
      </c>
      <c r="C17" s="828"/>
      <c r="D17" s="315">
        <f>基礎!AZ18+基礎!AZ19+基礎!AZ20+基礎!AZ21+基礎!AZ22</f>
        <v>0</v>
      </c>
      <c r="E17" s="315">
        <f>基礎!AH18+基礎!AH21+基礎!AH22</f>
        <v>0</v>
      </c>
      <c r="F17" s="315">
        <f>基礎!AZ18+基礎!AZ21+基礎!AZ22</f>
        <v>0</v>
      </c>
    </row>
    <row r="18" spans="2:6" ht="20.25" customHeight="1">
      <c r="B18" s="829" t="str">
        <f>基礎!B23</f>
        <v>事業原価</v>
      </c>
      <c r="C18" s="830"/>
      <c r="D18" s="318">
        <f>基礎!P23</f>
        <v>49636638.359999999</v>
      </c>
      <c r="E18" s="318">
        <f>基礎!AH23</f>
        <v>104757563.5</v>
      </c>
      <c r="F18" s="318">
        <f>基礎!AZ23</f>
        <v>81972549</v>
      </c>
    </row>
    <row r="19" spans="2:6" ht="20.25" customHeight="1">
      <c r="B19" s="819" t="s">
        <v>1</v>
      </c>
      <c r="C19" s="819"/>
      <c r="D19" s="319">
        <f>基礎!P35</f>
        <v>2627973.64</v>
      </c>
      <c r="E19" s="319">
        <f>基礎!AH35</f>
        <v>32107911.5</v>
      </c>
      <c r="F19" s="319">
        <f>基礎!AZ35</f>
        <v>84465778</v>
      </c>
    </row>
    <row r="20" spans="2:6" ht="20.25" customHeight="1">
      <c r="B20" s="834" t="s">
        <v>448</v>
      </c>
      <c r="C20" s="835"/>
      <c r="D20" s="318">
        <f>基礎!P27+基礎!P28+基礎!P29+基礎!P40+基礎!P41+基礎!P42+基礎!P43+基礎!P44</f>
        <v>9566638.3599999994</v>
      </c>
      <c r="E20" s="318">
        <f>基礎!AH40+基礎!AH41+基礎!AH42+基礎!AH43+基礎!AH44+基礎!AH27+基礎!AH28+基礎!AH29</f>
        <v>19804563.5</v>
      </c>
      <c r="F20" s="318">
        <f>基礎!AZ27+基礎!AZ28+基礎!AZ29+基礎!AZ40+基礎!AZ41+基礎!AZ42+基礎!AZ43+基礎!AZ44</f>
        <v>18180549</v>
      </c>
    </row>
    <row r="21" spans="2:6" ht="20.25" customHeight="1">
      <c r="B21" s="838" t="s">
        <v>444</v>
      </c>
      <c r="C21" s="839"/>
      <c r="D21" s="318">
        <f>基礎!P25+基礎!P26+基礎!P37+基礎!P39+基礎!P38</f>
        <v>43375000</v>
      </c>
      <c r="E21" s="318">
        <f>基礎!AH25+基礎!AH26+基礎!AH37+基礎!AH38+基礎!AH39</f>
        <v>87533000</v>
      </c>
      <c r="F21" s="318">
        <f>基礎!AZ25+基礎!AZ26+基礎!AZ37+基礎!AZ38+基礎!AZ39</f>
        <v>104856000</v>
      </c>
    </row>
    <row r="22" spans="2:6" ht="20.25" customHeight="1">
      <c r="B22" s="836" t="s">
        <v>8</v>
      </c>
      <c r="C22" s="837"/>
      <c r="D22" s="319">
        <f>基礎!P45</f>
        <v>-7297026.3600000003</v>
      </c>
      <c r="E22" s="319">
        <f>基礎!AH45</f>
        <v>1867911.5</v>
      </c>
      <c r="F22" s="319">
        <f>基礎!AZ45</f>
        <v>43401778</v>
      </c>
    </row>
    <row r="23" spans="2:6" ht="20.25" customHeight="1">
      <c r="B23" s="838" t="s">
        <v>9</v>
      </c>
      <c r="C23" s="839"/>
      <c r="D23" s="318">
        <f>基礎!P46</f>
        <v>0</v>
      </c>
      <c r="E23" s="318">
        <f>基礎!AH46</f>
        <v>0</v>
      </c>
      <c r="F23" s="318">
        <f>基礎!AY46</f>
        <v>0</v>
      </c>
    </row>
    <row r="24" spans="2:6" ht="20.25" customHeight="1">
      <c r="B24" s="840" t="s">
        <v>12</v>
      </c>
      <c r="C24" s="841"/>
      <c r="D24" s="315">
        <f>基礎!P47</f>
        <v>245000</v>
      </c>
      <c r="E24" s="315">
        <f>基礎!AH47</f>
        <v>420000</v>
      </c>
      <c r="F24" s="315">
        <f>基礎!AZ47</f>
        <v>420000</v>
      </c>
    </row>
    <row r="25" spans="2:6" ht="20.25" customHeight="1">
      <c r="B25" s="842"/>
      <c r="C25" s="320" t="s">
        <v>10</v>
      </c>
      <c r="D25" s="317">
        <f>基礎!P48</f>
        <v>245000</v>
      </c>
      <c r="E25" s="317">
        <f>基礎!AH48</f>
        <v>420000</v>
      </c>
      <c r="F25" s="317">
        <f>基礎!AY48</f>
        <v>35000</v>
      </c>
    </row>
    <row r="26" spans="2:6" ht="20.25" customHeight="1">
      <c r="B26" s="825"/>
      <c r="C26" s="320" t="s">
        <v>11</v>
      </c>
      <c r="D26" s="317">
        <f>基礎!P49</f>
        <v>0</v>
      </c>
      <c r="E26" s="317">
        <f>基礎!AH49</f>
        <v>0</v>
      </c>
      <c r="F26" s="317">
        <f>基礎!AY49</f>
        <v>0</v>
      </c>
    </row>
    <row r="27" spans="2:6" ht="20.25" customHeight="1">
      <c r="B27" s="832" t="s">
        <v>13</v>
      </c>
      <c r="C27" s="833"/>
      <c r="D27" s="321">
        <f>基礎!P50</f>
        <v>-4798023.3600000003</v>
      </c>
      <c r="E27" s="321">
        <f>基礎!AH50</f>
        <v>1447911.5</v>
      </c>
      <c r="F27" s="321">
        <f>基礎!AZ50</f>
        <v>42981778</v>
      </c>
    </row>
    <row r="28" spans="2:6" ht="20.25" customHeight="1">
      <c r="B28" s="831" t="s">
        <v>89</v>
      </c>
      <c r="C28" s="831"/>
      <c r="D28" s="317"/>
      <c r="E28" s="317">
        <f>E27*0.4</f>
        <v>579164.6</v>
      </c>
      <c r="F28" s="317">
        <f>F27*0.4</f>
        <v>17192711.199999999</v>
      </c>
    </row>
    <row r="29" spans="2:6" ht="20.25" customHeight="1">
      <c r="B29" s="822" t="s">
        <v>88</v>
      </c>
      <c r="C29" s="822"/>
      <c r="D29" s="319">
        <f>D27-D28</f>
        <v>-4798023.3600000003</v>
      </c>
      <c r="E29" s="319">
        <f>E27-E28</f>
        <v>868746.9</v>
      </c>
      <c r="F29" s="319">
        <f>F27-F28</f>
        <v>25789066.800000001</v>
      </c>
    </row>
    <row r="31" spans="2:6" ht="24" customHeight="1">
      <c r="B31" s="820"/>
      <c r="C31" s="821"/>
      <c r="D31" s="313" t="s">
        <v>406</v>
      </c>
      <c r="E31" s="313" t="s">
        <v>407</v>
      </c>
      <c r="F31" s="313" t="s">
        <v>408</v>
      </c>
    </row>
    <row r="32" spans="2:6" hidden="1">
      <c r="B32" s="822" t="s">
        <v>25</v>
      </c>
      <c r="C32" s="822"/>
      <c r="D32" s="314">
        <v>220700</v>
      </c>
      <c r="E32" s="314">
        <v>527370</v>
      </c>
      <c r="F32" s="314">
        <v>1049310</v>
      </c>
    </row>
    <row r="33" spans="2:6" hidden="1">
      <c r="B33" s="829" t="s">
        <v>26</v>
      </c>
      <c r="C33" s="830"/>
      <c r="D33" s="318">
        <v>119480</v>
      </c>
      <c r="E33" s="318">
        <v>272310</v>
      </c>
      <c r="F33" s="318">
        <v>540270</v>
      </c>
    </row>
    <row r="34" spans="2:6" hidden="1">
      <c r="B34" s="819" t="s">
        <v>1</v>
      </c>
      <c r="C34" s="819"/>
      <c r="D34" s="319">
        <v>101220</v>
      </c>
      <c r="E34" s="319">
        <v>255060</v>
      </c>
      <c r="F34" s="319">
        <v>509040</v>
      </c>
    </row>
    <row r="35" spans="2:6" hidden="1">
      <c r="B35" s="836" t="s">
        <v>8</v>
      </c>
      <c r="C35" s="837"/>
      <c r="D35" s="319">
        <v>7820</v>
      </c>
      <c r="E35" s="319">
        <v>46328</v>
      </c>
      <c r="F35" s="319">
        <v>95684</v>
      </c>
    </row>
    <row r="36" spans="2:6" hidden="1">
      <c r="B36" s="832" t="s">
        <v>13</v>
      </c>
      <c r="C36" s="833"/>
      <c r="D36" s="321">
        <v>7169.0869999999959</v>
      </c>
      <c r="E36" s="321">
        <v>43418.471000000005</v>
      </c>
      <c r="F36" s="321">
        <v>92682.978000000003</v>
      </c>
    </row>
    <row r="37" spans="2:6" hidden="1">
      <c r="B37" s="822" t="s">
        <v>88</v>
      </c>
      <c r="C37" s="822"/>
      <c r="D37" s="319">
        <v>4301.4521999999979</v>
      </c>
      <c r="E37" s="319">
        <v>26051.082600000002</v>
      </c>
      <c r="F37" s="319">
        <v>55609.786800000002</v>
      </c>
    </row>
    <row r="38" spans="2:6" ht="4.5" hidden="1" customHeight="1"/>
    <row r="39" spans="2:6" ht="24" customHeight="1">
      <c r="B39" s="822" t="s">
        <v>270</v>
      </c>
      <c r="C39" s="822"/>
      <c r="D39" s="322"/>
      <c r="E39" s="323">
        <f>E32/D32</f>
        <v>2.3895333031264161</v>
      </c>
      <c r="F39" s="323">
        <f>F32/E32</f>
        <v>1.9897036236418453</v>
      </c>
    </row>
    <row r="40" spans="2:6" ht="24" customHeight="1">
      <c r="B40" s="843" t="s">
        <v>445</v>
      </c>
      <c r="C40" s="843"/>
      <c r="D40" s="324">
        <f t="shared" ref="D40:F41" si="0">D33/D$32</f>
        <v>0.54136837335749888</v>
      </c>
      <c r="E40" s="324">
        <f t="shared" si="0"/>
        <v>0.51635474145286986</v>
      </c>
      <c r="F40" s="324">
        <f t="shared" si="0"/>
        <v>0.51488120765074197</v>
      </c>
    </row>
    <row r="41" spans="2:6" ht="24" customHeight="1">
      <c r="B41" s="819" t="s">
        <v>1</v>
      </c>
      <c r="C41" s="819"/>
      <c r="D41" s="323">
        <f t="shared" si="0"/>
        <v>0.45863162664250112</v>
      </c>
      <c r="E41" s="323">
        <f t="shared" si="0"/>
        <v>0.48364525854713009</v>
      </c>
      <c r="F41" s="323">
        <f t="shared" si="0"/>
        <v>0.48511879234925809</v>
      </c>
    </row>
    <row r="42" spans="2:6" ht="24" customHeight="1">
      <c r="B42" s="834" t="s">
        <v>446</v>
      </c>
      <c r="C42" s="835"/>
      <c r="D42" s="326">
        <f>D20/D3</f>
        <v>0.18304236832371393</v>
      </c>
      <c r="E42" s="326">
        <f>E20/E3</f>
        <v>0.14470094448581719</v>
      </c>
      <c r="F42" s="326">
        <f>F20/F3</f>
        <v>0.10923294728863743</v>
      </c>
    </row>
    <row r="43" spans="2:6" ht="24" customHeight="1">
      <c r="B43" s="838" t="s">
        <v>447</v>
      </c>
      <c r="C43" s="839"/>
      <c r="D43" s="326">
        <f>D21/D3</f>
        <v>0.82991145136598354</v>
      </c>
      <c r="E43" s="326">
        <f>E21/E3</f>
        <v>0.63955500830286094</v>
      </c>
      <c r="F43" s="326">
        <f>F21/F3</f>
        <v>0.62999912273811787</v>
      </c>
    </row>
    <row r="44" spans="2:6" ht="24" customHeight="1">
      <c r="B44" s="819" t="s">
        <v>8</v>
      </c>
      <c r="C44" s="819"/>
      <c r="D44" s="325">
        <f t="shared" ref="D44:F46" si="1">D35/D$32</f>
        <v>3.5432714091526957E-2</v>
      </c>
      <c r="E44" s="325">
        <f t="shared" si="1"/>
        <v>8.7847241974325432E-2</v>
      </c>
      <c r="F44" s="325">
        <f t="shared" si="1"/>
        <v>9.1187542289695139E-2</v>
      </c>
    </row>
    <row r="45" spans="2:6" ht="24" customHeight="1">
      <c r="B45" s="819" t="s">
        <v>13</v>
      </c>
      <c r="C45" s="819"/>
      <c r="D45" s="325">
        <f t="shared" si="1"/>
        <v>3.2483402809243299E-2</v>
      </c>
      <c r="E45" s="325">
        <f t="shared" si="1"/>
        <v>8.2330187534368673E-2</v>
      </c>
      <c r="F45" s="325">
        <f t="shared" si="1"/>
        <v>8.8327546673528323E-2</v>
      </c>
    </row>
    <row r="46" spans="2:6" ht="24" customHeight="1">
      <c r="B46" s="822" t="s">
        <v>88</v>
      </c>
      <c r="C46" s="822"/>
      <c r="D46" s="325">
        <f t="shared" si="1"/>
        <v>1.9490041685545981E-2</v>
      </c>
      <c r="E46" s="325">
        <f t="shared" si="1"/>
        <v>4.93981125206212E-2</v>
      </c>
      <c r="F46" s="325">
        <f t="shared" si="1"/>
        <v>5.2996528004116993E-2</v>
      </c>
    </row>
  </sheetData>
  <sheetProtection selectLockedCells="1" selectUnlockedCells="1"/>
  <mergeCells count="33">
    <mergeCell ref="B45:C45"/>
    <mergeCell ref="B46:C46"/>
    <mergeCell ref="B31:C31"/>
    <mergeCell ref="B37:C37"/>
    <mergeCell ref="B39:C39"/>
    <mergeCell ref="B40:C40"/>
    <mergeCell ref="B41:C41"/>
    <mergeCell ref="B44:C44"/>
    <mergeCell ref="B32:C32"/>
    <mergeCell ref="B33:C33"/>
    <mergeCell ref="B34:C34"/>
    <mergeCell ref="B35:C35"/>
    <mergeCell ref="B36:C36"/>
    <mergeCell ref="B42:C42"/>
    <mergeCell ref="B43:C43"/>
    <mergeCell ref="B28:C28"/>
    <mergeCell ref="B29:C29"/>
    <mergeCell ref="B27:C27"/>
    <mergeCell ref="B20:C20"/>
    <mergeCell ref="B22:C22"/>
    <mergeCell ref="B23:C23"/>
    <mergeCell ref="B24:C24"/>
    <mergeCell ref="B25:B26"/>
    <mergeCell ref="B21:C21"/>
    <mergeCell ref="B19:C19"/>
    <mergeCell ref="B2:C2"/>
    <mergeCell ref="B3:C3"/>
    <mergeCell ref="B4:C4"/>
    <mergeCell ref="B5:B10"/>
    <mergeCell ref="B11:C11"/>
    <mergeCell ref="B12:B16"/>
    <mergeCell ref="B17:C17"/>
    <mergeCell ref="B18:C18"/>
  </mergeCells>
  <phoneticPr fontId="2"/>
  <pageMargins left="0.23622047244094491" right="0.23622047244094491" top="0.74803149606299213" bottom="0.74803149606299213" header="0.31496062992125984" footer="0.31496062992125984"/>
  <pageSetup paperSize="9" scale="115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B1:H57"/>
  <sheetViews>
    <sheetView topLeftCell="A2" workbookViewId="0">
      <selection activeCell="D41" sqref="D41"/>
    </sheetView>
  </sheetViews>
  <sheetFormatPr defaultRowHeight="13.5"/>
  <cols>
    <col min="1" max="1" width="3.75" style="256" customWidth="1"/>
    <col min="2" max="2" width="3.875" style="256" customWidth="1"/>
    <col min="3" max="3" width="16.125" style="256" customWidth="1"/>
    <col min="4" max="7" width="17.5" style="256" customWidth="1"/>
    <col min="8" max="8" width="9" style="256" hidden="1" customWidth="1"/>
    <col min="9" max="16384" width="9" style="256"/>
  </cols>
  <sheetData>
    <row r="1" spans="2:7" hidden="1">
      <c r="E1" s="256">
        <v>1</v>
      </c>
      <c r="G1" s="256">
        <v>2</v>
      </c>
    </row>
    <row r="2" spans="2:7" ht="14.25" thickBot="1">
      <c r="B2" s="866" t="s">
        <v>329</v>
      </c>
      <c r="C2" s="866"/>
      <c r="D2" s="866"/>
      <c r="E2" s="866"/>
      <c r="F2" s="866"/>
      <c r="G2" s="866"/>
    </row>
    <row r="3" spans="2:7" ht="14.25" thickBot="1">
      <c r="B3" s="851"/>
      <c r="C3" s="852"/>
      <c r="D3" s="257" t="s">
        <v>406</v>
      </c>
      <c r="E3" s="257" t="s">
        <v>407</v>
      </c>
      <c r="F3" s="481"/>
      <c r="G3" s="270" t="s">
        <v>408</v>
      </c>
    </row>
    <row r="4" spans="2:7" ht="24" customHeight="1" thickTop="1">
      <c r="B4" s="853" t="s">
        <v>76</v>
      </c>
      <c r="C4" s="854"/>
      <c r="D4" s="258">
        <v>0</v>
      </c>
      <c r="E4" s="258">
        <f>D41</f>
        <v>-502546.91999999806</v>
      </c>
      <c r="F4" s="482"/>
      <c r="G4" s="271">
        <f>E41</f>
        <v>-1094549.9599999976</v>
      </c>
    </row>
    <row r="5" spans="2:7" ht="24" customHeight="1">
      <c r="B5" s="855" t="s">
        <v>34</v>
      </c>
      <c r="C5" s="856"/>
      <c r="D5" s="259">
        <f>SUM(基礎!D55:O55)</f>
        <v>39760360</v>
      </c>
      <c r="E5" s="259">
        <f>SUM(基礎!V55:AG55)</f>
        <v>129071704</v>
      </c>
      <c r="F5" s="483"/>
      <c r="G5" s="272">
        <f>SUM(基礎!AM55:AX55)</f>
        <v>146958399</v>
      </c>
    </row>
    <row r="6" spans="2:7" hidden="1">
      <c r="B6" s="857"/>
      <c r="C6" s="260" t="s">
        <v>29</v>
      </c>
      <c r="D6" s="261">
        <f>SUM(基礎!D56:O56)</f>
        <v>31990360</v>
      </c>
      <c r="E6" s="261">
        <f>SUM(基礎!V56:AG56)</f>
        <v>107291682</v>
      </c>
      <c r="F6" s="484"/>
      <c r="G6" s="273">
        <f>SUM(基礎!AM56:AX56)</f>
        <v>122868375</v>
      </c>
    </row>
    <row r="7" spans="2:7" hidden="1">
      <c r="B7" s="858"/>
      <c r="C7" s="260" t="s">
        <v>30</v>
      </c>
      <c r="D7" s="261">
        <f>SUM(基礎!D57:O57)</f>
        <v>7770000</v>
      </c>
      <c r="E7" s="261">
        <f>SUM(基礎!V57:AG57)</f>
        <v>21780022</v>
      </c>
      <c r="F7" s="484"/>
      <c r="G7" s="273">
        <f>SUM(基礎!AM57:AX57)</f>
        <v>24090024</v>
      </c>
    </row>
    <row r="8" spans="2:7" hidden="1">
      <c r="B8" s="858"/>
      <c r="C8" s="260" t="s">
        <v>14</v>
      </c>
      <c r="D8" s="261">
        <f>SUM(基礎!D58:O58)</f>
        <v>0</v>
      </c>
      <c r="E8" s="261">
        <f>SUM(基礎!V58:AG58)</f>
        <v>0</v>
      </c>
      <c r="F8" s="484"/>
      <c r="G8" s="273">
        <f>SUM(基礎!AM58:AX58)</f>
        <v>0</v>
      </c>
    </row>
    <row r="9" spans="2:7" hidden="1">
      <c r="B9" s="858"/>
      <c r="C9" s="260" t="s">
        <v>33</v>
      </c>
      <c r="D9" s="261">
        <f>SUM(基礎!D59:O59)</f>
        <v>0</v>
      </c>
      <c r="E9" s="261">
        <f>SUM(基礎!V59:AG59)</f>
        <v>0</v>
      </c>
      <c r="F9" s="484"/>
      <c r="G9" s="273">
        <f>SUM(基礎!AM59:AX59)</f>
        <v>0</v>
      </c>
    </row>
    <row r="10" spans="2:7" ht="24" customHeight="1">
      <c r="B10" s="859" t="s">
        <v>35</v>
      </c>
      <c r="C10" s="860"/>
      <c r="D10" s="262">
        <f>SUM(基礎!D60:O60)</f>
        <v>59863906.920000002</v>
      </c>
      <c r="E10" s="262">
        <f>SUM(基礎!V60:AG60)</f>
        <v>128400542.44</v>
      </c>
      <c r="F10" s="485"/>
      <c r="G10" s="274">
        <f>SUM(基礎!AM60:AX60)</f>
        <v>137554976.5</v>
      </c>
    </row>
    <row r="11" spans="2:7" hidden="1">
      <c r="B11" s="861"/>
      <c r="C11" s="260" t="s">
        <v>36</v>
      </c>
      <c r="D11" s="261">
        <f>SUM(基礎!D61:O61)</f>
        <v>48137000</v>
      </c>
      <c r="E11" s="261">
        <f>SUM(基礎!V61:AG61)</f>
        <v>107027000</v>
      </c>
      <c r="F11" s="484"/>
      <c r="G11" s="273">
        <f>SUM(基礎!AM61:AX61)</f>
        <v>118214000</v>
      </c>
    </row>
    <row r="12" spans="2:7" hidden="1">
      <c r="B12" s="862"/>
      <c r="C12" s="260" t="s">
        <v>37</v>
      </c>
      <c r="D12" s="261">
        <f>SUM(基礎!D62:O62)</f>
        <v>5340000</v>
      </c>
      <c r="E12" s="261">
        <f>SUM(基礎!V62:AG62)</f>
        <v>11780000</v>
      </c>
      <c r="F12" s="484"/>
      <c r="G12" s="273">
        <f>SUM(基礎!AM62:AX62)</f>
        <v>12100000</v>
      </c>
    </row>
    <row r="13" spans="2:7" hidden="1">
      <c r="B13" s="862"/>
      <c r="C13" s="260" t="s">
        <v>38</v>
      </c>
      <c r="D13" s="261">
        <f>SUM(基礎!D63:O63)</f>
        <v>6141906.9199999999</v>
      </c>
      <c r="E13" s="261">
        <f>SUM(基礎!V63:AG63)</f>
        <v>9593542.4399999995</v>
      </c>
      <c r="F13" s="484"/>
      <c r="G13" s="273">
        <f>SUM(基礎!AM63:AX63)</f>
        <v>7240976.5</v>
      </c>
    </row>
    <row r="14" spans="2:7" hidden="1">
      <c r="B14" s="862"/>
      <c r="C14" s="260" t="s">
        <v>39</v>
      </c>
      <c r="D14" s="261">
        <f>SUM(基礎!D64:O64)</f>
        <v>0</v>
      </c>
      <c r="E14" s="261">
        <f>SUM(基礎!V64:AG64)</f>
        <v>0</v>
      </c>
      <c r="F14" s="484"/>
      <c r="G14" s="273">
        <f>SUM(基礎!AM64:AX64)</f>
        <v>0</v>
      </c>
    </row>
    <row r="15" spans="2:7" hidden="1">
      <c r="B15" s="862"/>
      <c r="C15" s="260" t="s">
        <v>10</v>
      </c>
      <c r="D15" s="261">
        <f>SUM(基礎!D65:O65)</f>
        <v>245000</v>
      </c>
      <c r="E15" s="261">
        <f>SUM(基礎!V65:AG65)</f>
        <v>0</v>
      </c>
      <c r="F15" s="484"/>
      <c r="G15" s="273">
        <f>SUM(基礎!AM65:AX65)</f>
        <v>0</v>
      </c>
    </row>
    <row r="16" spans="2:7" hidden="1">
      <c r="B16" s="862"/>
      <c r="C16" s="260" t="s">
        <v>43</v>
      </c>
      <c r="D16" s="261">
        <f>SUM(基礎!D66:O66)</f>
        <v>0</v>
      </c>
      <c r="E16" s="261">
        <f>SUM(基礎!V66:AG66)</f>
        <v>0</v>
      </c>
      <c r="F16" s="484"/>
      <c r="G16" s="273">
        <f>SUM(基礎!AM66:AX66)</f>
        <v>0</v>
      </c>
    </row>
    <row r="17" spans="2:8" hidden="1">
      <c r="B17" s="862"/>
      <c r="C17" s="260" t="s">
        <v>42</v>
      </c>
      <c r="D17" s="261"/>
      <c r="E17" s="261"/>
      <c r="F17" s="484"/>
      <c r="G17" s="273"/>
    </row>
    <row r="18" spans="2:8" ht="24" customHeight="1">
      <c r="B18" s="863" t="s">
        <v>44</v>
      </c>
      <c r="C18" s="864"/>
      <c r="D18" s="263">
        <f>SUM(基礎!D68:O68)</f>
        <v>-20103546.919999998</v>
      </c>
      <c r="E18" s="263">
        <f>SUM(基礎!V68:AG68)</f>
        <v>671161.56000000052</v>
      </c>
      <c r="F18" s="486"/>
      <c r="G18" s="275">
        <f>SUM(基礎!AN68:AY68)</f>
        <v>11616829</v>
      </c>
    </row>
    <row r="19" spans="2:8" ht="24" customHeight="1">
      <c r="B19" s="855" t="s">
        <v>52</v>
      </c>
      <c r="C19" s="856"/>
      <c r="D19" s="259">
        <f>SUM(基礎!D69:O69)</f>
        <v>23000000</v>
      </c>
      <c r="E19" s="259">
        <f>SUM(基礎!V69:AG69)</f>
        <v>0</v>
      </c>
      <c r="F19" s="483"/>
      <c r="G19" s="272">
        <f>SUM(基礎!AM69:AX69)</f>
        <v>0</v>
      </c>
    </row>
    <row r="20" spans="2:8">
      <c r="B20" s="865"/>
      <c r="C20" s="260" t="s">
        <v>45</v>
      </c>
      <c r="D20" s="261">
        <f>SUM(基礎!D70:O70)</f>
        <v>0</v>
      </c>
      <c r="E20" s="261">
        <f>SUM(基礎!V70:AG70)</f>
        <v>0</v>
      </c>
      <c r="F20" s="484"/>
      <c r="G20" s="273">
        <f>SUM(基礎!AM70:AX70)</f>
        <v>0</v>
      </c>
    </row>
    <row r="21" spans="2:8">
      <c r="B21" s="865"/>
      <c r="C21" s="260" t="s">
        <v>46</v>
      </c>
      <c r="D21" s="261">
        <f>SUM(基礎!D71:O71)</f>
        <v>8000000</v>
      </c>
      <c r="E21" s="261">
        <f>SUM(基礎!V71:AG71)</f>
        <v>0</v>
      </c>
      <c r="F21" s="484"/>
      <c r="G21" s="273">
        <f>SUM(基礎!AM71:AX71)</f>
        <v>0</v>
      </c>
    </row>
    <row r="22" spans="2:8">
      <c r="B22" s="865"/>
      <c r="C22" s="260" t="s">
        <v>51</v>
      </c>
      <c r="D22" s="261">
        <f>SUM(基礎!D72:O72)</f>
        <v>15000000</v>
      </c>
      <c r="E22" s="261">
        <f>SUM(基礎!V72:AG72)</f>
        <v>0</v>
      </c>
      <c r="F22" s="484"/>
      <c r="G22" s="273">
        <f>SUM(基礎!AM72:AX72)</f>
        <v>0</v>
      </c>
    </row>
    <row r="23" spans="2:8">
      <c r="B23" s="865"/>
      <c r="C23" s="260" t="s">
        <v>47</v>
      </c>
      <c r="D23" s="261">
        <f>SUM(基礎!D73:O73)</f>
        <v>0</v>
      </c>
      <c r="E23" s="261">
        <f>SUM(基礎!V73:AG73)</f>
        <v>0</v>
      </c>
      <c r="F23" s="484"/>
      <c r="G23" s="273">
        <f>SUM(基礎!AM73:AX73)</f>
        <v>0</v>
      </c>
    </row>
    <row r="24" spans="2:8" hidden="1">
      <c r="B24" s="865"/>
      <c r="C24" s="260"/>
      <c r="D24" s="261"/>
      <c r="E24" s="261">
        <f>SUM(基礎!V74:AG74)</f>
        <v>0</v>
      </c>
      <c r="F24" s="484"/>
      <c r="G24" s="273">
        <f>SUM(基礎!AM74:AX74)</f>
        <v>0</v>
      </c>
    </row>
    <row r="25" spans="2:8" hidden="1">
      <c r="B25" s="865"/>
      <c r="C25" s="260"/>
      <c r="D25" s="261"/>
      <c r="E25" s="261">
        <f>SUM(基礎!V75:AG75)</f>
        <v>0</v>
      </c>
      <c r="F25" s="484"/>
      <c r="G25" s="273">
        <f>SUM(基礎!AM75:AX75)</f>
        <v>0</v>
      </c>
    </row>
    <row r="26" spans="2:8">
      <c r="B26" s="865"/>
      <c r="C26" s="260" t="s">
        <v>64</v>
      </c>
      <c r="D26" s="261">
        <f>SUM(基礎!D74:O74)</f>
        <v>0</v>
      </c>
      <c r="E26" s="261">
        <f>SUM(基礎!V74:AG74)</f>
        <v>0</v>
      </c>
      <c r="F26" s="484"/>
      <c r="G26" s="273">
        <f>SUM(基礎!AM74:AX74)</f>
        <v>0</v>
      </c>
    </row>
    <row r="27" spans="2:8">
      <c r="B27" s="857"/>
      <c r="C27" s="260" t="s">
        <v>231</v>
      </c>
      <c r="D27" s="261">
        <f>SUM(基礎!D76:O76)</f>
        <v>0</v>
      </c>
      <c r="E27" s="261">
        <f>SUM(基礎!V76:AG76)</f>
        <v>0</v>
      </c>
      <c r="F27" s="484"/>
      <c r="G27" s="273">
        <f>SUM(基礎!AM76:AX76)</f>
        <v>0</v>
      </c>
    </row>
    <row r="28" spans="2:8" ht="24" customHeight="1">
      <c r="B28" s="859" t="s">
        <v>53</v>
      </c>
      <c r="C28" s="860"/>
      <c r="D28" s="262">
        <f>SUM(D29:D36)</f>
        <v>3399000</v>
      </c>
      <c r="E28" s="262">
        <f>SUM(E29:E36)</f>
        <v>684000</v>
      </c>
      <c r="F28" s="485"/>
      <c r="G28" s="274">
        <f>SUM(基礎!AN77:AY77)</f>
        <v>684000</v>
      </c>
      <c r="H28" s="269">
        <f>SUM(H29:H36)</f>
        <v>0</v>
      </c>
    </row>
    <row r="29" spans="2:8">
      <c r="B29" s="879"/>
      <c r="C29" s="260" t="s">
        <v>410</v>
      </c>
      <c r="D29" s="261">
        <f>SUM(基礎!D78:O78)</f>
        <v>0</v>
      </c>
      <c r="E29" s="261">
        <f>SUM(基礎!V78:AG78)</f>
        <v>0</v>
      </c>
      <c r="F29" s="484"/>
      <c r="G29" s="273">
        <f>SUM(基礎!AM78:AX78)</f>
        <v>0</v>
      </c>
    </row>
    <row r="30" spans="2:8" ht="16.5" customHeight="1">
      <c r="B30" s="879"/>
      <c r="C30" s="260" t="s">
        <v>432</v>
      </c>
      <c r="D30" s="261">
        <f>SUM(基礎!D79:O79)</f>
        <v>399000</v>
      </c>
      <c r="E30" s="261">
        <f>SUM(基礎!V79:AG79)</f>
        <v>684000</v>
      </c>
      <c r="F30" s="484"/>
      <c r="G30" s="273">
        <f>SUM(基礎!AN79:AY79)</f>
        <v>684000</v>
      </c>
    </row>
    <row r="31" spans="2:8" ht="16.5" customHeight="1">
      <c r="B31" s="879"/>
      <c r="C31" s="260" t="s">
        <v>411</v>
      </c>
      <c r="D31" s="261">
        <f>SUM(基礎!D80:O80)</f>
        <v>3000000</v>
      </c>
      <c r="E31" s="261"/>
      <c r="F31" s="484"/>
      <c r="G31" s="273"/>
    </row>
    <row r="32" spans="2:8" ht="16.5" hidden="1" customHeight="1">
      <c r="B32" s="879"/>
      <c r="C32" s="260"/>
      <c r="D32" s="261"/>
      <c r="E32" s="261"/>
      <c r="F32" s="484"/>
      <c r="G32" s="273"/>
    </row>
    <row r="33" spans="2:8" ht="16.5" hidden="1" customHeight="1">
      <c r="B33" s="879"/>
      <c r="C33" s="260"/>
      <c r="D33" s="261"/>
      <c r="E33" s="261"/>
      <c r="F33" s="484"/>
      <c r="G33" s="273"/>
    </row>
    <row r="34" spans="2:8" ht="16.5" hidden="1" customHeight="1">
      <c r="B34" s="879"/>
      <c r="C34" s="260"/>
      <c r="D34" s="261"/>
      <c r="E34" s="261">
        <f>SUM(基礎!V80:AG80)</f>
        <v>0</v>
      </c>
      <c r="F34" s="484"/>
      <c r="G34" s="273">
        <f>SUM(基礎!AM80:AX80)</f>
        <v>0</v>
      </c>
    </row>
    <row r="35" spans="2:8" ht="16.5" hidden="1" customHeight="1">
      <c r="B35" s="879"/>
      <c r="C35" s="260"/>
      <c r="D35" s="261">
        <f>SUM(基礎!D81:O81)</f>
        <v>0</v>
      </c>
      <c r="E35" s="261">
        <f>SUM(基礎!V81:AG81)</f>
        <v>0</v>
      </c>
      <c r="F35" s="484"/>
      <c r="G35" s="273">
        <f>SUM(基礎!AM81:AX81)</f>
        <v>0</v>
      </c>
    </row>
    <row r="36" spans="2:8" ht="16.5" customHeight="1">
      <c r="B36" s="861"/>
      <c r="C36" s="260" t="s">
        <v>50</v>
      </c>
      <c r="D36" s="261">
        <f>SUM(基礎!D82:O82)</f>
        <v>0</v>
      </c>
      <c r="E36" s="261">
        <f>SUM(基礎!V82:AG82)</f>
        <v>0</v>
      </c>
      <c r="F36" s="484"/>
      <c r="G36" s="273">
        <f>SUM(基礎!AM82:AX82)</f>
        <v>0</v>
      </c>
    </row>
    <row r="37" spans="2:8" ht="24" customHeight="1">
      <c r="B37" s="847" t="s">
        <v>58</v>
      </c>
      <c r="C37" s="848"/>
      <c r="D37" s="263">
        <f>D19-D28</f>
        <v>19601000</v>
      </c>
      <c r="E37" s="263">
        <f>E19-E28</f>
        <v>-684000</v>
      </c>
      <c r="F37" s="486"/>
      <c r="G37" s="275">
        <f>G19-G28</f>
        <v>-684000</v>
      </c>
    </row>
    <row r="38" spans="2:8" ht="24" customHeight="1">
      <c r="B38" s="845" t="s">
        <v>70</v>
      </c>
      <c r="C38" s="846"/>
      <c r="D38" s="264">
        <f>D18+D37</f>
        <v>-502546.91999999806</v>
      </c>
      <c r="E38" s="264">
        <f>E18+E37</f>
        <v>-12838.439999999478</v>
      </c>
      <c r="F38" s="487"/>
      <c r="G38" s="276">
        <f>G18+G37</f>
        <v>10932829</v>
      </c>
    </row>
    <row r="39" spans="2:8" ht="24" customHeight="1">
      <c r="B39" s="880" t="s">
        <v>89</v>
      </c>
      <c r="C39" s="881"/>
      <c r="D39" s="265">
        <f>PL!D28</f>
        <v>0</v>
      </c>
      <c r="E39" s="265">
        <f>PL!E28</f>
        <v>579164.6</v>
      </c>
      <c r="F39" s="488"/>
      <c r="G39" s="277">
        <f>基礎!AY84</f>
        <v>0</v>
      </c>
    </row>
    <row r="40" spans="2:8" ht="24" customHeight="1">
      <c r="B40" s="845" t="s">
        <v>90</v>
      </c>
      <c r="C40" s="846"/>
      <c r="D40" s="264">
        <f>D38-D39</f>
        <v>-502546.91999999806</v>
      </c>
      <c r="E40" s="264">
        <f>E38-E39</f>
        <v>-592003.03999999946</v>
      </c>
      <c r="F40" s="487"/>
      <c r="G40" s="276">
        <f>G38-G39</f>
        <v>10932829</v>
      </c>
    </row>
    <row r="41" spans="2:8" ht="24" customHeight="1" thickBot="1">
      <c r="B41" s="849" t="s">
        <v>77</v>
      </c>
      <c r="C41" s="850"/>
      <c r="D41" s="266">
        <f>D4+D40</f>
        <v>-502546.91999999806</v>
      </c>
      <c r="E41" s="266">
        <f>E4+E40</f>
        <v>-1094549.9599999976</v>
      </c>
      <c r="F41" s="489"/>
      <c r="G41" s="278">
        <f>G4+G40</f>
        <v>9838279.0400000028</v>
      </c>
    </row>
    <row r="43" spans="2:8" ht="21" customHeight="1">
      <c r="B43" s="871" t="s">
        <v>91</v>
      </c>
      <c r="C43" s="871"/>
      <c r="D43" s="267">
        <f>D38</f>
        <v>-502546.91999999806</v>
      </c>
      <c r="E43" s="267">
        <f>E38/(1+$H$43)^(E1-1)</f>
        <v>-12838.439999999478</v>
      </c>
      <c r="F43" s="267"/>
      <c r="G43" s="267">
        <f>G38/(1+$H$43)^(G1)</f>
        <v>10612078.914800167</v>
      </c>
      <c r="H43" s="256">
        <v>1.4999999999999999E-2</v>
      </c>
    </row>
    <row r="44" spans="2:8" ht="21" customHeight="1">
      <c r="B44" s="871" t="s">
        <v>92</v>
      </c>
      <c r="C44" s="871"/>
      <c r="D44" s="267">
        <f>D40/(1+$H$43)</f>
        <v>-495120.11822659912</v>
      </c>
      <c r="E44" s="267">
        <f>E40/(1+$H$43)^(E1)</f>
        <v>-583254.22660098469</v>
      </c>
      <c r="F44" s="267"/>
      <c r="G44" s="267">
        <f>G40/(1+$H$43)^(G1)</f>
        <v>10612078.914800167</v>
      </c>
      <c r="H44" s="256">
        <v>1.4999999999999999E-2</v>
      </c>
    </row>
    <row r="45" spans="2:8" ht="10.5" customHeight="1"/>
    <row r="46" spans="2:8" ht="21" customHeight="1">
      <c r="B46" s="844" t="s">
        <v>93</v>
      </c>
      <c r="C46" s="844"/>
      <c r="D46" s="844"/>
    </row>
    <row r="47" spans="2:8" ht="21" customHeight="1">
      <c r="B47" s="873" t="s">
        <v>94</v>
      </c>
      <c r="C47" s="873"/>
      <c r="D47" s="873"/>
      <c r="E47" s="871">
        <f>SUM(D43:G43)</f>
        <v>10096693.55480017</v>
      </c>
      <c r="F47" s="871"/>
      <c r="G47" s="871"/>
    </row>
    <row r="48" spans="2:8" ht="21" customHeight="1">
      <c r="B48" s="873" t="s">
        <v>95</v>
      </c>
      <c r="C48" s="873"/>
      <c r="D48" s="873"/>
      <c r="E48" s="871">
        <f>SUM(D44:G44)</f>
        <v>9533704.569972584</v>
      </c>
      <c r="F48" s="871"/>
      <c r="G48" s="871"/>
    </row>
    <row r="49" spans="2:7" ht="9.75" customHeight="1" thickBot="1"/>
    <row r="50" spans="2:7" ht="15" customHeight="1" thickBot="1">
      <c r="B50" s="876"/>
      <c r="C50" s="877"/>
      <c r="D50" s="877"/>
      <c r="E50" s="877"/>
      <c r="F50" s="877"/>
      <c r="G50" s="878"/>
    </row>
    <row r="51" spans="2:7" ht="15" customHeight="1" thickTop="1">
      <c r="B51" s="867" t="s">
        <v>97</v>
      </c>
      <c r="C51" s="868"/>
      <c r="D51" s="868"/>
      <c r="E51" s="868"/>
      <c r="F51" s="868"/>
      <c r="G51" s="868"/>
    </row>
    <row r="52" spans="2:7" ht="15" customHeight="1" thickBot="1">
      <c r="B52" s="872" t="s">
        <v>98</v>
      </c>
      <c r="C52" s="873"/>
      <c r="D52" s="873"/>
      <c r="E52" s="873"/>
      <c r="F52" s="873"/>
      <c r="G52" s="873"/>
    </row>
    <row r="53" spans="2:7" ht="15" customHeight="1" thickBot="1">
      <c r="B53" s="874" t="s">
        <v>99</v>
      </c>
      <c r="C53" s="875"/>
      <c r="D53" s="875"/>
      <c r="E53" s="875"/>
      <c r="F53" s="875"/>
      <c r="G53" s="875"/>
    </row>
    <row r="54" spans="2:7" ht="15" customHeight="1">
      <c r="B54" s="867" t="s">
        <v>102</v>
      </c>
      <c r="C54" s="868"/>
      <c r="D54" s="868"/>
      <c r="E54" s="868"/>
      <c r="F54" s="868"/>
      <c r="G54" s="868"/>
    </row>
    <row r="55" spans="2:7" ht="15" customHeight="1" thickBot="1">
      <c r="B55" s="869" t="s">
        <v>103</v>
      </c>
      <c r="C55" s="870"/>
      <c r="D55" s="870"/>
      <c r="E55" s="870"/>
      <c r="F55" s="870"/>
      <c r="G55" s="870"/>
    </row>
    <row r="56" spans="2:7">
      <c r="B56" s="268"/>
    </row>
    <row r="57" spans="2:7">
      <c r="B57" s="268"/>
    </row>
  </sheetData>
  <sheetProtection selectLockedCells="1" selectUnlockedCells="1"/>
  <mergeCells count="30">
    <mergeCell ref="B2:G2"/>
    <mergeCell ref="B54:G54"/>
    <mergeCell ref="B55:G55"/>
    <mergeCell ref="E47:G47"/>
    <mergeCell ref="E48:G48"/>
    <mergeCell ref="B51:G51"/>
    <mergeCell ref="B52:G52"/>
    <mergeCell ref="B53:G53"/>
    <mergeCell ref="B50:G50"/>
    <mergeCell ref="B47:D47"/>
    <mergeCell ref="B48:D48"/>
    <mergeCell ref="B29:B36"/>
    <mergeCell ref="B39:C39"/>
    <mergeCell ref="B40:C40"/>
    <mergeCell ref="B43:C43"/>
    <mergeCell ref="B44:C44"/>
    <mergeCell ref="B46:D46"/>
    <mergeCell ref="B38:C38"/>
    <mergeCell ref="B37:C37"/>
    <mergeCell ref="B41:C41"/>
    <mergeCell ref="B3:C3"/>
    <mergeCell ref="B4:C4"/>
    <mergeCell ref="B5:C5"/>
    <mergeCell ref="B6:B9"/>
    <mergeCell ref="B10:C10"/>
    <mergeCell ref="B11:B17"/>
    <mergeCell ref="B18:C18"/>
    <mergeCell ref="B19:C19"/>
    <mergeCell ref="B20:B27"/>
    <mergeCell ref="B28:C28"/>
  </mergeCells>
  <phoneticPr fontId="2"/>
  <pageMargins left="0.23622047244094491" right="0.23622047244094491" top="0.74803149606299213" bottom="0.74803149606299213" header="0.31496062992125984" footer="0.31496062992125984"/>
  <pageSetup paperSize="9" scale="120" orientation="portrait" r:id="rId1"/>
  <ignoredErrors>
    <ignoredError sqref="E10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Q17"/>
  <sheetViews>
    <sheetView zoomScale="130" zoomScaleNormal="130" workbookViewId="0">
      <selection activeCell="C3" sqref="C3"/>
    </sheetView>
  </sheetViews>
  <sheetFormatPr defaultRowHeight="14.25" customHeight="1"/>
  <cols>
    <col min="1" max="1" width="1.25" style="114" customWidth="1"/>
    <col min="2" max="5" width="10.75" style="118" customWidth="1"/>
    <col min="6" max="6" width="4.625" style="118" customWidth="1"/>
    <col min="7" max="10" width="10.75" style="118" customWidth="1"/>
    <col min="11" max="11" width="5.25" style="118" customWidth="1"/>
    <col min="12" max="15" width="11.625" style="118" hidden="1" customWidth="1"/>
    <col min="16" max="17" width="0" style="1" hidden="1" customWidth="1"/>
    <col min="18" max="16384" width="9" style="1"/>
  </cols>
  <sheetData>
    <row r="1" spans="2:17" ht="14.25" customHeight="1" thickBot="1">
      <c r="B1" s="882" t="s">
        <v>433</v>
      </c>
      <c r="C1" s="882"/>
      <c r="D1" s="882"/>
      <c r="E1" s="882"/>
      <c r="G1" s="882" t="s">
        <v>436</v>
      </c>
      <c r="H1" s="882"/>
      <c r="I1" s="882"/>
      <c r="J1" s="882"/>
      <c r="L1" s="882" t="s">
        <v>267</v>
      </c>
      <c r="M1" s="882"/>
      <c r="N1" s="882"/>
      <c r="O1" s="882"/>
    </row>
    <row r="2" spans="2:17" ht="14.25" customHeight="1" thickBot="1">
      <c r="B2" s="883" t="s">
        <v>264</v>
      </c>
      <c r="C2" s="884"/>
      <c r="D2" s="884" t="s">
        <v>265</v>
      </c>
      <c r="E2" s="885"/>
      <c r="G2" s="883" t="s">
        <v>264</v>
      </c>
      <c r="H2" s="884"/>
      <c r="I2" s="884" t="s">
        <v>265</v>
      </c>
      <c r="J2" s="885"/>
      <c r="L2" s="883" t="s">
        <v>264</v>
      </c>
      <c r="M2" s="884"/>
      <c r="N2" s="884" t="s">
        <v>265</v>
      </c>
      <c r="O2" s="885"/>
    </row>
    <row r="3" spans="2:17" ht="21.75" customHeight="1" thickTop="1">
      <c r="B3" s="127" t="s">
        <v>255</v>
      </c>
      <c r="C3" s="115">
        <f>基礎!O85</f>
        <v>6681322.0800000001</v>
      </c>
      <c r="D3" s="115" t="s">
        <v>434</v>
      </c>
      <c r="E3" s="112">
        <f>基礎!V61+基礎!V63</f>
        <v>7122731.4399999995</v>
      </c>
      <c r="G3" s="127" t="s">
        <v>255</v>
      </c>
      <c r="H3" s="115">
        <f>基礎!AG85</f>
        <v>6378901.3400000008</v>
      </c>
      <c r="I3" s="115" t="s">
        <v>257</v>
      </c>
      <c r="J3" s="112">
        <f>基礎!AN61+基礎!AN63</f>
        <v>9919752.5</v>
      </c>
      <c r="L3" s="127" t="s">
        <v>255</v>
      </c>
      <c r="M3" s="115">
        <f>基礎!AY85</f>
        <v>17311730.34</v>
      </c>
      <c r="N3" s="115" t="s">
        <v>257</v>
      </c>
      <c r="O3" s="112">
        <f>J3+基礎!AY25-SUM(基礎!AM61:AX61)</f>
        <v>-102584247.5</v>
      </c>
    </row>
    <row r="4" spans="2:17" ht="21.75" customHeight="1" thickBot="1">
      <c r="B4" s="122" t="s">
        <v>256</v>
      </c>
      <c r="C4" s="117">
        <f>基礎!P3-SUM(基礎!D55:O55)</f>
        <v>12504252</v>
      </c>
      <c r="D4" s="117"/>
      <c r="E4" s="123"/>
      <c r="G4" s="122" t="s">
        <v>256</v>
      </c>
      <c r="H4" s="117">
        <f>基礎!AN56+基礎!AO56+基礎!AN57</f>
        <v>22754103</v>
      </c>
      <c r="I4" s="117" t="s">
        <v>258</v>
      </c>
      <c r="J4" s="123"/>
      <c r="L4" s="122" t="s">
        <v>256</v>
      </c>
      <c r="M4" s="117">
        <f>基礎!AY3-SUM(基礎!AM55:AX55)+H4</f>
        <v>-109330843</v>
      </c>
      <c r="N4" s="117" t="s">
        <v>258</v>
      </c>
      <c r="O4" s="123">
        <f>基礎!AY26+基礎!AY27+基礎!AY36-基礎!AY44-SUM(基礎!AM62:AX63)+J4</f>
        <v>-14973773</v>
      </c>
    </row>
    <row r="5" spans="2:17" ht="18.75" customHeight="1" thickTop="1">
      <c r="B5" s="128" t="s">
        <v>252</v>
      </c>
      <c r="C5" s="129">
        <f>SUM(C3:C4)</f>
        <v>19185574.079999998</v>
      </c>
      <c r="D5" s="129" t="s">
        <v>253</v>
      </c>
      <c r="E5" s="130">
        <f>SUM(E3:E4)</f>
        <v>7122731.4399999995</v>
      </c>
      <c r="G5" s="128" t="s">
        <v>252</v>
      </c>
      <c r="H5" s="129">
        <f>SUM(H3:H4)</f>
        <v>29133004.34</v>
      </c>
      <c r="I5" s="129" t="s">
        <v>253</v>
      </c>
      <c r="J5" s="130">
        <f>SUM(J3:J4)</f>
        <v>9919752.5</v>
      </c>
      <c r="L5" s="128" t="s">
        <v>252</v>
      </c>
      <c r="M5" s="129">
        <f>SUM(M3:M4)</f>
        <v>-92019112.659999996</v>
      </c>
      <c r="N5" s="129" t="s">
        <v>253</v>
      </c>
      <c r="O5" s="130">
        <f>SUM(O3:O4)</f>
        <v>-117558020.5</v>
      </c>
    </row>
    <row r="6" spans="2:17" ht="18.75" customHeight="1">
      <c r="B6" s="119"/>
      <c r="C6" s="113"/>
      <c r="D6" s="113" t="s">
        <v>260</v>
      </c>
      <c r="E6" s="120">
        <f>SUM(基礎!D72:O72)-SUM(基礎!D79:O79)</f>
        <v>14601000</v>
      </c>
      <c r="G6" s="119"/>
      <c r="H6" s="113"/>
      <c r="I6" s="113" t="s">
        <v>260</v>
      </c>
      <c r="J6" s="120">
        <f>SUM(基礎!V72:AG72)-SUM(基礎!V79:AG79)+E6</f>
        <v>13917000</v>
      </c>
      <c r="L6" s="119" t="s">
        <v>225</v>
      </c>
      <c r="M6" s="113">
        <f>SUM(基礎!AM81:AX81)+H6</f>
        <v>0</v>
      </c>
      <c r="N6" s="113" t="s">
        <v>260</v>
      </c>
      <c r="O6" s="120">
        <f>SUM(基礎!AM72:AX72)-SUM(基礎!AM79:AX79)+J6</f>
        <v>13290000</v>
      </c>
      <c r="Q6" s="114">
        <f>20000000-J6</f>
        <v>6083000</v>
      </c>
    </row>
    <row r="7" spans="2:17" ht="18.75" customHeight="1">
      <c r="B7" s="119"/>
      <c r="C7" s="113"/>
      <c r="D7" s="281" t="s">
        <v>46</v>
      </c>
      <c r="E7" s="120">
        <f>SUM(基礎!D71:O71)</f>
        <v>8000000</v>
      </c>
      <c r="G7" s="119"/>
      <c r="H7" s="113"/>
      <c r="I7" s="281" t="s">
        <v>46</v>
      </c>
      <c r="J7" s="120">
        <f>SUM(基礎!V71:AG71)+BS!E7</f>
        <v>8000000</v>
      </c>
      <c r="L7" s="119" t="s">
        <v>269</v>
      </c>
      <c r="M7" s="113" t="e">
        <f>SUM(#REF!)/6*-1+H7</f>
        <v>#REF!</v>
      </c>
      <c r="N7" s="113" t="s">
        <v>308</v>
      </c>
      <c r="O7" s="120">
        <f>J7+SUM(基礎!AM71:AX71)</f>
        <v>8000000</v>
      </c>
    </row>
    <row r="8" spans="2:17" ht="18.75" customHeight="1">
      <c r="B8" s="119" t="s">
        <v>266</v>
      </c>
      <c r="C8" s="113">
        <f>SUM(基礎!D78:O78)</f>
        <v>0</v>
      </c>
      <c r="D8" s="113" t="s">
        <v>335</v>
      </c>
      <c r="E8" s="120">
        <f>SUM(基礎!D75:O75)</f>
        <v>0</v>
      </c>
      <c r="G8" s="119" t="s">
        <v>266</v>
      </c>
      <c r="H8" s="113">
        <f>SUM(基礎!V78:AG78)+C8</f>
        <v>0</v>
      </c>
      <c r="I8" s="113" t="s">
        <v>335</v>
      </c>
      <c r="J8" s="120">
        <f>E8+SUM(基礎!V75:AG75)</f>
        <v>0</v>
      </c>
      <c r="L8" s="119" t="s">
        <v>266</v>
      </c>
      <c r="M8" s="113">
        <f>SUM(基礎!AM78:AX78)+H8</f>
        <v>0</v>
      </c>
      <c r="N8" s="113" t="s">
        <v>335</v>
      </c>
      <c r="O8" s="120">
        <f>J8+SUM(基礎!AM75:AX75)</f>
        <v>0</v>
      </c>
    </row>
    <row r="9" spans="2:17" ht="18.75" customHeight="1">
      <c r="B9" s="119" t="s">
        <v>435</v>
      </c>
      <c r="C9" s="113">
        <f>SUM(基礎!E80:O80)</f>
        <v>0</v>
      </c>
      <c r="D9" s="113"/>
      <c r="E9" s="120"/>
      <c r="G9" s="119" t="s">
        <v>330</v>
      </c>
      <c r="H9" s="113">
        <f>SUM(基礎!V82:AG82)+C9</f>
        <v>0</v>
      </c>
      <c r="I9" s="113"/>
      <c r="J9" s="120"/>
      <c r="L9" s="119" t="s">
        <v>330</v>
      </c>
      <c r="M9" s="113">
        <f>SUM(基礎!AM82:AX82)+H9</f>
        <v>0</v>
      </c>
      <c r="N9" s="113"/>
      <c r="O9" s="120"/>
    </row>
    <row r="10" spans="2:17" ht="18.75" customHeight="1" thickBot="1">
      <c r="B10" s="122" t="s">
        <v>268</v>
      </c>
      <c r="C10" s="117">
        <f>基礎!AH44*-1</f>
        <v>0</v>
      </c>
      <c r="D10" s="117"/>
      <c r="E10" s="123"/>
      <c r="G10" s="122" t="s">
        <v>268</v>
      </c>
      <c r="H10" s="117">
        <f>C10*2</f>
        <v>0</v>
      </c>
      <c r="I10" s="117"/>
      <c r="J10" s="123"/>
      <c r="L10" s="122" t="s">
        <v>268</v>
      </c>
      <c r="M10" s="117">
        <f>C10*3</f>
        <v>0</v>
      </c>
      <c r="N10" s="117"/>
      <c r="O10" s="123"/>
    </row>
    <row r="11" spans="2:17" ht="18.75" customHeight="1" thickTop="1">
      <c r="B11" s="128" t="s">
        <v>259</v>
      </c>
      <c r="C11" s="129">
        <f>SUM(C6:C10)</f>
        <v>0</v>
      </c>
      <c r="D11" s="129" t="s">
        <v>254</v>
      </c>
      <c r="E11" s="130">
        <f>SUM(E6:E8)</f>
        <v>22601000</v>
      </c>
      <c r="G11" s="128" t="s">
        <v>259</v>
      </c>
      <c r="H11" s="129">
        <f>SUM(H6:H10)</f>
        <v>0</v>
      </c>
      <c r="I11" s="129" t="s">
        <v>254</v>
      </c>
      <c r="J11" s="130">
        <f>SUM(J6:J8)</f>
        <v>21917000</v>
      </c>
      <c r="L11" s="128" t="s">
        <v>259</v>
      </c>
      <c r="M11" s="129" t="e">
        <f>SUM(M6:M10)</f>
        <v>#REF!</v>
      </c>
      <c r="N11" s="129" t="s">
        <v>254</v>
      </c>
      <c r="O11" s="130">
        <f>SUM(O6:O8)</f>
        <v>21290000</v>
      </c>
    </row>
    <row r="12" spans="2:17" ht="18.75" customHeight="1">
      <c r="B12" s="121"/>
      <c r="C12" s="116"/>
      <c r="D12" s="113" t="s">
        <v>261</v>
      </c>
      <c r="E12" s="120">
        <f>SUM(基礎!D70:O70)</f>
        <v>0</v>
      </c>
      <c r="G12" s="121"/>
      <c r="H12" s="116"/>
      <c r="I12" s="113" t="s">
        <v>45</v>
      </c>
      <c r="J12" s="120">
        <f>E12</f>
        <v>0</v>
      </c>
      <c r="L12" s="121"/>
      <c r="M12" s="116"/>
      <c r="N12" s="113" t="s">
        <v>45</v>
      </c>
      <c r="O12" s="120">
        <f>SUM(基礎!AM70:AX70)+J12</f>
        <v>0</v>
      </c>
    </row>
    <row r="13" spans="2:17" ht="18.75" customHeight="1">
      <c r="B13" s="119"/>
      <c r="C13" s="113"/>
      <c r="D13" s="113" t="s">
        <v>262</v>
      </c>
      <c r="E13" s="120">
        <f>SUM(基礎!D76:O76)</f>
        <v>0</v>
      </c>
      <c r="G13" s="119"/>
      <c r="H13" s="113"/>
      <c r="I13" s="113" t="s">
        <v>231</v>
      </c>
      <c r="J13" s="120">
        <f>SUM(基礎!V76:AG76)+E13</f>
        <v>0</v>
      </c>
      <c r="L13" s="119"/>
      <c r="M13" s="113"/>
      <c r="N13" s="113" t="s">
        <v>231</v>
      </c>
      <c r="O13" s="120">
        <f>SUM(基礎!AM76:AX76)+J13</f>
        <v>0</v>
      </c>
    </row>
    <row r="14" spans="2:17" ht="18.75" customHeight="1" thickBot="1">
      <c r="B14" s="122"/>
      <c r="C14" s="117"/>
      <c r="D14" s="117" t="s">
        <v>263</v>
      </c>
      <c r="E14" s="123">
        <f>基礎!P49</f>
        <v>0</v>
      </c>
      <c r="G14" s="122"/>
      <c r="H14" s="117">
        <f>13863077-1227500</f>
        <v>12635577</v>
      </c>
      <c r="I14" s="117" t="s">
        <v>263</v>
      </c>
      <c r="J14" s="123">
        <f>基礎!AH51</f>
        <v>1158329.2</v>
      </c>
      <c r="L14" s="122"/>
      <c r="M14" s="117"/>
      <c r="N14" s="117" t="s">
        <v>263</v>
      </c>
      <c r="O14" s="123">
        <f>J14+基礎!AY51</f>
        <v>1158329.2</v>
      </c>
    </row>
    <row r="15" spans="2:17" ht="18.75" customHeight="1" thickTop="1" thickBot="1">
      <c r="B15" s="124"/>
      <c r="C15" s="125">
        <f>C11+C5</f>
        <v>19185574.079999998</v>
      </c>
      <c r="D15" s="125"/>
      <c r="E15" s="126">
        <f>E5+E11+E12+E13+E14</f>
        <v>29723731.439999998</v>
      </c>
      <c r="G15" s="124"/>
      <c r="H15" s="125">
        <f>H11+H5+H14</f>
        <v>41768581.340000004</v>
      </c>
      <c r="I15" s="125"/>
      <c r="J15" s="126">
        <f>J5+J11+J12+J13+J14</f>
        <v>32995081.699999999</v>
      </c>
      <c r="L15" s="124"/>
      <c r="M15" s="125" t="e">
        <f>M11+M5</f>
        <v>#REF!</v>
      </c>
      <c r="N15" s="125"/>
      <c r="O15" s="126">
        <f>O5+O11+O12+O13+O14</f>
        <v>-95109691.299999997</v>
      </c>
    </row>
    <row r="16" spans="2:17" ht="12" customHeight="1"/>
    <row r="17" spans="10:10" ht="14.25" hidden="1" customHeight="1">
      <c r="J17" s="118">
        <f>H15-J15</f>
        <v>8773499.6400000043</v>
      </c>
    </row>
  </sheetData>
  <mergeCells count="9">
    <mergeCell ref="L1:O1"/>
    <mergeCell ref="L2:M2"/>
    <mergeCell ref="N2:O2"/>
    <mergeCell ref="B2:C2"/>
    <mergeCell ref="D2:E2"/>
    <mergeCell ref="B1:E1"/>
    <mergeCell ref="G1:J1"/>
    <mergeCell ref="G2:H2"/>
    <mergeCell ref="I2:J2"/>
  </mergeCells>
  <phoneticPr fontId="2"/>
  <pageMargins left="0.7" right="0.7" top="0.75" bottom="0.75" header="0.3" footer="0.3"/>
  <pageSetup paperSize="9" orientation="landscape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5"/>
  <sheetViews>
    <sheetView zoomScaleNormal="100" workbookViewId="0">
      <selection activeCell="B38" sqref="B38:B48"/>
    </sheetView>
  </sheetViews>
  <sheetFormatPr defaultRowHeight="13.5"/>
  <cols>
    <col min="1" max="2" width="16.375" customWidth="1"/>
    <col min="3" max="6" width="20" customWidth="1"/>
    <col min="7" max="7" width="6.5" customWidth="1"/>
    <col min="8" max="8" width="2.5" customWidth="1"/>
    <col min="9" max="9" width="17.125" bestFit="1" customWidth="1"/>
    <col min="10" max="15" width="16.375" customWidth="1"/>
    <col min="16" max="16" width="3.5" customWidth="1"/>
  </cols>
  <sheetData>
    <row r="1" spans="1:15" ht="19.5" customHeight="1">
      <c r="A1" s="886" t="s">
        <v>210</v>
      </c>
      <c r="B1" s="886"/>
      <c r="C1" s="886"/>
      <c r="D1" s="886"/>
      <c r="H1" s="886" t="s">
        <v>216</v>
      </c>
      <c r="I1" s="886"/>
      <c r="J1" s="886"/>
      <c r="K1" s="886"/>
    </row>
    <row r="2" spans="1:15" ht="14.25" thickBot="1">
      <c r="A2" s="35"/>
      <c r="F2" s="13" t="s">
        <v>328</v>
      </c>
      <c r="H2" s="35" t="s">
        <v>209</v>
      </c>
    </row>
    <row r="3" spans="1:15">
      <c r="A3" s="887" t="s">
        <v>164</v>
      </c>
      <c r="B3" s="888"/>
      <c r="C3" s="888"/>
      <c r="D3" s="888"/>
      <c r="E3" s="888"/>
      <c r="F3" s="889"/>
      <c r="H3" s="887" t="s">
        <v>164</v>
      </c>
      <c r="I3" s="903"/>
      <c r="J3" s="903"/>
      <c r="K3" s="903"/>
      <c r="L3" s="903"/>
      <c r="M3" s="903"/>
      <c r="N3" s="903"/>
      <c r="O3" s="904"/>
    </row>
    <row r="4" spans="1:15" s="34" customFormat="1" ht="39" customHeight="1">
      <c r="A4" s="890"/>
      <c r="B4" s="912" t="s">
        <v>211</v>
      </c>
      <c r="C4" s="895" t="s">
        <v>212</v>
      </c>
      <c r="D4" s="895" t="s">
        <v>213</v>
      </c>
      <c r="E4" s="895" t="s">
        <v>62</v>
      </c>
      <c r="F4" s="898" t="s">
        <v>63</v>
      </c>
      <c r="G4"/>
      <c r="H4" s="890"/>
      <c r="I4" s="36" t="s">
        <v>163</v>
      </c>
      <c r="J4" s="44" t="s">
        <v>185</v>
      </c>
      <c r="K4" s="45" t="s">
        <v>192</v>
      </c>
      <c r="L4" s="45" t="s">
        <v>195</v>
      </c>
      <c r="M4" s="45" t="s">
        <v>199</v>
      </c>
      <c r="N4" s="45" t="s">
        <v>203</v>
      </c>
      <c r="O4" s="46" t="s">
        <v>206</v>
      </c>
    </row>
    <row r="5" spans="1:15" s="34" customFormat="1" ht="39" customHeight="1">
      <c r="A5" s="891"/>
      <c r="B5" s="913"/>
      <c r="C5" s="896"/>
      <c r="D5" s="896"/>
      <c r="E5" s="896"/>
      <c r="F5" s="899"/>
      <c r="G5"/>
      <c r="H5" s="891"/>
      <c r="I5" s="36" t="s">
        <v>155</v>
      </c>
      <c r="J5" s="37" t="s">
        <v>186</v>
      </c>
      <c r="K5" s="36" t="s">
        <v>193</v>
      </c>
      <c r="L5" s="36" t="s">
        <v>196</v>
      </c>
      <c r="M5" s="36" t="s">
        <v>200</v>
      </c>
      <c r="N5" s="36" t="s">
        <v>204</v>
      </c>
      <c r="O5" s="47" t="s">
        <v>207</v>
      </c>
    </row>
    <row r="6" spans="1:15">
      <c r="A6" s="891"/>
      <c r="B6" s="913"/>
      <c r="C6" s="896"/>
      <c r="D6" s="896"/>
      <c r="E6" s="896"/>
      <c r="F6" s="899"/>
      <c r="H6" s="891"/>
      <c r="I6" s="27" t="s">
        <v>156</v>
      </c>
      <c r="J6" s="38" t="s">
        <v>187</v>
      </c>
      <c r="K6" s="39" t="s">
        <v>194</v>
      </c>
      <c r="L6" s="27" t="s">
        <v>197</v>
      </c>
      <c r="M6" s="27"/>
      <c r="N6" s="27"/>
      <c r="O6" s="48"/>
    </row>
    <row r="7" spans="1:15">
      <c r="A7" s="891"/>
      <c r="B7" s="913"/>
      <c r="C7" s="896"/>
      <c r="D7" s="896"/>
      <c r="E7" s="896"/>
      <c r="F7" s="899"/>
      <c r="H7" s="891"/>
      <c r="I7" s="27" t="s">
        <v>157</v>
      </c>
      <c r="J7" s="10">
        <v>145</v>
      </c>
      <c r="K7" s="10">
        <v>210</v>
      </c>
      <c r="L7" s="10">
        <v>1</v>
      </c>
      <c r="M7" s="10">
        <v>236</v>
      </c>
      <c r="N7" s="10">
        <v>277</v>
      </c>
      <c r="O7" s="49">
        <v>352</v>
      </c>
    </row>
    <row r="8" spans="1:15">
      <c r="A8" s="891"/>
      <c r="B8" s="914"/>
      <c r="C8" s="897"/>
      <c r="D8" s="897"/>
      <c r="E8" s="897"/>
      <c r="F8" s="900"/>
      <c r="H8" s="891"/>
      <c r="I8" s="27" t="s">
        <v>158</v>
      </c>
      <c r="J8" s="10">
        <v>463</v>
      </c>
      <c r="K8" s="10">
        <v>69</v>
      </c>
      <c r="L8" s="10">
        <v>1</v>
      </c>
      <c r="M8" s="10">
        <v>76</v>
      </c>
      <c r="N8" s="10">
        <v>60</v>
      </c>
      <c r="O8" s="49">
        <v>184</v>
      </c>
    </row>
    <row r="9" spans="1:15">
      <c r="A9" s="892" t="s">
        <v>162</v>
      </c>
      <c r="B9" s="893"/>
      <c r="C9" s="893"/>
      <c r="D9" s="893"/>
      <c r="E9" s="893"/>
      <c r="F9" s="894"/>
      <c r="H9" s="892" t="s">
        <v>162</v>
      </c>
      <c r="I9" s="893"/>
      <c r="J9" s="893"/>
      <c r="K9" s="893"/>
      <c r="L9" s="893"/>
      <c r="M9" s="893"/>
      <c r="N9" s="893"/>
      <c r="O9" s="894"/>
    </row>
    <row r="10" spans="1:15">
      <c r="A10" s="901"/>
      <c r="B10" s="30" t="s">
        <v>159</v>
      </c>
      <c r="C10" s="60">
        <v>25000</v>
      </c>
      <c r="D10" s="60">
        <v>50000</v>
      </c>
      <c r="E10" s="60">
        <v>15000</v>
      </c>
      <c r="F10" s="183">
        <v>12000</v>
      </c>
      <c r="H10" s="906"/>
      <c r="I10" s="27" t="s">
        <v>159</v>
      </c>
      <c r="J10" s="10">
        <v>7000</v>
      </c>
      <c r="K10" s="10">
        <v>4540</v>
      </c>
      <c r="L10" s="10">
        <v>3800</v>
      </c>
      <c r="M10" s="10">
        <v>1500</v>
      </c>
      <c r="N10" s="10">
        <v>3800</v>
      </c>
      <c r="O10" s="49">
        <v>2150</v>
      </c>
    </row>
    <row r="11" spans="1:15">
      <c r="A11" s="901"/>
      <c r="B11" s="30" t="s">
        <v>225</v>
      </c>
      <c r="C11" s="60">
        <v>6500</v>
      </c>
      <c r="D11" s="60">
        <v>16500</v>
      </c>
      <c r="E11" s="60">
        <v>6500</v>
      </c>
      <c r="F11" s="183">
        <v>3000</v>
      </c>
      <c r="H11" s="906"/>
      <c r="I11" s="27" t="s">
        <v>205</v>
      </c>
      <c r="J11" s="40" t="s">
        <v>191</v>
      </c>
      <c r="K11" s="40" t="s">
        <v>191</v>
      </c>
      <c r="L11" s="40" t="s">
        <v>191</v>
      </c>
      <c r="M11" s="40" t="s">
        <v>191</v>
      </c>
      <c r="N11" s="31" t="s">
        <v>191</v>
      </c>
      <c r="O11" s="50" t="s">
        <v>191</v>
      </c>
    </row>
    <row r="12" spans="1:15">
      <c r="A12" s="901"/>
      <c r="B12" s="30" t="s">
        <v>226</v>
      </c>
      <c r="C12" s="60">
        <v>650</v>
      </c>
      <c r="D12" s="60">
        <v>1650</v>
      </c>
      <c r="E12" s="60">
        <v>650</v>
      </c>
      <c r="F12" s="183">
        <v>300</v>
      </c>
      <c r="H12" s="906"/>
      <c r="I12" s="27" t="s">
        <v>160</v>
      </c>
      <c r="J12" s="10">
        <v>70</v>
      </c>
      <c r="K12" s="10">
        <v>40</v>
      </c>
      <c r="L12" s="10">
        <v>70</v>
      </c>
      <c r="M12" s="10">
        <v>25</v>
      </c>
      <c r="N12" s="10">
        <v>30</v>
      </c>
      <c r="O12" s="49">
        <v>20</v>
      </c>
    </row>
    <row r="13" spans="1:15">
      <c r="A13" s="905"/>
      <c r="B13" s="30" t="s">
        <v>161</v>
      </c>
      <c r="C13" s="60"/>
      <c r="D13" s="60"/>
      <c r="E13" s="60"/>
      <c r="F13" s="183"/>
      <c r="H13" s="907"/>
      <c r="I13" s="27" t="s">
        <v>161</v>
      </c>
      <c r="J13" s="10">
        <v>300</v>
      </c>
      <c r="K13" s="10"/>
      <c r="L13" s="10"/>
      <c r="M13" s="10"/>
      <c r="N13" s="27"/>
      <c r="O13" s="48"/>
    </row>
    <row r="14" spans="1:15">
      <c r="A14" s="909" t="s">
        <v>165</v>
      </c>
      <c r="B14" s="910"/>
      <c r="C14" s="910"/>
      <c r="D14" s="910"/>
      <c r="E14" s="910"/>
      <c r="F14" s="911"/>
      <c r="H14" s="892" t="s">
        <v>165</v>
      </c>
      <c r="I14" s="893"/>
      <c r="J14" s="893"/>
      <c r="K14" s="893"/>
      <c r="L14" s="893"/>
      <c r="M14" s="893"/>
      <c r="N14" s="893"/>
      <c r="O14" s="894"/>
    </row>
    <row r="15" spans="1:15">
      <c r="A15" s="901"/>
      <c r="B15" s="30" t="s">
        <v>166</v>
      </c>
      <c r="C15" s="58">
        <v>0.06</v>
      </c>
      <c r="D15" s="59">
        <v>0.06</v>
      </c>
      <c r="E15" s="55">
        <v>0.06</v>
      </c>
      <c r="F15" s="56">
        <v>0.06</v>
      </c>
      <c r="H15" s="906"/>
      <c r="I15" s="27" t="s">
        <v>166</v>
      </c>
      <c r="J15" s="41">
        <v>0.05</v>
      </c>
      <c r="K15" s="42">
        <v>0.04</v>
      </c>
      <c r="L15" s="32" t="s">
        <v>198</v>
      </c>
      <c r="M15" s="32" t="s">
        <v>201</v>
      </c>
      <c r="N15" s="43">
        <v>0.03</v>
      </c>
      <c r="O15" s="51" t="s">
        <v>208</v>
      </c>
    </row>
    <row r="16" spans="1:15">
      <c r="A16" s="905"/>
      <c r="B16" s="30" t="s">
        <v>167</v>
      </c>
      <c r="C16" s="60"/>
      <c r="D16" s="61"/>
      <c r="E16" s="55"/>
      <c r="F16" s="62"/>
      <c r="H16" s="907"/>
      <c r="I16" s="27" t="s">
        <v>167</v>
      </c>
      <c r="J16" s="38" t="s">
        <v>188</v>
      </c>
      <c r="K16" s="39" t="s">
        <v>189</v>
      </c>
      <c r="L16" s="39" t="s">
        <v>189</v>
      </c>
      <c r="M16" s="39" t="s">
        <v>202</v>
      </c>
      <c r="N16" s="39" t="s">
        <v>189</v>
      </c>
      <c r="O16" s="51" t="s">
        <v>202</v>
      </c>
    </row>
    <row r="17" spans="1:15">
      <c r="A17" s="909" t="s">
        <v>168</v>
      </c>
      <c r="B17" s="910"/>
      <c r="C17" s="910"/>
      <c r="D17" s="910"/>
      <c r="E17" s="910"/>
      <c r="F17" s="911"/>
      <c r="H17" s="892" t="s">
        <v>168</v>
      </c>
      <c r="I17" s="893"/>
      <c r="J17" s="893"/>
      <c r="K17" s="893"/>
      <c r="L17" s="893"/>
      <c r="M17" s="893"/>
      <c r="N17" s="893"/>
      <c r="O17" s="894"/>
    </row>
    <row r="18" spans="1:15">
      <c r="A18" s="901"/>
      <c r="B18" s="30" t="s">
        <v>169</v>
      </c>
      <c r="C18" s="6"/>
      <c r="D18" s="30"/>
      <c r="E18" s="30"/>
      <c r="F18" s="63"/>
      <c r="H18" s="906"/>
      <c r="I18" s="27" t="s">
        <v>169</v>
      </c>
      <c r="J18" s="10">
        <v>1000</v>
      </c>
      <c r="K18" s="27">
        <v>300</v>
      </c>
      <c r="L18" s="27">
        <v>300</v>
      </c>
      <c r="M18" s="27">
        <v>130</v>
      </c>
      <c r="N18" s="27">
        <v>250</v>
      </c>
      <c r="O18" s="48">
        <v>200</v>
      </c>
    </row>
    <row r="19" spans="1:15">
      <c r="A19" s="901"/>
      <c r="B19" s="30" t="s">
        <v>170</v>
      </c>
      <c r="C19" s="6"/>
      <c r="D19" s="30"/>
      <c r="E19" s="30"/>
      <c r="F19" s="63"/>
      <c r="H19" s="906"/>
      <c r="I19" s="27" t="s">
        <v>170</v>
      </c>
      <c r="J19" s="10">
        <v>300</v>
      </c>
      <c r="K19" s="27">
        <v>240</v>
      </c>
      <c r="L19" s="27">
        <v>150</v>
      </c>
      <c r="M19" s="27">
        <v>150</v>
      </c>
      <c r="N19" s="39" t="s">
        <v>190</v>
      </c>
      <c r="O19" s="48">
        <v>200</v>
      </c>
    </row>
    <row r="20" spans="1:15">
      <c r="A20" s="905"/>
      <c r="B20" s="30" t="s">
        <v>171</v>
      </c>
      <c r="C20" s="6"/>
      <c r="D20" s="30"/>
      <c r="E20" s="30"/>
      <c r="F20" s="63"/>
      <c r="H20" s="907"/>
      <c r="I20" s="27" t="s">
        <v>171</v>
      </c>
      <c r="J20" s="10">
        <v>180</v>
      </c>
      <c r="K20" s="27">
        <v>93</v>
      </c>
      <c r="L20" s="27"/>
      <c r="M20" s="27">
        <v>180</v>
      </c>
      <c r="N20" s="27"/>
      <c r="O20" s="48"/>
    </row>
    <row r="21" spans="1:15">
      <c r="A21" s="909" t="s">
        <v>172</v>
      </c>
      <c r="B21" s="910"/>
      <c r="C21" s="910"/>
      <c r="D21" s="910"/>
      <c r="E21" s="910"/>
      <c r="F21" s="911"/>
      <c r="H21" s="892" t="s">
        <v>172</v>
      </c>
      <c r="I21" s="893"/>
      <c r="J21" s="893"/>
      <c r="K21" s="893"/>
      <c r="L21" s="893"/>
      <c r="M21" s="893"/>
      <c r="N21" s="893"/>
      <c r="O21" s="894"/>
    </row>
    <row r="22" spans="1:15">
      <c r="A22" s="901"/>
      <c r="B22" s="30" t="s">
        <v>173</v>
      </c>
      <c r="C22" s="6">
        <v>5000</v>
      </c>
      <c r="D22" s="6">
        <v>10000</v>
      </c>
      <c r="E22" s="6">
        <v>3000</v>
      </c>
      <c r="F22" s="57">
        <v>2500</v>
      </c>
      <c r="H22" s="906"/>
      <c r="I22" s="27" t="s">
        <v>173</v>
      </c>
      <c r="J22" s="10">
        <v>1400</v>
      </c>
      <c r="K22" s="10">
        <v>900</v>
      </c>
      <c r="L22" s="10">
        <v>633</v>
      </c>
      <c r="M22" s="10">
        <v>300</v>
      </c>
      <c r="N22" s="10">
        <v>1000</v>
      </c>
      <c r="O22" s="49">
        <v>700</v>
      </c>
    </row>
    <row r="23" spans="1:15">
      <c r="A23" s="901"/>
      <c r="B23" s="30" t="s">
        <v>174</v>
      </c>
      <c r="C23" s="6">
        <f>C22*0.25</f>
        <v>1250</v>
      </c>
      <c r="D23" s="6">
        <f>D22*0.25</f>
        <v>2500</v>
      </c>
      <c r="E23" s="6">
        <f>E22*0.25</f>
        <v>750</v>
      </c>
      <c r="F23" s="57">
        <f>F22*0.25</f>
        <v>625</v>
      </c>
      <c r="H23" s="906"/>
      <c r="I23" s="27" t="s">
        <v>174</v>
      </c>
      <c r="J23" s="10">
        <v>413</v>
      </c>
      <c r="K23" s="10">
        <v>280</v>
      </c>
      <c r="L23" s="10">
        <v>173</v>
      </c>
      <c r="M23" s="10">
        <v>81</v>
      </c>
      <c r="N23" s="10">
        <v>350</v>
      </c>
      <c r="O23" s="49">
        <v>240</v>
      </c>
    </row>
    <row r="24" spans="1:15">
      <c r="A24" s="901"/>
      <c r="B24" s="30" t="s">
        <v>177</v>
      </c>
      <c r="C24" s="6">
        <f>C22*0.3</f>
        <v>1500</v>
      </c>
      <c r="D24" s="6">
        <f>D22*0.3</f>
        <v>3000</v>
      </c>
      <c r="E24" s="6">
        <f>E22*0.3</f>
        <v>900</v>
      </c>
      <c r="F24" s="57">
        <f>F22*0.3</f>
        <v>750</v>
      </c>
      <c r="H24" s="906"/>
      <c r="I24" s="27" t="s">
        <v>177</v>
      </c>
      <c r="J24" s="10">
        <v>301</v>
      </c>
      <c r="K24" s="10">
        <v>250</v>
      </c>
      <c r="L24" s="10">
        <v>177</v>
      </c>
      <c r="M24" s="10">
        <v>96</v>
      </c>
      <c r="N24" s="10">
        <v>200</v>
      </c>
      <c r="O24" s="49">
        <v>182</v>
      </c>
    </row>
    <row r="25" spans="1:15">
      <c r="A25" s="901"/>
      <c r="B25" s="30" t="s">
        <v>178</v>
      </c>
      <c r="C25" s="6">
        <v>70</v>
      </c>
      <c r="D25" s="6">
        <v>110</v>
      </c>
      <c r="E25" s="6">
        <v>63</v>
      </c>
      <c r="F25" s="57">
        <v>33</v>
      </c>
      <c r="H25" s="906"/>
      <c r="I25" s="27" t="s">
        <v>178</v>
      </c>
      <c r="J25" s="10"/>
      <c r="K25" s="10">
        <v>110</v>
      </c>
      <c r="L25" s="10">
        <v>63</v>
      </c>
      <c r="M25" s="10">
        <v>33</v>
      </c>
      <c r="N25" s="10">
        <v>105</v>
      </c>
      <c r="O25" s="49">
        <v>20</v>
      </c>
    </row>
    <row r="26" spans="1:15">
      <c r="A26" s="901"/>
      <c r="B26" s="30" t="s">
        <v>179</v>
      </c>
      <c r="C26" s="6">
        <v>20</v>
      </c>
      <c r="D26" s="6">
        <v>20</v>
      </c>
      <c r="E26" s="6">
        <v>15</v>
      </c>
      <c r="F26" s="57">
        <v>15</v>
      </c>
      <c r="H26" s="906"/>
      <c r="I26" s="27" t="s">
        <v>179</v>
      </c>
      <c r="J26" s="10"/>
      <c r="K26" s="10"/>
      <c r="L26" s="10">
        <v>27</v>
      </c>
      <c r="M26" s="10">
        <v>21</v>
      </c>
      <c r="N26" s="10">
        <v>50</v>
      </c>
      <c r="O26" s="49">
        <v>15</v>
      </c>
    </row>
    <row r="27" spans="1:15">
      <c r="A27" s="901"/>
      <c r="B27" s="30" t="s">
        <v>180</v>
      </c>
      <c r="C27" s="6">
        <f>C22-C23-C24-C26-C25-C29-C28</f>
        <v>1399.5833333333333</v>
      </c>
      <c r="D27" s="6">
        <f>D22-D23-D24-D26-D25-D29-D28</f>
        <v>2849.1666666666665</v>
      </c>
      <c r="E27" s="6">
        <f>E22-E23-E24-E26-E25-E29-E28</f>
        <v>815.75</v>
      </c>
      <c r="F27" s="57">
        <f>F22-F23-F24-F26-F25-F29-F28</f>
        <v>702</v>
      </c>
      <c r="H27" s="906"/>
      <c r="I27" s="27" t="s">
        <v>180</v>
      </c>
      <c r="J27" s="10">
        <v>475</v>
      </c>
      <c r="K27" s="10">
        <v>135</v>
      </c>
      <c r="L27" s="10">
        <v>77</v>
      </c>
      <c r="M27" s="10">
        <v>25</v>
      </c>
      <c r="N27" s="10">
        <v>50</v>
      </c>
      <c r="O27" s="49">
        <v>147</v>
      </c>
    </row>
    <row r="28" spans="1:15">
      <c r="A28" s="901"/>
      <c r="B28" s="30" t="s">
        <v>215</v>
      </c>
      <c r="C28" s="6">
        <f>C10/96</f>
        <v>260.41666666666669</v>
      </c>
      <c r="D28" s="6">
        <f>D10/96</f>
        <v>520.83333333333337</v>
      </c>
      <c r="E28" s="6">
        <f>E10/96</f>
        <v>156.25</v>
      </c>
      <c r="F28" s="57">
        <f>F10/96</f>
        <v>125</v>
      </c>
      <c r="H28" s="906"/>
      <c r="I28" s="27" t="s">
        <v>214</v>
      </c>
      <c r="J28" s="10"/>
      <c r="K28" s="10"/>
      <c r="L28" s="10"/>
      <c r="M28" s="10"/>
      <c r="N28" s="10"/>
      <c r="O28" s="49"/>
    </row>
    <row r="29" spans="1:15">
      <c r="A29" s="901"/>
      <c r="B29" s="30" t="s">
        <v>181</v>
      </c>
      <c r="C29" s="6">
        <f>C22*0.1</f>
        <v>500</v>
      </c>
      <c r="D29" s="6">
        <f>D22*0.1</f>
        <v>1000</v>
      </c>
      <c r="E29" s="6">
        <f>E22*0.1</f>
        <v>300</v>
      </c>
      <c r="F29" s="57">
        <f>F22*0.1</f>
        <v>250</v>
      </c>
      <c r="H29" s="906"/>
      <c r="I29" s="27" t="s">
        <v>181</v>
      </c>
      <c r="J29" s="10">
        <v>211</v>
      </c>
      <c r="K29" s="27">
        <v>90</v>
      </c>
      <c r="L29" s="27">
        <v>68</v>
      </c>
      <c r="M29" s="27">
        <v>18</v>
      </c>
      <c r="N29" s="27">
        <v>215</v>
      </c>
      <c r="O29" s="48">
        <v>45</v>
      </c>
    </row>
    <row r="30" spans="1:15">
      <c r="A30" s="901"/>
      <c r="B30" s="30"/>
      <c r="C30" s="6"/>
      <c r="D30" s="30"/>
      <c r="E30" s="30"/>
      <c r="F30" s="63"/>
      <c r="H30" s="906"/>
      <c r="I30" s="27"/>
      <c r="J30" s="10"/>
      <c r="K30" s="27"/>
      <c r="L30" s="27"/>
      <c r="M30" s="27"/>
      <c r="N30" s="27"/>
      <c r="O30" s="48"/>
    </row>
    <row r="31" spans="1:15">
      <c r="A31" s="901"/>
      <c r="B31" s="30" t="s">
        <v>175</v>
      </c>
      <c r="C31" s="64">
        <f>C23/C22</f>
        <v>0.25</v>
      </c>
      <c r="D31" s="64">
        <f>D23/D22</f>
        <v>0.25</v>
      </c>
      <c r="E31" s="64">
        <f>E23/E22</f>
        <v>0.25</v>
      </c>
      <c r="F31" s="65">
        <f>F23/F22</f>
        <v>0.25</v>
      </c>
      <c r="H31" s="906"/>
      <c r="I31" s="27" t="s">
        <v>175</v>
      </c>
      <c r="J31" s="28">
        <f t="shared" ref="J31:O31" si="0">J23/J22</f>
        <v>0.29499999999999998</v>
      </c>
      <c r="K31" s="28">
        <f t="shared" si="0"/>
        <v>0.31111111111111112</v>
      </c>
      <c r="L31" s="28">
        <f t="shared" si="0"/>
        <v>0.27330173775671407</v>
      </c>
      <c r="M31" s="28">
        <f t="shared" si="0"/>
        <v>0.27</v>
      </c>
      <c r="N31" s="28">
        <f t="shared" si="0"/>
        <v>0.35</v>
      </c>
      <c r="O31" s="29">
        <f t="shared" si="0"/>
        <v>0.34285714285714286</v>
      </c>
    </row>
    <row r="32" spans="1:15">
      <c r="A32" s="901"/>
      <c r="B32" s="30" t="s">
        <v>176</v>
      </c>
      <c r="C32" s="64">
        <f>C24/C22</f>
        <v>0.3</v>
      </c>
      <c r="D32" s="64">
        <f>D24/D22</f>
        <v>0.3</v>
      </c>
      <c r="E32" s="64">
        <f>E24/E22</f>
        <v>0.3</v>
      </c>
      <c r="F32" s="65">
        <f>F24/F22</f>
        <v>0.3</v>
      </c>
      <c r="H32" s="906"/>
      <c r="I32" s="27" t="s">
        <v>176</v>
      </c>
      <c r="J32" s="28">
        <f t="shared" ref="J32:O32" si="1">J24/J22</f>
        <v>0.215</v>
      </c>
      <c r="K32" s="28">
        <f t="shared" si="1"/>
        <v>0.27777777777777779</v>
      </c>
      <c r="L32" s="28">
        <f t="shared" si="1"/>
        <v>0.27962085308056872</v>
      </c>
      <c r="M32" s="28">
        <f t="shared" si="1"/>
        <v>0.32</v>
      </c>
      <c r="N32" s="28">
        <f t="shared" si="1"/>
        <v>0.2</v>
      </c>
      <c r="O32" s="29">
        <f t="shared" si="1"/>
        <v>0.26</v>
      </c>
    </row>
    <row r="33" spans="1:15">
      <c r="A33" s="901"/>
      <c r="B33" s="30" t="s">
        <v>182</v>
      </c>
      <c r="C33" s="64">
        <f>C27/C22</f>
        <v>0.27991666666666665</v>
      </c>
      <c r="D33" s="64">
        <f>D27/D22</f>
        <v>0.28491666666666665</v>
      </c>
      <c r="E33" s="64">
        <f>E27/E22</f>
        <v>0.27191666666666664</v>
      </c>
      <c r="F33" s="65">
        <f>F27/F22</f>
        <v>0.28079999999999999</v>
      </c>
      <c r="H33" s="906"/>
      <c r="I33" s="27" t="s">
        <v>182</v>
      </c>
      <c r="J33" s="28">
        <f t="shared" ref="J33:O33" si="2">J27/J22</f>
        <v>0.3392857142857143</v>
      </c>
      <c r="K33" s="28">
        <f t="shared" si="2"/>
        <v>0.15</v>
      </c>
      <c r="L33" s="28">
        <f t="shared" si="2"/>
        <v>0.12164296998420221</v>
      </c>
      <c r="M33" s="28">
        <f t="shared" si="2"/>
        <v>8.3333333333333329E-2</v>
      </c>
      <c r="N33" s="28">
        <f t="shared" si="2"/>
        <v>0.05</v>
      </c>
      <c r="O33" s="29">
        <f t="shared" si="2"/>
        <v>0.21</v>
      </c>
    </row>
    <row r="34" spans="1:15">
      <c r="A34" s="901"/>
      <c r="B34" s="30" t="s">
        <v>183</v>
      </c>
      <c r="C34" s="64">
        <f>C29/C22</f>
        <v>0.1</v>
      </c>
      <c r="D34" s="64">
        <f>D29/D22</f>
        <v>0.1</v>
      </c>
      <c r="E34" s="64">
        <f>E29/E22</f>
        <v>0.1</v>
      </c>
      <c r="F34" s="65">
        <f>F29/F22</f>
        <v>0.1</v>
      </c>
      <c r="H34" s="906"/>
      <c r="I34" s="27" t="s">
        <v>183</v>
      </c>
      <c r="J34" s="28">
        <f t="shared" ref="J34:O34" si="3">J29/J22</f>
        <v>0.15071428571428572</v>
      </c>
      <c r="K34" s="28">
        <f t="shared" si="3"/>
        <v>0.1</v>
      </c>
      <c r="L34" s="28">
        <f t="shared" si="3"/>
        <v>0.10742496050552923</v>
      </c>
      <c r="M34" s="28">
        <f t="shared" si="3"/>
        <v>0.06</v>
      </c>
      <c r="N34" s="28">
        <f t="shared" si="3"/>
        <v>0.215</v>
      </c>
      <c r="O34" s="29">
        <f t="shared" si="3"/>
        <v>6.4285714285714279E-2</v>
      </c>
    </row>
    <row r="35" spans="1:15" ht="14.25" thickBot="1">
      <c r="A35" s="902"/>
      <c r="B35" s="66" t="s">
        <v>184</v>
      </c>
      <c r="C35" s="67">
        <f>C10/(C29*12)</f>
        <v>4.166666666666667</v>
      </c>
      <c r="D35" s="67">
        <f>D10/(D29*12)</f>
        <v>4.166666666666667</v>
      </c>
      <c r="E35" s="67">
        <f>E10/(E29*12)</f>
        <v>4.166666666666667</v>
      </c>
      <c r="F35" s="68">
        <f>F10/(F29*12)</f>
        <v>4</v>
      </c>
      <c r="H35" s="908"/>
      <c r="I35" s="52" t="s">
        <v>184</v>
      </c>
      <c r="J35" s="53">
        <f t="shared" ref="J35:O35" si="4">J10/(J29*12)</f>
        <v>2.764612954186414</v>
      </c>
      <c r="K35" s="53">
        <f t="shared" si="4"/>
        <v>4.2037037037037033</v>
      </c>
      <c r="L35" s="53">
        <f t="shared" si="4"/>
        <v>4.6568627450980395</v>
      </c>
      <c r="M35" s="53">
        <f t="shared" si="4"/>
        <v>6.9444444444444446</v>
      </c>
      <c r="N35" s="53">
        <f t="shared" si="4"/>
        <v>1.4728682170542635</v>
      </c>
      <c r="O35" s="54">
        <f t="shared" si="4"/>
        <v>3.9814814814814814</v>
      </c>
    </row>
    <row r="38" spans="1:15">
      <c r="B38" s="114"/>
      <c r="C38" s="114"/>
      <c r="D38" s="114"/>
      <c r="E38" s="114"/>
    </row>
    <row r="39" spans="1:15">
      <c r="B39" s="114"/>
      <c r="C39" s="114"/>
      <c r="D39" s="114"/>
      <c r="E39" s="114"/>
    </row>
    <row r="40" spans="1:15">
      <c r="B40" s="114"/>
      <c r="C40" s="114"/>
      <c r="D40" s="114"/>
      <c r="E40" s="114"/>
    </row>
    <row r="41" spans="1:15">
      <c r="B41" s="114"/>
      <c r="C41" s="114"/>
      <c r="D41" s="114"/>
      <c r="E41" s="114"/>
    </row>
    <row r="42" spans="1:15">
      <c r="B42" s="114"/>
      <c r="C42" s="114"/>
      <c r="D42" s="114"/>
      <c r="E42" s="114"/>
    </row>
    <row r="43" spans="1:15">
      <c r="B43" s="114"/>
      <c r="C43" s="114"/>
      <c r="D43" s="114"/>
      <c r="E43" s="114"/>
    </row>
    <row r="44" spans="1:15">
      <c r="B44" s="114"/>
      <c r="C44" s="114"/>
      <c r="D44" s="114"/>
      <c r="E44" s="114"/>
    </row>
    <row r="45" spans="1:15">
      <c r="B45" s="114"/>
      <c r="C45" s="114"/>
      <c r="D45" s="114"/>
      <c r="E45" s="114"/>
    </row>
  </sheetData>
  <mergeCells count="27">
    <mergeCell ref="A22:A35"/>
    <mergeCell ref="H3:O3"/>
    <mergeCell ref="H14:O14"/>
    <mergeCell ref="H17:O17"/>
    <mergeCell ref="H21:O21"/>
    <mergeCell ref="A10:A13"/>
    <mergeCell ref="H10:H13"/>
    <mergeCell ref="H15:H16"/>
    <mergeCell ref="H18:H20"/>
    <mergeCell ref="H22:H35"/>
    <mergeCell ref="A14:F14"/>
    <mergeCell ref="A15:A16"/>
    <mergeCell ref="A17:F17"/>
    <mergeCell ref="A18:A20"/>
    <mergeCell ref="A21:F21"/>
    <mergeCell ref="B4:B8"/>
    <mergeCell ref="H1:K1"/>
    <mergeCell ref="A1:D1"/>
    <mergeCell ref="A3:F3"/>
    <mergeCell ref="A4:A8"/>
    <mergeCell ref="A9:F9"/>
    <mergeCell ref="H4:H8"/>
    <mergeCell ref="H9:O9"/>
    <mergeCell ref="C4:C8"/>
    <mergeCell ref="D4:D8"/>
    <mergeCell ref="E4:E8"/>
    <mergeCell ref="F4:F8"/>
  </mergeCells>
  <phoneticPr fontId="2"/>
  <hyperlinks>
    <hyperlink ref="H2" r:id="rId1" xr:uid="{00000000-0004-0000-0800-000000000000}"/>
  </hyperlinks>
  <pageMargins left="0.7" right="0.7" top="0.75" bottom="0.75" header="0.3" footer="0.3"/>
  <pageSetup paperSize="9" orientation="landscape" verticalDpi="1200" r:id="rId2"/>
  <colBreaks count="1" manualBreakCount="1">
    <brk id="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1"/>
  <sheetViews>
    <sheetView workbookViewId="0">
      <selection activeCell="I39" sqref="I39"/>
    </sheetView>
  </sheetViews>
  <sheetFormatPr defaultRowHeight="13.5"/>
  <cols>
    <col min="1" max="1" width="2.75" customWidth="1"/>
    <col min="2" max="2" width="17.625" bestFit="1" customWidth="1"/>
    <col min="3" max="3" width="14.5" style="33" customWidth="1"/>
    <col min="4" max="4" width="9" customWidth="1"/>
  </cols>
  <sheetData>
    <row r="1" spans="1:7">
      <c r="A1" s="27"/>
      <c r="B1" s="27"/>
      <c r="C1" s="40" t="s">
        <v>61</v>
      </c>
      <c r="D1" s="27"/>
      <c r="E1" s="27"/>
      <c r="F1" s="27"/>
      <c r="G1" s="27"/>
    </row>
    <row r="2" spans="1:7">
      <c r="A2" s="27"/>
      <c r="B2" s="27" t="s">
        <v>151</v>
      </c>
      <c r="C2" s="10"/>
      <c r="D2" s="27"/>
      <c r="E2" s="27"/>
      <c r="F2" s="27"/>
      <c r="G2" s="27"/>
    </row>
    <row r="3" spans="1:7">
      <c r="A3" s="27"/>
      <c r="B3" s="27" t="s">
        <v>154</v>
      </c>
      <c r="C3" s="10"/>
      <c r="D3" s="27"/>
      <c r="E3" s="27"/>
      <c r="F3" s="27"/>
      <c r="G3" s="27"/>
    </row>
    <row r="4" spans="1:7">
      <c r="A4" s="27"/>
      <c r="B4" s="27" t="s">
        <v>152</v>
      </c>
      <c r="C4" s="38"/>
      <c r="D4" s="27"/>
      <c r="E4" s="27"/>
      <c r="F4" s="27"/>
      <c r="G4" s="27"/>
    </row>
    <row r="5" spans="1:7">
      <c r="A5" s="27"/>
      <c r="B5" s="27" t="s">
        <v>153</v>
      </c>
      <c r="C5" s="38"/>
      <c r="D5" s="27"/>
      <c r="E5" s="27"/>
      <c r="F5" s="27"/>
      <c r="G5" s="27"/>
    </row>
    <row r="6" spans="1:7">
      <c r="A6" s="27"/>
      <c r="B6" s="27"/>
      <c r="C6" s="10"/>
      <c r="D6" s="27"/>
      <c r="E6" s="27"/>
      <c r="F6" s="27"/>
      <c r="G6" s="27"/>
    </row>
    <row r="7" spans="1:7">
      <c r="A7" s="27" t="s">
        <v>111</v>
      </c>
      <c r="B7" s="27"/>
      <c r="C7" s="10"/>
      <c r="D7" s="27"/>
      <c r="E7" s="27"/>
      <c r="F7" s="27"/>
      <c r="G7" s="27"/>
    </row>
    <row r="8" spans="1:7">
      <c r="A8" s="27"/>
      <c r="B8" s="27" t="s">
        <v>108</v>
      </c>
      <c r="C8" s="10"/>
      <c r="D8" s="27"/>
      <c r="E8" s="27"/>
      <c r="F8" s="27"/>
      <c r="G8" s="27"/>
    </row>
    <row r="9" spans="1:7">
      <c r="A9" s="27"/>
      <c r="B9" s="27" t="s">
        <v>109</v>
      </c>
      <c r="C9" s="10"/>
      <c r="D9" s="27"/>
      <c r="E9" s="27"/>
      <c r="F9" s="27"/>
      <c r="G9" s="27"/>
    </row>
    <row r="10" spans="1:7">
      <c r="A10" s="27"/>
      <c r="B10" s="27" t="s">
        <v>110</v>
      </c>
      <c r="C10" s="10"/>
      <c r="D10" s="27"/>
      <c r="E10" s="27"/>
      <c r="F10" s="27"/>
      <c r="G10" s="27"/>
    </row>
    <row r="11" spans="1:7">
      <c r="A11" s="27" t="s">
        <v>112</v>
      </c>
      <c r="B11" s="27"/>
      <c r="C11" s="10"/>
      <c r="D11" s="27"/>
      <c r="E11" s="27"/>
      <c r="F11" s="27"/>
      <c r="G11" s="27"/>
    </row>
    <row r="12" spans="1:7">
      <c r="A12" s="27"/>
      <c r="B12" s="27" t="s">
        <v>113</v>
      </c>
      <c r="C12" s="10"/>
      <c r="D12" s="27"/>
      <c r="E12" s="27"/>
      <c r="F12" s="27"/>
      <c r="G12" s="27"/>
    </row>
    <row r="13" spans="1:7">
      <c r="A13" s="27"/>
      <c r="B13" s="27" t="s">
        <v>114</v>
      </c>
      <c r="C13" s="10"/>
      <c r="D13" s="27"/>
      <c r="E13" s="27"/>
      <c r="F13" s="27"/>
      <c r="G13" s="27"/>
    </row>
    <row r="14" spans="1:7">
      <c r="A14" s="27"/>
      <c r="B14" s="27" t="s">
        <v>50</v>
      </c>
      <c r="C14" s="10"/>
      <c r="D14" s="27"/>
      <c r="E14" s="27"/>
      <c r="F14" s="27"/>
      <c r="G14" s="27"/>
    </row>
    <row r="15" spans="1:7">
      <c r="A15" s="27" t="s">
        <v>115</v>
      </c>
      <c r="B15" s="27"/>
      <c r="C15" s="10">
        <f>SUM(C16:C32)</f>
        <v>9550</v>
      </c>
      <c r="D15" s="27"/>
      <c r="E15" s="27"/>
      <c r="F15" s="27"/>
      <c r="G15" s="27"/>
    </row>
    <row r="16" spans="1:7" ht="11.25" customHeight="1">
      <c r="A16" s="27"/>
      <c r="B16" s="27" t="s">
        <v>116</v>
      </c>
      <c r="C16" s="10">
        <v>2800</v>
      </c>
      <c r="D16" s="27"/>
      <c r="E16" s="27"/>
      <c r="F16" s="27"/>
      <c r="G16" s="27"/>
    </row>
    <row r="17" spans="1:7" ht="11.25" customHeight="1">
      <c r="A17" s="27"/>
      <c r="B17" s="27" t="s">
        <v>117</v>
      </c>
      <c r="C17" s="10">
        <v>1300</v>
      </c>
      <c r="D17" s="27"/>
      <c r="E17" s="27"/>
      <c r="F17" s="27"/>
      <c r="G17" s="27"/>
    </row>
    <row r="18" spans="1:7" ht="11.25" customHeight="1">
      <c r="A18" s="27"/>
      <c r="B18" s="27" t="s">
        <v>118</v>
      </c>
      <c r="C18" s="10">
        <v>1200</v>
      </c>
      <c r="D18" s="27"/>
      <c r="E18" s="27"/>
      <c r="F18" s="27"/>
      <c r="G18" s="27"/>
    </row>
    <row r="19" spans="1:7" ht="11.25" customHeight="1">
      <c r="A19" s="27"/>
      <c r="B19" s="27" t="s">
        <v>119</v>
      </c>
      <c r="C19" s="10">
        <v>500</v>
      </c>
      <c r="D19" s="27"/>
      <c r="E19" s="27"/>
      <c r="F19" s="27"/>
      <c r="G19" s="27"/>
    </row>
    <row r="20" spans="1:7" ht="11.25" customHeight="1">
      <c r="A20" s="27"/>
      <c r="B20" s="27" t="s">
        <v>120</v>
      </c>
      <c r="C20" s="10">
        <v>610</v>
      </c>
      <c r="D20" s="27"/>
      <c r="E20" s="27"/>
      <c r="F20" s="27"/>
      <c r="G20" s="27"/>
    </row>
    <row r="21" spans="1:7" ht="11.25" customHeight="1">
      <c r="A21" s="27"/>
      <c r="B21" s="27" t="s">
        <v>121</v>
      </c>
      <c r="C21" s="10">
        <v>750</v>
      </c>
      <c r="D21" s="27"/>
      <c r="E21" s="27"/>
      <c r="F21" s="27"/>
      <c r="G21" s="27"/>
    </row>
    <row r="22" spans="1:7" ht="11.25" customHeight="1">
      <c r="A22" s="27"/>
      <c r="B22" s="27" t="s">
        <v>122</v>
      </c>
      <c r="C22" s="10">
        <v>300</v>
      </c>
      <c r="D22" s="27"/>
      <c r="E22" s="27"/>
      <c r="F22" s="27"/>
      <c r="G22" s="27"/>
    </row>
    <row r="23" spans="1:7" ht="11.25" customHeight="1">
      <c r="A23" s="27"/>
      <c r="B23" s="27" t="s">
        <v>123</v>
      </c>
      <c r="C23" s="10">
        <v>150</v>
      </c>
      <c r="D23" s="27"/>
      <c r="E23" s="27"/>
      <c r="F23" s="27"/>
      <c r="G23" s="27"/>
    </row>
    <row r="24" spans="1:7" ht="11.25" customHeight="1">
      <c r="A24" s="27"/>
      <c r="B24" s="27" t="s">
        <v>124</v>
      </c>
      <c r="C24" s="10">
        <v>300</v>
      </c>
      <c r="D24" s="27"/>
      <c r="E24" s="27"/>
      <c r="F24" s="27"/>
      <c r="G24" s="27"/>
    </row>
    <row r="25" spans="1:7" ht="11.25" customHeight="1">
      <c r="A25" s="27"/>
      <c r="B25" s="27" t="s">
        <v>125</v>
      </c>
      <c r="C25" s="10">
        <v>90</v>
      </c>
      <c r="D25" s="27"/>
      <c r="E25" s="27"/>
      <c r="F25" s="27"/>
      <c r="G25" s="27"/>
    </row>
    <row r="26" spans="1:7" ht="11.25" customHeight="1">
      <c r="A26" s="27"/>
      <c r="B26" s="27" t="s">
        <v>126</v>
      </c>
      <c r="C26" s="10">
        <v>70</v>
      </c>
      <c r="D26" s="27"/>
      <c r="E26" s="27"/>
      <c r="F26" s="27"/>
      <c r="G26" s="27"/>
    </row>
    <row r="27" spans="1:7" ht="11.25" customHeight="1">
      <c r="A27" s="27"/>
      <c r="B27" s="27" t="s">
        <v>127</v>
      </c>
      <c r="C27" s="10">
        <v>90</v>
      </c>
      <c r="D27" s="27"/>
      <c r="E27" s="27"/>
      <c r="F27" s="27"/>
      <c r="G27" s="27"/>
    </row>
    <row r="28" spans="1:7" ht="11.25" customHeight="1">
      <c r="A28" s="27"/>
      <c r="B28" s="27" t="s">
        <v>128</v>
      </c>
      <c r="C28" s="10">
        <v>40</v>
      </c>
      <c r="D28" s="27"/>
      <c r="E28" s="27"/>
      <c r="F28" s="27"/>
      <c r="G28" s="27"/>
    </row>
    <row r="29" spans="1:7" ht="11.25" customHeight="1">
      <c r="A29" s="27"/>
      <c r="B29" s="27" t="s">
        <v>129</v>
      </c>
      <c r="C29" s="10">
        <v>50</v>
      </c>
      <c r="D29" s="27"/>
      <c r="E29" s="27"/>
      <c r="F29" s="27"/>
      <c r="G29" s="27"/>
    </row>
    <row r="30" spans="1:7" ht="11.25" customHeight="1">
      <c r="A30" s="27"/>
      <c r="B30" s="27" t="s">
        <v>130</v>
      </c>
      <c r="C30" s="10">
        <v>250</v>
      </c>
      <c r="D30" s="27"/>
      <c r="E30" s="27"/>
      <c r="F30" s="27"/>
      <c r="G30" s="27"/>
    </row>
    <row r="31" spans="1:7" ht="11.25" customHeight="1">
      <c r="A31" s="27"/>
      <c r="B31" s="27" t="s">
        <v>50</v>
      </c>
      <c r="C31" s="10">
        <v>800</v>
      </c>
      <c r="D31" s="27"/>
      <c r="E31" s="27"/>
      <c r="F31" s="27"/>
      <c r="G31" s="27"/>
    </row>
    <row r="32" spans="1:7" ht="11.25" customHeight="1">
      <c r="A32" s="27"/>
      <c r="B32" s="27" t="s">
        <v>132</v>
      </c>
      <c r="C32" s="10">
        <v>250</v>
      </c>
      <c r="D32" s="27"/>
      <c r="E32" s="27"/>
      <c r="F32" s="27"/>
      <c r="G32" s="27"/>
    </row>
    <row r="33" spans="1:7">
      <c r="A33" s="27" t="s">
        <v>133</v>
      </c>
      <c r="B33" s="27"/>
      <c r="C33" s="10">
        <v>1500</v>
      </c>
      <c r="D33" s="27"/>
      <c r="E33" s="27"/>
      <c r="F33" s="27"/>
      <c r="G33" s="27"/>
    </row>
    <row r="34" spans="1:7">
      <c r="A34" s="27"/>
      <c r="B34" s="27" t="s">
        <v>134</v>
      </c>
      <c r="C34" s="10"/>
      <c r="D34" s="27"/>
      <c r="E34" s="27"/>
      <c r="F34" s="27"/>
      <c r="G34" s="27"/>
    </row>
    <row r="35" spans="1:7">
      <c r="A35" s="27"/>
      <c r="B35" s="27" t="s">
        <v>135</v>
      </c>
      <c r="C35" s="10"/>
      <c r="D35" s="27"/>
      <c r="E35" s="27"/>
      <c r="F35" s="27"/>
      <c r="G35" s="27"/>
    </row>
    <row r="36" spans="1:7">
      <c r="A36" s="27"/>
      <c r="B36" s="27" t="s">
        <v>136</v>
      </c>
      <c r="C36" s="10"/>
      <c r="D36" s="27"/>
      <c r="E36" s="27"/>
      <c r="F36" s="27"/>
      <c r="G36" s="27"/>
    </row>
    <row r="37" spans="1:7">
      <c r="A37" s="27"/>
      <c r="B37" s="27" t="s">
        <v>137</v>
      </c>
      <c r="C37" s="10"/>
      <c r="D37" s="27"/>
      <c r="E37" s="27"/>
      <c r="F37" s="27"/>
      <c r="G37" s="27"/>
    </row>
    <row r="38" spans="1:7">
      <c r="A38" s="27"/>
      <c r="B38" s="27" t="s">
        <v>138</v>
      </c>
      <c r="C38" s="10"/>
      <c r="D38" s="27"/>
      <c r="E38" s="27"/>
      <c r="F38" s="27"/>
      <c r="G38" s="27"/>
    </row>
    <row r="39" spans="1:7">
      <c r="A39" s="27"/>
      <c r="B39" s="27" t="s">
        <v>139</v>
      </c>
      <c r="C39" s="10"/>
      <c r="D39" s="27"/>
      <c r="E39" s="27"/>
      <c r="F39" s="27"/>
      <c r="G39" s="27"/>
    </row>
    <row r="40" spans="1:7">
      <c r="A40" s="27"/>
      <c r="B40" s="27" t="s">
        <v>140</v>
      </c>
      <c r="C40" s="10"/>
      <c r="D40" s="27"/>
      <c r="E40" s="27"/>
      <c r="F40" s="27"/>
      <c r="G40" s="27"/>
    </row>
    <row r="41" spans="1:7">
      <c r="A41" s="27" t="s">
        <v>141</v>
      </c>
      <c r="B41" s="27"/>
      <c r="C41" s="10">
        <v>1000</v>
      </c>
      <c r="D41" s="27"/>
      <c r="E41" s="27"/>
      <c r="F41" s="27"/>
      <c r="G41" s="27"/>
    </row>
    <row r="42" spans="1:7">
      <c r="A42" s="27"/>
      <c r="B42" s="27" t="s">
        <v>142</v>
      </c>
      <c r="C42" s="10"/>
      <c r="D42" s="27"/>
      <c r="E42" s="27"/>
      <c r="F42" s="27"/>
      <c r="G42" s="27"/>
    </row>
    <row r="43" spans="1:7">
      <c r="A43" s="27"/>
      <c r="B43" s="27" t="s">
        <v>143</v>
      </c>
      <c r="C43" s="10"/>
      <c r="D43" s="27"/>
      <c r="E43" s="27"/>
      <c r="F43" s="27"/>
      <c r="G43" s="27"/>
    </row>
    <row r="44" spans="1:7">
      <c r="A44" s="27"/>
      <c r="B44" s="27" t="s">
        <v>144</v>
      </c>
      <c r="C44" s="10"/>
      <c r="D44" s="27"/>
      <c r="E44" s="27"/>
      <c r="F44" s="27"/>
      <c r="G44" s="27"/>
    </row>
    <row r="45" spans="1:7">
      <c r="A45" s="27"/>
      <c r="B45" s="27" t="s">
        <v>145</v>
      </c>
      <c r="C45" s="10"/>
      <c r="D45" s="27"/>
      <c r="E45" s="27"/>
      <c r="F45" s="27"/>
      <c r="G45" s="27"/>
    </row>
    <row r="46" spans="1:7">
      <c r="A46" s="27"/>
      <c r="B46" s="27" t="s">
        <v>131</v>
      </c>
      <c r="C46" s="10"/>
      <c r="D46" s="27"/>
      <c r="E46" s="27"/>
      <c r="F46" s="27"/>
      <c r="G46" s="27"/>
    </row>
    <row r="47" spans="1:7">
      <c r="A47" s="27"/>
      <c r="B47" s="27" t="s">
        <v>146</v>
      </c>
      <c r="C47" s="10"/>
      <c r="D47" s="27"/>
      <c r="E47" s="27"/>
      <c r="F47" s="27"/>
      <c r="G47" s="27"/>
    </row>
    <row r="48" spans="1:7">
      <c r="A48" s="27" t="s">
        <v>147</v>
      </c>
      <c r="B48" s="27"/>
      <c r="C48" s="10"/>
      <c r="D48" s="27"/>
      <c r="E48" s="27"/>
      <c r="F48" s="27"/>
      <c r="G48" s="27"/>
    </row>
    <row r="49" spans="1:7">
      <c r="A49" s="27"/>
      <c r="B49" s="27" t="s">
        <v>148</v>
      </c>
      <c r="C49" s="10"/>
      <c r="D49" s="27"/>
      <c r="E49" s="27"/>
      <c r="F49" s="27"/>
      <c r="G49" s="27"/>
    </row>
    <row r="50" spans="1:7">
      <c r="A50" s="27"/>
      <c r="B50" s="27" t="s">
        <v>149</v>
      </c>
      <c r="C50" s="10"/>
      <c r="D50" s="27"/>
      <c r="E50" s="27"/>
      <c r="F50" s="27"/>
      <c r="G50" s="27"/>
    </row>
    <row r="51" spans="1:7">
      <c r="A51" s="27"/>
      <c r="B51" s="27" t="s">
        <v>150</v>
      </c>
      <c r="C51" s="10"/>
      <c r="D51" s="27"/>
      <c r="E51" s="27"/>
      <c r="F51" s="27"/>
      <c r="G51" s="27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AEFF-EF51-4144-A500-58F81D3EF2E0}">
  <dimension ref="A1:AJ69"/>
  <sheetViews>
    <sheetView topLeftCell="A19" workbookViewId="0">
      <selection activeCell="AN33" sqref="AN33"/>
    </sheetView>
  </sheetViews>
  <sheetFormatPr defaultColWidth="2.5" defaultRowHeight="16.899999999999999" customHeight="1"/>
  <sheetData>
    <row r="1" spans="1:36" ht="16.899999999999999" customHeight="1">
      <c r="A1" s="928" t="s">
        <v>412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928"/>
      <c r="W1" s="928"/>
      <c r="X1" s="928"/>
      <c r="Y1" s="928"/>
      <c r="Z1" s="928"/>
      <c r="AA1" s="928"/>
      <c r="AB1" s="928"/>
      <c r="AC1" s="928"/>
      <c r="AD1" s="928"/>
      <c r="AE1" s="928"/>
      <c r="AF1" s="928"/>
      <c r="AG1" s="928"/>
      <c r="AH1" s="928"/>
      <c r="AI1" s="928"/>
      <c r="AJ1" s="928"/>
    </row>
    <row r="2" spans="1:36" ht="16.899999999999999" customHeight="1">
      <c r="A2" s="928"/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  <c r="Q2" s="928"/>
      <c r="R2" s="928"/>
      <c r="S2" s="928"/>
      <c r="T2" s="928"/>
      <c r="U2" s="928"/>
      <c r="V2" s="928"/>
      <c r="W2" s="928"/>
      <c r="X2" s="928"/>
      <c r="Y2" s="928"/>
      <c r="Z2" s="928"/>
      <c r="AA2" s="928"/>
      <c r="AB2" s="928"/>
      <c r="AC2" s="928"/>
      <c r="AD2" s="928"/>
      <c r="AE2" s="928"/>
      <c r="AF2" s="928"/>
      <c r="AG2" s="928"/>
      <c r="AH2" s="928"/>
      <c r="AI2" s="928"/>
      <c r="AJ2" s="928"/>
    </row>
    <row r="3" spans="1:36" ht="16.899999999999999" customHeight="1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</row>
    <row r="4" spans="1:36" ht="16.899999999999999" customHeight="1">
      <c r="A4" s="929" t="s">
        <v>413</v>
      </c>
      <c r="B4" s="924"/>
      <c r="C4" s="924"/>
      <c r="D4" s="924"/>
      <c r="E4" s="930"/>
      <c r="F4" s="931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3"/>
      <c r="S4" s="929" t="s">
        <v>414</v>
      </c>
      <c r="T4" s="924"/>
      <c r="U4" s="924"/>
      <c r="V4" s="924"/>
      <c r="W4" s="930"/>
      <c r="X4" s="934">
        <v>20000000</v>
      </c>
      <c r="Y4" s="935"/>
      <c r="Z4" s="935"/>
      <c r="AA4" s="935"/>
      <c r="AB4" s="935"/>
      <c r="AC4" s="935"/>
      <c r="AD4" s="935"/>
      <c r="AE4" s="935"/>
      <c r="AF4" s="935"/>
      <c r="AG4" s="935"/>
      <c r="AH4" s="935"/>
      <c r="AI4" s="924" t="s">
        <v>415</v>
      </c>
      <c r="AJ4" s="930"/>
    </row>
    <row r="5" spans="1:36" ht="16.899999999999999" customHeight="1">
      <c r="A5" s="929" t="s">
        <v>416</v>
      </c>
      <c r="B5" s="924"/>
      <c r="C5" s="924"/>
      <c r="D5" s="924"/>
      <c r="E5" s="930"/>
      <c r="F5" s="929">
        <v>2020</v>
      </c>
      <c r="G5" s="924"/>
      <c r="H5" s="924"/>
      <c r="I5" s="924" t="s">
        <v>417</v>
      </c>
      <c r="J5" s="924"/>
      <c r="K5" s="924">
        <v>6</v>
      </c>
      <c r="L5" s="924"/>
      <c r="M5" s="924" t="s">
        <v>418</v>
      </c>
      <c r="N5" s="924"/>
      <c r="O5" s="924">
        <v>25</v>
      </c>
      <c r="P5" s="924"/>
      <c r="Q5" s="924" t="s">
        <v>419</v>
      </c>
      <c r="R5" s="930"/>
      <c r="S5" s="929" t="s">
        <v>420</v>
      </c>
      <c r="T5" s="924"/>
      <c r="U5" s="924"/>
      <c r="V5" s="924"/>
      <c r="W5" s="930"/>
      <c r="X5" s="940">
        <v>2021</v>
      </c>
      <c r="Y5" s="936"/>
      <c r="Z5" s="936"/>
      <c r="AA5" s="936" t="s">
        <v>417</v>
      </c>
      <c r="AB5" s="936"/>
      <c r="AC5" s="936">
        <v>6</v>
      </c>
      <c r="AD5" s="936"/>
      <c r="AE5" s="936" t="s">
        <v>418</v>
      </c>
      <c r="AF5" s="936"/>
      <c r="AG5" s="936">
        <v>25</v>
      </c>
      <c r="AH5" s="936"/>
      <c r="AI5" s="936" t="s">
        <v>419</v>
      </c>
      <c r="AJ5" s="937"/>
    </row>
    <row r="6" spans="1:36" ht="16.899999999999999" customHeight="1">
      <c r="A6" s="929" t="s">
        <v>421</v>
      </c>
      <c r="B6" s="924"/>
      <c r="C6" s="924"/>
      <c r="D6" s="924"/>
      <c r="E6" s="930"/>
      <c r="F6" s="931">
        <v>72</v>
      </c>
      <c r="G6" s="932"/>
      <c r="H6" s="932"/>
      <c r="I6" s="932"/>
      <c r="J6" s="932"/>
      <c r="K6" s="932"/>
      <c r="L6" s="932"/>
      <c r="M6" s="932"/>
      <c r="N6" s="932"/>
      <c r="O6" s="932"/>
      <c r="P6" s="932"/>
      <c r="Q6" s="924" t="s">
        <v>422</v>
      </c>
      <c r="R6" s="930"/>
      <c r="S6" s="929" t="s">
        <v>423</v>
      </c>
      <c r="T6" s="924"/>
      <c r="U6" s="924"/>
      <c r="V6" s="924"/>
      <c r="W6" s="924"/>
      <c r="X6" s="938">
        <v>1</v>
      </c>
      <c r="Y6" s="939"/>
      <c r="Z6" s="939"/>
      <c r="AA6" s="939"/>
      <c r="AB6" s="939"/>
      <c r="AC6" s="939"/>
      <c r="AD6" s="939"/>
      <c r="AE6" s="939"/>
      <c r="AF6" s="939"/>
      <c r="AG6" s="939"/>
      <c r="AH6" s="939"/>
      <c r="AI6" s="924" t="s">
        <v>424</v>
      </c>
      <c r="AJ6" s="930"/>
    </row>
    <row r="7" spans="1:36" ht="16.899999999999999" customHeight="1">
      <c r="A7" s="279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6.899999999999999" customHeight="1">
      <c r="A8" s="925" t="s">
        <v>425</v>
      </c>
      <c r="B8" s="926"/>
      <c r="C8" s="927"/>
      <c r="D8" s="925" t="s">
        <v>426</v>
      </c>
      <c r="E8" s="926"/>
      <c r="F8" s="926"/>
      <c r="G8" s="926"/>
      <c r="H8" s="927"/>
      <c r="I8" s="925" t="s">
        <v>427</v>
      </c>
      <c r="J8" s="926"/>
      <c r="K8" s="926"/>
      <c r="L8" s="926"/>
      <c r="M8" s="926"/>
      <c r="N8" s="926"/>
      <c r="O8" s="926"/>
      <c r="P8" s="925" t="s">
        <v>428</v>
      </c>
      <c r="Q8" s="926"/>
      <c r="R8" s="926"/>
      <c r="S8" s="926"/>
      <c r="T8" s="926"/>
      <c r="U8" s="926"/>
      <c r="V8" s="927"/>
      <c r="W8" s="925" t="s">
        <v>429</v>
      </c>
      <c r="X8" s="926"/>
      <c r="Y8" s="926"/>
      <c r="Z8" s="926"/>
      <c r="AA8" s="926"/>
      <c r="AB8" s="926"/>
      <c r="AC8" s="926"/>
      <c r="AD8" s="925" t="s">
        <v>430</v>
      </c>
      <c r="AE8" s="926"/>
      <c r="AF8" s="926"/>
      <c r="AG8" s="926"/>
      <c r="AH8" s="926"/>
      <c r="AI8" s="926"/>
      <c r="AJ8" s="927"/>
    </row>
    <row r="9" spans="1:36" ht="16.899999999999999" customHeight="1">
      <c r="A9" s="918">
        <v>1</v>
      </c>
      <c r="B9" s="918"/>
      <c r="C9" s="918"/>
      <c r="D9" s="919">
        <f>DATE($X$5,$AC$5,$AG$5)</f>
        <v>44372</v>
      </c>
      <c r="E9" s="919"/>
      <c r="F9" s="919"/>
      <c r="G9" s="919"/>
      <c r="H9" s="919"/>
      <c r="I9" s="916">
        <f>P9+W9</f>
        <v>294444.44444444444</v>
      </c>
      <c r="J9" s="920"/>
      <c r="K9" s="920"/>
      <c r="L9" s="920"/>
      <c r="M9" s="920"/>
      <c r="N9" s="920"/>
      <c r="O9" s="920"/>
      <c r="P9" s="917">
        <f>$X$4/$F$6</f>
        <v>277777.77777777775</v>
      </c>
      <c r="Q9" s="917"/>
      <c r="R9" s="917"/>
      <c r="S9" s="917"/>
      <c r="T9" s="917"/>
      <c r="U9" s="917"/>
      <c r="V9" s="917"/>
      <c r="W9" s="917">
        <f>($X$4*($X$6/100))/12</f>
        <v>16666.666666666668</v>
      </c>
      <c r="X9" s="917"/>
      <c r="Y9" s="917"/>
      <c r="Z9" s="917"/>
      <c r="AA9" s="917"/>
      <c r="AB9" s="917"/>
      <c r="AC9" s="917"/>
      <c r="AD9" s="921">
        <f>$X$4-($X$4/$F$6)</f>
        <v>19722222.222222224</v>
      </c>
      <c r="AE9" s="922"/>
      <c r="AF9" s="922"/>
      <c r="AG9" s="922"/>
      <c r="AH9" s="922"/>
      <c r="AI9" s="922"/>
      <c r="AJ9" s="923"/>
    </row>
    <row r="10" spans="1:36" ht="16.899999999999999" customHeight="1">
      <c r="A10" s="918">
        <v>2</v>
      </c>
      <c r="B10" s="918"/>
      <c r="C10" s="918"/>
      <c r="D10" s="919">
        <f>EDATE(D9,1)</f>
        <v>44402</v>
      </c>
      <c r="E10" s="919"/>
      <c r="F10" s="919"/>
      <c r="G10" s="919"/>
      <c r="H10" s="919"/>
      <c r="I10" s="916">
        <f t="shared" ref="I10:I68" si="0">P10+W10</f>
        <v>294212.96296296292</v>
      </c>
      <c r="J10" s="920"/>
      <c r="K10" s="920"/>
      <c r="L10" s="920"/>
      <c r="M10" s="920"/>
      <c r="N10" s="920"/>
      <c r="O10" s="920"/>
      <c r="P10" s="917">
        <f t="shared" ref="P10:P68" si="1">$X$4/$F$6</f>
        <v>277777.77777777775</v>
      </c>
      <c r="Q10" s="917"/>
      <c r="R10" s="917"/>
      <c r="S10" s="917"/>
      <c r="T10" s="917"/>
      <c r="U10" s="917"/>
      <c r="V10" s="917"/>
      <c r="W10" s="917">
        <f>AD9*($X$6/100)/12</f>
        <v>16435.185185185186</v>
      </c>
      <c r="X10" s="917"/>
      <c r="Y10" s="917"/>
      <c r="Z10" s="917"/>
      <c r="AA10" s="917"/>
      <c r="AB10" s="917"/>
      <c r="AC10" s="917"/>
      <c r="AD10" s="921">
        <f>IF(AD9-($X$4/$F$6)&lt;0,0,AD9-($X$4/$F$6))</f>
        <v>19444444.444444448</v>
      </c>
      <c r="AE10" s="922"/>
      <c r="AF10" s="922"/>
      <c r="AG10" s="922"/>
      <c r="AH10" s="922"/>
      <c r="AI10" s="922"/>
      <c r="AJ10" s="923"/>
    </row>
    <row r="11" spans="1:36" ht="16.899999999999999" customHeight="1">
      <c r="A11" s="918">
        <v>3</v>
      </c>
      <c r="B11" s="918"/>
      <c r="C11" s="918"/>
      <c r="D11" s="919">
        <f t="shared" ref="D11:D68" si="2">EDATE(D10,1)</f>
        <v>44433</v>
      </c>
      <c r="E11" s="919"/>
      <c r="F11" s="919"/>
      <c r="G11" s="919"/>
      <c r="H11" s="919"/>
      <c r="I11" s="916">
        <f t="shared" si="0"/>
        <v>293981.48148148146</v>
      </c>
      <c r="J11" s="920"/>
      <c r="K11" s="920"/>
      <c r="L11" s="920"/>
      <c r="M11" s="920"/>
      <c r="N11" s="920"/>
      <c r="O11" s="920"/>
      <c r="P11" s="917">
        <f t="shared" si="1"/>
        <v>277777.77777777775</v>
      </c>
      <c r="Q11" s="917"/>
      <c r="R11" s="917"/>
      <c r="S11" s="917"/>
      <c r="T11" s="917"/>
      <c r="U11" s="917"/>
      <c r="V11" s="917"/>
      <c r="W11" s="917">
        <f t="shared" ref="W11:W68" si="3">AD10*($X$6/100)/12</f>
        <v>16203.703703703706</v>
      </c>
      <c r="X11" s="917"/>
      <c r="Y11" s="917"/>
      <c r="Z11" s="917"/>
      <c r="AA11" s="917"/>
      <c r="AB11" s="917"/>
      <c r="AC11" s="917"/>
      <c r="AD11" s="921">
        <f t="shared" ref="AD11:AD68" si="4">IF(AD10-($X$4/$F$6)&lt;0,0,AD10-($X$4/$F$6))</f>
        <v>19166666.666666672</v>
      </c>
      <c r="AE11" s="922"/>
      <c r="AF11" s="922"/>
      <c r="AG11" s="922"/>
      <c r="AH11" s="922"/>
      <c r="AI11" s="922"/>
      <c r="AJ11" s="923"/>
    </row>
    <row r="12" spans="1:36" ht="16.899999999999999" customHeight="1">
      <c r="A12" s="918">
        <v>4</v>
      </c>
      <c r="B12" s="918"/>
      <c r="C12" s="918"/>
      <c r="D12" s="919">
        <f t="shared" si="2"/>
        <v>44464</v>
      </c>
      <c r="E12" s="919"/>
      <c r="F12" s="919"/>
      <c r="G12" s="919"/>
      <c r="H12" s="919"/>
      <c r="I12" s="916">
        <f t="shared" si="0"/>
        <v>293750</v>
      </c>
      <c r="J12" s="920"/>
      <c r="K12" s="920"/>
      <c r="L12" s="920"/>
      <c r="M12" s="920"/>
      <c r="N12" s="920"/>
      <c r="O12" s="920"/>
      <c r="P12" s="917">
        <f t="shared" si="1"/>
        <v>277777.77777777775</v>
      </c>
      <c r="Q12" s="917"/>
      <c r="R12" s="917"/>
      <c r="S12" s="917"/>
      <c r="T12" s="917"/>
      <c r="U12" s="917"/>
      <c r="V12" s="917"/>
      <c r="W12" s="917">
        <f t="shared" si="3"/>
        <v>15972.222222222226</v>
      </c>
      <c r="X12" s="917"/>
      <c r="Y12" s="917"/>
      <c r="Z12" s="917"/>
      <c r="AA12" s="917"/>
      <c r="AB12" s="917"/>
      <c r="AC12" s="917"/>
      <c r="AD12" s="921">
        <f t="shared" si="4"/>
        <v>18888888.888888896</v>
      </c>
      <c r="AE12" s="922"/>
      <c r="AF12" s="922"/>
      <c r="AG12" s="922"/>
      <c r="AH12" s="922"/>
      <c r="AI12" s="922"/>
      <c r="AJ12" s="923"/>
    </row>
    <row r="13" spans="1:36" ht="16.899999999999999" customHeight="1">
      <c r="A13" s="918">
        <v>5</v>
      </c>
      <c r="B13" s="918"/>
      <c r="C13" s="918"/>
      <c r="D13" s="919">
        <f t="shared" si="2"/>
        <v>44494</v>
      </c>
      <c r="E13" s="919"/>
      <c r="F13" s="919"/>
      <c r="G13" s="919"/>
      <c r="H13" s="919"/>
      <c r="I13" s="916">
        <f t="shared" si="0"/>
        <v>293518.51851851848</v>
      </c>
      <c r="J13" s="920"/>
      <c r="K13" s="920"/>
      <c r="L13" s="920"/>
      <c r="M13" s="920"/>
      <c r="N13" s="920"/>
      <c r="O13" s="920"/>
      <c r="P13" s="917">
        <f t="shared" si="1"/>
        <v>277777.77777777775</v>
      </c>
      <c r="Q13" s="917"/>
      <c r="R13" s="917"/>
      <c r="S13" s="917"/>
      <c r="T13" s="917"/>
      <c r="U13" s="917"/>
      <c r="V13" s="917"/>
      <c r="W13" s="917">
        <f t="shared" si="3"/>
        <v>15740.740740740746</v>
      </c>
      <c r="X13" s="917"/>
      <c r="Y13" s="917"/>
      <c r="Z13" s="917"/>
      <c r="AA13" s="917"/>
      <c r="AB13" s="917"/>
      <c r="AC13" s="917"/>
      <c r="AD13" s="921">
        <f t="shared" si="4"/>
        <v>18611111.111111119</v>
      </c>
      <c r="AE13" s="922"/>
      <c r="AF13" s="922"/>
      <c r="AG13" s="922"/>
      <c r="AH13" s="922"/>
      <c r="AI13" s="922"/>
      <c r="AJ13" s="923"/>
    </row>
    <row r="14" spans="1:36" ht="16.899999999999999" customHeight="1">
      <c r="A14" s="918">
        <v>6</v>
      </c>
      <c r="B14" s="918"/>
      <c r="C14" s="918"/>
      <c r="D14" s="919">
        <f t="shared" si="2"/>
        <v>44525</v>
      </c>
      <c r="E14" s="919"/>
      <c r="F14" s="919"/>
      <c r="G14" s="919"/>
      <c r="H14" s="919"/>
      <c r="I14" s="916">
        <f t="shared" si="0"/>
        <v>293287.03703703702</v>
      </c>
      <c r="J14" s="920"/>
      <c r="K14" s="920"/>
      <c r="L14" s="920"/>
      <c r="M14" s="920"/>
      <c r="N14" s="920"/>
      <c r="O14" s="920"/>
      <c r="P14" s="917">
        <f t="shared" si="1"/>
        <v>277777.77777777775</v>
      </c>
      <c r="Q14" s="917"/>
      <c r="R14" s="917"/>
      <c r="S14" s="917"/>
      <c r="T14" s="917"/>
      <c r="U14" s="917"/>
      <c r="V14" s="917"/>
      <c r="W14" s="917">
        <f t="shared" si="3"/>
        <v>15509.259259259268</v>
      </c>
      <c r="X14" s="917"/>
      <c r="Y14" s="917"/>
      <c r="Z14" s="917"/>
      <c r="AA14" s="917"/>
      <c r="AB14" s="917"/>
      <c r="AC14" s="917"/>
      <c r="AD14" s="921">
        <f t="shared" si="4"/>
        <v>18333333.333333343</v>
      </c>
      <c r="AE14" s="922"/>
      <c r="AF14" s="922"/>
      <c r="AG14" s="922"/>
      <c r="AH14" s="922"/>
      <c r="AI14" s="922"/>
      <c r="AJ14" s="923"/>
    </row>
    <row r="15" spans="1:36" ht="16.899999999999999" customHeight="1">
      <c r="A15" s="918">
        <v>7</v>
      </c>
      <c r="B15" s="918"/>
      <c r="C15" s="918"/>
      <c r="D15" s="919">
        <f t="shared" si="2"/>
        <v>44555</v>
      </c>
      <c r="E15" s="919"/>
      <c r="F15" s="919"/>
      <c r="G15" s="919"/>
      <c r="H15" s="919"/>
      <c r="I15" s="916">
        <f t="shared" si="0"/>
        <v>293055.55555555556</v>
      </c>
      <c r="J15" s="920"/>
      <c r="K15" s="920"/>
      <c r="L15" s="920"/>
      <c r="M15" s="920"/>
      <c r="N15" s="920"/>
      <c r="O15" s="920"/>
      <c r="P15" s="917">
        <f t="shared" si="1"/>
        <v>277777.77777777775</v>
      </c>
      <c r="Q15" s="917"/>
      <c r="R15" s="917"/>
      <c r="S15" s="917"/>
      <c r="T15" s="917"/>
      <c r="U15" s="917"/>
      <c r="V15" s="917"/>
      <c r="W15" s="917">
        <f t="shared" si="3"/>
        <v>15277.777777777786</v>
      </c>
      <c r="X15" s="917"/>
      <c r="Y15" s="917"/>
      <c r="Z15" s="917"/>
      <c r="AA15" s="917"/>
      <c r="AB15" s="917"/>
      <c r="AC15" s="917"/>
      <c r="AD15" s="921">
        <f t="shared" si="4"/>
        <v>18055555.555555567</v>
      </c>
      <c r="AE15" s="922"/>
      <c r="AF15" s="922"/>
      <c r="AG15" s="922"/>
      <c r="AH15" s="922"/>
      <c r="AI15" s="922"/>
      <c r="AJ15" s="923"/>
    </row>
    <row r="16" spans="1:36" ht="16.899999999999999" customHeight="1">
      <c r="A16" s="918">
        <v>8</v>
      </c>
      <c r="B16" s="918"/>
      <c r="C16" s="918"/>
      <c r="D16" s="919">
        <f t="shared" si="2"/>
        <v>44586</v>
      </c>
      <c r="E16" s="919"/>
      <c r="F16" s="919"/>
      <c r="G16" s="919"/>
      <c r="H16" s="919"/>
      <c r="I16" s="916">
        <f t="shared" si="0"/>
        <v>292824.07407407404</v>
      </c>
      <c r="J16" s="920"/>
      <c r="K16" s="920"/>
      <c r="L16" s="920"/>
      <c r="M16" s="920"/>
      <c r="N16" s="920"/>
      <c r="O16" s="920"/>
      <c r="P16" s="917">
        <f t="shared" si="1"/>
        <v>277777.77777777775</v>
      </c>
      <c r="Q16" s="917"/>
      <c r="R16" s="917"/>
      <c r="S16" s="917"/>
      <c r="T16" s="917"/>
      <c r="U16" s="917"/>
      <c r="V16" s="917"/>
      <c r="W16" s="917">
        <f t="shared" si="3"/>
        <v>15046.296296296307</v>
      </c>
      <c r="X16" s="917"/>
      <c r="Y16" s="917"/>
      <c r="Z16" s="917"/>
      <c r="AA16" s="917"/>
      <c r="AB16" s="917"/>
      <c r="AC16" s="917"/>
      <c r="AD16" s="921">
        <f t="shared" si="4"/>
        <v>17777777.777777791</v>
      </c>
      <c r="AE16" s="922"/>
      <c r="AF16" s="922"/>
      <c r="AG16" s="922"/>
      <c r="AH16" s="922"/>
      <c r="AI16" s="922"/>
      <c r="AJ16" s="923"/>
    </row>
    <row r="17" spans="1:36" ht="16.899999999999999" customHeight="1">
      <c r="A17" s="918">
        <v>9</v>
      </c>
      <c r="B17" s="918"/>
      <c r="C17" s="918"/>
      <c r="D17" s="919">
        <f t="shared" si="2"/>
        <v>44617</v>
      </c>
      <c r="E17" s="919"/>
      <c r="F17" s="919"/>
      <c r="G17" s="919"/>
      <c r="H17" s="919"/>
      <c r="I17" s="916">
        <f t="shared" si="0"/>
        <v>292592.59259259258</v>
      </c>
      <c r="J17" s="920"/>
      <c r="K17" s="920"/>
      <c r="L17" s="920"/>
      <c r="M17" s="920"/>
      <c r="N17" s="920"/>
      <c r="O17" s="920"/>
      <c r="P17" s="917">
        <f t="shared" si="1"/>
        <v>277777.77777777775</v>
      </c>
      <c r="Q17" s="917"/>
      <c r="R17" s="917"/>
      <c r="S17" s="917"/>
      <c r="T17" s="917"/>
      <c r="U17" s="917"/>
      <c r="V17" s="917"/>
      <c r="W17" s="917">
        <f t="shared" si="3"/>
        <v>14814.814814814827</v>
      </c>
      <c r="X17" s="917"/>
      <c r="Y17" s="917"/>
      <c r="Z17" s="917"/>
      <c r="AA17" s="917"/>
      <c r="AB17" s="917"/>
      <c r="AC17" s="917"/>
      <c r="AD17" s="921">
        <f t="shared" si="4"/>
        <v>17500000.000000015</v>
      </c>
      <c r="AE17" s="922"/>
      <c r="AF17" s="922"/>
      <c r="AG17" s="922"/>
      <c r="AH17" s="922"/>
      <c r="AI17" s="922"/>
      <c r="AJ17" s="923"/>
    </row>
    <row r="18" spans="1:36" ht="16.899999999999999" customHeight="1">
      <c r="A18" s="918">
        <v>10</v>
      </c>
      <c r="B18" s="918"/>
      <c r="C18" s="918"/>
      <c r="D18" s="919">
        <f t="shared" si="2"/>
        <v>44645</v>
      </c>
      <c r="E18" s="919"/>
      <c r="F18" s="919"/>
      <c r="G18" s="919"/>
      <c r="H18" s="919"/>
      <c r="I18" s="916">
        <f t="shared" si="0"/>
        <v>292361.11111111112</v>
      </c>
      <c r="J18" s="920"/>
      <c r="K18" s="920"/>
      <c r="L18" s="920"/>
      <c r="M18" s="920"/>
      <c r="N18" s="920"/>
      <c r="O18" s="920"/>
      <c r="P18" s="917">
        <f t="shared" si="1"/>
        <v>277777.77777777775</v>
      </c>
      <c r="Q18" s="917"/>
      <c r="R18" s="917"/>
      <c r="S18" s="917"/>
      <c r="T18" s="917"/>
      <c r="U18" s="917"/>
      <c r="V18" s="917"/>
      <c r="W18" s="917">
        <f t="shared" si="3"/>
        <v>14583.333333333345</v>
      </c>
      <c r="X18" s="917"/>
      <c r="Y18" s="917"/>
      <c r="Z18" s="917"/>
      <c r="AA18" s="917"/>
      <c r="AB18" s="917"/>
      <c r="AC18" s="917"/>
      <c r="AD18" s="921">
        <f t="shared" si="4"/>
        <v>17222222.222222239</v>
      </c>
      <c r="AE18" s="922"/>
      <c r="AF18" s="922"/>
      <c r="AG18" s="922"/>
      <c r="AH18" s="922"/>
      <c r="AI18" s="922"/>
      <c r="AJ18" s="923"/>
    </row>
    <row r="19" spans="1:36" ht="16.899999999999999" customHeight="1">
      <c r="A19" s="918">
        <v>11</v>
      </c>
      <c r="B19" s="918"/>
      <c r="C19" s="918"/>
      <c r="D19" s="919">
        <f t="shared" si="2"/>
        <v>44676</v>
      </c>
      <c r="E19" s="919"/>
      <c r="F19" s="919"/>
      <c r="G19" s="919"/>
      <c r="H19" s="919"/>
      <c r="I19" s="916">
        <f t="shared" si="0"/>
        <v>292129.62962962961</v>
      </c>
      <c r="J19" s="920"/>
      <c r="K19" s="920"/>
      <c r="L19" s="920"/>
      <c r="M19" s="920"/>
      <c r="N19" s="920"/>
      <c r="O19" s="920"/>
      <c r="P19" s="917">
        <f t="shared" si="1"/>
        <v>277777.77777777775</v>
      </c>
      <c r="Q19" s="917"/>
      <c r="R19" s="917"/>
      <c r="S19" s="917"/>
      <c r="T19" s="917"/>
      <c r="U19" s="917"/>
      <c r="V19" s="917"/>
      <c r="W19" s="917">
        <f t="shared" si="3"/>
        <v>14351.851851851867</v>
      </c>
      <c r="X19" s="917"/>
      <c r="Y19" s="917"/>
      <c r="Z19" s="917"/>
      <c r="AA19" s="917"/>
      <c r="AB19" s="917"/>
      <c r="AC19" s="917"/>
      <c r="AD19" s="921">
        <f t="shared" si="4"/>
        <v>16944444.444444463</v>
      </c>
      <c r="AE19" s="922"/>
      <c r="AF19" s="922"/>
      <c r="AG19" s="922"/>
      <c r="AH19" s="922"/>
      <c r="AI19" s="922"/>
      <c r="AJ19" s="923"/>
    </row>
    <row r="20" spans="1:36" ht="16.899999999999999" customHeight="1">
      <c r="A20" s="918">
        <v>12</v>
      </c>
      <c r="B20" s="918"/>
      <c r="C20" s="918"/>
      <c r="D20" s="919">
        <f t="shared" si="2"/>
        <v>44706</v>
      </c>
      <c r="E20" s="919"/>
      <c r="F20" s="919"/>
      <c r="G20" s="919"/>
      <c r="H20" s="919"/>
      <c r="I20" s="916">
        <f t="shared" si="0"/>
        <v>291898.14814814815</v>
      </c>
      <c r="J20" s="920"/>
      <c r="K20" s="920"/>
      <c r="L20" s="920"/>
      <c r="M20" s="920"/>
      <c r="N20" s="920"/>
      <c r="O20" s="920"/>
      <c r="P20" s="917">
        <f t="shared" si="1"/>
        <v>277777.77777777775</v>
      </c>
      <c r="Q20" s="917"/>
      <c r="R20" s="917"/>
      <c r="S20" s="917"/>
      <c r="T20" s="917"/>
      <c r="U20" s="917"/>
      <c r="V20" s="917"/>
      <c r="W20" s="917">
        <f t="shared" si="3"/>
        <v>14120.370370370387</v>
      </c>
      <c r="X20" s="917"/>
      <c r="Y20" s="917"/>
      <c r="Z20" s="917"/>
      <c r="AA20" s="917"/>
      <c r="AB20" s="917"/>
      <c r="AC20" s="917"/>
      <c r="AD20" s="921">
        <f t="shared" si="4"/>
        <v>16666666.666666685</v>
      </c>
      <c r="AE20" s="922"/>
      <c r="AF20" s="922"/>
      <c r="AG20" s="922"/>
      <c r="AH20" s="922"/>
      <c r="AI20" s="922"/>
      <c r="AJ20" s="923"/>
    </row>
    <row r="21" spans="1:36" ht="16.899999999999999" customHeight="1">
      <c r="A21" s="918">
        <v>13</v>
      </c>
      <c r="B21" s="918"/>
      <c r="C21" s="918"/>
      <c r="D21" s="919">
        <f t="shared" si="2"/>
        <v>44737</v>
      </c>
      <c r="E21" s="919"/>
      <c r="F21" s="919"/>
      <c r="G21" s="919"/>
      <c r="H21" s="919"/>
      <c r="I21" s="916">
        <f t="shared" si="0"/>
        <v>291666.66666666663</v>
      </c>
      <c r="J21" s="920"/>
      <c r="K21" s="920"/>
      <c r="L21" s="920"/>
      <c r="M21" s="920"/>
      <c r="N21" s="920"/>
      <c r="O21" s="920"/>
      <c r="P21" s="917">
        <f t="shared" si="1"/>
        <v>277777.77777777775</v>
      </c>
      <c r="Q21" s="917"/>
      <c r="R21" s="917"/>
      <c r="S21" s="917"/>
      <c r="T21" s="917"/>
      <c r="U21" s="917"/>
      <c r="V21" s="917"/>
      <c r="W21" s="917">
        <f t="shared" si="3"/>
        <v>13888.888888888905</v>
      </c>
      <c r="X21" s="917"/>
      <c r="Y21" s="917"/>
      <c r="Z21" s="917"/>
      <c r="AA21" s="917"/>
      <c r="AB21" s="917"/>
      <c r="AC21" s="917"/>
      <c r="AD21" s="921">
        <f t="shared" si="4"/>
        <v>16388888.888888907</v>
      </c>
      <c r="AE21" s="922"/>
      <c r="AF21" s="922"/>
      <c r="AG21" s="922"/>
      <c r="AH21" s="922"/>
      <c r="AI21" s="922"/>
      <c r="AJ21" s="923"/>
    </row>
    <row r="22" spans="1:36" ht="16.899999999999999" customHeight="1">
      <c r="A22" s="918">
        <v>14</v>
      </c>
      <c r="B22" s="918"/>
      <c r="C22" s="918"/>
      <c r="D22" s="919">
        <f t="shared" si="2"/>
        <v>44767</v>
      </c>
      <c r="E22" s="919"/>
      <c r="F22" s="919"/>
      <c r="G22" s="919"/>
      <c r="H22" s="919"/>
      <c r="I22" s="916">
        <f t="shared" si="0"/>
        <v>291435.18518518517</v>
      </c>
      <c r="J22" s="920"/>
      <c r="K22" s="920"/>
      <c r="L22" s="920"/>
      <c r="M22" s="920"/>
      <c r="N22" s="920"/>
      <c r="O22" s="920"/>
      <c r="P22" s="917">
        <f t="shared" si="1"/>
        <v>277777.77777777775</v>
      </c>
      <c r="Q22" s="917"/>
      <c r="R22" s="917"/>
      <c r="S22" s="917"/>
      <c r="T22" s="917"/>
      <c r="U22" s="917"/>
      <c r="V22" s="917"/>
      <c r="W22" s="917">
        <f t="shared" si="3"/>
        <v>13657.407407407423</v>
      </c>
      <c r="X22" s="917"/>
      <c r="Y22" s="917"/>
      <c r="Z22" s="917"/>
      <c r="AA22" s="917"/>
      <c r="AB22" s="917"/>
      <c r="AC22" s="917"/>
      <c r="AD22" s="921">
        <f t="shared" si="4"/>
        <v>16111111.111111129</v>
      </c>
      <c r="AE22" s="922"/>
      <c r="AF22" s="922"/>
      <c r="AG22" s="922"/>
      <c r="AH22" s="922"/>
      <c r="AI22" s="922"/>
      <c r="AJ22" s="923"/>
    </row>
    <row r="23" spans="1:36" ht="16.899999999999999" customHeight="1">
      <c r="A23" s="918">
        <v>15</v>
      </c>
      <c r="B23" s="918"/>
      <c r="C23" s="918"/>
      <c r="D23" s="919">
        <f t="shared" si="2"/>
        <v>44798</v>
      </c>
      <c r="E23" s="919"/>
      <c r="F23" s="919"/>
      <c r="G23" s="919"/>
      <c r="H23" s="919"/>
      <c r="I23" s="916">
        <f t="shared" si="0"/>
        <v>291203.70370370371</v>
      </c>
      <c r="J23" s="920"/>
      <c r="K23" s="920"/>
      <c r="L23" s="920"/>
      <c r="M23" s="920"/>
      <c r="N23" s="920"/>
      <c r="O23" s="920"/>
      <c r="P23" s="917">
        <f t="shared" si="1"/>
        <v>277777.77777777775</v>
      </c>
      <c r="Q23" s="917"/>
      <c r="R23" s="917"/>
      <c r="S23" s="917"/>
      <c r="T23" s="917"/>
      <c r="U23" s="917"/>
      <c r="V23" s="917"/>
      <c r="W23" s="917">
        <f t="shared" si="3"/>
        <v>13425.925925925942</v>
      </c>
      <c r="X23" s="917"/>
      <c r="Y23" s="917"/>
      <c r="Z23" s="917"/>
      <c r="AA23" s="917"/>
      <c r="AB23" s="917"/>
      <c r="AC23" s="917"/>
      <c r="AD23" s="921">
        <f t="shared" si="4"/>
        <v>15833333.333333351</v>
      </c>
      <c r="AE23" s="922"/>
      <c r="AF23" s="922"/>
      <c r="AG23" s="922"/>
      <c r="AH23" s="922"/>
      <c r="AI23" s="922"/>
      <c r="AJ23" s="923"/>
    </row>
    <row r="24" spans="1:36" ht="16.899999999999999" customHeight="1">
      <c r="A24" s="918">
        <v>16</v>
      </c>
      <c r="B24" s="918"/>
      <c r="C24" s="918"/>
      <c r="D24" s="919">
        <f t="shared" si="2"/>
        <v>44829</v>
      </c>
      <c r="E24" s="919"/>
      <c r="F24" s="919"/>
      <c r="G24" s="919"/>
      <c r="H24" s="919"/>
      <c r="I24" s="916">
        <f t="shared" si="0"/>
        <v>290972.22222222219</v>
      </c>
      <c r="J24" s="920"/>
      <c r="K24" s="920"/>
      <c r="L24" s="920"/>
      <c r="M24" s="920"/>
      <c r="N24" s="920"/>
      <c r="O24" s="920"/>
      <c r="P24" s="917">
        <f t="shared" si="1"/>
        <v>277777.77777777775</v>
      </c>
      <c r="Q24" s="917"/>
      <c r="R24" s="917"/>
      <c r="S24" s="917"/>
      <c r="T24" s="917"/>
      <c r="U24" s="917"/>
      <c r="V24" s="917"/>
      <c r="W24" s="917">
        <f t="shared" si="3"/>
        <v>13194.44444444446</v>
      </c>
      <c r="X24" s="917"/>
      <c r="Y24" s="917"/>
      <c r="Z24" s="917"/>
      <c r="AA24" s="917"/>
      <c r="AB24" s="917"/>
      <c r="AC24" s="917"/>
      <c r="AD24" s="921">
        <f t="shared" si="4"/>
        <v>15555555.555555573</v>
      </c>
      <c r="AE24" s="922"/>
      <c r="AF24" s="922"/>
      <c r="AG24" s="922"/>
      <c r="AH24" s="922"/>
      <c r="AI24" s="922"/>
      <c r="AJ24" s="923"/>
    </row>
    <row r="25" spans="1:36" ht="16.899999999999999" customHeight="1">
      <c r="A25" s="918">
        <v>17</v>
      </c>
      <c r="B25" s="918"/>
      <c r="C25" s="918"/>
      <c r="D25" s="919">
        <f t="shared" si="2"/>
        <v>44859</v>
      </c>
      <c r="E25" s="919"/>
      <c r="F25" s="919"/>
      <c r="G25" s="919"/>
      <c r="H25" s="919"/>
      <c r="I25" s="916">
        <f t="shared" si="0"/>
        <v>290740.74074074073</v>
      </c>
      <c r="J25" s="920"/>
      <c r="K25" s="920"/>
      <c r="L25" s="920"/>
      <c r="M25" s="920"/>
      <c r="N25" s="920"/>
      <c r="O25" s="920"/>
      <c r="P25" s="917">
        <f t="shared" si="1"/>
        <v>277777.77777777775</v>
      </c>
      <c r="Q25" s="917"/>
      <c r="R25" s="917"/>
      <c r="S25" s="917"/>
      <c r="T25" s="917"/>
      <c r="U25" s="917"/>
      <c r="V25" s="917"/>
      <c r="W25" s="917">
        <f t="shared" si="3"/>
        <v>12962.962962962978</v>
      </c>
      <c r="X25" s="917"/>
      <c r="Y25" s="917"/>
      <c r="Z25" s="917"/>
      <c r="AA25" s="917"/>
      <c r="AB25" s="917"/>
      <c r="AC25" s="917"/>
      <c r="AD25" s="921">
        <f t="shared" si="4"/>
        <v>15277777.777777795</v>
      </c>
      <c r="AE25" s="922"/>
      <c r="AF25" s="922"/>
      <c r="AG25" s="922"/>
      <c r="AH25" s="922"/>
      <c r="AI25" s="922"/>
      <c r="AJ25" s="923"/>
    </row>
    <row r="26" spans="1:36" ht="16.899999999999999" customHeight="1">
      <c r="A26" s="918">
        <v>18</v>
      </c>
      <c r="B26" s="918"/>
      <c r="C26" s="918"/>
      <c r="D26" s="919">
        <f t="shared" si="2"/>
        <v>44890</v>
      </c>
      <c r="E26" s="919"/>
      <c r="F26" s="919"/>
      <c r="G26" s="919"/>
      <c r="H26" s="919"/>
      <c r="I26" s="916">
        <f t="shared" si="0"/>
        <v>290509.25925925927</v>
      </c>
      <c r="J26" s="920"/>
      <c r="K26" s="920"/>
      <c r="L26" s="920"/>
      <c r="M26" s="920"/>
      <c r="N26" s="920"/>
      <c r="O26" s="920"/>
      <c r="P26" s="917">
        <f t="shared" si="1"/>
        <v>277777.77777777775</v>
      </c>
      <c r="Q26" s="917"/>
      <c r="R26" s="917"/>
      <c r="S26" s="917"/>
      <c r="T26" s="917"/>
      <c r="U26" s="917"/>
      <c r="V26" s="917"/>
      <c r="W26" s="917">
        <f t="shared" si="3"/>
        <v>12731.481481481496</v>
      </c>
      <c r="X26" s="917"/>
      <c r="Y26" s="917"/>
      <c r="Z26" s="917"/>
      <c r="AA26" s="917"/>
      <c r="AB26" s="917"/>
      <c r="AC26" s="917"/>
      <c r="AD26" s="921">
        <f t="shared" si="4"/>
        <v>15000000.000000017</v>
      </c>
      <c r="AE26" s="922"/>
      <c r="AF26" s="922"/>
      <c r="AG26" s="922"/>
      <c r="AH26" s="922"/>
      <c r="AI26" s="922"/>
      <c r="AJ26" s="923"/>
    </row>
    <row r="27" spans="1:36" ht="16.899999999999999" customHeight="1">
      <c r="A27" s="918">
        <v>19</v>
      </c>
      <c r="B27" s="918"/>
      <c r="C27" s="918"/>
      <c r="D27" s="919">
        <f t="shared" si="2"/>
        <v>44920</v>
      </c>
      <c r="E27" s="919"/>
      <c r="F27" s="919"/>
      <c r="G27" s="919"/>
      <c r="H27" s="919"/>
      <c r="I27" s="916">
        <f t="shared" si="0"/>
        <v>290277.77777777775</v>
      </c>
      <c r="J27" s="920"/>
      <c r="K27" s="920"/>
      <c r="L27" s="920"/>
      <c r="M27" s="920"/>
      <c r="N27" s="920"/>
      <c r="O27" s="920"/>
      <c r="P27" s="917">
        <f t="shared" si="1"/>
        <v>277777.77777777775</v>
      </c>
      <c r="Q27" s="917"/>
      <c r="R27" s="917"/>
      <c r="S27" s="917"/>
      <c r="T27" s="917"/>
      <c r="U27" s="917"/>
      <c r="V27" s="917"/>
      <c r="W27" s="917">
        <f t="shared" si="3"/>
        <v>12500.000000000015</v>
      </c>
      <c r="X27" s="917"/>
      <c r="Y27" s="917"/>
      <c r="Z27" s="917"/>
      <c r="AA27" s="917"/>
      <c r="AB27" s="917"/>
      <c r="AC27" s="917"/>
      <c r="AD27" s="921">
        <f t="shared" si="4"/>
        <v>14722222.222222239</v>
      </c>
      <c r="AE27" s="922"/>
      <c r="AF27" s="922"/>
      <c r="AG27" s="922"/>
      <c r="AH27" s="922"/>
      <c r="AI27" s="922"/>
      <c r="AJ27" s="923"/>
    </row>
    <row r="28" spans="1:36" ht="16.899999999999999" customHeight="1">
      <c r="A28" s="918">
        <v>20</v>
      </c>
      <c r="B28" s="918"/>
      <c r="C28" s="918"/>
      <c r="D28" s="919">
        <f t="shared" si="2"/>
        <v>44951</v>
      </c>
      <c r="E28" s="919"/>
      <c r="F28" s="919"/>
      <c r="G28" s="919"/>
      <c r="H28" s="919"/>
      <c r="I28" s="916">
        <f t="shared" si="0"/>
        <v>290046.29629629629</v>
      </c>
      <c r="J28" s="920"/>
      <c r="K28" s="920"/>
      <c r="L28" s="920"/>
      <c r="M28" s="920"/>
      <c r="N28" s="920"/>
      <c r="O28" s="920"/>
      <c r="P28" s="917">
        <f t="shared" si="1"/>
        <v>277777.77777777775</v>
      </c>
      <c r="Q28" s="917"/>
      <c r="R28" s="917"/>
      <c r="S28" s="917"/>
      <c r="T28" s="917"/>
      <c r="U28" s="917"/>
      <c r="V28" s="917"/>
      <c r="W28" s="917">
        <f t="shared" si="3"/>
        <v>12268.518518518533</v>
      </c>
      <c r="X28" s="917"/>
      <c r="Y28" s="917"/>
      <c r="Z28" s="917"/>
      <c r="AA28" s="917"/>
      <c r="AB28" s="917"/>
      <c r="AC28" s="917"/>
      <c r="AD28" s="921">
        <f t="shared" si="4"/>
        <v>14444444.444444461</v>
      </c>
      <c r="AE28" s="922"/>
      <c r="AF28" s="922"/>
      <c r="AG28" s="922"/>
      <c r="AH28" s="922"/>
      <c r="AI28" s="922"/>
      <c r="AJ28" s="923"/>
    </row>
    <row r="29" spans="1:36" ht="16.899999999999999" customHeight="1">
      <c r="A29" s="918">
        <v>21</v>
      </c>
      <c r="B29" s="918"/>
      <c r="C29" s="918"/>
      <c r="D29" s="919">
        <f t="shared" si="2"/>
        <v>44982</v>
      </c>
      <c r="E29" s="919"/>
      <c r="F29" s="919"/>
      <c r="G29" s="919"/>
      <c r="H29" s="919"/>
      <c r="I29" s="916">
        <f t="shared" si="0"/>
        <v>289814.81481481483</v>
      </c>
      <c r="J29" s="920"/>
      <c r="K29" s="920"/>
      <c r="L29" s="920"/>
      <c r="M29" s="920"/>
      <c r="N29" s="920"/>
      <c r="O29" s="920"/>
      <c r="P29" s="917">
        <f t="shared" si="1"/>
        <v>277777.77777777775</v>
      </c>
      <c r="Q29" s="917"/>
      <c r="R29" s="917"/>
      <c r="S29" s="917"/>
      <c r="T29" s="917"/>
      <c r="U29" s="917"/>
      <c r="V29" s="917"/>
      <c r="W29" s="917">
        <f t="shared" si="3"/>
        <v>12037.037037037051</v>
      </c>
      <c r="X29" s="917"/>
      <c r="Y29" s="917"/>
      <c r="Z29" s="917"/>
      <c r="AA29" s="917"/>
      <c r="AB29" s="917"/>
      <c r="AC29" s="917"/>
      <c r="AD29" s="921">
        <f t="shared" si="4"/>
        <v>14166666.666666683</v>
      </c>
      <c r="AE29" s="922"/>
      <c r="AF29" s="922"/>
      <c r="AG29" s="922"/>
      <c r="AH29" s="922"/>
      <c r="AI29" s="922"/>
      <c r="AJ29" s="923"/>
    </row>
    <row r="30" spans="1:36" ht="16.899999999999999" customHeight="1">
      <c r="A30" s="918">
        <v>22</v>
      </c>
      <c r="B30" s="918"/>
      <c r="C30" s="918"/>
      <c r="D30" s="919">
        <f t="shared" si="2"/>
        <v>45010</v>
      </c>
      <c r="E30" s="919"/>
      <c r="F30" s="919"/>
      <c r="G30" s="919"/>
      <c r="H30" s="919"/>
      <c r="I30" s="916">
        <f t="shared" si="0"/>
        <v>289583.33333333331</v>
      </c>
      <c r="J30" s="920"/>
      <c r="K30" s="920"/>
      <c r="L30" s="920"/>
      <c r="M30" s="920"/>
      <c r="N30" s="920"/>
      <c r="O30" s="920"/>
      <c r="P30" s="917">
        <f t="shared" si="1"/>
        <v>277777.77777777775</v>
      </c>
      <c r="Q30" s="917"/>
      <c r="R30" s="917"/>
      <c r="S30" s="917"/>
      <c r="T30" s="917"/>
      <c r="U30" s="917"/>
      <c r="V30" s="917"/>
      <c r="W30" s="917">
        <f t="shared" si="3"/>
        <v>11805.555555555569</v>
      </c>
      <c r="X30" s="917"/>
      <c r="Y30" s="917"/>
      <c r="Z30" s="917"/>
      <c r="AA30" s="917"/>
      <c r="AB30" s="917"/>
      <c r="AC30" s="917"/>
      <c r="AD30" s="921">
        <f t="shared" si="4"/>
        <v>13888888.888888905</v>
      </c>
      <c r="AE30" s="922"/>
      <c r="AF30" s="922"/>
      <c r="AG30" s="922"/>
      <c r="AH30" s="922"/>
      <c r="AI30" s="922"/>
      <c r="AJ30" s="923"/>
    </row>
    <row r="31" spans="1:36" ht="16.899999999999999" customHeight="1">
      <c r="A31" s="918">
        <v>23</v>
      </c>
      <c r="B31" s="918"/>
      <c r="C31" s="918"/>
      <c r="D31" s="919">
        <f t="shared" si="2"/>
        <v>45041</v>
      </c>
      <c r="E31" s="919"/>
      <c r="F31" s="919"/>
      <c r="G31" s="919"/>
      <c r="H31" s="919"/>
      <c r="I31" s="916">
        <f t="shared" si="0"/>
        <v>289351.85185185185</v>
      </c>
      <c r="J31" s="920"/>
      <c r="K31" s="920"/>
      <c r="L31" s="920"/>
      <c r="M31" s="920"/>
      <c r="N31" s="920"/>
      <c r="O31" s="920"/>
      <c r="P31" s="917">
        <f t="shared" si="1"/>
        <v>277777.77777777775</v>
      </c>
      <c r="Q31" s="917"/>
      <c r="R31" s="917"/>
      <c r="S31" s="917"/>
      <c r="T31" s="917"/>
      <c r="U31" s="917"/>
      <c r="V31" s="917"/>
      <c r="W31" s="917">
        <f t="shared" si="3"/>
        <v>11574.074074074088</v>
      </c>
      <c r="X31" s="917"/>
      <c r="Y31" s="917"/>
      <c r="Z31" s="917"/>
      <c r="AA31" s="917"/>
      <c r="AB31" s="917"/>
      <c r="AC31" s="917"/>
      <c r="AD31" s="921">
        <f t="shared" si="4"/>
        <v>13611111.111111127</v>
      </c>
      <c r="AE31" s="922"/>
      <c r="AF31" s="922"/>
      <c r="AG31" s="922"/>
      <c r="AH31" s="922"/>
      <c r="AI31" s="922"/>
      <c r="AJ31" s="923"/>
    </row>
    <row r="32" spans="1:36" ht="16.899999999999999" customHeight="1">
      <c r="A32" s="918">
        <v>24</v>
      </c>
      <c r="B32" s="918"/>
      <c r="C32" s="918"/>
      <c r="D32" s="919">
        <f t="shared" si="2"/>
        <v>45071</v>
      </c>
      <c r="E32" s="919"/>
      <c r="F32" s="919"/>
      <c r="G32" s="919"/>
      <c r="H32" s="919"/>
      <c r="I32" s="916">
        <f t="shared" si="0"/>
        <v>289120.37037037034</v>
      </c>
      <c r="J32" s="920"/>
      <c r="K32" s="920"/>
      <c r="L32" s="920"/>
      <c r="M32" s="920"/>
      <c r="N32" s="920"/>
      <c r="O32" s="920"/>
      <c r="P32" s="917">
        <f t="shared" si="1"/>
        <v>277777.77777777775</v>
      </c>
      <c r="Q32" s="917"/>
      <c r="R32" s="917"/>
      <c r="S32" s="917"/>
      <c r="T32" s="917"/>
      <c r="U32" s="917"/>
      <c r="V32" s="917"/>
      <c r="W32" s="917">
        <f t="shared" si="3"/>
        <v>11342.592592592606</v>
      </c>
      <c r="X32" s="917"/>
      <c r="Y32" s="917"/>
      <c r="Z32" s="917"/>
      <c r="AA32" s="917"/>
      <c r="AB32" s="917"/>
      <c r="AC32" s="917"/>
      <c r="AD32" s="921">
        <f t="shared" si="4"/>
        <v>13333333.333333349</v>
      </c>
      <c r="AE32" s="922"/>
      <c r="AF32" s="922"/>
      <c r="AG32" s="922"/>
      <c r="AH32" s="922"/>
      <c r="AI32" s="922"/>
      <c r="AJ32" s="923"/>
    </row>
    <row r="33" spans="1:36" ht="16.899999999999999" customHeight="1">
      <c r="A33" s="918">
        <v>25</v>
      </c>
      <c r="B33" s="918"/>
      <c r="C33" s="918"/>
      <c r="D33" s="919">
        <f t="shared" si="2"/>
        <v>45102</v>
      </c>
      <c r="E33" s="919"/>
      <c r="F33" s="919"/>
      <c r="G33" s="919"/>
      <c r="H33" s="919"/>
      <c r="I33" s="916">
        <f t="shared" si="0"/>
        <v>288888.88888888888</v>
      </c>
      <c r="J33" s="920"/>
      <c r="K33" s="920"/>
      <c r="L33" s="920"/>
      <c r="M33" s="920"/>
      <c r="N33" s="920"/>
      <c r="O33" s="920"/>
      <c r="P33" s="917">
        <f t="shared" si="1"/>
        <v>277777.77777777775</v>
      </c>
      <c r="Q33" s="917"/>
      <c r="R33" s="917"/>
      <c r="S33" s="917"/>
      <c r="T33" s="917"/>
      <c r="U33" s="917"/>
      <c r="V33" s="917"/>
      <c r="W33" s="917">
        <f t="shared" si="3"/>
        <v>11111.111111111124</v>
      </c>
      <c r="X33" s="917"/>
      <c r="Y33" s="917"/>
      <c r="Z33" s="917"/>
      <c r="AA33" s="917"/>
      <c r="AB33" s="917"/>
      <c r="AC33" s="917"/>
      <c r="AD33" s="921">
        <f t="shared" si="4"/>
        <v>13055555.555555571</v>
      </c>
      <c r="AE33" s="922"/>
      <c r="AF33" s="922"/>
      <c r="AG33" s="922"/>
      <c r="AH33" s="922"/>
      <c r="AI33" s="922"/>
      <c r="AJ33" s="923"/>
    </row>
    <row r="34" spans="1:36" ht="16.899999999999999" customHeight="1">
      <c r="A34" s="918">
        <v>26</v>
      </c>
      <c r="B34" s="918"/>
      <c r="C34" s="918"/>
      <c r="D34" s="919">
        <f t="shared" si="2"/>
        <v>45132</v>
      </c>
      <c r="E34" s="919"/>
      <c r="F34" s="919"/>
      <c r="G34" s="919"/>
      <c r="H34" s="919"/>
      <c r="I34" s="916">
        <f t="shared" si="0"/>
        <v>288657.40740740742</v>
      </c>
      <c r="J34" s="920"/>
      <c r="K34" s="920"/>
      <c r="L34" s="920"/>
      <c r="M34" s="920"/>
      <c r="N34" s="920"/>
      <c r="O34" s="920"/>
      <c r="P34" s="917">
        <f t="shared" si="1"/>
        <v>277777.77777777775</v>
      </c>
      <c r="Q34" s="917"/>
      <c r="R34" s="917"/>
      <c r="S34" s="917"/>
      <c r="T34" s="917"/>
      <c r="U34" s="917"/>
      <c r="V34" s="917"/>
      <c r="W34" s="917">
        <f t="shared" si="3"/>
        <v>10879.629629629642</v>
      </c>
      <c r="X34" s="917"/>
      <c r="Y34" s="917"/>
      <c r="Z34" s="917"/>
      <c r="AA34" s="917"/>
      <c r="AB34" s="917"/>
      <c r="AC34" s="917"/>
      <c r="AD34" s="921">
        <f t="shared" si="4"/>
        <v>12777777.777777793</v>
      </c>
      <c r="AE34" s="922"/>
      <c r="AF34" s="922"/>
      <c r="AG34" s="922"/>
      <c r="AH34" s="922"/>
      <c r="AI34" s="922"/>
      <c r="AJ34" s="923"/>
    </row>
    <row r="35" spans="1:36" ht="16.899999999999999" customHeight="1">
      <c r="A35" s="918">
        <v>27</v>
      </c>
      <c r="B35" s="918"/>
      <c r="C35" s="918"/>
      <c r="D35" s="919">
        <f t="shared" si="2"/>
        <v>45163</v>
      </c>
      <c r="E35" s="919"/>
      <c r="F35" s="919"/>
      <c r="G35" s="919"/>
      <c r="H35" s="919"/>
      <c r="I35" s="916">
        <f t="shared" si="0"/>
        <v>288425.9259259259</v>
      </c>
      <c r="J35" s="920"/>
      <c r="K35" s="920"/>
      <c r="L35" s="920"/>
      <c r="M35" s="920"/>
      <c r="N35" s="920"/>
      <c r="O35" s="920"/>
      <c r="P35" s="917">
        <f t="shared" si="1"/>
        <v>277777.77777777775</v>
      </c>
      <c r="Q35" s="917"/>
      <c r="R35" s="917"/>
      <c r="S35" s="917"/>
      <c r="T35" s="917"/>
      <c r="U35" s="917"/>
      <c r="V35" s="917"/>
      <c r="W35" s="917">
        <f t="shared" si="3"/>
        <v>10648.148148148161</v>
      </c>
      <c r="X35" s="917"/>
      <c r="Y35" s="917"/>
      <c r="Z35" s="917"/>
      <c r="AA35" s="917"/>
      <c r="AB35" s="917"/>
      <c r="AC35" s="917"/>
      <c r="AD35" s="921">
        <f t="shared" si="4"/>
        <v>12500000.000000015</v>
      </c>
      <c r="AE35" s="922"/>
      <c r="AF35" s="922"/>
      <c r="AG35" s="922"/>
      <c r="AH35" s="922"/>
      <c r="AI35" s="922"/>
      <c r="AJ35" s="923"/>
    </row>
    <row r="36" spans="1:36" ht="16.899999999999999" customHeight="1">
      <c r="A36" s="918">
        <v>28</v>
      </c>
      <c r="B36" s="918"/>
      <c r="C36" s="918"/>
      <c r="D36" s="919">
        <f t="shared" si="2"/>
        <v>45194</v>
      </c>
      <c r="E36" s="919"/>
      <c r="F36" s="919"/>
      <c r="G36" s="919"/>
      <c r="H36" s="919"/>
      <c r="I36" s="916">
        <f t="shared" si="0"/>
        <v>288194.44444444444</v>
      </c>
      <c r="J36" s="920"/>
      <c r="K36" s="920"/>
      <c r="L36" s="920"/>
      <c r="M36" s="920"/>
      <c r="N36" s="920"/>
      <c r="O36" s="920"/>
      <c r="P36" s="917">
        <f t="shared" si="1"/>
        <v>277777.77777777775</v>
      </c>
      <c r="Q36" s="917"/>
      <c r="R36" s="917"/>
      <c r="S36" s="917"/>
      <c r="T36" s="917"/>
      <c r="U36" s="917"/>
      <c r="V36" s="917"/>
      <c r="W36" s="917">
        <f t="shared" si="3"/>
        <v>10416.666666666679</v>
      </c>
      <c r="X36" s="917"/>
      <c r="Y36" s="917"/>
      <c r="Z36" s="917"/>
      <c r="AA36" s="917"/>
      <c r="AB36" s="917"/>
      <c r="AC36" s="917"/>
      <c r="AD36" s="921">
        <f t="shared" si="4"/>
        <v>12222222.222222237</v>
      </c>
      <c r="AE36" s="922"/>
      <c r="AF36" s="922"/>
      <c r="AG36" s="922"/>
      <c r="AH36" s="922"/>
      <c r="AI36" s="922"/>
      <c r="AJ36" s="923"/>
    </row>
    <row r="37" spans="1:36" ht="16.899999999999999" customHeight="1">
      <c r="A37" s="918">
        <v>29</v>
      </c>
      <c r="B37" s="918"/>
      <c r="C37" s="918"/>
      <c r="D37" s="919">
        <f t="shared" si="2"/>
        <v>45224</v>
      </c>
      <c r="E37" s="919"/>
      <c r="F37" s="919"/>
      <c r="G37" s="919"/>
      <c r="H37" s="919"/>
      <c r="I37" s="916">
        <f t="shared" si="0"/>
        <v>287962.96296296292</v>
      </c>
      <c r="J37" s="920"/>
      <c r="K37" s="920"/>
      <c r="L37" s="920"/>
      <c r="M37" s="920"/>
      <c r="N37" s="920"/>
      <c r="O37" s="920"/>
      <c r="P37" s="917">
        <f t="shared" si="1"/>
        <v>277777.77777777775</v>
      </c>
      <c r="Q37" s="917"/>
      <c r="R37" s="917"/>
      <c r="S37" s="917"/>
      <c r="T37" s="917"/>
      <c r="U37" s="917"/>
      <c r="V37" s="917"/>
      <c r="W37" s="917">
        <f t="shared" si="3"/>
        <v>10185.185185185197</v>
      </c>
      <c r="X37" s="917"/>
      <c r="Y37" s="917"/>
      <c r="Z37" s="917"/>
      <c r="AA37" s="917"/>
      <c r="AB37" s="917"/>
      <c r="AC37" s="917"/>
      <c r="AD37" s="921">
        <f t="shared" si="4"/>
        <v>11944444.444444459</v>
      </c>
      <c r="AE37" s="922"/>
      <c r="AF37" s="922"/>
      <c r="AG37" s="922"/>
      <c r="AH37" s="922"/>
      <c r="AI37" s="922"/>
      <c r="AJ37" s="923"/>
    </row>
    <row r="38" spans="1:36" ht="16.899999999999999" customHeight="1">
      <c r="A38" s="918">
        <v>30</v>
      </c>
      <c r="B38" s="918"/>
      <c r="C38" s="918"/>
      <c r="D38" s="919">
        <f t="shared" si="2"/>
        <v>45255</v>
      </c>
      <c r="E38" s="919"/>
      <c r="F38" s="919"/>
      <c r="G38" s="919"/>
      <c r="H38" s="919"/>
      <c r="I38" s="916">
        <f t="shared" si="0"/>
        <v>287731.48148148146</v>
      </c>
      <c r="J38" s="920"/>
      <c r="K38" s="920"/>
      <c r="L38" s="920"/>
      <c r="M38" s="920"/>
      <c r="N38" s="920"/>
      <c r="O38" s="920"/>
      <c r="P38" s="917">
        <f t="shared" si="1"/>
        <v>277777.77777777775</v>
      </c>
      <c r="Q38" s="917"/>
      <c r="R38" s="917"/>
      <c r="S38" s="917"/>
      <c r="T38" s="917"/>
      <c r="U38" s="917"/>
      <c r="V38" s="917"/>
      <c r="W38" s="917">
        <f t="shared" si="3"/>
        <v>9953.7037037037171</v>
      </c>
      <c r="X38" s="917"/>
      <c r="Y38" s="917"/>
      <c r="Z38" s="917"/>
      <c r="AA38" s="917"/>
      <c r="AB38" s="917"/>
      <c r="AC38" s="917"/>
      <c r="AD38" s="921">
        <f t="shared" si="4"/>
        <v>11666666.666666681</v>
      </c>
      <c r="AE38" s="922"/>
      <c r="AF38" s="922"/>
      <c r="AG38" s="922"/>
      <c r="AH38" s="922"/>
      <c r="AI38" s="922"/>
      <c r="AJ38" s="923"/>
    </row>
    <row r="39" spans="1:36" ht="16.899999999999999" customHeight="1">
      <c r="A39" s="918">
        <v>31</v>
      </c>
      <c r="B39" s="918"/>
      <c r="C39" s="918"/>
      <c r="D39" s="919">
        <f t="shared" si="2"/>
        <v>45285</v>
      </c>
      <c r="E39" s="919"/>
      <c r="F39" s="919"/>
      <c r="G39" s="919"/>
      <c r="H39" s="919"/>
      <c r="I39" s="916">
        <f t="shared" si="0"/>
        <v>287500</v>
      </c>
      <c r="J39" s="920"/>
      <c r="K39" s="920"/>
      <c r="L39" s="920"/>
      <c r="M39" s="920"/>
      <c r="N39" s="920"/>
      <c r="O39" s="920"/>
      <c r="P39" s="917">
        <f t="shared" si="1"/>
        <v>277777.77777777775</v>
      </c>
      <c r="Q39" s="917"/>
      <c r="R39" s="917"/>
      <c r="S39" s="917"/>
      <c r="T39" s="917"/>
      <c r="U39" s="917"/>
      <c r="V39" s="917"/>
      <c r="W39" s="917">
        <f t="shared" si="3"/>
        <v>9722.2222222222354</v>
      </c>
      <c r="X39" s="917"/>
      <c r="Y39" s="917"/>
      <c r="Z39" s="917"/>
      <c r="AA39" s="917"/>
      <c r="AB39" s="917"/>
      <c r="AC39" s="917"/>
      <c r="AD39" s="921">
        <f t="shared" si="4"/>
        <v>11388888.888888903</v>
      </c>
      <c r="AE39" s="922"/>
      <c r="AF39" s="922"/>
      <c r="AG39" s="922"/>
      <c r="AH39" s="922"/>
      <c r="AI39" s="922"/>
      <c r="AJ39" s="923"/>
    </row>
    <row r="40" spans="1:36" ht="16.899999999999999" customHeight="1">
      <c r="A40" s="918">
        <v>32</v>
      </c>
      <c r="B40" s="918"/>
      <c r="C40" s="918"/>
      <c r="D40" s="919">
        <f t="shared" si="2"/>
        <v>45316</v>
      </c>
      <c r="E40" s="919"/>
      <c r="F40" s="919"/>
      <c r="G40" s="919"/>
      <c r="H40" s="919"/>
      <c r="I40" s="916">
        <f t="shared" si="0"/>
        <v>287268.51851851848</v>
      </c>
      <c r="J40" s="920"/>
      <c r="K40" s="920"/>
      <c r="L40" s="920"/>
      <c r="M40" s="920"/>
      <c r="N40" s="920"/>
      <c r="O40" s="920"/>
      <c r="P40" s="917">
        <f t="shared" si="1"/>
        <v>277777.77777777775</v>
      </c>
      <c r="Q40" s="917"/>
      <c r="R40" s="917"/>
      <c r="S40" s="917"/>
      <c r="T40" s="917"/>
      <c r="U40" s="917"/>
      <c r="V40" s="917"/>
      <c r="W40" s="917">
        <f t="shared" si="3"/>
        <v>9490.7407407407536</v>
      </c>
      <c r="X40" s="917"/>
      <c r="Y40" s="917"/>
      <c r="Z40" s="917"/>
      <c r="AA40" s="917"/>
      <c r="AB40" s="917"/>
      <c r="AC40" s="917"/>
      <c r="AD40" s="921">
        <f t="shared" si="4"/>
        <v>11111111.111111125</v>
      </c>
      <c r="AE40" s="922"/>
      <c r="AF40" s="922"/>
      <c r="AG40" s="922"/>
      <c r="AH40" s="922"/>
      <c r="AI40" s="922"/>
      <c r="AJ40" s="923"/>
    </row>
    <row r="41" spans="1:36" ht="16.899999999999999" customHeight="1">
      <c r="A41" s="918">
        <v>33</v>
      </c>
      <c r="B41" s="918"/>
      <c r="C41" s="918"/>
      <c r="D41" s="919">
        <f t="shared" si="2"/>
        <v>45347</v>
      </c>
      <c r="E41" s="919"/>
      <c r="F41" s="919"/>
      <c r="G41" s="919"/>
      <c r="H41" s="919"/>
      <c r="I41" s="916">
        <f t="shared" si="0"/>
        <v>287037.03703703702</v>
      </c>
      <c r="J41" s="920"/>
      <c r="K41" s="920"/>
      <c r="L41" s="920"/>
      <c r="M41" s="920"/>
      <c r="N41" s="920"/>
      <c r="O41" s="920"/>
      <c r="P41" s="917">
        <f t="shared" si="1"/>
        <v>277777.77777777775</v>
      </c>
      <c r="Q41" s="917"/>
      <c r="R41" s="917"/>
      <c r="S41" s="917"/>
      <c r="T41" s="917"/>
      <c r="U41" s="917"/>
      <c r="V41" s="917"/>
      <c r="W41" s="917">
        <f t="shared" si="3"/>
        <v>9259.2592592592719</v>
      </c>
      <c r="X41" s="917"/>
      <c r="Y41" s="917"/>
      <c r="Z41" s="917"/>
      <c r="AA41" s="917"/>
      <c r="AB41" s="917"/>
      <c r="AC41" s="917"/>
      <c r="AD41" s="921">
        <f t="shared" si="4"/>
        <v>10833333.333333347</v>
      </c>
      <c r="AE41" s="922"/>
      <c r="AF41" s="922"/>
      <c r="AG41" s="922"/>
      <c r="AH41" s="922"/>
      <c r="AI41" s="922"/>
      <c r="AJ41" s="923"/>
    </row>
    <row r="42" spans="1:36" ht="16.899999999999999" customHeight="1">
      <c r="A42" s="918">
        <v>34</v>
      </c>
      <c r="B42" s="918"/>
      <c r="C42" s="918"/>
      <c r="D42" s="919">
        <f t="shared" si="2"/>
        <v>45376</v>
      </c>
      <c r="E42" s="919"/>
      <c r="F42" s="919"/>
      <c r="G42" s="919"/>
      <c r="H42" s="919"/>
      <c r="I42" s="916">
        <f t="shared" si="0"/>
        <v>286805.55555555556</v>
      </c>
      <c r="J42" s="920"/>
      <c r="K42" s="920"/>
      <c r="L42" s="920"/>
      <c r="M42" s="920"/>
      <c r="N42" s="920"/>
      <c r="O42" s="920"/>
      <c r="P42" s="917">
        <f t="shared" si="1"/>
        <v>277777.77777777775</v>
      </c>
      <c r="Q42" s="917"/>
      <c r="R42" s="917"/>
      <c r="S42" s="917"/>
      <c r="T42" s="917"/>
      <c r="U42" s="917"/>
      <c r="V42" s="917"/>
      <c r="W42" s="917">
        <f t="shared" si="3"/>
        <v>9027.7777777777901</v>
      </c>
      <c r="X42" s="917"/>
      <c r="Y42" s="917"/>
      <c r="Z42" s="917"/>
      <c r="AA42" s="917"/>
      <c r="AB42" s="917"/>
      <c r="AC42" s="917"/>
      <c r="AD42" s="921">
        <f t="shared" si="4"/>
        <v>10555555.555555569</v>
      </c>
      <c r="AE42" s="922"/>
      <c r="AF42" s="922"/>
      <c r="AG42" s="922"/>
      <c r="AH42" s="922"/>
      <c r="AI42" s="922"/>
      <c r="AJ42" s="923"/>
    </row>
    <row r="43" spans="1:36" ht="16.899999999999999" customHeight="1">
      <c r="A43" s="918">
        <v>35</v>
      </c>
      <c r="B43" s="918"/>
      <c r="C43" s="918"/>
      <c r="D43" s="919">
        <f t="shared" si="2"/>
        <v>45407</v>
      </c>
      <c r="E43" s="919"/>
      <c r="F43" s="919"/>
      <c r="G43" s="919"/>
      <c r="H43" s="919"/>
      <c r="I43" s="916">
        <f t="shared" si="0"/>
        <v>286574.07407407404</v>
      </c>
      <c r="J43" s="920"/>
      <c r="K43" s="920"/>
      <c r="L43" s="920"/>
      <c r="M43" s="920"/>
      <c r="N43" s="920"/>
      <c r="O43" s="920"/>
      <c r="P43" s="917">
        <f t="shared" si="1"/>
        <v>277777.77777777775</v>
      </c>
      <c r="Q43" s="917"/>
      <c r="R43" s="917"/>
      <c r="S43" s="917"/>
      <c r="T43" s="917"/>
      <c r="U43" s="917"/>
      <c r="V43" s="917"/>
      <c r="W43" s="917">
        <f t="shared" si="3"/>
        <v>8796.2962962963084</v>
      </c>
      <c r="X43" s="917"/>
      <c r="Y43" s="917"/>
      <c r="Z43" s="917"/>
      <c r="AA43" s="917"/>
      <c r="AB43" s="917"/>
      <c r="AC43" s="917"/>
      <c r="AD43" s="921">
        <f t="shared" si="4"/>
        <v>10277777.777777791</v>
      </c>
      <c r="AE43" s="922"/>
      <c r="AF43" s="922"/>
      <c r="AG43" s="922"/>
      <c r="AH43" s="922"/>
      <c r="AI43" s="922"/>
      <c r="AJ43" s="923"/>
    </row>
    <row r="44" spans="1:36" ht="16.899999999999999" customHeight="1">
      <c r="A44" s="918">
        <v>36</v>
      </c>
      <c r="B44" s="918"/>
      <c r="C44" s="918"/>
      <c r="D44" s="919">
        <f t="shared" si="2"/>
        <v>45437</v>
      </c>
      <c r="E44" s="919"/>
      <c r="F44" s="919"/>
      <c r="G44" s="919"/>
      <c r="H44" s="919"/>
      <c r="I44" s="916">
        <f t="shared" si="0"/>
        <v>286342.59259259258</v>
      </c>
      <c r="J44" s="920"/>
      <c r="K44" s="920"/>
      <c r="L44" s="920"/>
      <c r="M44" s="920"/>
      <c r="N44" s="920"/>
      <c r="O44" s="920"/>
      <c r="P44" s="917">
        <f t="shared" si="1"/>
        <v>277777.77777777775</v>
      </c>
      <c r="Q44" s="917"/>
      <c r="R44" s="917"/>
      <c r="S44" s="917"/>
      <c r="T44" s="917"/>
      <c r="U44" s="917"/>
      <c r="V44" s="917"/>
      <c r="W44" s="917">
        <f t="shared" si="3"/>
        <v>8564.8148148148266</v>
      </c>
      <c r="X44" s="917"/>
      <c r="Y44" s="917"/>
      <c r="Z44" s="917"/>
      <c r="AA44" s="917"/>
      <c r="AB44" s="917"/>
      <c r="AC44" s="917"/>
      <c r="AD44" s="921">
        <f t="shared" si="4"/>
        <v>10000000.000000013</v>
      </c>
      <c r="AE44" s="922"/>
      <c r="AF44" s="922"/>
      <c r="AG44" s="922"/>
      <c r="AH44" s="922"/>
      <c r="AI44" s="922"/>
      <c r="AJ44" s="923"/>
    </row>
    <row r="45" spans="1:36" ht="16.899999999999999" customHeight="1">
      <c r="A45" s="918">
        <v>37</v>
      </c>
      <c r="B45" s="918"/>
      <c r="C45" s="918"/>
      <c r="D45" s="919">
        <f t="shared" si="2"/>
        <v>45468</v>
      </c>
      <c r="E45" s="919"/>
      <c r="F45" s="919"/>
      <c r="G45" s="919"/>
      <c r="H45" s="919"/>
      <c r="I45" s="916">
        <f t="shared" si="0"/>
        <v>286111.11111111112</v>
      </c>
      <c r="J45" s="920"/>
      <c r="K45" s="920"/>
      <c r="L45" s="920"/>
      <c r="M45" s="920"/>
      <c r="N45" s="920"/>
      <c r="O45" s="920"/>
      <c r="P45" s="917">
        <f t="shared" si="1"/>
        <v>277777.77777777775</v>
      </c>
      <c r="Q45" s="917"/>
      <c r="R45" s="917"/>
      <c r="S45" s="917"/>
      <c r="T45" s="917"/>
      <c r="U45" s="917"/>
      <c r="V45" s="917"/>
      <c r="W45" s="917">
        <f t="shared" si="3"/>
        <v>8333.3333333333449</v>
      </c>
      <c r="X45" s="917"/>
      <c r="Y45" s="917"/>
      <c r="Z45" s="917"/>
      <c r="AA45" s="917"/>
      <c r="AB45" s="917"/>
      <c r="AC45" s="917"/>
      <c r="AD45" s="921">
        <f t="shared" si="4"/>
        <v>9722222.2222222351</v>
      </c>
      <c r="AE45" s="922"/>
      <c r="AF45" s="922"/>
      <c r="AG45" s="922"/>
      <c r="AH45" s="922"/>
      <c r="AI45" s="922"/>
      <c r="AJ45" s="923"/>
    </row>
    <row r="46" spans="1:36" ht="16.899999999999999" customHeight="1">
      <c r="A46" s="918">
        <v>38</v>
      </c>
      <c r="B46" s="918"/>
      <c r="C46" s="918"/>
      <c r="D46" s="919">
        <f t="shared" si="2"/>
        <v>45498</v>
      </c>
      <c r="E46" s="919"/>
      <c r="F46" s="919"/>
      <c r="G46" s="919"/>
      <c r="H46" s="919"/>
      <c r="I46" s="916">
        <f t="shared" si="0"/>
        <v>285879.62962962961</v>
      </c>
      <c r="J46" s="920"/>
      <c r="K46" s="920"/>
      <c r="L46" s="920"/>
      <c r="M46" s="920"/>
      <c r="N46" s="920"/>
      <c r="O46" s="920"/>
      <c r="P46" s="917">
        <f t="shared" si="1"/>
        <v>277777.77777777775</v>
      </c>
      <c r="Q46" s="917"/>
      <c r="R46" s="917"/>
      <c r="S46" s="917"/>
      <c r="T46" s="917"/>
      <c r="U46" s="917"/>
      <c r="V46" s="917"/>
      <c r="W46" s="917">
        <f t="shared" si="3"/>
        <v>8101.8518518518622</v>
      </c>
      <c r="X46" s="917"/>
      <c r="Y46" s="917"/>
      <c r="Z46" s="917"/>
      <c r="AA46" s="917"/>
      <c r="AB46" s="917"/>
      <c r="AC46" s="917"/>
      <c r="AD46" s="921">
        <f t="shared" si="4"/>
        <v>9444444.4444444571</v>
      </c>
      <c r="AE46" s="922"/>
      <c r="AF46" s="922"/>
      <c r="AG46" s="922"/>
      <c r="AH46" s="922"/>
      <c r="AI46" s="922"/>
      <c r="AJ46" s="923"/>
    </row>
    <row r="47" spans="1:36" ht="16.899999999999999" customHeight="1">
      <c r="A47" s="918">
        <v>39</v>
      </c>
      <c r="B47" s="918"/>
      <c r="C47" s="918"/>
      <c r="D47" s="919">
        <f t="shared" si="2"/>
        <v>45529</v>
      </c>
      <c r="E47" s="919"/>
      <c r="F47" s="919"/>
      <c r="G47" s="919"/>
      <c r="H47" s="919"/>
      <c r="I47" s="916">
        <f t="shared" si="0"/>
        <v>285648.14814814815</v>
      </c>
      <c r="J47" s="920"/>
      <c r="K47" s="920"/>
      <c r="L47" s="920"/>
      <c r="M47" s="920"/>
      <c r="N47" s="920"/>
      <c r="O47" s="920"/>
      <c r="P47" s="917">
        <f t="shared" si="1"/>
        <v>277777.77777777775</v>
      </c>
      <c r="Q47" s="917"/>
      <c r="R47" s="917"/>
      <c r="S47" s="917"/>
      <c r="T47" s="917"/>
      <c r="U47" s="917"/>
      <c r="V47" s="917"/>
      <c r="W47" s="917">
        <f t="shared" si="3"/>
        <v>7870.3703703703804</v>
      </c>
      <c r="X47" s="917"/>
      <c r="Y47" s="917"/>
      <c r="Z47" s="917"/>
      <c r="AA47" s="917"/>
      <c r="AB47" s="917"/>
      <c r="AC47" s="917"/>
      <c r="AD47" s="921">
        <f t="shared" si="4"/>
        <v>9166666.6666666791</v>
      </c>
      <c r="AE47" s="922"/>
      <c r="AF47" s="922"/>
      <c r="AG47" s="922"/>
      <c r="AH47" s="922"/>
      <c r="AI47" s="922"/>
      <c r="AJ47" s="923"/>
    </row>
    <row r="48" spans="1:36" ht="16.899999999999999" customHeight="1">
      <c r="A48" s="918">
        <v>40</v>
      </c>
      <c r="B48" s="918"/>
      <c r="C48" s="918"/>
      <c r="D48" s="919">
        <f t="shared" si="2"/>
        <v>45560</v>
      </c>
      <c r="E48" s="919"/>
      <c r="F48" s="919"/>
      <c r="G48" s="919"/>
      <c r="H48" s="919"/>
      <c r="I48" s="916">
        <f t="shared" si="0"/>
        <v>285416.66666666663</v>
      </c>
      <c r="J48" s="920"/>
      <c r="K48" s="920"/>
      <c r="L48" s="920"/>
      <c r="M48" s="920"/>
      <c r="N48" s="920"/>
      <c r="O48" s="920"/>
      <c r="P48" s="917">
        <f t="shared" si="1"/>
        <v>277777.77777777775</v>
      </c>
      <c r="Q48" s="917"/>
      <c r="R48" s="917"/>
      <c r="S48" s="917"/>
      <c r="T48" s="917"/>
      <c r="U48" s="917"/>
      <c r="V48" s="917"/>
      <c r="W48" s="917">
        <f t="shared" si="3"/>
        <v>7638.8888888888987</v>
      </c>
      <c r="X48" s="917"/>
      <c r="Y48" s="917"/>
      <c r="Z48" s="917"/>
      <c r="AA48" s="917"/>
      <c r="AB48" s="917"/>
      <c r="AC48" s="917"/>
      <c r="AD48" s="921">
        <f t="shared" si="4"/>
        <v>8888888.8888889011</v>
      </c>
      <c r="AE48" s="922"/>
      <c r="AF48" s="922"/>
      <c r="AG48" s="922"/>
      <c r="AH48" s="922"/>
      <c r="AI48" s="922"/>
      <c r="AJ48" s="923"/>
    </row>
    <row r="49" spans="1:36" ht="16.899999999999999" customHeight="1">
      <c r="A49" s="918">
        <v>41</v>
      </c>
      <c r="B49" s="918"/>
      <c r="C49" s="918"/>
      <c r="D49" s="919">
        <f t="shared" si="2"/>
        <v>45590</v>
      </c>
      <c r="E49" s="919"/>
      <c r="F49" s="919"/>
      <c r="G49" s="919"/>
      <c r="H49" s="919"/>
      <c r="I49" s="916">
        <f t="shared" si="0"/>
        <v>285185.18518518517</v>
      </c>
      <c r="J49" s="920"/>
      <c r="K49" s="920"/>
      <c r="L49" s="920"/>
      <c r="M49" s="920"/>
      <c r="N49" s="920"/>
      <c r="O49" s="920"/>
      <c r="P49" s="917">
        <f t="shared" si="1"/>
        <v>277777.77777777775</v>
      </c>
      <c r="Q49" s="917"/>
      <c r="R49" s="917"/>
      <c r="S49" s="917"/>
      <c r="T49" s="917"/>
      <c r="U49" s="917"/>
      <c r="V49" s="917"/>
      <c r="W49" s="917">
        <f t="shared" si="3"/>
        <v>7407.4074074074169</v>
      </c>
      <c r="X49" s="917"/>
      <c r="Y49" s="917"/>
      <c r="Z49" s="917"/>
      <c r="AA49" s="917"/>
      <c r="AB49" s="917"/>
      <c r="AC49" s="917"/>
      <c r="AD49" s="921">
        <f t="shared" si="4"/>
        <v>8611111.1111111231</v>
      </c>
      <c r="AE49" s="922"/>
      <c r="AF49" s="922"/>
      <c r="AG49" s="922"/>
      <c r="AH49" s="922"/>
      <c r="AI49" s="922"/>
      <c r="AJ49" s="923"/>
    </row>
    <row r="50" spans="1:36" ht="16.899999999999999" customHeight="1">
      <c r="A50" s="918">
        <v>42</v>
      </c>
      <c r="B50" s="918"/>
      <c r="C50" s="918"/>
      <c r="D50" s="919">
        <f t="shared" si="2"/>
        <v>45621</v>
      </c>
      <c r="E50" s="919"/>
      <c r="F50" s="919"/>
      <c r="G50" s="919"/>
      <c r="H50" s="919"/>
      <c r="I50" s="916">
        <f t="shared" si="0"/>
        <v>284953.70370370371</v>
      </c>
      <c r="J50" s="920"/>
      <c r="K50" s="920"/>
      <c r="L50" s="920"/>
      <c r="M50" s="920"/>
      <c r="N50" s="920"/>
      <c r="O50" s="920"/>
      <c r="P50" s="917">
        <f t="shared" si="1"/>
        <v>277777.77777777775</v>
      </c>
      <c r="Q50" s="917"/>
      <c r="R50" s="917"/>
      <c r="S50" s="917"/>
      <c r="T50" s="917"/>
      <c r="U50" s="917"/>
      <c r="V50" s="917"/>
      <c r="W50" s="917">
        <f t="shared" si="3"/>
        <v>7175.9259259259352</v>
      </c>
      <c r="X50" s="917"/>
      <c r="Y50" s="917"/>
      <c r="Z50" s="917"/>
      <c r="AA50" s="917"/>
      <c r="AB50" s="917"/>
      <c r="AC50" s="917"/>
      <c r="AD50" s="921">
        <f t="shared" si="4"/>
        <v>8333333.3333333451</v>
      </c>
      <c r="AE50" s="922"/>
      <c r="AF50" s="922"/>
      <c r="AG50" s="922"/>
      <c r="AH50" s="922"/>
      <c r="AI50" s="922"/>
      <c r="AJ50" s="923"/>
    </row>
    <row r="51" spans="1:36" ht="16.899999999999999" customHeight="1">
      <c r="A51" s="918">
        <v>43</v>
      </c>
      <c r="B51" s="918"/>
      <c r="C51" s="918"/>
      <c r="D51" s="919">
        <f t="shared" si="2"/>
        <v>45651</v>
      </c>
      <c r="E51" s="919"/>
      <c r="F51" s="919"/>
      <c r="G51" s="919"/>
      <c r="H51" s="919"/>
      <c r="I51" s="916">
        <f t="shared" si="0"/>
        <v>284722.22222222219</v>
      </c>
      <c r="J51" s="920"/>
      <c r="K51" s="920"/>
      <c r="L51" s="920"/>
      <c r="M51" s="920"/>
      <c r="N51" s="920"/>
      <c r="O51" s="920"/>
      <c r="P51" s="917">
        <f t="shared" si="1"/>
        <v>277777.77777777775</v>
      </c>
      <c r="Q51" s="917"/>
      <c r="R51" s="917"/>
      <c r="S51" s="917"/>
      <c r="T51" s="917"/>
      <c r="U51" s="917"/>
      <c r="V51" s="917"/>
      <c r="W51" s="917">
        <f t="shared" si="3"/>
        <v>6944.4444444444553</v>
      </c>
      <c r="X51" s="917"/>
      <c r="Y51" s="917"/>
      <c r="Z51" s="917"/>
      <c r="AA51" s="917"/>
      <c r="AB51" s="917"/>
      <c r="AC51" s="917"/>
      <c r="AD51" s="921">
        <f t="shared" si="4"/>
        <v>8055555.5555555671</v>
      </c>
      <c r="AE51" s="922"/>
      <c r="AF51" s="922"/>
      <c r="AG51" s="922"/>
      <c r="AH51" s="922"/>
      <c r="AI51" s="922"/>
      <c r="AJ51" s="923"/>
    </row>
    <row r="52" spans="1:36" ht="16.899999999999999" customHeight="1">
      <c r="A52" s="918">
        <v>44</v>
      </c>
      <c r="B52" s="918"/>
      <c r="C52" s="918"/>
      <c r="D52" s="919">
        <f t="shared" si="2"/>
        <v>45682</v>
      </c>
      <c r="E52" s="919"/>
      <c r="F52" s="919"/>
      <c r="G52" s="919"/>
      <c r="H52" s="919"/>
      <c r="I52" s="916">
        <f t="shared" si="0"/>
        <v>284490.74074074073</v>
      </c>
      <c r="J52" s="920"/>
      <c r="K52" s="920"/>
      <c r="L52" s="920"/>
      <c r="M52" s="920"/>
      <c r="N52" s="920"/>
      <c r="O52" s="920"/>
      <c r="P52" s="917">
        <f t="shared" si="1"/>
        <v>277777.77777777775</v>
      </c>
      <c r="Q52" s="917"/>
      <c r="R52" s="917"/>
      <c r="S52" s="917"/>
      <c r="T52" s="917"/>
      <c r="U52" s="917"/>
      <c r="V52" s="917"/>
      <c r="W52" s="917">
        <f t="shared" si="3"/>
        <v>6712.9629629629735</v>
      </c>
      <c r="X52" s="917"/>
      <c r="Y52" s="917"/>
      <c r="Z52" s="917"/>
      <c r="AA52" s="917"/>
      <c r="AB52" s="917"/>
      <c r="AC52" s="917"/>
      <c r="AD52" s="921">
        <f t="shared" si="4"/>
        <v>7777777.7777777892</v>
      </c>
      <c r="AE52" s="922"/>
      <c r="AF52" s="922"/>
      <c r="AG52" s="922"/>
      <c r="AH52" s="922"/>
      <c r="AI52" s="922"/>
      <c r="AJ52" s="923"/>
    </row>
    <row r="53" spans="1:36" ht="16.899999999999999" customHeight="1">
      <c r="A53" s="918">
        <v>45</v>
      </c>
      <c r="B53" s="918"/>
      <c r="C53" s="918"/>
      <c r="D53" s="919">
        <f t="shared" si="2"/>
        <v>45713</v>
      </c>
      <c r="E53" s="919"/>
      <c r="F53" s="919"/>
      <c r="G53" s="919"/>
      <c r="H53" s="919"/>
      <c r="I53" s="916">
        <f t="shared" si="0"/>
        <v>284259.25925925927</v>
      </c>
      <c r="J53" s="920"/>
      <c r="K53" s="920"/>
      <c r="L53" s="920"/>
      <c r="M53" s="920"/>
      <c r="N53" s="920"/>
      <c r="O53" s="920"/>
      <c r="P53" s="917">
        <f t="shared" si="1"/>
        <v>277777.77777777775</v>
      </c>
      <c r="Q53" s="917"/>
      <c r="R53" s="917"/>
      <c r="S53" s="917"/>
      <c r="T53" s="917"/>
      <c r="U53" s="917"/>
      <c r="V53" s="917"/>
      <c r="W53" s="917">
        <f t="shared" si="3"/>
        <v>6481.4814814814918</v>
      </c>
      <c r="X53" s="917"/>
      <c r="Y53" s="917"/>
      <c r="Z53" s="917"/>
      <c r="AA53" s="917"/>
      <c r="AB53" s="917"/>
      <c r="AC53" s="917"/>
      <c r="AD53" s="921">
        <f t="shared" si="4"/>
        <v>7500000.0000000112</v>
      </c>
      <c r="AE53" s="922"/>
      <c r="AF53" s="922"/>
      <c r="AG53" s="922"/>
      <c r="AH53" s="922"/>
      <c r="AI53" s="922"/>
      <c r="AJ53" s="923"/>
    </row>
    <row r="54" spans="1:36" ht="16.899999999999999" customHeight="1">
      <c r="A54" s="918">
        <v>46</v>
      </c>
      <c r="B54" s="918"/>
      <c r="C54" s="918"/>
      <c r="D54" s="919">
        <f t="shared" si="2"/>
        <v>45741</v>
      </c>
      <c r="E54" s="919"/>
      <c r="F54" s="919"/>
      <c r="G54" s="919"/>
      <c r="H54" s="919"/>
      <c r="I54" s="916">
        <f t="shared" si="0"/>
        <v>284027.77777777775</v>
      </c>
      <c r="J54" s="920"/>
      <c r="K54" s="920"/>
      <c r="L54" s="920"/>
      <c r="M54" s="920"/>
      <c r="N54" s="920"/>
      <c r="O54" s="920"/>
      <c r="P54" s="917">
        <f t="shared" si="1"/>
        <v>277777.77777777775</v>
      </c>
      <c r="Q54" s="917"/>
      <c r="R54" s="917"/>
      <c r="S54" s="917"/>
      <c r="T54" s="917"/>
      <c r="U54" s="917"/>
      <c r="V54" s="917"/>
      <c r="W54" s="917">
        <f t="shared" si="3"/>
        <v>6250.00000000001</v>
      </c>
      <c r="X54" s="917"/>
      <c r="Y54" s="917"/>
      <c r="Z54" s="917"/>
      <c r="AA54" s="917"/>
      <c r="AB54" s="917"/>
      <c r="AC54" s="917"/>
      <c r="AD54" s="921">
        <f t="shared" si="4"/>
        <v>7222222.2222222332</v>
      </c>
      <c r="AE54" s="922"/>
      <c r="AF54" s="922"/>
      <c r="AG54" s="922"/>
      <c r="AH54" s="922"/>
      <c r="AI54" s="922"/>
      <c r="AJ54" s="923"/>
    </row>
    <row r="55" spans="1:36" ht="16.899999999999999" customHeight="1">
      <c r="A55" s="918">
        <v>47</v>
      </c>
      <c r="B55" s="918"/>
      <c r="C55" s="918"/>
      <c r="D55" s="919">
        <f t="shared" si="2"/>
        <v>45772</v>
      </c>
      <c r="E55" s="919"/>
      <c r="F55" s="919"/>
      <c r="G55" s="919"/>
      <c r="H55" s="919"/>
      <c r="I55" s="916">
        <f t="shared" si="0"/>
        <v>283796.29629629629</v>
      </c>
      <c r="J55" s="920"/>
      <c r="K55" s="920"/>
      <c r="L55" s="920"/>
      <c r="M55" s="920"/>
      <c r="N55" s="920"/>
      <c r="O55" s="920"/>
      <c r="P55" s="917">
        <f t="shared" si="1"/>
        <v>277777.77777777775</v>
      </c>
      <c r="Q55" s="917"/>
      <c r="R55" s="917"/>
      <c r="S55" s="917"/>
      <c r="T55" s="917"/>
      <c r="U55" s="917"/>
      <c r="V55" s="917"/>
      <c r="W55" s="917">
        <f t="shared" si="3"/>
        <v>6018.5185185185283</v>
      </c>
      <c r="X55" s="917"/>
      <c r="Y55" s="917"/>
      <c r="Z55" s="917"/>
      <c r="AA55" s="917"/>
      <c r="AB55" s="917"/>
      <c r="AC55" s="917"/>
      <c r="AD55" s="921">
        <f t="shared" si="4"/>
        <v>6944444.4444444552</v>
      </c>
      <c r="AE55" s="922"/>
      <c r="AF55" s="922"/>
      <c r="AG55" s="922"/>
      <c r="AH55" s="922"/>
      <c r="AI55" s="922"/>
      <c r="AJ55" s="923"/>
    </row>
    <row r="56" spans="1:36" ht="16.899999999999999" customHeight="1">
      <c r="A56" s="918">
        <v>48</v>
      </c>
      <c r="B56" s="918"/>
      <c r="C56" s="918"/>
      <c r="D56" s="919">
        <f t="shared" si="2"/>
        <v>45802</v>
      </c>
      <c r="E56" s="919"/>
      <c r="F56" s="919"/>
      <c r="G56" s="919"/>
      <c r="H56" s="919"/>
      <c r="I56" s="916">
        <f t="shared" si="0"/>
        <v>283564.81481481477</v>
      </c>
      <c r="J56" s="920"/>
      <c r="K56" s="920"/>
      <c r="L56" s="920"/>
      <c r="M56" s="920"/>
      <c r="N56" s="920"/>
      <c r="O56" s="920"/>
      <c r="P56" s="917">
        <f t="shared" si="1"/>
        <v>277777.77777777775</v>
      </c>
      <c r="Q56" s="917"/>
      <c r="R56" s="917"/>
      <c r="S56" s="917"/>
      <c r="T56" s="917"/>
      <c r="U56" s="917"/>
      <c r="V56" s="917"/>
      <c r="W56" s="917">
        <f t="shared" si="3"/>
        <v>5787.0370370370465</v>
      </c>
      <c r="X56" s="917"/>
      <c r="Y56" s="917"/>
      <c r="Z56" s="917"/>
      <c r="AA56" s="917"/>
      <c r="AB56" s="917"/>
      <c r="AC56" s="917"/>
      <c r="AD56" s="921">
        <f t="shared" si="4"/>
        <v>6666666.6666666772</v>
      </c>
      <c r="AE56" s="922"/>
      <c r="AF56" s="922"/>
      <c r="AG56" s="922"/>
      <c r="AH56" s="922"/>
      <c r="AI56" s="922"/>
      <c r="AJ56" s="923"/>
    </row>
    <row r="57" spans="1:36" ht="16.899999999999999" customHeight="1">
      <c r="A57" s="918">
        <v>49</v>
      </c>
      <c r="B57" s="918"/>
      <c r="C57" s="918"/>
      <c r="D57" s="919">
        <f t="shared" si="2"/>
        <v>45833</v>
      </c>
      <c r="E57" s="919"/>
      <c r="F57" s="919"/>
      <c r="G57" s="919"/>
      <c r="H57" s="919"/>
      <c r="I57" s="916">
        <f t="shared" si="0"/>
        <v>283333.33333333331</v>
      </c>
      <c r="J57" s="920"/>
      <c r="K57" s="920"/>
      <c r="L57" s="920"/>
      <c r="M57" s="920"/>
      <c r="N57" s="920"/>
      <c r="O57" s="920"/>
      <c r="P57" s="917">
        <f t="shared" si="1"/>
        <v>277777.77777777775</v>
      </c>
      <c r="Q57" s="917"/>
      <c r="R57" s="917"/>
      <c r="S57" s="917"/>
      <c r="T57" s="917"/>
      <c r="U57" s="917"/>
      <c r="V57" s="917"/>
      <c r="W57" s="917">
        <f t="shared" si="3"/>
        <v>5555.5555555555648</v>
      </c>
      <c r="X57" s="917"/>
      <c r="Y57" s="917"/>
      <c r="Z57" s="917"/>
      <c r="AA57" s="917"/>
      <c r="AB57" s="917"/>
      <c r="AC57" s="917"/>
      <c r="AD57" s="921">
        <f t="shared" si="4"/>
        <v>6388888.8888888992</v>
      </c>
      <c r="AE57" s="922"/>
      <c r="AF57" s="922"/>
      <c r="AG57" s="922"/>
      <c r="AH57" s="922"/>
      <c r="AI57" s="922"/>
      <c r="AJ57" s="923"/>
    </row>
    <row r="58" spans="1:36" ht="16.899999999999999" customHeight="1">
      <c r="A58" s="918">
        <v>50</v>
      </c>
      <c r="B58" s="918"/>
      <c r="C58" s="918"/>
      <c r="D58" s="919">
        <f t="shared" si="2"/>
        <v>45863</v>
      </c>
      <c r="E58" s="919"/>
      <c r="F58" s="919"/>
      <c r="G58" s="919"/>
      <c r="H58" s="919"/>
      <c r="I58" s="916">
        <f t="shared" si="0"/>
        <v>283101.85185185185</v>
      </c>
      <c r="J58" s="920"/>
      <c r="K58" s="920"/>
      <c r="L58" s="920"/>
      <c r="M58" s="920"/>
      <c r="N58" s="920"/>
      <c r="O58" s="920"/>
      <c r="P58" s="917">
        <f t="shared" si="1"/>
        <v>277777.77777777775</v>
      </c>
      <c r="Q58" s="917"/>
      <c r="R58" s="917"/>
      <c r="S58" s="917"/>
      <c r="T58" s="917"/>
      <c r="U58" s="917"/>
      <c r="V58" s="917"/>
      <c r="W58" s="917">
        <f t="shared" si="3"/>
        <v>5324.074074074083</v>
      </c>
      <c r="X58" s="917"/>
      <c r="Y58" s="917"/>
      <c r="Z58" s="917"/>
      <c r="AA58" s="917"/>
      <c r="AB58" s="917"/>
      <c r="AC58" s="917"/>
      <c r="AD58" s="921">
        <f t="shared" si="4"/>
        <v>6111111.1111111213</v>
      </c>
      <c r="AE58" s="922"/>
      <c r="AF58" s="922"/>
      <c r="AG58" s="922"/>
      <c r="AH58" s="922"/>
      <c r="AI58" s="922"/>
      <c r="AJ58" s="923"/>
    </row>
    <row r="59" spans="1:36" ht="16.899999999999999" customHeight="1">
      <c r="A59" s="918">
        <v>51</v>
      </c>
      <c r="B59" s="918"/>
      <c r="C59" s="918"/>
      <c r="D59" s="919">
        <f t="shared" si="2"/>
        <v>45894</v>
      </c>
      <c r="E59" s="919"/>
      <c r="F59" s="919"/>
      <c r="G59" s="919"/>
      <c r="H59" s="919"/>
      <c r="I59" s="916">
        <f t="shared" si="0"/>
        <v>282870.37037037034</v>
      </c>
      <c r="J59" s="920"/>
      <c r="K59" s="920"/>
      <c r="L59" s="920"/>
      <c r="M59" s="920"/>
      <c r="N59" s="920"/>
      <c r="O59" s="920"/>
      <c r="P59" s="917">
        <f t="shared" si="1"/>
        <v>277777.77777777775</v>
      </c>
      <c r="Q59" s="917"/>
      <c r="R59" s="917"/>
      <c r="S59" s="917"/>
      <c r="T59" s="917"/>
      <c r="U59" s="917"/>
      <c r="V59" s="917"/>
      <c r="W59" s="917">
        <f t="shared" si="3"/>
        <v>5092.5925925926012</v>
      </c>
      <c r="X59" s="917"/>
      <c r="Y59" s="917"/>
      <c r="Z59" s="917"/>
      <c r="AA59" s="917"/>
      <c r="AB59" s="917"/>
      <c r="AC59" s="917"/>
      <c r="AD59" s="921">
        <f t="shared" si="4"/>
        <v>5833333.3333333433</v>
      </c>
      <c r="AE59" s="922"/>
      <c r="AF59" s="922"/>
      <c r="AG59" s="922"/>
      <c r="AH59" s="922"/>
      <c r="AI59" s="922"/>
      <c r="AJ59" s="923"/>
    </row>
    <row r="60" spans="1:36" ht="16.899999999999999" customHeight="1">
      <c r="A60" s="918">
        <v>52</v>
      </c>
      <c r="B60" s="918"/>
      <c r="C60" s="918"/>
      <c r="D60" s="919">
        <f t="shared" si="2"/>
        <v>45925</v>
      </c>
      <c r="E60" s="919"/>
      <c r="F60" s="919"/>
      <c r="G60" s="919"/>
      <c r="H60" s="919"/>
      <c r="I60" s="916">
        <f t="shared" si="0"/>
        <v>282638.88888888888</v>
      </c>
      <c r="J60" s="920"/>
      <c r="K60" s="920"/>
      <c r="L60" s="920"/>
      <c r="M60" s="920"/>
      <c r="N60" s="920"/>
      <c r="O60" s="920"/>
      <c r="P60" s="917">
        <f t="shared" si="1"/>
        <v>277777.77777777775</v>
      </c>
      <c r="Q60" s="917"/>
      <c r="R60" s="917"/>
      <c r="S60" s="917"/>
      <c r="T60" s="917"/>
      <c r="U60" s="917"/>
      <c r="V60" s="917"/>
      <c r="W60" s="917">
        <f t="shared" si="3"/>
        <v>4861.1111111111195</v>
      </c>
      <c r="X60" s="917"/>
      <c r="Y60" s="917"/>
      <c r="Z60" s="917"/>
      <c r="AA60" s="917"/>
      <c r="AB60" s="917"/>
      <c r="AC60" s="917"/>
      <c r="AD60" s="921">
        <f t="shared" si="4"/>
        <v>5555555.5555555653</v>
      </c>
      <c r="AE60" s="922"/>
      <c r="AF60" s="922"/>
      <c r="AG60" s="922"/>
      <c r="AH60" s="922"/>
      <c r="AI60" s="922"/>
      <c r="AJ60" s="923"/>
    </row>
    <row r="61" spans="1:36" ht="16.899999999999999" customHeight="1">
      <c r="A61" s="918">
        <v>53</v>
      </c>
      <c r="B61" s="918"/>
      <c r="C61" s="918"/>
      <c r="D61" s="919">
        <f t="shared" si="2"/>
        <v>45955</v>
      </c>
      <c r="E61" s="919"/>
      <c r="F61" s="919"/>
      <c r="G61" s="919"/>
      <c r="H61" s="919"/>
      <c r="I61" s="916">
        <f t="shared" si="0"/>
        <v>282407.40740740742</v>
      </c>
      <c r="J61" s="920"/>
      <c r="K61" s="920"/>
      <c r="L61" s="920"/>
      <c r="M61" s="920"/>
      <c r="N61" s="920"/>
      <c r="O61" s="920"/>
      <c r="P61" s="917">
        <f t="shared" si="1"/>
        <v>277777.77777777775</v>
      </c>
      <c r="Q61" s="917"/>
      <c r="R61" s="917"/>
      <c r="S61" s="917"/>
      <c r="T61" s="917"/>
      <c r="U61" s="917"/>
      <c r="V61" s="917"/>
      <c r="W61" s="917">
        <f t="shared" si="3"/>
        <v>4629.6296296296377</v>
      </c>
      <c r="X61" s="917"/>
      <c r="Y61" s="917"/>
      <c r="Z61" s="917"/>
      <c r="AA61" s="917"/>
      <c r="AB61" s="917"/>
      <c r="AC61" s="917"/>
      <c r="AD61" s="921">
        <f t="shared" si="4"/>
        <v>5277777.7777777873</v>
      </c>
      <c r="AE61" s="922"/>
      <c r="AF61" s="922"/>
      <c r="AG61" s="922"/>
      <c r="AH61" s="922"/>
      <c r="AI61" s="922"/>
      <c r="AJ61" s="923"/>
    </row>
    <row r="62" spans="1:36" ht="16.899999999999999" customHeight="1">
      <c r="A62" s="918">
        <v>54</v>
      </c>
      <c r="B62" s="918"/>
      <c r="C62" s="918"/>
      <c r="D62" s="919">
        <f t="shared" si="2"/>
        <v>45986</v>
      </c>
      <c r="E62" s="919"/>
      <c r="F62" s="919"/>
      <c r="G62" s="919"/>
      <c r="H62" s="919"/>
      <c r="I62" s="916">
        <f t="shared" si="0"/>
        <v>282175.9259259259</v>
      </c>
      <c r="J62" s="920"/>
      <c r="K62" s="920"/>
      <c r="L62" s="920"/>
      <c r="M62" s="920"/>
      <c r="N62" s="920"/>
      <c r="O62" s="920"/>
      <c r="P62" s="917">
        <f t="shared" si="1"/>
        <v>277777.77777777775</v>
      </c>
      <c r="Q62" s="917"/>
      <c r="R62" s="917"/>
      <c r="S62" s="917"/>
      <c r="T62" s="917"/>
      <c r="U62" s="917"/>
      <c r="V62" s="917"/>
      <c r="W62" s="917">
        <f t="shared" si="3"/>
        <v>4398.148148148156</v>
      </c>
      <c r="X62" s="917"/>
      <c r="Y62" s="917"/>
      <c r="Z62" s="917"/>
      <c r="AA62" s="917"/>
      <c r="AB62" s="917"/>
      <c r="AC62" s="917"/>
      <c r="AD62" s="921">
        <f t="shared" si="4"/>
        <v>5000000.0000000093</v>
      </c>
      <c r="AE62" s="922"/>
      <c r="AF62" s="922"/>
      <c r="AG62" s="922"/>
      <c r="AH62" s="922"/>
      <c r="AI62" s="922"/>
      <c r="AJ62" s="923"/>
    </row>
    <row r="63" spans="1:36" ht="16.899999999999999" customHeight="1">
      <c r="A63" s="918">
        <v>55</v>
      </c>
      <c r="B63" s="918"/>
      <c r="C63" s="918"/>
      <c r="D63" s="919">
        <f t="shared" si="2"/>
        <v>46016</v>
      </c>
      <c r="E63" s="919"/>
      <c r="F63" s="919"/>
      <c r="G63" s="919"/>
      <c r="H63" s="919"/>
      <c r="I63" s="916">
        <f t="shared" si="0"/>
        <v>281944.44444444444</v>
      </c>
      <c r="J63" s="920"/>
      <c r="K63" s="920"/>
      <c r="L63" s="920"/>
      <c r="M63" s="920"/>
      <c r="N63" s="920"/>
      <c r="O63" s="920"/>
      <c r="P63" s="917">
        <f t="shared" si="1"/>
        <v>277777.77777777775</v>
      </c>
      <c r="Q63" s="917"/>
      <c r="R63" s="917"/>
      <c r="S63" s="917"/>
      <c r="T63" s="917"/>
      <c r="U63" s="917"/>
      <c r="V63" s="917"/>
      <c r="W63" s="917">
        <f t="shared" si="3"/>
        <v>4166.6666666666742</v>
      </c>
      <c r="X63" s="917"/>
      <c r="Y63" s="917"/>
      <c r="Z63" s="917"/>
      <c r="AA63" s="917"/>
      <c r="AB63" s="917"/>
      <c r="AC63" s="917"/>
      <c r="AD63" s="921">
        <f t="shared" si="4"/>
        <v>4722222.2222222313</v>
      </c>
      <c r="AE63" s="922"/>
      <c r="AF63" s="922"/>
      <c r="AG63" s="922"/>
      <c r="AH63" s="922"/>
      <c r="AI63" s="922"/>
      <c r="AJ63" s="923"/>
    </row>
    <row r="64" spans="1:36" ht="16.899999999999999" customHeight="1">
      <c r="A64" s="918">
        <v>56</v>
      </c>
      <c r="B64" s="918"/>
      <c r="C64" s="918"/>
      <c r="D64" s="919">
        <f t="shared" si="2"/>
        <v>46047</v>
      </c>
      <c r="E64" s="919"/>
      <c r="F64" s="919"/>
      <c r="G64" s="919"/>
      <c r="H64" s="919"/>
      <c r="I64" s="916">
        <f t="shared" si="0"/>
        <v>281712.96296296292</v>
      </c>
      <c r="J64" s="920"/>
      <c r="K64" s="920"/>
      <c r="L64" s="920"/>
      <c r="M64" s="920"/>
      <c r="N64" s="920"/>
      <c r="O64" s="920"/>
      <c r="P64" s="917">
        <f t="shared" si="1"/>
        <v>277777.77777777775</v>
      </c>
      <c r="Q64" s="917"/>
      <c r="R64" s="917"/>
      <c r="S64" s="917"/>
      <c r="T64" s="917"/>
      <c r="U64" s="917"/>
      <c r="V64" s="917"/>
      <c r="W64" s="917">
        <f t="shared" si="3"/>
        <v>3935.1851851851929</v>
      </c>
      <c r="X64" s="917"/>
      <c r="Y64" s="917"/>
      <c r="Z64" s="917"/>
      <c r="AA64" s="917"/>
      <c r="AB64" s="917"/>
      <c r="AC64" s="917"/>
      <c r="AD64" s="921">
        <f t="shared" si="4"/>
        <v>4444444.4444444533</v>
      </c>
      <c r="AE64" s="922"/>
      <c r="AF64" s="922"/>
      <c r="AG64" s="922"/>
      <c r="AH64" s="922"/>
      <c r="AI64" s="922"/>
      <c r="AJ64" s="923"/>
    </row>
    <row r="65" spans="1:36" ht="16.899999999999999" customHeight="1">
      <c r="A65" s="918">
        <v>57</v>
      </c>
      <c r="B65" s="918"/>
      <c r="C65" s="918"/>
      <c r="D65" s="919">
        <f t="shared" si="2"/>
        <v>46078</v>
      </c>
      <c r="E65" s="919"/>
      <c r="F65" s="919"/>
      <c r="G65" s="919"/>
      <c r="H65" s="919"/>
      <c r="I65" s="916">
        <f t="shared" si="0"/>
        <v>281481.48148148146</v>
      </c>
      <c r="J65" s="920"/>
      <c r="K65" s="920"/>
      <c r="L65" s="920"/>
      <c r="M65" s="920"/>
      <c r="N65" s="920"/>
      <c r="O65" s="920"/>
      <c r="P65" s="917">
        <f t="shared" si="1"/>
        <v>277777.77777777775</v>
      </c>
      <c r="Q65" s="917"/>
      <c r="R65" s="917"/>
      <c r="S65" s="917"/>
      <c r="T65" s="917"/>
      <c r="U65" s="917"/>
      <c r="V65" s="917"/>
      <c r="W65" s="917">
        <f t="shared" si="3"/>
        <v>3703.7037037037112</v>
      </c>
      <c r="X65" s="917"/>
      <c r="Y65" s="917"/>
      <c r="Z65" s="917"/>
      <c r="AA65" s="917"/>
      <c r="AB65" s="917"/>
      <c r="AC65" s="917"/>
      <c r="AD65" s="921">
        <f t="shared" si="4"/>
        <v>4166666.6666666754</v>
      </c>
      <c r="AE65" s="922"/>
      <c r="AF65" s="922"/>
      <c r="AG65" s="922"/>
      <c r="AH65" s="922"/>
      <c r="AI65" s="922"/>
      <c r="AJ65" s="923"/>
    </row>
    <row r="66" spans="1:36" ht="16.899999999999999" customHeight="1">
      <c r="A66" s="918">
        <v>58</v>
      </c>
      <c r="B66" s="918"/>
      <c r="C66" s="918"/>
      <c r="D66" s="919">
        <f t="shared" si="2"/>
        <v>46106</v>
      </c>
      <c r="E66" s="919"/>
      <c r="F66" s="919"/>
      <c r="G66" s="919"/>
      <c r="H66" s="919"/>
      <c r="I66" s="916">
        <f t="shared" si="0"/>
        <v>281250</v>
      </c>
      <c r="J66" s="920"/>
      <c r="K66" s="920"/>
      <c r="L66" s="920"/>
      <c r="M66" s="920"/>
      <c r="N66" s="920"/>
      <c r="O66" s="920"/>
      <c r="P66" s="917">
        <f t="shared" si="1"/>
        <v>277777.77777777775</v>
      </c>
      <c r="Q66" s="917"/>
      <c r="R66" s="917"/>
      <c r="S66" s="917"/>
      <c r="T66" s="917"/>
      <c r="U66" s="917"/>
      <c r="V66" s="917"/>
      <c r="W66" s="917">
        <f t="shared" si="3"/>
        <v>3472.2222222222294</v>
      </c>
      <c r="X66" s="917"/>
      <c r="Y66" s="917"/>
      <c r="Z66" s="917"/>
      <c r="AA66" s="917"/>
      <c r="AB66" s="917"/>
      <c r="AC66" s="917"/>
      <c r="AD66" s="921">
        <f t="shared" si="4"/>
        <v>3888888.8888888974</v>
      </c>
      <c r="AE66" s="922"/>
      <c r="AF66" s="922"/>
      <c r="AG66" s="922"/>
      <c r="AH66" s="922"/>
      <c r="AI66" s="922"/>
      <c r="AJ66" s="923"/>
    </row>
    <row r="67" spans="1:36" ht="16.899999999999999" customHeight="1">
      <c r="A67" s="918">
        <v>59</v>
      </c>
      <c r="B67" s="918"/>
      <c r="C67" s="918"/>
      <c r="D67" s="919">
        <f t="shared" si="2"/>
        <v>46137</v>
      </c>
      <c r="E67" s="919"/>
      <c r="F67" s="919"/>
      <c r="G67" s="919"/>
      <c r="H67" s="919"/>
      <c r="I67" s="916">
        <f t="shared" si="0"/>
        <v>281018.51851851848</v>
      </c>
      <c r="J67" s="920"/>
      <c r="K67" s="920"/>
      <c r="L67" s="920"/>
      <c r="M67" s="920"/>
      <c r="N67" s="920"/>
      <c r="O67" s="920"/>
      <c r="P67" s="917">
        <f t="shared" si="1"/>
        <v>277777.77777777775</v>
      </c>
      <c r="Q67" s="917"/>
      <c r="R67" s="917"/>
      <c r="S67" s="917"/>
      <c r="T67" s="917"/>
      <c r="U67" s="917"/>
      <c r="V67" s="917"/>
      <c r="W67" s="917">
        <f t="shared" si="3"/>
        <v>3240.7407407407482</v>
      </c>
      <c r="X67" s="917"/>
      <c r="Y67" s="917"/>
      <c r="Z67" s="917"/>
      <c r="AA67" s="917"/>
      <c r="AB67" s="917"/>
      <c r="AC67" s="917"/>
      <c r="AD67" s="921">
        <f t="shared" si="4"/>
        <v>3611111.1111111194</v>
      </c>
      <c r="AE67" s="922"/>
      <c r="AF67" s="922"/>
      <c r="AG67" s="922"/>
      <c r="AH67" s="922"/>
      <c r="AI67" s="922"/>
      <c r="AJ67" s="923"/>
    </row>
    <row r="68" spans="1:36" ht="16.899999999999999" customHeight="1">
      <c r="A68" s="918">
        <v>60</v>
      </c>
      <c r="B68" s="918"/>
      <c r="C68" s="918"/>
      <c r="D68" s="919">
        <f t="shared" si="2"/>
        <v>46167</v>
      </c>
      <c r="E68" s="919"/>
      <c r="F68" s="919"/>
      <c r="G68" s="919"/>
      <c r="H68" s="919"/>
      <c r="I68" s="916">
        <f t="shared" si="0"/>
        <v>280787.03703703702</v>
      </c>
      <c r="J68" s="920"/>
      <c r="K68" s="920"/>
      <c r="L68" s="920"/>
      <c r="M68" s="920"/>
      <c r="N68" s="920"/>
      <c r="O68" s="920"/>
      <c r="P68" s="917">
        <f t="shared" si="1"/>
        <v>277777.77777777775</v>
      </c>
      <c r="Q68" s="917"/>
      <c r="R68" s="917"/>
      <c r="S68" s="917"/>
      <c r="T68" s="917"/>
      <c r="U68" s="917"/>
      <c r="V68" s="917"/>
      <c r="W68" s="917">
        <f t="shared" si="3"/>
        <v>3009.2592592592664</v>
      </c>
      <c r="X68" s="917"/>
      <c r="Y68" s="917"/>
      <c r="Z68" s="917"/>
      <c r="AA68" s="917"/>
      <c r="AB68" s="917"/>
      <c r="AC68" s="917"/>
      <c r="AD68" s="921">
        <f t="shared" si="4"/>
        <v>3333333.3333333414</v>
      </c>
      <c r="AE68" s="922"/>
      <c r="AF68" s="922"/>
      <c r="AG68" s="922"/>
      <c r="AH68" s="922"/>
      <c r="AI68" s="922"/>
      <c r="AJ68" s="923"/>
    </row>
    <row r="69" spans="1:36" ht="16.899999999999999" customHeight="1">
      <c r="A69" s="915" t="s">
        <v>431</v>
      </c>
      <c r="B69" s="915"/>
      <c r="C69" s="915"/>
      <c r="D69" s="915"/>
      <c r="E69" s="915"/>
      <c r="F69" s="915"/>
      <c r="G69" s="915"/>
      <c r="H69" s="915"/>
      <c r="I69" s="916">
        <f>SUM(I9:O68)</f>
        <v>17256944.444444444</v>
      </c>
      <c r="J69" s="916"/>
      <c r="K69" s="916"/>
      <c r="L69" s="916"/>
      <c r="M69" s="916"/>
      <c r="N69" s="916"/>
      <c r="O69" s="916"/>
      <c r="P69" s="917">
        <f>SUM(P9:V68)</f>
        <v>16666666.666666677</v>
      </c>
      <c r="Q69" s="917"/>
      <c r="R69" s="917"/>
      <c r="S69" s="917"/>
      <c r="T69" s="917"/>
      <c r="U69" s="917"/>
      <c r="V69" s="917"/>
      <c r="W69" s="917">
        <f>SUM(W9:AC68)</f>
        <v>590277.77777777845</v>
      </c>
      <c r="X69" s="917"/>
      <c r="Y69" s="917"/>
      <c r="Z69" s="917"/>
      <c r="AA69" s="917"/>
      <c r="AB69" s="917"/>
      <c r="AC69" s="917"/>
      <c r="AD69" s="916"/>
      <c r="AE69" s="916"/>
      <c r="AF69" s="916"/>
      <c r="AG69" s="916"/>
      <c r="AH69" s="916"/>
      <c r="AI69" s="916"/>
      <c r="AJ69" s="916"/>
    </row>
  </sheetData>
  <mergeCells count="397">
    <mergeCell ref="A1:AJ2"/>
    <mergeCell ref="A4:E4"/>
    <mergeCell ref="F4:R4"/>
    <mergeCell ref="S4:W4"/>
    <mergeCell ref="X4:AH4"/>
    <mergeCell ref="AI4:AJ4"/>
    <mergeCell ref="AG5:AH5"/>
    <mergeCell ref="AI5:AJ5"/>
    <mergeCell ref="A6:E6"/>
    <mergeCell ref="F6:P6"/>
    <mergeCell ref="Q6:R6"/>
    <mergeCell ref="S6:W6"/>
    <mergeCell ref="X6:AH6"/>
    <mergeCell ref="AI6:AJ6"/>
    <mergeCell ref="Q5:R5"/>
    <mergeCell ref="S5:W5"/>
    <mergeCell ref="X5:Z5"/>
    <mergeCell ref="AA5:AB5"/>
    <mergeCell ref="AC5:AD5"/>
    <mergeCell ref="AE5:AF5"/>
    <mergeCell ref="A5:E5"/>
    <mergeCell ref="F5:H5"/>
    <mergeCell ref="I5:J5"/>
    <mergeCell ref="K5:L5"/>
    <mergeCell ref="M5:N5"/>
    <mergeCell ref="O5:P5"/>
    <mergeCell ref="A9:C9"/>
    <mergeCell ref="D9:H9"/>
    <mergeCell ref="I9:O9"/>
    <mergeCell ref="P9:V9"/>
    <mergeCell ref="W9:AC9"/>
    <mergeCell ref="AD9:AJ9"/>
    <mergeCell ref="A8:C8"/>
    <mergeCell ref="D8:H8"/>
    <mergeCell ref="I8:O8"/>
    <mergeCell ref="P8:V8"/>
    <mergeCell ref="W8:AC8"/>
    <mergeCell ref="AD8:AJ8"/>
    <mergeCell ref="A11:C11"/>
    <mergeCell ref="D11:H11"/>
    <mergeCell ref="I11:O11"/>
    <mergeCell ref="P11:V11"/>
    <mergeCell ref="W11:AC11"/>
    <mergeCell ref="AD11:AJ11"/>
    <mergeCell ref="A10:C10"/>
    <mergeCell ref="D10:H10"/>
    <mergeCell ref="I10:O10"/>
    <mergeCell ref="P10:V10"/>
    <mergeCell ref="W10:AC10"/>
    <mergeCell ref="AD10:AJ10"/>
    <mergeCell ref="A13:C13"/>
    <mergeCell ref="D13:H13"/>
    <mergeCell ref="I13:O13"/>
    <mergeCell ref="P13:V13"/>
    <mergeCell ref="W13:AC13"/>
    <mergeCell ref="AD13:AJ13"/>
    <mergeCell ref="A12:C12"/>
    <mergeCell ref="D12:H12"/>
    <mergeCell ref="I12:O12"/>
    <mergeCell ref="P12:V12"/>
    <mergeCell ref="W12:AC12"/>
    <mergeCell ref="AD12:AJ12"/>
    <mergeCell ref="A15:C15"/>
    <mergeCell ref="D15:H15"/>
    <mergeCell ref="I15:O15"/>
    <mergeCell ref="P15:V15"/>
    <mergeCell ref="W15:AC15"/>
    <mergeCell ref="AD15:AJ15"/>
    <mergeCell ref="A14:C14"/>
    <mergeCell ref="D14:H14"/>
    <mergeCell ref="I14:O14"/>
    <mergeCell ref="P14:V14"/>
    <mergeCell ref="W14:AC14"/>
    <mergeCell ref="AD14:AJ14"/>
    <mergeCell ref="A17:C17"/>
    <mergeCell ref="D17:H17"/>
    <mergeCell ref="I17:O17"/>
    <mergeCell ref="P17:V17"/>
    <mergeCell ref="W17:AC17"/>
    <mergeCell ref="AD17:AJ17"/>
    <mergeCell ref="A16:C16"/>
    <mergeCell ref="D16:H16"/>
    <mergeCell ref="I16:O16"/>
    <mergeCell ref="P16:V16"/>
    <mergeCell ref="W16:AC16"/>
    <mergeCell ref="AD16:AJ16"/>
    <mergeCell ref="A19:C19"/>
    <mergeCell ref="D19:H19"/>
    <mergeCell ref="I19:O19"/>
    <mergeCell ref="P19:V19"/>
    <mergeCell ref="W19:AC19"/>
    <mergeCell ref="AD19:AJ19"/>
    <mergeCell ref="A18:C18"/>
    <mergeCell ref="D18:H18"/>
    <mergeCell ref="I18:O18"/>
    <mergeCell ref="P18:V18"/>
    <mergeCell ref="W18:AC18"/>
    <mergeCell ref="AD18:AJ18"/>
    <mergeCell ref="A21:C21"/>
    <mergeCell ref="D21:H21"/>
    <mergeCell ref="I21:O21"/>
    <mergeCell ref="P21:V21"/>
    <mergeCell ref="W21:AC21"/>
    <mergeCell ref="AD21:AJ21"/>
    <mergeCell ref="A20:C20"/>
    <mergeCell ref="D20:H20"/>
    <mergeCell ref="I20:O20"/>
    <mergeCell ref="P20:V20"/>
    <mergeCell ref="W20:AC20"/>
    <mergeCell ref="AD20:AJ20"/>
    <mergeCell ref="A23:C23"/>
    <mergeCell ref="D23:H23"/>
    <mergeCell ref="I23:O23"/>
    <mergeCell ref="P23:V23"/>
    <mergeCell ref="W23:AC23"/>
    <mergeCell ref="AD23:AJ23"/>
    <mergeCell ref="A22:C22"/>
    <mergeCell ref="D22:H22"/>
    <mergeCell ref="I22:O22"/>
    <mergeCell ref="P22:V22"/>
    <mergeCell ref="W22:AC22"/>
    <mergeCell ref="AD22:AJ22"/>
    <mergeCell ref="A25:C25"/>
    <mergeCell ref="D25:H25"/>
    <mergeCell ref="I25:O25"/>
    <mergeCell ref="P25:V25"/>
    <mergeCell ref="W25:AC25"/>
    <mergeCell ref="AD25:AJ25"/>
    <mergeCell ref="A24:C24"/>
    <mergeCell ref="D24:H24"/>
    <mergeCell ref="I24:O24"/>
    <mergeCell ref="P24:V24"/>
    <mergeCell ref="W24:AC24"/>
    <mergeCell ref="AD24:AJ24"/>
    <mergeCell ref="A27:C27"/>
    <mergeCell ref="D27:H27"/>
    <mergeCell ref="I27:O27"/>
    <mergeCell ref="P27:V27"/>
    <mergeCell ref="W27:AC27"/>
    <mergeCell ref="AD27:AJ27"/>
    <mergeCell ref="A26:C26"/>
    <mergeCell ref="D26:H26"/>
    <mergeCell ref="I26:O26"/>
    <mergeCell ref="P26:V26"/>
    <mergeCell ref="W26:AC26"/>
    <mergeCell ref="AD26:AJ26"/>
    <mergeCell ref="A29:C29"/>
    <mergeCell ref="D29:H29"/>
    <mergeCell ref="I29:O29"/>
    <mergeCell ref="P29:V29"/>
    <mergeCell ref="W29:AC29"/>
    <mergeCell ref="AD29:AJ29"/>
    <mergeCell ref="A28:C28"/>
    <mergeCell ref="D28:H28"/>
    <mergeCell ref="I28:O28"/>
    <mergeCell ref="P28:V28"/>
    <mergeCell ref="W28:AC28"/>
    <mergeCell ref="AD28:AJ28"/>
    <mergeCell ref="A31:C31"/>
    <mergeCell ref="D31:H31"/>
    <mergeCell ref="I31:O31"/>
    <mergeCell ref="P31:V31"/>
    <mergeCell ref="W31:AC31"/>
    <mergeCell ref="AD31:AJ31"/>
    <mergeCell ref="A30:C30"/>
    <mergeCell ref="D30:H30"/>
    <mergeCell ref="I30:O30"/>
    <mergeCell ref="P30:V30"/>
    <mergeCell ref="W30:AC30"/>
    <mergeCell ref="AD30:AJ30"/>
    <mergeCell ref="A33:C33"/>
    <mergeCell ref="D33:H33"/>
    <mergeCell ref="I33:O33"/>
    <mergeCell ref="P33:V33"/>
    <mergeCell ref="W33:AC33"/>
    <mergeCell ref="AD33:AJ33"/>
    <mergeCell ref="A32:C32"/>
    <mergeCell ref="D32:H32"/>
    <mergeCell ref="I32:O32"/>
    <mergeCell ref="P32:V32"/>
    <mergeCell ref="W32:AC32"/>
    <mergeCell ref="AD32:AJ32"/>
    <mergeCell ref="A35:C35"/>
    <mergeCell ref="D35:H35"/>
    <mergeCell ref="I35:O35"/>
    <mergeCell ref="P35:V35"/>
    <mergeCell ref="W35:AC35"/>
    <mergeCell ref="AD35:AJ35"/>
    <mergeCell ref="A34:C34"/>
    <mergeCell ref="D34:H34"/>
    <mergeCell ref="I34:O34"/>
    <mergeCell ref="P34:V34"/>
    <mergeCell ref="W34:AC34"/>
    <mergeCell ref="AD34:AJ34"/>
    <mergeCell ref="A37:C37"/>
    <mergeCell ref="D37:H37"/>
    <mergeCell ref="I37:O37"/>
    <mergeCell ref="P37:V37"/>
    <mergeCell ref="W37:AC37"/>
    <mergeCell ref="AD37:AJ37"/>
    <mergeCell ref="A36:C36"/>
    <mergeCell ref="D36:H36"/>
    <mergeCell ref="I36:O36"/>
    <mergeCell ref="P36:V36"/>
    <mergeCell ref="W36:AC36"/>
    <mergeCell ref="AD36:AJ36"/>
    <mergeCell ref="A39:C39"/>
    <mergeCell ref="D39:H39"/>
    <mergeCell ref="I39:O39"/>
    <mergeCell ref="P39:V39"/>
    <mergeCell ref="W39:AC39"/>
    <mergeCell ref="AD39:AJ39"/>
    <mergeCell ref="A38:C38"/>
    <mergeCell ref="D38:H38"/>
    <mergeCell ref="I38:O38"/>
    <mergeCell ref="P38:V38"/>
    <mergeCell ref="W38:AC38"/>
    <mergeCell ref="AD38:AJ38"/>
    <mergeCell ref="A41:C41"/>
    <mergeCell ref="D41:H41"/>
    <mergeCell ref="I41:O41"/>
    <mergeCell ref="P41:V41"/>
    <mergeCell ref="W41:AC41"/>
    <mergeCell ref="AD41:AJ41"/>
    <mergeCell ref="A40:C40"/>
    <mergeCell ref="D40:H40"/>
    <mergeCell ref="I40:O40"/>
    <mergeCell ref="P40:V40"/>
    <mergeCell ref="W40:AC40"/>
    <mergeCell ref="AD40:AJ40"/>
    <mergeCell ref="A43:C43"/>
    <mergeCell ref="D43:H43"/>
    <mergeCell ref="I43:O43"/>
    <mergeCell ref="P43:V43"/>
    <mergeCell ref="W43:AC43"/>
    <mergeCell ref="AD43:AJ43"/>
    <mergeCell ref="A42:C42"/>
    <mergeCell ref="D42:H42"/>
    <mergeCell ref="I42:O42"/>
    <mergeCell ref="P42:V42"/>
    <mergeCell ref="W42:AC42"/>
    <mergeCell ref="AD42:AJ42"/>
    <mergeCell ref="A45:C45"/>
    <mergeCell ref="D45:H45"/>
    <mergeCell ref="I45:O45"/>
    <mergeCell ref="P45:V45"/>
    <mergeCell ref="W45:AC45"/>
    <mergeCell ref="AD45:AJ45"/>
    <mergeCell ref="A44:C44"/>
    <mergeCell ref="D44:H44"/>
    <mergeCell ref="I44:O44"/>
    <mergeCell ref="P44:V44"/>
    <mergeCell ref="W44:AC44"/>
    <mergeCell ref="AD44:AJ44"/>
    <mergeCell ref="A47:C47"/>
    <mergeCell ref="D47:H47"/>
    <mergeCell ref="I47:O47"/>
    <mergeCell ref="P47:V47"/>
    <mergeCell ref="W47:AC47"/>
    <mergeCell ref="AD47:AJ47"/>
    <mergeCell ref="A46:C46"/>
    <mergeCell ref="D46:H46"/>
    <mergeCell ref="I46:O46"/>
    <mergeCell ref="P46:V46"/>
    <mergeCell ref="W46:AC46"/>
    <mergeCell ref="AD46:AJ46"/>
    <mergeCell ref="A49:C49"/>
    <mergeCell ref="D49:H49"/>
    <mergeCell ref="I49:O49"/>
    <mergeCell ref="P49:V49"/>
    <mergeCell ref="W49:AC49"/>
    <mergeCell ref="AD49:AJ49"/>
    <mergeCell ref="A48:C48"/>
    <mergeCell ref="D48:H48"/>
    <mergeCell ref="I48:O48"/>
    <mergeCell ref="P48:V48"/>
    <mergeCell ref="W48:AC48"/>
    <mergeCell ref="AD48:AJ48"/>
    <mergeCell ref="A51:C51"/>
    <mergeCell ref="D51:H51"/>
    <mergeCell ref="I51:O51"/>
    <mergeCell ref="P51:V51"/>
    <mergeCell ref="W51:AC51"/>
    <mergeCell ref="AD51:AJ51"/>
    <mergeCell ref="A50:C50"/>
    <mergeCell ref="D50:H50"/>
    <mergeCell ref="I50:O50"/>
    <mergeCell ref="P50:V50"/>
    <mergeCell ref="W50:AC50"/>
    <mergeCell ref="AD50:AJ50"/>
    <mergeCell ref="A53:C53"/>
    <mergeCell ref="D53:H53"/>
    <mergeCell ref="I53:O53"/>
    <mergeCell ref="P53:V53"/>
    <mergeCell ref="W53:AC53"/>
    <mergeCell ref="AD53:AJ53"/>
    <mergeCell ref="A52:C52"/>
    <mergeCell ref="D52:H52"/>
    <mergeCell ref="I52:O52"/>
    <mergeCell ref="P52:V52"/>
    <mergeCell ref="W52:AC52"/>
    <mergeCell ref="AD52:AJ52"/>
    <mergeCell ref="A55:C55"/>
    <mergeCell ref="D55:H55"/>
    <mergeCell ref="I55:O55"/>
    <mergeCell ref="P55:V55"/>
    <mergeCell ref="W55:AC55"/>
    <mergeCell ref="AD55:AJ55"/>
    <mergeCell ref="A54:C54"/>
    <mergeCell ref="D54:H54"/>
    <mergeCell ref="I54:O54"/>
    <mergeCell ref="P54:V54"/>
    <mergeCell ref="W54:AC54"/>
    <mergeCell ref="AD54:AJ54"/>
    <mergeCell ref="A57:C57"/>
    <mergeCell ref="D57:H57"/>
    <mergeCell ref="I57:O57"/>
    <mergeCell ref="P57:V57"/>
    <mergeCell ref="W57:AC57"/>
    <mergeCell ref="AD57:AJ57"/>
    <mergeCell ref="A56:C56"/>
    <mergeCell ref="D56:H56"/>
    <mergeCell ref="I56:O56"/>
    <mergeCell ref="P56:V56"/>
    <mergeCell ref="W56:AC56"/>
    <mergeCell ref="AD56:AJ56"/>
    <mergeCell ref="A59:C59"/>
    <mergeCell ref="D59:H59"/>
    <mergeCell ref="I59:O59"/>
    <mergeCell ref="P59:V59"/>
    <mergeCell ref="W59:AC59"/>
    <mergeCell ref="AD59:AJ59"/>
    <mergeCell ref="A58:C58"/>
    <mergeCell ref="D58:H58"/>
    <mergeCell ref="I58:O58"/>
    <mergeCell ref="P58:V58"/>
    <mergeCell ref="W58:AC58"/>
    <mergeCell ref="AD58:AJ58"/>
    <mergeCell ref="A61:C61"/>
    <mergeCell ref="D61:H61"/>
    <mergeCell ref="I61:O61"/>
    <mergeCell ref="P61:V61"/>
    <mergeCell ref="W61:AC61"/>
    <mergeCell ref="AD61:AJ61"/>
    <mergeCell ref="A60:C60"/>
    <mergeCell ref="D60:H60"/>
    <mergeCell ref="I60:O60"/>
    <mergeCell ref="P60:V60"/>
    <mergeCell ref="W60:AC60"/>
    <mergeCell ref="AD60:AJ60"/>
    <mergeCell ref="A63:C63"/>
    <mergeCell ref="D63:H63"/>
    <mergeCell ref="I63:O63"/>
    <mergeCell ref="P63:V63"/>
    <mergeCell ref="W63:AC63"/>
    <mergeCell ref="AD63:AJ63"/>
    <mergeCell ref="A62:C62"/>
    <mergeCell ref="D62:H62"/>
    <mergeCell ref="I62:O62"/>
    <mergeCell ref="P62:V62"/>
    <mergeCell ref="W62:AC62"/>
    <mergeCell ref="AD62:AJ62"/>
    <mergeCell ref="A65:C65"/>
    <mergeCell ref="D65:H65"/>
    <mergeCell ref="I65:O65"/>
    <mergeCell ref="P65:V65"/>
    <mergeCell ref="W65:AC65"/>
    <mergeCell ref="AD65:AJ65"/>
    <mergeCell ref="A64:C64"/>
    <mergeCell ref="D64:H64"/>
    <mergeCell ref="I64:O64"/>
    <mergeCell ref="P64:V64"/>
    <mergeCell ref="W64:AC64"/>
    <mergeCell ref="AD64:AJ64"/>
    <mergeCell ref="A67:C67"/>
    <mergeCell ref="D67:H67"/>
    <mergeCell ref="I67:O67"/>
    <mergeCell ref="P67:V67"/>
    <mergeCell ref="W67:AC67"/>
    <mergeCell ref="AD67:AJ67"/>
    <mergeCell ref="A66:C66"/>
    <mergeCell ref="D66:H66"/>
    <mergeCell ref="I66:O66"/>
    <mergeCell ref="P66:V66"/>
    <mergeCell ref="W66:AC66"/>
    <mergeCell ref="AD66:AJ66"/>
    <mergeCell ref="A69:H69"/>
    <mergeCell ref="I69:O69"/>
    <mergeCell ref="P69:V69"/>
    <mergeCell ref="W69:AC69"/>
    <mergeCell ref="AD69:AJ69"/>
    <mergeCell ref="A68:C68"/>
    <mergeCell ref="D68:H68"/>
    <mergeCell ref="I68:O68"/>
    <mergeCell ref="P68:V68"/>
    <mergeCell ref="W68:AC68"/>
    <mergeCell ref="AD68:AJ68"/>
  </mergeCells>
  <phoneticPr fontId="2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FC19-906A-43C0-A9F3-8B9ECF6A0840}">
  <dimension ref="B2:BK9"/>
  <sheetViews>
    <sheetView workbookViewId="0">
      <selection activeCell="B1" sqref="B1:B1048576"/>
    </sheetView>
  </sheetViews>
  <sheetFormatPr defaultRowHeight="13.5"/>
  <cols>
    <col min="2" max="2" width="11" bestFit="1" customWidth="1"/>
    <col min="3" max="6" width="10.5" bestFit="1" customWidth="1"/>
    <col min="7" max="9" width="11.625" bestFit="1" customWidth="1"/>
    <col min="10" max="18" width="10.5" bestFit="1" customWidth="1"/>
    <col min="19" max="21" width="11.625" bestFit="1" customWidth="1"/>
    <col min="22" max="30" width="10.5" bestFit="1" customWidth="1"/>
    <col min="31" max="33" width="11.625" bestFit="1" customWidth="1"/>
    <col min="34" max="42" width="10.5" bestFit="1" customWidth="1"/>
    <col min="43" max="45" width="11.625" bestFit="1" customWidth="1"/>
    <col min="46" max="54" width="10.5" bestFit="1" customWidth="1"/>
    <col min="55" max="57" width="11.625" bestFit="1" customWidth="1"/>
    <col min="58" max="62" width="10.5" bestFit="1" customWidth="1"/>
  </cols>
  <sheetData>
    <row r="2" spans="2:63">
      <c r="B2" t="s">
        <v>425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 t="s">
        <v>431</v>
      </c>
    </row>
    <row r="5" spans="2:63" s="280" customFormat="1">
      <c r="B5" s="280" t="s">
        <v>426</v>
      </c>
      <c r="C5" s="280">
        <v>44372</v>
      </c>
      <c r="D5" s="280">
        <v>44402</v>
      </c>
      <c r="E5" s="280">
        <v>44433</v>
      </c>
      <c r="F5" s="280">
        <v>44464</v>
      </c>
      <c r="G5" s="280">
        <v>44494</v>
      </c>
      <c r="H5" s="280">
        <v>44525</v>
      </c>
      <c r="I5" s="280">
        <v>44555</v>
      </c>
      <c r="J5" s="280">
        <v>44586</v>
      </c>
      <c r="K5" s="280">
        <v>44617</v>
      </c>
      <c r="L5" s="280">
        <v>44645</v>
      </c>
      <c r="M5" s="280">
        <v>44676</v>
      </c>
      <c r="N5" s="280">
        <v>44706</v>
      </c>
      <c r="O5" s="280">
        <v>44737</v>
      </c>
      <c r="P5" s="280">
        <v>44767</v>
      </c>
      <c r="Q5" s="280">
        <v>44798</v>
      </c>
      <c r="R5" s="280">
        <v>44829</v>
      </c>
      <c r="S5" s="280">
        <v>44859</v>
      </c>
      <c r="T5" s="280">
        <v>44890</v>
      </c>
      <c r="U5" s="280">
        <v>44920</v>
      </c>
      <c r="V5" s="280">
        <v>44951</v>
      </c>
      <c r="W5" s="280">
        <v>44982</v>
      </c>
      <c r="X5" s="280">
        <v>45010</v>
      </c>
      <c r="Y5" s="280">
        <v>45041</v>
      </c>
      <c r="Z5" s="280">
        <v>45071</v>
      </c>
      <c r="AA5" s="280">
        <v>45102</v>
      </c>
      <c r="AB5" s="280">
        <v>45132</v>
      </c>
      <c r="AC5" s="280">
        <v>45163</v>
      </c>
      <c r="AD5" s="280">
        <v>45194</v>
      </c>
      <c r="AE5" s="280">
        <v>45224</v>
      </c>
      <c r="AF5" s="280">
        <v>45255</v>
      </c>
      <c r="AG5" s="280">
        <v>45285</v>
      </c>
      <c r="AH5" s="280">
        <v>45316</v>
      </c>
      <c r="AI5" s="280">
        <v>45347</v>
      </c>
      <c r="AJ5" s="280">
        <v>45376</v>
      </c>
      <c r="AK5" s="280">
        <v>45407</v>
      </c>
      <c r="AL5" s="280">
        <v>45437</v>
      </c>
      <c r="AM5" s="280">
        <v>45468</v>
      </c>
      <c r="AN5" s="280">
        <v>45498</v>
      </c>
      <c r="AO5" s="280">
        <v>45529</v>
      </c>
      <c r="AP5" s="280">
        <v>45560</v>
      </c>
      <c r="AQ5" s="280">
        <v>45590</v>
      </c>
      <c r="AR5" s="280">
        <v>45621</v>
      </c>
      <c r="AS5" s="280">
        <v>45651</v>
      </c>
      <c r="AT5" s="280">
        <v>45682</v>
      </c>
      <c r="AU5" s="280">
        <v>45713</v>
      </c>
      <c r="AV5" s="280">
        <v>45741</v>
      </c>
      <c r="AW5" s="280">
        <v>45772</v>
      </c>
      <c r="AX5" s="280">
        <v>45802</v>
      </c>
      <c r="AY5" s="280">
        <v>45833</v>
      </c>
      <c r="AZ5" s="280">
        <v>45863</v>
      </c>
      <c r="BA5" s="280">
        <v>45894</v>
      </c>
      <c r="BB5" s="280">
        <v>45925</v>
      </c>
      <c r="BC5" s="280">
        <v>45955</v>
      </c>
      <c r="BD5" s="280">
        <v>45986</v>
      </c>
      <c r="BE5" s="280">
        <v>46016</v>
      </c>
      <c r="BF5" s="280">
        <v>46047</v>
      </c>
      <c r="BG5" s="280">
        <v>46078</v>
      </c>
      <c r="BH5" s="280">
        <v>46106</v>
      </c>
      <c r="BI5" s="280">
        <v>46137</v>
      </c>
      <c r="BJ5" s="280">
        <v>46167</v>
      </c>
    </row>
    <row r="6" spans="2:63">
      <c r="B6" t="s">
        <v>427</v>
      </c>
      <c r="C6">
        <v>294444.44444444444</v>
      </c>
      <c r="D6">
        <v>294212.96296296292</v>
      </c>
      <c r="E6">
        <v>293981.48148148146</v>
      </c>
      <c r="F6">
        <v>293750</v>
      </c>
      <c r="G6">
        <v>293518.51851851848</v>
      </c>
      <c r="H6">
        <v>293287.03703703702</v>
      </c>
      <c r="I6">
        <v>293055.55555555556</v>
      </c>
      <c r="J6">
        <v>292824.07407407404</v>
      </c>
      <c r="K6">
        <v>292592.59259259258</v>
      </c>
      <c r="L6">
        <v>292361.11111111112</v>
      </c>
      <c r="M6">
        <v>292129.62962962961</v>
      </c>
      <c r="N6">
        <v>291898.14814814815</v>
      </c>
      <c r="O6">
        <v>291666.66666666663</v>
      </c>
      <c r="P6">
        <v>291435.18518518517</v>
      </c>
      <c r="Q6">
        <v>291203.70370370371</v>
      </c>
      <c r="R6">
        <v>290972.22222222219</v>
      </c>
      <c r="S6">
        <v>290740.74074074073</v>
      </c>
      <c r="T6">
        <v>290509.25925925927</v>
      </c>
      <c r="U6">
        <v>290277.77777777775</v>
      </c>
      <c r="V6">
        <v>290046.29629629629</v>
      </c>
      <c r="W6">
        <v>289814.81481481483</v>
      </c>
      <c r="X6">
        <v>289583.33333333331</v>
      </c>
      <c r="Y6">
        <v>289351.85185185185</v>
      </c>
      <c r="Z6">
        <v>289120.37037037034</v>
      </c>
      <c r="AA6">
        <v>288888.88888888888</v>
      </c>
      <c r="AB6">
        <v>288657.40740740742</v>
      </c>
      <c r="AC6">
        <v>288425.9259259259</v>
      </c>
      <c r="AD6">
        <v>288194.44444444444</v>
      </c>
      <c r="AE6">
        <v>287962.96296296292</v>
      </c>
      <c r="AF6">
        <v>287731.48148148146</v>
      </c>
      <c r="AG6">
        <v>287500</v>
      </c>
      <c r="AH6">
        <v>287268.51851851848</v>
      </c>
      <c r="AI6">
        <v>287037.03703703702</v>
      </c>
      <c r="AJ6">
        <v>286805.55555555556</v>
      </c>
      <c r="AK6">
        <v>286574.07407407404</v>
      </c>
      <c r="AL6">
        <v>286342.59259259258</v>
      </c>
      <c r="AM6">
        <v>286111.11111111112</v>
      </c>
      <c r="AN6">
        <v>285879.62962962961</v>
      </c>
      <c r="AO6">
        <v>285648.14814814815</v>
      </c>
      <c r="AP6">
        <v>285416.66666666663</v>
      </c>
      <c r="AQ6">
        <v>285185.18518518517</v>
      </c>
      <c r="AR6">
        <v>284953.70370370371</v>
      </c>
      <c r="AS6">
        <v>284722.22222222219</v>
      </c>
      <c r="AT6">
        <v>284490.74074074073</v>
      </c>
      <c r="AU6">
        <v>284259.25925925927</v>
      </c>
      <c r="AV6">
        <v>284027.77777777775</v>
      </c>
      <c r="AW6">
        <v>283796.29629629629</v>
      </c>
      <c r="AX6">
        <v>283564.81481481477</v>
      </c>
      <c r="AY6">
        <v>283333.33333333331</v>
      </c>
      <c r="AZ6">
        <v>283101.85185185185</v>
      </c>
      <c r="BA6">
        <v>282870.37037037034</v>
      </c>
      <c r="BB6">
        <v>282638.88888888888</v>
      </c>
      <c r="BC6">
        <v>282407.40740740742</v>
      </c>
      <c r="BD6">
        <v>282175.9259259259</v>
      </c>
      <c r="BE6">
        <v>281944.44444444444</v>
      </c>
      <c r="BF6">
        <v>281712.96296296292</v>
      </c>
      <c r="BG6">
        <v>281481.48148148146</v>
      </c>
      <c r="BH6">
        <v>281250</v>
      </c>
      <c r="BI6">
        <v>281018.51851851848</v>
      </c>
      <c r="BJ6">
        <v>280787.03703703702</v>
      </c>
      <c r="BK6">
        <v>17256944.444444444</v>
      </c>
    </row>
    <row r="7" spans="2:63">
      <c r="B7" t="s">
        <v>428</v>
      </c>
      <c r="C7">
        <v>277777.77777777775</v>
      </c>
      <c r="D7">
        <v>277777.77777777775</v>
      </c>
      <c r="E7">
        <v>277777.77777777775</v>
      </c>
      <c r="F7">
        <v>277777.77777777775</v>
      </c>
      <c r="G7">
        <v>277777.77777777775</v>
      </c>
      <c r="H7">
        <v>277777.77777777775</v>
      </c>
      <c r="I7">
        <v>277777.77777777775</v>
      </c>
      <c r="J7">
        <v>277777.77777777775</v>
      </c>
      <c r="K7">
        <v>277777.77777777775</v>
      </c>
      <c r="L7">
        <v>277777.77777777775</v>
      </c>
      <c r="M7">
        <v>277777.77777777775</v>
      </c>
      <c r="N7">
        <v>277777.77777777775</v>
      </c>
      <c r="O7">
        <v>277777.77777777775</v>
      </c>
      <c r="P7">
        <v>277777.77777777775</v>
      </c>
      <c r="Q7">
        <v>277777.77777777775</v>
      </c>
      <c r="R7">
        <v>277777.77777777775</v>
      </c>
      <c r="S7">
        <v>277777.77777777775</v>
      </c>
      <c r="T7">
        <v>277777.77777777775</v>
      </c>
      <c r="U7">
        <v>277777.77777777775</v>
      </c>
      <c r="V7">
        <v>277777.77777777775</v>
      </c>
      <c r="W7">
        <v>277777.77777777775</v>
      </c>
      <c r="X7">
        <v>277777.77777777775</v>
      </c>
      <c r="Y7">
        <v>277777.77777777775</v>
      </c>
      <c r="Z7">
        <v>277777.77777777775</v>
      </c>
      <c r="AA7">
        <v>277777.77777777775</v>
      </c>
      <c r="AB7">
        <v>277777.77777777775</v>
      </c>
      <c r="AC7">
        <v>277777.77777777775</v>
      </c>
      <c r="AD7">
        <v>277777.77777777775</v>
      </c>
      <c r="AE7">
        <v>277777.77777777775</v>
      </c>
      <c r="AF7">
        <v>277777.77777777775</v>
      </c>
      <c r="AG7">
        <v>277777.77777777775</v>
      </c>
      <c r="AH7">
        <v>277777.77777777775</v>
      </c>
      <c r="AI7">
        <v>277777.77777777775</v>
      </c>
      <c r="AJ7">
        <v>277777.77777777775</v>
      </c>
      <c r="AK7">
        <v>277777.77777777775</v>
      </c>
      <c r="AL7">
        <v>277777.77777777775</v>
      </c>
      <c r="AM7">
        <v>277777.77777777775</v>
      </c>
      <c r="AN7">
        <v>277777.77777777775</v>
      </c>
      <c r="AO7">
        <v>277777.77777777775</v>
      </c>
      <c r="AP7">
        <v>277777.77777777775</v>
      </c>
      <c r="AQ7">
        <v>277777.77777777775</v>
      </c>
      <c r="AR7">
        <v>277777.77777777775</v>
      </c>
      <c r="AS7">
        <v>277777.77777777775</v>
      </c>
      <c r="AT7">
        <v>277777.77777777775</v>
      </c>
      <c r="AU7">
        <v>277777.77777777775</v>
      </c>
      <c r="AV7">
        <v>277777.77777777775</v>
      </c>
      <c r="AW7">
        <v>277777.77777777775</v>
      </c>
      <c r="AX7">
        <v>277777.77777777775</v>
      </c>
      <c r="AY7">
        <v>277777.77777777775</v>
      </c>
      <c r="AZ7">
        <v>277777.77777777775</v>
      </c>
      <c r="BA7">
        <v>277777.77777777775</v>
      </c>
      <c r="BB7">
        <v>277777.77777777775</v>
      </c>
      <c r="BC7">
        <v>277777.77777777775</v>
      </c>
      <c r="BD7">
        <v>277777.77777777775</v>
      </c>
      <c r="BE7">
        <v>277777.77777777775</v>
      </c>
      <c r="BF7">
        <v>277777.77777777775</v>
      </c>
      <c r="BG7">
        <v>277777.77777777775</v>
      </c>
      <c r="BH7">
        <v>277777.77777777775</v>
      </c>
      <c r="BI7">
        <v>277777.77777777775</v>
      </c>
      <c r="BJ7">
        <v>277777.77777777775</v>
      </c>
      <c r="BK7">
        <v>16666666.666666677</v>
      </c>
    </row>
    <row r="8" spans="2:63">
      <c r="B8" t="s">
        <v>429</v>
      </c>
      <c r="C8">
        <v>16666.666666666668</v>
      </c>
      <c r="D8">
        <v>16435.185185185186</v>
      </c>
      <c r="E8">
        <v>16203.703703703706</v>
      </c>
      <c r="F8">
        <v>15972.222222222226</v>
      </c>
      <c r="G8">
        <v>15740.740740740746</v>
      </c>
      <c r="H8">
        <v>15509.259259259268</v>
      </c>
      <c r="I8">
        <v>15277.777777777786</v>
      </c>
      <c r="J8">
        <v>15046.296296296307</v>
      </c>
      <c r="K8">
        <v>14814.814814814827</v>
      </c>
      <c r="L8">
        <v>14583.333333333345</v>
      </c>
      <c r="M8">
        <v>14351.851851851867</v>
      </c>
      <c r="N8">
        <v>14120.370370370387</v>
      </c>
      <c r="O8">
        <v>13888.888888888905</v>
      </c>
      <c r="P8">
        <v>13657.407407407423</v>
      </c>
      <c r="Q8">
        <v>13425.925925925942</v>
      </c>
      <c r="R8">
        <v>13194.44444444446</v>
      </c>
      <c r="S8">
        <v>12962.962962962978</v>
      </c>
      <c r="T8">
        <v>12731.481481481496</v>
      </c>
      <c r="U8">
        <v>12500.000000000015</v>
      </c>
      <c r="V8">
        <v>12268.518518518533</v>
      </c>
      <c r="W8">
        <v>12037.037037037051</v>
      </c>
      <c r="X8">
        <v>11805.555555555569</v>
      </c>
      <c r="Y8">
        <v>11574.074074074088</v>
      </c>
      <c r="Z8">
        <v>11342.592592592606</v>
      </c>
      <c r="AA8">
        <v>11111.111111111124</v>
      </c>
      <c r="AB8">
        <v>10879.629629629642</v>
      </c>
      <c r="AC8">
        <v>10648.148148148161</v>
      </c>
      <c r="AD8">
        <v>10416.666666666679</v>
      </c>
      <c r="AE8">
        <v>10185.185185185197</v>
      </c>
      <c r="AF8">
        <v>9953.7037037037171</v>
      </c>
      <c r="AG8">
        <v>9722.2222222222354</v>
      </c>
      <c r="AH8">
        <v>9490.7407407407536</v>
      </c>
      <c r="AI8">
        <v>9259.2592592592719</v>
      </c>
      <c r="AJ8">
        <v>9027.7777777777901</v>
      </c>
      <c r="AK8">
        <v>8796.2962962963084</v>
      </c>
      <c r="AL8">
        <v>8564.8148148148266</v>
      </c>
      <c r="AM8">
        <v>8333.3333333333449</v>
      </c>
      <c r="AN8">
        <v>8101.8518518518622</v>
      </c>
      <c r="AO8">
        <v>7870.3703703703804</v>
      </c>
      <c r="AP8">
        <v>7638.8888888888987</v>
      </c>
      <c r="AQ8">
        <v>7407.4074074074169</v>
      </c>
      <c r="AR8">
        <v>7175.9259259259352</v>
      </c>
      <c r="AS8">
        <v>6944.4444444444553</v>
      </c>
      <c r="AT8">
        <v>6712.9629629629735</v>
      </c>
      <c r="AU8">
        <v>6481.4814814814918</v>
      </c>
      <c r="AV8">
        <v>6250.00000000001</v>
      </c>
      <c r="AW8">
        <v>6018.5185185185283</v>
      </c>
      <c r="AX8">
        <v>5787.0370370370465</v>
      </c>
      <c r="AY8">
        <v>5555.5555555555648</v>
      </c>
      <c r="AZ8">
        <v>5324.074074074083</v>
      </c>
      <c r="BA8">
        <v>5092.5925925926012</v>
      </c>
      <c r="BB8">
        <v>4861.1111111111195</v>
      </c>
      <c r="BC8">
        <v>4629.6296296296377</v>
      </c>
      <c r="BD8">
        <v>4398.148148148156</v>
      </c>
      <c r="BE8">
        <v>4166.6666666666742</v>
      </c>
      <c r="BF8">
        <v>3935.1851851851929</v>
      </c>
      <c r="BG8">
        <v>3703.7037037037112</v>
      </c>
      <c r="BH8">
        <v>3472.2222222222294</v>
      </c>
      <c r="BI8">
        <v>3240.7407407407482</v>
      </c>
      <c r="BJ8">
        <v>3009.2592592592664</v>
      </c>
      <c r="BK8">
        <v>590277.77777777845</v>
      </c>
    </row>
    <row r="9" spans="2:63">
      <c r="B9" t="s">
        <v>430</v>
      </c>
      <c r="C9">
        <v>19722222.222222224</v>
      </c>
      <c r="D9">
        <v>19444444.444444448</v>
      </c>
      <c r="E9">
        <v>19166666.666666672</v>
      </c>
      <c r="F9">
        <v>18888888.888888896</v>
      </c>
      <c r="G9">
        <v>18611111.111111119</v>
      </c>
      <c r="H9">
        <v>18333333.333333343</v>
      </c>
      <c r="I9">
        <v>18055555.555555567</v>
      </c>
      <c r="J9">
        <v>17777777.777777791</v>
      </c>
      <c r="K9">
        <v>17500000.000000015</v>
      </c>
      <c r="L9">
        <v>17222222.222222239</v>
      </c>
      <c r="M9">
        <v>16944444.444444463</v>
      </c>
      <c r="N9">
        <v>16666666.666666685</v>
      </c>
      <c r="O9">
        <v>16388888.888888907</v>
      </c>
      <c r="P9">
        <v>16111111.111111129</v>
      </c>
      <c r="Q9">
        <v>15833333.333333351</v>
      </c>
      <c r="R9">
        <v>15555555.555555573</v>
      </c>
      <c r="S9">
        <v>15277777.777777795</v>
      </c>
      <c r="T9">
        <v>15000000.000000017</v>
      </c>
      <c r="U9">
        <v>14722222.222222239</v>
      </c>
      <c r="V9">
        <v>14444444.444444461</v>
      </c>
      <c r="W9">
        <v>14166666.666666683</v>
      </c>
      <c r="X9">
        <v>13888888.888888905</v>
      </c>
      <c r="Y9">
        <v>13611111.111111127</v>
      </c>
      <c r="Z9">
        <v>13333333.333333349</v>
      </c>
      <c r="AA9">
        <v>13055555.555555571</v>
      </c>
      <c r="AB9">
        <v>12777777.777777793</v>
      </c>
      <c r="AC9">
        <v>12500000.000000015</v>
      </c>
      <c r="AD9">
        <v>12222222.222222237</v>
      </c>
      <c r="AE9">
        <v>11944444.444444459</v>
      </c>
      <c r="AF9">
        <v>11666666.666666681</v>
      </c>
      <c r="AG9">
        <v>11388888.888888903</v>
      </c>
      <c r="AH9">
        <v>11111111.111111125</v>
      </c>
      <c r="AI9">
        <v>10833333.333333347</v>
      </c>
      <c r="AJ9">
        <v>10555555.555555569</v>
      </c>
      <c r="AK9">
        <v>10277777.777777791</v>
      </c>
      <c r="AL9">
        <v>10000000.000000013</v>
      </c>
      <c r="AM9">
        <v>9722222.2222222351</v>
      </c>
      <c r="AN9">
        <v>9444444.4444444571</v>
      </c>
      <c r="AO9">
        <v>9166666.6666666791</v>
      </c>
      <c r="AP9">
        <v>8888888.8888889011</v>
      </c>
      <c r="AQ9">
        <v>8611111.1111111231</v>
      </c>
      <c r="AR9">
        <v>8333333.3333333451</v>
      </c>
      <c r="AS9">
        <v>8055555.5555555671</v>
      </c>
      <c r="AT9">
        <v>7777777.7777777892</v>
      </c>
      <c r="AU9">
        <v>7500000.0000000112</v>
      </c>
      <c r="AV9">
        <v>7222222.2222222332</v>
      </c>
      <c r="AW9">
        <v>6944444.4444444552</v>
      </c>
      <c r="AX9">
        <v>6666666.6666666772</v>
      </c>
      <c r="AY9">
        <v>6388888.8888888992</v>
      </c>
      <c r="AZ9">
        <v>6111111.1111111213</v>
      </c>
      <c r="BA9">
        <v>5833333.3333333433</v>
      </c>
      <c r="BB9">
        <v>5555555.5555555653</v>
      </c>
      <c r="BC9">
        <v>5277777.7777777873</v>
      </c>
      <c r="BD9">
        <v>5000000.0000000093</v>
      </c>
      <c r="BE9">
        <v>4722222.2222222313</v>
      </c>
      <c r="BF9">
        <v>4444444.4444444533</v>
      </c>
      <c r="BG9">
        <v>4166666.6666666754</v>
      </c>
      <c r="BH9">
        <v>3888888.8888888974</v>
      </c>
      <c r="BI9">
        <v>3611111.1111111194</v>
      </c>
      <c r="BJ9">
        <v>3333333.3333333414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T492"/>
  <sheetViews>
    <sheetView workbookViewId="0">
      <pane xSplit="3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J20" sqref="J20"/>
    </sheetView>
  </sheetViews>
  <sheetFormatPr defaultColWidth="9.5" defaultRowHeight="13.5"/>
  <cols>
    <col min="40" max="40" width="10.5" customWidth="1"/>
  </cols>
  <sheetData>
    <row r="1" spans="1:72">
      <c r="A1" s="951" t="s">
        <v>243</v>
      </c>
      <c r="B1" s="952"/>
      <c r="C1" s="952"/>
      <c r="D1" s="952"/>
      <c r="E1" s="952"/>
      <c r="F1" s="952"/>
      <c r="G1" s="952"/>
      <c r="I1" s="941" t="s">
        <v>309</v>
      </c>
      <c r="J1" s="942"/>
      <c r="K1" s="178"/>
      <c r="L1" s="943" t="s">
        <v>316</v>
      </c>
      <c r="M1" s="944"/>
      <c r="N1" s="945"/>
      <c r="O1" s="73" t="s">
        <v>310</v>
      </c>
      <c r="Q1" s="941" t="s">
        <v>313</v>
      </c>
      <c r="R1" s="942"/>
      <c r="S1" s="178"/>
      <c r="T1" s="943" t="s">
        <v>316</v>
      </c>
      <c r="U1" s="944"/>
      <c r="V1" s="945"/>
      <c r="W1" s="73" t="s">
        <v>314</v>
      </c>
      <c r="X1" s="181"/>
      <c r="Y1" s="941" t="s">
        <v>317</v>
      </c>
      <c r="Z1" s="942"/>
      <c r="AA1" s="178"/>
      <c r="AB1" s="943" t="s">
        <v>316</v>
      </c>
      <c r="AC1" s="944"/>
      <c r="AD1" s="945"/>
      <c r="AE1" s="73" t="s">
        <v>318</v>
      </c>
      <c r="AG1" s="941" t="s">
        <v>319</v>
      </c>
      <c r="AH1" s="942"/>
      <c r="AI1" s="178"/>
      <c r="AJ1" s="943" t="s">
        <v>327</v>
      </c>
      <c r="AK1" s="944"/>
      <c r="AL1" s="945"/>
      <c r="AM1" s="73" t="s">
        <v>320</v>
      </c>
      <c r="AN1" s="181"/>
      <c r="AO1" s="941" t="s">
        <v>323</v>
      </c>
      <c r="AP1" s="942"/>
      <c r="AQ1" s="178"/>
      <c r="AR1" s="943" t="s">
        <v>327</v>
      </c>
      <c r="AS1" s="944"/>
      <c r="AT1" s="945"/>
      <c r="AU1" s="73" t="s">
        <v>324</v>
      </c>
      <c r="AW1" s="955" t="s">
        <v>331</v>
      </c>
      <c r="AX1" s="956"/>
      <c r="AY1" s="956"/>
      <c r="AZ1" s="956"/>
      <c r="BA1" s="73"/>
      <c r="BB1" s="74"/>
      <c r="BE1" s="955"/>
      <c r="BF1" s="956"/>
      <c r="BG1" s="956"/>
      <c r="BH1" s="956"/>
      <c r="BI1" s="73"/>
      <c r="BJ1" s="74"/>
      <c r="BM1" s="955"/>
      <c r="BN1" s="956"/>
      <c r="BO1" s="956"/>
      <c r="BP1" s="956"/>
      <c r="BQ1" s="73"/>
      <c r="BR1" s="74"/>
    </row>
    <row r="2" spans="1:72" ht="14.25" thickBot="1">
      <c r="A2" s="953"/>
      <c r="B2" s="954"/>
      <c r="C2" s="954"/>
      <c r="D2" s="954"/>
      <c r="E2" s="954"/>
      <c r="F2" s="954"/>
      <c r="G2" s="954"/>
      <c r="I2" s="946" t="s">
        <v>311</v>
      </c>
      <c r="J2" s="947"/>
      <c r="K2" s="179"/>
      <c r="L2" s="948"/>
      <c r="M2" s="949"/>
      <c r="N2" s="950"/>
      <c r="O2" s="180" t="s">
        <v>312</v>
      </c>
      <c r="Q2" s="946" t="s">
        <v>311</v>
      </c>
      <c r="R2" s="947"/>
      <c r="S2" s="179"/>
      <c r="T2" s="948"/>
      <c r="U2" s="949"/>
      <c r="V2" s="950"/>
      <c r="W2" s="180" t="s">
        <v>315</v>
      </c>
      <c r="X2" s="182"/>
      <c r="Y2" s="946" t="s">
        <v>311</v>
      </c>
      <c r="Z2" s="947"/>
      <c r="AA2" s="179"/>
      <c r="AB2" s="948"/>
      <c r="AC2" s="949"/>
      <c r="AD2" s="950"/>
      <c r="AE2" s="180" t="s">
        <v>315</v>
      </c>
      <c r="AG2" s="946" t="s">
        <v>321</v>
      </c>
      <c r="AH2" s="947"/>
      <c r="AI2" s="179"/>
      <c r="AJ2" s="948"/>
      <c r="AK2" s="949"/>
      <c r="AL2" s="950"/>
      <c r="AM2" s="180" t="s">
        <v>322</v>
      </c>
      <c r="AN2" s="182"/>
      <c r="AO2" s="946" t="s">
        <v>325</v>
      </c>
      <c r="AP2" s="947"/>
      <c r="AQ2" s="179"/>
      <c r="AR2" s="948"/>
      <c r="AS2" s="949"/>
      <c r="AT2" s="950"/>
      <c r="AU2" s="180" t="s">
        <v>326</v>
      </c>
      <c r="AW2" s="957"/>
      <c r="AX2" s="958"/>
      <c r="AY2" s="958"/>
      <c r="AZ2" s="958"/>
      <c r="BA2" s="75"/>
      <c r="BB2" s="76"/>
      <c r="BE2" s="957"/>
      <c r="BF2" s="958"/>
      <c r="BG2" s="958"/>
      <c r="BH2" s="958"/>
      <c r="BI2" s="75"/>
      <c r="BJ2" s="76"/>
      <c r="BM2" s="957"/>
      <c r="BN2" s="958"/>
      <c r="BO2" s="958"/>
      <c r="BP2" s="958"/>
      <c r="BQ2" s="75"/>
      <c r="BR2" s="76"/>
    </row>
    <row r="3" spans="1:72" s="89" customFormat="1">
      <c r="A3" s="90"/>
      <c r="B3" s="77"/>
      <c r="C3" s="77"/>
      <c r="D3" s="91"/>
      <c r="E3" s="92" t="s">
        <v>233</v>
      </c>
      <c r="F3" s="92"/>
      <c r="G3" s="93"/>
      <c r="H3" s="93"/>
      <c r="I3" s="90"/>
      <c r="J3" s="77"/>
      <c r="K3" s="77"/>
      <c r="L3" s="91"/>
      <c r="M3" s="92" t="s">
        <v>233</v>
      </c>
      <c r="N3" s="92"/>
      <c r="O3" s="93"/>
      <c r="P3" s="93"/>
      <c r="Q3" s="90"/>
      <c r="R3" s="77"/>
      <c r="S3" s="77"/>
      <c r="T3" s="91"/>
      <c r="U3" s="92" t="s">
        <v>244</v>
      </c>
      <c r="V3" s="92"/>
      <c r="W3" s="93"/>
      <c r="X3" s="93"/>
      <c r="Y3" s="90"/>
      <c r="Z3" s="77"/>
      <c r="AA3" s="77"/>
      <c r="AB3" s="91"/>
      <c r="AC3" s="92" t="s">
        <v>244</v>
      </c>
      <c r="AD3" s="92"/>
      <c r="AE3" s="93"/>
      <c r="AF3" s="93"/>
      <c r="AG3" s="90"/>
      <c r="AH3" s="77"/>
      <c r="AI3" s="77"/>
      <c r="AJ3" s="91"/>
      <c r="AK3" s="92" t="s">
        <v>244</v>
      </c>
      <c r="AL3" s="92"/>
      <c r="AM3" s="93"/>
      <c r="AN3" s="93"/>
      <c r="AO3" s="90"/>
      <c r="AP3" s="77"/>
      <c r="AQ3" s="77"/>
      <c r="AR3" s="91"/>
      <c r="AS3" s="92" t="s">
        <v>244</v>
      </c>
      <c r="AT3" s="92"/>
      <c r="AU3" s="93"/>
      <c r="AV3" s="93"/>
      <c r="AW3" s="90"/>
      <c r="AX3" s="77"/>
      <c r="AY3" s="77"/>
      <c r="AZ3" s="91"/>
      <c r="BA3" s="92" t="s">
        <v>244</v>
      </c>
      <c r="BB3" s="92"/>
      <c r="BC3" s="93"/>
      <c r="BD3" s="93"/>
      <c r="BE3" s="90"/>
      <c r="BF3" s="77"/>
      <c r="BG3" s="77"/>
      <c r="BH3" s="91"/>
      <c r="BI3" s="92" t="s">
        <v>244</v>
      </c>
      <c r="BJ3" s="92"/>
      <c r="BK3" s="93"/>
      <c r="BL3" s="93"/>
      <c r="BM3" s="90"/>
      <c r="BN3" s="77"/>
      <c r="BO3" s="77"/>
      <c r="BP3" s="91"/>
      <c r="BQ3" s="92" t="s">
        <v>244</v>
      </c>
      <c r="BR3" s="92"/>
      <c r="BS3" s="93"/>
      <c r="BT3" s="93"/>
    </row>
    <row r="4" spans="1:72" s="89" customFormat="1">
      <c r="A4" s="94" t="s">
        <v>234</v>
      </c>
      <c r="B4" s="69" t="s">
        <v>235</v>
      </c>
      <c r="C4" s="69" t="s">
        <v>236</v>
      </c>
      <c r="D4" s="95" t="s">
        <v>237</v>
      </c>
      <c r="E4" s="95" t="s">
        <v>238</v>
      </c>
      <c r="F4" s="96" t="s">
        <v>239</v>
      </c>
      <c r="G4" s="97" t="s">
        <v>240</v>
      </c>
      <c r="H4" s="98" t="s">
        <v>241</v>
      </c>
      <c r="I4" s="94" t="s">
        <v>234</v>
      </c>
      <c r="J4" s="69" t="s">
        <v>235</v>
      </c>
      <c r="K4" s="69" t="s">
        <v>236</v>
      </c>
      <c r="L4" s="95" t="s">
        <v>237</v>
      </c>
      <c r="M4" s="95" t="s">
        <v>238</v>
      </c>
      <c r="N4" s="96" t="s">
        <v>239</v>
      </c>
      <c r="O4" s="97" t="s">
        <v>240</v>
      </c>
      <c r="P4" s="98" t="s">
        <v>241</v>
      </c>
      <c r="Q4" s="94" t="s">
        <v>249</v>
      </c>
      <c r="R4" s="69" t="s">
        <v>250</v>
      </c>
      <c r="S4" s="69" t="s">
        <v>251</v>
      </c>
      <c r="T4" s="95" t="s">
        <v>237</v>
      </c>
      <c r="U4" s="95" t="s">
        <v>238</v>
      </c>
      <c r="V4" s="96" t="s">
        <v>239</v>
      </c>
      <c r="W4" s="97" t="s">
        <v>240</v>
      </c>
      <c r="X4" s="98" t="s">
        <v>241</v>
      </c>
      <c r="Y4" s="94" t="s">
        <v>234</v>
      </c>
      <c r="Z4" s="69" t="s">
        <v>235</v>
      </c>
      <c r="AA4" s="69" t="s">
        <v>236</v>
      </c>
      <c r="AB4" s="95" t="s">
        <v>248</v>
      </c>
      <c r="AC4" s="95" t="s">
        <v>245</v>
      </c>
      <c r="AD4" s="96" t="s">
        <v>239</v>
      </c>
      <c r="AE4" s="97" t="s">
        <v>246</v>
      </c>
      <c r="AF4" s="98" t="s">
        <v>247</v>
      </c>
      <c r="AG4" s="94" t="s">
        <v>234</v>
      </c>
      <c r="AH4" s="69" t="s">
        <v>235</v>
      </c>
      <c r="AI4" s="69" t="s">
        <v>236</v>
      </c>
      <c r="AJ4" s="95" t="s">
        <v>248</v>
      </c>
      <c r="AK4" s="95" t="s">
        <v>245</v>
      </c>
      <c r="AL4" s="96" t="s">
        <v>239</v>
      </c>
      <c r="AM4" s="97" t="s">
        <v>246</v>
      </c>
      <c r="AN4" s="98" t="s">
        <v>247</v>
      </c>
      <c r="AO4" s="94" t="s">
        <v>234</v>
      </c>
      <c r="AP4" s="69" t="s">
        <v>235</v>
      </c>
      <c r="AQ4" s="69" t="s">
        <v>236</v>
      </c>
      <c r="AR4" s="95" t="s">
        <v>248</v>
      </c>
      <c r="AS4" s="95" t="s">
        <v>245</v>
      </c>
      <c r="AT4" s="96" t="s">
        <v>239</v>
      </c>
      <c r="AU4" s="97" t="s">
        <v>246</v>
      </c>
      <c r="AV4" s="98" t="s">
        <v>247</v>
      </c>
      <c r="AW4" s="94" t="s">
        <v>234</v>
      </c>
      <c r="AX4" s="69" t="s">
        <v>235</v>
      </c>
      <c r="AY4" s="69" t="s">
        <v>236</v>
      </c>
      <c r="AZ4" s="95" t="s">
        <v>248</v>
      </c>
      <c r="BA4" s="95" t="s">
        <v>245</v>
      </c>
      <c r="BB4" s="96" t="s">
        <v>239</v>
      </c>
      <c r="BC4" s="97" t="s">
        <v>240</v>
      </c>
      <c r="BD4" s="98" t="s">
        <v>247</v>
      </c>
      <c r="BE4" s="94" t="s">
        <v>234</v>
      </c>
      <c r="BF4" s="69" t="s">
        <v>235</v>
      </c>
      <c r="BG4" s="69" t="s">
        <v>236</v>
      </c>
      <c r="BH4" s="95" t="s">
        <v>248</v>
      </c>
      <c r="BI4" s="95" t="s">
        <v>245</v>
      </c>
      <c r="BJ4" s="96" t="s">
        <v>239</v>
      </c>
      <c r="BK4" s="97" t="s">
        <v>240</v>
      </c>
      <c r="BL4" s="98" t="s">
        <v>247</v>
      </c>
      <c r="BM4" s="94" t="s">
        <v>234</v>
      </c>
      <c r="BN4" s="69" t="s">
        <v>235</v>
      </c>
      <c r="BO4" s="69" t="s">
        <v>236</v>
      </c>
      <c r="BP4" s="95" t="s">
        <v>248</v>
      </c>
      <c r="BQ4" s="95" t="s">
        <v>245</v>
      </c>
      <c r="BR4" s="96" t="s">
        <v>239</v>
      </c>
      <c r="BS4" s="97" t="s">
        <v>240</v>
      </c>
      <c r="BT4" s="98" t="s">
        <v>247</v>
      </c>
    </row>
    <row r="5" spans="1:72">
      <c r="A5" s="78">
        <v>1</v>
      </c>
      <c r="B5" s="70">
        <v>40688</v>
      </c>
      <c r="D5" s="99">
        <f>L5+T5+AB5+AJ5+AR5+AZ5+BH5+BP5</f>
        <v>754086</v>
      </c>
      <c r="E5" s="99">
        <f>M5+U5+AC5+AK5+AS5+BA5+BI5+BQ5</f>
        <v>148858</v>
      </c>
      <c r="F5" s="99">
        <f>N5+V5+AD5+AL5</f>
        <v>105</v>
      </c>
      <c r="G5" s="100">
        <f>O5+W5+AE5+AM5</f>
        <v>663043</v>
      </c>
      <c r="H5" s="100">
        <f>P5+X5+AF5+AN5</f>
        <v>108483414</v>
      </c>
      <c r="I5" s="78">
        <v>1</v>
      </c>
      <c r="J5" s="70">
        <v>40688</v>
      </c>
      <c r="K5" s="71"/>
      <c r="L5" s="71">
        <v>241606</v>
      </c>
      <c r="M5" s="71">
        <v>28541</v>
      </c>
      <c r="N5" s="71">
        <v>25</v>
      </c>
      <c r="O5" s="71">
        <f t="shared" ref="O5:O36" si="0">L5+M5</f>
        <v>270147</v>
      </c>
      <c r="P5" s="71">
        <v>14252394</v>
      </c>
      <c r="Q5" s="78"/>
      <c r="R5" s="70">
        <v>40688</v>
      </c>
      <c r="S5" s="71">
        <f t="shared" ref="S5:S36" si="1">W5+AB5</f>
        <v>307293</v>
      </c>
      <c r="T5" s="71">
        <v>140111</v>
      </c>
      <c r="U5" s="71">
        <v>15313</v>
      </c>
      <c r="V5" s="71">
        <v>25</v>
      </c>
      <c r="W5" s="71">
        <f t="shared" ref="W5:W36" si="2">T5+U5</f>
        <v>155424</v>
      </c>
      <c r="X5" s="71">
        <v>11626889</v>
      </c>
      <c r="Y5" s="83">
        <v>1</v>
      </c>
      <c r="Z5" s="70">
        <v>40688</v>
      </c>
      <c r="AA5" s="71">
        <f t="shared" ref="AA5:AA36" si="3">AE5+AJ5</f>
        <v>171308</v>
      </c>
      <c r="AB5" s="71">
        <v>151869</v>
      </c>
      <c r="AC5" s="71">
        <v>19439</v>
      </c>
      <c r="AD5" s="71">
        <v>25</v>
      </c>
      <c r="AE5" s="71">
        <f t="shared" ref="AE5:AE36" si="4">AB5+AC5</f>
        <v>171308</v>
      </c>
      <c r="AF5" s="71">
        <v>12604131</v>
      </c>
      <c r="AG5" s="78"/>
      <c r="AH5" s="70">
        <v>40673</v>
      </c>
      <c r="AI5" s="72">
        <f t="shared" ref="AI5:AI36" si="5">AM5+AR5</f>
        <v>286664</v>
      </c>
      <c r="AJ5" s="72">
        <v>0</v>
      </c>
      <c r="AK5" s="72">
        <v>66164</v>
      </c>
      <c r="AL5" s="72">
        <v>30</v>
      </c>
      <c r="AM5" s="72">
        <f t="shared" ref="AM5:AM36" si="6">AJ5+AK5</f>
        <v>66164</v>
      </c>
      <c r="AN5" s="72">
        <v>70000000</v>
      </c>
      <c r="AO5" s="78"/>
      <c r="AP5" s="70">
        <v>40694</v>
      </c>
      <c r="AQ5" s="72">
        <f t="shared" ref="AQ5:AQ36" si="7">AU5+AZ5</f>
        <v>239901</v>
      </c>
      <c r="AR5" s="72">
        <v>220500</v>
      </c>
      <c r="AS5" s="72">
        <v>19401</v>
      </c>
      <c r="AT5" s="72">
        <v>31</v>
      </c>
      <c r="AU5" s="72">
        <f t="shared" ref="AU5:AU36" si="8">AR5+AS5</f>
        <v>239901</v>
      </c>
      <c r="AV5" s="72">
        <v>12127500</v>
      </c>
      <c r="AW5" s="78">
        <v>1</v>
      </c>
      <c r="AX5" s="70">
        <v>40688</v>
      </c>
      <c r="AY5" s="79"/>
      <c r="AZ5" s="79"/>
      <c r="BA5" s="79"/>
      <c r="BB5" s="79"/>
      <c r="BC5" s="80"/>
      <c r="BD5" s="80">
        <v>98000000</v>
      </c>
      <c r="BE5" s="78"/>
      <c r="BF5" s="70"/>
      <c r="BG5" s="79"/>
      <c r="BH5" s="79"/>
      <c r="BI5" s="79"/>
      <c r="BJ5" s="79"/>
      <c r="BK5" s="80"/>
      <c r="BL5" s="80"/>
      <c r="BM5" s="78"/>
      <c r="BN5" s="70"/>
      <c r="BO5" s="79"/>
      <c r="BP5" s="79"/>
      <c r="BQ5" s="79"/>
      <c r="BR5" s="79"/>
      <c r="BS5" s="80"/>
      <c r="BT5" s="80"/>
    </row>
    <row r="6" spans="1:72">
      <c r="A6" s="78">
        <v>2</v>
      </c>
      <c r="B6" s="70">
        <v>40719</v>
      </c>
      <c r="C6" s="72"/>
      <c r="D6" s="99">
        <f t="shared" ref="D6:D14" si="9">L6+T6+AB6+AJ6+AR6+AZ6+BH6+BP6</f>
        <v>754006</v>
      </c>
      <c r="E6" s="99">
        <f t="shared" ref="E6:E14" si="10">M6+U6+AC6+AK6+AS6+BA6+BI6+BQ6</f>
        <v>164190</v>
      </c>
      <c r="F6" s="99">
        <f t="shared" ref="F6:F69" si="11">N6+V6+AD6+AL6</f>
        <v>124</v>
      </c>
      <c r="G6" s="100">
        <f t="shared" ref="G6:G69" si="12">O6+W6+AE6+AM6</f>
        <v>679256</v>
      </c>
      <c r="H6" s="100">
        <f t="shared" ref="H6:H69" si="13">P6+X6+AF6+AN6</f>
        <v>107949908</v>
      </c>
      <c r="I6" s="78">
        <v>2</v>
      </c>
      <c r="J6" s="70">
        <v>40719</v>
      </c>
      <c r="K6" s="72">
        <f t="shared" ref="K6:K37" si="14">O6+T6</f>
        <v>416450</v>
      </c>
      <c r="L6" s="72">
        <v>241566</v>
      </c>
      <c r="M6" s="72">
        <v>34801</v>
      </c>
      <c r="N6" s="72">
        <v>31</v>
      </c>
      <c r="O6" s="72">
        <f t="shared" si="0"/>
        <v>276367</v>
      </c>
      <c r="P6" s="72">
        <v>14010828</v>
      </c>
      <c r="Q6" s="78"/>
      <c r="R6" s="70">
        <v>40719</v>
      </c>
      <c r="S6" s="72">
        <f t="shared" si="1"/>
        <v>310702</v>
      </c>
      <c r="T6" s="72">
        <v>140083</v>
      </c>
      <c r="U6" s="72">
        <v>18762</v>
      </c>
      <c r="V6" s="72">
        <v>31</v>
      </c>
      <c r="W6" s="72">
        <f t="shared" si="2"/>
        <v>158845</v>
      </c>
      <c r="X6" s="72">
        <v>11486806</v>
      </c>
      <c r="Y6" s="83">
        <v>2</v>
      </c>
      <c r="Z6" s="70">
        <v>40719</v>
      </c>
      <c r="AA6" s="72">
        <f t="shared" si="3"/>
        <v>175675</v>
      </c>
      <c r="AB6" s="72">
        <v>151857</v>
      </c>
      <c r="AC6" s="72">
        <v>23818</v>
      </c>
      <c r="AD6" s="72">
        <v>31</v>
      </c>
      <c r="AE6" s="72">
        <f t="shared" si="4"/>
        <v>175675</v>
      </c>
      <c r="AF6" s="72">
        <v>12452274</v>
      </c>
      <c r="AG6" s="78"/>
      <c r="AH6" s="70">
        <v>40704</v>
      </c>
      <c r="AI6" s="72">
        <f t="shared" si="5"/>
        <v>288869</v>
      </c>
      <c r="AJ6" s="72">
        <v>0</v>
      </c>
      <c r="AK6" s="72">
        <v>68369</v>
      </c>
      <c r="AL6" s="72">
        <v>31</v>
      </c>
      <c r="AM6" s="72">
        <f t="shared" si="6"/>
        <v>68369</v>
      </c>
      <c r="AN6" s="72">
        <v>70000000</v>
      </c>
      <c r="AO6" s="78"/>
      <c r="AP6" s="70">
        <v>40724</v>
      </c>
      <c r="AQ6" s="72">
        <f t="shared" si="7"/>
        <v>238940</v>
      </c>
      <c r="AR6" s="72">
        <v>220500</v>
      </c>
      <c r="AS6" s="72">
        <v>18440</v>
      </c>
      <c r="AT6" s="72">
        <v>30</v>
      </c>
      <c r="AU6" s="72">
        <f t="shared" si="8"/>
        <v>238940</v>
      </c>
      <c r="AV6" s="72">
        <v>11907000</v>
      </c>
      <c r="AW6" s="78">
        <v>2</v>
      </c>
      <c r="AX6" s="70">
        <v>40719</v>
      </c>
      <c r="AY6" s="72"/>
      <c r="AZ6" s="72"/>
      <c r="BA6" s="72"/>
      <c r="BB6" s="72"/>
      <c r="BC6" s="81"/>
      <c r="BD6" s="81"/>
      <c r="BE6" s="78"/>
      <c r="BF6" s="70"/>
      <c r="BG6" s="72"/>
      <c r="BH6" s="72"/>
      <c r="BI6" s="72"/>
      <c r="BJ6" s="72"/>
      <c r="BK6" s="81"/>
      <c r="BL6" s="81"/>
      <c r="BM6" s="78"/>
      <c r="BN6" s="70"/>
      <c r="BO6" s="72"/>
      <c r="BP6" s="72"/>
      <c r="BQ6" s="72"/>
      <c r="BR6" s="72"/>
      <c r="BS6" s="81"/>
      <c r="BT6" s="81"/>
    </row>
    <row r="7" spans="1:72">
      <c r="A7" s="78">
        <v>3</v>
      </c>
      <c r="B7" s="70">
        <v>40749</v>
      </c>
      <c r="C7" s="72"/>
      <c r="D7" s="99">
        <f t="shared" si="9"/>
        <v>754006</v>
      </c>
      <c r="E7" s="99">
        <f t="shared" si="10"/>
        <v>158689</v>
      </c>
      <c r="F7" s="99">
        <f t="shared" si="11"/>
        <v>120</v>
      </c>
      <c r="G7" s="100">
        <f t="shared" si="12"/>
        <v>673487</v>
      </c>
      <c r="H7" s="100">
        <f t="shared" si="13"/>
        <v>107416402</v>
      </c>
      <c r="I7" s="78">
        <v>3</v>
      </c>
      <c r="J7" s="70">
        <v>40749</v>
      </c>
      <c r="K7" s="72">
        <f t="shared" si="14"/>
        <v>414756</v>
      </c>
      <c r="L7" s="72">
        <v>241566</v>
      </c>
      <c r="M7" s="72">
        <v>33107</v>
      </c>
      <c r="N7" s="72">
        <v>30</v>
      </c>
      <c r="O7" s="72">
        <f t="shared" si="0"/>
        <v>274673</v>
      </c>
      <c r="P7" s="72">
        <v>13769262</v>
      </c>
      <c r="Q7" s="78"/>
      <c r="R7" s="70">
        <v>40749</v>
      </c>
      <c r="S7" s="72">
        <f t="shared" si="1"/>
        <v>309878</v>
      </c>
      <c r="T7" s="72">
        <v>140083</v>
      </c>
      <c r="U7" s="72">
        <v>17938</v>
      </c>
      <c r="V7" s="72">
        <v>30</v>
      </c>
      <c r="W7" s="72">
        <f t="shared" si="2"/>
        <v>158021</v>
      </c>
      <c r="X7" s="72">
        <v>11346723</v>
      </c>
      <c r="Y7" s="83">
        <v>3</v>
      </c>
      <c r="Z7" s="70">
        <v>40749</v>
      </c>
      <c r="AA7" s="72">
        <f t="shared" si="3"/>
        <v>174629</v>
      </c>
      <c r="AB7" s="72">
        <v>151857</v>
      </c>
      <c r="AC7" s="72">
        <v>22772</v>
      </c>
      <c r="AD7" s="72">
        <v>30</v>
      </c>
      <c r="AE7" s="72">
        <f t="shared" si="4"/>
        <v>174629</v>
      </c>
      <c r="AF7" s="72">
        <v>12300417</v>
      </c>
      <c r="AG7" s="78"/>
      <c r="AH7" s="70">
        <v>40734</v>
      </c>
      <c r="AI7" s="72">
        <f t="shared" si="5"/>
        <v>286664</v>
      </c>
      <c r="AJ7" s="72">
        <v>0</v>
      </c>
      <c r="AK7" s="72">
        <v>66164</v>
      </c>
      <c r="AL7" s="72">
        <v>30</v>
      </c>
      <c r="AM7" s="72">
        <f t="shared" si="6"/>
        <v>66164</v>
      </c>
      <c r="AN7" s="72">
        <v>70000000</v>
      </c>
      <c r="AO7" s="78"/>
      <c r="AP7" s="70">
        <v>40755</v>
      </c>
      <c r="AQ7" s="72">
        <f t="shared" si="7"/>
        <v>239208</v>
      </c>
      <c r="AR7" s="72">
        <v>220500</v>
      </c>
      <c r="AS7" s="72">
        <v>18708</v>
      </c>
      <c r="AT7" s="72">
        <v>31</v>
      </c>
      <c r="AU7" s="72">
        <f t="shared" si="8"/>
        <v>239208</v>
      </c>
      <c r="AV7" s="72">
        <v>11686500</v>
      </c>
      <c r="AW7" s="78">
        <v>3</v>
      </c>
      <c r="AX7" s="70">
        <v>40749</v>
      </c>
      <c r="AY7" s="72"/>
      <c r="AZ7" s="72"/>
      <c r="BA7" s="72"/>
      <c r="BB7" s="72"/>
      <c r="BC7" s="81"/>
      <c r="BD7" s="81"/>
      <c r="BE7" s="78"/>
      <c r="BF7" s="70"/>
      <c r="BG7" s="72"/>
      <c r="BH7" s="72"/>
      <c r="BI7" s="72"/>
      <c r="BJ7" s="72"/>
      <c r="BK7" s="81"/>
      <c r="BL7" s="81"/>
      <c r="BM7" s="78"/>
      <c r="BN7" s="70"/>
      <c r="BO7" s="72"/>
      <c r="BP7" s="72"/>
      <c r="BQ7" s="72"/>
      <c r="BR7" s="72"/>
      <c r="BS7" s="81"/>
      <c r="BT7" s="81"/>
    </row>
    <row r="8" spans="1:72">
      <c r="A8" s="78">
        <v>4</v>
      </c>
      <c r="B8" s="70">
        <v>40780</v>
      </c>
      <c r="C8" s="72"/>
      <c r="D8" s="99">
        <f t="shared" si="9"/>
        <v>754006</v>
      </c>
      <c r="E8" s="99">
        <f t="shared" si="10"/>
        <v>161906</v>
      </c>
      <c r="F8" s="99">
        <f t="shared" si="11"/>
        <v>124</v>
      </c>
      <c r="G8" s="100">
        <f t="shared" si="12"/>
        <v>677050</v>
      </c>
      <c r="H8" s="100">
        <f t="shared" si="13"/>
        <v>106882896</v>
      </c>
      <c r="I8" s="78">
        <v>4</v>
      </c>
      <c r="J8" s="70">
        <v>40780</v>
      </c>
      <c r="K8" s="72">
        <f t="shared" si="14"/>
        <v>415270</v>
      </c>
      <c r="L8" s="72">
        <v>241566</v>
      </c>
      <c r="M8" s="72">
        <v>33621</v>
      </c>
      <c r="N8" s="72">
        <v>31</v>
      </c>
      <c r="O8" s="72">
        <f t="shared" si="0"/>
        <v>275187</v>
      </c>
      <c r="P8" s="72">
        <v>13527696</v>
      </c>
      <c r="Q8" s="78"/>
      <c r="R8" s="70">
        <v>40780</v>
      </c>
      <c r="S8" s="72">
        <f t="shared" si="1"/>
        <v>310250</v>
      </c>
      <c r="T8" s="72">
        <v>140083</v>
      </c>
      <c r="U8" s="72">
        <v>18310</v>
      </c>
      <c r="V8" s="72">
        <v>31</v>
      </c>
      <c r="W8" s="72">
        <f t="shared" si="2"/>
        <v>158393</v>
      </c>
      <c r="X8" s="72">
        <v>11206640</v>
      </c>
      <c r="Y8" s="83">
        <v>4</v>
      </c>
      <c r="Z8" s="70">
        <v>40780</v>
      </c>
      <c r="AA8" s="72">
        <f t="shared" si="3"/>
        <v>175101</v>
      </c>
      <c r="AB8" s="72">
        <v>151857</v>
      </c>
      <c r="AC8" s="72">
        <v>23244</v>
      </c>
      <c r="AD8" s="72">
        <v>31</v>
      </c>
      <c r="AE8" s="72">
        <f t="shared" si="4"/>
        <v>175101</v>
      </c>
      <c r="AF8" s="72">
        <v>12148560</v>
      </c>
      <c r="AG8" s="78"/>
      <c r="AH8" s="70">
        <v>40765</v>
      </c>
      <c r="AI8" s="72">
        <f t="shared" si="5"/>
        <v>288869</v>
      </c>
      <c r="AJ8" s="72">
        <v>0</v>
      </c>
      <c r="AK8" s="72">
        <v>68369</v>
      </c>
      <c r="AL8" s="72">
        <v>31</v>
      </c>
      <c r="AM8" s="72">
        <f t="shared" si="6"/>
        <v>68369</v>
      </c>
      <c r="AN8" s="72">
        <v>70000000</v>
      </c>
      <c r="AO8" s="78"/>
      <c r="AP8" s="70">
        <v>40786</v>
      </c>
      <c r="AQ8" s="72">
        <f t="shared" si="7"/>
        <v>238862</v>
      </c>
      <c r="AR8" s="72">
        <v>220500</v>
      </c>
      <c r="AS8" s="72">
        <v>18362</v>
      </c>
      <c r="AT8" s="72">
        <v>31</v>
      </c>
      <c r="AU8" s="72">
        <f t="shared" si="8"/>
        <v>238862</v>
      </c>
      <c r="AV8" s="72">
        <v>11466000</v>
      </c>
      <c r="AW8" s="78">
        <v>4</v>
      </c>
      <c r="AX8" s="70">
        <v>40780</v>
      </c>
      <c r="AY8" s="72"/>
      <c r="AZ8" s="72"/>
      <c r="BA8" s="72"/>
      <c r="BB8" s="72"/>
      <c r="BC8" s="81"/>
      <c r="BD8" s="81"/>
      <c r="BE8" s="78"/>
      <c r="BF8" s="70"/>
      <c r="BG8" s="72"/>
      <c r="BH8" s="72"/>
      <c r="BI8" s="72"/>
      <c r="BJ8" s="72"/>
      <c r="BK8" s="81"/>
      <c r="BL8" s="81"/>
      <c r="BM8" s="78"/>
      <c r="BN8" s="70"/>
      <c r="BO8" s="72"/>
      <c r="BP8" s="72"/>
      <c r="BQ8" s="72"/>
      <c r="BR8" s="72"/>
      <c r="BS8" s="81"/>
      <c r="BT8" s="81"/>
    </row>
    <row r="9" spans="1:72">
      <c r="A9" s="78">
        <v>5</v>
      </c>
      <c r="B9" s="70">
        <v>40811</v>
      </c>
      <c r="C9" s="72"/>
      <c r="D9" s="99">
        <f t="shared" si="9"/>
        <v>754006</v>
      </c>
      <c r="E9" s="99">
        <f t="shared" si="10"/>
        <v>3099875</v>
      </c>
      <c r="F9" s="99">
        <f t="shared" si="11"/>
        <v>124</v>
      </c>
      <c r="G9" s="100">
        <f t="shared" si="12"/>
        <v>675947</v>
      </c>
      <c r="H9" s="100">
        <f t="shared" si="13"/>
        <v>106349390</v>
      </c>
      <c r="I9" s="78">
        <v>5</v>
      </c>
      <c r="J9" s="70">
        <v>40811</v>
      </c>
      <c r="K9" s="72">
        <f t="shared" si="14"/>
        <v>414680</v>
      </c>
      <c r="L9" s="72">
        <v>241566</v>
      </c>
      <c r="M9" s="72">
        <v>33031</v>
      </c>
      <c r="N9" s="72">
        <v>31</v>
      </c>
      <c r="O9" s="72">
        <f t="shared" si="0"/>
        <v>274597</v>
      </c>
      <c r="P9" s="72">
        <v>13286130</v>
      </c>
      <c r="Q9" s="78"/>
      <c r="R9" s="70">
        <v>40811</v>
      </c>
      <c r="S9" s="72">
        <f t="shared" si="1"/>
        <v>310024</v>
      </c>
      <c r="T9" s="72">
        <v>140083</v>
      </c>
      <c r="U9" s="72">
        <v>18084</v>
      </c>
      <c r="V9" s="72">
        <v>31</v>
      </c>
      <c r="W9" s="72">
        <f t="shared" si="2"/>
        <v>158167</v>
      </c>
      <c r="X9" s="72">
        <v>11066557</v>
      </c>
      <c r="Y9" s="83">
        <v>5</v>
      </c>
      <c r="Z9" s="70">
        <v>40811</v>
      </c>
      <c r="AA9" s="72">
        <f t="shared" si="3"/>
        <v>174814</v>
      </c>
      <c r="AB9" s="72">
        <v>151857</v>
      </c>
      <c r="AC9" s="72">
        <v>22957</v>
      </c>
      <c r="AD9" s="72">
        <v>31</v>
      </c>
      <c r="AE9" s="72">
        <f t="shared" si="4"/>
        <v>174814</v>
      </c>
      <c r="AF9" s="72">
        <v>11996703</v>
      </c>
      <c r="AG9" s="78"/>
      <c r="AH9" s="70">
        <v>40796</v>
      </c>
      <c r="AI9" s="72">
        <f t="shared" si="5"/>
        <v>288869</v>
      </c>
      <c r="AJ9" s="72">
        <v>0</v>
      </c>
      <c r="AK9" s="72">
        <v>68369</v>
      </c>
      <c r="AL9" s="72">
        <v>31</v>
      </c>
      <c r="AM9" s="72">
        <f t="shared" si="6"/>
        <v>68369</v>
      </c>
      <c r="AN9" s="72">
        <v>70000000</v>
      </c>
      <c r="AO9" s="78"/>
      <c r="AP9" s="70">
        <v>40816</v>
      </c>
      <c r="AQ9" s="72">
        <f t="shared" si="7"/>
        <v>237934</v>
      </c>
      <c r="AR9" s="72">
        <v>220500</v>
      </c>
      <c r="AS9" s="72">
        <v>17434</v>
      </c>
      <c r="AT9" s="72">
        <v>30</v>
      </c>
      <c r="AU9" s="72">
        <f t="shared" si="8"/>
        <v>237934</v>
      </c>
      <c r="AV9" s="72">
        <v>11245500</v>
      </c>
      <c r="AW9" s="78">
        <v>5</v>
      </c>
      <c r="AX9" s="70">
        <v>40811</v>
      </c>
      <c r="AY9" s="72"/>
      <c r="AZ9" s="72"/>
      <c r="BA9" s="72">
        <v>2940000</v>
      </c>
      <c r="BB9" s="72"/>
      <c r="BC9" s="81"/>
      <c r="BD9" s="81"/>
      <c r="BE9" s="78"/>
      <c r="BF9" s="70"/>
      <c r="BG9" s="72"/>
      <c r="BH9" s="72"/>
      <c r="BI9" s="72"/>
      <c r="BJ9" s="72"/>
      <c r="BK9" s="81"/>
      <c r="BL9" s="81"/>
      <c r="BM9" s="78"/>
      <c r="BN9" s="70"/>
      <c r="BO9" s="72"/>
      <c r="BP9" s="72"/>
      <c r="BQ9" s="72"/>
      <c r="BR9" s="72"/>
      <c r="BS9" s="81"/>
      <c r="BT9" s="81"/>
    </row>
    <row r="10" spans="1:72">
      <c r="A10" s="78">
        <v>6</v>
      </c>
      <c r="B10" s="70">
        <v>40841</v>
      </c>
      <c r="C10" s="72"/>
      <c r="D10" s="99">
        <f t="shared" si="9"/>
        <v>754006</v>
      </c>
      <c r="E10" s="99">
        <f t="shared" si="10"/>
        <v>154448</v>
      </c>
      <c r="F10" s="99">
        <f t="shared" si="11"/>
        <v>120</v>
      </c>
      <c r="G10" s="100">
        <f t="shared" si="12"/>
        <v>670285</v>
      </c>
      <c r="H10" s="100">
        <f t="shared" si="13"/>
        <v>105815884</v>
      </c>
      <c r="I10" s="78">
        <v>6</v>
      </c>
      <c r="J10" s="70">
        <v>40841</v>
      </c>
      <c r="K10" s="72">
        <f t="shared" si="14"/>
        <v>413044</v>
      </c>
      <c r="L10" s="72">
        <v>241566</v>
      </c>
      <c r="M10" s="72">
        <v>31395</v>
      </c>
      <c r="N10" s="72">
        <v>30</v>
      </c>
      <c r="O10" s="72">
        <f t="shared" si="0"/>
        <v>272961</v>
      </c>
      <c r="P10" s="72">
        <v>13044564</v>
      </c>
      <c r="Q10" s="78"/>
      <c r="R10" s="70">
        <v>40841</v>
      </c>
      <c r="S10" s="72">
        <f t="shared" si="1"/>
        <v>309221</v>
      </c>
      <c r="T10" s="72">
        <v>140083</v>
      </c>
      <c r="U10" s="72">
        <v>17281</v>
      </c>
      <c r="V10" s="72">
        <v>30</v>
      </c>
      <c r="W10" s="72">
        <f t="shared" si="2"/>
        <v>157364</v>
      </c>
      <c r="X10" s="72">
        <v>10926474</v>
      </c>
      <c r="Y10" s="83">
        <v>6</v>
      </c>
      <c r="Z10" s="70">
        <v>40841</v>
      </c>
      <c r="AA10" s="72">
        <f t="shared" si="3"/>
        <v>173796</v>
      </c>
      <c r="AB10" s="72">
        <v>151857</v>
      </c>
      <c r="AC10" s="72">
        <v>21939</v>
      </c>
      <c r="AD10" s="72">
        <v>30</v>
      </c>
      <c r="AE10" s="72">
        <f t="shared" si="4"/>
        <v>173796</v>
      </c>
      <c r="AF10" s="72">
        <v>11844846</v>
      </c>
      <c r="AG10" s="78"/>
      <c r="AH10" s="70">
        <v>40826</v>
      </c>
      <c r="AI10" s="72">
        <f t="shared" si="5"/>
        <v>286664</v>
      </c>
      <c r="AJ10" s="72">
        <v>0</v>
      </c>
      <c r="AK10" s="72">
        <v>66164</v>
      </c>
      <c r="AL10" s="72">
        <v>30</v>
      </c>
      <c r="AM10" s="72">
        <f t="shared" si="6"/>
        <v>66164</v>
      </c>
      <c r="AN10" s="72">
        <v>70000000</v>
      </c>
      <c r="AO10" s="78"/>
      <c r="AP10" s="70">
        <v>40847</v>
      </c>
      <c r="AQ10" s="72">
        <f t="shared" si="7"/>
        <v>238169</v>
      </c>
      <c r="AR10" s="72">
        <v>220500</v>
      </c>
      <c r="AS10" s="72">
        <v>17669</v>
      </c>
      <c r="AT10" s="72">
        <v>31</v>
      </c>
      <c r="AU10" s="72">
        <f t="shared" si="8"/>
        <v>238169</v>
      </c>
      <c r="AV10" s="72">
        <v>11025000</v>
      </c>
      <c r="AW10" s="78">
        <v>6</v>
      </c>
      <c r="AX10" s="70">
        <v>40841</v>
      </c>
      <c r="AY10" s="72"/>
      <c r="AZ10" s="72"/>
      <c r="BA10" s="72"/>
      <c r="BB10" s="72"/>
      <c r="BC10" s="81"/>
      <c r="BD10" s="81"/>
      <c r="BE10" s="78"/>
      <c r="BF10" s="70"/>
      <c r="BG10" s="72"/>
      <c r="BH10" s="72"/>
      <c r="BI10" s="72"/>
      <c r="BJ10" s="72"/>
      <c r="BK10" s="81"/>
      <c r="BL10" s="81"/>
      <c r="BM10" s="78"/>
      <c r="BN10" s="70"/>
      <c r="BO10" s="72"/>
      <c r="BP10" s="72"/>
      <c r="BQ10" s="72"/>
      <c r="BR10" s="72"/>
      <c r="BS10" s="81"/>
      <c r="BT10" s="81"/>
    </row>
    <row r="11" spans="1:72">
      <c r="A11" s="78">
        <v>7</v>
      </c>
      <c r="B11" s="70">
        <v>40872</v>
      </c>
      <c r="C11" s="72"/>
      <c r="D11" s="99">
        <f t="shared" si="9"/>
        <v>754006</v>
      </c>
      <c r="E11" s="99">
        <f t="shared" si="10"/>
        <v>156998</v>
      </c>
      <c r="F11" s="99">
        <f t="shared" si="11"/>
        <v>124</v>
      </c>
      <c r="G11" s="100">
        <f t="shared" si="12"/>
        <v>673740</v>
      </c>
      <c r="H11" s="100">
        <f t="shared" si="13"/>
        <v>105282378</v>
      </c>
      <c r="I11" s="78">
        <v>7</v>
      </c>
      <c r="J11" s="70">
        <v>40872</v>
      </c>
      <c r="K11" s="72">
        <f t="shared" si="14"/>
        <v>413500</v>
      </c>
      <c r="L11" s="72">
        <v>241566</v>
      </c>
      <c r="M11" s="72">
        <v>31851</v>
      </c>
      <c r="N11" s="72">
        <v>31</v>
      </c>
      <c r="O11" s="72">
        <f t="shared" si="0"/>
        <v>273417</v>
      </c>
      <c r="P11" s="72">
        <v>12802998</v>
      </c>
      <c r="Q11" s="78"/>
      <c r="R11" s="70">
        <v>40872</v>
      </c>
      <c r="S11" s="72">
        <f t="shared" si="1"/>
        <v>309571</v>
      </c>
      <c r="T11" s="72">
        <v>140083</v>
      </c>
      <c r="U11" s="72">
        <v>17631</v>
      </c>
      <c r="V11" s="72">
        <v>31</v>
      </c>
      <c r="W11" s="72">
        <f t="shared" si="2"/>
        <v>157714</v>
      </c>
      <c r="X11" s="72">
        <v>10786391</v>
      </c>
      <c r="Y11" s="83">
        <v>7</v>
      </c>
      <c r="Z11" s="70">
        <v>40872</v>
      </c>
      <c r="AA11" s="72">
        <f t="shared" si="3"/>
        <v>174240</v>
      </c>
      <c r="AB11" s="72">
        <v>151857</v>
      </c>
      <c r="AC11" s="72">
        <v>22383</v>
      </c>
      <c r="AD11" s="72">
        <v>31</v>
      </c>
      <c r="AE11" s="72">
        <f t="shared" si="4"/>
        <v>174240</v>
      </c>
      <c r="AF11" s="72">
        <v>11692989</v>
      </c>
      <c r="AG11" s="78"/>
      <c r="AH11" s="70">
        <v>40857</v>
      </c>
      <c r="AI11" s="72">
        <f t="shared" si="5"/>
        <v>288869</v>
      </c>
      <c r="AJ11" s="72">
        <v>0</v>
      </c>
      <c r="AK11" s="72">
        <v>68369</v>
      </c>
      <c r="AL11" s="72">
        <v>31</v>
      </c>
      <c r="AM11" s="72">
        <f t="shared" si="6"/>
        <v>68369</v>
      </c>
      <c r="AN11" s="72">
        <v>70000000</v>
      </c>
      <c r="AO11" s="78"/>
      <c r="AP11" s="70">
        <v>40877</v>
      </c>
      <c r="AQ11" s="72">
        <f t="shared" si="7"/>
        <v>237264</v>
      </c>
      <c r="AR11" s="72">
        <v>220500</v>
      </c>
      <c r="AS11" s="72">
        <v>16764</v>
      </c>
      <c r="AT11" s="72">
        <v>30</v>
      </c>
      <c r="AU11" s="72">
        <f t="shared" si="8"/>
        <v>237264</v>
      </c>
      <c r="AV11" s="72">
        <v>10804500</v>
      </c>
      <c r="AW11" s="78">
        <v>7</v>
      </c>
      <c r="AX11" s="70">
        <v>40872</v>
      </c>
      <c r="AY11" s="72"/>
      <c r="AZ11" s="72"/>
      <c r="BA11" s="72"/>
      <c r="BB11" s="72"/>
      <c r="BC11" s="81"/>
      <c r="BD11" s="81"/>
      <c r="BE11" s="78"/>
      <c r="BF11" s="70"/>
      <c r="BG11" s="72"/>
      <c r="BH11" s="72"/>
      <c r="BI11" s="72"/>
      <c r="BJ11" s="72"/>
      <c r="BK11" s="81"/>
      <c r="BL11" s="81"/>
      <c r="BM11" s="78"/>
      <c r="BN11" s="70"/>
      <c r="BO11" s="72"/>
      <c r="BP11" s="72"/>
      <c r="BQ11" s="72"/>
      <c r="BR11" s="72"/>
      <c r="BS11" s="81"/>
      <c r="BT11" s="81"/>
    </row>
    <row r="12" spans="1:72">
      <c r="A12" s="78">
        <v>8</v>
      </c>
      <c r="B12" s="70">
        <v>40902</v>
      </c>
      <c r="C12" s="72"/>
      <c r="D12" s="99">
        <f t="shared" si="9"/>
        <v>754006</v>
      </c>
      <c r="E12" s="99">
        <f t="shared" si="10"/>
        <v>151620</v>
      </c>
      <c r="F12" s="99">
        <f t="shared" si="11"/>
        <v>120</v>
      </c>
      <c r="G12" s="100">
        <f t="shared" si="12"/>
        <v>668150</v>
      </c>
      <c r="H12" s="100">
        <f t="shared" si="13"/>
        <v>104748872</v>
      </c>
      <c r="I12" s="78">
        <v>8</v>
      </c>
      <c r="J12" s="70">
        <v>40902</v>
      </c>
      <c r="K12" s="72">
        <f t="shared" si="14"/>
        <v>411902</v>
      </c>
      <c r="L12" s="72">
        <v>241566</v>
      </c>
      <c r="M12" s="72">
        <v>30253</v>
      </c>
      <c r="N12" s="72">
        <v>30</v>
      </c>
      <c r="O12" s="72">
        <f t="shared" si="0"/>
        <v>271819</v>
      </c>
      <c r="P12" s="72">
        <v>12561432</v>
      </c>
      <c r="Q12" s="78"/>
      <c r="R12" s="70">
        <v>40902</v>
      </c>
      <c r="S12" s="72">
        <f t="shared" si="1"/>
        <v>308784</v>
      </c>
      <c r="T12" s="72">
        <v>140083</v>
      </c>
      <c r="U12" s="72">
        <v>16844</v>
      </c>
      <c r="V12" s="72">
        <v>30</v>
      </c>
      <c r="W12" s="72">
        <f t="shared" si="2"/>
        <v>156927</v>
      </c>
      <c r="X12" s="72">
        <v>10646308</v>
      </c>
      <c r="Y12" s="83">
        <v>8</v>
      </c>
      <c r="Z12" s="70">
        <v>40902</v>
      </c>
      <c r="AA12" s="72">
        <f t="shared" si="3"/>
        <v>173240</v>
      </c>
      <c r="AB12" s="72">
        <v>151857</v>
      </c>
      <c r="AC12" s="72">
        <v>21383</v>
      </c>
      <c r="AD12" s="72">
        <v>30</v>
      </c>
      <c r="AE12" s="72">
        <f t="shared" si="4"/>
        <v>173240</v>
      </c>
      <c r="AF12" s="72">
        <v>11541132</v>
      </c>
      <c r="AG12" s="78"/>
      <c r="AH12" s="70">
        <v>40887</v>
      </c>
      <c r="AI12" s="72">
        <f t="shared" si="5"/>
        <v>286664</v>
      </c>
      <c r="AJ12" s="72">
        <v>0</v>
      </c>
      <c r="AK12" s="72">
        <v>66164</v>
      </c>
      <c r="AL12" s="72">
        <v>30</v>
      </c>
      <c r="AM12" s="72">
        <f t="shared" si="6"/>
        <v>66164</v>
      </c>
      <c r="AN12" s="72">
        <v>70000000</v>
      </c>
      <c r="AO12" s="78"/>
      <c r="AP12" s="70">
        <v>40908</v>
      </c>
      <c r="AQ12" s="72">
        <f t="shared" si="7"/>
        <v>237476</v>
      </c>
      <c r="AR12" s="72">
        <v>220500</v>
      </c>
      <c r="AS12" s="72">
        <v>16976</v>
      </c>
      <c r="AT12" s="72">
        <v>31</v>
      </c>
      <c r="AU12" s="72">
        <f t="shared" si="8"/>
        <v>237476</v>
      </c>
      <c r="AV12" s="72">
        <v>10584000</v>
      </c>
      <c r="AW12" s="78">
        <v>8</v>
      </c>
      <c r="AX12" s="70">
        <v>40902</v>
      </c>
      <c r="AY12" s="72"/>
      <c r="AZ12" s="72"/>
      <c r="BA12" s="72"/>
      <c r="BB12" s="72"/>
      <c r="BC12" s="81"/>
      <c r="BD12" s="81"/>
      <c r="BE12" s="78"/>
      <c r="BF12" s="70"/>
      <c r="BG12" s="72"/>
      <c r="BH12" s="72"/>
      <c r="BI12" s="72"/>
      <c r="BJ12" s="72"/>
      <c r="BK12" s="81"/>
      <c r="BL12" s="81"/>
      <c r="BM12" s="78"/>
      <c r="BN12" s="70"/>
      <c r="BO12" s="72"/>
      <c r="BP12" s="72"/>
      <c r="BQ12" s="72"/>
      <c r="BR12" s="72"/>
      <c r="BS12" s="81"/>
      <c r="BT12" s="81"/>
    </row>
    <row r="13" spans="1:72">
      <c r="A13" s="78">
        <v>9</v>
      </c>
      <c r="B13" s="70">
        <v>40933</v>
      </c>
      <c r="C13" s="72"/>
      <c r="D13" s="99">
        <f t="shared" si="9"/>
        <v>754006</v>
      </c>
      <c r="E13" s="99">
        <f t="shared" si="10"/>
        <v>154658</v>
      </c>
      <c r="F13" s="99">
        <f t="shared" si="11"/>
        <v>124</v>
      </c>
      <c r="G13" s="100">
        <f t="shared" si="12"/>
        <v>671535</v>
      </c>
      <c r="H13" s="100">
        <f t="shared" si="13"/>
        <v>104215366</v>
      </c>
      <c r="I13" s="78">
        <v>9</v>
      </c>
      <c r="J13" s="70">
        <v>40933</v>
      </c>
      <c r="K13" s="72">
        <f t="shared" si="14"/>
        <v>412321</v>
      </c>
      <c r="L13" s="72">
        <v>241566</v>
      </c>
      <c r="M13" s="72">
        <v>30672</v>
      </c>
      <c r="N13" s="72">
        <v>31</v>
      </c>
      <c r="O13" s="72">
        <f t="shared" si="0"/>
        <v>272238</v>
      </c>
      <c r="P13" s="72">
        <v>12319866</v>
      </c>
      <c r="Q13" s="78"/>
      <c r="R13" s="70">
        <v>40933</v>
      </c>
      <c r="S13" s="72">
        <f t="shared" si="1"/>
        <v>309119</v>
      </c>
      <c r="T13" s="72">
        <v>140083</v>
      </c>
      <c r="U13" s="72">
        <v>17179</v>
      </c>
      <c r="V13" s="72">
        <v>31</v>
      </c>
      <c r="W13" s="72">
        <f t="shared" si="2"/>
        <v>157262</v>
      </c>
      <c r="X13" s="72">
        <v>10506225</v>
      </c>
      <c r="Y13" s="83">
        <v>9</v>
      </c>
      <c r="Z13" s="70">
        <v>40933</v>
      </c>
      <c r="AA13" s="72">
        <f t="shared" si="3"/>
        <v>173666</v>
      </c>
      <c r="AB13" s="72">
        <v>151857</v>
      </c>
      <c r="AC13" s="72">
        <v>21809</v>
      </c>
      <c r="AD13" s="72">
        <v>31</v>
      </c>
      <c r="AE13" s="72">
        <f t="shared" si="4"/>
        <v>173666</v>
      </c>
      <c r="AF13" s="72">
        <v>11389275</v>
      </c>
      <c r="AG13" s="78"/>
      <c r="AH13" s="70">
        <v>40918</v>
      </c>
      <c r="AI13" s="72">
        <f t="shared" si="5"/>
        <v>288869</v>
      </c>
      <c r="AJ13" s="72">
        <v>0</v>
      </c>
      <c r="AK13" s="72">
        <v>68369</v>
      </c>
      <c r="AL13" s="72">
        <v>31</v>
      </c>
      <c r="AM13" s="72">
        <f t="shared" si="6"/>
        <v>68369</v>
      </c>
      <c r="AN13" s="72">
        <v>70000000</v>
      </c>
      <c r="AO13" s="78"/>
      <c r="AP13" s="70">
        <v>40939</v>
      </c>
      <c r="AQ13" s="72">
        <f t="shared" si="7"/>
        <v>237129</v>
      </c>
      <c r="AR13" s="72">
        <v>220500</v>
      </c>
      <c r="AS13" s="72">
        <v>16629</v>
      </c>
      <c r="AT13" s="72">
        <v>31</v>
      </c>
      <c r="AU13" s="72">
        <f t="shared" si="8"/>
        <v>237129</v>
      </c>
      <c r="AV13" s="72">
        <v>10363500</v>
      </c>
      <c r="AW13" s="78">
        <v>9</v>
      </c>
      <c r="AX13" s="70">
        <v>40933</v>
      </c>
      <c r="AY13" s="72"/>
      <c r="AZ13" s="72"/>
      <c r="BA13" s="72"/>
      <c r="BB13" s="72"/>
      <c r="BC13" s="81"/>
      <c r="BD13" s="81"/>
      <c r="BE13" s="78"/>
      <c r="BF13" s="70"/>
      <c r="BG13" s="72"/>
      <c r="BH13" s="72"/>
      <c r="BI13" s="72"/>
      <c r="BJ13" s="72"/>
      <c r="BK13" s="81"/>
      <c r="BL13" s="81"/>
      <c r="BM13" s="78"/>
      <c r="BN13" s="70"/>
      <c r="BO13" s="72"/>
      <c r="BP13" s="72"/>
      <c r="BQ13" s="72"/>
      <c r="BR13" s="72"/>
      <c r="BS13" s="81"/>
      <c r="BT13" s="81"/>
    </row>
    <row r="14" spans="1:72">
      <c r="A14" s="78">
        <v>10</v>
      </c>
      <c r="B14" s="70">
        <v>40964</v>
      </c>
      <c r="C14" s="72"/>
      <c r="D14" s="99">
        <f t="shared" si="9"/>
        <v>754006</v>
      </c>
      <c r="E14" s="99">
        <f t="shared" si="10"/>
        <v>152158</v>
      </c>
      <c r="F14" s="99">
        <f t="shared" si="11"/>
        <v>124</v>
      </c>
      <c r="G14" s="100">
        <f t="shared" si="12"/>
        <v>670432</v>
      </c>
      <c r="H14" s="100">
        <f t="shared" si="13"/>
        <v>103681860</v>
      </c>
      <c r="I14" s="78">
        <v>10</v>
      </c>
      <c r="J14" s="70">
        <v>40964</v>
      </c>
      <c r="K14" s="72">
        <f t="shared" si="14"/>
        <v>411731</v>
      </c>
      <c r="L14" s="72">
        <v>241566</v>
      </c>
      <c r="M14" s="72">
        <v>30082</v>
      </c>
      <c r="N14" s="72">
        <v>31</v>
      </c>
      <c r="O14" s="72">
        <f t="shared" si="0"/>
        <v>271648</v>
      </c>
      <c r="P14" s="72">
        <v>12078300</v>
      </c>
      <c r="Q14" s="78"/>
      <c r="R14" s="70">
        <v>40964</v>
      </c>
      <c r="S14" s="72">
        <f t="shared" si="1"/>
        <v>308893</v>
      </c>
      <c r="T14" s="72">
        <v>140083</v>
      </c>
      <c r="U14" s="72">
        <v>16953</v>
      </c>
      <c r="V14" s="72">
        <v>31</v>
      </c>
      <c r="W14" s="72">
        <f t="shared" si="2"/>
        <v>157036</v>
      </c>
      <c r="X14" s="72">
        <v>10366142</v>
      </c>
      <c r="Y14" s="83">
        <v>10</v>
      </c>
      <c r="Z14" s="70">
        <v>40964</v>
      </c>
      <c r="AA14" s="72">
        <f t="shared" si="3"/>
        <v>173379</v>
      </c>
      <c r="AB14" s="72">
        <v>151857</v>
      </c>
      <c r="AC14" s="72">
        <v>21522</v>
      </c>
      <c r="AD14" s="72">
        <v>31</v>
      </c>
      <c r="AE14" s="72">
        <f t="shared" si="4"/>
        <v>173379</v>
      </c>
      <c r="AF14" s="72">
        <v>11237418</v>
      </c>
      <c r="AG14" s="78"/>
      <c r="AH14" s="70">
        <v>40949</v>
      </c>
      <c r="AI14" s="72">
        <f t="shared" si="5"/>
        <v>288869</v>
      </c>
      <c r="AJ14" s="72">
        <v>0</v>
      </c>
      <c r="AK14" s="72">
        <v>68369</v>
      </c>
      <c r="AL14" s="72">
        <v>31</v>
      </c>
      <c r="AM14" s="72">
        <f t="shared" si="6"/>
        <v>68369</v>
      </c>
      <c r="AN14" s="72">
        <v>70000000</v>
      </c>
      <c r="AO14" s="78"/>
      <c r="AP14" s="70">
        <v>40968</v>
      </c>
      <c r="AQ14" s="72">
        <f t="shared" si="7"/>
        <v>235732</v>
      </c>
      <c r="AR14" s="72">
        <v>220500</v>
      </c>
      <c r="AS14" s="72">
        <v>15232</v>
      </c>
      <c r="AT14" s="72">
        <v>29</v>
      </c>
      <c r="AU14" s="72">
        <f t="shared" si="8"/>
        <v>235732</v>
      </c>
      <c r="AV14" s="72">
        <v>10143000</v>
      </c>
      <c r="AW14" s="78">
        <v>10</v>
      </c>
      <c r="AX14" s="70">
        <v>40964</v>
      </c>
      <c r="AY14" s="72"/>
      <c r="AZ14" s="72"/>
      <c r="BA14" s="72"/>
      <c r="BB14" s="72"/>
      <c r="BC14" s="81"/>
      <c r="BD14" s="81"/>
      <c r="BE14" s="78"/>
      <c r="BF14" s="70"/>
      <c r="BG14" s="72"/>
      <c r="BH14" s="72"/>
      <c r="BI14" s="72"/>
      <c r="BJ14" s="72"/>
      <c r="BK14" s="81"/>
      <c r="BL14" s="81"/>
      <c r="BM14" s="78"/>
      <c r="BN14" s="70"/>
      <c r="BO14" s="72"/>
      <c r="BP14" s="72"/>
      <c r="BQ14" s="72"/>
      <c r="BR14" s="72"/>
      <c r="BS14" s="81"/>
      <c r="BT14" s="81"/>
    </row>
    <row r="15" spans="1:72">
      <c r="A15" s="78">
        <v>11</v>
      </c>
      <c r="B15" s="70">
        <v>40993</v>
      </c>
      <c r="C15" s="72"/>
      <c r="D15" s="99">
        <f>L15+T15+AB15+AJ15+AR15+AZ15+BH15+BP15</f>
        <v>754006</v>
      </c>
      <c r="E15" s="99">
        <f>M15+U15+AC15+AK15+AS15+BA15+BI15+BQ15</f>
        <v>3082997</v>
      </c>
      <c r="F15" s="99">
        <f t="shared" si="11"/>
        <v>116</v>
      </c>
      <c r="G15" s="100">
        <f t="shared" si="12"/>
        <v>660566</v>
      </c>
      <c r="H15" s="100">
        <f t="shared" si="13"/>
        <v>103148354</v>
      </c>
      <c r="I15" s="78">
        <v>11</v>
      </c>
      <c r="J15" s="70">
        <v>40993</v>
      </c>
      <c r="K15" s="72">
        <f t="shared" si="14"/>
        <v>409238</v>
      </c>
      <c r="L15" s="72">
        <v>241566</v>
      </c>
      <c r="M15" s="72">
        <v>27589</v>
      </c>
      <c r="N15" s="72">
        <v>29</v>
      </c>
      <c r="O15" s="72">
        <f t="shared" si="0"/>
        <v>269155</v>
      </c>
      <c r="P15" s="72">
        <v>11836734</v>
      </c>
      <c r="Q15" s="78"/>
      <c r="R15" s="70">
        <v>40993</v>
      </c>
      <c r="S15" s="72">
        <f t="shared" si="1"/>
        <v>307588</v>
      </c>
      <c r="T15" s="72">
        <v>140083</v>
      </c>
      <c r="U15" s="72">
        <v>15648</v>
      </c>
      <c r="V15" s="72">
        <v>29</v>
      </c>
      <c r="W15" s="72">
        <f t="shared" si="2"/>
        <v>155731</v>
      </c>
      <c r="X15" s="72">
        <v>10226059</v>
      </c>
      <c r="Y15" s="83">
        <v>11</v>
      </c>
      <c r="Z15" s="70">
        <v>40993</v>
      </c>
      <c r="AA15" s="72">
        <f t="shared" si="3"/>
        <v>171722</v>
      </c>
      <c r="AB15" s="72">
        <v>151857</v>
      </c>
      <c r="AC15" s="72">
        <v>19865</v>
      </c>
      <c r="AD15" s="72">
        <v>29</v>
      </c>
      <c r="AE15" s="72">
        <f t="shared" si="4"/>
        <v>171722</v>
      </c>
      <c r="AF15" s="72">
        <v>11085561</v>
      </c>
      <c r="AG15" s="78"/>
      <c r="AH15" s="70">
        <v>40978</v>
      </c>
      <c r="AI15" s="72">
        <f t="shared" si="5"/>
        <v>284458</v>
      </c>
      <c r="AJ15" s="72">
        <v>0</v>
      </c>
      <c r="AK15" s="72">
        <v>63958</v>
      </c>
      <c r="AL15" s="72">
        <v>29</v>
      </c>
      <c r="AM15" s="72">
        <f t="shared" si="6"/>
        <v>63958</v>
      </c>
      <c r="AN15" s="72">
        <v>70000000</v>
      </c>
      <c r="AO15" s="78"/>
      <c r="AP15" s="70">
        <v>40999</v>
      </c>
      <c r="AQ15" s="72">
        <f t="shared" si="7"/>
        <v>236437</v>
      </c>
      <c r="AR15" s="72">
        <v>220500</v>
      </c>
      <c r="AS15" s="72">
        <v>15937</v>
      </c>
      <c r="AT15" s="72">
        <v>31</v>
      </c>
      <c r="AU15" s="72">
        <f t="shared" si="8"/>
        <v>236437</v>
      </c>
      <c r="AV15" s="72">
        <v>9922500</v>
      </c>
      <c r="AW15" s="78">
        <v>11</v>
      </c>
      <c r="AX15" s="70">
        <v>40993</v>
      </c>
      <c r="AY15" s="72"/>
      <c r="AZ15" s="72"/>
      <c r="BA15" s="72">
        <v>2940000</v>
      </c>
      <c r="BB15" s="72"/>
      <c r="BC15" s="81"/>
      <c r="BD15" s="81"/>
      <c r="BE15" s="78"/>
      <c r="BF15" s="70"/>
      <c r="BG15" s="72"/>
      <c r="BH15" s="72"/>
      <c r="BI15" s="72"/>
      <c r="BJ15" s="72"/>
      <c r="BK15" s="81"/>
      <c r="BL15" s="81"/>
      <c r="BM15" s="78"/>
      <c r="BN15" s="70"/>
      <c r="BO15" s="72"/>
      <c r="BP15" s="72"/>
      <c r="BQ15" s="72"/>
      <c r="BR15" s="72"/>
      <c r="BS15" s="81"/>
      <c r="BT15" s="81"/>
    </row>
    <row r="16" spans="1:72">
      <c r="A16" s="78">
        <v>12</v>
      </c>
      <c r="B16" s="70">
        <v>41024</v>
      </c>
      <c r="C16" s="72"/>
      <c r="D16" s="99">
        <f t="shared" ref="D16:D32" si="15">L16+T16+AB16+AJ16+AR16+AZ16+BH16+BP16</f>
        <v>754006</v>
      </c>
      <c r="E16" s="99">
        <f t="shared" ref="E16:E32" si="16">M16+U16+AC16+AK16+AS16+BA16+BI16+BQ16</f>
        <v>149807</v>
      </c>
      <c r="F16" s="99">
        <f t="shared" si="11"/>
        <v>124</v>
      </c>
      <c r="G16" s="100">
        <f t="shared" si="12"/>
        <v>668226</v>
      </c>
      <c r="H16" s="100">
        <f t="shared" si="13"/>
        <v>102614848</v>
      </c>
      <c r="I16" s="78">
        <v>12</v>
      </c>
      <c r="J16" s="70">
        <v>41024</v>
      </c>
      <c r="K16" s="72">
        <f t="shared" si="14"/>
        <v>410551</v>
      </c>
      <c r="L16" s="72">
        <v>241566</v>
      </c>
      <c r="M16" s="72">
        <v>28902</v>
      </c>
      <c r="N16" s="72">
        <v>31</v>
      </c>
      <c r="O16" s="72">
        <f t="shared" si="0"/>
        <v>270468</v>
      </c>
      <c r="P16" s="72">
        <v>11595168</v>
      </c>
      <c r="Q16" s="78"/>
      <c r="R16" s="70">
        <v>41024</v>
      </c>
      <c r="S16" s="72">
        <f t="shared" si="1"/>
        <v>308441</v>
      </c>
      <c r="T16" s="72">
        <v>140083</v>
      </c>
      <c r="U16" s="72">
        <v>16501</v>
      </c>
      <c r="V16" s="72">
        <v>31</v>
      </c>
      <c r="W16" s="72">
        <f t="shared" si="2"/>
        <v>156584</v>
      </c>
      <c r="X16" s="72">
        <v>10085976</v>
      </c>
      <c r="Y16" s="83">
        <v>12</v>
      </c>
      <c r="Z16" s="70">
        <v>41024</v>
      </c>
      <c r="AA16" s="72">
        <f t="shared" si="3"/>
        <v>172805</v>
      </c>
      <c r="AB16" s="72">
        <v>151857</v>
      </c>
      <c r="AC16" s="72">
        <v>20948</v>
      </c>
      <c r="AD16" s="72">
        <v>31</v>
      </c>
      <c r="AE16" s="72">
        <f t="shared" si="4"/>
        <v>172805</v>
      </c>
      <c r="AF16" s="72">
        <v>10933704</v>
      </c>
      <c r="AG16" s="78"/>
      <c r="AH16" s="70">
        <v>41009</v>
      </c>
      <c r="AI16" s="72">
        <f t="shared" si="5"/>
        <v>288869</v>
      </c>
      <c r="AJ16" s="72">
        <v>0</v>
      </c>
      <c r="AK16" s="72">
        <v>68369</v>
      </c>
      <c r="AL16" s="72">
        <v>31</v>
      </c>
      <c r="AM16" s="72">
        <f t="shared" si="6"/>
        <v>68369</v>
      </c>
      <c r="AN16" s="72">
        <v>70000000</v>
      </c>
      <c r="AO16" s="78"/>
      <c r="AP16" s="70">
        <v>41029</v>
      </c>
      <c r="AQ16" s="72">
        <f t="shared" si="7"/>
        <v>235587</v>
      </c>
      <c r="AR16" s="72">
        <v>220500</v>
      </c>
      <c r="AS16" s="72">
        <v>15087</v>
      </c>
      <c r="AT16" s="72">
        <v>30</v>
      </c>
      <c r="AU16" s="72">
        <f t="shared" si="8"/>
        <v>235587</v>
      </c>
      <c r="AV16" s="72">
        <v>9702000</v>
      </c>
      <c r="AW16" s="78">
        <v>12</v>
      </c>
      <c r="AX16" s="70">
        <v>41024</v>
      </c>
      <c r="AY16" s="72"/>
      <c r="AZ16" s="72"/>
      <c r="BA16" s="72"/>
      <c r="BB16" s="72"/>
      <c r="BC16" s="81"/>
      <c r="BD16" s="81"/>
      <c r="BE16" s="78"/>
      <c r="BF16" s="70"/>
      <c r="BG16" s="72"/>
      <c r="BH16" s="72"/>
      <c r="BI16" s="72"/>
      <c r="BJ16" s="72"/>
      <c r="BK16" s="81"/>
      <c r="BL16" s="81"/>
      <c r="BM16" s="78"/>
      <c r="BN16" s="70"/>
      <c r="BO16" s="72"/>
      <c r="BP16" s="72"/>
      <c r="BQ16" s="72"/>
      <c r="BR16" s="72"/>
      <c r="BS16" s="81"/>
      <c r="BT16" s="81"/>
    </row>
    <row r="17" spans="1:72">
      <c r="A17" s="78">
        <v>13</v>
      </c>
      <c r="B17" s="70">
        <v>41054</v>
      </c>
      <c r="C17" s="72"/>
      <c r="D17" s="99">
        <f t="shared" si="15"/>
        <v>754006</v>
      </c>
      <c r="E17" s="99">
        <f t="shared" si="16"/>
        <v>144552</v>
      </c>
      <c r="F17" s="99">
        <f t="shared" si="11"/>
        <v>120</v>
      </c>
      <c r="G17" s="100">
        <f t="shared" si="12"/>
        <v>662814</v>
      </c>
      <c r="H17" s="100">
        <f t="shared" si="13"/>
        <v>102081342</v>
      </c>
      <c r="I17" s="78">
        <v>13</v>
      </c>
      <c r="J17" s="70">
        <v>41054</v>
      </c>
      <c r="K17" s="72">
        <f t="shared" si="14"/>
        <v>409048</v>
      </c>
      <c r="L17" s="72">
        <v>241566</v>
      </c>
      <c r="M17" s="72">
        <v>27399</v>
      </c>
      <c r="N17" s="72">
        <v>30</v>
      </c>
      <c r="O17" s="72">
        <f t="shared" si="0"/>
        <v>268965</v>
      </c>
      <c r="P17" s="72">
        <v>11353602</v>
      </c>
      <c r="Q17" s="78"/>
      <c r="R17" s="70">
        <v>41054</v>
      </c>
      <c r="S17" s="72">
        <f t="shared" si="1"/>
        <v>307690</v>
      </c>
      <c r="T17" s="72">
        <v>140083</v>
      </c>
      <c r="U17" s="72">
        <v>15750</v>
      </c>
      <c r="V17" s="72">
        <v>30</v>
      </c>
      <c r="W17" s="72">
        <f t="shared" si="2"/>
        <v>155833</v>
      </c>
      <c r="X17" s="72">
        <v>9945893</v>
      </c>
      <c r="Y17" s="83">
        <v>13</v>
      </c>
      <c r="Z17" s="70">
        <v>41054</v>
      </c>
      <c r="AA17" s="72">
        <f t="shared" si="3"/>
        <v>171852</v>
      </c>
      <c r="AB17" s="72">
        <v>151857</v>
      </c>
      <c r="AC17" s="72">
        <v>19995</v>
      </c>
      <c r="AD17" s="72">
        <v>30</v>
      </c>
      <c r="AE17" s="72">
        <f t="shared" si="4"/>
        <v>171852</v>
      </c>
      <c r="AF17" s="72">
        <v>10781847</v>
      </c>
      <c r="AG17" s="78"/>
      <c r="AH17" s="70">
        <v>41039</v>
      </c>
      <c r="AI17" s="72">
        <f t="shared" si="5"/>
        <v>286664</v>
      </c>
      <c r="AJ17" s="72">
        <v>0</v>
      </c>
      <c r="AK17" s="72">
        <v>66164</v>
      </c>
      <c r="AL17" s="72">
        <v>30</v>
      </c>
      <c r="AM17" s="72">
        <f t="shared" si="6"/>
        <v>66164</v>
      </c>
      <c r="AN17" s="72">
        <v>70000000</v>
      </c>
      <c r="AO17" s="78"/>
      <c r="AP17" s="70">
        <v>41060</v>
      </c>
      <c r="AQ17" s="72">
        <f t="shared" si="7"/>
        <v>235744</v>
      </c>
      <c r="AR17" s="72">
        <v>220500</v>
      </c>
      <c r="AS17" s="72">
        <v>15244</v>
      </c>
      <c r="AT17" s="72">
        <v>31</v>
      </c>
      <c r="AU17" s="72">
        <f t="shared" si="8"/>
        <v>235744</v>
      </c>
      <c r="AV17" s="72">
        <v>9481500</v>
      </c>
      <c r="AW17" s="78">
        <v>13</v>
      </c>
      <c r="AX17" s="70">
        <v>41054</v>
      </c>
      <c r="AY17" s="72"/>
      <c r="AZ17" s="72"/>
      <c r="BA17" s="72"/>
      <c r="BB17" s="72"/>
      <c r="BC17" s="81"/>
      <c r="BD17" s="81"/>
      <c r="BE17" s="78"/>
      <c r="BF17" s="70"/>
      <c r="BG17" s="72"/>
      <c r="BH17" s="72"/>
      <c r="BI17" s="72"/>
      <c r="BJ17" s="72"/>
      <c r="BK17" s="81"/>
      <c r="BL17" s="81"/>
      <c r="BM17" s="78"/>
      <c r="BN17" s="70"/>
      <c r="BO17" s="72"/>
      <c r="BP17" s="72"/>
      <c r="BQ17" s="72"/>
      <c r="BR17" s="72"/>
      <c r="BS17" s="81"/>
      <c r="BT17" s="81"/>
    </row>
    <row r="18" spans="1:72">
      <c r="A18" s="78">
        <v>14</v>
      </c>
      <c r="B18" s="70">
        <v>41085</v>
      </c>
      <c r="C18" s="72"/>
      <c r="D18" s="99">
        <f t="shared" si="15"/>
        <v>754006</v>
      </c>
      <c r="E18" s="99">
        <f t="shared" si="16"/>
        <v>146932</v>
      </c>
      <c r="F18" s="99">
        <f t="shared" si="11"/>
        <v>124</v>
      </c>
      <c r="G18" s="100">
        <f t="shared" si="12"/>
        <v>666021</v>
      </c>
      <c r="H18" s="100">
        <f t="shared" si="13"/>
        <v>101547836</v>
      </c>
      <c r="I18" s="78">
        <v>14</v>
      </c>
      <c r="J18" s="70">
        <v>41085</v>
      </c>
      <c r="K18" s="72">
        <f t="shared" si="14"/>
        <v>409372</v>
      </c>
      <c r="L18" s="72">
        <v>241566</v>
      </c>
      <c r="M18" s="72">
        <v>27723</v>
      </c>
      <c r="N18" s="72">
        <v>31</v>
      </c>
      <c r="O18" s="72">
        <f t="shared" si="0"/>
        <v>269289</v>
      </c>
      <c r="P18" s="72">
        <v>11112036</v>
      </c>
      <c r="Q18" s="78"/>
      <c r="R18" s="70">
        <v>41085</v>
      </c>
      <c r="S18" s="72">
        <f t="shared" si="1"/>
        <v>307989</v>
      </c>
      <c r="T18" s="72">
        <v>140083</v>
      </c>
      <c r="U18" s="72">
        <v>16049</v>
      </c>
      <c r="V18" s="72">
        <v>31</v>
      </c>
      <c r="W18" s="72">
        <f t="shared" si="2"/>
        <v>156132</v>
      </c>
      <c r="X18" s="72">
        <v>9805810</v>
      </c>
      <c r="Y18" s="83">
        <v>14</v>
      </c>
      <c r="Z18" s="70">
        <v>41085</v>
      </c>
      <c r="AA18" s="72">
        <f t="shared" si="3"/>
        <v>172231</v>
      </c>
      <c r="AB18" s="72">
        <v>151857</v>
      </c>
      <c r="AC18" s="72">
        <v>20374</v>
      </c>
      <c r="AD18" s="72">
        <v>31</v>
      </c>
      <c r="AE18" s="72">
        <f t="shared" si="4"/>
        <v>172231</v>
      </c>
      <c r="AF18" s="72">
        <v>10629990</v>
      </c>
      <c r="AG18" s="78"/>
      <c r="AH18" s="70">
        <v>41070</v>
      </c>
      <c r="AI18" s="72">
        <f t="shared" si="5"/>
        <v>288869</v>
      </c>
      <c r="AJ18" s="72">
        <v>0</v>
      </c>
      <c r="AK18" s="72">
        <v>68369</v>
      </c>
      <c r="AL18" s="72">
        <v>31</v>
      </c>
      <c r="AM18" s="72">
        <f t="shared" si="6"/>
        <v>68369</v>
      </c>
      <c r="AN18" s="72">
        <v>70000000</v>
      </c>
      <c r="AO18" s="78"/>
      <c r="AP18" s="70">
        <v>41090</v>
      </c>
      <c r="AQ18" s="72">
        <f t="shared" si="7"/>
        <v>234917</v>
      </c>
      <c r="AR18" s="72">
        <v>220500</v>
      </c>
      <c r="AS18" s="72">
        <v>14417</v>
      </c>
      <c r="AT18" s="72">
        <v>30</v>
      </c>
      <c r="AU18" s="72">
        <f t="shared" si="8"/>
        <v>234917</v>
      </c>
      <c r="AV18" s="72">
        <v>9261000</v>
      </c>
      <c r="AW18" s="78">
        <v>14</v>
      </c>
      <c r="AX18" s="70">
        <v>41085</v>
      </c>
      <c r="AY18" s="72"/>
      <c r="AZ18" s="72"/>
      <c r="BA18" s="72"/>
      <c r="BB18" s="72"/>
      <c r="BC18" s="81"/>
      <c r="BD18" s="81"/>
      <c r="BE18" s="78"/>
      <c r="BF18" s="70"/>
      <c r="BG18" s="72"/>
      <c r="BH18" s="72"/>
      <c r="BI18" s="72"/>
      <c r="BJ18" s="72"/>
      <c r="BK18" s="81"/>
      <c r="BL18" s="81"/>
      <c r="BM18" s="78"/>
      <c r="BN18" s="70"/>
      <c r="BO18" s="72"/>
      <c r="BP18" s="72"/>
      <c r="BQ18" s="72"/>
      <c r="BR18" s="72"/>
      <c r="BS18" s="81"/>
      <c r="BT18" s="81"/>
    </row>
    <row r="19" spans="1:72">
      <c r="A19" s="78">
        <v>15</v>
      </c>
      <c r="B19" s="70">
        <v>41115</v>
      </c>
      <c r="C19" s="72"/>
      <c r="D19" s="99">
        <f t="shared" si="15"/>
        <v>754006</v>
      </c>
      <c r="E19" s="99">
        <f t="shared" si="16"/>
        <v>141724</v>
      </c>
      <c r="F19" s="99">
        <f t="shared" si="11"/>
        <v>120</v>
      </c>
      <c r="G19" s="100">
        <f t="shared" si="12"/>
        <v>660679</v>
      </c>
      <c r="H19" s="100">
        <f t="shared" si="13"/>
        <v>101014330</v>
      </c>
      <c r="I19" s="78">
        <v>15</v>
      </c>
      <c r="J19" s="70">
        <v>41115</v>
      </c>
      <c r="K19" s="72">
        <f t="shared" si="14"/>
        <v>407906</v>
      </c>
      <c r="L19" s="72">
        <v>241566</v>
      </c>
      <c r="M19" s="72">
        <v>26257</v>
      </c>
      <c r="N19" s="72">
        <v>30</v>
      </c>
      <c r="O19" s="72">
        <f t="shared" si="0"/>
        <v>267823</v>
      </c>
      <c r="P19" s="72">
        <v>10870470</v>
      </c>
      <c r="Q19" s="78"/>
      <c r="R19" s="70">
        <v>41115</v>
      </c>
      <c r="S19" s="72">
        <f t="shared" si="1"/>
        <v>307253</v>
      </c>
      <c r="T19" s="72">
        <v>140083</v>
      </c>
      <c r="U19" s="72">
        <v>15313</v>
      </c>
      <c r="V19" s="72">
        <v>30</v>
      </c>
      <c r="W19" s="72">
        <f t="shared" si="2"/>
        <v>155396</v>
      </c>
      <c r="X19" s="72">
        <v>9665727</v>
      </c>
      <c r="Y19" s="83">
        <v>15</v>
      </c>
      <c r="Z19" s="70">
        <v>41115</v>
      </c>
      <c r="AA19" s="72">
        <f t="shared" si="3"/>
        <v>171296</v>
      </c>
      <c r="AB19" s="72">
        <v>151857</v>
      </c>
      <c r="AC19" s="72">
        <v>19439</v>
      </c>
      <c r="AD19" s="72">
        <v>30</v>
      </c>
      <c r="AE19" s="72">
        <f t="shared" si="4"/>
        <v>171296</v>
      </c>
      <c r="AF19" s="72">
        <v>10478133</v>
      </c>
      <c r="AG19" s="78"/>
      <c r="AH19" s="70">
        <v>41100</v>
      </c>
      <c r="AI19" s="72">
        <f t="shared" si="5"/>
        <v>286664</v>
      </c>
      <c r="AJ19" s="72">
        <v>0</v>
      </c>
      <c r="AK19" s="72">
        <v>66164</v>
      </c>
      <c r="AL19" s="72">
        <v>30</v>
      </c>
      <c r="AM19" s="72">
        <f t="shared" si="6"/>
        <v>66164</v>
      </c>
      <c r="AN19" s="72">
        <v>70000000</v>
      </c>
      <c r="AO19" s="78"/>
      <c r="AP19" s="70">
        <v>41121</v>
      </c>
      <c r="AQ19" s="72">
        <f t="shared" si="7"/>
        <v>235051</v>
      </c>
      <c r="AR19" s="72">
        <v>220500</v>
      </c>
      <c r="AS19" s="72">
        <v>14551</v>
      </c>
      <c r="AT19" s="72">
        <v>31</v>
      </c>
      <c r="AU19" s="72">
        <f t="shared" si="8"/>
        <v>235051</v>
      </c>
      <c r="AV19" s="72">
        <v>9040500</v>
      </c>
      <c r="AW19" s="78">
        <v>15</v>
      </c>
      <c r="AX19" s="70">
        <v>41115</v>
      </c>
      <c r="AY19" s="72"/>
      <c r="AZ19" s="72"/>
      <c r="BA19" s="72"/>
      <c r="BB19" s="72"/>
      <c r="BC19" s="81"/>
      <c r="BD19" s="81"/>
      <c r="BE19" s="78"/>
      <c r="BF19" s="70"/>
      <c r="BG19" s="72"/>
      <c r="BH19" s="72"/>
      <c r="BI19" s="72"/>
      <c r="BJ19" s="72"/>
      <c r="BK19" s="81"/>
      <c r="BL19" s="81"/>
      <c r="BM19" s="78"/>
      <c r="BN19" s="70"/>
      <c r="BO19" s="72"/>
      <c r="BP19" s="72"/>
      <c r="BQ19" s="72"/>
      <c r="BR19" s="72"/>
      <c r="BS19" s="81"/>
      <c r="BT19" s="81"/>
    </row>
    <row r="20" spans="1:72">
      <c r="A20" s="78">
        <v>16</v>
      </c>
      <c r="B20" s="70">
        <v>41146</v>
      </c>
      <c r="C20" s="72"/>
      <c r="D20" s="99">
        <f t="shared" si="15"/>
        <v>754006</v>
      </c>
      <c r="E20" s="99">
        <f t="shared" si="16"/>
        <v>144513</v>
      </c>
      <c r="F20" s="99">
        <f t="shared" si="11"/>
        <v>124</v>
      </c>
      <c r="G20" s="100">
        <f t="shared" si="12"/>
        <v>663815</v>
      </c>
      <c r="H20" s="100">
        <f t="shared" si="13"/>
        <v>100480824</v>
      </c>
      <c r="I20" s="78">
        <v>16</v>
      </c>
      <c r="J20" s="70">
        <v>41146</v>
      </c>
      <c r="K20" s="72">
        <f t="shared" si="14"/>
        <v>408192</v>
      </c>
      <c r="L20" s="72">
        <v>241566</v>
      </c>
      <c r="M20" s="72">
        <v>26543</v>
      </c>
      <c r="N20" s="72">
        <v>31</v>
      </c>
      <c r="O20" s="72">
        <f t="shared" si="0"/>
        <v>268109</v>
      </c>
      <c r="P20" s="72">
        <v>10628904</v>
      </c>
      <c r="Q20" s="78"/>
      <c r="R20" s="70">
        <v>41146</v>
      </c>
      <c r="S20" s="72">
        <f t="shared" si="1"/>
        <v>307537</v>
      </c>
      <c r="T20" s="72">
        <v>140083</v>
      </c>
      <c r="U20" s="72">
        <v>15597</v>
      </c>
      <c r="V20" s="72">
        <v>31</v>
      </c>
      <c r="W20" s="72">
        <f t="shared" si="2"/>
        <v>155680</v>
      </c>
      <c r="X20" s="72">
        <v>9525644</v>
      </c>
      <c r="Y20" s="83">
        <v>16</v>
      </c>
      <c r="Z20" s="70">
        <v>41146</v>
      </c>
      <c r="AA20" s="72">
        <f t="shared" si="3"/>
        <v>171657</v>
      </c>
      <c r="AB20" s="72">
        <v>151857</v>
      </c>
      <c r="AC20" s="72">
        <v>19800</v>
      </c>
      <c r="AD20" s="72">
        <v>31</v>
      </c>
      <c r="AE20" s="72">
        <f t="shared" si="4"/>
        <v>171657</v>
      </c>
      <c r="AF20" s="72">
        <v>10326276</v>
      </c>
      <c r="AG20" s="78"/>
      <c r="AH20" s="70">
        <v>41131</v>
      </c>
      <c r="AI20" s="72">
        <f t="shared" si="5"/>
        <v>288869</v>
      </c>
      <c r="AJ20" s="72">
        <v>0</v>
      </c>
      <c r="AK20" s="72">
        <v>68369</v>
      </c>
      <c r="AL20" s="72">
        <v>31</v>
      </c>
      <c r="AM20" s="72">
        <f t="shared" si="6"/>
        <v>68369</v>
      </c>
      <c r="AN20" s="72">
        <v>70000000</v>
      </c>
      <c r="AO20" s="78"/>
      <c r="AP20" s="70">
        <v>41152</v>
      </c>
      <c r="AQ20" s="72">
        <f t="shared" si="7"/>
        <v>234704</v>
      </c>
      <c r="AR20" s="72">
        <v>220500</v>
      </c>
      <c r="AS20" s="72">
        <v>14204</v>
      </c>
      <c r="AT20" s="72">
        <v>31</v>
      </c>
      <c r="AU20" s="72">
        <f t="shared" si="8"/>
        <v>234704</v>
      </c>
      <c r="AV20" s="72">
        <v>8820000</v>
      </c>
      <c r="AW20" s="78">
        <v>16</v>
      </c>
      <c r="AX20" s="70">
        <v>41146</v>
      </c>
      <c r="AY20" s="72"/>
      <c r="AZ20" s="72"/>
      <c r="BA20" s="72"/>
      <c r="BB20" s="72"/>
      <c r="BC20" s="81"/>
      <c r="BD20" s="81"/>
      <c r="BE20" s="78"/>
      <c r="BF20" s="70"/>
      <c r="BG20" s="72"/>
      <c r="BH20" s="72"/>
      <c r="BI20" s="72"/>
      <c r="BJ20" s="72"/>
      <c r="BK20" s="81"/>
      <c r="BL20" s="81"/>
      <c r="BM20" s="78"/>
      <c r="BN20" s="70"/>
      <c r="BO20" s="72"/>
      <c r="BP20" s="72"/>
      <c r="BQ20" s="72"/>
      <c r="BR20" s="72"/>
      <c r="BS20" s="81"/>
      <c r="BT20" s="81"/>
    </row>
    <row r="21" spans="1:72">
      <c r="A21" s="78">
        <v>17</v>
      </c>
      <c r="B21" s="70">
        <v>41177</v>
      </c>
      <c r="C21" s="72"/>
      <c r="D21" s="99">
        <f t="shared" si="15"/>
        <v>754006</v>
      </c>
      <c r="E21" s="99">
        <f t="shared" si="16"/>
        <v>3082617</v>
      </c>
      <c r="F21" s="99">
        <f t="shared" si="11"/>
        <v>124</v>
      </c>
      <c r="G21" s="100">
        <f t="shared" si="12"/>
        <v>662712</v>
      </c>
      <c r="H21" s="100">
        <f t="shared" si="13"/>
        <v>99947318</v>
      </c>
      <c r="I21" s="78">
        <v>17</v>
      </c>
      <c r="J21" s="70">
        <v>41177</v>
      </c>
      <c r="K21" s="72">
        <f t="shared" si="14"/>
        <v>407602</v>
      </c>
      <c r="L21" s="72">
        <v>241566</v>
      </c>
      <c r="M21" s="72">
        <v>25953</v>
      </c>
      <c r="N21" s="72">
        <v>31</v>
      </c>
      <c r="O21" s="72">
        <f t="shared" si="0"/>
        <v>267519</v>
      </c>
      <c r="P21" s="72">
        <v>10387338</v>
      </c>
      <c r="Q21" s="78"/>
      <c r="R21" s="70">
        <v>41177</v>
      </c>
      <c r="S21" s="72">
        <f t="shared" si="1"/>
        <v>307311</v>
      </c>
      <c r="T21" s="72">
        <v>140083</v>
      </c>
      <c r="U21" s="72">
        <v>15371</v>
      </c>
      <c r="V21" s="72">
        <v>31</v>
      </c>
      <c r="W21" s="72">
        <f t="shared" si="2"/>
        <v>155454</v>
      </c>
      <c r="X21" s="72">
        <v>9385561</v>
      </c>
      <c r="Y21" s="83">
        <v>17</v>
      </c>
      <c r="Z21" s="70">
        <v>41177</v>
      </c>
      <c r="AA21" s="72">
        <f t="shared" si="3"/>
        <v>171370</v>
      </c>
      <c r="AB21" s="72">
        <v>151857</v>
      </c>
      <c r="AC21" s="72">
        <v>19513</v>
      </c>
      <c r="AD21" s="72">
        <v>31</v>
      </c>
      <c r="AE21" s="72">
        <f t="shared" si="4"/>
        <v>171370</v>
      </c>
      <c r="AF21" s="72">
        <v>10174419</v>
      </c>
      <c r="AG21" s="78"/>
      <c r="AH21" s="70">
        <v>41162</v>
      </c>
      <c r="AI21" s="72">
        <f t="shared" si="5"/>
        <v>288869</v>
      </c>
      <c r="AJ21" s="72">
        <v>0</v>
      </c>
      <c r="AK21" s="72">
        <v>68369</v>
      </c>
      <c r="AL21" s="72">
        <v>31</v>
      </c>
      <c r="AM21" s="72">
        <f t="shared" si="6"/>
        <v>68369</v>
      </c>
      <c r="AN21" s="72">
        <v>70000000</v>
      </c>
      <c r="AO21" s="78"/>
      <c r="AP21" s="70">
        <v>41182</v>
      </c>
      <c r="AQ21" s="72">
        <f t="shared" si="7"/>
        <v>233911</v>
      </c>
      <c r="AR21" s="72">
        <v>220500</v>
      </c>
      <c r="AS21" s="72">
        <v>13411</v>
      </c>
      <c r="AT21" s="72">
        <v>30</v>
      </c>
      <c r="AU21" s="72">
        <f t="shared" si="8"/>
        <v>233911</v>
      </c>
      <c r="AV21" s="72">
        <v>8599500</v>
      </c>
      <c r="AW21" s="78">
        <v>17</v>
      </c>
      <c r="AX21" s="70">
        <v>41177</v>
      </c>
      <c r="AY21" s="72"/>
      <c r="AZ21" s="72"/>
      <c r="BA21" s="72">
        <v>2940000</v>
      </c>
      <c r="BB21" s="72"/>
      <c r="BC21" s="81"/>
      <c r="BD21" s="81"/>
      <c r="BE21" s="78"/>
      <c r="BF21" s="70"/>
      <c r="BG21" s="72"/>
      <c r="BH21" s="72"/>
      <c r="BI21" s="72"/>
      <c r="BJ21" s="72"/>
      <c r="BK21" s="81"/>
      <c r="BL21" s="81"/>
      <c r="BM21" s="78"/>
      <c r="BN21" s="70"/>
      <c r="BO21" s="72"/>
      <c r="BP21" s="72"/>
      <c r="BQ21" s="72"/>
      <c r="BR21" s="72"/>
      <c r="BS21" s="81"/>
      <c r="BT21" s="81"/>
    </row>
    <row r="22" spans="1:72">
      <c r="A22" s="78">
        <v>18</v>
      </c>
      <c r="B22" s="70">
        <v>41207</v>
      </c>
      <c r="C22" s="72"/>
      <c r="D22" s="99">
        <f t="shared" si="15"/>
        <v>754006</v>
      </c>
      <c r="E22" s="99">
        <f t="shared" si="16"/>
        <v>137482</v>
      </c>
      <c r="F22" s="99">
        <f t="shared" si="11"/>
        <v>120</v>
      </c>
      <c r="G22" s="100">
        <f t="shared" si="12"/>
        <v>657477</v>
      </c>
      <c r="H22" s="100">
        <f t="shared" si="13"/>
        <v>99413812</v>
      </c>
      <c r="I22" s="78">
        <v>18</v>
      </c>
      <c r="J22" s="70">
        <v>41207</v>
      </c>
      <c r="K22" s="72">
        <f t="shared" si="14"/>
        <v>406194</v>
      </c>
      <c r="L22" s="72">
        <v>241566</v>
      </c>
      <c r="M22" s="72">
        <v>24545</v>
      </c>
      <c r="N22" s="72">
        <v>30</v>
      </c>
      <c r="O22" s="72">
        <f t="shared" si="0"/>
        <v>266111</v>
      </c>
      <c r="P22" s="72">
        <v>10145772</v>
      </c>
      <c r="Q22" s="78"/>
      <c r="R22" s="70">
        <v>41207</v>
      </c>
      <c r="S22" s="72">
        <f t="shared" si="1"/>
        <v>306596</v>
      </c>
      <c r="T22" s="72">
        <v>140083</v>
      </c>
      <c r="U22" s="72">
        <v>14656</v>
      </c>
      <c r="V22" s="72">
        <v>30</v>
      </c>
      <c r="W22" s="72">
        <f t="shared" si="2"/>
        <v>154739</v>
      </c>
      <c r="X22" s="72">
        <v>9245478</v>
      </c>
      <c r="Y22" s="83">
        <v>18</v>
      </c>
      <c r="Z22" s="70">
        <v>41207</v>
      </c>
      <c r="AA22" s="72">
        <f t="shared" si="3"/>
        <v>170463</v>
      </c>
      <c r="AB22" s="72">
        <v>151857</v>
      </c>
      <c r="AC22" s="72">
        <v>18606</v>
      </c>
      <c r="AD22" s="72">
        <v>30</v>
      </c>
      <c r="AE22" s="72">
        <f t="shared" si="4"/>
        <v>170463</v>
      </c>
      <c r="AF22" s="72">
        <v>10022562</v>
      </c>
      <c r="AG22" s="78"/>
      <c r="AH22" s="70">
        <v>41192</v>
      </c>
      <c r="AI22" s="72">
        <f t="shared" si="5"/>
        <v>286664</v>
      </c>
      <c r="AJ22" s="72">
        <v>0</v>
      </c>
      <c r="AK22" s="72">
        <v>66164</v>
      </c>
      <c r="AL22" s="72">
        <v>30</v>
      </c>
      <c r="AM22" s="72">
        <f t="shared" si="6"/>
        <v>66164</v>
      </c>
      <c r="AN22" s="72">
        <v>70000000</v>
      </c>
      <c r="AO22" s="78"/>
      <c r="AP22" s="70">
        <v>41213</v>
      </c>
      <c r="AQ22" s="72">
        <f t="shared" si="7"/>
        <v>234011</v>
      </c>
      <c r="AR22" s="72">
        <v>220500</v>
      </c>
      <c r="AS22" s="72">
        <v>13511</v>
      </c>
      <c r="AT22" s="72">
        <v>31</v>
      </c>
      <c r="AU22" s="72">
        <f t="shared" si="8"/>
        <v>234011</v>
      </c>
      <c r="AV22" s="72">
        <v>8379000</v>
      </c>
      <c r="AW22" s="78">
        <v>18</v>
      </c>
      <c r="AX22" s="70">
        <v>41207</v>
      </c>
      <c r="AY22" s="72"/>
      <c r="AZ22" s="72"/>
      <c r="BA22" s="72"/>
      <c r="BB22" s="72"/>
      <c r="BC22" s="81"/>
      <c r="BD22" s="81"/>
      <c r="BE22" s="78"/>
      <c r="BF22" s="70"/>
      <c r="BG22" s="72"/>
      <c r="BH22" s="72"/>
      <c r="BI22" s="72"/>
      <c r="BJ22" s="72"/>
      <c r="BK22" s="81"/>
      <c r="BL22" s="81"/>
      <c r="BM22" s="78"/>
      <c r="BN22" s="70"/>
      <c r="BO22" s="72"/>
      <c r="BP22" s="72"/>
      <c r="BQ22" s="72"/>
      <c r="BR22" s="72"/>
      <c r="BS22" s="81"/>
      <c r="BT22" s="81"/>
    </row>
    <row r="23" spans="1:72">
      <c r="A23" s="78">
        <v>19</v>
      </c>
      <c r="B23" s="70">
        <v>41238</v>
      </c>
      <c r="C23" s="72"/>
      <c r="D23" s="99">
        <f t="shared" si="15"/>
        <v>754006</v>
      </c>
      <c r="E23" s="99">
        <f t="shared" si="16"/>
        <v>139740</v>
      </c>
      <c r="F23" s="99">
        <f t="shared" si="11"/>
        <v>124</v>
      </c>
      <c r="G23" s="100">
        <f t="shared" si="12"/>
        <v>660506</v>
      </c>
      <c r="H23" s="100">
        <f t="shared" si="13"/>
        <v>98880306</v>
      </c>
      <c r="I23" s="78">
        <v>19</v>
      </c>
      <c r="J23" s="70">
        <v>41238</v>
      </c>
      <c r="K23" s="72">
        <f t="shared" si="14"/>
        <v>406422</v>
      </c>
      <c r="L23" s="72">
        <v>241566</v>
      </c>
      <c r="M23" s="72">
        <v>24773</v>
      </c>
      <c r="N23" s="72">
        <v>31</v>
      </c>
      <c r="O23" s="72">
        <f t="shared" si="0"/>
        <v>266339</v>
      </c>
      <c r="P23" s="72">
        <v>9904206</v>
      </c>
      <c r="Q23" s="78"/>
      <c r="R23" s="70">
        <v>41238</v>
      </c>
      <c r="S23" s="72">
        <f t="shared" si="1"/>
        <v>306859</v>
      </c>
      <c r="T23" s="72">
        <v>140083</v>
      </c>
      <c r="U23" s="72">
        <v>14919</v>
      </c>
      <c r="V23" s="72">
        <v>31</v>
      </c>
      <c r="W23" s="72">
        <f t="shared" si="2"/>
        <v>155002</v>
      </c>
      <c r="X23" s="72">
        <v>9105395</v>
      </c>
      <c r="Y23" s="83">
        <v>19</v>
      </c>
      <c r="Z23" s="70">
        <v>41238</v>
      </c>
      <c r="AA23" s="72">
        <f t="shared" si="3"/>
        <v>170796</v>
      </c>
      <c r="AB23" s="72">
        <v>151857</v>
      </c>
      <c r="AC23" s="72">
        <v>18939</v>
      </c>
      <c r="AD23" s="72">
        <v>31</v>
      </c>
      <c r="AE23" s="72">
        <f t="shared" si="4"/>
        <v>170796</v>
      </c>
      <c r="AF23" s="72">
        <v>9870705</v>
      </c>
      <c r="AG23" s="78"/>
      <c r="AH23" s="70">
        <v>41223</v>
      </c>
      <c r="AI23" s="72">
        <f t="shared" si="5"/>
        <v>288869</v>
      </c>
      <c r="AJ23" s="72">
        <v>0</v>
      </c>
      <c r="AK23" s="72">
        <v>68369</v>
      </c>
      <c r="AL23" s="72">
        <v>31</v>
      </c>
      <c r="AM23" s="72">
        <f t="shared" si="6"/>
        <v>68369</v>
      </c>
      <c r="AN23" s="72">
        <v>70000000</v>
      </c>
      <c r="AO23" s="78"/>
      <c r="AP23" s="70">
        <v>41243</v>
      </c>
      <c r="AQ23" s="72">
        <f t="shared" si="7"/>
        <v>233240</v>
      </c>
      <c r="AR23" s="72">
        <v>220500</v>
      </c>
      <c r="AS23" s="72">
        <v>12740</v>
      </c>
      <c r="AT23" s="72">
        <v>30</v>
      </c>
      <c r="AU23" s="72">
        <f t="shared" si="8"/>
        <v>233240</v>
      </c>
      <c r="AV23" s="72">
        <v>8158500</v>
      </c>
      <c r="AW23" s="78">
        <v>19</v>
      </c>
      <c r="AX23" s="70">
        <v>41238</v>
      </c>
      <c r="AY23" s="72"/>
      <c r="AZ23" s="72"/>
      <c r="BA23" s="72"/>
      <c r="BB23" s="72"/>
      <c r="BC23" s="81"/>
      <c r="BD23" s="81"/>
      <c r="BE23" s="78"/>
      <c r="BF23" s="70"/>
      <c r="BG23" s="72"/>
      <c r="BH23" s="72"/>
      <c r="BI23" s="72"/>
      <c r="BJ23" s="72"/>
      <c r="BK23" s="81"/>
      <c r="BL23" s="81"/>
      <c r="BM23" s="78"/>
      <c r="BN23" s="70"/>
      <c r="BO23" s="72"/>
      <c r="BP23" s="72"/>
      <c r="BQ23" s="72"/>
      <c r="BR23" s="72"/>
      <c r="BS23" s="81"/>
      <c r="BT23" s="81"/>
    </row>
    <row r="24" spans="1:72">
      <c r="A24" s="78">
        <v>20</v>
      </c>
      <c r="B24" s="70">
        <v>41268</v>
      </c>
      <c r="C24" s="72"/>
      <c r="D24" s="99">
        <f t="shared" si="15"/>
        <v>754006</v>
      </c>
      <c r="E24" s="99">
        <f t="shared" si="16"/>
        <v>134655</v>
      </c>
      <c r="F24" s="99">
        <f t="shared" si="11"/>
        <v>120</v>
      </c>
      <c r="G24" s="100">
        <f t="shared" si="12"/>
        <v>655343</v>
      </c>
      <c r="H24" s="100">
        <f t="shared" si="13"/>
        <v>98346800</v>
      </c>
      <c r="I24" s="78">
        <v>20</v>
      </c>
      <c r="J24" s="70">
        <v>41268</v>
      </c>
      <c r="K24" s="72">
        <f t="shared" si="14"/>
        <v>405052</v>
      </c>
      <c r="L24" s="72">
        <v>241566</v>
      </c>
      <c r="M24" s="72">
        <v>23403</v>
      </c>
      <c r="N24" s="72">
        <v>30</v>
      </c>
      <c r="O24" s="72">
        <f t="shared" si="0"/>
        <v>264969</v>
      </c>
      <c r="P24" s="72">
        <v>9662640</v>
      </c>
      <c r="Q24" s="78"/>
      <c r="R24" s="70">
        <v>41268</v>
      </c>
      <c r="S24" s="72">
        <f t="shared" si="1"/>
        <v>306159</v>
      </c>
      <c r="T24" s="72">
        <v>140083</v>
      </c>
      <c r="U24" s="72">
        <v>14219</v>
      </c>
      <c r="V24" s="72">
        <v>30</v>
      </c>
      <c r="W24" s="72">
        <f t="shared" si="2"/>
        <v>154302</v>
      </c>
      <c r="X24" s="72">
        <v>8965312</v>
      </c>
      <c r="Y24" s="83">
        <v>20</v>
      </c>
      <c r="Z24" s="70">
        <v>41268</v>
      </c>
      <c r="AA24" s="72">
        <f t="shared" si="3"/>
        <v>169908</v>
      </c>
      <c r="AB24" s="72">
        <v>151857</v>
      </c>
      <c r="AC24" s="72">
        <v>18051</v>
      </c>
      <c r="AD24" s="72">
        <v>30</v>
      </c>
      <c r="AE24" s="72">
        <f t="shared" si="4"/>
        <v>169908</v>
      </c>
      <c r="AF24" s="72">
        <v>9718848</v>
      </c>
      <c r="AG24" s="78"/>
      <c r="AH24" s="70">
        <v>41253</v>
      </c>
      <c r="AI24" s="72">
        <f t="shared" si="5"/>
        <v>286664</v>
      </c>
      <c r="AJ24" s="72">
        <v>0</v>
      </c>
      <c r="AK24" s="72">
        <v>66164</v>
      </c>
      <c r="AL24" s="72">
        <v>30</v>
      </c>
      <c r="AM24" s="72">
        <f t="shared" si="6"/>
        <v>66164</v>
      </c>
      <c r="AN24" s="72">
        <v>70000000</v>
      </c>
      <c r="AO24" s="78"/>
      <c r="AP24" s="70">
        <v>41274</v>
      </c>
      <c r="AQ24" s="72">
        <f t="shared" si="7"/>
        <v>233318</v>
      </c>
      <c r="AR24" s="72">
        <v>220500</v>
      </c>
      <c r="AS24" s="72">
        <v>12818</v>
      </c>
      <c r="AT24" s="72">
        <v>31</v>
      </c>
      <c r="AU24" s="72">
        <f t="shared" si="8"/>
        <v>233318</v>
      </c>
      <c r="AV24" s="72">
        <v>7938000</v>
      </c>
      <c r="AW24" s="78">
        <v>20</v>
      </c>
      <c r="AX24" s="70">
        <v>41268</v>
      </c>
      <c r="AY24" s="72"/>
      <c r="AZ24" s="72"/>
      <c r="BA24" s="72"/>
      <c r="BB24" s="72"/>
      <c r="BC24" s="81"/>
      <c r="BD24" s="81"/>
      <c r="BE24" s="78"/>
      <c r="BF24" s="70"/>
      <c r="BG24" s="72"/>
      <c r="BH24" s="72"/>
      <c r="BI24" s="72"/>
      <c r="BJ24" s="72"/>
      <c r="BK24" s="81"/>
      <c r="BL24" s="81"/>
      <c r="BM24" s="78"/>
      <c r="BN24" s="70"/>
      <c r="BO24" s="72"/>
      <c r="BP24" s="72"/>
      <c r="BQ24" s="72"/>
      <c r="BR24" s="72"/>
      <c r="BS24" s="81"/>
      <c r="BT24" s="81"/>
    </row>
    <row r="25" spans="1:72">
      <c r="A25" s="78">
        <v>21</v>
      </c>
      <c r="B25" s="70">
        <v>41299</v>
      </c>
      <c r="C25" s="72"/>
      <c r="D25" s="99">
        <f t="shared" si="15"/>
        <v>754006</v>
      </c>
      <c r="E25" s="99">
        <f t="shared" si="16"/>
        <v>137266</v>
      </c>
      <c r="F25" s="99">
        <f t="shared" si="11"/>
        <v>124</v>
      </c>
      <c r="G25" s="100">
        <f t="shared" si="12"/>
        <v>658300</v>
      </c>
      <c r="H25" s="100">
        <f t="shared" si="13"/>
        <v>97813294</v>
      </c>
      <c r="I25" s="78">
        <v>21</v>
      </c>
      <c r="J25" s="70">
        <v>41299</v>
      </c>
      <c r="K25" s="72">
        <f t="shared" si="14"/>
        <v>405242</v>
      </c>
      <c r="L25" s="72">
        <v>241566</v>
      </c>
      <c r="M25" s="72">
        <v>23593</v>
      </c>
      <c r="N25" s="72">
        <v>31</v>
      </c>
      <c r="O25" s="72">
        <f t="shared" si="0"/>
        <v>265159</v>
      </c>
      <c r="P25" s="72">
        <v>9421074</v>
      </c>
      <c r="Q25" s="78"/>
      <c r="R25" s="70">
        <v>41299</v>
      </c>
      <c r="S25" s="72">
        <f t="shared" si="1"/>
        <v>306407</v>
      </c>
      <c r="T25" s="72">
        <v>140083</v>
      </c>
      <c r="U25" s="72">
        <v>14467</v>
      </c>
      <c r="V25" s="72">
        <v>31</v>
      </c>
      <c r="W25" s="72">
        <f t="shared" si="2"/>
        <v>154550</v>
      </c>
      <c r="X25" s="72">
        <v>8825229</v>
      </c>
      <c r="Y25" s="83">
        <v>21</v>
      </c>
      <c r="Z25" s="70">
        <v>41299</v>
      </c>
      <c r="AA25" s="72">
        <f t="shared" si="3"/>
        <v>170222</v>
      </c>
      <c r="AB25" s="72">
        <v>151857</v>
      </c>
      <c r="AC25" s="72">
        <v>18365</v>
      </c>
      <c r="AD25" s="72">
        <v>31</v>
      </c>
      <c r="AE25" s="72">
        <f t="shared" si="4"/>
        <v>170222</v>
      </c>
      <c r="AF25" s="72">
        <v>9566991</v>
      </c>
      <c r="AG25" s="78"/>
      <c r="AH25" s="70">
        <v>41284</v>
      </c>
      <c r="AI25" s="72">
        <f t="shared" si="5"/>
        <v>288869</v>
      </c>
      <c r="AJ25" s="72">
        <v>0</v>
      </c>
      <c r="AK25" s="72">
        <v>68369</v>
      </c>
      <c r="AL25" s="72">
        <v>31</v>
      </c>
      <c r="AM25" s="72">
        <f t="shared" si="6"/>
        <v>68369</v>
      </c>
      <c r="AN25" s="72">
        <v>70000000</v>
      </c>
      <c r="AO25" s="78"/>
      <c r="AP25" s="70">
        <v>41305</v>
      </c>
      <c r="AQ25" s="72">
        <f t="shared" si="7"/>
        <v>232972</v>
      </c>
      <c r="AR25" s="72">
        <v>220500</v>
      </c>
      <c r="AS25" s="72">
        <v>12472</v>
      </c>
      <c r="AT25" s="72">
        <v>31</v>
      </c>
      <c r="AU25" s="72">
        <f t="shared" si="8"/>
        <v>232972</v>
      </c>
      <c r="AV25" s="72">
        <v>7717500</v>
      </c>
      <c r="AW25" s="78">
        <v>21</v>
      </c>
      <c r="AX25" s="70">
        <v>41299</v>
      </c>
      <c r="AY25" s="72"/>
      <c r="AZ25" s="72"/>
      <c r="BA25" s="72"/>
      <c r="BB25" s="72"/>
      <c r="BC25" s="81"/>
      <c r="BD25" s="81"/>
      <c r="BE25" s="78"/>
      <c r="BF25" s="70"/>
      <c r="BG25" s="72"/>
      <c r="BH25" s="72"/>
      <c r="BI25" s="72"/>
      <c r="BJ25" s="72"/>
      <c r="BK25" s="81"/>
      <c r="BL25" s="81"/>
      <c r="BM25" s="78"/>
      <c r="BN25" s="70"/>
      <c r="BO25" s="72"/>
      <c r="BP25" s="72"/>
      <c r="BQ25" s="72"/>
      <c r="BR25" s="72"/>
      <c r="BS25" s="81"/>
      <c r="BT25" s="81"/>
    </row>
    <row r="26" spans="1:72">
      <c r="A26" s="78">
        <v>22</v>
      </c>
      <c r="B26" s="70">
        <v>41330</v>
      </c>
      <c r="C26" s="72"/>
      <c r="D26" s="99">
        <f t="shared" si="15"/>
        <v>754006</v>
      </c>
      <c r="E26" s="99">
        <f t="shared" si="16"/>
        <v>134644</v>
      </c>
      <c r="F26" s="99">
        <f t="shared" si="11"/>
        <v>124</v>
      </c>
      <c r="G26" s="100">
        <f t="shared" si="12"/>
        <v>657198</v>
      </c>
      <c r="H26" s="100">
        <f t="shared" si="13"/>
        <v>97279788</v>
      </c>
      <c r="I26" s="78">
        <v>22</v>
      </c>
      <c r="J26" s="70">
        <v>41330</v>
      </c>
      <c r="K26" s="72">
        <f t="shared" si="14"/>
        <v>404653</v>
      </c>
      <c r="L26" s="72">
        <v>241566</v>
      </c>
      <c r="M26" s="72">
        <v>23004</v>
      </c>
      <c r="N26" s="72">
        <v>31</v>
      </c>
      <c r="O26" s="72">
        <f t="shared" si="0"/>
        <v>264570</v>
      </c>
      <c r="P26" s="72">
        <v>9179508</v>
      </c>
      <c r="Q26" s="78"/>
      <c r="R26" s="70">
        <v>41330</v>
      </c>
      <c r="S26" s="72">
        <f t="shared" si="1"/>
        <v>306181</v>
      </c>
      <c r="T26" s="72">
        <v>140083</v>
      </c>
      <c r="U26" s="72">
        <v>14241</v>
      </c>
      <c r="V26" s="72">
        <v>31</v>
      </c>
      <c r="W26" s="72">
        <f t="shared" si="2"/>
        <v>154324</v>
      </c>
      <c r="X26" s="72">
        <v>8685146</v>
      </c>
      <c r="Y26" s="83">
        <v>22</v>
      </c>
      <c r="Z26" s="70">
        <v>41330</v>
      </c>
      <c r="AA26" s="72">
        <f t="shared" si="3"/>
        <v>169935</v>
      </c>
      <c r="AB26" s="72">
        <v>151857</v>
      </c>
      <c r="AC26" s="72">
        <v>18078</v>
      </c>
      <c r="AD26" s="72">
        <v>31</v>
      </c>
      <c r="AE26" s="72">
        <f t="shared" si="4"/>
        <v>169935</v>
      </c>
      <c r="AF26" s="72">
        <v>9415134</v>
      </c>
      <c r="AG26" s="78"/>
      <c r="AH26" s="70">
        <v>41315</v>
      </c>
      <c r="AI26" s="72">
        <f t="shared" si="5"/>
        <v>288869</v>
      </c>
      <c r="AJ26" s="72">
        <v>0</v>
      </c>
      <c r="AK26" s="72">
        <v>68369</v>
      </c>
      <c r="AL26" s="72">
        <v>31</v>
      </c>
      <c r="AM26" s="72">
        <f t="shared" si="6"/>
        <v>68369</v>
      </c>
      <c r="AN26" s="72">
        <v>70000000</v>
      </c>
      <c r="AO26" s="78"/>
      <c r="AP26" s="70">
        <v>41333</v>
      </c>
      <c r="AQ26" s="72">
        <f t="shared" si="7"/>
        <v>231452</v>
      </c>
      <c r="AR26" s="72">
        <v>220500</v>
      </c>
      <c r="AS26" s="72">
        <v>10952</v>
      </c>
      <c r="AT26" s="72">
        <v>28</v>
      </c>
      <c r="AU26" s="72">
        <f t="shared" si="8"/>
        <v>231452</v>
      </c>
      <c r="AV26" s="72">
        <v>7497000</v>
      </c>
      <c r="AW26" s="78">
        <v>22</v>
      </c>
      <c r="AX26" s="70">
        <v>41330</v>
      </c>
      <c r="AY26" s="72"/>
      <c r="AZ26" s="72"/>
      <c r="BA26" s="72"/>
      <c r="BB26" s="72"/>
      <c r="BC26" s="81"/>
      <c r="BD26" s="81"/>
      <c r="BE26" s="78"/>
      <c r="BF26" s="70"/>
      <c r="BG26" s="72"/>
      <c r="BH26" s="72"/>
      <c r="BI26" s="72"/>
      <c r="BJ26" s="72"/>
      <c r="BK26" s="81"/>
      <c r="BL26" s="81"/>
      <c r="BM26" s="78"/>
      <c r="BN26" s="70"/>
      <c r="BO26" s="72"/>
      <c r="BP26" s="72"/>
      <c r="BQ26" s="72"/>
      <c r="BR26" s="72"/>
      <c r="BS26" s="81"/>
      <c r="BT26" s="81"/>
    </row>
    <row r="27" spans="1:72">
      <c r="A27" s="78">
        <v>23</v>
      </c>
      <c r="B27" s="70">
        <v>41358</v>
      </c>
      <c r="C27" s="72"/>
      <c r="D27" s="99">
        <f t="shared" si="15"/>
        <v>754006</v>
      </c>
      <c r="E27" s="99">
        <f t="shared" si="16"/>
        <v>3062505</v>
      </c>
      <c r="F27" s="99">
        <f t="shared" si="11"/>
        <v>112</v>
      </c>
      <c r="G27" s="100">
        <f t="shared" si="12"/>
        <v>644232</v>
      </c>
      <c r="H27" s="100">
        <f t="shared" si="13"/>
        <v>96746282</v>
      </c>
      <c r="I27" s="78">
        <v>23</v>
      </c>
      <c r="J27" s="70">
        <v>41358</v>
      </c>
      <c r="K27" s="72">
        <f t="shared" si="14"/>
        <v>401894</v>
      </c>
      <c r="L27" s="72">
        <v>241566</v>
      </c>
      <c r="M27" s="72">
        <v>20245</v>
      </c>
      <c r="N27" s="72">
        <v>28</v>
      </c>
      <c r="O27" s="72">
        <f t="shared" si="0"/>
        <v>261811</v>
      </c>
      <c r="P27" s="72">
        <v>8937942</v>
      </c>
      <c r="Q27" s="78"/>
      <c r="R27" s="70">
        <v>41358</v>
      </c>
      <c r="S27" s="72">
        <f t="shared" si="1"/>
        <v>304598</v>
      </c>
      <c r="T27" s="72">
        <v>140083</v>
      </c>
      <c r="U27" s="72">
        <v>12658</v>
      </c>
      <c r="V27" s="72">
        <v>28</v>
      </c>
      <c r="W27" s="72">
        <f t="shared" si="2"/>
        <v>152741</v>
      </c>
      <c r="X27" s="72">
        <v>8545063</v>
      </c>
      <c r="Y27" s="83">
        <v>23</v>
      </c>
      <c r="Z27" s="70">
        <v>41358</v>
      </c>
      <c r="AA27" s="72">
        <f t="shared" si="3"/>
        <v>167927</v>
      </c>
      <c r="AB27" s="72">
        <v>151857</v>
      </c>
      <c r="AC27" s="72">
        <v>16070</v>
      </c>
      <c r="AD27" s="72">
        <v>28</v>
      </c>
      <c r="AE27" s="72">
        <f t="shared" si="4"/>
        <v>167927</v>
      </c>
      <c r="AF27" s="72">
        <v>9263277</v>
      </c>
      <c r="AG27" s="78"/>
      <c r="AH27" s="70">
        <v>41343</v>
      </c>
      <c r="AI27" s="72">
        <f t="shared" si="5"/>
        <v>282253</v>
      </c>
      <c r="AJ27" s="72">
        <v>0</v>
      </c>
      <c r="AK27" s="72">
        <v>61753</v>
      </c>
      <c r="AL27" s="72">
        <v>28</v>
      </c>
      <c r="AM27" s="72">
        <f t="shared" si="6"/>
        <v>61753</v>
      </c>
      <c r="AN27" s="72">
        <v>70000000</v>
      </c>
      <c r="AO27" s="78"/>
      <c r="AP27" s="70">
        <v>41364</v>
      </c>
      <c r="AQ27" s="72">
        <f t="shared" si="7"/>
        <v>232279</v>
      </c>
      <c r="AR27" s="72">
        <v>220500</v>
      </c>
      <c r="AS27" s="72">
        <v>11779</v>
      </c>
      <c r="AT27" s="72">
        <v>31</v>
      </c>
      <c r="AU27" s="72">
        <f t="shared" si="8"/>
        <v>232279</v>
      </c>
      <c r="AV27" s="72">
        <v>7276500</v>
      </c>
      <c r="AW27" s="78">
        <v>23</v>
      </c>
      <c r="AX27" s="70">
        <v>41358</v>
      </c>
      <c r="AY27" s="72"/>
      <c r="AZ27" s="72"/>
      <c r="BA27" s="72">
        <v>2940000</v>
      </c>
      <c r="BB27" s="72"/>
      <c r="BC27" s="81"/>
      <c r="BD27" s="81"/>
      <c r="BE27" s="78"/>
      <c r="BF27" s="70"/>
      <c r="BG27" s="72"/>
      <c r="BH27" s="72"/>
      <c r="BI27" s="72"/>
      <c r="BJ27" s="72"/>
      <c r="BK27" s="81"/>
      <c r="BL27" s="81"/>
      <c r="BM27" s="78"/>
      <c r="BN27" s="70"/>
      <c r="BO27" s="72"/>
      <c r="BP27" s="72"/>
      <c r="BQ27" s="72"/>
      <c r="BR27" s="72"/>
      <c r="BS27" s="81"/>
      <c r="BT27" s="81"/>
    </row>
    <row r="28" spans="1:72">
      <c r="A28" s="78">
        <v>24</v>
      </c>
      <c r="B28" s="70">
        <v>41389</v>
      </c>
      <c r="C28" s="72"/>
      <c r="D28" s="99">
        <f t="shared" si="15"/>
        <v>754006</v>
      </c>
      <c r="E28" s="99">
        <f t="shared" si="16"/>
        <v>132550</v>
      </c>
      <c r="F28" s="99">
        <f t="shared" si="11"/>
        <v>124</v>
      </c>
      <c r="G28" s="100">
        <f t="shared" si="12"/>
        <v>654992</v>
      </c>
      <c r="H28" s="100">
        <f t="shared" si="13"/>
        <v>96212776</v>
      </c>
      <c r="I28" s="78">
        <v>24</v>
      </c>
      <c r="J28" s="70">
        <v>41389</v>
      </c>
      <c r="K28" s="72">
        <f t="shared" si="14"/>
        <v>403473</v>
      </c>
      <c r="L28" s="72">
        <v>241566</v>
      </c>
      <c r="M28" s="72">
        <v>21824</v>
      </c>
      <c r="N28" s="72">
        <v>31</v>
      </c>
      <c r="O28" s="72">
        <f t="shared" si="0"/>
        <v>263390</v>
      </c>
      <c r="P28" s="72">
        <v>8696376</v>
      </c>
      <c r="Q28" s="78"/>
      <c r="R28" s="70">
        <v>41389</v>
      </c>
      <c r="S28" s="72">
        <f t="shared" si="1"/>
        <v>305729</v>
      </c>
      <c r="T28" s="72">
        <v>140083</v>
      </c>
      <c r="U28" s="72">
        <v>13789</v>
      </c>
      <c r="V28" s="72">
        <v>31</v>
      </c>
      <c r="W28" s="72">
        <f t="shared" si="2"/>
        <v>153872</v>
      </c>
      <c r="X28" s="72">
        <v>8404980</v>
      </c>
      <c r="Y28" s="83">
        <v>24</v>
      </c>
      <c r="Z28" s="70">
        <v>41389</v>
      </c>
      <c r="AA28" s="72">
        <f t="shared" si="3"/>
        <v>169361</v>
      </c>
      <c r="AB28" s="72">
        <v>151857</v>
      </c>
      <c r="AC28" s="72">
        <v>17504</v>
      </c>
      <c r="AD28" s="72">
        <v>31</v>
      </c>
      <c r="AE28" s="72">
        <f t="shared" si="4"/>
        <v>169361</v>
      </c>
      <c r="AF28" s="72">
        <v>9111420</v>
      </c>
      <c r="AG28" s="78"/>
      <c r="AH28" s="70">
        <v>41374</v>
      </c>
      <c r="AI28" s="72">
        <f t="shared" si="5"/>
        <v>288869</v>
      </c>
      <c r="AJ28" s="72">
        <v>0</v>
      </c>
      <c r="AK28" s="72">
        <v>68369</v>
      </c>
      <c r="AL28" s="72">
        <v>31</v>
      </c>
      <c r="AM28" s="72">
        <f t="shared" si="6"/>
        <v>68369</v>
      </c>
      <c r="AN28" s="72">
        <v>70000000</v>
      </c>
      <c r="AO28" s="78"/>
      <c r="AP28" s="70">
        <v>41394</v>
      </c>
      <c r="AQ28" s="72">
        <f t="shared" si="7"/>
        <v>231564</v>
      </c>
      <c r="AR28" s="72">
        <v>220500</v>
      </c>
      <c r="AS28" s="72">
        <v>11064</v>
      </c>
      <c r="AT28" s="72">
        <v>30</v>
      </c>
      <c r="AU28" s="72">
        <f t="shared" si="8"/>
        <v>231564</v>
      </c>
      <c r="AV28" s="72">
        <v>7056000</v>
      </c>
      <c r="AW28" s="78">
        <v>24</v>
      </c>
      <c r="AX28" s="70">
        <v>41389</v>
      </c>
      <c r="AY28" s="72"/>
      <c r="AZ28" s="72"/>
      <c r="BA28" s="72"/>
      <c r="BB28" s="72"/>
      <c r="BC28" s="81"/>
      <c r="BD28" s="81"/>
      <c r="BE28" s="78"/>
      <c r="BF28" s="70"/>
      <c r="BG28" s="72"/>
      <c r="BH28" s="72"/>
      <c r="BI28" s="72"/>
      <c r="BJ28" s="72"/>
      <c r="BK28" s="81"/>
      <c r="BL28" s="81"/>
      <c r="BM28" s="78"/>
      <c r="BN28" s="70"/>
      <c r="BO28" s="72"/>
      <c r="BP28" s="72"/>
      <c r="BQ28" s="72"/>
      <c r="BR28" s="72"/>
      <c r="BS28" s="81"/>
      <c r="BT28" s="81"/>
    </row>
    <row r="29" spans="1:72">
      <c r="A29" s="78">
        <v>25</v>
      </c>
      <c r="B29" s="70">
        <v>41419</v>
      </c>
      <c r="C29" s="72"/>
      <c r="D29" s="99">
        <f t="shared" si="15"/>
        <v>754006</v>
      </c>
      <c r="E29" s="99">
        <f t="shared" si="16"/>
        <v>127586</v>
      </c>
      <c r="F29" s="99">
        <f t="shared" si="11"/>
        <v>120</v>
      </c>
      <c r="G29" s="100">
        <f t="shared" si="12"/>
        <v>650006</v>
      </c>
      <c r="H29" s="100">
        <f t="shared" si="13"/>
        <v>95679270</v>
      </c>
      <c r="I29" s="78">
        <v>25</v>
      </c>
      <c r="J29" s="70">
        <v>41419</v>
      </c>
      <c r="K29" s="72">
        <f t="shared" si="14"/>
        <v>402198</v>
      </c>
      <c r="L29" s="72">
        <v>241566</v>
      </c>
      <c r="M29" s="72">
        <v>20549</v>
      </c>
      <c r="N29" s="72">
        <v>30</v>
      </c>
      <c r="O29" s="72">
        <f t="shared" si="0"/>
        <v>262115</v>
      </c>
      <c r="P29" s="72">
        <v>8454810</v>
      </c>
      <c r="Q29" s="78"/>
      <c r="R29" s="70">
        <v>41419</v>
      </c>
      <c r="S29" s="72">
        <f t="shared" si="1"/>
        <v>305065</v>
      </c>
      <c r="T29" s="72">
        <v>140083</v>
      </c>
      <c r="U29" s="72">
        <v>13125</v>
      </c>
      <c r="V29" s="72">
        <v>30</v>
      </c>
      <c r="W29" s="72">
        <f t="shared" si="2"/>
        <v>153208</v>
      </c>
      <c r="X29" s="72">
        <v>8264897</v>
      </c>
      <c r="Y29" s="83">
        <v>25</v>
      </c>
      <c r="Z29" s="70">
        <v>41419</v>
      </c>
      <c r="AA29" s="72">
        <f t="shared" si="3"/>
        <v>168519</v>
      </c>
      <c r="AB29" s="72">
        <v>151857</v>
      </c>
      <c r="AC29" s="72">
        <v>16662</v>
      </c>
      <c r="AD29" s="72">
        <v>30</v>
      </c>
      <c r="AE29" s="72">
        <f t="shared" si="4"/>
        <v>168519</v>
      </c>
      <c r="AF29" s="72">
        <v>8959563</v>
      </c>
      <c r="AG29" s="78"/>
      <c r="AH29" s="70">
        <v>41404</v>
      </c>
      <c r="AI29" s="72">
        <f t="shared" si="5"/>
        <v>286664</v>
      </c>
      <c r="AJ29" s="72">
        <v>0</v>
      </c>
      <c r="AK29" s="72">
        <v>66164</v>
      </c>
      <c r="AL29" s="72">
        <v>30</v>
      </c>
      <c r="AM29" s="72">
        <f t="shared" si="6"/>
        <v>66164</v>
      </c>
      <c r="AN29" s="72">
        <v>70000000</v>
      </c>
      <c r="AO29" s="78"/>
      <c r="AP29" s="70">
        <v>41425</v>
      </c>
      <c r="AQ29" s="72">
        <f t="shared" si="7"/>
        <v>231586</v>
      </c>
      <c r="AR29" s="72">
        <v>220500</v>
      </c>
      <c r="AS29" s="72">
        <v>11086</v>
      </c>
      <c r="AT29" s="72">
        <v>31</v>
      </c>
      <c r="AU29" s="72">
        <f t="shared" si="8"/>
        <v>231586</v>
      </c>
      <c r="AV29" s="72">
        <v>6835500</v>
      </c>
      <c r="AW29" s="78">
        <v>25</v>
      </c>
      <c r="AX29" s="70">
        <v>41419</v>
      </c>
      <c r="AY29" s="72"/>
      <c r="AZ29" s="72"/>
      <c r="BA29" s="72"/>
      <c r="BB29" s="72"/>
      <c r="BC29" s="81"/>
      <c r="BD29" s="81"/>
      <c r="BE29" s="78"/>
      <c r="BF29" s="70"/>
      <c r="BG29" s="72"/>
      <c r="BH29" s="72"/>
      <c r="BI29" s="72"/>
      <c r="BJ29" s="72"/>
      <c r="BK29" s="81"/>
      <c r="BL29" s="81"/>
      <c r="BM29" s="78"/>
      <c r="BN29" s="70"/>
      <c r="BO29" s="72"/>
      <c r="BP29" s="72"/>
      <c r="BQ29" s="72"/>
      <c r="BR29" s="72"/>
      <c r="BS29" s="81"/>
      <c r="BT29" s="81"/>
    </row>
    <row r="30" spans="1:72">
      <c r="A30" s="78">
        <v>26</v>
      </c>
      <c r="B30" s="70">
        <v>41450</v>
      </c>
      <c r="C30" s="72"/>
      <c r="D30" s="99">
        <f t="shared" si="15"/>
        <v>754006</v>
      </c>
      <c r="E30" s="99">
        <f t="shared" si="16"/>
        <v>129673</v>
      </c>
      <c r="F30" s="99">
        <f t="shared" si="11"/>
        <v>124</v>
      </c>
      <c r="G30" s="100">
        <f t="shared" si="12"/>
        <v>652786</v>
      </c>
      <c r="H30" s="100">
        <f t="shared" si="13"/>
        <v>95145764</v>
      </c>
      <c r="I30" s="78">
        <v>26</v>
      </c>
      <c r="J30" s="70">
        <v>41450</v>
      </c>
      <c r="K30" s="72">
        <f t="shared" si="14"/>
        <v>402293</v>
      </c>
      <c r="L30" s="72">
        <v>241566</v>
      </c>
      <c r="M30" s="72">
        <v>20644</v>
      </c>
      <c r="N30" s="72">
        <v>31</v>
      </c>
      <c r="O30" s="72">
        <f t="shared" si="0"/>
        <v>262210</v>
      </c>
      <c r="P30" s="72">
        <v>8213244</v>
      </c>
      <c r="Q30" s="78"/>
      <c r="R30" s="70">
        <v>41450</v>
      </c>
      <c r="S30" s="72">
        <f t="shared" si="1"/>
        <v>305276</v>
      </c>
      <c r="T30" s="72">
        <v>140083</v>
      </c>
      <c r="U30" s="72">
        <v>13336</v>
      </c>
      <c r="V30" s="72">
        <v>31</v>
      </c>
      <c r="W30" s="72">
        <f t="shared" si="2"/>
        <v>153419</v>
      </c>
      <c r="X30" s="72">
        <v>8124814</v>
      </c>
      <c r="Y30" s="83">
        <v>26</v>
      </c>
      <c r="Z30" s="70">
        <v>41450</v>
      </c>
      <c r="AA30" s="72">
        <f t="shared" si="3"/>
        <v>168788</v>
      </c>
      <c r="AB30" s="72">
        <v>151857</v>
      </c>
      <c r="AC30" s="72">
        <v>16931</v>
      </c>
      <c r="AD30" s="72">
        <v>31</v>
      </c>
      <c r="AE30" s="72">
        <f t="shared" si="4"/>
        <v>168788</v>
      </c>
      <c r="AF30" s="72">
        <v>8807706</v>
      </c>
      <c r="AG30" s="78"/>
      <c r="AH30" s="70">
        <v>41435</v>
      </c>
      <c r="AI30" s="72">
        <f t="shared" si="5"/>
        <v>288869</v>
      </c>
      <c r="AJ30" s="72">
        <v>0</v>
      </c>
      <c r="AK30" s="72">
        <v>68369</v>
      </c>
      <c r="AL30" s="72">
        <v>31</v>
      </c>
      <c r="AM30" s="72">
        <f t="shared" si="6"/>
        <v>68369</v>
      </c>
      <c r="AN30" s="72">
        <v>70000000</v>
      </c>
      <c r="AO30" s="78"/>
      <c r="AP30" s="70">
        <v>41455</v>
      </c>
      <c r="AQ30" s="72">
        <f t="shared" si="7"/>
        <v>230893</v>
      </c>
      <c r="AR30" s="72">
        <v>220500</v>
      </c>
      <c r="AS30" s="72">
        <v>10393</v>
      </c>
      <c r="AT30" s="72">
        <v>30</v>
      </c>
      <c r="AU30" s="72">
        <f t="shared" si="8"/>
        <v>230893</v>
      </c>
      <c r="AV30" s="72">
        <v>6615000</v>
      </c>
      <c r="AW30" s="78">
        <v>26</v>
      </c>
      <c r="AX30" s="70">
        <v>41450</v>
      </c>
      <c r="AY30" s="72"/>
      <c r="AZ30" s="72"/>
      <c r="BA30" s="72"/>
      <c r="BB30" s="72"/>
      <c r="BC30" s="81"/>
      <c r="BD30" s="81"/>
      <c r="BE30" s="78"/>
      <c r="BF30" s="70"/>
      <c r="BG30" s="72"/>
      <c r="BH30" s="72"/>
      <c r="BI30" s="72"/>
      <c r="BJ30" s="72"/>
      <c r="BK30" s="81"/>
      <c r="BL30" s="81"/>
      <c r="BM30" s="78"/>
      <c r="BN30" s="70"/>
      <c r="BO30" s="72"/>
      <c r="BP30" s="72"/>
      <c r="BQ30" s="72"/>
      <c r="BR30" s="72"/>
      <c r="BS30" s="81"/>
      <c r="BT30" s="81"/>
    </row>
    <row r="31" spans="1:72">
      <c r="A31" s="78">
        <v>27</v>
      </c>
      <c r="B31" s="70">
        <v>41480</v>
      </c>
      <c r="C31" s="72"/>
      <c r="D31" s="99">
        <f t="shared" si="15"/>
        <v>1332566</v>
      </c>
      <c r="E31" s="99">
        <f t="shared" si="16"/>
        <v>124759</v>
      </c>
      <c r="F31" s="99">
        <f t="shared" si="11"/>
        <v>120</v>
      </c>
      <c r="G31" s="100">
        <f t="shared" si="12"/>
        <v>1226432</v>
      </c>
      <c r="H31" s="100">
        <f t="shared" si="13"/>
        <v>94033698</v>
      </c>
      <c r="I31" s="78">
        <v>27</v>
      </c>
      <c r="J31" s="70">
        <v>41480</v>
      </c>
      <c r="K31" s="72">
        <f t="shared" si="14"/>
        <v>401056</v>
      </c>
      <c r="L31" s="72">
        <v>241566</v>
      </c>
      <c r="M31" s="72">
        <v>19407</v>
      </c>
      <c r="N31" s="72">
        <v>30</v>
      </c>
      <c r="O31" s="72">
        <f t="shared" si="0"/>
        <v>260973</v>
      </c>
      <c r="P31" s="72">
        <v>7971678</v>
      </c>
      <c r="Q31" s="78"/>
      <c r="R31" s="70">
        <v>41480</v>
      </c>
      <c r="S31" s="72">
        <f t="shared" si="1"/>
        <v>304628</v>
      </c>
      <c r="T31" s="72">
        <v>140083</v>
      </c>
      <c r="U31" s="72">
        <v>12688</v>
      </c>
      <c r="V31" s="72">
        <v>30</v>
      </c>
      <c r="W31" s="72">
        <f t="shared" si="2"/>
        <v>152771</v>
      </c>
      <c r="X31" s="72">
        <v>7984731</v>
      </c>
      <c r="Y31" s="83">
        <v>27</v>
      </c>
      <c r="Z31" s="70">
        <v>41480</v>
      </c>
      <c r="AA31" s="72">
        <f t="shared" si="3"/>
        <v>746524</v>
      </c>
      <c r="AB31" s="72">
        <v>151857</v>
      </c>
      <c r="AC31" s="72">
        <v>16107</v>
      </c>
      <c r="AD31" s="72">
        <v>30</v>
      </c>
      <c r="AE31" s="72">
        <f t="shared" si="4"/>
        <v>167964</v>
      </c>
      <c r="AF31" s="72">
        <v>8655849</v>
      </c>
      <c r="AG31" s="78"/>
      <c r="AH31" s="70">
        <v>41465</v>
      </c>
      <c r="AI31" s="72">
        <f t="shared" si="5"/>
        <v>865224</v>
      </c>
      <c r="AJ31" s="72">
        <v>578560</v>
      </c>
      <c r="AK31" s="72">
        <v>66164</v>
      </c>
      <c r="AL31" s="72">
        <v>30</v>
      </c>
      <c r="AM31" s="72">
        <f t="shared" si="6"/>
        <v>644724</v>
      </c>
      <c r="AN31" s="72">
        <v>69421440</v>
      </c>
      <c r="AO31" s="78"/>
      <c r="AP31" s="70">
        <v>41486</v>
      </c>
      <c r="AQ31" s="72">
        <f t="shared" si="7"/>
        <v>230893</v>
      </c>
      <c r="AR31" s="72">
        <v>220500</v>
      </c>
      <c r="AS31" s="72">
        <v>10393</v>
      </c>
      <c r="AT31" s="72">
        <v>31</v>
      </c>
      <c r="AU31" s="72">
        <f t="shared" si="8"/>
        <v>230893</v>
      </c>
      <c r="AV31" s="72">
        <v>6394500</v>
      </c>
      <c r="AW31" s="78">
        <v>27</v>
      </c>
      <c r="AX31" s="70">
        <v>41480</v>
      </c>
      <c r="AY31" s="72"/>
      <c r="AZ31" s="72"/>
      <c r="BA31" s="72"/>
      <c r="BB31" s="72"/>
      <c r="BC31" s="81"/>
      <c r="BD31" s="81"/>
      <c r="BE31" s="78"/>
      <c r="BF31" s="70"/>
      <c r="BG31" s="72"/>
      <c r="BH31" s="72"/>
      <c r="BI31" s="72"/>
      <c r="BJ31" s="72"/>
      <c r="BK31" s="81"/>
      <c r="BL31" s="81"/>
      <c r="BM31" s="78"/>
      <c r="BN31" s="70"/>
      <c r="BO31" s="72"/>
      <c r="BP31" s="72"/>
      <c r="BQ31" s="72"/>
      <c r="BR31" s="72"/>
      <c r="BS31" s="81"/>
      <c r="BT31" s="81"/>
    </row>
    <row r="32" spans="1:72">
      <c r="A32" s="78">
        <v>28</v>
      </c>
      <c r="B32" s="70">
        <v>41511</v>
      </c>
      <c r="C32" s="72"/>
      <c r="D32" s="99">
        <f t="shared" si="15"/>
        <v>1332518</v>
      </c>
      <c r="E32" s="99">
        <f t="shared" si="16"/>
        <v>126556</v>
      </c>
      <c r="F32" s="99">
        <f t="shared" si="11"/>
        <v>124</v>
      </c>
      <c r="G32" s="100">
        <f t="shared" si="12"/>
        <v>1228527</v>
      </c>
      <c r="H32" s="100">
        <f t="shared" si="13"/>
        <v>92921680</v>
      </c>
      <c r="I32" s="78">
        <v>28</v>
      </c>
      <c r="J32" s="70">
        <v>41511</v>
      </c>
      <c r="K32" s="72">
        <f t="shared" si="14"/>
        <v>401113</v>
      </c>
      <c r="L32" s="72">
        <v>241566</v>
      </c>
      <c r="M32" s="72">
        <v>19464</v>
      </c>
      <c r="N32" s="72">
        <v>31</v>
      </c>
      <c r="O32" s="72">
        <f t="shared" si="0"/>
        <v>261030</v>
      </c>
      <c r="P32" s="72">
        <v>7730112</v>
      </c>
      <c r="Q32" s="78"/>
      <c r="R32" s="70">
        <v>41511</v>
      </c>
      <c r="S32" s="72">
        <f t="shared" si="1"/>
        <v>304824</v>
      </c>
      <c r="T32" s="72">
        <v>140083</v>
      </c>
      <c r="U32" s="72">
        <v>12884</v>
      </c>
      <c r="V32" s="72">
        <v>31</v>
      </c>
      <c r="W32" s="72">
        <f t="shared" si="2"/>
        <v>152967</v>
      </c>
      <c r="X32" s="72">
        <v>7844648</v>
      </c>
      <c r="Y32" s="83">
        <v>28</v>
      </c>
      <c r="Z32" s="70">
        <v>41511</v>
      </c>
      <c r="AA32" s="72">
        <f t="shared" si="3"/>
        <v>746726</v>
      </c>
      <c r="AB32" s="72">
        <v>151857</v>
      </c>
      <c r="AC32" s="72">
        <v>16357</v>
      </c>
      <c r="AD32" s="72">
        <v>31</v>
      </c>
      <c r="AE32" s="72">
        <f t="shared" si="4"/>
        <v>168214</v>
      </c>
      <c r="AF32" s="72">
        <v>8503992</v>
      </c>
      <c r="AG32" s="78"/>
      <c r="AH32" s="70">
        <v>41496</v>
      </c>
      <c r="AI32" s="72">
        <f t="shared" si="5"/>
        <v>866816</v>
      </c>
      <c r="AJ32" s="72">
        <v>578512</v>
      </c>
      <c r="AK32" s="72">
        <v>67804</v>
      </c>
      <c r="AL32" s="72">
        <v>31</v>
      </c>
      <c r="AM32" s="72">
        <f t="shared" si="6"/>
        <v>646316</v>
      </c>
      <c r="AN32" s="72">
        <v>68842928</v>
      </c>
      <c r="AO32" s="78"/>
      <c r="AP32" s="70">
        <v>41517</v>
      </c>
      <c r="AQ32" s="72">
        <f t="shared" si="7"/>
        <v>230547</v>
      </c>
      <c r="AR32" s="72">
        <v>220500</v>
      </c>
      <c r="AS32" s="72">
        <v>10047</v>
      </c>
      <c r="AT32" s="72">
        <v>31</v>
      </c>
      <c r="AU32" s="72">
        <f t="shared" si="8"/>
        <v>230547</v>
      </c>
      <c r="AV32" s="72">
        <v>6174000</v>
      </c>
      <c r="AW32" s="78">
        <v>28</v>
      </c>
      <c r="AX32" s="70">
        <v>41511</v>
      </c>
      <c r="AY32" s="72"/>
      <c r="AZ32" s="72"/>
      <c r="BA32" s="72"/>
      <c r="BB32" s="72"/>
      <c r="BC32" s="81"/>
      <c r="BD32" s="81"/>
      <c r="BE32" s="78"/>
      <c r="BF32" s="70"/>
      <c r="BG32" s="72"/>
      <c r="BH32" s="72"/>
      <c r="BI32" s="72"/>
      <c r="BJ32" s="72"/>
      <c r="BK32" s="81"/>
      <c r="BL32" s="81"/>
      <c r="BM32" s="78"/>
      <c r="BN32" s="70"/>
      <c r="BO32" s="72"/>
      <c r="BP32" s="72"/>
      <c r="BQ32" s="72"/>
      <c r="BR32" s="72"/>
      <c r="BS32" s="81"/>
      <c r="BT32" s="81"/>
    </row>
    <row r="33" spans="1:72">
      <c r="A33" s="78">
        <v>29</v>
      </c>
      <c r="B33" s="70">
        <v>41542</v>
      </c>
      <c r="C33" s="72"/>
      <c r="D33" s="99">
        <f t="shared" ref="D33:D96" si="17">L33+T33+AB33+AJ33+AR33+AZ33+BH33+BP33</f>
        <v>1332518</v>
      </c>
      <c r="E33" s="99">
        <f t="shared" ref="E33:E96" si="18">M33+U33+AC33+AK33+AS33+BA33+BI33+BQ33</f>
        <v>3064229</v>
      </c>
      <c r="F33" s="99">
        <f t="shared" si="11"/>
        <v>124</v>
      </c>
      <c r="G33" s="100">
        <f t="shared" si="12"/>
        <v>1226860</v>
      </c>
      <c r="H33" s="100">
        <f t="shared" si="13"/>
        <v>91809662</v>
      </c>
      <c r="I33" s="78">
        <v>29</v>
      </c>
      <c r="J33" s="70">
        <v>41542</v>
      </c>
      <c r="K33" s="72">
        <f t="shared" si="14"/>
        <v>400524</v>
      </c>
      <c r="L33" s="72">
        <v>241566</v>
      </c>
      <c r="M33" s="72">
        <v>18875</v>
      </c>
      <c r="N33" s="72">
        <v>31</v>
      </c>
      <c r="O33" s="72">
        <f t="shared" si="0"/>
        <v>260441</v>
      </c>
      <c r="P33" s="72">
        <v>7488546</v>
      </c>
      <c r="Q33" s="78"/>
      <c r="R33" s="70">
        <v>41542</v>
      </c>
      <c r="S33" s="72">
        <f t="shared" si="1"/>
        <v>304598</v>
      </c>
      <c r="T33" s="72">
        <v>140083</v>
      </c>
      <c r="U33" s="72">
        <v>12658</v>
      </c>
      <c r="V33" s="72">
        <v>31</v>
      </c>
      <c r="W33" s="72">
        <f t="shared" si="2"/>
        <v>152741</v>
      </c>
      <c r="X33" s="72">
        <v>7704565</v>
      </c>
      <c r="Y33" s="83">
        <v>29</v>
      </c>
      <c r="Z33" s="70">
        <v>41542</v>
      </c>
      <c r="AA33" s="72">
        <f t="shared" si="3"/>
        <v>746439</v>
      </c>
      <c r="AB33" s="72">
        <v>151857</v>
      </c>
      <c r="AC33" s="72">
        <v>16070</v>
      </c>
      <c r="AD33" s="72">
        <v>31</v>
      </c>
      <c r="AE33" s="72">
        <f t="shared" si="4"/>
        <v>167927</v>
      </c>
      <c r="AF33" s="72">
        <v>8352135</v>
      </c>
      <c r="AG33" s="78"/>
      <c r="AH33" s="70">
        <v>41527</v>
      </c>
      <c r="AI33" s="72">
        <f t="shared" si="5"/>
        <v>866251</v>
      </c>
      <c r="AJ33" s="72">
        <v>578512</v>
      </c>
      <c r="AK33" s="72">
        <v>67239</v>
      </c>
      <c r="AL33" s="72">
        <v>31</v>
      </c>
      <c r="AM33" s="72">
        <f t="shared" si="6"/>
        <v>645751</v>
      </c>
      <c r="AN33" s="72">
        <v>68264416</v>
      </c>
      <c r="AO33" s="78"/>
      <c r="AP33" s="70">
        <v>41547</v>
      </c>
      <c r="AQ33" s="72">
        <f t="shared" si="7"/>
        <v>229887</v>
      </c>
      <c r="AR33" s="72">
        <v>220500</v>
      </c>
      <c r="AS33" s="72">
        <v>9387</v>
      </c>
      <c r="AT33" s="72">
        <v>30</v>
      </c>
      <c r="AU33" s="72">
        <f t="shared" si="8"/>
        <v>229887</v>
      </c>
      <c r="AV33" s="72">
        <v>5953500</v>
      </c>
      <c r="AW33" s="78">
        <v>29</v>
      </c>
      <c r="AX33" s="70">
        <v>41542</v>
      </c>
      <c r="AY33" s="72"/>
      <c r="AZ33" s="72"/>
      <c r="BA33" s="72">
        <v>2940000</v>
      </c>
      <c r="BB33" s="72"/>
      <c r="BC33" s="81"/>
      <c r="BD33" s="81"/>
      <c r="BE33" s="78"/>
      <c r="BF33" s="70"/>
      <c r="BG33" s="72"/>
      <c r="BH33" s="72"/>
      <c r="BI33" s="72"/>
      <c r="BJ33" s="72"/>
      <c r="BK33" s="81"/>
      <c r="BL33" s="81"/>
      <c r="BM33" s="78"/>
      <c r="BN33" s="70"/>
      <c r="BO33" s="72"/>
      <c r="BP33" s="72"/>
      <c r="BQ33" s="72"/>
      <c r="BR33" s="72"/>
      <c r="BS33" s="81"/>
      <c r="BT33" s="81"/>
    </row>
    <row r="34" spans="1:72">
      <c r="A34" s="78">
        <v>30</v>
      </c>
      <c r="B34" s="70">
        <v>41572</v>
      </c>
      <c r="C34" s="72"/>
      <c r="D34" s="99">
        <f t="shared" si="17"/>
        <v>1332518</v>
      </c>
      <c r="E34" s="99">
        <f t="shared" si="18"/>
        <v>118877</v>
      </c>
      <c r="F34" s="99">
        <f t="shared" si="11"/>
        <v>120</v>
      </c>
      <c r="G34" s="100">
        <f t="shared" si="12"/>
        <v>1221541</v>
      </c>
      <c r="H34" s="100">
        <f t="shared" si="13"/>
        <v>90697644</v>
      </c>
      <c r="I34" s="78">
        <v>30</v>
      </c>
      <c r="J34" s="70">
        <v>41572</v>
      </c>
      <c r="K34" s="72">
        <f t="shared" si="14"/>
        <v>399344</v>
      </c>
      <c r="L34" s="72">
        <v>241566</v>
      </c>
      <c r="M34" s="72">
        <v>17695</v>
      </c>
      <c r="N34" s="72">
        <v>30</v>
      </c>
      <c r="O34" s="72">
        <f t="shared" si="0"/>
        <v>259261</v>
      </c>
      <c r="P34" s="72">
        <v>7246980</v>
      </c>
      <c r="Q34" s="78"/>
      <c r="R34" s="70">
        <v>41572</v>
      </c>
      <c r="S34" s="72">
        <f t="shared" si="1"/>
        <v>303971</v>
      </c>
      <c r="T34" s="72">
        <v>140083</v>
      </c>
      <c r="U34" s="72">
        <v>12031</v>
      </c>
      <c r="V34" s="72">
        <v>30</v>
      </c>
      <c r="W34" s="72">
        <f t="shared" si="2"/>
        <v>152114</v>
      </c>
      <c r="X34" s="72">
        <v>7564482</v>
      </c>
      <c r="Y34" s="83">
        <v>30</v>
      </c>
      <c r="Z34" s="70">
        <v>41572</v>
      </c>
      <c r="AA34" s="72">
        <f t="shared" si="3"/>
        <v>745643</v>
      </c>
      <c r="AB34" s="72">
        <v>151857</v>
      </c>
      <c r="AC34" s="72">
        <v>15274</v>
      </c>
      <c r="AD34" s="72">
        <v>30</v>
      </c>
      <c r="AE34" s="72">
        <f t="shared" si="4"/>
        <v>167131</v>
      </c>
      <c r="AF34" s="72">
        <v>8200278</v>
      </c>
      <c r="AG34" s="78"/>
      <c r="AH34" s="70">
        <v>41557</v>
      </c>
      <c r="AI34" s="72">
        <f t="shared" si="5"/>
        <v>863535</v>
      </c>
      <c r="AJ34" s="72">
        <v>578512</v>
      </c>
      <c r="AK34" s="72">
        <v>64523</v>
      </c>
      <c r="AL34" s="72">
        <v>30</v>
      </c>
      <c r="AM34" s="72">
        <f t="shared" si="6"/>
        <v>643035</v>
      </c>
      <c r="AN34" s="72">
        <v>67685904</v>
      </c>
      <c r="AO34" s="78"/>
      <c r="AP34" s="70">
        <v>41578</v>
      </c>
      <c r="AQ34" s="72">
        <f t="shared" si="7"/>
        <v>229854</v>
      </c>
      <c r="AR34" s="72">
        <v>220500</v>
      </c>
      <c r="AS34" s="72">
        <v>9354</v>
      </c>
      <c r="AT34" s="72">
        <v>31</v>
      </c>
      <c r="AU34" s="72">
        <f t="shared" si="8"/>
        <v>229854</v>
      </c>
      <c r="AV34" s="72">
        <v>5733000</v>
      </c>
      <c r="AW34" s="78">
        <v>30</v>
      </c>
      <c r="AX34" s="70">
        <v>41572</v>
      </c>
      <c r="AY34" s="72"/>
      <c r="AZ34" s="72"/>
      <c r="BA34" s="72"/>
      <c r="BB34" s="72"/>
      <c r="BC34" s="81"/>
      <c r="BD34" s="81"/>
      <c r="BE34" s="78"/>
      <c r="BF34" s="70"/>
      <c r="BG34" s="72"/>
      <c r="BH34" s="72"/>
      <c r="BI34" s="72"/>
      <c r="BJ34" s="72"/>
      <c r="BK34" s="81"/>
      <c r="BL34" s="81"/>
      <c r="BM34" s="78"/>
      <c r="BN34" s="70"/>
      <c r="BO34" s="72"/>
      <c r="BP34" s="72"/>
      <c r="BQ34" s="72"/>
      <c r="BR34" s="72"/>
      <c r="BS34" s="81"/>
      <c r="BT34" s="81"/>
    </row>
    <row r="35" spans="1:72">
      <c r="A35" s="78">
        <v>31</v>
      </c>
      <c r="B35" s="70">
        <v>41603</v>
      </c>
      <c r="C35" s="72"/>
      <c r="D35" s="99">
        <f t="shared" si="17"/>
        <v>1332518</v>
      </c>
      <c r="E35" s="99">
        <f t="shared" si="18"/>
        <v>120223</v>
      </c>
      <c r="F35" s="99">
        <f t="shared" si="11"/>
        <v>124</v>
      </c>
      <c r="G35" s="100">
        <f t="shared" si="12"/>
        <v>1223524</v>
      </c>
      <c r="H35" s="100">
        <f t="shared" si="13"/>
        <v>89585626</v>
      </c>
      <c r="I35" s="78">
        <v>31</v>
      </c>
      <c r="J35" s="70">
        <v>41603</v>
      </c>
      <c r="K35" s="72">
        <f t="shared" si="14"/>
        <v>399344</v>
      </c>
      <c r="L35" s="72">
        <v>241566</v>
      </c>
      <c r="M35" s="72">
        <v>17695</v>
      </c>
      <c r="N35" s="72">
        <v>31</v>
      </c>
      <c r="O35" s="72">
        <f t="shared" si="0"/>
        <v>259261</v>
      </c>
      <c r="P35" s="72">
        <v>7005414</v>
      </c>
      <c r="Q35" s="78"/>
      <c r="R35" s="70">
        <v>41603</v>
      </c>
      <c r="S35" s="72">
        <f t="shared" si="1"/>
        <v>304146</v>
      </c>
      <c r="T35" s="72">
        <v>140083</v>
      </c>
      <c r="U35" s="72">
        <v>12206</v>
      </c>
      <c r="V35" s="72">
        <v>31</v>
      </c>
      <c r="W35" s="72">
        <f t="shared" si="2"/>
        <v>152289</v>
      </c>
      <c r="X35" s="72">
        <v>7424399</v>
      </c>
      <c r="Y35" s="83">
        <v>31</v>
      </c>
      <c r="Z35" s="70">
        <v>41603</v>
      </c>
      <c r="AA35" s="72">
        <f t="shared" si="3"/>
        <v>745865</v>
      </c>
      <c r="AB35" s="72">
        <v>151857</v>
      </c>
      <c r="AC35" s="72">
        <v>15496</v>
      </c>
      <c r="AD35" s="72">
        <v>31</v>
      </c>
      <c r="AE35" s="72">
        <f t="shared" si="4"/>
        <v>167353</v>
      </c>
      <c r="AF35" s="72">
        <v>8048421</v>
      </c>
      <c r="AG35" s="78"/>
      <c r="AH35" s="70">
        <v>41588</v>
      </c>
      <c r="AI35" s="72">
        <f t="shared" si="5"/>
        <v>865121</v>
      </c>
      <c r="AJ35" s="72">
        <v>578512</v>
      </c>
      <c r="AK35" s="72">
        <v>66109</v>
      </c>
      <c r="AL35" s="72">
        <v>31</v>
      </c>
      <c r="AM35" s="72">
        <f t="shared" si="6"/>
        <v>644621</v>
      </c>
      <c r="AN35" s="72">
        <v>67107392</v>
      </c>
      <c r="AO35" s="78"/>
      <c r="AP35" s="70">
        <v>41608</v>
      </c>
      <c r="AQ35" s="72">
        <f t="shared" si="7"/>
        <v>229217</v>
      </c>
      <c r="AR35" s="72">
        <v>220500</v>
      </c>
      <c r="AS35" s="72">
        <v>8717</v>
      </c>
      <c r="AT35" s="72">
        <v>30</v>
      </c>
      <c r="AU35" s="72">
        <f t="shared" si="8"/>
        <v>229217</v>
      </c>
      <c r="AV35" s="72">
        <v>5512500</v>
      </c>
      <c r="AW35" s="78">
        <v>31</v>
      </c>
      <c r="AX35" s="70">
        <v>41603</v>
      </c>
      <c r="AY35" s="72"/>
      <c r="AZ35" s="72"/>
      <c r="BA35" s="72"/>
      <c r="BB35" s="72"/>
      <c r="BC35" s="81"/>
      <c r="BD35" s="81"/>
      <c r="BE35" s="78"/>
      <c r="BF35" s="70"/>
      <c r="BG35" s="72"/>
      <c r="BH35" s="72"/>
      <c r="BI35" s="72"/>
      <c r="BJ35" s="72"/>
      <c r="BK35" s="81"/>
      <c r="BL35" s="81"/>
      <c r="BM35" s="78"/>
      <c r="BN35" s="70"/>
      <c r="BO35" s="72"/>
      <c r="BP35" s="72"/>
      <c r="BQ35" s="72"/>
      <c r="BR35" s="72"/>
      <c r="BS35" s="81"/>
      <c r="BT35" s="81"/>
    </row>
    <row r="36" spans="1:72">
      <c r="A36" s="78">
        <v>32</v>
      </c>
      <c r="B36" s="70">
        <v>41633</v>
      </c>
      <c r="C36" s="72"/>
      <c r="D36" s="99">
        <f t="shared" si="17"/>
        <v>1332518</v>
      </c>
      <c r="E36" s="99">
        <f t="shared" si="18"/>
        <v>114956</v>
      </c>
      <c r="F36" s="99">
        <f t="shared" si="11"/>
        <v>120</v>
      </c>
      <c r="G36" s="100">
        <f t="shared" si="12"/>
        <v>1218313</v>
      </c>
      <c r="H36" s="100">
        <f t="shared" si="13"/>
        <v>88473608</v>
      </c>
      <c r="I36" s="78">
        <v>32</v>
      </c>
      <c r="J36" s="70">
        <v>41633</v>
      </c>
      <c r="K36" s="72">
        <f t="shared" si="14"/>
        <v>398202</v>
      </c>
      <c r="L36" s="72">
        <v>241566</v>
      </c>
      <c r="M36" s="72">
        <v>16553</v>
      </c>
      <c r="N36" s="72">
        <v>30</v>
      </c>
      <c r="O36" s="72">
        <f t="shared" si="0"/>
        <v>258119</v>
      </c>
      <c r="P36" s="72">
        <v>6763848</v>
      </c>
      <c r="Q36" s="78"/>
      <c r="R36" s="70">
        <v>41633</v>
      </c>
      <c r="S36" s="72">
        <f t="shared" si="1"/>
        <v>303534</v>
      </c>
      <c r="T36" s="72">
        <v>140083</v>
      </c>
      <c r="U36" s="72">
        <v>11594</v>
      </c>
      <c r="V36" s="72">
        <v>30</v>
      </c>
      <c r="W36" s="72">
        <f t="shared" si="2"/>
        <v>151677</v>
      </c>
      <c r="X36" s="72">
        <v>7284316</v>
      </c>
      <c r="Y36" s="83">
        <v>32</v>
      </c>
      <c r="Z36" s="70">
        <v>41633</v>
      </c>
      <c r="AA36" s="72">
        <f t="shared" si="3"/>
        <v>745087</v>
      </c>
      <c r="AB36" s="72">
        <v>151857</v>
      </c>
      <c r="AC36" s="72">
        <v>14718</v>
      </c>
      <c r="AD36" s="72">
        <v>30</v>
      </c>
      <c r="AE36" s="72">
        <f t="shared" si="4"/>
        <v>166575</v>
      </c>
      <c r="AF36" s="72">
        <v>7896564</v>
      </c>
      <c r="AG36" s="78"/>
      <c r="AH36" s="70">
        <v>41618</v>
      </c>
      <c r="AI36" s="72">
        <f t="shared" si="5"/>
        <v>862442</v>
      </c>
      <c r="AJ36" s="72">
        <v>578512</v>
      </c>
      <c r="AK36" s="72">
        <v>63430</v>
      </c>
      <c r="AL36" s="72">
        <v>30</v>
      </c>
      <c r="AM36" s="72">
        <f t="shared" si="6"/>
        <v>641942</v>
      </c>
      <c r="AN36" s="72">
        <v>66528880</v>
      </c>
      <c r="AO36" s="78"/>
      <c r="AP36" s="70">
        <v>41639</v>
      </c>
      <c r="AQ36" s="72">
        <f t="shared" si="7"/>
        <v>229161</v>
      </c>
      <c r="AR36" s="72">
        <v>220500</v>
      </c>
      <c r="AS36" s="72">
        <v>8661</v>
      </c>
      <c r="AT36" s="72">
        <v>31</v>
      </c>
      <c r="AU36" s="72">
        <f t="shared" si="8"/>
        <v>229161</v>
      </c>
      <c r="AV36" s="72">
        <v>5292000</v>
      </c>
      <c r="AW36" s="78">
        <v>32</v>
      </c>
      <c r="AX36" s="70">
        <v>41633</v>
      </c>
      <c r="AY36" s="72"/>
      <c r="AZ36" s="72"/>
      <c r="BA36" s="72"/>
      <c r="BB36" s="72"/>
      <c r="BC36" s="81"/>
      <c r="BD36" s="81"/>
      <c r="BE36" s="78"/>
      <c r="BF36" s="70"/>
      <c r="BG36" s="72"/>
      <c r="BH36" s="72"/>
      <c r="BI36" s="72"/>
      <c r="BJ36" s="72"/>
      <c r="BK36" s="81"/>
      <c r="BL36" s="81"/>
      <c r="BM36" s="78"/>
      <c r="BN36" s="70"/>
      <c r="BO36" s="72"/>
      <c r="BP36" s="72"/>
      <c r="BQ36" s="72"/>
      <c r="BR36" s="72"/>
      <c r="BS36" s="81"/>
      <c r="BT36" s="81"/>
    </row>
    <row r="37" spans="1:72">
      <c r="A37" s="78">
        <v>33</v>
      </c>
      <c r="B37" s="70">
        <v>41664</v>
      </c>
      <c r="C37" s="72"/>
      <c r="D37" s="99">
        <f t="shared" si="17"/>
        <v>1332518</v>
      </c>
      <c r="E37" s="99">
        <f t="shared" si="18"/>
        <v>116484</v>
      </c>
      <c r="F37" s="99">
        <f t="shared" si="11"/>
        <v>124</v>
      </c>
      <c r="G37" s="100">
        <f t="shared" si="12"/>
        <v>1220188</v>
      </c>
      <c r="H37" s="100">
        <f t="shared" si="13"/>
        <v>87361590</v>
      </c>
      <c r="I37" s="78">
        <v>33</v>
      </c>
      <c r="J37" s="70">
        <v>41664</v>
      </c>
      <c r="K37" s="72">
        <f t="shared" si="14"/>
        <v>398164</v>
      </c>
      <c r="L37" s="72">
        <v>241566</v>
      </c>
      <c r="M37" s="72">
        <v>16515</v>
      </c>
      <c r="N37" s="72">
        <v>31</v>
      </c>
      <c r="O37" s="72">
        <f t="shared" ref="O37:O64" si="19">L37+M37</f>
        <v>258081</v>
      </c>
      <c r="P37" s="72">
        <v>6522282</v>
      </c>
      <c r="Q37" s="78"/>
      <c r="R37" s="70">
        <v>41664</v>
      </c>
      <c r="S37" s="72">
        <f t="shared" ref="S37:S68" si="20">W37+AB37</f>
        <v>303694</v>
      </c>
      <c r="T37" s="72">
        <v>140083</v>
      </c>
      <c r="U37" s="72">
        <v>11754</v>
      </c>
      <c r="V37" s="72">
        <v>31</v>
      </c>
      <c r="W37" s="72">
        <f t="shared" ref="W37:W68" si="21">T37+U37</f>
        <v>151837</v>
      </c>
      <c r="X37" s="72">
        <v>7144233</v>
      </c>
      <c r="Y37" s="83">
        <v>33</v>
      </c>
      <c r="Z37" s="70">
        <v>41664</v>
      </c>
      <c r="AA37" s="72">
        <f t="shared" ref="AA37:AA68" si="22">AE37+AJ37</f>
        <v>745291</v>
      </c>
      <c r="AB37" s="72">
        <v>151857</v>
      </c>
      <c r="AC37" s="72">
        <v>14922</v>
      </c>
      <c r="AD37" s="72">
        <v>31</v>
      </c>
      <c r="AE37" s="72">
        <f t="shared" ref="AE37:AE68" si="23">AB37+AC37</f>
        <v>166779</v>
      </c>
      <c r="AF37" s="72">
        <v>7744707</v>
      </c>
      <c r="AG37" s="78"/>
      <c r="AH37" s="70">
        <v>41649</v>
      </c>
      <c r="AI37" s="72">
        <f t="shared" ref="AI37:AI68" si="24">AM37+AR37</f>
        <v>863991</v>
      </c>
      <c r="AJ37" s="72">
        <v>578512</v>
      </c>
      <c r="AK37" s="72">
        <v>64979</v>
      </c>
      <c r="AL37" s="72">
        <v>31</v>
      </c>
      <c r="AM37" s="72">
        <f t="shared" ref="AM37:AM68" si="25">AJ37+AK37</f>
        <v>643491</v>
      </c>
      <c r="AN37" s="72">
        <v>65950368</v>
      </c>
      <c r="AO37" s="78"/>
      <c r="AP37" s="70">
        <v>41670</v>
      </c>
      <c r="AQ37" s="72">
        <f t="shared" ref="AQ37:AQ60" si="26">AU37+AZ37</f>
        <v>228814</v>
      </c>
      <c r="AR37" s="72">
        <v>220500</v>
      </c>
      <c r="AS37" s="72">
        <v>8314</v>
      </c>
      <c r="AT37" s="72">
        <v>31</v>
      </c>
      <c r="AU37" s="72">
        <f t="shared" ref="AU37:AU60" si="27">AR37+AS37</f>
        <v>228814</v>
      </c>
      <c r="AV37" s="72">
        <v>5071500</v>
      </c>
      <c r="AW37" s="78">
        <v>33</v>
      </c>
      <c r="AX37" s="70">
        <v>41664</v>
      </c>
      <c r="AY37" s="72"/>
      <c r="AZ37" s="72"/>
      <c r="BA37" s="72"/>
      <c r="BB37" s="72"/>
      <c r="BC37" s="81"/>
      <c r="BD37" s="81"/>
      <c r="BE37" s="78"/>
      <c r="BF37" s="70"/>
      <c r="BG37" s="72"/>
      <c r="BH37" s="72"/>
      <c r="BI37" s="72"/>
      <c r="BJ37" s="72"/>
      <c r="BK37" s="81"/>
      <c r="BL37" s="81"/>
      <c r="BM37" s="78"/>
      <c r="BN37" s="70"/>
      <c r="BO37" s="72"/>
      <c r="BP37" s="72"/>
      <c r="BQ37" s="72"/>
      <c r="BR37" s="72"/>
      <c r="BS37" s="81"/>
      <c r="BT37" s="81"/>
    </row>
    <row r="38" spans="1:72">
      <c r="A38" s="78">
        <v>34</v>
      </c>
      <c r="B38" s="70">
        <v>41695</v>
      </c>
      <c r="C38" s="72"/>
      <c r="D38" s="99">
        <f t="shared" si="17"/>
        <v>1332518</v>
      </c>
      <c r="E38" s="99">
        <f t="shared" si="18"/>
        <v>113699</v>
      </c>
      <c r="F38" s="99">
        <f t="shared" si="11"/>
        <v>124</v>
      </c>
      <c r="G38" s="100">
        <f t="shared" si="12"/>
        <v>1218520</v>
      </c>
      <c r="H38" s="100">
        <f t="shared" si="13"/>
        <v>86249572</v>
      </c>
      <c r="I38" s="78">
        <v>34</v>
      </c>
      <c r="J38" s="70">
        <v>41695</v>
      </c>
      <c r="K38" s="72">
        <f t="shared" ref="K38:K64" si="28">O38+T38</f>
        <v>397574</v>
      </c>
      <c r="L38" s="72">
        <v>241566</v>
      </c>
      <c r="M38" s="72">
        <v>15925</v>
      </c>
      <c r="N38" s="72">
        <v>31</v>
      </c>
      <c r="O38" s="72">
        <f t="shared" si="19"/>
        <v>257491</v>
      </c>
      <c r="P38" s="72">
        <v>6280716</v>
      </c>
      <c r="Q38" s="78"/>
      <c r="R38" s="70">
        <v>41695</v>
      </c>
      <c r="S38" s="72">
        <f t="shared" si="20"/>
        <v>303468</v>
      </c>
      <c r="T38" s="72">
        <v>140083</v>
      </c>
      <c r="U38" s="72">
        <v>11528</v>
      </c>
      <c r="V38" s="72">
        <v>31</v>
      </c>
      <c r="W38" s="72">
        <f t="shared" si="21"/>
        <v>151611</v>
      </c>
      <c r="X38" s="72">
        <v>7004150</v>
      </c>
      <c r="Y38" s="83">
        <v>34</v>
      </c>
      <c r="Z38" s="70">
        <v>41695</v>
      </c>
      <c r="AA38" s="72">
        <f t="shared" si="22"/>
        <v>745004</v>
      </c>
      <c r="AB38" s="72">
        <v>151857</v>
      </c>
      <c r="AC38" s="72">
        <v>14635</v>
      </c>
      <c r="AD38" s="72">
        <v>31</v>
      </c>
      <c r="AE38" s="72">
        <f t="shared" si="23"/>
        <v>166492</v>
      </c>
      <c r="AF38" s="72">
        <v>7592850</v>
      </c>
      <c r="AG38" s="78"/>
      <c r="AH38" s="70">
        <v>41680</v>
      </c>
      <c r="AI38" s="72">
        <f t="shared" si="24"/>
        <v>863426</v>
      </c>
      <c r="AJ38" s="72">
        <v>578512</v>
      </c>
      <c r="AK38" s="72">
        <v>64414</v>
      </c>
      <c r="AL38" s="72">
        <v>31</v>
      </c>
      <c r="AM38" s="72">
        <f t="shared" si="25"/>
        <v>642926</v>
      </c>
      <c r="AN38" s="72">
        <v>65371856</v>
      </c>
      <c r="AO38" s="78"/>
      <c r="AP38" s="70">
        <v>41698</v>
      </c>
      <c r="AQ38" s="72">
        <f t="shared" si="26"/>
        <v>227697</v>
      </c>
      <c r="AR38" s="72">
        <v>220500</v>
      </c>
      <c r="AS38" s="72">
        <v>7197</v>
      </c>
      <c r="AT38" s="72">
        <v>28</v>
      </c>
      <c r="AU38" s="72">
        <f t="shared" si="27"/>
        <v>227697</v>
      </c>
      <c r="AV38" s="72">
        <v>4851000</v>
      </c>
      <c r="AW38" s="78">
        <v>34</v>
      </c>
      <c r="AX38" s="70">
        <v>41695</v>
      </c>
      <c r="AY38" s="72"/>
      <c r="AZ38" s="72"/>
      <c r="BA38" s="72"/>
      <c r="BB38" s="72"/>
      <c r="BC38" s="81"/>
      <c r="BD38" s="81"/>
      <c r="BE38" s="78"/>
      <c r="BF38" s="70"/>
      <c r="BG38" s="72"/>
      <c r="BH38" s="72"/>
      <c r="BI38" s="72"/>
      <c r="BJ38" s="72"/>
      <c r="BK38" s="81"/>
      <c r="BL38" s="81"/>
      <c r="BM38" s="78"/>
      <c r="BN38" s="70"/>
      <c r="BO38" s="72"/>
      <c r="BP38" s="72"/>
      <c r="BQ38" s="72"/>
      <c r="BR38" s="72"/>
      <c r="BS38" s="81"/>
      <c r="BT38" s="81"/>
    </row>
    <row r="39" spans="1:72">
      <c r="A39" s="78">
        <v>35</v>
      </c>
      <c r="B39" s="70">
        <v>41723</v>
      </c>
      <c r="C39" s="72"/>
      <c r="D39" s="99">
        <f t="shared" si="17"/>
        <v>1332518</v>
      </c>
      <c r="E39" s="99">
        <f t="shared" si="18"/>
        <v>3042310</v>
      </c>
      <c r="F39" s="99">
        <f t="shared" si="11"/>
        <v>112</v>
      </c>
      <c r="G39" s="100">
        <f t="shared" si="12"/>
        <v>1206706</v>
      </c>
      <c r="H39" s="100">
        <f t="shared" si="13"/>
        <v>85137554</v>
      </c>
      <c r="I39" s="78">
        <v>35</v>
      </c>
      <c r="J39" s="70">
        <v>41723</v>
      </c>
      <c r="K39" s="72">
        <f t="shared" si="28"/>
        <v>395500</v>
      </c>
      <c r="L39" s="72">
        <v>241566</v>
      </c>
      <c r="M39" s="72">
        <v>13851</v>
      </c>
      <c r="N39" s="72">
        <v>28</v>
      </c>
      <c r="O39" s="72">
        <f t="shared" si="19"/>
        <v>255417</v>
      </c>
      <c r="P39" s="72">
        <v>6039150</v>
      </c>
      <c r="Q39" s="78"/>
      <c r="R39" s="70">
        <v>41723</v>
      </c>
      <c r="S39" s="72">
        <f t="shared" si="20"/>
        <v>302148</v>
      </c>
      <c r="T39" s="72">
        <v>140083</v>
      </c>
      <c r="U39" s="72">
        <v>10208</v>
      </c>
      <c r="V39" s="72">
        <v>28</v>
      </c>
      <c r="W39" s="72">
        <f t="shared" si="21"/>
        <v>150291</v>
      </c>
      <c r="X39" s="72">
        <v>6864067</v>
      </c>
      <c r="Y39" s="83">
        <v>35</v>
      </c>
      <c r="Z39" s="70">
        <v>41723</v>
      </c>
      <c r="AA39" s="72">
        <f t="shared" si="22"/>
        <v>743328</v>
      </c>
      <c r="AB39" s="72">
        <v>151857</v>
      </c>
      <c r="AC39" s="72">
        <v>12959</v>
      </c>
      <c r="AD39" s="72">
        <v>28</v>
      </c>
      <c r="AE39" s="72">
        <f t="shared" si="23"/>
        <v>164816</v>
      </c>
      <c r="AF39" s="72">
        <v>7440993</v>
      </c>
      <c r="AG39" s="78"/>
      <c r="AH39" s="70">
        <v>41708</v>
      </c>
      <c r="AI39" s="72">
        <f t="shared" si="24"/>
        <v>856682</v>
      </c>
      <c r="AJ39" s="72">
        <v>578512</v>
      </c>
      <c r="AK39" s="72">
        <v>57670</v>
      </c>
      <c r="AL39" s="72">
        <v>28</v>
      </c>
      <c r="AM39" s="72">
        <f t="shared" si="25"/>
        <v>636182</v>
      </c>
      <c r="AN39" s="72">
        <v>64793344</v>
      </c>
      <c r="AO39" s="78"/>
      <c r="AP39" s="70">
        <v>41729</v>
      </c>
      <c r="AQ39" s="72">
        <f t="shared" si="26"/>
        <v>228122</v>
      </c>
      <c r="AR39" s="72">
        <v>220500</v>
      </c>
      <c r="AS39" s="72">
        <v>7622</v>
      </c>
      <c r="AT39" s="72">
        <v>31</v>
      </c>
      <c r="AU39" s="72">
        <f t="shared" si="27"/>
        <v>228122</v>
      </c>
      <c r="AV39" s="72">
        <v>4630500</v>
      </c>
      <c r="AW39" s="78">
        <v>35</v>
      </c>
      <c r="AX39" s="70">
        <v>41723</v>
      </c>
      <c r="AY39" s="72"/>
      <c r="AZ39" s="72"/>
      <c r="BA39" s="72">
        <v>2940000</v>
      </c>
      <c r="BB39" s="72"/>
      <c r="BC39" s="81"/>
      <c r="BD39" s="81"/>
      <c r="BE39" s="78"/>
      <c r="BF39" s="70"/>
      <c r="BG39" s="72"/>
      <c r="BH39" s="72"/>
      <c r="BI39" s="72"/>
      <c r="BJ39" s="72"/>
      <c r="BK39" s="81"/>
      <c r="BL39" s="81"/>
      <c r="BM39" s="78"/>
      <c r="BN39" s="70"/>
      <c r="BO39" s="72"/>
      <c r="BP39" s="72"/>
      <c r="BQ39" s="72"/>
      <c r="BR39" s="72"/>
      <c r="BS39" s="81"/>
      <c r="BT39" s="81"/>
    </row>
    <row r="40" spans="1:72">
      <c r="A40" s="78">
        <v>36</v>
      </c>
      <c r="B40" s="70">
        <v>41754</v>
      </c>
      <c r="C40" s="72"/>
      <c r="D40" s="99">
        <f t="shared" si="17"/>
        <v>1332518</v>
      </c>
      <c r="E40" s="99">
        <f t="shared" si="18"/>
        <v>110207</v>
      </c>
      <c r="F40" s="99">
        <f t="shared" si="11"/>
        <v>124</v>
      </c>
      <c r="G40" s="100">
        <f t="shared" si="12"/>
        <v>1215185</v>
      </c>
      <c r="H40" s="100">
        <f t="shared" si="13"/>
        <v>84025536</v>
      </c>
      <c r="I40" s="78">
        <v>36</v>
      </c>
      <c r="J40" s="70">
        <v>41754</v>
      </c>
      <c r="K40" s="72">
        <f t="shared" si="28"/>
        <v>396395</v>
      </c>
      <c r="L40" s="72">
        <v>241566</v>
      </c>
      <c r="M40" s="72">
        <v>14746</v>
      </c>
      <c r="N40" s="72">
        <v>31</v>
      </c>
      <c r="O40" s="72">
        <f t="shared" si="19"/>
        <v>256312</v>
      </c>
      <c r="P40" s="72">
        <v>5797584</v>
      </c>
      <c r="Q40" s="78"/>
      <c r="R40" s="70">
        <v>41754</v>
      </c>
      <c r="S40" s="72">
        <f t="shared" si="20"/>
        <v>303016</v>
      </c>
      <c r="T40" s="72">
        <v>140083</v>
      </c>
      <c r="U40" s="72">
        <v>11076</v>
      </c>
      <c r="V40" s="72">
        <v>31</v>
      </c>
      <c r="W40" s="72">
        <f t="shared" si="21"/>
        <v>151159</v>
      </c>
      <c r="X40" s="72">
        <v>6723984</v>
      </c>
      <c r="Y40" s="83">
        <v>36</v>
      </c>
      <c r="Z40" s="70">
        <v>41754</v>
      </c>
      <c r="AA40" s="72">
        <f t="shared" si="22"/>
        <v>744430</v>
      </c>
      <c r="AB40" s="72">
        <v>151857</v>
      </c>
      <c r="AC40" s="72">
        <v>14061</v>
      </c>
      <c r="AD40" s="72">
        <v>31</v>
      </c>
      <c r="AE40" s="72">
        <f t="shared" si="23"/>
        <v>165918</v>
      </c>
      <c r="AF40" s="72">
        <v>7289136</v>
      </c>
      <c r="AG40" s="78"/>
      <c r="AH40" s="70">
        <v>41739</v>
      </c>
      <c r="AI40" s="72">
        <f t="shared" si="24"/>
        <v>862296</v>
      </c>
      <c r="AJ40" s="72">
        <v>578512</v>
      </c>
      <c r="AK40" s="72">
        <v>63284</v>
      </c>
      <c r="AL40" s="72">
        <v>31</v>
      </c>
      <c r="AM40" s="72">
        <f t="shared" si="25"/>
        <v>641796</v>
      </c>
      <c r="AN40" s="72">
        <v>64214832</v>
      </c>
      <c r="AO40" s="78"/>
      <c r="AP40" s="70">
        <v>41759</v>
      </c>
      <c r="AQ40" s="72">
        <f t="shared" si="26"/>
        <v>227540</v>
      </c>
      <c r="AR40" s="72">
        <v>220500</v>
      </c>
      <c r="AS40" s="72">
        <v>7040</v>
      </c>
      <c r="AT40" s="72">
        <v>30</v>
      </c>
      <c r="AU40" s="72">
        <f t="shared" si="27"/>
        <v>227540</v>
      </c>
      <c r="AV40" s="72">
        <v>4410000</v>
      </c>
      <c r="AW40" s="78">
        <v>36</v>
      </c>
      <c r="AX40" s="70">
        <v>41754</v>
      </c>
      <c r="AY40" s="72"/>
      <c r="AZ40" s="72"/>
      <c r="BA40" s="72"/>
      <c r="BB40" s="72"/>
      <c r="BC40" s="81"/>
      <c r="BD40" s="81"/>
      <c r="BE40" s="78"/>
      <c r="BF40" s="70"/>
      <c r="BG40" s="72"/>
      <c r="BH40" s="72"/>
      <c r="BI40" s="72"/>
      <c r="BJ40" s="72"/>
      <c r="BK40" s="81"/>
      <c r="BL40" s="81"/>
      <c r="BM40" s="78"/>
      <c r="BN40" s="70"/>
      <c r="BO40" s="72"/>
      <c r="BP40" s="72"/>
      <c r="BQ40" s="72"/>
      <c r="BR40" s="72"/>
      <c r="BS40" s="81"/>
      <c r="BT40" s="81"/>
    </row>
    <row r="41" spans="1:72">
      <c r="A41" s="78">
        <v>37</v>
      </c>
      <c r="B41" s="70">
        <v>41784</v>
      </c>
      <c r="C41" s="72"/>
      <c r="D41" s="99">
        <f t="shared" si="17"/>
        <v>1332518</v>
      </c>
      <c r="E41" s="99">
        <f t="shared" si="18"/>
        <v>105154</v>
      </c>
      <c r="F41" s="99">
        <f t="shared" si="11"/>
        <v>120</v>
      </c>
      <c r="G41" s="100">
        <f t="shared" si="12"/>
        <v>1210243</v>
      </c>
      <c r="H41" s="100">
        <f t="shared" si="13"/>
        <v>82913518</v>
      </c>
      <c r="I41" s="78">
        <v>37</v>
      </c>
      <c r="J41" s="70">
        <v>41784</v>
      </c>
      <c r="K41" s="72">
        <f t="shared" si="28"/>
        <v>395348</v>
      </c>
      <c r="L41" s="72">
        <v>241566</v>
      </c>
      <c r="M41" s="72">
        <v>13699</v>
      </c>
      <c r="N41" s="72">
        <v>30</v>
      </c>
      <c r="O41" s="72">
        <f t="shared" si="19"/>
        <v>255265</v>
      </c>
      <c r="P41" s="72">
        <v>5556018</v>
      </c>
      <c r="Q41" s="78"/>
      <c r="R41" s="70">
        <v>41784</v>
      </c>
      <c r="S41" s="72">
        <f t="shared" si="20"/>
        <v>302440</v>
      </c>
      <c r="T41" s="72">
        <v>140083</v>
      </c>
      <c r="U41" s="72">
        <v>10500</v>
      </c>
      <c r="V41" s="72">
        <v>30</v>
      </c>
      <c r="W41" s="72">
        <f t="shared" si="21"/>
        <v>150583</v>
      </c>
      <c r="X41" s="72">
        <v>6583901</v>
      </c>
      <c r="Y41" s="83">
        <v>37</v>
      </c>
      <c r="Z41" s="70">
        <v>41784</v>
      </c>
      <c r="AA41" s="72">
        <f t="shared" si="22"/>
        <v>743699</v>
      </c>
      <c r="AB41" s="72">
        <v>151857</v>
      </c>
      <c r="AC41" s="72">
        <v>13330</v>
      </c>
      <c r="AD41" s="72">
        <v>30</v>
      </c>
      <c r="AE41" s="72">
        <f t="shared" si="23"/>
        <v>165187</v>
      </c>
      <c r="AF41" s="72">
        <v>7137279</v>
      </c>
      <c r="AG41" s="78"/>
      <c r="AH41" s="70">
        <v>41769</v>
      </c>
      <c r="AI41" s="72">
        <f t="shared" si="24"/>
        <v>859708</v>
      </c>
      <c r="AJ41" s="72">
        <v>578512</v>
      </c>
      <c r="AK41" s="72">
        <v>60696</v>
      </c>
      <c r="AL41" s="72">
        <v>30</v>
      </c>
      <c r="AM41" s="72">
        <f t="shared" si="25"/>
        <v>639208</v>
      </c>
      <c r="AN41" s="72">
        <v>63636320</v>
      </c>
      <c r="AO41" s="78"/>
      <c r="AP41" s="70">
        <v>41790</v>
      </c>
      <c r="AQ41" s="72">
        <f t="shared" si="26"/>
        <v>227429</v>
      </c>
      <c r="AR41" s="72">
        <v>220500</v>
      </c>
      <c r="AS41" s="72">
        <v>6929</v>
      </c>
      <c r="AT41" s="72">
        <v>31</v>
      </c>
      <c r="AU41" s="72">
        <f t="shared" si="27"/>
        <v>227429</v>
      </c>
      <c r="AV41" s="72">
        <v>4189500</v>
      </c>
      <c r="AW41" s="78">
        <v>37</v>
      </c>
      <c r="AX41" s="70">
        <v>41784</v>
      </c>
      <c r="AY41" s="72"/>
      <c r="AZ41" s="72"/>
      <c r="BA41" s="72"/>
      <c r="BB41" s="72"/>
      <c r="BC41" s="81"/>
      <c r="BD41" s="81"/>
      <c r="BE41" s="78"/>
      <c r="BF41" s="70"/>
      <c r="BG41" s="72"/>
      <c r="BH41" s="72"/>
      <c r="BI41" s="72"/>
      <c r="BJ41" s="72"/>
      <c r="BK41" s="81"/>
      <c r="BL41" s="81"/>
      <c r="BM41" s="78"/>
      <c r="BN41" s="70"/>
      <c r="BO41" s="72"/>
      <c r="BP41" s="72"/>
      <c r="BQ41" s="72"/>
      <c r="BR41" s="72"/>
      <c r="BS41" s="81"/>
      <c r="BT41" s="81"/>
    </row>
    <row r="42" spans="1:72">
      <c r="A42" s="78">
        <v>38</v>
      </c>
      <c r="B42" s="70">
        <v>41815</v>
      </c>
      <c r="C42" s="72"/>
      <c r="D42" s="99">
        <f t="shared" si="17"/>
        <v>1332518</v>
      </c>
      <c r="E42" s="99">
        <f t="shared" si="18"/>
        <v>106201</v>
      </c>
      <c r="F42" s="99">
        <f t="shared" si="11"/>
        <v>124</v>
      </c>
      <c r="G42" s="100">
        <f t="shared" si="12"/>
        <v>1211849</v>
      </c>
      <c r="H42" s="100">
        <f t="shared" si="13"/>
        <v>81801500</v>
      </c>
      <c r="I42" s="78">
        <v>38</v>
      </c>
      <c r="J42" s="70">
        <v>41815</v>
      </c>
      <c r="K42" s="72">
        <f t="shared" si="28"/>
        <v>395215</v>
      </c>
      <c r="L42" s="72">
        <v>241566</v>
      </c>
      <c r="M42" s="72">
        <v>13566</v>
      </c>
      <c r="N42" s="72">
        <v>31</v>
      </c>
      <c r="O42" s="72">
        <f t="shared" si="19"/>
        <v>255132</v>
      </c>
      <c r="P42" s="72">
        <v>5314452</v>
      </c>
      <c r="Q42" s="78"/>
      <c r="R42" s="70">
        <v>41815</v>
      </c>
      <c r="S42" s="72">
        <f t="shared" si="20"/>
        <v>302564</v>
      </c>
      <c r="T42" s="72">
        <v>140083</v>
      </c>
      <c r="U42" s="72">
        <v>10624</v>
      </c>
      <c r="V42" s="72">
        <v>31</v>
      </c>
      <c r="W42" s="72">
        <f t="shared" si="21"/>
        <v>150707</v>
      </c>
      <c r="X42" s="72">
        <v>6443818</v>
      </c>
      <c r="Y42" s="83">
        <v>38</v>
      </c>
      <c r="Z42" s="70">
        <v>41815</v>
      </c>
      <c r="AA42" s="72">
        <f t="shared" si="22"/>
        <v>743856</v>
      </c>
      <c r="AB42" s="72">
        <v>151857</v>
      </c>
      <c r="AC42" s="72">
        <v>13487</v>
      </c>
      <c r="AD42" s="72">
        <v>31</v>
      </c>
      <c r="AE42" s="72">
        <f t="shared" si="23"/>
        <v>165344</v>
      </c>
      <c r="AF42" s="72">
        <v>6985422</v>
      </c>
      <c r="AG42" s="78"/>
      <c r="AH42" s="70">
        <v>41800</v>
      </c>
      <c r="AI42" s="72">
        <f t="shared" si="24"/>
        <v>861166</v>
      </c>
      <c r="AJ42" s="72">
        <v>578512</v>
      </c>
      <c r="AK42" s="72">
        <v>62154</v>
      </c>
      <c r="AL42" s="72">
        <v>31</v>
      </c>
      <c r="AM42" s="72">
        <f t="shared" si="25"/>
        <v>640666</v>
      </c>
      <c r="AN42" s="72">
        <v>63057808</v>
      </c>
      <c r="AO42" s="78"/>
      <c r="AP42" s="70">
        <v>41820</v>
      </c>
      <c r="AQ42" s="72">
        <f t="shared" si="26"/>
        <v>226870</v>
      </c>
      <c r="AR42" s="72">
        <v>220500</v>
      </c>
      <c r="AS42" s="72">
        <v>6370</v>
      </c>
      <c r="AT42" s="72">
        <v>30</v>
      </c>
      <c r="AU42" s="72">
        <f t="shared" si="27"/>
        <v>226870</v>
      </c>
      <c r="AV42" s="72">
        <v>3969000</v>
      </c>
      <c r="AW42" s="78">
        <v>38</v>
      </c>
      <c r="AX42" s="70">
        <v>41815</v>
      </c>
      <c r="AY42" s="72"/>
      <c r="AZ42" s="72"/>
      <c r="BA42" s="72"/>
      <c r="BB42" s="72"/>
      <c r="BC42" s="81"/>
      <c r="BD42" s="81"/>
      <c r="BE42" s="78"/>
      <c r="BF42" s="70"/>
      <c r="BG42" s="72"/>
      <c r="BH42" s="72"/>
      <c r="BI42" s="72"/>
      <c r="BJ42" s="72"/>
      <c r="BK42" s="81"/>
      <c r="BL42" s="81"/>
      <c r="BM42" s="78"/>
      <c r="BN42" s="70"/>
      <c r="BO42" s="72"/>
      <c r="BP42" s="72"/>
      <c r="BQ42" s="72"/>
      <c r="BR42" s="72"/>
      <c r="BS42" s="81"/>
      <c r="BT42" s="81"/>
    </row>
    <row r="43" spans="1:72">
      <c r="A43" s="78">
        <v>39</v>
      </c>
      <c r="B43" s="70">
        <v>41845</v>
      </c>
      <c r="C43" s="72"/>
      <c r="D43" s="99">
        <f t="shared" si="17"/>
        <v>1332518</v>
      </c>
      <c r="E43" s="99">
        <f t="shared" si="18"/>
        <v>101232</v>
      </c>
      <c r="F43" s="99">
        <f t="shared" si="11"/>
        <v>120</v>
      </c>
      <c r="G43" s="100">
        <f t="shared" si="12"/>
        <v>1207014</v>
      </c>
      <c r="H43" s="100">
        <f t="shared" si="13"/>
        <v>80689482</v>
      </c>
      <c r="I43" s="78">
        <v>39</v>
      </c>
      <c r="J43" s="70">
        <v>41845</v>
      </c>
      <c r="K43" s="72">
        <f t="shared" si="28"/>
        <v>394207</v>
      </c>
      <c r="L43" s="72">
        <v>241566</v>
      </c>
      <c r="M43" s="72">
        <v>12558</v>
      </c>
      <c r="N43" s="72">
        <v>30</v>
      </c>
      <c r="O43" s="72">
        <f t="shared" si="19"/>
        <v>254124</v>
      </c>
      <c r="P43" s="72">
        <v>5072886</v>
      </c>
      <c r="Q43" s="78"/>
      <c r="R43" s="70">
        <v>41845</v>
      </c>
      <c r="S43" s="72">
        <f t="shared" si="20"/>
        <v>302002</v>
      </c>
      <c r="T43" s="72">
        <v>140083</v>
      </c>
      <c r="U43" s="72">
        <v>10062</v>
      </c>
      <c r="V43" s="72">
        <v>30</v>
      </c>
      <c r="W43" s="72">
        <f t="shared" si="21"/>
        <v>150145</v>
      </c>
      <c r="X43" s="72">
        <v>6303735</v>
      </c>
      <c r="Y43" s="83">
        <v>39</v>
      </c>
      <c r="Z43" s="70">
        <v>41845</v>
      </c>
      <c r="AA43" s="72">
        <f t="shared" si="22"/>
        <v>743143</v>
      </c>
      <c r="AB43" s="72">
        <v>151857</v>
      </c>
      <c r="AC43" s="72">
        <v>12774</v>
      </c>
      <c r="AD43" s="72">
        <v>30</v>
      </c>
      <c r="AE43" s="72">
        <f t="shared" si="23"/>
        <v>164631</v>
      </c>
      <c r="AF43" s="72">
        <v>6833565</v>
      </c>
      <c r="AG43" s="78"/>
      <c r="AH43" s="70">
        <v>41830</v>
      </c>
      <c r="AI43" s="72">
        <f t="shared" si="24"/>
        <v>858614</v>
      </c>
      <c r="AJ43" s="72">
        <v>578512</v>
      </c>
      <c r="AK43" s="72">
        <v>59602</v>
      </c>
      <c r="AL43" s="72">
        <v>30</v>
      </c>
      <c r="AM43" s="72">
        <f t="shared" si="25"/>
        <v>638114</v>
      </c>
      <c r="AN43" s="72">
        <v>62479296</v>
      </c>
      <c r="AO43" s="78"/>
      <c r="AP43" s="70">
        <v>41851</v>
      </c>
      <c r="AQ43" s="72">
        <f t="shared" si="26"/>
        <v>226736</v>
      </c>
      <c r="AR43" s="72">
        <v>220500</v>
      </c>
      <c r="AS43" s="72">
        <v>6236</v>
      </c>
      <c r="AT43" s="72">
        <v>31</v>
      </c>
      <c r="AU43" s="72">
        <f t="shared" si="27"/>
        <v>226736</v>
      </c>
      <c r="AV43" s="72">
        <v>3748500</v>
      </c>
      <c r="AW43" s="78">
        <v>39</v>
      </c>
      <c r="AX43" s="70">
        <v>41845</v>
      </c>
      <c r="AY43" s="72"/>
      <c r="AZ43" s="72"/>
      <c r="BA43" s="72"/>
      <c r="BB43" s="72"/>
      <c r="BC43" s="81"/>
      <c r="BD43" s="81"/>
      <c r="BE43" s="78"/>
      <c r="BF43" s="70"/>
      <c r="BG43" s="72"/>
      <c r="BH43" s="72"/>
      <c r="BI43" s="72"/>
      <c r="BJ43" s="72"/>
      <c r="BK43" s="81"/>
      <c r="BL43" s="81"/>
      <c r="BM43" s="78"/>
      <c r="BN43" s="70"/>
      <c r="BO43" s="72"/>
      <c r="BP43" s="72"/>
      <c r="BQ43" s="72"/>
      <c r="BR43" s="72"/>
      <c r="BS43" s="81"/>
      <c r="BT43" s="81"/>
    </row>
    <row r="44" spans="1:72">
      <c r="A44" s="78">
        <v>40</v>
      </c>
      <c r="B44" s="70">
        <v>41876</v>
      </c>
      <c r="C44" s="72"/>
      <c r="D44" s="99">
        <f t="shared" si="17"/>
        <v>1332518</v>
      </c>
      <c r="E44" s="99">
        <f t="shared" si="18"/>
        <v>102384</v>
      </c>
      <c r="F44" s="99">
        <f t="shared" si="11"/>
        <v>124</v>
      </c>
      <c r="G44" s="100">
        <f t="shared" si="12"/>
        <v>1208513</v>
      </c>
      <c r="H44" s="100">
        <f t="shared" si="13"/>
        <v>79577464</v>
      </c>
      <c r="I44" s="78">
        <v>40</v>
      </c>
      <c r="J44" s="70">
        <v>41876</v>
      </c>
      <c r="K44" s="72">
        <f t="shared" si="28"/>
        <v>394035</v>
      </c>
      <c r="L44" s="72">
        <v>241566</v>
      </c>
      <c r="M44" s="72">
        <v>12386</v>
      </c>
      <c r="N44" s="72">
        <v>31</v>
      </c>
      <c r="O44" s="72">
        <f t="shared" si="19"/>
        <v>253952</v>
      </c>
      <c r="P44" s="72">
        <v>4831320</v>
      </c>
      <c r="Q44" s="78"/>
      <c r="R44" s="70">
        <v>41876</v>
      </c>
      <c r="S44" s="72">
        <f t="shared" si="20"/>
        <v>302112</v>
      </c>
      <c r="T44" s="72">
        <v>140083</v>
      </c>
      <c r="U44" s="72">
        <v>10172</v>
      </c>
      <c r="V44" s="72">
        <v>31</v>
      </c>
      <c r="W44" s="72">
        <f t="shared" si="21"/>
        <v>150255</v>
      </c>
      <c r="X44" s="72">
        <v>6163652</v>
      </c>
      <c r="Y44" s="83">
        <v>40</v>
      </c>
      <c r="Z44" s="70">
        <v>41876</v>
      </c>
      <c r="AA44" s="72">
        <f t="shared" si="22"/>
        <v>743282</v>
      </c>
      <c r="AB44" s="72">
        <v>151857</v>
      </c>
      <c r="AC44" s="72">
        <v>12913</v>
      </c>
      <c r="AD44" s="72">
        <v>31</v>
      </c>
      <c r="AE44" s="72">
        <f t="shared" si="23"/>
        <v>164770</v>
      </c>
      <c r="AF44" s="72">
        <v>6681708</v>
      </c>
      <c r="AG44" s="78"/>
      <c r="AH44" s="70">
        <v>41861</v>
      </c>
      <c r="AI44" s="72">
        <f t="shared" si="24"/>
        <v>860036</v>
      </c>
      <c r="AJ44" s="72">
        <v>578512</v>
      </c>
      <c r="AK44" s="72">
        <v>61024</v>
      </c>
      <c r="AL44" s="72">
        <v>31</v>
      </c>
      <c r="AM44" s="72">
        <f t="shared" si="25"/>
        <v>639536</v>
      </c>
      <c r="AN44" s="72">
        <v>61900784</v>
      </c>
      <c r="AO44" s="78"/>
      <c r="AP44" s="70">
        <v>41882</v>
      </c>
      <c r="AQ44" s="72">
        <f t="shared" si="26"/>
        <v>226389</v>
      </c>
      <c r="AR44" s="72">
        <v>220500</v>
      </c>
      <c r="AS44" s="72">
        <v>5889</v>
      </c>
      <c r="AT44" s="72">
        <v>31</v>
      </c>
      <c r="AU44" s="72">
        <f t="shared" si="27"/>
        <v>226389</v>
      </c>
      <c r="AV44" s="72">
        <v>3528000</v>
      </c>
      <c r="AW44" s="78">
        <v>40</v>
      </c>
      <c r="AX44" s="70">
        <v>41876</v>
      </c>
      <c r="AY44" s="72"/>
      <c r="AZ44" s="72"/>
      <c r="BA44" s="72"/>
      <c r="BB44" s="72"/>
      <c r="BC44" s="81"/>
      <c r="BD44" s="81"/>
      <c r="BE44" s="78"/>
      <c r="BF44" s="70"/>
      <c r="BG44" s="72"/>
      <c r="BH44" s="72"/>
      <c r="BI44" s="72"/>
      <c r="BJ44" s="72"/>
      <c r="BK44" s="81"/>
      <c r="BL44" s="81"/>
      <c r="BM44" s="78"/>
      <c r="BN44" s="70"/>
      <c r="BO44" s="72"/>
      <c r="BP44" s="72"/>
      <c r="BQ44" s="72"/>
      <c r="BR44" s="72"/>
      <c r="BS44" s="81"/>
      <c r="BT44" s="81"/>
    </row>
    <row r="45" spans="1:72">
      <c r="A45" s="78">
        <v>41</v>
      </c>
      <c r="B45" s="70">
        <v>41907</v>
      </c>
      <c r="C45" s="72"/>
      <c r="D45" s="99">
        <f t="shared" si="17"/>
        <v>1332518</v>
      </c>
      <c r="E45" s="99">
        <f t="shared" si="18"/>
        <v>3040191</v>
      </c>
      <c r="F45" s="99">
        <f t="shared" si="11"/>
        <v>124</v>
      </c>
      <c r="G45" s="100">
        <f t="shared" si="12"/>
        <v>1206845</v>
      </c>
      <c r="H45" s="100">
        <f t="shared" si="13"/>
        <v>78465446</v>
      </c>
      <c r="I45" s="78">
        <v>41</v>
      </c>
      <c r="J45" s="70">
        <v>41907</v>
      </c>
      <c r="K45" s="72">
        <f t="shared" si="28"/>
        <v>393445</v>
      </c>
      <c r="L45" s="72">
        <v>241566</v>
      </c>
      <c r="M45" s="72">
        <v>11796</v>
      </c>
      <c r="N45" s="72">
        <v>31</v>
      </c>
      <c r="O45" s="72">
        <f t="shared" si="19"/>
        <v>253362</v>
      </c>
      <c r="P45" s="72">
        <v>4589754</v>
      </c>
      <c r="Q45" s="78"/>
      <c r="R45" s="70">
        <v>41907</v>
      </c>
      <c r="S45" s="72">
        <f t="shared" si="20"/>
        <v>301886</v>
      </c>
      <c r="T45" s="72">
        <v>140083</v>
      </c>
      <c r="U45" s="72">
        <v>9946</v>
      </c>
      <c r="V45" s="72">
        <v>31</v>
      </c>
      <c r="W45" s="72">
        <f t="shared" si="21"/>
        <v>150029</v>
      </c>
      <c r="X45" s="72">
        <v>6023569</v>
      </c>
      <c r="Y45" s="83">
        <v>41</v>
      </c>
      <c r="Z45" s="70">
        <v>41907</v>
      </c>
      <c r="AA45" s="72">
        <f t="shared" si="22"/>
        <v>742995</v>
      </c>
      <c r="AB45" s="72">
        <v>151857</v>
      </c>
      <c r="AC45" s="72">
        <v>12626</v>
      </c>
      <c r="AD45" s="72">
        <v>31</v>
      </c>
      <c r="AE45" s="72">
        <f t="shared" si="23"/>
        <v>164483</v>
      </c>
      <c r="AF45" s="72">
        <v>6529851</v>
      </c>
      <c r="AG45" s="78"/>
      <c r="AH45" s="70">
        <v>41892</v>
      </c>
      <c r="AI45" s="72">
        <f t="shared" si="24"/>
        <v>859471</v>
      </c>
      <c r="AJ45" s="72">
        <v>578512</v>
      </c>
      <c r="AK45" s="72">
        <v>60459</v>
      </c>
      <c r="AL45" s="72">
        <v>31</v>
      </c>
      <c r="AM45" s="72">
        <f t="shared" si="25"/>
        <v>638971</v>
      </c>
      <c r="AN45" s="72">
        <v>61322272</v>
      </c>
      <c r="AO45" s="78"/>
      <c r="AP45" s="70">
        <v>41912</v>
      </c>
      <c r="AQ45" s="72">
        <f t="shared" si="26"/>
        <v>225864</v>
      </c>
      <c r="AR45" s="72">
        <v>220500</v>
      </c>
      <c r="AS45" s="72">
        <v>5364</v>
      </c>
      <c r="AT45" s="72">
        <v>30</v>
      </c>
      <c r="AU45" s="72">
        <f t="shared" si="27"/>
        <v>225864</v>
      </c>
      <c r="AV45" s="72">
        <v>3307500</v>
      </c>
      <c r="AW45" s="78">
        <v>41</v>
      </c>
      <c r="AX45" s="70">
        <v>41907</v>
      </c>
      <c r="AY45" s="72"/>
      <c r="AZ45" s="72"/>
      <c r="BA45" s="72">
        <v>2940000</v>
      </c>
      <c r="BB45" s="72"/>
      <c r="BC45" s="81"/>
      <c r="BD45" s="81"/>
      <c r="BE45" s="78"/>
      <c r="BF45" s="70"/>
      <c r="BG45" s="72"/>
      <c r="BH45" s="72"/>
      <c r="BI45" s="72"/>
      <c r="BJ45" s="72"/>
      <c r="BK45" s="81"/>
      <c r="BL45" s="81"/>
      <c r="BM45" s="78"/>
      <c r="BN45" s="70"/>
      <c r="BO45" s="72"/>
      <c r="BP45" s="72"/>
      <c r="BQ45" s="72"/>
      <c r="BR45" s="72"/>
      <c r="BS45" s="81"/>
      <c r="BT45" s="81"/>
    </row>
    <row r="46" spans="1:72">
      <c r="A46" s="78">
        <v>42</v>
      </c>
      <c r="B46" s="70">
        <v>41937</v>
      </c>
      <c r="C46" s="72"/>
      <c r="D46" s="99">
        <f t="shared" si="17"/>
        <v>1332518</v>
      </c>
      <c r="E46" s="99">
        <f t="shared" si="18"/>
        <v>95350</v>
      </c>
      <c r="F46" s="99">
        <f t="shared" si="11"/>
        <v>120</v>
      </c>
      <c r="G46" s="100">
        <f t="shared" si="12"/>
        <v>1202172</v>
      </c>
      <c r="H46" s="100">
        <f t="shared" si="13"/>
        <v>77353428</v>
      </c>
      <c r="I46" s="78">
        <v>42</v>
      </c>
      <c r="J46" s="70">
        <v>41937</v>
      </c>
      <c r="K46" s="72">
        <f t="shared" si="28"/>
        <v>392494</v>
      </c>
      <c r="L46" s="72">
        <v>241566</v>
      </c>
      <c r="M46" s="72">
        <v>10845</v>
      </c>
      <c r="N46" s="72">
        <v>30</v>
      </c>
      <c r="O46" s="72">
        <f t="shared" si="19"/>
        <v>252411</v>
      </c>
      <c r="P46" s="72">
        <v>4348188</v>
      </c>
      <c r="Q46" s="78"/>
      <c r="R46" s="70">
        <v>41937</v>
      </c>
      <c r="S46" s="72">
        <f t="shared" si="20"/>
        <v>301346</v>
      </c>
      <c r="T46" s="72">
        <v>140083</v>
      </c>
      <c r="U46" s="72">
        <v>9406</v>
      </c>
      <c r="V46" s="72">
        <v>30</v>
      </c>
      <c r="W46" s="72">
        <f t="shared" si="21"/>
        <v>149489</v>
      </c>
      <c r="X46" s="72">
        <v>5883486</v>
      </c>
      <c r="Y46" s="83">
        <v>42</v>
      </c>
      <c r="Z46" s="70">
        <v>41937</v>
      </c>
      <c r="AA46" s="72">
        <f t="shared" si="22"/>
        <v>742310</v>
      </c>
      <c r="AB46" s="72">
        <v>151857</v>
      </c>
      <c r="AC46" s="72">
        <v>11941</v>
      </c>
      <c r="AD46" s="72">
        <v>30</v>
      </c>
      <c r="AE46" s="72">
        <f t="shared" si="23"/>
        <v>163798</v>
      </c>
      <c r="AF46" s="72">
        <v>6377994</v>
      </c>
      <c r="AG46" s="78"/>
      <c r="AH46" s="70">
        <v>41922</v>
      </c>
      <c r="AI46" s="72">
        <f t="shared" si="24"/>
        <v>856974</v>
      </c>
      <c r="AJ46" s="72">
        <v>578512</v>
      </c>
      <c r="AK46" s="72">
        <v>57962</v>
      </c>
      <c r="AL46" s="72">
        <v>30</v>
      </c>
      <c r="AM46" s="72">
        <f t="shared" si="25"/>
        <v>636474</v>
      </c>
      <c r="AN46" s="72">
        <v>60743760</v>
      </c>
      <c r="AO46" s="78"/>
      <c r="AP46" s="70">
        <v>41943</v>
      </c>
      <c r="AQ46" s="72">
        <f t="shared" si="26"/>
        <v>225696</v>
      </c>
      <c r="AR46" s="72">
        <v>220500</v>
      </c>
      <c r="AS46" s="72">
        <v>5196</v>
      </c>
      <c r="AT46" s="72">
        <v>31</v>
      </c>
      <c r="AU46" s="72">
        <f t="shared" si="27"/>
        <v>225696</v>
      </c>
      <c r="AV46" s="72">
        <v>3087000</v>
      </c>
      <c r="AW46" s="78">
        <v>42</v>
      </c>
      <c r="AX46" s="70">
        <v>41937</v>
      </c>
      <c r="AY46" s="72"/>
      <c r="AZ46" s="72"/>
      <c r="BA46" s="72"/>
      <c r="BB46" s="72"/>
      <c r="BC46" s="81"/>
      <c r="BD46" s="81"/>
      <c r="BE46" s="78"/>
      <c r="BF46" s="70"/>
      <c r="BG46" s="72"/>
      <c r="BH46" s="72"/>
      <c r="BI46" s="72"/>
      <c r="BJ46" s="72"/>
      <c r="BK46" s="81"/>
      <c r="BL46" s="81"/>
      <c r="BM46" s="78"/>
      <c r="BN46" s="70"/>
      <c r="BO46" s="72"/>
      <c r="BP46" s="72"/>
      <c r="BQ46" s="72"/>
      <c r="BR46" s="72"/>
      <c r="BS46" s="81"/>
      <c r="BT46" s="81"/>
    </row>
    <row r="47" spans="1:72">
      <c r="A47" s="78">
        <v>43</v>
      </c>
      <c r="B47" s="70">
        <v>41968</v>
      </c>
      <c r="C47" s="72"/>
      <c r="D47" s="99">
        <f t="shared" si="17"/>
        <v>1332518</v>
      </c>
      <c r="E47" s="99">
        <f t="shared" si="18"/>
        <v>96185</v>
      </c>
      <c r="F47" s="99">
        <f t="shared" si="11"/>
        <v>124</v>
      </c>
      <c r="G47" s="100">
        <f t="shared" si="12"/>
        <v>1203510</v>
      </c>
      <c r="H47" s="100">
        <f t="shared" si="13"/>
        <v>76241410</v>
      </c>
      <c r="I47" s="78">
        <v>43</v>
      </c>
      <c r="J47" s="70">
        <v>41968</v>
      </c>
      <c r="K47" s="72">
        <f t="shared" si="28"/>
        <v>392266</v>
      </c>
      <c r="L47" s="72">
        <v>241566</v>
      </c>
      <c r="M47" s="72">
        <v>10617</v>
      </c>
      <c r="N47" s="72">
        <v>31</v>
      </c>
      <c r="O47" s="72">
        <f t="shared" si="19"/>
        <v>252183</v>
      </c>
      <c r="P47" s="72">
        <v>4106622</v>
      </c>
      <c r="Q47" s="78"/>
      <c r="R47" s="70">
        <v>41968</v>
      </c>
      <c r="S47" s="72">
        <f t="shared" si="20"/>
        <v>301434</v>
      </c>
      <c r="T47" s="72">
        <v>140083</v>
      </c>
      <c r="U47" s="72">
        <v>9494</v>
      </c>
      <c r="V47" s="72">
        <v>31</v>
      </c>
      <c r="W47" s="72">
        <f t="shared" si="21"/>
        <v>149577</v>
      </c>
      <c r="X47" s="72">
        <v>5743403</v>
      </c>
      <c r="Y47" s="83">
        <v>43</v>
      </c>
      <c r="Z47" s="70">
        <v>41968</v>
      </c>
      <c r="AA47" s="72">
        <f t="shared" si="22"/>
        <v>742421</v>
      </c>
      <c r="AB47" s="72">
        <v>151857</v>
      </c>
      <c r="AC47" s="72">
        <v>12052</v>
      </c>
      <c r="AD47" s="72">
        <v>31</v>
      </c>
      <c r="AE47" s="72">
        <f t="shared" si="23"/>
        <v>163909</v>
      </c>
      <c r="AF47" s="72">
        <v>6226137</v>
      </c>
      <c r="AG47" s="78"/>
      <c r="AH47" s="70">
        <v>41953</v>
      </c>
      <c r="AI47" s="72">
        <f t="shared" si="24"/>
        <v>858341</v>
      </c>
      <c r="AJ47" s="72">
        <v>578512</v>
      </c>
      <c r="AK47" s="72">
        <v>59329</v>
      </c>
      <c r="AL47" s="72">
        <v>31</v>
      </c>
      <c r="AM47" s="72">
        <f t="shared" si="25"/>
        <v>637841</v>
      </c>
      <c r="AN47" s="72">
        <v>60165248</v>
      </c>
      <c r="AO47" s="78"/>
      <c r="AP47" s="70">
        <v>41973</v>
      </c>
      <c r="AQ47" s="72">
        <f t="shared" si="26"/>
        <v>225193</v>
      </c>
      <c r="AR47" s="72">
        <v>220500</v>
      </c>
      <c r="AS47" s="72">
        <v>4693</v>
      </c>
      <c r="AT47" s="72">
        <v>30</v>
      </c>
      <c r="AU47" s="72">
        <f t="shared" si="27"/>
        <v>225193</v>
      </c>
      <c r="AV47" s="72">
        <v>2866500</v>
      </c>
      <c r="AW47" s="78">
        <v>43</v>
      </c>
      <c r="AX47" s="70">
        <v>41968</v>
      </c>
      <c r="AY47" s="72"/>
      <c r="AZ47" s="72"/>
      <c r="BA47" s="72"/>
      <c r="BB47" s="72"/>
      <c r="BC47" s="81"/>
      <c r="BD47" s="81"/>
      <c r="BE47" s="78"/>
      <c r="BF47" s="70"/>
      <c r="BG47" s="72"/>
      <c r="BH47" s="72"/>
      <c r="BI47" s="72"/>
      <c r="BJ47" s="72"/>
      <c r="BK47" s="81"/>
      <c r="BL47" s="81"/>
      <c r="BM47" s="78"/>
      <c r="BN47" s="70"/>
      <c r="BO47" s="72"/>
      <c r="BP47" s="72"/>
      <c r="BQ47" s="72"/>
      <c r="BR47" s="72"/>
      <c r="BS47" s="81"/>
      <c r="BT47" s="81"/>
    </row>
    <row r="48" spans="1:72">
      <c r="A48" s="78">
        <v>44</v>
      </c>
      <c r="B48" s="70">
        <v>41998</v>
      </c>
      <c r="C48" s="72"/>
      <c r="D48" s="99">
        <f t="shared" si="17"/>
        <v>1332518</v>
      </c>
      <c r="E48" s="99">
        <f t="shared" si="18"/>
        <v>91429</v>
      </c>
      <c r="F48" s="99">
        <f t="shared" si="11"/>
        <v>120</v>
      </c>
      <c r="G48" s="100">
        <f t="shared" si="12"/>
        <v>1198944</v>
      </c>
      <c r="H48" s="100">
        <f t="shared" si="13"/>
        <v>75129392</v>
      </c>
      <c r="I48" s="78">
        <v>44</v>
      </c>
      <c r="J48" s="70">
        <v>41998</v>
      </c>
      <c r="K48" s="72">
        <f t="shared" si="28"/>
        <v>391352</v>
      </c>
      <c r="L48" s="72">
        <v>241566</v>
      </c>
      <c r="M48" s="72">
        <v>9703</v>
      </c>
      <c r="N48" s="72">
        <v>30</v>
      </c>
      <c r="O48" s="72">
        <f t="shared" si="19"/>
        <v>251269</v>
      </c>
      <c r="P48" s="72">
        <v>3865056</v>
      </c>
      <c r="Q48" s="78"/>
      <c r="R48" s="70">
        <v>41998</v>
      </c>
      <c r="S48" s="72">
        <f t="shared" si="20"/>
        <v>300909</v>
      </c>
      <c r="T48" s="72">
        <v>140083</v>
      </c>
      <c r="U48" s="72">
        <v>8969</v>
      </c>
      <c r="V48" s="72">
        <v>30</v>
      </c>
      <c r="W48" s="72">
        <f t="shared" si="21"/>
        <v>149052</v>
      </c>
      <c r="X48" s="72">
        <v>5603320</v>
      </c>
      <c r="Y48" s="83">
        <v>44</v>
      </c>
      <c r="Z48" s="70">
        <v>41998</v>
      </c>
      <c r="AA48" s="72">
        <f t="shared" si="22"/>
        <v>741755</v>
      </c>
      <c r="AB48" s="72">
        <v>151857</v>
      </c>
      <c r="AC48" s="72">
        <v>11386</v>
      </c>
      <c r="AD48" s="72">
        <v>30</v>
      </c>
      <c r="AE48" s="72">
        <f t="shared" si="23"/>
        <v>163243</v>
      </c>
      <c r="AF48" s="72">
        <v>6074280</v>
      </c>
      <c r="AG48" s="78"/>
      <c r="AH48" s="70">
        <v>41983</v>
      </c>
      <c r="AI48" s="72">
        <f t="shared" si="24"/>
        <v>855880</v>
      </c>
      <c r="AJ48" s="72">
        <v>578512</v>
      </c>
      <c r="AK48" s="72">
        <v>56868</v>
      </c>
      <c r="AL48" s="72">
        <v>30</v>
      </c>
      <c r="AM48" s="72">
        <f t="shared" si="25"/>
        <v>635380</v>
      </c>
      <c r="AN48" s="72">
        <v>59586736</v>
      </c>
      <c r="AO48" s="78"/>
      <c r="AP48" s="70">
        <v>42004</v>
      </c>
      <c r="AQ48" s="72">
        <f t="shared" si="26"/>
        <v>225003</v>
      </c>
      <c r="AR48" s="72">
        <v>220500</v>
      </c>
      <c r="AS48" s="72">
        <v>4503</v>
      </c>
      <c r="AT48" s="72">
        <v>31</v>
      </c>
      <c r="AU48" s="72">
        <f t="shared" si="27"/>
        <v>225003</v>
      </c>
      <c r="AV48" s="72">
        <v>2646000</v>
      </c>
      <c r="AW48" s="78">
        <v>44</v>
      </c>
      <c r="AX48" s="70">
        <v>41998</v>
      </c>
      <c r="AY48" s="72"/>
      <c r="AZ48" s="72"/>
      <c r="BA48" s="72"/>
      <c r="BB48" s="72"/>
      <c r="BC48" s="81"/>
      <c r="BD48" s="81"/>
      <c r="BE48" s="78"/>
      <c r="BF48" s="70"/>
      <c r="BG48" s="72"/>
      <c r="BH48" s="72"/>
      <c r="BI48" s="72"/>
      <c r="BJ48" s="72"/>
      <c r="BK48" s="81"/>
      <c r="BL48" s="81"/>
      <c r="BM48" s="78"/>
      <c r="BN48" s="70"/>
      <c r="BO48" s="72"/>
      <c r="BP48" s="72"/>
      <c r="BQ48" s="72"/>
      <c r="BR48" s="72"/>
      <c r="BS48" s="81"/>
      <c r="BT48" s="81"/>
    </row>
    <row r="49" spans="1:72">
      <c r="A49" s="78">
        <v>45</v>
      </c>
      <c r="B49" s="70">
        <v>42029</v>
      </c>
      <c r="C49" s="72"/>
      <c r="D49" s="99">
        <f t="shared" si="17"/>
        <v>1332518</v>
      </c>
      <c r="E49" s="99">
        <f t="shared" si="18"/>
        <v>92313</v>
      </c>
      <c r="F49" s="99">
        <f t="shared" si="11"/>
        <v>124</v>
      </c>
      <c r="G49" s="100">
        <f t="shared" si="12"/>
        <v>1200174</v>
      </c>
      <c r="H49" s="100">
        <f t="shared" si="13"/>
        <v>74017374</v>
      </c>
      <c r="I49" s="78">
        <v>45</v>
      </c>
      <c r="J49" s="70">
        <v>42029</v>
      </c>
      <c r="K49" s="72">
        <f t="shared" si="28"/>
        <v>391086</v>
      </c>
      <c r="L49" s="72">
        <v>241566</v>
      </c>
      <c r="M49" s="72">
        <v>9437</v>
      </c>
      <c r="N49" s="72">
        <v>31</v>
      </c>
      <c r="O49" s="72">
        <f t="shared" si="19"/>
        <v>251003</v>
      </c>
      <c r="P49" s="72">
        <v>3623490</v>
      </c>
      <c r="Q49" s="78"/>
      <c r="R49" s="70">
        <v>42029</v>
      </c>
      <c r="S49" s="72">
        <f t="shared" si="20"/>
        <v>300982</v>
      </c>
      <c r="T49" s="72">
        <v>140083</v>
      </c>
      <c r="U49" s="72">
        <v>9042</v>
      </c>
      <c r="V49" s="72">
        <v>31</v>
      </c>
      <c r="W49" s="72">
        <f t="shared" si="21"/>
        <v>149125</v>
      </c>
      <c r="X49" s="72">
        <v>5463237</v>
      </c>
      <c r="Y49" s="83">
        <v>45</v>
      </c>
      <c r="Z49" s="70">
        <v>42029</v>
      </c>
      <c r="AA49" s="72">
        <f t="shared" si="22"/>
        <v>741847</v>
      </c>
      <c r="AB49" s="72">
        <v>151857</v>
      </c>
      <c r="AC49" s="72">
        <v>11478</v>
      </c>
      <c r="AD49" s="72">
        <v>31</v>
      </c>
      <c r="AE49" s="72">
        <f t="shared" si="23"/>
        <v>163335</v>
      </c>
      <c r="AF49" s="72">
        <v>5922423</v>
      </c>
      <c r="AG49" s="78"/>
      <c r="AH49" s="70">
        <v>42014</v>
      </c>
      <c r="AI49" s="72">
        <f t="shared" si="24"/>
        <v>857211</v>
      </c>
      <c r="AJ49" s="72">
        <v>578512</v>
      </c>
      <c r="AK49" s="72">
        <v>58199</v>
      </c>
      <c r="AL49" s="72">
        <v>31</v>
      </c>
      <c r="AM49" s="72">
        <f t="shared" si="25"/>
        <v>636711</v>
      </c>
      <c r="AN49" s="72">
        <v>59008224</v>
      </c>
      <c r="AO49" s="78"/>
      <c r="AP49" s="70">
        <v>42035</v>
      </c>
      <c r="AQ49" s="72">
        <f t="shared" si="26"/>
        <v>224657</v>
      </c>
      <c r="AR49" s="72">
        <v>220500</v>
      </c>
      <c r="AS49" s="72">
        <v>4157</v>
      </c>
      <c r="AT49" s="72">
        <v>31</v>
      </c>
      <c r="AU49" s="72">
        <f t="shared" si="27"/>
        <v>224657</v>
      </c>
      <c r="AV49" s="72">
        <v>2425500</v>
      </c>
      <c r="AW49" s="78">
        <v>45</v>
      </c>
      <c r="AX49" s="70">
        <v>42029</v>
      </c>
      <c r="AY49" s="72"/>
      <c r="AZ49" s="72"/>
      <c r="BA49" s="72"/>
      <c r="BB49" s="72"/>
      <c r="BC49" s="81"/>
      <c r="BD49" s="81"/>
      <c r="BE49" s="78"/>
      <c r="BF49" s="70"/>
      <c r="BG49" s="72"/>
      <c r="BH49" s="72"/>
      <c r="BI49" s="72"/>
      <c r="BJ49" s="72"/>
      <c r="BK49" s="81"/>
      <c r="BL49" s="81"/>
      <c r="BM49" s="78"/>
      <c r="BN49" s="70"/>
      <c r="BO49" s="72"/>
      <c r="BP49" s="72"/>
      <c r="BQ49" s="72"/>
      <c r="BR49" s="72"/>
      <c r="BS49" s="81"/>
      <c r="BT49" s="81"/>
    </row>
    <row r="50" spans="1:72">
      <c r="A50" s="78">
        <v>46</v>
      </c>
      <c r="B50" s="70">
        <v>42060</v>
      </c>
      <c r="C50" s="72"/>
      <c r="D50" s="99">
        <f t="shared" si="17"/>
        <v>1332518</v>
      </c>
      <c r="E50" s="99">
        <f t="shared" si="18"/>
        <v>89929</v>
      </c>
      <c r="F50" s="99">
        <f t="shared" si="11"/>
        <v>124</v>
      </c>
      <c r="G50" s="100">
        <f t="shared" si="12"/>
        <v>1198505</v>
      </c>
      <c r="H50" s="100">
        <f t="shared" si="13"/>
        <v>72905356</v>
      </c>
      <c r="I50" s="78">
        <v>46</v>
      </c>
      <c r="J50" s="70">
        <v>42060</v>
      </c>
      <c r="K50" s="72">
        <f t="shared" si="28"/>
        <v>390496</v>
      </c>
      <c r="L50" s="72">
        <v>241566</v>
      </c>
      <c r="M50" s="72">
        <v>8847</v>
      </c>
      <c r="N50" s="72">
        <v>31</v>
      </c>
      <c r="O50" s="72">
        <f t="shared" si="19"/>
        <v>250413</v>
      </c>
      <c r="P50" s="72">
        <v>3381924</v>
      </c>
      <c r="Q50" s="78"/>
      <c r="R50" s="70">
        <v>42060</v>
      </c>
      <c r="S50" s="72">
        <f t="shared" si="20"/>
        <v>300755</v>
      </c>
      <c r="T50" s="72">
        <v>140083</v>
      </c>
      <c r="U50" s="72">
        <v>8815</v>
      </c>
      <c r="V50" s="72">
        <v>31</v>
      </c>
      <c r="W50" s="72">
        <f t="shared" si="21"/>
        <v>148898</v>
      </c>
      <c r="X50" s="72">
        <v>5323154</v>
      </c>
      <c r="Y50" s="83">
        <v>46</v>
      </c>
      <c r="Z50" s="70">
        <v>42060</v>
      </c>
      <c r="AA50" s="72">
        <f t="shared" si="22"/>
        <v>741560</v>
      </c>
      <c r="AB50" s="72">
        <v>151857</v>
      </c>
      <c r="AC50" s="72">
        <v>11191</v>
      </c>
      <c r="AD50" s="72">
        <v>31</v>
      </c>
      <c r="AE50" s="72">
        <f t="shared" si="23"/>
        <v>163048</v>
      </c>
      <c r="AF50" s="72">
        <v>5770566</v>
      </c>
      <c r="AG50" s="78"/>
      <c r="AH50" s="70">
        <v>42045</v>
      </c>
      <c r="AI50" s="72">
        <f t="shared" si="24"/>
        <v>856646</v>
      </c>
      <c r="AJ50" s="72">
        <v>578512</v>
      </c>
      <c r="AK50" s="72">
        <v>57634</v>
      </c>
      <c r="AL50" s="72">
        <v>31</v>
      </c>
      <c r="AM50" s="72">
        <f t="shared" si="25"/>
        <v>636146</v>
      </c>
      <c r="AN50" s="72">
        <v>58429712</v>
      </c>
      <c r="AO50" s="78"/>
      <c r="AP50" s="70">
        <v>42063</v>
      </c>
      <c r="AQ50" s="72">
        <f t="shared" si="26"/>
        <v>223942</v>
      </c>
      <c r="AR50" s="72">
        <v>220500</v>
      </c>
      <c r="AS50" s="72">
        <v>3442</v>
      </c>
      <c r="AT50" s="72">
        <v>28</v>
      </c>
      <c r="AU50" s="72">
        <f t="shared" si="27"/>
        <v>223942</v>
      </c>
      <c r="AV50" s="72">
        <v>2205000</v>
      </c>
      <c r="AW50" s="78">
        <v>46</v>
      </c>
      <c r="AX50" s="70">
        <v>42060</v>
      </c>
      <c r="AY50" s="72"/>
      <c r="AZ50" s="72"/>
      <c r="BA50" s="72"/>
      <c r="BB50" s="72"/>
      <c r="BC50" s="81"/>
      <c r="BD50" s="81"/>
      <c r="BE50" s="78"/>
      <c r="BF50" s="70"/>
      <c r="BG50" s="72"/>
      <c r="BH50" s="72"/>
      <c r="BI50" s="72"/>
      <c r="BJ50" s="72"/>
      <c r="BK50" s="81"/>
      <c r="BL50" s="81"/>
      <c r="BM50" s="78"/>
      <c r="BN50" s="70"/>
      <c r="BO50" s="72"/>
      <c r="BP50" s="72"/>
      <c r="BQ50" s="72"/>
      <c r="BR50" s="72"/>
      <c r="BS50" s="81"/>
      <c r="BT50" s="81"/>
    </row>
    <row r="51" spans="1:72">
      <c r="A51" s="78">
        <v>47</v>
      </c>
      <c r="B51" s="70">
        <v>42088</v>
      </c>
      <c r="C51" s="72"/>
      <c r="D51" s="99">
        <f t="shared" si="17"/>
        <v>1332518</v>
      </c>
      <c r="E51" s="99">
        <f t="shared" si="18"/>
        <v>3020075</v>
      </c>
      <c r="F51" s="99">
        <f t="shared" si="11"/>
        <v>112</v>
      </c>
      <c r="G51" s="100">
        <f t="shared" si="12"/>
        <v>1188629</v>
      </c>
      <c r="H51" s="100">
        <f t="shared" si="13"/>
        <v>71793338</v>
      </c>
      <c r="I51" s="78">
        <v>47</v>
      </c>
      <c r="J51" s="70">
        <v>42088</v>
      </c>
      <c r="K51" s="72">
        <f t="shared" si="28"/>
        <v>389107</v>
      </c>
      <c r="L51" s="72">
        <v>241566</v>
      </c>
      <c r="M51" s="72">
        <v>7458</v>
      </c>
      <c r="N51" s="72">
        <v>28</v>
      </c>
      <c r="O51" s="72">
        <f t="shared" si="19"/>
        <v>249024</v>
      </c>
      <c r="P51" s="72">
        <v>3140358</v>
      </c>
      <c r="Q51" s="78"/>
      <c r="R51" s="70">
        <v>42088</v>
      </c>
      <c r="S51" s="72">
        <f t="shared" si="20"/>
        <v>299698</v>
      </c>
      <c r="T51" s="72">
        <v>140083</v>
      </c>
      <c r="U51" s="72">
        <v>7758</v>
      </c>
      <c r="V51" s="72">
        <v>28</v>
      </c>
      <c r="W51" s="72">
        <f t="shared" si="21"/>
        <v>147841</v>
      </c>
      <c r="X51" s="72">
        <v>5183071</v>
      </c>
      <c r="Y51" s="83">
        <v>47</v>
      </c>
      <c r="Z51" s="70">
        <v>42088</v>
      </c>
      <c r="AA51" s="72">
        <f t="shared" si="22"/>
        <v>740218</v>
      </c>
      <c r="AB51" s="72">
        <v>151857</v>
      </c>
      <c r="AC51" s="72">
        <v>9849</v>
      </c>
      <c r="AD51" s="72">
        <v>28</v>
      </c>
      <c r="AE51" s="72">
        <f t="shared" si="23"/>
        <v>161706</v>
      </c>
      <c r="AF51" s="72">
        <v>5618709</v>
      </c>
      <c r="AG51" s="78"/>
      <c r="AH51" s="70">
        <v>42073</v>
      </c>
      <c r="AI51" s="72">
        <f t="shared" si="24"/>
        <v>850558</v>
      </c>
      <c r="AJ51" s="72">
        <v>578512</v>
      </c>
      <c r="AK51" s="72">
        <v>51546</v>
      </c>
      <c r="AL51" s="72">
        <v>28</v>
      </c>
      <c r="AM51" s="72">
        <f t="shared" si="25"/>
        <v>630058</v>
      </c>
      <c r="AN51" s="72">
        <v>57851200</v>
      </c>
      <c r="AO51" s="78"/>
      <c r="AP51" s="70">
        <v>42094</v>
      </c>
      <c r="AQ51" s="72">
        <f t="shared" si="26"/>
        <v>223964</v>
      </c>
      <c r="AR51" s="72">
        <v>220500</v>
      </c>
      <c r="AS51" s="72">
        <v>3464</v>
      </c>
      <c r="AT51" s="72">
        <v>31</v>
      </c>
      <c r="AU51" s="72">
        <f t="shared" si="27"/>
        <v>223964</v>
      </c>
      <c r="AV51" s="72">
        <v>1984500</v>
      </c>
      <c r="AW51" s="78">
        <v>47</v>
      </c>
      <c r="AX51" s="70">
        <v>42088</v>
      </c>
      <c r="AY51" s="72"/>
      <c r="AZ51" s="72"/>
      <c r="BA51" s="72">
        <v>2940000</v>
      </c>
      <c r="BB51" s="72"/>
      <c r="BC51" s="81"/>
      <c r="BD51" s="81"/>
      <c r="BE51" s="78"/>
      <c r="BF51" s="70"/>
      <c r="BG51" s="72"/>
      <c r="BH51" s="72"/>
      <c r="BI51" s="72"/>
      <c r="BJ51" s="72"/>
      <c r="BK51" s="81"/>
      <c r="BL51" s="81"/>
      <c r="BM51" s="78"/>
      <c r="BN51" s="70"/>
      <c r="BO51" s="72"/>
      <c r="BP51" s="72"/>
      <c r="BQ51" s="72"/>
      <c r="BR51" s="72"/>
      <c r="BS51" s="81"/>
      <c r="BT51" s="81"/>
    </row>
    <row r="52" spans="1:72">
      <c r="A52" s="78">
        <v>48</v>
      </c>
      <c r="B52" s="70">
        <v>42119</v>
      </c>
      <c r="C52" s="72"/>
      <c r="D52" s="99">
        <f t="shared" si="17"/>
        <v>1332518</v>
      </c>
      <c r="E52" s="99">
        <f t="shared" si="18"/>
        <v>86167</v>
      </c>
      <c r="F52" s="99">
        <f t="shared" si="11"/>
        <v>124</v>
      </c>
      <c r="G52" s="100">
        <f t="shared" si="12"/>
        <v>1195168</v>
      </c>
      <c r="H52" s="100">
        <f t="shared" si="13"/>
        <v>70681320</v>
      </c>
      <c r="I52" s="78">
        <v>48</v>
      </c>
      <c r="J52" s="70">
        <v>42119</v>
      </c>
      <c r="K52" s="72">
        <f t="shared" si="28"/>
        <v>389316</v>
      </c>
      <c r="L52" s="72">
        <v>241566</v>
      </c>
      <c r="M52" s="72">
        <v>7667</v>
      </c>
      <c r="N52" s="72">
        <v>31</v>
      </c>
      <c r="O52" s="72">
        <f t="shared" si="19"/>
        <v>249233</v>
      </c>
      <c r="P52" s="72">
        <v>2898792</v>
      </c>
      <c r="Q52" s="78"/>
      <c r="R52" s="70">
        <v>42119</v>
      </c>
      <c r="S52" s="72">
        <f t="shared" si="20"/>
        <v>300303</v>
      </c>
      <c r="T52" s="72">
        <v>140083</v>
      </c>
      <c r="U52" s="72">
        <v>8363</v>
      </c>
      <c r="V52" s="72">
        <v>31</v>
      </c>
      <c r="W52" s="72">
        <f t="shared" si="21"/>
        <v>148446</v>
      </c>
      <c r="X52" s="72">
        <v>5042988</v>
      </c>
      <c r="Y52" s="83">
        <v>48</v>
      </c>
      <c r="Z52" s="70">
        <v>42119</v>
      </c>
      <c r="AA52" s="72">
        <f t="shared" si="22"/>
        <v>740986</v>
      </c>
      <c r="AB52" s="72">
        <v>151857</v>
      </c>
      <c r="AC52" s="72">
        <v>10617</v>
      </c>
      <c r="AD52" s="72">
        <v>31</v>
      </c>
      <c r="AE52" s="72">
        <f t="shared" si="23"/>
        <v>162474</v>
      </c>
      <c r="AF52" s="72">
        <v>5466852</v>
      </c>
      <c r="AG52" s="78"/>
      <c r="AH52" s="70">
        <v>42104</v>
      </c>
      <c r="AI52" s="72">
        <f t="shared" si="24"/>
        <v>855515</v>
      </c>
      <c r="AJ52" s="72">
        <v>578512</v>
      </c>
      <c r="AK52" s="72">
        <v>56503</v>
      </c>
      <c r="AL52" s="72">
        <v>31</v>
      </c>
      <c r="AM52" s="72">
        <f t="shared" si="25"/>
        <v>635015</v>
      </c>
      <c r="AN52" s="72">
        <v>57272688</v>
      </c>
      <c r="AO52" s="78"/>
      <c r="AP52" s="70">
        <v>42124</v>
      </c>
      <c r="AQ52" s="72">
        <f t="shared" si="26"/>
        <v>223517</v>
      </c>
      <c r="AR52" s="72">
        <v>220500</v>
      </c>
      <c r="AS52" s="72">
        <v>3017</v>
      </c>
      <c r="AT52" s="72">
        <v>30</v>
      </c>
      <c r="AU52" s="72">
        <f t="shared" si="27"/>
        <v>223517</v>
      </c>
      <c r="AV52" s="72">
        <v>1764000</v>
      </c>
      <c r="AW52" s="78">
        <v>48</v>
      </c>
      <c r="AX52" s="70">
        <v>42119</v>
      </c>
      <c r="AY52" s="72"/>
      <c r="AZ52" s="72"/>
      <c r="BA52" s="72"/>
      <c r="BB52" s="72"/>
      <c r="BC52" s="81"/>
      <c r="BD52" s="81"/>
      <c r="BE52" s="78"/>
      <c r="BF52" s="70"/>
      <c r="BG52" s="72"/>
      <c r="BH52" s="72"/>
      <c r="BI52" s="72"/>
      <c r="BJ52" s="72"/>
      <c r="BK52" s="81"/>
      <c r="BL52" s="81"/>
      <c r="BM52" s="78"/>
      <c r="BN52" s="70"/>
      <c r="BO52" s="72"/>
      <c r="BP52" s="72"/>
      <c r="BQ52" s="72"/>
      <c r="BR52" s="72"/>
      <c r="BS52" s="81"/>
      <c r="BT52" s="81"/>
    </row>
    <row r="53" spans="1:72">
      <c r="A53" s="78">
        <v>49</v>
      </c>
      <c r="B53" s="70">
        <v>42149</v>
      </c>
      <c r="C53" s="72"/>
      <c r="D53" s="99">
        <f t="shared" si="17"/>
        <v>1332518</v>
      </c>
      <c r="E53" s="99">
        <f t="shared" si="18"/>
        <v>81626</v>
      </c>
      <c r="F53" s="99">
        <f t="shared" si="11"/>
        <v>120</v>
      </c>
      <c r="G53" s="100">
        <f t="shared" si="12"/>
        <v>1190873</v>
      </c>
      <c r="H53" s="100">
        <f t="shared" si="13"/>
        <v>69569302</v>
      </c>
      <c r="I53" s="78">
        <v>49</v>
      </c>
      <c r="J53" s="70">
        <v>42149</v>
      </c>
      <c r="K53" s="72">
        <f t="shared" si="28"/>
        <v>388498</v>
      </c>
      <c r="L53" s="72">
        <v>241566</v>
      </c>
      <c r="M53" s="72">
        <v>6849</v>
      </c>
      <c r="N53" s="72">
        <v>30</v>
      </c>
      <c r="O53" s="72">
        <f t="shared" si="19"/>
        <v>248415</v>
      </c>
      <c r="P53" s="72">
        <v>2657226</v>
      </c>
      <c r="Q53" s="78"/>
      <c r="R53" s="70">
        <v>42149</v>
      </c>
      <c r="S53" s="72">
        <f t="shared" si="20"/>
        <v>299815</v>
      </c>
      <c r="T53" s="72">
        <v>140083</v>
      </c>
      <c r="U53" s="72">
        <v>7875</v>
      </c>
      <c r="V53" s="72">
        <v>30</v>
      </c>
      <c r="W53" s="72">
        <f t="shared" si="21"/>
        <v>147958</v>
      </c>
      <c r="X53" s="72">
        <v>4902905</v>
      </c>
      <c r="Y53" s="83">
        <v>49</v>
      </c>
      <c r="Z53" s="70">
        <v>42149</v>
      </c>
      <c r="AA53" s="72">
        <f t="shared" si="22"/>
        <v>740366</v>
      </c>
      <c r="AB53" s="72">
        <v>151857</v>
      </c>
      <c r="AC53" s="72">
        <v>9997</v>
      </c>
      <c r="AD53" s="72">
        <v>30</v>
      </c>
      <c r="AE53" s="72">
        <f t="shared" si="23"/>
        <v>161854</v>
      </c>
      <c r="AF53" s="72">
        <v>5314995</v>
      </c>
      <c r="AG53" s="78"/>
      <c r="AH53" s="70">
        <v>42134</v>
      </c>
      <c r="AI53" s="72">
        <f t="shared" si="24"/>
        <v>853146</v>
      </c>
      <c r="AJ53" s="72">
        <v>578512</v>
      </c>
      <c r="AK53" s="72">
        <v>54134</v>
      </c>
      <c r="AL53" s="72">
        <v>30</v>
      </c>
      <c r="AM53" s="72">
        <f t="shared" si="25"/>
        <v>632646</v>
      </c>
      <c r="AN53" s="72">
        <v>56694176</v>
      </c>
      <c r="AO53" s="78"/>
      <c r="AP53" s="70">
        <v>42155</v>
      </c>
      <c r="AQ53" s="72">
        <f t="shared" si="26"/>
        <v>223271</v>
      </c>
      <c r="AR53" s="72">
        <v>220500</v>
      </c>
      <c r="AS53" s="72">
        <v>2771</v>
      </c>
      <c r="AT53" s="72">
        <v>31</v>
      </c>
      <c r="AU53" s="72">
        <f t="shared" si="27"/>
        <v>223271</v>
      </c>
      <c r="AV53" s="72">
        <v>1543500</v>
      </c>
      <c r="AW53" s="78">
        <v>49</v>
      </c>
      <c r="AX53" s="70">
        <v>42149</v>
      </c>
      <c r="AY53" s="72"/>
      <c r="AZ53" s="72"/>
      <c r="BA53" s="72"/>
      <c r="BB53" s="72"/>
      <c r="BC53" s="81"/>
      <c r="BD53" s="81"/>
      <c r="BE53" s="78"/>
      <c r="BF53" s="70"/>
      <c r="BG53" s="72"/>
      <c r="BH53" s="72"/>
      <c r="BI53" s="72"/>
      <c r="BJ53" s="72"/>
      <c r="BK53" s="81"/>
      <c r="BL53" s="81"/>
      <c r="BM53" s="78"/>
      <c r="BN53" s="70"/>
      <c r="BO53" s="72"/>
      <c r="BP53" s="72"/>
      <c r="BQ53" s="72"/>
      <c r="BR53" s="72"/>
      <c r="BS53" s="81"/>
      <c r="BT53" s="81"/>
    </row>
    <row r="54" spans="1:72">
      <c r="A54" s="78">
        <v>50</v>
      </c>
      <c r="B54" s="70">
        <v>42180</v>
      </c>
      <c r="C54" s="72"/>
      <c r="D54" s="99">
        <f t="shared" si="17"/>
        <v>1332518</v>
      </c>
      <c r="E54" s="99">
        <f t="shared" si="18"/>
        <v>82161</v>
      </c>
      <c r="F54" s="99">
        <f t="shared" si="11"/>
        <v>124</v>
      </c>
      <c r="G54" s="100">
        <f t="shared" si="12"/>
        <v>1191833</v>
      </c>
      <c r="H54" s="100">
        <f t="shared" si="13"/>
        <v>68457284</v>
      </c>
      <c r="I54" s="78">
        <v>50</v>
      </c>
      <c r="J54" s="70">
        <v>42180</v>
      </c>
      <c r="K54" s="72">
        <f t="shared" si="28"/>
        <v>388137</v>
      </c>
      <c r="L54" s="72">
        <v>241566</v>
      </c>
      <c r="M54" s="72">
        <v>6488</v>
      </c>
      <c r="N54" s="72">
        <v>31</v>
      </c>
      <c r="O54" s="72">
        <f t="shared" si="19"/>
        <v>248054</v>
      </c>
      <c r="P54" s="72">
        <v>2415660</v>
      </c>
      <c r="Q54" s="78"/>
      <c r="R54" s="70">
        <v>42180</v>
      </c>
      <c r="S54" s="72">
        <f t="shared" si="20"/>
        <v>299851</v>
      </c>
      <c r="T54" s="72">
        <v>140083</v>
      </c>
      <c r="U54" s="72">
        <v>7911</v>
      </c>
      <c r="V54" s="72">
        <v>31</v>
      </c>
      <c r="W54" s="72">
        <f t="shared" si="21"/>
        <v>147994</v>
      </c>
      <c r="X54" s="72">
        <v>4762822</v>
      </c>
      <c r="Y54" s="83">
        <v>50</v>
      </c>
      <c r="Z54" s="70">
        <v>42180</v>
      </c>
      <c r="AA54" s="72">
        <f t="shared" si="22"/>
        <v>740412</v>
      </c>
      <c r="AB54" s="72">
        <v>151857</v>
      </c>
      <c r="AC54" s="72">
        <v>10043</v>
      </c>
      <c r="AD54" s="72">
        <v>31</v>
      </c>
      <c r="AE54" s="72">
        <f t="shared" si="23"/>
        <v>161900</v>
      </c>
      <c r="AF54" s="72">
        <v>5163138</v>
      </c>
      <c r="AG54" s="78"/>
      <c r="AH54" s="70">
        <v>42165</v>
      </c>
      <c r="AI54" s="72">
        <f t="shared" si="24"/>
        <v>854385</v>
      </c>
      <c r="AJ54" s="72">
        <v>578512</v>
      </c>
      <c r="AK54" s="72">
        <v>55373</v>
      </c>
      <c r="AL54" s="72">
        <v>31</v>
      </c>
      <c r="AM54" s="72">
        <f t="shared" si="25"/>
        <v>633885</v>
      </c>
      <c r="AN54" s="72">
        <v>56115664</v>
      </c>
      <c r="AO54" s="78"/>
      <c r="AP54" s="70">
        <v>42185</v>
      </c>
      <c r="AQ54" s="72">
        <f t="shared" si="26"/>
        <v>222846</v>
      </c>
      <c r="AR54" s="72">
        <v>220500</v>
      </c>
      <c r="AS54" s="72">
        <v>2346</v>
      </c>
      <c r="AT54" s="72">
        <v>30</v>
      </c>
      <c r="AU54" s="72">
        <f t="shared" si="27"/>
        <v>222846</v>
      </c>
      <c r="AV54" s="72">
        <v>1323000</v>
      </c>
      <c r="AW54" s="78">
        <v>50</v>
      </c>
      <c r="AX54" s="70">
        <v>42180</v>
      </c>
      <c r="AY54" s="72"/>
      <c r="AZ54" s="72"/>
      <c r="BA54" s="72"/>
      <c r="BB54" s="72"/>
      <c r="BC54" s="81"/>
      <c r="BD54" s="81"/>
      <c r="BE54" s="78"/>
      <c r="BF54" s="70"/>
      <c r="BG54" s="72"/>
      <c r="BH54" s="72"/>
      <c r="BI54" s="72"/>
      <c r="BJ54" s="72"/>
      <c r="BK54" s="81"/>
      <c r="BL54" s="81"/>
      <c r="BM54" s="78"/>
      <c r="BN54" s="70"/>
      <c r="BO54" s="72"/>
      <c r="BP54" s="72"/>
      <c r="BQ54" s="72"/>
      <c r="BR54" s="72"/>
      <c r="BS54" s="81"/>
      <c r="BT54" s="81"/>
    </row>
    <row r="55" spans="1:72">
      <c r="A55" s="78">
        <v>51</v>
      </c>
      <c r="B55" s="70">
        <v>42210</v>
      </c>
      <c r="C55" s="72"/>
      <c r="D55" s="99">
        <f t="shared" si="17"/>
        <v>1332518</v>
      </c>
      <c r="E55" s="99">
        <f t="shared" si="18"/>
        <v>77705</v>
      </c>
      <c r="F55" s="99">
        <f t="shared" si="11"/>
        <v>120</v>
      </c>
      <c r="G55" s="100">
        <f t="shared" si="12"/>
        <v>1187645</v>
      </c>
      <c r="H55" s="100">
        <f t="shared" si="13"/>
        <v>67345266</v>
      </c>
      <c r="I55" s="78">
        <v>51</v>
      </c>
      <c r="J55" s="70">
        <v>42210</v>
      </c>
      <c r="K55" s="72">
        <f t="shared" si="28"/>
        <v>387357</v>
      </c>
      <c r="L55" s="72">
        <v>241566</v>
      </c>
      <c r="M55" s="72">
        <v>5708</v>
      </c>
      <c r="N55" s="72">
        <v>30</v>
      </c>
      <c r="O55" s="72">
        <f t="shared" si="19"/>
        <v>247274</v>
      </c>
      <c r="P55" s="72">
        <v>2174094</v>
      </c>
      <c r="Q55" s="78"/>
      <c r="R55" s="70">
        <v>42210</v>
      </c>
      <c r="S55" s="72">
        <f t="shared" si="20"/>
        <v>299377</v>
      </c>
      <c r="T55" s="72">
        <v>140083</v>
      </c>
      <c r="U55" s="72">
        <v>7437</v>
      </c>
      <c r="V55" s="72">
        <v>30</v>
      </c>
      <c r="W55" s="72">
        <f t="shared" si="21"/>
        <v>147520</v>
      </c>
      <c r="X55" s="72">
        <v>4622739</v>
      </c>
      <c r="Y55" s="83">
        <v>51</v>
      </c>
      <c r="Z55" s="70">
        <v>42210</v>
      </c>
      <c r="AA55" s="72">
        <f t="shared" si="22"/>
        <v>739811</v>
      </c>
      <c r="AB55" s="72">
        <v>151857</v>
      </c>
      <c r="AC55" s="72">
        <v>9442</v>
      </c>
      <c r="AD55" s="72">
        <v>30</v>
      </c>
      <c r="AE55" s="72">
        <f t="shared" si="23"/>
        <v>161299</v>
      </c>
      <c r="AF55" s="72">
        <v>5011281</v>
      </c>
      <c r="AG55" s="78"/>
      <c r="AH55" s="70">
        <v>42195</v>
      </c>
      <c r="AI55" s="72">
        <f t="shared" si="24"/>
        <v>852052</v>
      </c>
      <c r="AJ55" s="72">
        <v>578512</v>
      </c>
      <c r="AK55" s="72">
        <v>53040</v>
      </c>
      <c r="AL55" s="72">
        <v>30</v>
      </c>
      <c r="AM55" s="72">
        <f t="shared" si="25"/>
        <v>631552</v>
      </c>
      <c r="AN55" s="72">
        <v>55537152</v>
      </c>
      <c r="AO55" s="78"/>
      <c r="AP55" s="70">
        <v>42216</v>
      </c>
      <c r="AQ55" s="72">
        <f t="shared" si="26"/>
        <v>222578</v>
      </c>
      <c r="AR55" s="72">
        <v>220500</v>
      </c>
      <c r="AS55" s="72">
        <v>2078</v>
      </c>
      <c r="AT55" s="72">
        <v>31</v>
      </c>
      <c r="AU55" s="72">
        <f t="shared" si="27"/>
        <v>222578</v>
      </c>
      <c r="AV55" s="72">
        <v>1102500</v>
      </c>
      <c r="AW55" s="78">
        <v>51</v>
      </c>
      <c r="AX55" s="70">
        <v>42210</v>
      </c>
      <c r="AY55" s="72"/>
      <c r="AZ55" s="72"/>
      <c r="BA55" s="72"/>
      <c r="BB55" s="72"/>
      <c r="BC55" s="81"/>
      <c r="BD55" s="81"/>
      <c r="BE55" s="78"/>
      <c r="BF55" s="70"/>
      <c r="BG55" s="72"/>
      <c r="BH55" s="72"/>
      <c r="BI55" s="72"/>
      <c r="BJ55" s="72"/>
      <c r="BK55" s="81"/>
      <c r="BL55" s="81"/>
      <c r="BM55" s="78"/>
      <c r="BN55" s="70"/>
      <c r="BO55" s="72"/>
      <c r="BP55" s="72"/>
      <c r="BQ55" s="72"/>
      <c r="BR55" s="72"/>
      <c r="BS55" s="81"/>
      <c r="BT55" s="81"/>
    </row>
    <row r="56" spans="1:72">
      <c r="A56" s="78">
        <v>52</v>
      </c>
      <c r="B56" s="70">
        <v>42241</v>
      </c>
      <c r="C56" s="72"/>
      <c r="D56" s="99">
        <f t="shared" si="17"/>
        <v>1332518</v>
      </c>
      <c r="E56" s="99">
        <f t="shared" si="18"/>
        <v>78211</v>
      </c>
      <c r="F56" s="99">
        <f t="shared" si="11"/>
        <v>124</v>
      </c>
      <c r="G56" s="100">
        <f t="shared" si="12"/>
        <v>1188497</v>
      </c>
      <c r="H56" s="100">
        <f t="shared" si="13"/>
        <v>66233248</v>
      </c>
      <c r="I56" s="78">
        <v>52</v>
      </c>
      <c r="J56" s="70">
        <v>42241</v>
      </c>
      <c r="K56" s="72">
        <f t="shared" si="28"/>
        <v>386957</v>
      </c>
      <c r="L56" s="72">
        <v>241566</v>
      </c>
      <c r="M56" s="72">
        <v>5308</v>
      </c>
      <c r="N56" s="72">
        <v>31</v>
      </c>
      <c r="O56" s="72">
        <f t="shared" si="19"/>
        <v>246874</v>
      </c>
      <c r="P56" s="72">
        <v>1932528</v>
      </c>
      <c r="Q56" s="78"/>
      <c r="R56" s="70">
        <v>42241</v>
      </c>
      <c r="S56" s="72">
        <f t="shared" si="20"/>
        <v>299399</v>
      </c>
      <c r="T56" s="72">
        <v>140083</v>
      </c>
      <c r="U56" s="72">
        <v>7459</v>
      </c>
      <c r="V56" s="72">
        <v>31</v>
      </c>
      <c r="W56" s="72">
        <f t="shared" si="21"/>
        <v>147542</v>
      </c>
      <c r="X56" s="72">
        <v>4482656</v>
      </c>
      <c r="Y56" s="83">
        <v>52</v>
      </c>
      <c r="Z56" s="70">
        <v>42241</v>
      </c>
      <c r="AA56" s="72">
        <f t="shared" si="22"/>
        <v>739838</v>
      </c>
      <c r="AB56" s="72">
        <v>151857</v>
      </c>
      <c r="AC56" s="72">
        <v>9469</v>
      </c>
      <c r="AD56" s="72">
        <v>31</v>
      </c>
      <c r="AE56" s="72">
        <f t="shared" si="23"/>
        <v>161326</v>
      </c>
      <c r="AF56" s="72">
        <v>4859424</v>
      </c>
      <c r="AG56" s="78"/>
      <c r="AH56" s="70">
        <v>42226</v>
      </c>
      <c r="AI56" s="72">
        <f t="shared" si="24"/>
        <v>853255</v>
      </c>
      <c r="AJ56" s="72">
        <v>578512</v>
      </c>
      <c r="AK56" s="72">
        <v>54243</v>
      </c>
      <c r="AL56" s="72">
        <v>31</v>
      </c>
      <c r="AM56" s="72">
        <f t="shared" si="25"/>
        <v>632755</v>
      </c>
      <c r="AN56" s="72">
        <v>54958640</v>
      </c>
      <c r="AO56" s="78"/>
      <c r="AP56" s="70">
        <v>42247</v>
      </c>
      <c r="AQ56" s="72">
        <f t="shared" si="26"/>
        <v>222232</v>
      </c>
      <c r="AR56" s="72">
        <v>220500</v>
      </c>
      <c r="AS56" s="72">
        <v>1732</v>
      </c>
      <c r="AT56" s="72">
        <v>31</v>
      </c>
      <c r="AU56" s="72">
        <f t="shared" si="27"/>
        <v>222232</v>
      </c>
      <c r="AV56" s="72">
        <v>882000</v>
      </c>
      <c r="AW56" s="78">
        <v>52</v>
      </c>
      <c r="AX56" s="70">
        <v>42241</v>
      </c>
      <c r="AY56" s="72"/>
      <c r="AZ56" s="72"/>
      <c r="BA56" s="72"/>
      <c r="BB56" s="72"/>
      <c r="BC56" s="81"/>
      <c r="BD56" s="81"/>
      <c r="BE56" s="78"/>
      <c r="BF56" s="70"/>
      <c r="BG56" s="72"/>
      <c r="BH56" s="72"/>
      <c r="BI56" s="72"/>
      <c r="BJ56" s="72"/>
      <c r="BK56" s="81"/>
      <c r="BL56" s="81"/>
      <c r="BM56" s="78"/>
      <c r="BN56" s="70"/>
      <c r="BO56" s="72"/>
      <c r="BP56" s="72"/>
      <c r="BQ56" s="72"/>
      <c r="BR56" s="72"/>
      <c r="BS56" s="81"/>
      <c r="BT56" s="81"/>
    </row>
    <row r="57" spans="1:72">
      <c r="A57" s="78">
        <v>53</v>
      </c>
      <c r="B57" s="70">
        <v>42272</v>
      </c>
      <c r="C57" s="72"/>
      <c r="D57" s="99">
        <f t="shared" si="17"/>
        <v>1332518</v>
      </c>
      <c r="E57" s="99">
        <f t="shared" si="18"/>
        <v>3016152</v>
      </c>
      <c r="F57" s="99">
        <f t="shared" si="11"/>
        <v>124</v>
      </c>
      <c r="G57" s="100">
        <f t="shared" si="12"/>
        <v>1186829</v>
      </c>
      <c r="H57" s="100">
        <f t="shared" si="13"/>
        <v>65121230</v>
      </c>
      <c r="I57" s="78">
        <v>53</v>
      </c>
      <c r="J57" s="70">
        <v>42272</v>
      </c>
      <c r="K57" s="72">
        <f t="shared" si="28"/>
        <v>386367</v>
      </c>
      <c r="L57" s="72">
        <v>241566</v>
      </c>
      <c r="M57" s="72">
        <v>4718</v>
      </c>
      <c r="N57" s="72">
        <v>31</v>
      </c>
      <c r="O57" s="72">
        <f t="shared" si="19"/>
        <v>246284</v>
      </c>
      <c r="P57" s="72">
        <v>1690962</v>
      </c>
      <c r="Q57" s="78"/>
      <c r="R57" s="70">
        <v>42272</v>
      </c>
      <c r="S57" s="72">
        <f t="shared" si="20"/>
        <v>299173</v>
      </c>
      <c r="T57" s="72">
        <v>140083</v>
      </c>
      <c r="U57" s="72">
        <v>7233</v>
      </c>
      <c r="V57" s="72">
        <v>31</v>
      </c>
      <c r="W57" s="72">
        <f t="shared" si="21"/>
        <v>147316</v>
      </c>
      <c r="X57" s="72">
        <v>4342573</v>
      </c>
      <c r="Y57" s="83">
        <v>53</v>
      </c>
      <c r="Z57" s="70">
        <v>42272</v>
      </c>
      <c r="AA57" s="72">
        <f t="shared" si="22"/>
        <v>739551</v>
      </c>
      <c r="AB57" s="72">
        <v>151857</v>
      </c>
      <c r="AC57" s="72">
        <v>9182</v>
      </c>
      <c r="AD57" s="72">
        <v>31</v>
      </c>
      <c r="AE57" s="72">
        <f t="shared" si="23"/>
        <v>161039</v>
      </c>
      <c r="AF57" s="72">
        <v>4707567</v>
      </c>
      <c r="AG57" s="78"/>
      <c r="AH57" s="70">
        <v>42257</v>
      </c>
      <c r="AI57" s="72">
        <f t="shared" si="24"/>
        <v>852690</v>
      </c>
      <c r="AJ57" s="72">
        <v>578512</v>
      </c>
      <c r="AK57" s="72">
        <v>53678</v>
      </c>
      <c r="AL57" s="72">
        <v>31</v>
      </c>
      <c r="AM57" s="72">
        <f t="shared" si="25"/>
        <v>632190</v>
      </c>
      <c r="AN57" s="72">
        <v>54380128</v>
      </c>
      <c r="AO57" s="78"/>
      <c r="AP57" s="70">
        <v>42277</v>
      </c>
      <c r="AQ57" s="72">
        <f t="shared" si="26"/>
        <v>221841</v>
      </c>
      <c r="AR57" s="72">
        <v>220500</v>
      </c>
      <c r="AS57" s="72">
        <v>1341</v>
      </c>
      <c r="AT57" s="72">
        <v>30</v>
      </c>
      <c r="AU57" s="72">
        <f t="shared" si="27"/>
        <v>221841</v>
      </c>
      <c r="AV57" s="72">
        <v>661500</v>
      </c>
      <c r="AW57" s="78">
        <v>53</v>
      </c>
      <c r="AX57" s="70">
        <v>42272</v>
      </c>
      <c r="AY57" s="72"/>
      <c r="AZ57" s="72"/>
      <c r="BA57" s="72">
        <v>2940000</v>
      </c>
      <c r="BB57" s="72"/>
      <c r="BC57" s="81"/>
      <c r="BD57" s="81"/>
      <c r="BE57" s="78"/>
      <c r="BF57" s="70"/>
      <c r="BG57" s="72"/>
      <c r="BH57" s="72"/>
      <c r="BI57" s="72"/>
      <c r="BJ57" s="72"/>
      <c r="BK57" s="81"/>
      <c r="BL57" s="81"/>
      <c r="BM57" s="78"/>
      <c r="BN57" s="70"/>
      <c r="BO57" s="72"/>
      <c r="BP57" s="72"/>
      <c r="BQ57" s="72"/>
      <c r="BR57" s="72"/>
      <c r="BS57" s="81"/>
      <c r="BT57" s="81"/>
    </row>
    <row r="58" spans="1:72">
      <c r="A58" s="78">
        <v>54</v>
      </c>
      <c r="B58" s="70">
        <v>42302</v>
      </c>
      <c r="C58" s="72"/>
      <c r="D58" s="99">
        <f t="shared" si="17"/>
        <v>1332518</v>
      </c>
      <c r="E58" s="99">
        <f t="shared" si="18"/>
        <v>71823</v>
      </c>
      <c r="F58" s="99">
        <f t="shared" si="11"/>
        <v>120</v>
      </c>
      <c r="G58" s="100">
        <f t="shared" si="12"/>
        <v>1182802</v>
      </c>
      <c r="H58" s="100">
        <f t="shared" si="13"/>
        <v>64009212</v>
      </c>
      <c r="I58" s="78">
        <v>54</v>
      </c>
      <c r="J58" s="70">
        <v>42302</v>
      </c>
      <c r="K58" s="72">
        <f t="shared" si="28"/>
        <v>385644</v>
      </c>
      <c r="L58" s="72">
        <v>241566</v>
      </c>
      <c r="M58" s="72">
        <v>3995</v>
      </c>
      <c r="N58" s="72">
        <v>30</v>
      </c>
      <c r="O58" s="72">
        <f t="shared" si="19"/>
        <v>245561</v>
      </c>
      <c r="P58" s="72">
        <v>1449396</v>
      </c>
      <c r="Q58" s="78"/>
      <c r="R58" s="70">
        <v>42302</v>
      </c>
      <c r="S58" s="72">
        <f t="shared" si="20"/>
        <v>298721</v>
      </c>
      <c r="T58" s="72">
        <v>140083</v>
      </c>
      <c r="U58" s="72">
        <v>6781</v>
      </c>
      <c r="V58" s="72">
        <v>30</v>
      </c>
      <c r="W58" s="72">
        <f t="shared" si="21"/>
        <v>146864</v>
      </c>
      <c r="X58" s="72">
        <v>4202490</v>
      </c>
      <c r="Y58" s="83">
        <v>54</v>
      </c>
      <c r="Z58" s="70">
        <v>42302</v>
      </c>
      <c r="AA58" s="72">
        <f t="shared" si="22"/>
        <v>738977</v>
      </c>
      <c r="AB58" s="72">
        <v>151857</v>
      </c>
      <c r="AC58" s="72">
        <v>8608</v>
      </c>
      <c r="AD58" s="72">
        <v>30</v>
      </c>
      <c r="AE58" s="72">
        <f t="shared" si="23"/>
        <v>160465</v>
      </c>
      <c r="AF58" s="72">
        <v>4555710</v>
      </c>
      <c r="AG58" s="78"/>
      <c r="AH58" s="70">
        <v>42287</v>
      </c>
      <c r="AI58" s="72">
        <f t="shared" si="24"/>
        <v>850412</v>
      </c>
      <c r="AJ58" s="72">
        <v>578512</v>
      </c>
      <c r="AK58" s="72">
        <v>51400</v>
      </c>
      <c r="AL58" s="72">
        <v>30</v>
      </c>
      <c r="AM58" s="72">
        <f t="shared" si="25"/>
        <v>629912</v>
      </c>
      <c r="AN58" s="72">
        <v>53801616</v>
      </c>
      <c r="AO58" s="78"/>
      <c r="AP58" s="70">
        <v>42308</v>
      </c>
      <c r="AQ58" s="72">
        <f t="shared" si="26"/>
        <v>221539</v>
      </c>
      <c r="AR58" s="72">
        <v>220500</v>
      </c>
      <c r="AS58" s="72">
        <v>1039</v>
      </c>
      <c r="AT58" s="72">
        <v>31</v>
      </c>
      <c r="AU58" s="72">
        <f t="shared" si="27"/>
        <v>221539</v>
      </c>
      <c r="AV58" s="72">
        <v>441000</v>
      </c>
      <c r="AW58" s="78">
        <v>54</v>
      </c>
      <c r="AX58" s="70">
        <v>42302</v>
      </c>
      <c r="AY58" s="72"/>
      <c r="AZ58" s="72"/>
      <c r="BA58" s="72"/>
      <c r="BB58" s="72"/>
      <c r="BC58" s="81"/>
      <c r="BD58" s="81"/>
      <c r="BE58" s="78"/>
      <c r="BF58" s="70"/>
      <c r="BG58" s="72"/>
      <c r="BH58" s="72"/>
      <c r="BI58" s="72"/>
      <c r="BJ58" s="72"/>
      <c r="BK58" s="81"/>
      <c r="BL58" s="81"/>
      <c r="BM58" s="78"/>
      <c r="BN58" s="70"/>
      <c r="BO58" s="72"/>
      <c r="BP58" s="72"/>
      <c r="BQ58" s="72"/>
      <c r="BR58" s="72"/>
      <c r="BS58" s="81"/>
      <c r="BT58" s="81"/>
    </row>
    <row r="59" spans="1:72">
      <c r="A59" s="78">
        <v>55</v>
      </c>
      <c r="B59" s="70">
        <v>42333</v>
      </c>
      <c r="C59" s="72"/>
      <c r="D59" s="99">
        <f t="shared" si="17"/>
        <v>1332518</v>
      </c>
      <c r="E59" s="99">
        <f t="shared" si="18"/>
        <v>72146</v>
      </c>
      <c r="F59" s="99">
        <f t="shared" si="11"/>
        <v>124</v>
      </c>
      <c r="G59" s="100">
        <f t="shared" si="12"/>
        <v>1183494</v>
      </c>
      <c r="H59" s="100">
        <f t="shared" si="13"/>
        <v>62897194</v>
      </c>
      <c r="I59" s="78">
        <v>55</v>
      </c>
      <c r="J59" s="70">
        <v>42333</v>
      </c>
      <c r="K59" s="72">
        <f t="shared" si="28"/>
        <v>385187</v>
      </c>
      <c r="L59" s="72">
        <v>241566</v>
      </c>
      <c r="M59" s="72">
        <v>3538</v>
      </c>
      <c r="N59" s="72">
        <v>31</v>
      </c>
      <c r="O59" s="72">
        <f t="shared" si="19"/>
        <v>245104</v>
      </c>
      <c r="P59" s="72">
        <v>1207830</v>
      </c>
      <c r="Q59" s="78"/>
      <c r="R59" s="70">
        <v>42333</v>
      </c>
      <c r="S59" s="72">
        <f t="shared" si="20"/>
        <v>298721</v>
      </c>
      <c r="T59" s="72">
        <v>140083</v>
      </c>
      <c r="U59" s="72">
        <v>6781</v>
      </c>
      <c r="V59" s="72">
        <v>31</v>
      </c>
      <c r="W59" s="72">
        <f t="shared" si="21"/>
        <v>146864</v>
      </c>
      <c r="X59" s="72">
        <v>4062407</v>
      </c>
      <c r="Y59" s="83">
        <v>55</v>
      </c>
      <c r="Z59" s="70">
        <v>42333</v>
      </c>
      <c r="AA59" s="72">
        <f t="shared" si="22"/>
        <v>738978</v>
      </c>
      <c r="AB59" s="72">
        <v>151857</v>
      </c>
      <c r="AC59" s="72">
        <v>8609</v>
      </c>
      <c r="AD59" s="72">
        <v>31</v>
      </c>
      <c r="AE59" s="72">
        <f t="shared" si="23"/>
        <v>160466</v>
      </c>
      <c r="AF59" s="72">
        <v>4403853</v>
      </c>
      <c r="AG59" s="78"/>
      <c r="AH59" s="70">
        <v>42318</v>
      </c>
      <c r="AI59" s="72">
        <f t="shared" si="24"/>
        <v>851560</v>
      </c>
      <c r="AJ59" s="72">
        <v>578512</v>
      </c>
      <c r="AK59" s="72">
        <v>52548</v>
      </c>
      <c r="AL59" s="72">
        <v>31</v>
      </c>
      <c r="AM59" s="72">
        <f t="shared" si="25"/>
        <v>631060</v>
      </c>
      <c r="AN59" s="72">
        <v>53223104</v>
      </c>
      <c r="AO59" s="78"/>
      <c r="AP59" s="70">
        <v>42338</v>
      </c>
      <c r="AQ59" s="72">
        <f t="shared" si="26"/>
        <v>221170</v>
      </c>
      <c r="AR59" s="72">
        <v>220500</v>
      </c>
      <c r="AS59" s="72">
        <v>670</v>
      </c>
      <c r="AT59" s="72">
        <v>30</v>
      </c>
      <c r="AU59" s="72">
        <f t="shared" si="27"/>
        <v>221170</v>
      </c>
      <c r="AV59" s="72">
        <v>220500</v>
      </c>
      <c r="AW59" s="78">
        <v>55</v>
      </c>
      <c r="AX59" s="70">
        <v>42333</v>
      </c>
      <c r="AY59" s="72"/>
      <c r="AZ59" s="72"/>
      <c r="BA59" s="72"/>
      <c r="BB59" s="72"/>
      <c r="BC59" s="81"/>
      <c r="BD59" s="81"/>
      <c r="BE59" s="78"/>
      <c r="BF59" s="70"/>
      <c r="BG59" s="72"/>
      <c r="BH59" s="72"/>
      <c r="BI59" s="72"/>
      <c r="BJ59" s="72"/>
      <c r="BK59" s="81"/>
      <c r="BL59" s="81"/>
      <c r="BM59" s="78"/>
      <c r="BN59" s="70"/>
      <c r="BO59" s="72"/>
      <c r="BP59" s="72"/>
      <c r="BQ59" s="72"/>
      <c r="BR59" s="72"/>
      <c r="BS59" s="81"/>
      <c r="BT59" s="81"/>
    </row>
    <row r="60" spans="1:72">
      <c r="A60" s="78">
        <v>56</v>
      </c>
      <c r="B60" s="70">
        <v>42363</v>
      </c>
      <c r="C60" s="72"/>
      <c r="D60" s="99">
        <f t="shared" si="17"/>
        <v>1332518</v>
      </c>
      <c r="E60" s="99">
        <f t="shared" si="18"/>
        <v>67903</v>
      </c>
      <c r="F60" s="99">
        <f t="shared" si="11"/>
        <v>120</v>
      </c>
      <c r="G60" s="100">
        <f t="shared" si="12"/>
        <v>1179575</v>
      </c>
      <c r="H60" s="100">
        <f t="shared" si="13"/>
        <v>61785176</v>
      </c>
      <c r="I60" s="78">
        <v>56</v>
      </c>
      <c r="J60" s="70">
        <v>42363</v>
      </c>
      <c r="K60" s="72">
        <f t="shared" si="28"/>
        <v>384503</v>
      </c>
      <c r="L60" s="72">
        <v>241566</v>
      </c>
      <c r="M60" s="72">
        <v>2854</v>
      </c>
      <c r="N60" s="72">
        <v>30</v>
      </c>
      <c r="O60" s="72">
        <f t="shared" si="19"/>
        <v>244420</v>
      </c>
      <c r="P60" s="72">
        <v>966264</v>
      </c>
      <c r="Q60" s="78"/>
      <c r="R60" s="70">
        <v>42363</v>
      </c>
      <c r="S60" s="72">
        <f t="shared" si="20"/>
        <v>298284</v>
      </c>
      <c r="T60" s="72">
        <v>140083</v>
      </c>
      <c r="U60" s="72">
        <v>6344</v>
      </c>
      <c r="V60" s="72">
        <v>30</v>
      </c>
      <c r="W60" s="72">
        <f t="shared" si="21"/>
        <v>146427</v>
      </c>
      <c r="X60" s="72">
        <v>3922324</v>
      </c>
      <c r="Y60" s="83">
        <v>56</v>
      </c>
      <c r="Z60" s="70">
        <v>42363</v>
      </c>
      <c r="AA60" s="72">
        <f t="shared" si="22"/>
        <v>738422</v>
      </c>
      <c r="AB60" s="72">
        <v>151857</v>
      </c>
      <c r="AC60" s="72">
        <v>8053</v>
      </c>
      <c r="AD60" s="72">
        <v>30</v>
      </c>
      <c r="AE60" s="72">
        <f t="shared" si="23"/>
        <v>159910</v>
      </c>
      <c r="AF60" s="72">
        <v>4251996</v>
      </c>
      <c r="AG60" s="78"/>
      <c r="AH60" s="70">
        <v>42348</v>
      </c>
      <c r="AI60" s="72">
        <f t="shared" si="24"/>
        <v>849318</v>
      </c>
      <c r="AJ60" s="72">
        <v>578512</v>
      </c>
      <c r="AK60" s="72">
        <v>50306</v>
      </c>
      <c r="AL60" s="72">
        <v>30</v>
      </c>
      <c r="AM60" s="72">
        <f t="shared" si="25"/>
        <v>628818</v>
      </c>
      <c r="AN60" s="72">
        <v>52644592</v>
      </c>
      <c r="AO60" s="78"/>
      <c r="AP60" s="70">
        <v>42369</v>
      </c>
      <c r="AQ60" s="72">
        <f t="shared" si="26"/>
        <v>220846</v>
      </c>
      <c r="AR60" s="72">
        <v>220500</v>
      </c>
      <c r="AS60" s="72">
        <v>346</v>
      </c>
      <c r="AT60" s="72">
        <v>31</v>
      </c>
      <c r="AU60" s="72">
        <f t="shared" si="27"/>
        <v>220846</v>
      </c>
      <c r="AV60" s="72">
        <v>0</v>
      </c>
      <c r="AW60" s="78">
        <v>56</v>
      </c>
      <c r="AX60" s="70">
        <v>42363</v>
      </c>
      <c r="AY60" s="72"/>
      <c r="AZ60" s="72"/>
      <c r="BA60" s="72"/>
      <c r="BB60" s="72"/>
      <c r="BC60" s="81"/>
      <c r="BD60" s="81"/>
      <c r="BE60" s="78"/>
      <c r="BF60" s="70"/>
      <c r="BG60" s="72"/>
      <c r="BH60" s="72"/>
      <c r="BI60" s="72"/>
      <c r="BJ60" s="72"/>
      <c r="BK60" s="81"/>
      <c r="BL60" s="81"/>
      <c r="BM60" s="78"/>
      <c r="BN60" s="70"/>
      <c r="BO60" s="72"/>
      <c r="BP60" s="72"/>
      <c r="BQ60" s="72"/>
      <c r="BR60" s="72"/>
      <c r="BS60" s="81"/>
      <c r="BT60" s="81"/>
    </row>
    <row r="61" spans="1:72">
      <c r="A61" s="78">
        <v>57</v>
      </c>
      <c r="B61" s="70">
        <v>42394</v>
      </c>
      <c r="C61" s="72"/>
      <c r="D61" s="99">
        <f t="shared" si="17"/>
        <v>1112018</v>
      </c>
      <c r="E61" s="99">
        <f t="shared" si="18"/>
        <v>68140</v>
      </c>
      <c r="F61" s="99">
        <f t="shared" si="11"/>
        <v>124</v>
      </c>
      <c r="G61" s="100">
        <f t="shared" si="12"/>
        <v>1180158</v>
      </c>
      <c r="H61" s="100">
        <f t="shared" si="13"/>
        <v>60673158</v>
      </c>
      <c r="I61" s="78">
        <v>57</v>
      </c>
      <c r="J61" s="70">
        <v>42394</v>
      </c>
      <c r="K61" s="72">
        <f t="shared" si="28"/>
        <v>384008</v>
      </c>
      <c r="L61" s="72">
        <v>241566</v>
      </c>
      <c r="M61" s="72">
        <v>2359</v>
      </c>
      <c r="N61" s="72">
        <v>31</v>
      </c>
      <c r="O61" s="72">
        <f t="shared" si="19"/>
        <v>243925</v>
      </c>
      <c r="P61" s="72">
        <v>724698</v>
      </c>
      <c r="Q61" s="78"/>
      <c r="R61" s="70">
        <v>42394</v>
      </c>
      <c r="S61" s="72">
        <f t="shared" si="20"/>
        <v>298269</v>
      </c>
      <c r="T61" s="72">
        <v>140083</v>
      </c>
      <c r="U61" s="72">
        <v>6329</v>
      </c>
      <c r="V61" s="72">
        <v>31</v>
      </c>
      <c r="W61" s="72">
        <f t="shared" si="21"/>
        <v>146412</v>
      </c>
      <c r="X61" s="72">
        <v>3782241</v>
      </c>
      <c r="Y61" s="83">
        <v>57</v>
      </c>
      <c r="Z61" s="70">
        <v>42394</v>
      </c>
      <c r="AA61" s="72">
        <f t="shared" si="22"/>
        <v>738403</v>
      </c>
      <c r="AB61" s="72">
        <v>151857</v>
      </c>
      <c r="AC61" s="72">
        <v>8034</v>
      </c>
      <c r="AD61" s="72">
        <v>31</v>
      </c>
      <c r="AE61" s="72">
        <f t="shared" si="23"/>
        <v>159891</v>
      </c>
      <c r="AF61" s="72">
        <v>4100139</v>
      </c>
      <c r="AG61" s="78"/>
      <c r="AH61" s="70">
        <v>42379</v>
      </c>
      <c r="AI61" s="72">
        <f t="shared" si="24"/>
        <v>629930</v>
      </c>
      <c r="AJ61" s="72">
        <v>578512</v>
      </c>
      <c r="AK61" s="72">
        <v>51418</v>
      </c>
      <c r="AL61" s="72">
        <v>31</v>
      </c>
      <c r="AM61" s="72">
        <f t="shared" si="25"/>
        <v>629930</v>
      </c>
      <c r="AN61" s="72">
        <v>52066080</v>
      </c>
      <c r="AO61" s="78"/>
      <c r="AP61" s="70"/>
      <c r="AQ61" s="72"/>
      <c r="AR61" s="72"/>
      <c r="AS61" s="72"/>
      <c r="AT61" s="72"/>
      <c r="AU61" s="81"/>
      <c r="AV61" s="81"/>
      <c r="AW61" s="78">
        <v>57</v>
      </c>
      <c r="AX61" s="70">
        <v>42394</v>
      </c>
      <c r="AY61" s="72"/>
      <c r="AZ61" s="72"/>
      <c r="BA61" s="72"/>
      <c r="BB61" s="72"/>
      <c r="BC61" s="81"/>
      <c r="BD61" s="81"/>
      <c r="BE61" s="78"/>
      <c r="BF61" s="70"/>
      <c r="BG61" s="72"/>
      <c r="BH61" s="72"/>
      <c r="BI61" s="72"/>
      <c r="BJ61" s="72"/>
      <c r="BK61" s="81"/>
      <c r="BL61" s="81"/>
      <c r="BM61" s="78"/>
      <c r="BN61" s="70"/>
      <c r="BO61" s="72"/>
      <c r="BP61" s="72"/>
      <c r="BQ61" s="72"/>
      <c r="BR61" s="72"/>
      <c r="BS61" s="81"/>
      <c r="BT61" s="81"/>
    </row>
    <row r="62" spans="1:72">
      <c r="A62" s="78">
        <v>58</v>
      </c>
      <c r="B62" s="70">
        <v>42425</v>
      </c>
      <c r="C62" s="72"/>
      <c r="D62" s="99">
        <f t="shared" si="17"/>
        <v>1112018</v>
      </c>
      <c r="E62" s="99">
        <f t="shared" si="18"/>
        <v>66473</v>
      </c>
      <c r="F62" s="99">
        <f t="shared" si="11"/>
        <v>124</v>
      </c>
      <c r="G62" s="100">
        <f t="shared" si="12"/>
        <v>1178491</v>
      </c>
      <c r="H62" s="100">
        <f t="shared" si="13"/>
        <v>59561140</v>
      </c>
      <c r="I62" s="78">
        <v>58</v>
      </c>
      <c r="J62" s="70">
        <v>42425</v>
      </c>
      <c r="K62" s="72">
        <f t="shared" si="28"/>
        <v>383418</v>
      </c>
      <c r="L62" s="72">
        <v>241566</v>
      </c>
      <c r="M62" s="72">
        <v>1769</v>
      </c>
      <c r="N62" s="72">
        <v>31</v>
      </c>
      <c r="O62" s="72">
        <f t="shared" si="19"/>
        <v>243335</v>
      </c>
      <c r="P62" s="72">
        <v>483132</v>
      </c>
      <c r="Q62" s="78"/>
      <c r="R62" s="70">
        <v>42425</v>
      </c>
      <c r="S62" s="72">
        <f t="shared" si="20"/>
        <v>298043</v>
      </c>
      <c r="T62" s="72">
        <v>140083</v>
      </c>
      <c r="U62" s="72">
        <v>6103</v>
      </c>
      <c r="V62" s="72">
        <v>31</v>
      </c>
      <c r="W62" s="72">
        <f t="shared" si="21"/>
        <v>146186</v>
      </c>
      <c r="X62" s="72">
        <v>3642158</v>
      </c>
      <c r="Y62" s="83">
        <v>58</v>
      </c>
      <c r="Z62" s="70">
        <v>42425</v>
      </c>
      <c r="AA62" s="72">
        <f t="shared" si="22"/>
        <v>738117</v>
      </c>
      <c r="AB62" s="72">
        <v>151857</v>
      </c>
      <c r="AC62" s="72">
        <v>7748</v>
      </c>
      <c r="AD62" s="72">
        <v>31</v>
      </c>
      <c r="AE62" s="72">
        <f t="shared" si="23"/>
        <v>159605</v>
      </c>
      <c r="AF62" s="72">
        <v>3948282</v>
      </c>
      <c r="AG62" s="78"/>
      <c r="AH62" s="70">
        <v>42410</v>
      </c>
      <c r="AI62" s="72">
        <f t="shared" si="24"/>
        <v>629365</v>
      </c>
      <c r="AJ62" s="72">
        <v>578512</v>
      </c>
      <c r="AK62" s="72">
        <v>50853</v>
      </c>
      <c r="AL62" s="72">
        <v>31</v>
      </c>
      <c r="AM62" s="72">
        <f t="shared" si="25"/>
        <v>629365</v>
      </c>
      <c r="AN62" s="72">
        <v>51487568</v>
      </c>
      <c r="AO62" s="78"/>
      <c r="AP62" s="70"/>
      <c r="AQ62" s="72"/>
      <c r="AR62" s="72"/>
      <c r="AS62" s="72"/>
      <c r="AT62" s="72"/>
      <c r="AU62" s="81"/>
      <c r="AV62" s="81"/>
      <c r="AW62" s="78">
        <v>58</v>
      </c>
      <c r="AX62" s="70">
        <v>42425</v>
      </c>
      <c r="AY62" s="72"/>
      <c r="AZ62" s="72"/>
      <c r="BA62" s="72"/>
      <c r="BB62" s="72"/>
      <c r="BC62" s="81"/>
      <c r="BD62" s="81"/>
      <c r="BE62" s="78"/>
      <c r="BF62" s="70"/>
      <c r="BG62" s="72"/>
      <c r="BH62" s="72"/>
      <c r="BI62" s="72"/>
      <c r="BJ62" s="72"/>
      <c r="BK62" s="81"/>
      <c r="BL62" s="81"/>
      <c r="BM62" s="78"/>
      <c r="BN62" s="70"/>
      <c r="BO62" s="72"/>
      <c r="BP62" s="72"/>
      <c r="BQ62" s="72"/>
      <c r="BR62" s="72"/>
      <c r="BS62" s="81"/>
      <c r="BT62" s="81"/>
    </row>
    <row r="63" spans="1:72">
      <c r="A63" s="78">
        <v>59</v>
      </c>
      <c r="B63" s="70">
        <v>42454</v>
      </c>
      <c r="C63" s="72"/>
      <c r="D63" s="99">
        <f t="shared" si="17"/>
        <v>1112018</v>
      </c>
      <c r="E63" s="99">
        <f t="shared" si="18"/>
        <v>3000624</v>
      </c>
      <c r="F63" s="99">
        <f t="shared" si="11"/>
        <v>116</v>
      </c>
      <c r="G63" s="100">
        <f t="shared" si="12"/>
        <v>1172642</v>
      </c>
      <c r="H63" s="100">
        <f t="shared" si="13"/>
        <v>58449122</v>
      </c>
      <c r="I63" s="78">
        <v>59</v>
      </c>
      <c r="J63" s="70">
        <v>42454</v>
      </c>
      <c r="K63" s="72">
        <f t="shared" si="28"/>
        <v>382752</v>
      </c>
      <c r="L63" s="72">
        <v>241566</v>
      </c>
      <c r="M63" s="72">
        <v>1103</v>
      </c>
      <c r="N63" s="72">
        <v>29</v>
      </c>
      <c r="O63" s="72">
        <f t="shared" si="19"/>
        <v>242669</v>
      </c>
      <c r="P63" s="72">
        <v>241566</v>
      </c>
      <c r="Q63" s="78"/>
      <c r="R63" s="70">
        <v>42454</v>
      </c>
      <c r="S63" s="72">
        <f t="shared" si="20"/>
        <v>297438</v>
      </c>
      <c r="T63" s="72">
        <v>140083</v>
      </c>
      <c r="U63" s="72">
        <v>5498</v>
      </c>
      <c r="V63" s="72">
        <v>29</v>
      </c>
      <c r="W63" s="72">
        <f t="shared" si="21"/>
        <v>145581</v>
      </c>
      <c r="X63" s="72">
        <v>3502075</v>
      </c>
      <c r="Y63" s="83">
        <v>59</v>
      </c>
      <c r="Z63" s="70">
        <v>42454</v>
      </c>
      <c r="AA63" s="72">
        <f t="shared" si="22"/>
        <v>737348</v>
      </c>
      <c r="AB63" s="72">
        <v>151857</v>
      </c>
      <c r="AC63" s="72">
        <v>6979</v>
      </c>
      <c r="AD63" s="72">
        <v>29</v>
      </c>
      <c r="AE63" s="72">
        <f t="shared" si="23"/>
        <v>158836</v>
      </c>
      <c r="AF63" s="72">
        <v>3796425</v>
      </c>
      <c r="AG63" s="78"/>
      <c r="AH63" s="70">
        <v>42439</v>
      </c>
      <c r="AI63" s="72">
        <f t="shared" si="24"/>
        <v>625556</v>
      </c>
      <c r="AJ63" s="72">
        <v>578512</v>
      </c>
      <c r="AK63" s="72">
        <v>47044</v>
      </c>
      <c r="AL63" s="72">
        <v>29</v>
      </c>
      <c r="AM63" s="72">
        <f t="shared" si="25"/>
        <v>625556</v>
      </c>
      <c r="AN63" s="72">
        <v>50909056</v>
      </c>
      <c r="AO63" s="78"/>
      <c r="AP63" s="70"/>
      <c r="AQ63" s="72"/>
      <c r="AR63" s="72"/>
      <c r="AS63" s="72"/>
      <c r="AT63" s="72"/>
      <c r="AU63" s="81"/>
      <c r="AV63" s="81"/>
      <c r="AW63" s="78">
        <v>59</v>
      </c>
      <c r="AX63" s="70">
        <v>42454</v>
      </c>
      <c r="AY63" s="72"/>
      <c r="AZ63" s="72"/>
      <c r="BA63" s="72">
        <v>2940000</v>
      </c>
      <c r="BB63" s="72"/>
      <c r="BC63" s="81"/>
      <c r="BD63" s="81"/>
      <c r="BE63" s="78"/>
      <c r="BF63" s="70"/>
      <c r="BG63" s="72"/>
      <c r="BH63" s="72"/>
      <c r="BI63" s="72"/>
      <c r="BJ63" s="72"/>
      <c r="BK63" s="81"/>
      <c r="BL63" s="81"/>
      <c r="BM63" s="78"/>
      <c r="BN63" s="70"/>
      <c r="BO63" s="72"/>
      <c r="BP63" s="72"/>
      <c r="BQ63" s="72"/>
      <c r="BR63" s="72"/>
      <c r="BS63" s="81"/>
      <c r="BT63" s="81"/>
    </row>
    <row r="64" spans="1:72">
      <c r="A64" s="78">
        <v>60</v>
      </c>
      <c r="B64" s="70">
        <v>42485</v>
      </c>
      <c r="C64" s="72"/>
      <c r="D64" s="99">
        <f t="shared" si="17"/>
        <v>1112018</v>
      </c>
      <c r="E64" s="99">
        <f t="shared" si="18"/>
        <v>63137</v>
      </c>
      <c r="F64" s="99">
        <f t="shared" si="11"/>
        <v>124</v>
      </c>
      <c r="G64" s="100">
        <f t="shared" si="12"/>
        <v>1175155</v>
      </c>
      <c r="H64" s="100">
        <f t="shared" si="13"/>
        <v>57337104</v>
      </c>
      <c r="I64" s="78">
        <v>60</v>
      </c>
      <c r="J64" s="70">
        <v>42485</v>
      </c>
      <c r="K64" s="72">
        <f t="shared" si="28"/>
        <v>382238</v>
      </c>
      <c r="L64" s="72">
        <v>241566</v>
      </c>
      <c r="M64" s="72">
        <v>589</v>
      </c>
      <c r="N64" s="72">
        <v>31</v>
      </c>
      <c r="O64" s="72">
        <f t="shared" si="19"/>
        <v>242155</v>
      </c>
      <c r="P64" s="72">
        <v>0</v>
      </c>
      <c r="Q64" s="78"/>
      <c r="R64" s="70">
        <v>42485</v>
      </c>
      <c r="S64" s="72">
        <f t="shared" si="20"/>
        <v>297591</v>
      </c>
      <c r="T64" s="72">
        <v>140083</v>
      </c>
      <c r="U64" s="72">
        <v>5651</v>
      </c>
      <c r="V64" s="72">
        <v>31</v>
      </c>
      <c r="W64" s="72">
        <f t="shared" si="21"/>
        <v>145734</v>
      </c>
      <c r="X64" s="72">
        <v>3361992</v>
      </c>
      <c r="Y64" s="83">
        <v>60</v>
      </c>
      <c r="Z64" s="70">
        <v>42485</v>
      </c>
      <c r="AA64" s="72">
        <f t="shared" si="22"/>
        <v>737543</v>
      </c>
      <c r="AB64" s="72">
        <v>151857</v>
      </c>
      <c r="AC64" s="72">
        <v>7174</v>
      </c>
      <c r="AD64" s="72">
        <v>31</v>
      </c>
      <c r="AE64" s="72">
        <f t="shared" si="23"/>
        <v>159031</v>
      </c>
      <c r="AF64" s="72">
        <v>3644568</v>
      </c>
      <c r="AG64" s="78"/>
      <c r="AH64" s="70">
        <v>42470</v>
      </c>
      <c r="AI64" s="72">
        <f t="shared" si="24"/>
        <v>628235</v>
      </c>
      <c r="AJ64" s="72">
        <v>578512</v>
      </c>
      <c r="AK64" s="72">
        <v>49723</v>
      </c>
      <c r="AL64" s="72">
        <v>31</v>
      </c>
      <c r="AM64" s="72">
        <f t="shared" si="25"/>
        <v>628235</v>
      </c>
      <c r="AN64" s="72">
        <v>50330544</v>
      </c>
      <c r="AO64" s="78"/>
      <c r="AP64" s="70"/>
      <c r="AQ64" s="72"/>
      <c r="AR64" s="72"/>
      <c r="AS64" s="72"/>
      <c r="AT64" s="72"/>
      <c r="AU64" s="81"/>
      <c r="AV64" s="81"/>
      <c r="AW64" s="78">
        <v>60</v>
      </c>
      <c r="AX64" s="70">
        <v>42485</v>
      </c>
      <c r="AY64" s="72"/>
      <c r="AZ64" s="72"/>
      <c r="BA64" s="72"/>
      <c r="BB64" s="72"/>
      <c r="BC64" s="81"/>
      <c r="BD64" s="81"/>
      <c r="BE64" s="78"/>
      <c r="BF64" s="70"/>
      <c r="BG64" s="72"/>
      <c r="BH64" s="72"/>
      <c r="BI64" s="72"/>
      <c r="BJ64" s="72"/>
      <c r="BK64" s="81"/>
      <c r="BL64" s="81"/>
      <c r="BM64" s="78"/>
      <c r="BN64" s="70"/>
      <c r="BO64" s="72"/>
      <c r="BP64" s="72"/>
      <c r="BQ64" s="72"/>
      <c r="BR64" s="72"/>
      <c r="BS64" s="81"/>
      <c r="BT64" s="81"/>
    </row>
    <row r="65" spans="1:72">
      <c r="A65" s="78">
        <v>61</v>
      </c>
      <c r="B65" s="70">
        <v>42515</v>
      </c>
      <c r="C65" s="72"/>
      <c r="D65" s="99">
        <f t="shared" si="17"/>
        <v>98870452</v>
      </c>
      <c r="E65" s="99">
        <f t="shared" si="18"/>
        <v>59486</v>
      </c>
      <c r="F65" s="99">
        <f t="shared" si="11"/>
        <v>90</v>
      </c>
      <c r="G65" s="100">
        <f t="shared" si="12"/>
        <v>929938</v>
      </c>
      <c r="H65" s="100">
        <f t="shared" si="13"/>
        <v>56466652</v>
      </c>
      <c r="I65" s="82" t="s">
        <v>242</v>
      </c>
      <c r="J65" s="83"/>
      <c r="K65" s="72">
        <f>SUM(K5:K64)</f>
        <v>23543633</v>
      </c>
      <c r="L65" s="72"/>
      <c r="M65" s="72"/>
      <c r="N65" s="72"/>
      <c r="O65" s="81"/>
      <c r="P65" s="81"/>
      <c r="Q65" s="82"/>
      <c r="R65" s="70">
        <v>42515</v>
      </c>
      <c r="S65" s="72">
        <f t="shared" si="20"/>
        <v>297190</v>
      </c>
      <c r="T65" s="72">
        <v>140083</v>
      </c>
      <c r="U65" s="72">
        <v>5250</v>
      </c>
      <c r="V65" s="72">
        <v>30</v>
      </c>
      <c r="W65" s="72">
        <f t="shared" si="21"/>
        <v>145333</v>
      </c>
      <c r="X65" s="72">
        <v>3221909</v>
      </c>
      <c r="Y65" s="83">
        <v>61</v>
      </c>
      <c r="Z65" s="70">
        <v>42515</v>
      </c>
      <c r="AA65" s="72">
        <f t="shared" si="22"/>
        <v>737033</v>
      </c>
      <c r="AB65" s="72">
        <v>151857</v>
      </c>
      <c r="AC65" s="72">
        <v>6664</v>
      </c>
      <c r="AD65" s="72">
        <v>30</v>
      </c>
      <c r="AE65" s="72">
        <f t="shared" si="23"/>
        <v>158521</v>
      </c>
      <c r="AF65" s="72">
        <v>3492711</v>
      </c>
      <c r="AG65" s="82"/>
      <c r="AH65" s="70">
        <v>42500</v>
      </c>
      <c r="AI65" s="72">
        <f t="shared" si="24"/>
        <v>626084</v>
      </c>
      <c r="AJ65" s="72">
        <v>578512</v>
      </c>
      <c r="AK65" s="72">
        <v>47572</v>
      </c>
      <c r="AL65" s="72">
        <v>30</v>
      </c>
      <c r="AM65" s="72">
        <f t="shared" si="25"/>
        <v>626084</v>
      </c>
      <c r="AN65" s="72">
        <v>49752032</v>
      </c>
      <c r="AO65" s="82"/>
      <c r="AP65" s="83"/>
      <c r="AQ65" s="72"/>
      <c r="AR65" s="72"/>
      <c r="AS65" s="72"/>
      <c r="AT65" s="72"/>
      <c r="AU65" s="81"/>
      <c r="AV65" s="81"/>
      <c r="AW65" s="78">
        <v>61</v>
      </c>
      <c r="AX65" s="70">
        <v>42515</v>
      </c>
      <c r="AY65" s="72"/>
      <c r="AZ65" s="72">
        <v>98000000</v>
      </c>
      <c r="BA65" s="72"/>
      <c r="BB65" s="72"/>
      <c r="BC65" s="81"/>
      <c r="BD65" s="81"/>
      <c r="BE65" s="82"/>
      <c r="BF65" s="83"/>
      <c r="BG65" s="72"/>
      <c r="BH65" s="72"/>
      <c r="BI65" s="72"/>
      <c r="BJ65" s="72"/>
      <c r="BK65" s="81"/>
      <c r="BL65" s="81"/>
      <c r="BM65" s="82"/>
      <c r="BN65" s="83"/>
      <c r="BO65" s="72"/>
      <c r="BP65" s="72"/>
      <c r="BQ65" s="72"/>
      <c r="BR65" s="72"/>
      <c r="BS65" s="81"/>
      <c r="BT65" s="81"/>
    </row>
    <row r="66" spans="1:72">
      <c r="A66" s="78">
        <v>62</v>
      </c>
      <c r="B66" s="70">
        <v>42546</v>
      </c>
      <c r="D66" s="99">
        <f t="shared" si="17"/>
        <v>870452</v>
      </c>
      <c r="E66" s="99">
        <f t="shared" si="18"/>
        <v>60392</v>
      </c>
      <c r="F66" s="101">
        <f t="shared" si="11"/>
        <v>93</v>
      </c>
      <c r="G66" s="102">
        <f t="shared" si="12"/>
        <v>930844</v>
      </c>
      <c r="H66" s="102">
        <f t="shared" si="13"/>
        <v>55596200</v>
      </c>
      <c r="I66" s="84"/>
      <c r="O66" s="85"/>
      <c r="P66" s="85"/>
      <c r="Q66" s="84"/>
      <c r="R66" s="70">
        <v>42546</v>
      </c>
      <c r="S66" s="72">
        <f t="shared" si="20"/>
        <v>297139</v>
      </c>
      <c r="T66" s="72">
        <v>140083</v>
      </c>
      <c r="U66" s="72">
        <v>5199</v>
      </c>
      <c r="V66" s="72">
        <v>31</v>
      </c>
      <c r="W66" s="72">
        <f t="shared" si="21"/>
        <v>145282</v>
      </c>
      <c r="X66" s="72">
        <v>3081826</v>
      </c>
      <c r="Y66" s="83">
        <v>62</v>
      </c>
      <c r="Z66" s="70">
        <v>42546</v>
      </c>
      <c r="AA66" s="72">
        <f t="shared" si="22"/>
        <v>736969</v>
      </c>
      <c r="AB66" s="72">
        <v>151857</v>
      </c>
      <c r="AC66" s="72">
        <v>6600</v>
      </c>
      <c r="AD66" s="72">
        <v>31</v>
      </c>
      <c r="AE66" s="72">
        <f t="shared" si="23"/>
        <v>158457</v>
      </c>
      <c r="AF66" s="72">
        <v>3340854</v>
      </c>
      <c r="AG66" s="84"/>
      <c r="AH66" s="70">
        <v>42531</v>
      </c>
      <c r="AI66" s="72">
        <f t="shared" si="24"/>
        <v>627105</v>
      </c>
      <c r="AJ66" s="72">
        <v>578512</v>
      </c>
      <c r="AK66" s="72">
        <v>48593</v>
      </c>
      <c r="AL66" s="72">
        <v>31</v>
      </c>
      <c r="AM66" s="72">
        <f t="shared" si="25"/>
        <v>627105</v>
      </c>
      <c r="AN66" s="72">
        <v>49173520</v>
      </c>
      <c r="AO66" s="84"/>
      <c r="AU66" s="85"/>
      <c r="AV66" s="85"/>
      <c r="AW66" s="78">
        <v>62</v>
      </c>
      <c r="AX66" s="70">
        <v>42546</v>
      </c>
      <c r="BC66" s="85"/>
      <c r="BD66" s="85"/>
      <c r="BE66" s="84"/>
      <c r="BK66" s="85"/>
      <c r="BL66" s="85"/>
      <c r="BM66" s="84"/>
      <c r="BS66" s="85"/>
      <c r="BT66" s="85"/>
    </row>
    <row r="67" spans="1:72">
      <c r="A67" s="78">
        <v>63</v>
      </c>
      <c r="B67" s="70">
        <v>42576</v>
      </c>
      <c r="D67" s="99">
        <f t="shared" si="17"/>
        <v>870452</v>
      </c>
      <c r="E67" s="99">
        <f t="shared" si="18"/>
        <v>57400</v>
      </c>
      <c r="F67" s="101">
        <f t="shared" si="11"/>
        <v>90</v>
      </c>
      <c r="G67" s="102">
        <f t="shared" si="12"/>
        <v>927852</v>
      </c>
      <c r="H67" s="102">
        <f t="shared" si="13"/>
        <v>54725748</v>
      </c>
      <c r="I67" s="84"/>
      <c r="O67" s="85"/>
      <c r="P67" s="85"/>
      <c r="Q67" s="84"/>
      <c r="R67" s="70">
        <v>42576</v>
      </c>
      <c r="S67" s="72">
        <f t="shared" si="20"/>
        <v>296752</v>
      </c>
      <c r="T67" s="72">
        <v>140083</v>
      </c>
      <c r="U67" s="72">
        <v>4812</v>
      </c>
      <c r="V67" s="72">
        <v>30</v>
      </c>
      <c r="W67" s="72">
        <f t="shared" si="21"/>
        <v>144895</v>
      </c>
      <c r="X67" s="72">
        <v>2941743</v>
      </c>
      <c r="Y67" s="83">
        <v>63</v>
      </c>
      <c r="Z67" s="70">
        <v>42576</v>
      </c>
      <c r="AA67" s="72">
        <f t="shared" si="22"/>
        <v>736478</v>
      </c>
      <c r="AB67" s="72">
        <v>151857</v>
      </c>
      <c r="AC67" s="72">
        <v>6109</v>
      </c>
      <c r="AD67" s="72">
        <v>30</v>
      </c>
      <c r="AE67" s="72">
        <f t="shared" si="23"/>
        <v>157966</v>
      </c>
      <c r="AF67" s="72">
        <v>3188997</v>
      </c>
      <c r="AG67" s="84"/>
      <c r="AH67" s="70">
        <v>42561</v>
      </c>
      <c r="AI67" s="72">
        <f t="shared" si="24"/>
        <v>624991</v>
      </c>
      <c r="AJ67" s="72">
        <v>578512</v>
      </c>
      <c r="AK67" s="72">
        <v>46479</v>
      </c>
      <c r="AL67" s="72">
        <v>30</v>
      </c>
      <c r="AM67" s="72">
        <f t="shared" si="25"/>
        <v>624991</v>
      </c>
      <c r="AN67" s="72">
        <v>48595008</v>
      </c>
      <c r="AO67" s="84"/>
      <c r="AU67" s="85"/>
      <c r="AV67" s="85"/>
      <c r="AW67" s="78">
        <v>63</v>
      </c>
      <c r="AX67" s="70">
        <v>42576</v>
      </c>
      <c r="BC67" s="85"/>
      <c r="BD67" s="85"/>
      <c r="BE67" s="84"/>
      <c r="BK67" s="85"/>
      <c r="BL67" s="85"/>
      <c r="BM67" s="84"/>
      <c r="BS67" s="85"/>
      <c r="BT67" s="85"/>
    </row>
    <row r="68" spans="1:72">
      <c r="A68" s="78">
        <v>64</v>
      </c>
      <c r="B68" s="70">
        <v>42607</v>
      </c>
      <c r="D68" s="99">
        <f t="shared" si="17"/>
        <v>870452</v>
      </c>
      <c r="E68" s="99">
        <f t="shared" si="18"/>
        <v>58236</v>
      </c>
      <c r="F68" s="101">
        <f t="shared" si="11"/>
        <v>93</v>
      </c>
      <c r="G68" s="102">
        <f t="shared" si="12"/>
        <v>928688</v>
      </c>
      <c r="H68" s="102">
        <f t="shared" si="13"/>
        <v>53855296</v>
      </c>
      <c r="I68" s="84"/>
      <c r="O68" s="85"/>
      <c r="P68" s="85"/>
      <c r="Q68" s="84"/>
      <c r="R68" s="70">
        <v>42607</v>
      </c>
      <c r="S68" s="72">
        <f t="shared" si="20"/>
        <v>296687</v>
      </c>
      <c r="T68" s="72">
        <v>140083</v>
      </c>
      <c r="U68" s="72">
        <v>4747</v>
      </c>
      <c r="V68" s="72">
        <v>31</v>
      </c>
      <c r="W68" s="72">
        <f t="shared" si="21"/>
        <v>144830</v>
      </c>
      <c r="X68" s="72">
        <v>2801660</v>
      </c>
      <c r="Y68" s="83">
        <v>64</v>
      </c>
      <c r="Z68" s="70">
        <v>42607</v>
      </c>
      <c r="AA68" s="72">
        <f t="shared" si="22"/>
        <v>736395</v>
      </c>
      <c r="AB68" s="72">
        <v>151857</v>
      </c>
      <c r="AC68" s="72">
        <v>6026</v>
      </c>
      <c r="AD68" s="72">
        <v>31</v>
      </c>
      <c r="AE68" s="72">
        <f t="shared" si="23"/>
        <v>157883</v>
      </c>
      <c r="AF68" s="72">
        <v>3037140</v>
      </c>
      <c r="AG68" s="84"/>
      <c r="AH68" s="70">
        <v>42592</v>
      </c>
      <c r="AI68" s="72">
        <f t="shared" si="24"/>
        <v>625975</v>
      </c>
      <c r="AJ68" s="72">
        <v>578512</v>
      </c>
      <c r="AK68" s="72">
        <v>47463</v>
      </c>
      <c r="AL68" s="72">
        <v>31</v>
      </c>
      <c r="AM68" s="72">
        <f t="shared" si="25"/>
        <v>625975</v>
      </c>
      <c r="AN68" s="72">
        <v>48016496</v>
      </c>
      <c r="AO68" s="84"/>
      <c r="AU68" s="85"/>
      <c r="AV68" s="85"/>
      <c r="AW68" s="78">
        <v>64</v>
      </c>
      <c r="AX68" s="70">
        <v>42607</v>
      </c>
      <c r="BC68" s="85"/>
      <c r="BD68" s="85"/>
      <c r="BE68" s="84"/>
      <c r="BK68" s="85"/>
      <c r="BL68" s="85"/>
      <c r="BM68" s="84"/>
      <c r="BS68" s="85"/>
      <c r="BT68" s="85"/>
    </row>
    <row r="69" spans="1:72">
      <c r="A69" s="78">
        <v>65</v>
      </c>
      <c r="B69" s="70">
        <v>42638</v>
      </c>
      <c r="D69" s="99">
        <f t="shared" si="17"/>
        <v>870452</v>
      </c>
      <c r="E69" s="99">
        <f t="shared" si="18"/>
        <v>57157</v>
      </c>
      <c r="F69" s="101">
        <f t="shared" si="11"/>
        <v>93</v>
      </c>
      <c r="G69" s="102">
        <f t="shared" si="12"/>
        <v>927609</v>
      </c>
      <c r="H69" s="102">
        <f t="shared" si="13"/>
        <v>52984844</v>
      </c>
      <c r="I69" s="84"/>
      <c r="O69" s="85"/>
      <c r="P69" s="85"/>
      <c r="Q69" s="84"/>
      <c r="R69" s="70">
        <v>42638</v>
      </c>
      <c r="S69" s="72">
        <f t="shared" ref="S69:S88" si="29">W69+AB69</f>
        <v>296460</v>
      </c>
      <c r="T69" s="72">
        <v>140083</v>
      </c>
      <c r="U69" s="72">
        <v>4520</v>
      </c>
      <c r="V69" s="72">
        <v>31</v>
      </c>
      <c r="W69" s="72">
        <f t="shared" ref="W69:W88" si="30">T69+U69</f>
        <v>144603</v>
      </c>
      <c r="X69" s="72">
        <v>2661577</v>
      </c>
      <c r="Y69" s="83">
        <v>65</v>
      </c>
      <c r="Z69" s="70">
        <v>42638</v>
      </c>
      <c r="AA69" s="72">
        <f t="shared" ref="AA69:AA88" si="31">AE69+AJ69</f>
        <v>736108</v>
      </c>
      <c r="AB69" s="72">
        <v>151857</v>
      </c>
      <c r="AC69" s="72">
        <v>5739</v>
      </c>
      <c r="AD69" s="72">
        <v>31</v>
      </c>
      <c r="AE69" s="72">
        <f t="shared" ref="AE69:AE88" si="32">AB69+AC69</f>
        <v>157596</v>
      </c>
      <c r="AF69" s="72">
        <v>2885283</v>
      </c>
      <c r="AG69" s="84"/>
      <c r="AH69" s="70">
        <v>42623</v>
      </c>
      <c r="AI69" s="72">
        <f t="shared" ref="AI69:AI100" si="33">AM69+AR69</f>
        <v>625410</v>
      </c>
      <c r="AJ69" s="72">
        <v>578512</v>
      </c>
      <c r="AK69" s="72">
        <v>46898</v>
      </c>
      <c r="AL69" s="72">
        <v>31</v>
      </c>
      <c r="AM69" s="72">
        <f t="shared" ref="AM69:AM100" si="34">AJ69+AK69</f>
        <v>625410</v>
      </c>
      <c r="AN69" s="72">
        <v>47437984</v>
      </c>
      <c r="AO69" s="84"/>
      <c r="AU69" s="85"/>
      <c r="AV69" s="85"/>
      <c r="AW69" s="78">
        <v>65</v>
      </c>
      <c r="AX69" s="70">
        <v>42638</v>
      </c>
      <c r="BC69" s="85"/>
      <c r="BD69" s="85"/>
      <c r="BE69" s="84"/>
      <c r="BK69" s="85"/>
      <c r="BL69" s="85"/>
      <c r="BM69" s="84"/>
      <c r="BS69" s="85"/>
      <c r="BT69" s="85"/>
    </row>
    <row r="70" spans="1:72">
      <c r="A70" s="78">
        <v>66</v>
      </c>
      <c r="B70" s="70">
        <v>42668</v>
      </c>
      <c r="D70" s="99">
        <f t="shared" si="17"/>
        <v>870452</v>
      </c>
      <c r="E70" s="99">
        <f t="shared" si="18"/>
        <v>54270</v>
      </c>
      <c r="F70" s="101">
        <f t="shared" ref="F70:F129" si="35">N70+V70+AD70+AL70</f>
        <v>90</v>
      </c>
      <c r="G70" s="102">
        <f t="shared" ref="G70:G129" si="36">O70+W70+AE70+AM70</f>
        <v>924722</v>
      </c>
      <c r="H70" s="102">
        <f t="shared" ref="H70:H129" si="37">P70+X70+AF70+AN70</f>
        <v>52114392</v>
      </c>
      <c r="I70" s="84"/>
      <c r="O70" s="85"/>
      <c r="P70" s="85"/>
      <c r="Q70" s="84"/>
      <c r="R70" s="70">
        <v>42668</v>
      </c>
      <c r="S70" s="72">
        <f t="shared" si="29"/>
        <v>296096</v>
      </c>
      <c r="T70" s="72">
        <v>140083</v>
      </c>
      <c r="U70" s="72">
        <v>4156</v>
      </c>
      <c r="V70" s="72">
        <v>30</v>
      </c>
      <c r="W70" s="72">
        <f t="shared" si="30"/>
        <v>144239</v>
      </c>
      <c r="X70" s="72">
        <v>2521494</v>
      </c>
      <c r="Y70" s="83">
        <v>66</v>
      </c>
      <c r="Z70" s="70">
        <v>42668</v>
      </c>
      <c r="AA70" s="72">
        <f t="shared" si="31"/>
        <v>735645</v>
      </c>
      <c r="AB70" s="72">
        <v>151857</v>
      </c>
      <c r="AC70" s="72">
        <v>5276</v>
      </c>
      <c r="AD70" s="72">
        <v>30</v>
      </c>
      <c r="AE70" s="72">
        <f t="shared" si="32"/>
        <v>157133</v>
      </c>
      <c r="AF70" s="72">
        <v>2733426</v>
      </c>
      <c r="AG70" s="84"/>
      <c r="AH70" s="70">
        <v>42653</v>
      </c>
      <c r="AI70" s="72">
        <f t="shared" si="33"/>
        <v>623350</v>
      </c>
      <c r="AJ70" s="72">
        <v>578512</v>
      </c>
      <c r="AK70" s="72">
        <v>44838</v>
      </c>
      <c r="AL70" s="72">
        <v>30</v>
      </c>
      <c r="AM70" s="72">
        <f t="shared" si="34"/>
        <v>623350</v>
      </c>
      <c r="AN70" s="72">
        <v>46859472</v>
      </c>
      <c r="AO70" s="84"/>
      <c r="AU70" s="85"/>
      <c r="AV70" s="85"/>
      <c r="AW70" s="78">
        <v>66</v>
      </c>
      <c r="AX70" s="70">
        <v>42668</v>
      </c>
      <c r="BC70" s="85"/>
      <c r="BD70" s="85"/>
      <c r="BE70" s="84"/>
      <c r="BK70" s="85"/>
      <c r="BL70" s="85"/>
      <c r="BM70" s="84"/>
      <c r="BS70" s="85"/>
      <c r="BT70" s="85"/>
    </row>
    <row r="71" spans="1:72">
      <c r="A71" s="78">
        <v>67</v>
      </c>
      <c r="B71" s="70">
        <v>42699</v>
      </c>
      <c r="D71" s="99">
        <f t="shared" si="17"/>
        <v>870452</v>
      </c>
      <c r="E71" s="99">
        <f t="shared" si="18"/>
        <v>55001</v>
      </c>
      <c r="F71" s="101">
        <f t="shared" si="35"/>
        <v>93</v>
      </c>
      <c r="G71" s="102">
        <f t="shared" si="36"/>
        <v>925453</v>
      </c>
      <c r="H71" s="102">
        <f t="shared" si="37"/>
        <v>51243940</v>
      </c>
      <c r="I71" s="84"/>
      <c r="O71" s="85"/>
      <c r="P71" s="85"/>
      <c r="Q71" s="84"/>
      <c r="R71" s="70">
        <v>42699</v>
      </c>
      <c r="S71" s="72">
        <f t="shared" si="29"/>
        <v>296008</v>
      </c>
      <c r="T71" s="72">
        <v>140083</v>
      </c>
      <c r="U71" s="72">
        <v>4068</v>
      </c>
      <c r="V71" s="72">
        <v>31</v>
      </c>
      <c r="W71" s="72">
        <f t="shared" si="30"/>
        <v>144151</v>
      </c>
      <c r="X71" s="72">
        <v>2381411</v>
      </c>
      <c r="Y71" s="83">
        <v>67</v>
      </c>
      <c r="Z71" s="70">
        <v>42699</v>
      </c>
      <c r="AA71" s="72">
        <f t="shared" si="31"/>
        <v>735534</v>
      </c>
      <c r="AB71" s="72">
        <v>151857</v>
      </c>
      <c r="AC71" s="72">
        <v>5165</v>
      </c>
      <c r="AD71" s="72">
        <v>31</v>
      </c>
      <c r="AE71" s="72">
        <f t="shared" si="32"/>
        <v>157022</v>
      </c>
      <c r="AF71" s="72">
        <v>2581569</v>
      </c>
      <c r="AG71" s="84"/>
      <c r="AH71" s="70">
        <v>42684</v>
      </c>
      <c r="AI71" s="72">
        <f t="shared" si="33"/>
        <v>624280</v>
      </c>
      <c r="AJ71" s="72">
        <v>578512</v>
      </c>
      <c r="AK71" s="72">
        <v>45768</v>
      </c>
      <c r="AL71" s="72">
        <v>31</v>
      </c>
      <c r="AM71" s="72">
        <f t="shared" si="34"/>
        <v>624280</v>
      </c>
      <c r="AN71" s="72">
        <v>46280960</v>
      </c>
      <c r="AO71" s="84"/>
      <c r="AU71" s="85"/>
      <c r="AV71" s="85"/>
      <c r="AW71" s="78">
        <v>67</v>
      </c>
      <c r="AX71" s="70">
        <v>42699</v>
      </c>
      <c r="BC71" s="85"/>
      <c r="BD71" s="85"/>
      <c r="BE71" s="84"/>
      <c r="BK71" s="85"/>
      <c r="BL71" s="85"/>
      <c r="BM71" s="84"/>
      <c r="BS71" s="85"/>
      <c r="BT71" s="85"/>
    </row>
    <row r="72" spans="1:72">
      <c r="A72" s="78">
        <v>68</v>
      </c>
      <c r="B72" s="70">
        <v>42729</v>
      </c>
      <c r="D72" s="99">
        <f t="shared" si="17"/>
        <v>870452</v>
      </c>
      <c r="E72" s="99">
        <f t="shared" si="18"/>
        <v>52182</v>
      </c>
      <c r="F72" s="101">
        <f t="shared" si="35"/>
        <v>90</v>
      </c>
      <c r="G72" s="102">
        <f t="shared" si="36"/>
        <v>922634</v>
      </c>
      <c r="H72" s="102">
        <f t="shared" si="37"/>
        <v>50373488</v>
      </c>
      <c r="I72" s="84"/>
      <c r="O72" s="85"/>
      <c r="P72" s="85"/>
      <c r="Q72" s="84"/>
      <c r="R72" s="70">
        <v>42729</v>
      </c>
      <c r="S72" s="72">
        <f t="shared" si="29"/>
        <v>295658</v>
      </c>
      <c r="T72" s="72">
        <v>140083</v>
      </c>
      <c r="U72" s="72">
        <v>3718</v>
      </c>
      <c r="V72" s="72">
        <v>30</v>
      </c>
      <c r="W72" s="72">
        <f t="shared" si="30"/>
        <v>143801</v>
      </c>
      <c r="X72" s="72">
        <v>2241328</v>
      </c>
      <c r="Y72" s="83">
        <v>68</v>
      </c>
      <c r="Z72" s="70">
        <v>42729</v>
      </c>
      <c r="AA72" s="72">
        <f t="shared" si="31"/>
        <v>735089</v>
      </c>
      <c r="AB72" s="72">
        <v>151857</v>
      </c>
      <c r="AC72" s="72">
        <v>4720</v>
      </c>
      <c r="AD72" s="72">
        <v>30</v>
      </c>
      <c r="AE72" s="72">
        <f t="shared" si="32"/>
        <v>156577</v>
      </c>
      <c r="AF72" s="72">
        <v>2429712</v>
      </c>
      <c r="AG72" s="84"/>
      <c r="AH72" s="70">
        <v>42714</v>
      </c>
      <c r="AI72" s="72">
        <f t="shared" si="33"/>
        <v>622256</v>
      </c>
      <c r="AJ72" s="72">
        <v>578512</v>
      </c>
      <c r="AK72" s="72">
        <v>43744</v>
      </c>
      <c r="AL72" s="72">
        <v>30</v>
      </c>
      <c r="AM72" s="72">
        <f t="shared" si="34"/>
        <v>622256</v>
      </c>
      <c r="AN72" s="72">
        <v>45702448</v>
      </c>
      <c r="AO72" s="84"/>
      <c r="AU72" s="85"/>
      <c r="AV72" s="85"/>
      <c r="AW72" s="78">
        <v>68</v>
      </c>
      <c r="AX72" s="70">
        <v>42729</v>
      </c>
      <c r="BC72" s="85"/>
      <c r="BD72" s="85"/>
      <c r="BE72" s="84"/>
      <c r="BK72" s="85"/>
      <c r="BL72" s="85"/>
      <c r="BM72" s="84"/>
      <c r="BS72" s="85"/>
      <c r="BT72" s="85"/>
    </row>
    <row r="73" spans="1:72">
      <c r="A73" s="78">
        <v>69</v>
      </c>
      <c r="B73" s="70">
        <v>42760</v>
      </c>
      <c r="D73" s="99">
        <f t="shared" si="17"/>
        <v>870452</v>
      </c>
      <c r="E73" s="99">
        <f t="shared" si="18"/>
        <v>52845</v>
      </c>
      <c r="F73" s="101">
        <f t="shared" si="35"/>
        <v>93</v>
      </c>
      <c r="G73" s="102">
        <f t="shared" si="36"/>
        <v>923297</v>
      </c>
      <c r="H73" s="102">
        <f t="shared" si="37"/>
        <v>49503036</v>
      </c>
      <c r="I73" s="84"/>
      <c r="O73" s="85"/>
      <c r="P73" s="85"/>
      <c r="Q73" s="84"/>
      <c r="R73" s="70">
        <v>42760</v>
      </c>
      <c r="S73" s="72">
        <f t="shared" si="29"/>
        <v>295556</v>
      </c>
      <c r="T73" s="72">
        <v>140083</v>
      </c>
      <c r="U73" s="72">
        <v>3616</v>
      </c>
      <c r="V73" s="72">
        <v>31</v>
      </c>
      <c r="W73" s="72">
        <f t="shared" si="30"/>
        <v>143699</v>
      </c>
      <c r="X73" s="72">
        <v>2101245</v>
      </c>
      <c r="Y73" s="83">
        <v>69</v>
      </c>
      <c r="Z73" s="70">
        <v>42760</v>
      </c>
      <c r="AA73" s="72">
        <f t="shared" si="31"/>
        <v>734960</v>
      </c>
      <c r="AB73" s="72">
        <v>151857</v>
      </c>
      <c r="AC73" s="72">
        <v>4591</v>
      </c>
      <c r="AD73" s="72">
        <v>31</v>
      </c>
      <c r="AE73" s="72">
        <f t="shared" si="32"/>
        <v>156448</v>
      </c>
      <c r="AF73" s="72">
        <v>2277855</v>
      </c>
      <c r="AG73" s="84"/>
      <c r="AH73" s="70">
        <v>42745</v>
      </c>
      <c r="AI73" s="72">
        <f t="shared" si="33"/>
        <v>623150</v>
      </c>
      <c r="AJ73" s="72">
        <v>578512</v>
      </c>
      <c r="AK73" s="72">
        <v>44638</v>
      </c>
      <c r="AL73" s="72">
        <v>31</v>
      </c>
      <c r="AM73" s="72">
        <f t="shared" si="34"/>
        <v>623150</v>
      </c>
      <c r="AN73" s="72">
        <v>45123936</v>
      </c>
      <c r="AO73" s="84"/>
      <c r="AU73" s="85"/>
      <c r="AV73" s="85"/>
      <c r="AW73" s="78">
        <v>69</v>
      </c>
      <c r="AX73" s="70">
        <v>42760</v>
      </c>
      <c r="BC73" s="85"/>
      <c r="BD73" s="85"/>
      <c r="BE73" s="84"/>
      <c r="BK73" s="85"/>
      <c r="BL73" s="85"/>
      <c r="BM73" s="84"/>
      <c r="BS73" s="85"/>
      <c r="BT73" s="85"/>
    </row>
    <row r="74" spans="1:72">
      <c r="A74" s="78">
        <v>70</v>
      </c>
      <c r="B74" s="70">
        <v>42791</v>
      </c>
      <c r="D74" s="99">
        <f t="shared" si="17"/>
        <v>870452</v>
      </c>
      <c r="E74" s="99">
        <f t="shared" si="18"/>
        <v>51767</v>
      </c>
      <c r="F74" s="101">
        <f t="shared" si="35"/>
        <v>93</v>
      </c>
      <c r="G74" s="102">
        <f t="shared" si="36"/>
        <v>922219</v>
      </c>
      <c r="H74" s="102">
        <f t="shared" si="37"/>
        <v>48632584</v>
      </c>
      <c r="I74" s="84"/>
      <c r="O74" s="85"/>
      <c r="P74" s="85"/>
      <c r="Q74" s="84"/>
      <c r="R74" s="70">
        <v>42791</v>
      </c>
      <c r="S74" s="72">
        <f t="shared" si="29"/>
        <v>295330</v>
      </c>
      <c r="T74" s="72">
        <v>140083</v>
      </c>
      <c r="U74" s="72">
        <v>3390</v>
      </c>
      <c r="V74" s="72">
        <v>31</v>
      </c>
      <c r="W74" s="72">
        <f t="shared" si="30"/>
        <v>143473</v>
      </c>
      <c r="X74" s="72">
        <v>1961162</v>
      </c>
      <c r="Y74" s="83">
        <v>70</v>
      </c>
      <c r="Z74" s="70">
        <v>42791</v>
      </c>
      <c r="AA74" s="72">
        <f t="shared" si="31"/>
        <v>734673</v>
      </c>
      <c r="AB74" s="72">
        <v>151857</v>
      </c>
      <c r="AC74" s="72">
        <v>4304</v>
      </c>
      <c r="AD74" s="72">
        <v>31</v>
      </c>
      <c r="AE74" s="72">
        <f t="shared" si="32"/>
        <v>156161</v>
      </c>
      <c r="AF74" s="72">
        <v>2125998</v>
      </c>
      <c r="AG74" s="84"/>
      <c r="AH74" s="70">
        <v>42776</v>
      </c>
      <c r="AI74" s="72">
        <f t="shared" si="33"/>
        <v>622585</v>
      </c>
      <c r="AJ74" s="72">
        <v>578512</v>
      </c>
      <c r="AK74" s="72">
        <v>44073</v>
      </c>
      <c r="AL74" s="72">
        <v>31</v>
      </c>
      <c r="AM74" s="72">
        <f t="shared" si="34"/>
        <v>622585</v>
      </c>
      <c r="AN74" s="72">
        <v>44545424</v>
      </c>
      <c r="AO74" s="84"/>
      <c r="AU74" s="85"/>
      <c r="AV74" s="85"/>
      <c r="AW74" s="78">
        <v>70</v>
      </c>
      <c r="AX74" s="70">
        <v>42791</v>
      </c>
      <c r="BC74" s="85"/>
      <c r="BD74" s="85"/>
      <c r="BE74" s="84"/>
      <c r="BK74" s="85"/>
      <c r="BL74" s="85"/>
      <c r="BM74" s="84"/>
      <c r="BS74" s="85"/>
      <c r="BT74" s="85"/>
    </row>
    <row r="75" spans="1:72">
      <c r="A75" s="78">
        <v>71</v>
      </c>
      <c r="B75" s="70">
        <v>42819</v>
      </c>
      <c r="D75" s="99">
        <f t="shared" si="17"/>
        <v>870452</v>
      </c>
      <c r="E75" s="99">
        <f t="shared" si="18"/>
        <v>45783</v>
      </c>
      <c r="F75" s="101">
        <f t="shared" si="35"/>
        <v>84</v>
      </c>
      <c r="G75" s="102">
        <f t="shared" si="36"/>
        <v>916235</v>
      </c>
      <c r="H75" s="102">
        <f t="shared" si="37"/>
        <v>47762132</v>
      </c>
      <c r="I75" s="84"/>
      <c r="O75" s="85"/>
      <c r="P75" s="85"/>
      <c r="Q75" s="84"/>
      <c r="R75" s="70">
        <v>42819</v>
      </c>
      <c r="S75" s="72">
        <f t="shared" si="29"/>
        <v>294798</v>
      </c>
      <c r="T75" s="72">
        <v>140083</v>
      </c>
      <c r="U75" s="72">
        <v>2858</v>
      </c>
      <c r="V75" s="72">
        <v>28</v>
      </c>
      <c r="W75" s="72">
        <f t="shared" si="30"/>
        <v>142941</v>
      </c>
      <c r="X75" s="72">
        <v>1821079</v>
      </c>
      <c r="Y75" s="83">
        <v>71</v>
      </c>
      <c r="Z75" s="70">
        <v>42819</v>
      </c>
      <c r="AA75" s="72">
        <f t="shared" si="31"/>
        <v>733997</v>
      </c>
      <c r="AB75" s="72">
        <v>151857</v>
      </c>
      <c r="AC75" s="72">
        <v>3628</v>
      </c>
      <c r="AD75" s="72">
        <v>28</v>
      </c>
      <c r="AE75" s="72">
        <f t="shared" si="32"/>
        <v>155485</v>
      </c>
      <c r="AF75" s="72">
        <v>1974141</v>
      </c>
      <c r="AG75" s="84"/>
      <c r="AH75" s="70">
        <v>42804</v>
      </c>
      <c r="AI75" s="72">
        <f t="shared" si="33"/>
        <v>617809</v>
      </c>
      <c r="AJ75" s="72">
        <v>578512</v>
      </c>
      <c r="AK75" s="72">
        <v>39297</v>
      </c>
      <c r="AL75" s="72">
        <v>28</v>
      </c>
      <c r="AM75" s="72">
        <f t="shared" si="34"/>
        <v>617809</v>
      </c>
      <c r="AN75" s="72">
        <v>43966912</v>
      </c>
      <c r="AO75" s="84"/>
      <c r="AU75" s="85"/>
      <c r="AV75" s="85"/>
      <c r="AW75" s="78">
        <v>71</v>
      </c>
      <c r="AX75" s="70">
        <v>42819</v>
      </c>
      <c r="BC75" s="85"/>
      <c r="BD75" s="85"/>
      <c r="BE75" s="84"/>
      <c r="BK75" s="85"/>
      <c r="BL75" s="85"/>
      <c r="BM75" s="84"/>
      <c r="BS75" s="85"/>
      <c r="BT75" s="85"/>
    </row>
    <row r="76" spans="1:72">
      <c r="A76" s="78">
        <v>72</v>
      </c>
      <c r="B76" s="70">
        <v>42850</v>
      </c>
      <c r="D76" s="99">
        <f t="shared" si="17"/>
        <v>870452</v>
      </c>
      <c r="E76" s="99">
        <f t="shared" si="18"/>
        <v>49611</v>
      </c>
      <c r="F76" s="101">
        <f t="shared" si="35"/>
        <v>93</v>
      </c>
      <c r="G76" s="102">
        <f t="shared" si="36"/>
        <v>920063</v>
      </c>
      <c r="H76" s="102">
        <f t="shared" si="37"/>
        <v>46891680</v>
      </c>
      <c r="I76" s="84"/>
      <c r="O76" s="85"/>
      <c r="P76" s="85"/>
      <c r="Q76" s="84"/>
      <c r="R76" s="70">
        <v>42850</v>
      </c>
      <c r="S76" s="72">
        <f t="shared" si="29"/>
        <v>294878</v>
      </c>
      <c r="T76" s="72">
        <v>140083</v>
      </c>
      <c r="U76" s="72">
        <v>2938</v>
      </c>
      <c r="V76" s="72">
        <v>31</v>
      </c>
      <c r="W76" s="72">
        <f t="shared" si="30"/>
        <v>143021</v>
      </c>
      <c r="X76" s="72">
        <v>1680996</v>
      </c>
      <c r="Y76" s="83">
        <v>72</v>
      </c>
      <c r="Z76" s="70">
        <v>42850</v>
      </c>
      <c r="AA76" s="72">
        <f t="shared" si="31"/>
        <v>734099</v>
      </c>
      <c r="AB76" s="72">
        <v>151857</v>
      </c>
      <c r="AC76" s="72">
        <v>3730</v>
      </c>
      <c r="AD76" s="72">
        <v>31</v>
      </c>
      <c r="AE76" s="72">
        <f t="shared" si="32"/>
        <v>155587</v>
      </c>
      <c r="AF76" s="72">
        <v>1822284</v>
      </c>
      <c r="AG76" s="84"/>
      <c r="AH76" s="70">
        <v>42835</v>
      </c>
      <c r="AI76" s="72">
        <f t="shared" si="33"/>
        <v>621455</v>
      </c>
      <c r="AJ76" s="72">
        <v>578512</v>
      </c>
      <c r="AK76" s="72">
        <v>42943</v>
      </c>
      <c r="AL76" s="72">
        <v>31</v>
      </c>
      <c r="AM76" s="72">
        <f t="shared" si="34"/>
        <v>621455</v>
      </c>
      <c r="AN76" s="72">
        <v>43388400</v>
      </c>
      <c r="AO76" s="84"/>
      <c r="AU76" s="85"/>
      <c r="AV76" s="85"/>
      <c r="AW76" s="78">
        <v>72</v>
      </c>
      <c r="AX76" s="70">
        <v>42850</v>
      </c>
      <c r="BC76" s="85"/>
      <c r="BD76" s="85"/>
      <c r="BE76" s="84"/>
      <c r="BK76" s="85"/>
      <c r="BL76" s="85"/>
      <c r="BM76" s="84"/>
      <c r="BS76" s="85"/>
      <c r="BT76" s="85"/>
    </row>
    <row r="77" spans="1:72">
      <c r="A77" s="78">
        <v>73</v>
      </c>
      <c r="B77" s="70">
        <v>42880</v>
      </c>
      <c r="D77" s="99">
        <f t="shared" si="17"/>
        <v>870452</v>
      </c>
      <c r="E77" s="99">
        <f t="shared" si="18"/>
        <v>46966</v>
      </c>
      <c r="F77" s="101">
        <f t="shared" si="35"/>
        <v>90</v>
      </c>
      <c r="G77" s="102">
        <f t="shared" si="36"/>
        <v>917418</v>
      </c>
      <c r="H77" s="102">
        <f t="shared" si="37"/>
        <v>46021228</v>
      </c>
      <c r="I77" s="84"/>
      <c r="O77" s="85"/>
      <c r="P77" s="85"/>
      <c r="Q77" s="84"/>
      <c r="R77" s="70">
        <v>42880</v>
      </c>
      <c r="S77" s="72">
        <f t="shared" si="29"/>
        <v>294564</v>
      </c>
      <c r="T77" s="72">
        <v>140083</v>
      </c>
      <c r="U77" s="72">
        <v>2624</v>
      </c>
      <c r="V77" s="72">
        <v>30</v>
      </c>
      <c r="W77" s="72">
        <f t="shared" si="30"/>
        <v>142707</v>
      </c>
      <c r="X77" s="72">
        <v>1540913</v>
      </c>
      <c r="Y77" s="83">
        <v>73</v>
      </c>
      <c r="Z77" s="70">
        <v>42880</v>
      </c>
      <c r="AA77" s="72">
        <f t="shared" si="31"/>
        <v>733701</v>
      </c>
      <c r="AB77" s="72">
        <v>151857</v>
      </c>
      <c r="AC77" s="72">
        <v>3332</v>
      </c>
      <c r="AD77" s="72">
        <v>30</v>
      </c>
      <c r="AE77" s="72">
        <f t="shared" si="32"/>
        <v>155189</v>
      </c>
      <c r="AF77" s="72">
        <v>1670427</v>
      </c>
      <c r="AG77" s="84"/>
      <c r="AH77" s="70">
        <v>42865</v>
      </c>
      <c r="AI77" s="72">
        <f t="shared" si="33"/>
        <v>619522</v>
      </c>
      <c r="AJ77" s="72">
        <v>578512</v>
      </c>
      <c r="AK77" s="72">
        <v>41010</v>
      </c>
      <c r="AL77" s="72">
        <v>30</v>
      </c>
      <c r="AM77" s="72">
        <f t="shared" si="34"/>
        <v>619522</v>
      </c>
      <c r="AN77" s="72">
        <v>42809888</v>
      </c>
      <c r="AO77" s="84"/>
      <c r="AU77" s="85"/>
      <c r="AV77" s="85"/>
      <c r="AW77" s="78">
        <v>73</v>
      </c>
      <c r="AX77" s="70">
        <v>42880</v>
      </c>
      <c r="BC77" s="85"/>
      <c r="BD77" s="85"/>
      <c r="BE77" s="84"/>
      <c r="BK77" s="85"/>
      <c r="BL77" s="85"/>
      <c r="BM77" s="84"/>
      <c r="BS77" s="85"/>
      <c r="BT77" s="85"/>
    </row>
    <row r="78" spans="1:72">
      <c r="A78" s="78">
        <v>74</v>
      </c>
      <c r="B78" s="70">
        <v>42911</v>
      </c>
      <c r="D78" s="99">
        <f t="shared" si="17"/>
        <v>870452</v>
      </c>
      <c r="E78" s="99">
        <f t="shared" si="18"/>
        <v>47454</v>
      </c>
      <c r="F78" s="101">
        <f t="shared" si="35"/>
        <v>93</v>
      </c>
      <c r="G78" s="102">
        <f t="shared" si="36"/>
        <v>917906</v>
      </c>
      <c r="H78" s="102">
        <f t="shared" si="37"/>
        <v>45150776</v>
      </c>
      <c r="I78" s="84"/>
      <c r="O78" s="85"/>
      <c r="P78" s="85"/>
      <c r="Q78" s="84"/>
      <c r="R78" s="70">
        <v>42911</v>
      </c>
      <c r="S78" s="72">
        <f t="shared" si="29"/>
        <v>294426</v>
      </c>
      <c r="T78" s="72">
        <v>140083</v>
      </c>
      <c r="U78" s="72">
        <v>2486</v>
      </c>
      <c r="V78" s="72">
        <v>31</v>
      </c>
      <c r="W78" s="72">
        <f t="shared" si="30"/>
        <v>142569</v>
      </c>
      <c r="X78" s="72">
        <v>1400830</v>
      </c>
      <c r="Y78" s="83">
        <v>74</v>
      </c>
      <c r="Z78" s="70">
        <v>42911</v>
      </c>
      <c r="AA78" s="72">
        <f t="shared" si="31"/>
        <v>733525</v>
      </c>
      <c r="AB78" s="72">
        <v>151857</v>
      </c>
      <c r="AC78" s="72">
        <v>3156</v>
      </c>
      <c r="AD78" s="72">
        <v>31</v>
      </c>
      <c r="AE78" s="72">
        <f t="shared" si="32"/>
        <v>155013</v>
      </c>
      <c r="AF78" s="72">
        <v>1518570</v>
      </c>
      <c r="AG78" s="84"/>
      <c r="AH78" s="70">
        <v>42896</v>
      </c>
      <c r="AI78" s="72">
        <f t="shared" si="33"/>
        <v>620324</v>
      </c>
      <c r="AJ78" s="72">
        <v>578512</v>
      </c>
      <c r="AK78" s="72">
        <v>41812</v>
      </c>
      <c r="AL78" s="72">
        <v>31</v>
      </c>
      <c r="AM78" s="72">
        <f t="shared" si="34"/>
        <v>620324</v>
      </c>
      <c r="AN78" s="72">
        <v>42231376</v>
      </c>
      <c r="AO78" s="84"/>
      <c r="AU78" s="85"/>
      <c r="AV78" s="85"/>
      <c r="AW78" s="78">
        <v>74</v>
      </c>
      <c r="AX78" s="70">
        <v>42911</v>
      </c>
      <c r="BC78" s="85"/>
      <c r="BD78" s="85"/>
      <c r="BE78" s="84"/>
      <c r="BK78" s="85"/>
      <c r="BL78" s="85"/>
      <c r="BM78" s="84"/>
      <c r="BS78" s="85"/>
      <c r="BT78" s="85"/>
    </row>
    <row r="79" spans="1:72">
      <c r="A79" s="78">
        <v>75</v>
      </c>
      <c r="B79" s="70">
        <v>42941</v>
      </c>
      <c r="D79" s="99">
        <f t="shared" si="17"/>
        <v>870452</v>
      </c>
      <c r="E79" s="99">
        <f t="shared" si="18"/>
        <v>44880</v>
      </c>
      <c r="F79" s="101">
        <f t="shared" si="35"/>
        <v>90</v>
      </c>
      <c r="G79" s="102">
        <f t="shared" si="36"/>
        <v>915332</v>
      </c>
      <c r="H79" s="102">
        <f t="shared" si="37"/>
        <v>44280324</v>
      </c>
      <c r="I79" s="84"/>
      <c r="O79" s="85"/>
      <c r="P79" s="85"/>
      <c r="Q79" s="84"/>
      <c r="R79" s="70">
        <v>42941</v>
      </c>
      <c r="S79" s="72">
        <f t="shared" si="29"/>
        <v>294127</v>
      </c>
      <c r="T79" s="72">
        <v>140083</v>
      </c>
      <c r="U79" s="72">
        <v>2187</v>
      </c>
      <c r="V79" s="72">
        <v>30</v>
      </c>
      <c r="W79" s="72">
        <f t="shared" si="30"/>
        <v>142270</v>
      </c>
      <c r="X79" s="72">
        <v>1260747</v>
      </c>
      <c r="Y79" s="83">
        <v>75</v>
      </c>
      <c r="Z79" s="70">
        <v>42941</v>
      </c>
      <c r="AA79" s="72">
        <f t="shared" si="31"/>
        <v>733145</v>
      </c>
      <c r="AB79" s="72">
        <v>151857</v>
      </c>
      <c r="AC79" s="72">
        <v>2776</v>
      </c>
      <c r="AD79" s="72">
        <v>30</v>
      </c>
      <c r="AE79" s="72">
        <f t="shared" si="32"/>
        <v>154633</v>
      </c>
      <c r="AF79" s="72">
        <v>1366713</v>
      </c>
      <c r="AG79" s="84"/>
      <c r="AH79" s="70">
        <v>42926</v>
      </c>
      <c r="AI79" s="72">
        <f t="shared" si="33"/>
        <v>618429</v>
      </c>
      <c r="AJ79" s="72">
        <v>578512</v>
      </c>
      <c r="AK79" s="72">
        <v>39917</v>
      </c>
      <c r="AL79" s="72">
        <v>30</v>
      </c>
      <c r="AM79" s="72">
        <f t="shared" si="34"/>
        <v>618429</v>
      </c>
      <c r="AN79" s="72">
        <v>41652864</v>
      </c>
      <c r="AO79" s="84"/>
      <c r="AU79" s="85"/>
      <c r="AV79" s="85"/>
      <c r="AW79" s="78">
        <v>75</v>
      </c>
      <c r="AX79" s="70">
        <v>42941</v>
      </c>
      <c r="BC79" s="85"/>
      <c r="BD79" s="85"/>
      <c r="BE79" s="84"/>
      <c r="BK79" s="85"/>
      <c r="BL79" s="85"/>
      <c r="BM79" s="84"/>
      <c r="BS79" s="85"/>
      <c r="BT79" s="85"/>
    </row>
    <row r="80" spans="1:72">
      <c r="A80" s="78">
        <v>76</v>
      </c>
      <c r="B80" s="70">
        <v>42972</v>
      </c>
      <c r="D80" s="99">
        <f t="shared" si="17"/>
        <v>870452</v>
      </c>
      <c r="E80" s="99">
        <f t="shared" si="18"/>
        <v>45298</v>
      </c>
      <c r="F80" s="101">
        <f t="shared" si="35"/>
        <v>93</v>
      </c>
      <c r="G80" s="102">
        <f t="shared" si="36"/>
        <v>915750</v>
      </c>
      <c r="H80" s="102">
        <f t="shared" si="37"/>
        <v>43409872</v>
      </c>
      <c r="I80" s="84"/>
      <c r="O80" s="85"/>
      <c r="P80" s="85"/>
      <c r="Q80" s="84"/>
      <c r="R80" s="70">
        <v>42972</v>
      </c>
      <c r="S80" s="72">
        <f t="shared" si="29"/>
        <v>293974</v>
      </c>
      <c r="T80" s="72">
        <v>140083</v>
      </c>
      <c r="U80" s="72">
        <v>2034</v>
      </c>
      <c r="V80" s="72">
        <v>31</v>
      </c>
      <c r="W80" s="72">
        <f t="shared" si="30"/>
        <v>142117</v>
      </c>
      <c r="X80" s="72">
        <v>1120664</v>
      </c>
      <c r="Y80" s="83">
        <v>76</v>
      </c>
      <c r="Z80" s="70">
        <v>42972</v>
      </c>
      <c r="AA80" s="72">
        <f t="shared" si="31"/>
        <v>732951</v>
      </c>
      <c r="AB80" s="72">
        <v>151857</v>
      </c>
      <c r="AC80" s="72">
        <v>2582</v>
      </c>
      <c r="AD80" s="72">
        <v>31</v>
      </c>
      <c r="AE80" s="72">
        <f t="shared" si="32"/>
        <v>154439</v>
      </c>
      <c r="AF80" s="72">
        <v>1214856</v>
      </c>
      <c r="AG80" s="84"/>
      <c r="AH80" s="70">
        <v>42957</v>
      </c>
      <c r="AI80" s="72">
        <f t="shared" si="33"/>
        <v>619194</v>
      </c>
      <c r="AJ80" s="72">
        <v>578512</v>
      </c>
      <c r="AK80" s="72">
        <v>40682</v>
      </c>
      <c r="AL80" s="72">
        <v>31</v>
      </c>
      <c r="AM80" s="72">
        <f t="shared" si="34"/>
        <v>619194</v>
      </c>
      <c r="AN80" s="72">
        <v>41074352</v>
      </c>
      <c r="AO80" s="84"/>
      <c r="AU80" s="85"/>
      <c r="AV80" s="85"/>
      <c r="AW80" s="78">
        <v>76</v>
      </c>
      <c r="AX80" s="70">
        <v>42972</v>
      </c>
      <c r="BC80" s="85"/>
      <c r="BD80" s="85"/>
      <c r="BE80" s="84"/>
      <c r="BK80" s="85"/>
      <c r="BL80" s="85"/>
      <c r="BM80" s="84"/>
      <c r="BS80" s="85"/>
      <c r="BT80" s="85"/>
    </row>
    <row r="81" spans="1:72">
      <c r="A81" s="78">
        <v>77</v>
      </c>
      <c r="B81" s="70">
        <v>43003</v>
      </c>
      <c r="D81" s="99">
        <f t="shared" si="17"/>
        <v>870452</v>
      </c>
      <c r="E81" s="99">
        <f t="shared" si="18"/>
        <v>44220</v>
      </c>
      <c r="F81" s="101">
        <f t="shared" si="35"/>
        <v>93</v>
      </c>
      <c r="G81" s="102">
        <f t="shared" si="36"/>
        <v>914672</v>
      </c>
      <c r="H81" s="102">
        <f t="shared" si="37"/>
        <v>42539420</v>
      </c>
      <c r="I81" s="84"/>
      <c r="O81" s="85"/>
      <c r="P81" s="85"/>
      <c r="Q81" s="84"/>
      <c r="R81" s="70">
        <v>43003</v>
      </c>
      <c r="S81" s="72">
        <f t="shared" si="29"/>
        <v>293748</v>
      </c>
      <c r="T81" s="72">
        <v>140083</v>
      </c>
      <c r="U81" s="72">
        <v>1808</v>
      </c>
      <c r="V81" s="72">
        <v>31</v>
      </c>
      <c r="W81" s="72">
        <f t="shared" si="30"/>
        <v>141891</v>
      </c>
      <c r="X81" s="72">
        <v>980581</v>
      </c>
      <c r="Y81" s="83">
        <v>77</v>
      </c>
      <c r="Z81" s="70">
        <v>43003</v>
      </c>
      <c r="AA81" s="72">
        <f t="shared" si="31"/>
        <v>732664</v>
      </c>
      <c r="AB81" s="72">
        <v>151857</v>
      </c>
      <c r="AC81" s="72">
        <v>2295</v>
      </c>
      <c r="AD81" s="72">
        <v>31</v>
      </c>
      <c r="AE81" s="72">
        <f t="shared" si="32"/>
        <v>154152</v>
      </c>
      <c r="AF81" s="72">
        <v>1062999</v>
      </c>
      <c r="AG81" s="84"/>
      <c r="AH81" s="70">
        <v>42988</v>
      </c>
      <c r="AI81" s="72">
        <f t="shared" si="33"/>
        <v>618629</v>
      </c>
      <c r="AJ81" s="72">
        <v>578512</v>
      </c>
      <c r="AK81" s="72">
        <v>40117</v>
      </c>
      <c r="AL81" s="72">
        <v>31</v>
      </c>
      <c r="AM81" s="72">
        <f t="shared" si="34"/>
        <v>618629</v>
      </c>
      <c r="AN81" s="72">
        <v>40495840</v>
      </c>
      <c r="AO81" s="84"/>
      <c r="AU81" s="85"/>
      <c r="AV81" s="85"/>
      <c r="AW81" s="78">
        <v>77</v>
      </c>
      <c r="AX81" s="70">
        <v>43003</v>
      </c>
      <c r="BC81" s="85"/>
      <c r="BD81" s="85"/>
      <c r="BE81" s="84"/>
      <c r="BK81" s="85"/>
      <c r="BL81" s="85"/>
      <c r="BM81" s="84"/>
      <c r="BS81" s="85"/>
      <c r="BT81" s="85"/>
    </row>
    <row r="82" spans="1:72">
      <c r="A82" s="78">
        <v>78</v>
      </c>
      <c r="B82" s="70">
        <v>43033</v>
      </c>
      <c r="D82" s="99">
        <f t="shared" si="17"/>
        <v>870452</v>
      </c>
      <c r="E82" s="99">
        <f t="shared" si="18"/>
        <v>41750</v>
      </c>
      <c r="F82" s="101">
        <f t="shared" si="35"/>
        <v>90</v>
      </c>
      <c r="G82" s="102">
        <f t="shared" si="36"/>
        <v>912202</v>
      </c>
      <c r="H82" s="102">
        <f t="shared" si="37"/>
        <v>41668968</v>
      </c>
      <c r="I82" s="84"/>
      <c r="O82" s="85"/>
      <c r="P82" s="85"/>
      <c r="Q82" s="84"/>
      <c r="R82" s="70">
        <v>43033</v>
      </c>
      <c r="S82" s="72">
        <f t="shared" si="29"/>
        <v>293471</v>
      </c>
      <c r="T82" s="72">
        <v>140083</v>
      </c>
      <c r="U82" s="72">
        <v>1531</v>
      </c>
      <c r="V82" s="72">
        <v>30</v>
      </c>
      <c r="W82" s="72">
        <f t="shared" si="30"/>
        <v>141614</v>
      </c>
      <c r="X82" s="72">
        <v>840498</v>
      </c>
      <c r="Y82" s="83">
        <v>78</v>
      </c>
      <c r="Z82" s="70">
        <v>43033</v>
      </c>
      <c r="AA82" s="72">
        <f t="shared" si="31"/>
        <v>732312</v>
      </c>
      <c r="AB82" s="72">
        <v>151857</v>
      </c>
      <c r="AC82" s="72">
        <v>1943</v>
      </c>
      <c r="AD82" s="72">
        <v>30</v>
      </c>
      <c r="AE82" s="72">
        <f t="shared" si="32"/>
        <v>153800</v>
      </c>
      <c r="AF82" s="72">
        <v>911142</v>
      </c>
      <c r="AG82" s="84"/>
      <c r="AH82" s="70">
        <v>43018</v>
      </c>
      <c r="AI82" s="72">
        <f t="shared" si="33"/>
        <v>616788</v>
      </c>
      <c r="AJ82" s="72">
        <v>578512</v>
      </c>
      <c r="AK82" s="72">
        <v>38276</v>
      </c>
      <c r="AL82" s="72">
        <v>30</v>
      </c>
      <c r="AM82" s="72">
        <f t="shared" si="34"/>
        <v>616788</v>
      </c>
      <c r="AN82" s="72">
        <v>39917328</v>
      </c>
      <c r="AO82" s="84"/>
      <c r="AU82" s="85"/>
      <c r="AV82" s="85"/>
      <c r="AW82" s="78">
        <v>78</v>
      </c>
      <c r="AX82" s="70">
        <v>43033</v>
      </c>
      <c r="BC82" s="85"/>
      <c r="BD82" s="85"/>
      <c r="BE82" s="84"/>
      <c r="BK82" s="85"/>
      <c r="BL82" s="85"/>
      <c r="BM82" s="84"/>
      <c r="BS82" s="85"/>
      <c r="BT82" s="85"/>
    </row>
    <row r="83" spans="1:72">
      <c r="A83" s="78">
        <v>79</v>
      </c>
      <c r="B83" s="70">
        <v>43064</v>
      </c>
      <c r="D83" s="99">
        <f t="shared" si="17"/>
        <v>870452</v>
      </c>
      <c r="E83" s="99">
        <f t="shared" si="18"/>
        <v>42064</v>
      </c>
      <c r="F83" s="101">
        <f t="shared" si="35"/>
        <v>93</v>
      </c>
      <c r="G83" s="102">
        <f t="shared" si="36"/>
        <v>912516</v>
      </c>
      <c r="H83" s="102">
        <f t="shared" si="37"/>
        <v>40798516</v>
      </c>
      <c r="I83" s="84"/>
      <c r="O83" s="85"/>
      <c r="P83" s="85"/>
      <c r="Q83" s="84"/>
      <c r="R83" s="70">
        <v>43064</v>
      </c>
      <c r="S83" s="72">
        <f t="shared" si="29"/>
        <v>293296</v>
      </c>
      <c r="T83" s="72">
        <v>140083</v>
      </c>
      <c r="U83" s="72">
        <v>1356</v>
      </c>
      <c r="V83" s="72">
        <v>31</v>
      </c>
      <c r="W83" s="72">
        <f t="shared" si="30"/>
        <v>141439</v>
      </c>
      <c r="X83" s="72">
        <v>700415</v>
      </c>
      <c r="Y83" s="83">
        <v>79</v>
      </c>
      <c r="Z83" s="70">
        <v>43064</v>
      </c>
      <c r="AA83" s="72">
        <f t="shared" si="31"/>
        <v>732090</v>
      </c>
      <c r="AB83" s="72">
        <v>151857</v>
      </c>
      <c r="AC83" s="72">
        <v>1721</v>
      </c>
      <c r="AD83" s="72">
        <v>31</v>
      </c>
      <c r="AE83" s="72">
        <f t="shared" si="32"/>
        <v>153578</v>
      </c>
      <c r="AF83" s="72">
        <v>759285</v>
      </c>
      <c r="AG83" s="84"/>
      <c r="AH83" s="70">
        <v>43049</v>
      </c>
      <c r="AI83" s="72">
        <f t="shared" si="33"/>
        <v>617499</v>
      </c>
      <c r="AJ83" s="72">
        <v>578512</v>
      </c>
      <c r="AK83" s="72">
        <v>38987</v>
      </c>
      <c r="AL83" s="72">
        <v>31</v>
      </c>
      <c r="AM83" s="72">
        <f t="shared" si="34"/>
        <v>617499</v>
      </c>
      <c r="AN83" s="72">
        <v>39338816</v>
      </c>
      <c r="AO83" s="84"/>
      <c r="AU83" s="85"/>
      <c r="AV83" s="85"/>
      <c r="AW83" s="78">
        <v>79</v>
      </c>
      <c r="AX83" s="70">
        <v>43064</v>
      </c>
      <c r="BC83" s="85"/>
      <c r="BD83" s="85"/>
      <c r="BE83" s="84"/>
      <c r="BK83" s="85"/>
      <c r="BL83" s="85"/>
      <c r="BM83" s="84"/>
      <c r="BS83" s="85"/>
      <c r="BT83" s="85"/>
    </row>
    <row r="84" spans="1:72">
      <c r="A84" s="78">
        <v>80</v>
      </c>
      <c r="B84" s="70">
        <v>43094</v>
      </c>
      <c r="D84" s="99">
        <f t="shared" si="17"/>
        <v>870452</v>
      </c>
      <c r="E84" s="99">
        <f t="shared" si="18"/>
        <v>39664</v>
      </c>
      <c r="F84" s="101">
        <f t="shared" si="35"/>
        <v>90</v>
      </c>
      <c r="G84" s="102">
        <f t="shared" si="36"/>
        <v>910116</v>
      </c>
      <c r="H84" s="102">
        <f t="shared" si="37"/>
        <v>39928064</v>
      </c>
      <c r="I84" s="84"/>
      <c r="O84" s="85"/>
      <c r="P84" s="85"/>
      <c r="Q84" s="84"/>
      <c r="R84" s="70">
        <v>43094</v>
      </c>
      <c r="S84" s="72">
        <f t="shared" si="29"/>
        <v>293033</v>
      </c>
      <c r="T84" s="72">
        <v>140083</v>
      </c>
      <c r="U84" s="72">
        <v>1093</v>
      </c>
      <c r="V84" s="72">
        <v>30</v>
      </c>
      <c r="W84" s="72">
        <f t="shared" si="30"/>
        <v>141176</v>
      </c>
      <c r="X84" s="72">
        <v>560332</v>
      </c>
      <c r="Y84" s="83">
        <v>80</v>
      </c>
      <c r="Z84" s="70">
        <v>43094</v>
      </c>
      <c r="AA84" s="72">
        <f t="shared" si="31"/>
        <v>731757</v>
      </c>
      <c r="AB84" s="72">
        <v>151857</v>
      </c>
      <c r="AC84" s="72">
        <v>1388</v>
      </c>
      <c r="AD84" s="72">
        <v>30</v>
      </c>
      <c r="AE84" s="72">
        <f t="shared" si="32"/>
        <v>153245</v>
      </c>
      <c r="AF84" s="72">
        <v>607428</v>
      </c>
      <c r="AG84" s="84"/>
      <c r="AH84" s="70">
        <v>43079</v>
      </c>
      <c r="AI84" s="72">
        <f t="shared" si="33"/>
        <v>615695</v>
      </c>
      <c r="AJ84" s="72">
        <v>578512</v>
      </c>
      <c r="AK84" s="72">
        <v>37183</v>
      </c>
      <c r="AL84" s="72">
        <v>30</v>
      </c>
      <c r="AM84" s="72">
        <f t="shared" si="34"/>
        <v>615695</v>
      </c>
      <c r="AN84" s="72">
        <v>38760304</v>
      </c>
      <c r="AO84" s="84"/>
      <c r="AU84" s="85"/>
      <c r="AV84" s="85"/>
      <c r="AW84" s="78">
        <v>80</v>
      </c>
      <c r="AX84" s="70">
        <v>43094</v>
      </c>
      <c r="BC84" s="85"/>
      <c r="BD84" s="85"/>
      <c r="BE84" s="84"/>
      <c r="BK84" s="85"/>
      <c r="BL84" s="85"/>
      <c r="BM84" s="84"/>
      <c r="BS84" s="85"/>
      <c r="BT84" s="85"/>
    </row>
    <row r="85" spans="1:72">
      <c r="A85" s="78">
        <v>81</v>
      </c>
      <c r="B85" s="70">
        <v>43125</v>
      </c>
      <c r="D85" s="99">
        <f t="shared" si="17"/>
        <v>870452</v>
      </c>
      <c r="E85" s="99">
        <f t="shared" si="18"/>
        <v>39908</v>
      </c>
      <c r="F85" s="101">
        <f t="shared" si="35"/>
        <v>93</v>
      </c>
      <c r="G85" s="102">
        <f t="shared" si="36"/>
        <v>910360</v>
      </c>
      <c r="H85" s="102">
        <f t="shared" si="37"/>
        <v>39057612</v>
      </c>
      <c r="I85" s="84"/>
      <c r="O85" s="85"/>
      <c r="P85" s="85"/>
      <c r="Q85" s="84"/>
      <c r="R85" s="70">
        <v>43125</v>
      </c>
      <c r="S85" s="72">
        <f t="shared" si="29"/>
        <v>292844</v>
      </c>
      <c r="T85" s="72">
        <v>140083</v>
      </c>
      <c r="U85" s="72">
        <v>904</v>
      </c>
      <c r="V85" s="72">
        <v>31</v>
      </c>
      <c r="W85" s="72">
        <f t="shared" si="30"/>
        <v>140987</v>
      </c>
      <c r="X85" s="72">
        <v>420249</v>
      </c>
      <c r="Y85" s="83">
        <v>81</v>
      </c>
      <c r="Z85" s="70">
        <v>43125</v>
      </c>
      <c r="AA85" s="72">
        <f t="shared" si="31"/>
        <v>731516</v>
      </c>
      <c r="AB85" s="72">
        <v>151857</v>
      </c>
      <c r="AC85" s="72">
        <v>1147</v>
      </c>
      <c r="AD85" s="72">
        <v>31</v>
      </c>
      <c r="AE85" s="72">
        <f t="shared" si="32"/>
        <v>153004</v>
      </c>
      <c r="AF85" s="72">
        <v>455571</v>
      </c>
      <c r="AG85" s="84"/>
      <c r="AH85" s="70">
        <v>43110</v>
      </c>
      <c r="AI85" s="72">
        <f t="shared" si="33"/>
        <v>616369</v>
      </c>
      <c r="AJ85" s="72">
        <v>578512</v>
      </c>
      <c r="AK85" s="72">
        <v>37857</v>
      </c>
      <c r="AL85" s="72">
        <v>31</v>
      </c>
      <c r="AM85" s="72">
        <f t="shared" si="34"/>
        <v>616369</v>
      </c>
      <c r="AN85" s="72">
        <v>38181792</v>
      </c>
      <c r="AO85" s="84"/>
      <c r="AU85" s="85"/>
      <c r="AV85" s="85"/>
      <c r="AW85" s="78">
        <v>81</v>
      </c>
      <c r="AX85" s="70">
        <v>43125</v>
      </c>
      <c r="BC85" s="85"/>
      <c r="BD85" s="85"/>
      <c r="BE85" s="84"/>
      <c r="BK85" s="85"/>
      <c r="BL85" s="85"/>
      <c r="BM85" s="84"/>
      <c r="BS85" s="85"/>
      <c r="BT85" s="85"/>
    </row>
    <row r="86" spans="1:72">
      <c r="A86" s="78">
        <v>82</v>
      </c>
      <c r="B86" s="70">
        <v>43156</v>
      </c>
      <c r="D86" s="99">
        <f t="shared" si="17"/>
        <v>870452</v>
      </c>
      <c r="E86" s="99">
        <f t="shared" si="18"/>
        <v>38830</v>
      </c>
      <c r="F86" s="101">
        <f t="shared" si="35"/>
        <v>93</v>
      </c>
      <c r="G86" s="102">
        <f t="shared" si="36"/>
        <v>909282</v>
      </c>
      <c r="H86" s="102">
        <f t="shared" si="37"/>
        <v>38187160</v>
      </c>
      <c r="I86" s="84"/>
      <c r="O86" s="85"/>
      <c r="P86" s="85"/>
      <c r="Q86" s="84"/>
      <c r="R86" s="70">
        <v>43156</v>
      </c>
      <c r="S86" s="72">
        <f t="shared" si="29"/>
        <v>292618</v>
      </c>
      <c r="T86" s="72">
        <v>140083</v>
      </c>
      <c r="U86" s="72">
        <v>678</v>
      </c>
      <c r="V86" s="72">
        <v>31</v>
      </c>
      <c r="W86" s="72">
        <f t="shared" si="30"/>
        <v>140761</v>
      </c>
      <c r="X86" s="72">
        <v>280166</v>
      </c>
      <c r="Y86" s="83">
        <v>82</v>
      </c>
      <c r="Z86" s="70">
        <v>43156</v>
      </c>
      <c r="AA86" s="72">
        <f t="shared" si="31"/>
        <v>731229</v>
      </c>
      <c r="AB86" s="72">
        <v>151857</v>
      </c>
      <c r="AC86" s="72">
        <v>860</v>
      </c>
      <c r="AD86" s="72">
        <v>31</v>
      </c>
      <c r="AE86" s="72">
        <f t="shared" si="32"/>
        <v>152717</v>
      </c>
      <c r="AF86" s="72">
        <v>303714</v>
      </c>
      <c r="AG86" s="84"/>
      <c r="AH86" s="70">
        <v>43141</v>
      </c>
      <c r="AI86" s="72">
        <f t="shared" si="33"/>
        <v>615804</v>
      </c>
      <c r="AJ86" s="72">
        <v>578512</v>
      </c>
      <c r="AK86" s="72">
        <v>37292</v>
      </c>
      <c r="AL86" s="72">
        <v>31</v>
      </c>
      <c r="AM86" s="72">
        <f t="shared" si="34"/>
        <v>615804</v>
      </c>
      <c r="AN86" s="72">
        <v>37603280</v>
      </c>
      <c r="AO86" s="84"/>
      <c r="AU86" s="85"/>
      <c r="AV86" s="85"/>
      <c r="AW86" s="78">
        <v>82</v>
      </c>
      <c r="AX86" s="70">
        <v>43156</v>
      </c>
      <c r="BC86" s="85"/>
      <c r="BD86" s="85"/>
      <c r="BE86" s="84"/>
      <c r="BK86" s="85"/>
      <c r="BL86" s="85"/>
      <c r="BM86" s="84"/>
      <c r="BS86" s="85"/>
      <c r="BT86" s="85"/>
    </row>
    <row r="87" spans="1:72">
      <c r="A87" s="78">
        <v>83</v>
      </c>
      <c r="B87" s="70">
        <v>43184</v>
      </c>
      <c r="D87" s="99">
        <f t="shared" si="17"/>
        <v>870452</v>
      </c>
      <c r="E87" s="99">
        <f t="shared" si="18"/>
        <v>34099</v>
      </c>
      <c r="F87" s="101">
        <f t="shared" si="35"/>
        <v>84</v>
      </c>
      <c r="G87" s="102">
        <f t="shared" si="36"/>
        <v>904551</v>
      </c>
      <c r="H87" s="102">
        <f t="shared" si="37"/>
        <v>37316708</v>
      </c>
      <c r="I87" s="84"/>
      <c r="O87" s="85"/>
      <c r="P87" s="85"/>
      <c r="Q87" s="84"/>
      <c r="R87" s="70">
        <v>43184</v>
      </c>
      <c r="S87" s="72">
        <f t="shared" si="29"/>
        <v>292348</v>
      </c>
      <c r="T87" s="72">
        <v>140083</v>
      </c>
      <c r="U87" s="72">
        <v>408</v>
      </c>
      <c r="V87" s="72">
        <v>28</v>
      </c>
      <c r="W87" s="72">
        <f t="shared" si="30"/>
        <v>140491</v>
      </c>
      <c r="X87" s="72">
        <v>140083</v>
      </c>
      <c r="Y87" s="83">
        <v>83</v>
      </c>
      <c r="Z87" s="70">
        <v>43184</v>
      </c>
      <c r="AA87" s="72">
        <f t="shared" si="31"/>
        <v>730887</v>
      </c>
      <c r="AB87" s="72">
        <v>151857</v>
      </c>
      <c r="AC87" s="72">
        <v>518</v>
      </c>
      <c r="AD87" s="72">
        <v>28</v>
      </c>
      <c r="AE87" s="72">
        <f t="shared" si="32"/>
        <v>152375</v>
      </c>
      <c r="AF87" s="72">
        <v>151857</v>
      </c>
      <c r="AG87" s="84"/>
      <c r="AH87" s="70">
        <v>43169</v>
      </c>
      <c r="AI87" s="72">
        <f t="shared" si="33"/>
        <v>611685</v>
      </c>
      <c r="AJ87" s="72">
        <v>578512</v>
      </c>
      <c r="AK87" s="72">
        <v>33173</v>
      </c>
      <c r="AL87" s="72">
        <v>28</v>
      </c>
      <c r="AM87" s="72">
        <f t="shared" si="34"/>
        <v>611685</v>
      </c>
      <c r="AN87" s="72">
        <v>37024768</v>
      </c>
      <c r="AO87" s="84"/>
      <c r="AU87" s="85"/>
      <c r="AV87" s="85"/>
      <c r="AW87" s="78">
        <v>83</v>
      </c>
      <c r="AX87" s="70">
        <v>43184</v>
      </c>
      <c r="BC87" s="85"/>
      <c r="BD87" s="85"/>
      <c r="BE87" s="84"/>
      <c r="BK87" s="85"/>
      <c r="BL87" s="85"/>
      <c r="BM87" s="84"/>
      <c r="BS87" s="85"/>
      <c r="BT87" s="85"/>
    </row>
    <row r="88" spans="1:72">
      <c r="A88" s="78">
        <v>84</v>
      </c>
      <c r="B88" s="70">
        <v>43215</v>
      </c>
      <c r="D88" s="99">
        <f t="shared" si="17"/>
        <v>870452</v>
      </c>
      <c r="E88" s="99">
        <f t="shared" si="18"/>
        <v>36673</v>
      </c>
      <c r="F88" s="101">
        <f t="shared" si="35"/>
        <v>93</v>
      </c>
      <c r="G88" s="102">
        <f t="shared" si="36"/>
        <v>907125</v>
      </c>
      <c r="H88" s="102">
        <f t="shared" si="37"/>
        <v>36446256</v>
      </c>
      <c r="I88" s="84"/>
      <c r="O88" s="85"/>
      <c r="P88" s="85"/>
      <c r="Q88" s="84"/>
      <c r="R88" s="70">
        <v>43215</v>
      </c>
      <c r="S88" s="72">
        <f t="shared" si="29"/>
        <v>292165</v>
      </c>
      <c r="T88" s="72">
        <v>140083</v>
      </c>
      <c r="U88" s="72">
        <v>225</v>
      </c>
      <c r="V88" s="72">
        <v>31</v>
      </c>
      <c r="W88" s="72">
        <f t="shared" si="30"/>
        <v>140308</v>
      </c>
      <c r="X88" s="72">
        <v>0</v>
      </c>
      <c r="Y88" s="83">
        <v>84</v>
      </c>
      <c r="Z88" s="70">
        <v>43215</v>
      </c>
      <c r="AA88" s="72">
        <f t="shared" si="31"/>
        <v>730655</v>
      </c>
      <c r="AB88" s="72">
        <v>151857</v>
      </c>
      <c r="AC88" s="72">
        <v>286</v>
      </c>
      <c r="AD88" s="72">
        <v>31</v>
      </c>
      <c r="AE88" s="72">
        <f t="shared" si="32"/>
        <v>152143</v>
      </c>
      <c r="AF88" s="72">
        <v>0</v>
      </c>
      <c r="AG88" s="84"/>
      <c r="AH88" s="70">
        <v>43200</v>
      </c>
      <c r="AI88" s="72">
        <f t="shared" si="33"/>
        <v>614674</v>
      </c>
      <c r="AJ88" s="72">
        <v>578512</v>
      </c>
      <c r="AK88" s="72">
        <v>36162</v>
      </c>
      <c r="AL88" s="72">
        <v>31</v>
      </c>
      <c r="AM88" s="72">
        <f t="shared" si="34"/>
        <v>614674</v>
      </c>
      <c r="AN88" s="72">
        <v>36446256</v>
      </c>
      <c r="AO88" s="84"/>
      <c r="AU88" s="85"/>
      <c r="AV88" s="85"/>
      <c r="AW88" s="78">
        <v>84</v>
      </c>
      <c r="AX88" s="70">
        <v>43215</v>
      </c>
      <c r="BC88" s="85"/>
      <c r="BD88" s="85"/>
      <c r="BE88" s="84"/>
      <c r="BK88" s="85"/>
      <c r="BL88" s="85"/>
      <c r="BM88" s="84"/>
      <c r="BS88" s="85"/>
      <c r="BT88" s="85"/>
    </row>
    <row r="89" spans="1:72">
      <c r="A89" s="78">
        <v>85</v>
      </c>
      <c r="B89" s="70">
        <v>43245</v>
      </c>
      <c r="D89" s="99">
        <f t="shared" si="17"/>
        <v>2245178</v>
      </c>
      <c r="E89" s="99">
        <f t="shared" si="18"/>
        <v>133078</v>
      </c>
      <c r="F89" s="101">
        <f t="shared" si="35"/>
        <v>60</v>
      </c>
      <c r="G89" s="102">
        <f t="shared" si="36"/>
        <v>2378256</v>
      </c>
      <c r="H89" s="102">
        <f t="shared" si="37"/>
        <v>74201062</v>
      </c>
      <c r="I89" s="84"/>
      <c r="O89" s="85"/>
      <c r="P89" s="85"/>
      <c r="Q89" s="84"/>
      <c r="W89" s="85"/>
      <c r="X89" s="85"/>
      <c r="Y89" s="70"/>
      <c r="Z89" s="70">
        <v>43245</v>
      </c>
      <c r="AA89" s="72">
        <f t="shared" ref="AA89:AA112" si="38">AE89+AJ89</f>
        <v>2343807</v>
      </c>
      <c r="AB89" s="72">
        <v>1666666</v>
      </c>
      <c r="AC89" s="72">
        <v>98629</v>
      </c>
      <c r="AD89" s="72">
        <v>30</v>
      </c>
      <c r="AE89" s="72">
        <f t="shared" ref="AE89:AE112" si="39">AB89+AC89</f>
        <v>1765295</v>
      </c>
      <c r="AF89" s="72">
        <v>38333318</v>
      </c>
      <c r="AG89" s="84"/>
      <c r="AH89" s="70">
        <v>43230</v>
      </c>
      <c r="AI89" s="72">
        <f t="shared" si="33"/>
        <v>612961</v>
      </c>
      <c r="AJ89" s="72">
        <v>578512</v>
      </c>
      <c r="AK89" s="72">
        <v>34449</v>
      </c>
      <c r="AL89" s="72">
        <v>30</v>
      </c>
      <c r="AM89" s="72">
        <f t="shared" si="34"/>
        <v>612961</v>
      </c>
      <c r="AN89" s="72">
        <v>35867744</v>
      </c>
      <c r="AO89" s="84"/>
      <c r="AU89" s="85"/>
      <c r="AV89" s="85"/>
      <c r="AW89" s="78">
        <v>85</v>
      </c>
      <c r="AX89" s="70">
        <v>43245</v>
      </c>
      <c r="BC89" s="85"/>
      <c r="BD89" s="85"/>
      <c r="BE89" s="84"/>
      <c r="BK89" s="85"/>
      <c r="BL89" s="85"/>
      <c r="BM89" s="84"/>
      <c r="BS89" s="85"/>
      <c r="BT89" s="85"/>
    </row>
    <row r="90" spans="1:72">
      <c r="A90" s="78">
        <v>86</v>
      </c>
      <c r="B90" s="70">
        <v>43276</v>
      </c>
      <c r="D90" s="99">
        <f t="shared" si="17"/>
        <v>2245178</v>
      </c>
      <c r="E90" s="99">
        <f t="shared" si="18"/>
        <v>132703</v>
      </c>
      <c r="F90" s="101">
        <f t="shared" si="35"/>
        <v>62</v>
      </c>
      <c r="G90" s="102">
        <f t="shared" si="36"/>
        <v>2377881</v>
      </c>
      <c r="H90" s="102">
        <f t="shared" si="37"/>
        <v>71955884</v>
      </c>
      <c r="I90" s="84"/>
      <c r="O90" s="85"/>
      <c r="P90" s="85"/>
      <c r="Q90" s="84"/>
      <c r="W90" s="85"/>
      <c r="X90" s="85"/>
      <c r="Y90" s="70"/>
      <c r="Z90" s="70">
        <v>43276</v>
      </c>
      <c r="AA90" s="72">
        <f t="shared" si="38"/>
        <v>2342849</v>
      </c>
      <c r="AB90" s="72">
        <v>1666666</v>
      </c>
      <c r="AC90" s="72">
        <v>97671</v>
      </c>
      <c r="AD90" s="72">
        <v>31</v>
      </c>
      <c r="AE90" s="72">
        <f t="shared" si="39"/>
        <v>1764337</v>
      </c>
      <c r="AF90" s="72">
        <v>36666652</v>
      </c>
      <c r="AG90" s="84"/>
      <c r="AH90" s="70">
        <v>43261</v>
      </c>
      <c r="AI90" s="72">
        <f t="shared" si="33"/>
        <v>613544</v>
      </c>
      <c r="AJ90" s="72">
        <v>578512</v>
      </c>
      <c r="AK90" s="72">
        <v>35032</v>
      </c>
      <c r="AL90" s="72">
        <v>31</v>
      </c>
      <c r="AM90" s="72">
        <f t="shared" si="34"/>
        <v>613544</v>
      </c>
      <c r="AN90" s="72">
        <v>35289232</v>
      </c>
      <c r="AO90" s="84"/>
      <c r="AU90" s="85"/>
      <c r="AV90" s="85"/>
      <c r="AW90" s="78">
        <v>86</v>
      </c>
      <c r="AX90" s="70">
        <v>43276</v>
      </c>
      <c r="BC90" s="85"/>
      <c r="BD90" s="85"/>
      <c r="BE90" s="84"/>
      <c r="BK90" s="85"/>
      <c r="BL90" s="85"/>
      <c r="BM90" s="84"/>
      <c r="BS90" s="85"/>
      <c r="BT90" s="85"/>
    </row>
    <row r="91" spans="1:72">
      <c r="A91" s="78">
        <v>87</v>
      </c>
      <c r="B91" s="70">
        <v>43306</v>
      </c>
      <c r="D91" s="99">
        <f t="shared" si="17"/>
        <v>2245178</v>
      </c>
      <c r="E91" s="99">
        <f t="shared" si="18"/>
        <v>123765</v>
      </c>
      <c r="F91" s="101">
        <f t="shared" si="35"/>
        <v>60</v>
      </c>
      <c r="G91" s="102">
        <f t="shared" si="36"/>
        <v>2368943</v>
      </c>
      <c r="H91" s="102">
        <f t="shared" si="37"/>
        <v>69710706</v>
      </c>
      <c r="I91" s="84"/>
      <c r="O91" s="85"/>
      <c r="P91" s="85"/>
      <c r="Q91" s="84"/>
      <c r="W91" s="85"/>
      <c r="X91" s="85"/>
      <c r="Y91" s="70"/>
      <c r="Z91" s="70">
        <v>43306</v>
      </c>
      <c r="AA91" s="72">
        <f t="shared" si="38"/>
        <v>2335588</v>
      </c>
      <c r="AB91" s="72">
        <v>1666666</v>
      </c>
      <c r="AC91" s="72">
        <v>90410</v>
      </c>
      <c r="AD91" s="72">
        <v>30</v>
      </c>
      <c r="AE91" s="72">
        <f t="shared" si="39"/>
        <v>1757076</v>
      </c>
      <c r="AF91" s="72">
        <v>34999986</v>
      </c>
      <c r="AG91" s="84"/>
      <c r="AH91" s="70">
        <v>43291</v>
      </c>
      <c r="AI91" s="72">
        <f t="shared" si="33"/>
        <v>611867</v>
      </c>
      <c r="AJ91" s="72">
        <v>578512</v>
      </c>
      <c r="AK91" s="72">
        <v>33355</v>
      </c>
      <c r="AL91" s="72">
        <v>30</v>
      </c>
      <c r="AM91" s="72">
        <f t="shared" si="34"/>
        <v>611867</v>
      </c>
      <c r="AN91" s="72">
        <v>34710720</v>
      </c>
      <c r="AO91" s="84"/>
      <c r="AU91" s="85"/>
      <c r="AV91" s="85"/>
      <c r="AW91" s="78">
        <v>87</v>
      </c>
      <c r="AX91" s="70">
        <v>43306</v>
      </c>
      <c r="BC91" s="85"/>
      <c r="BD91" s="85"/>
      <c r="BE91" s="84"/>
      <c r="BK91" s="85"/>
      <c r="BL91" s="85"/>
      <c r="BM91" s="84"/>
      <c r="BS91" s="85"/>
      <c r="BT91" s="85"/>
    </row>
    <row r="92" spans="1:72">
      <c r="A92" s="78">
        <v>88</v>
      </c>
      <c r="B92" s="70">
        <v>43337</v>
      </c>
      <c r="D92" s="99">
        <f t="shared" si="17"/>
        <v>2245178</v>
      </c>
      <c r="E92" s="99">
        <f t="shared" si="18"/>
        <v>123079</v>
      </c>
      <c r="F92" s="101">
        <f t="shared" si="35"/>
        <v>62</v>
      </c>
      <c r="G92" s="102">
        <f t="shared" si="36"/>
        <v>2368257</v>
      </c>
      <c r="H92" s="102">
        <f t="shared" si="37"/>
        <v>67465528</v>
      </c>
      <c r="I92" s="84"/>
      <c r="O92" s="85"/>
      <c r="P92" s="85"/>
      <c r="Q92" s="84"/>
      <c r="W92" s="85"/>
      <c r="X92" s="85"/>
      <c r="Y92" s="70"/>
      <c r="Z92" s="70">
        <v>43337</v>
      </c>
      <c r="AA92" s="72">
        <f t="shared" si="38"/>
        <v>2334355</v>
      </c>
      <c r="AB92" s="72">
        <v>1666666</v>
      </c>
      <c r="AC92" s="72">
        <v>89177</v>
      </c>
      <c r="AD92" s="72">
        <v>31</v>
      </c>
      <c r="AE92" s="72">
        <f t="shared" si="39"/>
        <v>1755843</v>
      </c>
      <c r="AF92" s="72">
        <v>33333320</v>
      </c>
      <c r="AG92" s="84"/>
      <c r="AH92" s="70">
        <v>43322</v>
      </c>
      <c r="AI92" s="72">
        <f t="shared" si="33"/>
        <v>612414</v>
      </c>
      <c r="AJ92" s="72">
        <v>578512</v>
      </c>
      <c r="AK92" s="72">
        <v>33902</v>
      </c>
      <c r="AL92" s="72">
        <v>31</v>
      </c>
      <c r="AM92" s="72">
        <f t="shared" si="34"/>
        <v>612414</v>
      </c>
      <c r="AN92" s="72">
        <v>34132208</v>
      </c>
      <c r="AO92" s="84"/>
      <c r="AU92" s="85"/>
      <c r="AV92" s="85"/>
      <c r="AW92" s="78">
        <v>88</v>
      </c>
      <c r="AX92" s="70">
        <v>43337</v>
      </c>
      <c r="BC92" s="85"/>
      <c r="BD92" s="85"/>
      <c r="BE92" s="84"/>
      <c r="BK92" s="85"/>
      <c r="BL92" s="85"/>
      <c r="BM92" s="84"/>
      <c r="BS92" s="85"/>
      <c r="BT92" s="85"/>
    </row>
    <row r="93" spans="1:72">
      <c r="A93" s="78">
        <v>89</v>
      </c>
      <c r="B93" s="70">
        <v>43368</v>
      </c>
      <c r="D93" s="99">
        <f t="shared" si="17"/>
        <v>2245178</v>
      </c>
      <c r="E93" s="99">
        <f t="shared" si="18"/>
        <v>118268</v>
      </c>
      <c r="F93" s="101">
        <f t="shared" si="35"/>
        <v>62</v>
      </c>
      <c r="G93" s="102">
        <f t="shared" si="36"/>
        <v>2363446</v>
      </c>
      <c r="H93" s="102">
        <f t="shared" si="37"/>
        <v>65220350</v>
      </c>
      <c r="I93" s="84"/>
      <c r="O93" s="85"/>
      <c r="P93" s="85"/>
      <c r="Q93" s="84"/>
      <c r="W93" s="85"/>
      <c r="X93" s="85"/>
      <c r="Y93" s="70"/>
      <c r="Z93" s="70">
        <v>43368</v>
      </c>
      <c r="AA93" s="72">
        <f t="shared" si="38"/>
        <v>2330109</v>
      </c>
      <c r="AB93" s="72">
        <v>1666666</v>
      </c>
      <c r="AC93" s="72">
        <v>84931</v>
      </c>
      <c r="AD93" s="72">
        <v>31</v>
      </c>
      <c r="AE93" s="72">
        <f t="shared" si="39"/>
        <v>1751597</v>
      </c>
      <c r="AF93" s="72">
        <v>31666654</v>
      </c>
      <c r="AG93" s="84"/>
      <c r="AH93" s="70">
        <v>43353</v>
      </c>
      <c r="AI93" s="72">
        <f t="shared" si="33"/>
        <v>611849</v>
      </c>
      <c r="AJ93" s="72">
        <v>578512</v>
      </c>
      <c r="AK93" s="72">
        <v>33337</v>
      </c>
      <c r="AL93" s="72">
        <v>31</v>
      </c>
      <c r="AM93" s="72">
        <f t="shared" si="34"/>
        <v>611849</v>
      </c>
      <c r="AN93" s="72">
        <v>33553696</v>
      </c>
      <c r="AO93" s="84"/>
      <c r="AU93" s="85"/>
      <c r="AV93" s="85"/>
      <c r="AW93" s="78">
        <v>89</v>
      </c>
      <c r="AX93" s="70">
        <v>43368</v>
      </c>
      <c r="BC93" s="85"/>
      <c r="BD93" s="85"/>
      <c r="BE93" s="84"/>
      <c r="BK93" s="85"/>
      <c r="BL93" s="85"/>
      <c r="BM93" s="84"/>
      <c r="BS93" s="85"/>
      <c r="BT93" s="85"/>
    </row>
    <row r="94" spans="1:72">
      <c r="A94" s="78">
        <v>90</v>
      </c>
      <c r="B94" s="70">
        <v>43398</v>
      </c>
      <c r="D94" s="99">
        <f t="shared" si="17"/>
        <v>2245178</v>
      </c>
      <c r="E94" s="99">
        <f t="shared" si="18"/>
        <v>109797</v>
      </c>
      <c r="F94" s="101">
        <f t="shared" si="35"/>
        <v>60</v>
      </c>
      <c r="G94" s="102">
        <f t="shared" si="36"/>
        <v>2354975</v>
      </c>
      <c r="H94" s="102">
        <f t="shared" si="37"/>
        <v>62975172</v>
      </c>
      <c r="I94" s="84"/>
      <c r="O94" s="85"/>
      <c r="P94" s="85"/>
      <c r="Q94" s="84"/>
      <c r="W94" s="85"/>
      <c r="X94" s="85"/>
      <c r="Y94" s="70"/>
      <c r="Z94" s="70">
        <v>43398</v>
      </c>
      <c r="AA94" s="72">
        <f t="shared" si="38"/>
        <v>2323260</v>
      </c>
      <c r="AB94" s="72">
        <v>1666666</v>
      </c>
      <c r="AC94" s="72">
        <v>78082</v>
      </c>
      <c r="AD94" s="72">
        <v>30</v>
      </c>
      <c r="AE94" s="72">
        <f t="shared" si="39"/>
        <v>1744748</v>
      </c>
      <c r="AF94" s="72">
        <v>29999988</v>
      </c>
      <c r="AG94" s="84"/>
      <c r="AH94" s="70">
        <v>43383</v>
      </c>
      <c r="AI94" s="72">
        <f t="shared" si="33"/>
        <v>610227</v>
      </c>
      <c r="AJ94" s="72">
        <v>578512</v>
      </c>
      <c r="AK94" s="72">
        <v>31715</v>
      </c>
      <c r="AL94" s="72">
        <v>30</v>
      </c>
      <c r="AM94" s="72">
        <f t="shared" si="34"/>
        <v>610227</v>
      </c>
      <c r="AN94" s="72">
        <v>32975184</v>
      </c>
      <c r="AO94" s="84"/>
      <c r="AU94" s="85"/>
      <c r="AV94" s="85"/>
      <c r="AW94" s="78">
        <v>90</v>
      </c>
      <c r="AX94" s="70">
        <v>43398</v>
      </c>
      <c r="BC94" s="85"/>
      <c r="BD94" s="85"/>
      <c r="BE94" s="84"/>
      <c r="BK94" s="85"/>
      <c r="BL94" s="85"/>
      <c r="BM94" s="84"/>
      <c r="BS94" s="85"/>
      <c r="BT94" s="85"/>
    </row>
    <row r="95" spans="1:72">
      <c r="A95" s="78">
        <v>91</v>
      </c>
      <c r="B95" s="70">
        <v>43429</v>
      </c>
      <c r="D95" s="99">
        <f t="shared" si="17"/>
        <v>2245178</v>
      </c>
      <c r="E95" s="99">
        <f t="shared" si="18"/>
        <v>108645</v>
      </c>
      <c r="F95" s="101">
        <f t="shared" si="35"/>
        <v>62</v>
      </c>
      <c r="G95" s="102">
        <f t="shared" si="36"/>
        <v>2353823</v>
      </c>
      <c r="H95" s="102">
        <f t="shared" si="37"/>
        <v>60729994</v>
      </c>
      <c r="I95" s="84"/>
      <c r="O95" s="85"/>
      <c r="P95" s="85"/>
      <c r="Q95" s="84"/>
      <c r="W95" s="85"/>
      <c r="X95" s="85"/>
      <c r="Y95" s="70"/>
      <c r="Z95" s="70">
        <v>43429</v>
      </c>
      <c r="AA95" s="72">
        <f t="shared" si="38"/>
        <v>2321616</v>
      </c>
      <c r="AB95" s="72">
        <v>1666666</v>
      </c>
      <c r="AC95" s="72">
        <v>76438</v>
      </c>
      <c r="AD95" s="72">
        <v>31</v>
      </c>
      <c r="AE95" s="72">
        <f t="shared" si="39"/>
        <v>1743104</v>
      </c>
      <c r="AF95" s="72">
        <v>28333322</v>
      </c>
      <c r="AG95" s="84"/>
      <c r="AH95" s="70">
        <v>43414</v>
      </c>
      <c r="AI95" s="72">
        <f t="shared" si="33"/>
        <v>610719</v>
      </c>
      <c r="AJ95" s="72">
        <v>578512</v>
      </c>
      <c r="AK95" s="72">
        <v>32207</v>
      </c>
      <c r="AL95" s="72">
        <v>31</v>
      </c>
      <c r="AM95" s="72">
        <f t="shared" si="34"/>
        <v>610719</v>
      </c>
      <c r="AN95" s="72">
        <v>32396672</v>
      </c>
      <c r="AO95" s="84"/>
      <c r="AU95" s="85"/>
      <c r="AV95" s="85"/>
      <c r="AW95" s="78">
        <v>91</v>
      </c>
      <c r="AX95" s="70">
        <v>43429</v>
      </c>
      <c r="BC95" s="85"/>
      <c r="BD95" s="85"/>
      <c r="BE95" s="84"/>
      <c r="BK95" s="85"/>
      <c r="BL95" s="85"/>
      <c r="BM95" s="84"/>
      <c r="BS95" s="85"/>
      <c r="BT95" s="85"/>
    </row>
    <row r="96" spans="1:72">
      <c r="A96" s="78">
        <v>92</v>
      </c>
      <c r="B96" s="70">
        <v>43459</v>
      </c>
      <c r="D96" s="99">
        <f t="shared" si="17"/>
        <v>2245178</v>
      </c>
      <c r="E96" s="99">
        <f t="shared" si="18"/>
        <v>100483</v>
      </c>
      <c r="F96" s="101">
        <f t="shared" si="35"/>
        <v>60</v>
      </c>
      <c r="G96" s="102">
        <f t="shared" si="36"/>
        <v>2345661</v>
      </c>
      <c r="H96" s="102">
        <f t="shared" si="37"/>
        <v>58484816</v>
      </c>
      <c r="I96" s="84"/>
      <c r="O96" s="85"/>
      <c r="P96" s="85"/>
      <c r="Q96" s="84"/>
      <c r="W96" s="85"/>
      <c r="X96" s="85"/>
      <c r="Y96" s="70"/>
      <c r="Z96" s="70">
        <v>43459</v>
      </c>
      <c r="AA96" s="72">
        <f t="shared" si="38"/>
        <v>2315040</v>
      </c>
      <c r="AB96" s="72">
        <v>1666666</v>
      </c>
      <c r="AC96" s="72">
        <v>69862</v>
      </c>
      <c r="AD96" s="72">
        <v>30</v>
      </c>
      <c r="AE96" s="72">
        <f t="shared" si="39"/>
        <v>1736528</v>
      </c>
      <c r="AF96" s="72">
        <v>26666656</v>
      </c>
      <c r="AG96" s="84"/>
      <c r="AH96" s="70">
        <v>43444</v>
      </c>
      <c r="AI96" s="72">
        <f t="shared" si="33"/>
        <v>609133</v>
      </c>
      <c r="AJ96" s="72">
        <v>578512</v>
      </c>
      <c r="AK96" s="72">
        <v>30621</v>
      </c>
      <c r="AL96" s="72">
        <v>30</v>
      </c>
      <c r="AM96" s="72">
        <f t="shared" si="34"/>
        <v>609133</v>
      </c>
      <c r="AN96" s="72">
        <v>31818160</v>
      </c>
      <c r="AO96" s="84"/>
      <c r="AU96" s="85"/>
      <c r="AV96" s="85"/>
      <c r="AW96" s="78">
        <v>92</v>
      </c>
      <c r="AX96" s="70">
        <v>43459</v>
      </c>
      <c r="BC96" s="85"/>
      <c r="BD96" s="85"/>
      <c r="BE96" s="84"/>
      <c r="BK96" s="85"/>
      <c r="BL96" s="85"/>
      <c r="BM96" s="84"/>
      <c r="BS96" s="85"/>
      <c r="BT96" s="85"/>
    </row>
    <row r="97" spans="1:72">
      <c r="A97" s="78">
        <v>93</v>
      </c>
      <c r="B97" s="70">
        <v>43490</v>
      </c>
      <c r="D97" s="99">
        <f t="shared" ref="D97:D160" si="40">L97+T97+AB97+AJ97+AR97+AZ97+BH97+BP97</f>
        <v>2245178</v>
      </c>
      <c r="E97" s="99">
        <f t="shared" ref="E97:E160" si="41">M97+U97+AC97+AK97+AS97+BA97+BI97+BQ97</f>
        <v>99022</v>
      </c>
      <c r="F97" s="101">
        <f t="shared" si="35"/>
        <v>62</v>
      </c>
      <c r="G97" s="102">
        <f t="shared" si="36"/>
        <v>2344200</v>
      </c>
      <c r="H97" s="102">
        <f t="shared" si="37"/>
        <v>56239638</v>
      </c>
      <c r="I97" s="84"/>
      <c r="O97" s="85"/>
      <c r="P97" s="85"/>
      <c r="Q97" s="84"/>
      <c r="W97" s="85"/>
      <c r="X97" s="85"/>
      <c r="Y97" s="70"/>
      <c r="Z97" s="70">
        <v>43490</v>
      </c>
      <c r="AA97" s="72">
        <f t="shared" si="38"/>
        <v>2313123</v>
      </c>
      <c r="AB97" s="72">
        <v>1666666</v>
      </c>
      <c r="AC97" s="72">
        <v>67945</v>
      </c>
      <c r="AD97" s="72">
        <v>31</v>
      </c>
      <c r="AE97" s="72">
        <f t="shared" si="39"/>
        <v>1734611</v>
      </c>
      <c r="AF97" s="72">
        <v>24999990</v>
      </c>
      <c r="AG97" s="84"/>
      <c r="AH97" s="70">
        <v>43475</v>
      </c>
      <c r="AI97" s="72">
        <f t="shared" si="33"/>
        <v>609589</v>
      </c>
      <c r="AJ97" s="72">
        <v>578512</v>
      </c>
      <c r="AK97" s="72">
        <v>31077</v>
      </c>
      <c r="AL97" s="72">
        <v>31</v>
      </c>
      <c r="AM97" s="72">
        <f t="shared" si="34"/>
        <v>609589</v>
      </c>
      <c r="AN97" s="72">
        <v>31239648</v>
      </c>
      <c r="AO97" s="84"/>
      <c r="AU97" s="85"/>
      <c r="AV97" s="85"/>
      <c r="AW97" s="78">
        <v>93</v>
      </c>
      <c r="AX97" s="70">
        <v>43490</v>
      </c>
      <c r="BC97" s="85"/>
      <c r="BD97" s="85"/>
      <c r="BE97" s="84"/>
      <c r="BK97" s="85"/>
      <c r="BL97" s="85"/>
      <c r="BM97" s="84"/>
      <c r="BS97" s="85"/>
      <c r="BT97" s="85"/>
    </row>
    <row r="98" spans="1:72">
      <c r="A98" s="78">
        <v>94</v>
      </c>
      <c r="B98" s="70">
        <v>43521</v>
      </c>
      <c r="D98" s="99">
        <f t="shared" si="40"/>
        <v>2245178</v>
      </c>
      <c r="E98" s="99">
        <f t="shared" si="41"/>
        <v>94210</v>
      </c>
      <c r="F98" s="101">
        <f t="shared" si="35"/>
        <v>62</v>
      </c>
      <c r="G98" s="102">
        <f t="shared" si="36"/>
        <v>2339388</v>
      </c>
      <c r="H98" s="102">
        <f t="shared" si="37"/>
        <v>53994460</v>
      </c>
      <c r="I98" s="84"/>
      <c r="O98" s="85"/>
      <c r="P98" s="85"/>
      <c r="Q98" s="84"/>
      <c r="W98" s="85"/>
      <c r="X98" s="85"/>
      <c r="Y98" s="70"/>
      <c r="Z98" s="70">
        <v>43521</v>
      </c>
      <c r="AA98" s="72">
        <f t="shared" si="38"/>
        <v>2308876</v>
      </c>
      <c r="AB98" s="72">
        <v>1666666</v>
      </c>
      <c r="AC98" s="72">
        <v>63698</v>
      </c>
      <c r="AD98" s="72">
        <v>31</v>
      </c>
      <c r="AE98" s="72">
        <f t="shared" si="39"/>
        <v>1730364</v>
      </c>
      <c r="AF98" s="72">
        <v>23333324</v>
      </c>
      <c r="AG98" s="84"/>
      <c r="AH98" s="70">
        <v>43506</v>
      </c>
      <c r="AI98" s="72">
        <f t="shared" si="33"/>
        <v>609024</v>
      </c>
      <c r="AJ98" s="72">
        <v>578512</v>
      </c>
      <c r="AK98" s="72">
        <v>30512</v>
      </c>
      <c r="AL98" s="72">
        <v>31</v>
      </c>
      <c r="AM98" s="72">
        <f t="shared" si="34"/>
        <v>609024</v>
      </c>
      <c r="AN98" s="72">
        <v>30661136</v>
      </c>
      <c r="AO98" s="84"/>
      <c r="AU98" s="85"/>
      <c r="AV98" s="85"/>
      <c r="AW98" s="78">
        <v>94</v>
      </c>
      <c r="AX98" s="70">
        <v>43521</v>
      </c>
      <c r="BC98" s="85"/>
      <c r="BD98" s="85"/>
      <c r="BE98" s="84"/>
      <c r="BK98" s="85"/>
      <c r="BL98" s="85"/>
      <c r="BM98" s="84"/>
      <c r="BS98" s="85"/>
      <c r="BT98" s="85"/>
    </row>
    <row r="99" spans="1:72">
      <c r="A99" s="78">
        <v>95</v>
      </c>
      <c r="B99" s="70">
        <v>43549</v>
      </c>
      <c r="D99" s="99">
        <f t="shared" si="40"/>
        <v>2245178</v>
      </c>
      <c r="E99" s="99">
        <f t="shared" si="41"/>
        <v>80746</v>
      </c>
      <c r="F99" s="101">
        <f t="shared" si="35"/>
        <v>56</v>
      </c>
      <c r="G99" s="102">
        <f t="shared" si="36"/>
        <v>2325924</v>
      </c>
      <c r="H99" s="102">
        <f t="shared" si="37"/>
        <v>51749282</v>
      </c>
      <c r="I99" s="84"/>
      <c r="O99" s="85"/>
      <c r="P99" s="85"/>
      <c r="Q99" s="84"/>
      <c r="W99" s="85"/>
      <c r="X99" s="85"/>
      <c r="Y99" s="70"/>
      <c r="Z99" s="70">
        <v>43549</v>
      </c>
      <c r="AA99" s="72">
        <f t="shared" si="38"/>
        <v>2298876</v>
      </c>
      <c r="AB99" s="72">
        <v>1666666</v>
      </c>
      <c r="AC99" s="72">
        <v>53698</v>
      </c>
      <c r="AD99" s="72">
        <v>28</v>
      </c>
      <c r="AE99" s="72">
        <f t="shared" si="39"/>
        <v>1720364</v>
      </c>
      <c r="AF99" s="72">
        <v>21666658</v>
      </c>
      <c r="AG99" s="84"/>
      <c r="AH99" s="70">
        <v>43534</v>
      </c>
      <c r="AI99" s="72">
        <f t="shared" si="33"/>
        <v>605560</v>
      </c>
      <c r="AJ99" s="72">
        <v>578512</v>
      </c>
      <c r="AK99" s="72">
        <v>27048</v>
      </c>
      <c r="AL99" s="72">
        <v>28</v>
      </c>
      <c r="AM99" s="72">
        <f t="shared" si="34"/>
        <v>605560</v>
      </c>
      <c r="AN99" s="72">
        <v>30082624</v>
      </c>
      <c r="AO99" s="84"/>
      <c r="AU99" s="85"/>
      <c r="AV99" s="85"/>
      <c r="AW99" s="78">
        <v>95</v>
      </c>
      <c r="AX99" s="70">
        <v>43549</v>
      </c>
      <c r="BC99" s="85"/>
      <c r="BD99" s="85"/>
      <c r="BE99" s="84"/>
      <c r="BK99" s="85"/>
      <c r="BL99" s="85"/>
      <c r="BM99" s="84"/>
      <c r="BS99" s="85"/>
      <c r="BT99" s="85"/>
    </row>
    <row r="100" spans="1:72">
      <c r="A100" s="78">
        <v>96</v>
      </c>
      <c r="B100" s="70">
        <v>43580</v>
      </c>
      <c r="D100" s="99">
        <f t="shared" si="40"/>
        <v>2245178</v>
      </c>
      <c r="E100" s="99">
        <f t="shared" si="41"/>
        <v>84587</v>
      </c>
      <c r="F100" s="101">
        <f t="shared" si="35"/>
        <v>62</v>
      </c>
      <c r="G100" s="102">
        <f t="shared" si="36"/>
        <v>2329765</v>
      </c>
      <c r="H100" s="102">
        <f t="shared" si="37"/>
        <v>49504104</v>
      </c>
      <c r="I100" s="84"/>
      <c r="O100" s="85"/>
      <c r="P100" s="85"/>
      <c r="Q100" s="84"/>
      <c r="W100" s="85"/>
      <c r="X100" s="85"/>
      <c r="Y100" s="70"/>
      <c r="Z100" s="70">
        <v>43580</v>
      </c>
      <c r="AA100" s="72">
        <f t="shared" si="38"/>
        <v>2300383</v>
      </c>
      <c r="AB100" s="72">
        <v>1666666</v>
      </c>
      <c r="AC100" s="72">
        <v>55205</v>
      </c>
      <c r="AD100" s="72">
        <v>31</v>
      </c>
      <c r="AE100" s="72">
        <f t="shared" si="39"/>
        <v>1721871</v>
      </c>
      <c r="AF100" s="72">
        <v>19999992</v>
      </c>
      <c r="AG100" s="84"/>
      <c r="AH100" s="70">
        <v>43565</v>
      </c>
      <c r="AI100" s="72">
        <f t="shared" si="33"/>
        <v>607894</v>
      </c>
      <c r="AJ100" s="72">
        <v>578512</v>
      </c>
      <c r="AK100" s="72">
        <v>29382</v>
      </c>
      <c r="AL100" s="72">
        <v>31</v>
      </c>
      <c r="AM100" s="72">
        <f t="shared" si="34"/>
        <v>607894</v>
      </c>
      <c r="AN100" s="72">
        <v>29504112</v>
      </c>
      <c r="AO100" s="84"/>
      <c r="AU100" s="85"/>
      <c r="AV100" s="85"/>
      <c r="AW100" s="78">
        <v>96</v>
      </c>
      <c r="AX100" s="70">
        <v>43580</v>
      </c>
      <c r="BC100" s="85"/>
      <c r="BD100" s="85"/>
      <c r="BE100" s="84"/>
      <c r="BK100" s="85"/>
      <c r="BL100" s="85"/>
      <c r="BM100" s="84"/>
      <c r="BS100" s="85"/>
      <c r="BT100" s="85"/>
    </row>
    <row r="101" spans="1:72">
      <c r="A101" s="78">
        <v>97</v>
      </c>
      <c r="B101" s="70">
        <v>43610</v>
      </c>
      <c r="D101" s="99">
        <f t="shared" si="40"/>
        <v>2245178</v>
      </c>
      <c r="E101" s="99">
        <f t="shared" si="41"/>
        <v>77201</v>
      </c>
      <c r="F101" s="101">
        <f t="shared" si="35"/>
        <v>60</v>
      </c>
      <c r="G101" s="102">
        <f t="shared" si="36"/>
        <v>2322379</v>
      </c>
      <c r="H101" s="102">
        <f t="shared" si="37"/>
        <v>47258926</v>
      </c>
      <c r="I101" s="84"/>
      <c r="O101" s="85"/>
      <c r="P101" s="85"/>
      <c r="Q101" s="84"/>
      <c r="W101" s="85"/>
      <c r="X101" s="85"/>
      <c r="Y101" s="70"/>
      <c r="Z101" s="70">
        <v>43610</v>
      </c>
      <c r="AA101" s="72">
        <f t="shared" si="38"/>
        <v>2294492</v>
      </c>
      <c r="AB101" s="72">
        <v>1666666</v>
      </c>
      <c r="AC101" s="72">
        <v>49314</v>
      </c>
      <c r="AD101" s="72">
        <v>30</v>
      </c>
      <c r="AE101" s="72">
        <f t="shared" si="39"/>
        <v>1715980</v>
      </c>
      <c r="AF101" s="72">
        <v>18333326</v>
      </c>
      <c r="AG101" s="84"/>
      <c r="AH101" s="70">
        <v>43595</v>
      </c>
      <c r="AI101" s="72">
        <f t="shared" ref="AI101:AI132" si="42">AM101+AR101</f>
        <v>606399</v>
      </c>
      <c r="AJ101" s="72">
        <v>578512</v>
      </c>
      <c r="AK101" s="72">
        <v>27887</v>
      </c>
      <c r="AL101" s="72">
        <v>30</v>
      </c>
      <c r="AM101" s="72">
        <f t="shared" ref="AM101:AM132" si="43">AJ101+AK101</f>
        <v>606399</v>
      </c>
      <c r="AN101" s="72">
        <v>28925600</v>
      </c>
      <c r="AO101" s="84"/>
      <c r="AU101" s="85"/>
      <c r="AV101" s="85"/>
      <c r="AW101" s="78">
        <v>97</v>
      </c>
      <c r="AX101" s="70">
        <v>43610</v>
      </c>
      <c r="BC101" s="85"/>
      <c r="BD101" s="85"/>
      <c r="BE101" s="84"/>
      <c r="BK101" s="85"/>
      <c r="BL101" s="85"/>
      <c r="BM101" s="84"/>
      <c r="BS101" s="85"/>
      <c r="BT101" s="85"/>
    </row>
    <row r="102" spans="1:72">
      <c r="A102" s="78">
        <v>98</v>
      </c>
      <c r="B102" s="70">
        <v>43641</v>
      </c>
      <c r="D102" s="99">
        <f t="shared" si="40"/>
        <v>2245178</v>
      </c>
      <c r="E102" s="99">
        <f t="shared" si="41"/>
        <v>74964</v>
      </c>
      <c r="F102" s="101">
        <f t="shared" si="35"/>
        <v>62</v>
      </c>
      <c r="G102" s="102">
        <f t="shared" si="36"/>
        <v>2320142</v>
      </c>
      <c r="H102" s="102">
        <f t="shared" si="37"/>
        <v>45013748</v>
      </c>
      <c r="I102" s="84"/>
      <c r="O102" s="85"/>
      <c r="P102" s="85"/>
      <c r="Q102" s="84"/>
      <c r="W102" s="85"/>
      <c r="X102" s="85"/>
      <c r="Y102" s="70"/>
      <c r="Z102" s="70">
        <v>43641</v>
      </c>
      <c r="AA102" s="72">
        <f t="shared" si="38"/>
        <v>2291890</v>
      </c>
      <c r="AB102" s="72">
        <v>1666666</v>
      </c>
      <c r="AC102" s="72">
        <v>46712</v>
      </c>
      <c r="AD102" s="72">
        <v>31</v>
      </c>
      <c r="AE102" s="72">
        <f t="shared" si="39"/>
        <v>1713378</v>
      </c>
      <c r="AF102" s="72">
        <v>16666660</v>
      </c>
      <c r="AG102" s="84"/>
      <c r="AH102" s="70">
        <v>43626</v>
      </c>
      <c r="AI102" s="72">
        <f t="shared" si="42"/>
        <v>606764</v>
      </c>
      <c r="AJ102" s="72">
        <v>578512</v>
      </c>
      <c r="AK102" s="72">
        <v>28252</v>
      </c>
      <c r="AL102" s="72">
        <v>31</v>
      </c>
      <c r="AM102" s="72">
        <f t="shared" si="43"/>
        <v>606764</v>
      </c>
      <c r="AN102" s="72">
        <v>28347088</v>
      </c>
      <c r="AO102" s="84"/>
      <c r="AU102" s="85"/>
      <c r="AV102" s="85"/>
      <c r="AW102" s="78">
        <v>98</v>
      </c>
      <c r="AX102" s="70">
        <v>43641</v>
      </c>
      <c r="BC102" s="85"/>
      <c r="BD102" s="85"/>
      <c r="BE102" s="84"/>
      <c r="BK102" s="85"/>
      <c r="BL102" s="85"/>
      <c r="BM102" s="84"/>
      <c r="BS102" s="85"/>
      <c r="BT102" s="85"/>
    </row>
    <row r="103" spans="1:72">
      <c r="A103" s="78">
        <v>99</v>
      </c>
      <c r="B103" s="70">
        <v>43671</v>
      </c>
      <c r="D103" s="99">
        <f t="shared" si="40"/>
        <v>2245178</v>
      </c>
      <c r="E103" s="99">
        <f t="shared" si="41"/>
        <v>67888</v>
      </c>
      <c r="F103" s="101">
        <f t="shared" si="35"/>
        <v>60</v>
      </c>
      <c r="G103" s="102">
        <f t="shared" si="36"/>
        <v>2313066</v>
      </c>
      <c r="H103" s="102">
        <f t="shared" si="37"/>
        <v>42768570</v>
      </c>
      <c r="I103" s="84"/>
      <c r="O103" s="85"/>
      <c r="P103" s="85"/>
      <c r="Q103" s="84"/>
      <c r="W103" s="85"/>
      <c r="X103" s="85"/>
      <c r="Y103" s="70"/>
      <c r="Z103" s="70">
        <v>43671</v>
      </c>
      <c r="AA103" s="72">
        <f t="shared" si="38"/>
        <v>2286273</v>
      </c>
      <c r="AB103" s="72">
        <v>1666666</v>
      </c>
      <c r="AC103" s="72">
        <v>41095</v>
      </c>
      <c r="AD103" s="72">
        <v>30</v>
      </c>
      <c r="AE103" s="72">
        <f t="shared" si="39"/>
        <v>1707761</v>
      </c>
      <c r="AF103" s="72">
        <v>14999994</v>
      </c>
      <c r="AG103" s="84"/>
      <c r="AH103" s="70">
        <v>43656</v>
      </c>
      <c r="AI103" s="72">
        <f t="shared" si="42"/>
        <v>605305</v>
      </c>
      <c r="AJ103" s="72">
        <v>578512</v>
      </c>
      <c r="AK103" s="72">
        <v>26793</v>
      </c>
      <c r="AL103" s="72">
        <v>30</v>
      </c>
      <c r="AM103" s="72">
        <f t="shared" si="43"/>
        <v>605305</v>
      </c>
      <c r="AN103" s="72">
        <v>27768576</v>
      </c>
      <c r="AO103" s="84"/>
      <c r="AU103" s="85"/>
      <c r="AV103" s="85"/>
      <c r="AW103" s="78">
        <v>99</v>
      </c>
      <c r="AX103" s="70">
        <v>43671</v>
      </c>
      <c r="BC103" s="85"/>
      <c r="BD103" s="85"/>
      <c r="BE103" s="84"/>
      <c r="BK103" s="85"/>
      <c r="BL103" s="85"/>
      <c r="BM103" s="84"/>
      <c r="BS103" s="85"/>
      <c r="BT103" s="85"/>
    </row>
    <row r="104" spans="1:72">
      <c r="A104" s="78">
        <v>100</v>
      </c>
      <c r="B104" s="70">
        <v>43702</v>
      </c>
      <c r="D104" s="99">
        <f t="shared" si="40"/>
        <v>2245178</v>
      </c>
      <c r="E104" s="99">
        <f t="shared" si="41"/>
        <v>65339</v>
      </c>
      <c r="F104" s="101">
        <f t="shared" si="35"/>
        <v>62</v>
      </c>
      <c r="G104" s="102">
        <f t="shared" si="36"/>
        <v>2310517</v>
      </c>
      <c r="H104" s="102">
        <f t="shared" si="37"/>
        <v>40523392</v>
      </c>
      <c r="I104" s="84"/>
      <c r="O104" s="85"/>
      <c r="P104" s="85"/>
      <c r="Q104" s="84"/>
      <c r="W104" s="85"/>
      <c r="X104" s="85"/>
      <c r="Y104" s="70"/>
      <c r="Z104" s="70">
        <v>43702</v>
      </c>
      <c r="AA104" s="72">
        <f t="shared" si="38"/>
        <v>2283396</v>
      </c>
      <c r="AB104" s="72">
        <v>1666666</v>
      </c>
      <c r="AC104" s="72">
        <v>38218</v>
      </c>
      <c r="AD104" s="72">
        <v>31</v>
      </c>
      <c r="AE104" s="72">
        <f t="shared" si="39"/>
        <v>1704884</v>
      </c>
      <c r="AF104" s="72">
        <v>13333328</v>
      </c>
      <c r="AG104" s="84"/>
      <c r="AH104" s="70">
        <v>43687</v>
      </c>
      <c r="AI104" s="72">
        <f t="shared" si="42"/>
        <v>605633</v>
      </c>
      <c r="AJ104" s="72">
        <v>578512</v>
      </c>
      <c r="AK104" s="72">
        <v>27121</v>
      </c>
      <c r="AL104" s="72">
        <v>31</v>
      </c>
      <c r="AM104" s="72">
        <f t="shared" si="43"/>
        <v>605633</v>
      </c>
      <c r="AN104" s="72">
        <v>27190064</v>
      </c>
      <c r="AO104" s="84"/>
      <c r="AU104" s="85"/>
      <c r="AV104" s="85"/>
      <c r="AW104" s="78">
        <v>100</v>
      </c>
      <c r="AX104" s="70">
        <v>43702</v>
      </c>
      <c r="BC104" s="85"/>
      <c r="BD104" s="85"/>
      <c r="BE104" s="84"/>
      <c r="BK104" s="85"/>
      <c r="BL104" s="85"/>
      <c r="BM104" s="84"/>
      <c r="BS104" s="85"/>
      <c r="BT104" s="85"/>
    </row>
    <row r="105" spans="1:72">
      <c r="A105" s="78">
        <v>101</v>
      </c>
      <c r="B105" s="70">
        <v>43733</v>
      </c>
      <c r="D105" s="99">
        <f t="shared" si="40"/>
        <v>2245178</v>
      </c>
      <c r="E105" s="99">
        <f t="shared" si="41"/>
        <v>60528</v>
      </c>
      <c r="F105" s="101">
        <f t="shared" si="35"/>
        <v>62</v>
      </c>
      <c r="G105" s="102">
        <f t="shared" si="36"/>
        <v>2305706</v>
      </c>
      <c r="H105" s="102">
        <f t="shared" si="37"/>
        <v>38278214</v>
      </c>
      <c r="I105" s="84"/>
      <c r="O105" s="85"/>
      <c r="P105" s="85"/>
      <c r="Q105" s="84"/>
      <c r="W105" s="85"/>
      <c r="X105" s="85"/>
      <c r="Y105" s="70"/>
      <c r="Z105" s="70">
        <v>43733</v>
      </c>
      <c r="AA105" s="72">
        <f t="shared" si="38"/>
        <v>2279150</v>
      </c>
      <c r="AB105" s="72">
        <v>1666666</v>
      </c>
      <c r="AC105" s="72">
        <v>33972</v>
      </c>
      <c r="AD105" s="72">
        <v>31</v>
      </c>
      <c r="AE105" s="72">
        <f t="shared" si="39"/>
        <v>1700638</v>
      </c>
      <c r="AF105" s="72">
        <v>11666662</v>
      </c>
      <c r="AG105" s="84"/>
      <c r="AH105" s="70">
        <v>43718</v>
      </c>
      <c r="AI105" s="72">
        <f t="shared" si="42"/>
        <v>605068</v>
      </c>
      <c r="AJ105" s="72">
        <v>578512</v>
      </c>
      <c r="AK105" s="72">
        <v>26556</v>
      </c>
      <c r="AL105" s="72">
        <v>31</v>
      </c>
      <c r="AM105" s="72">
        <f t="shared" si="43"/>
        <v>605068</v>
      </c>
      <c r="AN105" s="72">
        <v>26611552</v>
      </c>
      <c r="AO105" s="84"/>
      <c r="AU105" s="85"/>
      <c r="AV105" s="85"/>
      <c r="AW105" s="78">
        <v>101</v>
      </c>
      <c r="AX105" s="70">
        <v>43733</v>
      </c>
      <c r="BC105" s="85"/>
      <c r="BD105" s="85"/>
      <c r="BE105" s="84"/>
      <c r="BK105" s="85"/>
      <c r="BL105" s="85"/>
      <c r="BM105" s="84"/>
      <c r="BS105" s="85"/>
      <c r="BT105" s="85"/>
    </row>
    <row r="106" spans="1:72">
      <c r="A106" s="78">
        <v>102</v>
      </c>
      <c r="B106" s="70">
        <v>43763</v>
      </c>
      <c r="D106" s="99">
        <f t="shared" si="40"/>
        <v>2245178</v>
      </c>
      <c r="E106" s="99">
        <f t="shared" si="41"/>
        <v>53919</v>
      </c>
      <c r="F106" s="101">
        <f t="shared" si="35"/>
        <v>60</v>
      </c>
      <c r="G106" s="102">
        <f t="shared" si="36"/>
        <v>2299097</v>
      </c>
      <c r="H106" s="102">
        <f t="shared" si="37"/>
        <v>36033036</v>
      </c>
      <c r="I106" s="84"/>
      <c r="O106" s="85"/>
      <c r="P106" s="85"/>
      <c r="Q106" s="84"/>
      <c r="W106" s="85"/>
      <c r="X106" s="85"/>
      <c r="Y106" s="70"/>
      <c r="Z106" s="70">
        <v>43763</v>
      </c>
      <c r="AA106" s="72">
        <f t="shared" si="38"/>
        <v>2273944</v>
      </c>
      <c r="AB106" s="72">
        <v>1666666</v>
      </c>
      <c r="AC106" s="72">
        <v>28766</v>
      </c>
      <c r="AD106" s="72">
        <v>30</v>
      </c>
      <c r="AE106" s="72">
        <f t="shared" si="39"/>
        <v>1695432</v>
      </c>
      <c r="AF106" s="72">
        <v>9999996</v>
      </c>
      <c r="AG106" s="84"/>
      <c r="AH106" s="70">
        <v>43748</v>
      </c>
      <c r="AI106" s="72">
        <f t="shared" si="42"/>
        <v>603665</v>
      </c>
      <c r="AJ106" s="72">
        <v>578512</v>
      </c>
      <c r="AK106" s="72">
        <v>25153</v>
      </c>
      <c r="AL106" s="72">
        <v>30</v>
      </c>
      <c r="AM106" s="72">
        <f t="shared" si="43"/>
        <v>603665</v>
      </c>
      <c r="AN106" s="72">
        <v>26033040</v>
      </c>
      <c r="AO106" s="84"/>
      <c r="AU106" s="85"/>
      <c r="AV106" s="85"/>
      <c r="AW106" s="78">
        <v>102</v>
      </c>
      <c r="AX106" s="70">
        <v>43763</v>
      </c>
      <c r="BC106" s="85"/>
      <c r="BD106" s="85"/>
      <c r="BE106" s="84"/>
      <c r="BK106" s="85"/>
      <c r="BL106" s="85"/>
      <c r="BM106" s="84"/>
      <c r="BS106" s="85"/>
      <c r="BT106" s="85"/>
    </row>
    <row r="107" spans="1:72">
      <c r="A107" s="78">
        <v>103</v>
      </c>
      <c r="B107" s="70">
        <v>43794</v>
      </c>
      <c r="D107" s="99">
        <f t="shared" si="40"/>
        <v>2245178</v>
      </c>
      <c r="E107" s="99">
        <f t="shared" si="41"/>
        <v>50905</v>
      </c>
      <c r="F107" s="101">
        <f t="shared" si="35"/>
        <v>62</v>
      </c>
      <c r="G107" s="102">
        <f t="shared" si="36"/>
        <v>2296083</v>
      </c>
      <c r="H107" s="102">
        <f t="shared" si="37"/>
        <v>33787858</v>
      </c>
      <c r="I107" s="84"/>
      <c r="O107" s="85"/>
      <c r="P107" s="85"/>
      <c r="Q107" s="84"/>
      <c r="W107" s="85"/>
      <c r="X107" s="85"/>
      <c r="Y107" s="70"/>
      <c r="Z107" s="70">
        <v>43794</v>
      </c>
      <c r="AA107" s="72">
        <f t="shared" si="38"/>
        <v>2270657</v>
      </c>
      <c r="AB107" s="72">
        <v>1666666</v>
      </c>
      <c r="AC107" s="72">
        <v>25479</v>
      </c>
      <c r="AD107" s="72">
        <v>31</v>
      </c>
      <c r="AE107" s="72">
        <f t="shared" si="39"/>
        <v>1692145</v>
      </c>
      <c r="AF107" s="72">
        <v>8333330</v>
      </c>
      <c r="AG107" s="84"/>
      <c r="AH107" s="70">
        <v>43779</v>
      </c>
      <c r="AI107" s="72">
        <f t="shared" si="42"/>
        <v>603938</v>
      </c>
      <c r="AJ107" s="72">
        <v>578512</v>
      </c>
      <c r="AK107" s="72">
        <v>25426</v>
      </c>
      <c r="AL107" s="72">
        <v>31</v>
      </c>
      <c r="AM107" s="72">
        <f t="shared" si="43"/>
        <v>603938</v>
      </c>
      <c r="AN107" s="72">
        <v>25454528</v>
      </c>
      <c r="AO107" s="84"/>
      <c r="AU107" s="85"/>
      <c r="AV107" s="85"/>
      <c r="AW107" s="78">
        <v>103</v>
      </c>
      <c r="AX107" s="70">
        <v>43794</v>
      </c>
      <c r="BC107" s="85"/>
      <c r="BD107" s="85"/>
      <c r="BE107" s="84"/>
      <c r="BK107" s="85"/>
      <c r="BL107" s="85"/>
      <c r="BM107" s="84"/>
      <c r="BS107" s="85"/>
      <c r="BT107" s="85"/>
    </row>
    <row r="108" spans="1:72">
      <c r="A108" s="78">
        <v>104</v>
      </c>
      <c r="B108" s="70">
        <v>43824</v>
      </c>
      <c r="D108" s="99">
        <f t="shared" si="40"/>
        <v>2245178</v>
      </c>
      <c r="E108" s="99">
        <f t="shared" si="41"/>
        <v>44606</v>
      </c>
      <c r="F108" s="101">
        <f t="shared" si="35"/>
        <v>60</v>
      </c>
      <c r="G108" s="102">
        <f t="shared" si="36"/>
        <v>2289784</v>
      </c>
      <c r="H108" s="102">
        <f t="shared" si="37"/>
        <v>31542680</v>
      </c>
      <c r="I108" s="84"/>
      <c r="O108" s="85"/>
      <c r="P108" s="85"/>
      <c r="Q108" s="84"/>
      <c r="W108" s="85"/>
      <c r="X108" s="85"/>
      <c r="Y108" s="70"/>
      <c r="Z108" s="70">
        <v>43824</v>
      </c>
      <c r="AA108" s="72">
        <f t="shared" si="38"/>
        <v>2265725</v>
      </c>
      <c r="AB108" s="72">
        <v>1666666</v>
      </c>
      <c r="AC108" s="72">
        <v>20547</v>
      </c>
      <c r="AD108" s="72">
        <v>30</v>
      </c>
      <c r="AE108" s="72">
        <f t="shared" si="39"/>
        <v>1687213</v>
      </c>
      <c r="AF108" s="72">
        <v>6666664</v>
      </c>
      <c r="AG108" s="84"/>
      <c r="AH108" s="70">
        <v>43809</v>
      </c>
      <c r="AI108" s="72">
        <f t="shared" si="42"/>
        <v>602571</v>
      </c>
      <c r="AJ108" s="72">
        <v>578512</v>
      </c>
      <c r="AK108" s="72">
        <v>24059</v>
      </c>
      <c r="AL108" s="72">
        <v>30</v>
      </c>
      <c r="AM108" s="72">
        <f t="shared" si="43"/>
        <v>602571</v>
      </c>
      <c r="AN108" s="72">
        <v>24876016</v>
      </c>
      <c r="AO108" s="84"/>
      <c r="AU108" s="85"/>
      <c r="AV108" s="85"/>
      <c r="AW108" s="78">
        <v>104</v>
      </c>
      <c r="AX108" s="70">
        <v>43824</v>
      </c>
      <c r="BC108" s="85"/>
      <c r="BD108" s="85"/>
      <c r="BE108" s="84"/>
      <c r="BK108" s="85"/>
      <c r="BL108" s="85"/>
      <c r="BM108" s="84"/>
      <c r="BS108" s="85"/>
      <c r="BT108" s="85"/>
    </row>
    <row r="109" spans="1:72">
      <c r="A109" s="78">
        <v>105</v>
      </c>
      <c r="B109" s="70">
        <v>43855</v>
      </c>
      <c r="D109" s="99">
        <f t="shared" si="40"/>
        <v>2245178</v>
      </c>
      <c r="E109" s="99">
        <f t="shared" si="41"/>
        <v>41282</v>
      </c>
      <c r="F109" s="101">
        <f t="shared" si="35"/>
        <v>62</v>
      </c>
      <c r="G109" s="102">
        <f t="shared" si="36"/>
        <v>2286460</v>
      </c>
      <c r="H109" s="102">
        <f t="shared" si="37"/>
        <v>29297502</v>
      </c>
      <c r="I109" s="84"/>
      <c r="O109" s="85"/>
      <c r="P109" s="85"/>
      <c r="Q109" s="84"/>
      <c r="W109" s="85"/>
      <c r="X109" s="85"/>
      <c r="Y109" s="70"/>
      <c r="Z109" s="70">
        <v>43855</v>
      </c>
      <c r="AA109" s="72">
        <f t="shared" si="38"/>
        <v>2262164</v>
      </c>
      <c r="AB109" s="72">
        <v>1666666</v>
      </c>
      <c r="AC109" s="72">
        <v>16986</v>
      </c>
      <c r="AD109" s="72">
        <v>31</v>
      </c>
      <c r="AE109" s="72">
        <f t="shared" si="39"/>
        <v>1683652</v>
      </c>
      <c r="AF109" s="72">
        <v>4999998</v>
      </c>
      <c r="AG109" s="84"/>
      <c r="AH109" s="70">
        <v>43840</v>
      </c>
      <c r="AI109" s="72">
        <f t="shared" si="42"/>
        <v>602808</v>
      </c>
      <c r="AJ109" s="72">
        <v>578512</v>
      </c>
      <c r="AK109" s="72">
        <v>24296</v>
      </c>
      <c r="AL109" s="72">
        <v>31</v>
      </c>
      <c r="AM109" s="72">
        <f t="shared" si="43"/>
        <v>602808</v>
      </c>
      <c r="AN109" s="72">
        <v>24297504</v>
      </c>
      <c r="AO109" s="84"/>
      <c r="AU109" s="85"/>
      <c r="AV109" s="85"/>
      <c r="AW109" s="78">
        <v>105</v>
      </c>
      <c r="AX109" s="70">
        <v>43855</v>
      </c>
      <c r="BC109" s="85"/>
      <c r="BD109" s="85"/>
      <c r="BE109" s="84"/>
      <c r="BK109" s="85"/>
      <c r="BL109" s="85"/>
      <c r="BM109" s="84"/>
      <c r="BS109" s="85"/>
      <c r="BT109" s="85"/>
    </row>
    <row r="110" spans="1:72">
      <c r="A110" s="78">
        <v>106</v>
      </c>
      <c r="B110" s="70">
        <v>43886</v>
      </c>
      <c r="D110" s="99">
        <f t="shared" si="40"/>
        <v>2245178</v>
      </c>
      <c r="E110" s="99">
        <f t="shared" si="41"/>
        <v>36470</v>
      </c>
      <c r="F110" s="101">
        <f t="shared" si="35"/>
        <v>62</v>
      </c>
      <c r="G110" s="102">
        <f t="shared" si="36"/>
        <v>2281648</v>
      </c>
      <c r="H110" s="102">
        <f t="shared" si="37"/>
        <v>27052324</v>
      </c>
      <c r="I110" s="84"/>
      <c r="O110" s="85"/>
      <c r="P110" s="85"/>
      <c r="Q110" s="84"/>
      <c r="W110" s="85"/>
      <c r="X110" s="85"/>
      <c r="Y110" s="70"/>
      <c r="Z110" s="70">
        <v>43886</v>
      </c>
      <c r="AA110" s="72">
        <f t="shared" si="38"/>
        <v>2257917</v>
      </c>
      <c r="AB110" s="72">
        <v>1666666</v>
      </c>
      <c r="AC110" s="72">
        <v>12739</v>
      </c>
      <c r="AD110" s="72">
        <v>31</v>
      </c>
      <c r="AE110" s="72">
        <f t="shared" si="39"/>
        <v>1679405</v>
      </c>
      <c r="AF110" s="72">
        <v>3333332</v>
      </c>
      <c r="AG110" s="84"/>
      <c r="AH110" s="70">
        <v>43871</v>
      </c>
      <c r="AI110" s="72">
        <f t="shared" si="42"/>
        <v>602243</v>
      </c>
      <c r="AJ110" s="72">
        <v>578512</v>
      </c>
      <c r="AK110" s="72">
        <v>23731</v>
      </c>
      <c r="AL110" s="72">
        <v>31</v>
      </c>
      <c r="AM110" s="72">
        <f t="shared" si="43"/>
        <v>602243</v>
      </c>
      <c r="AN110" s="72">
        <v>23718992</v>
      </c>
      <c r="AO110" s="84"/>
      <c r="AU110" s="85"/>
      <c r="AV110" s="85"/>
      <c r="AW110" s="78">
        <v>106</v>
      </c>
      <c r="AX110" s="70">
        <v>43886</v>
      </c>
      <c r="BC110" s="85"/>
      <c r="BD110" s="85"/>
      <c r="BE110" s="84"/>
      <c r="BK110" s="85"/>
      <c r="BL110" s="85"/>
      <c r="BM110" s="84"/>
      <c r="BS110" s="85"/>
      <c r="BT110" s="85"/>
    </row>
    <row r="111" spans="1:72">
      <c r="A111" s="78">
        <v>107</v>
      </c>
      <c r="B111" s="70">
        <v>43915</v>
      </c>
      <c r="D111" s="99">
        <f t="shared" si="40"/>
        <v>2245178</v>
      </c>
      <c r="E111" s="99">
        <f t="shared" si="41"/>
        <v>29616</v>
      </c>
      <c r="F111" s="101">
        <f t="shared" si="35"/>
        <v>58</v>
      </c>
      <c r="G111" s="102">
        <f t="shared" si="36"/>
        <v>2274794</v>
      </c>
      <c r="H111" s="102">
        <f t="shared" si="37"/>
        <v>24807146</v>
      </c>
      <c r="I111" s="84"/>
      <c r="O111" s="85"/>
      <c r="P111" s="85"/>
      <c r="Q111" s="84"/>
      <c r="W111" s="85"/>
      <c r="X111" s="85"/>
      <c r="Y111" s="70"/>
      <c r="Z111" s="70">
        <v>43915</v>
      </c>
      <c r="AA111" s="72">
        <f t="shared" si="38"/>
        <v>2253123</v>
      </c>
      <c r="AB111" s="72">
        <v>1666666</v>
      </c>
      <c r="AC111" s="72">
        <v>7945</v>
      </c>
      <c r="AD111" s="72">
        <v>29</v>
      </c>
      <c r="AE111" s="72">
        <f t="shared" si="39"/>
        <v>1674611</v>
      </c>
      <c r="AF111" s="72">
        <v>1666666</v>
      </c>
      <c r="AG111" s="84"/>
      <c r="AH111" s="70">
        <v>43900</v>
      </c>
      <c r="AI111" s="72">
        <f t="shared" si="42"/>
        <v>600183</v>
      </c>
      <c r="AJ111" s="72">
        <v>578512</v>
      </c>
      <c r="AK111" s="72">
        <v>21671</v>
      </c>
      <c r="AL111" s="72">
        <v>29</v>
      </c>
      <c r="AM111" s="72">
        <f t="shared" si="43"/>
        <v>600183</v>
      </c>
      <c r="AN111" s="72">
        <v>23140480</v>
      </c>
      <c r="AO111" s="84"/>
      <c r="AU111" s="85"/>
      <c r="AV111" s="85"/>
      <c r="AW111" s="78">
        <v>107</v>
      </c>
      <c r="AX111" s="70">
        <v>43915</v>
      </c>
      <c r="BC111" s="85"/>
      <c r="BD111" s="85"/>
      <c r="BE111" s="84"/>
      <c r="BK111" s="85"/>
      <c r="BL111" s="85"/>
      <c r="BM111" s="84"/>
      <c r="BS111" s="85"/>
      <c r="BT111" s="85"/>
    </row>
    <row r="112" spans="1:72">
      <c r="A112" s="78">
        <v>108</v>
      </c>
      <c r="B112" s="70">
        <v>43946</v>
      </c>
      <c r="D112" s="99">
        <f t="shared" si="40"/>
        <v>2245178</v>
      </c>
      <c r="E112" s="99">
        <f t="shared" si="41"/>
        <v>26847</v>
      </c>
      <c r="F112" s="101">
        <f t="shared" si="35"/>
        <v>62</v>
      </c>
      <c r="G112" s="102">
        <f t="shared" si="36"/>
        <v>2272025</v>
      </c>
      <c r="H112" s="102">
        <f t="shared" si="37"/>
        <v>22561968</v>
      </c>
      <c r="I112" s="84"/>
      <c r="O112" s="85"/>
      <c r="P112" s="85"/>
      <c r="Q112" s="84"/>
      <c r="W112" s="85"/>
      <c r="X112" s="85"/>
      <c r="Y112" s="70"/>
      <c r="Z112" s="70">
        <v>43946</v>
      </c>
      <c r="AA112" s="72">
        <f t="shared" si="38"/>
        <v>2249424</v>
      </c>
      <c r="AB112" s="72">
        <v>1666666</v>
      </c>
      <c r="AC112" s="72">
        <v>4246</v>
      </c>
      <c r="AD112" s="72">
        <v>31</v>
      </c>
      <c r="AE112" s="72">
        <f t="shared" si="39"/>
        <v>1670912</v>
      </c>
      <c r="AF112" s="72">
        <v>0</v>
      </c>
      <c r="AG112" s="84"/>
      <c r="AH112" s="70">
        <v>43931</v>
      </c>
      <c r="AI112" s="72">
        <f t="shared" si="42"/>
        <v>601113</v>
      </c>
      <c r="AJ112" s="72">
        <v>578512</v>
      </c>
      <c r="AK112" s="72">
        <v>22601</v>
      </c>
      <c r="AL112" s="72">
        <v>31</v>
      </c>
      <c r="AM112" s="72">
        <f t="shared" si="43"/>
        <v>601113</v>
      </c>
      <c r="AN112" s="72">
        <v>22561968</v>
      </c>
      <c r="AO112" s="84"/>
      <c r="AU112" s="85"/>
      <c r="AV112" s="85"/>
      <c r="AW112" s="78">
        <v>108</v>
      </c>
      <c r="AX112" s="70">
        <v>43946</v>
      </c>
      <c r="BC112" s="85"/>
      <c r="BD112" s="85"/>
      <c r="BE112" s="84"/>
      <c r="BK112" s="85"/>
      <c r="BL112" s="85"/>
      <c r="BM112" s="84"/>
      <c r="BS112" s="85"/>
      <c r="BT112" s="85"/>
    </row>
    <row r="113" spans="1:72">
      <c r="A113" s="78">
        <v>109</v>
      </c>
      <c r="D113" s="99">
        <f t="shared" si="40"/>
        <v>578512</v>
      </c>
      <c r="E113" s="99">
        <f t="shared" si="41"/>
        <v>21325</v>
      </c>
      <c r="F113" s="101">
        <f t="shared" si="35"/>
        <v>30</v>
      </c>
      <c r="G113" s="102">
        <f t="shared" si="36"/>
        <v>599837</v>
      </c>
      <c r="H113" s="102">
        <f t="shared" si="37"/>
        <v>21983456</v>
      </c>
      <c r="I113" s="84"/>
      <c r="O113" s="85"/>
      <c r="P113" s="85"/>
      <c r="Q113" s="84"/>
      <c r="W113" s="85"/>
      <c r="X113" s="85"/>
      <c r="Y113" s="84"/>
      <c r="AE113" s="85"/>
      <c r="AF113" s="85"/>
      <c r="AG113" s="84"/>
      <c r="AH113" s="70">
        <v>43961</v>
      </c>
      <c r="AI113" s="72">
        <f t="shared" si="42"/>
        <v>599837</v>
      </c>
      <c r="AJ113" s="72">
        <v>578512</v>
      </c>
      <c r="AK113" s="72">
        <v>21325</v>
      </c>
      <c r="AL113" s="72">
        <v>30</v>
      </c>
      <c r="AM113" s="72">
        <f t="shared" si="43"/>
        <v>599837</v>
      </c>
      <c r="AN113" s="72">
        <v>21983456</v>
      </c>
      <c r="AO113" s="84"/>
      <c r="AU113" s="85"/>
      <c r="AV113" s="85"/>
      <c r="AW113" s="78">
        <v>109</v>
      </c>
      <c r="AX113" s="70">
        <v>43976</v>
      </c>
      <c r="BC113" s="85"/>
      <c r="BD113" s="85"/>
      <c r="BE113" s="84"/>
      <c r="BK113" s="85"/>
      <c r="BL113" s="85"/>
      <c r="BM113" s="84"/>
      <c r="BS113" s="85"/>
      <c r="BT113" s="85"/>
    </row>
    <row r="114" spans="1:72">
      <c r="A114" s="78">
        <v>110</v>
      </c>
      <c r="D114" s="99">
        <f t="shared" si="40"/>
        <v>578512</v>
      </c>
      <c r="E114" s="99">
        <f t="shared" si="41"/>
        <v>21471</v>
      </c>
      <c r="F114" s="101">
        <f t="shared" si="35"/>
        <v>31</v>
      </c>
      <c r="G114" s="102">
        <f t="shared" si="36"/>
        <v>599983</v>
      </c>
      <c r="H114" s="102">
        <f t="shared" si="37"/>
        <v>21404944</v>
      </c>
      <c r="I114" s="84"/>
      <c r="O114" s="85"/>
      <c r="P114" s="85"/>
      <c r="Q114" s="84"/>
      <c r="W114" s="85"/>
      <c r="X114" s="85"/>
      <c r="Y114" s="84"/>
      <c r="AE114" s="85"/>
      <c r="AF114" s="85"/>
      <c r="AG114" s="84"/>
      <c r="AH114" s="70">
        <v>43992</v>
      </c>
      <c r="AI114" s="72">
        <f t="shared" si="42"/>
        <v>599983</v>
      </c>
      <c r="AJ114" s="72">
        <v>578512</v>
      </c>
      <c r="AK114" s="72">
        <v>21471</v>
      </c>
      <c r="AL114" s="72">
        <v>31</v>
      </c>
      <c r="AM114" s="72">
        <f t="shared" si="43"/>
        <v>599983</v>
      </c>
      <c r="AN114" s="72">
        <v>21404944</v>
      </c>
      <c r="AO114" s="84"/>
      <c r="AU114" s="85"/>
      <c r="AV114" s="85"/>
      <c r="AW114" s="78">
        <v>110</v>
      </c>
      <c r="AX114" s="70">
        <v>44007</v>
      </c>
      <c r="BC114" s="85"/>
      <c r="BD114" s="85"/>
      <c r="BE114" s="84"/>
      <c r="BK114" s="85"/>
      <c r="BL114" s="85"/>
      <c r="BM114" s="84"/>
      <c r="BS114" s="85"/>
      <c r="BT114" s="85"/>
    </row>
    <row r="115" spans="1:72">
      <c r="A115" s="78">
        <v>111</v>
      </c>
      <c r="D115" s="99">
        <f t="shared" si="40"/>
        <v>578512</v>
      </c>
      <c r="E115" s="99">
        <f t="shared" si="41"/>
        <v>20232</v>
      </c>
      <c r="F115" s="101">
        <f t="shared" si="35"/>
        <v>30</v>
      </c>
      <c r="G115" s="102">
        <f t="shared" si="36"/>
        <v>598744</v>
      </c>
      <c r="H115" s="102">
        <f t="shared" si="37"/>
        <v>20826432</v>
      </c>
      <c r="I115" s="84"/>
      <c r="O115" s="85"/>
      <c r="P115" s="85"/>
      <c r="Q115" s="84"/>
      <c r="W115" s="85"/>
      <c r="X115" s="85"/>
      <c r="Y115" s="84"/>
      <c r="AE115" s="85"/>
      <c r="AF115" s="85"/>
      <c r="AG115" s="84"/>
      <c r="AH115" s="70">
        <v>44022</v>
      </c>
      <c r="AI115" s="72">
        <f t="shared" si="42"/>
        <v>598744</v>
      </c>
      <c r="AJ115" s="72">
        <v>578512</v>
      </c>
      <c r="AK115" s="72">
        <v>20232</v>
      </c>
      <c r="AL115" s="72">
        <v>30</v>
      </c>
      <c r="AM115" s="72">
        <f t="shared" si="43"/>
        <v>598744</v>
      </c>
      <c r="AN115" s="72">
        <v>20826432</v>
      </c>
      <c r="AO115" s="84"/>
      <c r="AU115" s="85"/>
      <c r="AV115" s="85"/>
      <c r="AW115" s="78">
        <v>111</v>
      </c>
      <c r="AX115" s="70">
        <v>44037</v>
      </c>
      <c r="BC115" s="85"/>
      <c r="BD115" s="85"/>
      <c r="BE115" s="84"/>
      <c r="BK115" s="85"/>
      <c r="BL115" s="85"/>
      <c r="BM115" s="84"/>
      <c r="BS115" s="85"/>
      <c r="BT115" s="85"/>
    </row>
    <row r="116" spans="1:72">
      <c r="A116" s="78">
        <v>112</v>
      </c>
      <c r="D116" s="99">
        <f t="shared" si="40"/>
        <v>578512</v>
      </c>
      <c r="E116" s="99">
        <f t="shared" si="41"/>
        <v>20341</v>
      </c>
      <c r="F116" s="101">
        <f t="shared" si="35"/>
        <v>31</v>
      </c>
      <c r="G116" s="102">
        <f t="shared" si="36"/>
        <v>598853</v>
      </c>
      <c r="H116" s="102">
        <f t="shared" si="37"/>
        <v>20247920</v>
      </c>
      <c r="I116" s="84"/>
      <c r="O116" s="85"/>
      <c r="P116" s="85"/>
      <c r="Q116" s="84"/>
      <c r="W116" s="85"/>
      <c r="X116" s="85"/>
      <c r="Y116" s="84"/>
      <c r="AE116" s="85"/>
      <c r="AF116" s="85"/>
      <c r="AG116" s="84"/>
      <c r="AH116" s="70">
        <v>44053</v>
      </c>
      <c r="AI116" s="72">
        <f t="shared" si="42"/>
        <v>598853</v>
      </c>
      <c r="AJ116" s="72">
        <v>578512</v>
      </c>
      <c r="AK116" s="72">
        <v>20341</v>
      </c>
      <c r="AL116" s="72">
        <v>31</v>
      </c>
      <c r="AM116" s="72">
        <f t="shared" si="43"/>
        <v>598853</v>
      </c>
      <c r="AN116" s="72">
        <v>20247920</v>
      </c>
      <c r="AO116" s="84"/>
      <c r="AU116" s="85"/>
      <c r="AV116" s="85"/>
      <c r="AW116" s="78">
        <v>112</v>
      </c>
      <c r="AX116" s="70">
        <v>44068</v>
      </c>
      <c r="BC116" s="85"/>
      <c r="BD116" s="85"/>
      <c r="BE116" s="84"/>
      <c r="BK116" s="85"/>
      <c r="BL116" s="85"/>
      <c r="BM116" s="84"/>
      <c r="BS116" s="85"/>
      <c r="BT116" s="85"/>
    </row>
    <row r="117" spans="1:72">
      <c r="A117" s="78">
        <v>113</v>
      </c>
      <c r="D117" s="99">
        <f t="shared" si="40"/>
        <v>578512</v>
      </c>
      <c r="E117" s="99">
        <f t="shared" si="41"/>
        <v>19776</v>
      </c>
      <c r="F117" s="101">
        <f t="shared" si="35"/>
        <v>31</v>
      </c>
      <c r="G117" s="102">
        <f t="shared" si="36"/>
        <v>598288</v>
      </c>
      <c r="H117" s="102">
        <f t="shared" si="37"/>
        <v>19669408</v>
      </c>
      <c r="I117" s="84"/>
      <c r="O117" s="85"/>
      <c r="P117" s="85"/>
      <c r="Q117" s="84"/>
      <c r="W117" s="85"/>
      <c r="X117" s="85"/>
      <c r="Y117" s="84"/>
      <c r="AE117" s="85"/>
      <c r="AF117" s="85"/>
      <c r="AG117" s="84"/>
      <c r="AH117" s="70">
        <v>44084</v>
      </c>
      <c r="AI117" s="72">
        <f t="shared" si="42"/>
        <v>598288</v>
      </c>
      <c r="AJ117" s="72">
        <v>578512</v>
      </c>
      <c r="AK117" s="72">
        <v>19776</v>
      </c>
      <c r="AL117" s="72">
        <v>31</v>
      </c>
      <c r="AM117" s="72">
        <f t="shared" si="43"/>
        <v>598288</v>
      </c>
      <c r="AN117" s="72">
        <v>19669408</v>
      </c>
      <c r="AO117" s="84"/>
      <c r="AU117" s="85"/>
      <c r="AV117" s="85"/>
      <c r="AW117" s="78">
        <v>113</v>
      </c>
      <c r="AX117" s="70">
        <v>44099</v>
      </c>
      <c r="BC117" s="85"/>
      <c r="BD117" s="85"/>
      <c r="BE117" s="84"/>
      <c r="BK117" s="85"/>
      <c r="BL117" s="85"/>
      <c r="BM117" s="84"/>
      <c r="BS117" s="85"/>
      <c r="BT117" s="85"/>
    </row>
    <row r="118" spans="1:72">
      <c r="A118" s="78">
        <v>114</v>
      </c>
      <c r="D118" s="99">
        <f t="shared" si="40"/>
        <v>578512</v>
      </c>
      <c r="E118" s="99">
        <f t="shared" si="41"/>
        <v>18591</v>
      </c>
      <c r="F118" s="101">
        <f t="shared" si="35"/>
        <v>30</v>
      </c>
      <c r="G118" s="102">
        <f t="shared" si="36"/>
        <v>597103</v>
      </c>
      <c r="H118" s="102">
        <f t="shared" si="37"/>
        <v>19090896</v>
      </c>
      <c r="I118" s="84"/>
      <c r="O118" s="85"/>
      <c r="P118" s="85"/>
      <c r="Q118" s="84"/>
      <c r="W118" s="85"/>
      <c r="X118" s="85"/>
      <c r="Y118" s="84"/>
      <c r="AE118" s="85"/>
      <c r="AF118" s="85"/>
      <c r="AG118" s="84"/>
      <c r="AH118" s="70">
        <v>44114</v>
      </c>
      <c r="AI118" s="72">
        <f t="shared" si="42"/>
        <v>597103</v>
      </c>
      <c r="AJ118" s="72">
        <v>578512</v>
      </c>
      <c r="AK118" s="72">
        <v>18591</v>
      </c>
      <c r="AL118" s="72">
        <v>30</v>
      </c>
      <c r="AM118" s="72">
        <f t="shared" si="43"/>
        <v>597103</v>
      </c>
      <c r="AN118" s="72">
        <v>19090896</v>
      </c>
      <c r="AO118" s="84"/>
      <c r="AU118" s="85"/>
      <c r="AV118" s="85"/>
      <c r="AW118" s="78">
        <v>114</v>
      </c>
      <c r="AX118" s="70">
        <v>44129</v>
      </c>
      <c r="BC118" s="85"/>
      <c r="BD118" s="85"/>
      <c r="BE118" s="84"/>
      <c r="BK118" s="85"/>
      <c r="BL118" s="85"/>
      <c r="BM118" s="84"/>
      <c r="BS118" s="85"/>
      <c r="BT118" s="85"/>
    </row>
    <row r="119" spans="1:72">
      <c r="A119" s="78">
        <v>115</v>
      </c>
      <c r="D119" s="99">
        <f t="shared" si="40"/>
        <v>578512</v>
      </c>
      <c r="E119" s="99">
        <f t="shared" si="41"/>
        <v>18646</v>
      </c>
      <c r="F119" s="101">
        <f t="shared" si="35"/>
        <v>31</v>
      </c>
      <c r="G119" s="102">
        <f t="shared" si="36"/>
        <v>597158</v>
      </c>
      <c r="H119" s="102">
        <f t="shared" si="37"/>
        <v>18512384</v>
      </c>
      <c r="I119" s="84"/>
      <c r="O119" s="85"/>
      <c r="P119" s="85"/>
      <c r="Q119" s="84"/>
      <c r="W119" s="85"/>
      <c r="X119" s="85"/>
      <c r="Y119" s="84"/>
      <c r="AE119" s="85"/>
      <c r="AF119" s="85"/>
      <c r="AG119" s="84"/>
      <c r="AH119" s="70">
        <v>44145</v>
      </c>
      <c r="AI119" s="72">
        <f t="shared" si="42"/>
        <v>597158</v>
      </c>
      <c r="AJ119" s="72">
        <v>578512</v>
      </c>
      <c r="AK119" s="72">
        <v>18646</v>
      </c>
      <c r="AL119" s="72">
        <v>31</v>
      </c>
      <c r="AM119" s="72">
        <f t="shared" si="43"/>
        <v>597158</v>
      </c>
      <c r="AN119" s="72">
        <v>18512384</v>
      </c>
      <c r="AO119" s="84"/>
      <c r="AU119" s="85"/>
      <c r="AV119" s="85"/>
      <c r="AW119" s="78">
        <v>115</v>
      </c>
      <c r="AX119" s="70">
        <v>44160</v>
      </c>
      <c r="BC119" s="85"/>
      <c r="BD119" s="85"/>
      <c r="BE119" s="84"/>
      <c r="BK119" s="85"/>
      <c r="BL119" s="85"/>
      <c r="BM119" s="84"/>
      <c r="BS119" s="85"/>
      <c r="BT119" s="85"/>
    </row>
    <row r="120" spans="1:72">
      <c r="A120" s="78">
        <v>116</v>
      </c>
      <c r="D120" s="99">
        <f t="shared" si="40"/>
        <v>578512</v>
      </c>
      <c r="E120" s="99">
        <f t="shared" si="41"/>
        <v>17497</v>
      </c>
      <c r="F120" s="101">
        <f t="shared" si="35"/>
        <v>30</v>
      </c>
      <c r="G120" s="102">
        <f t="shared" si="36"/>
        <v>596009</v>
      </c>
      <c r="H120" s="102">
        <f t="shared" si="37"/>
        <v>17933872</v>
      </c>
      <c r="I120" s="84"/>
      <c r="O120" s="85"/>
      <c r="P120" s="85"/>
      <c r="Q120" s="84"/>
      <c r="W120" s="85"/>
      <c r="X120" s="85"/>
      <c r="Y120" s="84"/>
      <c r="AE120" s="85"/>
      <c r="AF120" s="85"/>
      <c r="AG120" s="84"/>
      <c r="AH120" s="70">
        <v>44175</v>
      </c>
      <c r="AI120" s="72">
        <f t="shared" si="42"/>
        <v>596009</v>
      </c>
      <c r="AJ120" s="72">
        <v>578512</v>
      </c>
      <c r="AK120" s="72">
        <v>17497</v>
      </c>
      <c r="AL120" s="72">
        <v>30</v>
      </c>
      <c r="AM120" s="72">
        <f t="shared" si="43"/>
        <v>596009</v>
      </c>
      <c r="AN120" s="72">
        <v>17933872</v>
      </c>
      <c r="AO120" s="84"/>
      <c r="AU120" s="85"/>
      <c r="AV120" s="85"/>
      <c r="AW120" s="78">
        <v>116</v>
      </c>
      <c r="AX120" s="70">
        <v>44190</v>
      </c>
      <c r="BC120" s="85"/>
      <c r="BD120" s="85"/>
      <c r="BE120" s="84"/>
      <c r="BK120" s="85"/>
      <c r="BL120" s="85"/>
      <c r="BM120" s="84"/>
      <c r="BS120" s="85"/>
      <c r="BT120" s="85"/>
    </row>
    <row r="121" spans="1:72">
      <c r="A121" s="78">
        <v>117</v>
      </c>
      <c r="D121" s="99">
        <f t="shared" si="40"/>
        <v>578512</v>
      </c>
      <c r="E121" s="99">
        <f t="shared" si="41"/>
        <v>17516</v>
      </c>
      <c r="F121" s="101">
        <f t="shared" si="35"/>
        <v>31</v>
      </c>
      <c r="G121" s="102">
        <f t="shared" si="36"/>
        <v>596028</v>
      </c>
      <c r="H121" s="102">
        <f t="shared" si="37"/>
        <v>17355360</v>
      </c>
      <c r="I121" s="84"/>
      <c r="O121" s="85"/>
      <c r="P121" s="85"/>
      <c r="Q121" s="84"/>
      <c r="W121" s="85"/>
      <c r="X121" s="85"/>
      <c r="Y121" s="84"/>
      <c r="AE121" s="85"/>
      <c r="AF121" s="85"/>
      <c r="AG121" s="84"/>
      <c r="AH121" s="70">
        <v>44206</v>
      </c>
      <c r="AI121" s="72">
        <f t="shared" si="42"/>
        <v>596028</v>
      </c>
      <c r="AJ121" s="72">
        <v>578512</v>
      </c>
      <c r="AK121" s="72">
        <v>17516</v>
      </c>
      <c r="AL121" s="72">
        <v>31</v>
      </c>
      <c r="AM121" s="72">
        <f t="shared" si="43"/>
        <v>596028</v>
      </c>
      <c r="AN121" s="72">
        <v>17355360</v>
      </c>
      <c r="AO121" s="84"/>
      <c r="AU121" s="85"/>
      <c r="AV121" s="85"/>
      <c r="AW121" s="78">
        <v>117</v>
      </c>
      <c r="AX121" s="70">
        <v>44221</v>
      </c>
      <c r="BC121" s="85"/>
      <c r="BD121" s="85"/>
      <c r="BE121" s="84"/>
      <c r="BK121" s="85"/>
      <c r="BL121" s="85"/>
      <c r="BM121" s="84"/>
      <c r="BS121" s="85"/>
      <c r="BT121" s="85"/>
    </row>
    <row r="122" spans="1:72">
      <c r="A122" s="78">
        <v>118</v>
      </c>
      <c r="D122" s="99">
        <f t="shared" si="40"/>
        <v>578512</v>
      </c>
      <c r="E122" s="99">
        <f t="shared" si="41"/>
        <v>16951</v>
      </c>
      <c r="F122" s="101">
        <f t="shared" si="35"/>
        <v>31</v>
      </c>
      <c r="G122" s="102">
        <f t="shared" si="36"/>
        <v>595463</v>
      </c>
      <c r="H122" s="102">
        <f t="shared" si="37"/>
        <v>16776848</v>
      </c>
      <c r="I122" s="84"/>
      <c r="O122" s="85"/>
      <c r="P122" s="85"/>
      <c r="Q122" s="84"/>
      <c r="W122" s="85"/>
      <c r="X122" s="85"/>
      <c r="Y122" s="84"/>
      <c r="AE122" s="85"/>
      <c r="AF122" s="85"/>
      <c r="AG122" s="84"/>
      <c r="AH122" s="70">
        <v>44237</v>
      </c>
      <c r="AI122" s="72">
        <f t="shared" si="42"/>
        <v>595463</v>
      </c>
      <c r="AJ122" s="72">
        <v>578512</v>
      </c>
      <c r="AK122" s="72">
        <v>16951</v>
      </c>
      <c r="AL122" s="72">
        <v>31</v>
      </c>
      <c r="AM122" s="72">
        <f t="shared" si="43"/>
        <v>595463</v>
      </c>
      <c r="AN122" s="72">
        <v>16776848</v>
      </c>
      <c r="AO122" s="84"/>
      <c r="AU122" s="85"/>
      <c r="AV122" s="85"/>
      <c r="AW122" s="78">
        <v>118</v>
      </c>
      <c r="AX122" s="70">
        <v>44252</v>
      </c>
      <c r="BC122" s="85"/>
      <c r="BD122" s="85"/>
      <c r="BE122" s="84"/>
      <c r="BK122" s="85"/>
      <c r="BL122" s="85"/>
      <c r="BM122" s="84"/>
      <c r="BS122" s="85"/>
      <c r="BT122" s="85"/>
    </row>
    <row r="123" spans="1:72">
      <c r="A123" s="78">
        <v>119</v>
      </c>
      <c r="D123" s="99">
        <f t="shared" si="40"/>
        <v>578512</v>
      </c>
      <c r="E123" s="99">
        <f t="shared" si="41"/>
        <v>14800</v>
      </c>
      <c r="F123" s="101">
        <f t="shared" si="35"/>
        <v>28</v>
      </c>
      <c r="G123" s="102">
        <f t="shared" si="36"/>
        <v>593312</v>
      </c>
      <c r="H123" s="102">
        <f t="shared" si="37"/>
        <v>16198336</v>
      </c>
      <c r="I123" s="84"/>
      <c r="O123" s="85"/>
      <c r="P123" s="85"/>
      <c r="Q123" s="84"/>
      <c r="W123" s="85"/>
      <c r="X123" s="85"/>
      <c r="Y123" s="84"/>
      <c r="AE123" s="85"/>
      <c r="AF123" s="85"/>
      <c r="AG123" s="84"/>
      <c r="AH123" s="70">
        <v>44265</v>
      </c>
      <c r="AI123" s="72">
        <f t="shared" si="42"/>
        <v>593312</v>
      </c>
      <c r="AJ123" s="72">
        <v>578512</v>
      </c>
      <c r="AK123" s="72">
        <v>14800</v>
      </c>
      <c r="AL123" s="72">
        <v>28</v>
      </c>
      <c r="AM123" s="72">
        <f t="shared" si="43"/>
        <v>593312</v>
      </c>
      <c r="AN123" s="72">
        <v>16198336</v>
      </c>
      <c r="AO123" s="84"/>
      <c r="AU123" s="85"/>
      <c r="AV123" s="85"/>
      <c r="AW123" s="78">
        <v>119</v>
      </c>
      <c r="AX123" s="70">
        <v>44280</v>
      </c>
      <c r="BC123" s="85"/>
      <c r="BD123" s="85"/>
      <c r="BE123" s="84"/>
      <c r="BK123" s="85"/>
      <c r="BL123" s="85"/>
      <c r="BM123" s="84"/>
      <c r="BS123" s="85"/>
      <c r="BT123" s="85"/>
    </row>
    <row r="124" spans="1:72">
      <c r="A124" s="78">
        <v>120</v>
      </c>
      <c r="D124" s="99">
        <f t="shared" si="40"/>
        <v>578512</v>
      </c>
      <c r="E124" s="99">
        <f t="shared" si="41"/>
        <v>15821</v>
      </c>
      <c r="F124" s="101">
        <f t="shared" si="35"/>
        <v>31</v>
      </c>
      <c r="G124" s="102">
        <f t="shared" si="36"/>
        <v>594333</v>
      </c>
      <c r="H124" s="102">
        <f t="shared" si="37"/>
        <v>15619824</v>
      </c>
      <c r="I124" s="84"/>
      <c r="O124" s="85"/>
      <c r="P124" s="85"/>
      <c r="Q124" s="84"/>
      <c r="W124" s="85"/>
      <c r="X124" s="85"/>
      <c r="Y124" s="84"/>
      <c r="AE124" s="85"/>
      <c r="AF124" s="85"/>
      <c r="AG124" s="84"/>
      <c r="AH124" s="70">
        <v>44296</v>
      </c>
      <c r="AI124" s="72">
        <f t="shared" si="42"/>
        <v>594333</v>
      </c>
      <c r="AJ124" s="72">
        <v>578512</v>
      </c>
      <c r="AK124" s="72">
        <v>15821</v>
      </c>
      <c r="AL124" s="72">
        <v>31</v>
      </c>
      <c r="AM124" s="72">
        <f t="shared" si="43"/>
        <v>594333</v>
      </c>
      <c r="AN124" s="72">
        <v>15619824</v>
      </c>
      <c r="AO124" s="84"/>
      <c r="AU124" s="85"/>
      <c r="AV124" s="85"/>
      <c r="AW124" s="78">
        <v>120</v>
      </c>
      <c r="AX124" s="70">
        <v>44311</v>
      </c>
      <c r="BC124" s="85"/>
      <c r="BD124" s="85"/>
      <c r="BE124" s="84"/>
      <c r="BK124" s="85"/>
      <c r="BL124" s="85"/>
      <c r="BM124" s="84"/>
      <c r="BS124" s="85"/>
      <c r="BT124" s="85"/>
    </row>
    <row r="125" spans="1:72">
      <c r="A125" s="78">
        <v>121</v>
      </c>
      <c r="D125" s="99">
        <f t="shared" si="40"/>
        <v>578512</v>
      </c>
      <c r="E125" s="99">
        <f t="shared" si="41"/>
        <v>14763</v>
      </c>
      <c r="F125" s="101">
        <f t="shared" si="35"/>
        <v>30</v>
      </c>
      <c r="G125" s="102">
        <f t="shared" si="36"/>
        <v>593275</v>
      </c>
      <c r="H125" s="102">
        <f t="shared" si="37"/>
        <v>15041312</v>
      </c>
      <c r="I125" s="84"/>
      <c r="O125" s="85"/>
      <c r="P125" s="85"/>
      <c r="Q125" s="84"/>
      <c r="W125" s="85"/>
      <c r="X125" s="85"/>
      <c r="Y125" s="84"/>
      <c r="AE125" s="85"/>
      <c r="AF125" s="85"/>
      <c r="AG125" s="84"/>
      <c r="AH125" s="70">
        <v>44326</v>
      </c>
      <c r="AI125" s="72">
        <f t="shared" si="42"/>
        <v>593275</v>
      </c>
      <c r="AJ125" s="72">
        <v>578512</v>
      </c>
      <c r="AK125" s="72">
        <v>14763</v>
      </c>
      <c r="AL125" s="72">
        <v>30</v>
      </c>
      <c r="AM125" s="72">
        <f t="shared" si="43"/>
        <v>593275</v>
      </c>
      <c r="AN125" s="72">
        <v>15041312</v>
      </c>
      <c r="AO125" s="84"/>
      <c r="AU125" s="85"/>
      <c r="AV125" s="85"/>
      <c r="AW125" s="78">
        <v>121</v>
      </c>
      <c r="AX125" s="70">
        <v>44341</v>
      </c>
      <c r="BC125" s="85"/>
      <c r="BD125" s="85"/>
      <c r="BE125" s="84"/>
      <c r="BK125" s="85"/>
      <c r="BL125" s="85"/>
      <c r="BM125" s="84"/>
      <c r="BS125" s="85"/>
      <c r="BT125" s="85"/>
    </row>
    <row r="126" spans="1:72">
      <c r="A126" s="78">
        <v>122</v>
      </c>
      <c r="D126" s="99">
        <f t="shared" si="40"/>
        <v>578512</v>
      </c>
      <c r="E126" s="99">
        <f t="shared" si="41"/>
        <v>14691</v>
      </c>
      <c r="F126" s="101">
        <f t="shared" si="35"/>
        <v>31</v>
      </c>
      <c r="G126" s="102">
        <f t="shared" si="36"/>
        <v>593203</v>
      </c>
      <c r="H126" s="102">
        <f t="shared" si="37"/>
        <v>14462800</v>
      </c>
      <c r="I126" s="84"/>
      <c r="O126" s="85"/>
      <c r="P126" s="85"/>
      <c r="Q126" s="84"/>
      <c r="W126" s="85"/>
      <c r="X126" s="85"/>
      <c r="Y126" s="84"/>
      <c r="AE126" s="85"/>
      <c r="AF126" s="85"/>
      <c r="AG126" s="84"/>
      <c r="AH126" s="70">
        <v>44357</v>
      </c>
      <c r="AI126" s="72">
        <f t="shared" si="42"/>
        <v>593203</v>
      </c>
      <c r="AJ126" s="72">
        <v>578512</v>
      </c>
      <c r="AK126" s="72">
        <v>14691</v>
      </c>
      <c r="AL126" s="72">
        <v>31</v>
      </c>
      <c r="AM126" s="72">
        <f t="shared" si="43"/>
        <v>593203</v>
      </c>
      <c r="AN126" s="72">
        <v>14462800</v>
      </c>
      <c r="AO126" s="84"/>
      <c r="AU126" s="85"/>
      <c r="AV126" s="85"/>
      <c r="AW126" s="78">
        <v>122</v>
      </c>
      <c r="AX126" s="70">
        <v>44372</v>
      </c>
      <c r="BC126" s="85"/>
      <c r="BD126" s="85"/>
      <c r="BE126" s="84"/>
      <c r="BK126" s="85"/>
      <c r="BL126" s="85"/>
      <c r="BM126" s="84"/>
      <c r="BS126" s="85"/>
      <c r="BT126" s="85"/>
    </row>
    <row r="127" spans="1:72">
      <c r="A127" s="78">
        <v>123</v>
      </c>
      <c r="D127" s="99">
        <f t="shared" si="40"/>
        <v>578512</v>
      </c>
      <c r="E127" s="99">
        <f t="shared" si="41"/>
        <v>13670</v>
      </c>
      <c r="F127" s="101">
        <f t="shared" si="35"/>
        <v>30</v>
      </c>
      <c r="G127" s="102">
        <f t="shared" si="36"/>
        <v>592182</v>
      </c>
      <c r="H127" s="102">
        <f t="shared" si="37"/>
        <v>13884288</v>
      </c>
      <c r="I127" s="84"/>
      <c r="O127" s="85"/>
      <c r="P127" s="85"/>
      <c r="Q127" s="84"/>
      <c r="W127" s="85"/>
      <c r="X127" s="85"/>
      <c r="Y127" s="84"/>
      <c r="AE127" s="85"/>
      <c r="AF127" s="85"/>
      <c r="AG127" s="84"/>
      <c r="AH127" s="70">
        <v>44387</v>
      </c>
      <c r="AI127" s="72">
        <f t="shared" si="42"/>
        <v>592182</v>
      </c>
      <c r="AJ127" s="72">
        <v>578512</v>
      </c>
      <c r="AK127" s="72">
        <v>13670</v>
      </c>
      <c r="AL127" s="72">
        <v>30</v>
      </c>
      <c r="AM127" s="72">
        <f t="shared" si="43"/>
        <v>592182</v>
      </c>
      <c r="AN127" s="72">
        <v>13884288</v>
      </c>
      <c r="AO127" s="84"/>
      <c r="AU127" s="85"/>
      <c r="AV127" s="85"/>
      <c r="AW127" s="78">
        <v>123</v>
      </c>
      <c r="AX127" s="70">
        <v>44402</v>
      </c>
      <c r="BC127" s="85"/>
      <c r="BD127" s="85"/>
      <c r="BE127" s="84"/>
      <c r="BK127" s="85"/>
      <c r="BL127" s="85"/>
      <c r="BM127" s="84"/>
      <c r="BS127" s="85"/>
      <c r="BT127" s="85"/>
    </row>
    <row r="128" spans="1:72">
      <c r="A128" s="78">
        <v>124</v>
      </c>
      <c r="D128" s="99">
        <f t="shared" si="40"/>
        <v>578512</v>
      </c>
      <c r="E128" s="99">
        <f t="shared" si="41"/>
        <v>13560</v>
      </c>
      <c r="F128" s="101">
        <f t="shared" si="35"/>
        <v>31</v>
      </c>
      <c r="G128" s="102">
        <f t="shared" si="36"/>
        <v>592072</v>
      </c>
      <c r="H128" s="102">
        <f t="shared" si="37"/>
        <v>13305776</v>
      </c>
      <c r="I128" s="84"/>
      <c r="O128" s="85"/>
      <c r="P128" s="85"/>
      <c r="Q128" s="84"/>
      <c r="W128" s="85"/>
      <c r="X128" s="85"/>
      <c r="Y128" s="84"/>
      <c r="AE128" s="85"/>
      <c r="AF128" s="85"/>
      <c r="AG128" s="84"/>
      <c r="AH128" s="70">
        <v>44418</v>
      </c>
      <c r="AI128" s="72">
        <f t="shared" si="42"/>
        <v>592072</v>
      </c>
      <c r="AJ128" s="72">
        <v>578512</v>
      </c>
      <c r="AK128" s="72">
        <v>13560</v>
      </c>
      <c r="AL128" s="72">
        <v>31</v>
      </c>
      <c r="AM128" s="72">
        <f t="shared" si="43"/>
        <v>592072</v>
      </c>
      <c r="AN128" s="72">
        <v>13305776</v>
      </c>
      <c r="AO128" s="84"/>
      <c r="AU128" s="85"/>
      <c r="AV128" s="85"/>
      <c r="AW128" s="78">
        <v>124</v>
      </c>
      <c r="AX128" s="70">
        <v>44433</v>
      </c>
      <c r="BC128" s="85"/>
      <c r="BD128" s="85"/>
      <c r="BE128" s="84"/>
      <c r="BK128" s="85"/>
      <c r="BL128" s="85"/>
      <c r="BM128" s="84"/>
      <c r="BS128" s="85"/>
      <c r="BT128" s="85"/>
    </row>
    <row r="129" spans="1:72">
      <c r="A129" s="78">
        <v>125</v>
      </c>
      <c r="D129" s="99">
        <f t="shared" si="40"/>
        <v>578512</v>
      </c>
      <c r="E129" s="99">
        <f t="shared" si="41"/>
        <v>12995</v>
      </c>
      <c r="F129" s="101">
        <f t="shared" si="35"/>
        <v>31</v>
      </c>
      <c r="G129" s="102">
        <f t="shared" si="36"/>
        <v>591507</v>
      </c>
      <c r="H129" s="102">
        <f t="shared" si="37"/>
        <v>12727264</v>
      </c>
      <c r="I129" s="84"/>
      <c r="O129" s="85"/>
      <c r="P129" s="85"/>
      <c r="Q129" s="84"/>
      <c r="W129" s="85"/>
      <c r="X129" s="85"/>
      <c r="Y129" s="84"/>
      <c r="AE129" s="85"/>
      <c r="AF129" s="85"/>
      <c r="AG129" s="84"/>
      <c r="AH129" s="70">
        <v>44449</v>
      </c>
      <c r="AI129" s="72">
        <f t="shared" si="42"/>
        <v>591507</v>
      </c>
      <c r="AJ129" s="72">
        <v>578512</v>
      </c>
      <c r="AK129" s="72">
        <v>12995</v>
      </c>
      <c r="AL129" s="72">
        <v>31</v>
      </c>
      <c r="AM129" s="72">
        <f t="shared" si="43"/>
        <v>591507</v>
      </c>
      <c r="AN129" s="72">
        <v>12727264</v>
      </c>
      <c r="AO129" s="84"/>
      <c r="AU129" s="85"/>
      <c r="AV129" s="85"/>
      <c r="AW129" s="78">
        <v>125</v>
      </c>
      <c r="AX129" s="70">
        <v>44464</v>
      </c>
      <c r="BC129" s="85"/>
      <c r="BD129" s="85"/>
      <c r="BE129" s="84"/>
      <c r="BK129" s="85"/>
      <c r="BL129" s="85"/>
      <c r="BM129" s="84"/>
      <c r="BS129" s="85"/>
      <c r="BT129" s="85"/>
    </row>
    <row r="130" spans="1:72">
      <c r="A130" s="78">
        <v>126</v>
      </c>
      <c r="D130" s="99">
        <f t="shared" si="40"/>
        <v>578512</v>
      </c>
      <c r="E130" s="99">
        <f t="shared" si="41"/>
        <v>12029</v>
      </c>
      <c r="G130" s="85"/>
      <c r="H130" s="85"/>
      <c r="I130" s="84"/>
      <c r="O130" s="85"/>
      <c r="P130" s="85"/>
      <c r="Q130" s="84"/>
      <c r="W130" s="85"/>
      <c r="X130" s="85"/>
      <c r="Y130" s="84"/>
      <c r="AE130" s="85"/>
      <c r="AF130" s="85"/>
      <c r="AG130" s="84"/>
      <c r="AH130" s="70">
        <v>44479</v>
      </c>
      <c r="AI130" s="72">
        <f t="shared" si="42"/>
        <v>590541</v>
      </c>
      <c r="AJ130" s="72">
        <v>578512</v>
      </c>
      <c r="AK130" s="72">
        <v>12029</v>
      </c>
      <c r="AL130" s="72">
        <v>30</v>
      </c>
      <c r="AM130" s="72">
        <f t="shared" si="43"/>
        <v>590541</v>
      </c>
      <c r="AN130" s="72">
        <v>12148752</v>
      </c>
      <c r="AO130" s="84"/>
      <c r="AU130" s="85"/>
      <c r="AV130" s="85"/>
      <c r="AW130" s="78">
        <v>126</v>
      </c>
      <c r="AX130" s="70">
        <v>44494</v>
      </c>
      <c r="BC130" s="85"/>
      <c r="BD130" s="85"/>
      <c r="BE130" s="84"/>
      <c r="BK130" s="85"/>
      <c r="BL130" s="85"/>
      <c r="BM130" s="84"/>
      <c r="BS130" s="85"/>
      <c r="BT130" s="85"/>
    </row>
    <row r="131" spans="1:72">
      <c r="A131" s="78">
        <v>127</v>
      </c>
      <c r="D131" s="99">
        <f t="shared" si="40"/>
        <v>578512</v>
      </c>
      <c r="E131" s="99">
        <f t="shared" si="41"/>
        <v>11865</v>
      </c>
      <c r="G131" s="85"/>
      <c r="H131" s="85"/>
      <c r="I131" s="84"/>
      <c r="O131" s="85"/>
      <c r="P131" s="85"/>
      <c r="Q131" s="84"/>
      <c r="W131" s="85"/>
      <c r="X131" s="85"/>
      <c r="Y131" s="84"/>
      <c r="AE131" s="85"/>
      <c r="AF131" s="85"/>
      <c r="AG131" s="84"/>
      <c r="AH131" s="70">
        <v>44510</v>
      </c>
      <c r="AI131" s="72">
        <f t="shared" si="42"/>
        <v>590377</v>
      </c>
      <c r="AJ131" s="72">
        <v>578512</v>
      </c>
      <c r="AK131" s="72">
        <v>11865</v>
      </c>
      <c r="AL131" s="72">
        <v>31</v>
      </c>
      <c r="AM131" s="72">
        <f t="shared" si="43"/>
        <v>590377</v>
      </c>
      <c r="AN131" s="72">
        <v>11570240</v>
      </c>
      <c r="AO131" s="84"/>
      <c r="AU131" s="85"/>
      <c r="AV131" s="85"/>
      <c r="AW131" s="78">
        <v>127</v>
      </c>
      <c r="AX131" s="70">
        <v>44525</v>
      </c>
      <c r="BC131" s="85"/>
      <c r="BD131" s="85"/>
      <c r="BE131" s="84"/>
      <c r="BK131" s="85"/>
      <c r="BL131" s="85"/>
      <c r="BM131" s="84"/>
      <c r="BS131" s="85"/>
      <c r="BT131" s="85"/>
    </row>
    <row r="132" spans="1:72">
      <c r="A132" s="78">
        <v>128</v>
      </c>
      <c r="D132" s="99">
        <f t="shared" si="40"/>
        <v>578512</v>
      </c>
      <c r="E132" s="99">
        <f t="shared" si="41"/>
        <v>10936</v>
      </c>
      <c r="G132" s="85"/>
      <c r="H132" s="85"/>
      <c r="I132" s="84"/>
      <c r="O132" s="85"/>
      <c r="P132" s="85"/>
      <c r="Q132" s="84"/>
      <c r="W132" s="85"/>
      <c r="X132" s="85"/>
      <c r="Y132" s="84"/>
      <c r="AE132" s="85"/>
      <c r="AF132" s="85"/>
      <c r="AG132" s="84"/>
      <c r="AH132" s="70">
        <v>44540</v>
      </c>
      <c r="AI132" s="72">
        <f t="shared" si="42"/>
        <v>589448</v>
      </c>
      <c r="AJ132" s="72">
        <v>578512</v>
      </c>
      <c r="AK132" s="72">
        <v>10936</v>
      </c>
      <c r="AL132" s="72">
        <v>30</v>
      </c>
      <c r="AM132" s="72">
        <f t="shared" si="43"/>
        <v>589448</v>
      </c>
      <c r="AN132" s="72">
        <v>10991728</v>
      </c>
      <c r="AO132" s="84"/>
      <c r="AU132" s="85"/>
      <c r="AV132" s="85"/>
      <c r="AW132" s="78">
        <v>128</v>
      </c>
      <c r="AX132" s="70">
        <v>44555</v>
      </c>
      <c r="BC132" s="85"/>
      <c r="BD132" s="85"/>
      <c r="BE132" s="84"/>
      <c r="BK132" s="85"/>
      <c r="BL132" s="85"/>
      <c r="BM132" s="84"/>
      <c r="BS132" s="85"/>
      <c r="BT132" s="85"/>
    </row>
    <row r="133" spans="1:72">
      <c r="A133" s="78">
        <v>129</v>
      </c>
      <c r="D133" s="99">
        <f t="shared" si="40"/>
        <v>578512</v>
      </c>
      <c r="E133" s="99">
        <f t="shared" si="41"/>
        <v>10735</v>
      </c>
      <c r="G133" s="85"/>
      <c r="H133" s="85"/>
      <c r="I133" s="84"/>
      <c r="O133" s="85"/>
      <c r="P133" s="85"/>
      <c r="Q133" s="84"/>
      <c r="W133" s="85"/>
      <c r="X133" s="85"/>
      <c r="Y133" s="84"/>
      <c r="AE133" s="85"/>
      <c r="AF133" s="85"/>
      <c r="AG133" s="84"/>
      <c r="AH133" s="70">
        <v>44571</v>
      </c>
      <c r="AI133" s="72">
        <f t="shared" ref="AI133:AI151" si="44">AM133+AR133</f>
        <v>589247</v>
      </c>
      <c r="AJ133" s="72">
        <v>578512</v>
      </c>
      <c r="AK133" s="72">
        <v>10735</v>
      </c>
      <c r="AL133" s="72">
        <v>31</v>
      </c>
      <c r="AM133" s="72">
        <f t="shared" ref="AM133:AM151" si="45">AJ133+AK133</f>
        <v>589247</v>
      </c>
      <c r="AN133" s="72">
        <v>10413216</v>
      </c>
      <c r="AO133" s="84"/>
      <c r="AU133" s="85"/>
      <c r="AV133" s="85"/>
      <c r="AW133" s="78">
        <v>129</v>
      </c>
      <c r="AX133" s="70">
        <v>44586</v>
      </c>
      <c r="BC133" s="85"/>
      <c r="BD133" s="85"/>
      <c r="BE133" s="84"/>
      <c r="BK133" s="85"/>
      <c r="BL133" s="85"/>
      <c r="BM133" s="84"/>
      <c r="BS133" s="85"/>
      <c r="BT133" s="85"/>
    </row>
    <row r="134" spans="1:72">
      <c r="A134" s="78">
        <v>130</v>
      </c>
      <c r="D134" s="99">
        <f t="shared" si="40"/>
        <v>578512</v>
      </c>
      <c r="E134" s="99">
        <f t="shared" si="41"/>
        <v>10170</v>
      </c>
      <c r="G134" s="85"/>
      <c r="H134" s="85"/>
      <c r="I134" s="84"/>
      <c r="O134" s="85"/>
      <c r="P134" s="85"/>
      <c r="Q134" s="84"/>
      <c r="W134" s="85"/>
      <c r="X134" s="85"/>
      <c r="Y134" s="84"/>
      <c r="AE134" s="85"/>
      <c r="AF134" s="85"/>
      <c r="AG134" s="84"/>
      <c r="AH134" s="70">
        <v>44602</v>
      </c>
      <c r="AI134" s="72">
        <f t="shared" si="44"/>
        <v>588682</v>
      </c>
      <c r="AJ134" s="72">
        <v>578512</v>
      </c>
      <c r="AK134" s="72">
        <v>10170</v>
      </c>
      <c r="AL134" s="72">
        <v>31</v>
      </c>
      <c r="AM134" s="72">
        <f t="shared" si="45"/>
        <v>588682</v>
      </c>
      <c r="AN134" s="72">
        <v>9834704</v>
      </c>
      <c r="AO134" s="84"/>
      <c r="AU134" s="85"/>
      <c r="AV134" s="85"/>
      <c r="AW134" s="78">
        <v>130</v>
      </c>
      <c r="AX134" s="70">
        <v>44617</v>
      </c>
      <c r="BC134" s="85"/>
      <c r="BD134" s="85"/>
      <c r="BE134" s="84"/>
      <c r="BK134" s="85"/>
      <c r="BL134" s="85"/>
      <c r="BM134" s="84"/>
      <c r="BS134" s="85"/>
      <c r="BT134" s="85"/>
    </row>
    <row r="135" spans="1:72">
      <c r="A135" s="78">
        <v>131</v>
      </c>
      <c r="D135" s="99">
        <f t="shared" si="40"/>
        <v>578512</v>
      </c>
      <c r="E135" s="99">
        <f t="shared" si="41"/>
        <v>8676</v>
      </c>
      <c r="G135" s="85"/>
      <c r="H135" s="85"/>
      <c r="I135" s="84"/>
      <c r="O135" s="85"/>
      <c r="P135" s="85"/>
      <c r="Q135" s="84"/>
      <c r="W135" s="85"/>
      <c r="X135" s="85"/>
      <c r="Y135" s="84"/>
      <c r="AE135" s="85"/>
      <c r="AF135" s="85"/>
      <c r="AG135" s="84"/>
      <c r="AH135" s="70">
        <v>44630</v>
      </c>
      <c r="AI135" s="72">
        <f t="shared" si="44"/>
        <v>587188</v>
      </c>
      <c r="AJ135" s="72">
        <v>578512</v>
      </c>
      <c r="AK135" s="72">
        <v>8676</v>
      </c>
      <c r="AL135" s="72">
        <v>28</v>
      </c>
      <c r="AM135" s="72">
        <f t="shared" si="45"/>
        <v>587188</v>
      </c>
      <c r="AN135" s="72">
        <v>9256192</v>
      </c>
      <c r="AO135" s="84"/>
      <c r="AU135" s="85"/>
      <c r="AV135" s="85"/>
      <c r="AW135" s="78">
        <v>131</v>
      </c>
      <c r="AX135" s="70">
        <v>44645</v>
      </c>
      <c r="BC135" s="85"/>
      <c r="BD135" s="85"/>
      <c r="BE135" s="84"/>
      <c r="BK135" s="85"/>
      <c r="BL135" s="85"/>
      <c r="BM135" s="84"/>
      <c r="BS135" s="85"/>
      <c r="BT135" s="85"/>
    </row>
    <row r="136" spans="1:72">
      <c r="A136" s="78">
        <v>132</v>
      </c>
      <c r="D136" s="99">
        <f t="shared" si="40"/>
        <v>578512</v>
      </c>
      <c r="E136" s="99">
        <f t="shared" si="41"/>
        <v>9040</v>
      </c>
      <c r="G136" s="85"/>
      <c r="H136" s="85"/>
      <c r="I136" s="84"/>
      <c r="O136" s="85"/>
      <c r="P136" s="85"/>
      <c r="Q136" s="84"/>
      <c r="W136" s="85"/>
      <c r="X136" s="85"/>
      <c r="Y136" s="84"/>
      <c r="AE136" s="85"/>
      <c r="AF136" s="85"/>
      <c r="AG136" s="84"/>
      <c r="AH136" s="70">
        <v>44661</v>
      </c>
      <c r="AI136" s="72">
        <f t="shared" si="44"/>
        <v>587552</v>
      </c>
      <c r="AJ136" s="72">
        <v>578512</v>
      </c>
      <c r="AK136" s="72">
        <v>9040</v>
      </c>
      <c r="AL136" s="72">
        <v>31</v>
      </c>
      <c r="AM136" s="72">
        <f t="shared" si="45"/>
        <v>587552</v>
      </c>
      <c r="AN136" s="72">
        <v>8677680</v>
      </c>
      <c r="AO136" s="84"/>
      <c r="AU136" s="85"/>
      <c r="AV136" s="85"/>
      <c r="AW136" s="78">
        <v>132</v>
      </c>
      <c r="AX136" s="70">
        <v>44676</v>
      </c>
      <c r="BC136" s="85"/>
      <c r="BD136" s="85"/>
      <c r="BE136" s="84"/>
      <c r="BK136" s="85"/>
      <c r="BL136" s="85"/>
      <c r="BM136" s="84"/>
      <c r="BS136" s="85"/>
      <c r="BT136" s="85"/>
    </row>
    <row r="137" spans="1:72">
      <c r="A137" s="78">
        <v>133</v>
      </c>
      <c r="D137" s="99">
        <f t="shared" si="40"/>
        <v>578512</v>
      </c>
      <c r="E137" s="99">
        <f t="shared" si="41"/>
        <v>8202</v>
      </c>
      <c r="G137" s="85"/>
      <c r="H137" s="85"/>
      <c r="I137" s="84"/>
      <c r="O137" s="85"/>
      <c r="P137" s="85"/>
      <c r="Q137" s="84"/>
      <c r="W137" s="85"/>
      <c r="X137" s="85"/>
      <c r="Y137" s="84"/>
      <c r="AE137" s="85"/>
      <c r="AF137" s="85"/>
      <c r="AG137" s="84"/>
      <c r="AH137" s="70">
        <v>44691</v>
      </c>
      <c r="AI137" s="72">
        <f t="shared" si="44"/>
        <v>586714</v>
      </c>
      <c r="AJ137" s="72">
        <v>578512</v>
      </c>
      <c r="AK137" s="72">
        <v>8202</v>
      </c>
      <c r="AL137" s="72">
        <v>30</v>
      </c>
      <c r="AM137" s="72">
        <f t="shared" si="45"/>
        <v>586714</v>
      </c>
      <c r="AN137" s="72">
        <v>8099168</v>
      </c>
      <c r="AO137" s="84"/>
      <c r="AU137" s="85"/>
      <c r="AV137" s="85"/>
      <c r="AW137" s="78">
        <v>133</v>
      </c>
      <c r="AX137" s="70">
        <v>44706</v>
      </c>
      <c r="BC137" s="85"/>
      <c r="BD137" s="85"/>
      <c r="BE137" s="84"/>
      <c r="BK137" s="85"/>
      <c r="BL137" s="85"/>
      <c r="BM137" s="84"/>
      <c r="BS137" s="85"/>
      <c r="BT137" s="85"/>
    </row>
    <row r="138" spans="1:72">
      <c r="A138" s="78">
        <v>134</v>
      </c>
      <c r="D138" s="99">
        <f t="shared" si="40"/>
        <v>578512</v>
      </c>
      <c r="E138" s="99">
        <f t="shared" si="41"/>
        <v>7910</v>
      </c>
      <c r="G138" s="85"/>
      <c r="H138" s="85"/>
      <c r="I138" s="84"/>
      <c r="O138" s="85"/>
      <c r="P138" s="85"/>
      <c r="Q138" s="84"/>
      <c r="W138" s="85"/>
      <c r="X138" s="85"/>
      <c r="Y138" s="84"/>
      <c r="AE138" s="85"/>
      <c r="AF138" s="85"/>
      <c r="AG138" s="84"/>
      <c r="AH138" s="70">
        <v>44722</v>
      </c>
      <c r="AI138" s="72">
        <f t="shared" si="44"/>
        <v>586422</v>
      </c>
      <c r="AJ138" s="72">
        <v>578512</v>
      </c>
      <c r="AK138" s="72">
        <v>7910</v>
      </c>
      <c r="AL138" s="72">
        <v>31</v>
      </c>
      <c r="AM138" s="72">
        <f t="shared" si="45"/>
        <v>586422</v>
      </c>
      <c r="AN138" s="72">
        <v>7520656</v>
      </c>
      <c r="AO138" s="84"/>
      <c r="AU138" s="85"/>
      <c r="AV138" s="85"/>
      <c r="AW138" s="78">
        <v>134</v>
      </c>
      <c r="AX138" s="70">
        <v>44737</v>
      </c>
      <c r="BC138" s="85"/>
      <c r="BD138" s="85"/>
      <c r="BE138" s="84"/>
      <c r="BK138" s="85"/>
      <c r="BL138" s="85"/>
      <c r="BM138" s="84"/>
      <c r="BS138" s="85"/>
      <c r="BT138" s="85"/>
    </row>
    <row r="139" spans="1:72">
      <c r="A139" s="78">
        <v>135</v>
      </c>
      <c r="D139" s="99">
        <f t="shared" si="40"/>
        <v>578512</v>
      </c>
      <c r="E139" s="99">
        <f t="shared" si="41"/>
        <v>7108</v>
      </c>
      <c r="G139" s="85"/>
      <c r="H139" s="85"/>
      <c r="I139" s="84"/>
      <c r="O139" s="85"/>
      <c r="P139" s="85"/>
      <c r="Q139" s="84"/>
      <c r="W139" s="85"/>
      <c r="X139" s="85"/>
      <c r="Y139" s="84"/>
      <c r="AE139" s="85"/>
      <c r="AF139" s="85"/>
      <c r="AG139" s="84"/>
      <c r="AH139" s="70">
        <v>44752</v>
      </c>
      <c r="AI139" s="72">
        <f t="shared" si="44"/>
        <v>585620</v>
      </c>
      <c r="AJ139" s="72">
        <v>578512</v>
      </c>
      <c r="AK139" s="72">
        <v>7108</v>
      </c>
      <c r="AL139" s="72">
        <v>30</v>
      </c>
      <c r="AM139" s="72">
        <f t="shared" si="45"/>
        <v>585620</v>
      </c>
      <c r="AN139" s="72">
        <v>6942144</v>
      </c>
      <c r="AO139" s="84"/>
      <c r="AU139" s="85"/>
      <c r="AV139" s="85"/>
      <c r="AW139" s="78">
        <v>135</v>
      </c>
      <c r="AX139" s="70">
        <v>44767</v>
      </c>
      <c r="BC139" s="85"/>
      <c r="BD139" s="85"/>
      <c r="BE139" s="84"/>
      <c r="BK139" s="85"/>
      <c r="BL139" s="85"/>
      <c r="BM139" s="84"/>
      <c r="BS139" s="85"/>
      <c r="BT139" s="85"/>
    </row>
    <row r="140" spans="1:72">
      <c r="A140" s="78">
        <v>136</v>
      </c>
      <c r="D140" s="99">
        <f t="shared" si="40"/>
        <v>578512</v>
      </c>
      <c r="E140" s="99">
        <f t="shared" si="41"/>
        <v>6780</v>
      </c>
      <c r="G140" s="85"/>
      <c r="H140" s="85"/>
      <c r="I140" s="84"/>
      <c r="O140" s="85"/>
      <c r="P140" s="85"/>
      <c r="Q140" s="84"/>
      <c r="W140" s="85"/>
      <c r="X140" s="85"/>
      <c r="Y140" s="84"/>
      <c r="AE140" s="85"/>
      <c r="AF140" s="85"/>
      <c r="AG140" s="84"/>
      <c r="AH140" s="70">
        <v>44783</v>
      </c>
      <c r="AI140" s="72">
        <f t="shared" si="44"/>
        <v>585292</v>
      </c>
      <c r="AJ140" s="72">
        <v>578512</v>
      </c>
      <c r="AK140" s="72">
        <v>6780</v>
      </c>
      <c r="AL140" s="72">
        <v>31</v>
      </c>
      <c r="AM140" s="72">
        <f t="shared" si="45"/>
        <v>585292</v>
      </c>
      <c r="AN140" s="72">
        <v>6363632</v>
      </c>
      <c r="AO140" s="84"/>
      <c r="AU140" s="85"/>
      <c r="AV140" s="85"/>
      <c r="AW140" s="78">
        <v>136</v>
      </c>
      <c r="AX140" s="70">
        <v>44798</v>
      </c>
      <c r="BC140" s="85"/>
      <c r="BD140" s="85"/>
      <c r="BE140" s="84"/>
      <c r="BK140" s="85"/>
      <c r="BL140" s="85"/>
      <c r="BM140" s="84"/>
      <c r="BS140" s="85"/>
      <c r="BT140" s="85"/>
    </row>
    <row r="141" spans="1:72">
      <c r="A141" s="78">
        <v>137</v>
      </c>
      <c r="D141" s="99">
        <f t="shared" si="40"/>
        <v>578512</v>
      </c>
      <c r="E141" s="99">
        <f t="shared" si="41"/>
        <v>6215</v>
      </c>
      <c r="G141" s="85"/>
      <c r="H141" s="85"/>
      <c r="I141" s="84"/>
      <c r="O141" s="85"/>
      <c r="P141" s="85"/>
      <c r="Q141" s="84"/>
      <c r="W141" s="85"/>
      <c r="X141" s="85"/>
      <c r="Y141" s="84"/>
      <c r="AE141" s="85"/>
      <c r="AF141" s="85"/>
      <c r="AG141" s="84"/>
      <c r="AH141" s="70">
        <v>44814</v>
      </c>
      <c r="AI141" s="72">
        <f t="shared" si="44"/>
        <v>584727</v>
      </c>
      <c r="AJ141" s="72">
        <v>578512</v>
      </c>
      <c r="AK141" s="72">
        <v>6215</v>
      </c>
      <c r="AL141" s="72">
        <v>31</v>
      </c>
      <c r="AM141" s="72">
        <f t="shared" si="45"/>
        <v>584727</v>
      </c>
      <c r="AN141" s="72">
        <v>5785120</v>
      </c>
      <c r="AO141" s="84"/>
      <c r="AU141" s="85"/>
      <c r="AV141" s="85"/>
      <c r="AW141" s="78">
        <v>137</v>
      </c>
      <c r="AX141" s="70">
        <v>44829</v>
      </c>
      <c r="BC141" s="85"/>
      <c r="BD141" s="85"/>
      <c r="BE141" s="84"/>
      <c r="BK141" s="85"/>
      <c r="BL141" s="85"/>
      <c r="BM141" s="84"/>
      <c r="BS141" s="85"/>
      <c r="BT141" s="85"/>
    </row>
    <row r="142" spans="1:72">
      <c r="A142" s="78">
        <v>138</v>
      </c>
      <c r="D142" s="99">
        <f t="shared" si="40"/>
        <v>578512</v>
      </c>
      <c r="E142" s="99">
        <f t="shared" si="41"/>
        <v>5468</v>
      </c>
      <c r="G142" s="85"/>
      <c r="H142" s="85"/>
      <c r="I142" s="84"/>
      <c r="O142" s="85"/>
      <c r="P142" s="85"/>
      <c r="Q142" s="84"/>
      <c r="W142" s="85"/>
      <c r="X142" s="85"/>
      <c r="Y142" s="84"/>
      <c r="AE142" s="85"/>
      <c r="AF142" s="85"/>
      <c r="AG142" s="84"/>
      <c r="AH142" s="70">
        <v>44844</v>
      </c>
      <c r="AI142" s="72">
        <f t="shared" si="44"/>
        <v>583980</v>
      </c>
      <c r="AJ142" s="72">
        <v>578512</v>
      </c>
      <c r="AK142" s="72">
        <v>5468</v>
      </c>
      <c r="AL142" s="72">
        <v>30</v>
      </c>
      <c r="AM142" s="72">
        <f t="shared" si="45"/>
        <v>583980</v>
      </c>
      <c r="AN142" s="72">
        <v>5206608</v>
      </c>
      <c r="AO142" s="84"/>
      <c r="AU142" s="85"/>
      <c r="AV142" s="85"/>
      <c r="AW142" s="78">
        <v>138</v>
      </c>
      <c r="AX142" s="70">
        <v>44859</v>
      </c>
      <c r="BC142" s="85"/>
      <c r="BD142" s="85"/>
      <c r="BE142" s="84"/>
      <c r="BK142" s="85"/>
      <c r="BL142" s="85"/>
      <c r="BM142" s="84"/>
      <c r="BS142" s="85"/>
      <c r="BT142" s="85"/>
    </row>
    <row r="143" spans="1:72">
      <c r="A143" s="78">
        <v>139</v>
      </c>
      <c r="D143" s="99">
        <f t="shared" si="40"/>
        <v>578512</v>
      </c>
      <c r="E143" s="99">
        <f t="shared" si="41"/>
        <v>5085</v>
      </c>
      <c r="G143" s="85"/>
      <c r="H143" s="85"/>
      <c r="I143" s="84"/>
      <c r="O143" s="85"/>
      <c r="P143" s="85"/>
      <c r="Q143" s="84"/>
      <c r="W143" s="85"/>
      <c r="X143" s="85"/>
      <c r="Y143" s="84"/>
      <c r="AE143" s="85"/>
      <c r="AF143" s="85"/>
      <c r="AG143" s="84"/>
      <c r="AH143" s="70">
        <v>44875</v>
      </c>
      <c r="AI143" s="72">
        <f t="shared" si="44"/>
        <v>583597</v>
      </c>
      <c r="AJ143" s="72">
        <v>578512</v>
      </c>
      <c r="AK143" s="72">
        <v>5085</v>
      </c>
      <c r="AL143" s="72">
        <v>31</v>
      </c>
      <c r="AM143" s="72">
        <f t="shared" si="45"/>
        <v>583597</v>
      </c>
      <c r="AN143" s="72">
        <v>4628096</v>
      </c>
      <c r="AO143" s="84"/>
      <c r="AU143" s="85"/>
      <c r="AV143" s="85"/>
      <c r="AW143" s="78">
        <v>139</v>
      </c>
      <c r="AX143" s="70">
        <v>44890</v>
      </c>
      <c r="BC143" s="85"/>
      <c r="BD143" s="85"/>
      <c r="BE143" s="84"/>
      <c r="BK143" s="85"/>
      <c r="BL143" s="85"/>
      <c r="BM143" s="84"/>
      <c r="BS143" s="85"/>
      <c r="BT143" s="85"/>
    </row>
    <row r="144" spans="1:72">
      <c r="A144" s="78">
        <v>140</v>
      </c>
      <c r="D144" s="99">
        <f t="shared" si="40"/>
        <v>578512</v>
      </c>
      <c r="E144" s="99">
        <f t="shared" si="41"/>
        <v>4374</v>
      </c>
      <c r="G144" s="85"/>
      <c r="H144" s="85"/>
      <c r="I144" s="84"/>
      <c r="O144" s="85"/>
      <c r="P144" s="85"/>
      <c r="Q144" s="84"/>
      <c r="W144" s="85"/>
      <c r="X144" s="85"/>
      <c r="Y144" s="84"/>
      <c r="AE144" s="85"/>
      <c r="AF144" s="85"/>
      <c r="AG144" s="84"/>
      <c r="AH144" s="70">
        <v>44905</v>
      </c>
      <c r="AI144" s="72">
        <f t="shared" si="44"/>
        <v>582886</v>
      </c>
      <c r="AJ144" s="72">
        <v>578512</v>
      </c>
      <c r="AK144" s="72">
        <v>4374</v>
      </c>
      <c r="AL144" s="72">
        <v>30</v>
      </c>
      <c r="AM144" s="72">
        <f t="shared" si="45"/>
        <v>582886</v>
      </c>
      <c r="AN144" s="72">
        <v>4049584</v>
      </c>
      <c r="AO144" s="84"/>
      <c r="AU144" s="85"/>
      <c r="AV144" s="85"/>
      <c r="AW144" s="78">
        <v>140</v>
      </c>
      <c r="AX144" s="70">
        <v>44920</v>
      </c>
      <c r="BC144" s="85"/>
      <c r="BD144" s="85"/>
      <c r="BE144" s="84"/>
      <c r="BK144" s="85"/>
      <c r="BL144" s="85"/>
      <c r="BM144" s="84"/>
      <c r="BS144" s="85"/>
      <c r="BT144" s="85"/>
    </row>
    <row r="145" spans="1:72">
      <c r="A145" s="78">
        <v>141</v>
      </c>
      <c r="D145" s="99">
        <f t="shared" si="40"/>
        <v>578512</v>
      </c>
      <c r="E145" s="99">
        <f t="shared" si="41"/>
        <v>3955</v>
      </c>
      <c r="G145" s="85"/>
      <c r="H145" s="85"/>
      <c r="I145" s="84"/>
      <c r="O145" s="85"/>
      <c r="P145" s="85"/>
      <c r="Q145" s="84"/>
      <c r="W145" s="85"/>
      <c r="X145" s="85"/>
      <c r="Y145" s="84"/>
      <c r="AE145" s="85"/>
      <c r="AF145" s="85"/>
      <c r="AG145" s="84"/>
      <c r="AH145" s="70">
        <v>44936</v>
      </c>
      <c r="AI145" s="72">
        <f t="shared" si="44"/>
        <v>582467</v>
      </c>
      <c r="AJ145" s="72">
        <v>578512</v>
      </c>
      <c r="AK145" s="72">
        <v>3955</v>
      </c>
      <c r="AL145" s="72">
        <v>31</v>
      </c>
      <c r="AM145" s="72">
        <f t="shared" si="45"/>
        <v>582467</v>
      </c>
      <c r="AN145" s="72">
        <v>3471072</v>
      </c>
      <c r="AO145" s="84"/>
      <c r="AU145" s="85"/>
      <c r="AV145" s="85"/>
      <c r="AW145" s="78">
        <v>141</v>
      </c>
      <c r="AX145" s="70">
        <v>44951</v>
      </c>
      <c r="BC145" s="85"/>
      <c r="BD145" s="85"/>
      <c r="BE145" s="84"/>
      <c r="BK145" s="85"/>
      <c r="BL145" s="85"/>
      <c r="BM145" s="84"/>
      <c r="BS145" s="85"/>
      <c r="BT145" s="85"/>
    </row>
    <row r="146" spans="1:72">
      <c r="A146" s="78">
        <v>142</v>
      </c>
      <c r="D146" s="99">
        <f t="shared" si="40"/>
        <v>578512</v>
      </c>
      <c r="E146" s="99">
        <f t="shared" si="41"/>
        <v>3390</v>
      </c>
      <c r="G146" s="85"/>
      <c r="H146" s="85"/>
      <c r="I146" s="84"/>
      <c r="O146" s="85"/>
      <c r="P146" s="85"/>
      <c r="Q146" s="84"/>
      <c r="W146" s="85"/>
      <c r="X146" s="85"/>
      <c r="Y146" s="84"/>
      <c r="AE146" s="85"/>
      <c r="AF146" s="85"/>
      <c r="AG146" s="84"/>
      <c r="AH146" s="70">
        <v>44967</v>
      </c>
      <c r="AI146" s="72">
        <f t="shared" si="44"/>
        <v>581902</v>
      </c>
      <c r="AJ146" s="72">
        <v>578512</v>
      </c>
      <c r="AK146" s="72">
        <v>3390</v>
      </c>
      <c r="AL146" s="72">
        <v>31</v>
      </c>
      <c r="AM146" s="72">
        <f t="shared" si="45"/>
        <v>581902</v>
      </c>
      <c r="AN146" s="72">
        <v>2892560</v>
      </c>
      <c r="AO146" s="84"/>
      <c r="AU146" s="85"/>
      <c r="AV146" s="85"/>
      <c r="AW146" s="78">
        <v>142</v>
      </c>
      <c r="AX146" s="70">
        <v>44982</v>
      </c>
      <c r="BC146" s="85"/>
      <c r="BD146" s="85"/>
      <c r="BE146" s="84"/>
      <c r="BK146" s="85"/>
      <c r="BL146" s="85"/>
      <c r="BM146" s="84"/>
      <c r="BS146" s="85"/>
      <c r="BT146" s="85"/>
    </row>
    <row r="147" spans="1:72">
      <c r="A147" s="78">
        <v>143</v>
      </c>
      <c r="D147" s="99">
        <f t="shared" si="40"/>
        <v>578512</v>
      </c>
      <c r="E147" s="99">
        <f t="shared" si="41"/>
        <v>2551</v>
      </c>
      <c r="G147" s="85"/>
      <c r="H147" s="85"/>
      <c r="I147" s="84"/>
      <c r="O147" s="85"/>
      <c r="P147" s="85"/>
      <c r="Q147" s="84"/>
      <c r="W147" s="85"/>
      <c r="X147" s="85"/>
      <c r="Y147" s="84"/>
      <c r="AE147" s="85"/>
      <c r="AF147" s="85"/>
      <c r="AG147" s="84"/>
      <c r="AH147" s="70">
        <v>44995</v>
      </c>
      <c r="AI147" s="72">
        <f t="shared" si="44"/>
        <v>581063</v>
      </c>
      <c r="AJ147" s="72">
        <v>578512</v>
      </c>
      <c r="AK147" s="72">
        <v>2551</v>
      </c>
      <c r="AL147" s="72">
        <v>28</v>
      </c>
      <c r="AM147" s="72">
        <f t="shared" si="45"/>
        <v>581063</v>
      </c>
      <c r="AN147" s="72">
        <v>2314048</v>
      </c>
      <c r="AO147" s="84"/>
      <c r="AU147" s="85"/>
      <c r="AV147" s="85"/>
      <c r="AW147" s="78">
        <v>143</v>
      </c>
      <c r="AX147" s="70">
        <v>45010</v>
      </c>
      <c r="BC147" s="85"/>
      <c r="BD147" s="85"/>
      <c r="BE147" s="84"/>
      <c r="BK147" s="85"/>
      <c r="BL147" s="85"/>
      <c r="BM147" s="84"/>
      <c r="BS147" s="85"/>
      <c r="BT147" s="85"/>
    </row>
    <row r="148" spans="1:72">
      <c r="A148" s="78">
        <v>144</v>
      </c>
      <c r="D148" s="99">
        <f t="shared" si="40"/>
        <v>578512</v>
      </c>
      <c r="E148" s="99">
        <f t="shared" si="41"/>
        <v>2260</v>
      </c>
      <c r="G148" s="85"/>
      <c r="H148" s="85"/>
      <c r="I148" s="84"/>
      <c r="O148" s="85"/>
      <c r="P148" s="85"/>
      <c r="Q148" s="84"/>
      <c r="W148" s="85"/>
      <c r="X148" s="85"/>
      <c r="Y148" s="84"/>
      <c r="AE148" s="85"/>
      <c r="AF148" s="85"/>
      <c r="AG148" s="84"/>
      <c r="AH148" s="70">
        <v>45026</v>
      </c>
      <c r="AI148" s="72">
        <f t="shared" si="44"/>
        <v>580772</v>
      </c>
      <c r="AJ148" s="72">
        <v>578512</v>
      </c>
      <c r="AK148" s="72">
        <v>2260</v>
      </c>
      <c r="AL148" s="72">
        <v>31</v>
      </c>
      <c r="AM148" s="72">
        <f t="shared" si="45"/>
        <v>580772</v>
      </c>
      <c r="AN148" s="72">
        <v>1735536</v>
      </c>
      <c r="AO148" s="84"/>
      <c r="AU148" s="85"/>
      <c r="AV148" s="85"/>
      <c r="AW148" s="78">
        <v>144</v>
      </c>
      <c r="AX148" s="70">
        <v>45041</v>
      </c>
      <c r="BC148" s="85"/>
      <c r="BD148" s="85"/>
      <c r="BE148" s="84"/>
      <c r="BK148" s="85"/>
      <c r="BL148" s="85"/>
      <c r="BM148" s="84"/>
      <c r="BS148" s="85"/>
      <c r="BT148" s="85"/>
    </row>
    <row r="149" spans="1:72">
      <c r="A149" s="78">
        <v>145</v>
      </c>
      <c r="D149" s="99">
        <f t="shared" si="40"/>
        <v>578512</v>
      </c>
      <c r="E149" s="99">
        <f t="shared" si="41"/>
        <v>1640</v>
      </c>
      <c r="G149" s="85"/>
      <c r="H149" s="85"/>
      <c r="I149" s="84"/>
      <c r="O149" s="85"/>
      <c r="P149" s="85"/>
      <c r="Q149" s="84"/>
      <c r="W149" s="85"/>
      <c r="X149" s="85"/>
      <c r="Y149" s="84"/>
      <c r="AE149" s="85"/>
      <c r="AF149" s="85"/>
      <c r="AG149" s="84"/>
      <c r="AH149" s="70">
        <v>45056</v>
      </c>
      <c r="AI149" s="72">
        <f t="shared" si="44"/>
        <v>580152</v>
      </c>
      <c r="AJ149" s="72">
        <v>578512</v>
      </c>
      <c r="AK149" s="72">
        <v>1640</v>
      </c>
      <c r="AL149" s="72">
        <v>30</v>
      </c>
      <c r="AM149" s="72">
        <f t="shared" si="45"/>
        <v>580152</v>
      </c>
      <c r="AN149" s="72">
        <v>1157024</v>
      </c>
      <c r="AO149" s="84"/>
      <c r="AU149" s="85"/>
      <c r="AV149" s="85"/>
      <c r="AW149" s="78">
        <v>145</v>
      </c>
      <c r="AX149" s="70">
        <v>45071</v>
      </c>
      <c r="BC149" s="85"/>
      <c r="BD149" s="85"/>
      <c r="BE149" s="84"/>
      <c r="BK149" s="85"/>
      <c r="BL149" s="85"/>
      <c r="BM149" s="84"/>
      <c r="BS149" s="85"/>
      <c r="BT149" s="85"/>
    </row>
    <row r="150" spans="1:72">
      <c r="A150" s="78">
        <v>146</v>
      </c>
      <c r="D150" s="99">
        <f t="shared" si="40"/>
        <v>578512</v>
      </c>
      <c r="E150" s="99">
        <f t="shared" si="41"/>
        <v>1130</v>
      </c>
      <c r="G150" s="85"/>
      <c r="H150" s="85"/>
      <c r="I150" s="84"/>
      <c r="O150" s="85"/>
      <c r="P150" s="85"/>
      <c r="Q150" s="84"/>
      <c r="W150" s="85"/>
      <c r="X150" s="85"/>
      <c r="Y150" s="84"/>
      <c r="AE150" s="85"/>
      <c r="AF150" s="85"/>
      <c r="AG150" s="84"/>
      <c r="AH150" s="70">
        <v>45087</v>
      </c>
      <c r="AI150" s="72">
        <f t="shared" si="44"/>
        <v>579642</v>
      </c>
      <c r="AJ150" s="72">
        <v>578512</v>
      </c>
      <c r="AK150" s="72">
        <v>1130</v>
      </c>
      <c r="AL150" s="72">
        <v>31</v>
      </c>
      <c r="AM150" s="72">
        <f t="shared" si="45"/>
        <v>579642</v>
      </c>
      <c r="AN150" s="72">
        <v>578512</v>
      </c>
      <c r="AO150" s="84"/>
      <c r="AU150" s="85"/>
      <c r="AV150" s="85"/>
      <c r="AW150" s="78">
        <v>146</v>
      </c>
      <c r="AX150" s="70">
        <v>45102</v>
      </c>
      <c r="BC150" s="85"/>
      <c r="BD150" s="85"/>
      <c r="BE150" s="84"/>
      <c r="BK150" s="85"/>
      <c r="BL150" s="85"/>
      <c r="BM150" s="84"/>
      <c r="BS150" s="85"/>
      <c r="BT150" s="85"/>
    </row>
    <row r="151" spans="1:72">
      <c r="A151" s="78">
        <v>147</v>
      </c>
      <c r="D151" s="99">
        <f t="shared" si="40"/>
        <v>578512</v>
      </c>
      <c r="E151" s="99">
        <f t="shared" si="41"/>
        <v>546</v>
      </c>
      <c r="G151" s="85"/>
      <c r="H151" s="85"/>
      <c r="I151" s="84"/>
      <c r="O151" s="85"/>
      <c r="P151" s="85"/>
      <c r="Q151" s="84"/>
      <c r="W151" s="85"/>
      <c r="X151" s="85"/>
      <c r="Y151" s="84"/>
      <c r="AE151" s="85"/>
      <c r="AF151" s="85"/>
      <c r="AG151" s="84"/>
      <c r="AH151" s="70">
        <v>45117</v>
      </c>
      <c r="AI151" s="72">
        <f t="shared" si="44"/>
        <v>579058</v>
      </c>
      <c r="AJ151" s="72">
        <v>578512</v>
      </c>
      <c r="AK151" s="72">
        <v>546</v>
      </c>
      <c r="AL151" s="72">
        <v>30</v>
      </c>
      <c r="AM151" s="72">
        <f t="shared" si="45"/>
        <v>579058</v>
      </c>
      <c r="AN151" s="72">
        <v>0</v>
      </c>
      <c r="AO151" s="84"/>
      <c r="AU151" s="85"/>
      <c r="AV151" s="85"/>
      <c r="AW151" s="78">
        <v>147</v>
      </c>
      <c r="AX151" s="70">
        <v>45132</v>
      </c>
      <c r="BC151" s="85"/>
      <c r="BD151" s="85"/>
      <c r="BE151" s="84"/>
      <c r="BK151" s="85"/>
      <c r="BL151" s="85"/>
      <c r="BM151" s="84"/>
      <c r="BS151" s="85"/>
      <c r="BT151" s="85"/>
    </row>
    <row r="152" spans="1:72">
      <c r="A152" s="84"/>
      <c r="D152" s="99">
        <f t="shared" si="40"/>
        <v>0</v>
      </c>
      <c r="E152" s="99">
        <f t="shared" si="41"/>
        <v>0</v>
      </c>
      <c r="G152" s="85"/>
      <c r="H152" s="85"/>
      <c r="I152" s="84"/>
      <c r="O152" s="85"/>
      <c r="P152" s="85"/>
      <c r="Q152" s="84"/>
      <c r="W152" s="85"/>
      <c r="X152" s="85"/>
      <c r="Y152" s="84"/>
      <c r="AE152" s="85"/>
      <c r="AF152" s="85"/>
      <c r="AG152" s="84"/>
      <c r="AM152" s="85"/>
      <c r="AN152" s="85"/>
      <c r="AO152" s="84"/>
      <c r="AU152" s="85"/>
      <c r="AV152" s="85"/>
      <c r="AW152" s="78">
        <v>148</v>
      </c>
      <c r="AX152" s="70">
        <v>45163</v>
      </c>
      <c r="BC152" s="85"/>
      <c r="BD152" s="85"/>
      <c r="BE152" s="84"/>
      <c r="BK152" s="85"/>
      <c r="BL152" s="85"/>
      <c r="BM152" s="84"/>
      <c r="BS152" s="85"/>
      <c r="BT152" s="85"/>
    </row>
    <row r="153" spans="1:72">
      <c r="A153" s="84"/>
      <c r="D153" s="99">
        <f t="shared" si="40"/>
        <v>0</v>
      </c>
      <c r="E153" s="99">
        <f t="shared" si="41"/>
        <v>0</v>
      </c>
      <c r="G153" s="85"/>
      <c r="H153" s="85"/>
      <c r="I153" s="84"/>
      <c r="O153" s="85"/>
      <c r="P153" s="85"/>
      <c r="Q153" s="84"/>
      <c r="W153" s="85"/>
      <c r="X153" s="85"/>
      <c r="Y153" s="84"/>
      <c r="AE153" s="85"/>
      <c r="AF153" s="85"/>
      <c r="AG153" s="84"/>
      <c r="AM153" s="85"/>
      <c r="AN153" s="85"/>
      <c r="AO153" s="84"/>
      <c r="AU153" s="85"/>
      <c r="AV153" s="85"/>
      <c r="AW153" s="78">
        <v>149</v>
      </c>
      <c r="AX153" s="70">
        <v>45194</v>
      </c>
      <c r="BC153" s="85"/>
      <c r="BD153" s="85"/>
      <c r="BE153" s="84"/>
      <c r="BK153" s="85"/>
      <c r="BL153" s="85"/>
      <c r="BM153" s="84"/>
      <c r="BS153" s="85"/>
      <c r="BT153" s="85"/>
    </row>
    <row r="154" spans="1:72">
      <c r="A154" s="84"/>
      <c r="D154" s="99">
        <f t="shared" si="40"/>
        <v>0</v>
      </c>
      <c r="E154" s="99">
        <f t="shared" si="41"/>
        <v>0</v>
      </c>
      <c r="G154" s="85"/>
      <c r="H154" s="85"/>
      <c r="I154" s="84"/>
      <c r="O154" s="85"/>
      <c r="P154" s="85"/>
      <c r="Q154" s="84"/>
      <c r="W154" s="85"/>
      <c r="X154" s="85"/>
      <c r="Y154" s="84"/>
      <c r="AE154" s="85"/>
      <c r="AF154" s="85"/>
      <c r="AG154" s="84"/>
      <c r="AM154" s="85"/>
      <c r="AN154" s="85"/>
      <c r="AO154" s="84"/>
      <c r="AU154" s="85"/>
      <c r="AV154" s="85"/>
      <c r="AW154" s="78">
        <v>150</v>
      </c>
      <c r="AX154" s="70">
        <v>45224</v>
      </c>
      <c r="BC154" s="85"/>
      <c r="BD154" s="85"/>
      <c r="BE154" s="84"/>
      <c r="BK154" s="85"/>
      <c r="BL154" s="85"/>
      <c r="BM154" s="84"/>
      <c r="BS154" s="85"/>
      <c r="BT154" s="85"/>
    </row>
    <row r="155" spans="1:72">
      <c r="A155" s="84"/>
      <c r="D155" s="99">
        <f t="shared" si="40"/>
        <v>0</v>
      </c>
      <c r="E155" s="99">
        <f t="shared" si="41"/>
        <v>0</v>
      </c>
      <c r="G155" s="85"/>
      <c r="H155" s="85"/>
      <c r="I155" s="84"/>
      <c r="O155" s="85"/>
      <c r="P155" s="85"/>
      <c r="Q155" s="84"/>
      <c r="W155" s="85"/>
      <c r="X155" s="85"/>
      <c r="Y155" s="84"/>
      <c r="AE155" s="85"/>
      <c r="AF155" s="85"/>
      <c r="AG155" s="84"/>
      <c r="AM155" s="85"/>
      <c r="AN155" s="85"/>
      <c r="AO155" s="84"/>
      <c r="AU155" s="85"/>
      <c r="AV155" s="85"/>
      <c r="AW155" s="78">
        <v>151</v>
      </c>
      <c r="AX155" s="70">
        <v>45255</v>
      </c>
      <c r="BC155" s="85"/>
      <c r="BD155" s="85"/>
      <c r="BE155" s="84"/>
      <c r="BK155" s="85"/>
      <c r="BL155" s="85"/>
      <c r="BM155" s="84"/>
      <c r="BS155" s="85"/>
      <c r="BT155" s="85"/>
    </row>
    <row r="156" spans="1:72">
      <c r="A156" s="84"/>
      <c r="D156" s="99">
        <f t="shared" si="40"/>
        <v>0</v>
      </c>
      <c r="E156" s="99">
        <f t="shared" si="41"/>
        <v>0</v>
      </c>
      <c r="G156" s="85"/>
      <c r="H156" s="85"/>
      <c r="I156" s="84"/>
      <c r="O156" s="85"/>
      <c r="P156" s="85"/>
      <c r="Q156" s="84"/>
      <c r="W156" s="85"/>
      <c r="X156" s="85"/>
      <c r="Y156" s="84"/>
      <c r="AE156" s="85"/>
      <c r="AF156" s="85"/>
      <c r="AG156" s="84"/>
      <c r="AM156" s="85"/>
      <c r="AN156" s="85"/>
      <c r="AO156" s="84"/>
      <c r="AU156" s="85"/>
      <c r="AV156" s="85"/>
      <c r="AW156" s="78">
        <v>152</v>
      </c>
      <c r="AX156" s="70">
        <v>45285</v>
      </c>
      <c r="BC156" s="85"/>
      <c r="BD156" s="85"/>
      <c r="BE156" s="84"/>
      <c r="BK156" s="85"/>
      <c r="BL156" s="85"/>
      <c r="BM156" s="84"/>
      <c r="BS156" s="85"/>
      <c r="BT156" s="85"/>
    </row>
    <row r="157" spans="1:72">
      <c r="A157" s="84"/>
      <c r="D157" s="99">
        <f t="shared" si="40"/>
        <v>0</v>
      </c>
      <c r="E157" s="99">
        <f t="shared" si="41"/>
        <v>0</v>
      </c>
      <c r="G157" s="85"/>
      <c r="H157" s="85"/>
      <c r="I157" s="84"/>
      <c r="O157" s="85"/>
      <c r="P157" s="85"/>
      <c r="Q157" s="84"/>
      <c r="W157" s="85"/>
      <c r="X157" s="85"/>
      <c r="Y157" s="84"/>
      <c r="AE157" s="85"/>
      <c r="AF157" s="85"/>
      <c r="AG157" s="84"/>
      <c r="AM157" s="85"/>
      <c r="AN157" s="85"/>
      <c r="AO157" s="84"/>
      <c r="AU157" s="85"/>
      <c r="AV157" s="85"/>
      <c r="AW157" s="78">
        <v>153</v>
      </c>
      <c r="AX157" s="70">
        <v>45316</v>
      </c>
      <c r="BC157" s="85"/>
      <c r="BD157" s="85"/>
      <c r="BE157" s="84"/>
      <c r="BK157" s="85"/>
      <c r="BL157" s="85"/>
      <c r="BM157" s="84"/>
      <c r="BS157" s="85"/>
      <c r="BT157" s="85"/>
    </row>
    <row r="158" spans="1:72">
      <c r="A158" s="84"/>
      <c r="D158" s="99">
        <f t="shared" si="40"/>
        <v>0</v>
      </c>
      <c r="E158" s="99">
        <f t="shared" si="41"/>
        <v>0</v>
      </c>
      <c r="G158" s="85"/>
      <c r="H158" s="85"/>
      <c r="I158" s="84"/>
      <c r="O158" s="85"/>
      <c r="P158" s="85"/>
      <c r="Q158" s="84"/>
      <c r="W158" s="85"/>
      <c r="X158" s="85"/>
      <c r="Y158" s="84"/>
      <c r="AE158" s="85"/>
      <c r="AF158" s="85"/>
      <c r="AG158" s="84"/>
      <c r="AM158" s="85"/>
      <c r="AN158" s="85"/>
      <c r="AO158" s="84"/>
      <c r="AU158" s="85"/>
      <c r="AV158" s="85"/>
      <c r="AW158" s="84"/>
      <c r="BC158" s="85"/>
      <c r="BD158" s="85"/>
      <c r="BE158" s="84"/>
      <c r="BK158" s="85"/>
      <c r="BL158" s="85"/>
      <c r="BM158" s="84"/>
      <c r="BS158" s="85"/>
      <c r="BT158" s="85"/>
    </row>
    <row r="159" spans="1:72">
      <c r="A159" s="84"/>
      <c r="D159" s="99">
        <f t="shared" si="40"/>
        <v>0</v>
      </c>
      <c r="E159" s="99">
        <f t="shared" si="41"/>
        <v>0</v>
      </c>
      <c r="G159" s="85"/>
      <c r="H159" s="85"/>
      <c r="I159" s="84"/>
      <c r="O159" s="85"/>
      <c r="P159" s="85"/>
      <c r="Q159" s="84"/>
      <c r="W159" s="85"/>
      <c r="X159" s="85"/>
      <c r="Y159" s="84"/>
      <c r="AE159" s="85"/>
      <c r="AF159" s="85"/>
      <c r="AG159" s="84"/>
      <c r="AM159" s="85"/>
      <c r="AN159" s="85"/>
      <c r="AO159" s="84"/>
      <c r="AU159" s="85"/>
      <c r="AV159" s="85"/>
      <c r="AW159" s="84"/>
      <c r="BC159" s="85"/>
      <c r="BD159" s="85"/>
      <c r="BE159" s="84"/>
      <c r="BK159" s="85"/>
      <c r="BL159" s="85"/>
      <c r="BM159" s="84"/>
      <c r="BS159" s="85"/>
      <c r="BT159" s="85"/>
    </row>
    <row r="160" spans="1:72">
      <c r="A160" s="84"/>
      <c r="D160" s="99">
        <f t="shared" si="40"/>
        <v>0</v>
      </c>
      <c r="E160" s="99">
        <f t="shared" si="41"/>
        <v>0</v>
      </c>
      <c r="G160" s="85"/>
      <c r="H160" s="85"/>
      <c r="I160" s="84"/>
      <c r="O160" s="85"/>
      <c r="P160" s="85"/>
      <c r="Q160" s="84"/>
      <c r="W160" s="85"/>
      <c r="X160" s="85"/>
      <c r="Y160" s="84"/>
      <c r="AE160" s="85"/>
      <c r="AF160" s="85"/>
      <c r="AG160" s="84"/>
      <c r="AM160" s="85"/>
      <c r="AN160" s="85"/>
      <c r="AO160" s="84"/>
      <c r="AU160" s="85"/>
      <c r="AV160" s="85"/>
      <c r="AW160" s="84"/>
      <c r="BC160" s="85"/>
      <c r="BD160" s="85"/>
      <c r="BE160" s="84"/>
      <c r="BK160" s="85"/>
      <c r="BL160" s="85"/>
      <c r="BM160" s="84"/>
      <c r="BS160" s="85"/>
      <c r="BT160" s="85"/>
    </row>
    <row r="161" spans="1:72">
      <c r="A161" s="84"/>
      <c r="D161" s="99">
        <f t="shared" ref="D161:E164" si="46">L161+T161+AB161+AJ161+AR161+AZ161+BH161+BP161</f>
        <v>0</v>
      </c>
      <c r="E161" s="99">
        <f t="shared" si="46"/>
        <v>0</v>
      </c>
      <c r="G161" s="85"/>
      <c r="H161" s="85"/>
      <c r="I161" s="84"/>
      <c r="O161" s="85"/>
      <c r="P161" s="85"/>
      <c r="Q161" s="84"/>
      <c r="W161" s="85"/>
      <c r="X161" s="85"/>
      <c r="Y161" s="84"/>
      <c r="AE161" s="85"/>
      <c r="AF161" s="85"/>
      <c r="AG161" s="84"/>
      <c r="AM161" s="85"/>
      <c r="AN161" s="85"/>
      <c r="AO161" s="84"/>
      <c r="AU161" s="85"/>
      <c r="AV161" s="85"/>
      <c r="AW161" s="84"/>
      <c r="BC161" s="85"/>
      <c r="BD161" s="85"/>
      <c r="BE161" s="84"/>
      <c r="BK161" s="85"/>
      <c r="BL161" s="85"/>
      <c r="BM161" s="84"/>
      <c r="BS161" s="85"/>
      <c r="BT161" s="85"/>
    </row>
    <row r="162" spans="1:72">
      <c r="A162" s="84"/>
      <c r="D162" s="99">
        <f t="shared" si="46"/>
        <v>0</v>
      </c>
      <c r="E162" s="99">
        <f t="shared" si="46"/>
        <v>0</v>
      </c>
      <c r="G162" s="85"/>
      <c r="H162" s="85"/>
      <c r="I162" s="84"/>
      <c r="O162" s="85"/>
      <c r="P162" s="85"/>
      <c r="Q162" s="84"/>
      <c r="W162" s="85"/>
      <c r="X162" s="85"/>
      <c r="Y162" s="84"/>
      <c r="AE162" s="85"/>
      <c r="AF162" s="85"/>
      <c r="AG162" s="84"/>
      <c r="AM162" s="85"/>
      <c r="AN162" s="85"/>
      <c r="AO162" s="84"/>
      <c r="AU162" s="85"/>
      <c r="AV162" s="85"/>
      <c r="AW162" s="84"/>
      <c r="BC162" s="85"/>
      <c r="BD162" s="85"/>
      <c r="BE162" s="84"/>
      <c r="BK162" s="85"/>
      <c r="BL162" s="85"/>
      <c r="BM162" s="84"/>
      <c r="BS162" s="85"/>
      <c r="BT162" s="85"/>
    </row>
    <row r="163" spans="1:72">
      <c r="A163" s="84"/>
      <c r="D163" s="99">
        <f t="shared" si="46"/>
        <v>0</v>
      </c>
      <c r="E163" s="99">
        <f t="shared" si="46"/>
        <v>0</v>
      </c>
      <c r="G163" s="85"/>
      <c r="H163" s="85"/>
      <c r="I163" s="84"/>
      <c r="O163" s="85"/>
      <c r="P163" s="85"/>
      <c r="Q163" s="84"/>
      <c r="W163" s="85"/>
      <c r="X163" s="85"/>
      <c r="Y163" s="84"/>
      <c r="AE163" s="85"/>
      <c r="AF163" s="85"/>
      <c r="AG163" s="84"/>
      <c r="AM163" s="85"/>
      <c r="AN163" s="85"/>
      <c r="AO163" s="84"/>
      <c r="AU163" s="85"/>
      <c r="AV163" s="85"/>
      <c r="AW163" s="84"/>
      <c r="BC163" s="85"/>
      <c r="BD163" s="85"/>
      <c r="BE163" s="84"/>
      <c r="BK163" s="85"/>
      <c r="BL163" s="85"/>
      <c r="BM163" s="84"/>
      <c r="BS163" s="85"/>
      <c r="BT163" s="85"/>
    </row>
    <row r="164" spans="1:72">
      <c r="A164" s="84"/>
      <c r="D164" s="99">
        <f t="shared" si="46"/>
        <v>0</v>
      </c>
      <c r="E164" s="99">
        <f t="shared" si="46"/>
        <v>0</v>
      </c>
      <c r="G164" s="85"/>
      <c r="H164" s="85"/>
      <c r="I164" s="84"/>
      <c r="O164" s="85"/>
      <c r="P164" s="85"/>
      <c r="Q164" s="84"/>
      <c r="W164" s="85"/>
      <c r="X164" s="85"/>
      <c r="Y164" s="84"/>
      <c r="AE164" s="85"/>
      <c r="AF164" s="85"/>
      <c r="AG164" s="84"/>
      <c r="AM164" s="85"/>
      <c r="AN164" s="85"/>
      <c r="AO164" s="84"/>
      <c r="AU164" s="85"/>
      <c r="AV164" s="85"/>
      <c r="AW164" s="84"/>
      <c r="BC164" s="85"/>
      <c r="BD164" s="85"/>
      <c r="BE164" s="84"/>
      <c r="BK164" s="85"/>
      <c r="BL164" s="85"/>
      <c r="BM164" s="84"/>
      <c r="BS164" s="85"/>
      <c r="BT164" s="85"/>
    </row>
    <row r="165" spans="1:72">
      <c r="A165" s="84"/>
      <c r="G165" s="85"/>
      <c r="H165" s="85"/>
      <c r="I165" s="84"/>
      <c r="O165" s="85"/>
      <c r="P165" s="85"/>
      <c r="Q165" s="84"/>
      <c r="W165" s="85"/>
      <c r="X165" s="85"/>
      <c r="Y165" s="84"/>
      <c r="AE165" s="85"/>
      <c r="AF165" s="85"/>
      <c r="AG165" s="84"/>
      <c r="AM165" s="85"/>
      <c r="AN165" s="85"/>
      <c r="AO165" s="84"/>
      <c r="AU165" s="85"/>
      <c r="AV165" s="85"/>
      <c r="AW165" s="84"/>
      <c r="BC165" s="85"/>
      <c r="BD165" s="85"/>
      <c r="BE165" s="84"/>
      <c r="BK165" s="85"/>
      <c r="BL165" s="85"/>
      <c r="BM165" s="84"/>
      <c r="BS165" s="85"/>
      <c r="BT165" s="85"/>
    </row>
    <row r="166" spans="1:72">
      <c r="A166" s="84"/>
      <c r="G166" s="85"/>
      <c r="H166" s="85"/>
      <c r="I166" s="84"/>
      <c r="O166" s="85"/>
      <c r="P166" s="85"/>
      <c r="Q166" s="84"/>
      <c r="W166" s="85"/>
      <c r="X166" s="85"/>
      <c r="Y166" s="84"/>
      <c r="AE166" s="85"/>
      <c r="AF166" s="85"/>
      <c r="AG166" s="84"/>
      <c r="AM166" s="85"/>
      <c r="AN166" s="85"/>
      <c r="AO166" s="84"/>
      <c r="AU166" s="85"/>
      <c r="AV166" s="85"/>
      <c r="AW166" s="84"/>
      <c r="BC166" s="85"/>
      <c r="BD166" s="85"/>
      <c r="BE166" s="84"/>
      <c r="BK166" s="85"/>
      <c r="BL166" s="85"/>
      <c r="BM166" s="84"/>
      <c r="BS166" s="85"/>
      <c r="BT166" s="85"/>
    </row>
    <row r="167" spans="1:72">
      <c r="A167" s="84"/>
      <c r="G167" s="85"/>
      <c r="H167" s="85"/>
      <c r="I167" s="84"/>
      <c r="O167" s="85"/>
      <c r="P167" s="85"/>
      <c r="Q167" s="84"/>
      <c r="W167" s="85"/>
      <c r="X167" s="85"/>
      <c r="Y167" s="84"/>
      <c r="AE167" s="85"/>
      <c r="AF167" s="85"/>
      <c r="AG167" s="84"/>
      <c r="AM167" s="85"/>
      <c r="AN167" s="85"/>
      <c r="AO167" s="84"/>
      <c r="AU167" s="85"/>
      <c r="AV167" s="85"/>
      <c r="AW167" s="84"/>
      <c r="BC167" s="85"/>
      <c r="BD167" s="85"/>
      <c r="BE167" s="84"/>
      <c r="BK167" s="85"/>
      <c r="BL167" s="85"/>
      <c r="BM167" s="84"/>
      <c r="BS167" s="85"/>
      <c r="BT167" s="85"/>
    </row>
    <row r="168" spans="1:72">
      <c r="A168" s="84"/>
      <c r="G168" s="85"/>
      <c r="H168" s="85"/>
      <c r="I168" s="84"/>
      <c r="O168" s="85"/>
      <c r="P168" s="85"/>
      <c r="Q168" s="84"/>
      <c r="W168" s="85"/>
      <c r="X168" s="85"/>
      <c r="Y168" s="84"/>
      <c r="AE168" s="85"/>
      <c r="AF168" s="85"/>
      <c r="AG168" s="84"/>
      <c r="AM168" s="85"/>
      <c r="AN168" s="85"/>
      <c r="AO168" s="84"/>
      <c r="AU168" s="85"/>
      <c r="AV168" s="85"/>
      <c r="AW168" s="84"/>
      <c r="BC168" s="85"/>
      <c r="BD168" s="85"/>
      <c r="BE168" s="84"/>
      <c r="BK168" s="85"/>
      <c r="BL168" s="85"/>
      <c r="BM168" s="84"/>
      <c r="BS168" s="85"/>
      <c r="BT168" s="85"/>
    </row>
    <row r="169" spans="1:72">
      <c r="A169" s="84"/>
      <c r="G169" s="85"/>
      <c r="H169" s="85"/>
      <c r="I169" s="84"/>
      <c r="O169" s="85"/>
      <c r="P169" s="85"/>
      <c r="Q169" s="84"/>
      <c r="W169" s="85"/>
      <c r="X169" s="85"/>
      <c r="Y169" s="84"/>
      <c r="AE169" s="85"/>
      <c r="AF169" s="85"/>
      <c r="AG169" s="84"/>
      <c r="AM169" s="85"/>
      <c r="AN169" s="85"/>
      <c r="AO169" s="84"/>
      <c r="AU169" s="85"/>
      <c r="AV169" s="85"/>
      <c r="AW169" s="84"/>
      <c r="BC169" s="85"/>
      <c r="BD169" s="85"/>
      <c r="BE169" s="84"/>
      <c r="BK169" s="85"/>
      <c r="BL169" s="85"/>
      <c r="BM169" s="84"/>
      <c r="BS169" s="85"/>
      <c r="BT169" s="85"/>
    </row>
    <row r="170" spans="1:72">
      <c r="A170" s="84"/>
      <c r="G170" s="85"/>
      <c r="H170" s="85"/>
      <c r="I170" s="84"/>
      <c r="O170" s="85"/>
      <c r="P170" s="85"/>
      <c r="Q170" s="84"/>
      <c r="W170" s="85"/>
      <c r="X170" s="85"/>
      <c r="Y170" s="84"/>
      <c r="AE170" s="85"/>
      <c r="AF170" s="85"/>
      <c r="AG170" s="84"/>
      <c r="AM170" s="85"/>
      <c r="AN170" s="85"/>
      <c r="AO170" s="84"/>
      <c r="AU170" s="85"/>
      <c r="AV170" s="85"/>
      <c r="AW170" s="84"/>
      <c r="BC170" s="85"/>
      <c r="BD170" s="85"/>
      <c r="BE170" s="84"/>
      <c r="BK170" s="85"/>
      <c r="BL170" s="85"/>
      <c r="BM170" s="84"/>
      <c r="BS170" s="85"/>
      <c r="BT170" s="85"/>
    </row>
    <row r="171" spans="1:72">
      <c r="A171" s="84"/>
      <c r="G171" s="85"/>
      <c r="H171" s="85"/>
      <c r="I171" s="84"/>
      <c r="O171" s="85"/>
      <c r="P171" s="85"/>
      <c r="Q171" s="84"/>
      <c r="W171" s="85"/>
      <c r="X171" s="85"/>
      <c r="Y171" s="84"/>
      <c r="AE171" s="85"/>
      <c r="AF171" s="85"/>
      <c r="AG171" s="84"/>
      <c r="AM171" s="85"/>
      <c r="AN171" s="85"/>
      <c r="AO171" s="84"/>
      <c r="AU171" s="85"/>
      <c r="AV171" s="85"/>
      <c r="AW171" s="84"/>
      <c r="BC171" s="85"/>
      <c r="BD171" s="85"/>
      <c r="BE171" s="84"/>
      <c r="BK171" s="85"/>
      <c r="BL171" s="85"/>
      <c r="BM171" s="84"/>
      <c r="BS171" s="85"/>
      <c r="BT171" s="85"/>
    </row>
    <row r="172" spans="1:72">
      <c r="A172" s="84"/>
      <c r="G172" s="85"/>
      <c r="H172" s="85"/>
      <c r="I172" s="84"/>
      <c r="O172" s="85"/>
      <c r="P172" s="85"/>
      <c r="Q172" s="84"/>
      <c r="W172" s="85"/>
      <c r="X172" s="85"/>
      <c r="Y172" s="84"/>
      <c r="AE172" s="85"/>
      <c r="AF172" s="85"/>
      <c r="AG172" s="84"/>
      <c r="AM172" s="85"/>
      <c r="AN172" s="85"/>
      <c r="AO172" s="84"/>
      <c r="AU172" s="85"/>
      <c r="AV172" s="85"/>
      <c r="AW172" s="84"/>
      <c r="BC172" s="85"/>
      <c r="BD172" s="85"/>
      <c r="BE172" s="84"/>
      <c r="BK172" s="85"/>
      <c r="BL172" s="85"/>
      <c r="BM172" s="84"/>
      <c r="BS172" s="85"/>
      <c r="BT172" s="85"/>
    </row>
    <row r="173" spans="1:72">
      <c r="A173" s="84"/>
      <c r="G173" s="85"/>
      <c r="H173" s="85"/>
      <c r="I173" s="84"/>
      <c r="O173" s="85"/>
      <c r="P173" s="85"/>
      <c r="Q173" s="84"/>
      <c r="W173" s="85"/>
      <c r="X173" s="85"/>
      <c r="Y173" s="84"/>
      <c r="AE173" s="85"/>
      <c r="AF173" s="85"/>
      <c r="AG173" s="84"/>
      <c r="AM173" s="85"/>
      <c r="AN173" s="85"/>
      <c r="AO173" s="84"/>
      <c r="AU173" s="85"/>
      <c r="AV173" s="85"/>
      <c r="AW173" s="84"/>
      <c r="BC173" s="85"/>
      <c r="BD173" s="85"/>
      <c r="BE173" s="84"/>
      <c r="BK173" s="85"/>
      <c r="BL173" s="85"/>
      <c r="BM173" s="84"/>
      <c r="BS173" s="85"/>
      <c r="BT173" s="85"/>
    </row>
    <row r="174" spans="1:72">
      <c r="A174" s="84"/>
      <c r="G174" s="85"/>
      <c r="H174" s="85"/>
      <c r="I174" s="84"/>
      <c r="O174" s="85"/>
      <c r="P174" s="85"/>
      <c r="Q174" s="84"/>
      <c r="W174" s="85"/>
      <c r="X174" s="85"/>
      <c r="Y174" s="84"/>
      <c r="AE174" s="85"/>
      <c r="AF174" s="85"/>
      <c r="AG174" s="84"/>
      <c r="AM174" s="85"/>
      <c r="AN174" s="85"/>
      <c r="AO174" s="84"/>
      <c r="AU174" s="85"/>
      <c r="AV174" s="85"/>
      <c r="AW174" s="84"/>
      <c r="BC174" s="85"/>
      <c r="BD174" s="85"/>
      <c r="BE174" s="84"/>
      <c r="BK174" s="85"/>
      <c r="BL174" s="85"/>
      <c r="BM174" s="84"/>
      <c r="BS174" s="85"/>
      <c r="BT174" s="85"/>
    </row>
    <row r="175" spans="1:72">
      <c r="A175" s="84"/>
      <c r="G175" s="85"/>
      <c r="H175" s="85"/>
      <c r="I175" s="84"/>
      <c r="O175" s="85"/>
      <c r="P175" s="85"/>
      <c r="Q175" s="84"/>
      <c r="W175" s="85"/>
      <c r="X175" s="85"/>
      <c r="Y175" s="84"/>
      <c r="AE175" s="85"/>
      <c r="AF175" s="85"/>
      <c r="AG175" s="84"/>
      <c r="AM175" s="85"/>
      <c r="AN175" s="85"/>
      <c r="AO175" s="84"/>
      <c r="AU175" s="85"/>
      <c r="AV175" s="85"/>
      <c r="AW175" s="84"/>
      <c r="BC175" s="85"/>
      <c r="BD175" s="85"/>
      <c r="BE175" s="84"/>
      <c r="BK175" s="85"/>
      <c r="BL175" s="85"/>
      <c r="BM175" s="84"/>
      <c r="BS175" s="85"/>
      <c r="BT175" s="85"/>
    </row>
    <row r="176" spans="1:72">
      <c r="A176" s="84"/>
      <c r="G176" s="85"/>
      <c r="H176" s="85"/>
      <c r="I176" s="84"/>
      <c r="O176" s="85"/>
      <c r="P176" s="85"/>
      <c r="Q176" s="84"/>
      <c r="W176" s="85"/>
      <c r="X176" s="85"/>
      <c r="Y176" s="84"/>
      <c r="AE176" s="85"/>
      <c r="AF176" s="85"/>
      <c r="AG176" s="84"/>
      <c r="AM176" s="85"/>
      <c r="AN176" s="85"/>
      <c r="AO176" s="84"/>
      <c r="AU176" s="85"/>
      <c r="AV176" s="85"/>
      <c r="AW176" s="84"/>
      <c r="BC176" s="85"/>
      <c r="BD176" s="85"/>
      <c r="BE176" s="84"/>
      <c r="BK176" s="85"/>
      <c r="BL176" s="85"/>
      <c r="BM176" s="84"/>
      <c r="BS176" s="85"/>
      <c r="BT176" s="85"/>
    </row>
    <row r="177" spans="1:72">
      <c r="A177" s="84"/>
      <c r="G177" s="85"/>
      <c r="H177" s="85"/>
      <c r="I177" s="84"/>
      <c r="O177" s="85"/>
      <c r="P177" s="85"/>
      <c r="Q177" s="84"/>
      <c r="W177" s="85"/>
      <c r="X177" s="85"/>
      <c r="Y177" s="84"/>
      <c r="AE177" s="85"/>
      <c r="AF177" s="85"/>
      <c r="AG177" s="84"/>
      <c r="AM177" s="85"/>
      <c r="AN177" s="85"/>
      <c r="AO177" s="84"/>
      <c r="AU177" s="85"/>
      <c r="AV177" s="85"/>
      <c r="AW177" s="84"/>
      <c r="BC177" s="85"/>
      <c r="BD177" s="85"/>
      <c r="BE177" s="84"/>
      <c r="BK177" s="85"/>
      <c r="BL177" s="85"/>
      <c r="BM177" s="84"/>
      <c r="BS177" s="85"/>
      <c r="BT177" s="85"/>
    </row>
    <row r="178" spans="1:72">
      <c r="A178" s="84"/>
      <c r="G178" s="85"/>
      <c r="H178" s="85"/>
      <c r="I178" s="84"/>
      <c r="O178" s="85"/>
      <c r="P178" s="85"/>
      <c r="Q178" s="84"/>
      <c r="W178" s="85"/>
      <c r="X178" s="85"/>
      <c r="Y178" s="84"/>
      <c r="AE178" s="85"/>
      <c r="AF178" s="85"/>
      <c r="AG178" s="84"/>
      <c r="AM178" s="85"/>
      <c r="AN178" s="85"/>
      <c r="AO178" s="84"/>
      <c r="AU178" s="85"/>
      <c r="AV178" s="85"/>
      <c r="AW178" s="84"/>
      <c r="BC178" s="85"/>
      <c r="BD178" s="85"/>
      <c r="BE178" s="84"/>
      <c r="BK178" s="85"/>
      <c r="BL178" s="85"/>
      <c r="BM178" s="84"/>
      <c r="BS178" s="85"/>
      <c r="BT178" s="85"/>
    </row>
    <row r="179" spans="1:72">
      <c r="A179" s="84"/>
      <c r="G179" s="85"/>
      <c r="H179" s="85"/>
      <c r="I179" s="84"/>
      <c r="O179" s="85"/>
      <c r="P179" s="85"/>
      <c r="Q179" s="84"/>
      <c r="W179" s="85"/>
      <c r="X179" s="85"/>
      <c r="Y179" s="84"/>
      <c r="AE179" s="85"/>
      <c r="AF179" s="85"/>
      <c r="AG179" s="84"/>
      <c r="AM179" s="85"/>
      <c r="AN179" s="85"/>
      <c r="AO179" s="84"/>
      <c r="AU179" s="85"/>
      <c r="AV179" s="85"/>
      <c r="AW179" s="84"/>
      <c r="BC179" s="85"/>
      <c r="BD179" s="85"/>
      <c r="BE179" s="84"/>
      <c r="BK179" s="85"/>
      <c r="BL179" s="85"/>
      <c r="BM179" s="84"/>
      <c r="BS179" s="85"/>
      <c r="BT179" s="85"/>
    </row>
    <row r="180" spans="1:72">
      <c r="A180" s="84"/>
      <c r="G180" s="85"/>
      <c r="H180" s="85"/>
      <c r="I180" s="84"/>
      <c r="O180" s="85"/>
      <c r="P180" s="85"/>
      <c r="Q180" s="84"/>
      <c r="W180" s="85"/>
      <c r="X180" s="85"/>
      <c r="Y180" s="84"/>
      <c r="AE180" s="85"/>
      <c r="AF180" s="85"/>
      <c r="AG180" s="84"/>
      <c r="AM180" s="85"/>
      <c r="AN180" s="85"/>
      <c r="AO180" s="84"/>
      <c r="AU180" s="85"/>
      <c r="AV180" s="85"/>
      <c r="AW180" s="84"/>
      <c r="BC180" s="85"/>
      <c r="BD180" s="85"/>
      <c r="BE180" s="84"/>
      <c r="BK180" s="85"/>
      <c r="BL180" s="85"/>
      <c r="BM180" s="84"/>
      <c r="BS180" s="85"/>
      <c r="BT180" s="85"/>
    </row>
    <row r="181" spans="1:72">
      <c r="A181" s="84"/>
      <c r="G181" s="85"/>
      <c r="H181" s="85"/>
      <c r="I181" s="84"/>
      <c r="O181" s="85"/>
      <c r="P181" s="85"/>
      <c r="Q181" s="84"/>
      <c r="W181" s="85"/>
      <c r="X181" s="85"/>
      <c r="Y181" s="84"/>
      <c r="AE181" s="85"/>
      <c r="AF181" s="85"/>
      <c r="AG181" s="84"/>
      <c r="AM181" s="85"/>
      <c r="AN181" s="85"/>
      <c r="AO181" s="84"/>
      <c r="AU181" s="85"/>
      <c r="AV181" s="85"/>
      <c r="AW181" s="84"/>
      <c r="BC181" s="85"/>
      <c r="BD181" s="85"/>
      <c r="BE181" s="84"/>
      <c r="BK181" s="85"/>
      <c r="BL181" s="85"/>
      <c r="BM181" s="84"/>
      <c r="BS181" s="85"/>
      <c r="BT181" s="85"/>
    </row>
    <row r="182" spans="1:72">
      <c r="A182" s="84"/>
      <c r="G182" s="85"/>
      <c r="H182" s="85"/>
      <c r="I182" s="84"/>
      <c r="O182" s="85"/>
      <c r="P182" s="85"/>
      <c r="Q182" s="84"/>
      <c r="W182" s="85"/>
      <c r="X182" s="85"/>
      <c r="Y182" s="84"/>
      <c r="AE182" s="85"/>
      <c r="AF182" s="85"/>
      <c r="AG182" s="84"/>
      <c r="AM182" s="85"/>
      <c r="AN182" s="85"/>
      <c r="AO182" s="84"/>
      <c r="AU182" s="85"/>
      <c r="AV182" s="85"/>
      <c r="AW182" s="84"/>
      <c r="BC182" s="85"/>
      <c r="BD182" s="85"/>
      <c r="BE182" s="84"/>
      <c r="BK182" s="85"/>
      <c r="BL182" s="85"/>
      <c r="BM182" s="84"/>
      <c r="BS182" s="85"/>
      <c r="BT182" s="85"/>
    </row>
    <row r="183" spans="1:72">
      <c r="A183" s="84"/>
      <c r="G183" s="85"/>
      <c r="H183" s="85"/>
      <c r="I183" s="84"/>
      <c r="O183" s="85"/>
      <c r="P183" s="85"/>
      <c r="Q183" s="84"/>
      <c r="W183" s="85"/>
      <c r="X183" s="85"/>
      <c r="Y183" s="84"/>
      <c r="AE183" s="85"/>
      <c r="AF183" s="85"/>
      <c r="AG183" s="84"/>
      <c r="AM183" s="85"/>
      <c r="AN183" s="85"/>
      <c r="AO183" s="84"/>
      <c r="AU183" s="85"/>
      <c r="AV183" s="85"/>
      <c r="AW183" s="84"/>
      <c r="BC183" s="85"/>
      <c r="BD183" s="85"/>
      <c r="BE183" s="84"/>
      <c r="BK183" s="85"/>
      <c r="BL183" s="85"/>
      <c r="BM183" s="84"/>
      <c r="BS183" s="85"/>
      <c r="BT183" s="85"/>
    </row>
    <row r="184" spans="1:72">
      <c r="A184" s="84"/>
      <c r="G184" s="85"/>
      <c r="H184" s="85"/>
      <c r="I184" s="84"/>
      <c r="O184" s="85"/>
      <c r="P184" s="85"/>
      <c r="Q184" s="84"/>
      <c r="W184" s="85"/>
      <c r="X184" s="85"/>
      <c r="Y184" s="84"/>
      <c r="AE184" s="85"/>
      <c r="AF184" s="85"/>
      <c r="AG184" s="84"/>
      <c r="AM184" s="85"/>
      <c r="AN184" s="85"/>
      <c r="AO184" s="84"/>
      <c r="AU184" s="85"/>
      <c r="AV184" s="85"/>
      <c r="AW184" s="84"/>
      <c r="BC184" s="85"/>
      <c r="BD184" s="85"/>
      <c r="BE184" s="84"/>
      <c r="BK184" s="85"/>
      <c r="BL184" s="85"/>
      <c r="BM184" s="84"/>
      <c r="BS184" s="85"/>
      <c r="BT184" s="85"/>
    </row>
    <row r="185" spans="1:72">
      <c r="A185" s="84"/>
      <c r="G185" s="85"/>
      <c r="H185" s="85"/>
      <c r="I185" s="84"/>
      <c r="O185" s="85"/>
      <c r="P185" s="85"/>
      <c r="Q185" s="84"/>
      <c r="W185" s="85"/>
      <c r="X185" s="85"/>
      <c r="Y185" s="84"/>
      <c r="AE185" s="85"/>
      <c r="AF185" s="85"/>
      <c r="AG185" s="84"/>
      <c r="AM185" s="85"/>
      <c r="AN185" s="85"/>
      <c r="AO185" s="84"/>
      <c r="AU185" s="85"/>
      <c r="AV185" s="85"/>
      <c r="AW185" s="84"/>
      <c r="BC185" s="85"/>
      <c r="BD185" s="85"/>
      <c r="BE185" s="84"/>
      <c r="BK185" s="85"/>
      <c r="BL185" s="85"/>
      <c r="BM185" s="84"/>
      <c r="BS185" s="85"/>
      <c r="BT185" s="85"/>
    </row>
    <row r="186" spans="1:72">
      <c r="A186" s="84"/>
      <c r="G186" s="85"/>
      <c r="H186" s="85"/>
      <c r="I186" s="84"/>
      <c r="O186" s="85"/>
      <c r="P186" s="85"/>
      <c r="Q186" s="84"/>
      <c r="W186" s="85"/>
      <c r="X186" s="85"/>
      <c r="Y186" s="84"/>
      <c r="AE186" s="85"/>
      <c r="AF186" s="85"/>
      <c r="AG186" s="84"/>
      <c r="AM186" s="85"/>
      <c r="AN186" s="85"/>
      <c r="AO186" s="84"/>
      <c r="AU186" s="85"/>
      <c r="AV186" s="85"/>
      <c r="AW186" s="84"/>
      <c r="BC186" s="85"/>
      <c r="BD186" s="85"/>
      <c r="BE186" s="84"/>
      <c r="BK186" s="85"/>
      <c r="BL186" s="85"/>
      <c r="BM186" s="84"/>
      <c r="BS186" s="85"/>
      <c r="BT186" s="85"/>
    </row>
    <row r="187" spans="1:72">
      <c r="A187" s="84"/>
      <c r="G187" s="85"/>
      <c r="H187" s="85"/>
      <c r="I187" s="84"/>
      <c r="O187" s="85"/>
      <c r="P187" s="85"/>
      <c r="Q187" s="84"/>
      <c r="W187" s="85"/>
      <c r="X187" s="85"/>
      <c r="Y187" s="84"/>
      <c r="AE187" s="85"/>
      <c r="AF187" s="85"/>
      <c r="AG187" s="84"/>
      <c r="AM187" s="85"/>
      <c r="AN187" s="85"/>
      <c r="AO187" s="84"/>
      <c r="AU187" s="85"/>
      <c r="AV187" s="85"/>
      <c r="AW187" s="84"/>
      <c r="BC187" s="85"/>
      <c r="BD187" s="85"/>
      <c r="BE187" s="84"/>
      <c r="BK187" s="85"/>
      <c r="BL187" s="85"/>
      <c r="BM187" s="84"/>
      <c r="BS187" s="85"/>
      <c r="BT187" s="85"/>
    </row>
    <row r="188" spans="1:72">
      <c r="A188" s="84"/>
      <c r="G188" s="85"/>
      <c r="H188" s="85"/>
      <c r="I188" s="84"/>
      <c r="O188" s="85"/>
      <c r="P188" s="85"/>
      <c r="Q188" s="84"/>
      <c r="W188" s="85"/>
      <c r="X188" s="85"/>
      <c r="Y188" s="84"/>
      <c r="AE188" s="85"/>
      <c r="AF188" s="85"/>
      <c r="AG188" s="84"/>
      <c r="AM188" s="85"/>
      <c r="AN188" s="85"/>
      <c r="AO188" s="84"/>
      <c r="AU188" s="85"/>
      <c r="AV188" s="85"/>
      <c r="AW188" s="84"/>
      <c r="BC188" s="85"/>
      <c r="BD188" s="85"/>
      <c r="BE188" s="84"/>
      <c r="BK188" s="85"/>
      <c r="BL188" s="85"/>
      <c r="BM188" s="84"/>
      <c r="BS188" s="85"/>
      <c r="BT188" s="85"/>
    </row>
    <row r="189" spans="1:72">
      <c r="A189" s="84"/>
      <c r="G189" s="85"/>
      <c r="H189" s="85"/>
      <c r="I189" s="84"/>
      <c r="O189" s="85"/>
      <c r="P189" s="85"/>
      <c r="Q189" s="84"/>
      <c r="W189" s="85"/>
      <c r="X189" s="85"/>
      <c r="Y189" s="84"/>
      <c r="AE189" s="85"/>
      <c r="AF189" s="85"/>
      <c r="AG189" s="84"/>
      <c r="AM189" s="85"/>
      <c r="AN189" s="85"/>
      <c r="AO189" s="84"/>
      <c r="AU189" s="85"/>
      <c r="AV189" s="85"/>
      <c r="AW189" s="84"/>
      <c r="BC189" s="85"/>
      <c r="BD189" s="85"/>
      <c r="BE189" s="84"/>
      <c r="BK189" s="85"/>
      <c r="BL189" s="85"/>
      <c r="BM189" s="84"/>
      <c r="BS189" s="85"/>
      <c r="BT189" s="85"/>
    </row>
    <row r="190" spans="1:72">
      <c r="A190" s="84"/>
      <c r="G190" s="85"/>
      <c r="H190" s="85"/>
      <c r="I190" s="84"/>
      <c r="O190" s="85"/>
      <c r="P190" s="85"/>
      <c r="Q190" s="84"/>
      <c r="W190" s="85"/>
      <c r="X190" s="85"/>
      <c r="Y190" s="84"/>
      <c r="AE190" s="85"/>
      <c r="AF190" s="85"/>
      <c r="AG190" s="84"/>
      <c r="AM190" s="85"/>
      <c r="AN190" s="85"/>
      <c r="AO190" s="84"/>
      <c r="AU190" s="85"/>
      <c r="AV190" s="85"/>
      <c r="AW190" s="84"/>
      <c r="BC190" s="85"/>
      <c r="BD190" s="85"/>
      <c r="BE190" s="84"/>
      <c r="BK190" s="85"/>
      <c r="BL190" s="85"/>
      <c r="BM190" s="84"/>
      <c r="BS190" s="85"/>
      <c r="BT190" s="85"/>
    </row>
    <row r="191" spans="1:72">
      <c r="A191" s="84"/>
      <c r="G191" s="85"/>
      <c r="H191" s="85"/>
      <c r="I191" s="84"/>
      <c r="O191" s="85"/>
      <c r="P191" s="85"/>
      <c r="Q191" s="84"/>
      <c r="W191" s="85"/>
      <c r="X191" s="85"/>
      <c r="Y191" s="84"/>
      <c r="AE191" s="85"/>
      <c r="AF191" s="85"/>
      <c r="AG191" s="84"/>
      <c r="AM191" s="85"/>
      <c r="AN191" s="85"/>
      <c r="AO191" s="84"/>
      <c r="AU191" s="85"/>
      <c r="AV191" s="85"/>
      <c r="AW191" s="84"/>
      <c r="BC191" s="85"/>
      <c r="BD191" s="85"/>
      <c r="BE191" s="84"/>
      <c r="BK191" s="85"/>
      <c r="BL191" s="85"/>
      <c r="BM191" s="84"/>
      <c r="BS191" s="85"/>
      <c r="BT191" s="85"/>
    </row>
    <row r="192" spans="1:72">
      <c r="A192" s="84"/>
      <c r="G192" s="85"/>
      <c r="H192" s="85"/>
      <c r="I192" s="84"/>
      <c r="O192" s="85"/>
      <c r="P192" s="85"/>
      <c r="Q192" s="84"/>
      <c r="W192" s="85"/>
      <c r="X192" s="85"/>
      <c r="Y192" s="84"/>
      <c r="AE192" s="85"/>
      <c r="AF192" s="85"/>
      <c r="AG192" s="84"/>
      <c r="AM192" s="85"/>
      <c r="AN192" s="85"/>
      <c r="AO192" s="84"/>
      <c r="AU192" s="85"/>
      <c r="AV192" s="85"/>
      <c r="AW192" s="84"/>
      <c r="BC192" s="85"/>
      <c r="BD192" s="85"/>
      <c r="BE192" s="84"/>
      <c r="BK192" s="85"/>
      <c r="BL192" s="85"/>
      <c r="BM192" s="84"/>
      <c r="BS192" s="85"/>
      <c r="BT192" s="85"/>
    </row>
    <row r="193" spans="1:72">
      <c r="A193" s="84"/>
      <c r="G193" s="85"/>
      <c r="H193" s="85"/>
      <c r="I193" s="84"/>
      <c r="O193" s="85"/>
      <c r="P193" s="85"/>
      <c r="Q193" s="84"/>
      <c r="W193" s="85"/>
      <c r="X193" s="85"/>
      <c r="Y193" s="84"/>
      <c r="AE193" s="85"/>
      <c r="AF193" s="85"/>
      <c r="AG193" s="84"/>
      <c r="AM193" s="85"/>
      <c r="AN193" s="85"/>
      <c r="AO193" s="84"/>
      <c r="AU193" s="85"/>
      <c r="AV193" s="85"/>
      <c r="AW193" s="84"/>
      <c r="BC193" s="85"/>
      <c r="BD193" s="85"/>
      <c r="BE193" s="84"/>
      <c r="BK193" s="85"/>
      <c r="BL193" s="85"/>
      <c r="BM193" s="84"/>
      <c r="BS193" s="85"/>
      <c r="BT193" s="85"/>
    </row>
    <row r="194" spans="1:72">
      <c r="A194" s="84"/>
      <c r="G194" s="85"/>
      <c r="H194" s="85"/>
      <c r="I194" s="84"/>
      <c r="O194" s="85"/>
      <c r="P194" s="85"/>
      <c r="Q194" s="84"/>
      <c r="W194" s="85"/>
      <c r="X194" s="85"/>
      <c r="Y194" s="84"/>
      <c r="AE194" s="85"/>
      <c r="AF194" s="85"/>
      <c r="AG194" s="84"/>
      <c r="AM194" s="85"/>
      <c r="AN194" s="85"/>
      <c r="AO194" s="84"/>
      <c r="AU194" s="85"/>
      <c r="AV194" s="85"/>
      <c r="AW194" s="84"/>
      <c r="BC194" s="85"/>
      <c r="BD194" s="85"/>
      <c r="BE194" s="84"/>
      <c r="BK194" s="85"/>
      <c r="BL194" s="85"/>
      <c r="BM194" s="84"/>
      <c r="BS194" s="85"/>
      <c r="BT194" s="85"/>
    </row>
    <row r="195" spans="1:72">
      <c r="A195" s="84"/>
      <c r="G195" s="85"/>
      <c r="H195" s="85"/>
      <c r="I195" s="84"/>
      <c r="O195" s="85"/>
      <c r="P195" s="85"/>
      <c r="Q195" s="84"/>
      <c r="W195" s="85"/>
      <c r="X195" s="85"/>
      <c r="Y195" s="84"/>
      <c r="AE195" s="85"/>
      <c r="AF195" s="85"/>
      <c r="AG195" s="84"/>
      <c r="AM195" s="85"/>
      <c r="AN195" s="85"/>
      <c r="AO195" s="84"/>
      <c r="AU195" s="85"/>
      <c r="AV195" s="85"/>
      <c r="AW195" s="84"/>
      <c r="BC195" s="85"/>
      <c r="BD195" s="85"/>
      <c r="BE195" s="84"/>
      <c r="BK195" s="85"/>
      <c r="BL195" s="85"/>
      <c r="BM195" s="84"/>
      <c r="BS195" s="85"/>
      <c r="BT195" s="85"/>
    </row>
    <row r="196" spans="1:72">
      <c r="A196" s="84"/>
      <c r="G196" s="85"/>
      <c r="H196" s="85"/>
      <c r="I196" s="84"/>
      <c r="O196" s="85"/>
      <c r="P196" s="85"/>
      <c r="Q196" s="84"/>
      <c r="W196" s="85"/>
      <c r="X196" s="85"/>
      <c r="Y196" s="84"/>
      <c r="AE196" s="85"/>
      <c r="AF196" s="85"/>
      <c r="AG196" s="84"/>
      <c r="AM196" s="85"/>
      <c r="AN196" s="85"/>
      <c r="AO196" s="84"/>
      <c r="AU196" s="85"/>
      <c r="AV196" s="85"/>
      <c r="AW196" s="84"/>
      <c r="BC196" s="85"/>
      <c r="BD196" s="85"/>
      <c r="BE196" s="84"/>
      <c r="BK196" s="85"/>
      <c r="BL196" s="85"/>
      <c r="BM196" s="84"/>
      <c r="BS196" s="85"/>
      <c r="BT196" s="85"/>
    </row>
    <row r="197" spans="1:72">
      <c r="A197" s="84"/>
      <c r="G197" s="85"/>
      <c r="H197" s="85"/>
      <c r="I197" s="84"/>
      <c r="O197" s="85"/>
      <c r="P197" s="85"/>
      <c r="Q197" s="84"/>
      <c r="W197" s="85"/>
      <c r="X197" s="85"/>
      <c r="Y197" s="84"/>
      <c r="AE197" s="85"/>
      <c r="AF197" s="85"/>
      <c r="AG197" s="84"/>
      <c r="AM197" s="85"/>
      <c r="AN197" s="85"/>
      <c r="AO197" s="84"/>
      <c r="AU197" s="85"/>
      <c r="AV197" s="85"/>
      <c r="AW197" s="84"/>
      <c r="BC197" s="85"/>
      <c r="BD197" s="85"/>
      <c r="BE197" s="84"/>
      <c r="BK197" s="85"/>
      <c r="BL197" s="85"/>
      <c r="BM197" s="84"/>
      <c r="BS197" s="85"/>
      <c r="BT197" s="85"/>
    </row>
    <row r="198" spans="1:72">
      <c r="A198" s="84"/>
      <c r="G198" s="85"/>
      <c r="H198" s="85"/>
      <c r="I198" s="84"/>
      <c r="O198" s="85"/>
      <c r="P198" s="85"/>
      <c r="Q198" s="84"/>
      <c r="W198" s="85"/>
      <c r="X198" s="85"/>
      <c r="Y198" s="84"/>
      <c r="AE198" s="85"/>
      <c r="AF198" s="85"/>
      <c r="AG198" s="84"/>
      <c r="AM198" s="85"/>
      <c r="AN198" s="85"/>
      <c r="AO198" s="84"/>
      <c r="AU198" s="85"/>
      <c r="AV198" s="85"/>
      <c r="AW198" s="84"/>
      <c r="BC198" s="85"/>
      <c r="BD198" s="85"/>
      <c r="BE198" s="84"/>
      <c r="BK198" s="85"/>
      <c r="BL198" s="85"/>
      <c r="BM198" s="84"/>
      <c r="BS198" s="85"/>
      <c r="BT198" s="85"/>
    </row>
    <row r="199" spans="1:72">
      <c r="A199" s="84"/>
      <c r="G199" s="85"/>
      <c r="H199" s="85"/>
      <c r="I199" s="84"/>
      <c r="O199" s="85"/>
      <c r="P199" s="85"/>
      <c r="Q199" s="84"/>
      <c r="W199" s="85"/>
      <c r="X199" s="85"/>
      <c r="Y199" s="84"/>
      <c r="AE199" s="85"/>
      <c r="AF199" s="85"/>
      <c r="AG199" s="84"/>
      <c r="AM199" s="85"/>
      <c r="AN199" s="85"/>
      <c r="AO199" s="84"/>
      <c r="AU199" s="85"/>
      <c r="AV199" s="85"/>
      <c r="AW199" s="84"/>
      <c r="BC199" s="85"/>
      <c r="BD199" s="85"/>
      <c r="BE199" s="84"/>
      <c r="BK199" s="85"/>
      <c r="BL199" s="85"/>
      <c r="BM199" s="84"/>
      <c r="BS199" s="85"/>
      <c r="BT199" s="85"/>
    </row>
    <row r="200" spans="1:72">
      <c r="A200" s="84"/>
      <c r="G200" s="85"/>
      <c r="H200" s="85"/>
      <c r="I200" s="84"/>
      <c r="O200" s="85"/>
      <c r="P200" s="85"/>
      <c r="Q200" s="84"/>
      <c r="W200" s="85"/>
      <c r="X200" s="85"/>
      <c r="Y200" s="84"/>
      <c r="AE200" s="85"/>
      <c r="AF200" s="85"/>
      <c r="AG200" s="84"/>
      <c r="AM200" s="85"/>
      <c r="AN200" s="85"/>
      <c r="AO200" s="84"/>
      <c r="AU200" s="85"/>
      <c r="AV200" s="85"/>
      <c r="AW200" s="84"/>
      <c r="BC200" s="85"/>
      <c r="BD200" s="85"/>
      <c r="BE200" s="84"/>
      <c r="BK200" s="85"/>
      <c r="BL200" s="85"/>
      <c r="BM200" s="84"/>
      <c r="BS200" s="85"/>
      <c r="BT200" s="85"/>
    </row>
    <row r="201" spans="1:72">
      <c r="A201" s="84"/>
      <c r="G201" s="85"/>
      <c r="H201" s="85"/>
      <c r="I201" s="84"/>
      <c r="O201" s="85"/>
      <c r="P201" s="85"/>
      <c r="Q201" s="84"/>
      <c r="W201" s="85"/>
      <c r="X201" s="85"/>
      <c r="Y201" s="84"/>
      <c r="AE201" s="85"/>
      <c r="AF201" s="85"/>
      <c r="AG201" s="84"/>
      <c r="AM201" s="85"/>
      <c r="AN201" s="85"/>
      <c r="AO201" s="84"/>
      <c r="AU201" s="85"/>
      <c r="AV201" s="85"/>
      <c r="AW201" s="84"/>
      <c r="BC201" s="85"/>
      <c r="BD201" s="85"/>
      <c r="BE201" s="84"/>
      <c r="BK201" s="85"/>
      <c r="BL201" s="85"/>
      <c r="BM201" s="84"/>
      <c r="BS201" s="85"/>
      <c r="BT201" s="85"/>
    </row>
    <row r="202" spans="1:72">
      <c r="A202" s="84"/>
      <c r="G202" s="85"/>
      <c r="H202" s="85"/>
      <c r="I202" s="84"/>
      <c r="O202" s="85"/>
      <c r="P202" s="85"/>
      <c r="Q202" s="84"/>
      <c r="W202" s="85"/>
      <c r="X202" s="85"/>
      <c r="Y202" s="84"/>
      <c r="AE202" s="85"/>
      <c r="AF202" s="85"/>
      <c r="AG202" s="84"/>
      <c r="AM202" s="85"/>
      <c r="AN202" s="85"/>
      <c r="AO202" s="84"/>
      <c r="AU202" s="85"/>
      <c r="AV202" s="85"/>
      <c r="AW202" s="84"/>
      <c r="BC202" s="85"/>
      <c r="BD202" s="85"/>
      <c r="BE202" s="84"/>
      <c r="BK202" s="85"/>
      <c r="BL202" s="85"/>
      <c r="BM202" s="84"/>
      <c r="BS202" s="85"/>
      <c r="BT202" s="85"/>
    </row>
    <row r="203" spans="1:72">
      <c r="A203" s="84"/>
      <c r="G203" s="85"/>
      <c r="H203" s="85"/>
      <c r="I203" s="84"/>
      <c r="O203" s="85"/>
      <c r="P203" s="85"/>
      <c r="Q203" s="84"/>
      <c r="W203" s="85"/>
      <c r="X203" s="85"/>
      <c r="Y203" s="84"/>
      <c r="AE203" s="85"/>
      <c r="AF203" s="85"/>
      <c r="AG203" s="84"/>
      <c r="AM203" s="85"/>
      <c r="AN203" s="85"/>
      <c r="AO203" s="84"/>
      <c r="AU203" s="85"/>
      <c r="AV203" s="85"/>
      <c r="AW203" s="84"/>
      <c r="BC203" s="85"/>
      <c r="BD203" s="85"/>
      <c r="BE203" s="84"/>
      <c r="BK203" s="85"/>
      <c r="BL203" s="85"/>
      <c r="BM203" s="84"/>
      <c r="BS203" s="85"/>
      <c r="BT203" s="85"/>
    </row>
    <row r="204" spans="1:72">
      <c r="A204" s="84"/>
      <c r="G204" s="85"/>
      <c r="H204" s="85"/>
      <c r="I204" s="84"/>
      <c r="O204" s="85"/>
      <c r="P204" s="85"/>
      <c r="Q204" s="84"/>
      <c r="W204" s="85"/>
      <c r="X204" s="85"/>
      <c r="Y204" s="84"/>
      <c r="AE204" s="85"/>
      <c r="AF204" s="85"/>
      <c r="AG204" s="84"/>
      <c r="AM204" s="85"/>
      <c r="AN204" s="85"/>
      <c r="AO204" s="84"/>
      <c r="AU204" s="85"/>
      <c r="AV204" s="85"/>
      <c r="AW204" s="84"/>
      <c r="BC204" s="85"/>
      <c r="BD204" s="85"/>
      <c r="BE204" s="84"/>
      <c r="BK204" s="85"/>
      <c r="BL204" s="85"/>
      <c r="BM204" s="84"/>
      <c r="BS204" s="85"/>
      <c r="BT204" s="85"/>
    </row>
    <row r="205" spans="1:72">
      <c r="A205" s="84"/>
      <c r="G205" s="85"/>
      <c r="H205" s="85"/>
      <c r="I205" s="84"/>
      <c r="O205" s="85"/>
      <c r="P205" s="85"/>
      <c r="Q205" s="84"/>
      <c r="W205" s="85"/>
      <c r="X205" s="85"/>
      <c r="Y205" s="84"/>
      <c r="AE205" s="85"/>
      <c r="AF205" s="85"/>
      <c r="AG205" s="84"/>
      <c r="AM205" s="85"/>
      <c r="AN205" s="85"/>
      <c r="AO205" s="84"/>
      <c r="AU205" s="85"/>
      <c r="AV205" s="85"/>
      <c r="AW205" s="84"/>
      <c r="BC205" s="85"/>
      <c r="BD205" s="85"/>
      <c r="BE205" s="84"/>
      <c r="BK205" s="85"/>
      <c r="BL205" s="85"/>
      <c r="BM205" s="84"/>
      <c r="BS205" s="85"/>
      <c r="BT205" s="85"/>
    </row>
    <row r="206" spans="1:72">
      <c r="A206" s="84"/>
      <c r="G206" s="85"/>
      <c r="H206" s="85"/>
      <c r="I206" s="84"/>
      <c r="O206" s="85"/>
      <c r="P206" s="85"/>
      <c r="Q206" s="84"/>
      <c r="W206" s="85"/>
      <c r="X206" s="85"/>
      <c r="Y206" s="84"/>
      <c r="AE206" s="85"/>
      <c r="AF206" s="85"/>
      <c r="AG206" s="84"/>
      <c r="AM206" s="85"/>
      <c r="AN206" s="85"/>
      <c r="AO206" s="84"/>
      <c r="AU206" s="85"/>
      <c r="AV206" s="85"/>
      <c r="AW206" s="84"/>
      <c r="BC206" s="85"/>
      <c r="BD206" s="85"/>
      <c r="BE206" s="84"/>
      <c r="BK206" s="85"/>
      <c r="BL206" s="85"/>
      <c r="BM206" s="84"/>
      <c r="BS206" s="85"/>
      <c r="BT206" s="85"/>
    </row>
    <row r="207" spans="1:72">
      <c r="A207" s="84"/>
      <c r="G207" s="85"/>
      <c r="H207" s="85"/>
      <c r="I207" s="84"/>
      <c r="O207" s="85"/>
      <c r="P207" s="85"/>
      <c r="Q207" s="84"/>
      <c r="W207" s="85"/>
      <c r="X207" s="85"/>
      <c r="Y207" s="84"/>
      <c r="AE207" s="85"/>
      <c r="AF207" s="85"/>
      <c r="AG207" s="84"/>
      <c r="AM207" s="85"/>
      <c r="AN207" s="85"/>
      <c r="AO207" s="84"/>
      <c r="AU207" s="85"/>
      <c r="AV207" s="85"/>
      <c r="AW207" s="84"/>
      <c r="BC207" s="85"/>
      <c r="BD207" s="85"/>
      <c r="BE207" s="84"/>
      <c r="BK207" s="85"/>
      <c r="BL207" s="85"/>
      <c r="BM207" s="84"/>
      <c r="BS207" s="85"/>
      <c r="BT207" s="85"/>
    </row>
    <row r="208" spans="1:72">
      <c r="A208" s="84"/>
      <c r="G208" s="85"/>
      <c r="H208" s="85"/>
      <c r="I208" s="84"/>
      <c r="O208" s="85"/>
      <c r="P208" s="85"/>
      <c r="Q208" s="84"/>
      <c r="W208" s="85"/>
      <c r="X208" s="85"/>
      <c r="Y208" s="84"/>
      <c r="AE208" s="85"/>
      <c r="AF208" s="85"/>
      <c r="AG208" s="84"/>
      <c r="AM208" s="85"/>
      <c r="AN208" s="85"/>
      <c r="AO208" s="84"/>
      <c r="AU208" s="85"/>
      <c r="AV208" s="85"/>
      <c r="AW208" s="84"/>
      <c r="BC208" s="85"/>
      <c r="BD208" s="85"/>
      <c r="BE208" s="84"/>
      <c r="BK208" s="85"/>
      <c r="BL208" s="85"/>
      <c r="BM208" s="84"/>
      <c r="BS208" s="85"/>
      <c r="BT208" s="85"/>
    </row>
    <row r="209" spans="1:72">
      <c r="A209" s="84"/>
      <c r="G209" s="85"/>
      <c r="H209" s="85"/>
      <c r="I209" s="84"/>
      <c r="O209" s="85"/>
      <c r="P209" s="85"/>
      <c r="Q209" s="84"/>
      <c r="W209" s="85"/>
      <c r="X209" s="85"/>
      <c r="Y209" s="84"/>
      <c r="AE209" s="85"/>
      <c r="AF209" s="85"/>
      <c r="AG209" s="84"/>
      <c r="AM209" s="85"/>
      <c r="AN209" s="85"/>
      <c r="AO209" s="84"/>
      <c r="AU209" s="85"/>
      <c r="AV209" s="85"/>
      <c r="AW209" s="84"/>
      <c r="BC209" s="85"/>
      <c r="BD209" s="85"/>
      <c r="BE209" s="84"/>
      <c r="BK209" s="85"/>
      <c r="BL209" s="85"/>
      <c r="BM209" s="84"/>
      <c r="BS209" s="85"/>
      <c r="BT209" s="85"/>
    </row>
    <row r="210" spans="1:72">
      <c r="A210" s="84"/>
      <c r="G210" s="85"/>
      <c r="H210" s="85"/>
      <c r="I210" s="84"/>
      <c r="O210" s="85"/>
      <c r="P210" s="85"/>
      <c r="Q210" s="84"/>
      <c r="W210" s="85"/>
      <c r="X210" s="85"/>
      <c r="Y210" s="84"/>
      <c r="AE210" s="85"/>
      <c r="AF210" s="85"/>
      <c r="AG210" s="84"/>
      <c r="AM210" s="85"/>
      <c r="AN210" s="85"/>
      <c r="AO210" s="84"/>
      <c r="AU210" s="85"/>
      <c r="AV210" s="85"/>
      <c r="AW210" s="84"/>
      <c r="BC210" s="85"/>
      <c r="BD210" s="85"/>
      <c r="BE210" s="84"/>
      <c r="BK210" s="85"/>
      <c r="BL210" s="85"/>
      <c r="BM210" s="84"/>
      <c r="BS210" s="85"/>
      <c r="BT210" s="85"/>
    </row>
    <row r="211" spans="1:72">
      <c r="A211" s="84"/>
      <c r="G211" s="85"/>
      <c r="H211" s="85"/>
      <c r="I211" s="84"/>
      <c r="O211" s="85"/>
      <c r="P211" s="85"/>
      <c r="Q211" s="84"/>
      <c r="W211" s="85"/>
      <c r="X211" s="85"/>
      <c r="Y211" s="84"/>
      <c r="AE211" s="85"/>
      <c r="AF211" s="85"/>
      <c r="AG211" s="84"/>
      <c r="AM211" s="85"/>
      <c r="AN211" s="85"/>
      <c r="AO211" s="84"/>
      <c r="AU211" s="85"/>
      <c r="AV211" s="85"/>
      <c r="AW211" s="84"/>
      <c r="BC211" s="85"/>
      <c r="BD211" s="85"/>
      <c r="BE211" s="84"/>
      <c r="BK211" s="85"/>
      <c r="BL211" s="85"/>
      <c r="BM211" s="84"/>
      <c r="BS211" s="85"/>
      <c r="BT211" s="85"/>
    </row>
    <row r="212" spans="1:72">
      <c r="A212" s="84"/>
      <c r="G212" s="85"/>
      <c r="H212" s="85"/>
      <c r="I212" s="84"/>
      <c r="O212" s="85"/>
      <c r="P212" s="85"/>
      <c r="Q212" s="84"/>
      <c r="W212" s="85"/>
      <c r="X212" s="85"/>
      <c r="Y212" s="84"/>
      <c r="AE212" s="85"/>
      <c r="AF212" s="85"/>
      <c r="AG212" s="84"/>
      <c r="AM212" s="85"/>
      <c r="AN212" s="85"/>
      <c r="AO212" s="84"/>
      <c r="AU212" s="85"/>
      <c r="AV212" s="85"/>
      <c r="AW212" s="84"/>
      <c r="BC212" s="85"/>
      <c r="BD212" s="85"/>
      <c r="BE212" s="84"/>
      <c r="BK212" s="85"/>
      <c r="BL212" s="85"/>
      <c r="BM212" s="84"/>
      <c r="BS212" s="85"/>
      <c r="BT212" s="85"/>
    </row>
    <row r="213" spans="1:72">
      <c r="A213" s="84"/>
      <c r="G213" s="85"/>
      <c r="H213" s="85"/>
      <c r="I213" s="84"/>
      <c r="O213" s="85"/>
      <c r="P213" s="85"/>
      <c r="Q213" s="84"/>
      <c r="W213" s="85"/>
      <c r="X213" s="85"/>
      <c r="Y213" s="84"/>
      <c r="AE213" s="85"/>
      <c r="AF213" s="85"/>
      <c r="AG213" s="84"/>
      <c r="AM213" s="85"/>
      <c r="AN213" s="85"/>
      <c r="AO213" s="84"/>
      <c r="AU213" s="85"/>
      <c r="AV213" s="85"/>
      <c r="AW213" s="84"/>
      <c r="BC213" s="85"/>
      <c r="BD213" s="85"/>
      <c r="BE213" s="84"/>
      <c r="BK213" s="85"/>
      <c r="BL213" s="85"/>
      <c r="BM213" s="84"/>
      <c r="BS213" s="85"/>
      <c r="BT213" s="85"/>
    </row>
    <row r="214" spans="1:72">
      <c r="A214" s="84"/>
      <c r="G214" s="85"/>
      <c r="H214" s="85"/>
      <c r="I214" s="84"/>
      <c r="O214" s="85"/>
      <c r="P214" s="85"/>
      <c r="Q214" s="84"/>
      <c r="W214" s="85"/>
      <c r="X214" s="85"/>
      <c r="Y214" s="84"/>
      <c r="AE214" s="85"/>
      <c r="AF214" s="85"/>
      <c r="AG214" s="84"/>
      <c r="AM214" s="85"/>
      <c r="AN214" s="85"/>
      <c r="AO214" s="84"/>
      <c r="AU214" s="85"/>
      <c r="AV214" s="85"/>
      <c r="AW214" s="84"/>
      <c r="BC214" s="85"/>
      <c r="BD214" s="85"/>
      <c r="BE214" s="84"/>
      <c r="BK214" s="85"/>
      <c r="BL214" s="85"/>
      <c r="BM214" s="84"/>
      <c r="BS214" s="85"/>
      <c r="BT214" s="85"/>
    </row>
    <row r="215" spans="1:72">
      <c r="A215" s="84"/>
      <c r="G215" s="85"/>
      <c r="H215" s="85"/>
      <c r="I215" s="84"/>
      <c r="O215" s="85"/>
      <c r="P215" s="85"/>
      <c r="Q215" s="84"/>
      <c r="W215" s="85"/>
      <c r="X215" s="85"/>
      <c r="Y215" s="84"/>
      <c r="AE215" s="85"/>
      <c r="AF215" s="85"/>
      <c r="AG215" s="84"/>
      <c r="AM215" s="85"/>
      <c r="AN215" s="85"/>
      <c r="AO215" s="84"/>
      <c r="AU215" s="85"/>
      <c r="AV215" s="85"/>
      <c r="AW215" s="84"/>
      <c r="BC215" s="85"/>
      <c r="BD215" s="85"/>
      <c r="BE215" s="84"/>
      <c r="BK215" s="85"/>
      <c r="BL215" s="85"/>
      <c r="BM215" s="84"/>
      <c r="BS215" s="85"/>
      <c r="BT215" s="85"/>
    </row>
    <row r="216" spans="1:72">
      <c r="A216" s="84"/>
      <c r="G216" s="85"/>
      <c r="H216" s="85"/>
      <c r="I216" s="84"/>
      <c r="O216" s="85"/>
      <c r="P216" s="85"/>
      <c r="Q216" s="84"/>
      <c r="W216" s="85"/>
      <c r="X216" s="85"/>
      <c r="Y216" s="84"/>
      <c r="AE216" s="85"/>
      <c r="AF216" s="85"/>
      <c r="AG216" s="84"/>
      <c r="AM216" s="85"/>
      <c r="AN216" s="85"/>
      <c r="AO216" s="84"/>
      <c r="AU216" s="85"/>
      <c r="AV216" s="85"/>
      <c r="AW216" s="84"/>
      <c r="BC216" s="85"/>
      <c r="BD216" s="85"/>
      <c r="BE216" s="84"/>
      <c r="BK216" s="85"/>
      <c r="BL216" s="85"/>
      <c r="BM216" s="84"/>
      <c r="BS216" s="85"/>
      <c r="BT216" s="85"/>
    </row>
    <row r="217" spans="1:72">
      <c r="A217" s="84"/>
      <c r="G217" s="85"/>
      <c r="H217" s="85"/>
      <c r="I217" s="84"/>
      <c r="O217" s="85"/>
      <c r="P217" s="85"/>
      <c r="Q217" s="84"/>
      <c r="W217" s="85"/>
      <c r="X217" s="85"/>
      <c r="Y217" s="84"/>
      <c r="AE217" s="85"/>
      <c r="AF217" s="85"/>
      <c r="AG217" s="84"/>
      <c r="AM217" s="85"/>
      <c r="AN217" s="85"/>
      <c r="AO217" s="84"/>
      <c r="AU217" s="85"/>
      <c r="AV217" s="85"/>
      <c r="AW217" s="84"/>
      <c r="BC217" s="85"/>
      <c r="BD217" s="85"/>
      <c r="BE217" s="84"/>
      <c r="BK217" s="85"/>
      <c r="BL217" s="85"/>
      <c r="BM217" s="84"/>
      <c r="BS217" s="85"/>
      <c r="BT217" s="85"/>
    </row>
    <row r="218" spans="1:72">
      <c r="A218" s="84"/>
      <c r="G218" s="85"/>
      <c r="H218" s="85"/>
      <c r="I218" s="84"/>
      <c r="O218" s="85"/>
      <c r="P218" s="85"/>
      <c r="Q218" s="84"/>
      <c r="W218" s="85"/>
      <c r="X218" s="85"/>
      <c r="Y218" s="84"/>
      <c r="AE218" s="85"/>
      <c r="AF218" s="85"/>
      <c r="AG218" s="84"/>
      <c r="AM218" s="85"/>
      <c r="AN218" s="85"/>
      <c r="AO218" s="84"/>
      <c r="AU218" s="85"/>
      <c r="AV218" s="85"/>
      <c r="AW218" s="84"/>
      <c r="BC218" s="85"/>
      <c r="BD218" s="85"/>
      <c r="BE218" s="84"/>
      <c r="BK218" s="85"/>
      <c r="BL218" s="85"/>
      <c r="BM218" s="84"/>
      <c r="BS218" s="85"/>
      <c r="BT218" s="85"/>
    </row>
    <row r="219" spans="1:72">
      <c r="A219" s="84"/>
      <c r="G219" s="85"/>
      <c r="H219" s="85"/>
      <c r="I219" s="84"/>
      <c r="O219" s="85"/>
      <c r="P219" s="85"/>
      <c r="Q219" s="84"/>
      <c r="W219" s="85"/>
      <c r="X219" s="85"/>
      <c r="Y219" s="84"/>
      <c r="AE219" s="85"/>
      <c r="AF219" s="85"/>
      <c r="AG219" s="84"/>
      <c r="AM219" s="85"/>
      <c r="AN219" s="85"/>
      <c r="AO219" s="84"/>
      <c r="AU219" s="85"/>
      <c r="AV219" s="85"/>
      <c r="AW219" s="84"/>
      <c r="BC219" s="85"/>
      <c r="BD219" s="85"/>
      <c r="BE219" s="84"/>
      <c r="BK219" s="85"/>
      <c r="BL219" s="85"/>
      <c r="BM219" s="84"/>
      <c r="BS219" s="85"/>
      <c r="BT219" s="85"/>
    </row>
    <row r="220" spans="1:72">
      <c r="A220" s="84"/>
      <c r="G220" s="85"/>
      <c r="H220" s="85"/>
      <c r="I220" s="84"/>
      <c r="O220" s="85"/>
      <c r="P220" s="85"/>
      <c r="Q220" s="84"/>
      <c r="W220" s="85"/>
      <c r="X220" s="85"/>
      <c r="Y220" s="84"/>
      <c r="AE220" s="85"/>
      <c r="AF220" s="85"/>
      <c r="AG220" s="84"/>
      <c r="AM220" s="85"/>
      <c r="AN220" s="85"/>
      <c r="AO220" s="84"/>
      <c r="AU220" s="85"/>
      <c r="AV220" s="85"/>
      <c r="AW220" s="84"/>
      <c r="BC220" s="85"/>
      <c r="BD220" s="85"/>
      <c r="BE220" s="84"/>
      <c r="BK220" s="85"/>
      <c r="BL220" s="85"/>
      <c r="BM220" s="84"/>
      <c r="BS220" s="85"/>
      <c r="BT220" s="85"/>
    </row>
    <row r="221" spans="1:72">
      <c r="A221" s="84"/>
      <c r="G221" s="85"/>
      <c r="H221" s="85"/>
      <c r="I221" s="84"/>
      <c r="O221" s="85"/>
      <c r="P221" s="85"/>
      <c r="Q221" s="84"/>
      <c r="W221" s="85"/>
      <c r="X221" s="85"/>
      <c r="Y221" s="84"/>
      <c r="AE221" s="85"/>
      <c r="AF221" s="85"/>
      <c r="AG221" s="84"/>
      <c r="AM221" s="85"/>
      <c r="AN221" s="85"/>
      <c r="AO221" s="84"/>
      <c r="AU221" s="85"/>
      <c r="AV221" s="85"/>
      <c r="AW221" s="84"/>
      <c r="BC221" s="85"/>
      <c r="BD221" s="85"/>
      <c r="BE221" s="84"/>
      <c r="BK221" s="85"/>
      <c r="BL221" s="85"/>
      <c r="BM221" s="84"/>
      <c r="BS221" s="85"/>
      <c r="BT221" s="85"/>
    </row>
    <row r="222" spans="1:72">
      <c r="A222" s="84"/>
      <c r="G222" s="85"/>
      <c r="H222" s="85"/>
      <c r="I222" s="84"/>
      <c r="O222" s="85"/>
      <c r="P222" s="85"/>
      <c r="Q222" s="84"/>
      <c r="W222" s="85"/>
      <c r="X222" s="85"/>
      <c r="Y222" s="84"/>
      <c r="AE222" s="85"/>
      <c r="AF222" s="85"/>
      <c r="AG222" s="84"/>
      <c r="AM222" s="85"/>
      <c r="AN222" s="85"/>
      <c r="AO222" s="84"/>
      <c r="AU222" s="85"/>
      <c r="AV222" s="85"/>
      <c r="AW222" s="84"/>
      <c r="BC222" s="85"/>
      <c r="BD222" s="85"/>
      <c r="BE222" s="84"/>
      <c r="BK222" s="85"/>
      <c r="BL222" s="85"/>
      <c r="BM222" s="84"/>
      <c r="BS222" s="85"/>
      <c r="BT222" s="85"/>
    </row>
    <row r="223" spans="1:72">
      <c r="A223" s="84"/>
      <c r="G223" s="85"/>
      <c r="H223" s="85"/>
      <c r="I223" s="84"/>
      <c r="O223" s="85"/>
      <c r="P223" s="85"/>
      <c r="Q223" s="84"/>
      <c r="W223" s="85"/>
      <c r="X223" s="85"/>
      <c r="Y223" s="84"/>
      <c r="AE223" s="85"/>
      <c r="AF223" s="85"/>
      <c r="AG223" s="84"/>
      <c r="AM223" s="85"/>
      <c r="AN223" s="85"/>
      <c r="AO223" s="84"/>
      <c r="AU223" s="85"/>
      <c r="AV223" s="85"/>
      <c r="AW223" s="84"/>
      <c r="BC223" s="85"/>
      <c r="BD223" s="85"/>
      <c r="BE223" s="84"/>
      <c r="BK223" s="85"/>
      <c r="BL223" s="85"/>
      <c r="BM223" s="84"/>
      <c r="BS223" s="85"/>
      <c r="BT223" s="85"/>
    </row>
    <row r="224" spans="1:72">
      <c r="A224" s="84"/>
      <c r="G224" s="85"/>
      <c r="H224" s="85"/>
      <c r="I224" s="84"/>
      <c r="O224" s="85"/>
      <c r="P224" s="85"/>
      <c r="Q224" s="84"/>
      <c r="W224" s="85"/>
      <c r="X224" s="85"/>
      <c r="Y224" s="84"/>
      <c r="AE224" s="85"/>
      <c r="AF224" s="85"/>
      <c r="AG224" s="84"/>
      <c r="AM224" s="85"/>
      <c r="AN224" s="85"/>
      <c r="AO224" s="84"/>
      <c r="AU224" s="85"/>
      <c r="AV224" s="85"/>
      <c r="AW224" s="84"/>
      <c r="BC224" s="85"/>
      <c r="BD224" s="85"/>
      <c r="BE224" s="84"/>
      <c r="BK224" s="85"/>
      <c r="BL224" s="85"/>
      <c r="BM224" s="84"/>
      <c r="BS224" s="85"/>
      <c r="BT224" s="85"/>
    </row>
    <row r="225" spans="1:72">
      <c r="A225" s="84"/>
      <c r="G225" s="85"/>
      <c r="H225" s="85"/>
      <c r="I225" s="84"/>
      <c r="O225" s="85"/>
      <c r="P225" s="85"/>
      <c r="Q225" s="84"/>
      <c r="W225" s="85"/>
      <c r="X225" s="85"/>
      <c r="Y225" s="84"/>
      <c r="AE225" s="85"/>
      <c r="AF225" s="85"/>
      <c r="AG225" s="84"/>
      <c r="AM225" s="85"/>
      <c r="AN225" s="85"/>
      <c r="AO225" s="84"/>
      <c r="AU225" s="85"/>
      <c r="AV225" s="85"/>
      <c r="AW225" s="84"/>
      <c r="BC225" s="85"/>
      <c r="BD225" s="85"/>
      <c r="BE225" s="84"/>
      <c r="BK225" s="85"/>
      <c r="BL225" s="85"/>
      <c r="BM225" s="84"/>
      <c r="BS225" s="85"/>
      <c r="BT225" s="85"/>
    </row>
    <row r="226" spans="1:72">
      <c r="A226" s="84"/>
      <c r="G226" s="85"/>
      <c r="H226" s="85"/>
      <c r="I226" s="84"/>
      <c r="O226" s="85"/>
      <c r="P226" s="85"/>
      <c r="Q226" s="84"/>
      <c r="W226" s="85"/>
      <c r="X226" s="85"/>
      <c r="Y226" s="84"/>
      <c r="AE226" s="85"/>
      <c r="AF226" s="85"/>
      <c r="AG226" s="84"/>
      <c r="AM226" s="85"/>
      <c r="AN226" s="85"/>
      <c r="AO226" s="84"/>
      <c r="AU226" s="85"/>
      <c r="AV226" s="85"/>
      <c r="AW226" s="84"/>
      <c r="BC226" s="85"/>
      <c r="BD226" s="85"/>
      <c r="BE226" s="84"/>
      <c r="BK226" s="85"/>
      <c r="BL226" s="85"/>
      <c r="BM226" s="84"/>
      <c r="BS226" s="85"/>
      <c r="BT226" s="85"/>
    </row>
    <row r="227" spans="1:72">
      <c r="A227" s="84"/>
      <c r="G227" s="85"/>
      <c r="H227" s="85"/>
      <c r="I227" s="84"/>
      <c r="O227" s="85"/>
      <c r="P227" s="85"/>
      <c r="Q227" s="84"/>
      <c r="W227" s="85"/>
      <c r="X227" s="85"/>
      <c r="Y227" s="84"/>
      <c r="AE227" s="85"/>
      <c r="AF227" s="85"/>
      <c r="AG227" s="84"/>
      <c r="AM227" s="85"/>
      <c r="AN227" s="85"/>
      <c r="AO227" s="84"/>
      <c r="AU227" s="85"/>
      <c r="AV227" s="85"/>
      <c r="AW227" s="84"/>
      <c r="BC227" s="85"/>
      <c r="BD227" s="85"/>
      <c r="BE227" s="84"/>
      <c r="BK227" s="85"/>
      <c r="BL227" s="85"/>
      <c r="BM227" s="84"/>
      <c r="BS227" s="85"/>
      <c r="BT227" s="85"/>
    </row>
    <row r="228" spans="1:72">
      <c r="A228" s="84"/>
      <c r="G228" s="85"/>
      <c r="H228" s="85"/>
      <c r="I228" s="84"/>
      <c r="O228" s="85"/>
      <c r="P228" s="85"/>
      <c r="Q228" s="84"/>
      <c r="W228" s="85"/>
      <c r="X228" s="85"/>
      <c r="Y228" s="84"/>
      <c r="AE228" s="85"/>
      <c r="AF228" s="85"/>
      <c r="AG228" s="84"/>
      <c r="AM228" s="85"/>
      <c r="AN228" s="85"/>
      <c r="AO228" s="84"/>
      <c r="AU228" s="85"/>
      <c r="AV228" s="85"/>
      <c r="AW228" s="84"/>
      <c r="BC228" s="85"/>
      <c r="BD228" s="85"/>
      <c r="BE228" s="84"/>
      <c r="BK228" s="85"/>
      <c r="BL228" s="85"/>
      <c r="BM228" s="84"/>
      <c r="BS228" s="85"/>
      <c r="BT228" s="85"/>
    </row>
    <row r="229" spans="1:72">
      <c r="A229" s="84"/>
      <c r="G229" s="85"/>
      <c r="H229" s="85"/>
      <c r="I229" s="84"/>
      <c r="O229" s="85"/>
      <c r="P229" s="85"/>
      <c r="Q229" s="84"/>
      <c r="W229" s="85"/>
      <c r="X229" s="85"/>
      <c r="Y229" s="84"/>
      <c r="AE229" s="85"/>
      <c r="AF229" s="85"/>
      <c r="AG229" s="84"/>
      <c r="AM229" s="85"/>
      <c r="AN229" s="85"/>
      <c r="AO229" s="84"/>
      <c r="AU229" s="85"/>
      <c r="AV229" s="85"/>
      <c r="AW229" s="84"/>
      <c r="BC229" s="85"/>
      <c r="BD229" s="85"/>
      <c r="BE229" s="84"/>
      <c r="BK229" s="85"/>
      <c r="BL229" s="85"/>
      <c r="BM229" s="84"/>
      <c r="BS229" s="85"/>
      <c r="BT229" s="85"/>
    </row>
    <row r="230" spans="1:72">
      <c r="A230" s="84"/>
      <c r="G230" s="85"/>
      <c r="H230" s="85"/>
      <c r="I230" s="84"/>
      <c r="O230" s="85"/>
      <c r="P230" s="85"/>
      <c r="Q230" s="84"/>
      <c r="W230" s="85"/>
      <c r="X230" s="85"/>
      <c r="Y230" s="84"/>
      <c r="AE230" s="85"/>
      <c r="AF230" s="85"/>
      <c r="AG230" s="84"/>
      <c r="AM230" s="85"/>
      <c r="AN230" s="85"/>
      <c r="AO230" s="84"/>
      <c r="AU230" s="85"/>
      <c r="AV230" s="85"/>
      <c r="AW230" s="84"/>
      <c r="BC230" s="85"/>
      <c r="BD230" s="85"/>
      <c r="BE230" s="84"/>
      <c r="BK230" s="85"/>
      <c r="BL230" s="85"/>
      <c r="BM230" s="84"/>
      <c r="BS230" s="85"/>
      <c r="BT230" s="85"/>
    </row>
    <row r="231" spans="1:72">
      <c r="A231" s="84"/>
      <c r="G231" s="85"/>
      <c r="H231" s="85"/>
      <c r="I231" s="84"/>
      <c r="O231" s="85"/>
      <c r="P231" s="85"/>
      <c r="Q231" s="84"/>
      <c r="W231" s="85"/>
      <c r="X231" s="85"/>
      <c r="Y231" s="84"/>
      <c r="AE231" s="85"/>
      <c r="AF231" s="85"/>
      <c r="AG231" s="84"/>
      <c r="AM231" s="85"/>
      <c r="AN231" s="85"/>
      <c r="AO231" s="84"/>
      <c r="AU231" s="85"/>
      <c r="AV231" s="85"/>
      <c r="AW231" s="84"/>
      <c r="BC231" s="85"/>
      <c r="BD231" s="85"/>
      <c r="BE231" s="84"/>
      <c r="BK231" s="85"/>
      <c r="BL231" s="85"/>
      <c r="BM231" s="84"/>
      <c r="BS231" s="85"/>
      <c r="BT231" s="85"/>
    </row>
    <row r="232" spans="1:72">
      <c r="A232" s="84"/>
      <c r="G232" s="85"/>
      <c r="H232" s="85"/>
      <c r="I232" s="84"/>
      <c r="O232" s="85"/>
      <c r="P232" s="85"/>
      <c r="Q232" s="84"/>
      <c r="W232" s="85"/>
      <c r="X232" s="85"/>
      <c r="Y232" s="84"/>
      <c r="AE232" s="85"/>
      <c r="AF232" s="85"/>
      <c r="AG232" s="84"/>
      <c r="AM232" s="85"/>
      <c r="AN232" s="85"/>
      <c r="AO232" s="84"/>
      <c r="AU232" s="85"/>
      <c r="AV232" s="85"/>
      <c r="AW232" s="84"/>
      <c r="BC232" s="85"/>
      <c r="BD232" s="85"/>
      <c r="BE232" s="84"/>
      <c r="BK232" s="85"/>
      <c r="BL232" s="85"/>
      <c r="BM232" s="84"/>
      <c r="BS232" s="85"/>
      <c r="BT232" s="85"/>
    </row>
    <row r="233" spans="1:72">
      <c r="A233" s="84"/>
      <c r="G233" s="85"/>
      <c r="H233" s="85"/>
      <c r="I233" s="84"/>
      <c r="O233" s="85"/>
      <c r="P233" s="85"/>
      <c r="Q233" s="84"/>
      <c r="W233" s="85"/>
      <c r="X233" s="85"/>
      <c r="Y233" s="84"/>
      <c r="AE233" s="85"/>
      <c r="AF233" s="85"/>
      <c r="AG233" s="84"/>
      <c r="AM233" s="85"/>
      <c r="AN233" s="85"/>
      <c r="AO233" s="84"/>
      <c r="AU233" s="85"/>
      <c r="AV233" s="85"/>
      <c r="AW233" s="84"/>
      <c r="BC233" s="85"/>
      <c r="BD233" s="85"/>
      <c r="BE233" s="84"/>
      <c r="BK233" s="85"/>
      <c r="BL233" s="85"/>
      <c r="BM233" s="84"/>
      <c r="BS233" s="85"/>
      <c r="BT233" s="85"/>
    </row>
    <row r="234" spans="1:72">
      <c r="A234" s="84"/>
      <c r="G234" s="85"/>
      <c r="H234" s="85"/>
      <c r="I234" s="84"/>
      <c r="O234" s="85"/>
      <c r="P234" s="85"/>
      <c r="Q234" s="84"/>
      <c r="W234" s="85"/>
      <c r="X234" s="85"/>
      <c r="Y234" s="84"/>
      <c r="AE234" s="85"/>
      <c r="AF234" s="85"/>
      <c r="AG234" s="84"/>
      <c r="AM234" s="85"/>
      <c r="AN234" s="85"/>
      <c r="AO234" s="84"/>
      <c r="AU234" s="85"/>
      <c r="AV234" s="85"/>
      <c r="AW234" s="84"/>
      <c r="BC234" s="85"/>
      <c r="BD234" s="85"/>
      <c r="BE234" s="84"/>
      <c r="BK234" s="85"/>
      <c r="BL234" s="85"/>
      <c r="BM234" s="84"/>
      <c r="BS234" s="85"/>
      <c r="BT234" s="85"/>
    </row>
    <row r="235" spans="1:72">
      <c r="A235" s="84"/>
      <c r="G235" s="85"/>
      <c r="H235" s="85"/>
      <c r="I235" s="84"/>
      <c r="O235" s="85"/>
      <c r="P235" s="85"/>
      <c r="Q235" s="84"/>
      <c r="W235" s="85"/>
      <c r="X235" s="85"/>
      <c r="Y235" s="84"/>
      <c r="AE235" s="85"/>
      <c r="AF235" s="85"/>
      <c r="AG235" s="84"/>
      <c r="AM235" s="85"/>
      <c r="AN235" s="85"/>
      <c r="AO235" s="84"/>
      <c r="AU235" s="85"/>
      <c r="AV235" s="85"/>
      <c r="AW235" s="84"/>
      <c r="BC235" s="85"/>
      <c r="BD235" s="85"/>
      <c r="BE235" s="84"/>
      <c r="BK235" s="85"/>
      <c r="BL235" s="85"/>
      <c r="BM235" s="84"/>
      <c r="BS235" s="85"/>
      <c r="BT235" s="85"/>
    </row>
    <row r="236" spans="1:72">
      <c r="A236" s="84"/>
      <c r="G236" s="85"/>
      <c r="H236" s="85"/>
      <c r="I236" s="84"/>
      <c r="O236" s="85"/>
      <c r="P236" s="85"/>
      <c r="Q236" s="84"/>
      <c r="W236" s="85"/>
      <c r="X236" s="85"/>
      <c r="Y236" s="84"/>
      <c r="AE236" s="85"/>
      <c r="AF236" s="85"/>
      <c r="AG236" s="84"/>
      <c r="AM236" s="85"/>
      <c r="AN236" s="85"/>
      <c r="AO236" s="84"/>
      <c r="AU236" s="85"/>
      <c r="AV236" s="85"/>
      <c r="AW236" s="84"/>
      <c r="BC236" s="85"/>
      <c r="BD236" s="85"/>
      <c r="BE236" s="84"/>
      <c r="BK236" s="85"/>
      <c r="BL236" s="85"/>
      <c r="BM236" s="84"/>
      <c r="BS236" s="85"/>
      <c r="BT236" s="85"/>
    </row>
    <row r="237" spans="1:72">
      <c r="A237" s="84"/>
      <c r="G237" s="85"/>
      <c r="H237" s="85"/>
      <c r="I237" s="84"/>
      <c r="O237" s="85"/>
      <c r="P237" s="85"/>
      <c r="Q237" s="84"/>
      <c r="W237" s="85"/>
      <c r="X237" s="85"/>
      <c r="Y237" s="84"/>
      <c r="AE237" s="85"/>
      <c r="AF237" s="85"/>
      <c r="AG237" s="84"/>
      <c r="AM237" s="85"/>
      <c r="AN237" s="85"/>
      <c r="AO237" s="84"/>
      <c r="AU237" s="85"/>
      <c r="AV237" s="85"/>
      <c r="AW237" s="84"/>
      <c r="BC237" s="85"/>
      <c r="BD237" s="85"/>
      <c r="BE237" s="84"/>
      <c r="BK237" s="85"/>
      <c r="BL237" s="85"/>
      <c r="BM237" s="84"/>
      <c r="BS237" s="85"/>
      <c r="BT237" s="85"/>
    </row>
    <row r="238" spans="1:72">
      <c r="A238" s="84"/>
      <c r="G238" s="85"/>
      <c r="H238" s="85"/>
      <c r="I238" s="84"/>
      <c r="O238" s="85"/>
      <c r="P238" s="85"/>
      <c r="Q238" s="84"/>
      <c r="W238" s="85"/>
      <c r="X238" s="85"/>
      <c r="Y238" s="84"/>
      <c r="AE238" s="85"/>
      <c r="AF238" s="85"/>
      <c r="AG238" s="84"/>
      <c r="AM238" s="85"/>
      <c r="AN238" s="85"/>
      <c r="AO238" s="84"/>
      <c r="AU238" s="85"/>
      <c r="AV238" s="85"/>
      <c r="AW238" s="84"/>
      <c r="BC238" s="85"/>
      <c r="BD238" s="85"/>
      <c r="BE238" s="84"/>
      <c r="BK238" s="85"/>
      <c r="BL238" s="85"/>
      <c r="BM238" s="84"/>
      <c r="BS238" s="85"/>
      <c r="BT238" s="85"/>
    </row>
    <row r="239" spans="1:72">
      <c r="A239" s="84"/>
      <c r="G239" s="85"/>
      <c r="H239" s="85"/>
      <c r="I239" s="84"/>
      <c r="O239" s="85"/>
      <c r="P239" s="85"/>
      <c r="Q239" s="84"/>
      <c r="W239" s="85"/>
      <c r="X239" s="85"/>
      <c r="Y239" s="84"/>
      <c r="AE239" s="85"/>
      <c r="AF239" s="85"/>
      <c r="AG239" s="84"/>
      <c r="AM239" s="85"/>
      <c r="AN239" s="85"/>
      <c r="AO239" s="84"/>
      <c r="AU239" s="85"/>
      <c r="AV239" s="85"/>
      <c r="AW239" s="84"/>
      <c r="BC239" s="85"/>
      <c r="BD239" s="85"/>
      <c r="BE239" s="84"/>
      <c r="BK239" s="85"/>
      <c r="BL239" s="85"/>
      <c r="BM239" s="84"/>
      <c r="BS239" s="85"/>
      <c r="BT239" s="85"/>
    </row>
    <row r="240" spans="1:72">
      <c r="A240" s="84"/>
      <c r="G240" s="85"/>
      <c r="H240" s="85"/>
      <c r="I240" s="84"/>
      <c r="O240" s="85"/>
      <c r="P240" s="85"/>
      <c r="Q240" s="84"/>
      <c r="W240" s="85"/>
      <c r="X240" s="85"/>
      <c r="Y240" s="84"/>
      <c r="AE240" s="85"/>
      <c r="AF240" s="85"/>
      <c r="AG240" s="84"/>
      <c r="AM240" s="85"/>
      <c r="AN240" s="85"/>
      <c r="AO240" s="84"/>
      <c r="AU240" s="85"/>
      <c r="AV240" s="85"/>
      <c r="AW240" s="84"/>
      <c r="BC240" s="85"/>
      <c r="BD240" s="85"/>
      <c r="BE240" s="84"/>
      <c r="BK240" s="85"/>
      <c r="BL240" s="85"/>
      <c r="BM240" s="84"/>
      <c r="BS240" s="85"/>
      <c r="BT240" s="85"/>
    </row>
    <row r="241" spans="1:72">
      <c r="A241" s="84"/>
      <c r="G241" s="85"/>
      <c r="H241" s="85"/>
      <c r="I241" s="84"/>
      <c r="O241" s="85"/>
      <c r="P241" s="85"/>
      <c r="Q241" s="84"/>
      <c r="W241" s="85"/>
      <c r="X241" s="85"/>
      <c r="Y241" s="84"/>
      <c r="AE241" s="85"/>
      <c r="AF241" s="85"/>
      <c r="AG241" s="84"/>
      <c r="AM241" s="85"/>
      <c r="AN241" s="85"/>
      <c r="AO241" s="84"/>
      <c r="AU241" s="85"/>
      <c r="AV241" s="85"/>
      <c r="AW241" s="84"/>
      <c r="BC241" s="85"/>
      <c r="BD241" s="85"/>
      <c r="BE241" s="84"/>
      <c r="BK241" s="85"/>
      <c r="BL241" s="85"/>
      <c r="BM241" s="84"/>
      <c r="BS241" s="85"/>
      <c r="BT241" s="85"/>
    </row>
    <row r="242" spans="1:72">
      <c r="A242" s="84"/>
      <c r="G242" s="85"/>
      <c r="H242" s="85"/>
      <c r="I242" s="84"/>
      <c r="O242" s="85"/>
      <c r="P242" s="85"/>
      <c r="Q242" s="84"/>
      <c r="W242" s="85"/>
      <c r="X242" s="85"/>
      <c r="Y242" s="84"/>
      <c r="AE242" s="85"/>
      <c r="AF242" s="85"/>
      <c r="AG242" s="84"/>
      <c r="AM242" s="85"/>
      <c r="AN242" s="85"/>
      <c r="AO242" s="84"/>
      <c r="AU242" s="85"/>
      <c r="AV242" s="85"/>
      <c r="AW242" s="84"/>
      <c r="BC242" s="85"/>
      <c r="BD242" s="85"/>
      <c r="BE242" s="84"/>
      <c r="BK242" s="85"/>
      <c r="BL242" s="85"/>
      <c r="BM242" s="84"/>
      <c r="BS242" s="85"/>
      <c r="BT242" s="85"/>
    </row>
    <row r="243" spans="1:72">
      <c r="A243" s="84"/>
      <c r="G243" s="85"/>
      <c r="H243" s="85"/>
      <c r="I243" s="84"/>
      <c r="O243" s="85"/>
      <c r="P243" s="85"/>
      <c r="Q243" s="84"/>
      <c r="W243" s="85"/>
      <c r="X243" s="85"/>
      <c r="Y243" s="84"/>
      <c r="AE243" s="85"/>
      <c r="AF243" s="85"/>
      <c r="AG243" s="84"/>
      <c r="AM243" s="85"/>
      <c r="AN243" s="85"/>
      <c r="AO243" s="84"/>
      <c r="AU243" s="85"/>
      <c r="AV243" s="85"/>
      <c r="AW243" s="84"/>
      <c r="BC243" s="85"/>
      <c r="BD243" s="85"/>
      <c r="BE243" s="84"/>
      <c r="BK243" s="85"/>
      <c r="BL243" s="85"/>
      <c r="BM243" s="84"/>
      <c r="BS243" s="85"/>
      <c r="BT243" s="85"/>
    </row>
    <row r="244" spans="1:72">
      <c r="A244" s="84"/>
      <c r="G244" s="85"/>
      <c r="H244" s="85"/>
      <c r="I244" s="84"/>
      <c r="O244" s="85"/>
      <c r="P244" s="85"/>
      <c r="Q244" s="84"/>
      <c r="W244" s="85"/>
      <c r="X244" s="85"/>
      <c r="Y244" s="84"/>
      <c r="AE244" s="85"/>
      <c r="AF244" s="85"/>
      <c r="AG244" s="84"/>
      <c r="AM244" s="85"/>
      <c r="AN244" s="85"/>
      <c r="AO244" s="84"/>
      <c r="AU244" s="85"/>
      <c r="AV244" s="85"/>
      <c r="AW244" s="84"/>
      <c r="BC244" s="85"/>
      <c r="BD244" s="85"/>
      <c r="BE244" s="84"/>
      <c r="BK244" s="85"/>
      <c r="BL244" s="85"/>
      <c r="BM244" s="84"/>
      <c r="BS244" s="85"/>
      <c r="BT244" s="85"/>
    </row>
    <row r="245" spans="1:72">
      <c r="A245" s="84"/>
      <c r="G245" s="85"/>
      <c r="H245" s="85"/>
      <c r="I245" s="84"/>
      <c r="O245" s="85"/>
      <c r="P245" s="85"/>
      <c r="Q245" s="84"/>
      <c r="W245" s="85"/>
      <c r="X245" s="85"/>
      <c r="Y245" s="84"/>
      <c r="AE245" s="85"/>
      <c r="AF245" s="85"/>
      <c r="AG245" s="84"/>
      <c r="AM245" s="85"/>
      <c r="AN245" s="85"/>
      <c r="AO245" s="84"/>
      <c r="AU245" s="85"/>
      <c r="AV245" s="85"/>
      <c r="AW245" s="84"/>
      <c r="BC245" s="85"/>
      <c r="BD245" s="85"/>
      <c r="BE245" s="84"/>
      <c r="BK245" s="85"/>
      <c r="BL245" s="85"/>
      <c r="BM245" s="84"/>
      <c r="BS245" s="85"/>
      <c r="BT245" s="85"/>
    </row>
    <row r="246" spans="1:72">
      <c r="A246" s="84"/>
      <c r="G246" s="85"/>
      <c r="H246" s="85"/>
      <c r="I246" s="84"/>
      <c r="O246" s="85"/>
      <c r="P246" s="85"/>
      <c r="Q246" s="84"/>
      <c r="W246" s="85"/>
      <c r="X246" s="85"/>
      <c r="Y246" s="84"/>
      <c r="AE246" s="85"/>
      <c r="AF246" s="85"/>
      <c r="AG246" s="84"/>
      <c r="AM246" s="85"/>
      <c r="AN246" s="85"/>
      <c r="AO246" s="84"/>
      <c r="AU246" s="85"/>
      <c r="AV246" s="85"/>
      <c r="AW246" s="84"/>
      <c r="BC246" s="85"/>
      <c r="BD246" s="85"/>
      <c r="BE246" s="84"/>
      <c r="BK246" s="85"/>
      <c r="BL246" s="85"/>
      <c r="BM246" s="84"/>
      <c r="BS246" s="85"/>
      <c r="BT246" s="85"/>
    </row>
    <row r="247" spans="1:72">
      <c r="A247" s="84"/>
      <c r="G247" s="85"/>
      <c r="H247" s="85"/>
      <c r="I247" s="84"/>
      <c r="O247" s="85"/>
      <c r="P247" s="85"/>
      <c r="Q247" s="84"/>
      <c r="W247" s="85"/>
      <c r="X247" s="85"/>
      <c r="Y247" s="84"/>
      <c r="AE247" s="85"/>
      <c r="AF247" s="85"/>
      <c r="AG247" s="84"/>
      <c r="AM247" s="85"/>
      <c r="AN247" s="85"/>
      <c r="AO247" s="84"/>
      <c r="AU247" s="85"/>
      <c r="AV247" s="85"/>
      <c r="AW247" s="84"/>
      <c r="BC247" s="85"/>
      <c r="BD247" s="85"/>
      <c r="BE247" s="84"/>
      <c r="BK247" s="85"/>
      <c r="BL247" s="85"/>
      <c r="BM247" s="84"/>
      <c r="BS247" s="85"/>
      <c r="BT247" s="85"/>
    </row>
    <row r="248" spans="1:72">
      <c r="A248" s="84"/>
      <c r="G248" s="85"/>
      <c r="H248" s="85"/>
      <c r="I248" s="84"/>
      <c r="O248" s="85"/>
      <c r="P248" s="85"/>
      <c r="Q248" s="84"/>
      <c r="W248" s="85"/>
      <c r="X248" s="85"/>
      <c r="Y248" s="84"/>
      <c r="AE248" s="85"/>
      <c r="AF248" s="85"/>
      <c r="AG248" s="84"/>
      <c r="AM248" s="85"/>
      <c r="AN248" s="85"/>
      <c r="AO248" s="84"/>
      <c r="AU248" s="85"/>
      <c r="AV248" s="85"/>
      <c r="AW248" s="84"/>
      <c r="BC248" s="85"/>
      <c r="BD248" s="85"/>
      <c r="BE248" s="84"/>
      <c r="BK248" s="85"/>
      <c r="BL248" s="85"/>
      <c r="BM248" s="84"/>
      <c r="BS248" s="85"/>
      <c r="BT248" s="85"/>
    </row>
    <row r="249" spans="1:72">
      <c r="A249" s="84"/>
      <c r="G249" s="85"/>
      <c r="H249" s="85"/>
      <c r="I249" s="84"/>
      <c r="O249" s="85"/>
      <c r="P249" s="85"/>
      <c r="Q249" s="84"/>
      <c r="W249" s="85"/>
      <c r="X249" s="85"/>
      <c r="Y249" s="84"/>
      <c r="AE249" s="85"/>
      <c r="AF249" s="85"/>
      <c r="AG249" s="84"/>
      <c r="AM249" s="85"/>
      <c r="AN249" s="85"/>
      <c r="AO249" s="84"/>
      <c r="AU249" s="85"/>
      <c r="AV249" s="85"/>
      <c r="AW249" s="84"/>
      <c r="BC249" s="85"/>
      <c r="BD249" s="85"/>
      <c r="BE249" s="84"/>
      <c r="BK249" s="85"/>
      <c r="BL249" s="85"/>
      <c r="BM249" s="84"/>
      <c r="BS249" s="85"/>
      <c r="BT249" s="85"/>
    </row>
    <row r="250" spans="1:72">
      <c r="A250" s="84"/>
      <c r="G250" s="85"/>
      <c r="H250" s="85"/>
      <c r="I250" s="84"/>
      <c r="O250" s="85"/>
      <c r="P250" s="85"/>
      <c r="Q250" s="84"/>
      <c r="W250" s="85"/>
      <c r="X250" s="85"/>
      <c r="Y250" s="84"/>
      <c r="AE250" s="85"/>
      <c r="AF250" s="85"/>
      <c r="AG250" s="84"/>
      <c r="AM250" s="85"/>
      <c r="AN250" s="85"/>
      <c r="AO250" s="84"/>
      <c r="AU250" s="85"/>
      <c r="AV250" s="85"/>
      <c r="AW250" s="84"/>
      <c r="BC250" s="85"/>
      <c r="BD250" s="85"/>
      <c r="BE250" s="84"/>
      <c r="BK250" s="85"/>
      <c r="BL250" s="85"/>
      <c r="BM250" s="84"/>
      <c r="BS250" s="85"/>
      <c r="BT250" s="85"/>
    </row>
    <row r="251" spans="1:72">
      <c r="A251" s="84"/>
      <c r="G251" s="85"/>
      <c r="H251" s="85"/>
      <c r="I251" s="84"/>
      <c r="O251" s="85"/>
      <c r="P251" s="85"/>
      <c r="Q251" s="84"/>
      <c r="W251" s="85"/>
      <c r="X251" s="85"/>
      <c r="Y251" s="84"/>
      <c r="AE251" s="85"/>
      <c r="AF251" s="85"/>
      <c r="AG251" s="84"/>
      <c r="AM251" s="85"/>
      <c r="AN251" s="85"/>
      <c r="AO251" s="84"/>
      <c r="AU251" s="85"/>
      <c r="AV251" s="85"/>
      <c r="AW251" s="84"/>
      <c r="BC251" s="85"/>
      <c r="BD251" s="85"/>
      <c r="BE251" s="84"/>
      <c r="BK251" s="85"/>
      <c r="BL251" s="85"/>
      <c r="BM251" s="84"/>
      <c r="BS251" s="85"/>
      <c r="BT251" s="85"/>
    </row>
    <row r="252" spans="1:72">
      <c r="A252" s="84"/>
      <c r="G252" s="85"/>
      <c r="H252" s="85"/>
      <c r="I252" s="84"/>
      <c r="O252" s="85"/>
      <c r="P252" s="85"/>
      <c r="Q252" s="84"/>
      <c r="W252" s="85"/>
      <c r="X252" s="85"/>
      <c r="Y252" s="84"/>
      <c r="AE252" s="85"/>
      <c r="AF252" s="85"/>
      <c r="AG252" s="84"/>
      <c r="AM252" s="85"/>
      <c r="AN252" s="85"/>
      <c r="AO252" s="84"/>
      <c r="AU252" s="85"/>
      <c r="AV252" s="85"/>
      <c r="AW252" s="84"/>
      <c r="BC252" s="85"/>
      <c r="BD252" s="85"/>
      <c r="BE252" s="84"/>
      <c r="BK252" s="85"/>
      <c r="BL252" s="85"/>
      <c r="BM252" s="84"/>
      <c r="BS252" s="85"/>
      <c r="BT252" s="85"/>
    </row>
    <row r="253" spans="1:72">
      <c r="A253" s="84"/>
      <c r="G253" s="85"/>
      <c r="H253" s="85"/>
      <c r="I253" s="84"/>
      <c r="O253" s="85"/>
      <c r="P253" s="85"/>
      <c r="Q253" s="84"/>
      <c r="W253" s="85"/>
      <c r="X253" s="85"/>
      <c r="Y253" s="84"/>
      <c r="AE253" s="85"/>
      <c r="AF253" s="85"/>
      <c r="AG253" s="84"/>
      <c r="AM253" s="85"/>
      <c r="AN253" s="85"/>
      <c r="AO253" s="84"/>
      <c r="AU253" s="85"/>
      <c r="AV253" s="85"/>
      <c r="AW253" s="84"/>
      <c r="BC253" s="85"/>
      <c r="BD253" s="85"/>
      <c r="BE253" s="84"/>
      <c r="BK253" s="85"/>
      <c r="BL253" s="85"/>
      <c r="BM253" s="84"/>
      <c r="BS253" s="85"/>
      <c r="BT253" s="85"/>
    </row>
    <row r="254" spans="1:72">
      <c r="A254" s="84"/>
      <c r="G254" s="85"/>
      <c r="H254" s="85"/>
      <c r="I254" s="84"/>
      <c r="O254" s="85"/>
      <c r="P254" s="85"/>
      <c r="Q254" s="84"/>
      <c r="W254" s="85"/>
      <c r="X254" s="85"/>
      <c r="Y254" s="84"/>
      <c r="AE254" s="85"/>
      <c r="AF254" s="85"/>
      <c r="AG254" s="84"/>
      <c r="AM254" s="85"/>
      <c r="AN254" s="85"/>
      <c r="AO254" s="84"/>
      <c r="AU254" s="85"/>
      <c r="AV254" s="85"/>
      <c r="AW254" s="84"/>
      <c r="BC254" s="85"/>
      <c r="BD254" s="85"/>
      <c r="BE254" s="84"/>
      <c r="BK254" s="85"/>
      <c r="BL254" s="85"/>
      <c r="BM254" s="84"/>
      <c r="BS254" s="85"/>
      <c r="BT254" s="85"/>
    </row>
    <row r="255" spans="1:72">
      <c r="A255" s="84"/>
      <c r="G255" s="85"/>
      <c r="H255" s="85"/>
      <c r="I255" s="84"/>
      <c r="O255" s="85"/>
      <c r="P255" s="85"/>
      <c r="Q255" s="84"/>
      <c r="W255" s="85"/>
      <c r="X255" s="85"/>
      <c r="Y255" s="84"/>
      <c r="AE255" s="85"/>
      <c r="AF255" s="85"/>
      <c r="AG255" s="84"/>
      <c r="AM255" s="85"/>
      <c r="AN255" s="85"/>
      <c r="AO255" s="84"/>
      <c r="AU255" s="85"/>
      <c r="AV255" s="85"/>
      <c r="AW255" s="84"/>
      <c r="BC255" s="85"/>
      <c r="BD255" s="85"/>
      <c r="BE255" s="84"/>
      <c r="BK255" s="85"/>
      <c r="BL255" s="85"/>
      <c r="BM255" s="84"/>
      <c r="BS255" s="85"/>
      <c r="BT255" s="85"/>
    </row>
    <row r="256" spans="1:72">
      <c r="A256" s="84"/>
      <c r="G256" s="85"/>
      <c r="H256" s="85"/>
      <c r="I256" s="84"/>
      <c r="O256" s="85"/>
      <c r="P256" s="85"/>
      <c r="Q256" s="84"/>
      <c r="W256" s="85"/>
      <c r="X256" s="85"/>
      <c r="Y256" s="84"/>
      <c r="AE256" s="85"/>
      <c r="AF256" s="85"/>
      <c r="AG256" s="84"/>
      <c r="AM256" s="85"/>
      <c r="AN256" s="85"/>
      <c r="AO256" s="84"/>
      <c r="AU256" s="85"/>
      <c r="AV256" s="85"/>
      <c r="AW256" s="84"/>
      <c r="BC256" s="85"/>
      <c r="BD256" s="85"/>
      <c r="BE256" s="84"/>
      <c r="BK256" s="85"/>
      <c r="BL256" s="85"/>
      <c r="BM256" s="84"/>
      <c r="BS256" s="85"/>
      <c r="BT256" s="85"/>
    </row>
    <row r="257" spans="1:72">
      <c r="A257" s="84"/>
      <c r="G257" s="85"/>
      <c r="H257" s="85"/>
      <c r="I257" s="84"/>
      <c r="O257" s="85"/>
      <c r="P257" s="85"/>
      <c r="Q257" s="84"/>
      <c r="W257" s="85"/>
      <c r="X257" s="85"/>
      <c r="Y257" s="84"/>
      <c r="AE257" s="85"/>
      <c r="AF257" s="85"/>
      <c r="AG257" s="84"/>
      <c r="AM257" s="85"/>
      <c r="AN257" s="85"/>
      <c r="AO257" s="84"/>
      <c r="AU257" s="85"/>
      <c r="AV257" s="85"/>
      <c r="AW257" s="84"/>
      <c r="BC257" s="85"/>
      <c r="BD257" s="85"/>
      <c r="BE257" s="84"/>
      <c r="BK257" s="85"/>
      <c r="BL257" s="85"/>
      <c r="BM257" s="84"/>
      <c r="BS257" s="85"/>
      <c r="BT257" s="85"/>
    </row>
    <row r="258" spans="1:72">
      <c r="A258" s="84"/>
      <c r="G258" s="85"/>
      <c r="H258" s="85"/>
      <c r="I258" s="84"/>
      <c r="O258" s="85"/>
      <c r="P258" s="85"/>
      <c r="Q258" s="84"/>
      <c r="W258" s="85"/>
      <c r="X258" s="85"/>
      <c r="Y258" s="84"/>
      <c r="AE258" s="85"/>
      <c r="AF258" s="85"/>
      <c r="AG258" s="84"/>
      <c r="AM258" s="85"/>
      <c r="AN258" s="85"/>
      <c r="AO258" s="84"/>
      <c r="AU258" s="85"/>
      <c r="AV258" s="85"/>
      <c r="AW258" s="84"/>
      <c r="BC258" s="85"/>
      <c r="BD258" s="85"/>
      <c r="BE258" s="84"/>
      <c r="BK258" s="85"/>
      <c r="BL258" s="85"/>
      <c r="BM258" s="84"/>
      <c r="BS258" s="85"/>
      <c r="BT258" s="85"/>
    </row>
    <row r="259" spans="1:72">
      <c r="A259" s="84"/>
      <c r="G259" s="85"/>
      <c r="H259" s="85"/>
      <c r="I259" s="84"/>
      <c r="O259" s="85"/>
      <c r="P259" s="85"/>
      <c r="Q259" s="84"/>
      <c r="W259" s="85"/>
      <c r="X259" s="85"/>
      <c r="Y259" s="84"/>
      <c r="AE259" s="85"/>
      <c r="AF259" s="85"/>
      <c r="AG259" s="84"/>
      <c r="AM259" s="85"/>
      <c r="AN259" s="85"/>
      <c r="AO259" s="84"/>
      <c r="AU259" s="85"/>
      <c r="AV259" s="85"/>
      <c r="AW259" s="84"/>
      <c r="BC259" s="85"/>
      <c r="BD259" s="85"/>
      <c r="BE259" s="84"/>
      <c r="BK259" s="85"/>
      <c r="BL259" s="85"/>
      <c r="BM259" s="84"/>
      <c r="BS259" s="85"/>
      <c r="BT259" s="85"/>
    </row>
    <row r="260" spans="1:72">
      <c r="A260" s="84"/>
      <c r="G260" s="85"/>
      <c r="H260" s="85"/>
      <c r="I260" s="84"/>
      <c r="O260" s="85"/>
      <c r="P260" s="85"/>
      <c r="Q260" s="84"/>
      <c r="W260" s="85"/>
      <c r="X260" s="85"/>
      <c r="Y260" s="84"/>
      <c r="AE260" s="85"/>
      <c r="AF260" s="85"/>
      <c r="AG260" s="84"/>
      <c r="AM260" s="85"/>
      <c r="AN260" s="85"/>
      <c r="AO260" s="84"/>
      <c r="AU260" s="85"/>
      <c r="AV260" s="85"/>
      <c r="AW260" s="84"/>
      <c r="BC260" s="85"/>
      <c r="BD260" s="85"/>
      <c r="BE260" s="84"/>
      <c r="BK260" s="85"/>
      <c r="BL260" s="85"/>
      <c r="BM260" s="84"/>
      <c r="BS260" s="85"/>
      <c r="BT260" s="85"/>
    </row>
    <row r="261" spans="1:72">
      <c r="A261" s="84"/>
      <c r="G261" s="85"/>
      <c r="H261" s="85"/>
      <c r="I261" s="84"/>
      <c r="O261" s="85"/>
      <c r="P261" s="85"/>
      <c r="Q261" s="84"/>
      <c r="W261" s="85"/>
      <c r="X261" s="85"/>
      <c r="Y261" s="84"/>
      <c r="AE261" s="85"/>
      <c r="AF261" s="85"/>
      <c r="AG261" s="84"/>
      <c r="AM261" s="85"/>
      <c r="AN261" s="85"/>
      <c r="AO261" s="84"/>
      <c r="AU261" s="85"/>
      <c r="AV261" s="85"/>
      <c r="AW261" s="84"/>
      <c r="BC261" s="85"/>
      <c r="BD261" s="85"/>
      <c r="BE261" s="84"/>
      <c r="BK261" s="85"/>
      <c r="BL261" s="85"/>
      <c r="BM261" s="84"/>
      <c r="BS261" s="85"/>
      <c r="BT261" s="85"/>
    </row>
    <row r="262" spans="1:72">
      <c r="A262" s="84"/>
      <c r="G262" s="85"/>
      <c r="H262" s="85"/>
      <c r="I262" s="84"/>
      <c r="O262" s="85"/>
      <c r="P262" s="85"/>
      <c r="Q262" s="84"/>
      <c r="W262" s="85"/>
      <c r="X262" s="85"/>
      <c r="Y262" s="84"/>
      <c r="AE262" s="85"/>
      <c r="AF262" s="85"/>
      <c r="AG262" s="84"/>
      <c r="AM262" s="85"/>
      <c r="AN262" s="85"/>
      <c r="AO262" s="84"/>
      <c r="AU262" s="85"/>
      <c r="AV262" s="85"/>
      <c r="AW262" s="84"/>
      <c r="BC262" s="85"/>
      <c r="BD262" s="85"/>
      <c r="BE262" s="84"/>
      <c r="BK262" s="85"/>
      <c r="BL262" s="85"/>
      <c r="BM262" s="84"/>
      <c r="BS262" s="85"/>
      <c r="BT262" s="85"/>
    </row>
    <row r="263" spans="1:72">
      <c r="A263" s="84"/>
      <c r="G263" s="85"/>
      <c r="H263" s="85"/>
      <c r="I263" s="84"/>
      <c r="O263" s="85"/>
      <c r="P263" s="85"/>
      <c r="Q263" s="84"/>
      <c r="W263" s="85"/>
      <c r="X263" s="85"/>
      <c r="Y263" s="84"/>
      <c r="AE263" s="85"/>
      <c r="AF263" s="85"/>
      <c r="AG263" s="84"/>
      <c r="AM263" s="85"/>
      <c r="AN263" s="85"/>
      <c r="AO263" s="84"/>
      <c r="AU263" s="85"/>
      <c r="AV263" s="85"/>
      <c r="AW263" s="84"/>
      <c r="BC263" s="85"/>
      <c r="BD263" s="85"/>
      <c r="BE263" s="84"/>
      <c r="BK263" s="85"/>
      <c r="BL263" s="85"/>
      <c r="BM263" s="84"/>
      <c r="BS263" s="85"/>
      <c r="BT263" s="85"/>
    </row>
    <row r="264" spans="1:72">
      <c r="A264" s="84"/>
      <c r="G264" s="85"/>
      <c r="H264" s="85"/>
      <c r="I264" s="84"/>
      <c r="O264" s="85"/>
      <c r="P264" s="85"/>
      <c r="Q264" s="84"/>
      <c r="W264" s="85"/>
      <c r="X264" s="85"/>
      <c r="Y264" s="84"/>
      <c r="AE264" s="85"/>
      <c r="AF264" s="85"/>
      <c r="AG264" s="84"/>
      <c r="AM264" s="85"/>
      <c r="AN264" s="85"/>
      <c r="AO264" s="84"/>
      <c r="AU264" s="85"/>
      <c r="AV264" s="85"/>
      <c r="AW264" s="84"/>
      <c r="BC264" s="85"/>
      <c r="BD264" s="85"/>
      <c r="BE264" s="84"/>
      <c r="BK264" s="85"/>
      <c r="BL264" s="85"/>
      <c r="BM264" s="84"/>
      <c r="BS264" s="85"/>
      <c r="BT264" s="85"/>
    </row>
    <row r="265" spans="1:72">
      <c r="A265" s="84"/>
      <c r="G265" s="85"/>
      <c r="H265" s="85"/>
      <c r="I265" s="84"/>
      <c r="O265" s="85"/>
      <c r="P265" s="85"/>
      <c r="Q265" s="84"/>
      <c r="W265" s="85"/>
      <c r="X265" s="85"/>
      <c r="Y265" s="84"/>
      <c r="AE265" s="85"/>
      <c r="AF265" s="85"/>
      <c r="AG265" s="84"/>
      <c r="AM265" s="85"/>
      <c r="AN265" s="85"/>
      <c r="AO265" s="84"/>
      <c r="AU265" s="85"/>
      <c r="AV265" s="85"/>
      <c r="AW265" s="84"/>
      <c r="BC265" s="85"/>
      <c r="BD265" s="85"/>
      <c r="BE265" s="84"/>
      <c r="BK265" s="85"/>
      <c r="BL265" s="85"/>
      <c r="BM265" s="84"/>
      <c r="BS265" s="85"/>
      <c r="BT265" s="85"/>
    </row>
    <row r="266" spans="1:72">
      <c r="A266" s="84"/>
      <c r="G266" s="85"/>
      <c r="H266" s="85"/>
      <c r="I266" s="84"/>
      <c r="O266" s="85"/>
      <c r="P266" s="85"/>
      <c r="Q266" s="84"/>
      <c r="W266" s="85"/>
      <c r="X266" s="85"/>
      <c r="Y266" s="84"/>
      <c r="AE266" s="85"/>
      <c r="AF266" s="85"/>
      <c r="AG266" s="84"/>
      <c r="AM266" s="85"/>
      <c r="AN266" s="85"/>
      <c r="AO266" s="84"/>
      <c r="AU266" s="85"/>
      <c r="AV266" s="85"/>
      <c r="AW266" s="84"/>
      <c r="BC266" s="85"/>
      <c r="BD266" s="85"/>
      <c r="BE266" s="84"/>
      <c r="BK266" s="85"/>
      <c r="BL266" s="85"/>
      <c r="BM266" s="84"/>
      <c r="BS266" s="85"/>
      <c r="BT266" s="85"/>
    </row>
    <row r="267" spans="1:72">
      <c r="A267" s="84"/>
      <c r="G267" s="85"/>
      <c r="H267" s="85"/>
      <c r="I267" s="84"/>
      <c r="O267" s="85"/>
      <c r="P267" s="85"/>
      <c r="Q267" s="84"/>
      <c r="W267" s="85"/>
      <c r="X267" s="85"/>
      <c r="Y267" s="84"/>
      <c r="AE267" s="85"/>
      <c r="AF267" s="85"/>
      <c r="AG267" s="84"/>
      <c r="AM267" s="85"/>
      <c r="AN267" s="85"/>
      <c r="AO267" s="84"/>
      <c r="AU267" s="85"/>
      <c r="AV267" s="85"/>
      <c r="AW267" s="84"/>
      <c r="BC267" s="85"/>
      <c r="BD267" s="85"/>
      <c r="BE267" s="84"/>
      <c r="BK267" s="85"/>
      <c r="BL267" s="85"/>
      <c r="BM267" s="84"/>
      <c r="BS267" s="85"/>
      <c r="BT267" s="85"/>
    </row>
    <row r="268" spans="1:72">
      <c r="A268" s="84"/>
      <c r="G268" s="85"/>
      <c r="H268" s="85"/>
      <c r="I268" s="84"/>
      <c r="O268" s="85"/>
      <c r="P268" s="85"/>
      <c r="Q268" s="84"/>
      <c r="W268" s="85"/>
      <c r="X268" s="85"/>
      <c r="Y268" s="84"/>
      <c r="AE268" s="85"/>
      <c r="AF268" s="85"/>
      <c r="AG268" s="84"/>
      <c r="AM268" s="85"/>
      <c r="AN268" s="85"/>
      <c r="AO268" s="84"/>
      <c r="AU268" s="85"/>
      <c r="AV268" s="85"/>
      <c r="AW268" s="84"/>
      <c r="BC268" s="85"/>
      <c r="BD268" s="85"/>
      <c r="BE268" s="84"/>
      <c r="BK268" s="85"/>
      <c r="BL268" s="85"/>
      <c r="BM268" s="84"/>
      <c r="BS268" s="85"/>
      <c r="BT268" s="85"/>
    </row>
    <row r="269" spans="1:72">
      <c r="A269" s="84"/>
      <c r="G269" s="85"/>
      <c r="H269" s="85"/>
      <c r="I269" s="84"/>
      <c r="O269" s="85"/>
      <c r="P269" s="85"/>
      <c r="Q269" s="84"/>
      <c r="W269" s="85"/>
      <c r="X269" s="85"/>
      <c r="Y269" s="84"/>
      <c r="AE269" s="85"/>
      <c r="AF269" s="85"/>
      <c r="AG269" s="84"/>
      <c r="AM269" s="85"/>
      <c r="AN269" s="85"/>
      <c r="AO269" s="84"/>
      <c r="AU269" s="85"/>
      <c r="AV269" s="85"/>
      <c r="AW269" s="84"/>
      <c r="BC269" s="85"/>
      <c r="BD269" s="85"/>
      <c r="BE269" s="84"/>
      <c r="BK269" s="85"/>
      <c r="BL269" s="85"/>
      <c r="BM269" s="84"/>
      <c r="BS269" s="85"/>
      <c r="BT269" s="85"/>
    </row>
    <row r="270" spans="1:72">
      <c r="A270" s="84"/>
      <c r="G270" s="85"/>
      <c r="H270" s="85"/>
      <c r="I270" s="84"/>
      <c r="O270" s="85"/>
      <c r="P270" s="85"/>
      <c r="Q270" s="84"/>
      <c r="W270" s="85"/>
      <c r="X270" s="85"/>
      <c r="Y270" s="84"/>
      <c r="AE270" s="85"/>
      <c r="AF270" s="85"/>
      <c r="AG270" s="84"/>
      <c r="AM270" s="85"/>
      <c r="AN270" s="85"/>
      <c r="AO270" s="84"/>
      <c r="AU270" s="85"/>
      <c r="AV270" s="85"/>
      <c r="AW270" s="84"/>
      <c r="BC270" s="85"/>
      <c r="BD270" s="85"/>
      <c r="BE270" s="84"/>
      <c r="BK270" s="85"/>
      <c r="BL270" s="85"/>
      <c r="BM270" s="84"/>
      <c r="BS270" s="85"/>
      <c r="BT270" s="85"/>
    </row>
    <row r="271" spans="1:72">
      <c r="A271" s="84"/>
      <c r="G271" s="85"/>
      <c r="H271" s="85"/>
      <c r="I271" s="84"/>
      <c r="O271" s="85"/>
      <c r="P271" s="85"/>
      <c r="Q271" s="84"/>
      <c r="W271" s="85"/>
      <c r="X271" s="85"/>
      <c r="Y271" s="84"/>
      <c r="AE271" s="85"/>
      <c r="AF271" s="85"/>
      <c r="AG271" s="84"/>
      <c r="AM271" s="85"/>
      <c r="AN271" s="85"/>
      <c r="AO271" s="84"/>
      <c r="AU271" s="85"/>
      <c r="AV271" s="85"/>
      <c r="AW271" s="84"/>
      <c r="BC271" s="85"/>
      <c r="BD271" s="85"/>
      <c r="BE271" s="84"/>
      <c r="BK271" s="85"/>
      <c r="BL271" s="85"/>
      <c r="BM271" s="84"/>
      <c r="BS271" s="85"/>
      <c r="BT271" s="85"/>
    </row>
    <row r="272" spans="1:72">
      <c r="A272" s="84"/>
      <c r="G272" s="85"/>
      <c r="H272" s="85"/>
      <c r="I272" s="84"/>
      <c r="O272" s="85"/>
      <c r="P272" s="85"/>
      <c r="Q272" s="84"/>
      <c r="W272" s="85"/>
      <c r="X272" s="85"/>
      <c r="Y272" s="84"/>
      <c r="AE272" s="85"/>
      <c r="AF272" s="85"/>
      <c r="AG272" s="84"/>
      <c r="AM272" s="85"/>
      <c r="AN272" s="85"/>
      <c r="AO272" s="84"/>
      <c r="AU272" s="85"/>
      <c r="AV272" s="85"/>
      <c r="AW272" s="84"/>
      <c r="BC272" s="85"/>
      <c r="BD272" s="85"/>
      <c r="BE272" s="84"/>
      <c r="BK272" s="85"/>
      <c r="BL272" s="85"/>
      <c r="BM272" s="84"/>
      <c r="BS272" s="85"/>
      <c r="BT272" s="85"/>
    </row>
    <row r="273" spans="1:72">
      <c r="A273" s="84"/>
      <c r="G273" s="85"/>
      <c r="H273" s="85"/>
      <c r="I273" s="84"/>
      <c r="O273" s="85"/>
      <c r="P273" s="85"/>
      <c r="Q273" s="84"/>
      <c r="W273" s="85"/>
      <c r="X273" s="85"/>
      <c r="Y273" s="84"/>
      <c r="AE273" s="85"/>
      <c r="AF273" s="85"/>
      <c r="AG273" s="84"/>
      <c r="AM273" s="85"/>
      <c r="AN273" s="85"/>
      <c r="AO273" s="84"/>
      <c r="AU273" s="85"/>
      <c r="AV273" s="85"/>
      <c r="AW273" s="84"/>
      <c r="BC273" s="85"/>
      <c r="BD273" s="85"/>
      <c r="BE273" s="84"/>
      <c r="BK273" s="85"/>
      <c r="BL273" s="85"/>
      <c r="BM273" s="84"/>
      <c r="BS273" s="85"/>
      <c r="BT273" s="85"/>
    </row>
    <row r="274" spans="1:72">
      <c r="A274" s="84"/>
      <c r="G274" s="85"/>
      <c r="H274" s="85"/>
      <c r="I274" s="84"/>
      <c r="O274" s="85"/>
      <c r="P274" s="85"/>
      <c r="Q274" s="84"/>
      <c r="W274" s="85"/>
      <c r="X274" s="85"/>
      <c r="Y274" s="84"/>
      <c r="AE274" s="85"/>
      <c r="AF274" s="85"/>
      <c r="AG274" s="84"/>
      <c r="AM274" s="85"/>
      <c r="AN274" s="85"/>
      <c r="AO274" s="84"/>
      <c r="AU274" s="85"/>
      <c r="AV274" s="85"/>
      <c r="AW274" s="84"/>
      <c r="BC274" s="85"/>
      <c r="BD274" s="85"/>
      <c r="BE274" s="84"/>
      <c r="BK274" s="85"/>
      <c r="BL274" s="85"/>
      <c r="BM274" s="84"/>
      <c r="BS274" s="85"/>
      <c r="BT274" s="85"/>
    </row>
    <row r="275" spans="1:72">
      <c r="A275" s="84"/>
      <c r="G275" s="85"/>
      <c r="H275" s="85"/>
      <c r="I275" s="84"/>
      <c r="O275" s="85"/>
      <c r="P275" s="85"/>
      <c r="Q275" s="84"/>
      <c r="W275" s="85"/>
      <c r="X275" s="85"/>
      <c r="Y275" s="84"/>
      <c r="AE275" s="85"/>
      <c r="AF275" s="85"/>
      <c r="AG275" s="84"/>
      <c r="AM275" s="85"/>
      <c r="AN275" s="85"/>
      <c r="AO275" s="84"/>
      <c r="AU275" s="85"/>
      <c r="AV275" s="85"/>
      <c r="AW275" s="84"/>
      <c r="BC275" s="85"/>
      <c r="BD275" s="85"/>
      <c r="BE275" s="84"/>
      <c r="BK275" s="85"/>
      <c r="BL275" s="85"/>
      <c r="BM275" s="84"/>
      <c r="BS275" s="85"/>
      <c r="BT275" s="85"/>
    </row>
    <row r="276" spans="1:72">
      <c r="A276" s="84"/>
      <c r="G276" s="85"/>
      <c r="H276" s="85"/>
      <c r="I276" s="84"/>
      <c r="O276" s="85"/>
      <c r="P276" s="85"/>
      <c r="Q276" s="84"/>
      <c r="W276" s="85"/>
      <c r="X276" s="85"/>
      <c r="Y276" s="84"/>
      <c r="AE276" s="85"/>
      <c r="AF276" s="85"/>
      <c r="AG276" s="84"/>
      <c r="AM276" s="85"/>
      <c r="AN276" s="85"/>
      <c r="AO276" s="84"/>
      <c r="AU276" s="85"/>
      <c r="AV276" s="85"/>
      <c r="AW276" s="84"/>
      <c r="BC276" s="85"/>
      <c r="BD276" s="85"/>
      <c r="BE276" s="84"/>
      <c r="BK276" s="85"/>
      <c r="BL276" s="85"/>
      <c r="BM276" s="84"/>
      <c r="BS276" s="85"/>
      <c r="BT276" s="85"/>
    </row>
    <row r="277" spans="1:72">
      <c r="A277" s="84"/>
      <c r="G277" s="85"/>
      <c r="H277" s="85"/>
      <c r="I277" s="84"/>
      <c r="O277" s="85"/>
      <c r="P277" s="85"/>
      <c r="Q277" s="84"/>
      <c r="W277" s="85"/>
      <c r="X277" s="85"/>
      <c r="Y277" s="84"/>
      <c r="AE277" s="85"/>
      <c r="AF277" s="85"/>
      <c r="AG277" s="84"/>
      <c r="AM277" s="85"/>
      <c r="AN277" s="85"/>
      <c r="AO277" s="84"/>
      <c r="AU277" s="85"/>
      <c r="AV277" s="85"/>
      <c r="AW277" s="84"/>
      <c r="BC277" s="85"/>
      <c r="BD277" s="85"/>
      <c r="BE277" s="84"/>
      <c r="BK277" s="85"/>
      <c r="BL277" s="85"/>
      <c r="BM277" s="84"/>
      <c r="BS277" s="85"/>
      <c r="BT277" s="85"/>
    </row>
    <row r="278" spans="1:72">
      <c r="A278" s="84"/>
      <c r="G278" s="85"/>
      <c r="H278" s="85"/>
      <c r="I278" s="84"/>
      <c r="O278" s="85"/>
      <c r="P278" s="85"/>
      <c r="Q278" s="84"/>
      <c r="W278" s="85"/>
      <c r="X278" s="85"/>
      <c r="Y278" s="84"/>
      <c r="AE278" s="85"/>
      <c r="AF278" s="85"/>
      <c r="AG278" s="84"/>
      <c r="AM278" s="85"/>
      <c r="AN278" s="85"/>
      <c r="AO278" s="84"/>
      <c r="AU278" s="85"/>
      <c r="AV278" s="85"/>
      <c r="AW278" s="84"/>
      <c r="BC278" s="85"/>
      <c r="BD278" s="85"/>
      <c r="BE278" s="84"/>
      <c r="BK278" s="85"/>
      <c r="BL278" s="85"/>
      <c r="BM278" s="84"/>
      <c r="BS278" s="85"/>
      <c r="BT278" s="85"/>
    </row>
    <row r="279" spans="1:72">
      <c r="A279" s="84"/>
      <c r="G279" s="85"/>
      <c r="H279" s="85"/>
      <c r="I279" s="84"/>
      <c r="O279" s="85"/>
      <c r="P279" s="85"/>
      <c r="Q279" s="84"/>
      <c r="W279" s="85"/>
      <c r="X279" s="85"/>
      <c r="Y279" s="84"/>
      <c r="AE279" s="85"/>
      <c r="AF279" s="85"/>
      <c r="AG279" s="84"/>
      <c r="AM279" s="85"/>
      <c r="AN279" s="85"/>
      <c r="AO279" s="84"/>
      <c r="AU279" s="85"/>
      <c r="AV279" s="85"/>
      <c r="AW279" s="84"/>
      <c r="BC279" s="85"/>
      <c r="BD279" s="85"/>
      <c r="BE279" s="84"/>
      <c r="BK279" s="85"/>
      <c r="BL279" s="85"/>
      <c r="BM279" s="84"/>
      <c r="BS279" s="85"/>
      <c r="BT279" s="85"/>
    </row>
    <row r="280" spans="1:72">
      <c r="A280" s="84"/>
      <c r="G280" s="85"/>
      <c r="H280" s="85"/>
      <c r="I280" s="84"/>
      <c r="O280" s="85"/>
      <c r="P280" s="85"/>
      <c r="Q280" s="84"/>
      <c r="W280" s="85"/>
      <c r="X280" s="85"/>
      <c r="Y280" s="84"/>
      <c r="AE280" s="85"/>
      <c r="AF280" s="85"/>
      <c r="AG280" s="84"/>
      <c r="AM280" s="85"/>
      <c r="AN280" s="85"/>
      <c r="AO280" s="84"/>
      <c r="AU280" s="85"/>
      <c r="AV280" s="85"/>
      <c r="AW280" s="84"/>
      <c r="BC280" s="85"/>
      <c r="BD280" s="85"/>
      <c r="BE280" s="84"/>
      <c r="BK280" s="85"/>
      <c r="BL280" s="85"/>
      <c r="BM280" s="84"/>
      <c r="BS280" s="85"/>
      <c r="BT280" s="85"/>
    </row>
    <row r="281" spans="1:72">
      <c r="A281" s="84"/>
      <c r="G281" s="85"/>
      <c r="H281" s="85"/>
      <c r="I281" s="84"/>
      <c r="O281" s="85"/>
      <c r="P281" s="85"/>
      <c r="Q281" s="84"/>
      <c r="W281" s="85"/>
      <c r="X281" s="85"/>
      <c r="Y281" s="84"/>
      <c r="AE281" s="85"/>
      <c r="AF281" s="85"/>
      <c r="AG281" s="84"/>
      <c r="AM281" s="85"/>
      <c r="AN281" s="85"/>
      <c r="AO281" s="84"/>
      <c r="AU281" s="85"/>
      <c r="AV281" s="85"/>
      <c r="AW281" s="84"/>
      <c r="BC281" s="85"/>
      <c r="BD281" s="85"/>
      <c r="BE281" s="84"/>
      <c r="BK281" s="85"/>
      <c r="BL281" s="85"/>
      <c r="BM281" s="84"/>
      <c r="BS281" s="85"/>
      <c r="BT281" s="85"/>
    </row>
    <row r="282" spans="1:72">
      <c r="A282" s="84"/>
      <c r="G282" s="85"/>
      <c r="H282" s="85"/>
      <c r="I282" s="84"/>
      <c r="O282" s="85"/>
      <c r="P282" s="85"/>
      <c r="Q282" s="84"/>
      <c r="W282" s="85"/>
      <c r="X282" s="85"/>
      <c r="Y282" s="84"/>
      <c r="AE282" s="85"/>
      <c r="AF282" s="85"/>
      <c r="AG282" s="84"/>
      <c r="AM282" s="85"/>
      <c r="AN282" s="85"/>
      <c r="AO282" s="84"/>
      <c r="AU282" s="85"/>
      <c r="AV282" s="85"/>
      <c r="AW282" s="84"/>
      <c r="BC282" s="85"/>
      <c r="BD282" s="85"/>
      <c r="BE282" s="84"/>
      <c r="BK282" s="85"/>
      <c r="BL282" s="85"/>
      <c r="BM282" s="84"/>
      <c r="BS282" s="85"/>
      <c r="BT282" s="85"/>
    </row>
    <row r="283" spans="1:72">
      <c r="A283" s="84"/>
      <c r="G283" s="85"/>
      <c r="H283" s="85"/>
      <c r="I283" s="84"/>
      <c r="O283" s="85"/>
      <c r="P283" s="85"/>
      <c r="Q283" s="84"/>
      <c r="W283" s="85"/>
      <c r="X283" s="85"/>
      <c r="Y283" s="84"/>
      <c r="AE283" s="85"/>
      <c r="AF283" s="85"/>
      <c r="AG283" s="84"/>
      <c r="AM283" s="85"/>
      <c r="AN283" s="85"/>
      <c r="AO283" s="84"/>
      <c r="AU283" s="85"/>
      <c r="AV283" s="85"/>
      <c r="AW283" s="84"/>
      <c r="BC283" s="85"/>
      <c r="BD283" s="85"/>
      <c r="BE283" s="84"/>
      <c r="BK283" s="85"/>
      <c r="BL283" s="85"/>
      <c r="BM283" s="84"/>
      <c r="BS283" s="85"/>
      <c r="BT283" s="85"/>
    </row>
    <row r="284" spans="1:72">
      <c r="A284" s="84"/>
      <c r="G284" s="85"/>
      <c r="H284" s="85"/>
      <c r="I284" s="84"/>
      <c r="O284" s="85"/>
      <c r="P284" s="85"/>
      <c r="Q284" s="84"/>
      <c r="W284" s="85"/>
      <c r="X284" s="85"/>
      <c r="Y284" s="84"/>
      <c r="AE284" s="85"/>
      <c r="AF284" s="85"/>
      <c r="AG284" s="84"/>
      <c r="AM284" s="85"/>
      <c r="AN284" s="85"/>
      <c r="AO284" s="84"/>
      <c r="AU284" s="85"/>
      <c r="AV284" s="85"/>
      <c r="AW284" s="84"/>
      <c r="BC284" s="85"/>
      <c r="BD284" s="85"/>
      <c r="BE284" s="84"/>
      <c r="BK284" s="85"/>
      <c r="BL284" s="85"/>
      <c r="BM284" s="84"/>
      <c r="BS284" s="85"/>
      <c r="BT284" s="85"/>
    </row>
    <row r="285" spans="1:72">
      <c r="A285" s="84"/>
      <c r="G285" s="85"/>
      <c r="H285" s="85"/>
      <c r="I285" s="84"/>
      <c r="O285" s="85"/>
      <c r="P285" s="85"/>
      <c r="Q285" s="84"/>
      <c r="W285" s="85"/>
      <c r="X285" s="85"/>
      <c r="Y285" s="84"/>
      <c r="AE285" s="85"/>
      <c r="AF285" s="85"/>
      <c r="AG285" s="84"/>
      <c r="AM285" s="85"/>
      <c r="AN285" s="85"/>
      <c r="AO285" s="84"/>
      <c r="AU285" s="85"/>
      <c r="AV285" s="85"/>
      <c r="AW285" s="84"/>
      <c r="BC285" s="85"/>
      <c r="BD285" s="85"/>
      <c r="BE285" s="84"/>
      <c r="BK285" s="85"/>
      <c r="BL285" s="85"/>
      <c r="BM285" s="84"/>
      <c r="BS285" s="85"/>
      <c r="BT285" s="85"/>
    </row>
    <row r="286" spans="1:72">
      <c r="A286" s="84"/>
      <c r="G286" s="85"/>
      <c r="H286" s="85"/>
      <c r="I286" s="84"/>
      <c r="O286" s="85"/>
      <c r="P286" s="85"/>
      <c r="Q286" s="84"/>
      <c r="W286" s="85"/>
      <c r="X286" s="85"/>
      <c r="Y286" s="84"/>
      <c r="AE286" s="85"/>
      <c r="AF286" s="85"/>
      <c r="AG286" s="84"/>
      <c r="AM286" s="85"/>
      <c r="AN286" s="85"/>
      <c r="AO286" s="84"/>
      <c r="AU286" s="85"/>
      <c r="AV286" s="85"/>
      <c r="AW286" s="84"/>
      <c r="BC286" s="85"/>
      <c r="BD286" s="85"/>
      <c r="BE286" s="84"/>
      <c r="BK286" s="85"/>
      <c r="BL286" s="85"/>
      <c r="BM286" s="84"/>
      <c r="BS286" s="85"/>
      <c r="BT286" s="85"/>
    </row>
    <row r="287" spans="1:72">
      <c r="A287" s="84"/>
      <c r="G287" s="85"/>
      <c r="H287" s="85"/>
      <c r="I287" s="84"/>
      <c r="O287" s="85"/>
      <c r="P287" s="85"/>
      <c r="Q287" s="84"/>
      <c r="W287" s="85"/>
      <c r="X287" s="85"/>
      <c r="Y287" s="84"/>
      <c r="AE287" s="85"/>
      <c r="AF287" s="85"/>
      <c r="AG287" s="84"/>
      <c r="AM287" s="85"/>
      <c r="AN287" s="85"/>
      <c r="AO287" s="84"/>
      <c r="AU287" s="85"/>
      <c r="AV287" s="85"/>
      <c r="AW287" s="84"/>
      <c r="BC287" s="85"/>
      <c r="BD287" s="85"/>
      <c r="BE287" s="84"/>
      <c r="BK287" s="85"/>
      <c r="BL287" s="85"/>
      <c r="BM287" s="84"/>
      <c r="BS287" s="85"/>
      <c r="BT287" s="85"/>
    </row>
    <row r="288" spans="1:72">
      <c r="A288" s="84"/>
      <c r="G288" s="85"/>
      <c r="H288" s="85"/>
      <c r="I288" s="84"/>
      <c r="O288" s="85"/>
      <c r="P288" s="85"/>
      <c r="Q288" s="84"/>
      <c r="W288" s="85"/>
      <c r="X288" s="85"/>
      <c r="Y288" s="84"/>
      <c r="AE288" s="85"/>
      <c r="AF288" s="85"/>
      <c r="AG288" s="84"/>
      <c r="AM288" s="85"/>
      <c r="AN288" s="85"/>
      <c r="AO288" s="84"/>
      <c r="AU288" s="85"/>
      <c r="AV288" s="85"/>
      <c r="AW288" s="84"/>
      <c r="BC288" s="85"/>
      <c r="BD288" s="85"/>
      <c r="BE288" s="84"/>
      <c r="BK288" s="85"/>
      <c r="BL288" s="85"/>
      <c r="BM288" s="84"/>
      <c r="BS288" s="85"/>
      <c r="BT288" s="85"/>
    </row>
    <row r="289" spans="1:72">
      <c r="A289" s="84"/>
      <c r="G289" s="85"/>
      <c r="H289" s="85"/>
      <c r="I289" s="84"/>
      <c r="O289" s="85"/>
      <c r="P289" s="85"/>
      <c r="Q289" s="84"/>
      <c r="W289" s="85"/>
      <c r="X289" s="85"/>
      <c r="Y289" s="84"/>
      <c r="AE289" s="85"/>
      <c r="AF289" s="85"/>
      <c r="AG289" s="84"/>
      <c r="AM289" s="85"/>
      <c r="AN289" s="85"/>
      <c r="AO289" s="84"/>
      <c r="AU289" s="85"/>
      <c r="AV289" s="85"/>
      <c r="AW289" s="84"/>
      <c r="BC289" s="85"/>
      <c r="BD289" s="85"/>
      <c r="BE289" s="84"/>
      <c r="BK289" s="85"/>
      <c r="BL289" s="85"/>
      <c r="BM289" s="84"/>
      <c r="BS289" s="85"/>
      <c r="BT289" s="85"/>
    </row>
    <row r="290" spans="1:72">
      <c r="A290" s="84"/>
      <c r="G290" s="85"/>
      <c r="H290" s="85"/>
      <c r="I290" s="84"/>
      <c r="O290" s="85"/>
      <c r="P290" s="85"/>
      <c r="Q290" s="84"/>
      <c r="W290" s="85"/>
      <c r="X290" s="85"/>
      <c r="Y290" s="84"/>
      <c r="AE290" s="85"/>
      <c r="AF290" s="85"/>
      <c r="AG290" s="84"/>
      <c r="AM290" s="85"/>
      <c r="AN290" s="85"/>
      <c r="AO290" s="84"/>
      <c r="AU290" s="85"/>
      <c r="AV290" s="85"/>
      <c r="AW290" s="84"/>
      <c r="BC290" s="85"/>
      <c r="BD290" s="85"/>
      <c r="BE290" s="84"/>
      <c r="BK290" s="85"/>
      <c r="BL290" s="85"/>
      <c r="BM290" s="84"/>
      <c r="BS290" s="85"/>
      <c r="BT290" s="85"/>
    </row>
    <row r="291" spans="1:72">
      <c r="A291" s="84"/>
      <c r="G291" s="85"/>
      <c r="H291" s="85"/>
      <c r="I291" s="84"/>
      <c r="O291" s="85"/>
      <c r="P291" s="85"/>
      <c r="Q291" s="84"/>
      <c r="W291" s="85"/>
      <c r="X291" s="85"/>
      <c r="Y291" s="84"/>
      <c r="AE291" s="85"/>
      <c r="AF291" s="85"/>
      <c r="AG291" s="84"/>
      <c r="AM291" s="85"/>
      <c r="AN291" s="85"/>
      <c r="AO291" s="84"/>
      <c r="AU291" s="85"/>
      <c r="AV291" s="85"/>
      <c r="AW291" s="84"/>
      <c r="BC291" s="85"/>
      <c r="BD291" s="85"/>
      <c r="BE291" s="84"/>
      <c r="BK291" s="85"/>
      <c r="BL291" s="85"/>
      <c r="BM291" s="84"/>
      <c r="BS291" s="85"/>
      <c r="BT291" s="85"/>
    </row>
    <row r="292" spans="1:72">
      <c r="A292" s="84"/>
      <c r="G292" s="85"/>
      <c r="H292" s="85"/>
      <c r="I292" s="84"/>
      <c r="O292" s="85"/>
      <c r="P292" s="85"/>
      <c r="Q292" s="84"/>
      <c r="W292" s="85"/>
      <c r="X292" s="85"/>
      <c r="Y292" s="84"/>
      <c r="AE292" s="85"/>
      <c r="AF292" s="85"/>
      <c r="AG292" s="84"/>
      <c r="AM292" s="85"/>
      <c r="AN292" s="85"/>
      <c r="AO292" s="84"/>
      <c r="AU292" s="85"/>
      <c r="AV292" s="85"/>
      <c r="AW292" s="84"/>
      <c r="BC292" s="85"/>
      <c r="BD292" s="85"/>
      <c r="BE292" s="84"/>
      <c r="BK292" s="85"/>
      <c r="BL292" s="85"/>
      <c r="BM292" s="84"/>
      <c r="BS292" s="85"/>
      <c r="BT292" s="85"/>
    </row>
    <row r="293" spans="1:72">
      <c r="A293" s="84"/>
      <c r="G293" s="85"/>
      <c r="H293" s="85"/>
      <c r="I293" s="84"/>
      <c r="O293" s="85"/>
      <c r="P293" s="85"/>
      <c r="Q293" s="84"/>
      <c r="W293" s="85"/>
      <c r="X293" s="85"/>
      <c r="Y293" s="84"/>
      <c r="AE293" s="85"/>
      <c r="AF293" s="85"/>
      <c r="AG293" s="84"/>
      <c r="AM293" s="85"/>
      <c r="AN293" s="85"/>
      <c r="AO293" s="84"/>
      <c r="AU293" s="85"/>
      <c r="AV293" s="85"/>
      <c r="AW293" s="84"/>
      <c r="BC293" s="85"/>
      <c r="BD293" s="85"/>
      <c r="BE293" s="84"/>
      <c r="BK293" s="85"/>
      <c r="BL293" s="85"/>
      <c r="BM293" s="84"/>
      <c r="BS293" s="85"/>
      <c r="BT293" s="85"/>
    </row>
    <row r="294" spans="1:72">
      <c r="A294" s="84"/>
      <c r="G294" s="85"/>
      <c r="H294" s="85"/>
      <c r="I294" s="84"/>
      <c r="O294" s="85"/>
      <c r="P294" s="85"/>
      <c r="Q294" s="84"/>
      <c r="W294" s="85"/>
      <c r="X294" s="85"/>
      <c r="Y294" s="84"/>
      <c r="AE294" s="85"/>
      <c r="AF294" s="85"/>
      <c r="AG294" s="84"/>
      <c r="AM294" s="85"/>
      <c r="AN294" s="85"/>
      <c r="AO294" s="84"/>
      <c r="AU294" s="85"/>
      <c r="AV294" s="85"/>
      <c r="AW294" s="84"/>
      <c r="BC294" s="85"/>
      <c r="BD294" s="85"/>
      <c r="BE294" s="84"/>
      <c r="BK294" s="85"/>
      <c r="BL294" s="85"/>
      <c r="BM294" s="84"/>
      <c r="BS294" s="85"/>
      <c r="BT294" s="85"/>
    </row>
    <row r="295" spans="1:72">
      <c r="A295" s="84"/>
      <c r="G295" s="85"/>
      <c r="H295" s="85"/>
      <c r="I295" s="84"/>
      <c r="O295" s="85"/>
      <c r="P295" s="85"/>
      <c r="Q295" s="84"/>
      <c r="W295" s="85"/>
      <c r="X295" s="85"/>
      <c r="Y295" s="84"/>
      <c r="AE295" s="85"/>
      <c r="AF295" s="85"/>
      <c r="AG295" s="84"/>
      <c r="AM295" s="85"/>
      <c r="AN295" s="85"/>
      <c r="AO295" s="84"/>
      <c r="AU295" s="85"/>
      <c r="AV295" s="85"/>
      <c r="AW295" s="84"/>
      <c r="BC295" s="85"/>
      <c r="BD295" s="85"/>
      <c r="BE295" s="84"/>
      <c r="BK295" s="85"/>
      <c r="BL295" s="85"/>
      <c r="BM295" s="84"/>
      <c r="BS295" s="85"/>
      <c r="BT295" s="85"/>
    </row>
    <row r="296" spans="1:72">
      <c r="A296" s="84"/>
      <c r="G296" s="85"/>
      <c r="H296" s="85"/>
      <c r="I296" s="84"/>
      <c r="O296" s="85"/>
      <c r="P296" s="85"/>
      <c r="Q296" s="84"/>
      <c r="W296" s="85"/>
      <c r="X296" s="85"/>
      <c r="Y296" s="84"/>
      <c r="AE296" s="85"/>
      <c r="AF296" s="85"/>
      <c r="AG296" s="84"/>
      <c r="AM296" s="85"/>
      <c r="AN296" s="85"/>
      <c r="AO296" s="84"/>
      <c r="AU296" s="85"/>
      <c r="AV296" s="85"/>
      <c r="AW296" s="84"/>
      <c r="BC296" s="85"/>
      <c r="BD296" s="85"/>
      <c r="BE296" s="84"/>
      <c r="BK296" s="85"/>
      <c r="BL296" s="85"/>
      <c r="BM296" s="84"/>
      <c r="BS296" s="85"/>
      <c r="BT296" s="85"/>
    </row>
    <row r="297" spans="1:72">
      <c r="A297" s="84"/>
      <c r="G297" s="85"/>
      <c r="H297" s="85"/>
      <c r="I297" s="84"/>
      <c r="O297" s="85"/>
      <c r="P297" s="85"/>
      <c r="Q297" s="84"/>
      <c r="W297" s="85"/>
      <c r="X297" s="85"/>
      <c r="Y297" s="84"/>
      <c r="AE297" s="85"/>
      <c r="AF297" s="85"/>
      <c r="AG297" s="84"/>
      <c r="AM297" s="85"/>
      <c r="AN297" s="85"/>
      <c r="AO297" s="84"/>
      <c r="AU297" s="85"/>
      <c r="AV297" s="85"/>
      <c r="AW297" s="84"/>
      <c r="BC297" s="85"/>
      <c r="BD297" s="85"/>
      <c r="BE297" s="84"/>
      <c r="BK297" s="85"/>
      <c r="BL297" s="85"/>
      <c r="BM297" s="84"/>
      <c r="BS297" s="85"/>
      <c r="BT297" s="85"/>
    </row>
    <row r="298" spans="1:72">
      <c r="A298" s="84"/>
      <c r="G298" s="85"/>
      <c r="H298" s="85"/>
      <c r="I298" s="84"/>
      <c r="O298" s="85"/>
      <c r="P298" s="85"/>
      <c r="Q298" s="84"/>
      <c r="W298" s="85"/>
      <c r="X298" s="85"/>
      <c r="Y298" s="84"/>
      <c r="AE298" s="85"/>
      <c r="AF298" s="85"/>
      <c r="AG298" s="84"/>
      <c r="AM298" s="85"/>
      <c r="AN298" s="85"/>
      <c r="AO298" s="84"/>
      <c r="AU298" s="85"/>
      <c r="AV298" s="85"/>
      <c r="AW298" s="84"/>
      <c r="BC298" s="85"/>
      <c r="BD298" s="85"/>
      <c r="BE298" s="84"/>
      <c r="BK298" s="85"/>
      <c r="BL298" s="85"/>
      <c r="BM298" s="84"/>
      <c r="BS298" s="85"/>
      <c r="BT298" s="85"/>
    </row>
    <row r="299" spans="1:72">
      <c r="A299" s="84"/>
      <c r="G299" s="85"/>
      <c r="H299" s="85"/>
      <c r="I299" s="84"/>
      <c r="O299" s="85"/>
      <c r="P299" s="85"/>
      <c r="Q299" s="84"/>
      <c r="W299" s="85"/>
      <c r="X299" s="85"/>
      <c r="Y299" s="84"/>
      <c r="AE299" s="85"/>
      <c r="AF299" s="85"/>
      <c r="AG299" s="84"/>
      <c r="AM299" s="85"/>
      <c r="AN299" s="85"/>
      <c r="AO299" s="84"/>
      <c r="AU299" s="85"/>
      <c r="AV299" s="85"/>
      <c r="AW299" s="84"/>
      <c r="BC299" s="85"/>
      <c r="BD299" s="85"/>
      <c r="BE299" s="84"/>
      <c r="BK299" s="85"/>
      <c r="BL299" s="85"/>
      <c r="BM299" s="84"/>
      <c r="BS299" s="85"/>
      <c r="BT299" s="85"/>
    </row>
    <row r="300" spans="1:72">
      <c r="A300" s="84"/>
      <c r="G300" s="85"/>
      <c r="H300" s="85"/>
      <c r="I300" s="84"/>
      <c r="O300" s="85"/>
      <c r="P300" s="85"/>
      <c r="Q300" s="84"/>
      <c r="W300" s="85"/>
      <c r="X300" s="85"/>
      <c r="Y300" s="84"/>
      <c r="AE300" s="85"/>
      <c r="AF300" s="85"/>
      <c r="AG300" s="84"/>
      <c r="AM300" s="85"/>
      <c r="AN300" s="85"/>
      <c r="AO300" s="84"/>
      <c r="AU300" s="85"/>
      <c r="AV300" s="85"/>
      <c r="AW300" s="84"/>
      <c r="BC300" s="85"/>
      <c r="BD300" s="85"/>
      <c r="BE300" s="84"/>
      <c r="BK300" s="85"/>
      <c r="BL300" s="85"/>
      <c r="BM300" s="84"/>
      <c r="BS300" s="85"/>
      <c r="BT300" s="85"/>
    </row>
    <row r="301" spans="1:72">
      <c r="A301" s="84"/>
      <c r="G301" s="85"/>
      <c r="H301" s="85"/>
      <c r="I301" s="84"/>
      <c r="O301" s="85"/>
      <c r="P301" s="85"/>
      <c r="Q301" s="84"/>
      <c r="W301" s="85"/>
      <c r="X301" s="85"/>
      <c r="Y301" s="84"/>
      <c r="AE301" s="85"/>
      <c r="AF301" s="85"/>
      <c r="AG301" s="84"/>
      <c r="AM301" s="85"/>
      <c r="AN301" s="85"/>
      <c r="AO301" s="84"/>
      <c r="AU301" s="85"/>
      <c r="AV301" s="85"/>
      <c r="AW301" s="84"/>
      <c r="BC301" s="85"/>
      <c r="BD301" s="85"/>
      <c r="BE301" s="84"/>
      <c r="BK301" s="85"/>
      <c r="BL301" s="85"/>
      <c r="BM301" s="84"/>
      <c r="BS301" s="85"/>
      <c r="BT301" s="85"/>
    </row>
    <row r="302" spans="1:72">
      <c r="A302" s="84"/>
      <c r="G302" s="85"/>
      <c r="H302" s="85"/>
      <c r="I302" s="84"/>
      <c r="O302" s="85"/>
      <c r="P302" s="85"/>
      <c r="Q302" s="84"/>
      <c r="W302" s="85"/>
      <c r="X302" s="85"/>
      <c r="Y302" s="84"/>
      <c r="AE302" s="85"/>
      <c r="AF302" s="85"/>
      <c r="AG302" s="84"/>
      <c r="AM302" s="85"/>
      <c r="AN302" s="85"/>
      <c r="AO302" s="84"/>
      <c r="AU302" s="85"/>
      <c r="AV302" s="85"/>
      <c r="AW302" s="84"/>
      <c r="BC302" s="85"/>
      <c r="BD302" s="85"/>
      <c r="BE302" s="84"/>
      <c r="BK302" s="85"/>
      <c r="BL302" s="85"/>
      <c r="BM302" s="84"/>
      <c r="BS302" s="85"/>
      <c r="BT302" s="85"/>
    </row>
    <row r="303" spans="1:72">
      <c r="A303" s="84"/>
      <c r="G303" s="85"/>
      <c r="H303" s="85"/>
      <c r="I303" s="84"/>
      <c r="O303" s="85"/>
      <c r="P303" s="85"/>
      <c r="Q303" s="84"/>
      <c r="W303" s="85"/>
      <c r="X303" s="85"/>
      <c r="Y303" s="84"/>
      <c r="AE303" s="85"/>
      <c r="AF303" s="85"/>
      <c r="AG303" s="84"/>
      <c r="AM303" s="85"/>
      <c r="AN303" s="85"/>
      <c r="AO303" s="84"/>
      <c r="AU303" s="85"/>
      <c r="AV303" s="85"/>
      <c r="AW303" s="84"/>
      <c r="BC303" s="85"/>
      <c r="BD303" s="85"/>
      <c r="BE303" s="84"/>
      <c r="BK303" s="85"/>
      <c r="BL303" s="85"/>
      <c r="BM303" s="84"/>
      <c r="BS303" s="85"/>
      <c r="BT303" s="85"/>
    </row>
    <row r="304" spans="1:72">
      <c r="A304" s="84"/>
      <c r="G304" s="85"/>
      <c r="H304" s="85"/>
      <c r="I304" s="84"/>
      <c r="O304" s="85"/>
      <c r="P304" s="85"/>
      <c r="Q304" s="84"/>
      <c r="W304" s="85"/>
      <c r="X304" s="85"/>
      <c r="Y304" s="84"/>
      <c r="AE304" s="85"/>
      <c r="AF304" s="85"/>
      <c r="AG304" s="84"/>
      <c r="AM304" s="85"/>
      <c r="AN304" s="85"/>
      <c r="AO304" s="84"/>
      <c r="AU304" s="85"/>
      <c r="AV304" s="85"/>
      <c r="AW304" s="84"/>
      <c r="BC304" s="85"/>
      <c r="BD304" s="85"/>
      <c r="BE304" s="84"/>
      <c r="BK304" s="85"/>
      <c r="BL304" s="85"/>
      <c r="BM304" s="84"/>
      <c r="BS304" s="85"/>
      <c r="BT304" s="85"/>
    </row>
    <row r="305" spans="1:72">
      <c r="A305" s="84"/>
      <c r="G305" s="85"/>
      <c r="H305" s="85"/>
      <c r="I305" s="84"/>
      <c r="O305" s="85"/>
      <c r="P305" s="85"/>
      <c r="Q305" s="84"/>
      <c r="W305" s="85"/>
      <c r="X305" s="85"/>
      <c r="Y305" s="84"/>
      <c r="AE305" s="85"/>
      <c r="AF305" s="85"/>
      <c r="AG305" s="84"/>
      <c r="AM305" s="85"/>
      <c r="AN305" s="85"/>
      <c r="AO305" s="84"/>
      <c r="AU305" s="85"/>
      <c r="AV305" s="85"/>
      <c r="AW305" s="84"/>
      <c r="BC305" s="85"/>
      <c r="BD305" s="85"/>
      <c r="BE305" s="84"/>
      <c r="BK305" s="85"/>
      <c r="BL305" s="85"/>
      <c r="BM305" s="84"/>
      <c r="BS305" s="85"/>
      <c r="BT305" s="85"/>
    </row>
    <row r="306" spans="1:72">
      <c r="A306" s="84"/>
      <c r="G306" s="85"/>
      <c r="H306" s="85"/>
      <c r="I306" s="84"/>
      <c r="O306" s="85"/>
      <c r="P306" s="85"/>
      <c r="Q306" s="84"/>
      <c r="W306" s="85"/>
      <c r="X306" s="85"/>
      <c r="Y306" s="84"/>
      <c r="AE306" s="85"/>
      <c r="AF306" s="85"/>
      <c r="AG306" s="84"/>
      <c r="AM306" s="85"/>
      <c r="AN306" s="85"/>
      <c r="AO306" s="84"/>
      <c r="AU306" s="85"/>
      <c r="AV306" s="85"/>
      <c r="AW306" s="84"/>
      <c r="BC306" s="85"/>
      <c r="BD306" s="85"/>
      <c r="BE306" s="84"/>
      <c r="BK306" s="85"/>
      <c r="BL306" s="85"/>
      <c r="BM306" s="84"/>
      <c r="BS306" s="85"/>
      <c r="BT306" s="85"/>
    </row>
    <row r="307" spans="1:72">
      <c r="A307" s="84"/>
      <c r="G307" s="85"/>
      <c r="H307" s="85"/>
      <c r="I307" s="84"/>
      <c r="O307" s="85"/>
      <c r="P307" s="85"/>
      <c r="Q307" s="84"/>
      <c r="W307" s="85"/>
      <c r="X307" s="85"/>
      <c r="Y307" s="84"/>
      <c r="AE307" s="85"/>
      <c r="AF307" s="85"/>
      <c r="AG307" s="84"/>
      <c r="AM307" s="85"/>
      <c r="AN307" s="85"/>
      <c r="AO307" s="84"/>
      <c r="AU307" s="85"/>
      <c r="AV307" s="85"/>
      <c r="AW307" s="84"/>
      <c r="BC307" s="85"/>
      <c r="BD307" s="85"/>
      <c r="BE307" s="84"/>
      <c r="BK307" s="85"/>
      <c r="BL307" s="85"/>
      <c r="BM307" s="84"/>
      <c r="BS307" s="85"/>
      <c r="BT307" s="85"/>
    </row>
    <row r="308" spans="1:72">
      <c r="A308" s="84"/>
      <c r="G308" s="85"/>
      <c r="H308" s="85"/>
      <c r="I308" s="84"/>
      <c r="O308" s="85"/>
      <c r="P308" s="85"/>
      <c r="Q308" s="84"/>
      <c r="W308" s="85"/>
      <c r="X308" s="85"/>
      <c r="Y308" s="84"/>
      <c r="AE308" s="85"/>
      <c r="AF308" s="85"/>
      <c r="AG308" s="84"/>
      <c r="AM308" s="85"/>
      <c r="AN308" s="85"/>
      <c r="AO308" s="84"/>
      <c r="AU308" s="85"/>
      <c r="AV308" s="85"/>
      <c r="AW308" s="84"/>
      <c r="BC308" s="85"/>
      <c r="BD308" s="85"/>
      <c r="BE308" s="84"/>
      <c r="BK308" s="85"/>
      <c r="BL308" s="85"/>
      <c r="BM308" s="84"/>
      <c r="BS308" s="85"/>
      <c r="BT308" s="85"/>
    </row>
    <row r="309" spans="1:72">
      <c r="A309" s="84"/>
      <c r="G309" s="85"/>
      <c r="H309" s="85"/>
      <c r="I309" s="84"/>
      <c r="O309" s="85"/>
      <c r="P309" s="85"/>
      <c r="Q309" s="84"/>
      <c r="W309" s="85"/>
      <c r="X309" s="85"/>
      <c r="Y309" s="84"/>
      <c r="AE309" s="85"/>
      <c r="AF309" s="85"/>
      <c r="AG309" s="84"/>
      <c r="AM309" s="85"/>
      <c r="AN309" s="85"/>
      <c r="AO309" s="84"/>
      <c r="AU309" s="85"/>
      <c r="AV309" s="85"/>
      <c r="AW309" s="84"/>
      <c r="BC309" s="85"/>
      <c r="BD309" s="85"/>
      <c r="BE309" s="84"/>
      <c r="BK309" s="85"/>
      <c r="BL309" s="85"/>
      <c r="BM309" s="84"/>
      <c r="BS309" s="85"/>
      <c r="BT309" s="85"/>
    </row>
    <row r="310" spans="1:72">
      <c r="A310" s="84"/>
      <c r="G310" s="85"/>
      <c r="H310" s="85"/>
      <c r="I310" s="84"/>
      <c r="O310" s="85"/>
      <c r="P310" s="85"/>
      <c r="Q310" s="84"/>
      <c r="W310" s="85"/>
      <c r="X310" s="85"/>
      <c r="Y310" s="84"/>
      <c r="AE310" s="85"/>
      <c r="AF310" s="85"/>
      <c r="AG310" s="84"/>
      <c r="AM310" s="85"/>
      <c r="AN310" s="85"/>
      <c r="AO310" s="84"/>
      <c r="AU310" s="85"/>
      <c r="AV310" s="85"/>
      <c r="AW310" s="84"/>
      <c r="BC310" s="85"/>
      <c r="BD310" s="85"/>
      <c r="BE310" s="84"/>
      <c r="BK310" s="85"/>
      <c r="BL310" s="85"/>
      <c r="BM310" s="84"/>
      <c r="BS310" s="85"/>
      <c r="BT310" s="85"/>
    </row>
    <row r="311" spans="1:72">
      <c r="A311" s="84"/>
      <c r="G311" s="85"/>
      <c r="H311" s="85"/>
      <c r="I311" s="84"/>
      <c r="O311" s="85"/>
      <c r="P311" s="85"/>
      <c r="Q311" s="84"/>
      <c r="W311" s="85"/>
      <c r="X311" s="85"/>
      <c r="Y311" s="84"/>
      <c r="AE311" s="85"/>
      <c r="AF311" s="85"/>
      <c r="AG311" s="84"/>
      <c r="AM311" s="85"/>
      <c r="AN311" s="85"/>
      <c r="AO311" s="84"/>
      <c r="AU311" s="85"/>
      <c r="AV311" s="85"/>
      <c r="AW311" s="84"/>
      <c r="BC311" s="85"/>
      <c r="BD311" s="85"/>
      <c r="BE311" s="84"/>
      <c r="BK311" s="85"/>
      <c r="BL311" s="85"/>
      <c r="BM311" s="84"/>
      <c r="BS311" s="85"/>
      <c r="BT311" s="85"/>
    </row>
    <row r="312" spans="1:72">
      <c r="A312" s="84"/>
      <c r="G312" s="85"/>
      <c r="H312" s="85"/>
      <c r="I312" s="84"/>
      <c r="O312" s="85"/>
      <c r="P312" s="85"/>
      <c r="Q312" s="84"/>
      <c r="W312" s="85"/>
      <c r="X312" s="85"/>
      <c r="Y312" s="84"/>
      <c r="AE312" s="85"/>
      <c r="AF312" s="85"/>
      <c r="AG312" s="84"/>
      <c r="AM312" s="85"/>
      <c r="AN312" s="85"/>
      <c r="AO312" s="84"/>
      <c r="AU312" s="85"/>
      <c r="AV312" s="85"/>
      <c r="AW312" s="84"/>
      <c r="BC312" s="85"/>
      <c r="BD312" s="85"/>
      <c r="BE312" s="84"/>
      <c r="BK312" s="85"/>
      <c r="BL312" s="85"/>
      <c r="BM312" s="84"/>
      <c r="BS312" s="85"/>
      <c r="BT312" s="85"/>
    </row>
    <row r="313" spans="1:72">
      <c r="A313" s="84"/>
      <c r="G313" s="85"/>
      <c r="H313" s="85"/>
      <c r="I313" s="84"/>
      <c r="O313" s="85"/>
      <c r="P313" s="85"/>
      <c r="Q313" s="84"/>
      <c r="W313" s="85"/>
      <c r="X313" s="85"/>
      <c r="Y313" s="84"/>
      <c r="AE313" s="85"/>
      <c r="AF313" s="85"/>
      <c r="AG313" s="84"/>
      <c r="AM313" s="85"/>
      <c r="AN313" s="85"/>
      <c r="AO313" s="84"/>
      <c r="AU313" s="85"/>
      <c r="AV313" s="85"/>
      <c r="AW313" s="84"/>
      <c r="BC313" s="85"/>
      <c r="BD313" s="85"/>
      <c r="BE313" s="84"/>
      <c r="BK313" s="85"/>
      <c r="BL313" s="85"/>
      <c r="BM313" s="84"/>
      <c r="BS313" s="85"/>
      <c r="BT313" s="85"/>
    </row>
    <row r="314" spans="1:72">
      <c r="A314" s="84"/>
      <c r="G314" s="85"/>
      <c r="H314" s="85"/>
      <c r="I314" s="84"/>
      <c r="O314" s="85"/>
      <c r="P314" s="85"/>
      <c r="Q314" s="84"/>
      <c r="W314" s="85"/>
      <c r="X314" s="85"/>
      <c r="Y314" s="84"/>
      <c r="AE314" s="85"/>
      <c r="AF314" s="85"/>
      <c r="AG314" s="84"/>
      <c r="AM314" s="85"/>
      <c r="AN314" s="85"/>
      <c r="AO314" s="84"/>
      <c r="AU314" s="85"/>
      <c r="AV314" s="85"/>
      <c r="AW314" s="84"/>
      <c r="BC314" s="85"/>
      <c r="BD314" s="85"/>
      <c r="BE314" s="84"/>
      <c r="BK314" s="85"/>
      <c r="BL314" s="85"/>
      <c r="BM314" s="84"/>
      <c r="BS314" s="85"/>
      <c r="BT314" s="85"/>
    </row>
    <row r="315" spans="1:72">
      <c r="A315" s="84"/>
      <c r="G315" s="85"/>
      <c r="H315" s="85"/>
      <c r="I315" s="84"/>
      <c r="O315" s="85"/>
      <c r="P315" s="85"/>
      <c r="Q315" s="84"/>
      <c r="W315" s="85"/>
      <c r="X315" s="85"/>
      <c r="Y315" s="84"/>
      <c r="AE315" s="85"/>
      <c r="AF315" s="85"/>
      <c r="AG315" s="84"/>
      <c r="AM315" s="85"/>
      <c r="AN315" s="85"/>
      <c r="AO315" s="84"/>
      <c r="AU315" s="85"/>
      <c r="AV315" s="85"/>
      <c r="AW315" s="84"/>
      <c r="BC315" s="85"/>
      <c r="BD315" s="85"/>
      <c r="BE315" s="84"/>
      <c r="BK315" s="85"/>
      <c r="BL315" s="85"/>
      <c r="BM315" s="84"/>
      <c r="BS315" s="85"/>
      <c r="BT315" s="85"/>
    </row>
    <row r="316" spans="1:72">
      <c r="A316" s="84"/>
      <c r="G316" s="85"/>
      <c r="H316" s="85"/>
      <c r="I316" s="84"/>
      <c r="O316" s="85"/>
      <c r="P316" s="85"/>
      <c r="Q316" s="84"/>
      <c r="W316" s="85"/>
      <c r="X316" s="85"/>
      <c r="Y316" s="84"/>
      <c r="AE316" s="85"/>
      <c r="AF316" s="85"/>
      <c r="AG316" s="84"/>
      <c r="AM316" s="85"/>
      <c r="AN316" s="85"/>
      <c r="AO316" s="84"/>
      <c r="AU316" s="85"/>
      <c r="AV316" s="85"/>
      <c r="AW316" s="84"/>
      <c r="BC316" s="85"/>
      <c r="BD316" s="85"/>
      <c r="BE316" s="84"/>
      <c r="BK316" s="85"/>
      <c r="BL316" s="85"/>
      <c r="BM316" s="84"/>
      <c r="BS316" s="85"/>
      <c r="BT316" s="85"/>
    </row>
    <row r="317" spans="1:72">
      <c r="A317" s="84"/>
      <c r="G317" s="85"/>
      <c r="H317" s="85"/>
      <c r="I317" s="84"/>
      <c r="O317" s="85"/>
      <c r="P317" s="85"/>
      <c r="Q317" s="84"/>
      <c r="W317" s="85"/>
      <c r="X317" s="85"/>
      <c r="Y317" s="84"/>
      <c r="AE317" s="85"/>
      <c r="AF317" s="85"/>
      <c r="AG317" s="84"/>
      <c r="AM317" s="85"/>
      <c r="AN317" s="85"/>
      <c r="AO317" s="84"/>
      <c r="AU317" s="85"/>
      <c r="AV317" s="85"/>
      <c r="AW317" s="84"/>
      <c r="BC317" s="85"/>
      <c r="BD317" s="85"/>
      <c r="BE317" s="84"/>
      <c r="BK317" s="85"/>
      <c r="BL317" s="85"/>
      <c r="BM317" s="84"/>
      <c r="BS317" s="85"/>
      <c r="BT317" s="85"/>
    </row>
    <row r="318" spans="1:72">
      <c r="A318" s="84"/>
      <c r="G318" s="85"/>
      <c r="H318" s="85"/>
      <c r="I318" s="84"/>
      <c r="O318" s="85"/>
      <c r="P318" s="85"/>
      <c r="Q318" s="84"/>
      <c r="W318" s="85"/>
      <c r="X318" s="85"/>
      <c r="Y318" s="84"/>
      <c r="AE318" s="85"/>
      <c r="AF318" s="85"/>
      <c r="AG318" s="84"/>
      <c r="AM318" s="85"/>
      <c r="AN318" s="85"/>
      <c r="AO318" s="84"/>
      <c r="AU318" s="85"/>
      <c r="AV318" s="85"/>
      <c r="AW318" s="84"/>
      <c r="BC318" s="85"/>
      <c r="BD318" s="85"/>
      <c r="BE318" s="84"/>
      <c r="BK318" s="85"/>
      <c r="BL318" s="85"/>
      <c r="BM318" s="84"/>
      <c r="BS318" s="85"/>
      <c r="BT318" s="85"/>
    </row>
    <row r="319" spans="1:72">
      <c r="A319" s="84"/>
      <c r="G319" s="85"/>
      <c r="H319" s="85"/>
      <c r="I319" s="84"/>
      <c r="O319" s="85"/>
      <c r="P319" s="85"/>
      <c r="Q319" s="84"/>
      <c r="W319" s="85"/>
      <c r="X319" s="85"/>
      <c r="Y319" s="84"/>
      <c r="AE319" s="85"/>
      <c r="AF319" s="85"/>
      <c r="AG319" s="84"/>
      <c r="AM319" s="85"/>
      <c r="AN319" s="85"/>
      <c r="AO319" s="84"/>
      <c r="AU319" s="85"/>
      <c r="AV319" s="85"/>
      <c r="AW319" s="84"/>
      <c r="BC319" s="85"/>
      <c r="BD319" s="85"/>
      <c r="BE319" s="84"/>
      <c r="BK319" s="85"/>
      <c r="BL319" s="85"/>
      <c r="BM319" s="84"/>
      <c r="BS319" s="85"/>
      <c r="BT319" s="85"/>
    </row>
    <row r="320" spans="1:72">
      <c r="A320" s="84"/>
      <c r="G320" s="85"/>
      <c r="H320" s="85"/>
      <c r="I320" s="84"/>
      <c r="O320" s="85"/>
      <c r="P320" s="85"/>
      <c r="Q320" s="84"/>
      <c r="W320" s="85"/>
      <c r="X320" s="85"/>
      <c r="Y320" s="84"/>
      <c r="AE320" s="85"/>
      <c r="AF320" s="85"/>
      <c r="AG320" s="84"/>
      <c r="AM320" s="85"/>
      <c r="AN320" s="85"/>
      <c r="AO320" s="84"/>
      <c r="AU320" s="85"/>
      <c r="AV320" s="85"/>
      <c r="AW320" s="84"/>
      <c r="BC320" s="85"/>
      <c r="BD320" s="85"/>
      <c r="BE320" s="84"/>
      <c r="BK320" s="85"/>
      <c r="BL320" s="85"/>
      <c r="BM320" s="84"/>
      <c r="BS320" s="85"/>
      <c r="BT320" s="85"/>
    </row>
    <row r="321" spans="1:72">
      <c r="A321" s="84"/>
      <c r="G321" s="85"/>
      <c r="H321" s="85"/>
      <c r="I321" s="84"/>
      <c r="O321" s="85"/>
      <c r="P321" s="85"/>
      <c r="Q321" s="84"/>
      <c r="W321" s="85"/>
      <c r="X321" s="85"/>
      <c r="Y321" s="84"/>
      <c r="AE321" s="85"/>
      <c r="AF321" s="85"/>
      <c r="AG321" s="84"/>
      <c r="AM321" s="85"/>
      <c r="AN321" s="85"/>
      <c r="AO321" s="84"/>
      <c r="AU321" s="85"/>
      <c r="AV321" s="85"/>
      <c r="AW321" s="84"/>
      <c r="BC321" s="85"/>
      <c r="BD321" s="85"/>
      <c r="BE321" s="84"/>
      <c r="BK321" s="85"/>
      <c r="BL321" s="85"/>
      <c r="BM321" s="84"/>
      <c r="BS321" s="85"/>
      <c r="BT321" s="85"/>
    </row>
    <row r="322" spans="1:72">
      <c r="A322" s="84"/>
      <c r="G322" s="85"/>
      <c r="H322" s="85"/>
      <c r="I322" s="84"/>
      <c r="O322" s="85"/>
      <c r="P322" s="85"/>
      <c r="Q322" s="84"/>
      <c r="W322" s="85"/>
      <c r="X322" s="85"/>
      <c r="Y322" s="84"/>
      <c r="AE322" s="85"/>
      <c r="AF322" s="85"/>
      <c r="AG322" s="84"/>
      <c r="AM322" s="85"/>
      <c r="AN322" s="85"/>
      <c r="AO322" s="84"/>
      <c r="AU322" s="85"/>
      <c r="AV322" s="85"/>
      <c r="AW322" s="84"/>
      <c r="BC322" s="85"/>
      <c r="BD322" s="85"/>
      <c r="BE322" s="84"/>
      <c r="BK322" s="85"/>
      <c r="BL322" s="85"/>
      <c r="BM322" s="84"/>
      <c r="BS322" s="85"/>
      <c r="BT322" s="85"/>
    </row>
    <row r="323" spans="1:72">
      <c r="A323" s="84"/>
      <c r="G323" s="85"/>
      <c r="H323" s="85"/>
      <c r="I323" s="84"/>
      <c r="O323" s="85"/>
      <c r="P323" s="85"/>
      <c r="Q323" s="84"/>
      <c r="W323" s="85"/>
      <c r="X323" s="85"/>
      <c r="Y323" s="84"/>
      <c r="AE323" s="85"/>
      <c r="AF323" s="85"/>
      <c r="AG323" s="84"/>
      <c r="AM323" s="85"/>
      <c r="AN323" s="85"/>
      <c r="AO323" s="84"/>
      <c r="AU323" s="85"/>
      <c r="AV323" s="85"/>
      <c r="AW323" s="84"/>
      <c r="BC323" s="85"/>
      <c r="BD323" s="85"/>
      <c r="BE323" s="84"/>
      <c r="BK323" s="85"/>
      <c r="BL323" s="85"/>
      <c r="BM323" s="84"/>
      <c r="BS323" s="85"/>
      <c r="BT323" s="85"/>
    </row>
    <row r="324" spans="1:72">
      <c r="A324" s="84"/>
      <c r="G324" s="85"/>
      <c r="H324" s="85"/>
      <c r="I324" s="84"/>
      <c r="O324" s="85"/>
      <c r="P324" s="85"/>
      <c r="Q324" s="84"/>
      <c r="W324" s="85"/>
      <c r="X324" s="85"/>
      <c r="Y324" s="84"/>
      <c r="AE324" s="85"/>
      <c r="AF324" s="85"/>
      <c r="AG324" s="84"/>
      <c r="AM324" s="85"/>
      <c r="AN324" s="85"/>
      <c r="AO324" s="84"/>
      <c r="AU324" s="85"/>
      <c r="AV324" s="85"/>
      <c r="AW324" s="84"/>
      <c r="BC324" s="85"/>
      <c r="BD324" s="85"/>
      <c r="BE324" s="84"/>
      <c r="BK324" s="85"/>
      <c r="BL324" s="85"/>
      <c r="BM324" s="84"/>
      <c r="BS324" s="85"/>
      <c r="BT324" s="85"/>
    </row>
    <row r="325" spans="1:72">
      <c r="A325" s="84"/>
      <c r="G325" s="85"/>
      <c r="H325" s="85"/>
      <c r="I325" s="84"/>
      <c r="O325" s="85"/>
      <c r="P325" s="85"/>
      <c r="Q325" s="84"/>
      <c r="W325" s="85"/>
      <c r="X325" s="85"/>
      <c r="Y325" s="84"/>
      <c r="AE325" s="85"/>
      <c r="AF325" s="85"/>
      <c r="AG325" s="84"/>
      <c r="AM325" s="85"/>
      <c r="AN325" s="85"/>
      <c r="AO325" s="84"/>
      <c r="AU325" s="85"/>
      <c r="AV325" s="85"/>
      <c r="AW325" s="84"/>
      <c r="BC325" s="85"/>
      <c r="BD325" s="85"/>
      <c r="BE325" s="84"/>
      <c r="BK325" s="85"/>
      <c r="BL325" s="85"/>
      <c r="BM325" s="84"/>
      <c r="BS325" s="85"/>
      <c r="BT325" s="85"/>
    </row>
    <row r="326" spans="1:72">
      <c r="A326" s="84"/>
      <c r="G326" s="85"/>
      <c r="H326" s="85"/>
      <c r="I326" s="84"/>
      <c r="O326" s="85"/>
      <c r="P326" s="85"/>
      <c r="Q326" s="84"/>
      <c r="W326" s="85"/>
      <c r="X326" s="85"/>
      <c r="Y326" s="84"/>
      <c r="AE326" s="85"/>
      <c r="AF326" s="85"/>
      <c r="AG326" s="84"/>
      <c r="AM326" s="85"/>
      <c r="AN326" s="85"/>
      <c r="AO326" s="84"/>
      <c r="AU326" s="85"/>
      <c r="AV326" s="85"/>
      <c r="AW326" s="84"/>
      <c r="BC326" s="85"/>
      <c r="BD326" s="85"/>
      <c r="BE326" s="84"/>
      <c r="BK326" s="85"/>
      <c r="BL326" s="85"/>
      <c r="BM326" s="84"/>
      <c r="BS326" s="85"/>
      <c r="BT326" s="85"/>
    </row>
    <row r="327" spans="1:72">
      <c r="A327" s="84"/>
      <c r="G327" s="85"/>
      <c r="H327" s="85"/>
      <c r="I327" s="84"/>
      <c r="O327" s="85"/>
      <c r="P327" s="85"/>
      <c r="Q327" s="84"/>
      <c r="W327" s="85"/>
      <c r="X327" s="85"/>
      <c r="Y327" s="84"/>
      <c r="AE327" s="85"/>
      <c r="AF327" s="85"/>
      <c r="AG327" s="84"/>
      <c r="AM327" s="85"/>
      <c r="AN327" s="85"/>
      <c r="AO327" s="84"/>
      <c r="AU327" s="85"/>
      <c r="AV327" s="85"/>
      <c r="AW327" s="84"/>
      <c r="BC327" s="85"/>
      <c r="BD327" s="85"/>
      <c r="BE327" s="84"/>
      <c r="BK327" s="85"/>
      <c r="BL327" s="85"/>
      <c r="BM327" s="84"/>
      <c r="BS327" s="85"/>
      <c r="BT327" s="85"/>
    </row>
    <row r="328" spans="1:72">
      <c r="A328" s="84"/>
      <c r="G328" s="85"/>
      <c r="H328" s="85"/>
      <c r="I328" s="84"/>
      <c r="O328" s="85"/>
      <c r="P328" s="85"/>
      <c r="Q328" s="84"/>
      <c r="W328" s="85"/>
      <c r="X328" s="85"/>
      <c r="Y328" s="84"/>
      <c r="AE328" s="85"/>
      <c r="AF328" s="85"/>
      <c r="AG328" s="84"/>
      <c r="AM328" s="85"/>
      <c r="AN328" s="85"/>
      <c r="AO328" s="84"/>
      <c r="AU328" s="85"/>
      <c r="AV328" s="85"/>
      <c r="AW328" s="84"/>
      <c r="BC328" s="85"/>
      <c r="BD328" s="85"/>
      <c r="BE328" s="84"/>
      <c r="BK328" s="85"/>
      <c r="BL328" s="85"/>
      <c r="BM328" s="84"/>
      <c r="BS328" s="85"/>
      <c r="BT328" s="85"/>
    </row>
    <row r="329" spans="1:72">
      <c r="A329" s="84"/>
      <c r="G329" s="85"/>
      <c r="H329" s="85"/>
      <c r="I329" s="84"/>
      <c r="O329" s="85"/>
      <c r="P329" s="85"/>
      <c r="Q329" s="84"/>
      <c r="W329" s="85"/>
      <c r="X329" s="85"/>
      <c r="Y329" s="84"/>
      <c r="AE329" s="85"/>
      <c r="AF329" s="85"/>
      <c r="AG329" s="84"/>
      <c r="AM329" s="85"/>
      <c r="AN329" s="85"/>
      <c r="AO329" s="84"/>
      <c r="AU329" s="85"/>
      <c r="AV329" s="85"/>
      <c r="AW329" s="84"/>
      <c r="BC329" s="85"/>
      <c r="BD329" s="85"/>
      <c r="BE329" s="84"/>
      <c r="BK329" s="85"/>
      <c r="BL329" s="85"/>
      <c r="BM329" s="84"/>
      <c r="BS329" s="85"/>
      <c r="BT329" s="85"/>
    </row>
    <row r="330" spans="1:72">
      <c r="A330" s="84"/>
      <c r="G330" s="85"/>
      <c r="H330" s="85"/>
      <c r="I330" s="84"/>
      <c r="O330" s="85"/>
      <c r="P330" s="85"/>
      <c r="Q330" s="84"/>
      <c r="W330" s="85"/>
      <c r="X330" s="85"/>
      <c r="Y330" s="84"/>
      <c r="AE330" s="85"/>
      <c r="AF330" s="85"/>
      <c r="AG330" s="84"/>
      <c r="AM330" s="85"/>
      <c r="AN330" s="85"/>
      <c r="AO330" s="84"/>
      <c r="AU330" s="85"/>
      <c r="AV330" s="85"/>
      <c r="AW330" s="84"/>
      <c r="BC330" s="85"/>
      <c r="BD330" s="85"/>
      <c r="BE330" s="84"/>
      <c r="BK330" s="85"/>
      <c r="BL330" s="85"/>
      <c r="BM330" s="84"/>
      <c r="BS330" s="85"/>
      <c r="BT330" s="85"/>
    </row>
    <row r="331" spans="1:72">
      <c r="A331" s="84"/>
      <c r="G331" s="85"/>
      <c r="H331" s="85"/>
      <c r="I331" s="84"/>
      <c r="O331" s="85"/>
      <c r="P331" s="85"/>
      <c r="Q331" s="84"/>
      <c r="W331" s="85"/>
      <c r="X331" s="85"/>
      <c r="Y331" s="84"/>
      <c r="AE331" s="85"/>
      <c r="AF331" s="85"/>
      <c r="AG331" s="84"/>
      <c r="AM331" s="85"/>
      <c r="AN331" s="85"/>
      <c r="AO331" s="84"/>
      <c r="AU331" s="85"/>
      <c r="AV331" s="85"/>
      <c r="AW331" s="84"/>
      <c r="BC331" s="85"/>
      <c r="BD331" s="85"/>
      <c r="BE331" s="84"/>
      <c r="BK331" s="85"/>
      <c r="BL331" s="85"/>
      <c r="BM331" s="84"/>
      <c r="BS331" s="85"/>
      <c r="BT331" s="85"/>
    </row>
    <row r="332" spans="1:72">
      <c r="A332" s="84"/>
      <c r="G332" s="85"/>
      <c r="H332" s="85"/>
      <c r="I332" s="84"/>
      <c r="O332" s="85"/>
      <c r="P332" s="85"/>
      <c r="Q332" s="84"/>
      <c r="W332" s="85"/>
      <c r="X332" s="85"/>
      <c r="Y332" s="84"/>
      <c r="AE332" s="85"/>
      <c r="AF332" s="85"/>
      <c r="AG332" s="84"/>
      <c r="AM332" s="85"/>
      <c r="AN332" s="85"/>
      <c r="AO332" s="84"/>
      <c r="AU332" s="85"/>
      <c r="AV332" s="85"/>
      <c r="AW332" s="84"/>
      <c r="BC332" s="85"/>
      <c r="BD332" s="85"/>
      <c r="BE332" s="84"/>
      <c r="BK332" s="85"/>
      <c r="BL332" s="85"/>
      <c r="BM332" s="84"/>
      <c r="BS332" s="85"/>
      <c r="BT332" s="85"/>
    </row>
    <row r="333" spans="1:72">
      <c r="A333" s="84"/>
      <c r="G333" s="85"/>
      <c r="H333" s="85"/>
      <c r="I333" s="84"/>
      <c r="O333" s="85"/>
      <c r="P333" s="85"/>
      <c r="Q333" s="84"/>
      <c r="W333" s="85"/>
      <c r="X333" s="85"/>
      <c r="Y333" s="84"/>
      <c r="AE333" s="85"/>
      <c r="AF333" s="85"/>
      <c r="AG333" s="84"/>
      <c r="AM333" s="85"/>
      <c r="AN333" s="85"/>
      <c r="AO333" s="84"/>
      <c r="AU333" s="85"/>
      <c r="AV333" s="85"/>
      <c r="AW333" s="84"/>
      <c r="BC333" s="85"/>
      <c r="BD333" s="85"/>
      <c r="BE333" s="84"/>
      <c r="BK333" s="85"/>
      <c r="BL333" s="85"/>
      <c r="BM333" s="84"/>
      <c r="BS333" s="85"/>
      <c r="BT333" s="85"/>
    </row>
    <row r="334" spans="1:72">
      <c r="A334" s="84"/>
      <c r="G334" s="85"/>
      <c r="H334" s="85"/>
      <c r="I334" s="84"/>
      <c r="O334" s="85"/>
      <c r="P334" s="85"/>
      <c r="Q334" s="84"/>
      <c r="W334" s="85"/>
      <c r="X334" s="85"/>
      <c r="Y334" s="84"/>
      <c r="AE334" s="85"/>
      <c r="AF334" s="85"/>
      <c r="AG334" s="84"/>
      <c r="AM334" s="85"/>
      <c r="AN334" s="85"/>
      <c r="AO334" s="84"/>
      <c r="AU334" s="85"/>
      <c r="AV334" s="85"/>
      <c r="AW334" s="84"/>
      <c r="BC334" s="85"/>
      <c r="BD334" s="85"/>
      <c r="BE334" s="84"/>
      <c r="BK334" s="85"/>
      <c r="BL334" s="85"/>
      <c r="BM334" s="84"/>
      <c r="BS334" s="85"/>
      <c r="BT334" s="85"/>
    </row>
    <row r="335" spans="1:72">
      <c r="A335" s="84"/>
      <c r="G335" s="85"/>
      <c r="H335" s="85"/>
      <c r="I335" s="84"/>
      <c r="O335" s="85"/>
      <c r="P335" s="85"/>
      <c r="Q335" s="84"/>
      <c r="W335" s="85"/>
      <c r="X335" s="85"/>
      <c r="Y335" s="84"/>
      <c r="AE335" s="85"/>
      <c r="AF335" s="85"/>
      <c r="AG335" s="84"/>
      <c r="AM335" s="85"/>
      <c r="AN335" s="85"/>
      <c r="AO335" s="84"/>
      <c r="AU335" s="85"/>
      <c r="AV335" s="85"/>
      <c r="AW335" s="84"/>
      <c r="BC335" s="85"/>
      <c r="BD335" s="85"/>
      <c r="BE335" s="84"/>
      <c r="BK335" s="85"/>
      <c r="BL335" s="85"/>
      <c r="BM335" s="84"/>
      <c r="BS335" s="85"/>
      <c r="BT335" s="85"/>
    </row>
    <row r="336" spans="1:72">
      <c r="A336" s="84"/>
      <c r="G336" s="85"/>
      <c r="H336" s="85"/>
      <c r="I336" s="84"/>
      <c r="O336" s="85"/>
      <c r="P336" s="85"/>
      <c r="Q336" s="84"/>
      <c r="W336" s="85"/>
      <c r="X336" s="85"/>
      <c r="Y336" s="84"/>
      <c r="AE336" s="85"/>
      <c r="AF336" s="85"/>
      <c r="AG336" s="84"/>
      <c r="AM336" s="85"/>
      <c r="AN336" s="85"/>
      <c r="AO336" s="84"/>
      <c r="AU336" s="85"/>
      <c r="AV336" s="85"/>
      <c r="AW336" s="84"/>
      <c r="BC336" s="85"/>
      <c r="BD336" s="85"/>
      <c r="BE336" s="84"/>
      <c r="BK336" s="85"/>
      <c r="BL336" s="85"/>
      <c r="BM336" s="84"/>
      <c r="BS336" s="85"/>
      <c r="BT336" s="85"/>
    </row>
    <row r="337" spans="1:72">
      <c r="A337" s="84"/>
      <c r="G337" s="85"/>
      <c r="H337" s="85"/>
      <c r="I337" s="84"/>
      <c r="O337" s="85"/>
      <c r="P337" s="85"/>
      <c r="Q337" s="84"/>
      <c r="W337" s="85"/>
      <c r="X337" s="85"/>
      <c r="Y337" s="84"/>
      <c r="AE337" s="85"/>
      <c r="AF337" s="85"/>
      <c r="AG337" s="84"/>
      <c r="AM337" s="85"/>
      <c r="AN337" s="85"/>
      <c r="AO337" s="84"/>
      <c r="AU337" s="85"/>
      <c r="AV337" s="85"/>
      <c r="AW337" s="84"/>
      <c r="BC337" s="85"/>
      <c r="BD337" s="85"/>
      <c r="BE337" s="84"/>
      <c r="BK337" s="85"/>
      <c r="BL337" s="85"/>
      <c r="BM337" s="84"/>
      <c r="BS337" s="85"/>
      <c r="BT337" s="85"/>
    </row>
    <row r="338" spans="1:72">
      <c r="A338" s="84"/>
      <c r="G338" s="85"/>
      <c r="H338" s="85"/>
      <c r="I338" s="84"/>
      <c r="O338" s="85"/>
      <c r="P338" s="85"/>
      <c r="Q338" s="84"/>
      <c r="W338" s="85"/>
      <c r="X338" s="85"/>
      <c r="Y338" s="84"/>
      <c r="AE338" s="85"/>
      <c r="AF338" s="85"/>
      <c r="AG338" s="84"/>
      <c r="AM338" s="85"/>
      <c r="AN338" s="85"/>
      <c r="AO338" s="84"/>
      <c r="AU338" s="85"/>
      <c r="AV338" s="85"/>
      <c r="AW338" s="84"/>
      <c r="BC338" s="85"/>
      <c r="BD338" s="85"/>
      <c r="BE338" s="84"/>
      <c r="BK338" s="85"/>
      <c r="BL338" s="85"/>
      <c r="BM338" s="84"/>
      <c r="BS338" s="85"/>
      <c r="BT338" s="85"/>
    </row>
    <row r="339" spans="1:72">
      <c r="A339" s="84"/>
      <c r="G339" s="85"/>
      <c r="H339" s="85"/>
      <c r="I339" s="84"/>
      <c r="O339" s="85"/>
      <c r="P339" s="85"/>
      <c r="Q339" s="84"/>
      <c r="W339" s="85"/>
      <c r="X339" s="85"/>
      <c r="Y339" s="84"/>
      <c r="AE339" s="85"/>
      <c r="AF339" s="85"/>
      <c r="AG339" s="84"/>
      <c r="AM339" s="85"/>
      <c r="AN339" s="85"/>
      <c r="AO339" s="84"/>
      <c r="AU339" s="85"/>
      <c r="AV339" s="85"/>
      <c r="AW339" s="84"/>
      <c r="BC339" s="85"/>
      <c r="BD339" s="85"/>
      <c r="BE339" s="84"/>
      <c r="BK339" s="85"/>
      <c r="BL339" s="85"/>
      <c r="BM339" s="84"/>
      <c r="BS339" s="85"/>
      <c r="BT339" s="85"/>
    </row>
    <row r="340" spans="1:72">
      <c r="A340" s="84"/>
      <c r="G340" s="85"/>
      <c r="H340" s="85"/>
      <c r="I340" s="84"/>
      <c r="O340" s="85"/>
      <c r="P340" s="85"/>
      <c r="Q340" s="84"/>
      <c r="W340" s="85"/>
      <c r="X340" s="85"/>
      <c r="Y340" s="84"/>
      <c r="AE340" s="85"/>
      <c r="AF340" s="85"/>
      <c r="AG340" s="84"/>
      <c r="AM340" s="85"/>
      <c r="AN340" s="85"/>
      <c r="AO340" s="84"/>
      <c r="AU340" s="85"/>
      <c r="AV340" s="85"/>
      <c r="AW340" s="84"/>
      <c r="BC340" s="85"/>
      <c r="BD340" s="85"/>
      <c r="BE340" s="84"/>
      <c r="BK340" s="85"/>
      <c r="BL340" s="85"/>
      <c r="BM340" s="84"/>
      <c r="BS340" s="85"/>
      <c r="BT340" s="85"/>
    </row>
    <row r="341" spans="1:72">
      <c r="A341" s="84"/>
      <c r="G341" s="85"/>
      <c r="H341" s="85"/>
      <c r="I341" s="84"/>
      <c r="O341" s="85"/>
      <c r="P341" s="85"/>
      <c r="Q341" s="84"/>
      <c r="W341" s="85"/>
      <c r="X341" s="85"/>
      <c r="Y341" s="84"/>
      <c r="AE341" s="85"/>
      <c r="AF341" s="85"/>
      <c r="AG341" s="84"/>
      <c r="AM341" s="85"/>
      <c r="AN341" s="85"/>
      <c r="AO341" s="84"/>
      <c r="AU341" s="85"/>
      <c r="AV341" s="85"/>
      <c r="AW341" s="84"/>
      <c r="BC341" s="85"/>
      <c r="BD341" s="85"/>
      <c r="BE341" s="84"/>
      <c r="BK341" s="85"/>
      <c r="BL341" s="85"/>
      <c r="BM341" s="84"/>
      <c r="BS341" s="85"/>
      <c r="BT341" s="85"/>
    </row>
    <row r="342" spans="1:72">
      <c r="A342" s="84"/>
      <c r="G342" s="85"/>
      <c r="H342" s="85"/>
      <c r="I342" s="84"/>
      <c r="O342" s="85"/>
      <c r="P342" s="85"/>
      <c r="Q342" s="84"/>
      <c r="W342" s="85"/>
      <c r="X342" s="85"/>
      <c r="Y342" s="84"/>
      <c r="AE342" s="85"/>
      <c r="AF342" s="85"/>
      <c r="AG342" s="84"/>
      <c r="AM342" s="85"/>
      <c r="AN342" s="85"/>
      <c r="AO342" s="84"/>
      <c r="AU342" s="85"/>
      <c r="AV342" s="85"/>
      <c r="AW342" s="84"/>
      <c r="BC342" s="85"/>
      <c r="BD342" s="85"/>
      <c r="BE342" s="84"/>
      <c r="BK342" s="85"/>
      <c r="BL342" s="85"/>
      <c r="BM342" s="84"/>
      <c r="BS342" s="85"/>
      <c r="BT342" s="85"/>
    </row>
    <row r="343" spans="1:72">
      <c r="A343" s="84"/>
      <c r="G343" s="85"/>
      <c r="H343" s="85"/>
      <c r="I343" s="84"/>
      <c r="O343" s="85"/>
      <c r="P343" s="85"/>
      <c r="Q343" s="84"/>
      <c r="W343" s="85"/>
      <c r="X343" s="85"/>
      <c r="Y343" s="84"/>
      <c r="AE343" s="85"/>
      <c r="AF343" s="85"/>
      <c r="AG343" s="84"/>
      <c r="AM343" s="85"/>
      <c r="AN343" s="85"/>
      <c r="AO343" s="84"/>
      <c r="AU343" s="85"/>
      <c r="AV343" s="85"/>
      <c r="AW343" s="84"/>
      <c r="BC343" s="85"/>
      <c r="BD343" s="85"/>
      <c r="BE343" s="84"/>
      <c r="BK343" s="85"/>
      <c r="BL343" s="85"/>
      <c r="BM343" s="84"/>
      <c r="BS343" s="85"/>
      <c r="BT343" s="85"/>
    </row>
    <row r="344" spans="1:72">
      <c r="A344" s="84"/>
      <c r="G344" s="85"/>
      <c r="H344" s="85"/>
      <c r="I344" s="84"/>
      <c r="O344" s="85"/>
      <c r="P344" s="85"/>
      <c r="Q344" s="84"/>
      <c r="W344" s="85"/>
      <c r="X344" s="85"/>
      <c r="Y344" s="84"/>
      <c r="AE344" s="85"/>
      <c r="AF344" s="85"/>
      <c r="AG344" s="84"/>
      <c r="AM344" s="85"/>
      <c r="AN344" s="85"/>
      <c r="AO344" s="84"/>
      <c r="AU344" s="85"/>
      <c r="AV344" s="85"/>
      <c r="AW344" s="84"/>
      <c r="BC344" s="85"/>
      <c r="BD344" s="85"/>
      <c r="BE344" s="84"/>
      <c r="BK344" s="85"/>
      <c r="BL344" s="85"/>
      <c r="BM344" s="84"/>
      <c r="BS344" s="85"/>
      <c r="BT344" s="85"/>
    </row>
    <row r="345" spans="1:72">
      <c r="A345" s="84"/>
      <c r="G345" s="85"/>
      <c r="H345" s="85"/>
      <c r="I345" s="84"/>
      <c r="O345" s="85"/>
      <c r="P345" s="85"/>
      <c r="Q345" s="84"/>
      <c r="W345" s="85"/>
      <c r="X345" s="85"/>
      <c r="Y345" s="84"/>
      <c r="AE345" s="85"/>
      <c r="AF345" s="85"/>
      <c r="AG345" s="84"/>
      <c r="AM345" s="85"/>
      <c r="AN345" s="85"/>
      <c r="AO345" s="84"/>
      <c r="AU345" s="85"/>
      <c r="AV345" s="85"/>
      <c r="AW345" s="84"/>
      <c r="BC345" s="85"/>
      <c r="BD345" s="85"/>
      <c r="BE345" s="84"/>
      <c r="BK345" s="85"/>
      <c r="BL345" s="85"/>
      <c r="BM345" s="84"/>
      <c r="BS345" s="85"/>
      <c r="BT345" s="85"/>
    </row>
    <row r="346" spans="1:72">
      <c r="A346" s="84"/>
      <c r="G346" s="85"/>
      <c r="H346" s="85"/>
      <c r="I346" s="84"/>
      <c r="O346" s="85"/>
      <c r="P346" s="85"/>
      <c r="Q346" s="84"/>
      <c r="W346" s="85"/>
      <c r="X346" s="85"/>
      <c r="Y346" s="84"/>
      <c r="AE346" s="85"/>
      <c r="AF346" s="85"/>
      <c r="AG346" s="84"/>
      <c r="AM346" s="85"/>
      <c r="AN346" s="85"/>
      <c r="AO346" s="84"/>
      <c r="AU346" s="85"/>
      <c r="AV346" s="85"/>
      <c r="AW346" s="84"/>
      <c r="BC346" s="85"/>
      <c r="BD346" s="85"/>
      <c r="BE346" s="84"/>
      <c r="BK346" s="85"/>
      <c r="BL346" s="85"/>
      <c r="BM346" s="84"/>
      <c r="BS346" s="85"/>
      <c r="BT346" s="85"/>
    </row>
    <row r="347" spans="1:72">
      <c r="A347" s="84"/>
      <c r="G347" s="85"/>
      <c r="H347" s="85"/>
      <c r="I347" s="84"/>
      <c r="O347" s="85"/>
      <c r="P347" s="85"/>
      <c r="Q347" s="84"/>
      <c r="W347" s="85"/>
      <c r="X347" s="85"/>
      <c r="Y347" s="84"/>
      <c r="AE347" s="85"/>
      <c r="AF347" s="85"/>
      <c r="AG347" s="84"/>
      <c r="AM347" s="85"/>
      <c r="AN347" s="85"/>
      <c r="AO347" s="84"/>
      <c r="AU347" s="85"/>
      <c r="AV347" s="85"/>
      <c r="AW347" s="84"/>
      <c r="BC347" s="85"/>
      <c r="BD347" s="85"/>
      <c r="BE347" s="84"/>
      <c r="BK347" s="85"/>
      <c r="BL347" s="85"/>
      <c r="BM347" s="84"/>
      <c r="BS347" s="85"/>
      <c r="BT347" s="85"/>
    </row>
    <row r="348" spans="1:72">
      <c r="A348" s="84"/>
      <c r="G348" s="85"/>
      <c r="H348" s="85"/>
      <c r="I348" s="84"/>
      <c r="O348" s="85"/>
      <c r="P348" s="85"/>
      <c r="Q348" s="84"/>
      <c r="W348" s="85"/>
      <c r="X348" s="85"/>
      <c r="Y348" s="84"/>
      <c r="AE348" s="85"/>
      <c r="AF348" s="85"/>
      <c r="AG348" s="84"/>
      <c r="AM348" s="85"/>
      <c r="AN348" s="85"/>
      <c r="AO348" s="84"/>
      <c r="AU348" s="85"/>
      <c r="AV348" s="85"/>
      <c r="AW348" s="84"/>
      <c r="BC348" s="85"/>
      <c r="BD348" s="85"/>
      <c r="BE348" s="84"/>
      <c r="BK348" s="85"/>
      <c r="BL348" s="85"/>
      <c r="BM348" s="84"/>
      <c r="BS348" s="85"/>
      <c r="BT348" s="85"/>
    </row>
    <row r="349" spans="1:72">
      <c r="A349" s="84"/>
      <c r="G349" s="85"/>
      <c r="H349" s="85"/>
      <c r="I349" s="84"/>
      <c r="O349" s="85"/>
      <c r="P349" s="85"/>
      <c r="Q349" s="84"/>
      <c r="W349" s="85"/>
      <c r="X349" s="85"/>
      <c r="Y349" s="84"/>
      <c r="AE349" s="85"/>
      <c r="AF349" s="85"/>
      <c r="AG349" s="84"/>
      <c r="AM349" s="85"/>
      <c r="AN349" s="85"/>
      <c r="AO349" s="84"/>
      <c r="AU349" s="85"/>
      <c r="AV349" s="85"/>
      <c r="AW349" s="84"/>
      <c r="BC349" s="85"/>
      <c r="BD349" s="85"/>
      <c r="BE349" s="84"/>
      <c r="BK349" s="85"/>
      <c r="BL349" s="85"/>
      <c r="BM349" s="84"/>
      <c r="BS349" s="85"/>
      <c r="BT349" s="85"/>
    </row>
    <row r="350" spans="1:72">
      <c r="A350" s="84"/>
      <c r="G350" s="85"/>
      <c r="H350" s="85"/>
      <c r="I350" s="84"/>
      <c r="O350" s="85"/>
      <c r="P350" s="85"/>
      <c r="Q350" s="84"/>
      <c r="W350" s="85"/>
      <c r="X350" s="85"/>
      <c r="Y350" s="84"/>
      <c r="AE350" s="85"/>
      <c r="AF350" s="85"/>
      <c r="AG350" s="84"/>
      <c r="AM350" s="85"/>
      <c r="AN350" s="85"/>
      <c r="AO350" s="84"/>
      <c r="AU350" s="85"/>
      <c r="AV350" s="85"/>
      <c r="AW350" s="84"/>
      <c r="BC350" s="85"/>
      <c r="BD350" s="85"/>
      <c r="BE350" s="84"/>
      <c r="BK350" s="85"/>
      <c r="BL350" s="85"/>
      <c r="BM350" s="84"/>
      <c r="BS350" s="85"/>
      <c r="BT350" s="85"/>
    </row>
    <row r="351" spans="1:72">
      <c r="A351" s="84"/>
      <c r="G351" s="85"/>
      <c r="H351" s="85"/>
      <c r="I351" s="84"/>
      <c r="O351" s="85"/>
      <c r="P351" s="85"/>
      <c r="Q351" s="84"/>
      <c r="W351" s="85"/>
      <c r="X351" s="85"/>
      <c r="Y351" s="84"/>
      <c r="AE351" s="85"/>
      <c r="AF351" s="85"/>
      <c r="AG351" s="84"/>
      <c r="AM351" s="85"/>
      <c r="AN351" s="85"/>
      <c r="AO351" s="84"/>
      <c r="AU351" s="85"/>
      <c r="AV351" s="85"/>
      <c r="AW351" s="84"/>
      <c r="BC351" s="85"/>
      <c r="BD351" s="85"/>
      <c r="BE351" s="84"/>
      <c r="BK351" s="85"/>
      <c r="BL351" s="85"/>
      <c r="BM351" s="84"/>
      <c r="BS351" s="85"/>
      <c r="BT351" s="85"/>
    </row>
    <row r="352" spans="1:72">
      <c r="A352" s="84"/>
      <c r="G352" s="85"/>
      <c r="H352" s="85"/>
      <c r="I352" s="84"/>
      <c r="O352" s="85"/>
      <c r="P352" s="85"/>
      <c r="Q352" s="84"/>
      <c r="W352" s="85"/>
      <c r="X352" s="85"/>
      <c r="Y352" s="84"/>
      <c r="AE352" s="85"/>
      <c r="AF352" s="85"/>
      <c r="AG352" s="84"/>
      <c r="AM352" s="85"/>
      <c r="AN352" s="85"/>
      <c r="AO352" s="84"/>
      <c r="AU352" s="85"/>
      <c r="AV352" s="85"/>
      <c r="AW352" s="84"/>
      <c r="BC352" s="85"/>
      <c r="BD352" s="85"/>
      <c r="BE352" s="84"/>
      <c r="BK352" s="85"/>
      <c r="BL352" s="85"/>
      <c r="BM352" s="84"/>
      <c r="BS352" s="85"/>
      <c r="BT352" s="85"/>
    </row>
    <row r="353" spans="1:72">
      <c r="A353" s="84"/>
      <c r="G353" s="85"/>
      <c r="H353" s="85"/>
      <c r="I353" s="84"/>
      <c r="O353" s="85"/>
      <c r="P353" s="85"/>
      <c r="Q353" s="84"/>
      <c r="W353" s="85"/>
      <c r="X353" s="85"/>
      <c r="Y353" s="84"/>
      <c r="AE353" s="85"/>
      <c r="AF353" s="85"/>
      <c r="AG353" s="84"/>
      <c r="AM353" s="85"/>
      <c r="AN353" s="85"/>
      <c r="AO353" s="84"/>
      <c r="AU353" s="85"/>
      <c r="AV353" s="85"/>
      <c r="AW353" s="84"/>
      <c r="BC353" s="85"/>
      <c r="BD353" s="85"/>
      <c r="BE353" s="84"/>
      <c r="BK353" s="85"/>
      <c r="BL353" s="85"/>
      <c r="BM353" s="84"/>
      <c r="BS353" s="85"/>
      <c r="BT353" s="85"/>
    </row>
    <row r="354" spans="1:72">
      <c r="A354" s="84"/>
      <c r="G354" s="85"/>
      <c r="H354" s="85"/>
      <c r="I354" s="84"/>
      <c r="O354" s="85"/>
      <c r="P354" s="85"/>
      <c r="Q354" s="84"/>
      <c r="W354" s="85"/>
      <c r="X354" s="85"/>
      <c r="Y354" s="84"/>
      <c r="AE354" s="85"/>
      <c r="AF354" s="85"/>
      <c r="AG354" s="84"/>
      <c r="AM354" s="85"/>
      <c r="AN354" s="85"/>
      <c r="AO354" s="84"/>
      <c r="AU354" s="85"/>
      <c r="AV354" s="85"/>
      <c r="AW354" s="84"/>
      <c r="BC354" s="85"/>
      <c r="BD354" s="85"/>
      <c r="BE354" s="84"/>
      <c r="BK354" s="85"/>
      <c r="BL354" s="85"/>
      <c r="BM354" s="84"/>
      <c r="BS354" s="85"/>
      <c r="BT354" s="85"/>
    </row>
    <row r="355" spans="1:72">
      <c r="A355" s="84"/>
      <c r="G355" s="85"/>
      <c r="H355" s="85"/>
      <c r="I355" s="84"/>
      <c r="O355" s="85"/>
      <c r="P355" s="85"/>
      <c r="Q355" s="84"/>
      <c r="W355" s="85"/>
      <c r="X355" s="85"/>
      <c r="Y355" s="84"/>
      <c r="AE355" s="85"/>
      <c r="AF355" s="85"/>
      <c r="AG355" s="84"/>
      <c r="AM355" s="85"/>
      <c r="AN355" s="85"/>
      <c r="AO355" s="84"/>
      <c r="AU355" s="85"/>
      <c r="AV355" s="85"/>
      <c r="AW355" s="84"/>
      <c r="BC355" s="85"/>
      <c r="BD355" s="85"/>
      <c r="BE355" s="84"/>
      <c r="BK355" s="85"/>
      <c r="BL355" s="85"/>
      <c r="BM355" s="84"/>
      <c r="BS355" s="85"/>
      <c r="BT355" s="85"/>
    </row>
    <row r="356" spans="1:72">
      <c r="A356" s="84"/>
      <c r="G356" s="85"/>
      <c r="H356" s="85"/>
      <c r="I356" s="84"/>
      <c r="O356" s="85"/>
      <c r="P356" s="85"/>
      <c r="Q356" s="84"/>
      <c r="W356" s="85"/>
      <c r="X356" s="85"/>
      <c r="Y356" s="84"/>
      <c r="AE356" s="85"/>
      <c r="AF356" s="85"/>
      <c r="AG356" s="84"/>
      <c r="AM356" s="85"/>
      <c r="AN356" s="85"/>
      <c r="AO356" s="84"/>
      <c r="AU356" s="85"/>
      <c r="AV356" s="85"/>
      <c r="AW356" s="84"/>
      <c r="BC356" s="85"/>
      <c r="BD356" s="85"/>
      <c r="BE356" s="84"/>
      <c r="BK356" s="85"/>
      <c r="BL356" s="85"/>
      <c r="BM356" s="84"/>
      <c r="BS356" s="85"/>
      <c r="BT356" s="85"/>
    </row>
    <row r="357" spans="1:72">
      <c r="A357" s="84"/>
      <c r="G357" s="85"/>
      <c r="H357" s="85"/>
      <c r="I357" s="84"/>
      <c r="O357" s="85"/>
      <c r="P357" s="85"/>
      <c r="Q357" s="84"/>
      <c r="W357" s="85"/>
      <c r="X357" s="85"/>
      <c r="Y357" s="84"/>
      <c r="AE357" s="85"/>
      <c r="AF357" s="85"/>
      <c r="AG357" s="84"/>
      <c r="AM357" s="85"/>
      <c r="AN357" s="85"/>
      <c r="AO357" s="84"/>
      <c r="AU357" s="85"/>
      <c r="AV357" s="85"/>
      <c r="AW357" s="84"/>
      <c r="BC357" s="85"/>
      <c r="BD357" s="85"/>
      <c r="BE357" s="84"/>
      <c r="BK357" s="85"/>
      <c r="BL357" s="85"/>
      <c r="BM357" s="84"/>
      <c r="BS357" s="85"/>
      <c r="BT357" s="85"/>
    </row>
    <row r="358" spans="1:72">
      <c r="A358" s="84"/>
      <c r="G358" s="85"/>
      <c r="H358" s="85"/>
      <c r="I358" s="84"/>
      <c r="O358" s="85"/>
      <c r="P358" s="85"/>
      <c r="Q358" s="84"/>
      <c r="W358" s="85"/>
      <c r="X358" s="85"/>
      <c r="Y358" s="84"/>
      <c r="AE358" s="85"/>
      <c r="AF358" s="85"/>
      <c r="AG358" s="84"/>
      <c r="AM358" s="85"/>
      <c r="AN358" s="85"/>
      <c r="AO358" s="84"/>
      <c r="AU358" s="85"/>
      <c r="AV358" s="85"/>
      <c r="AW358" s="84"/>
      <c r="BC358" s="85"/>
      <c r="BD358" s="85"/>
      <c r="BE358" s="84"/>
      <c r="BK358" s="85"/>
      <c r="BL358" s="85"/>
      <c r="BM358" s="84"/>
      <c r="BS358" s="85"/>
      <c r="BT358" s="85"/>
    </row>
    <row r="359" spans="1:72">
      <c r="A359" s="84"/>
      <c r="G359" s="85"/>
      <c r="H359" s="85"/>
      <c r="I359" s="84"/>
      <c r="O359" s="85"/>
      <c r="P359" s="85"/>
      <c r="Q359" s="84"/>
      <c r="W359" s="85"/>
      <c r="X359" s="85"/>
      <c r="Y359" s="84"/>
      <c r="AE359" s="85"/>
      <c r="AF359" s="85"/>
      <c r="AG359" s="84"/>
      <c r="AM359" s="85"/>
      <c r="AN359" s="85"/>
      <c r="AO359" s="84"/>
      <c r="AU359" s="85"/>
      <c r="AV359" s="85"/>
      <c r="AW359" s="84"/>
      <c r="BC359" s="85"/>
      <c r="BD359" s="85"/>
      <c r="BE359" s="84"/>
      <c r="BK359" s="85"/>
      <c r="BL359" s="85"/>
      <c r="BM359" s="84"/>
      <c r="BS359" s="85"/>
      <c r="BT359" s="85"/>
    </row>
    <row r="360" spans="1:72">
      <c r="A360" s="84"/>
      <c r="G360" s="85"/>
      <c r="H360" s="85"/>
      <c r="I360" s="84"/>
      <c r="O360" s="85"/>
      <c r="P360" s="85"/>
      <c r="Q360" s="84"/>
      <c r="W360" s="85"/>
      <c r="X360" s="85"/>
      <c r="Y360" s="84"/>
      <c r="AE360" s="85"/>
      <c r="AF360" s="85"/>
      <c r="AG360" s="84"/>
      <c r="AM360" s="85"/>
      <c r="AN360" s="85"/>
      <c r="AO360" s="84"/>
      <c r="AU360" s="85"/>
      <c r="AV360" s="85"/>
      <c r="AW360" s="84"/>
      <c r="BC360" s="85"/>
      <c r="BD360" s="85"/>
      <c r="BE360" s="84"/>
      <c r="BK360" s="85"/>
      <c r="BL360" s="85"/>
      <c r="BM360" s="84"/>
      <c r="BS360" s="85"/>
      <c r="BT360" s="85"/>
    </row>
    <row r="361" spans="1:72">
      <c r="A361" s="84"/>
      <c r="G361" s="85"/>
      <c r="H361" s="85"/>
      <c r="I361" s="84"/>
      <c r="O361" s="85"/>
      <c r="P361" s="85"/>
      <c r="Q361" s="84"/>
      <c r="W361" s="85"/>
      <c r="X361" s="85"/>
      <c r="Y361" s="84"/>
      <c r="AE361" s="85"/>
      <c r="AF361" s="85"/>
      <c r="AG361" s="84"/>
      <c r="AM361" s="85"/>
      <c r="AN361" s="85"/>
      <c r="AO361" s="84"/>
      <c r="AU361" s="85"/>
      <c r="AV361" s="85"/>
      <c r="AW361" s="84"/>
      <c r="BC361" s="85"/>
      <c r="BD361" s="85"/>
      <c r="BE361" s="84"/>
      <c r="BK361" s="85"/>
      <c r="BL361" s="85"/>
      <c r="BM361" s="84"/>
      <c r="BS361" s="85"/>
      <c r="BT361" s="85"/>
    </row>
    <row r="362" spans="1:72">
      <c r="A362" s="84"/>
      <c r="G362" s="85"/>
      <c r="H362" s="85"/>
      <c r="I362" s="84"/>
      <c r="O362" s="85"/>
      <c r="P362" s="85"/>
      <c r="Q362" s="84"/>
      <c r="W362" s="85"/>
      <c r="X362" s="85"/>
      <c r="Y362" s="84"/>
      <c r="AE362" s="85"/>
      <c r="AF362" s="85"/>
      <c r="AG362" s="84"/>
      <c r="AM362" s="85"/>
      <c r="AN362" s="85"/>
      <c r="AO362" s="84"/>
      <c r="AU362" s="85"/>
      <c r="AV362" s="85"/>
      <c r="AW362" s="84"/>
      <c r="BC362" s="85"/>
      <c r="BD362" s="85"/>
      <c r="BE362" s="84"/>
      <c r="BK362" s="85"/>
      <c r="BL362" s="85"/>
      <c r="BM362" s="84"/>
      <c r="BS362" s="85"/>
      <c r="BT362" s="85"/>
    </row>
    <row r="363" spans="1:72">
      <c r="A363" s="84"/>
      <c r="G363" s="85"/>
      <c r="H363" s="85"/>
      <c r="I363" s="84"/>
      <c r="O363" s="85"/>
      <c r="P363" s="85"/>
      <c r="Q363" s="84"/>
      <c r="W363" s="85"/>
      <c r="X363" s="85"/>
      <c r="Y363" s="84"/>
      <c r="AE363" s="85"/>
      <c r="AF363" s="85"/>
      <c r="AG363" s="84"/>
      <c r="AM363" s="85"/>
      <c r="AN363" s="85"/>
      <c r="AO363" s="84"/>
      <c r="AU363" s="85"/>
      <c r="AV363" s="85"/>
      <c r="AW363" s="84"/>
      <c r="BC363" s="85"/>
      <c r="BD363" s="85"/>
      <c r="BE363" s="84"/>
      <c r="BK363" s="85"/>
      <c r="BL363" s="85"/>
      <c r="BM363" s="84"/>
      <c r="BS363" s="85"/>
      <c r="BT363" s="85"/>
    </row>
    <row r="364" spans="1:72">
      <c r="A364" s="84"/>
      <c r="G364" s="85"/>
      <c r="H364" s="85"/>
      <c r="I364" s="84"/>
      <c r="O364" s="85"/>
      <c r="P364" s="85"/>
      <c r="Q364" s="84"/>
      <c r="W364" s="85"/>
      <c r="X364" s="85"/>
      <c r="Y364" s="84"/>
      <c r="AE364" s="85"/>
      <c r="AF364" s="85"/>
      <c r="AG364" s="84"/>
      <c r="AM364" s="85"/>
      <c r="AN364" s="85"/>
      <c r="AO364" s="84"/>
      <c r="AU364" s="85"/>
      <c r="AV364" s="85"/>
      <c r="AW364" s="84"/>
      <c r="BC364" s="85"/>
      <c r="BD364" s="85"/>
      <c r="BE364" s="84"/>
      <c r="BK364" s="85"/>
      <c r="BL364" s="85"/>
      <c r="BM364" s="84"/>
      <c r="BS364" s="85"/>
      <c r="BT364" s="85"/>
    </row>
    <row r="365" spans="1:72">
      <c r="A365" s="84"/>
      <c r="G365" s="85"/>
      <c r="H365" s="85"/>
      <c r="I365" s="84"/>
      <c r="O365" s="85"/>
      <c r="P365" s="85"/>
      <c r="Q365" s="84"/>
      <c r="W365" s="85"/>
      <c r="X365" s="85"/>
      <c r="Y365" s="84"/>
      <c r="AE365" s="85"/>
      <c r="AF365" s="85"/>
      <c r="AG365" s="84"/>
      <c r="AM365" s="85"/>
      <c r="AN365" s="85"/>
      <c r="AO365" s="84"/>
      <c r="AU365" s="85"/>
      <c r="AV365" s="85"/>
      <c r="AW365" s="84"/>
      <c r="BC365" s="85"/>
      <c r="BD365" s="85"/>
      <c r="BE365" s="84"/>
      <c r="BK365" s="85"/>
      <c r="BL365" s="85"/>
      <c r="BM365" s="84"/>
      <c r="BS365" s="85"/>
      <c r="BT365" s="85"/>
    </row>
    <row r="366" spans="1:72">
      <c r="A366" s="84"/>
      <c r="G366" s="85"/>
      <c r="H366" s="85"/>
      <c r="I366" s="84"/>
      <c r="O366" s="85"/>
      <c r="P366" s="85"/>
      <c r="Q366" s="84"/>
      <c r="W366" s="85"/>
      <c r="X366" s="85"/>
      <c r="Y366" s="84"/>
      <c r="AE366" s="85"/>
      <c r="AF366" s="85"/>
      <c r="AG366" s="84"/>
      <c r="AM366" s="85"/>
      <c r="AN366" s="85"/>
      <c r="AO366" s="84"/>
      <c r="AU366" s="85"/>
      <c r="AV366" s="85"/>
      <c r="AW366" s="84"/>
      <c r="BC366" s="85"/>
      <c r="BD366" s="85"/>
      <c r="BE366" s="84"/>
      <c r="BK366" s="85"/>
      <c r="BL366" s="85"/>
      <c r="BM366" s="84"/>
      <c r="BS366" s="85"/>
      <c r="BT366" s="85"/>
    </row>
    <row r="367" spans="1:72">
      <c r="A367" s="84"/>
      <c r="G367" s="85"/>
      <c r="H367" s="85"/>
      <c r="I367" s="84"/>
      <c r="O367" s="85"/>
      <c r="P367" s="85"/>
      <c r="Q367" s="84"/>
      <c r="W367" s="85"/>
      <c r="X367" s="85"/>
      <c r="Y367" s="84"/>
      <c r="AE367" s="85"/>
      <c r="AF367" s="85"/>
      <c r="AG367" s="84"/>
      <c r="AM367" s="85"/>
      <c r="AN367" s="85"/>
      <c r="AO367" s="84"/>
      <c r="AU367" s="85"/>
      <c r="AV367" s="85"/>
      <c r="AW367" s="84"/>
      <c r="BC367" s="85"/>
      <c r="BD367" s="85"/>
      <c r="BE367" s="84"/>
      <c r="BK367" s="85"/>
      <c r="BL367" s="85"/>
      <c r="BM367" s="84"/>
      <c r="BS367" s="85"/>
      <c r="BT367" s="85"/>
    </row>
    <row r="368" spans="1:72">
      <c r="A368" s="84"/>
      <c r="G368" s="85"/>
      <c r="H368" s="85"/>
      <c r="I368" s="84"/>
      <c r="O368" s="85"/>
      <c r="P368" s="85"/>
      <c r="Q368" s="84"/>
      <c r="W368" s="85"/>
      <c r="X368" s="85"/>
      <c r="Y368" s="84"/>
      <c r="AE368" s="85"/>
      <c r="AF368" s="85"/>
      <c r="AG368" s="84"/>
      <c r="AM368" s="85"/>
      <c r="AN368" s="85"/>
      <c r="AO368" s="84"/>
      <c r="AU368" s="85"/>
      <c r="AV368" s="85"/>
      <c r="AW368" s="84"/>
      <c r="BC368" s="85"/>
      <c r="BD368" s="85"/>
      <c r="BE368" s="84"/>
      <c r="BK368" s="85"/>
      <c r="BL368" s="85"/>
      <c r="BM368" s="84"/>
      <c r="BS368" s="85"/>
      <c r="BT368" s="85"/>
    </row>
    <row r="369" spans="1:72">
      <c r="A369" s="84"/>
      <c r="G369" s="85"/>
      <c r="H369" s="85"/>
      <c r="I369" s="84"/>
      <c r="O369" s="85"/>
      <c r="P369" s="85"/>
      <c r="Q369" s="84"/>
      <c r="W369" s="85"/>
      <c r="X369" s="85"/>
      <c r="Y369" s="84"/>
      <c r="AE369" s="85"/>
      <c r="AF369" s="85"/>
      <c r="AG369" s="84"/>
      <c r="AM369" s="85"/>
      <c r="AN369" s="85"/>
      <c r="AO369" s="84"/>
      <c r="AU369" s="85"/>
      <c r="AV369" s="85"/>
      <c r="AW369" s="84"/>
      <c r="BC369" s="85"/>
      <c r="BD369" s="85"/>
      <c r="BE369" s="84"/>
      <c r="BK369" s="85"/>
      <c r="BL369" s="85"/>
      <c r="BM369" s="84"/>
      <c r="BS369" s="85"/>
      <c r="BT369" s="85"/>
    </row>
    <row r="370" spans="1:72">
      <c r="A370" s="84"/>
      <c r="G370" s="85"/>
      <c r="H370" s="85"/>
      <c r="I370" s="84"/>
      <c r="O370" s="85"/>
      <c r="P370" s="85"/>
      <c r="Q370" s="84"/>
      <c r="W370" s="85"/>
      <c r="X370" s="85"/>
      <c r="Y370" s="84"/>
      <c r="AE370" s="85"/>
      <c r="AF370" s="85"/>
      <c r="AG370" s="84"/>
      <c r="AM370" s="85"/>
      <c r="AN370" s="85"/>
      <c r="AO370" s="84"/>
      <c r="AU370" s="85"/>
      <c r="AV370" s="85"/>
      <c r="AW370" s="84"/>
      <c r="BC370" s="85"/>
      <c r="BD370" s="85"/>
      <c r="BE370" s="84"/>
      <c r="BK370" s="85"/>
      <c r="BL370" s="85"/>
      <c r="BM370" s="84"/>
      <c r="BS370" s="85"/>
      <c r="BT370" s="85"/>
    </row>
    <row r="371" spans="1:72">
      <c r="A371" s="84"/>
      <c r="G371" s="85"/>
      <c r="H371" s="85"/>
      <c r="I371" s="84"/>
      <c r="O371" s="85"/>
      <c r="P371" s="85"/>
      <c r="Q371" s="84"/>
      <c r="W371" s="85"/>
      <c r="X371" s="85"/>
      <c r="Y371" s="84"/>
      <c r="AE371" s="85"/>
      <c r="AF371" s="85"/>
      <c r="AG371" s="84"/>
      <c r="AM371" s="85"/>
      <c r="AN371" s="85"/>
      <c r="AO371" s="84"/>
      <c r="AU371" s="85"/>
      <c r="AV371" s="85"/>
      <c r="AW371" s="84"/>
      <c r="BC371" s="85"/>
      <c r="BD371" s="85"/>
      <c r="BE371" s="84"/>
      <c r="BK371" s="85"/>
      <c r="BL371" s="85"/>
      <c r="BM371" s="84"/>
      <c r="BS371" s="85"/>
      <c r="BT371" s="85"/>
    </row>
    <row r="372" spans="1:72">
      <c r="A372" s="84"/>
      <c r="G372" s="85"/>
      <c r="H372" s="85"/>
      <c r="I372" s="84"/>
      <c r="O372" s="85"/>
      <c r="P372" s="85"/>
      <c r="Q372" s="84"/>
      <c r="W372" s="85"/>
      <c r="X372" s="85"/>
      <c r="Y372" s="84"/>
      <c r="AE372" s="85"/>
      <c r="AF372" s="85"/>
      <c r="AG372" s="84"/>
      <c r="AM372" s="85"/>
      <c r="AN372" s="85"/>
      <c r="AO372" s="84"/>
      <c r="AU372" s="85"/>
      <c r="AV372" s="85"/>
      <c r="AW372" s="84"/>
      <c r="BC372" s="85"/>
      <c r="BD372" s="85"/>
      <c r="BE372" s="84"/>
      <c r="BK372" s="85"/>
      <c r="BL372" s="85"/>
      <c r="BM372" s="84"/>
      <c r="BS372" s="85"/>
      <c r="BT372" s="85"/>
    </row>
    <row r="373" spans="1:72">
      <c r="A373" s="84"/>
      <c r="G373" s="85"/>
      <c r="H373" s="85"/>
      <c r="I373" s="84"/>
      <c r="O373" s="85"/>
      <c r="P373" s="85"/>
      <c r="Q373" s="84"/>
      <c r="W373" s="85"/>
      <c r="X373" s="85"/>
      <c r="Y373" s="84"/>
      <c r="AE373" s="85"/>
      <c r="AF373" s="85"/>
      <c r="AG373" s="84"/>
      <c r="AM373" s="85"/>
      <c r="AN373" s="85"/>
      <c r="AO373" s="84"/>
      <c r="AU373" s="85"/>
      <c r="AV373" s="85"/>
      <c r="AW373" s="84"/>
      <c r="BC373" s="85"/>
      <c r="BD373" s="85"/>
      <c r="BE373" s="84"/>
      <c r="BK373" s="85"/>
      <c r="BL373" s="85"/>
      <c r="BM373" s="84"/>
      <c r="BS373" s="85"/>
      <c r="BT373" s="85"/>
    </row>
    <row r="374" spans="1:72">
      <c r="A374" s="84"/>
      <c r="G374" s="85"/>
      <c r="H374" s="85"/>
      <c r="I374" s="84"/>
      <c r="O374" s="85"/>
      <c r="P374" s="85"/>
      <c r="Q374" s="84"/>
      <c r="W374" s="85"/>
      <c r="X374" s="85"/>
      <c r="Y374" s="84"/>
      <c r="AE374" s="85"/>
      <c r="AF374" s="85"/>
      <c r="AG374" s="84"/>
      <c r="AM374" s="85"/>
      <c r="AN374" s="85"/>
      <c r="AO374" s="84"/>
      <c r="AU374" s="85"/>
      <c r="AV374" s="85"/>
      <c r="AW374" s="84"/>
      <c r="BC374" s="85"/>
      <c r="BD374" s="85"/>
      <c r="BE374" s="84"/>
      <c r="BK374" s="85"/>
      <c r="BL374" s="85"/>
      <c r="BM374" s="84"/>
      <c r="BS374" s="85"/>
      <c r="BT374" s="85"/>
    </row>
    <row r="375" spans="1:72">
      <c r="A375" s="84"/>
      <c r="G375" s="85"/>
      <c r="H375" s="85"/>
      <c r="I375" s="84"/>
      <c r="O375" s="85"/>
      <c r="P375" s="85"/>
      <c r="Q375" s="84"/>
      <c r="W375" s="85"/>
      <c r="X375" s="85"/>
      <c r="Y375" s="84"/>
      <c r="AE375" s="85"/>
      <c r="AF375" s="85"/>
      <c r="AG375" s="84"/>
      <c r="AM375" s="85"/>
      <c r="AN375" s="85"/>
      <c r="AO375" s="84"/>
      <c r="AU375" s="85"/>
      <c r="AV375" s="85"/>
      <c r="AW375" s="84"/>
      <c r="BC375" s="85"/>
      <c r="BD375" s="85"/>
      <c r="BE375" s="84"/>
      <c r="BK375" s="85"/>
      <c r="BL375" s="85"/>
      <c r="BM375" s="84"/>
      <c r="BS375" s="85"/>
      <c r="BT375" s="85"/>
    </row>
    <row r="376" spans="1:72">
      <c r="A376" s="84"/>
      <c r="G376" s="85"/>
      <c r="H376" s="85"/>
      <c r="I376" s="84"/>
      <c r="O376" s="85"/>
      <c r="P376" s="85"/>
      <c r="Q376" s="84"/>
      <c r="W376" s="85"/>
      <c r="X376" s="85"/>
      <c r="Y376" s="84"/>
      <c r="AE376" s="85"/>
      <c r="AF376" s="85"/>
      <c r="AG376" s="84"/>
      <c r="AM376" s="85"/>
      <c r="AN376" s="85"/>
      <c r="AO376" s="84"/>
      <c r="AU376" s="85"/>
      <c r="AV376" s="85"/>
      <c r="AW376" s="84"/>
      <c r="BC376" s="85"/>
      <c r="BD376" s="85"/>
      <c r="BE376" s="84"/>
      <c r="BK376" s="85"/>
      <c r="BL376" s="85"/>
      <c r="BM376" s="84"/>
      <c r="BS376" s="85"/>
      <c r="BT376" s="85"/>
    </row>
    <row r="377" spans="1:72">
      <c r="A377" s="84"/>
      <c r="G377" s="85"/>
      <c r="H377" s="85"/>
      <c r="I377" s="84"/>
      <c r="O377" s="85"/>
      <c r="P377" s="85"/>
      <c r="Q377" s="84"/>
      <c r="W377" s="85"/>
      <c r="X377" s="85"/>
      <c r="Y377" s="84"/>
      <c r="AE377" s="85"/>
      <c r="AF377" s="85"/>
      <c r="AG377" s="84"/>
      <c r="AM377" s="85"/>
      <c r="AN377" s="85"/>
      <c r="AO377" s="84"/>
      <c r="AU377" s="85"/>
      <c r="AV377" s="85"/>
      <c r="AW377" s="84"/>
      <c r="BC377" s="85"/>
      <c r="BD377" s="85"/>
      <c r="BE377" s="84"/>
      <c r="BK377" s="85"/>
      <c r="BL377" s="85"/>
      <c r="BM377" s="84"/>
      <c r="BS377" s="85"/>
      <c r="BT377" s="85"/>
    </row>
    <row r="378" spans="1:72">
      <c r="A378" s="84"/>
      <c r="G378" s="85"/>
      <c r="H378" s="85"/>
      <c r="I378" s="84"/>
      <c r="O378" s="85"/>
      <c r="P378" s="85"/>
      <c r="Q378" s="84"/>
      <c r="W378" s="85"/>
      <c r="X378" s="85"/>
      <c r="Y378" s="84"/>
      <c r="AE378" s="85"/>
      <c r="AF378" s="85"/>
      <c r="AG378" s="84"/>
      <c r="AM378" s="85"/>
      <c r="AN378" s="85"/>
      <c r="AO378" s="84"/>
      <c r="AU378" s="85"/>
      <c r="AV378" s="85"/>
      <c r="AW378" s="84"/>
      <c r="BC378" s="85"/>
      <c r="BD378" s="85"/>
      <c r="BE378" s="84"/>
      <c r="BK378" s="85"/>
      <c r="BL378" s="85"/>
      <c r="BM378" s="84"/>
      <c r="BS378" s="85"/>
      <c r="BT378" s="85"/>
    </row>
    <row r="379" spans="1:72">
      <c r="A379" s="84"/>
      <c r="G379" s="85"/>
      <c r="H379" s="85"/>
      <c r="I379" s="84"/>
      <c r="O379" s="85"/>
      <c r="P379" s="85"/>
      <c r="Q379" s="84"/>
      <c r="W379" s="85"/>
      <c r="X379" s="85"/>
      <c r="Y379" s="84"/>
      <c r="AE379" s="85"/>
      <c r="AF379" s="85"/>
      <c r="AG379" s="84"/>
      <c r="AM379" s="85"/>
      <c r="AN379" s="85"/>
      <c r="AO379" s="84"/>
      <c r="AU379" s="85"/>
      <c r="AV379" s="85"/>
      <c r="AW379" s="84"/>
      <c r="BC379" s="85"/>
      <c r="BD379" s="85"/>
      <c r="BE379" s="84"/>
      <c r="BK379" s="85"/>
      <c r="BL379" s="85"/>
      <c r="BM379" s="84"/>
      <c r="BS379" s="85"/>
      <c r="BT379" s="85"/>
    </row>
    <row r="380" spans="1:72">
      <c r="A380" s="84"/>
      <c r="G380" s="85"/>
      <c r="H380" s="85"/>
      <c r="I380" s="84"/>
      <c r="O380" s="85"/>
      <c r="P380" s="85"/>
      <c r="Q380" s="84"/>
      <c r="W380" s="85"/>
      <c r="X380" s="85"/>
      <c r="Y380" s="84"/>
      <c r="AE380" s="85"/>
      <c r="AF380" s="85"/>
      <c r="AG380" s="84"/>
      <c r="AM380" s="85"/>
      <c r="AN380" s="85"/>
      <c r="AO380" s="84"/>
      <c r="AU380" s="85"/>
      <c r="AV380" s="85"/>
      <c r="AW380" s="84"/>
      <c r="BC380" s="85"/>
      <c r="BD380" s="85"/>
      <c r="BE380" s="84"/>
      <c r="BK380" s="85"/>
      <c r="BL380" s="85"/>
      <c r="BM380" s="84"/>
      <c r="BS380" s="85"/>
      <c r="BT380" s="85"/>
    </row>
    <row r="381" spans="1:72">
      <c r="A381" s="84"/>
      <c r="G381" s="85"/>
      <c r="H381" s="85"/>
      <c r="I381" s="84"/>
      <c r="O381" s="85"/>
      <c r="P381" s="85"/>
      <c r="Q381" s="84"/>
      <c r="W381" s="85"/>
      <c r="X381" s="85"/>
      <c r="Y381" s="84"/>
      <c r="AE381" s="85"/>
      <c r="AF381" s="85"/>
      <c r="AG381" s="84"/>
      <c r="AM381" s="85"/>
      <c r="AN381" s="85"/>
      <c r="AO381" s="84"/>
      <c r="AU381" s="85"/>
      <c r="AV381" s="85"/>
      <c r="AW381" s="84"/>
      <c r="BC381" s="85"/>
      <c r="BD381" s="85"/>
      <c r="BE381" s="84"/>
      <c r="BK381" s="85"/>
      <c r="BL381" s="85"/>
      <c r="BM381" s="84"/>
      <c r="BS381" s="85"/>
      <c r="BT381" s="85"/>
    </row>
    <row r="382" spans="1:72">
      <c r="A382" s="84"/>
      <c r="G382" s="85"/>
      <c r="H382" s="85"/>
      <c r="I382" s="84"/>
      <c r="O382" s="85"/>
      <c r="P382" s="85"/>
      <c r="Q382" s="84"/>
      <c r="W382" s="85"/>
      <c r="X382" s="85"/>
      <c r="Y382" s="84"/>
      <c r="AE382" s="85"/>
      <c r="AF382" s="85"/>
      <c r="AG382" s="84"/>
      <c r="AM382" s="85"/>
      <c r="AN382" s="85"/>
      <c r="AO382" s="84"/>
      <c r="AU382" s="85"/>
      <c r="AV382" s="85"/>
      <c r="AW382" s="84"/>
      <c r="BC382" s="85"/>
      <c r="BD382" s="85"/>
      <c r="BE382" s="84"/>
      <c r="BK382" s="85"/>
      <c r="BL382" s="85"/>
      <c r="BM382" s="84"/>
      <c r="BS382" s="85"/>
      <c r="BT382" s="85"/>
    </row>
    <row r="383" spans="1:72">
      <c r="A383" s="84"/>
      <c r="G383" s="85"/>
      <c r="H383" s="85"/>
      <c r="I383" s="84"/>
      <c r="O383" s="85"/>
      <c r="P383" s="85"/>
      <c r="Q383" s="84"/>
      <c r="W383" s="85"/>
      <c r="X383" s="85"/>
      <c r="Y383" s="84"/>
      <c r="AE383" s="85"/>
      <c r="AF383" s="85"/>
      <c r="AG383" s="84"/>
      <c r="AM383" s="85"/>
      <c r="AN383" s="85"/>
      <c r="AO383" s="84"/>
      <c r="AU383" s="85"/>
      <c r="AV383" s="85"/>
      <c r="AW383" s="84"/>
      <c r="BC383" s="85"/>
      <c r="BD383" s="85"/>
      <c r="BE383" s="84"/>
      <c r="BK383" s="85"/>
      <c r="BL383" s="85"/>
      <c r="BM383" s="84"/>
      <c r="BS383" s="85"/>
      <c r="BT383" s="85"/>
    </row>
    <row r="384" spans="1:72">
      <c r="A384" s="84"/>
      <c r="G384" s="85"/>
      <c r="H384" s="85"/>
      <c r="I384" s="84"/>
      <c r="O384" s="85"/>
      <c r="P384" s="85"/>
      <c r="Q384" s="84"/>
      <c r="W384" s="85"/>
      <c r="X384" s="85"/>
      <c r="Y384" s="84"/>
      <c r="AE384" s="85"/>
      <c r="AF384" s="85"/>
      <c r="AG384" s="84"/>
      <c r="AM384" s="85"/>
      <c r="AN384" s="85"/>
      <c r="AO384" s="84"/>
      <c r="AU384" s="85"/>
      <c r="AV384" s="85"/>
      <c r="AW384" s="84"/>
      <c r="BC384" s="85"/>
      <c r="BD384" s="85"/>
      <c r="BE384" s="84"/>
      <c r="BK384" s="85"/>
      <c r="BL384" s="85"/>
      <c r="BM384" s="84"/>
      <c r="BS384" s="85"/>
      <c r="BT384" s="85"/>
    </row>
    <row r="385" spans="1:72">
      <c r="A385" s="84"/>
      <c r="G385" s="85"/>
      <c r="H385" s="85"/>
      <c r="I385" s="84"/>
      <c r="O385" s="85"/>
      <c r="P385" s="85"/>
      <c r="Q385" s="84"/>
      <c r="W385" s="85"/>
      <c r="X385" s="85"/>
      <c r="Y385" s="84"/>
      <c r="AE385" s="85"/>
      <c r="AF385" s="85"/>
      <c r="AG385" s="84"/>
      <c r="AM385" s="85"/>
      <c r="AN385" s="85"/>
      <c r="AO385" s="84"/>
      <c r="AU385" s="85"/>
      <c r="AV385" s="85"/>
      <c r="AW385" s="84"/>
      <c r="BC385" s="85"/>
      <c r="BD385" s="85"/>
      <c r="BE385" s="84"/>
      <c r="BK385" s="85"/>
      <c r="BL385" s="85"/>
      <c r="BM385" s="84"/>
      <c r="BS385" s="85"/>
      <c r="BT385" s="85"/>
    </row>
    <row r="386" spans="1:72">
      <c r="A386" s="84"/>
      <c r="G386" s="85"/>
      <c r="H386" s="85"/>
      <c r="I386" s="84"/>
      <c r="O386" s="85"/>
      <c r="P386" s="85"/>
      <c r="Q386" s="84"/>
      <c r="W386" s="85"/>
      <c r="X386" s="85"/>
      <c r="Y386" s="84"/>
      <c r="AE386" s="85"/>
      <c r="AF386" s="85"/>
      <c r="AG386" s="84"/>
      <c r="AM386" s="85"/>
      <c r="AN386" s="85"/>
      <c r="AO386" s="84"/>
      <c r="AU386" s="85"/>
      <c r="AV386" s="85"/>
      <c r="AW386" s="84"/>
      <c r="BC386" s="85"/>
      <c r="BD386" s="85"/>
      <c r="BE386" s="84"/>
      <c r="BK386" s="85"/>
      <c r="BL386" s="85"/>
      <c r="BM386" s="84"/>
      <c r="BS386" s="85"/>
      <c r="BT386" s="85"/>
    </row>
    <row r="387" spans="1:72">
      <c r="A387" s="84"/>
      <c r="G387" s="85"/>
      <c r="H387" s="85"/>
      <c r="I387" s="84"/>
      <c r="O387" s="85"/>
      <c r="P387" s="85"/>
      <c r="Q387" s="84"/>
      <c r="W387" s="85"/>
      <c r="X387" s="85"/>
      <c r="Y387" s="84"/>
      <c r="AE387" s="85"/>
      <c r="AF387" s="85"/>
      <c r="AG387" s="84"/>
      <c r="AM387" s="85"/>
      <c r="AN387" s="85"/>
      <c r="AO387" s="84"/>
      <c r="AU387" s="85"/>
      <c r="AV387" s="85"/>
      <c r="AW387" s="84"/>
      <c r="BC387" s="85"/>
      <c r="BD387" s="85"/>
      <c r="BE387" s="84"/>
      <c r="BK387" s="85"/>
      <c r="BL387" s="85"/>
      <c r="BM387" s="84"/>
      <c r="BS387" s="85"/>
      <c r="BT387" s="85"/>
    </row>
    <row r="388" spans="1:72">
      <c r="A388" s="84"/>
      <c r="G388" s="85"/>
      <c r="H388" s="85"/>
      <c r="I388" s="84"/>
      <c r="O388" s="85"/>
      <c r="P388" s="85"/>
      <c r="Q388" s="84"/>
      <c r="W388" s="85"/>
      <c r="X388" s="85"/>
      <c r="Y388" s="84"/>
      <c r="AE388" s="85"/>
      <c r="AF388" s="85"/>
      <c r="AG388" s="84"/>
      <c r="AM388" s="85"/>
      <c r="AN388" s="85"/>
      <c r="AO388" s="84"/>
      <c r="AU388" s="85"/>
      <c r="AV388" s="85"/>
      <c r="AW388" s="84"/>
      <c r="BC388" s="85"/>
      <c r="BD388" s="85"/>
      <c r="BE388" s="84"/>
      <c r="BK388" s="85"/>
      <c r="BL388" s="85"/>
      <c r="BM388" s="84"/>
      <c r="BS388" s="85"/>
      <c r="BT388" s="85"/>
    </row>
    <row r="389" spans="1:72">
      <c r="A389" s="84"/>
      <c r="G389" s="85"/>
      <c r="H389" s="85"/>
      <c r="I389" s="84"/>
      <c r="O389" s="85"/>
      <c r="P389" s="85"/>
      <c r="Q389" s="84"/>
      <c r="W389" s="85"/>
      <c r="X389" s="85"/>
      <c r="Y389" s="84"/>
      <c r="AE389" s="85"/>
      <c r="AF389" s="85"/>
      <c r="AG389" s="84"/>
      <c r="AM389" s="85"/>
      <c r="AN389" s="85"/>
      <c r="AO389" s="84"/>
      <c r="AU389" s="85"/>
      <c r="AV389" s="85"/>
      <c r="AW389" s="84"/>
      <c r="BC389" s="85"/>
      <c r="BD389" s="85"/>
      <c r="BE389" s="84"/>
      <c r="BK389" s="85"/>
      <c r="BL389" s="85"/>
      <c r="BM389" s="84"/>
      <c r="BS389" s="85"/>
      <c r="BT389" s="85"/>
    </row>
    <row r="390" spans="1:72">
      <c r="A390" s="84"/>
      <c r="G390" s="85"/>
      <c r="H390" s="85"/>
      <c r="I390" s="84"/>
      <c r="O390" s="85"/>
      <c r="P390" s="85"/>
      <c r="Q390" s="84"/>
      <c r="W390" s="85"/>
      <c r="X390" s="85"/>
      <c r="Y390" s="84"/>
      <c r="AE390" s="85"/>
      <c r="AF390" s="85"/>
      <c r="AG390" s="84"/>
      <c r="AM390" s="85"/>
      <c r="AN390" s="85"/>
      <c r="AO390" s="84"/>
      <c r="AU390" s="85"/>
      <c r="AV390" s="85"/>
      <c r="AW390" s="84"/>
      <c r="BC390" s="85"/>
      <c r="BD390" s="85"/>
      <c r="BE390" s="84"/>
      <c r="BK390" s="85"/>
      <c r="BL390" s="85"/>
      <c r="BM390" s="84"/>
      <c r="BS390" s="85"/>
      <c r="BT390" s="85"/>
    </row>
    <row r="391" spans="1:72">
      <c r="A391" s="84"/>
      <c r="G391" s="85"/>
      <c r="H391" s="85"/>
      <c r="I391" s="84"/>
      <c r="O391" s="85"/>
      <c r="P391" s="85"/>
      <c r="Q391" s="84"/>
      <c r="W391" s="85"/>
      <c r="X391" s="85"/>
      <c r="Y391" s="84"/>
      <c r="AE391" s="85"/>
      <c r="AF391" s="85"/>
      <c r="AG391" s="84"/>
      <c r="AM391" s="85"/>
      <c r="AN391" s="85"/>
      <c r="AO391" s="84"/>
      <c r="AU391" s="85"/>
      <c r="AV391" s="85"/>
      <c r="AW391" s="84"/>
      <c r="BC391" s="85"/>
      <c r="BD391" s="85"/>
      <c r="BE391" s="84"/>
      <c r="BK391" s="85"/>
      <c r="BL391" s="85"/>
      <c r="BM391" s="84"/>
      <c r="BS391" s="85"/>
      <c r="BT391" s="85"/>
    </row>
    <row r="392" spans="1:72">
      <c r="A392" s="84"/>
      <c r="G392" s="85"/>
      <c r="H392" s="85"/>
      <c r="I392" s="84"/>
      <c r="O392" s="85"/>
      <c r="P392" s="85"/>
      <c r="Q392" s="84"/>
      <c r="W392" s="85"/>
      <c r="X392" s="85"/>
      <c r="Y392" s="84"/>
      <c r="AE392" s="85"/>
      <c r="AF392" s="85"/>
      <c r="AG392" s="84"/>
      <c r="AM392" s="85"/>
      <c r="AN392" s="85"/>
      <c r="AO392" s="84"/>
      <c r="AU392" s="85"/>
      <c r="AV392" s="85"/>
      <c r="AW392" s="84"/>
      <c r="BC392" s="85"/>
      <c r="BD392" s="85"/>
      <c r="BE392" s="84"/>
      <c r="BK392" s="85"/>
      <c r="BL392" s="85"/>
      <c r="BM392" s="84"/>
      <c r="BS392" s="85"/>
      <c r="BT392" s="85"/>
    </row>
    <row r="393" spans="1:72">
      <c r="A393" s="84"/>
      <c r="G393" s="85"/>
      <c r="H393" s="85"/>
      <c r="I393" s="84"/>
      <c r="O393" s="85"/>
      <c r="P393" s="85"/>
      <c r="Q393" s="84"/>
      <c r="W393" s="85"/>
      <c r="X393" s="85"/>
      <c r="Y393" s="84"/>
      <c r="AE393" s="85"/>
      <c r="AF393" s="85"/>
      <c r="AG393" s="84"/>
      <c r="AM393" s="85"/>
      <c r="AN393" s="85"/>
      <c r="AO393" s="84"/>
      <c r="AU393" s="85"/>
      <c r="AV393" s="85"/>
      <c r="AW393" s="84"/>
      <c r="BC393" s="85"/>
      <c r="BD393" s="85"/>
      <c r="BE393" s="84"/>
      <c r="BK393" s="85"/>
      <c r="BL393" s="85"/>
      <c r="BM393" s="84"/>
      <c r="BS393" s="85"/>
      <c r="BT393" s="85"/>
    </row>
    <row r="394" spans="1:72">
      <c r="A394" s="84"/>
      <c r="G394" s="85"/>
      <c r="H394" s="85"/>
      <c r="I394" s="84"/>
      <c r="O394" s="85"/>
      <c r="P394" s="85"/>
      <c r="Q394" s="84"/>
      <c r="W394" s="85"/>
      <c r="X394" s="85"/>
      <c r="Y394" s="84"/>
      <c r="AE394" s="85"/>
      <c r="AF394" s="85"/>
      <c r="AG394" s="84"/>
      <c r="AM394" s="85"/>
      <c r="AN394" s="85"/>
      <c r="AO394" s="84"/>
      <c r="AU394" s="85"/>
      <c r="AV394" s="85"/>
      <c r="AW394" s="84"/>
      <c r="BC394" s="85"/>
      <c r="BD394" s="85"/>
      <c r="BE394" s="84"/>
      <c r="BK394" s="85"/>
      <c r="BL394" s="85"/>
      <c r="BM394" s="84"/>
      <c r="BS394" s="85"/>
      <c r="BT394" s="85"/>
    </row>
    <row r="395" spans="1:72">
      <c r="A395" s="84"/>
      <c r="G395" s="85"/>
      <c r="H395" s="85"/>
      <c r="I395" s="84"/>
      <c r="O395" s="85"/>
      <c r="P395" s="85"/>
      <c r="Q395" s="84"/>
      <c r="W395" s="85"/>
      <c r="X395" s="85"/>
      <c r="Y395" s="84"/>
      <c r="AE395" s="85"/>
      <c r="AF395" s="85"/>
      <c r="AG395" s="84"/>
      <c r="AM395" s="85"/>
      <c r="AN395" s="85"/>
      <c r="AO395" s="84"/>
      <c r="AU395" s="85"/>
      <c r="AV395" s="85"/>
      <c r="AW395" s="84"/>
      <c r="BC395" s="85"/>
      <c r="BD395" s="85"/>
      <c r="BE395" s="84"/>
      <c r="BK395" s="85"/>
      <c r="BL395" s="85"/>
      <c r="BM395" s="84"/>
      <c r="BS395" s="85"/>
      <c r="BT395" s="85"/>
    </row>
    <row r="396" spans="1:72">
      <c r="A396" s="84"/>
      <c r="G396" s="85"/>
      <c r="H396" s="85"/>
      <c r="I396" s="84"/>
      <c r="O396" s="85"/>
      <c r="P396" s="85"/>
      <c r="Q396" s="84"/>
      <c r="W396" s="85"/>
      <c r="X396" s="85"/>
      <c r="Y396" s="84"/>
      <c r="AE396" s="85"/>
      <c r="AF396" s="85"/>
      <c r="AG396" s="84"/>
      <c r="AM396" s="85"/>
      <c r="AN396" s="85"/>
      <c r="AO396" s="84"/>
      <c r="AU396" s="85"/>
      <c r="AV396" s="85"/>
      <c r="AW396" s="84"/>
      <c r="BC396" s="85"/>
      <c r="BD396" s="85"/>
      <c r="BE396" s="84"/>
      <c r="BK396" s="85"/>
      <c r="BL396" s="85"/>
      <c r="BM396" s="84"/>
      <c r="BS396" s="85"/>
      <c r="BT396" s="85"/>
    </row>
    <row r="397" spans="1:72">
      <c r="A397" s="84"/>
      <c r="G397" s="85"/>
      <c r="H397" s="85"/>
      <c r="I397" s="84"/>
      <c r="O397" s="85"/>
      <c r="P397" s="85"/>
      <c r="Q397" s="84"/>
      <c r="W397" s="85"/>
      <c r="X397" s="85"/>
      <c r="Y397" s="84"/>
      <c r="AE397" s="85"/>
      <c r="AF397" s="85"/>
      <c r="AG397" s="84"/>
      <c r="AM397" s="85"/>
      <c r="AN397" s="85"/>
      <c r="AO397" s="84"/>
      <c r="AU397" s="85"/>
      <c r="AV397" s="85"/>
      <c r="AW397" s="84"/>
      <c r="BC397" s="85"/>
      <c r="BD397" s="85"/>
      <c r="BE397" s="84"/>
      <c r="BK397" s="85"/>
      <c r="BL397" s="85"/>
      <c r="BM397" s="84"/>
      <c r="BS397" s="85"/>
      <c r="BT397" s="85"/>
    </row>
    <row r="398" spans="1:72">
      <c r="A398" s="84"/>
      <c r="G398" s="85"/>
      <c r="H398" s="85"/>
      <c r="I398" s="84"/>
      <c r="O398" s="85"/>
      <c r="P398" s="85"/>
      <c r="Q398" s="84"/>
      <c r="W398" s="85"/>
      <c r="X398" s="85"/>
      <c r="Y398" s="84"/>
      <c r="AE398" s="85"/>
      <c r="AF398" s="85"/>
      <c r="AG398" s="84"/>
      <c r="AM398" s="85"/>
      <c r="AN398" s="85"/>
      <c r="AO398" s="84"/>
      <c r="AU398" s="85"/>
      <c r="AV398" s="85"/>
      <c r="AW398" s="84"/>
      <c r="BC398" s="85"/>
      <c r="BD398" s="85"/>
      <c r="BE398" s="84"/>
      <c r="BK398" s="85"/>
      <c r="BL398" s="85"/>
      <c r="BM398" s="84"/>
      <c r="BS398" s="85"/>
      <c r="BT398" s="85"/>
    </row>
    <row r="399" spans="1:72">
      <c r="A399" s="84"/>
      <c r="G399" s="85"/>
      <c r="H399" s="85"/>
      <c r="I399" s="84"/>
      <c r="O399" s="85"/>
      <c r="P399" s="85"/>
      <c r="Q399" s="84"/>
      <c r="W399" s="85"/>
      <c r="X399" s="85"/>
      <c r="Y399" s="84"/>
      <c r="AE399" s="85"/>
      <c r="AF399" s="85"/>
      <c r="AG399" s="84"/>
      <c r="AM399" s="85"/>
      <c r="AN399" s="85"/>
      <c r="AO399" s="84"/>
      <c r="AU399" s="85"/>
      <c r="AV399" s="85"/>
      <c r="AW399" s="84"/>
      <c r="BC399" s="85"/>
      <c r="BD399" s="85"/>
      <c r="BE399" s="84"/>
      <c r="BK399" s="85"/>
      <c r="BL399" s="85"/>
      <c r="BM399" s="84"/>
      <c r="BS399" s="85"/>
      <c r="BT399" s="85"/>
    </row>
    <row r="400" spans="1:72">
      <c r="A400" s="84"/>
      <c r="G400" s="85"/>
      <c r="H400" s="85"/>
      <c r="I400" s="84"/>
      <c r="O400" s="85"/>
      <c r="P400" s="85"/>
      <c r="Q400" s="84"/>
      <c r="W400" s="85"/>
      <c r="X400" s="85"/>
      <c r="Y400" s="84"/>
      <c r="AE400" s="85"/>
      <c r="AF400" s="85"/>
      <c r="AG400" s="84"/>
      <c r="AM400" s="85"/>
      <c r="AN400" s="85"/>
      <c r="AO400" s="84"/>
      <c r="AU400" s="85"/>
      <c r="AV400" s="85"/>
      <c r="AW400" s="84"/>
      <c r="BC400" s="85"/>
      <c r="BD400" s="85"/>
      <c r="BE400" s="84"/>
      <c r="BK400" s="85"/>
      <c r="BL400" s="85"/>
      <c r="BM400" s="84"/>
      <c r="BS400" s="85"/>
      <c r="BT400" s="85"/>
    </row>
    <row r="401" spans="1:72">
      <c r="A401" s="84"/>
      <c r="G401" s="85"/>
      <c r="H401" s="85"/>
      <c r="I401" s="84"/>
      <c r="O401" s="85"/>
      <c r="P401" s="85"/>
      <c r="Q401" s="84"/>
      <c r="W401" s="85"/>
      <c r="X401" s="85"/>
      <c r="Y401" s="84"/>
      <c r="AE401" s="85"/>
      <c r="AF401" s="85"/>
      <c r="AG401" s="84"/>
      <c r="AM401" s="85"/>
      <c r="AN401" s="85"/>
      <c r="AO401" s="84"/>
      <c r="AU401" s="85"/>
      <c r="AV401" s="85"/>
      <c r="AW401" s="84"/>
      <c r="BC401" s="85"/>
      <c r="BD401" s="85"/>
      <c r="BE401" s="84"/>
      <c r="BK401" s="85"/>
      <c r="BL401" s="85"/>
      <c r="BM401" s="84"/>
      <c r="BS401" s="85"/>
      <c r="BT401" s="85"/>
    </row>
    <row r="402" spans="1:72">
      <c r="A402" s="84"/>
      <c r="G402" s="85"/>
      <c r="H402" s="85"/>
      <c r="I402" s="84"/>
      <c r="O402" s="85"/>
      <c r="P402" s="85"/>
      <c r="Q402" s="84"/>
      <c r="W402" s="85"/>
      <c r="X402" s="85"/>
      <c r="Y402" s="84"/>
      <c r="AE402" s="85"/>
      <c r="AF402" s="85"/>
      <c r="AG402" s="84"/>
      <c r="AM402" s="85"/>
      <c r="AN402" s="85"/>
      <c r="AO402" s="84"/>
      <c r="AU402" s="85"/>
      <c r="AV402" s="85"/>
      <c r="AW402" s="84"/>
      <c r="BC402" s="85"/>
      <c r="BD402" s="85"/>
      <c r="BE402" s="84"/>
      <c r="BK402" s="85"/>
      <c r="BL402" s="85"/>
      <c r="BM402" s="84"/>
      <c r="BS402" s="85"/>
      <c r="BT402" s="85"/>
    </row>
    <row r="403" spans="1:72">
      <c r="A403" s="84"/>
      <c r="G403" s="85"/>
      <c r="H403" s="85"/>
      <c r="I403" s="84"/>
      <c r="O403" s="85"/>
      <c r="P403" s="85"/>
      <c r="Q403" s="84"/>
      <c r="W403" s="85"/>
      <c r="X403" s="85"/>
      <c r="Y403" s="84"/>
      <c r="AE403" s="85"/>
      <c r="AF403" s="85"/>
      <c r="AG403" s="84"/>
      <c r="AM403" s="85"/>
      <c r="AN403" s="85"/>
      <c r="AO403" s="84"/>
      <c r="AU403" s="85"/>
      <c r="AV403" s="85"/>
      <c r="AW403" s="84"/>
      <c r="BC403" s="85"/>
      <c r="BD403" s="85"/>
      <c r="BE403" s="84"/>
      <c r="BK403" s="85"/>
      <c r="BL403" s="85"/>
      <c r="BM403" s="84"/>
      <c r="BS403" s="85"/>
      <c r="BT403" s="85"/>
    </row>
    <row r="404" spans="1:72">
      <c r="A404" s="84"/>
      <c r="G404" s="85"/>
      <c r="H404" s="85"/>
      <c r="I404" s="84"/>
      <c r="O404" s="85"/>
      <c r="P404" s="85"/>
      <c r="Q404" s="84"/>
      <c r="W404" s="85"/>
      <c r="X404" s="85"/>
      <c r="Y404" s="84"/>
      <c r="AE404" s="85"/>
      <c r="AF404" s="85"/>
      <c r="AG404" s="84"/>
      <c r="AM404" s="85"/>
      <c r="AN404" s="85"/>
      <c r="AO404" s="84"/>
      <c r="AU404" s="85"/>
      <c r="AV404" s="85"/>
      <c r="AW404" s="84"/>
      <c r="BC404" s="85"/>
      <c r="BD404" s="85"/>
      <c r="BE404" s="84"/>
      <c r="BK404" s="85"/>
      <c r="BL404" s="85"/>
      <c r="BM404" s="84"/>
      <c r="BS404" s="85"/>
      <c r="BT404" s="85"/>
    </row>
    <row r="405" spans="1:72">
      <c r="A405" s="84"/>
      <c r="G405" s="85"/>
      <c r="H405" s="85"/>
      <c r="I405" s="84"/>
      <c r="O405" s="85"/>
      <c r="P405" s="85"/>
      <c r="Q405" s="84"/>
      <c r="W405" s="85"/>
      <c r="X405" s="85"/>
      <c r="Y405" s="84"/>
      <c r="AE405" s="85"/>
      <c r="AF405" s="85"/>
      <c r="AG405" s="84"/>
      <c r="AM405" s="85"/>
      <c r="AN405" s="85"/>
      <c r="AO405" s="84"/>
      <c r="AU405" s="85"/>
      <c r="AV405" s="85"/>
      <c r="AW405" s="84"/>
      <c r="BC405" s="85"/>
      <c r="BD405" s="85"/>
      <c r="BE405" s="84"/>
      <c r="BK405" s="85"/>
      <c r="BL405" s="85"/>
      <c r="BM405" s="84"/>
      <c r="BS405" s="85"/>
      <c r="BT405" s="85"/>
    </row>
    <row r="406" spans="1:72">
      <c r="A406" s="84"/>
      <c r="G406" s="85"/>
      <c r="H406" s="85"/>
      <c r="I406" s="84"/>
      <c r="O406" s="85"/>
      <c r="P406" s="85"/>
      <c r="Q406" s="84"/>
      <c r="W406" s="85"/>
      <c r="X406" s="85"/>
      <c r="Y406" s="84"/>
      <c r="AE406" s="85"/>
      <c r="AF406" s="85"/>
      <c r="AG406" s="84"/>
      <c r="AM406" s="85"/>
      <c r="AN406" s="85"/>
      <c r="AO406" s="84"/>
      <c r="AU406" s="85"/>
      <c r="AV406" s="85"/>
      <c r="AW406" s="84"/>
      <c r="BC406" s="85"/>
      <c r="BD406" s="85"/>
      <c r="BE406" s="84"/>
      <c r="BK406" s="85"/>
      <c r="BL406" s="85"/>
      <c r="BM406" s="84"/>
      <c r="BS406" s="85"/>
      <c r="BT406" s="85"/>
    </row>
    <row r="407" spans="1:72">
      <c r="A407" s="84"/>
      <c r="G407" s="85"/>
      <c r="H407" s="85"/>
      <c r="I407" s="84"/>
      <c r="O407" s="85"/>
      <c r="P407" s="85"/>
      <c r="Q407" s="84"/>
      <c r="W407" s="85"/>
      <c r="X407" s="85"/>
      <c r="Y407" s="84"/>
      <c r="AE407" s="85"/>
      <c r="AF407" s="85"/>
      <c r="AG407" s="84"/>
      <c r="AM407" s="85"/>
      <c r="AN407" s="85"/>
      <c r="AO407" s="84"/>
      <c r="AU407" s="85"/>
      <c r="AV407" s="85"/>
      <c r="AW407" s="84"/>
      <c r="BC407" s="85"/>
      <c r="BD407" s="85"/>
      <c r="BE407" s="84"/>
      <c r="BK407" s="85"/>
      <c r="BL407" s="85"/>
      <c r="BM407" s="84"/>
      <c r="BS407" s="85"/>
      <c r="BT407" s="85"/>
    </row>
    <row r="408" spans="1:72">
      <c r="A408" s="84"/>
      <c r="G408" s="85"/>
      <c r="H408" s="85"/>
      <c r="I408" s="84"/>
      <c r="O408" s="85"/>
      <c r="P408" s="85"/>
      <c r="Q408" s="84"/>
      <c r="W408" s="85"/>
      <c r="X408" s="85"/>
      <c r="Y408" s="84"/>
      <c r="AE408" s="85"/>
      <c r="AF408" s="85"/>
      <c r="AG408" s="84"/>
      <c r="AM408" s="85"/>
      <c r="AN408" s="85"/>
      <c r="AO408" s="84"/>
      <c r="AU408" s="85"/>
      <c r="AV408" s="85"/>
      <c r="AW408" s="84"/>
      <c r="BC408" s="85"/>
      <c r="BD408" s="85"/>
      <c r="BE408" s="84"/>
      <c r="BK408" s="85"/>
      <c r="BL408" s="85"/>
      <c r="BM408" s="84"/>
      <c r="BS408" s="85"/>
      <c r="BT408" s="85"/>
    </row>
    <row r="409" spans="1:72">
      <c r="A409" s="84"/>
      <c r="G409" s="85"/>
      <c r="H409" s="85"/>
      <c r="I409" s="84"/>
      <c r="O409" s="85"/>
      <c r="P409" s="85"/>
      <c r="Q409" s="84"/>
      <c r="W409" s="85"/>
      <c r="X409" s="85"/>
      <c r="Y409" s="84"/>
      <c r="AE409" s="85"/>
      <c r="AF409" s="85"/>
      <c r="AG409" s="84"/>
      <c r="AM409" s="85"/>
      <c r="AN409" s="85"/>
      <c r="AO409" s="84"/>
      <c r="AU409" s="85"/>
      <c r="AV409" s="85"/>
      <c r="AW409" s="84"/>
      <c r="BC409" s="85"/>
      <c r="BD409" s="85"/>
      <c r="BE409" s="84"/>
      <c r="BK409" s="85"/>
      <c r="BL409" s="85"/>
      <c r="BM409" s="84"/>
      <c r="BS409" s="85"/>
      <c r="BT409" s="85"/>
    </row>
    <row r="410" spans="1:72">
      <c r="A410" s="84"/>
      <c r="G410" s="85"/>
      <c r="H410" s="85"/>
      <c r="I410" s="84"/>
      <c r="O410" s="85"/>
      <c r="P410" s="85"/>
      <c r="Q410" s="84"/>
      <c r="W410" s="85"/>
      <c r="X410" s="85"/>
      <c r="Y410" s="84"/>
      <c r="AE410" s="85"/>
      <c r="AF410" s="85"/>
      <c r="AG410" s="84"/>
      <c r="AM410" s="85"/>
      <c r="AN410" s="85"/>
      <c r="AO410" s="84"/>
      <c r="AU410" s="85"/>
      <c r="AV410" s="85"/>
      <c r="AW410" s="84"/>
      <c r="BC410" s="85"/>
      <c r="BD410" s="85"/>
      <c r="BE410" s="84"/>
      <c r="BK410" s="85"/>
      <c r="BL410" s="85"/>
      <c r="BM410" s="84"/>
      <c r="BS410" s="85"/>
      <c r="BT410" s="85"/>
    </row>
    <row r="411" spans="1:72">
      <c r="A411" s="84"/>
      <c r="G411" s="85"/>
      <c r="H411" s="85"/>
      <c r="I411" s="84"/>
      <c r="O411" s="85"/>
      <c r="P411" s="85"/>
      <c r="Q411" s="84"/>
      <c r="W411" s="85"/>
      <c r="X411" s="85"/>
      <c r="Y411" s="84"/>
      <c r="AE411" s="85"/>
      <c r="AF411" s="85"/>
      <c r="AG411" s="84"/>
      <c r="AM411" s="85"/>
      <c r="AN411" s="85"/>
      <c r="AO411" s="84"/>
      <c r="AU411" s="85"/>
      <c r="AV411" s="85"/>
      <c r="AW411" s="84"/>
      <c r="BC411" s="85"/>
      <c r="BD411" s="85"/>
      <c r="BE411" s="84"/>
      <c r="BK411" s="85"/>
      <c r="BL411" s="85"/>
      <c r="BM411" s="84"/>
      <c r="BS411" s="85"/>
      <c r="BT411" s="85"/>
    </row>
    <row r="412" spans="1:72">
      <c r="A412" s="84"/>
      <c r="G412" s="85"/>
      <c r="H412" s="85"/>
      <c r="I412" s="84"/>
      <c r="O412" s="85"/>
      <c r="P412" s="85"/>
      <c r="Q412" s="84"/>
      <c r="W412" s="85"/>
      <c r="X412" s="85"/>
      <c r="Y412" s="84"/>
      <c r="AE412" s="85"/>
      <c r="AF412" s="85"/>
      <c r="AG412" s="84"/>
      <c r="AM412" s="85"/>
      <c r="AN412" s="85"/>
      <c r="AO412" s="84"/>
      <c r="AU412" s="85"/>
      <c r="AV412" s="85"/>
      <c r="AW412" s="84"/>
      <c r="BC412" s="85"/>
      <c r="BD412" s="85"/>
      <c r="BE412" s="84"/>
      <c r="BK412" s="85"/>
      <c r="BL412" s="85"/>
      <c r="BM412" s="84"/>
      <c r="BS412" s="85"/>
      <c r="BT412" s="85"/>
    </row>
    <row r="413" spans="1:72">
      <c r="A413" s="84"/>
      <c r="G413" s="85"/>
      <c r="H413" s="85"/>
      <c r="I413" s="84"/>
      <c r="O413" s="85"/>
      <c r="P413" s="85"/>
      <c r="Q413" s="84"/>
      <c r="W413" s="85"/>
      <c r="X413" s="85"/>
      <c r="Y413" s="84"/>
      <c r="AE413" s="85"/>
      <c r="AF413" s="85"/>
      <c r="AG413" s="84"/>
      <c r="AM413" s="85"/>
      <c r="AN413" s="85"/>
      <c r="AO413" s="84"/>
      <c r="AU413" s="85"/>
      <c r="AV413" s="85"/>
      <c r="AW413" s="84"/>
      <c r="BC413" s="85"/>
      <c r="BD413" s="85"/>
      <c r="BE413" s="84"/>
      <c r="BK413" s="85"/>
      <c r="BL413" s="85"/>
      <c r="BM413" s="84"/>
      <c r="BS413" s="85"/>
      <c r="BT413" s="85"/>
    </row>
    <row r="414" spans="1:72">
      <c r="A414" s="84"/>
      <c r="G414" s="85"/>
      <c r="H414" s="85"/>
      <c r="I414" s="84"/>
      <c r="O414" s="85"/>
      <c r="P414" s="85"/>
      <c r="Q414" s="84"/>
      <c r="W414" s="85"/>
      <c r="X414" s="85"/>
      <c r="Y414" s="84"/>
      <c r="AE414" s="85"/>
      <c r="AF414" s="85"/>
      <c r="AG414" s="84"/>
      <c r="AM414" s="85"/>
      <c r="AN414" s="85"/>
      <c r="AO414" s="84"/>
      <c r="AU414" s="85"/>
      <c r="AV414" s="85"/>
      <c r="AW414" s="84"/>
      <c r="BC414" s="85"/>
      <c r="BD414" s="85"/>
      <c r="BE414" s="84"/>
      <c r="BK414" s="85"/>
      <c r="BL414" s="85"/>
      <c r="BM414" s="84"/>
      <c r="BS414" s="85"/>
      <c r="BT414" s="85"/>
    </row>
    <row r="415" spans="1:72">
      <c r="A415" s="84"/>
      <c r="G415" s="85"/>
      <c r="H415" s="85"/>
      <c r="I415" s="84"/>
      <c r="O415" s="85"/>
      <c r="P415" s="85"/>
      <c r="Q415" s="84"/>
      <c r="W415" s="85"/>
      <c r="X415" s="85"/>
      <c r="Y415" s="84"/>
      <c r="AE415" s="85"/>
      <c r="AF415" s="85"/>
      <c r="AG415" s="84"/>
      <c r="AM415" s="85"/>
      <c r="AN415" s="85"/>
      <c r="AO415" s="84"/>
      <c r="AU415" s="85"/>
      <c r="AV415" s="85"/>
      <c r="AW415" s="84"/>
      <c r="BC415" s="85"/>
      <c r="BD415" s="85"/>
      <c r="BE415" s="84"/>
      <c r="BK415" s="85"/>
      <c r="BL415" s="85"/>
      <c r="BM415" s="84"/>
      <c r="BS415" s="85"/>
      <c r="BT415" s="85"/>
    </row>
    <row r="416" spans="1:72">
      <c r="A416" s="84"/>
      <c r="G416" s="85"/>
      <c r="H416" s="85"/>
      <c r="I416" s="84"/>
      <c r="O416" s="85"/>
      <c r="P416" s="85"/>
      <c r="Q416" s="84"/>
      <c r="W416" s="85"/>
      <c r="X416" s="85"/>
      <c r="Y416" s="84"/>
      <c r="AE416" s="85"/>
      <c r="AF416" s="85"/>
      <c r="AG416" s="84"/>
      <c r="AM416" s="85"/>
      <c r="AN416" s="85"/>
      <c r="AO416" s="84"/>
      <c r="AU416" s="85"/>
      <c r="AV416" s="85"/>
      <c r="AW416" s="84"/>
      <c r="BC416" s="85"/>
      <c r="BD416" s="85"/>
      <c r="BE416" s="84"/>
      <c r="BK416" s="85"/>
      <c r="BL416" s="85"/>
      <c r="BM416" s="84"/>
      <c r="BS416" s="85"/>
      <c r="BT416" s="85"/>
    </row>
    <row r="417" spans="1:72">
      <c r="A417" s="84"/>
      <c r="G417" s="85"/>
      <c r="H417" s="85"/>
      <c r="I417" s="84"/>
      <c r="O417" s="85"/>
      <c r="P417" s="85"/>
      <c r="Q417" s="84"/>
      <c r="W417" s="85"/>
      <c r="X417" s="85"/>
      <c r="Y417" s="84"/>
      <c r="AE417" s="85"/>
      <c r="AF417" s="85"/>
      <c r="AG417" s="84"/>
      <c r="AM417" s="85"/>
      <c r="AN417" s="85"/>
      <c r="AO417" s="84"/>
      <c r="AU417" s="85"/>
      <c r="AV417" s="85"/>
      <c r="AW417" s="84"/>
      <c r="BC417" s="85"/>
      <c r="BD417" s="85"/>
      <c r="BE417" s="84"/>
      <c r="BK417" s="85"/>
      <c r="BL417" s="85"/>
      <c r="BM417" s="84"/>
      <c r="BS417" s="85"/>
      <c r="BT417" s="85"/>
    </row>
    <row r="418" spans="1:72">
      <c r="A418" s="84"/>
      <c r="G418" s="85"/>
      <c r="H418" s="85"/>
      <c r="I418" s="84"/>
      <c r="O418" s="85"/>
      <c r="P418" s="85"/>
      <c r="Q418" s="84"/>
      <c r="W418" s="85"/>
      <c r="X418" s="85"/>
      <c r="Y418" s="84"/>
      <c r="AE418" s="85"/>
      <c r="AF418" s="85"/>
      <c r="AG418" s="84"/>
      <c r="AM418" s="85"/>
      <c r="AN418" s="85"/>
      <c r="AO418" s="84"/>
      <c r="AU418" s="85"/>
      <c r="AV418" s="85"/>
      <c r="AW418" s="84"/>
      <c r="BC418" s="85"/>
      <c r="BD418" s="85"/>
      <c r="BE418" s="84"/>
      <c r="BK418" s="85"/>
      <c r="BL418" s="85"/>
      <c r="BM418" s="84"/>
      <c r="BS418" s="85"/>
      <c r="BT418" s="85"/>
    </row>
    <row r="419" spans="1:72">
      <c r="A419" s="84"/>
      <c r="G419" s="85"/>
      <c r="H419" s="85"/>
      <c r="I419" s="84"/>
      <c r="O419" s="85"/>
      <c r="P419" s="85"/>
      <c r="Q419" s="84"/>
      <c r="W419" s="85"/>
      <c r="X419" s="85"/>
      <c r="Y419" s="84"/>
      <c r="AE419" s="85"/>
      <c r="AF419" s="85"/>
      <c r="AG419" s="84"/>
      <c r="AM419" s="85"/>
      <c r="AN419" s="85"/>
      <c r="AO419" s="84"/>
      <c r="AU419" s="85"/>
      <c r="AV419" s="85"/>
      <c r="AW419" s="84"/>
      <c r="BC419" s="85"/>
      <c r="BD419" s="85"/>
      <c r="BE419" s="84"/>
      <c r="BK419" s="85"/>
      <c r="BL419" s="85"/>
      <c r="BM419" s="84"/>
      <c r="BS419" s="85"/>
      <c r="BT419" s="85"/>
    </row>
    <row r="420" spans="1:72">
      <c r="A420" s="84"/>
      <c r="G420" s="85"/>
      <c r="H420" s="85"/>
      <c r="I420" s="84"/>
      <c r="O420" s="85"/>
      <c r="P420" s="85"/>
      <c r="Q420" s="84"/>
      <c r="W420" s="85"/>
      <c r="X420" s="85"/>
      <c r="Y420" s="84"/>
      <c r="AE420" s="85"/>
      <c r="AF420" s="85"/>
      <c r="AG420" s="84"/>
      <c r="AM420" s="85"/>
      <c r="AN420" s="85"/>
      <c r="AO420" s="84"/>
      <c r="AU420" s="85"/>
      <c r="AV420" s="85"/>
      <c r="AW420" s="84"/>
      <c r="BC420" s="85"/>
      <c r="BD420" s="85"/>
      <c r="BE420" s="84"/>
      <c r="BK420" s="85"/>
      <c r="BL420" s="85"/>
      <c r="BM420" s="84"/>
      <c r="BS420" s="85"/>
      <c r="BT420" s="85"/>
    </row>
    <row r="421" spans="1:72">
      <c r="A421" s="84"/>
      <c r="G421" s="85"/>
      <c r="H421" s="85"/>
      <c r="I421" s="84"/>
      <c r="O421" s="85"/>
      <c r="P421" s="85"/>
      <c r="Q421" s="84"/>
      <c r="W421" s="85"/>
      <c r="X421" s="85"/>
      <c r="Y421" s="84"/>
      <c r="AE421" s="85"/>
      <c r="AF421" s="85"/>
      <c r="AG421" s="84"/>
      <c r="AM421" s="85"/>
      <c r="AN421" s="85"/>
      <c r="AO421" s="84"/>
      <c r="AU421" s="85"/>
      <c r="AV421" s="85"/>
      <c r="AW421" s="84"/>
      <c r="BC421" s="85"/>
      <c r="BD421" s="85"/>
      <c r="BE421" s="84"/>
      <c r="BK421" s="85"/>
      <c r="BL421" s="85"/>
      <c r="BM421" s="84"/>
      <c r="BS421" s="85"/>
      <c r="BT421" s="85"/>
    </row>
    <row r="422" spans="1:72">
      <c r="A422" s="84"/>
      <c r="G422" s="85"/>
      <c r="H422" s="85"/>
      <c r="I422" s="84"/>
      <c r="O422" s="85"/>
      <c r="P422" s="85"/>
      <c r="Q422" s="84"/>
      <c r="W422" s="85"/>
      <c r="X422" s="85"/>
      <c r="Y422" s="84"/>
      <c r="AE422" s="85"/>
      <c r="AF422" s="85"/>
      <c r="AG422" s="84"/>
      <c r="AM422" s="85"/>
      <c r="AN422" s="85"/>
      <c r="AO422" s="84"/>
      <c r="AU422" s="85"/>
      <c r="AV422" s="85"/>
      <c r="AW422" s="84"/>
      <c r="BC422" s="85"/>
      <c r="BD422" s="85"/>
      <c r="BE422" s="84"/>
      <c r="BK422" s="85"/>
      <c r="BL422" s="85"/>
      <c r="BM422" s="84"/>
      <c r="BS422" s="85"/>
      <c r="BT422" s="85"/>
    </row>
    <row r="423" spans="1:72">
      <c r="A423" s="84"/>
      <c r="G423" s="85"/>
      <c r="H423" s="85"/>
      <c r="I423" s="84"/>
      <c r="O423" s="85"/>
      <c r="P423" s="85"/>
      <c r="Q423" s="84"/>
      <c r="W423" s="85"/>
      <c r="X423" s="85"/>
      <c r="Y423" s="84"/>
      <c r="AE423" s="85"/>
      <c r="AF423" s="85"/>
      <c r="AG423" s="84"/>
      <c r="AM423" s="85"/>
      <c r="AN423" s="85"/>
      <c r="AO423" s="84"/>
      <c r="AU423" s="85"/>
      <c r="AV423" s="85"/>
      <c r="AW423" s="84"/>
      <c r="BC423" s="85"/>
      <c r="BD423" s="85"/>
      <c r="BE423" s="84"/>
      <c r="BK423" s="85"/>
      <c r="BL423" s="85"/>
      <c r="BM423" s="84"/>
      <c r="BS423" s="85"/>
      <c r="BT423" s="85"/>
    </row>
    <row r="424" spans="1:72">
      <c r="A424" s="84"/>
      <c r="G424" s="85"/>
      <c r="H424" s="85"/>
      <c r="I424" s="84"/>
      <c r="O424" s="85"/>
      <c r="P424" s="85"/>
      <c r="Q424" s="84"/>
      <c r="W424" s="85"/>
      <c r="X424" s="85"/>
      <c r="Y424" s="84"/>
      <c r="AE424" s="85"/>
      <c r="AF424" s="85"/>
      <c r="AG424" s="84"/>
      <c r="AM424" s="85"/>
      <c r="AN424" s="85"/>
      <c r="AO424" s="84"/>
      <c r="AU424" s="85"/>
      <c r="AV424" s="85"/>
      <c r="AW424" s="84"/>
      <c r="BC424" s="85"/>
      <c r="BD424" s="85"/>
      <c r="BE424" s="84"/>
      <c r="BK424" s="85"/>
      <c r="BL424" s="85"/>
      <c r="BM424" s="84"/>
      <c r="BS424" s="85"/>
      <c r="BT424" s="85"/>
    </row>
    <row r="425" spans="1:72">
      <c r="A425" s="84"/>
      <c r="G425" s="85"/>
      <c r="H425" s="85"/>
      <c r="I425" s="84"/>
      <c r="O425" s="85"/>
      <c r="P425" s="85"/>
      <c r="Q425" s="84"/>
      <c r="W425" s="85"/>
      <c r="X425" s="85"/>
      <c r="Y425" s="84"/>
      <c r="AE425" s="85"/>
      <c r="AF425" s="85"/>
      <c r="AG425" s="84"/>
      <c r="AM425" s="85"/>
      <c r="AN425" s="85"/>
      <c r="AO425" s="84"/>
      <c r="AU425" s="85"/>
      <c r="AV425" s="85"/>
      <c r="AW425" s="84"/>
      <c r="BC425" s="85"/>
      <c r="BD425" s="85"/>
      <c r="BE425" s="84"/>
      <c r="BK425" s="85"/>
      <c r="BL425" s="85"/>
      <c r="BM425" s="84"/>
      <c r="BS425" s="85"/>
      <c r="BT425" s="85"/>
    </row>
    <row r="426" spans="1:72">
      <c r="A426" s="84"/>
      <c r="G426" s="85"/>
      <c r="H426" s="85"/>
      <c r="I426" s="84"/>
      <c r="O426" s="85"/>
      <c r="P426" s="85"/>
      <c r="Q426" s="84"/>
      <c r="W426" s="85"/>
      <c r="X426" s="85"/>
      <c r="Y426" s="84"/>
      <c r="AE426" s="85"/>
      <c r="AF426" s="85"/>
      <c r="AG426" s="84"/>
      <c r="AM426" s="85"/>
      <c r="AN426" s="85"/>
      <c r="AO426" s="84"/>
      <c r="AU426" s="85"/>
      <c r="AV426" s="85"/>
      <c r="AW426" s="84"/>
      <c r="BC426" s="85"/>
      <c r="BD426" s="85"/>
      <c r="BE426" s="84"/>
      <c r="BK426" s="85"/>
      <c r="BL426" s="85"/>
      <c r="BM426" s="84"/>
      <c r="BS426" s="85"/>
      <c r="BT426" s="85"/>
    </row>
    <row r="427" spans="1:72">
      <c r="A427" s="84"/>
      <c r="G427" s="85"/>
      <c r="H427" s="85"/>
      <c r="I427" s="84"/>
      <c r="O427" s="85"/>
      <c r="P427" s="85"/>
      <c r="Q427" s="84"/>
      <c r="W427" s="85"/>
      <c r="X427" s="85"/>
      <c r="Y427" s="84"/>
      <c r="AE427" s="85"/>
      <c r="AF427" s="85"/>
      <c r="AG427" s="84"/>
      <c r="AM427" s="85"/>
      <c r="AN427" s="85"/>
      <c r="AO427" s="84"/>
      <c r="AU427" s="85"/>
      <c r="AV427" s="85"/>
      <c r="AW427" s="84"/>
      <c r="BC427" s="85"/>
      <c r="BD427" s="85"/>
      <c r="BE427" s="84"/>
      <c r="BK427" s="85"/>
      <c r="BL427" s="85"/>
      <c r="BM427" s="84"/>
      <c r="BS427" s="85"/>
      <c r="BT427" s="85"/>
    </row>
    <row r="428" spans="1:72">
      <c r="A428" s="84"/>
      <c r="G428" s="85"/>
      <c r="H428" s="85"/>
      <c r="I428" s="84"/>
      <c r="O428" s="85"/>
      <c r="P428" s="85"/>
      <c r="Q428" s="84"/>
      <c r="W428" s="85"/>
      <c r="X428" s="85"/>
      <c r="Y428" s="84"/>
      <c r="AE428" s="85"/>
      <c r="AF428" s="85"/>
      <c r="AG428" s="84"/>
      <c r="AM428" s="85"/>
      <c r="AN428" s="85"/>
      <c r="AO428" s="84"/>
      <c r="AU428" s="85"/>
      <c r="AV428" s="85"/>
      <c r="AW428" s="84"/>
      <c r="BC428" s="85"/>
      <c r="BD428" s="85"/>
      <c r="BE428" s="84"/>
      <c r="BK428" s="85"/>
      <c r="BL428" s="85"/>
      <c r="BM428" s="84"/>
      <c r="BS428" s="85"/>
      <c r="BT428" s="85"/>
    </row>
    <row r="429" spans="1:72">
      <c r="A429" s="84"/>
      <c r="G429" s="85"/>
      <c r="H429" s="85"/>
      <c r="I429" s="84"/>
      <c r="O429" s="85"/>
      <c r="P429" s="85"/>
      <c r="Q429" s="84"/>
      <c r="W429" s="85"/>
      <c r="X429" s="85"/>
      <c r="Y429" s="84"/>
      <c r="AE429" s="85"/>
      <c r="AF429" s="85"/>
      <c r="AG429" s="84"/>
      <c r="AM429" s="85"/>
      <c r="AN429" s="85"/>
      <c r="AO429" s="84"/>
      <c r="AU429" s="85"/>
      <c r="AV429" s="85"/>
      <c r="AW429" s="84"/>
      <c r="BC429" s="85"/>
      <c r="BD429" s="85"/>
      <c r="BE429" s="84"/>
      <c r="BK429" s="85"/>
      <c r="BL429" s="85"/>
      <c r="BM429" s="84"/>
      <c r="BS429" s="85"/>
      <c r="BT429" s="85"/>
    </row>
    <row r="430" spans="1:72">
      <c r="A430" s="84"/>
      <c r="G430" s="85"/>
      <c r="H430" s="85"/>
      <c r="I430" s="84"/>
      <c r="O430" s="85"/>
      <c r="P430" s="85"/>
      <c r="Q430" s="84"/>
      <c r="W430" s="85"/>
      <c r="X430" s="85"/>
      <c r="Y430" s="84"/>
      <c r="AE430" s="85"/>
      <c r="AF430" s="85"/>
      <c r="AG430" s="84"/>
      <c r="AM430" s="85"/>
      <c r="AN430" s="85"/>
      <c r="AO430" s="84"/>
      <c r="AU430" s="85"/>
      <c r="AV430" s="85"/>
      <c r="AW430" s="84"/>
      <c r="BC430" s="85"/>
      <c r="BD430" s="85"/>
      <c r="BE430" s="84"/>
      <c r="BK430" s="85"/>
      <c r="BL430" s="85"/>
      <c r="BM430" s="84"/>
      <c r="BS430" s="85"/>
      <c r="BT430" s="85"/>
    </row>
    <row r="431" spans="1:72">
      <c r="A431" s="84"/>
      <c r="G431" s="85"/>
      <c r="H431" s="85"/>
      <c r="I431" s="84"/>
      <c r="O431" s="85"/>
      <c r="P431" s="85"/>
      <c r="Q431" s="84"/>
      <c r="W431" s="85"/>
      <c r="X431" s="85"/>
      <c r="Y431" s="84"/>
      <c r="AE431" s="85"/>
      <c r="AF431" s="85"/>
      <c r="AG431" s="84"/>
      <c r="AM431" s="85"/>
      <c r="AN431" s="85"/>
      <c r="AO431" s="84"/>
      <c r="AU431" s="85"/>
      <c r="AV431" s="85"/>
      <c r="AW431" s="84"/>
      <c r="BC431" s="85"/>
      <c r="BD431" s="85"/>
      <c r="BE431" s="84"/>
      <c r="BK431" s="85"/>
      <c r="BL431" s="85"/>
      <c r="BM431" s="84"/>
      <c r="BS431" s="85"/>
      <c r="BT431" s="85"/>
    </row>
    <row r="432" spans="1:72">
      <c r="A432" s="84"/>
      <c r="G432" s="85"/>
      <c r="H432" s="85"/>
      <c r="I432" s="84"/>
      <c r="O432" s="85"/>
      <c r="P432" s="85"/>
      <c r="Q432" s="84"/>
      <c r="W432" s="85"/>
      <c r="X432" s="85"/>
      <c r="Y432" s="84"/>
      <c r="AE432" s="85"/>
      <c r="AF432" s="85"/>
      <c r="AG432" s="84"/>
      <c r="AM432" s="85"/>
      <c r="AN432" s="85"/>
      <c r="AO432" s="84"/>
      <c r="AU432" s="85"/>
      <c r="AV432" s="85"/>
      <c r="AW432" s="84"/>
      <c r="BC432" s="85"/>
      <c r="BD432" s="85"/>
      <c r="BE432" s="84"/>
      <c r="BK432" s="85"/>
      <c r="BL432" s="85"/>
      <c r="BM432" s="84"/>
      <c r="BS432" s="85"/>
      <c r="BT432" s="85"/>
    </row>
    <row r="433" spans="1:72">
      <c r="A433" s="84"/>
      <c r="G433" s="85"/>
      <c r="H433" s="85"/>
      <c r="I433" s="84"/>
      <c r="O433" s="85"/>
      <c r="P433" s="85"/>
      <c r="Q433" s="84"/>
      <c r="W433" s="85"/>
      <c r="X433" s="85"/>
      <c r="Y433" s="84"/>
      <c r="AE433" s="85"/>
      <c r="AF433" s="85"/>
      <c r="AG433" s="84"/>
      <c r="AM433" s="85"/>
      <c r="AN433" s="85"/>
      <c r="AO433" s="84"/>
      <c r="AU433" s="85"/>
      <c r="AV433" s="85"/>
      <c r="AW433" s="84"/>
      <c r="BC433" s="85"/>
      <c r="BD433" s="85"/>
      <c r="BE433" s="84"/>
      <c r="BK433" s="85"/>
      <c r="BL433" s="85"/>
      <c r="BM433" s="84"/>
      <c r="BS433" s="85"/>
      <c r="BT433" s="85"/>
    </row>
    <row r="434" spans="1:72">
      <c r="A434" s="84"/>
      <c r="G434" s="85"/>
      <c r="H434" s="85"/>
      <c r="I434" s="84"/>
      <c r="O434" s="85"/>
      <c r="P434" s="85"/>
      <c r="Q434" s="84"/>
      <c r="W434" s="85"/>
      <c r="X434" s="85"/>
      <c r="Y434" s="84"/>
      <c r="AE434" s="85"/>
      <c r="AF434" s="85"/>
      <c r="AG434" s="84"/>
      <c r="AM434" s="85"/>
      <c r="AN434" s="85"/>
      <c r="AO434" s="84"/>
      <c r="AU434" s="85"/>
      <c r="AV434" s="85"/>
      <c r="AW434" s="84"/>
      <c r="BC434" s="85"/>
      <c r="BD434" s="85"/>
      <c r="BE434" s="84"/>
      <c r="BK434" s="85"/>
      <c r="BL434" s="85"/>
      <c r="BM434" s="84"/>
      <c r="BS434" s="85"/>
      <c r="BT434" s="85"/>
    </row>
    <row r="435" spans="1:72">
      <c r="A435" s="84"/>
      <c r="G435" s="85"/>
      <c r="H435" s="85"/>
      <c r="I435" s="84"/>
      <c r="O435" s="85"/>
      <c r="P435" s="85"/>
      <c r="Q435" s="84"/>
      <c r="W435" s="85"/>
      <c r="X435" s="85"/>
      <c r="Y435" s="84"/>
      <c r="AE435" s="85"/>
      <c r="AF435" s="85"/>
      <c r="AG435" s="84"/>
      <c r="AM435" s="85"/>
      <c r="AN435" s="85"/>
      <c r="AO435" s="84"/>
      <c r="AU435" s="85"/>
      <c r="AV435" s="85"/>
      <c r="AW435" s="84"/>
      <c r="BC435" s="85"/>
      <c r="BD435" s="85"/>
      <c r="BE435" s="84"/>
      <c r="BK435" s="85"/>
      <c r="BL435" s="85"/>
      <c r="BM435" s="84"/>
      <c r="BS435" s="85"/>
      <c r="BT435" s="85"/>
    </row>
    <row r="436" spans="1:72">
      <c r="A436" s="84"/>
      <c r="G436" s="85"/>
      <c r="H436" s="85"/>
      <c r="I436" s="84"/>
      <c r="O436" s="85"/>
      <c r="P436" s="85"/>
      <c r="Q436" s="84"/>
      <c r="W436" s="85"/>
      <c r="X436" s="85"/>
      <c r="Y436" s="84"/>
      <c r="AE436" s="85"/>
      <c r="AF436" s="85"/>
      <c r="AG436" s="84"/>
      <c r="AM436" s="85"/>
      <c r="AN436" s="85"/>
      <c r="AO436" s="84"/>
      <c r="AU436" s="85"/>
      <c r="AV436" s="85"/>
      <c r="AW436" s="84"/>
      <c r="BC436" s="85"/>
      <c r="BD436" s="85"/>
      <c r="BE436" s="84"/>
      <c r="BK436" s="85"/>
      <c r="BL436" s="85"/>
      <c r="BM436" s="84"/>
      <c r="BS436" s="85"/>
      <c r="BT436" s="85"/>
    </row>
    <row r="437" spans="1:72">
      <c r="A437" s="84"/>
      <c r="G437" s="85"/>
      <c r="H437" s="85"/>
      <c r="I437" s="84"/>
      <c r="O437" s="85"/>
      <c r="P437" s="85"/>
      <c r="Q437" s="84"/>
      <c r="W437" s="85"/>
      <c r="X437" s="85"/>
      <c r="Y437" s="84"/>
      <c r="AE437" s="85"/>
      <c r="AF437" s="85"/>
      <c r="AG437" s="84"/>
      <c r="AM437" s="85"/>
      <c r="AN437" s="85"/>
      <c r="AO437" s="84"/>
      <c r="AU437" s="85"/>
      <c r="AV437" s="85"/>
      <c r="AW437" s="84"/>
      <c r="BC437" s="85"/>
      <c r="BD437" s="85"/>
      <c r="BE437" s="84"/>
      <c r="BK437" s="85"/>
      <c r="BL437" s="85"/>
      <c r="BM437" s="84"/>
      <c r="BS437" s="85"/>
      <c r="BT437" s="85"/>
    </row>
    <row r="438" spans="1:72">
      <c r="A438" s="84"/>
      <c r="G438" s="85"/>
      <c r="H438" s="85"/>
      <c r="I438" s="84"/>
      <c r="O438" s="85"/>
      <c r="P438" s="85"/>
      <c r="Q438" s="84"/>
      <c r="W438" s="85"/>
      <c r="X438" s="85"/>
      <c r="Y438" s="84"/>
      <c r="AE438" s="85"/>
      <c r="AF438" s="85"/>
      <c r="AG438" s="84"/>
      <c r="AM438" s="85"/>
      <c r="AN438" s="85"/>
      <c r="AO438" s="84"/>
      <c r="AU438" s="85"/>
      <c r="AV438" s="85"/>
      <c r="AW438" s="84"/>
      <c r="BC438" s="85"/>
      <c r="BD438" s="85"/>
      <c r="BE438" s="84"/>
      <c r="BK438" s="85"/>
      <c r="BL438" s="85"/>
      <c r="BM438" s="84"/>
      <c r="BS438" s="85"/>
      <c r="BT438" s="85"/>
    </row>
    <row r="439" spans="1:72">
      <c r="A439" s="84"/>
      <c r="G439" s="85"/>
      <c r="H439" s="85"/>
      <c r="I439" s="84"/>
      <c r="O439" s="85"/>
      <c r="P439" s="85"/>
      <c r="Q439" s="84"/>
      <c r="W439" s="85"/>
      <c r="X439" s="85"/>
      <c r="Y439" s="84"/>
      <c r="AE439" s="85"/>
      <c r="AF439" s="85"/>
      <c r="AG439" s="84"/>
      <c r="AM439" s="85"/>
      <c r="AN439" s="85"/>
      <c r="AO439" s="84"/>
      <c r="AU439" s="85"/>
      <c r="AV439" s="85"/>
      <c r="AW439" s="84"/>
      <c r="BC439" s="85"/>
      <c r="BD439" s="85"/>
      <c r="BE439" s="84"/>
      <c r="BK439" s="85"/>
      <c r="BL439" s="85"/>
      <c r="BM439" s="84"/>
      <c r="BS439" s="85"/>
      <c r="BT439" s="85"/>
    </row>
    <row r="440" spans="1:72">
      <c r="A440" s="84"/>
      <c r="G440" s="85"/>
      <c r="H440" s="85"/>
      <c r="I440" s="84"/>
      <c r="O440" s="85"/>
      <c r="P440" s="85"/>
      <c r="Q440" s="84"/>
      <c r="W440" s="85"/>
      <c r="X440" s="85"/>
      <c r="Y440" s="84"/>
      <c r="AE440" s="85"/>
      <c r="AF440" s="85"/>
      <c r="AG440" s="84"/>
      <c r="AM440" s="85"/>
      <c r="AN440" s="85"/>
      <c r="AO440" s="84"/>
      <c r="AU440" s="85"/>
      <c r="AV440" s="85"/>
      <c r="AW440" s="84"/>
      <c r="BC440" s="85"/>
      <c r="BD440" s="85"/>
      <c r="BE440" s="84"/>
      <c r="BK440" s="85"/>
      <c r="BL440" s="85"/>
      <c r="BM440" s="84"/>
      <c r="BS440" s="85"/>
      <c r="BT440" s="85"/>
    </row>
    <row r="441" spans="1:72">
      <c r="A441" s="84"/>
      <c r="G441" s="85"/>
      <c r="H441" s="85"/>
      <c r="I441" s="84"/>
      <c r="O441" s="85"/>
      <c r="P441" s="85"/>
      <c r="Q441" s="84"/>
      <c r="W441" s="85"/>
      <c r="X441" s="85"/>
      <c r="Y441" s="84"/>
      <c r="AE441" s="85"/>
      <c r="AF441" s="85"/>
      <c r="AG441" s="84"/>
      <c r="AM441" s="85"/>
      <c r="AN441" s="85"/>
      <c r="AO441" s="84"/>
      <c r="AU441" s="85"/>
      <c r="AV441" s="85"/>
      <c r="AW441" s="84"/>
      <c r="BC441" s="85"/>
      <c r="BD441" s="85"/>
      <c r="BE441" s="84"/>
      <c r="BK441" s="85"/>
      <c r="BL441" s="85"/>
      <c r="BM441" s="84"/>
      <c r="BS441" s="85"/>
      <c r="BT441" s="85"/>
    </row>
    <row r="442" spans="1:72">
      <c r="A442" s="84"/>
      <c r="G442" s="85"/>
      <c r="H442" s="85"/>
      <c r="I442" s="84"/>
      <c r="O442" s="85"/>
      <c r="P442" s="85"/>
      <c r="Q442" s="84"/>
      <c r="W442" s="85"/>
      <c r="X442" s="85"/>
      <c r="Y442" s="84"/>
      <c r="AE442" s="85"/>
      <c r="AF442" s="85"/>
      <c r="AG442" s="84"/>
      <c r="AM442" s="85"/>
      <c r="AN442" s="85"/>
      <c r="AO442" s="84"/>
      <c r="AU442" s="85"/>
      <c r="AV442" s="85"/>
      <c r="AW442" s="84"/>
      <c r="BC442" s="85"/>
      <c r="BD442" s="85"/>
      <c r="BE442" s="84"/>
      <c r="BK442" s="85"/>
      <c r="BL442" s="85"/>
      <c r="BM442" s="84"/>
      <c r="BS442" s="85"/>
      <c r="BT442" s="85"/>
    </row>
    <row r="443" spans="1:72">
      <c r="A443" s="84"/>
      <c r="G443" s="85"/>
      <c r="H443" s="85"/>
      <c r="I443" s="84"/>
      <c r="O443" s="85"/>
      <c r="P443" s="85"/>
      <c r="Q443" s="84"/>
      <c r="W443" s="85"/>
      <c r="X443" s="85"/>
      <c r="Y443" s="84"/>
      <c r="AE443" s="85"/>
      <c r="AF443" s="85"/>
      <c r="AG443" s="84"/>
      <c r="AM443" s="85"/>
      <c r="AN443" s="85"/>
      <c r="AO443" s="84"/>
      <c r="AU443" s="85"/>
      <c r="AV443" s="85"/>
      <c r="AW443" s="84"/>
      <c r="BC443" s="85"/>
      <c r="BD443" s="85"/>
      <c r="BE443" s="84"/>
      <c r="BK443" s="85"/>
      <c r="BL443" s="85"/>
      <c r="BM443" s="84"/>
      <c r="BS443" s="85"/>
      <c r="BT443" s="85"/>
    </row>
    <row r="444" spans="1:72">
      <c r="A444" s="84"/>
      <c r="G444" s="85"/>
      <c r="H444" s="85"/>
      <c r="I444" s="84"/>
      <c r="O444" s="85"/>
      <c r="P444" s="85"/>
      <c r="Q444" s="84"/>
      <c r="W444" s="85"/>
      <c r="X444" s="85"/>
      <c r="Y444" s="84"/>
      <c r="AE444" s="85"/>
      <c r="AF444" s="85"/>
      <c r="AG444" s="84"/>
      <c r="AM444" s="85"/>
      <c r="AN444" s="85"/>
      <c r="AO444" s="84"/>
      <c r="AU444" s="85"/>
      <c r="AV444" s="85"/>
      <c r="AW444" s="84"/>
      <c r="BC444" s="85"/>
      <c r="BD444" s="85"/>
      <c r="BE444" s="84"/>
      <c r="BK444" s="85"/>
      <c r="BL444" s="85"/>
      <c r="BM444" s="84"/>
      <c r="BS444" s="85"/>
      <c r="BT444" s="85"/>
    </row>
    <row r="445" spans="1:72">
      <c r="A445" s="84"/>
      <c r="G445" s="85"/>
      <c r="H445" s="85"/>
      <c r="I445" s="84"/>
      <c r="O445" s="85"/>
      <c r="P445" s="85"/>
      <c r="Q445" s="84"/>
      <c r="W445" s="85"/>
      <c r="X445" s="85"/>
      <c r="Y445" s="84"/>
      <c r="AE445" s="85"/>
      <c r="AF445" s="85"/>
      <c r="AG445" s="84"/>
      <c r="AM445" s="85"/>
      <c r="AN445" s="85"/>
      <c r="AO445" s="84"/>
      <c r="AU445" s="85"/>
      <c r="AV445" s="85"/>
      <c r="AW445" s="84"/>
      <c r="BC445" s="85"/>
      <c r="BD445" s="85"/>
      <c r="BE445" s="84"/>
      <c r="BK445" s="85"/>
      <c r="BL445" s="85"/>
      <c r="BM445" s="84"/>
      <c r="BS445" s="85"/>
      <c r="BT445" s="85"/>
    </row>
    <row r="446" spans="1:72">
      <c r="A446" s="84"/>
      <c r="G446" s="85"/>
      <c r="H446" s="85"/>
      <c r="I446" s="84"/>
      <c r="O446" s="85"/>
      <c r="P446" s="85"/>
      <c r="Q446" s="84"/>
      <c r="W446" s="85"/>
      <c r="X446" s="85"/>
      <c r="Y446" s="84"/>
      <c r="AE446" s="85"/>
      <c r="AF446" s="85"/>
      <c r="AG446" s="84"/>
      <c r="AM446" s="85"/>
      <c r="AN446" s="85"/>
      <c r="AO446" s="84"/>
      <c r="AU446" s="85"/>
      <c r="AV446" s="85"/>
      <c r="AW446" s="84"/>
      <c r="BC446" s="85"/>
      <c r="BD446" s="85"/>
      <c r="BE446" s="84"/>
      <c r="BK446" s="85"/>
      <c r="BL446" s="85"/>
      <c r="BM446" s="84"/>
      <c r="BS446" s="85"/>
      <c r="BT446" s="85"/>
    </row>
    <row r="447" spans="1:72">
      <c r="A447" s="84"/>
      <c r="G447" s="85"/>
      <c r="H447" s="85"/>
      <c r="I447" s="84"/>
      <c r="O447" s="85"/>
      <c r="P447" s="85"/>
      <c r="Q447" s="84"/>
      <c r="W447" s="85"/>
      <c r="X447" s="85"/>
      <c r="Y447" s="84"/>
      <c r="AE447" s="85"/>
      <c r="AF447" s="85"/>
      <c r="AG447" s="84"/>
      <c r="AM447" s="85"/>
      <c r="AN447" s="85"/>
      <c r="AO447" s="84"/>
      <c r="AU447" s="85"/>
      <c r="AV447" s="85"/>
      <c r="AW447" s="84"/>
      <c r="BC447" s="85"/>
      <c r="BD447" s="85"/>
      <c r="BE447" s="84"/>
      <c r="BK447" s="85"/>
      <c r="BL447" s="85"/>
      <c r="BM447" s="84"/>
      <c r="BS447" s="85"/>
      <c r="BT447" s="85"/>
    </row>
    <row r="448" spans="1:72">
      <c r="A448" s="84"/>
      <c r="G448" s="85"/>
      <c r="H448" s="85"/>
      <c r="I448" s="84"/>
      <c r="O448" s="85"/>
      <c r="P448" s="85"/>
      <c r="Q448" s="84"/>
      <c r="W448" s="85"/>
      <c r="X448" s="85"/>
      <c r="Y448" s="84"/>
      <c r="AE448" s="85"/>
      <c r="AF448" s="85"/>
      <c r="AG448" s="84"/>
      <c r="AM448" s="85"/>
      <c r="AN448" s="85"/>
      <c r="AO448" s="84"/>
      <c r="AU448" s="85"/>
      <c r="AV448" s="85"/>
      <c r="AW448" s="84"/>
      <c r="BC448" s="85"/>
      <c r="BD448" s="85"/>
      <c r="BE448" s="84"/>
      <c r="BK448" s="85"/>
      <c r="BL448" s="85"/>
      <c r="BM448" s="84"/>
      <c r="BS448" s="85"/>
      <c r="BT448" s="85"/>
    </row>
    <row r="449" spans="1:72">
      <c r="A449" s="84"/>
      <c r="G449" s="85"/>
      <c r="H449" s="85"/>
      <c r="I449" s="84"/>
      <c r="O449" s="85"/>
      <c r="P449" s="85"/>
      <c r="Q449" s="84"/>
      <c r="W449" s="85"/>
      <c r="X449" s="85"/>
      <c r="Y449" s="84"/>
      <c r="AE449" s="85"/>
      <c r="AF449" s="85"/>
      <c r="AG449" s="84"/>
      <c r="AM449" s="85"/>
      <c r="AN449" s="85"/>
      <c r="AO449" s="84"/>
      <c r="AU449" s="85"/>
      <c r="AV449" s="85"/>
      <c r="AW449" s="84"/>
      <c r="BC449" s="85"/>
      <c r="BD449" s="85"/>
      <c r="BE449" s="84"/>
      <c r="BK449" s="85"/>
      <c r="BL449" s="85"/>
      <c r="BM449" s="84"/>
      <c r="BS449" s="85"/>
      <c r="BT449" s="85"/>
    </row>
    <row r="450" spans="1:72">
      <c r="A450" s="84"/>
      <c r="G450" s="85"/>
      <c r="H450" s="85"/>
      <c r="I450" s="84"/>
      <c r="O450" s="85"/>
      <c r="P450" s="85"/>
      <c r="Q450" s="84"/>
      <c r="W450" s="85"/>
      <c r="X450" s="85"/>
      <c r="Y450" s="84"/>
      <c r="AE450" s="85"/>
      <c r="AF450" s="85"/>
      <c r="AG450" s="84"/>
      <c r="AM450" s="85"/>
      <c r="AN450" s="85"/>
      <c r="AO450" s="84"/>
      <c r="AU450" s="85"/>
      <c r="AV450" s="85"/>
      <c r="AW450" s="84"/>
      <c r="BC450" s="85"/>
      <c r="BD450" s="85"/>
      <c r="BE450" s="84"/>
      <c r="BK450" s="85"/>
      <c r="BL450" s="85"/>
      <c r="BM450" s="84"/>
      <c r="BS450" s="85"/>
      <c r="BT450" s="85"/>
    </row>
    <row r="451" spans="1:72">
      <c r="A451" s="84"/>
      <c r="G451" s="85"/>
      <c r="H451" s="85"/>
      <c r="I451" s="84"/>
      <c r="O451" s="85"/>
      <c r="P451" s="85"/>
      <c r="Q451" s="84"/>
      <c r="W451" s="85"/>
      <c r="X451" s="85"/>
      <c r="Y451" s="84"/>
      <c r="AE451" s="85"/>
      <c r="AF451" s="85"/>
      <c r="AG451" s="84"/>
      <c r="AM451" s="85"/>
      <c r="AN451" s="85"/>
      <c r="AO451" s="84"/>
      <c r="AU451" s="85"/>
      <c r="AV451" s="85"/>
      <c r="AW451" s="84"/>
      <c r="BC451" s="85"/>
      <c r="BD451" s="85"/>
      <c r="BE451" s="84"/>
      <c r="BK451" s="85"/>
      <c r="BL451" s="85"/>
      <c r="BM451" s="84"/>
      <c r="BS451" s="85"/>
      <c r="BT451" s="85"/>
    </row>
    <row r="452" spans="1:72">
      <c r="A452" s="84"/>
      <c r="G452" s="85"/>
      <c r="H452" s="85"/>
      <c r="I452" s="84"/>
      <c r="O452" s="85"/>
      <c r="P452" s="85"/>
      <c r="Q452" s="84"/>
      <c r="W452" s="85"/>
      <c r="X452" s="85"/>
      <c r="Y452" s="84"/>
      <c r="AE452" s="85"/>
      <c r="AF452" s="85"/>
      <c r="AG452" s="84"/>
      <c r="AM452" s="85"/>
      <c r="AN452" s="85"/>
      <c r="AO452" s="84"/>
      <c r="AU452" s="85"/>
      <c r="AV452" s="85"/>
      <c r="AW452" s="84"/>
      <c r="BC452" s="85"/>
      <c r="BD452" s="85"/>
      <c r="BE452" s="84"/>
      <c r="BK452" s="85"/>
      <c r="BL452" s="85"/>
      <c r="BM452" s="84"/>
      <c r="BS452" s="85"/>
      <c r="BT452" s="85"/>
    </row>
    <row r="453" spans="1:72">
      <c r="A453" s="84"/>
      <c r="G453" s="85"/>
      <c r="H453" s="85"/>
      <c r="I453" s="84"/>
      <c r="O453" s="85"/>
      <c r="P453" s="85"/>
      <c r="Q453" s="84"/>
      <c r="W453" s="85"/>
      <c r="X453" s="85"/>
      <c r="Y453" s="84"/>
      <c r="AE453" s="85"/>
      <c r="AF453" s="85"/>
      <c r="AG453" s="84"/>
      <c r="AM453" s="85"/>
      <c r="AN453" s="85"/>
      <c r="AO453" s="84"/>
      <c r="AU453" s="85"/>
      <c r="AV453" s="85"/>
      <c r="AW453" s="84"/>
      <c r="BC453" s="85"/>
      <c r="BD453" s="85"/>
      <c r="BE453" s="84"/>
      <c r="BK453" s="85"/>
      <c r="BL453" s="85"/>
      <c r="BM453" s="84"/>
      <c r="BS453" s="85"/>
      <c r="BT453" s="85"/>
    </row>
    <row r="454" spans="1:72">
      <c r="A454" s="84"/>
      <c r="G454" s="85"/>
      <c r="H454" s="85"/>
      <c r="I454" s="84"/>
      <c r="O454" s="85"/>
      <c r="P454" s="85"/>
      <c r="Q454" s="84"/>
      <c r="W454" s="85"/>
      <c r="X454" s="85"/>
      <c r="Y454" s="84"/>
      <c r="AE454" s="85"/>
      <c r="AF454" s="85"/>
      <c r="AG454" s="84"/>
      <c r="AM454" s="85"/>
      <c r="AN454" s="85"/>
      <c r="AO454" s="84"/>
      <c r="AU454" s="85"/>
      <c r="AV454" s="85"/>
      <c r="AW454" s="84"/>
      <c r="BC454" s="85"/>
      <c r="BD454" s="85"/>
      <c r="BE454" s="84"/>
      <c r="BK454" s="85"/>
      <c r="BL454" s="85"/>
      <c r="BM454" s="84"/>
      <c r="BS454" s="85"/>
      <c r="BT454" s="85"/>
    </row>
    <row r="455" spans="1:72">
      <c r="A455" s="84"/>
      <c r="G455" s="85"/>
      <c r="H455" s="85"/>
      <c r="I455" s="84"/>
      <c r="O455" s="85"/>
      <c r="P455" s="85"/>
      <c r="Q455" s="84"/>
      <c r="W455" s="85"/>
      <c r="X455" s="85"/>
      <c r="Y455" s="84"/>
      <c r="AE455" s="85"/>
      <c r="AF455" s="85"/>
      <c r="AG455" s="84"/>
      <c r="AM455" s="85"/>
      <c r="AN455" s="85"/>
      <c r="AO455" s="84"/>
      <c r="AU455" s="85"/>
      <c r="AV455" s="85"/>
      <c r="AW455" s="84"/>
      <c r="BC455" s="85"/>
      <c r="BD455" s="85"/>
      <c r="BE455" s="84"/>
      <c r="BK455" s="85"/>
      <c r="BL455" s="85"/>
      <c r="BM455" s="84"/>
      <c r="BS455" s="85"/>
      <c r="BT455" s="85"/>
    </row>
    <row r="456" spans="1:72">
      <c r="A456" s="84"/>
      <c r="G456" s="85"/>
      <c r="H456" s="85"/>
      <c r="I456" s="84"/>
      <c r="O456" s="85"/>
      <c r="P456" s="85"/>
      <c r="Q456" s="84"/>
      <c r="W456" s="85"/>
      <c r="X456" s="85"/>
      <c r="Y456" s="84"/>
      <c r="AE456" s="85"/>
      <c r="AF456" s="85"/>
      <c r="AG456" s="84"/>
      <c r="AM456" s="85"/>
      <c r="AN456" s="85"/>
      <c r="AO456" s="84"/>
      <c r="AU456" s="85"/>
      <c r="AV456" s="85"/>
      <c r="AW456" s="84"/>
      <c r="BC456" s="85"/>
      <c r="BD456" s="85"/>
      <c r="BE456" s="84"/>
      <c r="BK456" s="85"/>
      <c r="BL456" s="85"/>
      <c r="BM456" s="84"/>
      <c r="BS456" s="85"/>
      <c r="BT456" s="85"/>
    </row>
    <row r="457" spans="1:72">
      <c r="A457" s="84"/>
      <c r="G457" s="85"/>
      <c r="H457" s="85"/>
      <c r="I457" s="84"/>
      <c r="O457" s="85"/>
      <c r="P457" s="85"/>
      <c r="Q457" s="84"/>
      <c r="W457" s="85"/>
      <c r="X457" s="85"/>
      <c r="Y457" s="84"/>
      <c r="AE457" s="85"/>
      <c r="AF457" s="85"/>
      <c r="AG457" s="84"/>
      <c r="AM457" s="85"/>
      <c r="AN457" s="85"/>
      <c r="AO457" s="84"/>
      <c r="AU457" s="85"/>
      <c r="AV457" s="85"/>
      <c r="AW457" s="84"/>
      <c r="BC457" s="85"/>
      <c r="BD457" s="85"/>
      <c r="BE457" s="84"/>
      <c r="BK457" s="85"/>
      <c r="BL457" s="85"/>
      <c r="BM457" s="84"/>
      <c r="BS457" s="85"/>
      <c r="BT457" s="85"/>
    </row>
    <row r="458" spans="1:72">
      <c r="A458" s="84"/>
      <c r="G458" s="85"/>
      <c r="H458" s="85"/>
      <c r="I458" s="84"/>
      <c r="O458" s="85"/>
      <c r="P458" s="85"/>
      <c r="Q458" s="84"/>
      <c r="W458" s="85"/>
      <c r="X458" s="85"/>
      <c r="Y458" s="84"/>
      <c r="AE458" s="85"/>
      <c r="AF458" s="85"/>
      <c r="AG458" s="84"/>
      <c r="AM458" s="85"/>
      <c r="AN458" s="85"/>
      <c r="AO458" s="84"/>
      <c r="AU458" s="85"/>
      <c r="AV458" s="85"/>
      <c r="AW458" s="84"/>
      <c r="BC458" s="85"/>
      <c r="BD458" s="85"/>
      <c r="BE458" s="84"/>
      <c r="BK458" s="85"/>
      <c r="BL458" s="85"/>
      <c r="BM458" s="84"/>
      <c r="BS458" s="85"/>
      <c r="BT458" s="85"/>
    </row>
    <row r="459" spans="1:72">
      <c r="A459" s="84"/>
      <c r="G459" s="85"/>
      <c r="H459" s="85"/>
      <c r="I459" s="84"/>
      <c r="O459" s="85"/>
      <c r="P459" s="85"/>
      <c r="Q459" s="84"/>
      <c r="W459" s="85"/>
      <c r="X459" s="85"/>
      <c r="Y459" s="84"/>
      <c r="AE459" s="85"/>
      <c r="AF459" s="85"/>
      <c r="AG459" s="84"/>
      <c r="AM459" s="85"/>
      <c r="AN459" s="85"/>
      <c r="AO459" s="84"/>
      <c r="AU459" s="85"/>
      <c r="AV459" s="85"/>
      <c r="AW459" s="84"/>
      <c r="BC459" s="85"/>
      <c r="BD459" s="85"/>
      <c r="BE459" s="84"/>
      <c r="BK459" s="85"/>
      <c r="BL459" s="85"/>
      <c r="BM459" s="84"/>
      <c r="BS459" s="85"/>
      <c r="BT459" s="85"/>
    </row>
    <row r="460" spans="1:72">
      <c r="A460" s="84"/>
      <c r="G460" s="85"/>
      <c r="H460" s="85"/>
      <c r="I460" s="84"/>
      <c r="O460" s="85"/>
      <c r="P460" s="85"/>
      <c r="Q460" s="84"/>
      <c r="W460" s="85"/>
      <c r="X460" s="85"/>
      <c r="Y460" s="84"/>
      <c r="AE460" s="85"/>
      <c r="AF460" s="85"/>
      <c r="AG460" s="84"/>
      <c r="AM460" s="85"/>
      <c r="AN460" s="85"/>
      <c r="AO460" s="84"/>
      <c r="AU460" s="85"/>
      <c r="AV460" s="85"/>
      <c r="AW460" s="84"/>
      <c r="BC460" s="85"/>
      <c r="BD460" s="85"/>
      <c r="BE460" s="84"/>
      <c r="BK460" s="85"/>
      <c r="BL460" s="85"/>
      <c r="BM460" s="84"/>
      <c r="BS460" s="85"/>
      <c r="BT460" s="85"/>
    </row>
    <row r="461" spans="1:72">
      <c r="A461" s="84"/>
      <c r="G461" s="85"/>
      <c r="H461" s="85"/>
      <c r="I461" s="84"/>
      <c r="O461" s="85"/>
      <c r="P461" s="85"/>
      <c r="Q461" s="84"/>
      <c r="W461" s="85"/>
      <c r="X461" s="85"/>
      <c r="Y461" s="84"/>
      <c r="AE461" s="85"/>
      <c r="AF461" s="85"/>
      <c r="AG461" s="84"/>
      <c r="AM461" s="85"/>
      <c r="AN461" s="85"/>
      <c r="AO461" s="84"/>
      <c r="AU461" s="85"/>
      <c r="AV461" s="85"/>
      <c r="AW461" s="84"/>
      <c r="BC461" s="85"/>
      <c r="BD461" s="85"/>
      <c r="BE461" s="84"/>
      <c r="BK461" s="85"/>
      <c r="BL461" s="85"/>
      <c r="BM461" s="84"/>
      <c r="BS461" s="85"/>
      <c r="BT461" s="85"/>
    </row>
    <row r="462" spans="1:72">
      <c r="A462" s="84"/>
      <c r="G462" s="85"/>
      <c r="H462" s="85"/>
      <c r="I462" s="84"/>
      <c r="O462" s="85"/>
      <c r="P462" s="85"/>
      <c r="Q462" s="84"/>
      <c r="W462" s="85"/>
      <c r="X462" s="85"/>
      <c r="Y462" s="84"/>
      <c r="AE462" s="85"/>
      <c r="AF462" s="85"/>
      <c r="AG462" s="84"/>
      <c r="AM462" s="85"/>
      <c r="AN462" s="85"/>
      <c r="AO462" s="84"/>
      <c r="AU462" s="85"/>
      <c r="AV462" s="85"/>
      <c r="AW462" s="84"/>
      <c r="BC462" s="85"/>
      <c r="BD462" s="85"/>
      <c r="BE462" s="84"/>
      <c r="BK462" s="85"/>
      <c r="BL462" s="85"/>
      <c r="BM462" s="84"/>
      <c r="BS462" s="85"/>
      <c r="BT462" s="85"/>
    </row>
    <row r="463" spans="1:72">
      <c r="A463" s="84"/>
      <c r="G463" s="85"/>
      <c r="H463" s="85"/>
      <c r="I463" s="84"/>
      <c r="O463" s="85"/>
      <c r="P463" s="85"/>
      <c r="Q463" s="84"/>
      <c r="W463" s="85"/>
      <c r="X463" s="85"/>
      <c r="Y463" s="84"/>
      <c r="AE463" s="85"/>
      <c r="AF463" s="85"/>
      <c r="AG463" s="84"/>
      <c r="AM463" s="85"/>
      <c r="AN463" s="85"/>
      <c r="AO463" s="84"/>
      <c r="AU463" s="85"/>
      <c r="AV463" s="85"/>
      <c r="AW463" s="84"/>
      <c r="BC463" s="85"/>
      <c r="BD463" s="85"/>
      <c r="BE463" s="84"/>
      <c r="BK463" s="85"/>
      <c r="BL463" s="85"/>
      <c r="BM463" s="84"/>
      <c r="BS463" s="85"/>
      <c r="BT463" s="85"/>
    </row>
    <row r="464" spans="1:72">
      <c r="A464" s="84"/>
      <c r="G464" s="85"/>
      <c r="H464" s="85"/>
      <c r="I464" s="84"/>
      <c r="O464" s="85"/>
      <c r="P464" s="85"/>
      <c r="Q464" s="84"/>
      <c r="W464" s="85"/>
      <c r="X464" s="85"/>
      <c r="Y464" s="84"/>
      <c r="AE464" s="85"/>
      <c r="AF464" s="85"/>
      <c r="AG464" s="84"/>
      <c r="AM464" s="85"/>
      <c r="AN464" s="85"/>
      <c r="AO464" s="84"/>
      <c r="AU464" s="85"/>
      <c r="AV464" s="85"/>
      <c r="AW464" s="84"/>
      <c r="BC464" s="85"/>
      <c r="BD464" s="85"/>
      <c r="BE464" s="84"/>
      <c r="BK464" s="85"/>
      <c r="BL464" s="85"/>
      <c r="BM464" s="84"/>
      <c r="BS464" s="85"/>
      <c r="BT464" s="85"/>
    </row>
    <row r="465" spans="1:72">
      <c r="A465" s="84"/>
      <c r="G465" s="85"/>
      <c r="H465" s="85"/>
      <c r="I465" s="84"/>
      <c r="O465" s="85"/>
      <c r="P465" s="85"/>
      <c r="Q465" s="84"/>
      <c r="W465" s="85"/>
      <c r="X465" s="85"/>
      <c r="Y465" s="84"/>
      <c r="AE465" s="85"/>
      <c r="AF465" s="85"/>
      <c r="AG465" s="84"/>
      <c r="AM465" s="85"/>
      <c r="AN465" s="85"/>
      <c r="AO465" s="84"/>
      <c r="AU465" s="85"/>
      <c r="AV465" s="85"/>
      <c r="AW465" s="84"/>
      <c r="BC465" s="85"/>
      <c r="BD465" s="85"/>
      <c r="BE465" s="84"/>
      <c r="BK465" s="85"/>
      <c r="BL465" s="85"/>
      <c r="BM465" s="84"/>
      <c r="BS465" s="85"/>
      <c r="BT465" s="85"/>
    </row>
    <row r="466" spans="1:72">
      <c r="A466" s="84"/>
      <c r="G466" s="85"/>
      <c r="H466" s="85"/>
      <c r="I466" s="84"/>
      <c r="O466" s="85"/>
      <c r="P466" s="85"/>
      <c r="Q466" s="84"/>
      <c r="W466" s="85"/>
      <c r="X466" s="85"/>
      <c r="Y466" s="84"/>
      <c r="AE466" s="85"/>
      <c r="AF466" s="85"/>
      <c r="AG466" s="84"/>
      <c r="AM466" s="85"/>
      <c r="AN466" s="85"/>
      <c r="AO466" s="84"/>
      <c r="AU466" s="85"/>
      <c r="AV466" s="85"/>
      <c r="AW466" s="84"/>
      <c r="BC466" s="85"/>
      <c r="BD466" s="85"/>
      <c r="BE466" s="84"/>
      <c r="BK466" s="85"/>
      <c r="BL466" s="85"/>
      <c r="BM466" s="84"/>
      <c r="BS466" s="85"/>
      <c r="BT466" s="85"/>
    </row>
    <row r="467" spans="1:72">
      <c r="A467" s="84"/>
      <c r="G467" s="85"/>
      <c r="H467" s="85"/>
      <c r="I467" s="84"/>
      <c r="O467" s="85"/>
      <c r="P467" s="85"/>
      <c r="Q467" s="84"/>
      <c r="W467" s="85"/>
      <c r="X467" s="85"/>
      <c r="Y467" s="84"/>
      <c r="AE467" s="85"/>
      <c r="AF467" s="85"/>
      <c r="AG467" s="84"/>
      <c r="AM467" s="85"/>
      <c r="AN467" s="85"/>
      <c r="AO467" s="84"/>
      <c r="AU467" s="85"/>
      <c r="AV467" s="85"/>
      <c r="AW467" s="84"/>
      <c r="BC467" s="85"/>
      <c r="BD467" s="85"/>
      <c r="BE467" s="84"/>
      <c r="BK467" s="85"/>
      <c r="BL467" s="85"/>
      <c r="BM467" s="84"/>
      <c r="BS467" s="85"/>
      <c r="BT467" s="85"/>
    </row>
    <row r="468" spans="1:72">
      <c r="A468" s="84"/>
      <c r="G468" s="85"/>
      <c r="H468" s="85"/>
      <c r="I468" s="84"/>
      <c r="O468" s="85"/>
      <c r="P468" s="85"/>
      <c r="Q468" s="84"/>
      <c r="W468" s="85"/>
      <c r="X468" s="85"/>
      <c r="Y468" s="84"/>
      <c r="AE468" s="85"/>
      <c r="AF468" s="85"/>
      <c r="AG468" s="84"/>
      <c r="AM468" s="85"/>
      <c r="AN468" s="85"/>
      <c r="AO468" s="84"/>
      <c r="AU468" s="85"/>
      <c r="AV468" s="85"/>
      <c r="AW468" s="84"/>
      <c r="BC468" s="85"/>
      <c r="BD468" s="85"/>
      <c r="BE468" s="84"/>
      <c r="BK468" s="85"/>
      <c r="BL468" s="85"/>
      <c r="BM468" s="84"/>
      <c r="BS468" s="85"/>
      <c r="BT468" s="85"/>
    </row>
    <row r="469" spans="1:72">
      <c r="A469" s="84"/>
      <c r="G469" s="85"/>
      <c r="H469" s="85"/>
      <c r="I469" s="84"/>
      <c r="O469" s="85"/>
      <c r="P469" s="85"/>
      <c r="Q469" s="84"/>
      <c r="W469" s="85"/>
      <c r="X469" s="85"/>
      <c r="Y469" s="84"/>
      <c r="AE469" s="85"/>
      <c r="AF469" s="85"/>
      <c r="AG469" s="84"/>
      <c r="AM469" s="85"/>
      <c r="AN469" s="85"/>
      <c r="AO469" s="84"/>
      <c r="AU469" s="85"/>
      <c r="AV469" s="85"/>
      <c r="AW469" s="84"/>
      <c r="BC469" s="85"/>
      <c r="BD469" s="85"/>
      <c r="BE469" s="84"/>
      <c r="BK469" s="85"/>
      <c r="BL469" s="85"/>
      <c r="BM469" s="84"/>
      <c r="BS469" s="85"/>
      <c r="BT469" s="85"/>
    </row>
    <row r="470" spans="1:72">
      <c r="A470" s="84"/>
      <c r="G470" s="85"/>
      <c r="H470" s="85"/>
      <c r="I470" s="84"/>
      <c r="O470" s="85"/>
      <c r="P470" s="85"/>
      <c r="Q470" s="84"/>
      <c r="W470" s="85"/>
      <c r="X470" s="85"/>
      <c r="Y470" s="84"/>
      <c r="AE470" s="85"/>
      <c r="AF470" s="85"/>
      <c r="AG470" s="84"/>
      <c r="AM470" s="85"/>
      <c r="AN470" s="85"/>
      <c r="AO470" s="84"/>
      <c r="AU470" s="85"/>
      <c r="AV470" s="85"/>
      <c r="AW470" s="84"/>
      <c r="BC470" s="85"/>
      <c r="BD470" s="85"/>
      <c r="BE470" s="84"/>
      <c r="BK470" s="85"/>
      <c r="BL470" s="85"/>
      <c r="BM470" s="84"/>
      <c r="BS470" s="85"/>
      <c r="BT470" s="85"/>
    </row>
    <row r="471" spans="1:72">
      <c r="A471" s="84"/>
      <c r="G471" s="85"/>
      <c r="H471" s="85"/>
      <c r="I471" s="84"/>
      <c r="O471" s="85"/>
      <c r="P471" s="85"/>
      <c r="Q471" s="84"/>
      <c r="W471" s="85"/>
      <c r="X471" s="85"/>
      <c r="Y471" s="84"/>
      <c r="AE471" s="85"/>
      <c r="AF471" s="85"/>
      <c r="AG471" s="84"/>
      <c r="AM471" s="85"/>
      <c r="AN471" s="85"/>
      <c r="AO471" s="84"/>
      <c r="AU471" s="85"/>
      <c r="AV471" s="85"/>
      <c r="AW471" s="84"/>
      <c r="BC471" s="85"/>
      <c r="BD471" s="85"/>
      <c r="BE471" s="84"/>
      <c r="BK471" s="85"/>
      <c r="BL471" s="85"/>
      <c r="BM471" s="84"/>
      <c r="BS471" s="85"/>
      <c r="BT471" s="85"/>
    </row>
    <row r="472" spans="1:72">
      <c r="A472" s="84"/>
      <c r="G472" s="85"/>
      <c r="H472" s="85"/>
      <c r="I472" s="84"/>
      <c r="O472" s="85"/>
      <c r="P472" s="85"/>
      <c r="Q472" s="84"/>
      <c r="W472" s="85"/>
      <c r="X472" s="85"/>
      <c r="Y472" s="84"/>
      <c r="AE472" s="85"/>
      <c r="AF472" s="85"/>
      <c r="AG472" s="84"/>
      <c r="AM472" s="85"/>
      <c r="AN472" s="85"/>
      <c r="AO472" s="84"/>
      <c r="AU472" s="85"/>
      <c r="AV472" s="85"/>
      <c r="AW472" s="84"/>
      <c r="BC472" s="85"/>
      <c r="BD472" s="85"/>
      <c r="BE472" s="84"/>
      <c r="BK472" s="85"/>
      <c r="BL472" s="85"/>
      <c r="BM472" s="84"/>
      <c r="BS472" s="85"/>
      <c r="BT472" s="85"/>
    </row>
    <row r="473" spans="1:72">
      <c r="A473" s="84"/>
      <c r="G473" s="85"/>
      <c r="H473" s="85"/>
      <c r="I473" s="84"/>
      <c r="O473" s="85"/>
      <c r="P473" s="85"/>
      <c r="Q473" s="84"/>
      <c r="W473" s="85"/>
      <c r="X473" s="85"/>
      <c r="Y473" s="84"/>
      <c r="AE473" s="85"/>
      <c r="AF473" s="85"/>
      <c r="AG473" s="84"/>
      <c r="AM473" s="85"/>
      <c r="AN473" s="85"/>
      <c r="AO473" s="84"/>
      <c r="AU473" s="85"/>
      <c r="AV473" s="85"/>
      <c r="AW473" s="84"/>
      <c r="BC473" s="85"/>
      <c r="BD473" s="85"/>
      <c r="BE473" s="84"/>
      <c r="BK473" s="85"/>
      <c r="BL473" s="85"/>
      <c r="BM473" s="84"/>
      <c r="BS473" s="85"/>
      <c r="BT473" s="85"/>
    </row>
    <row r="474" spans="1:72">
      <c r="A474" s="84"/>
      <c r="G474" s="85"/>
      <c r="H474" s="85"/>
      <c r="I474" s="84"/>
      <c r="O474" s="85"/>
      <c r="P474" s="85"/>
      <c r="Q474" s="84"/>
      <c r="W474" s="85"/>
      <c r="X474" s="85"/>
      <c r="Y474" s="84"/>
      <c r="AE474" s="85"/>
      <c r="AF474" s="85"/>
      <c r="AG474" s="84"/>
      <c r="AM474" s="85"/>
      <c r="AN474" s="85"/>
      <c r="AO474" s="84"/>
      <c r="AU474" s="85"/>
      <c r="AV474" s="85"/>
      <c r="AW474" s="84"/>
      <c r="BC474" s="85"/>
      <c r="BD474" s="85"/>
      <c r="BE474" s="84"/>
      <c r="BK474" s="85"/>
      <c r="BL474" s="85"/>
      <c r="BM474" s="84"/>
      <c r="BS474" s="85"/>
      <c r="BT474" s="85"/>
    </row>
    <row r="475" spans="1:72">
      <c r="A475" s="84"/>
      <c r="G475" s="85"/>
      <c r="H475" s="85"/>
      <c r="I475" s="84"/>
      <c r="O475" s="85"/>
      <c r="P475" s="85"/>
      <c r="Q475" s="84"/>
      <c r="W475" s="85"/>
      <c r="X475" s="85"/>
      <c r="Y475" s="84"/>
      <c r="AE475" s="85"/>
      <c r="AF475" s="85"/>
      <c r="AG475" s="84"/>
      <c r="AM475" s="85"/>
      <c r="AN475" s="85"/>
      <c r="AO475" s="84"/>
      <c r="AU475" s="85"/>
      <c r="AV475" s="85"/>
      <c r="AW475" s="84"/>
      <c r="BC475" s="85"/>
      <c r="BD475" s="85"/>
      <c r="BE475" s="84"/>
      <c r="BK475" s="85"/>
      <c r="BL475" s="85"/>
      <c r="BM475" s="84"/>
      <c r="BS475" s="85"/>
      <c r="BT475" s="85"/>
    </row>
    <row r="476" spans="1:72">
      <c r="A476" s="84"/>
      <c r="G476" s="85"/>
      <c r="H476" s="85"/>
      <c r="I476" s="84"/>
      <c r="O476" s="85"/>
      <c r="P476" s="85"/>
      <c r="Q476" s="84"/>
      <c r="W476" s="85"/>
      <c r="X476" s="85"/>
      <c r="Y476" s="84"/>
      <c r="AE476" s="85"/>
      <c r="AF476" s="85"/>
      <c r="AG476" s="84"/>
      <c r="AM476" s="85"/>
      <c r="AN476" s="85"/>
      <c r="AO476" s="84"/>
      <c r="AU476" s="85"/>
      <c r="AV476" s="85"/>
      <c r="AW476" s="84"/>
      <c r="BC476" s="85"/>
      <c r="BD476" s="85"/>
      <c r="BE476" s="84"/>
      <c r="BK476" s="85"/>
      <c r="BL476" s="85"/>
      <c r="BM476" s="84"/>
      <c r="BS476" s="85"/>
      <c r="BT476" s="85"/>
    </row>
    <row r="477" spans="1:72">
      <c r="A477" s="84"/>
      <c r="G477" s="85"/>
      <c r="H477" s="85"/>
      <c r="I477" s="84"/>
      <c r="O477" s="85"/>
      <c r="P477" s="85"/>
      <c r="Q477" s="84"/>
      <c r="W477" s="85"/>
      <c r="X477" s="85"/>
      <c r="Y477" s="84"/>
      <c r="AE477" s="85"/>
      <c r="AF477" s="85"/>
      <c r="AG477" s="84"/>
      <c r="AM477" s="85"/>
      <c r="AN477" s="85"/>
      <c r="AO477" s="84"/>
      <c r="AU477" s="85"/>
      <c r="AV477" s="85"/>
      <c r="AW477" s="84"/>
      <c r="BC477" s="85"/>
      <c r="BD477" s="85"/>
      <c r="BE477" s="84"/>
      <c r="BK477" s="85"/>
      <c r="BL477" s="85"/>
      <c r="BM477" s="84"/>
      <c r="BS477" s="85"/>
      <c r="BT477" s="85"/>
    </row>
    <row r="478" spans="1:72">
      <c r="A478" s="84"/>
      <c r="G478" s="85"/>
      <c r="H478" s="85"/>
      <c r="I478" s="84"/>
      <c r="O478" s="85"/>
      <c r="P478" s="85"/>
      <c r="Q478" s="84"/>
      <c r="W478" s="85"/>
      <c r="X478" s="85"/>
      <c r="Y478" s="84"/>
      <c r="AE478" s="85"/>
      <c r="AF478" s="85"/>
      <c r="AG478" s="84"/>
      <c r="AM478" s="85"/>
      <c r="AN478" s="85"/>
      <c r="AO478" s="84"/>
      <c r="AU478" s="85"/>
      <c r="AV478" s="85"/>
      <c r="AW478" s="84"/>
      <c r="BC478" s="85"/>
      <c r="BD478" s="85"/>
      <c r="BE478" s="84"/>
      <c r="BK478" s="85"/>
      <c r="BL478" s="85"/>
      <c r="BM478" s="84"/>
      <c r="BS478" s="85"/>
      <c r="BT478" s="85"/>
    </row>
    <row r="479" spans="1:72">
      <c r="A479" s="84"/>
      <c r="G479" s="85"/>
      <c r="H479" s="85"/>
      <c r="I479" s="84"/>
      <c r="O479" s="85"/>
      <c r="P479" s="85"/>
      <c r="Q479" s="84"/>
      <c r="W479" s="85"/>
      <c r="X479" s="85"/>
      <c r="Y479" s="84"/>
      <c r="AE479" s="85"/>
      <c r="AF479" s="85"/>
      <c r="AG479" s="84"/>
      <c r="AM479" s="85"/>
      <c r="AN479" s="85"/>
      <c r="AO479" s="84"/>
      <c r="AU479" s="85"/>
      <c r="AV479" s="85"/>
      <c r="AW479" s="84"/>
      <c r="BC479" s="85"/>
      <c r="BD479" s="85"/>
      <c r="BE479" s="84"/>
      <c r="BK479" s="85"/>
      <c r="BL479" s="85"/>
      <c r="BM479" s="84"/>
      <c r="BS479" s="85"/>
      <c r="BT479" s="85"/>
    </row>
    <row r="480" spans="1:72">
      <c r="A480" s="84"/>
      <c r="G480" s="85"/>
      <c r="H480" s="85"/>
      <c r="I480" s="84"/>
      <c r="O480" s="85"/>
      <c r="P480" s="85"/>
      <c r="Q480" s="84"/>
      <c r="W480" s="85"/>
      <c r="X480" s="85"/>
      <c r="Y480" s="84"/>
      <c r="AE480" s="85"/>
      <c r="AF480" s="85"/>
      <c r="AG480" s="84"/>
      <c r="AM480" s="85"/>
      <c r="AN480" s="85"/>
      <c r="AO480" s="84"/>
      <c r="AU480" s="85"/>
      <c r="AV480" s="85"/>
      <c r="AW480" s="84"/>
      <c r="BC480" s="85"/>
      <c r="BD480" s="85"/>
      <c r="BE480" s="84"/>
      <c r="BK480" s="85"/>
      <c r="BL480" s="85"/>
      <c r="BM480" s="84"/>
      <c r="BS480" s="85"/>
      <c r="BT480" s="85"/>
    </row>
    <row r="481" spans="1:72">
      <c r="A481" s="84"/>
      <c r="G481" s="85"/>
      <c r="H481" s="85"/>
      <c r="I481" s="84"/>
      <c r="O481" s="85"/>
      <c r="P481" s="85"/>
      <c r="Q481" s="84"/>
      <c r="W481" s="85"/>
      <c r="X481" s="85"/>
      <c r="Y481" s="84"/>
      <c r="AE481" s="85"/>
      <c r="AF481" s="85"/>
      <c r="AG481" s="84"/>
      <c r="AM481" s="85"/>
      <c r="AN481" s="85"/>
      <c r="AO481" s="84"/>
      <c r="AU481" s="85"/>
      <c r="AV481" s="85"/>
      <c r="AW481" s="84"/>
      <c r="BC481" s="85"/>
      <c r="BD481" s="85"/>
      <c r="BE481" s="84"/>
      <c r="BK481" s="85"/>
      <c r="BL481" s="85"/>
      <c r="BM481" s="84"/>
      <c r="BS481" s="85"/>
      <c r="BT481" s="85"/>
    </row>
    <row r="482" spans="1:72">
      <c r="A482" s="84"/>
      <c r="G482" s="85"/>
      <c r="H482" s="85"/>
      <c r="I482" s="84"/>
      <c r="O482" s="85"/>
      <c r="P482" s="85"/>
      <c r="Q482" s="84"/>
      <c r="W482" s="85"/>
      <c r="X482" s="85"/>
      <c r="Y482" s="84"/>
      <c r="AE482" s="85"/>
      <c r="AF482" s="85"/>
      <c r="AG482" s="84"/>
      <c r="AM482" s="85"/>
      <c r="AN482" s="85"/>
      <c r="AO482" s="84"/>
      <c r="AU482" s="85"/>
      <c r="AV482" s="85"/>
      <c r="AW482" s="84"/>
      <c r="BC482" s="85"/>
      <c r="BD482" s="85"/>
      <c r="BE482" s="84"/>
      <c r="BK482" s="85"/>
      <c r="BL482" s="85"/>
      <c r="BM482" s="84"/>
      <c r="BS482" s="85"/>
      <c r="BT482" s="85"/>
    </row>
    <row r="483" spans="1:72">
      <c r="A483" s="84"/>
      <c r="G483" s="85"/>
      <c r="H483" s="85"/>
      <c r="I483" s="84"/>
      <c r="O483" s="85"/>
      <c r="P483" s="85"/>
      <c r="Q483" s="84"/>
      <c r="W483" s="85"/>
      <c r="X483" s="85"/>
      <c r="Y483" s="84"/>
      <c r="AE483" s="85"/>
      <c r="AF483" s="85"/>
      <c r="AG483" s="84"/>
      <c r="AM483" s="85"/>
      <c r="AN483" s="85"/>
      <c r="AO483" s="84"/>
      <c r="AU483" s="85"/>
      <c r="AV483" s="85"/>
      <c r="AW483" s="84"/>
      <c r="BC483" s="85"/>
      <c r="BD483" s="85"/>
      <c r="BE483" s="84"/>
      <c r="BK483" s="85"/>
      <c r="BL483" s="85"/>
      <c r="BM483" s="84"/>
      <c r="BS483" s="85"/>
      <c r="BT483" s="85"/>
    </row>
    <row r="484" spans="1:72">
      <c r="A484" s="84"/>
      <c r="G484" s="85"/>
      <c r="H484" s="85"/>
      <c r="I484" s="84"/>
      <c r="O484" s="85"/>
      <c r="P484" s="85"/>
      <c r="Q484" s="84"/>
      <c r="W484" s="85"/>
      <c r="X484" s="85"/>
      <c r="Y484" s="84"/>
      <c r="AE484" s="85"/>
      <c r="AF484" s="85"/>
      <c r="AG484" s="84"/>
      <c r="AM484" s="85"/>
      <c r="AN484" s="85"/>
      <c r="AO484" s="84"/>
      <c r="AU484" s="85"/>
      <c r="AV484" s="85"/>
      <c r="AW484" s="84"/>
      <c r="BC484" s="85"/>
      <c r="BD484" s="85"/>
      <c r="BE484" s="84"/>
      <c r="BK484" s="85"/>
      <c r="BL484" s="85"/>
      <c r="BM484" s="84"/>
      <c r="BS484" s="85"/>
      <c r="BT484" s="85"/>
    </row>
    <row r="485" spans="1:72">
      <c r="A485" s="84"/>
      <c r="G485" s="85"/>
      <c r="H485" s="85"/>
      <c r="I485" s="84"/>
      <c r="O485" s="85"/>
      <c r="P485" s="85"/>
      <c r="Q485" s="84"/>
      <c r="W485" s="85"/>
      <c r="X485" s="85"/>
      <c r="Y485" s="84"/>
      <c r="AE485" s="85"/>
      <c r="AF485" s="85"/>
      <c r="AG485" s="84"/>
      <c r="AM485" s="85"/>
      <c r="AN485" s="85"/>
      <c r="AO485" s="84"/>
      <c r="AU485" s="85"/>
      <c r="AV485" s="85"/>
      <c r="AW485" s="84"/>
      <c r="BC485" s="85"/>
      <c r="BD485" s="85"/>
      <c r="BE485" s="84"/>
      <c r="BK485" s="85"/>
      <c r="BL485" s="85"/>
      <c r="BM485" s="84"/>
      <c r="BS485" s="85"/>
      <c r="BT485" s="85"/>
    </row>
    <row r="486" spans="1:72">
      <c r="A486" s="84"/>
      <c r="G486" s="85"/>
      <c r="H486" s="85"/>
      <c r="I486" s="84"/>
      <c r="O486" s="85"/>
      <c r="P486" s="85"/>
      <c r="Q486" s="84"/>
      <c r="W486" s="85"/>
      <c r="X486" s="85"/>
      <c r="Y486" s="84"/>
      <c r="AE486" s="85"/>
      <c r="AF486" s="85"/>
      <c r="AG486" s="84"/>
      <c r="AM486" s="85"/>
      <c r="AN486" s="85"/>
      <c r="AO486" s="84"/>
      <c r="AU486" s="85"/>
      <c r="AV486" s="85"/>
      <c r="AW486" s="84"/>
      <c r="BC486" s="85"/>
      <c r="BD486" s="85"/>
      <c r="BE486" s="84"/>
      <c r="BK486" s="85"/>
      <c r="BL486" s="85"/>
      <c r="BM486" s="84"/>
      <c r="BS486" s="85"/>
      <c r="BT486" s="85"/>
    </row>
    <row r="487" spans="1:72">
      <c r="A487" s="84"/>
      <c r="G487" s="85"/>
      <c r="H487" s="85"/>
      <c r="I487" s="84"/>
      <c r="O487" s="85"/>
      <c r="P487" s="85"/>
      <c r="Q487" s="84"/>
      <c r="W487" s="85"/>
      <c r="X487" s="85"/>
      <c r="Y487" s="84"/>
      <c r="AE487" s="85"/>
      <c r="AF487" s="85"/>
      <c r="AG487" s="84"/>
      <c r="AM487" s="85"/>
      <c r="AN487" s="85"/>
      <c r="AO487" s="84"/>
      <c r="AU487" s="85"/>
      <c r="AV487" s="85"/>
      <c r="AW487" s="84"/>
      <c r="BC487" s="85"/>
      <c r="BD487" s="85"/>
      <c r="BE487" s="84"/>
      <c r="BK487" s="85"/>
      <c r="BL487" s="85"/>
      <c r="BM487" s="84"/>
      <c r="BS487" s="85"/>
      <c r="BT487" s="85"/>
    </row>
    <row r="488" spans="1:72">
      <c r="A488" s="84"/>
      <c r="G488" s="85"/>
      <c r="H488" s="85"/>
      <c r="I488" s="84"/>
      <c r="O488" s="85"/>
      <c r="P488" s="85"/>
      <c r="Q488" s="84"/>
      <c r="W488" s="85"/>
      <c r="X488" s="85"/>
      <c r="Y488" s="84"/>
      <c r="AE488" s="85"/>
      <c r="AF488" s="85"/>
      <c r="AG488" s="84"/>
      <c r="AM488" s="85"/>
      <c r="AN488" s="85"/>
      <c r="AO488" s="84"/>
      <c r="AU488" s="85"/>
      <c r="AV488" s="85"/>
      <c r="AW488" s="84"/>
      <c r="BC488" s="85"/>
      <c r="BD488" s="85"/>
      <c r="BE488" s="84"/>
      <c r="BK488" s="85"/>
      <c r="BL488" s="85"/>
      <c r="BM488" s="84"/>
      <c r="BS488" s="85"/>
      <c r="BT488" s="85"/>
    </row>
    <row r="489" spans="1:72">
      <c r="A489" s="84"/>
      <c r="G489" s="85"/>
      <c r="H489" s="85"/>
      <c r="I489" s="84"/>
      <c r="O489" s="85"/>
      <c r="P489" s="85"/>
      <c r="Q489" s="84"/>
      <c r="W489" s="85"/>
      <c r="X489" s="85"/>
      <c r="Y489" s="84"/>
      <c r="AE489" s="85"/>
      <c r="AF489" s="85"/>
      <c r="AG489" s="84"/>
      <c r="AM489" s="85"/>
      <c r="AN489" s="85"/>
      <c r="AO489" s="84"/>
      <c r="AU489" s="85"/>
      <c r="AV489" s="85"/>
      <c r="AW489" s="84"/>
      <c r="BC489" s="85"/>
      <c r="BD489" s="85"/>
      <c r="BE489" s="84"/>
      <c r="BK489" s="85"/>
      <c r="BL489" s="85"/>
      <c r="BM489" s="84"/>
      <c r="BS489" s="85"/>
      <c r="BT489" s="85"/>
    </row>
    <row r="490" spans="1:72">
      <c r="A490" s="84"/>
      <c r="G490" s="85"/>
      <c r="H490" s="85"/>
      <c r="I490" s="84"/>
      <c r="O490" s="85"/>
      <c r="P490" s="85"/>
      <c r="Q490" s="84"/>
      <c r="W490" s="85"/>
      <c r="X490" s="85"/>
      <c r="Y490" s="84"/>
      <c r="AE490" s="85"/>
      <c r="AF490" s="85"/>
      <c r="AG490" s="84"/>
      <c r="AM490" s="85"/>
      <c r="AN490" s="85"/>
      <c r="AO490" s="84"/>
      <c r="AU490" s="85"/>
      <c r="AV490" s="85"/>
      <c r="AW490" s="84"/>
      <c r="BC490" s="85"/>
      <c r="BD490" s="85"/>
      <c r="BE490" s="84"/>
      <c r="BK490" s="85"/>
      <c r="BL490" s="85"/>
      <c r="BM490" s="84"/>
      <c r="BS490" s="85"/>
      <c r="BT490" s="85"/>
    </row>
    <row r="491" spans="1:72">
      <c r="A491" s="84"/>
      <c r="G491" s="85"/>
      <c r="H491" s="85"/>
      <c r="I491" s="84"/>
      <c r="O491" s="85"/>
      <c r="P491" s="85"/>
      <c r="Q491" s="84"/>
      <c r="W491" s="85"/>
      <c r="X491" s="85"/>
      <c r="Y491" s="84"/>
      <c r="AE491" s="85"/>
      <c r="AF491" s="85"/>
      <c r="AG491" s="84"/>
      <c r="AM491" s="85"/>
      <c r="AN491" s="85"/>
      <c r="AO491" s="84"/>
      <c r="AU491" s="85"/>
      <c r="AV491" s="85"/>
      <c r="AW491" s="84"/>
      <c r="BC491" s="85"/>
      <c r="BD491" s="85"/>
      <c r="BE491" s="84"/>
      <c r="BK491" s="85"/>
      <c r="BL491" s="85"/>
      <c r="BM491" s="84"/>
      <c r="BS491" s="85"/>
      <c r="BT491" s="85"/>
    </row>
    <row r="492" spans="1:72" ht="14.25" thickBot="1">
      <c r="A492" s="86"/>
      <c r="B492" s="87"/>
      <c r="C492" s="87"/>
      <c r="D492" s="87"/>
      <c r="E492" s="87"/>
      <c r="F492" s="87"/>
      <c r="G492" s="88"/>
      <c r="H492" s="88"/>
      <c r="I492" s="86"/>
      <c r="J492" s="87"/>
      <c r="K492" s="87"/>
      <c r="L492" s="87"/>
      <c r="M492" s="87"/>
      <c r="N492" s="87"/>
      <c r="O492" s="88"/>
      <c r="P492" s="88"/>
      <c r="Q492" s="86"/>
      <c r="R492" s="87"/>
      <c r="S492" s="87"/>
      <c r="T492" s="87"/>
      <c r="U492" s="87"/>
      <c r="V492" s="87"/>
      <c r="W492" s="88"/>
      <c r="X492" s="88"/>
      <c r="Y492" s="86"/>
      <c r="Z492" s="87"/>
      <c r="AA492" s="87"/>
      <c r="AB492" s="87"/>
      <c r="AC492" s="87"/>
      <c r="AD492" s="87"/>
      <c r="AE492" s="88"/>
      <c r="AF492" s="88"/>
      <c r="AG492" s="86"/>
      <c r="AH492" s="87"/>
      <c r="AI492" s="87"/>
      <c r="AJ492" s="87"/>
      <c r="AK492" s="87"/>
      <c r="AL492" s="87"/>
      <c r="AM492" s="88"/>
      <c r="AN492" s="88"/>
      <c r="AO492" s="86"/>
      <c r="AP492" s="87"/>
      <c r="AQ492" s="87"/>
      <c r="AR492" s="87"/>
      <c r="AS492" s="87"/>
      <c r="AT492" s="87"/>
      <c r="AU492" s="88"/>
      <c r="AV492" s="88"/>
      <c r="AW492" s="86"/>
      <c r="AX492" s="87"/>
      <c r="AY492" s="87"/>
      <c r="AZ492" s="87"/>
      <c r="BA492" s="87"/>
      <c r="BB492" s="87"/>
      <c r="BC492" s="88"/>
      <c r="BD492" s="88"/>
      <c r="BE492" s="86"/>
      <c r="BF492" s="87"/>
      <c r="BG492" s="87"/>
      <c r="BH492" s="87"/>
      <c r="BI492" s="87"/>
      <c r="BJ492" s="87"/>
      <c r="BK492" s="88"/>
      <c r="BL492" s="88"/>
      <c r="BM492" s="86"/>
      <c r="BN492" s="87"/>
      <c r="BO492" s="87"/>
      <c r="BP492" s="87"/>
      <c r="BQ492" s="87"/>
      <c r="BR492" s="87"/>
      <c r="BS492" s="88"/>
      <c r="BT492" s="88"/>
    </row>
  </sheetData>
  <mergeCells count="27">
    <mergeCell ref="AW1:AZ1"/>
    <mergeCell ref="BE1:BH1"/>
    <mergeCell ref="BM1:BP1"/>
    <mergeCell ref="AW2:AZ2"/>
    <mergeCell ref="BE2:BH2"/>
    <mergeCell ref="BM2:BP2"/>
    <mergeCell ref="A1:G2"/>
    <mergeCell ref="I1:J1"/>
    <mergeCell ref="L1:N1"/>
    <mergeCell ref="I2:J2"/>
    <mergeCell ref="L2:N2"/>
    <mergeCell ref="Q1:R1"/>
    <mergeCell ref="T1:V1"/>
    <mergeCell ref="Q2:R2"/>
    <mergeCell ref="T2:V2"/>
    <mergeCell ref="Y1:Z1"/>
    <mergeCell ref="Y2:Z2"/>
    <mergeCell ref="AO1:AP1"/>
    <mergeCell ref="AR1:AT1"/>
    <mergeCell ref="AO2:AP2"/>
    <mergeCell ref="AR2:AT2"/>
    <mergeCell ref="AB1:AD1"/>
    <mergeCell ref="AB2:AD2"/>
    <mergeCell ref="AG1:AH1"/>
    <mergeCell ref="AJ1:AL1"/>
    <mergeCell ref="AG2:AH2"/>
    <mergeCell ref="AJ2:AL2"/>
  </mergeCells>
  <phoneticPr fontId="12"/>
  <pageMargins left="0.7" right="0.7" top="0.75" bottom="0.75" header="0.3" footer="0.3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S9"/>
  <sheetViews>
    <sheetView workbookViewId="0">
      <selection activeCell="G10" sqref="G10"/>
    </sheetView>
  </sheetViews>
  <sheetFormatPr defaultRowHeight="13.5"/>
  <cols>
    <col min="1" max="1" width="9" customWidth="1"/>
    <col min="64" max="67" width="16.5" bestFit="1" customWidth="1"/>
    <col min="68" max="70" width="17.625" bestFit="1" customWidth="1"/>
    <col min="71" max="79" width="16.5" bestFit="1" customWidth="1"/>
    <col min="80" max="82" width="17.625" bestFit="1" customWidth="1"/>
    <col min="83" max="91" width="16.5" bestFit="1" customWidth="1"/>
    <col min="92" max="94" width="17.625" bestFit="1" customWidth="1"/>
    <col min="95" max="103" width="16.5" bestFit="1" customWidth="1"/>
    <col min="104" max="106" width="17.625" bestFit="1" customWidth="1"/>
    <col min="107" max="110" width="16.5" bestFit="1" customWidth="1"/>
  </cols>
  <sheetData>
    <row r="1" spans="1:149" ht="14.25" thickBot="1"/>
    <row r="2" spans="1:149" ht="14.25" thickBot="1">
      <c r="C2" s="959"/>
      <c r="D2" s="960"/>
      <c r="E2" s="960"/>
      <c r="F2" s="960"/>
      <c r="G2" s="960"/>
      <c r="H2" s="960"/>
      <c r="I2" s="960"/>
      <c r="J2" s="960"/>
      <c r="K2" s="960"/>
      <c r="L2" s="960"/>
      <c r="M2" s="961"/>
      <c r="N2" s="962"/>
      <c r="O2" s="963"/>
      <c r="P2" s="963"/>
      <c r="Q2" s="963"/>
      <c r="R2" s="963"/>
      <c r="S2" s="963"/>
      <c r="T2" s="963"/>
      <c r="U2" s="963"/>
      <c r="V2" s="963"/>
      <c r="W2" s="963"/>
      <c r="X2" s="963"/>
      <c r="Y2" s="964"/>
      <c r="Z2" s="959"/>
      <c r="AA2" s="960"/>
      <c r="AB2" s="960"/>
      <c r="AC2" s="960"/>
      <c r="AD2" s="960"/>
      <c r="AE2" s="960"/>
      <c r="AF2" s="960"/>
      <c r="AG2" s="960"/>
      <c r="AH2" s="960"/>
      <c r="AI2" s="960"/>
      <c r="AJ2" s="960"/>
      <c r="AK2" s="961"/>
      <c r="AL2" s="962"/>
      <c r="AM2" s="963"/>
      <c r="AN2" s="963"/>
      <c r="AO2" s="963"/>
      <c r="AP2" s="963"/>
      <c r="AQ2" s="963"/>
      <c r="AR2" s="963"/>
      <c r="AS2" s="963"/>
      <c r="AT2" s="963"/>
      <c r="AU2" s="963"/>
      <c r="AV2" s="963"/>
      <c r="AW2" s="964"/>
      <c r="AX2" s="959"/>
      <c r="AY2" s="960"/>
      <c r="AZ2" s="960"/>
      <c r="BA2" s="960"/>
      <c r="BB2" s="960"/>
      <c r="BC2" s="960"/>
      <c r="BD2" s="960"/>
      <c r="BE2" s="960"/>
      <c r="BF2" s="960"/>
      <c r="BG2" s="960"/>
      <c r="BH2" s="960"/>
      <c r="BI2" s="961"/>
      <c r="BJ2" s="962"/>
      <c r="BK2" s="963"/>
      <c r="BL2" s="963"/>
      <c r="BM2" s="963"/>
      <c r="BN2" s="963"/>
      <c r="BO2" s="963"/>
      <c r="BP2" s="963"/>
      <c r="BQ2" s="963"/>
      <c r="BR2" s="963"/>
      <c r="BS2" s="963"/>
      <c r="BT2" s="963"/>
      <c r="BU2" s="964"/>
      <c r="BV2" s="959"/>
      <c r="BW2" s="960"/>
      <c r="BX2" s="960"/>
      <c r="BY2" s="960"/>
      <c r="BZ2" s="960"/>
      <c r="CA2" s="960"/>
      <c r="CB2" s="960"/>
      <c r="CC2" s="960"/>
      <c r="CD2" s="960"/>
      <c r="CE2" s="960"/>
      <c r="CF2" s="960"/>
      <c r="CG2" s="961"/>
      <c r="CH2" s="962"/>
      <c r="CI2" s="963"/>
      <c r="CJ2" s="963"/>
      <c r="CK2" s="963"/>
      <c r="CL2" s="963"/>
      <c r="CM2" s="963"/>
      <c r="CN2" s="963"/>
      <c r="CO2" s="963"/>
      <c r="CP2" s="963"/>
      <c r="CQ2" s="963"/>
      <c r="CR2" s="963"/>
      <c r="CS2" s="964"/>
      <c r="CT2" s="959"/>
      <c r="CU2" s="960"/>
      <c r="CV2" s="960"/>
      <c r="CW2" s="960"/>
      <c r="CX2" s="960"/>
      <c r="CY2" s="960"/>
      <c r="CZ2" s="960"/>
      <c r="DA2" s="960"/>
      <c r="DB2" s="960"/>
      <c r="DC2" s="960"/>
      <c r="DD2" s="960"/>
      <c r="DE2" s="961"/>
      <c r="DF2" s="962"/>
      <c r="DG2" s="963"/>
      <c r="DH2" s="963"/>
      <c r="DI2" s="963"/>
      <c r="DJ2" s="963"/>
      <c r="DK2" s="963"/>
      <c r="DL2" s="963"/>
      <c r="DM2" s="963"/>
      <c r="DN2" s="963"/>
      <c r="DO2" s="963"/>
      <c r="DP2" s="963"/>
      <c r="DQ2" s="964"/>
      <c r="DR2" s="959"/>
      <c r="DS2" s="960"/>
      <c r="DT2" s="960"/>
      <c r="DU2" s="960"/>
      <c r="DV2" s="960"/>
      <c r="DW2" s="960"/>
      <c r="DX2" s="960"/>
      <c r="DY2" s="960"/>
      <c r="DZ2" s="960"/>
      <c r="EA2" s="960"/>
      <c r="EB2" s="960"/>
      <c r="EC2" s="961"/>
    </row>
    <row r="3" spans="1:149" ht="14.25" thickBot="1">
      <c r="A3" s="77"/>
      <c r="B3" s="103" t="s">
        <v>235</v>
      </c>
      <c r="C3" s="107">
        <v>40688</v>
      </c>
      <c r="D3" s="107">
        <v>40719</v>
      </c>
      <c r="E3" s="107">
        <v>40749</v>
      </c>
      <c r="F3" s="107">
        <v>40780</v>
      </c>
      <c r="G3" s="107">
        <v>40811</v>
      </c>
      <c r="H3" s="107">
        <v>40841</v>
      </c>
      <c r="I3" s="107">
        <v>40872</v>
      </c>
      <c r="J3" s="107">
        <v>40902</v>
      </c>
      <c r="K3" s="107">
        <v>40933</v>
      </c>
      <c r="L3" s="107">
        <v>40964</v>
      </c>
      <c r="M3" s="107">
        <v>40993</v>
      </c>
      <c r="N3" s="107">
        <v>41024</v>
      </c>
      <c r="O3" s="107">
        <v>41054</v>
      </c>
      <c r="P3" s="107">
        <v>41085</v>
      </c>
      <c r="Q3" s="107">
        <v>41115</v>
      </c>
      <c r="R3" s="107">
        <v>41146</v>
      </c>
      <c r="S3" s="107">
        <v>41177</v>
      </c>
      <c r="T3" s="107">
        <v>41207</v>
      </c>
      <c r="U3" s="107">
        <v>41238</v>
      </c>
      <c r="V3" s="107">
        <v>41268</v>
      </c>
      <c r="W3" s="107">
        <v>41299</v>
      </c>
      <c r="X3" s="107">
        <v>41330</v>
      </c>
      <c r="Y3" s="107">
        <v>41358</v>
      </c>
      <c r="Z3" s="107">
        <v>41389</v>
      </c>
      <c r="AA3" s="107">
        <v>41419</v>
      </c>
      <c r="AB3" s="107">
        <v>41450</v>
      </c>
      <c r="AC3" s="107">
        <v>41480</v>
      </c>
      <c r="AD3" s="107">
        <v>41511</v>
      </c>
      <c r="AE3" s="107">
        <v>41542</v>
      </c>
      <c r="AF3" s="107">
        <v>41572</v>
      </c>
      <c r="AG3" s="107">
        <v>41603</v>
      </c>
      <c r="AH3" s="107">
        <v>41633</v>
      </c>
      <c r="AI3" s="107">
        <v>41664</v>
      </c>
      <c r="AJ3" s="107">
        <v>41695</v>
      </c>
      <c r="AK3" s="107">
        <v>41723</v>
      </c>
      <c r="AL3" s="108">
        <v>41754</v>
      </c>
      <c r="AM3" s="108">
        <v>41784</v>
      </c>
      <c r="AN3" s="108">
        <v>41815</v>
      </c>
      <c r="AO3" s="108">
        <v>41845</v>
      </c>
      <c r="AP3" s="108">
        <v>41876</v>
      </c>
      <c r="AQ3" s="108">
        <v>41907</v>
      </c>
      <c r="AR3" s="108">
        <v>41937</v>
      </c>
      <c r="AS3" s="108">
        <v>41968</v>
      </c>
      <c r="AT3" s="108">
        <v>41998</v>
      </c>
      <c r="AU3" s="108">
        <v>42029</v>
      </c>
      <c r="AV3" s="108">
        <v>42060</v>
      </c>
      <c r="AW3" s="108">
        <v>42088</v>
      </c>
      <c r="AX3" s="108">
        <v>42119</v>
      </c>
      <c r="AY3" s="108">
        <v>42149</v>
      </c>
      <c r="AZ3" s="108">
        <v>42180</v>
      </c>
      <c r="BA3" s="108">
        <v>42210</v>
      </c>
      <c r="BB3" s="108">
        <v>42241</v>
      </c>
      <c r="BC3" s="108">
        <v>42272</v>
      </c>
      <c r="BD3" s="108">
        <v>42302</v>
      </c>
      <c r="BE3" s="108">
        <v>42333</v>
      </c>
      <c r="BF3" s="108">
        <v>42363</v>
      </c>
      <c r="BG3" s="108">
        <v>42394</v>
      </c>
      <c r="BH3" s="108">
        <v>42425</v>
      </c>
      <c r="BI3" s="108">
        <v>42454</v>
      </c>
      <c r="BJ3" s="108">
        <v>42485</v>
      </c>
      <c r="BK3" s="109">
        <v>42515</v>
      </c>
      <c r="BL3" s="110">
        <v>42546</v>
      </c>
      <c r="BM3" s="110">
        <v>42576</v>
      </c>
      <c r="BN3" s="110">
        <v>42607</v>
      </c>
      <c r="BO3" s="110">
        <v>42638</v>
      </c>
      <c r="BP3" s="110">
        <v>42668</v>
      </c>
      <c r="BQ3" s="110">
        <v>42699</v>
      </c>
      <c r="BR3" s="110">
        <v>42729</v>
      </c>
      <c r="BS3" s="110">
        <v>42760</v>
      </c>
      <c r="BT3" s="110">
        <v>42791</v>
      </c>
      <c r="BU3" s="110">
        <v>42819</v>
      </c>
      <c r="BV3" s="110">
        <v>42850</v>
      </c>
      <c r="BW3" s="110">
        <v>42880</v>
      </c>
      <c r="BX3" s="110">
        <v>42911</v>
      </c>
      <c r="BY3" s="110">
        <v>42941</v>
      </c>
      <c r="BZ3" s="110">
        <v>42972</v>
      </c>
      <c r="CA3" s="110">
        <v>43003</v>
      </c>
      <c r="CB3" s="110">
        <v>43033</v>
      </c>
      <c r="CC3" s="110">
        <v>43064</v>
      </c>
      <c r="CD3" s="110">
        <v>43094</v>
      </c>
      <c r="CE3" s="110">
        <v>43125</v>
      </c>
      <c r="CF3" s="110">
        <v>43156</v>
      </c>
      <c r="CG3" s="110">
        <v>43184</v>
      </c>
      <c r="CH3" s="110">
        <v>43215</v>
      </c>
      <c r="CI3" s="110">
        <v>43245</v>
      </c>
      <c r="CJ3" s="110">
        <v>43276</v>
      </c>
      <c r="CK3" s="110">
        <v>43306</v>
      </c>
      <c r="CL3" s="110">
        <v>43337</v>
      </c>
      <c r="CM3" s="110">
        <v>43368</v>
      </c>
      <c r="CN3" s="110">
        <v>43398</v>
      </c>
      <c r="CO3" s="110">
        <v>43429</v>
      </c>
      <c r="CP3" s="110">
        <v>43459</v>
      </c>
      <c r="CQ3" s="110">
        <v>43490</v>
      </c>
      <c r="CR3" s="110">
        <v>43521</v>
      </c>
      <c r="CS3" s="110">
        <v>43549</v>
      </c>
      <c r="CT3" s="110">
        <v>43580</v>
      </c>
      <c r="CU3" s="110">
        <v>43610</v>
      </c>
      <c r="CV3" s="110">
        <v>43641</v>
      </c>
      <c r="CW3" s="110">
        <v>43671</v>
      </c>
      <c r="CX3" s="110">
        <v>43702</v>
      </c>
      <c r="CY3" s="110">
        <v>43733</v>
      </c>
      <c r="CZ3" s="110">
        <v>43763</v>
      </c>
      <c r="DA3" s="110">
        <v>43794</v>
      </c>
      <c r="DB3" s="110">
        <v>43824</v>
      </c>
      <c r="DC3" s="110">
        <v>43855</v>
      </c>
      <c r="DD3" s="110">
        <v>43886</v>
      </c>
      <c r="DE3" s="110">
        <v>43915</v>
      </c>
      <c r="DF3" s="110">
        <v>43946</v>
      </c>
      <c r="DG3" s="110"/>
      <c r="DH3" s="110"/>
      <c r="DI3" s="110"/>
      <c r="DJ3" s="110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</row>
    <row r="4" spans="1:149" ht="14.25" thickBot="1">
      <c r="A4" s="77"/>
      <c r="B4" s="103" t="s">
        <v>236</v>
      </c>
      <c r="C4" s="27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</row>
    <row r="5" spans="1:149" ht="14.25" thickBot="1">
      <c r="A5" s="91"/>
      <c r="B5" s="96" t="s">
        <v>237</v>
      </c>
      <c r="C5" s="106">
        <v>754086</v>
      </c>
      <c r="D5" s="106">
        <v>754006</v>
      </c>
      <c r="E5" s="106">
        <v>754006</v>
      </c>
      <c r="F5" s="106">
        <v>754006</v>
      </c>
      <c r="G5" s="106">
        <v>754006</v>
      </c>
      <c r="H5" s="106">
        <v>754006</v>
      </c>
      <c r="I5" s="106">
        <v>754006</v>
      </c>
      <c r="J5" s="106">
        <v>754006</v>
      </c>
      <c r="K5" s="106">
        <v>754006</v>
      </c>
      <c r="L5" s="106">
        <v>754006</v>
      </c>
      <c r="M5" s="106">
        <v>754006</v>
      </c>
      <c r="N5" s="106">
        <v>754006</v>
      </c>
      <c r="O5" s="106">
        <v>754006</v>
      </c>
      <c r="P5" s="106">
        <v>754006</v>
      </c>
      <c r="Q5" s="106">
        <v>754006</v>
      </c>
      <c r="R5" s="106">
        <v>754006</v>
      </c>
      <c r="S5" s="106">
        <v>754006</v>
      </c>
      <c r="T5" s="106">
        <v>754006</v>
      </c>
      <c r="U5" s="106">
        <v>754006</v>
      </c>
      <c r="V5" s="106">
        <v>754006</v>
      </c>
      <c r="W5" s="106">
        <v>754006</v>
      </c>
      <c r="X5" s="106">
        <v>754006</v>
      </c>
      <c r="Y5" s="106">
        <v>754006</v>
      </c>
      <c r="Z5" s="106">
        <v>754006</v>
      </c>
      <c r="AA5" s="106">
        <v>754006</v>
      </c>
      <c r="AB5" s="106">
        <v>754006</v>
      </c>
      <c r="AC5" s="106">
        <v>1332566</v>
      </c>
      <c r="AD5" s="106">
        <v>1332518</v>
      </c>
      <c r="AE5" s="106">
        <v>1332518</v>
      </c>
      <c r="AF5" s="106">
        <v>1332518</v>
      </c>
      <c r="AG5" s="106">
        <v>1332518</v>
      </c>
      <c r="AH5" s="106">
        <v>1332518</v>
      </c>
      <c r="AI5" s="106">
        <v>1332518</v>
      </c>
      <c r="AJ5" s="106">
        <v>1332518</v>
      </c>
      <c r="AK5" s="106">
        <v>1332518</v>
      </c>
      <c r="AL5" s="106">
        <v>1332518</v>
      </c>
      <c r="AM5" s="106">
        <v>1332518</v>
      </c>
      <c r="AN5" s="106">
        <v>1332518</v>
      </c>
      <c r="AO5" s="106">
        <v>1332518</v>
      </c>
      <c r="AP5" s="106">
        <v>1332518</v>
      </c>
      <c r="AQ5" s="106">
        <v>1332518</v>
      </c>
      <c r="AR5" s="106">
        <v>1332518</v>
      </c>
      <c r="AS5" s="106">
        <v>1332518</v>
      </c>
      <c r="AT5" s="106">
        <v>1332518</v>
      </c>
      <c r="AU5" s="106">
        <v>1332518</v>
      </c>
      <c r="AV5" s="106">
        <v>1332518</v>
      </c>
      <c r="AW5" s="106">
        <v>1332518</v>
      </c>
      <c r="AX5" s="106">
        <v>1332518</v>
      </c>
      <c r="AY5" s="106">
        <v>1332518</v>
      </c>
      <c r="AZ5" s="106">
        <v>1332518</v>
      </c>
      <c r="BA5" s="106">
        <v>1332518</v>
      </c>
      <c r="BB5" s="106">
        <v>1332518</v>
      </c>
      <c r="BC5" s="106">
        <v>1332518</v>
      </c>
      <c r="BD5" s="106">
        <v>1332518</v>
      </c>
      <c r="BE5" s="106">
        <v>1332518</v>
      </c>
      <c r="BF5" s="106">
        <v>1332518</v>
      </c>
      <c r="BG5" s="106">
        <v>1112018</v>
      </c>
      <c r="BH5" s="106">
        <v>1112018</v>
      </c>
      <c r="BI5" s="106">
        <v>1112018</v>
      </c>
      <c r="BJ5" s="106">
        <v>1112018</v>
      </c>
      <c r="BK5" s="106">
        <v>98870452</v>
      </c>
      <c r="BL5" s="10">
        <v>870452</v>
      </c>
      <c r="BM5" s="10">
        <v>870452</v>
      </c>
      <c r="BN5" s="10">
        <v>870452</v>
      </c>
      <c r="BO5" s="10">
        <v>870452</v>
      </c>
      <c r="BP5" s="10">
        <v>870452</v>
      </c>
      <c r="BQ5" s="10">
        <v>870452</v>
      </c>
      <c r="BR5" s="10">
        <v>870452</v>
      </c>
      <c r="BS5" s="10">
        <v>870452</v>
      </c>
      <c r="BT5" s="10">
        <v>870452</v>
      </c>
      <c r="BU5" s="10">
        <v>870452</v>
      </c>
      <c r="BV5" s="10">
        <v>870452</v>
      </c>
      <c r="BW5" s="10">
        <v>870452</v>
      </c>
      <c r="BX5" s="10">
        <v>870452</v>
      </c>
      <c r="BY5" s="10">
        <v>870452</v>
      </c>
      <c r="BZ5" s="10">
        <v>870452</v>
      </c>
      <c r="CA5" s="10">
        <v>870452</v>
      </c>
      <c r="CB5" s="10">
        <v>870452</v>
      </c>
      <c r="CC5" s="10">
        <v>870452</v>
      </c>
      <c r="CD5" s="10">
        <v>870452</v>
      </c>
      <c r="CE5" s="10">
        <v>870452</v>
      </c>
      <c r="CF5" s="10">
        <v>870452</v>
      </c>
      <c r="CG5" s="10">
        <v>870452</v>
      </c>
      <c r="CH5" s="10">
        <v>870452</v>
      </c>
      <c r="CI5" s="10">
        <v>2245178</v>
      </c>
      <c r="CJ5" s="10">
        <v>2245178</v>
      </c>
      <c r="CK5" s="10">
        <v>2245178</v>
      </c>
      <c r="CL5" s="10">
        <v>2245178</v>
      </c>
      <c r="CM5" s="10">
        <v>2245178</v>
      </c>
      <c r="CN5" s="10">
        <v>2245178</v>
      </c>
      <c r="CO5" s="10">
        <v>2245178</v>
      </c>
      <c r="CP5" s="10">
        <v>2245178</v>
      </c>
      <c r="CQ5" s="10">
        <v>2245178</v>
      </c>
      <c r="CR5" s="10">
        <v>2245178</v>
      </c>
      <c r="CS5" s="10">
        <v>2245178</v>
      </c>
      <c r="CT5" s="10">
        <v>2245178</v>
      </c>
      <c r="CU5" s="10">
        <v>2245178</v>
      </c>
      <c r="CV5" s="10">
        <v>2245178</v>
      </c>
      <c r="CW5" s="10">
        <v>2245178</v>
      </c>
      <c r="CX5" s="10">
        <v>2245178</v>
      </c>
      <c r="CY5" s="10">
        <v>2245178</v>
      </c>
      <c r="CZ5" s="10">
        <v>2245178</v>
      </c>
      <c r="DA5" s="10">
        <v>2245178</v>
      </c>
      <c r="DB5" s="10">
        <v>2245178</v>
      </c>
      <c r="DC5" s="10">
        <v>2245178</v>
      </c>
      <c r="DD5" s="10">
        <v>2245178</v>
      </c>
      <c r="DE5" s="10">
        <v>2245178</v>
      </c>
      <c r="DF5" s="10">
        <v>2245178</v>
      </c>
      <c r="DG5" s="27">
        <v>578512</v>
      </c>
      <c r="DH5" s="27">
        <v>578512</v>
      </c>
      <c r="DI5" s="27">
        <v>578512</v>
      </c>
      <c r="DJ5" s="27">
        <v>578512</v>
      </c>
      <c r="DK5">
        <v>578512</v>
      </c>
      <c r="DL5">
        <v>578512</v>
      </c>
      <c r="DM5">
        <v>578512</v>
      </c>
      <c r="DN5">
        <v>578512</v>
      </c>
      <c r="DO5">
        <v>578512</v>
      </c>
      <c r="DP5">
        <v>578512</v>
      </c>
      <c r="DQ5">
        <v>578512</v>
      </c>
      <c r="DR5">
        <v>578512</v>
      </c>
      <c r="DS5">
        <v>578512</v>
      </c>
      <c r="DT5">
        <v>578512</v>
      </c>
      <c r="DU5">
        <v>578512</v>
      </c>
      <c r="DV5">
        <v>578512</v>
      </c>
      <c r="DW5">
        <v>578512</v>
      </c>
      <c r="DX5">
        <v>578512</v>
      </c>
      <c r="DY5">
        <v>578512</v>
      </c>
      <c r="DZ5">
        <v>578512</v>
      </c>
      <c r="EA5">
        <v>578512</v>
      </c>
      <c r="EB5">
        <v>578512</v>
      </c>
      <c r="EC5">
        <v>578512</v>
      </c>
      <c r="ED5">
        <v>578512</v>
      </c>
      <c r="EE5">
        <v>578512</v>
      </c>
      <c r="EF5">
        <v>578512</v>
      </c>
      <c r="EG5">
        <v>578512</v>
      </c>
      <c r="EH5">
        <v>578512</v>
      </c>
      <c r="EI5">
        <v>578512</v>
      </c>
      <c r="EJ5">
        <v>578512</v>
      </c>
      <c r="EK5">
        <v>578512</v>
      </c>
      <c r="EL5">
        <v>578512</v>
      </c>
      <c r="EM5">
        <v>578512</v>
      </c>
      <c r="EN5">
        <v>578512</v>
      </c>
      <c r="EO5">
        <v>578512</v>
      </c>
      <c r="EP5">
        <v>578512</v>
      </c>
      <c r="EQ5">
        <v>578512</v>
      </c>
      <c r="ER5">
        <v>578512</v>
      </c>
      <c r="ES5">
        <v>578512</v>
      </c>
    </row>
    <row r="6" spans="1:149" ht="14.25" thickBot="1">
      <c r="A6" s="92" t="s">
        <v>233</v>
      </c>
      <c r="B6" s="96" t="s">
        <v>238</v>
      </c>
      <c r="C6" s="106">
        <v>148858</v>
      </c>
      <c r="D6" s="106">
        <v>164190</v>
      </c>
      <c r="E6" s="106">
        <v>158689</v>
      </c>
      <c r="F6" s="106">
        <v>161906</v>
      </c>
      <c r="G6" s="106">
        <v>3099875</v>
      </c>
      <c r="H6" s="106">
        <v>154448</v>
      </c>
      <c r="I6" s="106">
        <v>156998</v>
      </c>
      <c r="J6" s="106">
        <v>151620</v>
      </c>
      <c r="K6" s="106">
        <v>154658</v>
      </c>
      <c r="L6" s="106">
        <v>152158</v>
      </c>
      <c r="M6" s="106">
        <v>3082997</v>
      </c>
      <c r="N6" s="106">
        <v>149807</v>
      </c>
      <c r="O6" s="106">
        <v>144552</v>
      </c>
      <c r="P6" s="106">
        <v>146932</v>
      </c>
      <c r="Q6" s="106">
        <v>141724</v>
      </c>
      <c r="R6" s="106">
        <v>144513</v>
      </c>
      <c r="S6" s="106">
        <v>3082617</v>
      </c>
      <c r="T6" s="106">
        <v>137482</v>
      </c>
      <c r="U6" s="106">
        <v>139740</v>
      </c>
      <c r="V6" s="106">
        <v>134655</v>
      </c>
      <c r="W6" s="106">
        <v>137266</v>
      </c>
      <c r="X6" s="106">
        <v>134644</v>
      </c>
      <c r="Y6" s="106">
        <v>3062505</v>
      </c>
      <c r="Z6" s="106">
        <v>132550</v>
      </c>
      <c r="AA6" s="106">
        <v>127586</v>
      </c>
      <c r="AB6" s="106">
        <v>129673</v>
      </c>
      <c r="AC6" s="106">
        <v>124759</v>
      </c>
      <c r="AD6" s="106">
        <v>126556</v>
      </c>
      <c r="AE6" s="106">
        <v>3064229</v>
      </c>
      <c r="AF6" s="106">
        <v>118877</v>
      </c>
      <c r="AG6" s="106">
        <v>120223</v>
      </c>
      <c r="AH6" s="106">
        <v>114956</v>
      </c>
      <c r="AI6" s="106">
        <v>116484</v>
      </c>
      <c r="AJ6" s="106">
        <v>113699</v>
      </c>
      <c r="AK6" s="106">
        <v>3042310</v>
      </c>
      <c r="AL6" s="106">
        <v>110207</v>
      </c>
      <c r="AM6" s="106">
        <v>105154</v>
      </c>
      <c r="AN6" s="106">
        <v>106201</v>
      </c>
      <c r="AO6" s="106">
        <v>101232</v>
      </c>
      <c r="AP6" s="106">
        <v>102384</v>
      </c>
      <c r="AQ6" s="106">
        <v>3040191</v>
      </c>
      <c r="AR6" s="106">
        <v>95350</v>
      </c>
      <c r="AS6" s="106">
        <v>96185</v>
      </c>
      <c r="AT6" s="106">
        <v>91429</v>
      </c>
      <c r="AU6" s="106">
        <v>92313</v>
      </c>
      <c r="AV6" s="106">
        <v>89929</v>
      </c>
      <c r="AW6" s="106">
        <v>3020075</v>
      </c>
      <c r="AX6" s="106">
        <v>86167</v>
      </c>
      <c r="AY6" s="106">
        <v>81626</v>
      </c>
      <c r="AZ6" s="106">
        <v>82161</v>
      </c>
      <c r="BA6" s="106">
        <v>77705</v>
      </c>
      <c r="BB6" s="106">
        <v>78211</v>
      </c>
      <c r="BC6" s="106">
        <v>3016152</v>
      </c>
      <c r="BD6" s="106">
        <v>71823</v>
      </c>
      <c r="BE6" s="106">
        <v>72146</v>
      </c>
      <c r="BF6" s="106">
        <v>67903</v>
      </c>
      <c r="BG6" s="106">
        <v>68140</v>
      </c>
      <c r="BH6" s="106">
        <v>66473</v>
      </c>
      <c r="BI6" s="106">
        <v>3000624</v>
      </c>
      <c r="BJ6" s="106">
        <v>63137</v>
      </c>
      <c r="BK6" s="106">
        <v>59486</v>
      </c>
      <c r="BL6" s="10">
        <v>60392</v>
      </c>
      <c r="BM6" s="10">
        <v>57400</v>
      </c>
      <c r="BN6" s="10">
        <v>58236</v>
      </c>
      <c r="BO6" s="10">
        <v>57157</v>
      </c>
      <c r="BP6" s="10">
        <v>54270</v>
      </c>
      <c r="BQ6" s="10">
        <v>55001</v>
      </c>
      <c r="BR6" s="10">
        <v>52182</v>
      </c>
      <c r="BS6" s="10">
        <v>52845</v>
      </c>
      <c r="BT6" s="10">
        <v>51767</v>
      </c>
      <c r="BU6" s="10">
        <v>45783</v>
      </c>
      <c r="BV6" s="10">
        <v>49611</v>
      </c>
      <c r="BW6" s="10">
        <v>46966</v>
      </c>
      <c r="BX6" s="10">
        <v>47454</v>
      </c>
      <c r="BY6" s="10">
        <v>44880</v>
      </c>
      <c r="BZ6" s="10">
        <v>45298</v>
      </c>
      <c r="CA6" s="10">
        <v>44220</v>
      </c>
      <c r="CB6" s="10">
        <v>41750</v>
      </c>
      <c r="CC6" s="10">
        <v>42064</v>
      </c>
      <c r="CD6" s="10">
        <v>39664</v>
      </c>
      <c r="CE6" s="10">
        <v>39908</v>
      </c>
      <c r="CF6" s="10">
        <v>38830</v>
      </c>
      <c r="CG6" s="10">
        <v>34099</v>
      </c>
      <c r="CH6" s="10">
        <v>36673</v>
      </c>
      <c r="CI6" s="10">
        <v>133078</v>
      </c>
      <c r="CJ6" s="10">
        <v>132703</v>
      </c>
      <c r="CK6" s="10">
        <v>123765</v>
      </c>
      <c r="CL6" s="10">
        <v>123079</v>
      </c>
      <c r="CM6" s="10">
        <v>118268</v>
      </c>
      <c r="CN6" s="10">
        <v>109797</v>
      </c>
      <c r="CO6" s="10">
        <v>108645</v>
      </c>
      <c r="CP6" s="10">
        <v>100483</v>
      </c>
      <c r="CQ6" s="10">
        <v>99022</v>
      </c>
      <c r="CR6" s="10">
        <v>94210</v>
      </c>
      <c r="CS6" s="10">
        <v>80746</v>
      </c>
      <c r="CT6" s="10">
        <v>84587</v>
      </c>
      <c r="CU6" s="10">
        <v>77201</v>
      </c>
      <c r="CV6" s="10">
        <v>74964</v>
      </c>
      <c r="CW6" s="10">
        <v>67888</v>
      </c>
      <c r="CX6" s="10">
        <v>65339</v>
      </c>
      <c r="CY6" s="10">
        <v>60528</v>
      </c>
      <c r="CZ6" s="10">
        <v>53919</v>
      </c>
      <c r="DA6" s="10">
        <v>50905</v>
      </c>
      <c r="DB6" s="10">
        <v>44606</v>
      </c>
      <c r="DC6" s="10">
        <v>41282</v>
      </c>
      <c r="DD6" s="10">
        <v>36470</v>
      </c>
      <c r="DE6" s="10">
        <v>29616</v>
      </c>
      <c r="DF6" s="10">
        <v>26847</v>
      </c>
      <c r="DG6" s="27">
        <v>21325</v>
      </c>
      <c r="DH6" s="27">
        <v>21471</v>
      </c>
      <c r="DI6" s="27">
        <v>20232</v>
      </c>
      <c r="DJ6" s="27">
        <v>20341</v>
      </c>
      <c r="DK6">
        <v>19776</v>
      </c>
      <c r="DL6">
        <v>18591</v>
      </c>
      <c r="DM6">
        <v>18646</v>
      </c>
      <c r="DN6">
        <v>17497</v>
      </c>
      <c r="DO6">
        <v>17516</v>
      </c>
      <c r="DP6">
        <v>16951</v>
      </c>
      <c r="DQ6">
        <v>14800</v>
      </c>
      <c r="DR6">
        <v>15821</v>
      </c>
      <c r="DS6">
        <v>14763</v>
      </c>
      <c r="DT6">
        <v>14691</v>
      </c>
      <c r="DU6">
        <v>13670</v>
      </c>
      <c r="DV6">
        <v>13560</v>
      </c>
      <c r="DW6">
        <v>12995</v>
      </c>
      <c r="DX6">
        <v>12029</v>
      </c>
      <c r="DY6">
        <v>11865</v>
      </c>
      <c r="DZ6">
        <v>10936</v>
      </c>
      <c r="EA6">
        <v>10735</v>
      </c>
      <c r="EB6">
        <v>10170</v>
      </c>
      <c r="EC6">
        <v>8676</v>
      </c>
      <c r="ED6">
        <v>9040</v>
      </c>
      <c r="EE6">
        <v>8202</v>
      </c>
      <c r="EF6">
        <v>7910</v>
      </c>
      <c r="EG6">
        <v>7108</v>
      </c>
      <c r="EH6">
        <v>6780</v>
      </c>
      <c r="EI6">
        <v>6215</v>
      </c>
      <c r="EJ6">
        <v>5468</v>
      </c>
      <c r="EK6">
        <v>5085</v>
      </c>
      <c r="EL6">
        <v>4374</v>
      </c>
      <c r="EM6">
        <v>3955</v>
      </c>
      <c r="EN6">
        <v>3390</v>
      </c>
      <c r="EO6">
        <v>2551</v>
      </c>
      <c r="EP6">
        <v>2260</v>
      </c>
      <c r="EQ6">
        <v>1640</v>
      </c>
      <c r="ER6">
        <v>1130</v>
      </c>
      <c r="ES6">
        <v>546</v>
      </c>
    </row>
    <row r="7" spans="1:149" ht="14.25" thickBot="1">
      <c r="A7" s="92"/>
      <c r="B7" s="96" t="s">
        <v>239</v>
      </c>
      <c r="C7" s="106">
        <v>11</v>
      </c>
      <c r="D7" s="106">
        <v>31</v>
      </c>
      <c r="E7" s="106">
        <v>30</v>
      </c>
      <c r="F7" s="106">
        <v>31</v>
      </c>
      <c r="G7" s="106">
        <v>31</v>
      </c>
      <c r="H7" s="106">
        <v>30</v>
      </c>
      <c r="I7" s="106">
        <v>31</v>
      </c>
      <c r="J7" s="106">
        <v>30</v>
      </c>
      <c r="K7" s="106">
        <v>31</v>
      </c>
      <c r="L7" s="106">
        <v>31</v>
      </c>
      <c r="M7" s="106">
        <v>29</v>
      </c>
      <c r="N7" s="106">
        <v>31</v>
      </c>
      <c r="O7" s="106">
        <v>41</v>
      </c>
      <c r="P7" s="106">
        <v>62</v>
      </c>
      <c r="Q7" s="106">
        <v>60</v>
      </c>
      <c r="R7" s="106">
        <v>62</v>
      </c>
      <c r="S7" s="106">
        <v>62</v>
      </c>
      <c r="T7" s="106">
        <v>60</v>
      </c>
      <c r="U7" s="106">
        <v>62</v>
      </c>
      <c r="V7" s="106">
        <v>60</v>
      </c>
      <c r="W7" s="106">
        <v>62</v>
      </c>
      <c r="X7" s="106">
        <v>62</v>
      </c>
      <c r="Y7" s="106">
        <v>56</v>
      </c>
      <c r="Z7" s="106">
        <v>62</v>
      </c>
      <c r="AA7" s="106">
        <v>60</v>
      </c>
      <c r="AB7" s="106">
        <v>62</v>
      </c>
      <c r="AC7" s="106">
        <v>60</v>
      </c>
      <c r="AD7" s="106">
        <v>62</v>
      </c>
      <c r="AE7" s="106">
        <v>62</v>
      </c>
      <c r="AF7" s="106">
        <v>60</v>
      </c>
      <c r="AG7" s="106">
        <v>62</v>
      </c>
      <c r="AH7" s="106">
        <v>60</v>
      </c>
      <c r="AI7" s="106">
        <v>62</v>
      </c>
      <c r="AJ7" s="106">
        <v>62</v>
      </c>
      <c r="AK7" s="106">
        <v>56</v>
      </c>
      <c r="AL7" s="106">
        <v>62</v>
      </c>
      <c r="AM7" s="106">
        <v>60</v>
      </c>
      <c r="AN7" s="106">
        <v>62</v>
      </c>
      <c r="AO7" s="106">
        <v>60</v>
      </c>
      <c r="AP7" s="106">
        <v>62</v>
      </c>
      <c r="AQ7" s="106">
        <v>62</v>
      </c>
      <c r="AR7" s="106">
        <v>60</v>
      </c>
      <c r="AS7" s="106">
        <v>62</v>
      </c>
      <c r="AT7" s="106">
        <v>60</v>
      </c>
      <c r="AU7" s="106">
        <v>62</v>
      </c>
      <c r="AV7" s="106">
        <v>62</v>
      </c>
      <c r="AW7" s="106">
        <v>56</v>
      </c>
      <c r="AX7" s="106">
        <v>62</v>
      </c>
      <c r="AY7" s="106">
        <v>71</v>
      </c>
      <c r="AZ7" s="106">
        <v>93</v>
      </c>
      <c r="BA7" s="106">
        <v>90</v>
      </c>
      <c r="BB7" s="106">
        <v>93</v>
      </c>
      <c r="BC7" s="106">
        <v>93</v>
      </c>
      <c r="BD7" s="106">
        <v>90</v>
      </c>
      <c r="BE7" s="106">
        <v>93</v>
      </c>
      <c r="BF7" s="106">
        <v>90</v>
      </c>
      <c r="BG7" s="106">
        <v>93</v>
      </c>
      <c r="BH7" s="106">
        <v>93</v>
      </c>
      <c r="BI7" s="106">
        <v>87</v>
      </c>
      <c r="BJ7" s="106">
        <v>93</v>
      </c>
      <c r="BK7" s="106">
        <v>60</v>
      </c>
      <c r="BL7" s="10">
        <v>62</v>
      </c>
      <c r="BM7" s="10">
        <v>60</v>
      </c>
      <c r="BN7" s="10">
        <v>62</v>
      </c>
      <c r="BO7" s="10">
        <v>62</v>
      </c>
      <c r="BP7" s="10">
        <v>60</v>
      </c>
      <c r="BQ7" s="10">
        <v>62</v>
      </c>
      <c r="BR7" s="10">
        <v>60</v>
      </c>
      <c r="BS7" s="10">
        <v>62</v>
      </c>
      <c r="BT7" s="10">
        <v>62</v>
      </c>
      <c r="BU7" s="10">
        <v>56</v>
      </c>
      <c r="BV7" s="10">
        <v>62</v>
      </c>
      <c r="BW7" s="10">
        <v>60</v>
      </c>
      <c r="BX7" s="10">
        <v>62</v>
      </c>
      <c r="BY7" s="10">
        <v>60</v>
      </c>
      <c r="BZ7" s="10">
        <v>62</v>
      </c>
      <c r="CA7" s="10">
        <v>62</v>
      </c>
      <c r="CB7" s="10">
        <v>60</v>
      </c>
      <c r="CC7" s="10">
        <v>62</v>
      </c>
      <c r="CD7" s="10">
        <v>60</v>
      </c>
      <c r="CE7" s="10">
        <v>62</v>
      </c>
      <c r="CF7" s="10">
        <v>62</v>
      </c>
      <c r="CG7" s="10">
        <v>56</v>
      </c>
      <c r="CH7" s="10">
        <v>62</v>
      </c>
      <c r="CI7" s="10">
        <v>60</v>
      </c>
      <c r="CJ7" s="10">
        <v>62</v>
      </c>
      <c r="CK7" s="10">
        <v>60</v>
      </c>
      <c r="CL7" s="10">
        <v>62</v>
      </c>
      <c r="CM7" s="10">
        <v>62</v>
      </c>
      <c r="CN7" s="10">
        <v>60</v>
      </c>
      <c r="CO7" s="10">
        <v>62</v>
      </c>
      <c r="CP7" s="10">
        <v>60</v>
      </c>
      <c r="CQ7" s="10">
        <v>62</v>
      </c>
      <c r="CR7" s="10">
        <v>62</v>
      </c>
      <c r="CS7" s="10">
        <v>56</v>
      </c>
      <c r="CT7" s="10">
        <v>62</v>
      </c>
      <c r="CU7" s="10">
        <v>60</v>
      </c>
      <c r="CV7" s="10">
        <v>62</v>
      </c>
      <c r="CW7" s="10">
        <v>60</v>
      </c>
      <c r="CX7" s="10">
        <v>62</v>
      </c>
      <c r="CY7" s="10">
        <v>62</v>
      </c>
      <c r="CZ7" s="10">
        <v>60</v>
      </c>
      <c r="DA7" s="10">
        <v>62</v>
      </c>
      <c r="DB7" s="10">
        <v>60</v>
      </c>
      <c r="DC7" s="10">
        <v>62</v>
      </c>
      <c r="DD7" s="10">
        <v>62</v>
      </c>
      <c r="DE7" s="10">
        <v>58</v>
      </c>
      <c r="DF7" s="10">
        <v>62</v>
      </c>
      <c r="DG7" s="27"/>
      <c r="DH7" s="27"/>
      <c r="DI7" s="27"/>
      <c r="DJ7" s="27"/>
    </row>
    <row r="8" spans="1:149" ht="14.25" thickBot="1">
      <c r="A8" s="93"/>
      <c r="B8" s="96" t="s">
        <v>240</v>
      </c>
      <c r="C8" s="106">
        <v>527123</v>
      </c>
      <c r="D8" s="106">
        <v>575164</v>
      </c>
      <c r="E8" s="106">
        <v>571506</v>
      </c>
      <c r="F8" s="106">
        <v>572616</v>
      </c>
      <c r="G8" s="106">
        <v>571342</v>
      </c>
      <c r="H8" s="106">
        <v>567808</v>
      </c>
      <c r="I8" s="106">
        <v>568794</v>
      </c>
      <c r="J8" s="106">
        <v>565342</v>
      </c>
      <c r="K8" s="106">
        <v>566246</v>
      </c>
      <c r="L8" s="106">
        <v>564972</v>
      </c>
      <c r="M8" s="106">
        <v>559589</v>
      </c>
      <c r="N8" s="106">
        <v>562424</v>
      </c>
      <c r="O8" s="106">
        <v>1691318</v>
      </c>
      <c r="P8" s="106">
        <v>1853682</v>
      </c>
      <c r="Q8" s="106">
        <v>1839816</v>
      </c>
      <c r="R8" s="106">
        <v>1845825</v>
      </c>
      <c r="S8" s="106">
        <v>1841897</v>
      </c>
      <c r="T8" s="106">
        <v>1828411</v>
      </c>
      <c r="U8" s="106">
        <v>1834041</v>
      </c>
      <c r="V8" s="106">
        <v>1820808</v>
      </c>
      <c r="W8" s="106">
        <v>1826185</v>
      </c>
      <c r="X8" s="106">
        <v>1822257</v>
      </c>
      <c r="Y8" s="106">
        <v>1791556</v>
      </c>
      <c r="Z8" s="106">
        <v>1814401</v>
      </c>
      <c r="AA8" s="106">
        <v>1801802</v>
      </c>
      <c r="AB8" s="106">
        <v>1806545</v>
      </c>
      <c r="AC8" s="106">
        <v>1794199</v>
      </c>
      <c r="AD8" s="106">
        <v>1798689</v>
      </c>
      <c r="AE8" s="106">
        <v>1794761</v>
      </c>
      <c r="AF8" s="106">
        <v>1782795</v>
      </c>
      <c r="AG8" s="106">
        <v>1786905</v>
      </c>
      <c r="AH8" s="106">
        <v>1775192</v>
      </c>
      <c r="AI8" s="106">
        <v>1779049</v>
      </c>
      <c r="AJ8" s="106">
        <v>1775120</v>
      </c>
      <c r="AK8" s="106">
        <v>1748979</v>
      </c>
      <c r="AL8" s="106">
        <v>1767264</v>
      </c>
      <c r="AM8" s="106">
        <v>1756186</v>
      </c>
      <c r="AN8" s="106">
        <v>1759408</v>
      </c>
      <c r="AO8" s="106">
        <v>1748583</v>
      </c>
      <c r="AP8" s="106">
        <v>1751552</v>
      </c>
      <c r="AQ8" s="106">
        <v>1747624</v>
      </c>
      <c r="AR8" s="106">
        <v>1737178</v>
      </c>
      <c r="AS8" s="106">
        <v>1739767</v>
      </c>
      <c r="AT8" s="106">
        <v>1729575</v>
      </c>
      <c r="AU8" s="106">
        <v>1731911</v>
      </c>
      <c r="AV8" s="106">
        <v>1727983</v>
      </c>
      <c r="AW8" s="106">
        <v>1706404</v>
      </c>
      <c r="AX8" s="106">
        <v>1720127</v>
      </c>
      <c r="AY8" s="106">
        <v>3467685</v>
      </c>
      <c r="AZ8" s="106">
        <v>3629484</v>
      </c>
      <c r="BA8" s="106">
        <v>3607988</v>
      </c>
      <c r="BB8" s="106">
        <v>3613135</v>
      </c>
      <c r="BC8" s="106">
        <v>3604959</v>
      </c>
      <c r="BD8" s="106">
        <v>3584255</v>
      </c>
      <c r="BE8" s="106">
        <v>3588610</v>
      </c>
      <c r="BF8" s="106">
        <v>3568432</v>
      </c>
      <c r="BG8" s="106">
        <v>3572261</v>
      </c>
      <c r="BH8" s="106">
        <v>3564087</v>
      </c>
      <c r="BI8" s="106">
        <v>3533488</v>
      </c>
      <c r="BJ8" s="106">
        <v>3547738</v>
      </c>
      <c r="BK8" s="106">
        <v>3028879</v>
      </c>
      <c r="BL8" s="10">
        <v>3032663</v>
      </c>
      <c r="BM8" s="10">
        <v>3015522</v>
      </c>
      <c r="BN8" s="10">
        <v>3018861</v>
      </c>
      <c r="BO8" s="10">
        <v>3011961</v>
      </c>
      <c r="BP8" s="10">
        <v>2995489</v>
      </c>
      <c r="BQ8" s="10">
        <v>2998159</v>
      </c>
      <c r="BR8" s="10">
        <v>2982133</v>
      </c>
      <c r="BS8" s="10">
        <v>2984358</v>
      </c>
      <c r="BT8" s="10">
        <v>2977458</v>
      </c>
      <c r="BU8" s="10">
        <v>2945180</v>
      </c>
      <c r="BV8" s="10">
        <v>2963656</v>
      </c>
      <c r="BW8" s="10">
        <v>2948741</v>
      </c>
      <c r="BX8" s="10">
        <v>2949855</v>
      </c>
      <c r="BY8" s="10">
        <v>2935385</v>
      </c>
      <c r="BZ8" s="10">
        <v>2936053</v>
      </c>
      <c r="CA8" s="10">
        <v>2929153</v>
      </c>
      <c r="CB8" s="10">
        <v>2915352</v>
      </c>
      <c r="CC8" s="10">
        <v>2915352</v>
      </c>
      <c r="CD8" s="10">
        <v>2901996</v>
      </c>
      <c r="CE8" s="10">
        <v>2901549</v>
      </c>
      <c r="CF8" s="10">
        <v>2894649</v>
      </c>
      <c r="CG8" s="10">
        <v>2870385</v>
      </c>
      <c r="CH8" s="10">
        <v>2880848</v>
      </c>
      <c r="CI8" s="10">
        <v>2868604</v>
      </c>
      <c r="CJ8" s="10">
        <v>2867047</v>
      </c>
      <c r="CK8" s="10">
        <v>2855248</v>
      </c>
      <c r="CL8" s="10">
        <v>2853245</v>
      </c>
      <c r="CM8" s="10">
        <v>2846345</v>
      </c>
      <c r="CN8" s="10">
        <v>2835215</v>
      </c>
      <c r="CO8" s="10">
        <v>2832543</v>
      </c>
      <c r="CP8" s="10">
        <v>2821858</v>
      </c>
      <c r="CQ8" s="10">
        <v>2818742</v>
      </c>
      <c r="CR8" s="10">
        <v>2811841</v>
      </c>
      <c r="CS8" s="10">
        <v>2795591</v>
      </c>
      <c r="CT8" s="10">
        <v>2798040</v>
      </c>
      <c r="CU8" s="10">
        <v>2788467</v>
      </c>
      <c r="CV8" s="10">
        <v>2784239</v>
      </c>
      <c r="CW8" s="10">
        <v>2775111</v>
      </c>
      <c r="CX8" s="10">
        <v>2770436</v>
      </c>
      <c r="CY8" s="10">
        <v>2763536</v>
      </c>
      <c r="CZ8" s="10">
        <v>2755077</v>
      </c>
      <c r="DA8" s="10">
        <v>2749735</v>
      </c>
      <c r="DB8" s="10">
        <v>2741721</v>
      </c>
      <c r="DC8" s="10">
        <v>2735934</v>
      </c>
      <c r="DD8" s="10">
        <v>2729033</v>
      </c>
      <c r="DE8" s="10">
        <v>2721242</v>
      </c>
      <c r="DF8" s="10">
        <v>2715231</v>
      </c>
      <c r="DG8" s="27"/>
      <c r="DH8" s="27"/>
      <c r="DI8" s="27"/>
      <c r="DJ8" s="27"/>
    </row>
    <row r="9" spans="1:149">
      <c r="A9" s="93"/>
      <c r="B9" s="104" t="s">
        <v>241</v>
      </c>
      <c r="C9" s="106">
        <v>29500000</v>
      </c>
      <c r="D9" s="106">
        <v>29000000</v>
      </c>
      <c r="E9" s="106">
        <v>28500000</v>
      </c>
      <c r="F9" s="106">
        <v>28000000</v>
      </c>
      <c r="G9" s="106">
        <v>27500000</v>
      </c>
      <c r="H9" s="106">
        <v>27000000</v>
      </c>
      <c r="I9" s="106">
        <v>26500000</v>
      </c>
      <c r="J9" s="106">
        <v>26000000</v>
      </c>
      <c r="K9" s="106">
        <v>25500000</v>
      </c>
      <c r="L9" s="106">
        <v>25000000</v>
      </c>
      <c r="M9" s="106">
        <v>24500000</v>
      </c>
      <c r="N9" s="106">
        <v>24000000</v>
      </c>
      <c r="O9" s="106">
        <v>122458270</v>
      </c>
      <c r="P9" s="106">
        <v>120916604</v>
      </c>
      <c r="Q9" s="106">
        <v>119374938</v>
      </c>
      <c r="R9" s="106">
        <v>117833272</v>
      </c>
      <c r="S9" s="106">
        <v>116291606</v>
      </c>
      <c r="T9" s="106">
        <v>114749940</v>
      </c>
      <c r="U9" s="106">
        <v>113208274</v>
      </c>
      <c r="V9" s="106">
        <v>111666608</v>
      </c>
      <c r="W9" s="106">
        <v>110124942</v>
      </c>
      <c r="X9" s="106">
        <v>108583276</v>
      </c>
      <c r="Y9" s="106">
        <v>107041610</v>
      </c>
      <c r="Z9" s="106">
        <v>105499944</v>
      </c>
      <c r="AA9" s="106">
        <v>103958278</v>
      </c>
      <c r="AB9" s="106">
        <v>102416612</v>
      </c>
      <c r="AC9" s="106">
        <v>100874946</v>
      </c>
      <c r="AD9" s="106">
        <v>99333280</v>
      </c>
      <c r="AE9" s="106">
        <v>97791614</v>
      </c>
      <c r="AF9" s="106">
        <v>96249948</v>
      </c>
      <c r="AG9" s="106">
        <v>94708282</v>
      </c>
      <c r="AH9" s="106">
        <v>93166616</v>
      </c>
      <c r="AI9" s="106">
        <v>91624950</v>
      </c>
      <c r="AJ9" s="106">
        <v>90083284</v>
      </c>
      <c r="AK9" s="106">
        <v>88541618</v>
      </c>
      <c r="AL9" s="106">
        <v>86999952</v>
      </c>
      <c r="AM9" s="106">
        <v>85458286</v>
      </c>
      <c r="AN9" s="106">
        <v>83916620</v>
      </c>
      <c r="AO9" s="106">
        <v>82374954</v>
      </c>
      <c r="AP9" s="106">
        <v>80833288</v>
      </c>
      <c r="AQ9" s="106">
        <v>79291622</v>
      </c>
      <c r="AR9" s="106">
        <v>77749956</v>
      </c>
      <c r="AS9" s="106">
        <v>76208290</v>
      </c>
      <c r="AT9" s="106">
        <v>74666624</v>
      </c>
      <c r="AU9" s="106">
        <v>73124958</v>
      </c>
      <c r="AV9" s="106">
        <v>71583292</v>
      </c>
      <c r="AW9" s="106">
        <v>70041626</v>
      </c>
      <c r="AX9" s="106">
        <v>68499960</v>
      </c>
      <c r="AY9" s="106">
        <v>66958294</v>
      </c>
      <c r="AZ9" s="106">
        <v>65416628</v>
      </c>
      <c r="BA9" s="106">
        <v>63874962</v>
      </c>
      <c r="BB9" s="106">
        <v>62333296</v>
      </c>
      <c r="BC9" s="106">
        <v>60791630</v>
      </c>
      <c r="BD9" s="106">
        <v>59249964</v>
      </c>
      <c r="BE9" s="106">
        <v>57708298</v>
      </c>
      <c r="BF9" s="106">
        <v>56166632</v>
      </c>
      <c r="BG9" s="106">
        <v>54624966</v>
      </c>
      <c r="BH9" s="106">
        <v>53083300</v>
      </c>
      <c r="BI9" s="106">
        <v>51541634</v>
      </c>
      <c r="BJ9" s="106">
        <v>49999968</v>
      </c>
      <c r="BK9" s="106">
        <v>48958302</v>
      </c>
      <c r="BL9" s="10">
        <v>47916636</v>
      </c>
      <c r="BM9" s="10">
        <v>46874970</v>
      </c>
      <c r="BN9" s="10">
        <v>45833304</v>
      </c>
      <c r="BO9" s="10">
        <v>44791638</v>
      </c>
      <c r="BP9" s="10">
        <v>43749972</v>
      </c>
      <c r="BQ9" s="10">
        <v>42708306</v>
      </c>
      <c r="BR9" s="10">
        <v>41666640</v>
      </c>
      <c r="BS9" s="10">
        <v>40624974</v>
      </c>
      <c r="BT9" s="10">
        <v>39583308</v>
      </c>
      <c r="BU9" s="10">
        <v>38541642</v>
      </c>
      <c r="BV9" s="10">
        <v>37499976</v>
      </c>
      <c r="BW9" s="10">
        <v>36458310</v>
      </c>
      <c r="BX9" s="10">
        <v>35416644</v>
      </c>
      <c r="BY9" s="10">
        <v>34374978</v>
      </c>
      <c r="BZ9" s="10">
        <v>33333312</v>
      </c>
      <c r="CA9" s="10">
        <v>32291646</v>
      </c>
      <c r="CB9" s="10">
        <v>31249980</v>
      </c>
      <c r="CC9" s="10">
        <v>30208314</v>
      </c>
      <c r="CD9" s="10">
        <v>29166648</v>
      </c>
      <c r="CE9" s="10">
        <v>28124982</v>
      </c>
      <c r="CF9" s="10">
        <v>27083316</v>
      </c>
      <c r="CG9" s="10">
        <v>26041650</v>
      </c>
      <c r="CH9" s="10">
        <v>24999984</v>
      </c>
      <c r="CI9" s="10">
        <v>23958318</v>
      </c>
      <c r="CJ9" s="10">
        <v>22916652</v>
      </c>
      <c r="CK9" s="10">
        <v>21874986</v>
      </c>
      <c r="CL9" s="10">
        <v>20833320</v>
      </c>
      <c r="CM9" s="10">
        <v>19791654</v>
      </c>
      <c r="CN9" s="10">
        <v>18749988</v>
      </c>
      <c r="CO9" s="10">
        <v>17708322</v>
      </c>
      <c r="CP9" s="10">
        <v>16666656</v>
      </c>
      <c r="CQ9" s="10">
        <v>15624990</v>
      </c>
      <c r="CR9" s="10">
        <v>14583324</v>
      </c>
      <c r="CS9" s="10">
        <v>13541658</v>
      </c>
      <c r="CT9" s="10">
        <v>12499992</v>
      </c>
      <c r="CU9" s="10">
        <v>11458326</v>
      </c>
      <c r="CV9" s="10">
        <v>10416660</v>
      </c>
      <c r="CW9" s="10">
        <v>9374994</v>
      </c>
      <c r="CX9" s="10">
        <v>8333328</v>
      </c>
      <c r="CY9" s="10">
        <v>7291662</v>
      </c>
      <c r="CZ9" s="10">
        <v>6249996</v>
      </c>
      <c r="DA9" s="10">
        <v>5208330</v>
      </c>
      <c r="DB9" s="10">
        <v>4166664</v>
      </c>
      <c r="DC9" s="10">
        <v>3124998</v>
      </c>
      <c r="DD9" s="10">
        <v>2083332</v>
      </c>
      <c r="DE9" s="10">
        <v>1041666</v>
      </c>
      <c r="DF9" s="10">
        <v>0</v>
      </c>
      <c r="DG9" s="27"/>
      <c r="DH9" s="27"/>
      <c r="DI9" s="27"/>
      <c r="DJ9" s="27"/>
    </row>
  </sheetData>
  <mergeCells count="11">
    <mergeCell ref="C2:M2"/>
    <mergeCell ref="N2:Y2"/>
    <mergeCell ref="Z2:AK2"/>
    <mergeCell ref="AL2:AW2"/>
    <mergeCell ref="DR2:EC2"/>
    <mergeCell ref="AX2:BI2"/>
    <mergeCell ref="BJ2:BU2"/>
    <mergeCell ref="BV2:CG2"/>
    <mergeCell ref="CH2:CS2"/>
    <mergeCell ref="CT2:DE2"/>
    <mergeCell ref="DF2:DQ2"/>
  </mergeCells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5"/>
  <sheetViews>
    <sheetView workbookViewId="0">
      <selection activeCell="B6" sqref="B6"/>
    </sheetView>
  </sheetViews>
  <sheetFormatPr defaultRowHeight="13.5"/>
  <cols>
    <col min="1" max="1" width="2.875" customWidth="1"/>
  </cols>
  <sheetData>
    <row r="2" spans="1:2">
      <c r="A2" t="s">
        <v>332</v>
      </c>
    </row>
    <row r="3" spans="1:2">
      <c r="B3" t="s">
        <v>333</v>
      </c>
    </row>
    <row r="4" spans="1:2">
      <c r="B4" t="s">
        <v>334</v>
      </c>
    </row>
    <row r="5" spans="1:2">
      <c r="B5" t="s">
        <v>337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5</vt:i4>
      </vt:variant>
    </vt:vector>
  </HeadingPairs>
  <TitlesOfParts>
    <vt:vector size="24" baseType="lpstr">
      <vt:lpstr>事業評価【A案・税引前】</vt:lpstr>
      <vt:lpstr>事業評価【A案・税引後】</vt:lpstr>
      <vt:lpstr>Sheet2</vt:lpstr>
      <vt:lpstr>売上計画</vt:lpstr>
      <vt:lpstr>シェル </vt:lpstr>
      <vt:lpstr>ACT01</vt:lpstr>
      <vt:lpstr>ACT川崎</vt:lpstr>
      <vt:lpstr>シェルあざみ野</vt:lpstr>
      <vt:lpstr>基礎</vt:lpstr>
      <vt:lpstr>PL</vt:lpstr>
      <vt:lpstr>CF</vt:lpstr>
      <vt:lpstr>BS</vt:lpstr>
      <vt:lpstr>店舗初期投資</vt:lpstr>
      <vt:lpstr>店舗投資詳細</vt:lpstr>
      <vt:lpstr>金融機関</vt:lpstr>
      <vt:lpstr>Sheet3</vt:lpstr>
      <vt:lpstr>金融借入</vt:lpstr>
      <vt:lpstr>金融借入（移行計算）</vt:lpstr>
      <vt:lpstr>Sheet1</vt:lpstr>
      <vt:lpstr>'ACT01'!Print_Area</vt:lpstr>
      <vt:lpstr>'シェル '!Print_Area</vt:lpstr>
      <vt:lpstr>基礎!Print_Area</vt:lpstr>
      <vt:lpstr>'ACT01'!Print_Titles</vt:lpstr>
      <vt:lpstr>'シェル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雄司 山内</cp:lastModifiedBy>
  <cp:lastPrinted>2021-06-14T03:40:26Z</cp:lastPrinted>
  <dcterms:created xsi:type="dcterms:W3CDTF">2011-03-25T02:06:05Z</dcterms:created>
  <dcterms:modified xsi:type="dcterms:W3CDTF">2026-01-27T05:41:07Z</dcterms:modified>
</cp:coreProperties>
</file>