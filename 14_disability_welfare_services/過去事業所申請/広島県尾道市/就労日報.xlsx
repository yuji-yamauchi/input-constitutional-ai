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19320" windowHeight="12450" activeTab="3"/>
  </bookViews>
  <sheets>
    <sheet name="Sheet1" sheetId="1" r:id="rId1"/>
    <sheet name="B型" sheetId="3" r:id="rId2"/>
    <sheet name="Sheet2" sheetId="4" r:id="rId3"/>
    <sheet name="一般就労書式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5" i="1"/>
  <c r="I16" i="1"/>
  <c r="I19" i="1"/>
  <c r="I20" i="1"/>
  <c r="I21" i="1"/>
  <c r="I22" i="1"/>
  <c r="I5" i="1"/>
  <c r="G6" i="1"/>
  <c r="G7" i="1"/>
  <c r="G9" i="1"/>
  <c r="G10" i="1"/>
  <c r="G15" i="1"/>
  <c r="G5" i="1"/>
  <c r="K6" i="1"/>
  <c r="K7" i="1"/>
  <c r="K8" i="1"/>
  <c r="K9" i="1"/>
  <c r="K10" i="1"/>
  <c r="K11" i="1"/>
  <c r="K12" i="1"/>
  <c r="K13" i="1"/>
  <c r="K15" i="1"/>
  <c r="K16" i="1"/>
  <c r="K19" i="1"/>
  <c r="K20" i="1"/>
  <c r="K21" i="1"/>
  <c r="K5" i="1"/>
  <c r="J6" i="1"/>
  <c r="J7" i="1"/>
  <c r="J8" i="1"/>
  <c r="J9" i="1"/>
  <c r="J10" i="1"/>
  <c r="J11" i="1"/>
  <c r="J12" i="1"/>
  <c r="J13" i="1"/>
  <c r="J15" i="1"/>
  <c r="J16" i="1"/>
  <c r="J19" i="1"/>
  <c r="J20" i="1"/>
  <c r="J21" i="1"/>
  <c r="J5" i="1"/>
  <c r="F8" i="1"/>
  <c r="G8" i="1" s="1"/>
  <c r="F9" i="1"/>
  <c r="F10" i="1"/>
  <c r="F11" i="1"/>
  <c r="G11" i="1" s="1"/>
  <c r="F12" i="1"/>
  <c r="G12" i="1" s="1"/>
  <c r="F15" i="1"/>
  <c r="F16" i="1"/>
  <c r="G16" i="1" s="1"/>
  <c r="F19" i="1"/>
  <c r="G19" i="1" s="1"/>
  <c r="F20" i="1"/>
  <c r="G20" i="1" s="1"/>
  <c r="F21" i="1"/>
  <c r="G21" i="1" s="1"/>
  <c r="F5" i="1"/>
  <c r="D22" i="1"/>
  <c r="J22" i="1" s="1"/>
  <c r="E22" i="1"/>
  <c r="K22" i="1" s="1"/>
  <c r="C22" i="1"/>
  <c r="D17" i="1"/>
  <c r="J17" i="1" s="1"/>
  <c r="E17" i="1"/>
  <c r="K17" i="1" s="1"/>
  <c r="C17" i="1"/>
  <c r="I17" i="1" s="1"/>
  <c r="E13" i="1"/>
  <c r="D13" i="1"/>
  <c r="F13" i="1" l="1"/>
  <c r="G13" i="1" s="1"/>
  <c r="F22" i="1"/>
  <c r="G22" i="1" s="1"/>
  <c r="F17" i="1"/>
  <c r="G17" i="1" s="1"/>
</calcChain>
</file>

<file path=xl/sharedStrings.xml><?xml version="1.0" encoding="utf-8"?>
<sst xmlns="http://schemas.openxmlformats.org/spreadsheetml/2006/main" count="125" uniqueCount="66">
  <si>
    <t>西条</t>
    <rPh sb="0" eb="2">
      <t>サイジョウ</t>
    </rPh>
    <phoneticPr fontId="2"/>
  </si>
  <si>
    <t>１０代</t>
    <rPh sb="2" eb="3">
      <t>ダイ</t>
    </rPh>
    <phoneticPr fontId="2"/>
  </si>
  <si>
    <t>２０代</t>
    <rPh sb="2" eb="3">
      <t>ダイ</t>
    </rPh>
    <phoneticPr fontId="2"/>
  </si>
  <si>
    <t>３０代</t>
    <rPh sb="2" eb="3">
      <t>ダイ</t>
    </rPh>
    <phoneticPr fontId="2"/>
  </si>
  <si>
    <t>４０代</t>
    <rPh sb="2" eb="3">
      <t>ダイ</t>
    </rPh>
    <phoneticPr fontId="2"/>
  </si>
  <si>
    <t>５０代</t>
    <rPh sb="2" eb="3">
      <t>ダイ</t>
    </rPh>
    <phoneticPr fontId="2"/>
  </si>
  <si>
    <t>６０代</t>
    <rPh sb="2" eb="3">
      <t>ダイ</t>
    </rPh>
    <phoneticPr fontId="2"/>
  </si>
  <si>
    <t>７０代</t>
    <rPh sb="2" eb="3">
      <t>ダイ</t>
    </rPh>
    <phoneticPr fontId="2"/>
  </si>
  <si>
    <t>８０代</t>
    <rPh sb="2" eb="3">
      <t>ダイ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</si>
  <si>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</si>
  <si>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</si>
  <si>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身体</t>
    <rPh sb="0" eb="2">
      <t>シンタイ</t>
    </rPh>
    <phoneticPr fontId="2"/>
  </si>
  <si>
    <t>精神</t>
    <rPh sb="0" eb="2">
      <t>セイシン</t>
    </rPh>
    <phoneticPr fontId="2"/>
  </si>
  <si>
    <t>知的</t>
    <rPh sb="0" eb="2">
      <t>チテキ</t>
    </rPh>
    <phoneticPr fontId="2"/>
  </si>
  <si>
    <t>尾道</t>
    <rPh sb="0" eb="2">
      <t>オノミチ</t>
    </rPh>
    <phoneticPr fontId="2"/>
  </si>
  <si>
    <t>御調</t>
    <rPh sb="0" eb="2">
      <t>ミツギ</t>
    </rPh>
    <phoneticPr fontId="2"/>
  </si>
  <si>
    <t>合計</t>
    <rPh sb="0" eb="2">
      <t>ゴウケイ</t>
    </rPh>
    <phoneticPr fontId="2"/>
  </si>
  <si>
    <t>カイト尾道　就労日報</t>
    <rPh sb="3" eb="5">
      <t>オノミチ</t>
    </rPh>
    <rPh sb="6" eb="8">
      <t>シュウロウ</t>
    </rPh>
    <rPh sb="8" eb="10">
      <t>ニッポウ</t>
    </rPh>
    <phoneticPr fontId="2"/>
  </si>
  <si>
    <t>身だしなみ</t>
    <rPh sb="0" eb="1">
      <t>ミ</t>
    </rPh>
    <phoneticPr fontId="2"/>
  </si>
  <si>
    <t>清潔な服装・爪切りやひげそり</t>
    <rPh sb="0" eb="2">
      <t>セイケツ</t>
    </rPh>
    <rPh sb="3" eb="5">
      <t>フクソウ</t>
    </rPh>
    <rPh sb="6" eb="8">
      <t>ツメキ</t>
    </rPh>
    <phoneticPr fontId="2"/>
  </si>
  <si>
    <t>1　・　２　・　３　・　４</t>
    <phoneticPr fontId="2"/>
  </si>
  <si>
    <t>本日の体調・気分</t>
    <rPh sb="0" eb="2">
      <t>ホンジツ</t>
    </rPh>
    <rPh sb="3" eb="5">
      <t>タイチョウ</t>
    </rPh>
    <rPh sb="6" eb="8">
      <t>キブン</t>
    </rPh>
    <phoneticPr fontId="2"/>
  </si>
  <si>
    <t>掃除・整理整頓</t>
    <rPh sb="0" eb="2">
      <t>ソウジ</t>
    </rPh>
    <rPh sb="3" eb="5">
      <t>セイリ</t>
    </rPh>
    <rPh sb="5" eb="7">
      <t>セイトン</t>
    </rPh>
    <phoneticPr fontId="2"/>
  </si>
  <si>
    <t>掃除参加や帰りの片付け</t>
    <rPh sb="0" eb="2">
      <t>ソウジ</t>
    </rPh>
    <rPh sb="2" eb="4">
      <t>サンカ</t>
    </rPh>
    <rPh sb="5" eb="6">
      <t>カエ</t>
    </rPh>
    <rPh sb="8" eb="10">
      <t>カタヅ</t>
    </rPh>
    <phoneticPr fontId="2"/>
  </si>
  <si>
    <t>集中力</t>
    <rPh sb="0" eb="3">
      <t>シュウチュウリョク</t>
    </rPh>
    <phoneticPr fontId="2"/>
  </si>
  <si>
    <t>作業に集中できたか</t>
    <rPh sb="0" eb="2">
      <t>サギョウ</t>
    </rPh>
    <rPh sb="3" eb="5">
      <t>シュウチュウ</t>
    </rPh>
    <phoneticPr fontId="2"/>
  </si>
  <si>
    <t>支援員評価</t>
    <rPh sb="0" eb="2">
      <t>シエン</t>
    </rPh>
    <rPh sb="2" eb="3">
      <t>イン</t>
    </rPh>
    <rPh sb="3" eb="5">
      <t>ヒョウカ</t>
    </rPh>
    <phoneticPr fontId="2"/>
  </si>
  <si>
    <t>備考</t>
    <rPh sb="0" eb="2">
      <t>ビコウ</t>
    </rPh>
    <phoneticPr fontId="2"/>
  </si>
  <si>
    <t>感情のコントロール</t>
    <rPh sb="0" eb="2">
      <t>カンジョウ</t>
    </rPh>
    <phoneticPr fontId="2"/>
  </si>
  <si>
    <t>無視や反発せず注意を聞けた</t>
    <rPh sb="0" eb="2">
      <t>ムシ</t>
    </rPh>
    <rPh sb="3" eb="5">
      <t>ハンパツ</t>
    </rPh>
    <rPh sb="7" eb="9">
      <t>チュウイ</t>
    </rPh>
    <rPh sb="10" eb="11">
      <t>キ</t>
    </rPh>
    <phoneticPr fontId="2"/>
  </si>
  <si>
    <t>時間の厳守</t>
    <rPh sb="0" eb="2">
      <t>ジカン</t>
    </rPh>
    <rPh sb="3" eb="5">
      <t>ゲンシュ</t>
    </rPh>
    <phoneticPr fontId="2"/>
  </si>
  <si>
    <t>始業・就業時間を守った</t>
    <rPh sb="0" eb="2">
      <t>シギョウ</t>
    </rPh>
    <rPh sb="3" eb="5">
      <t>シュウギョウ</t>
    </rPh>
    <rPh sb="5" eb="7">
      <t>ジカン</t>
    </rPh>
    <rPh sb="8" eb="9">
      <t>マモ</t>
    </rPh>
    <phoneticPr fontId="2"/>
  </si>
  <si>
    <t>自分から挨拶でき、返事もできた</t>
    <rPh sb="0" eb="2">
      <t>ジブン</t>
    </rPh>
    <rPh sb="4" eb="6">
      <t>アイサツ</t>
    </rPh>
    <rPh sb="9" eb="11">
      <t>ヘンジ</t>
    </rPh>
    <phoneticPr fontId="2"/>
  </si>
  <si>
    <t>挨拶・返事</t>
    <rPh sb="0" eb="2">
      <t>アイサツ</t>
    </rPh>
    <rPh sb="3" eb="5">
      <t>ヘンジ</t>
    </rPh>
    <phoneticPr fontId="2"/>
  </si>
  <si>
    <t>午前の作業（量）</t>
    <rPh sb="0" eb="2">
      <t>ゴゼン</t>
    </rPh>
    <rPh sb="3" eb="5">
      <t>サギョウ</t>
    </rPh>
    <rPh sb="6" eb="7">
      <t>リョウ</t>
    </rPh>
    <phoneticPr fontId="2"/>
  </si>
  <si>
    <t>午後の作業（量）</t>
    <rPh sb="0" eb="2">
      <t>ゴゴ</t>
    </rPh>
    <rPh sb="3" eb="5">
      <t>サギョウ</t>
    </rPh>
    <rPh sb="6" eb="7">
      <t>リョウ</t>
    </rPh>
    <phoneticPr fontId="2"/>
  </si>
  <si>
    <t>項目</t>
    <rPh sb="0" eb="2">
      <t>コウモク</t>
    </rPh>
    <phoneticPr fontId="2"/>
  </si>
  <si>
    <t>具体的項目</t>
    <rPh sb="0" eb="3">
      <t>グタイテキ</t>
    </rPh>
    <rPh sb="3" eb="5">
      <t>コウモク</t>
    </rPh>
    <phoneticPr fontId="2"/>
  </si>
  <si>
    <t>評価</t>
    <rPh sb="0" eb="2">
      <t>ヒョウカ</t>
    </rPh>
    <phoneticPr fontId="2"/>
  </si>
  <si>
    <t>体調や気分</t>
    <rPh sb="0" eb="2">
      <t>タイチョウ</t>
    </rPh>
    <rPh sb="3" eb="5">
      <t>キブン</t>
    </rPh>
    <phoneticPr fontId="2"/>
  </si>
  <si>
    <t>平成　　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</si>
  <si>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支援員：</t>
    <rPh sb="0" eb="2">
      <t>シエン</t>
    </rPh>
    <rPh sb="2" eb="3">
      <t>イン</t>
    </rPh>
    <phoneticPr fontId="2"/>
  </si>
  <si>
    <t>作業内容</t>
    <rPh sb="0" eb="2">
      <t>サギョウ</t>
    </rPh>
    <rPh sb="2" eb="4">
      <t>ナイヨウ</t>
    </rPh>
    <phoneticPr fontId="2"/>
  </si>
  <si>
    <t>作業量</t>
    <rPh sb="0" eb="2">
      <t>サギョウ</t>
    </rPh>
    <rPh sb="2" eb="3">
      <t>リョウ</t>
    </rPh>
    <phoneticPr fontId="2"/>
  </si>
  <si>
    <t>　　氏　名</t>
    <rPh sb="2" eb="3">
      <t>フリ</t>
    </rPh>
    <rPh sb="4" eb="5">
      <t>ガナ</t>
    </rPh>
    <phoneticPr fontId="2"/>
  </si>
  <si>
    <t>①全部　②外枠　③小物　④部品
⑤仕分　⑥他（　　　　　　）　</t>
    <rPh sb="1" eb="3">
      <t>ゼンブ</t>
    </rPh>
    <rPh sb="5" eb="7">
      <t>ソトワク</t>
    </rPh>
    <rPh sb="9" eb="11">
      <t>コモノ</t>
    </rPh>
    <rPh sb="13" eb="15">
      <t>ブヒン</t>
    </rPh>
    <rPh sb="17" eb="19">
      <t>シワケ</t>
    </rPh>
    <rPh sb="21" eb="22">
      <t>ホカ</t>
    </rPh>
    <phoneticPr fontId="2"/>
  </si>
  <si>
    <t>①　　台②　　枠　　③④　　％
⑤　　箱⑥【　　　　　　　　　】　　　　　　　　</t>
    <rPh sb="3" eb="4">
      <t>ダイ</t>
    </rPh>
    <rPh sb="7" eb="8">
      <t>ワク</t>
    </rPh>
    <rPh sb="19" eb="20">
      <t>ハコ</t>
    </rPh>
    <phoneticPr fontId="2"/>
  </si>
  <si>
    <t>サービス管理責任者より</t>
    <rPh sb="4" eb="6">
      <t>カンリ</t>
    </rPh>
    <rPh sb="6" eb="9">
      <t>セキニンシャ</t>
    </rPh>
    <phoneticPr fontId="2"/>
  </si>
  <si>
    <t>本日の感想</t>
    <rPh sb="0" eb="2">
      <t>ホンジツ</t>
    </rPh>
    <rPh sb="3" eb="5">
      <t>カンソウ</t>
    </rPh>
    <phoneticPr fontId="2"/>
  </si>
  <si>
    <t>気分よく仕事ができた</t>
    <rPh sb="0" eb="2">
      <t>キブン</t>
    </rPh>
    <rPh sb="4" eb="6">
      <t>シゴト</t>
    </rPh>
    <phoneticPr fontId="2"/>
  </si>
  <si>
    <t>月間目標について</t>
    <rPh sb="0" eb="2">
      <t>ゲッカン</t>
    </rPh>
    <rPh sb="2" eb="4">
      <t>モクヒョウ</t>
    </rPh>
    <phoneticPr fontId="2"/>
  </si>
  <si>
    <t>意識して取り組めた</t>
    <rPh sb="0" eb="2">
      <t>イシキ</t>
    </rPh>
    <rPh sb="4" eb="5">
      <t>ト</t>
    </rPh>
    <rPh sb="6" eb="7">
      <t>ク</t>
    </rPh>
    <phoneticPr fontId="2"/>
  </si>
  <si>
    <t>就労月報</t>
    <rPh sb="0" eb="2">
      <t>シュウロウ</t>
    </rPh>
    <rPh sb="2" eb="3">
      <t>ゲツ</t>
    </rPh>
    <rPh sb="3" eb="4">
      <t>ホウ</t>
    </rPh>
    <phoneticPr fontId="2"/>
  </si>
  <si>
    <t>長期目標</t>
    <rPh sb="0" eb="2">
      <t>チョウキ</t>
    </rPh>
    <rPh sb="2" eb="4">
      <t>モクヒョウ</t>
    </rPh>
    <phoneticPr fontId="2"/>
  </si>
  <si>
    <t>中期目標</t>
    <rPh sb="0" eb="2">
      <t>チュウキ</t>
    </rPh>
    <rPh sb="2" eb="4">
      <t>モクヒョウ</t>
    </rPh>
    <phoneticPr fontId="2"/>
  </si>
  <si>
    <t>④</t>
    <phoneticPr fontId="2"/>
  </si>
  <si>
    <t>①就労支援/就労</t>
    <rPh sb="1" eb="3">
      <t>シュウロウ</t>
    </rPh>
    <rPh sb="3" eb="5">
      <t>シエン</t>
    </rPh>
    <rPh sb="6" eb="8">
      <t>シュウロウ</t>
    </rPh>
    <phoneticPr fontId="2"/>
  </si>
  <si>
    <t>②就労支援/就労</t>
    <phoneticPr fontId="2"/>
  </si>
  <si>
    <t>③</t>
    <phoneticPr fontId="2"/>
  </si>
  <si>
    <t>出勤時間</t>
    <rPh sb="0" eb="2">
      <t>シュッキン</t>
    </rPh>
    <rPh sb="2" eb="4">
      <t>ジカン</t>
    </rPh>
    <phoneticPr fontId="2"/>
  </si>
  <si>
    <t>：</t>
    <phoneticPr fontId="2"/>
  </si>
  <si>
    <t>退勤時間</t>
    <rPh sb="0" eb="2">
      <t>タイキン</t>
    </rPh>
    <rPh sb="2" eb="4">
      <t>ジカン</t>
    </rPh>
    <phoneticPr fontId="2"/>
  </si>
  <si>
    <t>（　　　）</t>
    <phoneticPr fontId="2"/>
  </si>
  <si>
    <t>サビ管</t>
    <rPh sb="2" eb="3">
      <t>カン</t>
    </rPh>
    <phoneticPr fontId="2"/>
  </si>
  <si>
    <t>平成30年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</si>
  <si>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 xml:space="preserve"> 三宅 谷崎 仁井 内田</t>
    <rPh sb="1" eb="3">
      <t>ミヤケ</t>
    </rPh>
    <rPh sb="4" eb="5">
      <t>タニ</t>
    </rPh>
    <rPh sb="5" eb="6">
      <t>サキ</t>
    </rPh>
    <rPh sb="7" eb="9">
      <t>ニイ</t>
    </rPh>
    <rPh sb="10" eb="12">
      <t>ウチダ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</si>
</sst>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14" fontId="4" fillId="0" borderId="18" xfId="0" applyNumberFormat="1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2" borderId="7" xfId="0" applyFont="1" applyFill="1" applyBorder="1" applyAlignment="1">
      <alignment vertical="center" shrinkToFit="1"/>
    </xf>
    <xf numFmtId="0" fontId="4" fillId="2" borderId="0" xfId="0" applyFont="1" applyFill="1" applyBorder="1" applyAlignment="1">
      <alignment vertical="center" shrinkToFit="1"/>
    </xf>
    <xf numFmtId="0" fontId="4" fillId="2" borderId="8" xfId="0" applyFont="1" applyFill="1" applyBorder="1" applyAlignment="1">
      <alignment vertical="center" shrinkToFit="1"/>
    </xf>
    <xf numFmtId="0" fontId="4" fillId="3" borderId="17" xfId="0" applyFont="1" applyFill="1" applyBorder="1" applyAlignment="1">
      <alignment horizontal="center" vertical="center" shrinkToFit="1"/>
    </xf>
    <xf numFmtId="0" fontId="4" fillId="3" borderId="18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Border="1">
      <alignment vertical="center"/>
    </xf>
    <xf numFmtId="0" fontId="3" fillId="0" borderId="13" xfId="0" applyFont="1" applyBorder="1" applyAlignment="1">
      <alignment vertical="center" wrapText="1" shrinkToFit="1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17" xfId="0" applyFont="1" applyBorder="1" applyAlignment="1">
      <alignment horizontal="center" vertical="center" shrinkToFit="1"/>
    </xf>
    <xf numFmtId="0" fontId="6" fillId="0" borderId="18" xfId="0" applyFont="1" applyBorder="1" applyAlignment="1">
      <alignment vertical="center" shrinkToFit="1"/>
    </xf>
    <xf numFmtId="14" fontId="6" fillId="0" borderId="18" xfId="0" applyNumberFormat="1" applyFont="1" applyBorder="1" applyAlignment="1">
      <alignment horizontal="center" vertical="center" shrinkToFit="1"/>
    </xf>
    <xf numFmtId="0" fontId="6" fillId="0" borderId="12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0" fontId="6" fillId="2" borderId="7" xfId="0" applyFont="1" applyFill="1" applyBorder="1" applyAlignment="1">
      <alignment vertical="center" shrinkToFit="1"/>
    </xf>
    <xf numFmtId="0" fontId="6" fillId="2" borderId="0" xfId="0" applyFont="1" applyFill="1" applyBorder="1" applyAlignment="1">
      <alignment vertical="center" shrinkToFit="1"/>
    </xf>
    <xf numFmtId="0" fontId="6" fillId="2" borderId="27" xfId="0" applyFont="1" applyFill="1" applyBorder="1" applyAlignment="1">
      <alignment vertical="center" shrinkToFit="1"/>
    </xf>
    <xf numFmtId="0" fontId="6" fillId="2" borderId="28" xfId="0" applyFont="1" applyFill="1" applyBorder="1" applyAlignment="1">
      <alignment vertical="center" shrinkToFit="1"/>
    </xf>
    <xf numFmtId="0" fontId="6" fillId="3" borderId="17" xfId="0" applyFont="1" applyFill="1" applyBorder="1" applyAlignment="1">
      <alignment horizontal="center" vertical="center" shrinkToFit="1"/>
    </xf>
    <xf numFmtId="0" fontId="6" fillId="3" borderId="18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0" borderId="29" xfId="0" applyFont="1" applyBorder="1" applyAlignment="1">
      <alignment horizontal="center" vertical="center" shrinkToFit="1"/>
    </xf>
    <xf numFmtId="0" fontId="7" fillId="0" borderId="13" xfId="0" applyFont="1" applyBorder="1" applyAlignment="1">
      <alignment vertical="center" wrapText="1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3" borderId="19" xfId="0" applyFont="1" applyFill="1" applyBorder="1" applyAlignment="1">
      <alignment horizontal="center" vertical="center" shrinkToFit="1"/>
    </xf>
    <xf numFmtId="0" fontId="4" fillId="3" borderId="20" xfId="0" applyFont="1" applyFill="1" applyBorder="1" applyAlignment="1">
      <alignment horizontal="center" vertical="center" shrinkToFit="1"/>
    </xf>
    <xf numFmtId="0" fontId="4" fillId="2" borderId="22" xfId="0" applyFont="1" applyFill="1" applyBorder="1" applyAlignment="1">
      <alignment vertical="center" shrinkToFit="1"/>
    </xf>
    <xf numFmtId="0" fontId="3" fillId="0" borderId="13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left" vertical="top" shrinkToFit="1"/>
    </xf>
    <xf numFmtId="0" fontId="4" fillId="0" borderId="25" xfId="0" applyFont="1" applyBorder="1" applyAlignment="1">
      <alignment horizontal="left" vertical="top" shrinkToFit="1"/>
    </xf>
    <xf numFmtId="0" fontId="4" fillId="0" borderId="7" xfId="0" applyFont="1" applyBorder="1" applyAlignment="1">
      <alignment horizontal="left" vertical="top" shrinkToFit="1"/>
    </xf>
    <xf numFmtId="0" fontId="4" fillId="0" borderId="0" xfId="0" applyFont="1" applyBorder="1" applyAlignment="1">
      <alignment horizontal="left" vertical="top" shrinkToFit="1"/>
    </xf>
    <xf numFmtId="0" fontId="4" fillId="0" borderId="24" xfId="0" applyFont="1" applyBorder="1" applyAlignment="1">
      <alignment horizontal="left" vertical="top" shrinkToFit="1"/>
    </xf>
    <xf numFmtId="0" fontId="4" fillId="0" borderId="27" xfId="0" applyFont="1" applyBorder="1" applyAlignment="1">
      <alignment horizontal="left" vertical="top" shrinkToFit="1"/>
    </xf>
    <xf numFmtId="0" fontId="4" fillId="0" borderId="26" xfId="0" applyFont="1" applyBorder="1" applyAlignment="1">
      <alignment horizontal="left" vertical="top" shrinkToFit="1"/>
    </xf>
    <xf numFmtId="0" fontId="4" fillId="0" borderId="8" xfId="0" applyFont="1" applyBorder="1" applyAlignment="1">
      <alignment horizontal="left" vertical="top" shrinkToFit="1"/>
    </xf>
    <xf numFmtId="0" fontId="4" fillId="0" borderId="28" xfId="0" applyFont="1" applyBorder="1" applyAlignment="1">
      <alignment horizontal="left" vertical="top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255" shrinkToFit="1"/>
    </xf>
    <xf numFmtId="0" fontId="6" fillId="0" borderId="31" xfId="0" applyFont="1" applyBorder="1" applyAlignment="1">
      <alignment horizontal="center" vertical="center" shrinkToFit="1"/>
    </xf>
    <xf numFmtId="0" fontId="8" fillId="0" borderId="32" xfId="0" applyFont="1" applyBorder="1" applyAlignment="1">
      <alignment vertical="center" shrinkToFit="1"/>
    </xf>
    <xf numFmtId="0" fontId="6" fillId="0" borderId="23" xfId="0" applyFont="1" applyBorder="1" applyAlignment="1">
      <alignment horizontal="left" vertical="top" shrinkToFit="1"/>
    </xf>
    <xf numFmtId="0" fontId="8" fillId="0" borderId="25" xfId="0" applyFont="1" applyBorder="1" applyAlignment="1">
      <alignment horizontal="left" vertical="top" shrinkToFit="1"/>
    </xf>
    <xf numFmtId="0" fontId="8" fillId="0" borderId="7" xfId="0" applyFont="1" applyBorder="1" applyAlignment="1">
      <alignment horizontal="left" vertical="top" shrinkToFit="1"/>
    </xf>
    <xf numFmtId="0" fontId="8" fillId="0" borderId="0" xfId="0" applyFont="1" applyAlignment="1">
      <alignment horizontal="left" vertical="top" shrinkToFit="1"/>
    </xf>
    <xf numFmtId="0" fontId="8" fillId="0" borderId="24" xfId="0" applyFont="1" applyBorder="1" applyAlignment="1">
      <alignment horizontal="left" vertical="top" shrinkToFit="1"/>
    </xf>
    <xf numFmtId="0" fontId="8" fillId="0" borderId="27" xfId="0" applyFont="1" applyBorder="1" applyAlignment="1">
      <alignment horizontal="left" vertical="top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6" fillId="3" borderId="20" xfId="0" applyFont="1" applyFill="1" applyBorder="1" applyAlignment="1">
      <alignment horizontal="center" vertical="center" shrinkToFit="1"/>
    </xf>
    <xf numFmtId="0" fontId="6" fillId="0" borderId="37" xfId="0" applyFont="1" applyBorder="1" applyAlignment="1">
      <alignment horizontal="center" vertical="center" shrinkToFit="1"/>
    </xf>
    <xf numFmtId="0" fontId="6" fillId="0" borderId="38" xfId="0" applyFont="1" applyBorder="1" applyAlignment="1">
      <alignment horizontal="center" vertical="center" shrinkToFit="1"/>
    </xf>
    <xf numFmtId="0" fontId="6" fillId="0" borderId="39" xfId="0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left" vertical="top" shrinkToFit="1"/>
    </xf>
    <xf numFmtId="0" fontId="8" fillId="0" borderId="8" xfId="0" applyFont="1" applyBorder="1" applyAlignment="1">
      <alignment horizontal="left" vertical="top" shrinkToFit="1"/>
    </xf>
    <xf numFmtId="0" fontId="8" fillId="0" borderId="28" xfId="0" applyFont="1" applyBorder="1" applyAlignment="1">
      <alignment horizontal="left" vertical="top" shrinkToFit="1"/>
    </xf>
    <xf numFmtId="0" fontId="6" fillId="2" borderId="41" xfId="0" applyFont="1" applyFill="1" applyBorder="1" applyAlignment="1">
      <alignment vertical="center" shrinkToFit="1"/>
    </xf>
    <xf numFmtId="0" fontId="6" fillId="0" borderId="3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shrinkToFit="1"/>
    </xf>
    <xf numFmtId="0" fontId="7" fillId="0" borderId="3" xfId="0" applyFont="1" applyBorder="1" applyAlignment="1">
      <alignment vertical="center" wrapText="1" shrinkToFit="1"/>
    </xf>
    <xf numFmtId="0" fontId="7" fillId="0" borderId="4" xfId="0" applyFont="1" applyBorder="1" applyAlignment="1">
      <alignment vertical="center" shrinkToFit="1"/>
    </xf>
    <xf numFmtId="0" fontId="7" fillId="0" borderId="37" xfId="0" applyFont="1" applyBorder="1" applyAlignment="1">
      <alignment vertical="center" wrapText="1" shrinkToFit="1"/>
    </xf>
    <xf numFmtId="0" fontId="7" fillId="0" borderId="38" xfId="0" applyFont="1" applyBorder="1" applyAlignment="1">
      <alignment vertical="center" shrinkToFit="1"/>
    </xf>
    <xf numFmtId="0" fontId="9" fillId="0" borderId="2" xfId="0" applyFont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2"/>
  <sheetViews>
    <sheetView workbookViewId="0">
      <selection activeCell="C24" sqref="C24"/>
    </sheetView>
  </sheetViews>
  <sheetFormatPr defaultRowHeight="13.5" x14ac:dyDescent="0.15"/>
  <cols>
    <col min="7" max="7" width="9" style="2"/>
    <col min="8" max="8" width="7.875" customWidth="1"/>
    <col min="9" max="9" width="0.625" hidden="1" customWidth="1"/>
    <col min="10" max="11" width="9" hidden="1" customWidth="1"/>
  </cols>
  <sheetData>
    <row r="4" spans="2:11" x14ac:dyDescent="0.15">
      <c r="B4" s="3"/>
      <c r="C4" s="4" t="s">
        <v>0</v>
      </c>
      <c r="D4" s="4" t="s">
        <v>14</v>
      </c>
      <c r="E4" s="4" t="s">
        <v>15</v>
      </c>
      <c r="F4" s="4" t="s">
        <v>16</v>
      </c>
      <c r="G4" s="5"/>
      <c r="I4" s="1" t="s">
        <v>0</v>
      </c>
      <c r="J4" s="1" t="s">
        <v>14</v>
      </c>
      <c r="K4" s="1" t="s">
        <v>15</v>
      </c>
    </row>
    <row r="5" spans="2:11" x14ac:dyDescent="0.15">
      <c r="B5" s="3" t="s">
        <v>1</v>
      </c>
      <c r="C5" s="3">
        <v>1</v>
      </c>
      <c r="D5" s="3">
        <v>2</v>
      </c>
      <c r="E5" s="3">
        <v>2</v>
      </c>
      <c r="F5" s="3">
        <f>SUM(C5:E5)</f>
        <v>5</v>
      </c>
      <c r="G5" s="5">
        <f>F5/70</f>
        <v>7.1428571428571425E-2</v>
      </c>
      <c r="I5" s="2">
        <f>C5/37</f>
        <v>2.7027027027027029E-2</v>
      </c>
      <c r="J5" s="2">
        <f>D5/16</f>
        <v>0.125</v>
      </c>
      <c r="K5" s="2">
        <f>E5/17</f>
        <v>0.11764705882352941</v>
      </c>
    </row>
    <row r="6" spans="2:11" x14ac:dyDescent="0.15">
      <c r="B6" s="3" t="s">
        <v>2</v>
      </c>
      <c r="C6" s="3">
        <v>6</v>
      </c>
      <c r="D6" s="3">
        <v>1</v>
      </c>
      <c r="E6" s="3">
        <v>5</v>
      </c>
      <c r="F6" s="3">
        <v>11</v>
      </c>
      <c r="G6" s="5">
        <f t="shared" ref="G6:G22" si="0">F6/70</f>
        <v>0.15714285714285714</v>
      </c>
      <c r="I6" s="2">
        <f t="shared" ref="I6:I22" si="1">C6/37</f>
        <v>0.16216216216216217</v>
      </c>
      <c r="J6" s="2">
        <f t="shared" ref="J6:J22" si="2">D6/16</f>
        <v>6.25E-2</v>
      </c>
      <c r="K6" s="2">
        <f t="shared" ref="K6:K22" si="3">E6/17</f>
        <v>0.29411764705882354</v>
      </c>
    </row>
    <row r="7" spans="2:11" x14ac:dyDescent="0.15">
      <c r="B7" s="3" t="s">
        <v>3</v>
      </c>
      <c r="C7" s="3">
        <v>3</v>
      </c>
      <c r="D7" s="3">
        <v>1</v>
      </c>
      <c r="E7" s="3">
        <v>2</v>
      </c>
      <c r="F7" s="3">
        <v>7</v>
      </c>
      <c r="G7" s="5">
        <f t="shared" si="0"/>
        <v>0.1</v>
      </c>
      <c r="I7" s="2">
        <f t="shared" si="1"/>
        <v>8.1081081081081086E-2</v>
      </c>
      <c r="J7" s="2">
        <f t="shared" si="2"/>
        <v>6.25E-2</v>
      </c>
      <c r="K7" s="2">
        <f t="shared" si="3"/>
        <v>0.11764705882352941</v>
      </c>
    </row>
    <row r="8" spans="2:11" x14ac:dyDescent="0.15">
      <c r="B8" s="3" t="s">
        <v>4</v>
      </c>
      <c r="C8" s="3">
        <v>10</v>
      </c>
      <c r="D8" s="3">
        <v>1</v>
      </c>
      <c r="E8" s="3">
        <v>3</v>
      </c>
      <c r="F8" s="3">
        <f t="shared" ref="F8:F13" si="4">SUM(C8:E8)</f>
        <v>14</v>
      </c>
      <c r="G8" s="5">
        <f t="shared" si="0"/>
        <v>0.2</v>
      </c>
      <c r="I8" s="2">
        <f t="shared" si="1"/>
        <v>0.27027027027027029</v>
      </c>
      <c r="J8" s="2">
        <f t="shared" si="2"/>
        <v>6.25E-2</v>
      </c>
      <c r="K8" s="2">
        <f t="shared" si="3"/>
        <v>0.17647058823529413</v>
      </c>
    </row>
    <row r="9" spans="2:11" x14ac:dyDescent="0.15">
      <c r="B9" s="3" t="s">
        <v>5</v>
      </c>
      <c r="C9" s="3">
        <v>9</v>
      </c>
      <c r="D9" s="3">
        <v>3</v>
      </c>
      <c r="E9" s="3">
        <v>2</v>
      </c>
      <c r="F9" s="3">
        <f t="shared" si="4"/>
        <v>14</v>
      </c>
      <c r="G9" s="5">
        <f t="shared" si="0"/>
        <v>0.2</v>
      </c>
      <c r="I9" s="2">
        <f t="shared" si="1"/>
        <v>0.24324324324324326</v>
      </c>
      <c r="J9" s="2">
        <f t="shared" si="2"/>
        <v>0.1875</v>
      </c>
      <c r="K9" s="2">
        <f t="shared" si="3"/>
        <v>0.11764705882352941</v>
      </c>
    </row>
    <row r="10" spans="2:11" x14ac:dyDescent="0.15">
      <c r="B10" s="3" t="s">
        <v>6</v>
      </c>
      <c r="C10" s="3">
        <v>7</v>
      </c>
      <c r="D10" s="3">
        <v>6</v>
      </c>
      <c r="E10" s="3">
        <v>3</v>
      </c>
      <c r="F10" s="3">
        <f t="shared" si="4"/>
        <v>16</v>
      </c>
      <c r="G10" s="5">
        <f t="shared" si="0"/>
        <v>0.22857142857142856</v>
      </c>
      <c r="I10" s="2">
        <f t="shared" si="1"/>
        <v>0.1891891891891892</v>
      </c>
      <c r="J10" s="2">
        <f t="shared" si="2"/>
        <v>0.375</v>
      </c>
      <c r="K10" s="2">
        <f t="shared" si="3"/>
        <v>0.17647058823529413</v>
      </c>
    </row>
    <row r="11" spans="2:11" x14ac:dyDescent="0.15">
      <c r="B11" s="3" t="s">
        <v>7</v>
      </c>
      <c r="C11" s="3">
        <v>1</v>
      </c>
      <c r="D11" s="3">
        <v>1</v>
      </c>
      <c r="E11" s="3">
        <v>0</v>
      </c>
      <c r="F11" s="3">
        <f t="shared" si="4"/>
        <v>2</v>
      </c>
      <c r="G11" s="5">
        <f t="shared" si="0"/>
        <v>2.8571428571428571E-2</v>
      </c>
      <c r="I11" s="2">
        <f t="shared" si="1"/>
        <v>2.7027027027027029E-2</v>
      </c>
      <c r="J11" s="2">
        <f t="shared" si="2"/>
        <v>6.25E-2</v>
      </c>
      <c r="K11" s="2">
        <f t="shared" si="3"/>
        <v>0</v>
      </c>
    </row>
    <row r="12" spans="2:11" x14ac:dyDescent="0.15">
      <c r="B12" s="3" t="s">
        <v>8</v>
      </c>
      <c r="C12" s="3"/>
      <c r="D12" s="3">
        <v>1</v>
      </c>
      <c r="E12" s="3">
        <v>0</v>
      </c>
      <c r="F12" s="3">
        <f t="shared" si="4"/>
        <v>1</v>
      </c>
      <c r="G12" s="5">
        <f t="shared" si="0"/>
        <v>1.4285714285714285E-2</v>
      </c>
      <c r="I12" s="2">
        <f t="shared" si="1"/>
        <v>0</v>
      </c>
      <c r="J12" s="2">
        <f t="shared" si="2"/>
        <v>6.25E-2</v>
      </c>
      <c r="K12" s="2">
        <f t="shared" si="3"/>
        <v>0</v>
      </c>
    </row>
    <row r="13" spans="2:11" x14ac:dyDescent="0.15">
      <c r="B13" s="3"/>
      <c r="C13" s="3">
        <v>37</v>
      </c>
      <c r="D13" s="3">
        <f>SUM(D5:D12)</f>
        <v>16</v>
      </c>
      <c r="E13" s="3">
        <f>SUM(E5:E12)</f>
        <v>17</v>
      </c>
      <c r="F13" s="3">
        <f t="shared" si="4"/>
        <v>70</v>
      </c>
      <c r="G13" s="5">
        <f t="shared" si="0"/>
        <v>1</v>
      </c>
      <c r="I13" s="2">
        <f t="shared" si="1"/>
        <v>1</v>
      </c>
      <c r="J13" s="2">
        <f t="shared" si="2"/>
        <v>1</v>
      </c>
      <c r="K13" s="2">
        <f t="shared" si="3"/>
        <v>1</v>
      </c>
    </row>
    <row r="14" spans="2:11" x14ac:dyDescent="0.15">
      <c r="G14"/>
    </row>
    <row r="15" spans="2:11" x14ac:dyDescent="0.15">
      <c r="B15" s="3" t="s">
        <v>9</v>
      </c>
      <c r="C15" s="3">
        <v>25</v>
      </c>
      <c r="D15" s="3">
        <v>10</v>
      </c>
      <c r="E15" s="3">
        <v>12</v>
      </c>
      <c r="F15" s="3">
        <f>SUM(C15:E15)</f>
        <v>47</v>
      </c>
      <c r="G15" s="5">
        <f t="shared" si="0"/>
        <v>0.67142857142857137</v>
      </c>
      <c r="I15" s="2">
        <f t="shared" si="1"/>
        <v>0.67567567567567566</v>
      </c>
      <c r="J15" s="2">
        <f t="shared" si="2"/>
        <v>0.625</v>
      </c>
      <c r="K15" s="2">
        <f t="shared" si="3"/>
        <v>0.70588235294117652</v>
      </c>
    </row>
    <row r="16" spans="2:11" x14ac:dyDescent="0.15">
      <c r="B16" s="3" t="s">
        <v>10</v>
      </c>
      <c r="C16" s="3">
        <v>12</v>
      </c>
      <c r="D16" s="3">
        <v>6</v>
      </c>
      <c r="E16" s="3">
        <v>5</v>
      </c>
      <c r="F16" s="3">
        <f>SUM(C16:E16)</f>
        <v>23</v>
      </c>
      <c r="G16" s="5">
        <f t="shared" si="0"/>
        <v>0.32857142857142857</v>
      </c>
      <c r="I16" s="2">
        <f t="shared" si="1"/>
        <v>0.32432432432432434</v>
      </c>
      <c r="J16" s="2">
        <f t="shared" si="2"/>
        <v>0.375</v>
      </c>
      <c r="K16" s="2">
        <f t="shared" si="3"/>
        <v>0.29411764705882354</v>
      </c>
    </row>
    <row r="17" spans="2:11" x14ac:dyDescent="0.15">
      <c r="B17" s="3"/>
      <c r="C17" s="3">
        <f>SUM(C15:C16)</f>
        <v>37</v>
      </c>
      <c r="D17" s="3">
        <f t="shared" ref="D17:E17" si="5">SUM(D15:D16)</f>
        <v>16</v>
      </c>
      <c r="E17" s="3">
        <f t="shared" si="5"/>
        <v>17</v>
      </c>
      <c r="F17" s="3">
        <f>SUM(C17:E17)</f>
        <v>70</v>
      </c>
      <c r="G17" s="5">
        <f t="shared" si="0"/>
        <v>1</v>
      </c>
      <c r="I17" s="2">
        <f t="shared" si="1"/>
        <v>1</v>
      </c>
      <c r="J17" s="2">
        <f t="shared" si="2"/>
        <v>1</v>
      </c>
      <c r="K17" s="2">
        <f t="shared" si="3"/>
        <v>1</v>
      </c>
    </row>
    <row r="18" spans="2:11" x14ac:dyDescent="0.15">
      <c r="G18"/>
    </row>
    <row r="19" spans="2:11" x14ac:dyDescent="0.15">
      <c r="B19" s="3" t="s">
        <v>11</v>
      </c>
      <c r="C19" s="3">
        <v>9</v>
      </c>
      <c r="D19" s="3">
        <v>5</v>
      </c>
      <c r="E19" s="3">
        <v>4</v>
      </c>
      <c r="F19" s="3">
        <f>SUM(C19:E19)</f>
        <v>18</v>
      </c>
      <c r="G19" s="5">
        <f t="shared" si="0"/>
        <v>0.25714285714285712</v>
      </c>
      <c r="I19" s="2">
        <f t="shared" si="1"/>
        <v>0.24324324324324326</v>
      </c>
      <c r="J19" s="2">
        <f t="shared" si="2"/>
        <v>0.3125</v>
      </c>
      <c r="K19" s="2">
        <f t="shared" si="3"/>
        <v>0.23529411764705882</v>
      </c>
    </row>
    <row r="20" spans="2:11" x14ac:dyDescent="0.15">
      <c r="B20" s="3" t="s">
        <v>12</v>
      </c>
      <c r="C20" s="3">
        <v>18</v>
      </c>
      <c r="D20" s="3">
        <v>10</v>
      </c>
      <c r="E20" s="3">
        <v>4</v>
      </c>
      <c r="F20" s="3">
        <f>SUM(C20:E20)</f>
        <v>32</v>
      </c>
      <c r="G20" s="5">
        <f t="shared" si="0"/>
        <v>0.45714285714285713</v>
      </c>
      <c r="I20" s="2">
        <f t="shared" si="1"/>
        <v>0.48648648648648651</v>
      </c>
      <c r="J20" s="2">
        <f t="shared" si="2"/>
        <v>0.625</v>
      </c>
      <c r="K20" s="2">
        <f t="shared" si="3"/>
        <v>0.23529411764705882</v>
      </c>
    </row>
    <row r="21" spans="2:11" x14ac:dyDescent="0.15">
      <c r="B21" s="3" t="s">
        <v>13</v>
      </c>
      <c r="C21" s="3">
        <v>10</v>
      </c>
      <c r="D21" s="3">
        <v>1</v>
      </c>
      <c r="E21" s="3">
        <v>9</v>
      </c>
      <c r="F21" s="3">
        <f>SUM(C21:E21)</f>
        <v>20</v>
      </c>
      <c r="G21" s="5">
        <f t="shared" si="0"/>
        <v>0.2857142857142857</v>
      </c>
      <c r="I21" s="2">
        <f t="shared" si="1"/>
        <v>0.27027027027027029</v>
      </c>
      <c r="J21" s="2">
        <f t="shared" si="2"/>
        <v>6.25E-2</v>
      </c>
      <c r="K21" s="2">
        <f t="shared" si="3"/>
        <v>0.52941176470588236</v>
      </c>
    </row>
    <row r="22" spans="2:11" x14ac:dyDescent="0.15">
      <c r="B22" s="3"/>
      <c r="C22" s="3">
        <f>SUM(C19:C21)</f>
        <v>37</v>
      </c>
      <c r="D22" s="3">
        <f t="shared" ref="D22:E22" si="6">SUM(D19:D21)</f>
        <v>16</v>
      </c>
      <c r="E22" s="3">
        <f t="shared" si="6"/>
        <v>17</v>
      </c>
      <c r="F22" s="3">
        <f>SUM(C22:E22)</f>
        <v>70</v>
      </c>
      <c r="G22" s="5">
        <f t="shared" si="0"/>
        <v>1</v>
      </c>
      <c r="I22" s="2">
        <f t="shared" si="1"/>
        <v>1</v>
      </c>
      <c r="J22" s="2">
        <f t="shared" si="2"/>
        <v>1</v>
      </c>
      <c r="K22" s="2">
        <f t="shared" si="3"/>
        <v>1</v>
      </c>
    </row>
  </sheetData>
  <phoneticPr fontId="2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C15" sqref="C15"/>
    </sheetView>
  </sheetViews>
  <sheetFormatPr defaultColWidth="6.75" defaultRowHeight="21" customHeight="1" x14ac:dyDescent="0.15"/>
  <cols>
    <col min="1" max="1" width="2" style="6" customWidth="1"/>
    <col min="2" max="2" width="26.625" style="6" bestFit="1" customWidth="1"/>
    <col min="3" max="3" width="38" style="6" bestFit="1" customWidth="1"/>
    <col min="4" max="4" width="1.625" style="6" customWidth="1"/>
    <col min="5" max="5" width="26.25" style="6" customWidth="1"/>
    <col min="6" max="6" width="9.125" style="6" customWidth="1"/>
    <col min="7" max="9" width="6.75" style="6"/>
    <col min="10" max="10" width="16.875" style="6" customWidth="1"/>
    <col min="11" max="16384" width="6.75" style="6"/>
  </cols>
  <sheetData>
    <row r="1" spans="2:10" ht="36" customHeight="1" x14ac:dyDescent="0.2">
      <c r="B1" s="6" t="s" ph="1">
        <v>17</v>
      </c>
      <c r="C1" s="9" t="s" ph="1">
        <v>44</v>
      </c>
      <c r="D1" s="10" ph="1"/>
      <c r="E1" s="27" t="s" ph="1">
        <v>40</v>
      </c>
      <c r="G1" s="11" t="s">
        <v>41</v>
      </c>
      <c r="H1" s="11"/>
      <c r="I1" s="11"/>
      <c r="J1" s="11"/>
    </row>
    <row r="2" spans="2:10" ht="9" customHeight="1" thickBot="1" x14ac:dyDescent="0.25">
      <c r="B2" s="6" ph="1"/>
      <c r="C2" s="6" ph="1"/>
      <c r="D2" s="6" ph="1"/>
      <c r="E2" s="8" ph="1"/>
    </row>
    <row r="3" spans="2:10" ht="29.25" customHeight="1" thickBot="1" x14ac:dyDescent="0.25">
      <c r="B3" s="13" t="s" ph="1">
        <v>36</v>
      </c>
      <c r="C3" s="14" t="s" ph="1">
        <v>37</v>
      </c>
      <c r="D3" s="55" t="s">
        <v>38</v>
      </c>
      <c r="E3" s="56"/>
      <c r="F3" s="12" t="s">
        <v>26</v>
      </c>
      <c r="G3" s="57" t="s">
        <v>27</v>
      </c>
      <c r="H3" s="57"/>
      <c r="I3" s="57"/>
      <c r="J3" s="58"/>
    </row>
    <row r="4" spans="2:10" ht="27.75" customHeight="1" thickTop="1" x14ac:dyDescent="0.2">
      <c r="B4" s="15" t="s" ph="1">
        <v>21</v>
      </c>
      <c r="C4" s="16" t="s" ph="1">
        <v>39</v>
      </c>
      <c r="D4" s="59" t="s">
        <v>20</v>
      </c>
      <c r="E4" s="60"/>
      <c r="F4" s="16"/>
      <c r="G4" s="61"/>
      <c r="H4" s="61"/>
      <c r="I4" s="61"/>
      <c r="J4" s="62"/>
    </row>
    <row r="5" spans="2:10" ht="27.75" customHeight="1" x14ac:dyDescent="0.2">
      <c r="B5" s="17" t="s" ph="1">
        <v>33</v>
      </c>
      <c r="C5" s="18" t="s" ph="1">
        <v>32</v>
      </c>
      <c r="D5" s="63" t="s">
        <v>20</v>
      </c>
      <c r="E5" s="64"/>
      <c r="F5" s="18"/>
      <c r="G5" s="65"/>
      <c r="H5" s="65"/>
      <c r="I5" s="65"/>
      <c r="J5" s="66"/>
    </row>
    <row r="6" spans="2:10" ht="27.75" customHeight="1" x14ac:dyDescent="0.2">
      <c r="B6" s="17" t="s" ph="1">
        <v>18</v>
      </c>
      <c r="C6" s="18" t="s" ph="1">
        <v>19</v>
      </c>
      <c r="D6" s="63" t="s">
        <v>20</v>
      </c>
      <c r="E6" s="64"/>
      <c r="F6" s="18"/>
      <c r="G6" s="65"/>
      <c r="H6" s="65"/>
      <c r="I6" s="65"/>
      <c r="J6" s="66"/>
    </row>
    <row r="7" spans="2:10" ht="27.75" customHeight="1" x14ac:dyDescent="0.2">
      <c r="B7" s="17" t="s" ph="1">
        <v>24</v>
      </c>
      <c r="C7" s="18" t="s">
        <v>25</v>
      </c>
      <c r="D7" s="63" t="s">
        <v>20</v>
      </c>
      <c r="E7" s="64"/>
      <c r="F7" s="18"/>
      <c r="G7" s="65"/>
      <c r="H7" s="65"/>
      <c r="I7" s="65"/>
      <c r="J7" s="66"/>
    </row>
    <row r="8" spans="2:10" ht="27.75" customHeight="1" x14ac:dyDescent="0.2">
      <c r="B8" s="17" t="s" ph="1">
        <v>28</v>
      </c>
      <c r="C8" s="18" t="s" ph="1">
        <v>49</v>
      </c>
      <c r="D8" s="63" t="s">
        <v>20</v>
      </c>
      <c r="E8" s="64"/>
      <c r="F8" s="18"/>
      <c r="G8" s="65"/>
      <c r="H8" s="65"/>
      <c r="I8" s="65"/>
      <c r="J8" s="66"/>
    </row>
    <row r="9" spans="2:10" ht="27.75" customHeight="1" x14ac:dyDescent="0.2">
      <c r="B9" s="17" t="s" ph="1">
        <v>30</v>
      </c>
      <c r="C9" s="18" t="s" ph="1">
        <v>31</v>
      </c>
      <c r="D9" s="63" t="s">
        <v>20</v>
      </c>
      <c r="E9" s="64"/>
      <c r="F9" s="18"/>
      <c r="G9" s="65"/>
      <c r="H9" s="65"/>
      <c r="I9" s="65"/>
      <c r="J9" s="66"/>
    </row>
    <row r="10" spans="2:10" ht="27.75" customHeight="1" x14ac:dyDescent="0.2">
      <c r="B10" s="17" t="s" ph="1">
        <v>22</v>
      </c>
      <c r="C10" s="18" t="s" ph="1">
        <v>23</v>
      </c>
      <c r="D10" s="63" t="s">
        <v>20</v>
      </c>
      <c r="E10" s="64"/>
      <c r="F10" s="18"/>
      <c r="G10" s="65"/>
      <c r="H10" s="65"/>
      <c r="I10" s="65"/>
      <c r="J10" s="66"/>
    </row>
    <row r="11" spans="2:10" ht="27.75" customHeight="1" x14ac:dyDescent="0.2">
      <c r="B11" s="17" t="s" ph="1">
        <v>50</v>
      </c>
      <c r="C11" s="18" t="s" ph="1">
        <v>51</v>
      </c>
      <c r="D11" s="63" t="s">
        <v>20</v>
      </c>
      <c r="E11" s="64"/>
      <c r="F11" s="18"/>
      <c r="G11" s="65"/>
      <c r="H11" s="65"/>
      <c r="I11" s="65"/>
      <c r="J11" s="66"/>
    </row>
    <row r="12" spans="2:10" ht="6.75" customHeight="1" thickBot="1" x14ac:dyDescent="0.25">
      <c r="B12" s="19" ph="1"/>
      <c r="C12" s="20" ph="1"/>
      <c r="D12" s="69" ph="1"/>
      <c r="E12" s="69"/>
      <c r="F12" s="20"/>
      <c r="G12" s="20"/>
      <c r="H12" s="20"/>
      <c r="I12" s="20"/>
      <c r="J12" s="21"/>
    </row>
    <row r="13" spans="2:10" ht="27" thickBot="1" x14ac:dyDescent="0.25">
      <c r="B13" s="22" t="s" ph="1">
        <v>36</v>
      </c>
      <c r="C13" s="23" t="s" ph="1">
        <v>42</v>
      </c>
      <c r="D13" s="67" t="s" ph="1">
        <v>43</v>
      </c>
      <c r="E13" s="68"/>
      <c r="F13" s="12" t="s">
        <v>26</v>
      </c>
      <c r="G13" s="57" t="s">
        <v>27</v>
      </c>
      <c r="H13" s="57"/>
      <c r="I13" s="57"/>
      <c r="J13" s="58"/>
    </row>
    <row r="14" spans="2:10" ht="48" customHeight="1" thickTop="1" x14ac:dyDescent="0.2">
      <c r="B14" s="15" t="s" ph="1">
        <v>34</v>
      </c>
      <c r="C14" s="28" t="s" ph="1">
        <v>45</v>
      </c>
      <c r="D14" s="70" t="s" ph="1">
        <v>46</v>
      </c>
      <c r="E14" s="71"/>
      <c r="F14" s="16"/>
      <c r="G14" s="61"/>
      <c r="H14" s="61"/>
      <c r="I14" s="61"/>
      <c r="J14" s="62"/>
    </row>
    <row r="15" spans="2:10" ht="48" customHeight="1" thickBot="1" x14ac:dyDescent="0.25">
      <c r="B15" s="24" t="s" ph="1">
        <v>35</v>
      </c>
      <c r="C15" s="28" t="s" ph="1">
        <v>45</v>
      </c>
      <c r="D15" s="70" t="s" ph="1">
        <v>46</v>
      </c>
      <c r="E15" s="71"/>
      <c r="F15" s="25"/>
      <c r="G15" s="72"/>
      <c r="H15" s="72"/>
      <c r="I15" s="72"/>
      <c r="J15" s="73"/>
    </row>
    <row r="16" spans="2:10" ht="10.5" customHeight="1" thickBot="1" x14ac:dyDescent="0.25">
      <c r="B16" s="26" ph="1"/>
      <c r="C16" s="26" ph="1"/>
      <c r="D16" s="26" ph="1"/>
      <c r="E16" s="26"/>
      <c r="F16" s="26"/>
      <c r="G16" s="26"/>
      <c r="H16" s="26"/>
      <c r="I16" s="26"/>
      <c r="J16" s="26"/>
    </row>
    <row r="17" spans="2:10" ht="27" customHeight="1" x14ac:dyDescent="0.15">
      <c r="B17" s="74" t="s" ph="1">
        <v>48</v>
      </c>
      <c r="C17" s="75"/>
      <c r="D17" s="74" t="s">
        <v>47</v>
      </c>
      <c r="E17" s="75"/>
      <c r="F17" s="75"/>
      <c r="G17" s="75"/>
      <c r="H17" s="75"/>
      <c r="I17" s="75"/>
      <c r="J17" s="80"/>
    </row>
    <row r="18" spans="2:10" ht="27" customHeight="1" x14ac:dyDescent="0.15">
      <c r="B18" s="76"/>
      <c r="C18" s="77"/>
      <c r="D18" s="76"/>
      <c r="E18" s="77"/>
      <c r="F18" s="77"/>
      <c r="G18" s="77"/>
      <c r="H18" s="77"/>
      <c r="I18" s="77"/>
      <c r="J18" s="81"/>
    </row>
    <row r="19" spans="2:10" ht="36" customHeight="1" thickBot="1" x14ac:dyDescent="0.2">
      <c r="B19" s="78"/>
      <c r="C19" s="79"/>
      <c r="D19" s="78"/>
      <c r="E19" s="79"/>
      <c r="F19" s="79"/>
      <c r="G19" s="79"/>
      <c r="H19" s="79"/>
      <c r="I19" s="79"/>
      <c r="J19" s="82"/>
    </row>
    <row r="20" spans="2:10" ht="21" customHeight="1" x14ac:dyDescent="0.2">
      <c r="B20" s="6" ph="1"/>
      <c r="C20" s="6" ph="1"/>
      <c r="D20" s="6" ph="1"/>
    </row>
    <row r="21" spans="2:10" ht="21" customHeight="1" x14ac:dyDescent="0.2">
      <c r="B21" s="6" ph="1"/>
      <c r="C21" s="6" ph="1"/>
      <c r="D21" s="6" ph="1"/>
    </row>
    <row r="22" spans="2:10" ht="21" customHeight="1" x14ac:dyDescent="0.2">
      <c r="B22" s="6" ph="1"/>
      <c r="C22" s="6" ph="1"/>
      <c r="D22" s="6" ph="1"/>
    </row>
    <row r="23" spans="2:10" ht="21" customHeight="1" x14ac:dyDescent="0.2">
      <c r="B23" s="6" ph="1"/>
      <c r="C23" s="6" ph="1"/>
      <c r="D23" s="6" ph="1"/>
    </row>
    <row r="26" spans="2:10" ht="21" customHeight="1" x14ac:dyDescent="0.15">
      <c r="E26" s="7"/>
    </row>
  </sheetData>
  <mergeCells count="27">
    <mergeCell ref="D14:E14"/>
    <mergeCell ref="G14:J14"/>
    <mergeCell ref="D15:E15"/>
    <mergeCell ref="G15:J15"/>
    <mergeCell ref="B17:C19"/>
    <mergeCell ref="D17:J19"/>
    <mergeCell ref="D13:E13"/>
    <mergeCell ref="G13:J13"/>
    <mergeCell ref="D11:E11"/>
    <mergeCell ref="G11:J11"/>
    <mergeCell ref="D6:E6"/>
    <mergeCell ref="G6:J6"/>
    <mergeCell ref="D7:E7"/>
    <mergeCell ref="G7:J7"/>
    <mergeCell ref="D8:E8"/>
    <mergeCell ref="G8:J8"/>
    <mergeCell ref="D9:E9"/>
    <mergeCell ref="G9:J9"/>
    <mergeCell ref="D10:E10"/>
    <mergeCell ref="G10:J10"/>
    <mergeCell ref="D12:E12"/>
    <mergeCell ref="D3:E3"/>
    <mergeCell ref="G3:J3"/>
    <mergeCell ref="D4:E4"/>
    <mergeCell ref="G4:J4"/>
    <mergeCell ref="D5:E5"/>
    <mergeCell ref="G5:J5"/>
  </mergeCells>
  <phoneticPr fontId="2"/>
  <pageMargins left="0.25" right="0.25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opLeftCell="A3" workbookViewId="0">
      <selection activeCell="C39" sqref="B39:C39"/>
    </sheetView>
  </sheetViews>
  <sheetFormatPr defaultRowHeight="13.5" x14ac:dyDescent="0.15"/>
  <cols>
    <col min="1" max="1" width="4.5" customWidth="1"/>
    <col min="2" max="2" width="16.25" bestFit="1" customWidth="1"/>
    <col min="3" max="3" width="32.5" customWidth="1"/>
  </cols>
  <sheetData>
    <row r="1" spans="1:2" x14ac:dyDescent="0.15">
      <c r="A1" t="s">
        <v>52</v>
      </c>
    </row>
    <row r="3" spans="1:2" ht="29.25" customHeight="1" x14ac:dyDescent="0.15">
      <c r="A3" s="83" t="s">
        <v>53</v>
      </c>
      <c r="B3" s="83"/>
    </row>
    <row r="4" spans="1:2" ht="24.75" customHeight="1" x14ac:dyDescent="0.15">
      <c r="A4" s="1"/>
      <c r="B4" s="1"/>
    </row>
    <row r="5" spans="1:2" ht="24.75" customHeight="1" x14ac:dyDescent="0.15">
      <c r="A5" s="84" t="s">
        <v>54</v>
      </c>
      <c r="B5" t="s">
        <v>56</v>
      </c>
    </row>
    <row r="6" spans="1:2" ht="24.75" customHeight="1" x14ac:dyDescent="0.15">
      <c r="A6" s="84"/>
      <c r="B6" t="s">
        <v>57</v>
      </c>
    </row>
    <row r="7" spans="1:2" ht="24.75" customHeight="1" x14ac:dyDescent="0.15">
      <c r="A7" s="84"/>
      <c r="B7" t="s">
        <v>58</v>
      </c>
    </row>
    <row r="8" spans="1:2" ht="24.75" customHeight="1" x14ac:dyDescent="0.15">
      <c r="A8" s="84"/>
      <c r="B8" t="s">
        <v>55</v>
      </c>
    </row>
  </sheetData>
  <mergeCells count="2">
    <mergeCell ref="A3:B3"/>
    <mergeCell ref="A5:A8"/>
  </mergeCells>
  <phoneticPr fontId="2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tabSelected="1" topLeftCell="C1" workbookViewId="0">
      <selection activeCell="I1" sqref="I1:J1"/>
    </sheetView>
  </sheetViews>
  <sheetFormatPr defaultColWidth="6.75" defaultRowHeight="18.75" x14ac:dyDescent="0.15"/>
  <cols>
    <col min="1" max="1" width="2" style="6" customWidth="1"/>
    <col min="2" max="2" width="26.625" style="6" bestFit="1" customWidth="1"/>
    <col min="3" max="3" width="38" style="6" bestFit="1" customWidth="1"/>
    <col min="4" max="4" width="1.625" style="6" customWidth="1"/>
    <col min="5" max="5" width="26.25" style="6" customWidth="1"/>
    <col min="6" max="6" width="9.125" style="6" customWidth="1"/>
    <col min="7" max="7" width="6.75" style="6"/>
    <col min="8" max="8" width="5" style="6" customWidth="1"/>
    <col min="9" max="9" width="6.75" style="6"/>
    <col min="10" max="10" width="19.75" style="6" customWidth="1"/>
    <col min="11" max="16384" width="6.75" style="6"/>
  </cols>
  <sheetData>
    <row r="1" spans="2:10" ht="36" customHeight="1" x14ac:dyDescent="0.2">
      <c r="B1" s="29" t="s" ph="1">
        <v>17</v>
      </c>
      <c r="C1" s="30" t="s" ph="1">
        <v>44</v>
      </c>
      <c r="D1" s="31" ph="1"/>
      <c r="E1" s="32" t="s" ph="1">
        <v>64</v>
      </c>
      <c r="F1" s="29" t="s">
        <v>62</v>
      </c>
      <c r="G1" s="33" t="s">
        <v>41</v>
      </c>
      <c r="H1" s="33"/>
      <c r="I1" s="123" t="s">
        <v>65</v>
      </c>
      <c r="J1" s="123"/>
    </row>
    <row r="2" spans="2:10" ht="9" customHeight="1" thickBot="1" x14ac:dyDescent="0.25">
      <c r="B2" s="29" ph="1"/>
      <c r="C2" s="31" ph="1"/>
      <c r="D2" s="31" ph="1"/>
      <c r="E2" s="32" ph="1"/>
      <c r="F2" s="29"/>
      <c r="G2" s="32"/>
      <c r="H2" s="32"/>
      <c r="I2" s="32"/>
      <c r="J2" s="32"/>
    </row>
    <row r="3" spans="2:10" ht="30.75" customHeight="1" thickBot="1" x14ac:dyDescent="0.25">
      <c r="B3" s="34" t="s" ph="1">
        <v>59</v>
      </c>
      <c r="C3" s="35" t="s" ph="1">
        <v>60</v>
      </c>
      <c r="D3" s="29" ph="1"/>
      <c r="E3" s="113" t="s" ph="1">
        <v>61</v>
      </c>
      <c r="F3" s="115"/>
      <c r="G3" s="113" t="s">
        <v>60</v>
      </c>
      <c r="H3" s="114"/>
      <c r="I3" s="114"/>
      <c r="J3" s="115"/>
    </row>
    <row r="4" spans="2:10" ht="9" customHeight="1" thickBot="1" x14ac:dyDescent="0.25">
      <c r="B4" s="29" ph="1"/>
      <c r="C4" s="29" ph="1"/>
      <c r="D4" s="29" ph="1"/>
      <c r="E4" s="36" ph="1"/>
      <c r="F4" s="29"/>
      <c r="G4" s="29"/>
      <c r="H4" s="29"/>
      <c r="I4" s="29"/>
      <c r="J4" s="29"/>
    </row>
    <row r="5" spans="2:10" ht="29.25" customHeight="1" thickBot="1" x14ac:dyDescent="0.25">
      <c r="B5" s="37" t="s" ph="1">
        <v>36</v>
      </c>
      <c r="C5" s="38" t="s" ph="1">
        <v>37</v>
      </c>
      <c r="D5" s="93" t="s">
        <v>38</v>
      </c>
      <c r="E5" s="94"/>
      <c r="F5" s="39" t="s">
        <v>26</v>
      </c>
      <c r="G5" s="93" t="s">
        <v>27</v>
      </c>
      <c r="H5" s="107"/>
      <c r="I5" s="107"/>
      <c r="J5" s="108"/>
    </row>
    <row r="6" spans="2:10" ht="27.75" customHeight="1" thickTop="1" x14ac:dyDescent="0.2">
      <c r="B6" s="40" t="s" ph="1">
        <v>21</v>
      </c>
      <c r="C6" s="41" t="s" ph="1">
        <v>39</v>
      </c>
      <c r="D6" s="105" t="s">
        <v>20</v>
      </c>
      <c r="E6" s="106"/>
      <c r="F6" s="41"/>
      <c r="G6" s="95"/>
      <c r="H6" s="96"/>
      <c r="I6" s="96"/>
      <c r="J6" s="97"/>
    </row>
    <row r="7" spans="2:10" ht="27.75" customHeight="1" x14ac:dyDescent="0.2">
      <c r="B7" s="42" t="s" ph="1">
        <v>33</v>
      </c>
      <c r="C7" s="43" t="s" ph="1">
        <v>32</v>
      </c>
      <c r="D7" s="98" t="s">
        <v>20</v>
      </c>
      <c r="E7" s="99"/>
      <c r="F7" s="43"/>
      <c r="G7" s="100"/>
      <c r="H7" s="101"/>
      <c r="I7" s="101"/>
      <c r="J7" s="102"/>
    </row>
    <row r="8" spans="2:10" ht="27.75" customHeight="1" x14ac:dyDescent="0.2">
      <c r="B8" s="42" t="s" ph="1">
        <v>18</v>
      </c>
      <c r="C8" s="43" t="s" ph="1">
        <v>19</v>
      </c>
      <c r="D8" s="98" t="s">
        <v>20</v>
      </c>
      <c r="E8" s="99"/>
      <c r="F8" s="43"/>
      <c r="G8" s="100"/>
      <c r="H8" s="101"/>
      <c r="I8" s="101"/>
      <c r="J8" s="102"/>
    </row>
    <row r="9" spans="2:10" ht="27.75" customHeight="1" x14ac:dyDescent="0.2">
      <c r="B9" s="42" t="s" ph="1">
        <v>24</v>
      </c>
      <c r="C9" s="43" t="s">
        <v>25</v>
      </c>
      <c r="D9" s="98" t="s">
        <v>20</v>
      </c>
      <c r="E9" s="99"/>
      <c r="F9" s="43"/>
      <c r="G9" s="100"/>
      <c r="H9" s="101"/>
      <c r="I9" s="101"/>
      <c r="J9" s="102"/>
    </row>
    <row r="10" spans="2:10" ht="27.75" customHeight="1" x14ac:dyDescent="0.2">
      <c r="B10" s="42" t="s" ph="1">
        <v>28</v>
      </c>
      <c r="C10" s="43" t="s" ph="1">
        <v>29</v>
      </c>
      <c r="D10" s="98" t="s">
        <v>20</v>
      </c>
      <c r="E10" s="99"/>
      <c r="F10" s="43"/>
      <c r="G10" s="100"/>
      <c r="H10" s="101"/>
      <c r="I10" s="101"/>
      <c r="J10" s="102"/>
    </row>
    <row r="11" spans="2:10" ht="27.75" customHeight="1" x14ac:dyDescent="0.2">
      <c r="B11" s="42" t="s" ph="1">
        <v>30</v>
      </c>
      <c r="C11" s="43" t="s" ph="1">
        <v>31</v>
      </c>
      <c r="D11" s="98" t="s">
        <v>20</v>
      </c>
      <c r="E11" s="99"/>
      <c r="F11" s="43"/>
      <c r="G11" s="100"/>
      <c r="H11" s="101"/>
      <c r="I11" s="101"/>
      <c r="J11" s="102"/>
    </row>
    <row r="12" spans="2:10" ht="27" customHeight="1" x14ac:dyDescent="0.2">
      <c r="B12" s="42" t="s" ph="1">
        <v>22</v>
      </c>
      <c r="C12" s="43" t="s" ph="1">
        <v>23</v>
      </c>
      <c r="D12" s="98" t="s">
        <v>20</v>
      </c>
      <c r="E12" s="99"/>
      <c r="F12" s="43"/>
      <c r="G12" s="100"/>
      <c r="H12" s="101"/>
      <c r="I12" s="101"/>
      <c r="J12" s="102"/>
    </row>
    <row r="13" spans="2:10" ht="27.75" hidden="1" customHeight="1" x14ac:dyDescent="0.2">
      <c r="B13" s="42" t="s" ph="1">
        <v>50</v>
      </c>
      <c r="C13" s="43" t="s" ph="1">
        <v>51</v>
      </c>
      <c r="D13" s="98" t="s">
        <v>20</v>
      </c>
      <c r="E13" s="99"/>
      <c r="F13" s="43"/>
      <c r="G13" s="100"/>
      <c r="H13" s="101"/>
      <c r="I13" s="101"/>
      <c r="J13" s="102"/>
    </row>
    <row r="14" spans="2:10" ht="6.75" customHeight="1" thickBot="1" x14ac:dyDescent="0.25">
      <c r="B14" s="44" ph="1"/>
      <c r="C14" s="45" ph="1"/>
      <c r="D14" s="112" ph="1"/>
      <c r="E14" s="112"/>
      <c r="F14" s="45"/>
      <c r="G14" s="46"/>
      <c r="H14" s="46"/>
      <c r="I14" s="46"/>
      <c r="J14" s="47"/>
    </row>
    <row r="15" spans="2:10" ht="27" thickBot="1" x14ac:dyDescent="0.25">
      <c r="B15" s="48" t="s" ph="1">
        <v>36</v>
      </c>
      <c r="C15" s="49" t="s" ph="1">
        <v>42</v>
      </c>
      <c r="D15" s="103" t="s" ph="1">
        <v>43</v>
      </c>
      <c r="E15" s="104"/>
      <c r="F15" s="39" t="s">
        <v>26</v>
      </c>
      <c r="G15" s="93" t="s">
        <v>27</v>
      </c>
      <c r="H15" s="107"/>
      <c r="I15" s="107"/>
      <c r="J15" s="108"/>
    </row>
    <row r="16" spans="2:10" ht="48" customHeight="1" thickTop="1" x14ac:dyDescent="0.2">
      <c r="B16" s="40" t="s" ph="1">
        <v>34</v>
      </c>
      <c r="C16" s="54" t="s" ph="1">
        <v>45</v>
      </c>
      <c r="D16" s="121" t="s" ph="1">
        <v>46</v>
      </c>
      <c r="E16" s="122"/>
      <c r="F16" s="41"/>
      <c r="G16" s="95"/>
      <c r="H16" s="96"/>
      <c r="I16" s="96"/>
      <c r="J16" s="97"/>
    </row>
    <row r="17" spans="2:10" ht="48" customHeight="1" thickBot="1" x14ac:dyDescent="0.25">
      <c r="B17" s="50" t="s" ph="1">
        <v>35</v>
      </c>
      <c r="C17" s="54" t="s" ph="1">
        <v>45</v>
      </c>
      <c r="D17" s="119" t="s" ph="1">
        <v>46</v>
      </c>
      <c r="E17" s="120"/>
      <c r="F17" s="51"/>
      <c r="G17" s="116"/>
      <c r="H17" s="117"/>
      <c r="I17" s="117"/>
      <c r="J17" s="118"/>
    </row>
    <row r="18" spans="2:10" ht="10.5" customHeight="1" thickBot="1" x14ac:dyDescent="0.25">
      <c r="B18" s="52" ph="1"/>
      <c r="C18" s="52" ph="1"/>
      <c r="D18" s="52" ph="1"/>
      <c r="E18" s="52"/>
      <c r="F18" s="52"/>
      <c r="G18" s="52"/>
      <c r="H18" s="52"/>
      <c r="I18" s="52"/>
      <c r="J18" s="52"/>
    </row>
    <row r="19" spans="2:10" ht="27" customHeight="1" thickBot="1" x14ac:dyDescent="0.2">
      <c r="B19" s="87" t="s" ph="1">
        <v>48</v>
      </c>
      <c r="C19" s="88"/>
      <c r="D19" s="88"/>
      <c r="E19" s="88"/>
      <c r="F19" s="88"/>
      <c r="G19" s="88"/>
      <c r="H19" s="88"/>
      <c r="I19" s="109"/>
      <c r="J19" s="53" t="s">
        <v>63</v>
      </c>
    </row>
    <row r="20" spans="2:10" ht="34.5" customHeight="1" x14ac:dyDescent="0.15">
      <c r="B20" s="89"/>
      <c r="C20" s="90"/>
      <c r="D20" s="90"/>
      <c r="E20" s="90"/>
      <c r="F20" s="90"/>
      <c r="G20" s="90"/>
      <c r="H20" s="90"/>
      <c r="I20" s="110"/>
      <c r="J20" s="85"/>
    </row>
    <row r="21" spans="2:10" ht="23.25" customHeight="1" thickBot="1" x14ac:dyDescent="0.2">
      <c r="B21" s="91"/>
      <c r="C21" s="92"/>
      <c r="D21" s="92"/>
      <c r="E21" s="92"/>
      <c r="F21" s="92"/>
      <c r="G21" s="92"/>
      <c r="H21" s="92"/>
      <c r="I21" s="111"/>
      <c r="J21" s="86"/>
    </row>
    <row r="22" spans="2:10" ht="21" customHeight="1" x14ac:dyDescent="0.2">
      <c r="B22" s="6" ph="1"/>
      <c r="C22" s="6" ph="1"/>
      <c r="D22" s="6" ph="1"/>
    </row>
    <row r="23" spans="2:10" ht="21" customHeight="1" x14ac:dyDescent="0.2">
      <c r="B23" s="6" ph="1"/>
      <c r="C23" s="6" ph="1"/>
      <c r="D23" s="6" ph="1"/>
    </row>
    <row r="24" spans="2:10" ht="21" customHeight="1" x14ac:dyDescent="0.2">
      <c r="B24" s="6" ph="1"/>
      <c r="C24" s="6" ph="1"/>
      <c r="D24" s="6" ph="1"/>
    </row>
    <row r="25" spans="2:10" ht="21" customHeight="1" x14ac:dyDescent="0.2">
      <c r="B25" s="6" ph="1"/>
      <c r="C25" s="6" ph="1"/>
      <c r="D25" s="6" ph="1"/>
    </row>
    <row r="28" spans="2:10" ht="21" customHeight="1" x14ac:dyDescent="0.15">
      <c r="E28" s="7"/>
    </row>
  </sheetData>
  <mergeCells count="30">
    <mergeCell ref="D16:E16"/>
    <mergeCell ref="G16:J16"/>
    <mergeCell ref="D17:E17"/>
    <mergeCell ref="G17:J17"/>
    <mergeCell ref="D11:E11"/>
    <mergeCell ref="G11:J11"/>
    <mergeCell ref="D12:E12"/>
    <mergeCell ref="G12:J12"/>
    <mergeCell ref="E3:F3"/>
    <mergeCell ref="G3:J3"/>
    <mergeCell ref="I1:J1"/>
    <mergeCell ref="D14:E14"/>
    <mergeCell ref="D15:E15"/>
    <mergeCell ref="G15:J15"/>
    <mergeCell ref="J20:J21"/>
    <mergeCell ref="B19:I21"/>
    <mergeCell ref="D5:E5"/>
    <mergeCell ref="G5:J5"/>
    <mergeCell ref="D6:E6"/>
    <mergeCell ref="G6:J6"/>
    <mergeCell ref="D7:E7"/>
    <mergeCell ref="G7:J7"/>
    <mergeCell ref="D13:E13"/>
    <mergeCell ref="G13:J13"/>
    <mergeCell ref="D8:E8"/>
    <mergeCell ref="G8:J8"/>
    <mergeCell ref="D9:E9"/>
    <mergeCell ref="G9:J9"/>
    <mergeCell ref="D10:E10"/>
    <mergeCell ref="G10:J10"/>
  </mergeCells>
  <phoneticPr fontId="2"/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B型</vt:lpstr>
      <vt:lpstr>Sheet2</vt:lpstr>
      <vt:lpstr>一般就労書式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就労日報　カイト尾道</dc:title>
  <dc:creator>yamauchi</dc:creator>
  <cp:lastModifiedBy>yamauchi</cp:lastModifiedBy>
  <cp:lastPrinted>2018-01-30T06:43:24Z</cp:lastPrinted>
  <dcterms:created xsi:type="dcterms:W3CDTF">2016-08-20T00:47:05Z</dcterms:created>
  <dcterms:modified xsi:type="dcterms:W3CDTF">2018-01-30T06:44:02Z</dcterms:modified>
</cp:coreProperties>
</file>