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600" yWindow="120" windowWidth="19395" windowHeight="7830" firstSheet="2" activeTab="4"/>
  </bookViews>
  <sheets>
    <sheet name="Ｈ２７．２" sheetId="1" r:id="rId1"/>
    <sheet name="Ｈ２７．２ (再)" sheetId="4" r:id="rId2"/>
    <sheet name="Ｈ２７．３" sheetId="5" r:id="rId3"/>
    <sheet name="H27.4" sheetId="6" r:id="rId4"/>
    <sheet name="H27.5" sheetId="8" r:id="rId5"/>
    <sheet name="H27.6" sheetId="9" r:id="rId6"/>
    <sheet name="H27.7)" sheetId="10" r:id="rId7"/>
    <sheet name="H27.8" sheetId="11" r:id="rId8"/>
    <sheet name="H27.9" sheetId="12" r:id="rId9"/>
    <sheet name="H27.10" sheetId="13" r:id="rId10"/>
    <sheet name="H27.11" sheetId="14" r:id="rId11"/>
  </sheets>
  <definedNames>
    <definedName name="_xlnm._FilterDatabase" localSheetId="4" hidden="1">H27.5!$A$4:$Z$27</definedName>
    <definedName name="_xlnm._FilterDatabase" localSheetId="5" hidden="1">H27.6!$A$4:$Z$27</definedName>
    <definedName name="_xlnm._FilterDatabase" localSheetId="6" hidden="1">'H27.7)'!$A$4:$Z$28</definedName>
  </definedNames>
  <calcPr calcId="152511"/>
</workbook>
</file>

<file path=xl/calcChain.xml><?xml version="1.0" encoding="utf-8"?>
<calcChain xmlns="http://schemas.openxmlformats.org/spreadsheetml/2006/main">
  <c r="X36" i="8" l="1"/>
  <c r="X35" i="8"/>
  <c r="G20" i="8"/>
  <c r="G8" i="8"/>
  <c r="G21" i="8"/>
  <c r="G17" i="8"/>
  <c r="G18" i="8"/>
  <c r="G19" i="8"/>
  <c r="G22" i="8"/>
  <c r="G23" i="8"/>
  <c r="G24" i="8"/>
  <c r="G25" i="8"/>
  <c r="G16" i="8"/>
  <c r="G15" i="8"/>
  <c r="G14" i="8"/>
  <c r="G9" i="8"/>
  <c r="G10" i="8"/>
  <c r="G11" i="8"/>
  <c r="G12" i="8"/>
  <c r="G13" i="8"/>
  <c r="G7" i="8"/>
  <c r="G6" i="8"/>
  <c r="G26" i="8"/>
  <c r="G25" i="10"/>
  <c r="G26" i="10"/>
  <c r="G27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7" i="9"/>
  <c r="G6" i="9"/>
  <c r="T26" i="14" l="1"/>
  <c r="Q26" i="14"/>
  <c r="K26" i="14"/>
  <c r="H26" i="14"/>
  <c r="U26" i="14" s="1"/>
  <c r="E26" i="14"/>
  <c r="T25" i="14"/>
  <c r="Q25" i="14"/>
  <c r="N25" i="14"/>
  <c r="K25" i="14"/>
  <c r="H25" i="14"/>
  <c r="E25" i="14"/>
  <c r="U25" i="14" s="1"/>
  <c r="T24" i="14"/>
  <c r="Q24" i="14"/>
  <c r="N24" i="14"/>
  <c r="K24" i="14"/>
  <c r="H24" i="14"/>
  <c r="E24" i="14"/>
  <c r="U24" i="14" s="1"/>
  <c r="T23" i="14"/>
  <c r="Q23" i="14"/>
  <c r="N23" i="14"/>
  <c r="K23" i="14"/>
  <c r="H23" i="14"/>
  <c r="E23" i="14"/>
  <c r="T22" i="14"/>
  <c r="Q22" i="14"/>
  <c r="N22" i="14"/>
  <c r="K22" i="14"/>
  <c r="H22" i="14"/>
  <c r="E22" i="14"/>
  <c r="U22" i="14" s="1"/>
  <c r="T21" i="14"/>
  <c r="Q21" i="14"/>
  <c r="N21" i="14"/>
  <c r="K21" i="14"/>
  <c r="H21" i="14"/>
  <c r="E21" i="14"/>
  <c r="T20" i="14"/>
  <c r="Q20" i="14"/>
  <c r="N20" i="14"/>
  <c r="K20" i="14"/>
  <c r="H20" i="14"/>
  <c r="E20" i="14"/>
  <c r="U20" i="14" s="1"/>
  <c r="T19" i="14"/>
  <c r="Q19" i="14"/>
  <c r="N19" i="14"/>
  <c r="K19" i="14"/>
  <c r="H19" i="14"/>
  <c r="E19" i="14"/>
  <c r="T18" i="14"/>
  <c r="Q18" i="14"/>
  <c r="N18" i="14"/>
  <c r="K18" i="14"/>
  <c r="H18" i="14"/>
  <c r="E18" i="14"/>
  <c r="U18" i="14" s="1"/>
  <c r="T17" i="14"/>
  <c r="Q17" i="14"/>
  <c r="N17" i="14"/>
  <c r="K17" i="14"/>
  <c r="H17" i="14"/>
  <c r="E17" i="14"/>
  <c r="T16" i="14"/>
  <c r="Q16" i="14"/>
  <c r="N16" i="14"/>
  <c r="K16" i="14"/>
  <c r="H16" i="14"/>
  <c r="E16" i="14"/>
  <c r="U16" i="14" s="1"/>
  <c r="T15" i="14"/>
  <c r="Q15" i="14"/>
  <c r="N15" i="14"/>
  <c r="K15" i="14"/>
  <c r="H15" i="14"/>
  <c r="E15" i="14"/>
  <c r="U15" i="14" s="1"/>
  <c r="T14" i="14"/>
  <c r="Q14" i="14"/>
  <c r="N14" i="14"/>
  <c r="K14" i="14"/>
  <c r="H14" i="14"/>
  <c r="E14" i="14"/>
  <c r="U14" i="14" s="1"/>
  <c r="T13" i="14"/>
  <c r="Q13" i="14"/>
  <c r="N13" i="14"/>
  <c r="K13" i="14"/>
  <c r="H13" i="14"/>
  <c r="E13" i="14"/>
  <c r="T12" i="14"/>
  <c r="Q12" i="14"/>
  <c r="N12" i="14"/>
  <c r="K12" i="14"/>
  <c r="H12" i="14"/>
  <c r="E12" i="14"/>
  <c r="T11" i="14"/>
  <c r="Q11" i="14"/>
  <c r="N11" i="14"/>
  <c r="K11" i="14"/>
  <c r="H11" i="14"/>
  <c r="E11" i="14"/>
  <c r="U11" i="14" s="1"/>
  <c r="T10" i="14"/>
  <c r="Q10" i="14"/>
  <c r="N10" i="14"/>
  <c r="K10" i="14"/>
  <c r="H10" i="14"/>
  <c r="E10" i="14"/>
  <c r="U10" i="14" s="1"/>
  <c r="T9" i="14"/>
  <c r="Q9" i="14"/>
  <c r="N9" i="14"/>
  <c r="K9" i="14"/>
  <c r="H9" i="14"/>
  <c r="E9" i="14"/>
  <c r="U9" i="14" s="1"/>
  <c r="T8" i="14"/>
  <c r="Q8" i="14"/>
  <c r="N8" i="14"/>
  <c r="K8" i="14"/>
  <c r="H8" i="14"/>
  <c r="E8" i="14"/>
  <c r="T7" i="14"/>
  <c r="Q7" i="14"/>
  <c r="N7" i="14"/>
  <c r="K7" i="14"/>
  <c r="H7" i="14"/>
  <c r="E7" i="14"/>
  <c r="U7" i="14" s="1"/>
  <c r="T6" i="14"/>
  <c r="T27" i="14" s="1"/>
  <c r="Q6" i="14"/>
  <c r="N6" i="14"/>
  <c r="N27" i="14" s="1"/>
  <c r="K6" i="14"/>
  <c r="H6" i="14"/>
  <c r="H27" i="14" s="1"/>
  <c r="E6" i="14"/>
  <c r="U6" i="14" s="1"/>
  <c r="T5" i="14"/>
  <c r="Q5" i="14"/>
  <c r="N5" i="14"/>
  <c r="K5" i="14"/>
  <c r="K27" i="14" s="1"/>
  <c r="H5" i="14"/>
  <c r="E5" i="14"/>
  <c r="E27" i="14" s="1"/>
  <c r="U17" i="14" l="1"/>
  <c r="U23" i="14"/>
  <c r="Q27" i="14"/>
  <c r="U21" i="14"/>
  <c r="U13" i="14"/>
  <c r="U12" i="14"/>
  <c r="U8" i="14"/>
  <c r="U19" i="14"/>
  <c r="U5" i="14"/>
  <c r="E13" i="13"/>
  <c r="H13" i="13"/>
  <c r="K13" i="13"/>
  <c r="N13" i="13"/>
  <c r="Q13" i="13"/>
  <c r="T13" i="13"/>
  <c r="U13" i="13"/>
  <c r="E14" i="13"/>
  <c r="H14" i="13"/>
  <c r="K14" i="13"/>
  <c r="N14" i="13"/>
  <c r="Q14" i="13"/>
  <c r="T14" i="13"/>
  <c r="E15" i="13"/>
  <c r="H15" i="13"/>
  <c r="K15" i="13"/>
  <c r="N15" i="13"/>
  <c r="Q15" i="13"/>
  <c r="T15" i="13"/>
  <c r="E16" i="13"/>
  <c r="H16" i="13"/>
  <c r="K16" i="13"/>
  <c r="N16" i="13"/>
  <c r="Q16" i="13"/>
  <c r="T16" i="13"/>
  <c r="E17" i="13"/>
  <c r="H17" i="13"/>
  <c r="K17" i="13"/>
  <c r="U17" i="13" s="1"/>
  <c r="N17" i="13"/>
  <c r="Q17" i="13"/>
  <c r="T17" i="13"/>
  <c r="E18" i="13"/>
  <c r="H18" i="13"/>
  <c r="K18" i="13"/>
  <c r="N18" i="13"/>
  <c r="Q18" i="13"/>
  <c r="T18" i="13"/>
  <c r="E19" i="13"/>
  <c r="H19" i="13"/>
  <c r="K19" i="13"/>
  <c r="N19" i="13"/>
  <c r="Q19" i="13"/>
  <c r="T19" i="13"/>
  <c r="E20" i="13"/>
  <c r="H20" i="13"/>
  <c r="K20" i="13"/>
  <c r="N20" i="13"/>
  <c r="Q20" i="13"/>
  <c r="T20" i="13"/>
  <c r="E21" i="13"/>
  <c r="H21" i="13"/>
  <c r="K21" i="13"/>
  <c r="N21" i="13"/>
  <c r="Q21" i="13"/>
  <c r="U21" i="13" s="1"/>
  <c r="T21" i="13"/>
  <c r="E22" i="13"/>
  <c r="H22" i="13"/>
  <c r="K22" i="13"/>
  <c r="N22" i="13"/>
  <c r="Q22" i="13"/>
  <c r="T22" i="13"/>
  <c r="E23" i="13"/>
  <c r="H23" i="13"/>
  <c r="K23" i="13"/>
  <c r="N23" i="13"/>
  <c r="Q23" i="13"/>
  <c r="T23" i="13"/>
  <c r="U23" i="13" s="1"/>
  <c r="E24" i="13"/>
  <c r="H24" i="13"/>
  <c r="K24" i="13"/>
  <c r="N24" i="13"/>
  <c r="Q24" i="13"/>
  <c r="T24" i="13"/>
  <c r="E25" i="13"/>
  <c r="H25" i="13"/>
  <c r="K25" i="13"/>
  <c r="N25" i="13"/>
  <c r="Q25" i="13"/>
  <c r="T25" i="13"/>
  <c r="U25" i="13"/>
  <c r="E26" i="13"/>
  <c r="H26" i="13"/>
  <c r="K26" i="13"/>
  <c r="Q26" i="13"/>
  <c r="T26" i="13"/>
  <c r="U26" i="13"/>
  <c r="T12" i="13"/>
  <c r="Q12" i="13"/>
  <c r="N12" i="13"/>
  <c r="K12" i="13"/>
  <c r="H12" i="13"/>
  <c r="E12" i="13"/>
  <c r="U12" i="13" s="1"/>
  <c r="T11" i="13"/>
  <c r="Q11" i="13"/>
  <c r="N11" i="13"/>
  <c r="K11" i="13"/>
  <c r="H11" i="13"/>
  <c r="E11" i="13"/>
  <c r="U11" i="13" s="1"/>
  <c r="T10" i="13"/>
  <c r="Q10" i="13"/>
  <c r="N10" i="13"/>
  <c r="K10" i="13"/>
  <c r="H10" i="13"/>
  <c r="E10" i="13"/>
  <c r="U10" i="13" s="1"/>
  <c r="T9" i="13"/>
  <c r="Q9" i="13"/>
  <c r="N9" i="13"/>
  <c r="K9" i="13"/>
  <c r="H9" i="13"/>
  <c r="E9" i="13"/>
  <c r="U9" i="13" s="1"/>
  <c r="T8" i="13"/>
  <c r="Q8" i="13"/>
  <c r="N8" i="13"/>
  <c r="K8" i="13"/>
  <c r="H8" i="13"/>
  <c r="E8" i="13"/>
  <c r="T7" i="13"/>
  <c r="Q7" i="13"/>
  <c r="N7" i="13"/>
  <c r="K7" i="13"/>
  <c r="H7" i="13"/>
  <c r="E7" i="13"/>
  <c r="U7" i="13" s="1"/>
  <c r="T6" i="13"/>
  <c r="Q6" i="13"/>
  <c r="N6" i="13"/>
  <c r="K6" i="13"/>
  <c r="H6" i="13"/>
  <c r="E6" i="13"/>
  <c r="U6" i="13" s="1"/>
  <c r="T5" i="13"/>
  <c r="T27" i="13" s="1"/>
  <c r="Q5" i="13"/>
  <c r="N5" i="13"/>
  <c r="K5" i="13"/>
  <c r="H5" i="13"/>
  <c r="E5" i="13"/>
  <c r="U27" i="14" l="1"/>
  <c r="R29" i="14" s="1"/>
  <c r="E27" i="13"/>
  <c r="K27" i="13"/>
  <c r="U19" i="13"/>
  <c r="Q27" i="13"/>
  <c r="U8" i="13"/>
  <c r="H27" i="13"/>
  <c r="U15" i="13"/>
  <c r="U22" i="13"/>
  <c r="U18" i="13"/>
  <c r="U14" i="13"/>
  <c r="U24" i="13"/>
  <c r="U20" i="13"/>
  <c r="U16" i="13"/>
  <c r="N27" i="13"/>
  <c r="U5" i="13"/>
  <c r="N5" i="12"/>
  <c r="U27" i="13" l="1"/>
  <c r="R29" i="13" s="1"/>
  <c r="E5" i="12"/>
  <c r="H5" i="12"/>
  <c r="K5" i="12"/>
  <c r="Q5" i="12"/>
  <c r="T5" i="12"/>
  <c r="T26" i="12"/>
  <c r="Q26" i="12"/>
  <c r="K26" i="12"/>
  <c r="H26" i="12"/>
  <c r="E26" i="12"/>
  <c r="T25" i="12"/>
  <c r="Q25" i="12"/>
  <c r="N25" i="12"/>
  <c r="K25" i="12"/>
  <c r="H25" i="12"/>
  <c r="E25" i="12"/>
  <c r="T24" i="12"/>
  <c r="Q24" i="12"/>
  <c r="N24" i="12"/>
  <c r="K24" i="12"/>
  <c r="H24" i="12"/>
  <c r="E24" i="12"/>
  <c r="T23" i="12"/>
  <c r="Q23" i="12"/>
  <c r="N23" i="12"/>
  <c r="K23" i="12"/>
  <c r="H23" i="12"/>
  <c r="E23" i="12"/>
  <c r="T22" i="12"/>
  <c r="Q22" i="12"/>
  <c r="N22" i="12"/>
  <c r="K22" i="12"/>
  <c r="H22" i="12"/>
  <c r="E22" i="12"/>
  <c r="T21" i="12"/>
  <c r="Q21" i="12"/>
  <c r="N21" i="12"/>
  <c r="K21" i="12"/>
  <c r="H21" i="12"/>
  <c r="E21" i="12"/>
  <c r="T20" i="12"/>
  <c r="Q20" i="12"/>
  <c r="N20" i="12"/>
  <c r="K20" i="12"/>
  <c r="H20" i="12"/>
  <c r="E20" i="12"/>
  <c r="T19" i="12"/>
  <c r="Q19" i="12"/>
  <c r="N19" i="12"/>
  <c r="K19" i="12"/>
  <c r="H19" i="12"/>
  <c r="E19" i="12"/>
  <c r="T18" i="12"/>
  <c r="Q18" i="12"/>
  <c r="N18" i="12"/>
  <c r="K18" i="12"/>
  <c r="H18" i="12"/>
  <c r="E18" i="12"/>
  <c r="T17" i="12"/>
  <c r="Q17" i="12"/>
  <c r="N17" i="12"/>
  <c r="K17" i="12"/>
  <c r="H17" i="12"/>
  <c r="E17" i="12"/>
  <c r="T16" i="12"/>
  <c r="Q16" i="12"/>
  <c r="N16" i="12"/>
  <c r="K16" i="12"/>
  <c r="H16" i="12"/>
  <c r="E16" i="12"/>
  <c r="T15" i="12"/>
  <c r="Q15" i="12"/>
  <c r="N15" i="12"/>
  <c r="K15" i="12"/>
  <c r="H15" i="12"/>
  <c r="E15" i="12"/>
  <c r="T14" i="12"/>
  <c r="Q14" i="12"/>
  <c r="N14" i="12"/>
  <c r="K14" i="12"/>
  <c r="H14" i="12"/>
  <c r="E14" i="12"/>
  <c r="T13" i="12"/>
  <c r="Q13" i="12"/>
  <c r="N13" i="12"/>
  <c r="K13" i="12"/>
  <c r="H13" i="12"/>
  <c r="E13" i="12"/>
  <c r="T12" i="12"/>
  <c r="Q12" i="12"/>
  <c r="N12" i="12"/>
  <c r="K12" i="12"/>
  <c r="H12" i="12"/>
  <c r="E12" i="12"/>
  <c r="T11" i="12"/>
  <c r="Q11" i="12"/>
  <c r="N11" i="12"/>
  <c r="K11" i="12"/>
  <c r="H11" i="12"/>
  <c r="E11" i="12"/>
  <c r="T10" i="12"/>
  <c r="Q10" i="12"/>
  <c r="N10" i="12"/>
  <c r="K10" i="12"/>
  <c r="H10" i="12"/>
  <c r="E10" i="12"/>
  <c r="T9" i="12"/>
  <c r="Q9" i="12"/>
  <c r="N9" i="12"/>
  <c r="K9" i="12"/>
  <c r="H9" i="12"/>
  <c r="E9" i="12"/>
  <c r="T8" i="12"/>
  <c r="Q8" i="12"/>
  <c r="N8" i="12"/>
  <c r="K8" i="12"/>
  <c r="H8" i="12"/>
  <c r="E8" i="12"/>
  <c r="T7" i="12"/>
  <c r="Q7" i="12"/>
  <c r="N7" i="12"/>
  <c r="K7" i="12"/>
  <c r="H7" i="12"/>
  <c r="E7" i="12"/>
  <c r="T6" i="12"/>
  <c r="T27" i="12" s="1"/>
  <c r="Q6" i="12"/>
  <c r="Q27" i="12" s="1"/>
  <c r="N6" i="12"/>
  <c r="K6" i="12"/>
  <c r="H6" i="12"/>
  <c r="H27" i="12" s="1"/>
  <c r="E6" i="12"/>
  <c r="K27" i="12" l="1"/>
  <c r="N27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E27" i="12"/>
  <c r="T5" i="11"/>
  <c r="T27" i="11"/>
  <c r="Q27" i="11"/>
  <c r="K27" i="11"/>
  <c r="H27" i="11"/>
  <c r="U27" i="11" s="1"/>
  <c r="E27" i="11"/>
  <c r="T26" i="11"/>
  <c r="Q26" i="11"/>
  <c r="N26" i="11"/>
  <c r="K26" i="11"/>
  <c r="H26" i="11"/>
  <c r="E26" i="11"/>
  <c r="T25" i="11"/>
  <c r="Q25" i="11"/>
  <c r="N25" i="11"/>
  <c r="K25" i="11"/>
  <c r="H25" i="11"/>
  <c r="E25" i="11"/>
  <c r="T24" i="11"/>
  <c r="Q24" i="11"/>
  <c r="N24" i="11"/>
  <c r="K24" i="11"/>
  <c r="H24" i="11"/>
  <c r="E24" i="11"/>
  <c r="T23" i="11"/>
  <c r="Q23" i="11"/>
  <c r="N23" i="11"/>
  <c r="K23" i="11"/>
  <c r="H23" i="11"/>
  <c r="E23" i="11"/>
  <c r="T22" i="11"/>
  <c r="Q22" i="11"/>
  <c r="N22" i="11"/>
  <c r="K22" i="11"/>
  <c r="H22" i="11"/>
  <c r="E22" i="11"/>
  <c r="T21" i="11"/>
  <c r="Q21" i="11"/>
  <c r="N21" i="11"/>
  <c r="K21" i="11"/>
  <c r="H21" i="11"/>
  <c r="E21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U19" i="11" s="1"/>
  <c r="T18" i="11"/>
  <c r="Q18" i="11"/>
  <c r="N18" i="11"/>
  <c r="K18" i="11"/>
  <c r="H18" i="11"/>
  <c r="E18" i="11"/>
  <c r="T17" i="11"/>
  <c r="Q17" i="11"/>
  <c r="N17" i="11"/>
  <c r="K17" i="11"/>
  <c r="H17" i="11"/>
  <c r="E17" i="11"/>
  <c r="U17" i="11" s="1"/>
  <c r="T16" i="11"/>
  <c r="Q16" i="11"/>
  <c r="N16" i="11"/>
  <c r="K16" i="11"/>
  <c r="H16" i="11"/>
  <c r="E16" i="11"/>
  <c r="U16" i="11" s="1"/>
  <c r="T15" i="11"/>
  <c r="Q15" i="11"/>
  <c r="N15" i="11"/>
  <c r="K15" i="11"/>
  <c r="H15" i="11"/>
  <c r="E15" i="11"/>
  <c r="T14" i="11"/>
  <c r="Q14" i="11"/>
  <c r="N14" i="11"/>
  <c r="K14" i="11"/>
  <c r="H14" i="11"/>
  <c r="E14" i="11"/>
  <c r="T13" i="11"/>
  <c r="Q13" i="11"/>
  <c r="N13" i="11"/>
  <c r="K13" i="11"/>
  <c r="H13" i="11"/>
  <c r="E13" i="11"/>
  <c r="U13" i="11" s="1"/>
  <c r="T12" i="11"/>
  <c r="Q12" i="11"/>
  <c r="N12" i="11"/>
  <c r="K12" i="11"/>
  <c r="H12" i="11"/>
  <c r="E12" i="11"/>
  <c r="T11" i="11"/>
  <c r="Q11" i="11"/>
  <c r="N11" i="11"/>
  <c r="K11" i="11"/>
  <c r="H11" i="11"/>
  <c r="E11" i="11"/>
  <c r="U11" i="11" s="1"/>
  <c r="T10" i="11"/>
  <c r="Q10" i="11"/>
  <c r="N10" i="11"/>
  <c r="K10" i="11"/>
  <c r="H10" i="11"/>
  <c r="E10" i="11"/>
  <c r="U10" i="11" s="1"/>
  <c r="T9" i="11"/>
  <c r="Q9" i="11"/>
  <c r="N9" i="11"/>
  <c r="K9" i="11"/>
  <c r="H9" i="11"/>
  <c r="E9" i="11"/>
  <c r="T8" i="11"/>
  <c r="Q8" i="11"/>
  <c r="N8" i="11"/>
  <c r="K8" i="11"/>
  <c r="H8" i="11"/>
  <c r="E8" i="11"/>
  <c r="U8" i="11" s="1"/>
  <c r="T7" i="11"/>
  <c r="T28" i="11" s="1"/>
  <c r="Q7" i="11"/>
  <c r="N7" i="11"/>
  <c r="N28" i="11" s="1"/>
  <c r="K7" i="11"/>
  <c r="H7" i="11"/>
  <c r="E7" i="11"/>
  <c r="U7" i="11" s="1"/>
  <c r="Q5" i="11"/>
  <c r="K5" i="11"/>
  <c r="H5" i="11"/>
  <c r="H28" i="11" s="1"/>
  <c r="E5" i="11"/>
  <c r="U27" i="12" l="1"/>
  <c r="R29" i="12" s="1"/>
  <c r="K28" i="11"/>
  <c r="U20" i="11"/>
  <c r="U26" i="11"/>
  <c r="U25" i="11"/>
  <c r="U24" i="11"/>
  <c r="U23" i="11"/>
  <c r="U22" i="11"/>
  <c r="U21" i="11"/>
  <c r="Q28" i="11"/>
  <c r="U18" i="11"/>
  <c r="U15" i="11"/>
  <c r="U14" i="11"/>
  <c r="U12" i="11"/>
  <c r="U9" i="11"/>
  <c r="E28" i="11"/>
  <c r="U6" i="11"/>
  <c r="W27" i="10"/>
  <c r="T27" i="10"/>
  <c r="N27" i="10"/>
  <c r="K27" i="10"/>
  <c r="F27" i="10"/>
  <c r="H27" i="10" s="1"/>
  <c r="U28" i="11" l="1"/>
  <c r="R30" i="11" s="1"/>
  <c r="X27" i="10"/>
  <c r="W26" i="10"/>
  <c r="T26" i="10"/>
  <c r="Q26" i="10"/>
  <c r="N26" i="10"/>
  <c r="K26" i="10"/>
  <c r="F26" i="10"/>
  <c r="W25" i="10"/>
  <c r="T25" i="10"/>
  <c r="Q25" i="10"/>
  <c r="N25" i="10"/>
  <c r="K25" i="10"/>
  <c r="F25" i="10"/>
  <c r="W24" i="10"/>
  <c r="T24" i="10"/>
  <c r="Q24" i="10"/>
  <c r="N24" i="10"/>
  <c r="K24" i="10"/>
  <c r="F24" i="10"/>
  <c r="W23" i="10"/>
  <c r="T23" i="10"/>
  <c r="Q23" i="10"/>
  <c r="N23" i="10"/>
  <c r="K23" i="10"/>
  <c r="F23" i="10"/>
  <c r="W22" i="10"/>
  <c r="T22" i="10"/>
  <c r="Q22" i="10"/>
  <c r="N22" i="10"/>
  <c r="K22" i="10"/>
  <c r="F22" i="10"/>
  <c r="W21" i="10"/>
  <c r="T21" i="10"/>
  <c r="Q21" i="10"/>
  <c r="N21" i="10"/>
  <c r="K21" i="10"/>
  <c r="F21" i="10"/>
  <c r="W20" i="10"/>
  <c r="T20" i="10"/>
  <c r="Q20" i="10"/>
  <c r="N20" i="10"/>
  <c r="K20" i="10"/>
  <c r="F20" i="10"/>
  <c r="W19" i="10"/>
  <c r="T19" i="10"/>
  <c r="Q19" i="10"/>
  <c r="N19" i="10"/>
  <c r="K19" i="10"/>
  <c r="F19" i="10"/>
  <c r="W18" i="10"/>
  <c r="T18" i="10"/>
  <c r="Q18" i="10"/>
  <c r="N18" i="10"/>
  <c r="K18" i="10"/>
  <c r="F18" i="10"/>
  <c r="W17" i="10"/>
  <c r="T17" i="10"/>
  <c r="Q17" i="10"/>
  <c r="N17" i="10"/>
  <c r="K17" i="10"/>
  <c r="F17" i="10"/>
  <c r="W16" i="10"/>
  <c r="T16" i="10"/>
  <c r="Q16" i="10"/>
  <c r="N16" i="10"/>
  <c r="K16" i="10"/>
  <c r="F16" i="10"/>
  <c r="W15" i="10"/>
  <c r="T15" i="10"/>
  <c r="Q15" i="10"/>
  <c r="N15" i="10"/>
  <c r="K15" i="10"/>
  <c r="F15" i="10"/>
  <c r="W14" i="10"/>
  <c r="T14" i="10"/>
  <c r="Q14" i="10"/>
  <c r="N14" i="10"/>
  <c r="K14" i="10"/>
  <c r="F14" i="10"/>
  <c r="W13" i="10"/>
  <c r="T13" i="10"/>
  <c r="Q13" i="10"/>
  <c r="N13" i="10"/>
  <c r="K13" i="10"/>
  <c r="F13" i="10"/>
  <c r="W12" i="10"/>
  <c r="T12" i="10"/>
  <c r="Q12" i="10"/>
  <c r="N12" i="10"/>
  <c r="K12" i="10"/>
  <c r="F12" i="10"/>
  <c r="W11" i="10"/>
  <c r="T11" i="10"/>
  <c r="Q11" i="10"/>
  <c r="N11" i="10"/>
  <c r="K11" i="10"/>
  <c r="F11" i="10"/>
  <c r="W10" i="10"/>
  <c r="T10" i="10"/>
  <c r="Q10" i="10"/>
  <c r="N10" i="10"/>
  <c r="K10" i="10"/>
  <c r="F10" i="10"/>
  <c r="W9" i="10"/>
  <c r="T9" i="10"/>
  <c r="Q9" i="10"/>
  <c r="N9" i="10"/>
  <c r="K9" i="10"/>
  <c r="F9" i="10"/>
  <c r="W8" i="10"/>
  <c r="T8" i="10"/>
  <c r="Q8" i="10"/>
  <c r="N8" i="10"/>
  <c r="K8" i="10"/>
  <c r="F8" i="10"/>
  <c r="W7" i="10"/>
  <c r="T7" i="10"/>
  <c r="Q7" i="10"/>
  <c r="N7" i="10"/>
  <c r="K7" i="10"/>
  <c r="F7" i="10"/>
  <c r="W5" i="10"/>
  <c r="W28" i="10" s="1"/>
  <c r="T5" i="10"/>
  <c r="N5" i="10"/>
  <c r="K5" i="10"/>
  <c r="F5" i="10"/>
  <c r="H6" i="10" s="1"/>
  <c r="X8" i="10" l="1"/>
  <c r="X10" i="10"/>
  <c r="X12" i="10"/>
  <c r="X14" i="10"/>
  <c r="X16" i="10"/>
  <c r="X26" i="10"/>
  <c r="X7" i="10"/>
  <c r="H7" i="10"/>
  <c r="H8" i="10"/>
  <c r="X9" i="10"/>
  <c r="H9" i="10"/>
  <c r="H10" i="10"/>
  <c r="X11" i="10"/>
  <c r="H11" i="10"/>
  <c r="H12" i="10"/>
  <c r="X13" i="10"/>
  <c r="H13" i="10"/>
  <c r="H14" i="10"/>
  <c r="X15" i="10"/>
  <c r="H15" i="10"/>
  <c r="H16" i="10"/>
  <c r="X17" i="10"/>
  <c r="H17" i="10"/>
  <c r="H18" i="10"/>
  <c r="X19" i="10"/>
  <c r="H19" i="10"/>
  <c r="H20" i="10"/>
  <c r="X21" i="10"/>
  <c r="H21" i="10"/>
  <c r="H22" i="10"/>
  <c r="H23" i="10"/>
  <c r="H24" i="10"/>
  <c r="H25" i="10"/>
  <c r="H26" i="10"/>
  <c r="K28" i="10"/>
  <c r="F28" i="10"/>
  <c r="N28" i="10"/>
  <c r="X24" i="10"/>
  <c r="Q28" i="10"/>
  <c r="X18" i="10"/>
  <c r="X20" i="10"/>
  <c r="X22" i="10"/>
  <c r="X23" i="10"/>
  <c r="T28" i="10"/>
  <c r="X25" i="10"/>
  <c r="X6" i="10"/>
  <c r="T5" i="9"/>
  <c r="F31" i="9"/>
  <c r="W26" i="9"/>
  <c r="T26" i="9"/>
  <c r="Q26" i="9"/>
  <c r="N26" i="9"/>
  <c r="K26" i="9"/>
  <c r="F26" i="9"/>
  <c r="W25" i="9"/>
  <c r="T25" i="9"/>
  <c r="Q25" i="9"/>
  <c r="N25" i="9"/>
  <c r="K25" i="9"/>
  <c r="F25" i="9"/>
  <c r="W24" i="9"/>
  <c r="T24" i="9"/>
  <c r="Q24" i="9"/>
  <c r="N24" i="9"/>
  <c r="K24" i="9"/>
  <c r="F24" i="9"/>
  <c r="W23" i="9"/>
  <c r="T23" i="9"/>
  <c r="Q23" i="9"/>
  <c r="N23" i="9"/>
  <c r="K23" i="9"/>
  <c r="F23" i="9"/>
  <c r="W22" i="9"/>
  <c r="T22" i="9"/>
  <c r="Q22" i="9"/>
  <c r="N22" i="9"/>
  <c r="K22" i="9"/>
  <c r="F22" i="9"/>
  <c r="W21" i="9"/>
  <c r="T21" i="9"/>
  <c r="Q21" i="9"/>
  <c r="N21" i="9"/>
  <c r="K21" i="9"/>
  <c r="F21" i="9"/>
  <c r="W20" i="9"/>
  <c r="T20" i="9"/>
  <c r="Q20" i="9"/>
  <c r="N20" i="9"/>
  <c r="K20" i="9"/>
  <c r="F20" i="9"/>
  <c r="W19" i="9"/>
  <c r="T19" i="9"/>
  <c r="Q19" i="9"/>
  <c r="N19" i="9"/>
  <c r="K19" i="9"/>
  <c r="F19" i="9"/>
  <c r="W18" i="9"/>
  <c r="T18" i="9"/>
  <c r="Q18" i="9"/>
  <c r="N18" i="9"/>
  <c r="K18" i="9"/>
  <c r="F18" i="9"/>
  <c r="W17" i="9"/>
  <c r="T17" i="9"/>
  <c r="Q17" i="9"/>
  <c r="N17" i="9"/>
  <c r="K17" i="9"/>
  <c r="F17" i="9"/>
  <c r="W16" i="9"/>
  <c r="T16" i="9"/>
  <c r="Q16" i="9"/>
  <c r="N16" i="9"/>
  <c r="K16" i="9"/>
  <c r="F16" i="9"/>
  <c r="W15" i="9"/>
  <c r="T15" i="9"/>
  <c r="Q15" i="9"/>
  <c r="N15" i="9"/>
  <c r="K15" i="9"/>
  <c r="F15" i="9"/>
  <c r="W14" i="9"/>
  <c r="T14" i="9"/>
  <c r="Q14" i="9"/>
  <c r="N14" i="9"/>
  <c r="K14" i="9"/>
  <c r="F14" i="9"/>
  <c r="W13" i="9"/>
  <c r="T13" i="9"/>
  <c r="Q13" i="9"/>
  <c r="N13" i="9"/>
  <c r="K13" i="9"/>
  <c r="F13" i="9"/>
  <c r="W12" i="9"/>
  <c r="T12" i="9"/>
  <c r="Q12" i="9"/>
  <c r="N12" i="9"/>
  <c r="K12" i="9"/>
  <c r="F12" i="9"/>
  <c r="W11" i="9"/>
  <c r="T11" i="9"/>
  <c r="Q11" i="9"/>
  <c r="N11" i="9"/>
  <c r="K11" i="9"/>
  <c r="F11" i="9"/>
  <c r="W10" i="9"/>
  <c r="T10" i="9"/>
  <c r="Q10" i="9"/>
  <c r="N10" i="9"/>
  <c r="K10" i="9"/>
  <c r="F10" i="9"/>
  <c r="W9" i="9"/>
  <c r="T9" i="9"/>
  <c r="Q9" i="9"/>
  <c r="N9" i="9"/>
  <c r="K9" i="9"/>
  <c r="F9" i="9"/>
  <c r="W8" i="9"/>
  <c r="T8" i="9"/>
  <c r="Q8" i="9"/>
  <c r="N8" i="9"/>
  <c r="K8" i="9"/>
  <c r="F8" i="9"/>
  <c r="W7" i="9"/>
  <c r="T7" i="9"/>
  <c r="Q7" i="9"/>
  <c r="N7" i="9"/>
  <c r="K7" i="9"/>
  <c r="F7" i="9"/>
  <c r="Q6" i="9"/>
  <c r="W5" i="9"/>
  <c r="N5" i="9"/>
  <c r="K5" i="9"/>
  <c r="F5" i="9"/>
  <c r="H6" i="9" s="1"/>
  <c r="H28" i="10" l="1"/>
  <c r="X28" i="10"/>
  <c r="U30" i="10" s="1"/>
  <c r="K27" i="9"/>
  <c r="W27" i="9"/>
  <c r="X7" i="9"/>
  <c r="H8" i="9"/>
  <c r="H7" i="9"/>
  <c r="X8" i="9"/>
  <c r="X9" i="9"/>
  <c r="H10" i="9"/>
  <c r="H9" i="9"/>
  <c r="X10" i="9"/>
  <c r="X11" i="9"/>
  <c r="H12" i="9"/>
  <c r="H11" i="9"/>
  <c r="X12" i="9"/>
  <c r="X13" i="9"/>
  <c r="H14" i="9"/>
  <c r="H13" i="9"/>
  <c r="X14" i="9"/>
  <c r="X15" i="9"/>
  <c r="H16" i="9"/>
  <c r="H15" i="9"/>
  <c r="X16" i="9"/>
  <c r="H18" i="9"/>
  <c r="H17" i="9"/>
  <c r="H20" i="9"/>
  <c r="H19" i="9"/>
  <c r="H22" i="9"/>
  <c r="H21" i="9"/>
  <c r="H24" i="9"/>
  <c r="H23" i="9"/>
  <c r="N27" i="9"/>
  <c r="F27" i="9"/>
  <c r="X26" i="9"/>
  <c r="T27" i="9"/>
  <c r="Q27" i="9"/>
  <c r="X17" i="9"/>
  <c r="X18" i="9"/>
  <c r="X19" i="9"/>
  <c r="X20" i="9"/>
  <c r="X21" i="9"/>
  <c r="X22" i="9"/>
  <c r="X23" i="9"/>
  <c r="X24" i="9"/>
  <c r="X25" i="9"/>
  <c r="X6" i="9"/>
  <c r="F31" i="8"/>
  <c r="F32" i="8"/>
  <c r="H27" i="9" l="1"/>
  <c r="X27" i="9"/>
  <c r="U30" i="9" s="1"/>
  <c r="W26" i="8"/>
  <c r="T26" i="8"/>
  <c r="Q26" i="8"/>
  <c r="N26" i="8"/>
  <c r="K26" i="8"/>
  <c r="F26" i="8"/>
  <c r="W25" i="8"/>
  <c r="T25" i="8"/>
  <c r="Q25" i="8"/>
  <c r="N25" i="8"/>
  <c r="K25" i="8"/>
  <c r="F25" i="8"/>
  <c r="W24" i="8"/>
  <c r="T24" i="8"/>
  <c r="Q24" i="8"/>
  <c r="N24" i="8"/>
  <c r="K24" i="8"/>
  <c r="F24" i="8"/>
  <c r="H24" i="8" s="1"/>
  <c r="W23" i="8"/>
  <c r="T23" i="8"/>
  <c r="Q23" i="8"/>
  <c r="N23" i="8"/>
  <c r="K23" i="8"/>
  <c r="F23" i="8"/>
  <c r="H23" i="8" s="1"/>
  <c r="W22" i="8"/>
  <c r="T22" i="8"/>
  <c r="Q22" i="8"/>
  <c r="N22" i="8"/>
  <c r="K22" i="8"/>
  <c r="F22" i="8"/>
  <c r="H22" i="8" s="1"/>
  <c r="W21" i="8"/>
  <c r="T21" i="8"/>
  <c r="Q21" i="8"/>
  <c r="N21" i="8"/>
  <c r="K21" i="8"/>
  <c r="F21" i="8"/>
  <c r="H21" i="8" s="1"/>
  <c r="W20" i="8"/>
  <c r="T20" i="8"/>
  <c r="Q20" i="8"/>
  <c r="N20" i="8"/>
  <c r="K20" i="8"/>
  <c r="F20" i="8"/>
  <c r="H20" i="8" s="1"/>
  <c r="W19" i="8"/>
  <c r="T19" i="8"/>
  <c r="Q19" i="8"/>
  <c r="N19" i="8"/>
  <c r="K19" i="8"/>
  <c r="F19" i="8"/>
  <c r="H19" i="8" s="1"/>
  <c r="W18" i="8"/>
  <c r="T18" i="8"/>
  <c r="Q18" i="8"/>
  <c r="N18" i="8"/>
  <c r="K18" i="8"/>
  <c r="F18" i="8"/>
  <c r="W17" i="8"/>
  <c r="T17" i="8"/>
  <c r="Q17" i="8"/>
  <c r="N17" i="8"/>
  <c r="K17" i="8"/>
  <c r="F17" i="8"/>
  <c r="W16" i="8"/>
  <c r="T16" i="8"/>
  <c r="Q16" i="8"/>
  <c r="N16" i="8"/>
  <c r="K16" i="8"/>
  <c r="F16" i="8"/>
  <c r="H16" i="8" s="1"/>
  <c r="W15" i="8"/>
  <c r="T15" i="8"/>
  <c r="Q15" i="8"/>
  <c r="N15" i="8"/>
  <c r="K15" i="8"/>
  <c r="F15" i="8"/>
  <c r="H15" i="8" s="1"/>
  <c r="W14" i="8"/>
  <c r="T14" i="8"/>
  <c r="Q14" i="8"/>
  <c r="N14" i="8"/>
  <c r="K14" i="8"/>
  <c r="F14" i="8"/>
  <c r="H14" i="8" s="1"/>
  <c r="W13" i="8"/>
  <c r="T13" i="8"/>
  <c r="Q13" i="8"/>
  <c r="N13" i="8"/>
  <c r="K13" i="8"/>
  <c r="F13" i="8"/>
  <c r="H13" i="8" s="1"/>
  <c r="W12" i="8"/>
  <c r="T12" i="8"/>
  <c r="Q12" i="8"/>
  <c r="N12" i="8"/>
  <c r="K12" i="8"/>
  <c r="F12" i="8"/>
  <c r="W11" i="8"/>
  <c r="T11" i="8"/>
  <c r="Q11" i="8"/>
  <c r="N11" i="8"/>
  <c r="K11" i="8"/>
  <c r="F11" i="8"/>
  <c r="W10" i="8"/>
  <c r="T10" i="8"/>
  <c r="Q10" i="8"/>
  <c r="N10" i="8"/>
  <c r="K10" i="8"/>
  <c r="F10" i="8"/>
  <c r="H10" i="8" s="1"/>
  <c r="W9" i="8"/>
  <c r="T9" i="8"/>
  <c r="Q9" i="8"/>
  <c r="N9" i="8"/>
  <c r="K9" i="8"/>
  <c r="F9" i="8"/>
  <c r="H9" i="8" s="1"/>
  <c r="W8" i="8"/>
  <c r="T8" i="8"/>
  <c r="Q8" i="8"/>
  <c r="N8" i="8"/>
  <c r="K8" i="8"/>
  <c r="F8" i="8"/>
  <c r="H8" i="8" s="1"/>
  <c r="F7" i="8"/>
  <c r="H7" i="8" s="1"/>
  <c r="K7" i="8"/>
  <c r="N7" i="8"/>
  <c r="Q7" i="8"/>
  <c r="T7" i="8"/>
  <c r="W7" i="8"/>
  <c r="F5" i="8"/>
  <c r="H6" i="8" s="1"/>
  <c r="K5" i="8"/>
  <c r="N5" i="8"/>
  <c r="T5" i="8"/>
  <c r="W5" i="8"/>
  <c r="Q6" i="8"/>
  <c r="H12" i="8" l="1"/>
  <c r="H11" i="8"/>
  <c r="H27" i="8" s="1"/>
  <c r="H17" i="8"/>
  <c r="H18" i="8"/>
  <c r="H25" i="8"/>
  <c r="H26" i="8"/>
  <c r="X7" i="8"/>
  <c r="X8" i="8"/>
  <c r="X9" i="8"/>
  <c r="X10" i="8"/>
  <c r="X11" i="8"/>
  <c r="X12" i="8"/>
  <c r="X13" i="8"/>
  <c r="X14" i="8"/>
  <c r="X15" i="8"/>
  <c r="X16" i="8"/>
  <c r="X17" i="8"/>
  <c r="X19" i="8"/>
  <c r="X20" i="8"/>
  <c r="X21" i="8"/>
  <c r="X22" i="8"/>
  <c r="X25" i="8"/>
  <c r="X26" i="8"/>
  <c r="X23" i="8"/>
  <c r="X18" i="8"/>
  <c r="Q27" i="8"/>
  <c r="X24" i="8"/>
  <c r="K27" i="8"/>
  <c r="W27" i="8"/>
  <c r="N27" i="8"/>
  <c r="T27" i="8"/>
  <c r="F27" i="8"/>
  <c r="X6" i="8"/>
  <c r="K5" i="6"/>
  <c r="X27" i="8" l="1"/>
  <c r="U31" i="8" s="1"/>
  <c r="N5" i="6"/>
  <c r="U23" i="6" l="1"/>
  <c r="T23" i="6"/>
  <c r="Q23" i="6"/>
  <c r="N23" i="6"/>
  <c r="K23" i="6"/>
  <c r="H23" i="6"/>
  <c r="T22" i="6"/>
  <c r="Q22" i="6"/>
  <c r="N22" i="6"/>
  <c r="K22" i="6"/>
  <c r="H22" i="6"/>
  <c r="U22" i="6" s="1"/>
  <c r="T21" i="6"/>
  <c r="Q21" i="6"/>
  <c r="N21" i="6"/>
  <c r="K21" i="6"/>
  <c r="H21" i="6"/>
  <c r="T20" i="6"/>
  <c r="Q20" i="6"/>
  <c r="N20" i="6"/>
  <c r="K20" i="6"/>
  <c r="H20" i="6"/>
  <c r="U20" i="6" s="1"/>
  <c r="E20" i="6"/>
  <c r="T19" i="6"/>
  <c r="Q19" i="6"/>
  <c r="N19" i="6"/>
  <c r="K19" i="6"/>
  <c r="H19" i="6"/>
  <c r="E19" i="6"/>
  <c r="T18" i="6"/>
  <c r="Q18" i="6"/>
  <c r="N18" i="6"/>
  <c r="K18" i="6"/>
  <c r="H18" i="6"/>
  <c r="E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U9" i="6" s="1"/>
  <c r="E9" i="6"/>
  <c r="T8" i="6"/>
  <c r="Q8" i="6"/>
  <c r="N8" i="6"/>
  <c r="K8" i="6"/>
  <c r="H8" i="6"/>
  <c r="E8" i="6"/>
  <c r="T7" i="6"/>
  <c r="Q7" i="6"/>
  <c r="N7" i="6"/>
  <c r="K7" i="6"/>
  <c r="H7" i="6"/>
  <c r="E7" i="6"/>
  <c r="T5" i="6"/>
  <c r="T24" i="6" s="1"/>
  <c r="Q5" i="6"/>
  <c r="Q24" i="6" s="1"/>
  <c r="N6" i="6"/>
  <c r="K24" i="6"/>
  <c r="H5" i="6"/>
  <c r="E5" i="6"/>
  <c r="U21" i="6" l="1"/>
  <c r="E24" i="6"/>
  <c r="U8" i="6"/>
  <c r="U10" i="6"/>
  <c r="U11" i="6"/>
  <c r="U12" i="6"/>
  <c r="U14" i="6"/>
  <c r="U15" i="6"/>
  <c r="U16" i="6"/>
  <c r="U17" i="6"/>
  <c r="U19" i="6"/>
  <c r="U7" i="6"/>
  <c r="N24" i="6"/>
  <c r="U18" i="6"/>
  <c r="H24" i="6"/>
  <c r="U13" i="6"/>
  <c r="U6" i="6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U24" i="6" l="1"/>
  <c r="R27" i="6" s="1"/>
  <c r="N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T22" i="5"/>
  <c r="T21" i="5"/>
  <c r="T20" i="5"/>
  <c r="T19" i="5"/>
  <c r="T18" i="5"/>
  <c r="T17" i="5"/>
  <c r="T16" i="5"/>
  <c r="T15" i="5"/>
  <c r="T14" i="5"/>
  <c r="T13" i="5"/>
  <c r="T11" i="5"/>
  <c r="T10" i="5"/>
  <c r="T9" i="5"/>
  <c r="T8" i="5"/>
  <c r="T7" i="5"/>
  <c r="T6" i="5"/>
  <c r="T5" i="5"/>
  <c r="T12" i="5"/>
  <c r="K22" i="5"/>
  <c r="H22" i="5"/>
  <c r="E22" i="5"/>
  <c r="U22" i="5" s="1"/>
  <c r="K21" i="5"/>
  <c r="H21" i="5"/>
  <c r="U21" i="5" s="1"/>
  <c r="E21" i="5"/>
  <c r="K20" i="5"/>
  <c r="H20" i="5"/>
  <c r="E20" i="5"/>
  <c r="U20" i="5" s="1"/>
  <c r="K19" i="5"/>
  <c r="H19" i="5"/>
  <c r="U19" i="5" s="1"/>
  <c r="E19" i="5"/>
  <c r="K18" i="5"/>
  <c r="H18" i="5"/>
  <c r="E18" i="5"/>
  <c r="U18" i="5" s="1"/>
  <c r="K17" i="5"/>
  <c r="H17" i="5"/>
  <c r="E17" i="5"/>
  <c r="K16" i="5"/>
  <c r="H16" i="5"/>
  <c r="E16" i="5"/>
  <c r="U16" i="5" s="1"/>
  <c r="K15" i="5"/>
  <c r="H15" i="5"/>
  <c r="E15" i="5"/>
  <c r="K14" i="5"/>
  <c r="H14" i="5"/>
  <c r="E14" i="5"/>
  <c r="U14" i="5" s="1"/>
  <c r="K13" i="5"/>
  <c r="H13" i="5"/>
  <c r="U13" i="5" s="1"/>
  <c r="E13" i="5"/>
  <c r="K12" i="5"/>
  <c r="H12" i="5"/>
  <c r="E12" i="5"/>
  <c r="U12" i="5" s="1"/>
  <c r="K11" i="5"/>
  <c r="H11" i="5"/>
  <c r="E11" i="5"/>
  <c r="K10" i="5"/>
  <c r="H10" i="5"/>
  <c r="E10" i="5"/>
  <c r="U10" i="5" s="1"/>
  <c r="K9" i="5"/>
  <c r="H9" i="5"/>
  <c r="U9" i="5" s="1"/>
  <c r="E9" i="5"/>
  <c r="K8" i="5"/>
  <c r="H8" i="5"/>
  <c r="E8" i="5"/>
  <c r="U8" i="5" s="1"/>
  <c r="K7" i="5"/>
  <c r="H7" i="5"/>
  <c r="U7" i="5" s="1"/>
  <c r="E7" i="5"/>
  <c r="K6" i="5"/>
  <c r="H6" i="5"/>
  <c r="E6" i="5"/>
  <c r="U6" i="5" s="1"/>
  <c r="K5" i="5"/>
  <c r="H5" i="5"/>
  <c r="E5" i="5"/>
  <c r="E23" i="5" l="1"/>
  <c r="K23" i="5"/>
  <c r="U17" i="5"/>
  <c r="H23" i="5"/>
  <c r="T23" i="5"/>
  <c r="Q23" i="5"/>
  <c r="U15" i="5"/>
  <c r="U5" i="5"/>
  <c r="U11" i="5"/>
  <c r="U23" i="5" s="1"/>
  <c r="R26" i="5" s="1"/>
  <c r="Q22" i="4"/>
  <c r="K22" i="4"/>
  <c r="H22" i="4"/>
  <c r="E22" i="4"/>
  <c r="Q21" i="4"/>
  <c r="K21" i="4"/>
  <c r="H21" i="4"/>
  <c r="E21" i="4"/>
  <c r="Q20" i="4"/>
  <c r="K20" i="4"/>
  <c r="H20" i="4"/>
  <c r="E20" i="4"/>
  <c r="Q19" i="4"/>
  <c r="K19" i="4"/>
  <c r="H19" i="4"/>
  <c r="E19" i="4"/>
  <c r="Q18" i="4"/>
  <c r="K18" i="4"/>
  <c r="H18" i="4"/>
  <c r="E18" i="4"/>
  <c r="Q17" i="4"/>
  <c r="K17" i="4"/>
  <c r="H17" i="4"/>
  <c r="E17" i="4"/>
  <c r="Q16" i="4"/>
  <c r="K16" i="4"/>
  <c r="H16" i="4"/>
  <c r="E16" i="4"/>
  <c r="Q15" i="4"/>
  <c r="K15" i="4"/>
  <c r="H15" i="4"/>
  <c r="E15" i="4"/>
  <c r="Q14" i="4"/>
  <c r="K14" i="4"/>
  <c r="H14" i="4"/>
  <c r="E14" i="4"/>
  <c r="Q13" i="4"/>
  <c r="K13" i="4"/>
  <c r="H13" i="4"/>
  <c r="E13" i="4"/>
  <c r="Q12" i="4"/>
  <c r="K12" i="4"/>
  <c r="H12" i="4"/>
  <c r="E12" i="4"/>
  <c r="Q11" i="4"/>
  <c r="K11" i="4"/>
  <c r="H11" i="4"/>
  <c r="E11" i="4"/>
  <c r="Q10" i="4"/>
  <c r="K10" i="4"/>
  <c r="H10" i="4"/>
  <c r="E10" i="4"/>
  <c r="Q9" i="4"/>
  <c r="K9" i="4"/>
  <c r="H9" i="4"/>
  <c r="E9" i="4"/>
  <c r="Q8" i="4"/>
  <c r="K8" i="4"/>
  <c r="H8" i="4"/>
  <c r="E8" i="4"/>
  <c r="Q7" i="4"/>
  <c r="K7" i="4"/>
  <c r="H7" i="4"/>
  <c r="E7" i="4"/>
  <c r="Q6" i="4"/>
  <c r="K6" i="4"/>
  <c r="H6" i="4"/>
  <c r="E6" i="4"/>
  <c r="N23" i="4"/>
  <c r="K5" i="4"/>
  <c r="K23" i="4" s="1"/>
  <c r="H5" i="4"/>
  <c r="H23" i="4" s="1"/>
  <c r="E5" i="4"/>
  <c r="E23" i="4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R6" i="4" l="1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Q5" i="4"/>
  <c r="Q23" i="4" s="1"/>
  <c r="R5" i="4"/>
  <c r="N23" i="1"/>
  <c r="O26" i="4" l="1"/>
  <c r="R23" i="4"/>
  <c r="Q13" i="1"/>
  <c r="K13" i="1"/>
  <c r="H13" i="1"/>
  <c r="E13" i="1"/>
  <c r="Q22" i="1"/>
  <c r="K22" i="1"/>
  <c r="H22" i="1"/>
  <c r="E22" i="1"/>
  <c r="Q21" i="1"/>
  <c r="K21" i="1"/>
  <c r="H21" i="1"/>
  <c r="E21" i="1"/>
  <c r="Q20" i="1"/>
  <c r="K20" i="1"/>
  <c r="H20" i="1"/>
  <c r="E20" i="1"/>
  <c r="Q19" i="1"/>
  <c r="K19" i="1"/>
  <c r="H19" i="1"/>
  <c r="E19" i="1"/>
  <c r="Q18" i="1"/>
  <c r="K18" i="1"/>
  <c r="H18" i="1"/>
  <c r="E18" i="1"/>
  <c r="Q17" i="1"/>
  <c r="K17" i="1"/>
  <c r="H17" i="1"/>
  <c r="E17" i="1"/>
  <c r="Q16" i="1"/>
  <c r="K16" i="1"/>
  <c r="H16" i="1"/>
  <c r="E16" i="1"/>
  <c r="Q15" i="1"/>
  <c r="K15" i="1"/>
  <c r="H15" i="1"/>
  <c r="E15" i="1"/>
  <c r="Q14" i="1"/>
  <c r="K14" i="1"/>
  <c r="H14" i="1"/>
  <c r="E14" i="1"/>
  <c r="E6" i="1"/>
  <c r="Q12" i="1"/>
  <c r="Q11" i="1"/>
  <c r="Q10" i="1"/>
  <c r="Q9" i="1"/>
  <c r="Q8" i="1"/>
  <c r="Q7" i="1"/>
  <c r="Q6" i="1"/>
  <c r="K12" i="1"/>
  <c r="K11" i="1"/>
  <c r="K10" i="1"/>
  <c r="K9" i="1"/>
  <c r="K8" i="1"/>
  <c r="K7" i="1"/>
  <c r="K6" i="1"/>
  <c r="H12" i="1"/>
  <c r="H11" i="1"/>
  <c r="H10" i="1"/>
  <c r="H9" i="1"/>
  <c r="H8" i="1"/>
  <c r="H7" i="1"/>
  <c r="H6" i="1"/>
  <c r="E12" i="1"/>
  <c r="E11" i="1"/>
  <c r="E10" i="1"/>
  <c r="E9" i="1"/>
  <c r="E8" i="1"/>
  <c r="E7" i="1"/>
  <c r="Q5" i="1"/>
  <c r="Q23" i="1" s="1"/>
  <c r="K5" i="1"/>
  <c r="H5" i="1"/>
  <c r="E5" i="1"/>
  <c r="H23" i="1" l="1"/>
  <c r="K23" i="1"/>
  <c r="R14" i="1"/>
  <c r="R15" i="1"/>
  <c r="R16" i="1"/>
  <c r="R17" i="1"/>
  <c r="R18" i="1"/>
  <c r="R19" i="1"/>
  <c r="R20" i="1"/>
  <c r="R21" i="1"/>
  <c r="R22" i="1"/>
  <c r="R13" i="1"/>
  <c r="E23" i="1"/>
  <c r="R6" i="1"/>
  <c r="R12" i="1"/>
  <c r="R11" i="1"/>
  <c r="R10" i="1"/>
  <c r="R9" i="1"/>
  <c r="R8" i="1"/>
  <c r="R7" i="1"/>
  <c r="R5" i="1"/>
  <c r="R23" i="1" s="1"/>
  <c r="O26" i="1" s="1"/>
</calcChain>
</file>

<file path=xl/sharedStrings.xml><?xml version="1.0" encoding="utf-8"?>
<sst xmlns="http://schemas.openxmlformats.org/spreadsheetml/2006/main" count="425" uniqueCount="89">
  <si>
    <t>就労継続Ｂ</t>
    <rPh sb="0" eb="2">
      <t>シュウロウ</t>
    </rPh>
    <rPh sb="2" eb="4">
      <t>ケイゾク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</si>
  <si>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</si>
  <si>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欠席対応</t>
    <rPh sb="0" eb="2">
      <t>ケッセキ</t>
    </rPh>
    <rPh sb="2" eb="4">
      <t>タイオウ</t>
    </rPh>
    <phoneticPr fontId="2"/>
  </si>
  <si>
    <t>送迎</t>
    <rPh sb="0" eb="2">
      <t>ソウゲイ</t>
    </rPh>
    <phoneticPr fontId="2"/>
  </si>
  <si>
    <t>就労外</t>
    <rPh sb="0" eb="2">
      <t>シュウロウ</t>
    </rPh>
    <rPh sb="2" eb="3">
      <t>ガイ</t>
    </rPh>
    <phoneticPr fontId="2"/>
  </si>
  <si>
    <t>利用者名</t>
    <rPh sb="0" eb="3">
      <t>リヨウシャ</t>
    </rPh>
    <rPh sb="3" eb="4">
      <t>メイ</t>
    </rPh>
    <phoneticPr fontId="2"/>
  </si>
  <si>
    <t>越智　毅</t>
    <rPh sb="0" eb="2">
      <t>オチ</t>
    </rPh>
    <rPh sb="3" eb="4">
      <t>タケシ</t>
    </rPh>
    <phoneticPr fontId="2"/>
  </si>
  <si>
    <t>木原　和樹</t>
    <rPh sb="0" eb="2">
      <t>キハラ</t>
    </rPh>
    <rPh sb="3" eb="5">
      <t>カズキ</t>
    </rPh>
    <phoneticPr fontId="2"/>
  </si>
  <si>
    <t>白石　鬼代志</t>
    <rPh sb="0" eb="2">
      <t>シライシ</t>
    </rPh>
    <rPh sb="3" eb="4">
      <t>オニ</t>
    </rPh>
    <rPh sb="4" eb="5">
      <t>ダイ</t>
    </rPh>
    <rPh sb="5" eb="6">
      <t>シ</t>
    </rPh>
    <phoneticPr fontId="2"/>
  </si>
  <si>
    <t>村上　芳紀</t>
    <rPh sb="0" eb="2">
      <t>ムラカミ</t>
    </rPh>
    <rPh sb="3" eb="4">
      <t>ヨシ</t>
    </rPh>
    <rPh sb="4" eb="5">
      <t>キ</t>
    </rPh>
    <phoneticPr fontId="2"/>
  </si>
  <si>
    <t>村上　裕一</t>
    <rPh sb="0" eb="2">
      <t>ムラカミ</t>
    </rPh>
    <rPh sb="3" eb="5">
      <t>ユウイチ</t>
    </rPh>
    <phoneticPr fontId="2"/>
  </si>
  <si>
    <t>桑村　信幸</t>
    <rPh sb="0" eb="2">
      <t>クワムラ</t>
    </rPh>
    <rPh sb="3" eb="5">
      <t>ノブユキ</t>
    </rPh>
    <phoneticPr fontId="2"/>
  </si>
  <si>
    <t>三由　幸美</t>
    <rPh sb="0" eb="2">
      <t>ミヨシ</t>
    </rPh>
    <rPh sb="3" eb="5">
      <t>ユキミ</t>
    </rPh>
    <phoneticPr fontId="2"/>
  </si>
  <si>
    <t>齋宮　学</t>
    <rPh sb="0" eb="2">
      <t>イツキ</t>
    </rPh>
    <rPh sb="3" eb="4">
      <t>マナ</t>
    </rPh>
    <phoneticPr fontId="2"/>
  </si>
  <si>
    <t>日数</t>
    <rPh sb="0" eb="2">
      <t>ニッスウ</t>
    </rPh>
    <phoneticPr fontId="2"/>
  </si>
  <si>
    <t>合計</t>
    <rPh sb="0" eb="2">
      <t>ゴウケイ</t>
    </rPh>
    <phoneticPr fontId="2"/>
  </si>
  <si>
    <t>2月分</t>
    <rPh sb="1" eb="2">
      <t>ガツ</t>
    </rPh>
    <rPh sb="2" eb="3">
      <t>ブン</t>
    </rPh>
    <phoneticPr fontId="2"/>
  </si>
  <si>
    <t>平成27年度</t>
    <rPh sb="0" eb="2">
      <t>ヘイセイ</t>
    </rPh>
    <rPh sb="4" eb="5">
      <t>ネン</t>
    </rPh>
    <rPh sb="5" eb="6">
      <t>ド</t>
    </rPh>
    <phoneticPr fontId="2"/>
  </si>
  <si>
    <t>３月分</t>
    <rPh sb="1" eb="2">
      <t>ガツ</t>
    </rPh>
    <rPh sb="2" eb="3">
      <t>ブン</t>
    </rPh>
    <phoneticPr fontId="2"/>
  </si>
  <si>
    <t>中原　徹治</t>
    <rPh sb="0" eb="2">
      <t>ナカハラ</t>
    </rPh>
    <rPh sb="3" eb="5">
      <t>テツジ</t>
    </rPh>
    <phoneticPr fontId="2"/>
  </si>
  <si>
    <t>山本　圭佑</t>
    <rPh sb="0" eb="1">
      <t>ヤマ</t>
    </rPh>
    <rPh sb="1" eb="2">
      <t>モト</t>
    </rPh>
    <rPh sb="3" eb="5">
      <t>ケイスケ</t>
    </rPh>
    <phoneticPr fontId="2"/>
  </si>
  <si>
    <t>吉川　弘一</t>
    <rPh sb="0" eb="2">
      <t>ヨシカワ</t>
    </rPh>
    <rPh sb="3" eb="5">
      <t>コウイチ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</si>
  <si>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</si>
  <si>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阿部　乃生代</t>
    <rPh sb="0" eb="2">
      <t>アベ</t>
    </rPh>
    <rPh sb="3" eb="4">
      <t>ノ</t>
    </rPh>
    <rPh sb="4" eb="5">
      <t>セイ</t>
    </rPh>
    <rPh sb="5" eb="6">
      <t>ヨ</t>
    </rPh>
    <phoneticPr fontId="2"/>
  </si>
  <si>
    <t>阿部　加代子</t>
    <rPh sb="0" eb="2">
      <t>アベ</t>
    </rPh>
    <rPh sb="3" eb="6">
      <t>カヨコ</t>
    </rPh>
    <phoneticPr fontId="2"/>
  </si>
  <si>
    <t>渡辺　直</t>
    <rPh sb="0" eb="2">
      <t>ワタナベ</t>
    </rPh>
    <rPh sb="3" eb="4">
      <t>スナオ</t>
    </rPh>
    <phoneticPr fontId="2"/>
  </si>
  <si>
    <t>石原　昇</t>
    <rPh sb="0" eb="2">
      <t>イシハラ</t>
    </rPh>
    <rPh sb="3" eb="4">
      <t>ノボル</t>
    </rPh>
    <phoneticPr fontId="2"/>
  </si>
  <si>
    <t>杉　政利</t>
    <rPh sb="0" eb="1">
      <t>スギ</t>
    </rPh>
    <rPh sb="2" eb="4">
      <t>マサトシ</t>
    </rPh>
    <phoneticPr fontId="2"/>
  </si>
  <si>
    <t>渡辺　直</t>
    <rPh sb="0" eb="2">
      <t>ワタナベ</t>
    </rPh>
    <rPh sb="3" eb="4">
      <t>スナオ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</si>
  <si>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</si>
  <si>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</si>
  <si>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5">
      <t>トモキ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</si>
  <si>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</si>
  <si>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</si>
  <si>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4">
      <t>テツ</t>
    </rPh>
    <rPh sb="4" eb="5">
      <t>ヤ</t>
    </rPh>
    <phoneticPr fontId="2"/>
  </si>
  <si>
    <t>柏木　憲太</t>
    <rPh sb="0" eb="2">
      <t>カシワギ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</si>
  <si>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</si>
  <si>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葛籠　紗葵</t>
    <rPh sb="0" eb="2">
      <t>ツヅラ</t>
    </rPh>
    <rPh sb="3" eb="4">
      <t>サ</t>
    </rPh>
    <rPh sb="4" eb="5">
      <t>キ</t>
    </rPh>
    <phoneticPr fontId="2"/>
  </si>
  <si>
    <t>倉谷　円</t>
    <rPh sb="0" eb="2">
      <t>クラタニ</t>
    </rPh>
    <rPh sb="3" eb="4">
      <t>マドカ</t>
    </rPh>
    <phoneticPr fontId="2"/>
  </si>
  <si>
    <t>佐藤　皓喜</t>
    <rPh sb="0" eb="2">
      <t>サトウ</t>
    </rPh>
    <rPh sb="3" eb="4">
      <t>コウ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</si>
  <si>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</si>
  <si>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神田　幸弘</t>
    <rPh sb="0" eb="1">
      <t>カミ</t>
    </rPh>
    <rPh sb="1" eb="2">
      <t>タ</t>
    </rPh>
    <rPh sb="3" eb="5">
      <t>ユキヒロ</t>
    </rPh>
    <phoneticPr fontId="2"/>
  </si>
  <si>
    <t>弁当代</t>
    <rPh sb="0" eb="2">
      <t>ベントウ</t>
    </rPh>
    <rPh sb="2" eb="3">
      <t>ダイ</t>
    </rPh>
    <phoneticPr fontId="2"/>
  </si>
  <si>
    <t>4月分</t>
    <rPh sb="1" eb="2">
      <t>ガツ</t>
    </rPh>
    <rPh sb="2" eb="3">
      <t>ブン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</si>
  <si>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</si>
  <si>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弁当代</t>
    <rPh sb="0" eb="2">
      <t>ベントウ</t>
    </rPh>
    <rPh sb="2" eb="3">
      <t>ダイ</t>
    </rPh>
    <phoneticPr fontId="2"/>
  </si>
  <si>
    <t>山内　雄司</t>
    <rPh sb="0" eb="2">
      <t>ヤマウチ</t>
    </rPh>
    <rPh sb="3" eb="5">
      <t>ユウジ</t>
    </rPh>
    <phoneticPr fontId="2"/>
  </si>
  <si>
    <t>山内　のり子</t>
    <rPh sb="0" eb="2">
      <t>ヤマウチ</t>
    </rPh>
    <rPh sb="5" eb="6">
      <t>コ</t>
    </rPh>
    <phoneticPr fontId="2"/>
  </si>
  <si>
    <t>岡田　直明</t>
    <rPh sb="0" eb="2">
      <t>オカダ</t>
    </rPh>
    <rPh sb="3" eb="5">
      <t>ナオアキ</t>
    </rPh>
    <phoneticPr fontId="2"/>
  </si>
  <si>
    <t>5月分</t>
    <rPh sb="1" eb="2">
      <t>ガツ</t>
    </rPh>
    <rPh sb="2" eb="3">
      <t>ブン</t>
    </rPh>
    <phoneticPr fontId="2"/>
  </si>
  <si>
    <t>吉原　祐平　</t>
    <rPh sb="0" eb="2">
      <t>ヨシハラ</t>
    </rPh>
    <rPh sb="3" eb="5">
      <t>ユウヘイ</t>
    </rPh>
    <phoneticPr fontId="2"/>
  </si>
  <si>
    <t>○櫻武　隆一</t>
    <rPh sb="1" eb="2">
      <t>サクラ</t>
    </rPh>
    <rPh sb="2" eb="3">
      <t>ブ</t>
    </rPh>
    <rPh sb="4" eb="6">
      <t>リュウイチ</t>
    </rPh>
    <phoneticPr fontId="2"/>
  </si>
  <si>
    <t>宇江　寿江</t>
    <rPh sb="0" eb="1">
      <t>ウ</t>
    </rPh>
    <rPh sb="1" eb="2">
      <t>エ</t>
    </rPh>
    <rPh sb="3" eb="4">
      <t>コトブキ</t>
    </rPh>
    <rPh sb="4" eb="5">
      <t>エ</t>
    </rPh>
    <phoneticPr fontId="2"/>
  </si>
  <si>
    <t>葛籠紗葵　３月請求が返戻になっていた為、今月請求。</t>
    <rPh sb="0" eb="2">
      <t>ツヅラ</t>
    </rPh>
    <rPh sb="2" eb="3">
      <t>サ</t>
    </rPh>
    <rPh sb="3" eb="4">
      <t>キ</t>
    </rPh>
    <rPh sb="6" eb="7">
      <t>ガツ</t>
    </rPh>
    <rPh sb="7" eb="9">
      <t>セイキュウ</t>
    </rPh>
    <rPh sb="10" eb="12">
      <t>ヘンレイ</t>
    </rPh>
    <rPh sb="18" eb="19">
      <t>タメ</t>
    </rPh>
    <rPh sb="20" eb="22">
      <t>コンゲツ</t>
    </rPh>
    <rPh sb="22" eb="24">
      <t>セイキュウ</t>
    </rPh>
    <phoneticPr fontId="2"/>
  </si>
  <si>
    <t>4神田　幸弘</t>
    <rPh sb="1" eb="2">
      <t>カミ</t>
    </rPh>
    <rPh sb="2" eb="3">
      <t>デン</t>
    </rPh>
    <rPh sb="4" eb="6">
      <t>ユキヒロ</t>
    </rPh>
    <phoneticPr fontId="2"/>
  </si>
  <si>
    <t>3葛籠　紗葵</t>
    <rPh sb="1" eb="3">
      <t>ツヅラ</t>
    </rPh>
    <rPh sb="4" eb="5">
      <t>サ</t>
    </rPh>
    <rPh sb="5" eb="6">
      <t>キ</t>
    </rPh>
    <phoneticPr fontId="2"/>
  </si>
  <si>
    <t>瀬戸　</t>
    <rPh sb="0" eb="2">
      <t>セト</t>
    </rPh>
    <phoneticPr fontId="2"/>
  </si>
  <si>
    <t>4山内　龍一</t>
    <rPh sb="1" eb="3">
      <t>ヤマウチ</t>
    </rPh>
    <rPh sb="4" eb="5">
      <t>リュウ</t>
    </rPh>
    <rPh sb="5" eb="6">
      <t>イチ</t>
    </rPh>
    <phoneticPr fontId="2"/>
  </si>
  <si>
    <t>柏木憲太　受給者証の更新の遅れがある為、来月５・６月で請求</t>
    <rPh sb="0" eb="2">
      <t>カシワギ</t>
    </rPh>
    <rPh sb="2" eb="4">
      <t>ケンタ</t>
    </rPh>
    <rPh sb="5" eb="7">
      <t>ジュキュウ</t>
    </rPh>
    <rPh sb="7" eb="8">
      <t>シャ</t>
    </rPh>
    <rPh sb="8" eb="9">
      <t>ショウ</t>
    </rPh>
    <rPh sb="10" eb="12">
      <t>コウシン</t>
    </rPh>
    <rPh sb="13" eb="14">
      <t>オク</t>
    </rPh>
    <rPh sb="18" eb="19">
      <t>タメ</t>
    </rPh>
    <rPh sb="20" eb="22">
      <t>ライゲツ</t>
    </rPh>
    <rPh sb="25" eb="26">
      <t>ガツ</t>
    </rPh>
    <rPh sb="27" eb="29">
      <t>セイキュウ</t>
    </rPh>
    <phoneticPr fontId="2"/>
  </si>
  <si>
    <t>山内龍一　4月再請求</t>
    <rPh sb="0" eb="2">
      <t>ヤマウチ</t>
    </rPh>
    <rPh sb="2" eb="4">
      <t>リュウイチ</t>
    </rPh>
    <rPh sb="6" eb="7">
      <t>ガツ</t>
    </rPh>
    <rPh sb="7" eb="10">
      <t>サイセイキュウ</t>
    </rPh>
    <phoneticPr fontId="2"/>
  </si>
  <si>
    <t>鹿室　泰洋</t>
    <rPh sb="0" eb="2">
      <t>カナムロ</t>
    </rPh>
    <rPh sb="3" eb="4">
      <t>タイ</t>
    </rPh>
    <rPh sb="4" eb="5">
      <t>ヨウ</t>
    </rPh>
    <phoneticPr fontId="2"/>
  </si>
  <si>
    <t>神田　幸弘</t>
    <rPh sb="0" eb="1">
      <t>ジン</t>
    </rPh>
    <rPh sb="1" eb="2">
      <t>デン</t>
    </rPh>
    <rPh sb="3" eb="5">
      <t>ユキヒロ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</si>
  <si>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</si>
  <si>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</si>
  <si>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送迎加算</t>
    <rPh sb="0" eb="2">
      <t>ソウゲイ</t>
    </rPh>
    <rPh sb="2" eb="4">
      <t>カサン</t>
    </rPh>
    <phoneticPr fontId="2"/>
  </si>
  <si>
    <t>吉岡　一夫</t>
    <rPh sb="0" eb="2">
      <t>ヨシオカ</t>
    </rPh>
    <rPh sb="3" eb="5">
      <t>カズオ</t>
    </rPh>
    <phoneticPr fontId="2"/>
  </si>
  <si>
    <t>6月分</t>
    <rPh sb="1" eb="2">
      <t>ガツ</t>
    </rPh>
    <rPh sb="2" eb="3">
      <t>ブン</t>
    </rPh>
    <phoneticPr fontId="2"/>
  </si>
  <si>
    <t>7月分</t>
    <rPh sb="1" eb="2">
      <t>ガツ</t>
    </rPh>
    <rPh sb="2" eb="3">
      <t>ブン</t>
    </rPh>
    <phoneticPr fontId="2"/>
  </si>
  <si>
    <t>仁井　諭</t>
    <rPh sb="0" eb="1">
      <t>ニ</t>
    </rPh>
    <rPh sb="1" eb="2">
      <t>イ</t>
    </rPh>
    <rPh sb="3" eb="4">
      <t>サトル</t>
    </rPh>
    <phoneticPr fontId="2"/>
  </si>
  <si>
    <t xml:space="preserve"> 林　　命</t>
    <rPh sb="1" eb="2">
      <t>ハヤシ</t>
    </rPh>
    <rPh sb="4" eb="5">
      <t>ミコト</t>
    </rPh>
    <phoneticPr fontId="2"/>
  </si>
  <si>
    <t>（6月）吉岡</t>
    <rPh sb="2" eb="3">
      <t>ガツ</t>
    </rPh>
    <rPh sb="4" eb="6">
      <t>ヨシオカ</t>
    </rPh>
    <phoneticPr fontId="2"/>
  </si>
  <si>
    <t>8月分</t>
    <rPh sb="1" eb="2">
      <t>ガツ</t>
    </rPh>
    <rPh sb="2" eb="3">
      <t>ブン</t>
    </rPh>
    <phoneticPr fontId="2"/>
  </si>
  <si>
    <t>9月分</t>
    <rPh sb="1" eb="2">
      <t>ガツ</t>
    </rPh>
    <rPh sb="2" eb="3">
      <t>ブン</t>
    </rPh>
    <phoneticPr fontId="2"/>
  </si>
  <si>
    <t>番田　豊人</t>
    <rPh sb="0" eb="2">
      <t>バンダ</t>
    </rPh>
    <rPh sb="3" eb="5">
      <t>トヨト</t>
    </rPh>
    <phoneticPr fontId="2"/>
  </si>
  <si>
    <t>10月分</t>
    <rPh sb="2" eb="3">
      <t>ガツ</t>
    </rPh>
    <rPh sb="3" eb="4">
      <t>ブン</t>
    </rPh>
    <phoneticPr fontId="2"/>
  </si>
  <si>
    <t>川辺　正美</t>
    <rPh sb="0" eb="2">
      <t>カワベ</t>
    </rPh>
    <rPh sb="3" eb="5">
      <t>マサミ</t>
    </rPh>
    <phoneticPr fontId="2"/>
  </si>
  <si>
    <t>服部　弘美</t>
    <rPh sb="0" eb="2">
      <t>ハットリ</t>
    </rPh>
    <rPh sb="3" eb="5">
      <t>ヒロミ</t>
    </rPh>
    <phoneticPr fontId="2"/>
  </si>
  <si>
    <t>11月分</t>
    <rPh sb="2" eb="3">
      <t>ガツ</t>
    </rPh>
    <rPh sb="3" eb="4">
      <t>ブン</t>
    </rPh>
    <phoneticPr fontId="2"/>
  </si>
  <si>
    <t>福山</t>
    <rPh sb="0" eb="2">
      <t>フクヤマ</t>
    </rPh>
    <phoneticPr fontId="2"/>
  </si>
  <si>
    <t>尾道</t>
    <rPh sb="0" eb="2">
      <t>オノミチ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</si>
  <si>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</si>
  <si>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</si>
  <si>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世羅</t>
    <rPh sb="0" eb="2">
      <t>セラ</t>
    </rPh>
    <phoneticPr fontId="2"/>
  </si>
  <si>
    <t>福山</t>
    <rPh sb="0" eb="2">
      <t>フクヤマ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</si>
  <si>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</si>
  <si>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</si>
  <si>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尾道</t>
    <rPh sb="0" eb="2">
      <t>オノミチ</t>
    </rPh>
    <phoneticPr fontId="2"/>
  </si>
  <si>
    <t>世羅</t>
    <rPh sb="0" eb="2">
      <t>セラ</t>
    </rPh>
    <phoneticPr fontId="2"/>
  </si>
  <si>
    <t>今治市</t>
    <rPh sb="0" eb="3">
      <t>イマバリシ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</si>
</sst>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20"/>
      <color theme="1" tint="4.9989318521683403E-2"/>
      <name val="ＭＳ Ｐゴシック"/>
      <family val="2"/>
      <charset val="128"/>
      <scheme val="minor"/>
    </font>
    <font>
      <sz val="25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2" borderId="3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0" borderId="7" xfId="0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6" fontId="4" fillId="5" borderId="0" xfId="1" applyFont="1" applyFill="1">
      <alignment vertical="center"/>
    </xf>
    <xf numFmtId="6" fontId="5" fillId="5" borderId="0" xfId="1" applyFont="1" applyFill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38" fontId="0" fillId="0" borderId="3" xfId="2" applyFont="1" applyBorder="1">
      <alignment vertical="center"/>
    </xf>
    <xf numFmtId="38" fontId="0" fillId="0" borderId="1" xfId="2" applyFont="1" applyBorder="1">
      <alignment vertical="center"/>
    </xf>
    <xf numFmtId="38" fontId="0" fillId="0" borderId="4" xfId="2" applyFont="1" applyBorder="1">
      <alignment vertical="center"/>
    </xf>
    <xf numFmtId="38" fontId="0" fillId="0" borderId="7" xfId="2" applyFont="1" applyBorder="1">
      <alignment vertical="center"/>
    </xf>
    <xf numFmtId="38" fontId="3" fillId="2" borderId="3" xfId="2" applyFont="1" applyFill="1" applyBorder="1">
      <alignment vertical="center"/>
    </xf>
    <xf numFmtId="38" fontId="0" fillId="2" borderId="3" xfId="2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3" fillId="6" borderId="3" xfId="0" applyFont="1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0" fontId="0" fillId="4" borderId="7" xfId="0" applyFill="1" applyBorder="1" applyAlignment="1">
      <alignment horizontal="right" vertical="center"/>
    </xf>
    <xf numFmtId="0" fontId="3" fillId="6" borderId="7" xfId="0" applyFont="1" applyFill="1" applyBorder="1">
      <alignment vertical="center"/>
    </xf>
    <xf numFmtId="0" fontId="0" fillId="0" borderId="0" xfId="0" applyFill="1" applyBorder="1">
      <alignment vertical="center"/>
    </xf>
    <xf numFmtId="6" fontId="4" fillId="0" borderId="0" xfId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3" fontId="0" fillId="0" borderId="0" xfId="0" applyNumberFormat="1" applyBorder="1">
      <alignment vertical="center"/>
    </xf>
    <xf numFmtId="38" fontId="0" fillId="0" borderId="1" xfId="2" applyFont="1" applyBorder="1" applyAlignment="1">
      <alignment vertical="center"/>
    </xf>
    <xf numFmtId="38" fontId="6" fillId="6" borderId="3" xfId="2" applyFont="1" applyFill="1" applyBorder="1">
      <alignment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38" fontId="0" fillId="0" borderId="3" xfId="2" applyFont="1" applyBorder="1" applyAlignment="1">
      <alignment vertical="center"/>
    </xf>
    <xf numFmtId="0" fontId="0" fillId="3" borderId="7" xfId="0" applyFill="1" applyBorder="1" applyAlignment="1">
      <alignment horizontal="right" vertical="center"/>
    </xf>
    <xf numFmtId="38" fontId="3" fillId="2" borderId="7" xfId="2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38" fontId="0" fillId="2" borderId="7" xfId="2" applyFont="1" applyFill="1" applyBorder="1" applyAlignment="1">
      <alignment horizontal="right" vertical="center"/>
    </xf>
    <xf numFmtId="0" fontId="0" fillId="3" borderId="7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6" fontId="5" fillId="4" borderId="0" xfId="1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8" fontId="0" fillId="2" borderId="16" xfId="2" applyFont="1" applyFill="1" applyBorder="1" applyAlignment="1">
      <alignment horizontal="center" vertical="center"/>
    </xf>
    <xf numFmtId="38" fontId="0" fillId="2" borderId="3" xfId="2" applyFont="1" applyFill="1" applyBorder="1" applyAlignment="1">
      <alignment horizontal="center" vertical="center"/>
    </xf>
    <xf numFmtId="38" fontId="0" fillId="0" borderId="16" xfId="2" applyFont="1" applyBorder="1" applyAlignment="1">
      <alignment horizontal="center" vertical="center"/>
    </xf>
    <xf numFmtId="38" fontId="0" fillId="0" borderId="3" xfId="2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8" fontId="3" fillId="2" borderId="16" xfId="2" applyFont="1" applyFill="1" applyBorder="1" applyAlignment="1">
      <alignment horizontal="center" vertical="center"/>
    </xf>
    <xf numFmtId="38" fontId="3" fillId="2" borderId="3" xfId="2" applyFont="1" applyFill="1" applyBorder="1" applyAlignment="1">
      <alignment horizontal="center" vertical="center"/>
    </xf>
    <xf numFmtId="0" fontId="0" fillId="3" borderId="16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38" fontId="0" fillId="2" borderId="16" xfId="2" applyFont="1" applyFill="1" applyBorder="1" applyAlignment="1">
      <alignment horizontal="right" vertical="center"/>
    </xf>
    <xf numFmtId="38" fontId="0" fillId="2" borderId="3" xfId="2" applyFont="1" applyFill="1" applyBorder="1" applyAlignment="1">
      <alignment horizontal="right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38" fontId="0" fillId="0" borderId="16" xfId="2" applyFont="1" applyBorder="1" applyAlignment="1">
      <alignment horizontal="right" vertical="center"/>
    </xf>
    <xf numFmtId="38" fontId="0" fillId="0" borderId="3" xfId="2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8" fontId="0" fillId="0" borderId="7" xfId="2" applyFont="1" applyBorder="1" applyAlignment="1">
      <alignment horizontal="right" vertical="center"/>
    </xf>
    <xf numFmtId="38" fontId="0" fillId="0" borderId="1" xfId="2" applyFont="1" applyBorder="1" applyAlignment="1">
      <alignment horizontal="right" vertical="center"/>
    </xf>
    <xf numFmtId="38" fontId="7" fillId="0" borderId="3" xfId="2" applyFont="1" applyBorder="1">
      <alignment vertical="center"/>
    </xf>
    <xf numFmtId="38" fontId="7" fillId="0" borderId="16" xfId="2" applyFont="1" applyBorder="1" applyAlignment="1">
      <alignment horizontal="right" vertical="center"/>
    </xf>
    <xf numFmtId="38" fontId="7" fillId="0" borderId="3" xfId="2" applyFont="1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38" fontId="0" fillId="0" borderId="0" xfId="2" applyFont="1" applyBorder="1">
      <alignment vertical="center"/>
    </xf>
    <xf numFmtId="38" fontId="0" fillId="0" borderId="0" xfId="0" applyNumberFormat="1" applyFill="1" applyBorder="1">
      <alignment vertical="center"/>
    </xf>
  </cellXfs>
  <cellStyles count="3">
    <cellStyle name="桁区切り" xfId="2" builtinId="6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G13" sqref="G13"/>
    </sheetView>
  </sheetViews>
  <sheetFormatPr defaultRowHeight="13.5" x14ac:dyDescent="0.15"/>
  <cols>
    <col min="1" max="1" width="3.25" customWidth="1"/>
    <col min="2" max="2" width="12.625" customWidth="1"/>
    <col min="3" max="3" width="7.25" customWidth="1"/>
    <col min="4" max="4" width="5.125" customWidth="1"/>
    <col min="5" max="5" width="8.375" customWidth="1"/>
    <col min="6" max="6" width="6.5" customWidth="1"/>
    <col min="7" max="7" width="5.375" customWidth="1"/>
    <col min="8" max="8" width="8.375" customWidth="1"/>
    <col min="9" max="9" width="6.5" customWidth="1"/>
    <col min="10" max="10" width="5" customWidth="1"/>
    <col min="11" max="11" width="8.375" customWidth="1"/>
    <col min="12" max="12" width="6.5" customWidth="1"/>
    <col min="13" max="13" width="4.875" customWidth="1"/>
    <col min="14" max="14" width="8.375" customWidth="1"/>
    <col min="15" max="15" width="6.5" customWidth="1"/>
    <col min="16" max="16" width="4.875" customWidth="1"/>
    <col min="17" max="17" width="8.375" customWidth="1"/>
    <col min="18" max="18" width="10.625" customWidth="1"/>
  </cols>
  <sheetData>
    <row r="1" spans="1:18" x14ac:dyDescent="0.15">
      <c r="B1" t="s">
        <v>17</v>
      </c>
    </row>
    <row r="2" spans="1:18" x14ac:dyDescent="0.15">
      <c r="A2" s="57" t="s">
        <v>16</v>
      </c>
      <c r="B2" s="58"/>
    </row>
    <row r="3" spans="1:18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3</v>
      </c>
      <c r="M3" s="52"/>
      <c r="N3" s="53"/>
      <c r="O3" s="51" t="s">
        <v>4</v>
      </c>
      <c r="P3" s="52"/>
      <c r="Q3" s="53"/>
      <c r="R3" s="54" t="s">
        <v>15</v>
      </c>
    </row>
    <row r="4" spans="1:18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3">
        <v>1000</v>
      </c>
      <c r="P4" s="13" t="s">
        <v>14</v>
      </c>
      <c r="Q4" s="3"/>
      <c r="R4" s="55"/>
    </row>
    <row r="5" spans="1:18" ht="20.100000000000001" customHeight="1" thickTop="1" x14ac:dyDescent="0.15">
      <c r="A5" s="1">
        <v>1</v>
      </c>
      <c r="B5" s="2" t="s">
        <v>6</v>
      </c>
      <c r="C5" s="2">
        <v>5890</v>
      </c>
      <c r="D5" s="7">
        <v>2</v>
      </c>
      <c r="E5" s="4">
        <f>SUM(C5*D5)</f>
        <v>11780</v>
      </c>
      <c r="F5" s="2">
        <v>300</v>
      </c>
      <c r="G5" s="7">
        <v>2</v>
      </c>
      <c r="H5" s="4">
        <f>SUM(F5*G5)</f>
        <v>600</v>
      </c>
      <c r="I5" s="2">
        <v>940</v>
      </c>
      <c r="J5" s="7"/>
      <c r="K5" s="5">
        <f>SUM(I5*J5)</f>
        <v>0</v>
      </c>
      <c r="L5" s="2">
        <v>270</v>
      </c>
      <c r="M5" s="7">
        <v>4</v>
      </c>
      <c r="N5" s="4">
        <f>SUM(L5*M5)</f>
        <v>1080</v>
      </c>
      <c r="O5" s="6">
        <v>1000</v>
      </c>
      <c r="P5" s="7"/>
      <c r="Q5" s="4">
        <f>SUM(N5*P5)</f>
        <v>0</v>
      </c>
      <c r="R5" s="2">
        <f>SUM(E5+H5+K5+N5+Q5)</f>
        <v>13460</v>
      </c>
    </row>
    <row r="6" spans="1:18" ht="20.100000000000001" customHeight="1" x14ac:dyDescent="0.15">
      <c r="A6" s="1">
        <v>2</v>
      </c>
      <c r="B6" s="1" t="s">
        <v>7</v>
      </c>
      <c r="C6" s="2">
        <v>5890</v>
      </c>
      <c r="D6" s="7">
        <v>20</v>
      </c>
      <c r="E6" s="4">
        <f>SUM(C6*D6)</f>
        <v>117800</v>
      </c>
      <c r="F6" s="2">
        <v>300</v>
      </c>
      <c r="G6" s="7">
        <v>20</v>
      </c>
      <c r="H6" s="4">
        <f t="shared" ref="H6:H12" si="0">SUM(F6*G6)</f>
        <v>6000</v>
      </c>
      <c r="I6" s="2">
        <v>940</v>
      </c>
      <c r="J6" s="8"/>
      <c r="K6" s="5">
        <f t="shared" ref="K6:K12" si="1">SUM(I6*J6)</f>
        <v>0</v>
      </c>
      <c r="L6" s="2">
        <v>270</v>
      </c>
      <c r="M6" s="8">
        <v>40</v>
      </c>
      <c r="N6" s="4">
        <f t="shared" ref="N6:N12" si="2">SUM(L6*M6)</f>
        <v>10800</v>
      </c>
      <c r="O6" s="1">
        <v>1000</v>
      </c>
      <c r="P6" s="8"/>
      <c r="Q6" s="4">
        <f t="shared" ref="Q6:Q12" si="3">SUM(N6*P6)</f>
        <v>0</v>
      </c>
      <c r="R6" s="2">
        <f t="shared" ref="R6:R12" si="4">SUM(E6+H6+K6+N6+Q6)</f>
        <v>134600</v>
      </c>
    </row>
    <row r="7" spans="1:18" ht="20.100000000000001" customHeight="1" x14ac:dyDescent="0.15">
      <c r="A7" s="1">
        <v>3</v>
      </c>
      <c r="B7" s="1" t="s">
        <v>8</v>
      </c>
      <c r="C7" s="2">
        <v>5890</v>
      </c>
      <c r="D7" s="7">
        <v>5</v>
      </c>
      <c r="E7" s="4">
        <f t="shared" ref="E7:E12" si="5">SUM(C7*D7)</f>
        <v>29450</v>
      </c>
      <c r="F7" s="2">
        <v>300</v>
      </c>
      <c r="G7" s="7">
        <v>5</v>
      </c>
      <c r="H7" s="4">
        <f t="shared" si="0"/>
        <v>1500</v>
      </c>
      <c r="I7" s="2">
        <v>940</v>
      </c>
      <c r="J7" s="8"/>
      <c r="K7" s="5">
        <f t="shared" si="1"/>
        <v>0</v>
      </c>
      <c r="L7" s="2">
        <v>270</v>
      </c>
      <c r="M7" s="8">
        <v>10</v>
      </c>
      <c r="N7" s="4">
        <f t="shared" si="2"/>
        <v>2700</v>
      </c>
      <c r="O7" s="1">
        <v>1000</v>
      </c>
      <c r="P7" s="8"/>
      <c r="Q7" s="4">
        <f t="shared" si="3"/>
        <v>0</v>
      </c>
      <c r="R7" s="2">
        <f t="shared" si="4"/>
        <v>33650</v>
      </c>
    </row>
    <row r="8" spans="1:18" ht="20.100000000000001" customHeight="1" x14ac:dyDescent="0.15">
      <c r="A8" s="1">
        <v>4</v>
      </c>
      <c r="B8" s="1" t="s">
        <v>9</v>
      </c>
      <c r="C8" s="2">
        <v>5890</v>
      </c>
      <c r="D8" s="7">
        <v>20</v>
      </c>
      <c r="E8" s="4">
        <f t="shared" si="5"/>
        <v>117800</v>
      </c>
      <c r="F8" s="2">
        <v>300</v>
      </c>
      <c r="G8" s="7">
        <v>20</v>
      </c>
      <c r="H8" s="4">
        <f t="shared" si="0"/>
        <v>6000</v>
      </c>
      <c r="I8" s="2">
        <v>940</v>
      </c>
      <c r="J8" s="8"/>
      <c r="K8" s="5">
        <f t="shared" si="1"/>
        <v>0</v>
      </c>
      <c r="L8" s="2">
        <v>270</v>
      </c>
      <c r="M8" s="8">
        <v>40</v>
      </c>
      <c r="N8" s="4">
        <f t="shared" si="2"/>
        <v>10800</v>
      </c>
      <c r="O8" s="1">
        <v>1000</v>
      </c>
      <c r="P8" s="8"/>
      <c r="Q8" s="4">
        <f t="shared" si="3"/>
        <v>0</v>
      </c>
      <c r="R8" s="2">
        <f t="shared" si="4"/>
        <v>134600</v>
      </c>
    </row>
    <row r="9" spans="1:18" ht="20.100000000000001" customHeight="1" x14ac:dyDescent="0.15">
      <c r="A9" s="1">
        <v>5</v>
      </c>
      <c r="B9" s="1" t="s">
        <v>10</v>
      </c>
      <c r="C9" s="2">
        <v>5890</v>
      </c>
      <c r="D9" s="7">
        <v>19</v>
      </c>
      <c r="E9" s="4">
        <f t="shared" si="5"/>
        <v>111910</v>
      </c>
      <c r="F9" s="2">
        <v>300</v>
      </c>
      <c r="G9" s="7">
        <v>19</v>
      </c>
      <c r="H9" s="4">
        <f t="shared" si="0"/>
        <v>5700</v>
      </c>
      <c r="I9" s="2">
        <v>940</v>
      </c>
      <c r="J9" s="8">
        <v>1</v>
      </c>
      <c r="K9" s="5">
        <f t="shared" si="1"/>
        <v>940</v>
      </c>
      <c r="L9" s="2">
        <v>270</v>
      </c>
      <c r="M9" s="8">
        <v>38</v>
      </c>
      <c r="N9" s="4">
        <f t="shared" si="2"/>
        <v>10260</v>
      </c>
      <c r="O9" s="1">
        <v>1000</v>
      </c>
      <c r="P9" s="8"/>
      <c r="Q9" s="4">
        <f t="shared" si="3"/>
        <v>0</v>
      </c>
      <c r="R9" s="2">
        <f t="shared" si="4"/>
        <v>128810</v>
      </c>
    </row>
    <row r="10" spans="1:18" ht="20.100000000000001" customHeight="1" x14ac:dyDescent="0.15">
      <c r="A10" s="1">
        <v>6</v>
      </c>
      <c r="B10" s="1" t="s">
        <v>11</v>
      </c>
      <c r="C10" s="2">
        <v>5890</v>
      </c>
      <c r="D10" s="7">
        <v>5</v>
      </c>
      <c r="E10" s="4">
        <f t="shared" si="5"/>
        <v>29450</v>
      </c>
      <c r="F10" s="2">
        <v>300</v>
      </c>
      <c r="G10" s="7">
        <v>5</v>
      </c>
      <c r="H10" s="4">
        <f t="shared" si="0"/>
        <v>1500</v>
      </c>
      <c r="I10" s="2">
        <v>940</v>
      </c>
      <c r="J10" s="8"/>
      <c r="K10" s="5">
        <f t="shared" si="1"/>
        <v>0</v>
      </c>
      <c r="L10" s="2">
        <v>270</v>
      </c>
      <c r="M10" s="8"/>
      <c r="N10" s="4">
        <f t="shared" si="2"/>
        <v>0</v>
      </c>
      <c r="O10" s="1">
        <v>1000</v>
      </c>
      <c r="P10" s="8"/>
      <c r="Q10" s="4">
        <f t="shared" si="3"/>
        <v>0</v>
      </c>
      <c r="R10" s="2">
        <f t="shared" si="4"/>
        <v>30950</v>
      </c>
    </row>
    <row r="11" spans="1:18" ht="20.100000000000001" customHeight="1" x14ac:dyDescent="0.15">
      <c r="A11" s="1">
        <v>7</v>
      </c>
      <c r="B11" s="1" t="s">
        <v>12</v>
      </c>
      <c r="C11" s="2">
        <v>5890</v>
      </c>
      <c r="D11" s="7">
        <v>16</v>
      </c>
      <c r="E11" s="4">
        <f t="shared" si="5"/>
        <v>94240</v>
      </c>
      <c r="F11" s="2">
        <v>300</v>
      </c>
      <c r="G11" s="7">
        <v>16</v>
      </c>
      <c r="H11" s="4">
        <f t="shared" si="0"/>
        <v>4800</v>
      </c>
      <c r="I11" s="2">
        <v>940</v>
      </c>
      <c r="J11" s="8">
        <v>1</v>
      </c>
      <c r="K11" s="5">
        <f t="shared" si="1"/>
        <v>940</v>
      </c>
      <c r="L11" s="2">
        <v>270</v>
      </c>
      <c r="M11" s="8">
        <v>32</v>
      </c>
      <c r="N11" s="4">
        <f t="shared" si="2"/>
        <v>8640</v>
      </c>
      <c r="O11" s="1">
        <v>1000</v>
      </c>
      <c r="P11" s="8"/>
      <c r="Q11" s="4">
        <f t="shared" si="3"/>
        <v>0</v>
      </c>
      <c r="R11" s="2">
        <f t="shared" si="4"/>
        <v>108620</v>
      </c>
    </row>
    <row r="12" spans="1:18" ht="20.100000000000001" customHeight="1" x14ac:dyDescent="0.15">
      <c r="A12" s="1">
        <v>8</v>
      </c>
      <c r="B12" s="1" t="s">
        <v>13</v>
      </c>
      <c r="C12" s="2">
        <v>5890</v>
      </c>
      <c r="D12" s="7">
        <v>8</v>
      </c>
      <c r="E12" s="4">
        <f t="shared" si="5"/>
        <v>47120</v>
      </c>
      <c r="F12" s="2">
        <v>300</v>
      </c>
      <c r="G12" s="7">
        <v>8</v>
      </c>
      <c r="H12" s="4">
        <f t="shared" si="0"/>
        <v>2400</v>
      </c>
      <c r="I12" s="2">
        <v>940</v>
      </c>
      <c r="J12" s="8"/>
      <c r="K12" s="5">
        <f t="shared" si="1"/>
        <v>0</v>
      </c>
      <c r="L12" s="2">
        <v>270</v>
      </c>
      <c r="M12" s="8">
        <v>16</v>
      </c>
      <c r="N12" s="4">
        <f t="shared" si="2"/>
        <v>4320</v>
      </c>
      <c r="O12" s="1">
        <v>1000</v>
      </c>
      <c r="P12" s="8"/>
      <c r="Q12" s="4">
        <f t="shared" si="3"/>
        <v>0</v>
      </c>
      <c r="R12" s="2">
        <f t="shared" si="4"/>
        <v>53840</v>
      </c>
    </row>
    <row r="13" spans="1:18" ht="20.100000000000001" customHeight="1" thickBot="1" x14ac:dyDescent="0.2">
      <c r="A13" s="1">
        <v>9</v>
      </c>
      <c r="B13" s="2"/>
      <c r="C13" s="2">
        <v>5890</v>
      </c>
      <c r="D13" s="7"/>
      <c r="E13" s="4">
        <f t="shared" ref="E13" si="6">SUM(C13*D13)</f>
        <v>0</v>
      </c>
      <c r="F13" s="2">
        <v>300</v>
      </c>
      <c r="G13" s="7"/>
      <c r="H13" s="4">
        <f t="shared" ref="H13" si="7">SUM(F13*G13)</f>
        <v>0</v>
      </c>
      <c r="I13" s="2">
        <v>940</v>
      </c>
      <c r="J13" s="8"/>
      <c r="K13" s="5">
        <f t="shared" ref="K13" si="8">SUM(I13*J13)</f>
        <v>0</v>
      </c>
      <c r="L13" s="2">
        <v>270</v>
      </c>
      <c r="M13" s="8"/>
      <c r="N13" s="4">
        <f t="shared" ref="N13" si="9">SUM(L13*M13)</f>
        <v>0</v>
      </c>
      <c r="O13" s="1">
        <v>1000</v>
      </c>
      <c r="P13" s="8"/>
      <c r="Q13" s="4">
        <f t="shared" ref="Q13" si="10">SUM(N13*P13)</f>
        <v>0</v>
      </c>
      <c r="R13" s="2">
        <f t="shared" ref="R13" si="11">SUM(E13+H13+K13+N13+Q13)</f>
        <v>0</v>
      </c>
    </row>
    <row r="14" spans="1:18" ht="20.100000000000001" customHeight="1" thickTop="1" x14ac:dyDescent="0.15">
      <c r="A14" s="1">
        <v>10</v>
      </c>
      <c r="B14" s="2"/>
      <c r="C14" s="2">
        <v>5890</v>
      </c>
      <c r="D14" s="7"/>
      <c r="E14" s="4">
        <f>SUM(C14*D14)</f>
        <v>0</v>
      </c>
      <c r="F14" s="2">
        <v>300</v>
      </c>
      <c r="G14" s="7"/>
      <c r="H14" s="4">
        <f>SUM(F14*G14)</f>
        <v>0</v>
      </c>
      <c r="I14" s="2">
        <v>940</v>
      </c>
      <c r="J14" s="7"/>
      <c r="K14" s="5">
        <f>SUM(I14*J14)</f>
        <v>0</v>
      </c>
      <c r="L14" s="2">
        <v>270</v>
      </c>
      <c r="M14" s="7"/>
      <c r="N14" s="4">
        <f>SUM(L14*M14)</f>
        <v>0</v>
      </c>
      <c r="O14" s="6">
        <v>1000</v>
      </c>
      <c r="P14" s="7"/>
      <c r="Q14" s="4">
        <f>SUM(N14*P14)</f>
        <v>0</v>
      </c>
      <c r="R14" s="2">
        <f>SUM(E14+H14+K14+N14+Q14)</f>
        <v>0</v>
      </c>
    </row>
    <row r="15" spans="1:18" ht="20.100000000000001" customHeight="1" x14ac:dyDescent="0.15">
      <c r="A15" s="1">
        <v>11</v>
      </c>
      <c r="B15" s="1"/>
      <c r="C15" s="2">
        <v>5890</v>
      </c>
      <c r="D15" s="7"/>
      <c r="E15" s="4">
        <f>SUM(C15*D15)</f>
        <v>0</v>
      </c>
      <c r="F15" s="2">
        <v>300</v>
      </c>
      <c r="G15" s="7"/>
      <c r="H15" s="4">
        <f t="shared" ref="H15:H22" si="12">SUM(F15*G15)</f>
        <v>0</v>
      </c>
      <c r="I15" s="2">
        <v>940</v>
      </c>
      <c r="J15" s="8"/>
      <c r="K15" s="5">
        <f t="shared" ref="K15:K22" si="13">SUM(I15*J15)</f>
        <v>0</v>
      </c>
      <c r="L15" s="2">
        <v>270</v>
      </c>
      <c r="M15" s="8"/>
      <c r="N15" s="4">
        <f t="shared" ref="N15:N22" si="14">SUM(L15*M15)</f>
        <v>0</v>
      </c>
      <c r="O15" s="1">
        <v>1000</v>
      </c>
      <c r="P15" s="8"/>
      <c r="Q15" s="4">
        <f t="shared" ref="Q15:Q22" si="15">SUM(N15*P15)</f>
        <v>0</v>
      </c>
      <c r="R15" s="2">
        <f t="shared" ref="R15:R22" si="16">SUM(E15+H15+K15+N15+Q15)</f>
        <v>0</v>
      </c>
    </row>
    <row r="16" spans="1:18" ht="20.100000000000001" customHeight="1" x14ac:dyDescent="0.15">
      <c r="A16" s="1">
        <v>12</v>
      </c>
      <c r="B16" s="1"/>
      <c r="C16" s="2">
        <v>5890</v>
      </c>
      <c r="D16" s="7"/>
      <c r="E16" s="4">
        <f t="shared" ref="E16:E22" si="17">SUM(C16*D16)</f>
        <v>0</v>
      </c>
      <c r="F16" s="2">
        <v>300</v>
      </c>
      <c r="G16" s="7"/>
      <c r="H16" s="4">
        <f t="shared" si="12"/>
        <v>0</v>
      </c>
      <c r="I16" s="2">
        <v>940</v>
      </c>
      <c r="J16" s="8"/>
      <c r="K16" s="5">
        <f t="shared" si="13"/>
        <v>0</v>
      </c>
      <c r="L16" s="2">
        <v>270</v>
      </c>
      <c r="M16" s="8"/>
      <c r="N16" s="4">
        <f t="shared" si="14"/>
        <v>0</v>
      </c>
      <c r="O16" s="1">
        <v>1000</v>
      </c>
      <c r="P16" s="8"/>
      <c r="Q16" s="4">
        <f t="shared" si="15"/>
        <v>0</v>
      </c>
      <c r="R16" s="2">
        <f t="shared" si="16"/>
        <v>0</v>
      </c>
    </row>
    <row r="17" spans="1:20" ht="20.100000000000001" customHeight="1" x14ac:dyDescent="0.15">
      <c r="A17" s="1">
        <v>13</v>
      </c>
      <c r="B17" s="1"/>
      <c r="C17" s="2">
        <v>5890</v>
      </c>
      <c r="D17" s="7"/>
      <c r="E17" s="4">
        <f t="shared" si="17"/>
        <v>0</v>
      </c>
      <c r="F17" s="2">
        <v>300</v>
      </c>
      <c r="G17" s="7"/>
      <c r="H17" s="4">
        <f t="shared" si="12"/>
        <v>0</v>
      </c>
      <c r="I17" s="2">
        <v>940</v>
      </c>
      <c r="J17" s="8"/>
      <c r="K17" s="5">
        <f t="shared" si="13"/>
        <v>0</v>
      </c>
      <c r="L17" s="2">
        <v>270</v>
      </c>
      <c r="M17" s="8"/>
      <c r="N17" s="4">
        <f t="shared" si="14"/>
        <v>0</v>
      </c>
      <c r="O17" s="1">
        <v>1000</v>
      </c>
      <c r="P17" s="8"/>
      <c r="Q17" s="4">
        <f t="shared" si="15"/>
        <v>0</v>
      </c>
      <c r="R17" s="2">
        <f t="shared" si="16"/>
        <v>0</v>
      </c>
    </row>
    <row r="18" spans="1:20" ht="20.100000000000001" customHeight="1" x14ac:dyDescent="0.15">
      <c r="A18" s="1">
        <v>14</v>
      </c>
      <c r="B18" s="1"/>
      <c r="C18" s="2">
        <v>5890</v>
      </c>
      <c r="D18" s="7"/>
      <c r="E18" s="4">
        <f t="shared" si="17"/>
        <v>0</v>
      </c>
      <c r="F18" s="2">
        <v>300</v>
      </c>
      <c r="G18" s="7"/>
      <c r="H18" s="4">
        <f t="shared" si="12"/>
        <v>0</v>
      </c>
      <c r="I18" s="2">
        <v>940</v>
      </c>
      <c r="J18" s="8"/>
      <c r="K18" s="5">
        <f t="shared" si="13"/>
        <v>0</v>
      </c>
      <c r="L18" s="2">
        <v>270</v>
      </c>
      <c r="M18" s="8"/>
      <c r="N18" s="4">
        <f t="shared" si="14"/>
        <v>0</v>
      </c>
      <c r="O18" s="1">
        <v>1000</v>
      </c>
      <c r="P18" s="8"/>
      <c r="Q18" s="4">
        <f t="shared" si="15"/>
        <v>0</v>
      </c>
      <c r="R18" s="2">
        <f t="shared" si="16"/>
        <v>0</v>
      </c>
    </row>
    <row r="19" spans="1:20" ht="20.100000000000001" customHeight="1" x14ac:dyDescent="0.15">
      <c r="A19" s="1">
        <v>15</v>
      </c>
      <c r="B19" s="1"/>
      <c r="C19" s="2">
        <v>5890</v>
      </c>
      <c r="D19" s="7"/>
      <c r="E19" s="4">
        <f t="shared" si="17"/>
        <v>0</v>
      </c>
      <c r="F19" s="2">
        <v>300</v>
      </c>
      <c r="G19" s="7"/>
      <c r="H19" s="4">
        <f t="shared" si="12"/>
        <v>0</v>
      </c>
      <c r="I19" s="2">
        <v>940</v>
      </c>
      <c r="J19" s="8"/>
      <c r="K19" s="5">
        <f t="shared" si="13"/>
        <v>0</v>
      </c>
      <c r="L19" s="2">
        <v>270</v>
      </c>
      <c r="M19" s="8"/>
      <c r="N19" s="4">
        <f t="shared" si="14"/>
        <v>0</v>
      </c>
      <c r="O19" s="1">
        <v>1000</v>
      </c>
      <c r="P19" s="8"/>
      <c r="Q19" s="4">
        <f t="shared" si="15"/>
        <v>0</v>
      </c>
      <c r="R19" s="2">
        <f t="shared" si="16"/>
        <v>0</v>
      </c>
    </row>
    <row r="20" spans="1:20" ht="20.100000000000001" customHeight="1" x14ac:dyDescent="0.15">
      <c r="A20" s="1">
        <v>16</v>
      </c>
      <c r="B20" s="1"/>
      <c r="C20" s="2">
        <v>5890</v>
      </c>
      <c r="D20" s="7"/>
      <c r="E20" s="4">
        <f t="shared" si="17"/>
        <v>0</v>
      </c>
      <c r="F20" s="2">
        <v>300</v>
      </c>
      <c r="G20" s="7"/>
      <c r="H20" s="4">
        <f t="shared" si="12"/>
        <v>0</v>
      </c>
      <c r="I20" s="2">
        <v>940</v>
      </c>
      <c r="J20" s="8"/>
      <c r="K20" s="5">
        <f t="shared" si="13"/>
        <v>0</v>
      </c>
      <c r="L20" s="2">
        <v>270</v>
      </c>
      <c r="M20" s="8"/>
      <c r="N20" s="4">
        <f t="shared" si="14"/>
        <v>0</v>
      </c>
      <c r="O20" s="1">
        <v>1000</v>
      </c>
      <c r="P20" s="8"/>
      <c r="Q20" s="4">
        <f t="shared" si="15"/>
        <v>0</v>
      </c>
      <c r="R20" s="2">
        <f t="shared" si="16"/>
        <v>0</v>
      </c>
    </row>
    <row r="21" spans="1:20" ht="20.100000000000001" customHeight="1" x14ac:dyDescent="0.15">
      <c r="A21" s="1">
        <v>17</v>
      </c>
      <c r="B21" s="1"/>
      <c r="C21" s="2">
        <v>5890</v>
      </c>
      <c r="D21" s="7"/>
      <c r="E21" s="4">
        <f t="shared" si="17"/>
        <v>0</v>
      </c>
      <c r="F21" s="2">
        <v>300</v>
      </c>
      <c r="G21" s="7"/>
      <c r="H21" s="4">
        <f t="shared" si="12"/>
        <v>0</v>
      </c>
      <c r="I21" s="2">
        <v>940</v>
      </c>
      <c r="J21" s="8"/>
      <c r="K21" s="5">
        <f t="shared" si="13"/>
        <v>0</v>
      </c>
      <c r="L21" s="2">
        <v>270</v>
      </c>
      <c r="M21" s="8"/>
      <c r="N21" s="4">
        <f t="shared" si="14"/>
        <v>0</v>
      </c>
      <c r="O21" s="1">
        <v>1000</v>
      </c>
      <c r="P21" s="8"/>
      <c r="Q21" s="4">
        <f t="shared" si="15"/>
        <v>0</v>
      </c>
      <c r="R21" s="2">
        <f t="shared" si="16"/>
        <v>0</v>
      </c>
    </row>
    <row r="22" spans="1:20" ht="20.100000000000001" customHeight="1" x14ac:dyDescent="0.15">
      <c r="A22" s="1">
        <v>18</v>
      </c>
      <c r="B22" s="1"/>
      <c r="C22" s="2">
        <v>5890</v>
      </c>
      <c r="D22" s="7"/>
      <c r="E22" s="4">
        <f t="shared" si="17"/>
        <v>0</v>
      </c>
      <c r="F22" s="2">
        <v>300</v>
      </c>
      <c r="G22" s="7"/>
      <c r="H22" s="4">
        <f t="shared" si="12"/>
        <v>0</v>
      </c>
      <c r="I22" s="2">
        <v>940</v>
      </c>
      <c r="J22" s="8"/>
      <c r="K22" s="5">
        <f t="shared" si="13"/>
        <v>0</v>
      </c>
      <c r="L22" s="2">
        <v>270</v>
      </c>
      <c r="M22" s="8"/>
      <c r="N22" s="4">
        <f t="shared" si="14"/>
        <v>0</v>
      </c>
      <c r="O22" s="1">
        <v>1000</v>
      </c>
      <c r="P22" s="8"/>
      <c r="Q22" s="4">
        <f t="shared" si="15"/>
        <v>0</v>
      </c>
      <c r="R22" s="2">
        <f t="shared" si="16"/>
        <v>0</v>
      </c>
    </row>
    <row r="23" spans="1:20" x14ac:dyDescent="0.15">
      <c r="A23" s="1"/>
      <c r="B23" s="1"/>
      <c r="C23" s="1"/>
      <c r="D23" s="1"/>
      <c r="E23" s="1">
        <f>SUM(E5:E22)</f>
        <v>559550</v>
      </c>
      <c r="F23" s="1"/>
      <c r="G23" s="1"/>
      <c r="H23" s="1">
        <f>SUM(H5:H22)</f>
        <v>28500</v>
      </c>
      <c r="I23" s="1"/>
      <c r="J23" s="1"/>
      <c r="K23" s="1">
        <f>SUM(K5:K22)</f>
        <v>1880</v>
      </c>
      <c r="L23" s="1"/>
      <c r="M23" s="1"/>
      <c r="N23" s="1">
        <f>SUM(N5:N22)</f>
        <v>48600</v>
      </c>
      <c r="O23" s="1"/>
      <c r="P23" s="1"/>
      <c r="Q23" s="1">
        <f>SUM(Q5:Q22)</f>
        <v>0</v>
      </c>
      <c r="R23" s="1">
        <f>SUM(R5:R22)</f>
        <v>638530</v>
      </c>
    </row>
    <row r="25" spans="1:20" ht="13.5" customHeight="1" x14ac:dyDescent="0.15">
      <c r="N25" s="11"/>
      <c r="O25" s="11"/>
      <c r="P25" s="11"/>
      <c r="Q25" s="11"/>
      <c r="R25" s="9"/>
    </row>
    <row r="26" spans="1:20" ht="13.5" customHeight="1" x14ac:dyDescent="0.15">
      <c r="N26" s="9"/>
      <c r="O26" s="56">
        <f>R23</f>
        <v>638530</v>
      </c>
      <c r="P26" s="56"/>
      <c r="Q26" s="56"/>
      <c r="R26" s="56"/>
      <c r="S26" s="9"/>
      <c r="T26" s="9"/>
    </row>
    <row r="27" spans="1:20" ht="13.5" customHeight="1" x14ac:dyDescent="0.15">
      <c r="N27" s="11"/>
      <c r="O27" s="56"/>
      <c r="P27" s="56"/>
      <c r="Q27" s="56"/>
      <c r="R27" s="56"/>
      <c r="S27" s="10"/>
      <c r="T27" s="9"/>
    </row>
    <row r="28" spans="1:20" ht="13.5" customHeight="1" x14ac:dyDescent="0.15">
      <c r="O28" s="56"/>
      <c r="P28" s="56"/>
      <c r="Q28" s="56"/>
      <c r="R28" s="56"/>
      <c r="S28" s="10"/>
      <c r="T28" s="9"/>
    </row>
    <row r="29" spans="1:20" ht="13.5" customHeight="1" x14ac:dyDescent="0.15">
      <c r="O29" s="9"/>
      <c r="P29" s="10"/>
      <c r="Q29" s="10"/>
      <c r="R29" s="10"/>
      <c r="S29" s="10"/>
      <c r="T29" s="9"/>
    </row>
    <row r="30" spans="1:20" x14ac:dyDescent="0.15">
      <c r="O30" s="9"/>
      <c r="P30" s="9"/>
      <c r="Q30" s="9"/>
      <c r="R30" s="9"/>
      <c r="S30" s="9"/>
      <c r="T30" s="9"/>
    </row>
  </sheetData>
  <mergeCells count="8">
    <mergeCell ref="O3:Q3"/>
    <mergeCell ref="R3:R4"/>
    <mergeCell ref="O26:R28"/>
    <mergeCell ref="A2:B3"/>
    <mergeCell ref="C3:E3"/>
    <mergeCell ref="F3:H3"/>
    <mergeCell ref="I3:K3"/>
    <mergeCell ref="L3:N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B5" sqref="B5"/>
    </sheetView>
  </sheetViews>
  <sheetFormatPr defaultRowHeight="13.5" x14ac:dyDescent="0.15"/>
  <cols>
    <col min="1" max="1" width="3.25" customWidth="1"/>
    <col min="2" max="2" width="12.625" customWidth="1"/>
    <col min="3" max="3" width="7.25" customWidth="1"/>
    <col min="4" max="4" width="5.125" customWidth="1"/>
    <col min="5" max="5" width="8.375" customWidth="1"/>
    <col min="6" max="6" width="6.5" customWidth="1"/>
    <col min="7" max="7" width="5.375" customWidth="1"/>
    <col min="8" max="8" width="8.375" customWidth="1"/>
    <col min="9" max="9" width="6.5" customWidth="1"/>
    <col min="10" max="10" width="5" customWidth="1"/>
    <col min="11" max="11" width="8.375" customWidth="1"/>
    <col min="12" max="12" width="6.5" customWidth="1"/>
    <col min="13" max="13" width="4.875" customWidth="1"/>
    <col min="14" max="14" width="8.375" customWidth="1"/>
    <col min="15" max="15" width="6.5" customWidth="1"/>
    <col min="16" max="16" width="4.875" customWidth="1"/>
    <col min="17" max="17" width="8.375" customWidth="1"/>
    <col min="18" max="18" width="10.625" customWidth="1"/>
  </cols>
  <sheetData>
    <row r="1" spans="1:18" x14ac:dyDescent="0.15">
      <c r="B1" t="s">
        <v>17</v>
      </c>
    </row>
    <row r="2" spans="1:18" x14ac:dyDescent="0.15">
      <c r="A2" s="57" t="s">
        <v>16</v>
      </c>
      <c r="B2" s="58"/>
    </row>
    <row r="3" spans="1:18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3</v>
      </c>
      <c r="M3" s="52"/>
      <c r="N3" s="53"/>
      <c r="O3" s="51" t="s">
        <v>4</v>
      </c>
      <c r="P3" s="52"/>
      <c r="Q3" s="53"/>
      <c r="R3" s="54" t="s">
        <v>15</v>
      </c>
    </row>
    <row r="4" spans="1:18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3">
        <v>1000</v>
      </c>
      <c r="P4" s="13" t="s">
        <v>14</v>
      </c>
      <c r="Q4" s="3"/>
      <c r="R4" s="55"/>
    </row>
    <row r="5" spans="1:18" ht="20.100000000000001" customHeight="1" thickTop="1" x14ac:dyDescent="0.15">
      <c r="A5" s="1">
        <v>1</v>
      </c>
      <c r="B5" s="2" t="s">
        <v>6</v>
      </c>
      <c r="C5" s="2">
        <v>5890</v>
      </c>
      <c r="D5" s="7">
        <v>2</v>
      </c>
      <c r="E5" s="4">
        <f>SUM(C5*D5)</f>
        <v>11780</v>
      </c>
      <c r="F5" s="2">
        <v>300</v>
      </c>
      <c r="G5" s="7">
        <v>2</v>
      </c>
      <c r="H5" s="4">
        <f>SUM(F5*G5)</f>
        <v>600</v>
      </c>
      <c r="I5" s="2">
        <v>940</v>
      </c>
      <c r="J5" s="7"/>
      <c r="K5" s="5">
        <f>SUM(I5*J5)</f>
        <v>0</v>
      </c>
      <c r="L5" s="2">
        <v>270</v>
      </c>
      <c r="M5" s="7"/>
      <c r="N5" s="4">
        <f>SUM(L5*M5)</f>
        <v>0</v>
      </c>
      <c r="O5" s="6">
        <v>1000</v>
      </c>
      <c r="P5" s="7"/>
      <c r="Q5" s="4">
        <f>SUM(N5*P5)</f>
        <v>0</v>
      </c>
      <c r="R5" s="14">
        <f>SUM(E5+H5+K5+N5+Q5)</f>
        <v>12380</v>
      </c>
    </row>
    <row r="6" spans="1:18" ht="20.100000000000001" customHeight="1" x14ac:dyDescent="0.15">
      <c r="A6" s="1">
        <v>2</v>
      </c>
      <c r="B6" s="1" t="s">
        <v>7</v>
      </c>
      <c r="C6" s="2">
        <v>5890</v>
      </c>
      <c r="D6" s="7">
        <v>20</v>
      </c>
      <c r="E6" s="4">
        <f>SUM(C6*D6)</f>
        <v>117800</v>
      </c>
      <c r="F6" s="2">
        <v>300</v>
      </c>
      <c r="G6" s="7">
        <v>20</v>
      </c>
      <c r="H6" s="4">
        <f t="shared" ref="H6:H13" si="0">SUM(F6*G6)</f>
        <v>6000</v>
      </c>
      <c r="I6" s="2">
        <v>940</v>
      </c>
      <c r="J6" s="8"/>
      <c r="K6" s="5">
        <f t="shared" ref="K6:K13" si="1">SUM(I6*J6)</f>
        <v>0</v>
      </c>
      <c r="L6" s="2">
        <v>270</v>
      </c>
      <c r="M6" s="8"/>
      <c r="N6" s="4">
        <f t="shared" ref="N6:N22" si="2">SUM(L6*M6)</f>
        <v>0</v>
      </c>
      <c r="O6" s="1">
        <v>1000</v>
      </c>
      <c r="P6" s="8"/>
      <c r="Q6" s="4">
        <f t="shared" ref="Q6:Q13" si="3">SUM(N6*P6)</f>
        <v>0</v>
      </c>
      <c r="R6" s="14">
        <f t="shared" ref="R6:R13" si="4">SUM(E6+H6+K6+N6+Q6)</f>
        <v>123800</v>
      </c>
    </row>
    <row r="7" spans="1:18" ht="20.100000000000001" customHeight="1" x14ac:dyDescent="0.15">
      <c r="A7" s="1">
        <v>3</v>
      </c>
      <c r="B7" s="1" t="s">
        <v>8</v>
      </c>
      <c r="C7" s="2">
        <v>5890</v>
      </c>
      <c r="D7" s="7">
        <v>5</v>
      </c>
      <c r="E7" s="4">
        <f t="shared" ref="E7:E13" si="5">SUM(C7*D7)</f>
        <v>29450</v>
      </c>
      <c r="F7" s="2">
        <v>300</v>
      </c>
      <c r="G7" s="7">
        <v>5</v>
      </c>
      <c r="H7" s="4">
        <f t="shared" si="0"/>
        <v>1500</v>
      </c>
      <c r="I7" s="2">
        <v>940</v>
      </c>
      <c r="J7" s="8"/>
      <c r="K7" s="5">
        <f t="shared" si="1"/>
        <v>0</v>
      </c>
      <c r="L7" s="2">
        <v>270</v>
      </c>
      <c r="M7" s="8"/>
      <c r="N7" s="4">
        <f t="shared" si="2"/>
        <v>0</v>
      </c>
      <c r="O7" s="1">
        <v>1000</v>
      </c>
      <c r="P7" s="8"/>
      <c r="Q7" s="4">
        <f t="shared" si="3"/>
        <v>0</v>
      </c>
      <c r="R7" s="14">
        <f t="shared" si="4"/>
        <v>30950</v>
      </c>
    </row>
    <row r="8" spans="1:18" ht="20.100000000000001" customHeight="1" x14ac:dyDescent="0.15">
      <c r="A8" s="1">
        <v>4</v>
      </c>
      <c r="B8" s="1" t="s">
        <v>9</v>
      </c>
      <c r="C8" s="2">
        <v>5890</v>
      </c>
      <c r="D8" s="7">
        <v>20</v>
      </c>
      <c r="E8" s="4">
        <f t="shared" si="5"/>
        <v>117800</v>
      </c>
      <c r="F8" s="2">
        <v>300</v>
      </c>
      <c r="G8" s="7">
        <v>20</v>
      </c>
      <c r="H8" s="4">
        <f t="shared" si="0"/>
        <v>6000</v>
      </c>
      <c r="I8" s="2">
        <v>940</v>
      </c>
      <c r="J8" s="8"/>
      <c r="K8" s="5">
        <f t="shared" si="1"/>
        <v>0</v>
      </c>
      <c r="L8" s="2">
        <v>270</v>
      </c>
      <c r="M8" s="8"/>
      <c r="N8" s="4">
        <f t="shared" si="2"/>
        <v>0</v>
      </c>
      <c r="O8" s="1">
        <v>1000</v>
      </c>
      <c r="P8" s="8"/>
      <c r="Q8" s="4">
        <f t="shared" si="3"/>
        <v>0</v>
      </c>
      <c r="R8" s="14">
        <f t="shared" si="4"/>
        <v>123800</v>
      </c>
    </row>
    <row r="9" spans="1:18" ht="20.100000000000001" customHeight="1" x14ac:dyDescent="0.15">
      <c r="A9" s="1">
        <v>5</v>
      </c>
      <c r="B9" s="1" t="s">
        <v>10</v>
      </c>
      <c r="C9" s="2">
        <v>5890</v>
      </c>
      <c r="D9" s="7">
        <v>19</v>
      </c>
      <c r="E9" s="4">
        <f t="shared" si="5"/>
        <v>111910</v>
      </c>
      <c r="F9" s="2">
        <v>300</v>
      </c>
      <c r="G9" s="7">
        <v>19</v>
      </c>
      <c r="H9" s="4">
        <f t="shared" si="0"/>
        <v>5700</v>
      </c>
      <c r="I9" s="2">
        <v>940</v>
      </c>
      <c r="J9" s="8">
        <v>1</v>
      </c>
      <c r="K9" s="5">
        <f t="shared" si="1"/>
        <v>940</v>
      </c>
      <c r="L9" s="2">
        <v>270</v>
      </c>
      <c r="M9" s="8"/>
      <c r="N9" s="4">
        <f t="shared" si="2"/>
        <v>0</v>
      </c>
      <c r="O9" s="1">
        <v>1000</v>
      </c>
      <c r="P9" s="8"/>
      <c r="Q9" s="4">
        <f t="shared" si="3"/>
        <v>0</v>
      </c>
      <c r="R9" s="14">
        <f t="shared" si="4"/>
        <v>118550</v>
      </c>
    </row>
    <row r="10" spans="1:18" ht="20.100000000000001" customHeight="1" x14ac:dyDescent="0.15">
      <c r="A10" s="1">
        <v>6</v>
      </c>
      <c r="B10" s="1" t="s">
        <v>11</v>
      </c>
      <c r="C10" s="2">
        <v>5890</v>
      </c>
      <c r="D10" s="7"/>
      <c r="E10" s="4">
        <f t="shared" si="5"/>
        <v>0</v>
      </c>
      <c r="F10" s="2">
        <v>300</v>
      </c>
      <c r="G10" s="7"/>
      <c r="H10" s="4">
        <f t="shared" si="0"/>
        <v>0</v>
      </c>
      <c r="I10" s="2">
        <v>940</v>
      </c>
      <c r="J10" s="8"/>
      <c r="K10" s="5">
        <f t="shared" si="1"/>
        <v>0</v>
      </c>
      <c r="L10" s="2">
        <v>270</v>
      </c>
      <c r="M10" s="8"/>
      <c r="N10" s="4">
        <f t="shared" si="2"/>
        <v>0</v>
      </c>
      <c r="O10" s="1">
        <v>1000</v>
      </c>
      <c r="P10" s="8"/>
      <c r="Q10" s="4">
        <f t="shared" si="3"/>
        <v>0</v>
      </c>
      <c r="R10" s="14">
        <f t="shared" si="4"/>
        <v>0</v>
      </c>
    </row>
    <row r="11" spans="1:18" ht="20.100000000000001" customHeight="1" x14ac:dyDescent="0.15">
      <c r="A11" s="1">
        <v>7</v>
      </c>
      <c r="B11" s="1" t="s">
        <v>12</v>
      </c>
      <c r="C11" s="2">
        <v>5890</v>
      </c>
      <c r="D11" s="7">
        <v>16</v>
      </c>
      <c r="E11" s="4">
        <f t="shared" si="5"/>
        <v>94240</v>
      </c>
      <c r="F11" s="2">
        <v>300</v>
      </c>
      <c r="G11" s="7">
        <v>16</v>
      </c>
      <c r="H11" s="4">
        <f t="shared" si="0"/>
        <v>4800</v>
      </c>
      <c r="I11" s="2">
        <v>940</v>
      </c>
      <c r="J11" s="8">
        <v>1</v>
      </c>
      <c r="K11" s="5">
        <f t="shared" si="1"/>
        <v>940</v>
      </c>
      <c r="L11" s="2">
        <v>270</v>
      </c>
      <c r="M11" s="8"/>
      <c r="N11" s="4">
        <f t="shared" si="2"/>
        <v>0</v>
      </c>
      <c r="O11" s="1">
        <v>1000</v>
      </c>
      <c r="P11" s="8"/>
      <c r="Q11" s="4">
        <f t="shared" si="3"/>
        <v>0</v>
      </c>
      <c r="R11" s="14">
        <f t="shared" si="4"/>
        <v>99980</v>
      </c>
    </row>
    <row r="12" spans="1:18" ht="20.100000000000001" customHeight="1" x14ac:dyDescent="0.15">
      <c r="A12" s="1">
        <v>8</v>
      </c>
      <c r="B12" s="1" t="s">
        <v>13</v>
      </c>
      <c r="C12" s="2">
        <v>5890</v>
      </c>
      <c r="D12" s="7">
        <v>8</v>
      </c>
      <c r="E12" s="4">
        <f t="shared" si="5"/>
        <v>47120</v>
      </c>
      <c r="F12" s="2">
        <v>300</v>
      </c>
      <c r="G12" s="7">
        <v>8</v>
      </c>
      <c r="H12" s="4">
        <f t="shared" si="0"/>
        <v>2400</v>
      </c>
      <c r="I12" s="2">
        <v>940</v>
      </c>
      <c r="J12" s="8"/>
      <c r="K12" s="5">
        <f t="shared" si="1"/>
        <v>0</v>
      </c>
      <c r="L12" s="2">
        <v>270</v>
      </c>
      <c r="M12" s="8"/>
      <c r="N12" s="4">
        <f t="shared" si="2"/>
        <v>0</v>
      </c>
      <c r="O12" s="1">
        <v>1000</v>
      </c>
      <c r="P12" s="8"/>
      <c r="Q12" s="4">
        <f t="shared" si="3"/>
        <v>0</v>
      </c>
      <c r="R12" s="14">
        <f t="shared" si="4"/>
        <v>49520</v>
      </c>
    </row>
    <row r="13" spans="1:18" ht="20.100000000000001" customHeight="1" x14ac:dyDescent="0.15">
      <c r="A13" s="1">
        <v>9</v>
      </c>
      <c r="B13" s="2" t="s">
        <v>28</v>
      </c>
      <c r="C13" s="2">
        <v>5890</v>
      </c>
      <c r="D13" s="7">
        <v>16</v>
      </c>
      <c r="E13" s="4">
        <f t="shared" si="5"/>
        <v>94240</v>
      </c>
      <c r="F13" s="2">
        <v>300</v>
      </c>
      <c r="G13" s="7">
        <v>16</v>
      </c>
      <c r="H13" s="4">
        <f t="shared" si="0"/>
        <v>4800</v>
      </c>
      <c r="I13" s="2">
        <v>940</v>
      </c>
      <c r="J13" s="8"/>
      <c r="K13" s="5">
        <f t="shared" si="1"/>
        <v>0</v>
      </c>
      <c r="L13" s="2">
        <v>270</v>
      </c>
      <c r="M13" s="8"/>
      <c r="N13" s="4">
        <f t="shared" si="2"/>
        <v>0</v>
      </c>
      <c r="O13" s="1">
        <v>1000</v>
      </c>
      <c r="P13" s="8"/>
      <c r="Q13" s="4">
        <f t="shared" si="3"/>
        <v>0</v>
      </c>
      <c r="R13" s="14">
        <f t="shared" si="4"/>
        <v>99040</v>
      </c>
    </row>
    <row r="14" spans="1:18" ht="20.100000000000001" customHeight="1" x14ac:dyDescent="0.15">
      <c r="A14" s="1">
        <v>10</v>
      </c>
      <c r="B14" s="2"/>
      <c r="C14" s="2">
        <v>5890</v>
      </c>
      <c r="D14" s="7"/>
      <c r="E14" s="4">
        <f>SUM(C14*D14)</f>
        <v>0</v>
      </c>
      <c r="F14" s="2">
        <v>300</v>
      </c>
      <c r="G14" s="7"/>
      <c r="H14" s="4">
        <f>SUM(F14*G14)</f>
        <v>0</v>
      </c>
      <c r="I14" s="2">
        <v>940</v>
      </c>
      <c r="J14" s="7"/>
      <c r="K14" s="5">
        <f>SUM(I14*J14)</f>
        <v>0</v>
      </c>
      <c r="L14" s="2">
        <v>270</v>
      </c>
      <c r="M14" s="7"/>
      <c r="N14" s="4">
        <f t="shared" si="2"/>
        <v>0</v>
      </c>
      <c r="O14" s="2">
        <v>1000</v>
      </c>
      <c r="P14" s="7"/>
      <c r="Q14" s="4">
        <f>SUM(N14*P14)</f>
        <v>0</v>
      </c>
      <c r="R14" s="14">
        <f>SUM(E14+H14+K14+N14+Q14)</f>
        <v>0</v>
      </c>
    </row>
    <row r="15" spans="1:18" ht="20.100000000000001" customHeight="1" x14ac:dyDescent="0.15">
      <c r="A15" s="1">
        <v>11</v>
      </c>
      <c r="B15" s="1"/>
      <c r="C15" s="2">
        <v>5890</v>
      </c>
      <c r="D15" s="7"/>
      <c r="E15" s="4">
        <f>SUM(C15*D15)</f>
        <v>0</v>
      </c>
      <c r="F15" s="2">
        <v>300</v>
      </c>
      <c r="G15" s="7"/>
      <c r="H15" s="4">
        <f t="shared" ref="H15:H22" si="6">SUM(F15*G15)</f>
        <v>0</v>
      </c>
      <c r="I15" s="2">
        <v>940</v>
      </c>
      <c r="J15" s="8"/>
      <c r="K15" s="5">
        <f t="shared" ref="K15:K22" si="7">SUM(I15*J15)</f>
        <v>0</v>
      </c>
      <c r="L15" s="2">
        <v>270</v>
      </c>
      <c r="M15" s="8"/>
      <c r="N15" s="4">
        <f t="shared" si="2"/>
        <v>0</v>
      </c>
      <c r="O15" s="1">
        <v>1000</v>
      </c>
      <c r="P15" s="8"/>
      <c r="Q15" s="4">
        <f t="shared" ref="Q15:Q22" si="8">SUM(N15*P15)</f>
        <v>0</v>
      </c>
      <c r="R15" s="14">
        <f t="shared" ref="R15:R22" si="9">SUM(E15+H15+K15+N15+Q15)</f>
        <v>0</v>
      </c>
    </row>
    <row r="16" spans="1:18" ht="20.100000000000001" customHeight="1" x14ac:dyDescent="0.15">
      <c r="A16" s="1">
        <v>12</v>
      </c>
      <c r="B16" s="1"/>
      <c r="C16" s="2">
        <v>5890</v>
      </c>
      <c r="D16" s="7"/>
      <c r="E16" s="4">
        <f t="shared" ref="E16:E22" si="10">SUM(C16*D16)</f>
        <v>0</v>
      </c>
      <c r="F16" s="2">
        <v>300</v>
      </c>
      <c r="G16" s="7"/>
      <c r="H16" s="4">
        <f t="shared" si="6"/>
        <v>0</v>
      </c>
      <c r="I16" s="2">
        <v>940</v>
      </c>
      <c r="J16" s="8"/>
      <c r="K16" s="5">
        <f t="shared" si="7"/>
        <v>0</v>
      </c>
      <c r="L16" s="2">
        <v>270</v>
      </c>
      <c r="M16" s="8"/>
      <c r="N16" s="4">
        <f t="shared" si="2"/>
        <v>0</v>
      </c>
      <c r="O16" s="1">
        <v>1000</v>
      </c>
      <c r="P16" s="8"/>
      <c r="Q16" s="4">
        <f t="shared" si="8"/>
        <v>0</v>
      </c>
      <c r="R16" s="14">
        <f t="shared" si="9"/>
        <v>0</v>
      </c>
    </row>
    <row r="17" spans="1:20" ht="20.100000000000001" customHeight="1" x14ac:dyDescent="0.15">
      <c r="A17" s="1">
        <v>13</v>
      </c>
      <c r="B17" s="1"/>
      <c r="C17" s="2">
        <v>5890</v>
      </c>
      <c r="D17" s="7"/>
      <c r="E17" s="4">
        <f t="shared" si="10"/>
        <v>0</v>
      </c>
      <c r="F17" s="2">
        <v>300</v>
      </c>
      <c r="G17" s="7"/>
      <c r="H17" s="4">
        <f t="shared" si="6"/>
        <v>0</v>
      </c>
      <c r="I17" s="2">
        <v>940</v>
      </c>
      <c r="J17" s="8"/>
      <c r="K17" s="5">
        <f t="shared" si="7"/>
        <v>0</v>
      </c>
      <c r="L17" s="2">
        <v>270</v>
      </c>
      <c r="M17" s="8"/>
      <c r="N17" s="4">
        <f t="shared" si="2"/>
        <v>0</v>
      </c>
      <c r="O17" s="1">
        <v>1000</v>
      </c>
      <c r="P17" s="8"/>
      <c r="Q17" s="4">
        <f t="shared" si="8"/>
        <v>0</v>
      </c>
      <c r="R17" s="14">
        <f t="shared" si="9"/>
        <v>0</v>
      </c>
    </row>
    <row r="18" spans="1:20" ht="20.100000000000001" customHeight="1" x14ac:dyDescent="0.15">
      <c r="A18" s="1">
        <v>14</v>
      </c>
      <c r="B18" s="1"/>
      <c r="C18" s="2">
        <v>5890</v>
      </c>
      <c r="D18" s="7"/>
      <c r="E18" s="4">
        <f t="shared" si="10"/>
        <v>0</v>
      </c>
      <c r="F18" s="2">
        <v>300</v>
      </c>
      <c r="G18" s="7"/>
      <c r="H18" s="4">
        <f t="shared" si="6"/>
        <v>0</v>
      </c>
      <c r="I18" s="2">
        <v>940</v>
      </c>
      <c r="J18" s="8"/>
      <c r="K18" s="5">
        <f t="shared" si="7"/>
        <v>0</v>
      </c>
      <c r="L18" s="2">
        <v>270</v>
      </c>
      <c r="M18" s="8"/>
      <c r="N18" s="4">
        <f t="shared" si="2"/>
        <v>0</v>
      </c>
      <c r="O18" s="1">
        <v>1000</v>
      </c>
      <c r="P18" s="8"/>
      <c r="Q18" s="4">
        <f t="shared" si="8"/>
        <v>0</v>
      </c>
      <c r="R18" s="14">
        <f t="shared" si="9"/>
        <v>0</v>
      </c>
    </row>
    <row r="19" spans="1:20" ht="20.100000000000001" customHeight="1" x14ac:dyDescent="0.15">
      <c r="A19" s="1">
        <v>15</v>
      </c>
      <c r="B19" s="1"/>
      <c r="C19" s="2">
        <v>5890</v>
      </c>
      <c r="D19" s="7"/>
      <c r="E19" s="4">
        <f t="shared" si="10"/>
        <v>0</v>
      </c>
      <c r="F19" s="2">
        <v>300</v>
      </c>
      <c r="G19" s="7"/>
      <c r="H19" s="4">
        <f t="shared" si="6"/>
        <v>0</v>
      </c>
      <c r="I19" s="2">
        <v>940</v>
      </c>
      <c r="J19" s="8"/>
      <c r="K19" s="5">
        <f t="shared" si="7"/>
        <v>0</v>
      </c>
      <c r="L19" s="2">
        <v>270</v>
      </c>
      <c r="M19" s="8"/>
      <c r="N19" s="4">
        <f t="shared" si="2"/>
        <v>0</v>
      </c>
      <c r="O19" s="1">
        <v>1000</v>
      </c>
      <c r="P19" s="8"/>
      <c r="Q19" s="4">
        <f t="shared" si="8"/>
        <v>0</v>
      </c>
      <c r="R19" s="14">
        <f t="shared" si="9"/>
        <v>0</v>
      </c>
    </row>
    <row r="20" spans="1:20" ht="20.100000000000001" customHeight="1" x14ac:dyDescent="0.15">
      <c r="A20" s="1">
        <v>16</v>
      </c>
      <c r="B20" s="1"/>
      <c r="C20" s="2">
        <v>5890</v>
      </c>
      <c r="D20" s="7"/>
      <c r="E20" s="4">
        <f t="shared" si="10"/>
        <v>0</v>
      </c>
      <c r="F20" s="2">
        <v>300</v>
      </c>
      <c r="G20" s="7"/>
      <c r="H20" s="4">
        <f t="shared" si="6"/>
        <v>0</v>
      </c>
      <c r="I20" s="2">
        <v>940</v>
      </c>
      <c r="J20" s="8"/>
      <c r="K20" s="5">
        <f t="shared" si="7"/>
        <v>0</v>
      </c>
      <c r="L20" s="2">
        <v>270</v>
      </c>
      <c r="M20" s="8"/>
      <c r="N20" s="4">
        <f t="shared" si="2"/>
        <v>0</v>
      </c>
      <c r="O20" s="1">
        <v>1000</v>
      </c>
      <c r="P20" s="8"/>
      <c r="Q20" s="4">
        <f t="shared" si="8"/>
        <v>0</v>
      </c>
      <c r="R20" s="14">
        <f t="shared" si="9"/>
        <v>0</v>
      </c>
    </row>
    <row r="21" spans="1:20" ht="20.100000000000001" customHeight="1" x14ac:dyDescent="0.15">
      <c r="A21" s="1">
        <v>17</v>
      </c>
      <c r="B21" s="1"/>
      <c r="C21" s="2">
        <v>5890</v>
      </c>
      <c r="D21" s="7"/>
      <c r="E21" s="4">
        <f t="shared" si="10"/>
        <v>0</v>
      </c>
      <c r="F21" s="2">
        <v>300</v>
      </c>
      <c r="G21" s="7"/>
      <c r="H21" s="4">
        <f t="shared" si="6"/>
        <v>0</v>
      </c>
      <c r="I21" s="2">
        <v>940</v>
      </c>
      <c r="J21" s="8"/>
      <c r="K21" s="5">
        <f t="shared" si="7"/>
        <v>0</v>
      </c>
      <c r="L21" s="2">
        <v>270</v>
      </c>
      <c r="M21" s="8"/>
      <c r="N21" s="4">
        <f t="shared" si="2"/>
        <v>0</v>
      </c>
      <c r="O21" s="1">
        <v>1000</v>
      </c>
      <c r="P21" s="8"/>
      <c r="Q21" s="4">
        <f t="shared" si="8"/>
        <v>0</v>
      </c>
      <c r="R21" s="14">
        <f t="shared" si="9"/>
        <v>0</v>
      </c>
    </row>
    <row r="22" spans="1:20" ht="20.100000000000001" customHeight="1" x14ac:dyDescent="0.15">
      <c r="A22" s="1">
        <v>18</v>
      </c>
      <c r="B22" s="1"/>
      <c r="C22" s="2">
        <v>5890</v>
      </c>
      <c r="D22" s="7"/>
      <c r="E22" s="4">
        <f t="shared" si="10"/>
        <v>0</v>
      </c>
      <c r="F22" s="2">
        <v>300</v>
      </c>
      <c r="G22" s="7"/>
      <c r="H22" s="4">
        <f t="shared" si="6"/>
        <v>0</v>
      </c>
      <c r="I22" s="2">
        <v>940</v>
      </c>
      <c r="J22" s="8"/>
      <c r="K22" s="5">
        <f t="shared" si="7"/>
        <v>0</v>
      </c>
      <c r="L22" s="2">
        <v>270</v>
      </c>
      <c r="M22" s="8"/>
      <c r="N22" s="4">
        <f t="shared" si="2"/>
        <v>0</v>
      </c>
      <c r="O22" s="1">
        <v>1000</v>
      </c>
      <c r="P22" s="8"/>
      <c r="Q22" s="4">
        <f t="shared" si="8"/>
        <v>0</v>
      </c>
      <c r="R22" s="14">
        <f t="shared" si="9"/>
        <v>0</v>
      </c>
    </row>
    <row r="23" spans="1:20" x14ac:dyDescent="0.15">
      <c r="A23" s="1"/>
      <c r="B23" s="1"/>
      <c r="C23" s="1"/>
      <c r="D23" s="1"/>
      <c r="E23" s="1">
        <f>SUM(E5:E22)</f>
        <v>624340</v>
      </c>
      <c r="F23" s="1"/>
      <c r="G23" s="1"/>
      <c r="H23" s="1">
        <f>SUM(H5:H22)</f>
        <v>31800</v>
      </c>
      <c r="I23" s="1"/>
      <c r="J23" s="1"/>
      <c r="K23" s="1">
        <f>SUM(K5:K22)</f>
        <v>1880</v>
      </c>
      <c r="L23" s="1"/>
      <c r="M23" s="1"/>
      <c r="N23" s="1">
        <f>SUM(N5:N22)</f>
        <v>0</v>
      </c>
      <c r="O23" s="1"/>
      <c r="P23" s="1"/>
      <c r="Q23" s="1">
        <f>SUM(Q5:Q22)</f>
        <v>0</v>
      </c>
      <c r="R23" s="15">
        <f>SUM(R5:R22)</f>
        <v>658020</v>
      </c>
    </row>
    <row r="25" spans="1:20" ht="13.5" customHeight="1" x14ac:dyDescent="0.15">
      <c r="N25" s="11"/>
      <c r="O25" s="11"/>
      <c r="P25" s="11"/>
      <c r="Q25" s="11"/>
      <c r="R25" s="9"/>
    </row>
    <row r="26" spans="1:20" ht="13.5" customHeight="1" x14ac:dyDescent="0.15">
      <c r="N26" s="9"/>
      <c r="O26" s="56">
        <f>R23</f>
        <v>658020</v>
      </c>
      <c r="P26" s="56"/>
      <c r="Q26" s="56"/>
      <c r="R26" s="56"/>
      <c r="S26" s="9"/>
      <c r="T26" s="9"/>
    </row>
    <row r="27" spans="1:20" ht="13.5" customHeight="1" x14ac:dyDescent="0.15">
      <c r="N27" s="11"/>
      <c r="O27" s="56"/>
      <c r="P27" s="56"/>
      <c r="Q27" s="56"/>
      <c r="R27" s="56"/>
      <c r="S27" s="10"/>
      <c r="T27" s="9"/>
    </row>
    <row r="28" spans="1:20" ht="13.5" customHeight="1" x14ac:dyDescent="0.15">
      <c r="O28" s="56"/>
      <c r="P28" s="56"/>
      <c r="Q28" s="56"/>
      <c r="R28" s="56"/>
      <c r="S28" s="10"/>
      <c r="T28" s="9"/>
    </row>
    <row r="29" spans="1:20" ht="13.5" customHeight="1" x14ac:dyDescent="0.15">
      <c r="O29" s="9"/>
      <c r="P29" s="10"/>
      <c r="Q29" s="10"/>
      <c r="R29" s="10"/>
      <c r="S29" s="10"/>
      <c r="T29" s="9"/>
    </row>
    <row r="30" spans="1:20" x14ac:dyDescent="0.15">
      <c r="O30" s="9"/>
      <c r="P30" s="9"/>
      <c r="Q30" s="9"/>
      <c r="R30" s="9"/>
      <c r="S30" s="9"/>
      <c r="T30" s="9"/>
    </row>
  </sheetData>
  <mergeCells count="8">
    <mergeCell ref="R3:R4"/>
    <mergeCell ref="O26:R28"/>
    <mergeCell ref="A2:B3"/>
    <mergeCell ref="C3:E3"/>
    <mergeCell ref="F3:H3"/>
    <mergeCell ref="I3:K3"/>
    <mergeCell ref="L3:N3"/>
    <mergeCell ref="O3:Q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activeCell="O30" sqref="O30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7" t="s">
        <v>18</v>
      </c>
      <c r="B2" s="58"/>
    </row>
    <row r="3" spans="1:21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3</v>
      </c>
      <c r="M3" s="52"/>
      <c r="N3" s="53"/>
      <c r="O3" s="51" t="s">
        <v>22</v>
      </c>
      <c r="P3" s="52"/>
      <c r="Q3" s="53"/>
      <c r="R3" s="51" t="s">
        <v>4</v>
      </c>
      <c r="S3" s="52"/>
      <c r="T3" s="53"/>
      <c r="U3" s="5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55"/>
    </row>
    <row r="5" spans="1:21" ht="20.100000000000001" customHeight="1" thickTop="1" x14ac:dyDescent="0.15">
      <c r="A5" s="1">
        <v>1</v>
      </c>
      <c r="B5" s="2" t="s">
        <v>6</v>
      </c>
      <c r="C5" s="14">
        <v>5890</v>
      </c>
      <c r="D5" s="7">
        <v>21</v>
      </c>
      <c r="E5" s="18">
        <f>SUM(C5*D5)</f>
        <v>123690</v>
      </c>
      <c r="F5" s="2">
        <v>300</v>
      </c>
      <c r="G5" s="7">
        <v>19</v>
      </c>
      <c r="H5" s="18">
        <f>SUM(F5*G5)</f>
        <v>5700</v>
      </c>
      <c r="I5" s="2">
        <v>940</v>
      </c>
      <c r="J5" s="7">
        <v>1</v>
      </c>
      <c r="K5" s="19">
        <f>SUM(I5*J5)</f>
        <v>940</v>
      </c>
      <c r="L5" s="2">
        <v>270</v>
      </c>
      <c r="M5" s="7"/>
      <c r="N5" s="4">
        <f>SUM(L5*M5)</f>
        <v>0</v>
      </c>
      <c r="O5" s="14">
        <v>2800</v>
      </c>
      <c r="P5" s="7"/>
      <c r="Q5" s="19">
        <f>SUM(O5*P5)</f>
        <v>0</v>
      </c>
      <c r="R5" s="17">
        <v>1000</v>
      </c>
      <c r="S5" s="7">
        <v>2</v>
      </c>
      <c r="T5" s="18">
        <f t="shared" ref="T5:T11" si="0">SUM(S5*R5)</f>
        <v>2000</v>
      </c>
      <c r="U5" s="14">
        <f>SUM(E5+H5+K5+N5+Q5+T5)</f>
        <v>132330</v>
      </c>
    </row>
    <row r="6" spans="1:21" ht="20.100000000000001" customHeight="1" x14ac:dyDescent="0.15">
      <c r="A6" s="1">
        <v>2</v>
      </c>
      <c r="B6" s="1" t="s">
        <v>7</v>
      </c>
      <c r="C6" s="14">
        <v>5890</v>
      </c>
      <c r="D6" s="7">
        <v>22</v>
      </c>
      <c r="E6" s="18">
        <f>SUM(C6*D6)</f>
        <v>129580</v>
      </c>
      <c r="F6" s="2">
        <v>300</v>
      </c>
      <c r="G6" s="7">
        <v>2</v>
      </c>
      <c r="H6" s="18">
        <f t="shared" ref="H6:H13" si="1">SUM(F6*G6)</f>
        <v>600</v>
      </c>
      <c r="I6" s="2">
        <v>940</v>
      </c>
      <c r="J6" s="8"/>
      <c r="K6" s="19">
        <f t="shared" ref="K6:K13" si="2">SUM(I6*J6)</f>
        <v>0</v>
      </c>
      <c r="L6" s="2">
        <v>270</v>
      </c>
      <c r="M6" s="8"/>
      <c r="N6" s="4">
        <f t="shared" ref="N6:N22" si="3">SUM(L6*M6)</f>
        <v>0</v>
      </c>
      <c r="O6" s="14">
        <v>2800</v>
      </c>
      <c r="P6" s="8"/>
      <c r="Q6" s="19">
        <f t="shared" ref="Q6:Q13" si="4">SUM(O6*P6)</f>
        <v>0</v>
      </c>
      <c r="R6" s="15">
        <v>1000</v>
      </c>
      <c r="S6" s="8"/>
      <c r="T6" s="18">
        <f t="shared" si="0"/>
        <v>0</v>
      </c>
      <c r="U6" s="14">
        <f t="shared" ref="U6:U22" si="5">SUM(E6+H6+K6+N6+Q6+T6)</f>
        <v>130180</v>
      </c>
    </row>
    <row r="7" spans="1:21" ht="20.100000000000001" customHeight="1" x14ac:dyDescent="0.15">
      <c r="A7" s="1">
        <v>3</v>
      </c>
      <c r="B7" s="1" t="s">
        <v>8</v>
      </c>
      <c r="C7" s="14">
        <v>5890</v>
      </c>
      <c r="D7" s="7">
        <v>22</v>
      </c>
      <c r="E7" s="18">
        <f t="shared" ref="E7:E13" si="6">SUM(C7*D7)</f>
        <v>129580</v>
      </c>
      <c r="F7" s="2">
        <v>300</v>
      </c>
      <c r="G7" s="7">
        <v>17</v>
      </c>
      <c r="H7" s="18">
        <f t="shared" si="1"/>
        <v>5100</v>
      </c>
      <c r="I7" s="2">
        <v>940</v>
      </c>
      <c r="J7" s="8"/>
      <c r="K7" s="19">
        <f t="shared" si="2"/>
        <v>0</v>
      </c>
      <c r="L7" s="2">
        <v>270</v>
      </c>
      <c r="M7" s="8"/>
      <c r="N7" s="4">
        <f t="shared" si="3"/>
        <v>0</v>
      </c>
      <c r="O7" s="14">
        <v>2800</v>
      </c>
      <c r="P7" s="8"/>
      <c r="Q7" s="19">
        <f t="shared" si="4"/>
        <v>0</v>
      </c>
      <c r="R7" s="15">
        <v>1000</v>
      </c>
      <c r="S7" s="8">
        <v>2</v>
      </c>
      <c r="T7" s="18">
        <f t="shared" si="0"/>
        <v>2000</v>
      </c>
      <c r="U7" s="14">
        <f t="shared" si="5"/>
        <v>136680</v>
      </c>
    </row>
    <row r="8" spans="1:21" ht="20.100000000000001" customHeight="1" x14ac:dyDescent="0.15">
      <c r="A8" s="1">
        <v>4</v>
      </c>
      <c r="B8" s="1" t="s">
        <v>9</v>
      </c>
      <c r="C8" s="14">
        <v>5890</v>
      </c>
      <c r="D8" s="7">
        <v>19</v>
      </c>
      <c r="E8" s="18">
        <f t="shared" si="6"/>
        <v>111910</v>
      </c>
      <c r="F8" s="2">
        <v>300</v>
      </c>
      <c r="G8" s="7">
        <v>2</v>
      </c>
      <c r="H8" s="18">
        <f t="shared" si="1"/>
        <v>600</v>
      </c>
      <c r="I8" s="2">
        <v>940</v>
      </c>
      <c r="J8" s="8">
        <v>3</v>
      </c>
      <c r="K8" s="19">
        <f t="shared" si="2"/>
        <v>2820</v>
      </c>
      <c r="L8" s="2">
        <v>270</v>
      </c>
      <c r="M8" s="8"/>
      <c r="N8" s="4">
        <f t="shared" si="3"/>
        <v>0</v>
      </c>
      <c r="O8" s="14">
        <v>2800</v>
      </c>
      <c r="P8" s="8"/>
      <c r="Q8" s="19">
        <f t="shared" si="4"/>
        <v>0</v>
      </c>
      <c r="R8" s="15">
        <v>1000</v>
      </c>
      <c r="S8" s="8"/>
      <c r="T8" s="18">
        <f t="shared" si="0"/>
        <v>0</v>
      </c>
      <c r="U8" s="14">
        <f t="shared" si="5"/>
        <v>115330</v>
      </c>
    </row>
    <row r="9" spans="1:21" ht="20.100000000000001" customHeight="1" x14ac:dyDescent="0.15">
      <c r="A9" s="1">
        <v>5</v>
      </c>
      <c r="B9" s="1" t="s">
        <v>10</v>
      </c>
      <c r="C9" s="14">
        <v>5890</v>
      </c>
      <c r="D9" s="7">
        <v>22</v>
      </c>
      <c r="E9" s="18">
        <f t="shared" si="6"/>
        <v>129580</v>
      </c>
      <c r="F9" s="2">
        <v>300</v>
      </c>
      <c r="G9" s="7">
        <v>2</v>
      </c>
      <c r="H9" s="18">
        <f t="shared" si="1"/>
        <v>600</v>
      </c>
      <c r="I9" s="2">
        <v>940</v>
      </c>
      <c r="J9" s="8">
        <v>0</v>
      </c>
      <c r="K9" s="19">
        <f t="shared" si="2"/>
        <v>0</v>
      </c>
      <c r="L9" s="2">
        <v>270</v>
      </c>
      <c r="M9" s="8"/>
      <c r="N9" s="4">
        <f t="shared" si="3"/>
        <v>0</v>
      </c>
      <c r="O9" s="14">
        <v>2800</v>
      </c>
      <c r="P9" s="8"/>
      <c r="Q9" s="19">
        <f t="shared" si="4"/>
        <v>0</v>
      </c>
      <c r="R9" s="15">
        <v>1000</v>
      </c>
      <c r="S9" s="8">
        <v>2</v>
      </c>
      <c r="T9" s="18">
        <f t="shared" si="0"/>
        <v>2000</v>
      </c>
      <c r="U9" s="14">
        <f t="shared" si="5"/>
        <v>132180</v>
      </c>
    </row>
    <row r="10" spans="1:21" ht="20.100000000000001" customHeight="1" x14ac:dyDescent="0.15">
      <c r="A10" s="1">
        <v>6</v>
      </c>
      <c r="B10" s="1" t="s">
        <v>11</v>
      </c>
      <c r="C10" s="14">
        <v>5890</v>
      </c>
      <c r="D10" s="7">
        <v>22</v>
      </c>
      <c r="E10" s="18">
        <f t="shared" si="6"/>
        <v>129580</v>
      </c>
      <c r="F10" s="2">
        <v>300</v>
      </c>
      <c r="G10" s="7">
        <v>17</v>
      </c>
      <c r="H10" s="18">
        <f t="shared" si="1"/>
        <v>5100</v>
      </c>
      <c r="I10" s="2">
        <v>940</v>
      </c>
      <c r="J10" s="8"/>
      <c r="K10" s="19">
        <f t="shared" si="2"/>
        <v>0</v>
      </c>
      <c r="L10" s="2">
        <v>270</v>
      </c>
      <c r="M10" s="8"/>
      <c r="N10" s="4">
        <f t="shared" si="3"/>
        <v>0</v>
      </c>
      <c r="O10" s="14">
        <v>2800</v>
      </c>
      <c r="P10" s="8"/>
      <c r="Q10" s="19">
        <f t="shared" si="4"/>
        <v>0</v>
      </c>
      <c r="R10" s="15">
        <v>1000</v>
      </c>
      <c r="S10" s="8">
        <v>2</v>
      </c>
      <c r="T10" s="18">
        <f t="shared" si="0"/>
        <v>2000</v>
      </c>
      <c r="U10" s="14">
        <f t="shared" si="5"/>
        <v>136680</v>
      </c>
    </row>
    <row r="11" spans="1:21" ht="20.100000000000001" customHeight="1" x14ac:dyDescent="0.15">
      <c r="A11" s="1">
        <v>7</v>
      </c>
      <c r="B11" s="1" t="s">
        <v>12</v>
      </c>
      <c r="C11" s="14">
        <v>5890</v>
      </c>
      <c r="D11" s="7">
        <v>17</v>
      </c>
      <c r="E11" s="18">
        <f t="shared" si="6"/>
        <v>100130</v>
      </c>
      <c r="F11" s="2">
        <v>300</v>
      </c>
      <c r="G11" s="7">
        <v>2</v>
      </c>
      <c r="H11" s="18">
        <f t="shared" si="1"/>
        <v>600</v>
      </c>
      <c r="I11" s="2">
        <v>940</v>
      </c>
      <c r="J11" s="8">
        <v>1</v>
      </c>
      <c r="K11" s="19">
        <f t="shared" si="2"/>
        <v>940</v>
      </c>
      <c r="L11" s="2">
        <v>270</v>
      </c>
      <c r="M11" s="8"/>
      <c r="N11" s="4">
        <f t="shared" si="3"/>
        <v>0</v>
      </c>
      <c r="O11" s="14">
        <v>2800</v>
      </c>
      <c r="P11" s="8"/>
      <c r="Q11" s="19">
        <f t="shared" si="4"/>
        <v>0</v>
      </c>
      <c r="R11" s="15">
        <v>1000</v>
      </c>
      <c r="S11" s="8">
        <v>2</v>
      </c>
      <c r="T11" s="18">
        <f t="shared" si="0"/>
        <v>2000</v>
      </c>
      <c r="U11" s="14">
        <f t="shared" si="5"/>
        <v>103670</v>
      </c>
    </row>
    <row r="12" spans="1:21" ht="20.100000000000001" customHeight="1" x14ac:dyDescent="0.15">
      <c r="A12" s="1">
        <v>8</v>
      </c>
      <c r="B12" s="1" t="s">
        <v>13</v>
      </c>
      <c r="C12" s="14">
        <v>5890</v>
      </c>
      <c r="D12" s="7">
        <v>22</v>
      </c>
      <c r="E12" s="18">
        <f t="shared" si="6"/>
        <v>129580</v>
      </c>
      <c r="F12" s="2">
        <v>300</v>
      </c>
      <c r="G12" s="7">
        <v>14</v>
      </c>
      <c r="H12" s="18">
        <f t="shared" si="1"/>
        <v>4200</v>
      </c>
      <c r="I12" s="2">
        <v>940</v>
      </c>
      <c r="J12" s="8"/>
      <c r="K12" s="19">
        <f t="shared" si="2"/>
        <v>0</v>
      </c>
      <c r="L12" s="2">
        <v>270</v>
      </c>
      <c r="M12" s="8"/>
      <c r="N12" s="4">
        <f t="shared" si="3"/>
        <v>0</v>
      </c>
      <c r="O12" s="14">
        <v>2800</v>
      </c>
      <c r="P12" s="8"/>
      <c r="Q12" s="19">
        <f t="shared" si="4"/>
        <v>0</v>
      </c>
      <c r="R12" s="15">
        <v>1000</v>
      </c>
      <c r="S12" s="8">
        <v>2</v>
      </c>
      <c r="T12" s="18">
        <f>SUM(S12*R12)</f>
        <v>2000</v>
      </c>
      <c r="U12" s="14">
        <f t="shared" si="5"/>
        <v>135780</v>
      </c>
    </row>
    <row r="13" spans="1:21" ht="20.100000000000001" customHeight="1" x14ac:dyDescent="0.15">
      <c r="A13" s="1">
        <v>9</v>
      </c>
      <c r="B13" s="2" t="s">
        <v>19</v>
      </c>
      <c r="C13" s="14">
        <v>5890</v>
      </c>
      <c r="D13" s="7">
        <v>21</v>
      </c>
      <c r="E13" s="18">
        <f t="shared" si="6"/>
        <v>123690</v>
      </c>
      <c r="F13" s="2">
        <v>300</v>
      </c>
      <c r="G13" s="7">
        <v>20</v>
      </c>
      <c r="H13" s="18">
        <f t="shared" si="1"/>
        <v>6000</v>
      </c>
      <c r="I13" s="2">
        <v>940</v>
      </c>
      <c r="J13" s="8">
        <v>1</v>
      </c>
      <c r="K13" s="19">
        <f t="shared" si="2"/>
        <v>940</v>
      </c>
      <c r="L13" s="2">
        <v>270</v>
      </c>
      <c r="M13" s="8"/>
      <c r="N13" s="4">
        <f t="shared" si="3"/>
        <v>0</v>
      </c>
      <c r="O13" s="14">
        <v>2800</v>
      </c>
      <c r="P13" s="8"/>
      <c r="Q13" s="19">
        <f t="shared" si="4"/>
        <v>0</v>
      </c>
      <c r="R13" s="15">
        <v>1000</v>
      </c>
      <c r="S13" s="8">
        <v>1</v>
      </c>
      <c r="T13" s="18">
        <f t="shared" ref="T13:T22" si="7">SUM(S13*R13)</f>
        <v>1000</v>
      </c>
      <c r="U13" s="14">
        <f t="shared" si="5"/>
        <v>131630</v>
      </c>
    </row>
    <row r="14" spans="1:21" ht="20.100000000000001" customHeight="1" x14ac:dyDescent="0.15">
      <c r="A14" s="1">
        <v>10</v>
      </c>
      <c r="B14" s="2" t="s">
        <v>20</v>
      </c>
      <c r="C14" s="14">
        <v>5890</v>
      </c>
      <c r="D14" s="7">
        <v>19</v>
      </c>
      <c r="E14" s="18">
        <f>SUM(C14*D14)</f>
        <v>111910</v>
      </c>
      <c r="F14" s="2">
        <v>300</v>
      </c>
      <c r="G14" s="7">
        <v>18</v>
      </c>
      <c r="H14" s="18">
        <f>SUM(F14*G14)</f>
        <v>5400</v>
      </c>
      <c r="I14" s="2">
        <v>940</v>
      </c>
      <c r="J14" s="7"/>
      <c r="K14" s="19">
        <f>SUM(I14*J14)</f>
        <v>0</v>
      </c>
      <c r="L14" s="2">
        <v>270</v>
      </c>
      <c r="M14" s="7"/>
      <c r="N14" s="4">
        <f t="shared" si="3"/>
        <v>0</v>
      </c>
      <c r="O14" s="14">
        <v>2800</v>
      </c>
      <c r="P14" s="7"/>
      <c r="Q14" s="19">
        <f>SUM(O14*P14)</f>
        <v>0</v>
      </c>
      <c r="R14" s="14">
        <v>1000</v>
      </c>
      <c r="S14" s="7"/>
      <c r="T14" s="18">
        <f t="shared" si="7"/>
        <v>0</v>
      </c>
      <c r="U14" s="14">
        <f t="shared" si="5"/>
        <v>117310</v>
      </c>
    </row>
    <row r="15" spans="1:21" ht="20.100000000000001" customHeight="1" x14ac:dyDescent="0.15">
      <c r="A15" s="1">
        <v>11</v>
      </c>
      <c r="B15" s="1" t="s">
        <v>21</v>
      </c>
      <c r="C15" s="14">
        <v>5890</v>
      </c>
      <c r="D15" s="7">
        <v>3</v>
      </c>
      <c r="E15" s="18">
        <f>SUM(C15*D15)</f>
        <v>17670</v>
      </c>
      <c r="F15" s="2">
        <v>300</v>
      </c>
      <c r="G15" s="7">
        <v>3</v>
      </c>
      <c r="H15" s="18">
        <f t="shared" ref="H15:H22" si="8">SUM(F15*G15)</f>
        <v>900</v>
      </c>
      <c r="I15" s="2">
        <v>940</v>
      </c>
      <c r="J15" s="8">
        <v>4</v>
      </c>
      <c r="K15" s="19">
        <f t="shared" ref="K15:K22" si="9">SUM(I15*J15)</f>
        <v>3760</v>
      </c>
      <c r="L15" s="2">
        <v>270</v>
      </c>
      <c r="M15" s="8"/>
      <c r="N15" s="4">
        <f t="shared" si="3"/>
        <v>0</v>
      </c>
      <c r="O15" s="14">
        <v>2800</v>
      </c>
      <c r="P15" s="8">
        <v>1</v>
      </c>
      <c r="Q15" s="19">
        <f t="shared" ref="Q15:Q22" si="10">SUM(O15*P15)</f>
        <v>2800</v>
      </c>
      <c r="R15" s="15">
        <v>1000</v>
      </c>
      <c r="S15" s="8"/>
      <c r="T15" s="18">
        <f t="shared" si="7"/>
        <v>0</v>
      </c>
      <c r="U15" s="14">
        <f t="shared" si="5"/>
        <v>25130</v>
      </c>
    </row>
    <row r="16" spans="1:21" ht="20.100000000000001" customHeight="1" x14ac:dyDescent="0.15">
      <c r="A16" s="1">
        <v>12</v>
      </c>
      <c r="B16" s="1" t="s">
        <v>23</v>
      </c>
      <c r="C16" s="14">
        <v>5890</v>
      </c>
      <c r="D16" s="7">
        <v>4</v>
      </c>
      <c r="E16" s="18">
        <f t="shared" ref="E16:E22" si="11">SUM(C16*D16)</f>
        <v>23560</v>
      </c>
      <c r="F16" s="2">
        <v>300</v>
      </c>
      <c r="G16" s="7">
        <v>4</v>
      </c>
      <c r="H16" s="18">
        <f t="shared" si="8"/>
        <v>1200</v>
      </c>
      <c r="I16" s="2">
        <v>940</v>
      </c>
      <c r="J16" s="8">
        <v>1</v>
      </c>
      <c r="K16" s="19">
        <f t="shared" si="9"/>
        <v>940</v>
      </c>
      <c r="L16" s="2">
        <v>270</v>
      </c>
      <c r="M16" s="8"/>
      <c r="N16" s="4">
        <f t="shared" si="3"/>
        <v>0</v>
      </c>
      <c r="O16" s="14">
        <v>2800</v>
      </c>
      <c r="P16" s="8"/>
      <c r="Q16" s="19">
        <f t="shared" si="10"/>
        <v>0</v>
      </c>
      <c r="R16" s="15">
        <v>1000</v>
      </c>
      <c r="S16" s="8"/>
      <c r="T16" s="18">
        <f t="shared" si="7"/>
        <v>0</v>
      </c>
      <c r="U16" s="14">
        <f t="shared" si="5"/>
        <v>25700</v>
      </c>
    </row>
    <row r="17" spans="1:23" ht="20.100000000000001" customHeight="1" x14ac:dyDescent="0.15">
      <c r="A17" s="1">
        <v>13</v>
      </c>
      <c r="B17" s="1" t="s">
        <v>24</v>
      </c>
      <c r="C17" s="14">
        <v>5890</v>
      </c>
      <c r="D17" s="7">
        <v>4</v>
      </c>
      <c r="E17" s="18">
        <f t="shared" si="11"/>
        <v>23560</v>
      </c>
      <c r="F17" s="2">
        <v>300</v>
      </c>
      <c r="G17" s="7">
        <v>4</v>
      </c>
      <c r="H17" s="18">
        <f t="shared" si="8"/>
        <v>1200</v>
      </c>
      <c r="I17" s="2">
        <v>940</v>
      </c>
      <c r="J17" s="8">
        <v>1</v>
      </c>
      <c r="K17" s="19">
        <f t="shared" si="9"/>
        <v>940</v>
      </c>
      <c r="L17" s="2">
        <v>270</v>
      </c>
      <c r="M17" s="8"/>
      <c r="N17" s="4">
        <f t="shared" si="3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7"/>
        <v>0</v>
      </c>
      <c r="U17" s="14">
        <f t="shared" si="5"/>
        <v>25700</v>
      </c>
    </row>
    <row r="18" spans="1:23" ht="20.100000000000001" customHeight="1" x14ac:dyDescent="0.15">
      <c r="A18" s="1">
        <v>14</v>
      </c>
      <c r="B18" s="1" t="s">
        <v>25</v>
      </c>
      <c r="C18" s="14">
        <v>5890</v>
      </c>
      <c r="D18" s="7">
        <v>21</v>
      </c>
      <c r="E18" s="18">
        <f t="shared" si="11"/>
        <v>123690</v>
      </c>
      <c r="F18" s="2">
        <v>300</v>
      </c>
      <c r="G18" s="7">
        <v>2</v>
      </c>
      <c r="H18" s="18">
        <f t="shared" si="8"/>
        <v>600</v>
      </c>
      <c r="I18" s="2">
        <v>940</v>
      </c>
      <c r="J18" s="8"/>
      <c r="K18" s="19">
        <f t="shared" si="9"/>
        <v>0</v>
      </c>
      <c r="L18" s="2">
        <v>270</v>
      </c>
      <c r="M18" s="8"/>
      <c r="N18" s="4">
        <f t="shared" si="3"/>
        <v>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7"/>
        <v>0</v>
      </c>
      <c r="U18" s="14">
        <f t="shared" si="5"/>
        <v>124290</v>
      </c>
    </row>
    <row r="19" spans="1:23" ht="20.100000000000001" customHeight="1" x14ac:dyDescent="0.15">
      <c r="A19" s="1">
        <v>15</v>
      </c>
      <c r="B19" s="1" t="s">
        <v>26</v>
      </c>
      <c r="C19" s="14">
        <v>5890</v>
      </c>
      <c r="D19" s="7"/>
      <c r="E19" s="18">
        <f t="shared" si="11"/>
        <v>0</v>
      </c>
      <c r="F19" s="2">
        <v>300</v>
      </c>
      <c r="G19" s="7"/>
      <c r="H19" s="18">
        <f t="shared" si="8"/>
        <v>0</v>
      </c>
      <c r="I19" s="2">
        <v>940</v>
      </c>
      <c r="J19" s="8"/>
      <c r="K19" s="19">
        <f t="shared" si="9"/>
        <v>0</v>
      </c>
      <c r="L19" s="2">
        <v>270</v>
      </c>
      <c r="M19" s="8"/>
      <c r="N19" s="4">
        <f t="shared" si="3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7"/>
        <v>0</v>
      </c>
      <c r="U19" s="14">
        <f t="shared" si="5"/>
        <v>0</v>
      </c>
    </row>
    <row r="20" spans="1:23" ht="20.100000000000001" customHeight="1" x14ac:dyDescent="0.15">
      <c r="A20" s="1">
        <v>16</v>
      </c>
      <c r="B20" s="1" t="s">
        <v>27</v>
      </c>
      <c r="C20" s="14">
        <v>5890</v>
      </c>
      <c r="D20" s="7"/>
      <c r="E20" s="18">
        <f t="shared" si="11"/>
        <v>0</v>
      </c>
      <c r="F20" s="2">
        <v>300</v>
      </c>
      <c r="G20" s="7"/>
      <c r="H20" s="18">
        <f t="shared" si="8"/>
        <v>0</v>
      </c>
      <c r="I20" s="2">
        <v>940</v>
      </c>
      <c r="J20" s="8"/>
      <c r="K20" s="19">
        <f t="shared" si="9"/>
        <v>0</v>
      </c>
      <c r="L20" s="2">
        <v>270</v>
      </c>
      <c r="M20" s="8"/>
      <c r="N20" s="4">
        <f t="shared" si="3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7"/>
        <v>0</v>
      </c>
      <c r="U20" s="14">
        <f t="shared" si="5"/>
        <v>0</v>
      </c>
    </row>
    <row r="21" spans="1:23" ht="20.100000000000001" customHeight="1" x14ac:dyDescent="0.15">
      <c r="A21" s="1">
        <v>17</v>
      </c>
      <c r="B21" s="1"/>
      <c r="C21" s="14">
        <v>5890</v>
      </c>
      <c r="D21" s="7"/>
      <c r="E21" s="18">
        <f t="shared" si="11"/>
        <v>0</v>
      </c>
      <c r="F21" s="2">
        <v>300</v>
      </c>
      <c r="G21" s="7"/>
      <c r="H21" s="18">
        <f t="shared" si="8"/>
        <v>0</v>
      </c>
      <c r="I21" s="2">
        <v>940</v>
      </c>
      <c r="J21" s="8"/>
      <c r="K21" s="19">
        <f t="shared" si="9"/>
        <v>0</v>
      </c>
      <c r="L21" s="2">
        <v>270</v>
      </c>
      <c r="M21" s="8"/>
      <c r="N21" s="4">
        <f t="shared" si="3"/>
        <v>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7"/>
        <v>0</v>
      </c>
      <c r="U21" s="14">
        <f t="shared" si="5"/>
        <v>0</v>
      </c>
    </row>
    <row r="22" spans="1:23" ht="20.100000000000001" customHeight="1" x14ac:dyDescent="0.15">
      <c r="A22" s="1">
        <v>18</v>
      </c>
      <c r="B22" s="1"/>
      <c r="C22" s="14">
        <v>5890</v>
      </c>
      <c r="D22" s="7"/>
      <c r="E22" s="18">
        <f t="shared" si="11"/>
        <v>0</v>
      </c>
      <c r="F22" s="2">
        <v>300</v>
      </c>
      <c r="G22" s="7"/>
      <c r="H22" s="18">
        <f t="shared" si="8"/>
        <v>0</v>
      </c>
      <c r="I22" s="2">
        <v>940</v>
      </c>
      <c r="J22" s="8"/>
      <c r="K22" s="19">
        <f t="shared" si="9"/>
        <v>0</v>
      </c>
      <c r="L22" s="2">
        <v>270</v>
      </c>
      <c r="M22" s="8"/>
      <c r="N22" s="4">
        <f t="shared" si="3"/>
        <v>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7"/>
        <v>0</v>
      </c>
      <c r="U22" s="14">
        <f t="shared" si="5"/>
        <v>0</v>
      </c>
    </row>
    <row r="23" spans="1:23" x14ac:dyDescent="0.15">
      <c r="A23" s="1"/>
      <c r="B23" s="1"/>
      <c r="C23" s="1"/>
      <c r="D23" s="1"/>
      <c r="E23" s="15">
        <f>SUM(E5:E22)</f>
        <v>1407710</v>
      </c>
      <c r="F23" s="15"/>
      <c r="G23" s="15"/>
      <c r="H23" s="15">
        <f>SUM(H5:H22)</f>
        <v>37800</v>
      </c>
      <c r="I23" s="15"/>
      <c r="J23" s="15"/>
      <c r="K23" s="15">
        <f>SUM(K5:K22)</f>
        <v>11280</v>
      </c>
      <c r="L23" s="15"/>
      <c r="M23" s="15"/>
      <c r="N23" s="15">
        <f>SUM(N5:N22)</f>
        <v>0</v>
      </c>
      <c r="O23" s="15"/>
      <c r="P23" s="1"/>
      <c r="Q23" s="15">
        <f>SUM(Q5:Q22)</f>
        <v>2800</v>
      </c>
      <c r="R23" s="1"/>
      <c r="S23" s="1"/>
      <c r="T23" s="15">
        <f>SUM(T5:T22)</f>
        <v>13000</v>
      </c>
      <c r="U23" s="15">
        <f>SUM(U5:U22)</f>
        <v>1472590</v>
      </c>
    </row>
    <row r="25" spans="1:23" ht="13.5" customHeight="1" x14ac:dyDescent="0.15">
      <c r="N25" s="11"/>
      <c r="O25" s="11"/>
      <c r="P25" s="11"/>
      <c r="Q25" s="11"/>
      <c r="R25" s="11"/>
      <c r="S25" s="11"/>
      <c r="T25" s="11"/>
      <c r="U25" s="9"/>
    </row>
    <row r="26" spans="1:23" ht="13.5" customHeight="1" x14ac:dyDescent="0.15">
      <c r="N26" s="9"/>
      <c r="O26" s="9"/>
      <c r="P26" s="9"/>
      <c r="Q26" s="9"/>
      <c r="R26" s="56">
        <f>U23</f>
        <v>1472590</v>
      </c>
      <c r="S26" s="56"/>
      <c r="T26" s="56"/>
      <c r="U26" s="56"/>
      <c r="V26" s="9"/>
      <c r="W26" s="9"/>
    </row>
    <row r="27" spans="1:23" ht="13.5" customHeight="1" x14ac:dyDescent="0.15">
      <c r="N27" s="11"/>
      <c r="O27" s="11"/>
      <c r="P27" s="11"/>
      <c r="Q27" s="11"/>
      <c r="R27" s="56"/>
      <c r="S27" s="56"/>
      <c r="T27" s="56"/>
      <c r="U27" s="56"/>
      <c r="V27" s="10"/>
      <c r="W27" s="9"/>
    </row>
    <row r="28" spans="1:23" ht="13.5" customHeight="1" x14ac:dyDescent="0.15">
      <c r="R28" s="56"/>
      <c r="S28" s="56"/>
      <c r="T28" s="56"/>
      <c r="U28" s="56"/>
      <c r="V28" s="10"/>
      <c r="W28" s="9"/>
    </row>
    <row r="29" spans="1:23" ht="13.5" customHeight="1" x14ac:dyDescent="0.15">
      <c r="R29" s="9"/>
      <c r="S29" s="10"/>
      <c r="T29" s="10"/>
      <c r="U29" s="10"/>
      <c r="V29" s="10"/>
      <c r="W29" s="9"/>
    </row>
    <row r="30" spans="1:23" x14ac:dyDescent="0.15">
      <c r="R30" s="9"/>
      <c r="S30" s="9"/>
      <c r="T30" s="9"/>
      <c r="U30" s="9"/>
      <c r="V30" s="9"/>
      <c r="W30" s="9"/>
    </row>
  </sheetData>
  <mergeCells count="9">
    <mergeCell ref="U3:U4"/>
    <mergeCell ref="R26:U28"/>
    <mergeCell ref="O3:Q3"/>
    <mergeCell ref="A2:B3"/>
    <mergeCell ref="C3:E3"/>
    <mergeCell ref="F3:H3"/>
    <mergeCell ref="I3:K3"/>
    <mergeCell ref="L3:N3"/>
    <mergeCell ref="R3:T3"/>
  </mergeCells>
  <phoneticPr fontId="2"/>
  <pageMargins left="0.51181102362204722" right="0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E20" sqref="E20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7" t="s">
        <v>43</v>
      </c>
      <c r="B2" s="58"/>
    </row>
    <row r="3" spans="1:21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42</v>
      </c>
      <c r="M3" s="52"/>
      <c r="N3" s="53"/>
      <c r="O3" s="51" t="s">
        <v>22</v>
      </c>
      <c r="P3" s="52"/>
      <c r="Q3" s="53"/>
      <c r="R3" s="51" t="s">
        <v>4</v>
      </c>
      <c r="S3" s="52"/>
      <c r="T3" s="53"/>
      <c r="U3" s="5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55"/>
    </row>
    <row r="5" spans="1:21" ht="14.25" thickTop="1" x14ac:dyDescent="0.15">
      <c r="A5" s="2"/>
      <c r="B5" s="65" t="s">
        <v>29</v>
      </c>
      <c r="C5" s="63">
        <v>5190</v>
      </c>
      <c r="D5" s="69">
        <v>17</v>
      </c>
      <c r="E5" s="67">
        <f>SUM(C5*D5)</f>
        <v>88230</v>
      </c>
      <c r="F5" s="65">
        <v>300</v>
      </c>
      <c r="G5" s="69"/>
      <c r="H5" s="73">
        <f>SUM(F5*G5)</f>
        <v>0</v>
      </c>
      <c r="I5" s="65">
        <v>940</v>
      </c>
      <c r="J5" s="69">
        <v>4</v>
      </c>
      <c r="K5" s="71">
        <f>SUM(I5*J5)</f>
        <v>3760</v>
      </c>
      <c r="L5" s="6">
        <v>290</v>
      </c>
      <c r="M5" s="24">
        <v>7</v>
      </c>
      <c r="N5" s="25">
        <f>SUM(L5*M5)</f>
        <v>2030</v>
      </c>
      <c r="O5" s="63">
        <v>2800</v>
      </c>
      <c r="P5" s="65"/>
      <c r="Q5" s="61">
        <f>SUM(O5*P6)</f>
        <v>0</v>
      </c>
      <c r="R5" s="63">
        <v>1000</v>
      </c>
      <c r="S5" s="65"/>
      <c r="T5" s="67">
        <f>SUM(S6*R5)</f>
        <v>0</v>
      </c>
      <c r="U5" s="23"/>
    </row>
    <row r="6" spans="1:21" ht="20.100000000000001" customHeight="1" x14ac:dyDescent="0.15">
      <c r="A6" s="1">
        <v>1</v>
      </c>
      <c r="B6" s="66"/>
      <c r="C6" s="64"/>
      <c r="D6" s="70"/>
      <c r="E6" s="68"/>
      <c r="F6" s="66"/>
      <c r="G6" s="70"/>
      <c r="H6" s="74"/>
      <c r="I6" s="66"/>
      <c r="J6" s="70"/>
      <c r="K6" s="72"/>
      <c r="L6" s="2">
        <v>350</v>
      </c>
      <c r="M6" s="20">
        <v>9</v>
      </c>
      <c r="N6" s="22">
        <f>SUM(L6*M6)</f>
        <v>3150</v>
      </c>
      <c r="O6" s="64"/>
      <c r="P6" s="66"/>
      <c r="Q6" s="62"/>
      <c r="R6" s="64"/>
      <c r="S6" s="66"/>
      <c r="T6" s="68"/>
      <c r="U6" s="14">
        <f>SUM(E5+H5+K5+Q5+T5)</f>
        <v>91990</v>
      </c>
    </row>
    <row r="7" spans="1:21" ht="20.100000000000001" customHeight="1" x14ac:dyDescent="0.15">
      <c r="A7" s="1">
        <v>2</v>
      </c>
      <c r="B7" s="1" t="s">
        <v>30</v>
      </c>
      <c r="C7" s="14">
        <v>5840</v>
      </c>
      <c r="D7" s="7">
        <v>16</v>
      </c>
      <c r="E7" s="18">
        <f>SUM(C7*D7)</f>
        <v>93440</v>
      </c>
      <c r="F7" s="2">
        <v>300</v>
      </c>
      <c r="G7" s="7"/>
      <c r="H7" s="18">
        <f t="shared" ref="H7:H14" si="0">SUM(F7*G7)</f>
        <v>0</v>
      </c>
      <c r="I7" s="2">
        <v>940</v>
      </c>
      <c r="J7" s="8">
        <v>4</v>
      </c>
      <c r="K7" s="19">
        <f t="shared" ref="K7:K14" si="1">SUM(I7*J7)</f>
        <v>3760</v>
      </c>
      <c r="L7" s="2">
        <v>350</v>
      </c>
      <c r="M7" s="21">
        <v>15</v>
      </c>
      <c r="N7" s="22">
        <f t="shared" ref="N7:N23" si="2">SUM(L7*M7)</f>
        <v>5250</v>
      </c>
      <c r="O7" s="14">
        <v>2800</v>
      </c>
      <c r="P7" s="8"/>
      <c r="Q7" s="19">
        <f t="shared" ref="Q7:Q14" si="3">SUM(O7*P7)</f>
        <v>0</v>
      </c>
      <c r="R7" s="15">
        <v>1000</v>
      </c>
      <c r="S7" s="8"/>
      <c r="T7" s="18">
        <f t="shared" ref="T7:T12" si="4">SUM(S7*R7)</f>
        <v>0</v>
      </c>
      <c r="U7" s="14">
        <f t="shared" ref="U7:U23" si="5">SUM(E7+H7+K7+Q7+T7)</f>
        <v>97200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/>
      <c r="E8" s="18">
        <f t="shared" ref="E8:E14" si="6">SUM(C8*D8)</f>
        <v>0</v>
      </c>
      <c r="F8" s="2">
        <v>300</v>
      </c>
      <c r="G8" s="7"/>
      <c r="H8" s="18">
        <f t="shared" si="0"/>
        <v>0</v>
      </c>
      <c r="I8" s="2">
        <v>940</v>
      </c>
      <c r="J8" s="8"/>
      <c r="K8" s="19">
        <f t="shared" si="1"/>
        <v>0</v>
      </c>
      <c r="L8" s="2">
        <v>350</v>
      </c>
      <c r="M8" s="21"/>
      <c r="N8" s="22">
        <f t="shared" si="2"/>
        <v>0</v>
      </c>
      <c r="O8" s="14">
        <v>2800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0</v>
      </c>
    </row>
    <row r="9" spans="1:21" ht="20.100000000000001" customHeight="1" x14ac:dyDescent="0.15">
      <c r="A9" s="1">
        <v>4</v>
      </c>
      <c r="B9" s="1" t="s">
        <v>32</v>
      </c>
      <c r="C9" s="14">
        <v>5840</v>
      </c>
      <c r="D9" s="7">
        <v>22</v>
      </c>
      <c r="E9" s="18">
        <f t="shared" si="6"/>
        <v>128480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>
        <v>21</v>
      </c>
      <c r="N9" s="22">
        <f t="shared" si="2"/>
        <v>7350</v>
      </c>
      <c r="O9" s="14">
        <v>2800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5"/>
        <v>128480</v>
      </c>
    </row>
    <row r="10" spans="1:21" ht="20.100000000000001" customHeight="1" x14ac:dyDescent="0.15">
      <c r="A10" s="1">
        <v>5</v>
      </c>
      <c r="B10" s="1" t="s">
        <v>33</v>
      </c>
      <c r="C10" s="14">
        <v>5840</v>
      </c>
      <c r="D10" s="7">
        <v>22</v>
      </c>
      <c r="E10" s="18">
        <f t="shared" si="6"/>
        <v>128480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>
        <v>21</v>
      </c>
      <c r="N10" s="22">
        <f t="shared" si="2"/>
        <v>7350</v>
      </c>
      <c r="O10" s="14">
        <v>2800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128480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>
        <v>16</v>
      </c>
      <c r="E11" s="18">
        <f t="shared" si="6"/>
        <v>93440</v>
      </c>
      <c r="F11" s="2">
        <v>300</v>
      </c>
      <c r="G11" s="7"/>
      <c r="H11" s="18">
        <f t="shared" si="0"/>
        <v>0</v>
      </c>
      <c r="I11" s="2">
        <v>940</v>
      </c>
      <c r="J11" s="8">
        <v>4</v>
      </c>
      <c r="K11" s="19">
        <f t="shared" si="1"/>
        <v>3760</v>
      </c>
      <c r="L11" s="2">
        <v>350</v>
      </c>
      <c r="M11" s="21"/>
      <c r="N11" s="22">
        <f t="shared" si="2"/>
        <v>0</v>
      </c>
      <c r="O11" s="14">
        <v>2800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97200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22</v>
      </c>
      <c r="E12" s="18">
        <f t="shared" si="6"/>
        <v>128480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21</v>
      </c>
      <c r="N12" s="22">
        <f t="shared" si="2"/>
        <v>7350</v>
      </c>
      <c r="O12" s="14">
        <v>2800</v>
      </c>
      <c r="P12" s="8"/>
      <c r="Q12" s="19">
        <f t="shared" si="3"/>
        <v>0</v>
      </c>
      <c r="R12" s="15">
        <v>1000</v>
      </c>
      <c r="S12" s="8"/>
      <c r="T12" s="18">
        <f t="shared" si="4"/>
        <v>0</v>
      </c>
      <c r="U12" s="14">
        <f t="shared" si="5"/>
        <v>128480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21</v>
      </c>
      <c r="E13" s="18">
        <f t="shared" si="6"/>
        <v>122640</v>
      </c>
      <c r="F13" s="2">
        <v>300</v>
      </c>
      <c r="G13" s="7"/>
      <c r="H13" s="18">
        <f t="shared" si="0"/>
        <v>0</v>
      </c>
      <c r="I13" s="2">
        <v>940</v>
      </c>
      <c r="J13" s="8">
        <v>1</v>
      </c>
      <c r="K13" s="19">
        <f t="shared" si="1"/>
        <v>940</v>
      </c>
      <c r="L13" s="2">
        <v>350</v>
      </c>
      <c r="M13" s="21">
        <v>2</v>
      </c>
      <c r="N13" s="22">
        <f t="shared" si="2"/>
        <v>700</v>
      </c>
      <c r="O13" s="14">
        <v>2800</v>
      </c>
      <c r="P13" s="8"/>
      <c r="Q13" s="19">
        <f t="shared" si="3"/>
        <v>0</v>
      </c>
      <c r="R13" s="15">
        <v>1000</v>
      </c>
      <c r="S13" s="8"/>
      <c r="T13" s="18">
        <f>SUM(S13*R13)</f>
        <v>0</v>
      </c>
      <c r="U13" s="14">
        <f t="shared" si="5"/>
        <v>123580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19</v>
      </c>
      <c r="E14" s="18">
        <f t="shared" si="6"/>
        <v>110960</v>
      </c>
      <c r="F14" s="2">
        <v>300</v>
      </c>
      <c r="G14" s="7">
        <v>12</v>
      </c>
      <c r="H14" s="18">
        <f t="shared" si="0"/>
        <v>3600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18</v>
      </c>
      <c r="N14" s="22">
        <f t="shared" si="2"/>
        <v>6300</v>
      </c>
      <c r="O14" s="14">
        <v>2800</v>
      </c>
      <c r="P14" s="8"/>
      <c r="Q14" s="19">
        <f t="shared" si="3"/>
        <v>0</v>
      </c>
      <c r="R14" s="15">
        <v>1000</v>
      </c>
      <c r="S14" s="8"/>
      <c r="T14" s="18">
        <f t="shared" ref="T14:T23" si="7">SUM(S14*R14)</f>
        <v>0</v>
      </c>
      <c r="U14" s="14">
        <f t="shared" si="5"/>
        <v>117380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19</v>
      </c>
      <c r="E15" s="18">
        <f>SUM(C15*D15)</f>
        <v>110960</v>
      </c>
      <c r="F15" s="2">
        <v>300</v>
      </c>
      <c r="G15" s="7">
        <v>13</v>
      </c>
      <c r="H15" s="18">
        <f>SUM(F15*G15)</f>
        <v>3900</v>
      </c>
      <c r="I15" s="2">
        <v>940</v>
      </c>
      <c r="J15" s="7">
        <v>3</v>
      </c>
      <c r="K15" s="19">
        <f>SUM(I15*J15)</f>
        <v>2820</v>
      </c>
      <c r="L15" s="2">
        <v>350</v>
      </c>
      <c r="M15" s="20">
        <v>18</v>
      </c>
      <c r="N15" s="22">
        <f t="shared" si="2"/>
        <v>6300</v>
      </c>
      <c r="O15" s="14">
        <v>2800</v>
      </c>
      <c r="P15" s="7"/>
      <c r="Q15" s="19">
        <f>SUM(O15*P15)</f>
        <v>0</v>
      </c>
      <c r="R15" s="14">
        <v>1000</v>
      </c>
      <c r="S15" s="7"/>
      <c r="T15" s="18">
        <f t="shared" si="7"/>
        <v>0</v>
      </c>
      <c r="U15" s="14">
        <f t="shared" si="5"/>
        <v>117680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>
        <v>1</v>
      </c>
      <c r="E16" s="18">
        <f>SUM(C16*D16)</f>
        <v>5840</v>
      </c>
      <c r="F16" s="2">
        <v>300</v>
      </c>
      <c r="G16" s="7">
        <v>1</v>
      </c>
      <c r="H16" s="18">
        <f t="shared" ref="H16:H23" si="8">SUM(F16*G16)</f>
        <v>300</v>
      </c>
      <c r="I16" s="2">
        <v>940</v>
      </c>
      <c r="J16" s="8">
        <v>4</v>
      </c>
      <c r="K16" s="19">
        <f t="shared" ref="K16:K23" si="9">SUM(I16*J16)</f>
        <v>3760</v>
      </c>
      <c r="L16" s="2">
        <v>350</v>
      </c>
      <c r="M16" s="21">
        <v>4</v>
      </c>
      <c r="N16" s="22">
        <f t="shared" si="2"/>
        <v>1400</v>
      </c>
      <c r="O16" s="14">
        <v>2800</v>
      </c>
      <c r="P16" s="8"/>
      <c r="Q16" s="19">
        <f t="shared" ref="Q16:Q23" si="10">SUM(O16*P16)</f>
        <v>0</v>
      </c>
      <c r="R16" s="15">
        <v>1000</v>
      </c>
      <c r="S16" s="8"/>
      <c r="T16" s="18">
        <f t="shared" si="7"/>
        <v>0</v>
      </c>
      <c r="U16" s="14">
        <f t="shared" si="5"/>
        <v>9900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7</v>
      </c>
      <c r="E17" s="18">
        <f t="shared" ref="E17:E20" si="11">SUM(C17*D17)</f>
        <v>40880</v>
      </c>
      <c r="F17" s="2">
        <v>300</v>
      </c>
      <c r="G17" s="7">
        <v>7</v>
      </c>
      <c r="H17" s="18">
        <f t="shared" si="8"/>
        <v>2100</v>
      </c>
      <c r="I17" s="2">
        <v>940</v>
      </c>
      <c r="J17" s="8">
        <v>1</v>
      </c>
      <c r="K17" s="19">
        <f t="shared" si="9"/>
        <v>940</v>
      </c>
      <c r="L17" s="2">
        <v>350</v>
      </c>
      <c r="M17" s="21"/>
      <c r="N17" s="22">
        <f t="shared" si="2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7"/>
        <v>0</v>
      </c>
      <c r="U17" s="14">
        <f t="shared" si="5"/>
        <v>43920</v>
      </c>
    </row>
    <row r="18" spans="1:23" ht="20.100000000000001" customHeight="1" x14ac:dyDescent="0.15">
      <c r="A18" s="1">
        <v>13</v>
      </c>
      <c r="B18" s="1"/>
      <c r="C18" s="14">
        <v>5840</v>
      </c>
      <c r="D18" s="7"/>
      <c r="E18" s="18">
        <f t="shared" si="11"/>
        <v>0</v>
      </c>
      <c r="F18" s="2">
        <v>300</v>
      </c>
      <c r="G18" s="7"/>
      <c r="H18" s="18">
        <f t="shared" si="8"/>
        <v>0</v>
      </c>
      <c r="I18" s="2">
        <v>940</v>
      </c>
      <c r="J18" s="8"/>
      <c r="K18" s="19">
        <f t="shared" si="9"/>
        <v>0</v>
      </c>
      <c r="L18" s="2">
        <v>350</v>
      </c>
      <c r="M18" s="21"/>
      <c r="N18" s="22">
        <f t="shared" si="2"/>
        <v>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7"/>
        <v>0</v>
      </c>
      <c r="U18" s="14">
        <f t="shared" si="5"/>
        <v>0</v>
      </c>
    </row>
    <row r="19" spans="1:23" ht="20.100000000000001" customHeight="1" x14ac:dyDescent="0.15">
      <c r="A19" s="1">
        <v>14</v>
      </c>
      <c r="B19" s="1"/>
      <c r="C19" s="14">
        <v>5840</v>
      </c>
      <c r="D19" s="7"/>
      <c r="E19" s="18">
        <f t="shared" si="11"/>
        <v>0</v>
      </c>
      <c r="F19" s="2">
        <v>300</v>
      </c>
      <c r="G19" s="7"/>
      <c r="H19" s="18">
        <f t="shared" si="8"/>
        <v>0</v>
      </c>
      <c r="I19" s="2">
        <v>940</v>
      </c>
      <c r="J19" s="8"/>
      <c r="K19" s="19">
        <f t="shared" si="9"/>
        <v>0</v>
      </c>
      <c r="L19" s="2">
        <v>350</v>
      </c>
      <c r="M19" s="21"/>
      <c r="N19" s="22">
        <f t="shared" si="2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7"/>
        <v>0</v>
      </c>
      <c r="U19" s="14">
        <f t="shared" si="5"/>
        <v>0</v>
      </c>
    </row>
    <row r="20" spans="1:23" ht="20.100000000000001" customHeight="1" x14ac:dyDescent="0.15">
      <c r="A20" s="1">
        <v>15</v>
      </c>
      <c r="B20" s="1"/>
      <c r="C20" s="14">
        <v>5840</v>
      </c>
      <c r="D20" s="7"/>
      <c r="E20" s="18">
        <f t="shared" si="11"/>
        <v>0</v>
      </c>
      <c r="F20" s="2">
        <v>300</v>
      </c>
      <c r="G20" s="7"/>
      <c r="H20" s="18">
        <f t="shared" si="8"/>
        <v>0</v>
      </c>
      <c r="I20" s="2">
        <v>940</v>
      </c>
      <c r="J20" s="8"/>
      <c r="K20" s="19">
        <f t="shared" si="9"/>
        <v>0</v>
      </c>
      <c r="L20" s="2">
        <v>350</v>
      </c>
      <c r="M20" s="21"/>
      <c r="N20" s="22">
        <f t="shared" si="2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7"/>
        <v>0</v>
      </c>
      <c r="U20" s="14">
        <f t="shared" si="5"/>
        <v>0</v>
      </c>
    </row>
    <row r="21" spans="1:23" ht="20.100000000000001" customHeight="1" x14ac:dyDescent="0.15">
      <c r="A21" s="1">
        <v>16</v>
      </c>
      <c r="B21" s="1" t="s">
        <v>40</v>
      </c>
      <c r="C21" s="14">
        <v>5840</v>
      </c>
      <c r="D21" s="7">
        <v>20</v>
      </c>
      <c r="E21" s="18">
        <v>0</v>
      </c>
      <c r="F21" s="2">
        <v>300</v>
      </c>
      <c r="G21" s="7"/>
      <c r="H21" s="18">
        <f t="shared" si="8"/>
        <v>0</v>
      </c>
      <c r="I21" s="2">
        <v>940</v>
      </c>
      <c r="J21" s="8"/>
      <c r="K21" s="19">
        <f t="shared" si="9"/>
        <v>0</v>
      </c>
      <c r="L21" s="2">
        <v>350</v>
      </c>
      <c r="M21" s="21">
        <v>19</v>
      </c>
      <c r="N21" s="22">
        <f t="shared" si="2"/>
        <v>6650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7"/>
        <v>0</v>
      </c>
      <c r="U21" s="14">
        <f t="shared" si="5"/>
        <v>0</v>
      </c>
    </row>
    <row r="22" spans="1:23" ht="20.100000000000001" customHeight="1" x14ac:dyDescent="0.15">
      <c r="A22" s="1">
        <v>17</v>
      </c>
      <c r="B22" s="1" t="s">
        <v>41</v>
      </c>
      <c r="C22" s="14">
        <v>5840</v>
      </c>
      <c r="D22" s="7">
        <v>3</v>
      </c>
      <c r="E22" s="18">
        <v>0</v>
      </c>
      <c r="F22" s="2">
        <v>300</v>
      </c>
      <c r="G22" s="7"/>
      <c r="H22" s="18">
        <f t="shared" si="8"/>
        <v>0</v>
      </c>
      <c r="I22" s="2">
        <v>940</v>
      </c>
      <c r="J22" s="8"/>
      <c r="K22" s="19">
        <f t="shared" si="9"/>
        <v>0</v>
      </c>
      <c r="L22" s="2">
        <v>350</v>
      </c>
      <c r="M22" s="21">
        <v>3</v>
      </c>
      <c r="N22" s="22">
        <f t="shared" si="2"/>
        <v>1050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7"/>
        <v>0</v>
      </c>
      <c r="U22" s="14">
        <f t="shared" si="5"/>
        <v>0</v>
      </c>
    </row>
    <row r="23" spans="1:23" ht="20.100000000000001" customHeight="1" x14ac:dyDescent="0.15">
      <c r="A23" s="1">
        <v>18</v>
      </c>
      <c r="B23" s="1" t="s">
        <v>44</v>
      </c>
      <c r="C23" s="14">
        <v>5840</v>
      </c>
      <c r="D23" s="7">
        <v>20</v>
      </c>
      <c r="E23" s="18">
        <v>0</v>
      </c>
      <c r="F23" s="2">
        <v>300</v>
      </c>
      <c r="G23" s="7"/>
      <c r="H23" s="18">
        <f t="shared" si="8"/>
        <v>0</v>
      </c>
      <c r="I23" s="2">
        <v>940</v>
      </c>
      <c r="J23" s="8"/>
      <c r="K23" s="19">
        <f t="shared" si="9"/>
        <v>0</v>
      </c>
      <c r="L23" s="2">
        <v>350</v>
      </c>
      <c r="M23" s="21">
        <v>19</v>
      </c>
      <c r="N23" s="22">
        <f t="shared" si="2"/>
        <v>6650</v>
      </c>
      <c r="O23" s="14">
        <v>2800</v>
      </c>
      <c r="P23" s="8"/>
      <c r="Q23" s="19">
        <f t="shared" si="10"/>
        <v>0</v>
      </c>
      <c r="R23" s="15">
        <v>1000</v>
      </c>
      <c r="S23" s="8"/>
      <c r="T23" s="18">
        <f t="shared" si="7"/>
        <v>0</v>
      </c>
      <c r="U23" s="14">
        <f t="shared" si="5"/>
        <v>0</v>
      </c>
    </row>
    <row r="24" spans="1:23" x14ac:dyDescent="0.15">
      <c r="A24" s="1"/>
      <c r="B24" s="1"/>
      <c r="C24" s="1"/>
      <c r="D24" s="1"/>
      <c r="E24" s="15">
        <f>SUM(E5:E23)</f>
        <v>1051830</v>
      </c>
      <c r="F24" s="15"/>
      <c r="G24" s="15"/>
      <c r="H24" s="15">
        <f>SUM(H5:H23)</f>
        <v>9900</v>
      </c>
      <c r="I24" s="15"/>
      <c r="J24" s="15"/>
      <c r="K24" s="15">
        <f>SUM(K5:K23)</f>
        <v>22560</v>
      </c>
      <c r="L24" s="15"/>
      <c r="M24" s="15"/>
      <c r="N24" s="15">
        <f>SUM(N5:N23)</f>
        <v>61530</v>
      </c>
      <c r="O24" s="15"/>
      <c r="P24" s="1"/>
      <c r="Q24" s="15">
        <f>SUM(Q5:Q23)</f>
        <v>0</v>
      </c>
      <c r="R24" s="1"/>
      <c r="S24" s="1"/>
      <c r="T24" s="15">
        <f>SUM(T5:T23)</f>
        <v>0</v>
      </c>
      <c r="U24" s="15">
        <f>SUM(U6:U23)</f>
        <v>1084290</v>
      </c>
    </row>
    <row r="26" spans="1:23" ht="13.5" customHeight="1" x14ac:dyDescent="0.15">
      <c r="B26" s="1" t="s">
        <v>45</v>
      </c>
      <c r="N26" s="11"/>
      <c r="O26" s="11"/>
      <c r="P26" s="11"/>
      <c r="Q26" s="11"/>
      <c r="R26" s="11"/>
      <c r="S26" s="11"/>
      <c r="T26" s="11"/>
      <c r="U26" s="9"/>
      <c r="V26" s="26"/>
      <c r="W26" s="26"/>
    </row>
    <row r="27" spans="1:23" ht="13.5" customHeight="1" x14ac:dyDescent="0.15">
      <c r="B27" s="1" t="s">
        <v>46</v>
      </c>
      <c r="C27" s="1">
        <v>350</v>
      </c>
      <c r="D27" s="1">
        <v>1</v>
      </c>
      <c r="E27" s="1">
        <v>350</v>
      </c>
      <c r="N27" s="9"/>
      <c r="O27" s="9"/>
      <c r="P27" s="9"/>
      <c r="Q27" s="9"/>
      <c r="R27" s="56">
        <f>U24</f>
        <v>1084290</v>
      </c>
      <c r="S27" s="56"/>
      <c r="T27" s="56"/>
      <c r="U27" s="56"/>
      <c r="V27" s="26"/>
      <c r="W27" s="26"/>
    </row>
    <row r="28" spans="1:23" ht="13.5" customHeight="1" x14ac:dyDescent="0.15">
      <c r="B28" s="28" t="s">
        <v>47</v>
      </c>
      <c r="C28" s="1">
        <v>350</v>
      </c>
      <c r="D28" s="1">
        <v>9</v>
      </c>
      <c r="E28" s="1">
        <v>3150</v>
      </c>
      <c r="N28" s="11"/>
      <c r="O28" s="11"/>
      <c r="P28" s="11"/>
      <c r="Q28" s="11"/>
      <c r="R28" s="56"/>
      <c r="S28" s="56"/>
      <c r="T28" s="56"/>
      <c r="U28" s="56"/>
      <c r="V28" s="27"/>
      <c r="W28" s="26"/>
    </row>
    <row r="29" spans="1:23" ht="13.5" customHeight="1" x14ac:dyDescent="0.15">
      <c r="R29" s="56"/>
      <c r="S29" s="56"/>
      <c r="T29" s="56"/>
      <c r="U29" s="56"/>
      <c r="V29" s="27"/>
      <c r="W29" s="26"/>
    </row>
    <row r="30" spans="1:23" ht="13.5" customHeight="1" x14ac:dyDescent="0.15">
      <c r="Q30" s="26"/>
      <c r="R30" s="26"/>
      <c r="S30" s="27"/>
      <c r="T30" s="27"/>
      <c r="U30" s="27"/>
      <c r="V30" s="27"/>
      <c r="W30" s="26"/>
    </row>
    <row r="31" spans="1:23" x14ac:dyDescent="0.15">
      <c r="Q31" s="26"/>
      <c r="R31" s="26"/>
      <c r="S31" s="26"/>
      <c r="T31" s="26"/>
      <c r="U31" s="26"/>
      <c r="V31" s="26"/>
      <c r="W31" s="26"/>
    </row>
    <row r="32" spans="1:23" x14ac:dyDescent="0.15">
      <c r="Q32" s="26"/>
      <c r="R32" s="26"/>
      <c r="S32" s="26"/>
      <c r="T32" s="26"/>
      <c r="U32" s="26"/>
      <c r="V32" s="26"/>
      <c r="W32" s="26"/>
    </row>
  </sheetData>
  <mergeCells count="25">
    <mergeCell ref="R3:T3"/>
    <mergeCell ref="U3:U4"/>
    <mergeCell ref="R27:U29"/>
    <mergeCell ref="A2:B3"/>
    <mergeCell ref="C3:E3"/>
    <mergeCell ref="F3:H3"/>
    <mergeCell ref="I3:K3"/>
    <mergeCell ref="L3:N3"/>
    <mergeCell ref="O3:Q3"/>
    <mergeCell ref="B5:B6"/>
    <mergeCell ref="C5:C6"/>
    <mergeCell ref="D5:D6"/>
    <mergeCell ref="E5:E6"/>
    <mergeCell ref="F5:F6"/>
    <mergeCell ref="G5:G6"/>
    <mergeCell ref="H5:H6"/>
    <mergeCell ref="Q5:Q6"/>
    <mergeCell ref="R5:R6"/>
    <mergeCell ref="S5:S6"/>
    <mergeCell ref="T5:T6"/>
    <mergeCell ref="I5:I6"/>
    <mergeCell ref="J5:J6"/>
    <mergeCell ref="K5:K6"/>
    <mergeCell ref="O5:O6"/>
    <mergeCell ref="P5:P6"/>
  </mergeCells>
  <phoneticPr fontId="2"/>
  <pageMargins left="0.51181102362204722" right="0" top="0.74803149606299213" bottom="0.74803149606299213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6"/>
  <sheetViews>
    <sheetView tabSelected="1" workbookViewId="0">
      <selection activeCell="X37" sqref="X37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17</v>
      </c>
    </row>
    <row r="2" spans="1:24" x14ac:dyDescent="0.15">
      <c r="A2" s="57" t="s">
        <v>49</v>
      </c>
      <c r="B2" s="58"/>
      <c r="C2" s="50"/>
    </row>
    <row r="3" spans="1:24" x14ac:dyDescent="0.15">
      <c r="A3" s="59"/>
      <c r="B3" s="60"/>
      <c r="C3" s="92"/>
      <c r="D3" s="51" t="s">
        <v>0</v>
      </c>
      <c r="E3" s="52"/>
      <c r="F3" s="53"/>
      <c r="G3" s="45"/>
      <c r="H3" s="45"/>
      <c r="I3" s="51" t="s">
        <v>1</v>
      </c>
      <c r="J3" s="52"/>
      <c r="K3" s="53"/>
      <c r="L3" s="51" t="s">
        <v>2</v>
      </c>
      <c r="M3" s="52"/>
      <c r="N3" s="53"/>
      <c r="O3" s="51" t="s">
        <v>42</v>
      </c>
      <c r="P3" s="52"/>
      <c r="Q3" s="53"/>
      <c r="R3" s="51" t="s">
        <v>22</v>
      </c>
      <c r="S3" s="52"/>
      <c r="T3" s="53"/>
      <c r="U3" s="51" t="s">
        <v>4</v>
      </c>
      <c r="V3" s="52"/>
      <c r="W3" s="53"/>
      <c r="X3" s="54" t="s">
        <v>15</v>
      </c>
    </row>
    <row r="4" spans="1:24" ht="14.25" thickBot="1" x14ac:dyDescent="0.2">
      <c r="A4" s="2"/>
      <c r="B4" s="12" t="s">
        <v>5</v>
      </c>
      <c r="C4" s="12"/>
      <c r="D4" s="3">
        <v>5890</v>
      </c>
      <c r="E4" s="13" t="s">
        <v>14</v>
      </c>
      <c r="F4" s="3"/>
      <c r="G4" s="3"/>
      <c r="H4" s="3"/>
      <c r="I4" s="3">
        <v>300</v>
      </c>
      <c r="J4" s="13" t="s">
        <v>14</v>
      </c>
      <c r="K4" s="3"/>
      <c r="L4" s="3">
        <v>940</v>
      </c>
      <c r="M4" s="13" t="s">
        <v>14</v>
      </c>
      <c r="N4" s="3"/>
      <c r="O4" s="3">
        <v>350</v>
      </c>
      <c r="P4" s="13" t="s">
        <v>14</v>
      </c>
      <c r="Q4" s="3"/>
      <c r="R4" s="16">
        <v>2800</v>
      </c>
      <c r="S4" s="3" t="s">
        <v>14</v>
      </c>
      <c r="T4" s="3"/>
      <c r="U4" s="16">
        <v>1000</v>
      </c>
      <c r="V4" s="13" t="s">
        <v>14</v>
      </c>
      <c r="W4" s="3"/>
      <c r="X4" s="55"/>
    </row>
    <row r="5" spans="1:24" ht="14.25" hidden="1" customHeight="1" thickTop="1" x14ac:dyDescent="0.15">
      <c r="A5" s="2"/>
      <c r="B5" s="93" t="s">
        <v>29</v>
      </c>
      <c r="C5" s="48"/>
      <c r="D5" s="90">
        <v>5840</v>
      </c>
      <c r="E5" s="69">
        <v>17</v>
      </c>
      <c r="F5" s="73">
        <f>SUM(D5*E5)</f>
        <v>99280</v>
      </c>
      <c r="G5" s="46"/>
      <c r="H5" s="46"/>
      <c r="I5" s="79">
        <v>300</v>
      </c>
      <c r="J5" s="69"/>
      <c r="K5" s="73">
        <f>SUM(I5*J5)</f>
        <v>0</v>
      </c>
      <c r="L5" s="79">
        <v>940</v>
      </c>
      <c r="M5" s="69">
        <v>4</v>
      </c>
      <c r="N5" s="71">
        <f>SUM(L5*M5)</f>
        <v>3760</v>
      </c>
      <c r="O5" s="6"/>
      <c r="P5" s="24"/>
      <c r="Q5" s="25"/>
      <c r="R5" s="63">
        <v>2800</v>
      </c>
      <c r="S5" s="85"/>
      <c r="T5" s="71">
        <f>SUM(R5*S6)</f>
        <v>0</v>
      </c>
      <c r="U5" s="63">
        <v>1000</v>
      </c>
      <c r="V5" s="85"/>
      <c r="W5" s="73">
        <f>SUM(V6*U5)</f>
        <v>0</v>
      </c>
      <c r="X5" s="23"/>
    </row>
    <row r="6" spans="1:24" ht="20.100000000000001" customHeight="1" thickTop="1" x14ac:dyDescent="0.15">
      <c r="A6" s="1">
        <v>1</v>
      </c>
      <c r="B6" s="94"/>
      <c r="C6" s="49" t="s">
        <v>83</v>
      </c>
      <c r="D6" s="91"/>
      <c r="E6" s="70"/>
      <c r="F6" s="74"/>
      <c r="G6" s="47">
        <f>E5*5840</f>
        <v>99280</v>
      </c>
      <c r="H6" s="47">
        <f>G6-F5</f>
        <v>0</v>
      </c>
      <c r="I6" s="80"/>
      <c r="J6" s="70"/>
      <c r="K6" s="74"/>
      <c r="L6" s="80"/>
      <c r="M6" s="70"/>
      <c r="N6" s="72"/>
      <c r="O6" s="2">
        <v>290</v>
      </c>
      <c r="P6" s="20">
        <v>15</v>
      </c>
      <c r="Q6" s="22">
        <f>SUM(O6*P6)</f>
        <v>4350</v>
      </c>
      <c r="R6" s="64"/>
      <c r="S6" s="86"/>
      <c r="T6" s="72"/>
      <c r="U6" s="64"/>
      <c r="V6" s="86"/>
      <c r="W6" s="74"/>
      <c r="X6" s="14">
        <f>SUM(F5+K5+N5+T5+W5)</f>
        <v>103040</v>
      </c>
    </row>
    <row r="7" spans="1:24" ht="20.100000000000001" customHeight="1" x14ac:dyDescent="0.15">
      <c r="A7" s="1">
        <v>2</v>
      </c>
      <c r="B7" s="1" t="s">
        <v>30</v>
      </c>
      <c r="C7" s="2" t="s">
        <v>83</v>
      </c>
      <c r="D7" s="89">
        <v>5840</v>
      </c>
      <c r="E7" s="7">
        <v>16</v>
      </c>
      <c r="F7" s="18">
        <f>SUM(D7*E7)</f>
        <v>93440</v>
      </c>
      <c r="G7" s="47">
        <f>E7*5840</f>
        <v>93440</v>
      </c>
      <c r="H7" s="47">
        <f>G7-F7</f>
        <v>0</v>
      </c>
      <c r="I7" s="2">
        <v>300</v>
      </c>
      <c r="J7" s="7"/>
      <c r="K7" s="18">
        <f t="shared" ref="K7" si="0">SUM(I7*J7)</f>
        <v>0</v>
      </c>
      <c r="L7" s="2">
        <v>940</v>
      </c>
      <c r="M7" s="8">
        <v>2</v>
      </c>
      <c r="N7" s="19">
        <f t="shared" ref="N7" si="1">SUM(L7*M7)</f>
        <v>1880</v>
      </c>
      <c r="O7" s="2">
        <v>350</v>
      </c>
      <c r="P7" s="21">
        <v>17</v>
      </c>
      <c r="Q7" s="22">
        <f t="shared" ref="Q7" si="2">SUM(O7*P7)</f>
        <v>5950</v>
      </c>
      <c r="R7" s="14">
        <v>2800</v>
      </c>
      <c r="S7" s="8"/>
      <c r="T7" s="19">
        <f t="shared" ref="T7" si="3">SUM(R7*S7)</f>
        <v>0</v>
      </c>
      <c r="U7" s="15">
        <v>1000</v>
      </c>
      <c r="V7" s="8"/>
      <c r="W7" s="18">
        <f t="shared" ref="W7" si="4">SUM(V7*U7)</f>
        <v>0</v>
      </c>
      <c r="X7" s="14">
        <f t="shared" ref="X7" si="5">SUM(F7+K7+N7+T7+W7)</f>
        <v>95320</v>
      </c>
    </row>
    <row r="8" spans="1:24" ht="20.100000000000001" hidden="1" customHeight="1" x14ac:dyDescent="0.15">
      <c r="A8" s="1">
        <v>3</v>
      </c>
      <c r="B8" s="1" t="s">
        <v>31</v>
      </c>
      <c r="C8" s="2"/>
      <c r="D8" s="14">
        <v>5840</v>
      </c>
      <c r="E8" s="7">
        <v>0</v>
      </c>
      <c r="F8" s="18">
        <f t="shared" ref="F8:F25" si="6">SUM(D8*E8)</f>
        <v>0</v>
      </c>
      <c r="G8" s="47">
        <f>E8*5840</f>
        <v>0</v>
      </c>
      <c r="H8" s="47">
        <f>G8-F8</f>
        <v>0</v>
      </c>
      <c r="I8" s="2">
        <v>300</v>
      </c>
      <c r="J8" s="7"/>
      <c r="K8" s="18">
        <f t="shared" ref="K8:K25" si="7">SUM(I8*J8)</f>
        <v>0</v>
      </c>
      <c r="L8" s="2">
        <v>940</v>
      </c>
      <c r="M8" s="8"/>
      <c r="N8" s="19">
        <f t="shared" ref="N8:N25" si="8">SUM(L8*M8)</f>
        <v>0</v>
      </c>
      <c r="O8" s="2">
        <v>350</v>
      </c>
      <c r="P8" s="21"/>
      <c r="Q8" s="22">
        <f t="shared" ref="Q8:Q25" si="9">SUM(O8*P8)</f>
        <v>0</v>
      </c>
      <c r="R8" s="14">
        <v>2800</v>
      </c>
      <c r="S8" s="8"/>
      <c r="T8" s="19">
        <f t="shared" ref="T8:T25" si="10">SUM(R8*S8)</f>
        <v>0</v>
      </c>
      <c r="U8" s="15">
        <v>1000</v>
      </c>
      <c r="V8" s="8"/>
      <c r="W8" s="18">
        <f t="shared" ref="W8:W25" si="11">SUM(V8*U8)</f>
        <v>0</v>
      </c>
      <c r="X8" s="14">
        <f t="shared" ref="X8:X25" si="12">SUM(F8+K8+N8+T8+W8)</f>
        <v>0</v>
      </c>
    </row>
    <row r="9" spans="1:24" ht="20.100000000000001" customHeight="1" x14ac:dyDescent="0.15">
      <c r="A9" s="1">
        <v>4</v>
      </c>
      <c r="B9" s="1" t="s">
        <v>32</v>
      </c>
      <c r="C9" s="2" t="s">
        <v>84</v>
      </c>
      <c r="D9" s="89">
        <v>5840</v>
      </c>
      <c r="E9" s="7">
        <v>22</v>
      </c>
      <c r="F9" s="18">
        <f t="shared" si="6"/>
        <v>128480</v>
      </c>
      <c r="G9" s="47">
        <f t="shared" ref="G9:G24" si="13">E9*5840</f>
        <v>128480</v>
      </c>
      <c r="H9" s="47">
        <f>G9-F9</f>
        <v>0</v>
      </c>
      <c r="I9" s="2">
        <v>300</v>
      </c>
      <c r="J9" s="7"/>
      <c r="K9" s="18">
        <f t="shared" si="7"/>
        <v>0</v>
      </c>
      <c r="L9" s="2">
        <v>940</v>
      </c>
      <c r="M9" s="8"/>
      <c r="N9" s="19">
        <f t="shared" si="8"/>
        <v>0</v>
      </c>
      <c r="O9" s="2">
        <v>350</v>
      </c>
      <c r="P9" s="21">
        <v>19</v>
      </c>
      <c r="Q9" s="22">
        <f t="shared" si="9"/>
        <v>6650</v>
      </c>
      <c r="R9" s="14">
        <v>2800</v>
      </c>
      <c r="S9" s="8"/>
      <c r="T9" s="19">
        <f t="shared" si="10"/>
        <v>0</v>
      </c>
      <c r="U9" s="15">
        <v>1000</v>
      </c>
      <c r="V9" s="8"/>
      <c r="W9" s="18">
        <f t="shared" si="11"/>
        <v>0</v>
      </c>
      <c r="X9" s="14">
        <f t="shared" si="12"/>
        <v>128480</v>
      </c>
    </row>
    <row r="10" spans="1:24" ht="20.100000000000001" customHeight="1" x14ac:dyDescent="0.15">
      <c r="A10" s="1">
        <v>5</v>
      </c>
      <c r="B10" s="1" t="s">
        <v>33</v>
      </c>
      <c r="C10" s="2" t="s">
        <v>84</v>
      </c>
      <c r="D10" s="89">
        <v>5840</v>
      </c>
      <c r="E10" s="7">
        <v>22</v>
      </c>
      <c r="F10" s="18">
        <f t="shared" si="6"/>
        <v>128480</v>
      </c>
      <c r="G10" s="47">
        <f t="shared" ref="G10:G24" si="14">E9*5840</f>
        <v>128480</v>
      </c>
      <c r="H10" s="47">
        <f t="shared" ref="H10:H11" si="15">G10-F10</f>
        <v>0</v>
      </c>
      <c r="I10" s="2">
        <v>300</v>
      </c>
      <c r="J10" s="7"/>
      <c r="K10" s="18">
        <f t="shared" si="7"/>
        <v>0</v>
      </c>
      <c r="L10" s="2">
        <v>940</v>
      </c>
      <c r="M10" s="8"/>
      <c r="N10" s="19">
        <f t="shared" si="8"/>
        <v>0</v>
      </c>
      <c r="O10" s="2">
        <v>350</v>
      </c>
      <c r="P10" s="21">
        <v>19</v>
      </c>
      <c r="Q10" s="22">
        <f t="shared" si="9"/>
        <v>6650</v>
      </c>
      <c r="R10" s="14">
        <v>2800</v>
      </c>
      <c r="S10" s="8"/>
      <c r="T10" s="19">
        <f t="shared" si="10"/>
        <v>0</v>
      </c>
      <c r="U10" s="15">
        <v>1000</v>
      </c>
      <c r="V10" s="8"/>
      <c r="W10" s="18">
        <f t="shared" si="11"/>
        <v>0</v>
      </c>
      <c r="X10" s="14">
        <f t="shared" si="12"/>
        <v>128480</v>
      </c>
    </row>
    <row r="11" spans="1:24" ht="20.100000000000001" hidden="1" customHeight="1" x14ac:dyDescent="0.15">
      <c r="A11" s="1">
        <v>6</v>
      </c>
      <c r="B11" s="1" t="s">
        <v>34</v>
      </c>
      <c r="C11" s="2"/>
      <c r="D11" s="14">
        <v>5840</v>
      </c>
      <c r="E11" s="7">
        <v>16</v>
      </c>
      <c r="F11" s="18">
        <f t="shared" si="6"/>
        <v>93440</v>
      </c>
      <c r="G11" s="47">
        <f t="shared" ref="G11:G24" si="16">E11*5840</f>
        <v>93440</v>
      </c>
      <c r="H11" s="47">
        <f t="shared" si="15"/>
        <v>0</v>
      </c>
      <c r="I11" s="2">
        <v>300</v>
      </c>
      <c r="J11" s="7"/>
      <c r="K11" s="18">
        <f t="shared" si="7"/>
        <v>0</v>
      </c>
      <c r="L11" s="2">
        <v>940</v>
      </c>
      <c r="M11" s="8">
        <v>1</v>
      </c>
      <c r="N11" s="19">
        <f t="shared" si="8"/>
        <v>940</v>
      </c>
      <c r="O11" s="2">
        <v>350</v>
      </c>
      <c r="P11" s="21"/>
      <c r="Q11" s="22">
        <f t="shared" si="9"/>
        <v>0</v>
      </c>
      <c r="R11" s="14">
        <v>2800</v>
      </c>
      <c r="S11" s="8"/>
      <c r="T11" s="19">
        <f t="shared" si="10"/>
        <v>0</v>
      </c>
      <c r="U11" s="15">
        <v>1000</v>
      </c>
      <c r="V11" s="8"/>
      <c r="W11" s="18">
        <f t="shared" si="11"/>
        <v>0</v>
      </c>
      <c r="X11" s="14">
        <f t="shared" si="12"/>
        <v>94380</v>
      </c>
    </row>
    <row r="12" spans="1:24" ht="20.100000000000001" hidden="1" customHeight="1" x14ac:dyDescent="0.15">
      <c r="A12" s="1">
        <v>7</v>
      </c>
      <c r="B12" s="1" t="s">
        <v>35</v>
      </c>
      <c r="C12" s="2"/>
      <c r="D12" s="14">
        <v>5840</v>
      </c>
      <c r="E12" s="7">
        <v>22</v>
      </c>
      <c r="F12" s="18">
        <f t="shared" si="6"/>
        <v>128480</v>
      </c>
      <c r="G12" s="47">
        <f t="shared" ref="G12:G24" si="17">E11*5840</f>
        <v>93440</v>
      </c>
      <c r="H12" s="47">
        <f t="shared" ref="H12" si="18">G12-F11</f>
        <v>0</v>
      </c>
      <c r="I12" s="2">
        <v>300</v>
      </c>
      <c r="J12" s="7"/>
      <c r="K12" s="18">
        <f t="shared" si="7"/>
        <v>0</v>
      </c>
      <c r="L12" s="2">
        <v>940</v>
      </c>
      <c r="M12" s="8"/>
      <c r="N12" s="19">
        <f t="shared" si="8"/>
        <v>0</v>
      </c>
      <c r="O12" s="2">
        <v>350</v>
      </c>
      <c r="P12" s="21">
        <v>22</v>
      </c>
      <c r="Q12" s="22">
        <f t="shared" si="9"/>
        <v>7700</v>
      </c>
      <c r="R12" s="14">
        <v>2800</v>
      </c>
      <c r="S12" s="8"/>
      <c r="T12" s="19">
        <f t="shared" si="10"/>
        <v>0</v>
      </c>
      <c r="U12" s="15">
        <v>1000</v>
      </c>
      <c r="V12" s="8"/>
      <c r="W12" s="18">
        <f t="shared" si="11"/>
        <v>0</v>
      </c>
      <c r="X12" s="14">
        <f t="shared" si="12"/>
        <v>128480</v>
      </c>
    </row>
    <row r="13" spans="1:24" ht="20.100000000000001" hidden="1" customHeight="1" x14ac:dyDescent="0.15">
      <c r="A13" s="1">
        <v>8</v>
      </c>
      <c r="B13" s="1" t="s">
        <v>36</v>
      </c>
      <c r="C13" s="2"/>
      <c r="D13" s="14">
        <v>5840</v>
      </c>
      <c r="E13" s="7">
        <v>22</v>
      </c>
      <c r="F13" s="18">
        <f t="shared" si="6"/>
        <v>128480</v>
      </c>
      <c r="G13" s="47">
        <f t="shared" ref="G13:G24" si="19">E13*5840</f>
        <v>128480</v>
      </c>
      <c r="H13" s="47">
        <f t="shared" ref="H13:H14" si="20">G13-F13</f>
        <v>0</v>
      </c>
      <c r="I13" s="2">
        <v>300</v>
      </c>
      <c r="J13" s="7"/>
      <c r="K13" s="18">
        <f t="shared" si="7"/>
        <v>0</v>
      </c>
      <c r="L13" s="2">
        <v>940</v>
      </c>
      <c r="M13" s="8"/>
      <c r="N13" s="19">
        <f t="shared" si="8"/>
        <v>0</v>
      </c>
      <c r="O13" s="2">
        <v>350</v>
      </c>
      <c r="P13" s="21">
        <v>9</v>
      </c>
      <c r="Q13" s="22">
        <f t="shared" si="9"/>
        <v>3150</v>
      </c>
      <c r="R13" s="14">
        <v>2800</v>
      </c>
      <c r="S13" s="8"/>
      <c r="T13" s="19">
        <f t="shared" si="10"/>
        <v>0</v>
      </c>
      <c r="U13" s="15">
        <v>1000</v>
      </c>
      <c r="V13" s="8"/>
      <c r="W13" s="18">
        <f t="shared" si="11"/>
        <v>0</v>
      </c>
      <c r="X13" s="14">
        <f t="shared" si="12"/>
        <v>128480</v>
      </c>
    </row>
    <row r="14" spans="1:24" ht="20.100000000000001" hidden="1" customHeight="1" x14ac:dyDescent="0.15">
      <c r="A14" s="1">
        <v>9</v>
      </c>
      <c r="B14" s="2" t="s">
        <v>37</v>
      </c>
      <c r="C14" s="2"/>
      <c r="D14" s="14">
        <v>5840</v>
      </c>
      <c r="E14" s="7">
        <v>18</v>
      </c>
      <c r="F14" s="18">
        <f t="shared" si="6"/>
        <v>105120</v>
      </c>
      <c r="G14" s="47">
        <f>E14*5840</f>
        <v>105120</v>
      </c>
      <c r="H14" s="47">
        <f t="shared" si="20"/>
        <v>0</v>
      </c>
      <c r="I14" s="2">
        <v>300</v>
      </c>
      <c r="J14" s="7"/>
      <c r="K14" s="18">
        <f t="shared" si="7"/>
        <v>0</v>
      </c>
      <c r="L14" s="2">
        <v>940</v>
      </c>
      <c r="M14" s="8">
        <v>4</v>
      </c>
      <c r="N14" s="19">
        <f t="shared" si="8"/>
        <v>3760</v>
      </c>
      <c r="O14" s="2">
        <v>350</v>
      </c>
      <c r="P14" s="21">
        <v>18</v>
      </c>
      <c r="Q14" s="22">
        <f t="shared" si="9"/>
        <v>6300</v>
      </c>
      <c r="R14" s="14">
        <v>2800</v>
      </c>
      <c r="S14" s="8"/>
      <c r="T14" s="19">
        <f t="shared" si="10"/>
        <v>0</v>
      </c>
      <c r="U14" s="15">
        <v>1000</v>
      </c>
      <c r="V14" s="8"/>
      <c r="W14" s="18">
        <f t="shared" si="11"/>
        <v>0</v>
      </c>
      <c r="X14" s="14">
        <f t="shared" si="12"/>
        <v>108880</v>
      </c>
    </row>
    <row r="15" spans="1:24" ht="20.100000000000001" hidden="1" customHeight="1" x14ac:dyDescent="0.15">
      <c r="A15" s="1">
        <v>10</v>
      </c>
      <c r="B15" s="2" t="s">
        <v>38</v>
      </c>
      <c r="C15" s="2"/>
      <c r="D15" s="14">
        <v>5840</v>
      </c>
      <c r="E15" s="7">
        <v>6</v>
      </c>
      <c r="F15" s="18">
        <f t="shared" si="6"/>
        <v>35040</v>
      </c>
      <c r="G15" s="47">
        <f>E15*5840</f>
        <v>35040</v>
      </c>
      <c r="H15" s="47">
        <f>G15-F15</f>
        <v>0</v>
      </c>
      <c r="I15" s="2">
        <v>300</v>
      </c>
      <c r="J15" s="7"/>
      <c r="K15" s="18">
        <f t="shared" si="7"/>
        <v>0</v>
      </c>
      <c r="L15" s="2">
        <v>940</v>
      </c>
      <c r="M15" s="8">
        <v>4</v>
      </c>
      <c r="N15" s="19">
        <f t="shared" si="8"/>
        <v>3760</v>
      </c>
      <c r="O15" s="2">
        <v>350</v>
      </c>
      <c r="P15" s="21">
        <v>10</v>
      </c>
      <c r="Q15" s="22">
        <f t="shared" si="9"/>
        <v>3500</v>
      </c>
      <c r="R15" s="14">
        <v>2800</v>
      </c>
      <c r="S15" s="8"/>
      <c r="T15" s="19">
        <f t="shared" si="10"/>
        <v>0</v>
      </c>
      <c r="U15" s="15">
        <v>1000</v>
      </c>
      <c r="V15" s="8"/>
      <c r="W15" s="18">
        <f t="shared" si="11"/>
        <v>0</v>
      </c>
      <c r="X15" s="14">
        <f t="shared" si="12"/>
        <v>38800</v>
      </c>
    </row>
    <row r="16" spans="1:24" ht="20.100000000000001" hidden="1" customHeight="1" x14ac:dyDescent="0.15">
      <c r="A16" s="1">
        <v>11</v>
      </c>
      <c r="B16" s="1" t="s">
        <v>39</v>
      </c>
      <c r="C16" s="2"/>
      <c r="D16" s="14">
        <v>5840</v>
      </c>
      <c r="E16" s="7">
        <v>0</v>
      </c>
      <c r="F16" s="18">
        <f t="shared" si="6"/>
        <v>0</v>
      </c>
      <c r="G16" s="47">
        <f>E16*5840</f>
        <v>0</v>
      </c>
      <c r="H16" s="47">
        <f t="shared" ref="H16:H17" si="21">G16-F16</f>
        <v>0</v>
      </c>
      <c r="I16" s="2">
        <v>300</v>
      </c>
      <c r="J16" s="7"/>
      <c r="K16" s="18">
        <f t="shared" si="7"/>
        <v>0</v>
      </c>
      <c r="L16" s="2">
        <v>940</v>
      </c>
      <c r="M16" s="8"/>
      <c r="N16" s="19">
        <f t="shared" si="8"/>
        <v>0</v>
      </c>
      <c r="O16" s="2">
        <v>350</v>
      </c>
      <c r="P16" s="21"/>
      <c r="Q16" s="22">
        <f t="shared" si="9"/>
        <v>0</v>
      </c>
      <c r="R16" s="14">
        <v>2800</v>
      </c>
      <c r="S16" s="8"/>
      <c r="T16" s="19">
        <f t="shared" si="10"/>
        <v>0</v>
      </c>
      <c r="U16" s="15">
        <v>1000</v>
      </c>
      <c r="V16" s="8"/>
      <c r="W16" s="18">
        <f t="shared" si="11"/>
        <v>0</v>
      </c>
      <c r="X16" s="14">
        <f t="shared" si="12"/>
        <v>0</v>
      </c>
    </row>
    <row r="17" spans="1:26" ht="20.100000000000001" hidden="1" customHeight="1" x14ac:dyDescent="0.15">
      <c r="A17" s="1">
        <v>12</v>
      </c>
      <c r="B17" s="1" t="s">
        <v>48</v>
      </c>
      <c r="C17" s="2"/>
      <c r="D17" s="14">
        <v>5840</v>
      </c>
      <c r="E17" s="7">
        <v>9</v>
      </c>
      <c r="F17" s="18">
        <f t="shared" si="6"/>
        <v>52560</v>
      </c>
      <c r="G17" s="47">
        <f t="shared" ref="G17:G25" si="22">E17*5840</f>
        <v>52560</v>
      </c>
      <c r="H17" s="47">
        <f t="shared" si="21"/>
        <v>0</v>
      </c>
      <c r="I17" s="2">
        <v>300</v>
      </c>
      <c r="J17" s="7"/>
      <c r="K17" s="18">
        <f t="shared" si="7"/>
        <v>0</v>
      </c>
      <c r="L17" s="2">
        <v>940</v>
      </c>
      <c r="M17" s="8">
        <v>2</v>
      </c>
      <c r="N17" s="19">
        <f t="shared" si="8"/>
        <v>1880</v>
      </c>
      <c r="O17" s="2">
        <v>350</v>
      </c>
      <c r="P17" s="21"/>
      <c r="Q17" s="22">
        <f t="shared" si="9"/>
        <v>0</v>
      </c>
      <c r="R17" s="14">
        <v>2800</v>
      </c>
      <c r="S17" s="8"/>
      <c r="T17" s="19">
        <f t="shared" si="10"/>
        <v>0</v>
      </c>
      <c r="U17" s="15">
        <v>1000</v>
      </c>
      <c r="V17" s="8"/>
      <c r="W17" s="18">
        <f t="shared" si="11"/>
        <v>0</v>
      </c>
      <c r="X17" s="14">
        <f t="shared" si="12"/>
        <v>54440</v>
      </c>
    </row>
    <row r="18" spans="1:26" ht="20.100000000000001" customHeight="1" x14ac:dyDescent="0.15">
      <c r="A18" s="1">
        <v>13</v>
      </c>
      <c r="B18" s="1" t="s">
        <v>50</v>
      </c>
      <c r="C18" s="2" t="s">
        <v>83</v>
      </c>
      <c r="D18" s="89">
        <v>5840</v>
      </c>
      <c r="E18" s="7">
        <v>13</v>
      </c>
      <c r="F18" s="18">
        <f t="shared" si="6"/>
        <v>75920</v>
      </c>
      <c r="G18" s="47">
        <f t="shared" si="22"/>
        <v>75920</v>
      </c>
      <c r="H18" s="47">
        <f t="shared" ref="H18" si="23">G18-F17</f>
        <v>23360</v>
      </c>
      <c r="I18" s="2">
        <v>300</v>
      </c>
      <c r="J18" s="7">
        <v>13</v>
      </c>
      <c r="K18" s="18">
        <f t="shared" si="7"/>
        <v>3900</v>
      </c>
      <c r="L18" s="2">
        <v>940</v>
      </c>
      <c r="M18" s="8">
        <v>3</v>
      </c>
      <c r="N18" s="19">
        <f t="shared" si="8"/>
        <v>2820</v>
      </c>
      <c r="O18" s="2">
        <v>350</v>
      </c>
      <c r="P18" s="21">
        <v>19</v>
      </c>
      <c r="Q18" s="22">
        <f t="shared" si="9"/>
        <v>6650</v>
      </c>
      <c r="R18" s="14">
        <v>2800</v>
      </c>
      <c r="S18" s="8"/>
      <c r="T18" s="19">
        <f t="shared" si="10"/>
        <v>0</v>
      </c>
      <c r="U18" s="15">
        <v>1000</v>
      </c>
      <c r="V18" s="8"/>
      <c r="W18" s="18">
        <f t="shared" si="11"/>
        <v>0</v>
      </c>
      <c r="X18" s="14">
        <f t="shared" si="12"/>
        <v>82640</v>
      </c>
    </row>
    <row r="19" spans="1:26" ht="20.100000000000001" hidden="1" customHeight="1" x14ac:dyDescent="0.15">
      <c r="A19" s="1">
        <v>14</v>
      </c>
      <c r="B19" s="1" t="s">
        <v>54</v>
      </c>
      <c r="C19" s="2"/>
      <c r="D19" s="14">
        <v>5840</v>
      </c>
      <c r="E19" s="7">
        <v>3</v>
      </c>
      <c r="F19" s="18">
        <f t="shared" si="6"/>
        <v>17520</v>
      </c>
      <c r="G19" s="47">
        <f t="shared" si="22"/>
        <v>17520</v>
      </c>
      <c r="H19" s="47">
        <f t="shared" ref="H19:H20" si="24">G19-F19</f>
        <v>0</v>
      </c>
      <c r="I19" s="2">
        <v>300</v>
      </c>
      <c r="J19" s="7">
        <v>3</v>
      </c>
      <c r="K19" s="18">
        <f t="shared" si="7"/>
        <v>900</v>
      </c>
      <c r="L19" s="2">
        <v>940</v>
      </c>
      <c r="M19" s="8"/>
      <c r="N19" s="19">
        <f t="shared" si="8"/>
        <v>0</v>
      </c>
      <c r="O19" s="2">
        <v>350</v>
      </c>
      <c r="P19" s="21"/>
      <c r="Q19" s="22">
        <f t="shared" si="9"/>
        <v>0</v>
      </c>
      <c r="R19" s="14">
        <v>2800</v>
      </c>
      <c r="S19" s="8"/>
      <c r="T19" s="19">
        <f t="shared" si="10"/>
        <v>0</v>
      </c>
      <c r="U19" s="15">
        <v>1000</v>
      </c>
      <c r="V19" s="8"/>
      <c r="W19" s="18">
        <f t="shared" si="11"/>
        <v>0</v>
      </c>
      <c r="X19" s="14">
        <f t="shared" si="12"/>
        <v>18420</v>
      </c>
    </row>
    <row r="20" spans="1:26" ht="20.100000000000001" customHeight="1" x14ac:dyDescent="0.15">
      <c r="A20" s="1">
        <v>15</v>
      </c>
      <c r="B20" s="1" t="s">
        <v>57</v>
      </c>
      <c r="C20" s="2" t="s">
        <v>83</v>
      </c>
      <c r="D20" s="89">
        <v>5840</v>
      </c>
      <c r="E20" s="7">
        <v>17</v>
      </c>
      <c r="F20" s="18">
        <f t="shared" si="6"/>
        <v>99280</v>
      </c>
      <c r="G20" s="47">
        <f>E20*5190</f>
        <v>88230</v>
      </c>
      <c r="H20" s="47">
        <f t="shared" si="24"/>
        <v>-11050</v>
      </c>
      <c r="I20" s="2">
        <v>300</v>
      </c>
      <c r="J20" s="7"/>
      <c r="K20" s="18">
        <f t="shared" si="7"/>
        <v>0</v>
      </c>
      <c r="L20" s="2">
        <v>940</v>
      </c>
      <c r="M20" s="8">
        <v>4</v>
      </c>
      <c r="N20" s="19">
        <f t="shared" si="8"/>
        <v>3760</v>
      </c>
      <c r="O20" s="2">
        <v>350</v>
      </c>
      <c r="P20" s="21"/>
      <c r="Q20" s="22">
        <f t="shared" si="9"/>
        <v>0</v>
      </c>
      <c r="R20" s="14">
        <v>2800</v>
      </c>
      <c r="S20" s="8"/>
      <c r="T20" s="19">
        <f t="shared" si="10"/>
        <v>0</v>
      </c>
      <c r="U20" s="15">
        <v>1000</v>
      </c>
      <c r="V20" s="8"/>
      <c r="W20" s="18">
        <f t="shared" si="11"/>
        <v>0</v>
      </c>
      <c r="X20" s="14">
        <f t="shared" si="12"/>
        <v>103040</v>
      </c>
    </row>
    <row r="21" spans="1:26" ht="20.100000000000001" hidden="1" customHeight="1" x14ac:dyDescent="0.15">
      <c r="A21" s="1">
        <v>16</v>
      </c>
      <c r="B21" s="1" t="s">
        <v>55</v>
      </c>
      <c r="C21" s="2"/>
      <c r="D21" s="14">
        <v>5890</v>
      </c>
      <c r="E21" s="7">
        <v>7</v>
      </c>
      <c r="F21" s="18">
        <f t="shared" si="6"/>
        <v>41230</v>
      </c>
      <c r="G21" s="47">
        <f>E21*5890</f>
        <v>41230</v>
      </c>
      <c r="H21" s="47">
        <f>G21-F21</f>
        <v>0</v>
      </c>
      <c r="I21" s="2">
        <v>300</v>
      </c>
      <c r="J21" s="7">
        <v>7</v>
      </c>
      <c r="K21" s="18">
        <f t="shared" si="7"/>
        <v>2100</v>
      </c>
      <c r="L21" s="2">
        <v>940</v>
      </c>
      <c r="M21" s="8"/>
      <c r="N21" s="19">
        <f t="shared" si="8"/>
        <v>0</v>
      </c>
      <c r="O21" s="2">
        <v>350</v>
      </c>
      <c r="P21" s="21"/>
      <c r="Q21" s="22">
        <f t="shared" si="9"/>
        <v>0</v>
      </c>
      <c r="R21" s="14">
        <v>2800</v>
      </c>
      <c r="S21" s="8"/>
      <c r="T21" s="19">
        <f t="shared" si="10"/>
        <v>0</v>
      </c>
      <c r="U21" s="15">
        <v>1000</v>
      </c>
      <c r="V21" s="8"/>
      <c r="W21" s="18">
        <f t="shared" si="11"/>
        <v>0</v>
      </c>
      <c r="X21" s="14">
        <f t="shared" si="12"/>
        <v>43330</v>
      </c>
    </row>
    <row r="22" spans="1:26" ht="20.100000000000001" hidden="1" customHeight="1" x14ac:dyDescent="0.15">
      <c r="A22" s="1">
        <v>17</v>
      </c>
      <c r="B22" s="1" t="s">
        <v>41</v>
      </c>
      <c r="C22" s="2"/>
      <c r="D22" s="14">
        <v>5840</v>
      </c>
      <c r="E22" s="7">
        <v>20</v>
      </c>
      <c r="F22" s="18">
        <f t="shared" si="6"/>
        <v>116800</v>
      </c>
      <c r="G22" s="47">
        <f t="shared" si="22"/>
        <v>116800</v>
      </c>
      <c r="H22" s="47">
        <f t="shared" ref="H22:H23" si="25">G22-F22</f>
        <v>0</v>
      </c>
      <c r="I22" s="2">
        <v>300</v>
      </c>
      <c r="J22" s="7">
        <v>15</v>
      </c>
      <c r="K22" s="18">
        <f t="shared" si="7"/>
        <v>4500</v>
      </c>
      <c r="L22" s="2">
        <v>940</v>
      </c>
      <c r="M22" s="8">
        <v>2</v>
      </c>
      <c r="N22" s="19">
        <f t="shared" si="8"/>
        <v>1880</v>
      </c>
      <c r="O22" s="2">
        <v>350</v>
      </c>
      <c r="P22" s="21">
        <v>19</v>
      </c>
      <c r="Q22" s="22">
        <f t="shared" si="9"/>
        <v>6650</v>
      </c>
      <c r="R22" s="14">
        <v>2800</v>
      </c>
      <c r="S22" s="8"/>
      <c r="T22" s="19">
        <f t="shared" si="10"/>
        <v>0</v>
      </c>
      <c r="U22" s="15">
        <v>1000</v>
      </c>
      <c r="V22" s="8"/>
      <c r="W22" s="18">
        <f t="shared" si="11"/>
        <v>0</v>
      </c>
      <c r="X22" s="14">
        <f t="shared" si="12"/>
        <v>123180</v>
      </c>
    </row>
    <row r="23" spans="1:26" ht="20.100000000000001" hidden="1" customHeight="1" x14ac:dyDescent="0.15">
      <c r="A23" s="1">
        <v>18</v>
      </c>
      <c r="B23" s="1" t="s">
        <v>52</v>
      </c>
      <c r="C23" s="2"/>
      <c r="D23" s="14">
        <v>5840</v>
      </c>
      <c r="E23" s="7">
        <v>12</v>
      </c>
      <c r="F23" s="18">
        <f t="shared" si="6"/>
        <v>70080</v>
      </c>
      <c r="G23" s="47">
        <f t="shared" si="22"/>
        <v>70080</v>
      </c>
      <c r="H23" s="47">
        <f t="shared" si="25"/>
        <v>0</v>
      </c>
      <c r="I23" s="2">
        <v>300</v>
      </c>
      <c r="J23" s="7">
        <v>12</v>
      </c>
      <c r="K23" s="18">
        <f t="shared" si="7"/>
        <v>3600</v>
      </c>
      <c r="L23" s="2">
        <v>940</v>
      </c>
      <c r="M23" s="8">
        <v>3</v>
      </c>
      <c r="N23" s="19">
        <f t="shared" si="8"/>
        <v>2820</v>
      </c>
      <c r="O23" s="2">
        <v>350</v>
      </c>
      <c r="P23" s="21"/>
      <c r="Q23" s="22">
        <f t="shared" si="9"/>
        <v>0</v>
      </c>
      <c r="R23" s="14">
        <v>2800</v>
      </c>
      <c r="S23" s="8"/>
      <c r="T23" s="19">
        <f t="shared" si="10"/>
        <v>0</v>
      </c>
      <c r="U23" s="15">
        <v>1000</v>
      </c>
      <c r="V23" s="8"/>
      <c r="W23" s="18">
        <f t="shared" si="11"/>
        <v>0</v>
      </c>
      <c r="X23" s="14">
        <f t="shared" si="12"/>
        <v>76500</v>
      </c>
    </row>
    <row r="24" spans="1:26" ht="20.100000000000001" customHeight="1" x14ac:dyDescent="0.15">
      <c r="A24" s="1">
        <v>19</v>
      </c>
      <c r="B24" s="1" t="s">
        <v>60</v>
      </c>
      <c r="C24" s="2" t="s">
        <v>83</v>
      </c>
      <c r="D24" s="89">
        <v>5840</v>
      </c>
      <c r="E24" s="7">
        <v>4</v>
      </c>
      <c r="F24" s="18">
        <f t="shared" si="6"/>
        <v>23360</v>
      </c>
      <c r="G24" s="47">
        <f t="shared" si="22"/>
        <v>23360</v>
      </c>
      <c r="H24" s="47">
        <f>G24-F24</f>
        <v>0</v>
      </c>
      <c r="I24" s="2">
        <v>300</v>
      </c>
      <c r="J24" s="7">
        <v>4</v>
      </c>
      <c r="K24" s="18">
        <f t="shared" si="7"/>
        <v>1200</v>
      </c>
      <c r="L24" s="2">
        <v>940</v>
      </c>
      <c r="M24" s="8">
        <v>2</v>
      </c>
      <c r="N24" s="19">
        <f t="shared" si="8"/>
        <v>1880</v>
      </c>
      <c r="O24" s="2">
        <v>350</v>
      </c>
      <c r="P24" s="21">
        <v>5</v>
      </c>
      <c r="Q24" s="22">
        <f t="shared" si="9"/>
        <v>1750</v>
      </c>
      <c r="R24" s="14">
        <v>2800</v>
      </c>
      <c r="S24" s="8"/>
      <c r="T24" s="19">
        <f t="shared" si="10"/>
        <v>0</v>
      </c>
      <c r="U24" s="15">
        <v>1000</v>
      </c>
      <c r="V24" s="8"/>
      <c r="W24" s="18">
        <f t="shared" si="11"/>
        <v>0</v>
      </c>
      <c r="X24" s="14">
        <f t="shared" si="12"/>
        <v>26440</v>
      </c>
    </row>
    <row r="25" spans="1:26" ht="20.100000000000001" hidden="1" customHeight="1" x14ac:dyDescent="0.15">
      <c r="A25" s="1">
        <v>21</v>
      </c>
      <c r="B25" s="1" t="s">
        <v>51</v>
      </c>
      <c r="C25" s="2"/>
      <c r="D25" s="14">
        <v>5840</v>
      </c>
      <c r="E25" s="7"/>
      <c r="F25" s="18">
        <f t="shared" si="6"/>
        <v>0</v>
      </c>
      <c r="G25" s="47">
        <f t="shared" si="22"/>
        <v>0</v>
      </c>
      <c r="H25" s="47">
        <f t="shared" ref="H25" si="26">G25-F25</f>
        <v>0</v>
      </c>
      <c r="I25" s="2">
        <v>300</v>
      </c>
      <c r="J25" s="7"/>
      <c r="K25" s="18">
        <f t="shared" si="7"/>
        <v>0</v>
      </c>
      <c r="L25" s="2">
        <v>940</v>
      </c>
      <c r="M25" s="8"/>
      <c r="N25" s="19">
        <f t="shared" si="8"/>
        <v>0</v>
      </c>
      <c r="O25" s="2">
        <v>350</v>
      </c>
      <c r="P25" s="21">
        <v>21</v>
      </c>
      <c r="Q25" s="22">
        <f t="shared" si="9"/>
        <v>7350</v>
      </c>
      <c r="R25" s="14">
        <v>2800</v>
      </c>
      <c r="S25" s="8"/>
      <c r="T25" s="19">
        <f t="shared" si="10"/>
        <v>0</v>
      </c>
      <c r="U25" s="15">
        <v>1000</v>
      </c>
      <c r="V25" s="8"/>
      <c r="W25" s="18">
        <f t="shared" si="11"/>
        <v>0</v>
      </c>
      <c r="X25" s="14">
        <f t="shared" si="12"/>
        <v>0</v>
      </c>
    </row>
    <row r="26" spans="1:26" ht="20.100000000000001" hidden="1" customHeight="1" x14ac:dyDescent="0.15">
      <c r="A26" s="1">
        <v>22</v>
      </c>
      <c r="B26" s="1"/>
      <c r="C26" s="2"/>
      <c r="D26" s="14">
        <v>5840</v>
      </c>
      <c r="E26" s="7"/>
      <c r="F26" s="18">
        <f t="shared" ref="F26" si="27">SUM(D26*E26)</f>
        <v>0</v>
      </c>
      <c r="G26" s="47">
        <f t="shared" ref="G26" si="28">E25*5890</f>
        <v>0</v>
      </c>
      <c r="H26" s="47">
        <f t="shared" ref="H26" si="29">G26-F25</f>
        <v>0</v>
      </c>
      <c r="I26" s="2">
        <v>300</v>
      </c>
      <c r="J26" s="7"/>
      <c r="K26" s="18">
        <f t="shared" ref="K26" si="30">SUM(I26*J26)</f>
        <v>0</v>
      </c>
      <c r="L26" s="2">
        <v>940</v>
      </c>
      <c r="M26" s="8"/>
      <c r="N26" s="19">
        <f t="shared" ref="N26" si="31">SUM(L26*M26)</f>
        <v>0</v>
      </c>
      <c r="O26" s="2">
        <v>350</v>
      </c>
      <c r="P26" s="21"/>
      <c r="Q26" s="22">
        <f t="shared" ref="Q26" si="32">SUM(O26*P26)</f>
        <v>0</v>
      </c>
      <c r="R26" s="14">
        <v>2800</v>
      </c>
      <c r="S26" s="8"/>
      <c r="T26" s="19">
        <f t="shared" ref="T26" si="33">SUM(R26*S26)</f>
        <v>0</v>
      </c>
      <c r="U26" s="15">
        <v>1000</v>
      </c>
      <c r="V26" s="8"/>
      <c r="W26" s="18">
        <f t="shared" ref="W26" si="34">SUM(V26*U26)</f>
        <v>0</v>
      </c>
      <c r="X26" s="14">
        <f t="shared" ref="X26" si="35">SUM(F26+K26+N26+T26+W26)</f>
        <v>0</v>
      </c>
    </row>
    <row r="27" spans="1:26" hidden="1" x14ac:dyDescent="0.15">
      <c r="A27" s="1"/>
      <c r="B27" s="1"/>
      <c r="C27" s="1"/>
      <c r="D27" s="1"/>
      <c r="E27" s="1"/>
      <c r="F27" s="15">
        <f>SUM(F5:F25)</f>
        <v>1436990</v>
      </c>
      <c r="G27" s="15"/>
      <c r="H27" s="15">
        <f>SUM(H6:H26)</f>
        <v>12310</v>
      </c>
      <c r="I27" s="15"/>
      <c r="J27" s="15"/>
      <c r="K27" s="15">
        <f>SUM(K5:K25)</f>
        <v>16200</v>
      </c>
      <c r="L27" s="15"/>
      <c r="M27" s="15"/>
      <c r="N27" s="15">
        <f>SUM(N5:N25)</f>
        <v>29140</v>
      </c>
      <c r="O27" s="15"/>
      <c r="P27" s="15"/>
      <c r="Q27" s="15">
        <f>SUM(Q5:Q25)</f>
        <v>66650</v>
      </c>
      <c r="R27" s="15"/>
      <c r="S27" s="1"/>
      <c r="T27" s="15">
        <f>SUM(T5:T25)</f>
        <v>0</v>
      </c>
      <c r="U27" s="1"/>
      <c r="V27" s="1"/>
      <c r="W27" s="15">
        <f>SUM(W5:W25)</f>
        <v>0</v>
      </c>
      <c r="X27" s="15">
        <f>SUM(X6:X25)</f>
        <v>1482330</v>
      </c>
    </row>
    <row r="28" spans="1:26" x14ac:dyDescent="0.15">
      <c r="A28" s="29"/>
      <c r="B28" s="29"/>
      <c r="C28" s="29"/>
      <c r="D28" s="29"/>
      <c r="E28" s="29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29"/>
      <c r="T28" s="95"/>
      <c r="U28" s="29"/>
      <c r="V28" s="29"/>
      <c r="W28" s="95"/>
      <c r="X28" s="95"/>
    </row>
    <row r="30" spans="1:26" ht="13.5" customHeight="1" x14ac:dyDescent="0.15">
      <c r="B30" s="75" t="s">
        <v>42</v>
      </c>
      <c r="C30" s="75"/>
      <c r="D30" s="75"/>
      <c r="E30" s="75"/>
      <c r="F30" s="75"/>
      <c r="G30" s="50"/>
      <c r="H30" s="50"/>
      <c r="J30" s="76"/>
      <c r="K30" s="76"/>
      <c r="L30" s="76"/>
      <c r="M30" s="76"/>
      <c r="N30" s="76"/>
      <c r="Q30" s="11"/>
      <c r="R30" s="11"/>
      <c r="S30" s="11"/>
      <c r="T30" s="11"/>
      <c r="U30" s="11"/>
      <c r="V30" s="11"/>
      <c r="W30" s="11"/>
      <c r="X30" s="9"/>
      <c r="Y30" s="26"/>
      <c r="Z30" s="26"/>
    </row>
    <row r="31" spans="1:26" ht="13.5" customHeight="1" x14ac:dyDescent="0.15">
      <c r="B31" s="1" t="s">
        <v>46</v>
      </c>
      <c r="C31" s="1"/>
      <c r="D31" s="1">
        <v>350</v>
      </c>
      <c r="E31" s="1">
        <v>1</v>
      </c>
      <c r="F31" s="1">
        <f>SUM(D31*E31)</f>
        <v>350</v>
      </c>
      <c r="G31" s="29"/>
      <c r="H31" s="29"/>
      <c r="J31" s="29"/>
      <c r="K31" s="30"/>
      <c r="L31" s="29"/>
      <c r="M31" s="77"/>
      <c r="N31" s="77"/>
      <c r="O31" s="78"/>
      <c r="P31" s="78"/>
      <c r="Q31" s="9"/>
      <c r="R31" s="9"/>
      <c r="S31" s="9"/>
      <c r="T31" s="9"/>
      <c r="U31" s="56">
        <f>X27</f>
        <v>1482330</v>
      </c>
      <c r="V31" s="56"/>
      <c r="W31" s="56"/>
      <c r="X31" s="56"/>
      <c r="Y31" s="26"/>
      <c r="Z31" s="26"/>
    </row>
    <row r="32" spans="1:26" ht="13.5" customHeight="1" x14ac:dyDescent="0.15">
      <c r="B32" s="28" t="s">
        <v>56</v>
      </c>
      <c r="C32" s="28"/>
      <c r="D32" s="1">
        <v>350</v>
      </c>
      <c r="E32" s="1">
        <v>3</v>
      </c>
      <c r="F32" s="1">
        <f>SUM(D32*E32)</f>
        <v>1050</v>
      </c>
      <c r="G32" s="29"/>
      <c r="H32" s="29"/>
      <c r="J32" s="29"/>
      <c r="K32" s="30"/>
      <c r="L32" s="29"/>
      <c r="M32" s="77"/>
      <c r="N32" s="77"/>
      <c r="O32" s="78"/>
      <c r="P32" s="78"/>
      <c r="Q32" s="11"/>
      <c r="R32" s="11"/>
      <c r="S32" s="11"/>
      <c r="T32" s="11"/>
      <c r="U32" s="56"/>
      <c r="V32" s="56"/>
      <c r="W32" s="56"/>
      <c r="X32" s="56"/>
      <c r="Y32" s="27"/>
      <c r="Z32" s="26"/>
    </row>
    <row r="33" spans="2:26" ht="13.5" customHeight="1" x14ac:dyDescent="0.15">
      <c r="B33" t="s">
        <v>58</v>
      </c>
      <c r="U33" s="56"/>
      <c r="V33" s="56"/>
      <c r="W33" s="56"/>
      <c r="X33" s="56"/>
      <c r="Y33" s="27"/>
      <c r="Z33" s="26"/>
    </row>
    <row r="34" spans="2:26" ht="13.5" customHeight="1" x14ac:dyDescent="0.15">
      <c r="B34" t="s">
        <v>53</v>
      </c>
      <c r="T34" s="26"/>
      <c r="U34" s="26"/>
      <c r="V34" s="27"/>
      <c r="W34" s="27"/>
      <c r="X34" s="27"/>
      <c r="Y34" s="27"/>
      <c r="Z34" s="26"/>
    </row>
    <row r="35" spans="2:26" x14ac:dyDescent="0.15">
      <c r="B35" t="s">
        <v>59</v>
      </c>
      <c r="T35" s="26"/>
      <c r="U35" s="26"/>
      <c r="V35" s="26"/>
      <c r="W35" s="26" t="s">
        <v>83</v>
      </c>
      <c r="X35" s="96">
        <f>X6+X7+X18+X20+X24</f>
        <v>410480</v>
      </c>
      <c r="Y35" s="26"/>
      <c r="Z35" s="26"/>
    </row>
    <row r="36" spans="2:26" x14ac:dyDescent="0.15">
      <c r="T36" s="26"/>
      <c r="U36" s="26"/>
      <c r="V36" s="26"/>
      <c r="W36" s="26" t="s">
        <v>88</v>
      </c>
      <c r="X36" s="96">
        <f>X9+X10</f>
        <v>256960</v>
      </c>
      <c r="Y36" s="26"/>
      <c r="Z36" s="26"/>
    </row>
  </sheetData>
  <autoFilter ref="A4:Z27">
    <filterColumn colId="2">
      <customFilters>
        <customFilter operator="notEqual" val=" "/>
      </customFilters>
    </filterColumn>
  </autoFilter>
  <mergeCells count="31">
    <mergeCell ref="U3:W3"/>
    <mergeCell ref="X3:X4"/>
    <mergeCell ref="A2:B3"/>
    <mergeCell ref="D3:F3"/>
    <mergeCell ref="I3:K3"/>
    <mergeCell ref="L3:N3"/>
    <mergeCell ref="O3:Q3"/>
    <mergeCell ref="R3:T3"/>
    <mergeCell ref="J5:J6"/>
    <mergeCell ref="M5:M6"/>
    <mergeCell ref="N5:N6"/>
    <mergeCell ref="R5:R6"/>
    <mergeCell ref="S5:S6"/>
    <mergeCell ref="V5:V6"/>
    <mergeCell ref="W5:W6"/>
    <mergeCell ref="U31:X33"/>
    <mergeCell ref="L5:L6"/>
    <mergeCell ref="K5:K6"/>
    <mergeCell ref="T5:T6"/>
    <mergeCell ref="U5:U6"/>
    <mergeCell ref="I5:I6"/>
    <mergeCell ref="F5:F6"/>
    <mergeCell ref="E5:E6"/>
    <mergeCell ref="D5:D6"/>
    <mergeCell ref="B5:B6"/>
    <mergeCell ref="B30:F30"/>
    <mergeCell ref="J30:N30"/>
    <mergeCell ref="M31:N31"/>
    <mergeCell ref="M32:N32"/>
    <mergeCell ref="O31:P31"/>
    <mergeCell ref="O32:P32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5"/>
  <sheetViews>
    <sheetView workbookViewId="0">
      <selection activeCell="D23" sqref="D23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17</v>
      </c>
    </row>
    <row r="2" spans="1:24" x14ac:dyDescent="0.15">
      <c r="A2" s="57" t="s">
        <v>66</v>
      </c>
      <c r="B2" s="58"/>
      <c r="C2" s="50"/>
    </row>
    <row r="3" spans="1:24" x14ac:dyDescent="0.15">
      <c r="A3" s="59"/>
      <c r="B3" s="60"/>
      <c r="C3" s="92"/>
      <c r="D3" s="51" t="s">
        <v>0</v>
      </c>
      <c r="E3" s="52"/>
      <c r="F3" s="53"/>
      <c r="G3" s="45"/>
      <c r="H3" s="45"/>
      <c r="I3" s="51" t="s">
        <v>1</v>
      </c>
      <c r="J3" s="52"/>
      <c r="K3" s="53"/>
      <c r="L3" s="51" t="s">
        <v>2</v>
      </c>
      <c r="M3" s="52"/>
      <c r="N3" s="53"/>
      <c r="O3" s="51" t="s">
        <v>42</v>
      </c>
      <c r="P3" s="52"/>
      <c r="Q3" s="53"/>
      <c r="R3" s="51" t="s">
        <v>64</v>
      </c>
      <c r="S3" s="52"/>
      <c r="T3" s="53"/>
      <c r="U3" s="51" t="s">
        <v>4</v>
      </c>
      <c r="V3" s="52"/>
      <c r="W3" s="53"/>
      <c r="X3" s="54" t="s">
        <v>15</v>
      </c>
    </row>
    <row r="4" spans="1:24" ht="14.25" thickBot="1" x14ac:dyDescent="0.2">
      <c r="A4" s="2"/>
      <c r="B4" s="12" t="s">
        <v>5</v>
      </c>
      <c r="C4" s="12"/>
      <c r="D4" s="3">
        <v>5890</v>
      </c>
      <c r="E4" s="13" t="s">
        <v>14</v>
      </c>
      <c r="F4" s="3"/>
      <c r="G4" s="3"/>
      <c r="H4" s="3"/>
      <c r="I4" s="3">
        <v>300</v>
      </c>
      <c r="J4" s="13" t="s">
        <v>14</v>
      </c>
      <c r="K4" s="3"/>
      <c r="L4" s="3">
        <v>940</v>
      </c>
      <c r="M4" s="13" t="s">
        <v>14</v>
      </c>
      <c r="N4" s="3"/>
      <c r="O4" s="3">
        <v>350</v>
      </c>
      <c r="P4" s="13" t="s">
        <v>14</v>
      </c>
      <c r="Q4" s="3"/>
      <c r="R4" s="16">
        <v>270</v>
      </c>
      <c r="S4" s="3" t="s">
        <v>14</v>
      </c>
      <c r="T4" s="3"/>
      <c r="U4" s="16">
        <v>1000</v>
      </c>
      <c r="V4" s="13" t="s">
        <v>14</v>
      </c>
      <c r="W4" s="3"/>
      <c r="X4" s="55"/>
    </row>
    <row r="5" spans="1:24" ht="14.25" hidden="1" customHeight="1" thickTop="1" x14ac:dyDescent="0.15">
      <c r="A5" s="2"/>
      <c r="B5" s="93" t="s">
        <v>29</v>
      </c>
      <c r="C5" s="48"/>
      <c r="D5" s="90">
        <v>5190</v>
      </c>
      <c r="E5" s="69">
        <v>11</v>
      </c>
      <c r="F5" s="73">
        <f>SUM(D5*E5)</f>
        <v>57090</v>
      </c>
      <c r="G5" s="46"/>
      <c r="H5" s="46"/>
      <c r="I5" s="79">
        <v>300</v>
      </c>
      <c r="J5" s="69"/>
      <c r="K5" s="73">
        <f>SUM(I5*J5)</f>
        <v>0</v>
      </c>
      <c r="L5" s="79">
        <v>940</v>
      </c>
      <c r="M5" s="69">
        <v>4</v>
      </c>
      <c r="N5" s="71">
        <f>SUM(L5*M5)</f>
        <v>3760</v>
      </c>
      <c r="O5" s="6"/>
      <c r="P5" s="24"/>
      <c r="Q5" s="25"/>
      <c r="R5" s="87">
        <v>270</v>
      </c>
      <c r="S5" s="69">
        <v>22</v>
      </c>
      <c r="T5" s="71">
        <f>SUM(R5*S5)</f>
        <v>5940</v>
      </c>
      <c r="U5" s="81">
        <v>1000</v>
      </c>
      <c r="V5" s="85"/>
      <c r="W5" s="73">
        <f>SUM(V6*U5)</f>
        <v>0</v>
      </c>
      <c r="X5" s="23"/>
    </row>
    <row r="6" spans="1:24" ht="20.100000000000001" hidden="1" customHeight="1" x14ac:dyDescent="0.15">
      <c r="A6" s="1">
        <v>1</v>
      </c>
      <c r="B6" s="94"/>
      <c r="C6" s="49" t="s">
        <v>78</v>
      </c>
      <c r="D6" s="91"/>
      <c r="E6" s="70"/>
      <c r="F6" s="74"/>
      <c r="G6" s="47">
        <f>E5*5890</f>
        <v>64790</v>
      </c>
      <c r="H6" s="47">
        <f>G6-F5</f>
        <v>7700</v>
      </c>
      <c r="I6" s="80"/>
      <c r="J6" s="70"/>
      <c r="K6" s="74"/>
      <c r="L6" s="80"/>
      <c r="M6" s="70"/>
      <c r="N6" s="72"/>
      <c r="O6" s="2">
        <v>290</v>
      </c>
      <c r="P6" s="20">
        <v>10</v>
      </c>
      <c r="Q6" s="22">
        <f>SUM(O6*P6)</f>
        <v>2900</v>
      </c>
      <c r="R6" s="88"/>
      <c r="S6" s="70"/>
      <c r="T6" s="72"/>
      <c r="U6" s="82"/>
      <c r="V6" s="86"/>
      <c r="W6" s="74"/>
      <c r="X6" s="14">
        <f>SUM(F5+K5+N5+T5+W5)</f>
        <v>66790</v>
      </c>
    </row>
    <row r="7" spans="1:24" ht="20.100000000000001" hidden="1" customHeight="1" x14ac:dyDescent="0.15">
      <c r="A7" s="1">
        <v>2</v>
      </c>
      <c r="B7" s="1" t="s">
        <v>30</v>
      </c>
      <c r="C7" s="49" t="s">
        <v>78</v>
      </c>
      <c r="D7" s="89">
        <v>5190</v>
      </c>
      <c r="E7" s="7">
        <v>19</v>
      </c>
      <c r="F7" s="18">
        <f>SUM(D7*E7)</f>
        <v>98610</v>
      </c>
      <c r="G7" s="18">
        <f>E7*5890</f>
        <v>111910</v>
      </c>
      <c r="H7" s="47">
        <f>G7-F7</f>
        <v>13300</v>
      </c>
      <c r="I7" s="2">
        <v>300</v>
      </c>
      <c r="J7" s="7"/>
      <c r="K7" s="18">
        <f t="shared" ref="K7:K26" si="0">SUM(I7*J7)</f>
        <v>0</v>
      </c>
      <c r="L7" s="2">
        <v>940</v>
      </c>
      <c r="M7" s="8">
        <v>3</v>
      </c>
      <c r="N7" s="19">
        <f t="shared" ref="N7:N26" si="1">SUM(L7*M7)</f>
        <v>2820</v>
      </c>
      <c r="O7" s="2">
        <v>350</v>
      </c>
      <c r="P7" s="21">
        <v>19</v>
      </c>
      <c r="Q7" s="22">
        <f t="shared" ref="Q7:Q26" si="2">SUM(O7*P7)</f>
        <v>6650</v>
      </c>
      <c r="R7" s="31">
        <v>270</v>
      </c>
      <c r="S7" s="8">
        <v>38</v>
      </c>
      <c r="T7" s="19">
        <f t="shared" ref="T7:T26" si="3">SUM(R7*S7)</f>
        <v>10260</v>
      </c>
      <c r="U7" s="15">
        <v>1000</v>
      </c>
      <c r="V7" s="8"/>
      <c r="W7" s="18">
        <f t="shared" ref="W7:W26" si="4">SUM(V7*U7)</f>
        <v>0</v>
      </c>
      <c r="X7" s="14">
        <f t="shared" ref="X7:X26" si="5">SUM(F7+K7+N7+T7+W7)</f>
        <v>111690</v>
      </c>
    </row>
    <row r="8" spans="1:24" ht="20.100000000000001" customHeight="1" thickTop="1" x14ac:dyDescent="0.15">
      <c r="A8" s="1">
        <v>3</v>
      </c>
      <c r="B8" s="1" t="s">
        <v>31</v>
      </c>
      <c r="C8" s="2" t="s">
        <v>79</v>
      </c>
      <c r="D8" s="89">
        <v>5190</v>
      </c>
      <c r="E8" s="7">
        <v>6</v>
      </c>
      <c r="F8" s="18">
        <f t="shared" ref="F8:F26" si="6">SUM(D8*E8)</f>
        <v>31140</v>
      </c>
      <c r="G8" s="47">
        <f t="shared" ref="G8:G24" si="7">E7*5890</f>
        <v>111910</v>
      </c>
      <c r="H8" s="47">
        <f t="shared" ref="H8" si="8">G8-F7</f>
        <v>13300</v>
      </c>
      <c r="I8" s="2">
        <v>300</v>
      </c>
      <c r="J8" s="7"/>
      <c r="K8" s="18">
        <f t="shared" si="0"/>
        <v>0</v>
      </c>
      <c r="L8" s="2">
        <v>940</v>
      </c>
      <c r="M8" s="8"/>
      <c r="N8" s="19">
        <f t="shared" si="1"/>
        <v>0</v>
      </c>
      <c r="O8" s="2">
        <v>350</v>
      </c>
      <c r="P8" s="21"/>
      <c r="Q8" s="22">
        <f t="shared" si="2"/>
        <v>0</v>
      </c>
      <c r="R8" s="31">
        <v>270</v>
      </c>
      <c r="S8" s="8"/>
      <c r="T8" s="19">
        <f t="shared" si="3"/>
        <v>0</v>
      </c>
      <c r="U8" s="15">
        <v>1000</v>
      </c>
      <c r="V8" s="8"/>
      <c r="W8" s="18">
        <f t="shared" si="4"/>
        <v>0</v>
      </c>
      <c r="X8" s="14">
        <f t="shared" si="5"/>
        <v>31140</v>
      </c>
    </row>
    <row r="9" spans="1:24" ht="20.100000000000001" hidden="1" customHeight="1" x14ac:dyDescent="0.15">
      <c r="A9" s="1">
        <v>4</v>
      </c>
      <c r="B9" s="1" t="s">
        <v>32</v>
      </c>
      <c r="C9" s="2" t="s">
        <v>80</v>
      </c>
      <c r="D9" s="89">
        <v>5190</v>
      </c>
      <c r="E9" s="7">
        <v>22</v>
      </c>
      <c r="F9" s="18">
        <f t="shared" si="6"/>
        <v>114180</v>
      </c>
      <c r="G9" s="18">
        <f t="shared" ref="G9:G24" si="9">E9*5890</f>
        <v>129580</v>
      </c>
      <c r="H9" s="47">
        <f t="shared" ref="H9" si="10">G9-F9</f>
        <v>15400</v>
      </c>
      <c r="I9" s="2">
        <v>300</v>
      </c>
      <c r="J9" s="7"/>
      <c r="K9" s="18">
        <f t="shared" si="0"/>
        <v>0</v>
      </c>
      <c r="L9" s="2">
        <v>940</v>
      </c>
      <c r="M9" s="8"/>
      <c r="N9" s="19">
        <f t="shared" si="1"/>
        <v>0</v>
      </c>
      <c r="O9" s="2">
        <v>350</v>
      </c>
      <c r="P9" s="21">
        <v>5</v>
      </c>
      <c r="Q9" s="22">
        <f t="shared" si="2"/>
        <v>1750</v>
      </c>
      <c r="R9" s="31">
        <v>270</v>
      </c>
      <c r="S9" s="8"/>
      <c r="T9" s="19">
        <f t="shared" si="3"/>
        <v>0</v>
      </c>
      <c r="U9" s="15">
        <v>1000</v>
      </c>
      <c r="V9" s="8"/>
      <c r="W9" s="18">
        <f t="shared" si="4"/>
        <v>0</v>
      </c>
      <c r="X9" s="14">
        <f t="shared" si="5"/>
        <v>114180</v>
      </c>
    </row>
    <row r="10" spans="1:24" ht="20.100000000000001" hidden="1" customHeight="1" x14ac:dyDescent="0.15">
      <c r="A10" s="1">
        <v>5</v>
      </c>
      <c r="B10" s="1" t="s">
        <v>33</v>
      </c>
      <c r="C10" s="2" t="s">
        <v>80</v>
      </c>
      <c r="D10" s="89">
        <v>5190</v>
      </c>
      <c r="E10" s="7">
        <v>22</v>
      </c>
      <c r="F10" s="18">
        <f t="shared" si="6"/>
        <v>114180</v>
      </c>
      <c r="G10" s="47">
        <f t="shared" ref="G10:G24" si="11">E9*5890</f>
        <v>129580</v>
      </c>
      <c r="H10" s="47">
        <f t="shared" ref="H10" si="12">G10-F9</f>
        <v>15400</v>
      </c>
      <c r="I10" s="2">
        <v>300</v>
      </c>
      <c r="J10" s="7"/>
      <c r="K10" s="18">
        <f t="shared" si="0"/>
        <v>0</v>
      </c>
      <c r="L10" s="2">
        <v>940</v>
      </c>
      <c r="M10" s="8"/>
      <c r="N10" s="19">
        <f t="shared" si="1"/>
        <v>0</v>
      </c>
      <c r="O10" s="2">
        <v>350</v>
      </c>
      <c r="P10" s="21">
        <v>5</v>
      </c>
      <c r="Q10" s="22">
        <f t="shared" si="2"/>
        <v>1750</v>
      </c>
      <c r="R10" s="31">
        <v>270</v>
      </c>
      <c r="S10" s="8"/>
      <c r="T10" s="19">
        <f t="shared" si="3"/>
        <v>0</v>
      </c>
      <c r="U10" s="15">
        <v>1000</v>
      </c>
      <c r="V10" s="8"/>
      <c r="W10" s="18">
        <f t="shared" si="4"/>
        <v>0</v>
      </c>
      <c r="X10" s="14">
        <f t="shared" si="5"/>
        <v>114180</v>
      </c>
    </row>
    <row r="11" spans="1:24" ht="20.100000000000001" customHeight="1" x14ac:dyDescent="0.15">
      <c r="A11" s="1">
        <v>6</v>
      </c>
      <c r="B11" s="1" t="s">
        <v>34</v>
      </c>
      <c r="C11" s="2" t="s">
        <v>79</v>
      </c>
      <c r="D11" s="89">
        <v>5190</v>
      </c>
      <c r="E11" s="7">
        <v>12</v>
      </c>
      <c r="F11" s="18">
        <f t="shared" si="6"/>
        <v>62280</v>
      </c>
      <c r="G11" s="18">
        <f t="shared" ref="G11:G24" si="13">E11*5890</f>
        <v>70680</v>
      </c>
      <c r="H11" s="47">
        <f t="shared" ref="H11" si="14">G11-F11</f>
        <v>8400</v>
      </c>
      <c r="I11" s="2">
        <v>300</v>
      </c>
      <c r="J11" s="7"/>
      <c r="K11" s="18">
        <f t="shared" si="0"/>
        <v>0</v>
      </c>
      <c r="L11" s="2">
        <v>940</v>
      </c>
      <c r="M11" s="8">
        <v>4</v>
      </c>
      <c r="N11" s="19">
        <f t="shared" si="1"/>
        <v>3760</v>
      </c>
      <c r="O11" s="2">
        <v>350</v>
      </c>
      <c r="P11" s="21"/>
      <c r="Q11" s="22">
        <f t="shared" si="2"/>
        <v>0</v>
      </c>
      <c r="R11" s="31">
        <v>270</v>
      </c>
      <c r="S11" s="8">
        <v>24</v>
      </c>
      <c r="T11" s="19">
        <f t="shared" si="3"/>
        <v>6480</v>
      </c>
      <c r="U11" s="15">
        <v>1000</v>
      </c>
      <c r="V11" s="8"/>
      <c r="W11" s="18">
        <f t="shared" si="4"/>
        <v>0</v>
      </c>
      <c r="X11" s="14">
        <f t="shared" si="5"/>
        <v>72520</v>
      </c>
    </row>
    <row r="12" spans="1:24" ht="20.100000000000001" hidden="1" customHeight="1" x14ac:dyDescent="0.15">
      <c r="A12" s="1">
        <v>7</v>
      </c>
      <c r="B12" s="1" t="s">
        <v>35</v>
      </c>
      <c r="C12" s="2" t="s">
        <v>81</v>
      </c>
      <c r="D12" s="89">
        <v>5190</v>
      </c>
      <c r="E12" s="7">
        <v>22</v>
      </c>
      <c r="F12" s="18">
        <f t="shared" si="6"/>
        <v>114180</v>
      </c>
      <c r="G12" s="47">
        <f t="shared" ref="G12:G24" si="15">E11*5890</f>
        <v>70680</v>
      </c>
      <c r="H12" s="47">
        <f t="shared" ref="H12" si="16">G12-F11</f>
        <v>8400</v>
      </c>
      <c r="I12" s="2">
        <v>300</v>
      </c>
      <c r="J12" s="7"/>
      <c r="K12" s="18">
        <f t="shared" si="0"/>
        <v>0</v>
      </c>
      <c r="L12" s="2">
        <v>940</v>
      </c>
      <c r="M12" s="8"/>
      <c r="N12" s="19">
        <f t="shared" si="1"/>
        <v>0</v>
      </c>
      <c r="O12" s="2">
        <v>350</v>
      </c>
      <c r="P12" s="21">
        <v>22</v>
      </c>
      <c r="Q12" s="22">
        <f t="shared" si="2"/>
        <v>7700</v>
      </c>
      <c r="R12" s="31">
        <v>270</v>
      </c>
      <c r="S12" s="8">
        <v>44</v>
      </c>
      <c r="T12" s="19">
        <f t="shared" si="3"/>
        <v>11880</v>
      </c>
      <c r="U12" s="15">
        <v>1000</v>
      </c>
      <c r="V12" s="8"/>
      <c r="W12" s="18">
        <f t="shared" si="4"/>
        <v>0</v>
      </c>
      <c r="X12" s="14">
        <f t="shared" si="5"/>
        <v>126060</v>
      </c>
    </row>
    <row r="13" spans="1:24" ht="20.100000000000001" customHeight="1" x14ac:dyDescent="0.15">
      <c r="A13" s="1">
        <v>8</v>
      </c>
      <c r="B13" s="1" t="s">
        <v>36</v>
      </c>
      <c r="C13" s="2" t="s">
        <v>79</v>
      </c>
      <c r="D13" s="89">
        <v>5190</v>
      </c>
      <c r="E13" s="7">
        <v>21</v>
      </c>
      <c r="F13" s="18">
        <f t="shared" si="6"/>
        <v>108990</v>
      </c>
      <c r="G13" s="18">
        <f t="shared" ref="G13:G24" si="17">E13*5890</f>
        <v>123690</v>
      </c>
      <c r="H13" s="47">
        <f t="shared" ref="H13" si="18">G13-F13</f>
        <v>14700</v>
      </c>
      <c r="I13" s="2">
        <v>300</v>
      </c>
      <c r="J13" s="7"/>
      <c r="K13" s="18">
        <f t="shared" si="0"/>
        <v>0</v>
      </c>
      <c r="L13" s="2">
        <v>940</v>
      </c>
      <c r="M13" s="8">
        <v>1</v>
      </c>
      <c r="N13" s="19">
        <f t="shared" si="1"/>
        <v>940</v>
      </c>
      <c r="O13" s="2">
        <v>350</v>
      </c>
      <c r="P13" s="21">
        <v>8</v>
      </c>
      <c r="Q13" s="22">
        <f t="shared" si="2"/>
        <v>2800</v>
      </c>
      <c r="R13" s="31">
        <v>270</v>
      </c>
      <c r="S13" s="8">
        <v>42</v>
      </c>
      <c r="T13" s="19">
        <f t="shared" si="3"/>
        <v>11340</v>
      </c>
      <c r="U13" s="15">
        <v>1000</v>
      </c>
      <c r="V13" s="8"/>
      <c r="W13" s="18">
        <f t="shared" si="4"/>
        <v>0</v>
      </c>
      <c r="X13" s="14">
        <f t="shared" si="5"/>
        <v>121270</v>
      </c>
    </row>
    <row r="14" spans="1:24" ht="20.100000000000001" customHeight="1" x14ac:dyDescent="0.15">
      <c r="A14" s="1">
        <v>9</v>
      </c>
      <c r="B14" s="2" t="s">
        <v>37</v>
      </c>
      <c r="C14" s="2" t="s">
        <v>79</v>
      </c>
      <c r="D14" s="89">
        <v>5190</v>
      </c>
      <c r="E14" s="7">
        <v>19</v>
      </c>
      <c r="F14" s="18">
        <f t="shared" si="6"/>
        <v>98610</v>
      </c>
      <c r="G14" s="47">
        <f t="shared" ref="G14:G24" si="19">E13*5890</f>
        <v>123690</v>
      </c>
      <c r="H14" s="47">
        <f t="shared" ref="H14" si="20">G14-F13</f>
        <v>14700</v>
      </c>
      <c r="I14" s="2">
        <v>300</v>
      </c>
      <c r="J14" s="7"/>
      <c r="K14" s="18">
        <f t="shared" si="0"/>
        <v>0</v>
      </c>
      <c r="L14" s="2">
        <v>940</v>
      </c>
      <c r="M14" s="8">
        <v>3</v>
      </c>
      <c r="N14" s="19">
        <f t="shared" si="1"/>
        <v>2820</v>
      </c>
      <c r="O14" s="2">
        <v>350</v>
      </c>
      <c r="P14" s="21">
        <v>19</v>
      </c>
      <c r="Q14" s="22">
        <f t="shared" si="2"/>
        <v>6650</v>
      </c>
      <c r="R14" s="31">
        <v>270</v>
      </c>
      <c r="S14" s="8">
        <v>38</v>
      </c>
      <c r="T14" s="19">
        <f t="shared" si="3"/>
        <v>10260</v>
      </c>
      <c r="U14" s="15">
        <v>1000</v>
      </c>
      <c r="V14" s="8"/>
      <c r="W14" s="18">
        <f t="shared" si="4"/>
        <v>0</v>
      </c>
      <c r="X14" s="14">
        <f t="shared" si="5"/>
        <v>111690</v>
      </c>
    </row>
    <row r="15" spans="1:24" ht="20.100000000000001" hidden="1" customHeight="1" x14ac:dyDescent="0.15">
      <c r="A15" s="1">
        <v>10</v>
      </c>
      <c r="B15" s="2" t="s">
        <v>38</v>
      </c>
      <c r="C15" s="2"/>
      <c r="D15" s="89">
        <v>5190</v>
      </c>
      <c r="E15" s="7"/>
      <c r="F15" s="18">
        <f t="shared" si="6"/>
        <v>0</v>
      </c>
      <c r="G15" s="18">
        <f t="shared" ref="G15:G24" si="21">E15*5890</f>
        <v>0</v>
      </c>
      <c r="H15" s="47">
        <f t="shared" ref="H15" si="22">G15-F15</f>
        <v>0</v>
      </c>
      <c r="I15" s="2">
        <v>300</v>
      </c>
      <c r="J15" s="7"/>
      <c r="K15" s="18">
        <f t="shared" si="0"/>
        <v>0</v>
      </c>
      <c r="L15" s="2">
        <v>940</v>
      </c>
      <c r="M15" s="8"/>
      <c r="N15" s="19">
        <f t="shared" si="1"/>
        <v>0</v>
      </c>
      <c r="O15" s="2">
        <v>350</v>
      </c>
      <c r="P15" s="21"/>
      <c r="Q15" s="22">
        <f t="shared" si="2"/>
        <v>0</v>
      </c>
      <c r="R15" s="31">
        <v>270</v>
      </c>
      <c r="S15" s="8"/>
      <c r="T15" s="19">
        <f t="shared" si="3"/>
        <v>0</v>
      </c>
      <c r="U15" s="15">
        <v>1000</v>
      </c>
      <c r="V15" s="8"/>
      <c r="W15" s="18">
        <f t="shared" si="4"/>
        <v>0</v>
      </c>
      <c r="X15" s="14">
        <f t="shared" si="5"/>
        <v>0</v>
      </c>
    </row>
    <row r="16" spans="1:24" ht="20.100000000000001" hidden="1" customHeight="1" x14ac:dyDescent="0.15">
      <c r="A16" s="1">
        <v>11</v>
      </c>
      <c r="B16" s="1" t="s">
        <v>39</v>
      </c>
      <c r="C16" s="2"/>
      <c r="D16" s="89">
        <v>5190</v>
      </c>
      <c r="E16" s="7"/>
      <c r="F16" s="18">
        <f t="shared" si="6"/>
        <v>0</v>
      </c>
      <c r="G16" s="47">
        <f t="shared" ref="G16:G24" si="23">E15*5890</f>
        <v>0</v>
      </c>
      <c r="H16" s="47">
        <f t="shared" ref="H16" si="24">G16-F15</f>
        <v>0</v>
      </c>
      <c r="I16" s="2">
        <v>300</v>
      </c>
      <c r="J16" s="7"/>
      <c r="K16" s="18">
        <f t="shared" si="0"/>
        <v>0</v>
      </c>
      <c r="L16" s="2">
        <v>940</v>
      </c>
      <c r="M16" s="8"/>
      <c r="N16" s="19">
        <f t="shared" si="1"/>
        <v>0</v>
      </c>
      <c r="O16" s="2">
        <v>350</v>
      </c>
      <c r="P16" s="21"/>
      <c r="Q16" s="22">
        <f t="shared" si="2"/>
        <v>0</v>
      </c>
      <c r="R16" s="31">
        <v>270</v>
      </c>
      <c r="S16" s="8"/>
      <c r="T16" s="19">
        <f t="shared" si="3"/>
        <v>0</v>
      </c>
      <c r="U16" s="15">
        <v>1000</v>
      </c>
      <c r="V16" s="8"/>
      <c r="W16" s="18">
        <f t="shared" si="4"/>
        <v>0</v>
      </c>
      <c r="X16" s="14">
        <f t="shared" si="5"/>
        <v>0</v>
      </c>
    </row>
    <row r="17" spans="1:26" ht="20.100000000000001" customHeight="1" x14ac:dyDescent="0.15">
      <c r="A17" s="1">
        <v>12</v>
      </c>
      <c r="B17" s="1" t="s">
        <v>48</v>
      </c>
      <c r="C17" s="2" t="s">
        <v>79</v>
      </c>
      <c r="D17" s="89">
        <v>5190</v>
      </c>
      <c r="E17" s="7">
        <v>11</v>
      </c>
      <c r="F17" s="18">
        <f t="shared" si="6"/>
        <v>57090</v>
      </c>
      <c r="G17" s="18">
        <f t="shared" ref="G17:G24" si="25">E17*5890</f>
        <v>64790</v>
      </c>
      <c r="H17" s="47">
        <f t="shared" ref="H17" si="26">G17-F17</f>
        <v>7700</v>
      </c>
      <c r="I17" s="2">
        <v>300</v>
      </c>
      <c r="J17" s="7"/>
      <c r="K17" s="18">
        <f t="shared" si="0"/>
        <v>0</v>
      </c>
      <c r="L17" s="2">
        <v>940</v>
      </c>
      <c r="M17" s="8">
        <v>2</v>
      </c>
      <c r="N17" s="19">
        <f t="shared" si="1"/>
        <v>1880</v>
      </c>
      <c r="O17" s="2">
        <v>350</v>
      </c>
      <c r="P17" s="21"/>
      <c r="Q17" s="22">
        <f t="shared" si="2"/>
        <v>0</v>
      </c>
      <c r="R17" s="31">
        <v>270</v>
      </c>
      <c r="S17" s="8"/>
      <c r="T17" s="19">
        <f t="shared" si="3"/>
        <v>0</v>
      </c>
      <c r="U17" s="15">
        <v>1000</v>
      </c>
      <c r="V17" s="8"/>
      <c r="W17" s="18">
        <f t="shared" si="4"/>
        <v>0</v>
      </c>
      <c r="X17" s="14">
        <f t="shared" si="5"/>
        <v>58970</v>
      </c>
    </row>
    <row r="18" spans="1:26" ht="20.100000000000001" hidden="1" customHeight="1" x14ac:dyDescent="0.15">
      <c r="A18" s="1">
        <v>13</v>
      </c>
      <c r="B18" s="1" t="s">
        <v>50</v>
      </c>
      <c r="C18" s="2" t="s">
        <v>78</v>
      </c>
      <c r="D18" s="89">
        <v>5190</v>
      </c>
      <c r="E18" s="7">
        <v>21</v>
      </c>
      <c r="F18" s="18">
        <f t="shared" si="6"/>
        <v>108990</v>
      </c>
      <c r="G18" s="47">
        <f t="shared" ref="G18:G24" si="27">E17*5890</f>
        <v>64790</v>
      </c>
      <c r="H18" s="47">
        <f t="shared" ref="H18" si="28">G18-F17</f>
        <v>7700</v>
      </c>
      <c r="I18" s="2">
        <v>300</v>
      </c>
      <c r="J18" s="7">
        <v>8</v>
      </c>
      <c r="K18" s="18">
        <f t="shared" si="0"/>
        <v>2400</v>
      </c>
      <c r="L18" s="2">
        <v>940</v>
      </c>
      <c r="M18" s="8">
        <v>1</v>
      </c>
      <c r="N18" s="19">
        <f t="shared" si="1"/>
        <v>940</v>
      </c>
      <c r="O18" s="2">
        <v>350</v>
      </c>
      <c r="P18" s="21">
        <v>21</v>
      </c>
      <c r="Q18" s="22">
        <f t="shared" si="2"/>
        <v>7350</v>
      </c>
      <c r="R18" s="31">
        <v>270</v>
      </c>
      <c r="S18" s="8">
        <v>42</v>
      </c>
      <c r="T18" s="19">
        <f t="shared" si="3"/>
        <v>11340</v>
      </c>
      <c r="U18" s="15">
        <v>1000</v>
      </c>
      <c r="V18" s="8"/>
      <c r="W18" s="18">
        <f t="shared" si="4"/>
        <v>0</v>
      </c>
      <c r="X18" s="14">
        <f t="shared" si="5"/>
        <v>123670</v>
      </c>
    </row>
    <row r="19" spans="1:26" ht="20.100000000000001" customHeight="1" x14ac:dyDescent="0.15">
      <c r="A19" s="1">
        <v>14</v>
      </c>
      <c r="B19" s="1" t="s">
        <v>61</v>
      </c>
      <c r="C19" s="2" t="s">
        <v>79</v>
      </c>
      <c r="D19" s="89">
        <v>5190</v>
      </c>
      <c r="E19" s="7">
        <v>20</v>
      </c>
      <c r="F19" s="18">
        <f t="shared" si="6"/>
        <v>103800</v>
      </c>
      <c r="G19" s="18">
        <f t="shared" ref="G19:G24" si="29">E19*5890</f>
        <v>117800</v>
      </c>
      <c r="H19" s="47">
        <f t="shared" ref="H19" si="30">G19-F19</f>
        <v>14000</v>
      </c>
      <c r="I19" s="2">
        <v>300</v>
      </c>
      <c r="J19" s="7"/>
      <c r="K19" s="18">
        <f t="shared" si="0"/>
        <v>0</v>
      </c>
      <c r="L19" s="2">
        <v>940</v>
      </c>
      <c r="M19" s="8">
        <v>2</v>
      </c>
      <c r="N19" s="19">
        <f t="shared" si="1"/>
        <v>1880</v>
      </c>
      <c r="O19" s="2">
        <v>350</v>
      </c>
      <c r="P19" s="21">
        <v>7</v>
      </c>
      <c r="Q19" s="22">
        <f t="shared" si="2"/>
        <v>2450</v>
      </c>
      <c r="R19" s="31">
        <v>270</v>
      </c>
      <c r="S19" s="8">
        <v>40</v>
      </c>
      <c r="T19" s="19">
        <f t="shared" si="3"/>
        <v>10800</v>
      </c>
      <c r="U19" s="15">
        <v>1000</v>
      </c>
      <c r="V19" s="8"/>
      <c r="W19" s="18">
        <f t="shared" si="4"/>
        <v>0</v>
      </c>
      <c r="X19" s="14">
        <f t="shared" si="5"/>
        <v>116480</v>
      </c>
    </row>
    <row r="20" spans="1:26" ht="20.100000000000001" customHeight="1" x14ac:dyDescent="0.15">
      <c r="A20" s="1">
        <v>15</v>
      </c>
      <c r="B20" s="1" t="s">
        <v>52</v>
      </c>
      <c r="C20" s="2" t="s">
        <v>79</v>
      </c>
      <c r="D20" s="89">
        <v>5190</v>
      </c>
      <c r="E20" s="7">
        <v>17</v>
      </c>
      <c r="F20" s="18">
        <f t="shared" si="6"/>
        <v>88230</v>
      </c>
      <c r="G20" s="47">
        <f t="shared" ref="G20:G24" si="31">E19*5890</f>
        <v>117800</v>
      </c>
      <c r="H20" s="47">
        <f t="shared" ref="H20" si="32">G20-F19</f>
        <v>14000</v>
      </c>
      <c r="I20" s="2">
        <v>300</v>
      </c>
      <c r="J20" s="7">
        <v>7</v>
      </c>
      <c r="K20" s="18">
        <f t="shared" si="0"/>
        <v>2100</v>
      </c>
      <c r="L20" s="2">
        <v>940</v>
      </c>
      <c r="M20" s="8">
        <v>4</v>
      </c>
      <c r="N20" s="19">
        <f t="shared" si="1"/>
        <v>3760</v>
      </c>
      <c r="O20" s="2">
        <v>350</v>
      </c>
      <c r="P20" s="21"/>
      <c r="Q20" s="22">
        <f t="shared" si="2"/>
        <v>0</v>
      </c>
      <c r="R20" s="31">
        <v>270</v>
      </c>
      <c r="S20" s="8">
        <v>34</v>
      </c>
      <c r="T20" s="19">
        <f t="shared" si="3"/>
        <v>9180</v>
      </c>
      <c r="U20" s="15">
        <v>1000</v>
      </c>
      <c r="V20" s="8"/>
      <c r="W20" s="18">
        <f t="shared" si="4"/>
        <v>0</v>
      </c>
      <c r="X20" s="14">
        <f t="shared" si="5"/>
        <v>103270</v>
      </c>
    </row>
    <row r="21" spans="1:26" ht="20.100000000000001" hidden="1" customHeight="1" x14ac:dyDescent="0.15">
      <c r="A21" s="1">
        <v>16</v>
      </c>
      <c r="B21" s="1" t="s">
        <v>62</v>
      </c>
      <c r="C21" s="2" t="s">
        <v>78</v>
      </c>
      <c r="D21" s="89">
        <v>5190</v>
      </c>
      <c r="E21" s="7">
        <v>6</v>
      </c>
      <c r="F21" s="18">
        <f t="shared" si="6"/>
        <v>31140</v>
      </c>
      <c r="G21" s="18">
        <f t="shared" ref="G21:G24" si="33">E21*5890</f>
        <v>35340</v>
      </c>
      <c r="H21" s="47">
        <f t="shared" ref="H21" si="34">G21-F21</f>
        <v>4200</v>
      </c>
      <c r="I21" s="2">
        <v>300</v>
      </c>
      <c r="J21" s="7">
        <v>4</v>
      </c>
      <c r="K21" s="18">
        <f t="shared" si="0"/>
        <v>1200</v>
      </c>
      <c r="L21" s="2">
        <v>940</v>
      </c>
      <c r="M21" s="8">
        <v>4</v>
      </c>
      <c r="N21" s="19">
        <f t="shared" si="1"/>
        <v>3760</v>
      </c>
      <c r="O21" s="2">
        <v>350</v>
      </c>
      <c r="P21" s="21"/>
      <c r="Q21" s="22">
        <f t="shared" si="2"/>
        <v>0</v>
      </c>
      <c r="R21" s="31">
        <v>270</v>
      </c>
      <c r="S21" s="8"/>
      <c r="T21" s="19">
        <f t="shared" si="3"/>
        <v>0</v>
      </c>
      <c r="U21" s="15">
        <v>1000</v>
      </c>
      <c r="V21" s="8"/>
      <c r="W21" s="18">
        <f t="shared" si="4"/>
        <v>0</v>
      </c>
      <c r="X21" s="14">
        <f t="shared" si="5"/>
        <v>36100</v>
      </c>
    </row>
    <row r="22" spans="1:26" ht="20.100000000000001" customHeight="1" x14ac:dyDescent="0.15">
      <c r="A22" s="1">
        <v>17</v>
      </c>
      <c r="B22" s="1" t="s">
        <v>44</v>
      </c>
      <c r="C22" s="2" t="s">
        <v>79</v>
      </c>
      <c r="D22" s="89">
        <v>5190</v>
      </c>
      <c r="E22" s="7">
        <v>15</v>
      </c>
      <c r="F22" s="18">
        <f t="shared" si="6"/>
        <v>77850</v>
      </c>
      <c r="G22" s="47">
        <f t="shared" ref="G22:G24" si="35">E21*5890</f>
        <v>35340</v>
      </c>
      <c r="H22" s="47">
        <f t="shared" ref="H22" si="36">G22-F21</f>
        <v>4200</v>
      </c>
      <c r="I22" s="2">
        <v>300</v>
      </c>
      <c r="J22" s="7">
        <v>15</v>
      </c>
      <c r="K22" s="18">
        <f t="shared" si="0"/>
        <v>4500</v>
      </c>
      <c r="L22" s="2">
        <v>940</v>
      </c>
      <c r="M22" s="8"/>
      <c r="N22" s="19">
        <f t="shared" si="1"/>
        <v>0</v>
      </c>
      <c r="O22" s="2">
        <v>350</v>
      </c>
      <c r="P22" s="21">
        <v>22</v>
      </c>
      <c r="Q22" s="22">
        <f t="shared" si="2"/>
        <v>7700</v>
      </c>
      <c r="R22" s="31">
        <v>270</v>
      </c>
      <c r="S22" s="8">
        <v>30</v>
      </c>
      <c r="T22" s="19">
        <f t="shared" si="3"/>
        <v>8100</v>
      </c>
      <c r="U22" s="15">
        <v>1000</v>
      </c>
      <c r="V22" s="8"/>
      <c r="W22" s="18">
        <f t="shared" si="4"/>
        <v>0</v>
      </c>
      <c r="X22" s="14">
        <f t="shared" si="5"/>
        <v>90450</v>
      </c>
    </row>
    <row r="23" spans="1:26" ht="20.100000000000001" customHeight="1" x14ac:dyDescent="0.15">
      <c r="A23" s="1">
        <v>18</v>
      </c>
      <c r="B23" s="1" t="s">
        <v>63</v>
      </c>
      <c r="C23" s="2" t="s">
        <v>79</v>
      </c>
      <c r="D23" s="89">
        <v>5190</v>
      </c>
      <c r="E23" s="7">
        <v>5</v>
      </c>
      <c r="F23" s="18">
        <f t="shared" si="6"/>
        <v>25950</v>
      </c>
      <c r="G23" s="18">
        <f t="shared" ref="G23:G24" si="37">E23*5890</f>
        <v>29450</v>
      </c>
      <c r="H23" s="47">
        <f t="shared" ref="H23" si="38">G23-F23</f>
        <v>3500</v>
      </c>
      <c r="I23" s="2">
        <v>300</v>
      </c>
      <c r="J23" s="7">
        <v>5</v>
      </c>
      <c r="K23" s="18">
        <f t="shared" si="0"/>
        <v>1500</v>
      </c>
      <c r="L23" s="2">
        <v>940</v>
      </c>
      <c r="M23" s="8">
        <v>2</v>
      </c>
      <c r="N23" s="19">
        <f t="shared" si="1"/>
        <v>1880</v>
      </c>
      <c r="O23" s="2">
        <v>350</v>
      </c>
      <c r="P23" s="21"/>
      <c r="Q23" s="22">
        <f t="shared" si="2"/>
        <v>0</v>
      </c>
      <c r="R23" s="31">
        <v>270</v>
      </c>
      <c r="S23" s="8">
        <v>10</v>
      </c>
      <c r="T23" s="19">
        <f t="shared" si="3"/>
        <v>2700</v>
      </c>
      <c r="U23" s="15">
        <v>1000</v>
      </c>
      <c r="V23" s="8"/>
      <c r="W23" s="18">
        <f t="shared" si="4"/>
        <v>0</v>
      </c>
      <c r="X23" s="14">
        <f t="shared" si="5"/>
        <v>32030</v>
      </c>
    </row>
    <row r="24" spans="1:26" ht="20.100000000000001" hidden="1" customHeight="1" x14ac:dyDescent="0.15">
      <c r="A24" s="1">
        <v>19</v>
      </c>
      <c r="B24" s="1" t="s">
        <v>65</v>
      </c>
      <c r="C24" s="2" t="s">
        <v>82</v>
      </c>
      <c r="D24" s="89">
        <v>5190</v>
      </c>
      <c r="E24" s="7">
        <v>21</v>
      </c>
      <c r="F24" s="18">
        <f t="shared" si="6"/>
        <v>108990</v>
      </c>
      <c r="G24" s="47">
        <f t="shared" ref="G24" si="39">E23*5890</f>
        <v>29450</v>
      </c>
      <c r="H24" s="47">
        <f t="shared" ref="H24" si="40">G24-F23</f>
        <v>3500</v>
      </c>
      <c r="I24" s="2">
        <v>300</v>
      </c>
      <c r="J24" s="7">
        <v>21</v>
      </c>
      <c r="K24" s="18">
        <f t="shared" si="0"/>
        <v>6300</v>
      </c>
      <c r="L24" s="2">
        <v>940</v>
      </c>
      <c r="M24" s="8">
        <v>1</v>
      </c>
      <c r="N24" s="19">
        <f t="shared" si="1"/>
        <v>940</v>
      </c>
      <c r="O24" s="2">
        <v>350</v>
      </c>
      <c r="P24" s="21">
        <v>17</v>
      </c>
      <c r="Q24" s="22">
        <f t="shared" si="2"/>
        <v>5950</v>
      </c>
      <c r="R24" s="31">
        <v>270</v>
      </c>
      <c r="S24" s="8">
        <v>41</v>
      </c>
      <c r="T24" s="19">
        <f t="shared" si="3"/>
        <v>11070</v>
      </c>
      <c r="U24" s="15">
        <v>1000</v>
      </c>
      <c r="V24" s="8"/>
      <c r="W24" s="18">
        <f t="shared" si="4"/>
        <v>0</v>
      </c>
      <c r="X24" s="14">
        <f t="shared" si="5"/>
        <v>127300</v>
      </c>
    </row>
    <row r="25" spans="1:26" ht="20.100000000000001" hidden="1" customHeight="1" x14ac:dyDescent="0.15">
      <c r="A25" s="1">
        <v>21</v>
      </c>
      <c r="B25" s="1"/>
      <c r="C25" s="2"/>
      <c r="D25" s="14">
        <v>5190</v>
      </c>
      <c r="E25" s="7"/>
      <c r="F25" s="18">
        <f t="shared" si="6"/>
        <v>0</v>
      </c>
      <c r="G25" s="18"/>
      <c r="H25" s="18"/>
      <c r="I25" s="2">
        <v>300</v>
      </c>
      <c r="J25" s="7"/>
      <c r="K25" s="18">
        <f t="shared" si="0"/>
        <v>0</v>
      </c>
      <c r="L25" s="2">
        <v>940</v>
      </c>
      <c r="M25" s="8"/>
      <c r="N25" s="19">
        <f t="shared" si="1"/>
        <v>0</v>
      </c>
      <c r="O25" s="2">
        <v>350</v>
      </c>
      <c r="P25" s="21"/>
      <c r="Q25" s="22">
        <f t="shared" si="2"/>
        <v>0</v>
      </c>
      <c r="R25" s="31">
        <v>270</v>
      </c>
      <c r="S25" s="8"/>
      <c r="T25" s="19">
        <f t="shared" si="3"/>
        <v>0</v>
      </c>
      <c r="U25" s="15">
        <v>1000</v>
      </c>
      <c r="V25" s="8"/>
      <c r="W25" s="18">
        <f t="shared" si="4"/>
        <v>0</v>
      </c>
      <c r="X25" s="14">
        <f t="shared" si="5"/>
        <v>0</v>
      </c>
    </row>
    <row r="26" spans="1:26" ht="20.100000000000001" hidden="1" customHeight="1" x14ac:dyDescent="0.15">
      <c r="A26" s="1">
        <v>22</v>
      </c>
      <c r="B26" s="1"/>
      <c r="C26" s="2"/>
      <c r="D26" s="14">
        <v>5190</v>
      </c>
      <c r="E26" s="7"/>
      <c r="F26" s="18">
        <f t="shared" si="6"/>
        <v>0</v>
      </c>
      <c r="G26" s="18"/>
      <c r="H26" s="18"/>
      <c r="I26" s="2">
        <v>300</v>
      </c>
      <c r="J26" s="7"/>
      <c r="K26" s="18">
        <f t="shared" si="0"/>
        <v>0</v>
      </c>
      <c r="L26" s="2">
        <v>940</v>
      </c>
      <c r="M26" s="8"/>
      <c r="N26" s="19">
        <f t="shared" si="1"/>
        <v>0</v>
      </c>
      <c r="O26" s="2">
        <v>350</v>
      </c>
      <c r="P26" s="21"/>
      <c r="Q26" s="22">
        <f t="shared" si="2"/>
        <v>0</v>
      </c>
      <c r="R26" s="31">
        <v>270</v>
      </c>
      <c r="S26" s="8"/>
      <c r="T26" s="19">
        <f t="shared" si="3"/>
        <v>0</v>
      </c>
      <c r="U26" s="15">
        <v>1000</v>
      </c>
      <c r="V26" s="8"/>
      <c r="W26" s="18">
        <f t="shared" si="4"/>
        <v>0</v>
      </c>
      <c r="X26" s="14">
        <f t="shared" si="5"/>
        <v>0</v>
      </c>
    </row>
    <row r="27" spans="1:26" hidden="1" x14ac:dyDescent="0.15">
      <c r="A27" s="1"/>
      <c r="B27" s="1"/>
      <c r="C27" s="1"/>
      <c r="D27" s="1"/>
      <c r="E27" s="1"/>
      <c r="F27" s="15">
        <f>SUM(F5:F25)</f>
        <v>1401300</v>
      </c>
      <c r="G27" s="15"/>
      <c r="H27" s="15">
        <f>SUM(H6:H26)</f>
        <v>170100</v>
      </c>
      <c r="I27" s="15"/>
      <c r="J27" s="15"/>
      <c r="K27" s="15">
        <f>SUM(K5:K25)</f>
        <v>18000</v>
      </c>
      <c r="L27" s="15"/>
      <c r="M27" s="15"/>
      <c r="N27" s="15">
        <f>SUM(N5:N25)</f>
        <v>29140</v>
      </c>
      <c r="O27" s="15"/>
      <c r="P27" s="15"/>
      <c r="Q27" s="15">
        <f>SUM(Q5:Q25)</f>
        <v>53650</v>
      </c>
      <c r="R27" s="15"/>
      <c r="S27" s="1"/>
      <c r="T27" s="15">
        <f>SUM(T5:T25)</f>
        <v>109350</v>
      </c>
      <c r="U27" s="1"/>
      <c r="V27" s="1"/>
      <c r="W27" s="15">
        <f>SUM(W5:W25)</f>
        <v>0</v>
      </c>
      <c r="X27" s="15">
        <f>SUM(X6:X25)</f>
        <v>1557790</v>
      </c>
    </row>
    <row r="29" spans="1:26" ht="13.5" customHeight="1" x14ac:dyDescent="0.15">
      <c r="B29" s="75" t="s">
        <v>42</v>
      </c>
      <c r="C29" s="75"/>
      <c r="D29" s="75"/>
      <c r="E29" s="75"/>
      <c r="F29" s="75"/>
      <c r="G29" s="50"/>
      <c r="H29" s="50"/>
      <c r="J29" s="76"/>
      <c r="K29" s="76"/>
      <c r="L29" s="76"/>
      <c r="M29" s="76"/>
      <c r="N29" s="76"/>
      <c r="Q29" s="11"/>
      <c r="R29" s="11"/>
      <c r="S29" s="11"/>
      <c r="T29" s="11"/>
      <c r="U29" s="11"/>
      <c r="V29" s="11"/>
      <c r="W29" s="11"/>
      <c r="X29" s="9"/>
      <c r="Y29" s="26"/>
      <c r="Z29" s="26"/>
    </row>
    <row r="30" spans="1:26" ht="13.5" customHeight="1" x14ac:dyDescent="0.15">
      <c r="B30" s="1"/>
      <c r="C30" s="1"/>
      <c r="D30" s="1"/>
      <c r="E30" s="1"/>
      <c r="F30" s="1"/>
      <c r="G30" s="29"/>
      <c r="H30" s="29"/>
      <c r="J30" s="29"/>
      <c r="K30" s="30"/>
      <c r="L30" s="29"/>
      <c r="M30" s="77"/>
      <c r="N30" s="77"/>
      <c r="O30" s="78"/>
      <c r="P30" s="78"/>
      <c r="Q30" s="9"/>
      <c r="R30" s="9"/>
      <c r="S30" s="9"/>
      <c r="T30" s="9"/>
      <c r="U30" s="56">
        <f>X27</f>
        <v>1557790</v>
      </c>
      <c r="V30" s="56"/>
      <c r="W30" s="56"/>
      <c r="X30" s="56"/>
      <c r="Y30" s="26"/>
      <c r="Z30" s="26"/>
    </row>
    <row r="31" spans="1:26" ht="13.5" customHeight="1" x14ac:dyDescent="0.15">
      <c r="B31" s="28" t="s">
        <v>56</v>
      </c>
      <c r="C31" s="28"/>
      <c r="D31" s="1">
        <v>350</v>
      </c>
      <c r="E31" s="1">
        <v>1</v>
      </c>
      <c r="F31" s="1">
        <f>SUM(D31*E31)</f>
        <v>350</v>
      </c>
      <c r="G31" s="29"/>
      <c r="H31" s="29"/>
      <c r="J31" s="29"/>
      <c r="K31" s="30"/>
      <c r="L31" s="29"/>
      <c r="M31" s="77"/>
      <c r="N31" s="77"/>
      <c r="O31" s="78"/>
      <c r="P31" s="78"/>
      <c r="Q31" s="11"/>
      <c r="R31" s="11"/>
      <c r="S31" s="11"/>
      <c r="T31" s="11"/>
      <c r="U31" s="56"/>
      <c r="V31" s="56"/>
      <c r="W31" s="56"/>
      <c r="X31" s="56"/>
      <c r="Y31" s="27"/>
      <c r="Z31" s="26"/>
    </row>
    <row r="32" spans="1:26" ht="13.5" customHeight="1" x14ac:dyDescent="0.15">
      <c r="U32" s="56"/>
      <c r="V32" s="56"/>
      <c r="W32" s="56"/>
      <c r="X32" s="56"/>
      <c r="Y32" s="27"/>
      <c r="Z32" s="26"/>
    </row>
    <row r="33" spans="20:26" ht="13.5" customHeight="1" x14ac:dyDescent="0.15">
      <c r="T33" s="26"/>
      <c r="U33" s="26"/>
      <c r="V33" s="27"/>
      <c r="W33" s="27"/>
      <c r="X33" s="27"/>
      <c r="Y33" s="27"/>
      <c r="Z33" s="26"/>
    </row>
    <row r="34" spans="20:26" x14ac:dyDescent="0.15">
      <c r="T34" s="26"/>
      <c r="U34" s="26"/>
      <c r="V34" s="26"/>
      <c r="W34" s="26"/>
      <c r="X34" s="26"/>
      <c r="Y34" s="26"/>
      <c r="Z34" s="26"/>
    </row>
    <row r="35" spans="20:26" x14ac:dyDescent="0.15">
      <c r="T35" s="26"/>
      <c r="U35" s="26"/>
      <c r="V35" s="26"/>
      <c r="W35" s="26"/>
      <c r="X35" s="26"/>
      <c r="Y35" s="26"/>
      <c r="Z35" s="26"/>
    </row>
  </sheetData>
  <autoFilter ref="A4:Z27">
    <filterColumn colId="2">
      <filters>
        <filter val="尾道"/>
      </filters>
    </filterColumn>
  </autoFilter>
  <mergeCells count="31"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workbookViewId="0">
      <selection activeCell="G16" sqref="G16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17</v>
      </c>
    </row>
    <row r="2" spans="1:24" x14ac:dyDescent="0.15">
      <c r="A2" s="57" t="s">
        <v>67</v>
      </c>
      <c r="B2" s="58"/>
      <c r="C2" s="50"/>
    </row>
    <row r="3" spans="1:24" x14ac:dyDescent="0.15">
      <c r="A3" s="59"/>
      <c r="B3" s="60"/>
      <c r="C3" s="92"/>
      <c r="D3" s="51" t="s">
        <v>0</v>
      </c>
      <c r="E3" s="52"/>
      <c r="F3" s="53"/>
      <c r="G3" s="45"/>
      <c r="H3" s="45"/>
      <c r="I3" s="51" t="s">
        <v>1</v>
      </c>
      <c r="J3" s="52"/>
      <c r="K3" s="53"/>
      <c r="L3" s="51" t="s">
        <v>2</v>
      </c>
      <c r="M3" s="52"/>
      <c r="N3" s="53"/>
      <c r="O3" s="51" t="s">
        <v>42</v>
      </c>
      <c r="P3" s="52"/>
      <c r="Q3" s="53"/>
      <c r="R3" s="51" t="s">
        <v>64</v>
      </c>
      <c r="S3" s="52"/>
      <c r="T3" s="53"/>
      <c r="U3" s="51" t="s">
        <v>4</v>
      </c>
      <c r="V3" s="52"/>
      <c r="W3" s="53"/>
      <c r="X3" s="54" t="s">
        <v>15</v>
      </c>
    </row>
    <row r="4" spans="1:24" ht="14.25" thickBot="1" x14ac:dyDescent="0.2">
      <c r="A4" s="2"/>
      <c r="B4" s="12" t="s">
        <v>5</v>
      </c>
      <c r="C4" s="12"/>
      <c r="D4" s="3">
        <v>5890</v>
      </c>
      <c r="E4" s="13" t="s">
        <v>14</v>
      </c>
      <c r="F4" s="3"/>
      <c r="G4" s="3"/>
      <c r="H4" s="3"/>
      <c r="I4" s="3">
        <v>300</v>
      </c>
      <c r="J4" s="13" t="s">
        <v>14</v>
      </c>
      <c r="K4" s="3"/>
      <c r="L4" s="3">
        <v>940</v>
      </c>
      <c r="M4" s="13" t="s">
        <v>14</v>
      </c>
      <c r="N4" s="3"/>
      <c r="O4" s="3">
        <v>350</v>
      </c>
      <c r="P4" s="13" t="s">
        <v>14</v>
      </c>
      <c r="Q4" s="3"/>
      <c r="R4" s="16">
        <v>270</v>
      </c>
      <c r="S4" s="3" t="s">
        <v>14</v>
      </c>
      <c r="T4" s="3"/>
      <c r="U4" s="16">
        <v>1000</v>
      </c>
      <c r="V4" s="13" t="s">
        <v>14</v>
      </c>
      <c r="W4" s="3"/>
      <c r="X4" s="55"/>
    </row>
    <row r="5" spans="1:24" ht="14.25" customHeight="1" thickTop="1" x14ac:dyDescent="0.15">
      <c r="A5" s="2"/>
      <c r="B5" s="93" t="s">
        <v>29</v>
      </c>
      <c r="C5" s="48"/>
      <c r="D5" s="90">
        <v>5190</v>
      </c>
      <c r="E5" s="69">
        <v>17</v>
      </c>
      <c r="F5" s="73">
        <f>SUM(D5*E5)</f>
        <v>88230</v>
      </c>
      <c r="G5" s="46"/>
      <c r="H5" s="46"/>
      <c r="I5" s="79">
        <v>300</v>
      </c>
      <c r="J5" s="69"/>
      <c r="K5" s="73">
        <f>SUM(I5*J5)</f>
        <v>0</v>
      </c>
      <c r="L5" s="79">
        <v>940</v>
      </c>
      <c r="M5" s="69">
        <v>4</v>
      </c>
      <c r="N5" s="71">
        <f>SUM(L5*M5)</f>
        <v>3760</v>
      </c>
      <c r="O5" s="6"/>
      <c r="P5" s="24"/>
      <c r="Q5" s="25"/>
      <c r="R5" s="87">
        <v>270</v>
      </c>
      <c r="S5" s="69">
        <v>34</v>
      </c>
      <c r="T5" s="71">
        <f>SUM(R5*S5)</f>
        <v>9180</v>
      </c>
      <c r="U5" s="81">
        <v>1000</v>
      </c>
      <c r="V5" s="85"/>
      <c r="W5" s="73">
        <f>SUM(V6*U5)</f>
        <v>0</v>
      </c>
      <c r="X5" s="23"/>
    </row>
    <row r="6" spans="1:24" ht="20.100000000000001" customHeight="1" x14ac:dyDescent="0.15">
      <c r="A6" s="1">
        <v>1</v>
      </c>
      <c r="B6" s="94"/>
      <c r="C6" s="49" t="s">
        <v>78</v>
      </c>
      <c r="D6" s="91"/>
      <c r="E6" s="70"/>
      <c r="F6" s="74"/>
      <c r="G6" s="47">
        <f>E5*5890</f>
        <v>100130</v>
      </c>
      <c r="H6" s="47">
        <f>G6-F5</f>
        <v>11900</v>
      </c>
      <c r="I6" s="80"/>
      <c r="J6" s="70"/>
      <c r="K6" s="74"/>
      <c r="L6" s="80"/>
      <c r="M6" s="70"/>
      <c r="N6" s="72"/>
      <c r="O6" s="2">
        <v>290</v>
      </c>
      <c r="P6" s="20"/>
      <c r="Q6" s="32">
        <v>5230</v>
      </c>
      <c r="R6" s="88"/>
      <c r="S6" s="70"/>
      <c r="T6" s="72"/>
      <c r="U6" s="82"/>
      <c r="V6" s="86"/>
      <c r="W6" s="74"/>
      <c r="X6" s="14">
        <f>SUM(F5+K5+N5+T5+W5)</f>
        <v>101170</v>
      </c>
    </row>
    <row r="7" spans="1:24" ht="20.100000000000001" customHeight="1" x14ac:dyDescent="0.15">
      <c r="A7" s="1">
        <v>2</v>
      </c>
      <c r="B7" s="1" t="s">
        <v>30</v>
      </c>
      <c r="C7" s="49" t="s">
        <v>78</v>
      </c>
      <c r="D7" s="89">
        <v>5190</v>
      </c>
      <c r="E7" s="7">
        <v>19</v>
      </c>
      <c r="F7" s="18">
        <f>SUM(D7*E7)</f>
        <v>98610</v>
      </c>
      <c r="G7" s="18">
        <f>E7*5890</f>
        <v>111910</v>
      </c>
      <c r="H7" s="47">
        <f>G7-F7</f>
        <v>13300</v>
      </c>
      <c r="I7" s="2">
        <v>300</v>
      </c>
      <c r="J7" s="7"/>
      <c r="K7" s="18">
        <f t="shared" ref="K7:K27" si="0">SUM(I7*J7)</f>
        <v>0</v>
      </c>
      <c r="L7" s="2">
        <v>940</v>
      </c>
      <c r="M7" s="8">
        <v>2</v>
      </c>
      <c r="N7" s="19">
        <f t="shared" ref="N7:N27" si="1">SUM(L7*M7)</f>
        <v>1880</v>
      </c>
      <c r="O7" s="2">
        <v>350</v>
      </c>
      <c r="P7" s="21">
        <v>19</v>
      </c>
      <c r="Q7" s="32">
        <f t="shared" ref="Q7:Q26" si="2">SUM(O7*P7)</f>
        <v>6650</v>
      </c>
      <c r="R7" s="31">
        <v>270</v>
      </c>
      <c r="S7" s="8">
        <v>38</v>
      </c>
      <c r="T7" s="19">
        <f t="shared" ref="T7:T27" si="3">SUM(R7*S7)</f>
        <v>10260</v>
      </c>
      <c r="U7" s="15">
        <v>1000</v>
      </c>
      <c r="V7" s="8"/>
      <c r="W7" s="18">
        <f t="shared" ref="W7:W27" si="4">SUM(V7*U7)</f>
        <v>0</v>
      </c>
      <c r="X7" s="14">
        <f t="shared" ref="X7:X27" si="5">SUM(F7+K7+N7+T7+W7)</f>
        <v>110750</v>
      </c>
    </row>
    <row r="8" spans="1:24" ht="20.100000000000001" customHeight="1" x14ac:dyDescent="0.15">
      <c r="A8" s="1">
        <v>3</v>
      </c>
      <c r="B8" s="1" t="s">
        <v>31</v>
      </c>
      <c r="C8" s="2" t="s">
        <v>79</v>
      </c>
      <c r="D8" s="89">
        <v>5190</v>
      </c>
      <c r="E8" s="7">
        <v>19</v>
      </c>
      <c r="F8" s="18">
        <f t="shared" ref="F8:F27" si="6">SUM(D8*E8)</f>
        <v>98610</v>
      </c>
      <c r="G8" s="47">
        <f t="shared" ref="G8:G24" si="7">E7*5890</f>
        <v>111910</v>
      </c>
      <c r="H8" s="47">
        <f t="shared" ref="H8" si="8">G8-F7</f>
        <v>13300</v>
      </c>
      <c r="I8" s="2">
        <v>300</v>
      </c>
      <c r="J8" s="7"/>
      <c r="K8" s="18">
        <f t="shared" si="0"/>
        <v>0</v>
      </c>
      <c r="L8" s="2">
        <v>940</v>
      </c>
      <c r="M8" s="8">
        <v>2</v>
      </c>
      <c r="N8" s="19">
        <f t="shared" si="1"/>
        <v>1880</v>
      </c>
      <c r="O8" s="2">
        <v>350</v>
      </c>
      <c r="P8" s="21"/>
      <c r="Q8" s="32">
        <f t="shared" si="2"/>
        <v>0</v>
      </c>
      <c r="R8" s="31">
        <v>270</v>
      </c>
      <c r="S8" s="8"/>
      <c r="T8" s="19">
        <f t="shared" si="3"/>
        <v>0</v>
      </c>
      <c r="U8" s="15">
        <v>1000</v>
      </c>
      <c r="V8" s="8"/>
      <c r="W8" s="18">
        <f t="shared" si="4"/>
        <v>0</v>
      </c>
      <c r="X8" s="14">
        <f t="shared" si="5"/>
        <v>100490</v>
      </c>
    </row>
    <row r="9" spans="1:24" ht="20.100000000000001" customHeight="1" x14ac:dyDescent="0.15">
      <c r="A9" s="1">
        <v>4</v>
      </c>
      <c r="B9" s="1" t="s">
        <v>32</v>
      </c>
      <c r="C9" s="2" t="s">
        <v>80</v>
      </c>
      <c r="D9" s="89">
        <v>5190</v>
      </c>
      <c r="E9" s="7">
        <v>23</v>
      </c>
      <c r="F9" s="18">
        <f t="shared" si="6"/>
        <v>119370</v>
      </c>
      <c r="G9" s="18">
        <f t="shared" ref="G9:G24" si="9">E9*5890</f>
        <v>135470</v>
      </c>
      <c r="H9" s="47">
        <f t="shared" ref="H9" si="10">G9-F9</f>
        <v>16100</v>
      </c>
      <c r="I9" s="2">
        <v>300</v>
      </c>
      <c r="J9" s="7"/>
      <c r="K9" s="18">
        <f t="shared" si="0"/>
        <v>0</v>
      </c>
      <c r="L9" s="2">
        <v>940</v>
      </c>
      <c r="M9" s="8"/>
      <c r="N9" s="19">
        <f t="shared" si="1"/>
        <v>0</v>
      </c>
      <c r="O9" s="2">
        <v>350</v>
      </c>
      <c r="P9" s="21"/>
      <c r="Q9" s="32">
        <f t="shared" si="2"/>
        <v>0</v>
      </c>
      <c r="R9" s="31">
        <v>270</v>
      </c>
      <c r="S9" s="8"/>
      <c r="T9" s="19">
        <f t="shared" si="3"/>
        <v>0</v>
      </c>
      <c r="U9" s="15">
        <v>1000</v>
      </c>
      <c r="V9" s="8"/>
      <c r="W9" s="18">
        <f t="shared" si="4"/>
        <v>0</v>
      </c>
      <c r="X9" s="14">
        <f t="shared" si="5"/>
        <v>119370</v>
      </c>
    </row>
    <row r="10" spans="1:24" ht="20.100000000000001" customHeight="1" x14ac:dyDescent="0.15">
      <c r="A10" s="1">
        <v>5</v>
      </c>
      <c r="B10" s="1" t="s">
        <v>33</v>
      </c>
      <c r="C10" s="2" t="s">
        <v>80</v>
      </c>
      <c r="D10" s="89">
        <v>5190</v>
      </c>
      <c r="E10" s="7">
        <v>23</v>
      </c>
      <c r="F10" s="18">
        <f t="shared" si="6"/>
        <v>119370</v>
      </c>
      <c r="G10" s="47">
        <f t="shared" ref="G10:G24" si="11">E9*5890</f>
        <v>135470</v>
      </c>
      <c r="H10" s="47">
        <f t="shared" ref="H10" si="12">G10-F9</f>
        <v>16100</v>
      </c>
      <c r="I10" s="2">
        <v>300</v>
      </c>
      <c r="J10" s="7"/>
      <c r="K10" s="18">
        <f t="shared" si="0"/>
        <v>0</v>
      </c>
      <c r="L10" s="2">
        <v>940</v>
      </c>
      <c r="M10" s="8"/>
      <c r="N10" s="19">
        <f t="shared" si="1"/>
        <v>0</v>
      </c>
      <c r="O10" s="2">
        <v>350</v>
      </c>
      <c r="P10" s="21"/>
      <c r="Q10" s="32">
        <f t="shared" si="2"/>
        <v>0</v>
      </c>
      <c r="R10" s="31">
        <v>270</v>
      </c>
      <c r="S10" s="8"/>
      <c r="T10" s="19">
        <f t="shared" si="3"/>
        <v>0</v>
      </c>
      <c r="U10" s="15">
        <v>1000</v>
      </c>
      <c r="V10" s="8"/>
      <c r="W10" s="18">
        <f t="shared" si="4"/>
        <v>0</v>
      </c>
      <c r="X10" s="14">
        <f t="shared" si="5"/>
        <v>119370</v>
      </c>
    </row>
    <row r="11" spans="1:24" ht="20.100000000000001" customHeight="1" x14ac:dyDescent="0.15">
      <c r="A11" s="1">
        <v>6</v>
      </c>
      <c r="B11" s="1" t="s">
        <v>34</v>
      </c>
      <c r="C11" s="2" t="s">
        <v>79</v>
      </c>
      <c r="D11" s="89">
        <v>5190</v>
      </c>
      <c r="E11" s="7"/>
      <c r="F11" s="18">
        <f t="shared" si="6"/>
        <v>0</v>
      </c>
      <c r="G11" s="18">
        <f t="shared" ref="G11:G24" si="13">E11*5890</f>
        <v>0</v>
      </c>
      <c r="H11" s="47">
        <f t="shared" ref="H11" si="14">G11-F11</f>
        <v>0</v>
      </c>
      <c r="I11" s="2">
        <v>300</v>
      </c>
      <c r="J11" s="7"/>
      <c r="K11" s="18">
        <f t="shared" si="0"/>
        <v>0</v>
      </c>
      <c r="L11" s="2">
        <v>940</v>
      </c>
      <c r="M11" s="8"/>
      <c r="N11" s="19">
        <f t="shared" si="1"/>
        <v>0</v>
      </c>
      <c r="O11" s="2">
        <v>350</v>
      </c>
      <c r="P11" s="21"/>
      <c r="Q11" s="32">
        <f t="shared" si="2"/>
        <v>0</v>
      </c>
      <c r="R11" s="31">
        <v>270</v>
      </c>
      <c r="S11" s="8"/>
      <c r="T11" s="19">
        <f t="shared" si="3"/>
        <v>0</v>
      </c>
      <c r="U11" s="15">
        <v>1000</v>
      </c>
      <c r="V11" s="8"/>
      <c r="W11" s="18">
        <f t="shared" si="4"/>
        <v>0</v>
      </c>
      <c r="X11" s="14">
        <f t="shared" si="5"/>
        <v>0</v>
      </c>
    </row>
    <row r="12" spans="1:24" ht="20.100000000000001" customHeight="1" x14ac:dyDescent="0.15">
      <c r="A12" s="1">
        <v>7</v>
      </c>
      <c r="B12" s="1" t="s">
        <v>35</v>
      </c>
      <c r="C12" s="2" t="s">
        <v>81</v>
      </c>
      <c r="D12" s="89">
        <v>5190</v>
      </c>
      <c r="E12" s="7">
        <v>19</v>
      </c>
      <c r="F12" s="18">
        <f t="shared" si="6"/>
        <v>98610</v>
      </c>
      <c r="G12" s="47">
        <f t="shared" ref="G12:G24" si="15">E11*5890</f>
        <v>0</v>
      </c>
      <c r="H12" s="47">
        <f t="shared" ref="H12" si="16">G12-F11</f>
        <v>0</v>
      </c>
      <c r="I12" s="2">
        <v>300</v>
      </c>
      <c r="J12" s="7"/>
      <c r="K12" s="18">
        <f t="shared" si="0"/>
        <v>0</v>
      </c>
      <c r="L12" s="2">
        <v>940</v>
      </c>
      <c r="M12" s="8">
        <v>3</v>
      </c>
      <c r="N12" s="19">
        <f t="shared" si="1"/>
        <v>2820</v>
      </c>
      <c r="O12" s="2">
        <v>350</v>
      </c>
      <c r="P12" s="21">
        <v>19</v>
      </c>
      <c r="Q12" s="32">
        <f t="shared" si="2"/>
        <v>6650</v>
      </c>
      <c r="R12" s="31">
        <v>270</v>
      </c>
      <c r="S12" s="8">
        <v>38</v>
      </c>
      <c r="T12" s="19">
        <f t="shared" si="3"/>
        <v>10260</v>
      </c>
      <c r="U12" s="15">
        <v>1000</v>
      </c>
      <c r="V12" s="8"/>
      <c r="W12" s="18">
        <f t="shared" si="4"/>
        <v>0</v>
      </c>
      <c r="X12" s="14">
        <f t="shared" si="5"/>
        <v>111690</v>
      </c>
    </row>
    <row r="13" spans="1:24" ht="20.100000000000001" customHeight="1" x14ac:dyDescent="0.15">
      <c r="A13" s="1">
        <v>8</v>
      </c>
      <c r="B13" s="1" t="s">
        <v>36</v>
      </c>
      <c r="C13" s="2" t="s">
        <v>79</v>
      </c>
      <c r="D13" s="89">
        <v>5190</v>
      </c>
      <c r="E13" s="7">
        <v>13</v>
      </c>
      <c r="F13" s="18">
        <f t="shared" si="6"/>
        <v>67470</v>
      </c>
      <c r="G13" s="18">
        <f t="shared" ref="G13:G24" si="17">E13*5890</f>
        <v>76570</v>
      </c>
      <c r="H13" s="47">
        <f t="shared" ref="H13" si="18">G13-F13</f>
        <v>9100</v>
      </c>
      <c r="I13" s="2">
        <v>300</v>
      </c>
      <c r="J13" s="7"/>
      <c r="K13" s="18">
        <f t="shared" si="0"/>
        <v>0</v>
      </c>
      <c r="L13" s="2">
        <v>940</v>
      </c>
      <c r="M13" s="8"/>
      <c r="N13" s="19">
        <f t="shared" si="1"/>
        <v>0</v>
      </c>
      <c r="O13" s="2">
        <v>350</v>
      </c>
      <c r="P13" s="21">
        <v>4</v>
      </c>
      <c r="Q13" s="32">
        <f t="shared" si="2"/>
        <v>1400</v>
      </c>
      <c r="R13" s="31">
        <v>270</v>
      </c>
      <c r="S13" s="8">
        <v>26</v>
      </c>
      <c r="T13" s="19">
        <f t="shared" si="3"/>
        <v>7020</v>
      </c>
      <c r="U13" s="15">
        <v>1000</v>
      </c>
      <c r="V13" s="8"/>
      <c r="W13" s="18">
        <f t="shared" si="4"/>
        <v>0</v>
      </c>
      <c r="X13" s="14">
        <f t="shared" si="5"/>
        <v>74490</v>
      </c>
    </row>
    <row r="14" spans="1:24" ht="20.100000000000001" customHeight="1" x14ac:dyDescent="0.15">
      <c r="A14" s="1">
        <v>9</v>
      </c>
      <c r="B14" s="2" t="s">
        <v>37</v>
      </c>
      <c r="C14" s="2" t="s">
        <v>79</v>
      </c>
      <c r="D14" s="89">
        <v>5190</v>
      </c>
      <c r="E14" s="7">
        <v>17</v>
      </c>
      <c r="F14" s="18">
        <f t="shared" si="6"/>
        <v>88230</v>
      </c>
      <c r="G14" s="47">
        <f t="shared" ref="G14:G24" si="19">E13*5890</f>
        <v>76570</v>
      </c>
      <c r="H14" s="47">
        <f t="shared" ref="H14" si="20">G14-F13</f>
        <v>9100</v>
      </c>
      <c r="I14" s="2">
        <v>300</v>
      </c>
      <c r="J14" s="7"/>
      <c r="K14" s="18">
        <f t="shared" si="0"/>
        <v>0</v>
      </c>
      <c r="L14" s="2">
        <v>940</v>
      </c>
      <c r="M14" s="8">
        <v>4</v>
      </c>
      <c r="N14" s="19">
        <f t="shared" si="1"/>
        <v>3760</v>
      </c>
      <c r="O14" s="2">
        <v>350</v>
      </c>
      <c r="P14" s="21">
        <v>17</v>
      </c>
      <c r="Q14" s="32">
        <f t="shared" si="2"/>
        <v>5950</v>
      </c>
      <c r="R14" s="31">
        <v>270</v>
      </c>
      <c r="S14" s="8">
        <v>34</v>
      </c>
      <c r="T14" s="19">
        <f t="shared" si="3"/>
        <v>9180</v>
      </c>
      <c r="U14" s="15">
        <v>1000</v>
      </c>
      <c r="V14" s="8"/>
      <c r="W14" s="18">
        <f t="shared" si="4"/>
        <v>0</v>
      </c>
      <c r="X14" s="14">
        <f t="shared" si="5"/>
        <v>101170</v>
      </c>
    </row>
    <row r="15" spans="1:24" ht="20.100000000000001" customHeight="1" x14ac:dyDescent="0.15">
      <c r="A15" s="1">
        <v>10</v>
      </c>
      <c r="B15" s="2" t="s">
        <v>38</v>
      </c>
      <c r="C15" s="2" t="s">
        <v>79</v>
      </c>
      <c r="D15" s="89">
        <v>5190</v>
      </c>
      <c r="E15" s="7">
        <v>14</v>
      </c>
      <c r="F15" s="18">
        <f t="shared" si="6"/>
        <v>72660</v>
      </c>
      <c r="G15" s="18">
        <f t="shared" ref="G15:G24" si="21">E15*5890</f>
        <v>82460</v>
      </c>
      <c r="H15" s="47">
        <f t="shared" ref="H15" si="22">G15-F15</f>
        <v>9800</v>
      </c>
      <c r="I15" s="2">
        <v>300</v>
      </c>
      <c r="J15" s="7"/>
      <c r="K15" s="18">
        <f t="shared" si="0"/>
        <v>0</v>
      </c>
      <c r="L15" s="2">
        <v>940</v>
      </c>
      <c r="M15" s="8"/>
      <c r="N15" s="19">
        <f t="shared" si="1"/>
        <v>0</v>
      </c>
      <c r="O15" s="2">
        <v>350</v>
      </c>
      <c r="P15" s="21">
        <v>14</v>
      </c>
      <c r="Q15" s="32">
        <f t="shared" si="2"/>
        <v>4900</v>
      </c>
      <c r="R15" s="31">
        <v>270</v>
      </c>
      <c r="S15" s="8">
        <v>28</v>
      </c>
      <c r="T15" s="19">
        <f t="shared" si="3"/>
        <v>7560</v>
      </c>
      <c r="U15" s="15">
        <v>1000</v>
      </c>
      <c r="V15" s="8"/>
      <c r="W15" s="18">
        <f t="shared" si="4"/>
        <v>0</v>
      </c>
      <c r="X15" s="14">
        <f t="shared" si="5"/>
        <v>80220</v>
      </c>
    </row>
    <row r="16" spans="1:24" ht="20.100000000000001" customHeight="1" x14ac:dyDescent="0.15">
      <c r="A16" s="1">
        <v>11</v>
      </c>
      <c r="B16" s="1" t="s">
        <v>39</v>
      </c>
      <c r="C16" s="2"/>
      <c r="D16" s="89">
        <v>5190</v>
      </c>
      <c r="E16" s="7"/>
      <c r="F16" s="18">
        <f t="shared" si="6"/>
        <v>0</v>
      </c>
      <c r="G16" s="47">
        <f t="shared" ref="G16:G24" si="23">E15*5890</f>
        <v>82460</v>
      </c>
      <c r="H16" s="47">
        <f t="shared" ref="H16" si="24">G16-F15</f>
        <v>9800</v>
      </c>
      <c r="I16" s="2">
        <v>300</v>
      </c>
      <c r="J16" s="7"/>
      <c r="K16" s="18">
        <f t="shared" si="0"/>
        <v>0</v>
      </c>
      <c r="L16" s="2">
        <v>940</v>
      </c>
      <c r="M16" s="8"/>
      <c r="N16" s="19">
        <f t="shared" si="1"/>
        <v>0</v>
      </c>
      <c r="O16" s="2">
        <v>350</v>
      </c>
      <c r="P16" s="21"/>
      <c r="Q16" s="32">
        <f t="shared" si="2"/>
        <v>0</v>
      </c>
      <c r="R16" s="31">
        <v>270</v>
      </c>
      <c r="S16" s="8"/>
      <c r="T16" s="19">
        <f t="shared" si="3"/>
        <v>0</v>
      </c>
      <c r="U16" s="15">
        <v>1000</v>
      </c>
      <c r="V16" s="8"/>
      <c r="W16" s="18">
        <f t="shared" si="4"/>
        <v>0</v>
      </c>
      <c r="X16" s="14">
        <f t="shared" si="5"/>
        <v>0</v>
      </c>
    </row>
    <row r="17" spans="1:26" ht="20.100000000000001" customHeight="1" x14ac:dyDescent="0.15">
      <c r="A17" s="1">
        <v>12</v>
      </c>
      <c r="B17" s="1" t="s">
        <v>48</v>
      </c>
      <c r="C17" s="2" t="s">
        <v>79</v>
      </c>
      <c r="D17" s="89">
        <v>5190</v>
      </c>
      <c r="E17" s="7">
        <v>8</v>
      </c>
      <c r="F17" s="18">
        <f t="shared" si="6"/>
        <v>41520</v>
      </c>
      <c r="G17" s="18">
        <f t="shared" ref="G17:G24" si="25">E17*5890</f>
        <v>47120</v>
      </c>
      <c r="H17" s="47">
        <f t="shared" ref="H17" si="26">G17-F17</f>
        <v>5600</v>
      </c>
      <c r="I17" s="2">
        <v>300</v>
      </c>
      <c r="J17" s="7"/>
      <c r="K17" s="18">
        <f t="shared" si="0"/>
        <v>0</v>
      </c>
      <c r="L17" s="2">
        <v>940</v>
      </c>
      <c r="M17" s="8">
        <v>4</v>
      </c>
      <c r="N17" s="19">
        <f t="shared" si="1"/>
        <v>3760</v>
      </c>
      <c r="O17" s="2">
        <v>350</v>
      </c>
      <c r="P17" s="21"/>
      <c r="Q17" s="32">
        <f t="shared" si="2"/>
        <v>0</v>
      </c>
      <c r="R17" s="31">
        <v>270</v>
      </c>
      <c r="S17" s="8"/>
      <c r="T17" s="19">
        <f t="shared" si="3"/>
        <v>0</v>
      </c>
      <c r="U17" s="15">
        <v>1000</v>
      </c>
      <c r="V17" s="8"/>
      <c r="W17" s="18">
        <f t="shared" si="4"/>
        <v>0</v>
      </c>
      <c r="X17" s="14">
        <f t="shared" si="5"/>
        <v>45280</v>
      </c>
    </row>
    <row r="18" spans="1:26" ht="20.100000000000001" customHeight="1" x14ac:dyDescent="0.15">
      <c r="A18" s="1">
        <v>13</v>
      </c>
      <c r="B18" s="1" t="s">
        <v>50</v>
      </c>
      <c r="C18" s="2" t="s">
        <v>78</v>
      </c>
      <c r="D18" s="89">
        <v>5190</v>
      </c>
      <c r="E18" s="7">
        <v>21</v>
      </c>
      <c r="F18" s="18">
        <f t="shared" si="6"/>
        <v>108990</v>
      </c>
      <c r="G18" s="47">
        <f t="shared" ref="G18:G24" si="27">E17*5890</f>
        <v>47120</v>
      </c>
      <c r="H18" s="47">
        <f t="shared" ref="H18" si="28">G18-F17</f>
        <v>5600</v>
      </c>
      <c r="I18" s="2">
        <v>300</v>
      </c>
      <c r="J18" s="7"/>
      <c r="K18" s="18">
        <f t="shared" si="0"/>
        <v>0</v>
      </c>
      <c r="L18" s="2">
        <v>940</v>
      </c>
      <c r="M18" s="8">
        <v>1</v>
      </c>
      <c r="N18" s="19">
        <f t="shared" si="1"/>
        <v>940</v>
      </c>
      <c r="O18" s="2">
        <v>350</v>
      </c>
      <c r="P18" s="21">
        <v>21</v>
      </c>
      <c r="Q18" s="32">
        <f t="shared" si="2"/>
        <v>7350</v>
      </c>
      <c r="R18" s="31">
        <v>270</v>
      </c>
      <c r="S18" s="8">
        <v>42</v>
      </c>
      <c r="T18" s="19">
        <f t="shared" si="3"/>
        <v>11340</v>
      </c>
      <c r="U18" s="15">
        <v>1000</v>
      </c>
      <c r="V18" s="8"/>
      <c r="W18" s="18">
        <f t="shared" si="4"/>
        <v>0</v>
      </c>
      <c r="X18" s="14">
        <f t="shared" si="5"/>
        <v>121270</v>
      </c>
    </row>
    <row r="19" spans="1:26" ht="20.100000000000001" customHeight="1" x14ac:dyDescent="0.15">
      <c r="A19" s="1">
        <v>14</v>
      </c>
      <c r="B19" s="1" t="s">
        <v>61</v>
      </c>
      <c r="C19" s="2" t="s">
        <v>79</v>
      </c>
      <c r="D19" s="89">
        <v>5190</v>
      </c>
      <c r="E19" s="7">
        <v>20</v>
      </c>
      <c r="F19" s="18">
        <f t="shared" si="6"/>
        <v>103800</v>
      </c>
      <c r="G19" s="18">
        <f t="shared" ref="G19:G24" si="29">E19*5890</f>
        <v>117800</v>
      </c>
      <c r="H19" s="47">
        <f t="shared" ref="H19" si="30">G19-F19</f>
        <v>14000</v>
      </c>
      <c r="I19" s="2">
        <v>300</v>
      </c>
      <c r="J19" s="7"/>
      <c r="K19" s="18">
        <f t="shared" si="0"/>
        <v>0</v>
      </c>
      <c r="L19" s="2">
        <v>940</v>
      </c>
      <c r="M19" s="8">
        <v>2</v>
      </c>
      <c r="N19" s="19">
        <f t="shared" si="1"/>
        <v>1880</v>
      </c>
      <c r="O19" s="2">
        <v>290</v>
      </c>
      <c r="P19" s="21">
        <v>1</v>
      </c>
      <c r="Q19" s="32">
        <f t="shared" si="2"/>
        <v>290</v>
      </c>
      <c r="R19" s="31">
        <v>270</v>
      </c>
      <c r="S19" s="8">
        <v>40</v>
      </c>
      <c r="T19" s="19">
        <f t="shared" si="3"/>
        <v>10800</v>
      </c>
      <c r="U19" s="15">
        <v>1000</v>
      </c>
      <c r="V19" s="8"/>
      <c r="W19" s="18">
        <f t="shared" si="4"/>
        <v>0</v>
      </c>
      <c r="X19" s="14">
        <f t="shared" si="5"/>
        <v>116480</v>
      </c>
    </row>
    <row r="20" spans="1:26" ht="20.100000000000001" customHeight="1" x14ac:dyDescent="0.15">
      <c r="A20" s="1">
        <v>15</v>
      </c>
      <c r="B20" s="1" t="s">
        <v>52</v>
      </c>
      <c r="C20" s="2" t="s">
        <v>79</v>
      </c>
      <c r="D20" s="89">
        <v>5190</v>
      </c>
      <c r="E20" s="7">
        <v>20</v>
      </c>
      <c r="F20" s="18">
        <f t="shared" si="6"/>
        <v>103800</v>
      </c>
      <c r="G20" s="47">
        <f t="shared" ref="G20:G24" si="31">E19*5890</f>
        <v>117800</v>
      </c>
      <c r="H20" s="47">
        <f t="shared" ref="H20" si="32">G20-F19</f>
        <v>14000</v>
      </c>
      <c r="I20" s="2">
        <v>300</v>
      </c>
      <c r="J20" s="7"/>
      <c r="K20" s="18">
        <f t="shared" si="0"/>
        <v>0</v>
      </c>
      <c r="L20" s="2">
        <v>940</v>
      </c>
      <c r="M20" s="8">
        <v>2</v>
      </c>
      <c r="N20" s="19">
        <f t="shared" si="1"/>
        <v>1880</v>
      </c>
      <c r="O20" s="2">
        <v>350</v>
      </c>
      <c r="P20" s="21"/>
      <c r="Q20" s="32">
        <f t="shared" si="2"/>
        <v>0</v>
      </c>
      <c r="R20" s="31">
        <v>270</v>
      </c>
      <c r="S20" s="8">
        <v>40</v>
      </c>
      <c r="T20" s="19">
        <f t="shared" si="3"/>
        <v>10800</v>
      </c>
      <c r="U20" s="15">
        <v>1000</v>
      </c>
      <c r="V20" s="8"/>
      <c r="W20" s="18">
        <f t="shared" si="4"/>
        <v>0</v>
      </c>
      <c r="X20" s="14">
        <f t="shared" si="5"/>
        <v>116480</v>
      </c>
    </row>
    <row r="21" spans="1:26" ht="20.100000000000001" customHeight="1" x14ac:dyDescent="0.15">
      <c r="A21" s="1">
        <v>16</v>
      </c>
      <c r="B21" s="1" t="s">
        <v>62</v>
      </c>
      <c r="C21" s="2" t="s">
        <v>78</v>
      </c>
      <c r="D21" s="89">
        <v>5190</v>
      </c>
      <c r="E21" s="7">
        <v>9</v>
      </c>
      <c r="F21" s="18">
        <f t="shared" si="6"/>
        <v>46710</v>
      </c>
      <c r="G21" s="18">
        <f t="shared" ref="G21:G24" si="33">E21*5890</f>
        <v>53010</v>
      </c>
      <c r="H21" s="47">
        <f t="shared" ref="H21" si="34">G21-F21</f>
        <v>6300</v>
      </c>
      <c r="I21" s="2">
        <v>300</v>
      </c>
      <c r="J21" s="7"/>
      <c r="K21" s="18">
        <f t="shared" si="0"/>
        <v>0</v>
      </c>
      <c r="L21" s="2">
        <v>940</v>
      </c>
      <c r="M21" s="8">
        <v>4</v>
      </c>
      <c r="N21" s="19">
        <f t="shared" si="1"/>
        <v>3760</v>
      </c>
      <c r="O21" s="2">
        <v>350</v>
      </c>
      <c r="P21" s="21"/>
      <c r="Q21" s="32">
        <f t="shared" si="2"/>
        <v>0</v>
      </c>
      <c r="R21" s="31">
        <v>270</v>
      </c>
      <c r="S21" s="8"/>
      <c r="T21" s="19">
        <f t="shared" si="3"/>
        <v>0</v>
      </c>
      <c r="U21" s="15">
        <v>1000</v>
      </c>
      <c r="V21" s="8"/>
      <c r="W21" s="18">
        <f t="shared" si="4"/>
        <v>0</v>
      </c>
      <c r="X21" s="14">
        <f t="shared" si="5"/>
        <v>50470</v>
      </c>
    </row>
    <row r="22" spans="1:26" ht="20.100000000000001" customHeight="1" x14ac:dyDescent="0.15">
      <c r="A22" s="1">
        <v>17</v>
      </c>
      <c r="B22" s="1" t="s">
        <v>44</v>
      </c>
      <c r="C22" s="2" t="s">
        <v>79</v>
      </c>
      <c r="D22" s="89">
        <v>5190</v>
      </c>
      <c r="E22" s="7">
        <v>21</v>
      </c>
      <c r="F22" s="18">
        <f t="shared" si="6"/>
        <v>108990</v>
      </c>
      <c r="G22" s="47">
        <f t="shared" ref="G22:G24" si="35">E21*5890</f>
        <v>53010</v>
      </c>
      <c r="H22" s="47">
        <f t="shared" ref="H22" si="36">G22-F21</f>
        <v>6300</v>
      </c>
      <c r="I22" s="2">
        <v>300</v>
      </c>
      <c r="J22" s="7">
        <v>7</v>
      </c>
      <c r="K22" s="18">
        <f t="shared" si="0"/>
        <v>2100</v>
      </c>
      <c r="L22" s="2">
        <v>940</v>
      </c>
      <c r="M22" s="8">
        <v>1</v>
      </c>
      <c r="N22" s="19">
        <f t="shared" si="1"/>
        <v>940</v>
      </c>
      <c r="O22" s="2">
        <v>350</v>
      </c>
      <c r="P22" s="21">
        <v>21</v>
      </c>
      <c r="Q22" s="32">
        <f t="shared" si="2"/>
        <v>7350</v>
      </c>
      <c r="R22" s="31">
        <v>270</v>
      </c>
      <c r="S22" s="8">
        <v>42</v>
      </c>
      <c r="T22" s="19">
        <f t="shared" si="3"/>
        <v>11340</v>
      </c>
      <c r="U22" s="15">
        <v>1000</v>
      </c>
      <c r="V22" s="8"/>
      <c r="W22" s="18">
        <f t="shared" si="4"/>
        <v>0</v>
      </c>
      <c r="X22" s="14">
        <f t="shared" si="5"/>
        <v>123370</v>
      </c>
    </row>
    <row r="23" spans="1:26" ht="20.100000000000001" customHeight="1" x14ac:dyDescent="0.15">
      <c r="A23" s="1">
        <v>18</v>
      </c>
      <c r="B23" s="1" t="s">
        <v>63</v>
      </c>
      <c r="C23" s="2" t="s">
        <v>79</v>
      </c>
      <c r="D23" s="89">
        <v>5190</v>
      </c>
      <c r="E23" s="7">
        <v>15</v>
      </c>
      <c r="F23" s="18">
        <f t="shared" si="6"/>
        <v>77850</v>
      </c>
      <c r="G23" s="18">
        <f t="shared" ref="G23:G24" si="37">E23*5890</f>
        <v>88350</v>
      </c>
      <c r="H23" s="47">
        <f t="shared" ref="H23" si="38">G23-F23</f>
        <v>10500</v>
      </c>
      <c r="I23" s="2">
        <v>300</v>
      </c>
      <c r="J23" s="7">
        <v>8</v>
      </c>
      <c r="K23" s="18">
        <f t="shared" si="0"/>
        <v>2400</v>
      </c>
      <c r="L23" s="2">
        <v>940</v>
      </c>
      <c r="M23" s="8">
        <v>4</v>
      </c>
      <c r="N23" s="19">
        <f t="shared" si="1"/>
        <v>3760</v>
      </c>
      <c r="O23" s="2">
        <v>350</v>
      </c>
      <c r="P23" s="21"/>
      <c r="Q23" s="32">
        <f t="shared" si="2"/>
        <v>0</v>
      </c>
      <c r="R23" s="31">
        <v>270</v>
      </c>
      <c r="S23" s="8">
        <v>30</v>
      </c>
      <c r="T23" s="19">
        <f t="shared" si="3"/>
        <v>8100</v>
      </c>
      <c r="U23" s="15">
        <v>1000</v>
      </c>
      <c r="V23" s="8"/>
      <c r="W23" s="18">
        <f t="shared" si="4"/>
        <v>0</v>
      </c>
      <c r="X23" s="14">
        <f t="shared" si="5"/>
        <v>92110</v>
      </c>
    </row>
    <row r="24" spans="1:26" ht="20.100000000000001" customHeight="1" x14ac:dyDescent="0.15">
      <c r="A24" s="1">
        <v>19</v>
      </c>
      <c r="B24" s="1" t="s">
        <v>65</v>
      </c>
      <c r="C24" s="2" t="s">
        <v>82</v>
      </c>
      <c r="D24" s="89">
        <v>5190</v>
      </c>
      <c r="E24" s="7">
        <v>18</v>
      </c>
      <c r="F24" s="18">
        <f t="shared" si="6"/>
        <v>93420</v>
      </c>
      <c r="G24" s="47">
        <f t="shared" ref="G24" si="39">E23*5890</f>
        <v>88350</v>
      </c>
      <c r="H24" s="47">
        <f t="shared" ref="H24" si="40">G24-F23</f>
        <v>10500</v>
      </c>
      <c r="I24" s="2">
        <v>300</v>
      </c>
      <c r="J24" s="7"/>
      <c r="K24" s="18">
        <f t="shared" si="0"/>
        <v>0</v>
      </c>
      <c r="L24" s="2">
        <v>940</v>
      </c>
      <c r="M24" s="8">
        <v>4</v>
      </c>
      <c r="N24" s="19">
        <f t="shared" si="1"/>
        <v>3760</v>
      </c>
      <c r="O24" s="2">
        <v>350</v>
      </c>
      <c r="P24" s="21"/>
      <c r="Q24" s="32">
        <f t="shared" si="2"/>
        <v>0</v>
      </c>
      <c r="R24" s="31">
        <v>270</v>
      </c>
      <c r="S24" s="8">
        <v>36</v>
      </c>
      <c r="T24" s="19">
        <f t="shared" si="3"/>
        <v>9720</v>
      </c>
      <c r="U24" s="15">
        <v>1000</v>
      </c>
      <c r="V24" s="8"/>
      <c r="W24" s="18">
        <f t="shared" si="4"/>
        <v>0</v>
      </c>
      <c r="X24" s="14">
        <f t="shared" si="5"/>
        <v>106900</v>
      </c>
    </row>
    <row r="25" spans="1:26" ht="20.100000000000001" customHeight="1" x14ac:dyDescent="0.15">
      <c r="A25" s="1">
        <v>21</v>
      </c>
      <c r="B25" s="1" t="s">
        <v>68</v>
      </c>
      <c r="C25" s="2" t="s">
        <v>85</v>
      </c>
      <c r="D25" s="89">
        <v>5190</v>
      </c>
      <c r="E25" s="7">
        <v>21</v>
      </c>
      <c r="F25" s="18">
        <f t="shared" si="6"/>
        <v>108990</v>
      </c>
      <c r="G25" s="18">
        <f t="shared" ref="G25:G27" si="41">E25*5890</f>
        <v>123690</v>
      </c>
      <c r="H25" s="47">
        <f t="shared" ref="H25" si="42">G25-F25</f>
        <v>14700</v>
      </c>
      <c r="I25" s="2">
        <v>300</v>
      </c>
      <c r="J25" s="7">
        <v>20</v>
      </c>
      <c r="K25" s="18">
        <f t="shared" si="0"/>
        <v>6000</v>
      </c>
      <c r="L25" s="2">
        <v>940</v>
      </c>
      <c r="M25" s="8">
        <v>1</v>
      </c>
      <c r="N25" s="19">
        <f t="shared" si="1"/>
        <v>940</v>
      </c>
      <c r="O25" s="2">
        <v>350</v>
      </c>
      <c r="P25" s="21">
        <v>21</v>
      </c>
      <c r="Q25" s="32">
        <f t="shared" si="2"/>
        <v>7350</v>
      </c>
      <c r="R25" s="31">
        <v>270</v>
      </c>
      <c r="S25" s="8">
        <v>42</v>
      </c>
      <c r="T25" s="19">
        <f t="shared" si="3"/>
        <v>11340</v>
      </c>
      <c r="U25" s="15">
        <v>1000</v>
      </c>
      <c r="V25" s="8"/>
      <c r="W25" s="18">
        <f t="shared" si="4"/>
        <v>0</v>
      </c>
      <c r="X25" s="14">
        <f t="shared" si="5"/>
        <v>127270</v>
      </c>
    </row>
    <row r="26" spans="1:26" ht="20.100000000000001" customHeight="1" x14ac:dyDescent="0.15">
      <c r="A26" s="1">
        <v>22</v>
      </c>
      <c r="B26" s="1" t="s">
        <v>69</v>
      </c>
      <c r="C26" s="2" t="s">
        <v>86</v>
      </c>
      <c r="D26" s="89">
        <v>5190</v>
      </c>
      <c r="E26" s="7">
        <v>16</v>
      </c>
      <c r="F26" s="18">
        <f t="shared" si="6"/>
        <v>83040</v>
      </c>
      <c r="G26" s="47">
        <f t="shared" ref="G26:G27" si="43">E25*5890</f>
        <v>123690</v>
      </c>
      <c r="H26" s="47">
        <f t="shared" ref="H26" si="44">G26-F25</f>
        <v>14700</v>
      </c>
      <c r="I26" s="2">
        <v>300</v>
      </c>
      <c r="J26" s="7">
        <v>16</v>
      </c>
      <c r="K26" s="18">
        <f t="shared" si="0"/>
        <v>4800</v>
      </c>
      <c r="L26" s="2">
        <v>940</v>
      </c>
      <c r="M26" s="8">
        <v>3</v>
      </c>
      <c r="N26" s="19">
        <f t="shared" si="1"/>
        <v>2820</v>
      </c>
      <c r="O26" s="2">
        <v>350</v>
      </c>
      <c r="P26" s="21">
        <v>16</v>
      </c>
      <c r="Q26" s="32">
        <f t="shared" si="2"/>
        <v>5600</v>
      </c>
      <c r="R26" s="31">
        <v>270</v>
      </c>
      <c r="S26" s="8">
        <v>32</v>
      </c>
      <c r="T26" s="19">
        <f t="shared" si="3"/>
        <v>8640</v>
      </c>
      <c r="U26" s="15">
        <v>1000</v>
      </c>
      <c r="V26" s="8"/>
      <c r="W26" s="18">
        <f t="shared" si="4"/>
        <v>0</v>
      </c>
      <c r="X26" s="14">
        <f t="shared" si="5"/>
        <v>99300</v>
      </c>
    </row>
    <row r="27" spans="1:26" ht="20.100000000000001" customHeight="1" x14ac:dyDescent="0.15">
      <c r="A27" s="1">
        <v>23</v>
      </c>
      <c r="B27" s="1" t="s">
        <v>70</v>
      </c>
      <c r="C27" s="2" t="s">
        <v>87</v>
      </c>
      <c r="D27" s="89">
        <v>5190</v>
      </c>
      <c r="E27" s="7">
        <v>21</v>
      </c>
      <c r="F27" s="18">
        <f t="shared" si="6"/>
        <v>108990</v>
      </c>
      <c r="G27" s="18">
        <f t="shared" ref="G27" si="45">E27*5890</f>
        <v>123690</v>
      </c>
      <c r="H27" s="47">
        <f t="shared" ref="H27" si="46">G27-F27</f>
        <v>14700</v>
      </c>
      <c r="I27" s="2">
        <v>300</v>
      </c>
      <c r="J27" s="7">
        <v>21</v>
      </c>
      <c r="K27" s="18">
        <f t="shared" si="0"/>
        <v>6300</v>
      </c>
      <c r="L27" s="2">
        <v>940</v>
      </c>
      <c r="M27" s="8">
        <v>1</v>
      </c>
      <c r="N27" s="19">
        <f t="shared" si="1"/>
        <v>940</v>
      </c>
      <c r="O27" s="2">
        <v>350</v>
      </c>
      <c r="P27" s="21"/>
      <c r="Q27" s="32"/>
      <c r="R27" s="31">
        <v>270</v>
      </c>
      <c r="S27" s="8">
        <v>41</v>
      </c>
      <c r="T27" s="19">
        <f t="shared" si="3"/>
        <v>11070</v>
      </c>
      <c r="U27" s="15">
        <v>1000</v>
      </c>
      <c r="V27" s="8"/>
      <c r="W27" s="18">
        <f t="shared" si="4"/>
        <v>0</v>
      </c>
      <c r="X27" s="14">
        <f t="shared" si="5"/>
        <v>127300</v>
      </c>
    </row>
    <row r="28" spans="1:26" x14ac:dyDescent="0.15">
      <c r="A28" s="1"/>
      <c r="B28" s="1"/>
      <c r="C28" s="1"/>
      <c r="D28" s="1"/>
      <c r="E28" s="1"/>
      <c r="F28" s="15">
        <f>SUM(F5:F25)</f>
        <v>1645230</v>
      </c>
      <c r="G28" s="15"/>
      <c r="H28" s="15">
        <f>SUM(H6:H27)</f>
        <v>225400</v>
      </c>
      <c r="I28" s="15"/>
      <c r="J28" s="15"/>
      <c r="K28" s="15">
        <f>SUM(K5:K25)</f>
        <v>10500</v>
      </c>
      <c r="L28" s="15"/>
      <c r="M28" s="15"/>
      <c r="N28" s="15">
        <f>SUM(N5:N25)</f>
        <v>35720</v>
      </c>
      <c r="O28" s="15"/>
      <c r="P28" s="15"/>
      <c r="Q28" s="15">
        <f>SUM(Q5:Q25)</f>
        <v>53120</v>
      </c>
      <c r="R28" s="15"/>
      <c r="S28" s="1"/>
      <c r="T28" s="15">
        <f>SUM(T5:T25)</f>
        <v>126900</v>
      </c>
      <c r="U28" s="1"/>
      <c r="V28" s="1"/>
      <c r="W28" s="15">
        <f>SUM(W5:W25)</f>
        <v>0</v>
      </c>
      <c r="X28" s="15">
        <f>SUM(X6:X27)</f>
        <v>2044950</v>
      </c>
    </row>
    <row r="30" spans="1:26" ht="13.5" customHeight="1" x14ac:dyDescent="0.15">
      <c r="B30" s="29"/>
      <c r="C30" s="29"/>
      <c r="D30" s="29"/>
      <c r="E30" s="29"/>
      <c r="F30" s="29"/>
      <c r="G30" s="29"/>
      <c r="H30" s="29"/>
      <c r="J30" s="29"/>
      <c r="K30" s="30"/>
      <c r="L30" s="29"/>
      <c r="M30" s="77"/>
      <c r="N30" s="77"/>
      <c r="O30" s="78"/>
      <c r="P30" s="78"/>
      <c r="Q30" s="9"/>
      <c r="R30" s="9"/>
      <c r="S30" s="9"/>
      <c r="T30" s="9"/>
      <c r="U30" s="56">
        <f>X28</f>
        <v>2044950</v>
      </c>
      <c r="V30" s="56"/>
      <c r="W30" s="56"/>
      <c r="X30" s="56"/>
      <c r="Y30" s="26"/>
      <c r="Z30" s="26"/>
    </row>
    <row r="31" spans="1:26" ht="13.5" customHeight="1" x14ac:dyDescent="0.15">
      <c r="B31" s="26"/>
      <c r="C31" s="26"/>
      <c r="D31" s="29"/>
      <c r="E31" s="29"/>
      <c r="F31" s="29"/>
      <c r="G31" s="29"/>
      <c r="H31" s="29"/>
      <c r="J31" s="29"/>
      <c r="K31" s="30"/>
      <c r="L31" s="29"/>
      <c r="M31" s="77"/>
      <c r="N31" s="77"/>
      <c r="O31" s="78"/>
      <c r="P31" s="78"/>
      <c r="Q31" s="11"/>
      <c r="R31" s="11"/>
      <c r="S31" s="11"/>
      <c r="T31" s="11"/>
      <c r="U31" s="56"/>
      <c r="V31" s="56"/>
      <c r="W31" s="56"/>
      <c r="X31" s="56"/>
      <c r="Y31" s="27"/>
      <c r="Z31" s="26"/>
    </row>
    <row r="32" spans="1:26" ht="13.5" customHeight="1" x14ac:dyDescent="0.15">
      <c r="U32" s="56"/>
      <c r="V32" s="56"/>
      <c r="W32" s="56"/>
      <c r="X32" s="56"/>
      <c r="Y32" s="27"/>
      <c r="Z32" s="26"/>
    </row>
    <row r="33" spans="20:26" ht="13.5" customHeight="1" x14ac:dyDescent="0.15">
      <c r="T33" s="26"/>
      <c r="U33" s="26"/>
      <c r="V33" s="27"/>
      <c r="W33" s="27"/>
      <c r="X33" s="27"/>
      <c r="Y33" s="27"/>
      <c r="Z33" s="26"/>
    </row>
    <row r="34" spans="20:26" x14ac:dyDescent="0.15">
      <c r="T34" s="26"/>
      <c r="U34" s="26"/>
      <c r="V34" s="26"/>
      <c r="W34" s="26"/>
      <c r="X34" s="26"/>
      <c r="Y34" s="26"/>
      <c r="Z34" s="26"/>
    </row>
    <row r="35" spans="20:26" x14ac:dyDescent="0.15">
      <c r="T35" s="26"/>
      <c r="U35" s="26"/>
      <c r="V35" s="26"/>
      <c r="W35" s="26"/>
      <c r="X35" s="26"/>
      <c r="Y35" s="26"/>
      <c r="Z35" s="26"/>
    </row>
  </sheetData>
  <autoFilter ref="A4:Z28"/>
  <mergeCells count="29">
    <mergeCell ref="V5:V6"/>
    <mergeCell ref="W5:W6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I28" sqref="I28:I31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7" t="s">
        <v>71</v>
      </c>
      <c r="B2" s="58"/>
    </row>
    <row r="3" spans="1:21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42</v>
      </c>
      <c r="M3" s="52"/>
      <c r="N3" s="53"/>
      <c r="O3" s="51" t="s">
        <v>64</v>
      </c>
      <c r="P3" s="52"/>
      <c r="Q3" s="53"/>
      <c r="R3" s="51" t="s">
        <v>4</v>
      </c>
      <c r="S3" s="52"/>
      <c r="T3" s="53"/>
      <c r="U3" s="54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5"/>
    </row>
    <row r="5" spans="1:21" ht="14.25" hidden="1" customHeight="1" thickTop="1" x14ac:dyDescent="0.15">
      <c r="A5" s="2"/>
      <c r="B5" s="83" t="s">
        <v>29</v>
      </c>
      <c r="C5" s="81">
        <v>5840</v>
      </c>
      <c r="D5" s="69">
        <v>19</v>
      </c>
      <c r="E5" s="73">
        <f>SUM(C5*D5)</f>
        <v>110960</v>
      </c>
      <c r="F5" s="79">
        <v>300</v>
      </c>
      <c r="G5" s="69"/>
      <c r="H5" s="73">
        <f>SUM(F5*G5)</f>
        <v>0</v>
      </c>
      <c r="I5" s="79">
        <v>940</v>
      </c>
      <c r="J5" s="69">
        <v>2</v>
      </c>
      <c r="K5" s="71">
        <f>SUM(I5*J5)</f>
        <v>1880</v>
      </c>
      <c r="L5" s="6"/>
      <c r="M5" s="24"/>
      <c r="N5" s="25"/>
      <c r="O5" s="87">
        <v>270</v>
      </c>
      <c r="P5" s="69">
        <v>38</v>
      </c>
      <c r="Q5" s="71">
        <f>SUM(O5*P5)</f>
        <v>10260</v>
      </c>
      <c r="R5" s="81">
        <v>1000</v>
      </c>
      <c r="S5" s="85">
        <v>17</v>
      </c>
      <c r="T5" s="73">
        <f>SUM(R5*S5)</f>
        <v>17000</v>
      </c>
      <c r="U5" s="23"/>
    </row>
    <row r="6" spans="1:21" ht="20.100000000000001" customHeight="1" thickTop="1" x14ac:dyDescent="0.15">
      <c r="A6" s="1">
        <v>1</v>
      </c>
      <c r="B6" s="84"/>
      <c r="C6" s="82"/>
      <c r="D6" s="70"/>
      <c r="E6" s="74"/>
      <c r="F6" s="80"/>
      <c r="G6" s="70"/>
      <c r="H6" s="74"/>
      <c r="I6" s="80"/>
      <c r="J6" s="70"/>
      <c r="K6" s="72"/>
      <c r="L6" s="2">
        <v>350</v>
      </c>
      <c r="M6" s="20">
        <v>18</v>
      </c>
      <c r="N6" s="32">
        <v>6300</v>
      </c>
      <c r="O6" s="88"/>
      <c r="P6" s="70"/>
      <c r="Q6" s="72"/>
      <c r="R6" s="82"/>
      <c r="S6" s="86"/>
      <c r="T6" s="74"/>
      <c r="U6" s="14">
        <f>SUM(E5+H5+K5+Q5+T5)</f>
        <v>140100</v>
      </c>
    </row>
    <row r="7" spans="1:21" ht="20.100000000000001" customHeight="1" x14ac:dyDescent="0.15">
      <c r="A7" s="1">
        <v>2</v>
      </c>
      <c r="B7" s="1" t="s">
        <v>30</v>
      </c>
      <c r="C7" s="14">
        <v>5840</v>
      </c>
      <c r="D7" s="7">
        <v>19</v>
      </c>
      <c r="E7" s="18">
        <f>SUM(C7*D7)</f>
        <v>110960</v>
      </c>
      <c r="F7" s="2">
        <v>300</v>
      </c>
      <c r="G7" s="7"/>
      <c r="H7" s="18">
        <f t="shared" ref="H7:H27" si="0">SUM(F7*G7)</f>
        <v>0</v>
      </c>
      <c r="I7" s="2">
        <v>940</v>
      </c>
      <c r="J7" s="8">
        <v>2</v>
      </c>
      <c r="K7" s="19">
        <f t="shared" ref="K7:K27" si="1">SUM(I7*J7)</f>
        <v>1880</v>
      </c>
      <c r="L7" s="2">
        <v>350</v>
      </c>
      <c r="M7" s="21">
        <v>18</v>
      </c>
      <c r="N7" s="32">
        <f t="shared" ref="N7:N26" si="2">SUM(L7*M7)</f>
        <v>6300</v>
      </c>
      <c r="O7" s="31">
        <v>270</v>
      </c>
      <c r="P7" s="8">
        <v>38</v>
      </c>
      <c r="Q7" s="19">
        <f t="shared" ref="Q7:Q27" si="3">SUM(O7*P7)</f>
        <v>10260</v>
      </c>
      <c r="R7" s="15">
        <v>1000</v>
      </c>
      <c r="S7" s="8"/>
      <c r="T7" s="18">
        <f t="shared" ref="T7:T27" si="4">SUM(S7*R7)</f>
        <v>0</v>
      </c>
      <c r="U7" s="14">
        <f t="shared" ref="U7:U27" si="5">SUM(E7+H7+K7+Q7+T7)</f>
        <v>123100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>
        <v>20</v>
      </c>
      <c r="E8" s="18">
        <f t="shared" ref="E8:E27" si="6">SUM(C8*D8)</f>
        <v>116800</v>
      </c>
      <c r="F8" s="2">
        <v>300</v>
      </c>
      <c r="G8" s="7"/>
      <c r="H8" s="18">
        <f t="shared" si="0"/>
        <v>0</v>
      </c>
      <c r="I8" s="2">
        <v>940</v>
      </c>
      <c r="J8" s="8">
        <v>1</v>
      </c>
      <c r="K8" s="19">
        <f t="shared" si="1"/>
        <v>940</v>
      </c>
      <c r="L8" s="2">
        <v>350</v>
      </c>
      <c r="M8" s="21"/>
      <c r="N8" s="32">
        <f t="shared" si="2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117740</v>
      </c>
    </row>
    <row r="9" spans="1:21" ht="20.100000000000001" customHeight="1" x14ac:dyDescent="0.15">
      <c r="A9" s="1">
        <v>4</v>
      </c>
      <c r="B9" s="1" t="s">
        <v>32</v>
      </c>
      <c r="C9" s="14">
        <v>5840</v>
      </c>
      <c r="D9" s="7">
        <v>21</v>
      </c>
      <c r="E9" s="18">
        <f t="shared" si="6"/>
        <v>122640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/>
      <c r="N9" s="32">
        <f t="shared" si="2"/>
        <v>0</v>
      </c>
      <c r="O9" s="31">
        <v>270</v>
      </c>
      <c r="P9" s="8"/>
      <c r="Q9" s="19">
        <f t="shared" si="3"/>
        <v>0</v>
      </c>
      <c r="R9" s="15">
        <v>1000</v>
      </c>
      <c r="S9" s="8">
        <v>19</v>
      </c>
      <c r="T9" s="18">
        <f t="shared" si="4"/>
        <v>19000</v>
      </c>
      <c r="U9" s="14">
        <f t="shared" si="5"/>
        <v>141640</v>
      </c>
    </row>
    <row r="10" spans="1:21" ht="20.100000000000001" customHeight="1" x14ac:dyDescent="0.15">
      <c r="A10" s="1">
        <v>5</v>
      </c>
      <c r="B10" s="1" t="s">
        <v>33</v>
      </c>
      <c r="C10" s="14">
        <v>5840</v>
      </c>
      <c r="D10" s="7">
        <v>22</v>
      </c>
      <c r="E10" s="18">
        <f t="shared" si="6"/>
        <v>128480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/>
      <c r="N10" s="32">
        <f t="shared" si="2"/>
        <v>0</v>
      </c>
      <c r="O10" s="31">
        <v>270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128480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/>
      <c r="E11" s="18">
        <f t="shared" si="6"/>
        <v>0</v>
      </c>
      <c r="F11" s="2">
        <v>300</v>
      </c>
      <c r="G11" s="7"/>
      <c r="H11" s="18">
        <f t="shared" si="0"/>
        <v>0</v>
      </c>
      <c r="I11" s="2">
        <v>940</v>
      </c>
      <c r="J11" s="8"/>
      <c r="K11" s="19">
        <f t="shared" si="1"/>
        <v>0</v>
      </c>
      <c r="L11" s="2">
        <v>350</v>
      </c>
      <c r="M11" s="21"/>
      <c r="N11" s="32">
        <f t="shared" si="2"/>
        <v>0</v>
      </c>
      <c r="O11" s="31">
        <v>270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21</v>
      </c>
      <c r="E12" s="18">
        <f t="shared" si="6"/>
        <v>122640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20</v>
      </c>
      <c r="N12" s="32">
        <f t="shared" si="2"/>
        <v>7000</v>
      </c>
      <c r="O12" s="31">
        <v>270</v>
      </c>
      <c r="P12" s="8">
        <v>42</v>
      </c>
      <c r="Q12" s="19">
        <f t="shared" si="3"/>
        <v>11340</v>
      </c>
      <c r="R12" s="15">
        <v>1000</v>
      </c>
      <c r="S12" s="8">
        <v>19</v>
      </c>
      <c r="T12" s="18">
        <f t="shared" si="4"/>
        <v>19000</v>
      </c>
      <c r="U12" s="14">
        <f t="shared" si="5"/>
        <v>152980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13</v>
      </c>
      <c r="E13" s="18">
        <f t="shared" si="6"/>
        <v>75920</v>
      </c>
      <c r="F13" s="2">
        <v>300</v>
      </c>
      <c r="G13" s="7"/>
      <c r="H13" s="18">
        <f t="shared" si="0"/>
        <v>0</v>
      </c>
      <c r="I13" s="2">
        <v>940</v>
      </c>
      <c r="J13" s="8"/>
      <c r="K13" s="19">
        <f t="shared" si="1"/>
        <v>0</v>
      </c>
      <c r="L13" s="2">
        <v>350</v>
      </c>
      <c r="M13" s="21">
        <v>9</v>
      </c>
      <c r="N13" s="32">
        <f t="shared" si="2"/>
        <v>3150</v>
      </c>
      <c r="O13" s="31">
        <v>270</v>
      </c>
      <c r="P13" s="8">
        <v>26</v>
      </c>
      <c r="Q13" s="19">
        <f t="shared" si="3"/>
        <v>7020</v>
      </c>
      <c r="R13" s="15">
        <v>1000</v>
      </c>
      <c r="S13" s="8"/>
      <c r="T13" s="18">
        <f t="shared" si="4"/>
        <v>0</v>
      </c>
      <c r="U13" s="14">
        <f t="shared" si="5"/>
        <v>82940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17</v>
      </c>
      <c r="E14" s="18">
        <f t="shared" si="6"/>
        <v>99280</v>
      </c>
      <c r="F14" s="2">
        <v>300</v>
      </c>
      <c r="G14" s="7"/>
      <c r="H14" s="18">
        <f t="shared" si="0"/>
        <v>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16</v>
      </c>
      <c r="N14" s="32">
        <f t="shared" si="2"/>
        <v>5600</v>
      </c>
      <c r="O14" s="31">
        <v>270</v>
      </c>
      <c r="P14" s="8">
        <v>34</v>
      </c>
      <c r="Q14" s="19">
        <f t="shared" si="3"/>
        <v>9180</v>
      </c>
      <c r="R14" s="15">
        <v>1000</v>
      </c>
      <c r="S14" s="8">
        <v>15</v>
      </c>
      <c r="T14" s="18">
        <f t="shared" si="4"/>
        <v>15000</v>
      </c>
      <c r="U14" s="14">
        <f t="shared" si="5"/>
        <v>126280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19</v>
      </c>
      <c r="E15" s="18">
        <f t="shared" si="6"/>
        <v>110960</v>
      </c>
      <c r="F15" s="2">
        <v>300</v>
      </c>
      <c r="G15" s="7"/>
      <c r="H15" s="18">
        <f t="shared" si="0"/>
        <v>0</v>
      </c>
      <c r="I15" s="2">
        <v>940</v>
      </c>
      <c r="J15" s="8">
        <v>2</v>
      </c>
      <c r="K15" s="19">
        <f t="shared" si="1"/>
        <v>1880</v>
      </c>
      <c r="L15" s="2">
        <v>350</v>
      </c>
      <c r="M15" s="21"/>
      <c r="N15" s="32">
        <f t="shared" si="2"/>
        <v>0</v>
      </c>
      <c r="O15" s="31">
        <v>270</v>
      </c>
      <c r="P15" s="8">
        <v>38</v>
      </c>
      <c r="Q15" s="19">
        <f t="shared" si="3"/>
        <v>10260</v>
      </c>
      <c r="R15" s="15">
        <v>1000</v>
      </c>
      <c r="S15" s="8"/>
      <c r="T15" s="18">
        <f t="shared" si="4"/>
        <v>0</v>
      </c>
      <c r="U15" s="14">
        <f t="shared" si="5"/>
        <v>123100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/>
      <c r="E16" s="18">
        <f t="shared" si="6"/>
        <v>0</v>
      </c>
      <c r="F16" s="2">
        <v>300</v>
      </c>
      <c r="G16" s="7"/>
      <c r="H16" s="18">
        <f t="shared" si="0"/>
        <v>0</v>
      </c>
      <c r="I16" s="2">
        <v>940</v>
      </c>
      <c r="J16" s="8"/>
      <c r="K16" s="19">
        <f t="shared" si="1"/>
        <v>0</v>
      </c>
      <c r="L16" s="2">
        <v>350</v>
      </c>
      <c r="M16" s="21"/>
      <c r="N16" s="32">
        <f t="shared" si="2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5"/>
        <v>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1</v>
      </c>
      <c r="E17" s="18">
        <f t="shared" si="6"/>
        <v>5840</v>
      </c>
      <c r="F17" s="2">
        <v>300</v>
      </c>
      <c r="G17" s="7"/>
      <c r="H17" s="18">
        <f t="shared" si="0"/>
        <v>0</v>
      </c>
      <c r="I17" s="2">
        <v>940</v>
      </c>
      <c r="J17" s="8">
        <v>4</v>
      </c>
      <c r="K17" s="19">
        <f t="shared" si="1"/>
        <v>3760</v>
      </c>
      <c r="L17" s="2">
        <v>350</v>
      </c>
      <c r="M17" s="21"/>
      <c r="N17" s="32">
        <f t="shared" si="2"/>
        <v>0</v>
      </c>
      <c r="O17" s="31">
        <v>270</v>
      </c>
      <c r="P17" s="8"/>
      <c r="Q17" s="19">
        <f t="shared" si="3"/>
        <v>0</v>
      </c>
      <c r="R17" s="15">
        <v>1000</v>
      </c>
      <c r="S17" s="8"/>
      <c r="T17" s="18">
        <f t="shared" si="4"/>
        <v>0</v>
      </c>
      <c r="U17" s="14">
        <f t="shared" si="5"/>
        <v>9600</v>
      </c>
    </row>
    <row r="18" spans="1:23" ht="20.100000000000001" customHeight="1" x14ac:dyDescent="0.15">
      <c r="A18" s="1">
        <v>13</v>
      </c>
      <c r="B18" s="1" t="s">
        <v>50</v>
      </c>
      <c r="C18" s="14">
        <v>5840</v>
      </c>
      <c r="D18" s="7">
        <v>21</v>
      </c>
      <c r="E18" s="18">
        <f t="shared" si="6"/>
        <v>122640</v>
      </c>
      <c r="F18" s="2">
        <v>300</v>
      </c>
      <c r="G18" s="7"/>
      <c r="H18" s="18">
        <f t="shared" si="0"/>
        <v>0</v>
      </c>
      <c r="I18" s="2">
        <v>940</v>
      </c>
      <c r="J18" s="8"/>
      <c r="K18" s="19">
        <f t="shared" si="1"/>
        <v>0</v>
      </c>
      <c r="L18" s="2">
        <v>350</v>
      </c>
      <c r="M18" s="21">
        <v>20</v>
      </c>
      <c r="N18" s="32">
        <f t="shared" si="2"/>
        <v>7000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>
        <v>19</v>
      </c>
      <c r="T18" s="18">
        <f t="shared" si="4"/>
        <v>19000</v>
      </c>
      <c r="U18" s="14">
        <f t="shared" si="5"/>
        <v>152980</v>
      </c>
    </row>
    <row r="19" spans="1:23" ht="20.100000000000001" customHeight="1" x14ac:dyDescent="0.15">
      <c r="A19" s="1">
        <v>14</v>
      </c>
      <c r="B19" s="1" t="s">
        <v>61</v>
      </c>
      <c r="C19" s="14">
        <v>5840</v>
      </c>
      <c r="D19" s="7">
        <v>14</v>
      </c>
      <c r="E19" s="18">
        <f t="shared" si="6"/>
        <v>81760</v>
      </c>
      <c r="F19" s="2">
        <v>300</v>
      </c>
      <c r="G19" s="7"/>
      <c r="H19" s="18">
        <f t="shared" si="0"/>
        <v>0</v>
      </c>
      <c r="I19" s="2">
        <v>940</v>
      </c>
      <c r="J19" s="8">
        <v>4</v>
      </c>
      <c r="K19" s="19">
        <f t="shared" si="1"/>
        <v>3760</v>
      </c>
      <c r="L19" s="2">
        <v>290</v>
      </c>
      <c r="M19" s="21"/>
      <c r="N19" s="32">
        <f t="shared" si="2"/>
        <v>0</v>
      </c>
      <c r="O19" s="31">
        <v>270</v>
      </c>
      <c r="P19" s="8">
        <v>28</v>
      </c>
      <c r="Q19" s="19">
        <f t="shared" si="3"/>
        <v>7560</v>
      </c>
      <c r="R19" s="15">
        <v>1000</v>
      </c>
      <c r="S19" s="8"/>
      <c r="T19" s="18">
        <f t="shared" si="4"/>
        <v>0</v>
      </c>
      <c r="U19" s="14">
        <f t="shared" si="5"/>
        <v>93080</v>
      </c>
    </row>
    <row r="20" spans="1:23" ht="20.100000000000001" customHeight="1" x14ac:dyDescent="0.15">
      <c r="A20" s="1">
        <v>15</v>
      </c>
      <c r="B20" s="1" t="s">
        <v>52</v>
      </c>
      <c r="C20" s="14">
        <v>5840</v>
      </c>
      <c r="D20" s="7">
        <v>16</v>
      </c>
      <c r="E20" s="18">
        <f t="shared" si="6"/>
        <v>93440</v>
      </c>
      <c r="F20" s="2">
        <v>300</v>
      </c>
      <c r="G20" s="7"/>
      <c r="H20" s="18">
        <f t="shared" si="0"/>
        <v>0</v>
      </c>
      <c r="I20" s="2">
        <v>940</v>
      </c>
      <c r="J20" s="8">
        <v>4</v>
      </c>
      <c r="K20" s="19">
        <f t="shared" si="1"/>
        <v>3760</v>
      </c>
      <c r="L20" s="2">
        <v>350</v>
      </c>
      <c r="M20" s="21"/>
      <c r="N20" s="32">
        <f t="shared" si="2"/>
        <v>0</v>
      </c>
      <c r="O20" s="31">
        <v>270</v>
      </c>
      <c r="P20" s="8">
        <v>32</v>
      </c>
      <c r="Q20" s="19">
        <f t="shared" si="3"/>
        <v>8640</v>
      </c>
      <c r="R20" s="15">
        <v>1000</v>
      </c>
      <c r="S20" s="8">
        <v>14</v>
      </c>
      <c r="T20" s="18">
        <f t="shared" si="4"/>
        <v>14000</v>
      </c>
      <c r="U20" s="14">
        <f t="shared" si="5"/>
        <v>119840</v>
      </c>
    </row>
    <row r="21" spans="1:23" ht="20.100000000000001" customHeight="1" x14ac:dyDescent="0.15">
      <c r="A21" s="1">
        <v>16</v>
      </c>
      <c r="B21" s="1" t="s">
        <v>62</v>
      </c>
      <c r="C21" s="14">
        <v>5840</v>
      </c>
      <c r="D21" s="7">
        <v>7</v>
      </c>
      <c r="E21" s="18">
        <f t="shared" si="6"/>
        <v>40880</v>
      </c>
      <c r="F21" s="2">
        <v>300</v>
      </c>
      <c r="G21" s="7"/>
      <c r="H21" s="18">
        <f t="shared" si="0"/>
        <v>0</v>
      </c>
      <c r="I21" s="2">
        <v>940</v>
      </c>
      <c r="J21" s="8">
        <v>4</v>
      </c>
      <c r="K21" s="19">
        <f t="shared" si="1"/>
        <v>3760</v>
      </c>
      <c r="L21" s="2">
        <v>350</v>
      </c>
      <c r="M21" s="21"/>
      <c r="N21" s="32">
        <f t="shared" si="2"/>
        <v>0</v>
      </c>
      <c r="O21" s="31">
        <v>270</v>
      </c>
      <c r="P21" s="8">
        <v>14</v>
      </c>
      <c r="Q21" s="19">
        <f t="shared" si="3"/>
        <v>3780</v>
      </c>
      <c r="R21" s="15">
        <v>1000</v>
      </c>
      <c r="S21" s="8">
        <v>5</v>
      </c>
      <c r="T21" s="18">
        <f t="shared" si="4"/>
        <v>5000</v>
      </c>
      <c r="U21" s="14">
        <f t="shared" si="5"/>
        <v>53420</v>
      </c>
    </row>
    <row r="22" spans="1:23" ht="20.100000000000001" customHeight="1" x14ac:dyDescent="0.15">
      <c r="A22" s="1">
        <v>17</v>
      </c>
      <c r="B22" s="1" t="s">
        <v>44</v>
      </c>
      <c r="C22" s="14">
        <v>5840</v>
      </c>
      <c r="D22" s="7">
        <v>15</v>
      </c>
      <c r="E22" s="18">
        <f t="shared" si="6"/>
        <v>87600</v>
      </c>
      <c r="F22" s="2">
        <v>300</v>
      </c>
      <c r="G22" s="7"/>
      <c r="H22" s="18">
        <f t="shared" si="0"/>
        <v>0</v>
      </c>
      <c r="I22" s="2">
        <v>940</v>
      </c>
      <c r="J22" s="8">
        <v>4</v>
      </c>
      <c r="K22" s="19">
        <f t="shared" si="1"/>
        <v>3760</v>
      </c>
      <c r="L22" s="2">
        <v>350</v>
      </c>
      <c r="M22" s="21">
        <v>15</v>
      </c>
      <c r="N22" s="32">
        <f t="shared" si="2"/>
        <v>5250</v>
      </c>
      <c r="O22" s="31">
        <v>270</v>
      </c>
      <c r="P22" s="8">
        <v>30</v>
      </c>
      <c r="Q22" s="19">
        <f t="shared" si="3"/>
        <v>8100</v>
      </c>
      <c r="R22" s="15">
        <v>1000</v>
      </c>
      <c r="S22" s="8">
        <v>13</v>
      </c>
      <c r="T22" s="18">
        <f t="shared" si="4"/>
        <v>13000</v>
      </c>
      <c r="U22" s="14">
        <f t="shared" si="5"/>
        <v>112460</v>
      </c>
    </row>
    <row r="23" spans="1:23" ht="20.100000000000001" customHeight="1" x14ac:dyDescent="0.15">
      <c r="A23" s="1">
        <v>18</v>
      </c>
      <c r="B23" s="1" t="s">
        <v>63</v>
      </c>
      <c r="C23" s="14">
        <v>5840</v>
      </c>
      <c r="D23" s="7">
        <v>5</v>
      </c>
      <c r="E23" s="18">
        <f t="shared" si="6"/>
        <v>29200</v>
      </c>
      <c r="F23" s="2">
        <v>300</v>
      </c>
      <c r="G23" s="7"/>
      <c r="H23" s="18">
        <f t="shared" si="0"/>
        <v>0</v>
      </c>
      <c r="I23" s="2">
        <v>940</v>
      </c>
      <c r="J23" s="8">
        <v>4</v>
      </c>
      <c r="K23" s="19">
        <f t="shared" si="1"/>
        <v>3760</v>
      </c>
      <c r="L23" s="2">
        <v>350</v>
      </c>
      <c r="M23" s="21"/>
      <c r="N23" s="32">
        <f t="shared" si="2"/>
        <v>0</v>
      </c>
      <c r="O23" s="31">
        <v>270</v>
      </c>
      <c r="P23" s="8">
        <v>10</v>
      </c>
      <c r="Q23" s="19">
        <f t="shared" si="3"/>
        <v>2700</v>
      </c>
      <c r="R23" s="15">
        <v>1000</v>
      </c>
      <c r="S23" s="8">
        <v>3</v>
      </c>
      <c r="T23" s="18">
        <f t="shared" si="4"/>
        <v>3000</v>
      </c>
      <c r="U23" s="14">
        <f t="shared" si="5"/>
        <v>38660</v>
      </c>
    </row>
    <row r="24" spans="1:23" ht="20.100000000000001" customHeight="1" x14ac:dyDescent="0.15">
      <c r="A24" s="1">
        <v>19</v>
      </c>
      <c r="B24" s="1" t="s">
        <v>65</v>
      </c>
      <c r="C24" s="14">
        <v>5840</v>
      </c>
      <c r="D24" s="7">
        <v>18</v>
      </c>
      <c r="E24" s="18">
        <f t="shared" si="6"/>
        <v>105120</v>
      </c>
      <c r="F24" s="2">
        <v>300</v>
      </c>
      <c r="G24" s="7"/>
      <c r="H24" s="18">
        <f t="shared" si="0"/>
        <v>0</v>
      </c>
      <c r="I24" s="2">
        <v>940</v>
      </c>
      <c r="J24" s="8">
        <v>3</v>
      </c>
      <c r="K24" s="19">
        <f t="shared" si="1"/>
        <v>2820</v>
      </c>
      <c r="L24" s="2">
        <v>350</v>
      </c>
      <c r="M24" s="21"/>
      <c r="N24" s="32">
        <f t="shared" si="2"/>
        <v>0</v>
      </c>
      <c r="O24" s="31">
        <v>270</v>
      </c>
      <c r="P24" s="8">
        <v>36</v>
      </c>
      <c r="Q24" s="19">
        <f t="shared" si="3"/>
        <v>9720</v>
      </c>
      <c r="R24" s="15">
        <v>1000</v>
      </c>
      <c r="S24" s="8">
        <v>16</v>
      </c>
      <c r="T24" s="18">
        <f t="shared" si="4"/>
        <v>16000</v>
      </c>
      <c r="U24" s="14">
        <f t="shared" si="5"/>
        <v>133660</v>
      </c>
    </row>
    <row r="25" spans="1:23" ht="20.100000000000001" customHeight="1" x14ac:dyDescent="0.15">
      <c r="A25" s="1">
        <v>20</v>
      </c>
      <c r="B25" s="1" t="s">
        <v>68</v>
      </c>
      <c r="C25" s="14">
        <v>5840</v>
      </c>
      <c r="D25" s="7">
        <v>21</v>
      </c>
      <c r="E25" s="18">
        <f t="shared" si="6"/>
        <v>122640</v>
      </c>
      <c r="F25" s="2">
        <v>300</v>
      </c>
      <c r="G25" s="7"/>
      <c r="H25" s="18">
        <f t="shared" si="0"/>
        <v>0</v>
      </c>
      <c r="I25" s="2">
        <v>940</v>
      </c>
      <c r="J25" s="8"/>
      <c r="K25" s="19">
        <f t="shared" si="1"/>
        <v>0</v>
      </c>
      <c r="L25" s="2">
        <v>350</v>
      </c>
      <c r="M25" s="21">
        <v>18</v>
      </c>
      <c r="N25" s="32">
        <f t="shared" si="2"/>
        <v>6300</v>
      </c>
      <c r="O25" s="31">
        <v>270</v>
      </c>
      <c r="P25" s="8">
        <v>42</v>
      </c>
      <c r="Q25" s="19">
        <f t="shared" si="3"/>
        <v>11340</v>
      </c>
      <c r="R25" s="15">
        <v>1000</v>
      </c>
      <c r="S25" s="8"/>
      <c r="T25" s="18">
        <f t="shared" si="4"/>
        <v>0</v>
      </c>
      <c r="U25" s="14">
        <f t="shared" si="5"/>
        <v>133980</v>
      </c>
    </row>
    <row r="26" spans="1:23" ht="20.100000000000001" customHeight="1" x14ac:dyDescent="0.15">
      <c r="A26" s="1">
        <v>21</v>
      </c>
      <c r="B26" s="1" t="s">
        <v>69</v>
      </c>
      <c r="C26" s="14">
        <v>5840</v>
      </c>
      <c r="D26" s="7">
        <v>10</v>
      </c>
      <c r="E26" s="18">
        <f t="shared" si="6"/>
        <v>58400</v>
      </c>
      <c r="F26" s="2">
        <v>300</v>
      </c>
      <c r="G26" s="7"/>
      <c r="H26" s="18">
        <f t="shared" si="0"/>
        <v>0</v>
      </c>
      <c r="I26" s="2">
        <v>940</v>
      </c>
      <c r="J26" s="8">
        <v>4</v>
      </c>
      <c r="K26" s="19">
        <f t="shared" si="1"/>
        <v>3760</v>
      </c>
      <c r="L26" s="2">
        <v>350</v>
      </c>
      <c r="M26" s="21">
        <v>10</v>
      </c>
      <c r="N26" s="32">
        <f t="shared" si="2"/>
        <v>3500</v>
      </c>
      <c r="O26" s="31">
        <v>270</v>
      </c>
      <c r="P26" s="8">
        <v>20</v>
      </c>
      <c r="Q26" s="19">
        <f t="shared" si="3"/>
        <v>5400</v>
      </c>
      <c r="R26" s="15">
        <v>1000</v>
      </c>
      <c r="S26" s="8"/>
      <c r="T26" s="18">
        <f t="shared" si="4"/>
        <v>0</v>
      </c>
      <c r="U26" s="14">
        <f t="shared" si="5"/>
        <v>67560</v>
      </c>
    </row>
    <row r="27" spans="1:23" ht="20.100000000000001" customHeight="1" x14ac:dyDescent="0.15">
      <c r="A27" s="1">
        <v>22</v>
      </c>
      <c r="B27" s="1"/>
      <c r="C27" s="14">
        <v>5840</v>
      </c>
      <c r="D27" s="7"/>
      <c r="E27" s="18">
        <f t="shared" si="6"/>
        <v>0</v>
      </c>
      <c r="F27" s="2">
        <v>300</v>
      </c>
      <c r="G27" s="7"/>
      <c r="H27" s="18">
        <f t="shared" si="0"/>
        <v>0</v>
      </c>
      <c r="I27" s="2">
        <v>940</v>
      </c>
      <c r="J27" s="8"/>
      <c r="K27" s="19">
        <f t="shared" si="1"/>
        <v>0</v>
      </c>
      <c r="L27" s="2">
        <v>350</v>
      </c>
      <c r="M27" s="21"/>
      <c r="N27" s="32"/>
      <c r="O27" s="31">
        <v>270</v>
      </c>
      <c r="P27" s="8"/>
      <c r="Q27" s="19">
        <f t="shared" si="3"/>
        <v>0</v>
      </c>
      <c r="R27" s="15">
        <v>1000</v>
      </c>
      <c r="S27" s="8"/>
      <c r="T27" s="18">
        <f t="shared" si="4"/>
        <v>0</v>
      </c>
      <c r="U27" s="14">
        <f t="shared" si="5"/>
        <v>0</v>
      </c>
    </row>
    <row r="28" spans="1:23" x14ac:dyDescent="0.15">
      <c r="A28" s="1"/>
      <c r="B28" s="1"/>
      <c r="C28" s="1"/>
      <c r="D28" s="1"/>
      <c r="E28" s="15">
        <f>SUM(E5:E25)</f>
        <v>1687760</v>
      </c>
      <c r="F28" s="15"/>
      <c r="G28" s="15"/>
      <c r="H28" s="15">
        <f>SUM(H5:H25)</f>
        <v>0</v>
      </c>
      <c r="I28" s="15"/>
      <c r="J28" s="15"/>
      <c r="K28" s="15">
        <f>SUM(K5:K25)</f>
        <v>34780</v>
      </c>
      <c r="L28" s="15"/>
      <c r="M28" s="15"/>
      <c r="N28" s="15">
        <f>SUM(N5:N25)</f>
        <v>46900</v>
      </c>
      <c r="O28" s="15"/>
      <c r="P28" s="1"/>
      <c r="Q28" s="15">
        <f>SUM(Q5:Q25)</f>
        <v>121500</v>
      </c>
      <c r="R28" s="1"/>
      <c r="S28" s="1"/>
      <c r="T28" s="15">
        <f>SUM(T5:T25)</f>
        <v>140000</v>
      </c>
      <c r="U28" s="15">
        <f>SUM(U6:U27)</f>
        <v>2051600</v>
      </c>
    </row>
    <row r="30" spans="1:23" ht="13.5" customHeight="1" x14ac:dyDescent="0.15">
      <c r="B30" s="29"/>
      <c r="C30" s="29"/>
      <c r="D30" s="29"/>
      <c r="E30" s="29"/>
      <c r="G30" s="29"/>
      <c r="H30" s="30"/>
      <c r="I30" s="29"/>
      <c r="J30" s="77"/>
      <c r="K30" s="77"/>
      <c r="L30" s="78"/>
      <c r="M30" s="78"/>
      <c r="N30" s="9"/>
      <c r="O30" s="9"/>
      <c r="P30" s="9"/>
      <c r="Q30" s="9"/>
      <c r="R30" s="56">
        <f>U28</f>
        <v>2051600</v>
      </c>
      <c r="S30" s="56"/>
      <c r="T30" s="56"/>
      <c r="U30" s="56"/>
      <c r="V30" s="26"/>
      <c r="W30" s="26"/>
    </row>
    <row r="31" spans="1:23" ht="13.5" customHeight="1" x14ac:dyDescent="0.15">
      <c r="B31" s="26"/>
      <c r="C31" s="29"/>
      <c r="D31" s="29"/>
      <c r="E31" s="29"/>
      <c r="G31" s="29"/>
      <c r="H31" s="30"/>
      <c r="I31" s="29"/>
      <c r="J31" s="77"/>
      <c r="K31" s="77"/>
      <c r="L31" s="78"/>
      <c r="M31" s="78"/>
      <c r="N31" s="11"/>
      <c r="O31" s="11"/>
      <c r="P31" s="11"/>
      <c r="Q31" s="11"/>
      <c r="R31" s="56"/>
      <c r="S31" s="56"/>
      <c r="T31" s="56"/>
      <c r="U31" s="56"/>
      <c r="V31" s="27"/>
      <c r="W31" s="26"/>
    </row>
    <row r="32" spans="1:23" ht="13.5" customHeight="1" x14ac:dyDescent="0.15">
      <c r="R32" s="56"/>
      <c r="S32" s="56"/>
      <c r="T32" s="56"/>
      <c r="U32" s="56"/>
      <c r="V32" s="27"/>
      <c r="W32" s="26"/>
    </row>
    <row r="33" spans="17:23" ht="13.5" customHeight="1" x14ac:dyDescent="0.15">
      <c r="Q33" s="26"/>
      <c r="R33" s="26"/>
      <c r="S33" s="27"/>
      <c r="T33" s="27"/>
      <c r="U33" s="27"/>
      <c r="V33" s="27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  <row r="35" spans="17:23" x14ac:dyDescent="0.15">
      <c r="Q35" s="26"/>
      <c r="R35" s="26"/>
      <c r="S35" s="26"/>
      <c r="T35" s="26"/>
      <c r="U35" s="26"/>
      <c r="V35" s="26"/>
      <c r="W35" s="26"/>
    </row>
  </sheetData>
  <mergeCells count="29">
    <mergeCell ref="S5:S6"/>
    <mergeCell ref="T5:T6"/>
    <mergeCell ref="J30:K30"/>
    <mergeCell ref="L30:M30"/>
    <mergeCell ref="R30:U32"/>
    <mergeCell ref="J31:K31"/>
    <mergeCell ref="L31:M31"/>
    <mergeCell ref="J5:J6"/>
    <mergeCell ref="K5:K6"/>
    <mergeCell ref="O5:O6"/>
    <mergeCell ref="P5:P6"/>
    <mergeCell ref="Q5:Q6"/>
    <mergeCell ref="R5:R6"/>
    <mergeCell ref="R3:T3"/>
    <mergeCell ref="U3:U4"/>
    <mergeCell ref="B5:B6"/>
    <mergeCell ref="C5:C6"/>
    <mergeCell ref="D5:D6"/>
    <mergeCell ref="E5:E6"/>
    <mergeCell ref="F5:F6"/>
    <mergeCell ref="G5:G6"/>
    <mergeCell ref="H5:H6"/>
    <mergeCell ref="I5:I6"/>
    <mergeCell ref="A2:B3"/>
    <mergeCell ref="C3:E3"/>
    <mergeCell ref="F3:H3"/>
    <mergeCell ref="I3:K3"/>
    <mergeCell ref="L3:N3"/>
    <mergeCell ref="O3:Q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C26" sqref="C26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7" t="s">
        <v>72</v>
      </c>
      <c r="B2" s="58"/>
    </row>
    <row r="3" spans="1:21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42</v>
      </c>
      <c r="M3" s="52"/>
      <c r="N3" s="53"/>
      <c r="O3" s="51" t="s">
        <v>64</v>
      </c>
      <c r="P3" s="52"/>
      <c r="Q3" s="53"/>
      <c r="R3" s="51" t="s">
        <v>4</v>
      </c>
      <c r="S3" s="52"/>
      <c r="T3" s="53"/>
      <c r="U3" s="54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5"/>
    </row>
    <row r="5" spans="1:21" ht="19.5" customHeight="1" thickTop="1" x14ac:dyDescent="0.15">
      <c r="A5" s="2">
        <v>1</v>
      </c>
      <c r="B5" s="33" t="s">
        <v>29</v>
      </c>
      <c r="C5" s="34">
        <v>5840</v>
      </c>
      <c r="D5" s="36">
        <v>13</v>
      </c>
      <c r="E5" s="37">
        <f>SUM(C5*D5)</f>
        <v>75920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11</v>
      </c>
      <c r="N5" s="32">
        <f t="shared" ref="N5:N25" si="0">SUM(L5*M5)</f>
        <v>3850</v>
      </c>
      <c r="O5" s="34">
        <v>270</v>
      </c>
      <c r="P5" s="36">
        <v>26</v>
      </c>
      <c r="Q5" s="39">
        <f>SUM(O5*P5)</f>
        <v>7020</v>
      </c>
      <c r="R5" s="34">
        <v>1000</v>
      </c>
      <c r="S5" s="40"/>
      <c r="T5" s="37">
        <f>SUM(R5*S5)</f>
        <v>0</v>
      </c>
      <c r="U5" s="14">
        <f>SUM(E5+H5+K5+Q5+T5)</f>
        <v>86700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17</v>
      </c>
      <c r="E6" s="18">
        <f>SUM(C6*D6)</f>
        <v>99280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2</v>
      </c>
      <c r="K6" s="19">
        <f t="shared" ref="K6:K26" si="2">SUM(I6*J6)</f>
        <v>1880</v>
      </c>
      <c r="L6" s="2">
        <v>350</v>
      </c>
      <c r="M6" s="20">
        <v>17</v>
      </c>
      <c r="N6" s="32">
        <f t="shared" si="0"/>
        <v>5950</v>
      </c>
      <c r="O6" s="35">
        <v>270</v>
      </c>
      <c r="P6" s="7">
        <v>34</v>
      </c>
      <c r="Q6" s="19">
        <f t="shared" ref="Q6:Q26" si="3">SUM(O6*P6)</f>
        <v>9180</v>
      </c>
      <c r="R6" s="14">
        <v>1000</v>
      </c>
      <c r="S6" s="7"/>
      <c r="T6" s="18">
        <f t="shared" ref="T6:T26" si="4">SUM(S6*R6)</f>
        <v>0</v>
      </c>
      <c r="U6" s="14">
        <f>SUM(E6+H6+K6+Q6+T6)</f>
        <v>110340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18</v>
      </c>
      <c r="E7" s="18">
        <f t="shared" ref="E7:E26" si="5">SUM(C7*D7)</f>
        <v>105120</v>
      </c>
      <c r="F7" s="2">
        <v>300</v>
      </c>
      <c r="G7" s="7"/>
      <c r="H7" s="18">
        <f t="shared" si="1"/>
        <v>0</v>
      </c>
      <c r="I7" s="2">
        <v>940</v>
      </c>
      <c r="J7" s="8">
        <v>4</v>
      </c>
      <c r="K7" s="19">
        <f t="shared" si="2"/>
        <v>3760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108880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>
        <v>20</v>
      </c>
      <c r="T8" s="18">
        <f t="shared" si="4"/>
        <v>20000</v>
      </c>
      <c r="U8" s="14">
        <f t="shared" si="6"/>
        <v>148480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3</v>
      </c>
      <c r="E10" s="18">
        <f t="shared" si="5"/>
        <v>17520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6</v>
      </c>
      <c r="Q10" s="19">
        <f t="shared" si="3"/>
        <v>1620</v>
      </c>
      <c r="R10" s="15">
        <v>1000</v>
      </c>
      <c r="S10" s="8"/>
      <c r="T10" s="18">
        <f t="shared" si="4"/>
        <v>0</v>
      </c>
      <c r="U10" s="14">
        <f t="shared" si="6"/>
        <v>19140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22</v>
      </c>
      <c r="E11" s="18">
        <f t="shared" si="5"/>
        <v>128480</v>
      </c>
      <c r="F11" s="2">
        <v>300</v>
      </c>
      <c r="G11" s="7"/>
      <c r="H11" s="18">
        <f t="shared" si="1"/>
        <v>0</v>
      </c>
      <c r="I11" s="2">
        <v>940</v>
      </c>
      <c r="J11" s="8"/>
      <c r="K11" s="19">
        <f t="shared" si="2"/>
        <v>0</v>
      </c>
      <c r="L11" s="2">
        <v>350</v>
      </c>
      <c r="M11" s="21">
        <v>22</v>
      </c>
      <c r="N11" s="32">
        <f t="shared" si="0"/>
        <v>7700</v>
      </c>
      <c r="O11" s="31">
        <v>270</v>
      </c>
      <c r="P11" s="8">
        <v>44</v>
      </c>
      <c r="Q11" s="19">
        <f t="shared" si="3"/>
        <v>11880</v>
      </c>
      <c r="R11" s="15">
        <v>1000</v>
      </c>
      <c r="S11" s="8">
        <v>20</v>
      </c>
      <c r="T11" s="18">
        <f t="shared" si="4"/>
        <v>20000</v>
      </c>
      <c r="U11" s="14">
        <f t="shared" si="6"/>
        <v>160360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9</v>
      </c>
      <c r="E12" s="18">
        <f t="shared" si="5"/>
        <v>52560</v>
      </c>
      <c r="F12" s="2">
        <v>300</v>
      </c>
      <c r="G12" s="7"/>
      <c r="H12" s="18">
        <f t="shared" si="1"/>
        <v>0</v>
      </c>
      <c r="I12" s="2">
        <v>940</v>
      </c>
      <c r="J12" s="8">
        <v>2</v>
      </c>
      <c r="K12" s="19">
        <f t="shared" si="2"/>
        <v>1880</v>
      </c>
      <c r="L12" s="2">
        <v>350</v>
      </c>
      <c r="M12" s="21">
        <v>3</v>
      </c>
      <c r="N12" s="32">
        <f t="shared" si="0"/>
        <v>1050</v>
      </c>
      <c r="O12" s="31">
        <v>270</v>
      </c>
      <c r="P12" s="8">
        <v>18</v>
      </c>
      <c r="Q12" s="19">
        <f t="shared" si="3"/>
        <v>4860</v>
      </c>
      <c r="R12" s="15">
        <v>1000</v>
      </c>
      <c r="S12" s="8"/>
      <c r="T12" s="18">
        <f t="shared" si="4"/>
        <v>0</v>
      </c>
      <c r="U12" s="14">
        <f t="shared" si="6"/>
        <v>59300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8</v>
      </c>
      <c r="E13" s="18">
        <f t="shared" si="5"/>
        <v>46720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8</v>
      </c>
      <c r="N13" s="32">
        <f t="shared" si="0"/>
        <v>2800</v>
      </c>
      <c r="O13" s="31">
        <v>270</v>
      </c>
      <c r="P13" s="8">
        <v>16</v>
      </c>
      <c r="Q13" s="19">
        <f t="shared" si="3"/>
        <v>4320</v>
      </c>
      <c r="R13" s="15">
        <v>1000</v>
      </c>
      <c r="S13" s="8">
        <v>6</v>
      </c>
      <c r="T13" s="18">
        <f t="shared" si="4"/>
        <v>6000</v>
      </c>
      <c r="U13" s="14">
        <f t="shared" si="6"/>
        <v>60800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21</v>
      </c>
      <c r="E15" s="18">
        <f t="shared" si="5"/>
        <v>122640</v>
      </c>
      <c r="F15" s="2">
        <v>300</v>
      </c>
      <c r="G15" s="7">
        <v>21</v>
      </c>
      <c r="H15" s="18">
        <f t="shared" si="1"/>
        <v>6300</v>
      </c>
      <c r="I15" s="2">
        <v>940</v>
      </c>
      <c r="J15" s="8">
        <v>1</v>
      </c>
      <c r="K15" s="19">
        <f t="shared" si="2"/>
        <v>940</v>
      </c>
      <c r="L15" s="2">
        <v>350</v>
      </c>
      <c r="M15" s="21">
        <v>20</v>
      </c>
      <c r="N15" s="32">
        <f t="shared" si="0"/>
        <v>7000</v>
      </c>
      <c r="O15" s="31">
        <v>270</v>
      </c>
      <c r="P15" s="8">
        <v>8</v>
      </c>
      <c r="Q15" s="19">
        <f t="shared" si="3"/>
        <v>2160</v>
      </c>
      <c r="R15" s="15">
        <v>1000</v>
      </c>
      <c r="S15" s="8"/>
      <c r="T15" s="18">
        <f t="shared" si="4"/>
        <v>0</v>
      </c>
      <c r="U15" s="14">
        <f t="shared" si="6"/>
        <v>132040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22</v>
      </c>
      <c r="E17" s="18">
        <f t="shared" si="5"/>
        <v>128480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22</v>
      </c>
      <c r="N17" s="32">
        <f t="shared" si="0"/>
        <v>7700</v>
      </c>
      <c r="O17" s="31">
        <v>270</v>
      </c>
      <c r="P17" s="8">
        <v>44</v>
      </c>
      <c r="Q17" s="19">
        <f t="shared" si="3"/>
        <v>11880</v>
      </c>
      <c r="R17" s="15">
        <v>1000</v>
      </c>
      <c r="S17" s="8">
        <v>20</v>
      </c>
      <c r="T17" s="18">
        <f t="shared" si="4"/>
        <v>20000</v>
      </c>
      <c r="U17" s="14">
        <f t="shared" si="6"/>
        <v>160360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18</v>
      </c>
      <c r="E18" s="18">
        <f t="shared" si="5"/>
        <v>105120</v>
      </c>
      <c r="F18" s="2">
        <v>300</v>
      </c>
      <c r="G18" s="7"/>
      <c r="H18" s="18">
        <f t="shared" si="1"/>
        <v>0</v>
      </c>
      <c r="I18" s="2">
        <v>940</v>
      </c>
      <c r="J18" s="8">
        <v>4</v>
      </c>
      <c r="K18" s="19">
        <f t="shared" si="2"/>
        <v>3760</v>
      </c>
      <c r="L18" s="2">
        <v>290</v>
      </c>
      <c r="M18" s="21"/>
      <c r="N18" s="32">
        <f t="shared" si="0"/>
        <v>0</v>
      </c>
      <c r="O18" s="31">
        <v>270</v>
      </c>
      <c r="P18" s="8">
        <v>36</v>
      </c>
      <c r="Q18" s="19">
        <f t="shared" si="3"/>
        <v>9720</v>
      </c>
      <c r="R18" s="15">
        <v>1000</v>
      </c>
      <c r="S18" s="8"/>
      <c r="T18" s="18">
        <f t="shared" si="4"/>
        <v>0</v>
      </c>
      <c r="U18" s="14">
        <f t="shared" si="6"/>
        <v>118600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15</v>
      </c>
      <c r="E19" s="18">
        <f t="shared" si="5"/>
        <v>87600</v>
      </c>
      <c r="F19" s="2">
        <v>300</v>
      </c>
      <c r="G19" s="7"/>
      <c r="H19" s="18">
        <f t="shared" si="1"/>
        <v>0</v>
      </c>
      <c r="I19" s="2">
        <v>940</v>
      </c>
      <c r="J19" s="8">
        <v>4</v>
      </c>
      <c r="K19" s="19">
        <f t="shared" si="2"/>
        <v>3760</v>
      </c>
      <c r="L19" s="2">
        <v>350</v>
      </c>
      <c r="M19" s="21"/>
      <c r="N19" s="32">
        <f t="shared" si="0"/>
        <v>0</v>
      </c>
      <c r="O19" s="31">
        <v>270</v>
      </c>
      <c r="P19" s="8">
        <v>30</v>
      </c>
      <c r="Q19" s="19">
        <f t="shared" si="3"/>
        <v>8100</v>
      </c>
      <c r="R19" s="15">
        <v>1000</v>
      </c>
      <c r="S19" s="8">
        <v>13</v>
      </c>
      <c r="T19" s="18">
        <f t="shared" si="4"/>
        <v>13000</v>
      </c>
      <c r="U19" s="14">
        <f t="shared" si="6"/>
        <v>112460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6</v>
      </c>
      <c r="E20" s="18">
        <f t="shared" si="5"/>
        <v>35040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12</v>
      </c>
      <c r="Q20" s="19">
        <f t="shared" si="3"/>
        <v>3240</v>
      </c>
      <c r="R20" s="15">
        <v>1000</v>
      </c>
      <c r="S20" s="8">
        <v>4</v>
      </c>
      <c r="T20" s="18">
        <f t="shared" si="4"/>
        <v>4000</v>
      </c>
      <c r="U20" s="14">
        <f t="shared" si="6"/>
        <v>46040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13</v>
      </c>
      <c r="E21" s="18">
        <f t="shared" si="5"/>
        <v>75920</v>
      </c>
      <c r="F21" s="2">
        <v>300</v>
      </c>
      <c r="G21" s="7"/>
      <c r="H21" s="18">
        <f t="shared" si="1"/>
        <v>0</v>
      </c>
      <c r="I21" s="2">
        <v>940</v>
      </c>
      <c r="J21" s="8">
        <v>4</v>
      </c>
      <c r="K21" s="19">
        <f t="shared" si="2"/>
        <v>3760</v>
      </c>
      <c r="L21" s="2">
        <v>350</v>
      </c>
      <c r="M21" s="21">
        <v>13</v>
      </c>
      <c r="N21" s="32">
        <f t="shared" si="0"/>
        <v>4550</v>
      </c>
      <c r="O21" s="31">
        <v>270</v>
      </c>
      <c r="P21" s="8">
        <v>26</v>
      </c>
      <c r="Q21" s="19">
        <f t="shared" si="3"/>
        <v>7020</v>
      </c>
      <c r="R21" s="15">
        <v>1000</v>
      </c>
      <c r="S21" s="8">
        <v>11</v>
      </c>
      <c r="T21" s="18">
        <f t="shared" si="4"/>
        <v>11000</v>
      </c>
      <c r="U21" s="14">
        <f t="shared" si="6"/>
        <v>97700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12</v>
      </c>
      <c r="E22" s="18">
        <f t="shared" si="5"/>
        <v>70080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24</v>
      </c>
      <c r="Q22" s="19">
        <f t="shared" si="3"/>
        <v>6480</v>
      </c>
      <c r="R22" s="15">
        <v>1000</v>
      </c>
      <c r="S22" s="8">
        <v>10</v>
      </c>
      <c r="T22" s="18">
        <f t="shared" si="4"/>
        <v>10000</v>
      </c>
      <c r="U22" s="14">
        <f t="shared" si="6"/>
        <v>90320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20</v>
      </c>
      <c r="E23" s="18">
        <f t="shared" si="5"/>
        <v>116800</v>
      </c>
      <c r="F23" s="2">
        <v>300</v>
      </c>
      <c r="G23" s="7"/>
      <c r="H23" s="18">
        <f t="shared" si="1"/>
        <v>0</v>
      </c>
      <c r="I23" s="2">
        <v>940</v>
      </c>
      <c r="J23" s="8">
        <v>2</v>
      </c>
      <c r="K23" s="19">
        <f t="shared" si="2"/>
        <v>1880</v>
      </c>
      <c r="L23" s="2">
        <v>350</v>
      </c>
      <c r="M23" s="21"/>
      <c r="N23" s="32">
        <f t="shared" si="0"/>
        <v>0</v>
      </c>
      <c r="O23" s="31">
        <v>270</v>
      </c>
      <c r="P23" s="8">
        <v>40</v>
      </c>
      <c r="Q23" s="19">
        <f t="shared" si="3"/>
        <v>10800</v>
      </c>
      <c r="R23" s="15">
        <v>1000</v>
      </c>
      <c r="S23" s="8">
        <v>18</v>
      </c>
      <c r="T23" s="18">
        <f t="shared" si="4"/>
        <v>18000</v>
      </c>
      <c r="U23" s="14">
        <f t="shared" si="6"/>
        <v>147480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22</v>
      </c>
      <c r="E24" s="18">
        <f t="shared" si="5"/>
        <v>128480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>
        <v>5</v>
      </c>
      <c r="N24" s="32">
        <f t="shared" si="0"/>
        <v>1750</v>
      </c>
      <c r="O24" s="31">
        <v>270</v>
      </c>
      <c r="P24" s="8">
        <v>44</v>
      </c>
      <c r="Q24" s="19">
        <f t="shared" si="3"/>
        <v>11880</v>
      </c>
      <c r="R24" s="15">
        <v>1000</v>
      </c>
      <c r="S24" s="8"/>
      <c r="T24" s="18">
        <f t="shared" si="4"/>
        <v>0</v>
      </c>
      <c r="U24" s="14">
        <f t="shared" si="6"/>
        <v>140360</v>
      </c>
    </row>
    <row r="25" spans="1:23" ht="20.100000000000001" customHeight="1" x14ac:dyDescent="0.15">
      <c r="A25" s="1">
        <v>21</v>
      </c>
      <c r="B25" s="1" t="s">
        <v>69</v>
      </c>
      <c r="C25" s="14">
        <v>5840</v>
      </c>
      <c r="D25" s="7"/>
      <c r="E25" s="18">
        <f t="shared" si="5"/>
        <v>0</v>
      </c>
      <c r="F25" s="2">
        <v>300</v>
      </c>
      <c r="G25" s="7"/>
      <c r="H25" s="18">
        <f t="shared" si="1"/>
        <v>0</v>
      </c>
      <c r="I25" s="2">
        <v>940</v>
      </c>
      <c r="J25" s="8"/>
      <c r="K25" s="19">
        <f t="shared" si="2"/>
        <v>0</v>
      </c>
      <c r="L25" s="2">
        <v>350</v>
      </c>
      <c r="M25" s="21"/>
      <c r="N25" s="32">
        <f t="shared" si="0"/>
        <v>0</v>
      </c>
      <c r="O25" s="31">
        <v>270</v>
      </c>
      <c r="P25" s="8"/>
      <c r="Q25" s="19">
        <f t="shared" si="3"/>
        <v>0</v>
      </c>
      <c r="R25" s="15">
        <v>1000</v>
      </c>
      <c r="S25" s="8"/>
      <c r="T25" s="18">
        <f t="shared" si="4"/>
        <v>0</v>
      </c>
      <c r="U25" s="14">
        <f t="shared" si="6"/>
        <v>0</v>
      </c>
    </row>
    <row r="26" spans="1:23" ht="20.100000000000001" customHeight="1" x14ac:dyDescent="0.15">
      <c r="A26" s="1">
        <v>22</v>
      </c>
      <c r="B26" s="1"/>
      <c r="C26" s="14">
        <v>5840</v>
      </c>
      <c r="D26" s="7"/>
      <c r="E26" s="18">
        <f t="shared" si="5"/>
        <v>0</v>
      </c>
      <c r="F26" s="2">
        <v>300</v>
      </c>
      <c r="G26" s="7"/>
      <c r="H26" s="18">
        <f t="shared" si="1"/>
        <v>0</v>
      </c>
      <c r="I26" s="2">
        <v>940</v>
      </c>
      <c r="J26" s="8"/>
      <c r="K26" s="19">
        <f t="shared" si="2"/>
        <v>0</v>
      </c>
      <c r="L26" s="2">
        <v>350</v>
      </c>
      <c r="M26" s="21"/>
      <c r="N26" s="32"/>
      <c r="O26" s="31">
        <v>270</v>
      </c>
      <c r="P26" s="8"/>
      <c r="Q26" s="19">
        <f t="shared" si="3"/>
        <v>0</v>
      </c>
      <c r="R26" s="15">
        <v>1000</v>
      </c>
      <c r="S26" s="8"/>
      <c r="T26" s="18">
        <f t="shared" si="4"/>
        <v>0</v>
      </c>
      <c r="U26" s="14">
        <f t="shared" si="6"/>
        <v>0</v>
      </c>
    </row>
    <row r="27" spans="1:23" x14ac:dyDescent="0.15">
      <c r="A27" s="1"/>
      <c r="B27" s="1"/>
      <c r="C27" s="1"/>
      <c r="D27" s="1"/>
      <c r="E27" s="15">
        <f>SUM(E5:E25)</f>
        <v>1652720</v>
      </c>
      <c r="F27" s="15"/>
      <c r="G27" s="15"/>
      <c r="H27" s="15">
        <f>SUM(H5:H25)</f>
        <v>6300</v>
      </c>
      <c r="I27" s="15"/>
      <c r="J27" s="15"/>
      <c r="K27" s="15">
        <f>SUM(K5:K25)</f>
        <v>36660</v>
      </c>
      <c r="L27" s="15"/>
      <c r="M27" s="15"/>
      <c r="N27" s="15">
        <f>SUM(N5:N25)</f>
        <v>42350</v>
      </c>
      <c r="O27" s="15"/>
      <c r="P27" s="1"/>
      <c r="Q27" s="15">
        <f>SUM(Q5:Q25)</f>
        <v>110160</v>
      </c>
      <c r="R27" s="1"/>
      <c r="S27" s="1"/>
      <c r="T27" s="15">
        <f>SUM(T5:T25)</f>
        <v>122000</v>
      </c>
      <c r="U27" s="15">
        <f>SUM(U5:U25)</f>
        <v>1927840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77"/>
      <c r="K29" s="77"/>
      <c r="L29" s="78"/>
      <c r="M29" s="78"/>
      <c r="N29" s="9"/>
      <c r="O29" s="9"/>
      <c r="P29" s="9"/>
      <c r="Q29" s="9"/>
      <c r="R29" s="56">
        <f>U27</f>
        <v>1927840</v>
      </c>
      <c r="S29" s="56"/>
      <c r="T29" s="56"/>
      <c r="U29" s="56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77"/>
      <c r="K30" s="77"/>
      <c r="L30" s="78"/>
      <c r="M30" s="78"/>
      <c r="N30" s="11"/>
      <c r="O30" s="11"/>
      <c r="P30" s="11"/>
      <c r="Q30" s="11"/>
      <c r="R30" s="56"/>
      <c r="S30" s="56"/>
      <c r="T30" s="56"/>
      <c r="U30" s="56"/>
      <c r="V30" s="27"/>
      <c r="W30" s="26"/>
    </row>
    <row r="31" spans="1:23" ht="13.5" customHeight="1" x14ac:dyDescent="0.15">
      <c r="R31" s="56"/>
      <c r="S31" s="56"/>
      <c r="T31" s="56"/>
      <c r="U31" s="56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J29:K29"/>
    <mergeCell ref="L29:M29"/>
    <mergeCell ref="R29:U31"/>
    <mergeCell ref="J30:K30"/>
    <mergeCell ref="L30:M30"/>
    <mergeCell ref="R3:T3"/>
    <mergeCell ref="U3:U4"/>
    <mergeCell ref="A2:B3"/>
    <mergeCell ref="C3:E3"/>
    <mergeCell ref="F3:H3"/>
    <mergeCell ref="I3:K3"/>
    <mergeCell ref="L3:N3"/>
    <mergeCell ref="O3:Q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J18" sqref="J18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7" t="s">
        <v>74</v>
      </c>
      <c r="B2" s="58"/>
    </row>
    <row r="3" spans="1:21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42</v>
      </c>
      <c r="M3" s="52"/>
      <c r="N3" s="53"/>
      <c r="O3" s="51" t="s">
        <v>64</v>
      </c>
      <c r="P3" s="52"/>
      <c r="Q3" s="53"/>
      <c r="R3" s="51" t="s">
        <v>4</v>
      </c>
      <c r="S3" s="52"/>
      <c r="T3" s="53"/>
      <c r="U3" s="54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5"/>
    </row>
    <row r="5" spans="1:21" ht="19.5" customHeight="1" thickTop="1" x14ac:dyDescent="0.15">
      <c r="A5" s="2">
        <v>1</v>
      </c>
      <c r="B5" s="41" t="s">
        <v>29</v>
      </c>
      <c r="C5" s="42">
        <v>5840</v>
      </c>
      <c r="D5" s="36">
        <v>17</v>
      </c>
      <c r="E5" s="37">
        <f>SUM(C5*D5)</f>
        <v>99280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6</v>
      </c>
      <c r="N5" s="32">
        <f t="shared" ref="N5:N25" si="0">SUM(L5*M5)</f>
        <v>2100</v>
      </c>
      <c r="O5" s="42">
        <v>270</v>
      </c>
      <c r="P5" s="36">
        <v>34</v>
      </c>
      <c r="Q5" s="39">
        <f>SUM(O5*P5)</f>
        <v>9180</v>
      </c>
      <c r="R5" s="42">
        <v>1000</v>
      </c>
      <c r="S5" s="40"/>
      <c r="T5" s="37">
        <f>SUM(R5*S5)</f>
        <v>0</v>
      </c>
      <c r="U5" s="14">
        <f>SUM(E5+H5+K5+Q5+T5)</f>
        <v>112220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19</v>
      </c>
      <c r="E6" s="18">
        <f>SUM(C6*D6)</f>
        <v>110960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2</v>
      </c>
      <c r="K6" s="19">
        <f t="shared" ref="K6:K26" si="2">SUM(I6*J6)</f>
        <v>1880</v>
      </c>
      <c r="L6" s="2">
        <v>350</v>
      </c>
      <c r="M6" s="20">
        <v>19</v>
      </c>
      <c r="N6" s="32">
        <f t="shared" si="0"/>
        <v>6650</v>
      </c>
      <c r="O6" s="35">
        <v>270</v>
      </c>
      <c r="P6" s="7">
        <v>38</v>
      </c>
      <c r="Q6" s="19">
        <f t="shared" ref="Q6:Q26" si="3">SUM(O6*P6)</f>
        <v>10260</v>
      </c>
      <c r="R6" s="14">
        <v>1000</v>
      </c>
      <c r="S6" s="7"/>
      <c r="T6" s="18">
        <f t="shared" ref="T6:T26" si="4">SUM(S6*R6)</f>
        <v>0</v>
      </c>
      <c r="U6" s="14">
        <f>SUM(E6+H6+K6+Q6+T6)</f>
        <v>123100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21</v>
      </c>
      <c r="E7" s="18">
        <f t="shared" ref="E7:E26" si="5">SUM(C7*D7)</f>
        <v>122640</v>
      </c>
      <c r="F7" s="2">
        <v>300</v>
      </c>
      <c r="G7" s="7"/>
      <c r="H7" s="18">
        <f t="shared" si="1"/>
        <v>0</v>
      </c>
      <c r="I7" s="2">
        <v>940</v>
      </c>
      <c r="J7" s="8">
        <v>2</v>
      </c>
      <c r="K7" s="19">
        <f t="shared" si="2"/>
        <v>1880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124520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6"/>
        <v>128480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21</v>
      </c>
      <c r="E10" s="18">
        <f t="shared" si="5"/>
        <v>122640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42</v>
      </c>
      <c r="Q10" s="19">
        <f t="shared" si="3"/>
        <v>11340</v>
      </c>
      <c r="R10" s="15">
        <v>1000</v>
      </c>
      <c r="S10" s="8"/>
      <c r="T10" s="18">
        <f t="shared" si="4"/>
        <v>0</v>
      </c>
      <c r="U10" s="14">
        <f t="shared" si="6"/>
        <v>133980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15</v>
      </c>
      <c r="E11" s="18">
        <f t="shared" si="5"/>
        <v>87600</v>
      </c>
      <c r="F11" s="2">
        <v>300</v>
      </c>
      <c r="G11" s="7"/>
      <c r="H11" s="18">
        <f t="shared" si="1"/>
        <v>0</v>
      </c>
      <c r="I11" s="2">
        <v>940</v>
      </c>
      <c r="J11" s="8">
        <v>4</v>
      </c>
      <c r="K11" s="19">
        <f t="shared" si="2"/>
        <v>3760</v>
      </c>
      <c r="L11" s="2">
        <v>350</v>
      </c>
      <c r="M11" s="21">
        <v>15</v>
      </c>
      <c r="N11" s="32">
        <f t="shared" si="0"/>
        <v>5250</v>
      </c>
      <c r="O11" s="31">
        <v>270</v>
      </c>
      <c r="P11" s="8">
        <v>30</v>
      </c>
      <c r="Q11" s="19">
        <f t="shared" si="3"/>
        <v>8100</v>
      </c>
      <c r="R11" s="15">
        <v>1000</v>
      </c>
      <c r="S11" s="8"/>
      <c r="T11" s="18">
        <f t="shared" si="4"/>
        <v>0</v>
      </c>
      <c r="U11" s="14">
        <f t="shared" si="6"/>
        <v>99460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12</v>
      </c>
      <c r="E12" s="18">
        <f t="shared" si="5"/>
        <v>70080</v>
      </c>
      <c r="F12" s="2">
        <v>300</v>
      </c>
      <c r="G12" s="7"/>
      <c r="H12" s="18">
        <f t="shared" si="1"/>
        <v>0</v>
      </c>
      <c r="I12" s="2">
        <v>940</v>
      </c>
      <c r="J12" s="8"/>
      <c r="K12" s="19">
        <f t="shared" si="2"/>
        <v>0</v>
      </c>
      <c r="L12" s="2">
        <v>350</v>
      </c>
      <c r="M12" s="21">
        <v>7</v>
      </c>
      <c r="N12" s="32">
        <f t="shared" si="0"/>
        <v>2450</v>
      </c>
      <c r="O12" s="31">
        <v>270</v>
      </c>
      <c r="P12" s="8">
        <v>24</v>
      </c>
      <c r="Q12" s="19">
        <f t="shared" si="3"/>
        <v>6480</v>
      </c>
      <c r="R12" s="15">
        <v>1000</v>
      </c>
      <c r="S12" s="8"/>
      <c r="T12" s="18">
        <f t="shared" si="4"/>
        <v>0</v>
      </c>
      <c r="U12" s="14">
        <f t="shared" si="6"/>
        <v>76560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12</v>
      </c>
      <c r="E13" s="18">
        <f t="shared" si="5"/>
        <v>70080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9</v>
      </c>
      <c r="N13" s="32">
        <f t="shared" si="0"/>
        <v>3150</v>
      </c>
      <c r="O13" s="31">
        <v>270</v>
      </c>
      <c r="P13" s="8">
        <v>24</v>
      </c>
      <c r="Q13" s="19">
        <f t="shared" si="3"/>
        <v>6480</v>
      </c>
      <c r="R13" s="15">
        <v>1000</v>
      </c>
      <c r="S13" s="8"/>
      <c r="T13" s="18">
        <f t="shared" si="4"/>
        <v>0</v>
      </c>
      <c r="U13" s="14">
        <f t="shared" si="6"/>
        <v>80320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17</v>
      </c>
      <c r="E15" s="18">
        <f t="shared" si="5"/>
        <v>99280</v>
      </c>
      <c r="F15" s="2">
        <v>300</v>
      </c>
      <c r="G15" s="7"/>
      <c r="H15" s="18">
        <f t="shared" si="1"/>
        <v>0</v>
      </c>
      <c r="I15" s="2">
        <v>940</v>
      </c>
      <c r="J15" s="8">
        <v>4</v>
      </c>
      <c r="K15" s="19">
        <f t="shared" si="2"/>
        <v>3760</v>
      </c>
      <c r="L15" s="2">
        <v>350</v>
      </c>
      <c r="M15" s="21">
        <v>16</v>
      </c>
      <c r="N15" s="32">
        <f t="shared" si="0"/>
        <v>5600</v>
      </c>
      <c r="O15" s="31">
        <v>270</v>
      </c>
      <c r="P15" s="8"/>
      <c r="Q15" s="19">
        <f t="shared" si="3"/>
        <v>0</v>
      </c>
      <c r="R15" s="15">
        <v>1000</v>
      </c>
      <c r="S15" s="8"/>
      <c r="T15" s="18">
        <f t="shared" si="4"/>
        <v>0</v>
      </c>
      <c r="U15" s="14">
        <f t="shared" si="6"/>
        <v>103040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22</v>
      </c>
      <c r="E17" s="18">
        <f t="shared" si="5"/>
        <v>128480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21</v>
      </c>
      <c r="N17" s="32">
        <f t="shared" si="0"/>
        <v>7350</v>
      </c>
      <c r="O17" s="31">
        <v>270</v>
      </c>
      <c r="P17" s="8">
        <v>44</v>
      </c>
      <c r="Q17" s="19">
        <f t="shared" si="3"/>
        <v>11880</v>
      </c>
      <c r="R17" s="15">
        <v>1000</v>
      </c>
      <c r="S17" s="8"/>
      <c r="T17" s="18">
        <f t="shared" si="4"/>
        <v>0</v>
      </c>
      <c r="U17" s="14">
        <f t="shared" si="6"/>
        <v>140360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22</v>
      </c>
      <c r="E18" s="18">
        <f t="shared" si="5"/>
        <v>128480</v>
      </c>
      <c r="F18" s="2">
        <v>300</v>
      </c>
      <c r="G18" s="7"/>
      <c r="H18" s="18">
        <f t="shared" si="1"/>
        <v>0</v>
      </c>
      <c r="I18" s="2">
        <v>940</v>
      </c>
      <c r="J18" s="8">
        <v>1</v>
      </c>
      <c r="K18" s="19">
        <f t="shared" si="2"/>
        <v>940</v>
      </c>
      <c r="L18" s="2">
        <v>290</v>
      </c>
      <c r="M18" s="21"/>
      <c r="N18" s="32">
        <f t="shared" si="0"/>
        <v>0</v>
      </c>
      <c r="O18" s="31">
        <v>270</v>
      </c>
      <c r="P18" s="8">
        <v>44</v>
      </c>
      <c r="Q18" s="19">
        <f t="shared" si="3"/>
        <v>11880</v>
      </c>
      <c r="R18" s="15">
        <v>1000</v>
      </c>
      <c r="S18" s="8"/>
      <c r="T18" s="18">
        <f t="shared" si="4"/>
        <v>0</v>
      </c>
      <c r="U18" s="14">
        <f t="shared" si="6"/>
        <v>141300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12</v>
      </c>
      <c r="E19" s="18">
        <f t="shared" si="5"/>
        <v>70080</v>
      </c>
      <c r="F19" s="2">
        <v>300</v>
      </c>
      <c r="G19" s="7"/>
      <c r="H19" s="18">
        <f t="shared" si="1"/>
        <v>0</v>
      </c>
      <c r="I19" s="2">
        <v>940</v>
      </c>
      <c r="J19" s="8">
        <v>4</v>
      </c>
      <c r="K19" s="19">
        <f t="shared" si="2"/>
        <v>3760</v>
      </c>
      <c r="L19" s="2">
        <v>350</v>
      </c>
      <c r="M19" s="21"/>
      <c r="N19" s="32">
        <f t="shared" si="0"/>
        <v>0</v>
      </c>
      <c r="O19" s="31">
        <v>270</v>
      </c>
      <c r="P19" s="8">
        <v>24</v>
      </c>
      <c r="Q19" s="19">
        <f t="shared" si="3"/>
        <v>6480</v>
      </c>
      <c r="R19" s="15">
        <v>1000</v>
      </c>
      <c r="S19" s="8"/>
      <c r="T19" s="18">
        <f t="shared" si="4"/>
        <v>0</v>
      </c>
      <c r="U19" s="14">
        <f t="shared" si="6"/>
        <v>80320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5</v>
      </c>
      <c r="E20" s="18">
        <f t="shared" si="5"/>
        <v>29200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10</v>
      </c>
      <c r="Q20" s="19">
        <f t="shared" si="3"/>
        <v>2700</v>
      </c>
      <c r="R20" s="15">
        <v>1000</v>
      </c>
      <c r="S20" s="8"/>
      <c r="T20" s="18">
        <f t="shared" si="4"/>
        <v>0</v>
      </c>
      <c r="U20" s="14">
        <f t="shared" si="6"/>
        <v>35660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16</v>
      </c>
      <c r="E21" s="18">
        <f t="shared" si="5"/>
        <v>93440</v>
      </c>
      <c r="F21" s="2">
        <v>300</v>
      </c>
      <c r="G21" s="7"/>
      <c r="H21" s="18">
        <f t="shared" si="1"/>
        <v>0</v>
      </c>
      <c r="I21" s="2">
        <v>940</v>
      </c>
      <c r="J21" s="8">
        <v>4</v>
      </c>
      <c r="K21" s="19">
        <f t="shared" si="2"/>
        <v>3760</v>
      </c>
      <c r="L21" s="2">
        <v>350</v>
      </c>
      <c r="M21" s="21">
        <v>14</v>
      </c>
      <c r="N21" s="32">
        <f t="shared" si="0"/>
        <v>4900</v>
      </c>
      <c r="O21" s="31">
        <v>270</v>
      </c>
      <c r="P21" s="8">
        <v>32</v>
      </c>
      <c r="Q21" s="19">
        <f t="shared" si="3"/>
        <v>8640</v>
      </c>
      <c r="R21" s="15">
        <v>1000</v>
      </c>
      <c r="S21" s="8"/>
      <c r="T21" s="18">
        <f t="shared" si="4"/>
        <v>0</v>
      </c>
      <c r="U21" s="14">
        <f t="shared" si="6"/>
        <v>105840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11</v>
      </c>
      <c r="E22" s="18">
        <f t="shared" si="5"/>
        <v>64240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22</v>
      </c>
      <c r="Q22" s="19">
        <f t="shared" si="3"/>
        <v>5940</v>
      </c>
      <c r="R22" s="15">
        <v>1000</v>
      </c>
      <c r="S22" s="8"/>
      <c r="T22" s="18">
        <f t="shared" si="4"/>
        <v>0</v>
      </c>
      <c r="U22" s="14">
        <f t="shared" si="6"/>
        <v>73940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21</v>
      </c>
      <c r="E23" s="18">
        <f t="shared" si="5"/>
        <v>122640</v>
      </c>
      <c r="F23" s="2">
        <v>300</v>
      </c>
      <c r="G23" s="7"/>
      <c r="H23" s="18">
        <f t="shared" si="1"/>
        <v>0</v>
      </c>
      <c r="I23" s="2">
        <v>940</v>
      </c>
      <c r="J23" s="8">
        <v>2</v>
      </c>
      <c r="K23" s="19">
        <f t="shared" si="2"/>
        <v>1880</v>
      </c>
      <c r="L23" s="2">
        <v>350</v>
      </c>
      <c r="M23" s="21"/>
      <c r="N23" s="32">
        <f t="shared" si="0"/>
        <v>0</v>
      </c>
      <c r="O23" s="31">
        <v>270</v>
      </c>
      <c r="P23" s="8">
        <v>42</v>
      </c>
      <c r="Q23" s="19">
        <f t="shared" si="3"/>
        <v>11340</v>
      </c>
      <c r="R23" s="15">
        <v>1000</v>
      </c>
      <c r="S23" s="8"/>
      <c r="T23" s="18">
        <f t="shared" si="4"/>
        <v>0</v>
      </c>
      <c r="U23" s="14">
        <f t="shared" si="6"/>
        <v>135860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23</v>
      </c>
      <c r="E24" s="18">
        <f t="shared" si="5"/>
        <v>134320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/>
      <c r="N24" s="32">
        <f t="shared" si="0"/>
        <v>0</v>
      </c>
      <c r="O24" s="31">
        <v>270</v>
      </c>
      <c r="P24" s="8">
        <v>46</v>
      </c>
      <c r="Q24" s="19">
        <f t="shared" si="3"/>
        <v>12420</v>
      </c>
      <c r="R24" s="15">
        <v>1000</v>
      </c>
      <c r="S24" s="8"/>
      <c r="T24" s="18">
        <f t="shared" si="4"/>
        <v>0</v>
      </c>
      <c r="U24" s="14">
        <f t="shared" si="6"/>
        <v>146740</v>
      </c>
    </row>
    <row r="25" spans="1:23" ht="20.100000000000001" customHeight="1" x14ac:dyDescent="0.15">
      <c r="A25" s="1">
        <v>21</v>
      </c>
      <c r="B25" s="1" t="s">
        <v>75</v>
      </c>
      <c r="C25" s="14">
        <v>5840</v>
      </c>
      <c r="D25" s="7">
        <v>17</v>
      </c>
      <c r="E25" s="18">
        <f t="shared" si="5"/>
        <v>99280</v>
      </c>
      <c r="F25" s="2">
        <v>300</v>
      </c>
      <c r="G25" s="7">
        <v>17</v>
      </c>
      <c r="H25" s="18">
        <f t="shared" si="1"/>
        <v>5100</v>
      </c>
      <c r="I25" s="2">
        <v>940</v>
      </c>
      <c r="J25" s="8">
        <v>4</v>
      </c>
      <c r="K25" s="19">
        <f t="shared" si="2"/>
        <v>3760</v>
      </c>
      <c r="L25" s="2">
        <v>350</v>
      </c>
      <c r="M25" s="21"/>
      <c r="N25" s="32">
        <f t="shared" si="0"/>
        <v>0</v>
      </c>
      <c r="O25" s="31">
        <v>270</v>
      </c>
      <c r="P25" s="8">
        <v>34</v>
      </c>
      <c r="Q25" s="19">
        <f t="shared" si="3"/>
        <v>9180</v>
      </c>
      <c r="R25" s="15">
        <v>1000</v>
      </c>
      <c r="S25" s="8"/>
      <c r="T25" s="18">
        <f t="shared" si="4"/>
        <v>0</v>
      </c>
      <c r="U25" s="14">
        <f t="shared" si="6"/>
        <v>117320</v>
      </c>
    </row>
    <row r="26" spans="1:23" ht="20.100000000000001" customHeight="1" x14ac:dyDescent="0.15">
      <c r="A26" s="1">
        <v>22</v>
      </c>
      <c r="B26" s="1" t="s">
        <v>76</v>
      </c>
      <c r="C26" s="14">
        <v>5840</v>
      </c>
      <c r="D26" s="7">
        <v>2</v>
      </c>
      <c r="E26" s="18">
        <f t="shared" si="5"/>
        <v>11680</v>
      </c>
      <c r="F26" s="2">
        <v>300</v>
      </c>
      <c r="G26" s="7">
        <v>2</v>
      </c>
      <c r="H26" s="18">
        <f t="shared" si="1"/>
        <v>600</v>
      </c>
      <c r="I26" s="2">
        <v>940</v>
      </c>
      <c r="J26" s="8">
        <v>1</v>
      </c>
      <c r="K26" s="19">
        <f t="shared" si="2"/>
        <v>940</v>
      </c>
      <c r="L26" s="2">
        <v>350</v>
      </c>
      <c r="M26" s="21"/>
      <c r="N26" s="32"/>
      <c r="O26" s="31">
        <v>270</v>
      </c>
      <c r="P26" s="8">
        <v>4</v>
      </c>
      <c r="Q26" s="19">
        <f t="shared" si="3"/>
        <v>1080</v>
      </c>
      <c r="R26" s="15">
        <v>1000</v>
      </c>
      <c r="S26" s="8"/>
      <c r="T26" s="18">
        <f t="shared" si="4"/>
        <v>0</v>
      </c>
      <c r="U26" s="14">
        <f t="shared" si="6"/>
        <v>14300</v>
      </c>
    </row>
    <row r="27" spans="1:23" x14ac:dyDescent="0.15">
      <c r="A27" s="1"/>
      <c r="B27" s="1"/>
      <c r="C27" s="1"/>
      <c r="D27" s="1"/>
      <c r="E27" s="15">
        <f>SUM(E5:E25)</f>
        <v>1909680</v>
      </c>
      <c r="F27" s="15"/>
      <c r="G27" s="15"/>
      <c r="H27" s="15">
        <f>SUM(H5:H25)</f>
        <v>5100</v>
      </c>
      <c r="I27" s="15"/>
      <c r="J27" s="15"/>
      <c r="K27" s="15">
        <f>SUM(K5:K26)</f>
        <v>41360</v>
      </c>
      <c r="L27" s="15"/>
      <c r="M27" s="15"/>
      <c r="N27" s="15">
        <f>SUM(N5:N26)</f>
        <v>37450</v>
      </c>
      <c r="O27" s="15"/>
      <c r="P27" s="1"/>
      <c r="Q27" s="15">
        <f>SUM(Q5:Q26)</f>
        <v>133380</v>
      </c>
      <c r="R27" s="1"/>
      <c r="S27" s="1"/>
      <c r="T27" s="15">
        <f>SUM(T5:T26)</f>
        <v>0</v>
      </c>
      <c r="U27" s="15">
        <f>SUM(U5:U26)</f>
        <v>2101800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77"/>
      <c r="K29" s="77"/>
      <c r="L29" s="78"/>
      <c r="M29" s="78"/>
      <c r="N29" s="9"/>
      <c r="O29" s="9"/>
      <c r="P29" s="9"/>
      <c r="Q29" s="9"/>
      <c r="R29" s="56">
        <f>U27</f>
        <v>2101800</v>
      </c>
      <c r="S29" s="56"/>
      <c r="T29" s="56"/>
      <c r="U29" s="56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77"/>
      <c r="K30" s="77"/>
      <c r="L30" s="78"/>
      <c r="M30" s="78"/>
      <c r="N30" s="11"/>
      <c r="O30" s="11"/>
      <c r="P30" s="11"/>
      <c r="Q30" s="11"/>
      <c r="R30" s="56"/>
      <c r="S30" s="56"/>
      <c r="T30" s="56"/>
      <c r="U30" s="56"/>
      <c r="V30" s="27"/>
      <c r="W30" s="26"/>
    </row>
    <row r="31" spans="1:23" ht="13.5" customHeight="1" x14ac:dyDescent="0.15">
      <c r="R31" s="56"/>
      <c r="S31" s="56"/>
      <c r="T31" s="56"/>
      <c r="U31" s="56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R3:T3"/>
    <mergeCell ref="U3:U4"/>
    <mergeCell ref="J29:K29"/>
    <mergeCell ref="L29:M29"/>
    <mergeCell ref="R29:U31"/>
    <mergeCell ref="J30:K30"/>
    <mergeCell ref="L30:M30"/>
    <mergeCell ref="O3:Q3"/>
    <mergeCell ref="A2:B3"/>
    <mergeCell ref="C3:E3"/>
    <mergeCell ref="F3:H3"/>
    <mergeCell ref="I3:K3"/>
    <mergeCell ref="L3:N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7" workbookViewId="0">
      <selection activeCell="I14" sqref="I14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57" t="s">
        <v>77</v>
      </c>
      <c r="B2" s="58"/>
    </row>
    <row r="3" spans="1:21" x14ac:dyDescent="0.15">
      <c r="A3" s="59"/>
      <c r="B3" s="60"/>
      <c r="C3" s="51" t="s">
        <v>0</v>
      </c>
      <c r="D3" s="52"/>
      <c r="E3" s="53"/>
      <c r="F3" s="51" t="s">
        <v>1</v>
      </c>
      <c r="G3" s="52"/>
      <c r="H3" s="53"/>
      <c r="I3" s="51" t="s">
        <v>2</v>
      </c>
      <c r="J3" s="52"/>
      <c r="K3" s="53"/>
      <c r="L3" s="51" t="s">
        <v>42</v>
      </c>
      <c r="M3" s="52"/>
      <c r="N3" s="53"/>
      <c r="O3" s="51" t="s">
        <v>64</v>
      </c>
      <c r="P3" s="52"/>
      <c r="Q3" s="53"/>
      <c r="R3" s="51" t="s">
        <v>4</v>
      </c>
      <c r="S3" s="52"/>
      <c r="T3" s="53"/>
      <c r="U3" s="54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55"/>
    </row>
    <row r="5" spans="1:21" ht="19.5" customHeight="1" thickTop="1" x14ac:dyDescent="0.15">
      <c r="A5" s="2">
        <v>1</v>
      </c>
      <c r="B5" s="43" t="s">
        <v>29</v>
      </c>
      <c r="C5" s="44">
        <v>5840</v>
      </c>
      <c r="D5" s="36">
        <v>14</v>
      </c>
      <c r="E5" s="37">
        <f>SUM(C5*D5)</f>
        <v>81760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6</v>
      </c>
      <c r="N5" s="32">
        <f t="shared" ref="N5:N25" si="0">SUM(L5*M5)</f>
        <v>2100</v>
      </c>
      <c r="O5" s="44">
        <v>270</v>
      </c>
      <c r="P5" s="36">
        <v>28</v>
      </c>
      <c r="Q5" s="39">
        <f>SUM(O5*P5)</f>
        <v>7560</v>
      </c>
      <c r="R5" s="44">
        <v>1000</v>
      </c>
      <c r="S5" s="40"/>
      <c r="T5" s="37">
        <f>SUM(R5*S5)</f>
        <v>0</v>
      </c>
      <c r="U5" s="14">
        <f>SUM(E5+H5+K5+Q5+T5)</f>
        <v>93080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16</v>
      </c>
      <c r="E6" s="18">
        <f>SUM(C6*D6)</f>
        <v>93440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3</v>
      </c>
      <c r="K6" s="19">
        <f t="shared" ref="K6:K26" si="2">SUM(I6*J6)</f>
        <v>2820</v>
      </c>
      <c r="L6" s="2">
        <v>350</v>
      </c>
      <c r="M6" s="20">
        <v>19</v>
      </c>
      <c r="N6" s="32">
        <f t="shared" si="0"/>
        <v>6650</v>
      </c>
      <c r="O6" s="35">
        <v>270</v>
      </c>
      <c r="P6" s="7">
        <v>32</v>
      </c>
      <c r="Q6" s="19">
        <f t="shared" ref="Q6:Q26" si="3">SUM(O6*P6)</f>
        <v>8640</v>
      </c>
      <c r="R6" s="14">
        <v>1000</v>
      </c>
      <c r="S6" s="7"/>
      <c r="T6" s="18">
        <f t="shared" ref="T6:T26" si="4">SUM(S6*R6)</f>
        <v>0</v>
      </c>
      <c r="U6" s="14">
        <f>SUM(E6+H6+K6+Q6+T6)</f>
        <v>104900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18</v>
      </c>
      <c r="E7" s="18">
        <f t="shared" ref="E7:E26" si="5">SUM(C7*D7)</f>
        <v>105120</v>
      </c>
      <c r="F7" s="2">
        <v>300</v>
      </c>
      <c r="G7" s="7"/>
      <c r="H7" s="18">
        <f t="shared" si="1"/>
        <v>0</v>
      </c>
      <c r="I7" s="2">
        <v>940</v>
      </c>
      <c r="J7" s="8">
        <v>3</v>
      </c>
      <c r="K7" s="19">
        <f t="shared" si="2"/>
        <v>2820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107940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>
        <v>20</v>
      </c>
      <c r="T8" s="18">
        <f t="shared" si="4"/>
        <v>20000</v>
      </c>
      <c r="U8" s="14">
        <f t="shared" si="6"/>
        <v>148480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21</v>
      </c>
      <c r="E10" s="18">
        <f t="shared" si="5"/>
        <v>122640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42</v>
      </c>
      <c r="Q10" s="19">
        <f t="shared" si="3"/>
        <v>11340</v>
      </c>
      <c r="R10" s="15">
        <v>1000</v>
      </c>
      <c r="S10" s="8"/>
      <c r="T10" s="18">
        <f t="shared" si="4"/>
        <v>0</v>
      </c>
      <c r="U10" s="14">
        <f t="shared" si="6"/>
        <v>133980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21</v>
      </c>
      <c r="E11" s="18">
        <f t="shared" si="5"/>
        <v>122640</v>
      </c>
      <c r="F11" s="2">
        <v>300</v>
      </c>
      <c r="G11" s="7"/>
      <c r="H11" s="18">
        <f t="shared" si="1"/>
        <v>0</v>
      </c>
      <c r="I11" s="2">
        <v>940</v>
      </c>
      <c r="J11" s="8"/>
      <c r="K11" s="19">
        <f t="shared" si="2"/>
        <v>0</v>
      </c>
      <c r="L11" s="2">
        <v>350</v>
      </c>
      <c r="M11" s="21">
        <v>15</v>
      </c>
      <c r="N11" s="32">
        <f t="shared" si="0"/>
        <v>5250</v>
      </c>
      <c r="O11" s="31">
        <v>270</v>
      </c>
      <c r="P11" s="8">
        <v>42</v>
      </c>
      <c r="Q11" s="19">
        <f t="shared" si="3"/>
        <v>11340</v>
      </c>
      <c r="R11" s="15">
        <v>1000</v>
      </c>
      <c r="S11" s="8"/>
      <c r="T11" s="18">
        <f t="shared" si="4"/>
        <v>0</v>
      </c>
      <c r="U11" s="14">
        <f t="shared" si="6"/>
        <v>133980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12</v>
      </c>
      <c r="E12" s="18">
        <f t="shared" si="5"/>
        <v>70080</v>
      </c>
      <c r="F12" s="2">
        <v>300</v>
      </c>
      <c r="G12" s="7"/>
      <c r="H12" s="18">
        <f t="shared" si="1"/>
        <v>0</v>
      </c>
      <c r="I12" s="2">
        <v>940</v>
      </c>
      <c r="J12" s="8">
        <v>1</v>
      </c>
      <c r="K12" s="19">
        <f t="shared" si="2"/>
        <v>940</v>
      </c>
      <c r="L12" s="2">
        <v>350</v>
      </c>
      <c r="M12" s="21">
        <v>7</v>
      </c>
      <c r="N12" s="32">
        <f t="shared" si="0"/>
        <v>2450</v>
      </c>
      <c r="O12" s="31">
        <v>270</v>
      </c>
      <c r="P12" s="8">
        <v>24</v>
      </c>
      <c r="Q12" s="19">
        <f t="shared" si="3"/>
        <v>6480</v>
      </c>
      <c r="R12" s="15">
        <v>1000</v>
      </c>
      <c r="S12" s="8">
        <v>19</v>
      </c>
      <c r="T12" s="18">
        <f t="shared" si="4"/>
        <v>19000</v>
      </c>
      <c r="U12" s="14">
        <f t="shared" si="6"/>
        <v>96500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17</v>
      </c>
      <c r="E13" s="18">
        <f t="shared" si="5"/>
        <v>99280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9</v>
      </c>
      <c r="N13" s="32">
        <f t="shared" si="0"/>
        <v>3150</v>
      </c>
      <c r="O13" s="31">
        <v>270</v>
      </c>
      <c r="P13" s="8">
        <v>34</v>
      </c>
      <c r="Q13" s="19">
        <f t="shared" si="3"/>
        <v>9180</v>
      </c>
      <c r="R13" s="15">
        <v>1000</v>
      </c>
      <c r="S13" s="8">
        <v>15</v>
      </c>
      <c r="T13" s="18">
        <f t="shared" si="4"/>
        <v>15000</v>
      </c>
      <c r="U13" s="14">
        <f t="shared" si="6"/>
        <v>127220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15</v>
      </c>
      <c r="E15" s="18">
        <f t="shared" si="5"/>
        <v>87600</v>
      </c>
      <c r="F15" s="2">
        <v>300</v>
      </c>
      <c r="G15" s="7"/>
      <c r="H15" s="18">
        <f t="shared" si="1"/>
        <v>0</v>
      </c>
      <c r="I15" s="2">
        <v>940</v>
      </c>
      <c r="J15" s="8">
        <v>4</v>
      </c>
      <c r="K15" s="19">
        <f t="shared" si="2"/>
        <v>3760</v>
      </c>
      <c r="L15" s="2">
        <v>350</v>
      </c>
      <c r="M15" s="21">
        <v>16</v>
      </c>
      <c r="N15" s="32">
        <f t="shared" si="0"/>
        <v>5600</v>
      </c>
      <c r="O15" s="31">
        <v>270</v>
      </c>
      <c r="P15" s="8">
        <v>10</v>
      </c>
      <c r="Q15" s="19">
        <f t="shared" si="3"/>
        <v>2700</v>
      </c>
      <c r="R15" s="15">
        <v>1000</v>
      </c>
      <c r="S15" s="8"/>
      <c r="T15" s="18">
        <f t="shared" si="4"/>
        <v>0</v>
      </c>
      <c r="U15" s="14">
        <f t="shared" si="6"/>
        <v>94060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21</v>
      </c>
      <c r="E17" s="18">
        <f t="shared" si="5"/>
        <v>122640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21</v>
      </c>
      <c r="N17" s="32">
        <f t="shared" si="0"/>
        <v>7350</v>
      </c>
      <c r="O17" s="31">
        <v>270</v>
      </c>
      <c r="P17" s="8">
        <v>42</v>
      </c>
      <c r="Q17" s="19">
        <f t="shared" si="3"/>
        <v>11340</v>
      </c>
      <c r="R17" s="15">
        <v>1000</v>
      </c>
      <c r="S17" s="8">
        <v>19</v>
      </c>
      <c r="T17" s="18">
        <f t="shared" si="4"/>
        <v>19000</v>
      </c>
      <c r="U17" s="14">
        <f t="shared" si="6"/>
        <v>152980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21</v>
      </c>
      <c r="E18" s="18">
        <f t="shared" si="5"/>
        <v>122640</v>
      </c>
      <c r="F18" s="2">
        <v>300</v>
      </c>
      <c r="G18" s="7"/>
      <c r="H18" s="18">
        <f t="shared" si="1"/>
        <v>0</v>
      </c>
      <c r="I18" s="2">
        <v>940</v>
      </c>
      <c r="J18" s="8"/>
      <c r="K18" s="19">
        <f t="shared" si="2"/>
        <v>0</v>
      </c>
      <c r="L18" s="2">
        <v>290</v>
      </c>
      <c r="M18" s="21"/>
      <c r="N18" s="32">
        <f t="shared" si="0"/>
        <v>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/>
      <c r="T18" s="18">
        <f t="shared" si="4"/>
        <v>0</v>
      </c>
      <c r="U18" s="14">
        <f t="shared" si="6"/>
        <v>133980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19</v>
      </c>
      <c r="E19" s="18">
        <f t="shared" si="5"/>
        <v>110960</v>
      </c>
      <c r="F19" s="2">
        <v>300</v>
      </c>
      <c r="G19" s="7"/>
      <c r="H19" s="18">
        <f t="shared" si="1"/>
        <v>0</v>
      </c>
      <c r="I19" s="2">
        <v>940</v>
      </c>
      <c r="J19" s="8">
        <v>2</v>
      </c>
      <c r="K19" s="19">
        <f t="shared" si="2"/>
        <v>1880</v>
      </c>
      <c r="L19" s="2">
        <v>350</v>
      </c>
      <c r="M19" s="21"/>
      <c r="N19" s="32">
        <f t="shared" si="0"/>
        <v>0</v>
      </c>
      <c r="O19" s="31">
        <v>270</v>
      </c>
      <c r="P19" s="8">
        <v>38</v>
      </c>
      <c r="Q19" s="19">
        <f t="shared" si="3"/>
        <v>10260</v>
      </c>
      <c r="R19" s="15">
        <v>1000</v>
      </c>
      <c r="S19" s="8">
        <v>17</v>
      </c>
      <c r="T19" s="18">
        <f t="shared" si="4"/>
        <v>17000</v>
      </c>
      <c r="U19" s="14">
        <f t="shared" si="6"/>
        <v>140100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7</v>
      </c>
      <c r="E20" s="18">
        <f t="shared" si="5"/>
        <v>40880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14</v>
      </c>
      <c r="Q20" s="19">
        <f t="shared" si="3"/>
        <v>3780</v>
      </c>
      <c r="R20" s="15">
        <v>1000</v>
      </c>
      <c r="S20" s="8"/>
      <c r="T20" s="18">
        <f t="shared" si="4"/>
        <v>0</v>
      </c>
      <c r="U20" s="14">
        <f t="shared" si="6"/>
        <v>48420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20</v>
      </c>
      <c r="E21" s="18">
        <f t="shared" si="5"/>
        <v>116800</v>
      </c>
      <c r="F21" s="2">
        <v>300</v>
      </c>
      <c r="G21" s="7"/>
      <c r="H21" s="18">
        <f t="shared" si="1"/>
        <v>0</v>
      </c>
      <c r="I21" s="2">
        <v>940</v>
      </c>
      <c r="J21" s="8">
        <v>1</v>
      </c>
      <c r="K21" s="19">
        <f t="shared" si="2"/>
        <v>940</v>
      </c>
      <c r="L21" s="2">
        <v>350</v>
      </c>
      <c r="M21" s="21">
        <v>14</v>
      </c>
      <c r="N21" s="32">
        <f t="shared" si="0"/>
        <v>4900</v>
      </c>
      <c r="O21" s="31">
        <v>270</v>
      </c>
      <c r="P21" s="8">
        <v>40</v>
      </c>
      <c r="Q21" s="19">
        <f t="shared" si="3"/>
        <v>10800</v>
      </c>
      <c r="R21" s="15">
        <v>1000</v>
      </c>
      <c r="S21" s="8">
        <v>18</v>
      </c>
      <c r="T21" s="18">
        <f t="shared" si="4"/>
        <v>18000</v>
      </c>
      <c r="U21" s="14">
        <f t="shared" si="6"/>
        <v>146540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8</v>
      </c>
      <c r="E22" s="18">
        <f t="shared" si="5"/>
        <v>46720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16</v>
      </c>
      <c r="Q22" s="19">
        <f t="shared" si="3"/>
        <v>4320</v>
      </c>
      <c r="R22" s="15">
        <v>1000</v>
      </c>
      <c r="S22" s="8"/>
      <c r="T22" s="18">
        <f t="shared" si="4"/>
        <v>0</v>
      </c>
      <c r="U22" s="14">
        <f t="shared" si="6"/>
        <v>54800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20</v>
      </c>
      <c r="E23" s="18">
        <f t="shared" si="5"/>
        <v>116800</v>
      </c>
      <c r="F23" s="2">
        <v>300</v>
      </c>
      <c r="G23" s="7"/>
      <c r="H23" s="18">
        <f t="shared" si="1"/>
        <v>0</v>
      </c>
      <c r="I23" s="2">
        <v>940</v>
      </c>
      <c r="J23" s="8">
        <v>1</v>
      </c>
      <c r="K23" s="19">
        <f t="shared" si="2"/>
        <v>940</v>
      </c>
      <c r="L23" s="2">
        <v>350</v>
      </c>
      <c r="M23" s="21"/>
      <c r="N23" s="32">
        <f t="shared" si="0"/>
        <v>0</v>
      </c>
      <c r="O23" s="31">
        <v>270</v>
      </c>
      <c r="P23" s="8">
        <v>40</v>
      </c>
      <c r="Q23" s="19">
        <f t="shared" si="3"/>
        <v>10800</v>
      </c>
      <c r="R23" s="15">
        <v>1000</v>
      </c>
      <c r="S23" s="8">
        <v>18</v>
      </c>
      <c r="T23" s="18">
        <f t="shared" si="4"/>
        <v>18000</v>
      </c>
      <c r="U23" s="14">
        <f t="shared" si="6"/>
        <v>146540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21</v>
      </c>
      <c r="E24" s="18">
        <f t="shared" si="5"/>
        <v>122640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/>
      <c r="N24" s="32">
        <f t="shared" si="0"/>
        <v>0</v>
      </c>
      <c r="O24" s="31">
        <v>270</v>
      </c>
      <c r="P24" s="8">
        <v>42</v>
      </c>
      <c r="Q24" s="19">
        <f t="shared" si="3"/>
        <v>11340</v>
      </c>
      <c r="R24" s="15">
        <v>1000</v>
      </c>
      <c r="S24" s="8"/>
      <c r="T24" s="18">
        <f t="shared" si="4"/>
        <v>0</v>
      </c>
      <c r="U24" s="14">
        <f t="shared" si="6"/>
        <v>133980</v>
      </c>
    </row>
    <row r="25" spans="1:23" ht="20.100000000000001" customHeight="1" x14ac:dyDescent="0.15">
      <c r="A25" s="1">
        <v>21</v>
      </c>
      <c r="B25" s="1" t="s">
        <v>75</v>
      </c>
      <c r="C25" s="14">
        <v>5840</v>
      </c>
      <c r="D25" s="7">
        <v>19</v>
      </c>
      <c r="E25" s="18">
        <f t="shared" si="5"/>
        <v>110960</v>
      </c>
      <c r="F25" s="2">
        <v>300</v>
      </c>
      <c r="G25" s="7"/>
      <c r="H25" s="18">
        <f t="shared" si="1"/>
        <v>0</v>
      </c>
      <c r="I25" s="2">
        <v>940</v>
      </c>
      <c r="J25" s="8">
        <v>1</v>
      </c>
      <c r="K25" s="19">
        <f t="shared" si="2"/>
        <v>940</v>
      </c>
      <c r="L25" s="2">
        <v>350</v>
      </c>
      <c r="M25" s="21"/>
      <c r="N25" s="32">
        <f t="shared" si="0"/>
        <v>0</v>
      </c>
      <c r="O25" s="31">
        <v>270</v>
      </c>
      <c r="P25" s="8">
        <v>38</v>
      </c>
      <c r="Q25" s="19">
        <f t="shared" si="3"/>
        <v>10260</v>
      </c>
      <c r="R25" s="15">
        <v>1000</v>
      </c>
      <c r="S25" s="8"/>
      <c r="T25" s="18">
        <f t="shared" si="4"/>
        <v>0</v>
      </c>
      <c r="U25" s="14">
        <f t="shared" si="6"/>
        <v>122160</v>
      </c>
    </row>
    <row r="26" spans="1:23" ht="20.100000000000001" customHeight="1" x14ac:dyDescent="0.15">
      <c r="A26" s="1">
        <v>22</v>
      </c>
      <c r="B26" s="1" t="s">
        <v>76</v>
      </c>
      <c r="C26" s="14">
        <v>5840</v>
      </c>
      <c r="D26" s="7">
        <v>19</v>
      </c>
      <c r="E26" s="18">
        <f t="shared" si="5"/>
        <v>110960</v>
      </c>
      <c r="F26" s="2">
        <v>300</v>
      </c>
      <c r="G26" s="7"/>
      <c r="H26" s="18">
        <f t="shared" si="1"/>
        <v>0</v>
      </c>
      <c r="I26" s="2">
        <v>940</v>
      </c>
      <c r="J26" s="8">
        <v>2</v>
      </c>
      <c r="K26" s="19">
        <f t="shared" si="2"/>
        <v>1880</v>
      </c>
      <c r="L26" s="2">
        <v>350</v>
      </c>
      <c r="M26" s="21"/>
      <c r="N26" s="32"/>
      <c r="O26" s="31">
        <v>270</v>
      </c>
      <c r="P26" s="8">
        <v>38</v>
      </c>
      <c r="Q26" s="19">
        <f t="shared" si="3"/>
        <v>10260</v>
      </c>
      <c r="R26" s="15">
        <v>1000</v>
      </c>
      <c r="S26" s="8"/>
      <c r="T26" s="18">
        <f t="shared" si="4"/>
        <v>0</v>
      </c>
      <c r="U26" s="14">
        <f t="shared" si="6"/>
        <v>123100</v>
      </c>
    </row>
    <row r="27" spans="1:23" x14ac:dyDescent="0.15">
      <c r="A27" s="1"/>
      <c r="B27" s="1"/>
      <c r="C27" s="1"/>
      <c r="D27" s="1"/>
      <c r="E27" s="15">
        <f>SUM(E5:E25)</f>
        <v>1950560</v>
      </c>
      <c r="F27" s="15"/>
      <c r="G27" s="15"/>
      <c r="H27" s="15">
        <f>SUM(H5:H25)</f>
        <v>0</v>
      </c>
      <c r="I27" s="15"/>
      <c r="J27" s="15"/>
      <c r="K27" s="15">
        <f>SUM(K5:K26)</f>
        <v>31960</v>
      </c>
      <c r="L27" s="15"/>
      <c r="M27" s="15"/>
      <c r="N27" s="15">
        <f>SUM(N5:N26)</f>
        <v>37450</v>
      </c>
      <c r="O27" s="15"/>
      <c r="P27" s="1"/>
      <c r="Q27" s="15">
        <f>SUM(Q5:Q26)</f>
        <v>151740</v>
      </c>
      <c r="R27" s="1"/>
      <c r="S27" s="1"/>
      <c r="T27" s="15">
        <f>SUM(T5:T26)</f>
        <v>126000</v>
      </c>
      <c r="U27" s="15">
        <f>SUM(U5:U26)</f>
        <v>2371220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77"/>
      <c r="K29" s="77"/>
      <c r="L29" s="78"/>
      <c r="M29" s="78"/>
      <c r="N29" s="9"/>
      <c r="O29" s="9"/>
      <c r="P29" s="9"/>
      <c r="Q29" s="9"/>
      <c r="R29" s="56">
        <f>U27</f>
        <v>2371220</v>
      </c>
      <c r="S29" s="56"/>
      <c r="T29" s="56"/>
      <c r="U29" s="56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77"/>
      <c r="K30" s="77"/>
      <c r="L30" s="78"/>
      <c r="M30" s="78"/>
      <c r="N30" s="11"/>
      <c r="O30" s="11"/>
      <c r="P30" s="11"/>
      <c r="Q30" s="11"/>
      <c r="R30" s="56"/>
      <c r="S30" s="56"/>
      <c r="T30" s="56"/>
      <c r="U30" s="56"/>
      <c r="V30" s="27"/>
      <c r="W30" s="26"/>
    </row>
    <row r="31" spans="1:23" ht="13.5" customHeight="1" x14ac:dyDescent="0.15">
      <c r="R31" s="56"/>
      <c r="S31" s="56"/>
      <c r="T31" s="56"/>
      <c r="U31" s="56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A2:B3"/>
    <mergeCell ref="C3:E3"/>
    <mergeCell ref="F3:H3"/>
    <mergeCell ref="I3:K3"/>
    <mergeCell ref="L3:N3"/>
    <mergeCell ref="R3:T3"/>
    <mergeCell ref="U3:U4"/>
    <mergeCell ref="J29:K29"/>
    <mergeCell ref="L29:M29"/>
    <mergeCell ref="R29:U31"/>
    <mergeCell ref="J30:K30"/>
    <mergeCell ref="L30:M30"/>
    <mergeCell ref="O3:Q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Ｈ２７．２</vt:lpstr>
      <vt:lpstr>Ｈ２７．２ (再)</vt:lpstr>
      <vt:lpstr>Ｈ２７．３</vt:lpstr>
      <vt:lpstr>H27.4</vt:lpstr>
      <vt:lpstr>H27.5</vt:lpstr>
      <vt:lpstr>H27.6</vt:lpstr>
      <vt:lpstr>H27.7)</vt:lpstr>
      <vt:lpstr>H27.8</vt:lpstr>
      <vt:lpstr>H27.9</vt:lpstr>
      <vt:lpstr>H27.10</vt:lpstr>
      <vt:lpstr>H27.11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2015-12-09T02:51:00Z</cp:lastPrinted>
  <dcterms:created xsi:type="dcterms:W3CDTF">2015-03-10T00:53:59Z</dcterms:created>
  <dcterms:modified xsi:type="dcterms:W3CDTF">2016-01-09T06:43:30Z</dcterms:modified>
</cp:coreProperties>
</file>