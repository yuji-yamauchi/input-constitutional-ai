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142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J12" i="1"/>
  <c r="J21" i="1"/>
  <c r="J20" i="1"/>
</calcChain>
</file>

<file path=xl/sharedStrings.xml><?xml version="1.0" encoding="utf-8"?>
<sst xmlns="http://schemas.openxmlformats.org/spreadsheetml/2006/main" count="91" uniqueCount="59">
  <si>
    <t>女性</t>
    <rPh sb="0" eb="2">
      <t>ジョセイ</t>
    </rPh>
    <phoneticPr fontId="1"/>
  </si>
  <si>
    <t>障害認定</t>
    <rPh sb="0" eb="2">
      <t>ショウガイ</t>
    </rPh>
    <rPh sb="2" eb="4">
      <t>ニンテイ</t>
    </rPh>
    <phoneticPr fontId="1"/>
  </si>
  <si>
    <t>診断書</t>
    <rPh sb="0" eb="3">
      <t>シンダンショ</t>
    </rPh>
    <phoneticPr fontId="1"/>
  </si>
  <si>
    <t>居住</t>
    <rPh sb="0" eb="2">
      <t>キョジュウ</t>
    </rPh>
    <phoneticPr fontId="1"/>
  </si>
  <si>
    <t>向島</t>
    <rPh sb="0" eb="2">
      <t>ムカイシマ</t>
    </rPh>
    <phoneticPr fontId="1"/>
  </si>
  <si>
    <t>2年生</t>
    <rPh sb="1" eb="3">
      <t>ネンセイ</t>
    </rPh>
    <phoneticPr fontId="1"/>
  </si>
  <si>
    <t>○</t>
    <phoneticPr fontId="1"/>
  </si>
  <si>
    <t>障害名（予測）</t>
    <rPh sb="0" eb="2">
      <t>ショウガイ</t>
    </rPh>
    <rPh sb="2" eb="3">
      <t>メイ</t>
    </rPh>
    <rPh sb="4" eb="6">
      <t>ヨソク</t>
    </rPh>
    <phoneticPr fontId="1"/>
  </si>
  <si>
    <t>林</t>
    <rPh sb="0" eb="1">
      <t>ハヤシ</t>
    </rPh>
    <phoneticPr fontId="1"/>
  </si>
  <si>
    <t>17歳</t>
    <rPh sb="2" eb="3">
      <t>サイ</t>
    </rPh>
    <phoneticPr fontId="1"/>
  </si>
  <si>
    <t>男性</t>
    <rPh sb="0" eb="2">
      <t>ダンセイ</t>
    </rPh>
    <phoneticPr fontId="1"/>
  </si>
  <si>
    <t>×</t>
    <phoneticPr fontId="1"/>
  </si>
  <si>
    <t>自閉・ＡＤＨＤ</t>
    <rPh sb="0" eb="2">
      <t>ジヘイ</t>
    </rPh>
    <phoneticPr fontId="1"/>
  </si>
  <si>
    <t>佐々木</t>
    <rPh sb="0" eb="3">
      <t>ササキ</t>
    </rPh>
    <phoneticPr fontId="1"/>
  </si>
  <si>
    <t>-</t>
    <phoneticPr fontId="1"/>
  </si>
  <si>
    <t>自閉</t>
    <rPh sb="0" eb="2">
      <t>ジヘイ</t>
    </rPh>
    <phoneticPr fontId="1"/>
  </si>
  <si>
    <t>3年生</t>
    <rPh sb="1" eb="3">
      <t>ネンセイ</t>
    </rPh>
    <phoneticPr fontId="1"/>
  </si>
  <si>
    <t>18歳</t>
    <rPh sb="2" eb="3">
      <t>サイ</t>
    </rPh>
    <phoneticPr fontId="1"/>
  </si>
  <si>
    <t>広汎性発達障害・ＡＤＨＤ</t>
    <rPh sb="0" eb="1">
      <t>ヒロ</t>
    </rPh>
    <rPh sb="1" eb="2">
      <t>ハン</t>
    </rPh>
    <rPh sb="2" eb="3">
      <t>セイ</t>
    </rPh>
    <rPh sb="3" eb="5">
      <t>ハッタツ</t>
    </rPh>
    <rPh sb="5" eb="7">
      <t>ショウガイ</t>
    </rPh>
    <phoneticPr fontId="1"/>
  </si>
  <si>
    <t>土堂</t>
    <rPh sb="0" eb="1">
      <t>ツチ</t>
    </rPh>
    <rPh sb="1" eb="2">
      <t>ドウ</t>
    </rPh>
    <phoneticPr fontId="1"/>
  </si>
  <si>
    <t>4年生</t>
    <rPh sb="1" eb="3">
      <t>ネンセイ</t>
    </rPh>
    <phoneticPr fontId="1"/>
  </si>
  <si>
    <t>ＬＤ・ＡＤＨＤ</t>
    <phoneticPr fontId="1"/>
  </si>
  <si>
    <t>向島</t>
    <rPh sb="0" eb="2">
      <t>ムカイジマ</t>
    </rPh>
    <phoneticPr fontId="1"/>
  </si>
  <si>
    <t>氏名</t>
    <rPh sb="0" eb="2">
      <t>シメイ</t>
    </rPh>
    <phoneticPr fontId="1"/>
  </si>
  <si>
    <t>学年</t>
    <rPh sb="0" eb="2">
      <t>ガクネン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</si>
  <si>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</si>
  <si>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1"/>
  </si>
  <si>
    <t>備考</t>
    <rPh sb="0" eb="2">
      <t>ビコウ</t>
    </rPh>
    <phoneticPr fontId="1"/>
  </si>
  <si>
    <t>尾道南高等学校　体験予定リスト　（社内秘）</t>
    <rPh sb="0" eb="2">
      <t>オノミチ</t>
    </rPh>
    <rPh sb="2" eb="3">
      <t>ミナミ</t>
    </rPh>
    <rPh sb="3" eb="5">
      <t>コウトウ</t>
    </rPh>
    <rPh sb="5" eb="7">
      <t>ガッコウ</t>
    </rPh>
    <rPh sb="8" eb="10">
      <t>タイケン</t>
    </rPh>
    <rPh sb="10" eb="12">
      <t>ヨテイ</t>
    </rPh>
    <rPh sb="17" eb="19">
      <t>シャナイ</t>
    </rPh>
    <rPh sb="19" eb="20">
      <t>ヒ</t>
    </rPh>
    <phoneticPr fontId="1"/>
  </si>
  <si>
    <t>　</t>
    <phoneticPr fontId="1"/>
  </si>
  <si>
    <t>三原</t>
    <rPh sb="0" eb="2">
      <t>ミハラ</t>
    </rPh>
    <phoneticPr fontId="1"/>
  </si>
  <si>
    <t>吉原　祐平</t>
    <phoneticPr fontId="1"/>
  </si>
  <si>
    <t>福山</t>
    <rPh sb="0" eb="2">
      <t>フクヤマ</t>
    </rPh>
    <phoneticPr fontId="1"/>
  </si>
  <si>
    <t>福山市　申請中　未成年　4月中旬頃許可予定</t>
    <rPh sb="0" eb="3">
      <t>フクヤマシ</t>
    </rPh>
    <rPh sb="4" eb="7">
      <t>シンセイチュウ</t>
    </rPh>
    <rPh sb="8" eb="11">
      <t>ミセイネン</t>
    </rPh>
    <rPh sb="13" eb="14">
      <t>ガツ</t>
    </rPh>
    <rPh sb="14" eb="16">
      <t>チュウジュン</t>
    </rPh>
    <rPh sb="16" eb="17">
      <t>コロ</t>
    </rPh>
    <rPh sb="17" eb="19">
      <t>キョカ</t>
    </rPh>
    <rPh sb="19" eb="21">
      <t>ヨテイ</t>
    </rPh>
    <phoneticPr fontId="1"/>
  </si>
  <si>
    <t>テンカン・自閉</t>
    <rPh sb="5" eb="7">
      <t>ジヘイ</t>
    </rPh>
    <phoneticPr fontId="1"/>
  </si>
  <si>
    <t>倉谷　円</t>
    <rPh sb="0" eb="2">
      <t>クラタニ</t>
    </rPh>
    <rPh sb="3" eb="4">
      <t>エン</t>
    </rPh>
    <phoneticPr fontId="1"/>
  </si>
  <si>
    <t>19歳</t>
    <rPh sb="2" eb="3">
      <t>サイ</t>
    </rPh>
    <phoneticPr fontId="1"/>
  </si>
  <si>
    <t>精神2級</t>
    <rPh sb="0" eb="2">
      <t>セイシン</t>
    </rPh>
    <rPh sb="3" eb="4">
      <t>キュウ</t>
    </rPh>
    <phoneticPr fontId="1"/>
  </si>
  <si>
    <t>門田町</t>
    <rPh sb="0" eb="2">
      <t>カドタ</t>
    </rPh>
    <rPh sb="2" eb="3">
      <t>マチ</t>
    </rPh>
    <phoneticPr fontId="1"/>
  </si>
  <si>
    <t>精神1級</t>
    <rPh sb="0" eb="2">
      <t>セイシン</t>
    </rPh>
    <rPh sb="3" eb="4">
      <t>キュウ</t>
    </rPh>
    <phoneticPr fontId="1"/>
  </si>
  <si>
    <t>知的2級</t>
    <rPh sb="0" eb="2">
      <t>チテキ</t>
    </rPh>
    <rPh sb="3" eb="4">
      <t>キュウ</t>
    </rPh>
    <phoneticPr fontId="1"/>
  </si>
  <si>
    <t>葛籠　紗葵</t>
    <rPh sb="0" eb="1">
      <t>カツ</t>
    </rPh>
    <rPh sb="1" eb="2">
      <t>カゴ</t>
    </rPh>
    <phoneticPr fontId="1"/>
  </si>
  <si>
    <t>身体1級</t>
    <rPh sb="0" eb="2">
      <t>シンタイ</t>
    </rPh>
    <rPh sb="3" eb="4">
      <t>キュウ</t>
    </rPh>
    <phoneticPr fontId="1"/>
  </si>
  <si>
    <t>栗原町</t>
    <rPh sb="0" eb="3">
      <t>クリハラチョウ</t>
    </rPh>
    <phoneticPr fontId="1"/>
  </si>
  <si>
    <t>卒業</t>
    <rPh sb="0" eb="2">
      <t>ソツギョウ</t>
    </rPh>
    <phoneticPr fontId="1"/>
  </si>
  <si>
    <t>尾道市　申請中　3月中旬許可予定</t>
    <rPh sb="0" eb="3">
      <t>オノミチシ</t>
    </rPh>
    <rPh sb="4" eb="7">
      <t>シンセイチュウ</t>
    </rPh>
    <rPh sb="9" eb="10">
      <t>ガツ</t>
    </rPh>
    <rPh sb="10" eb="12">
      <t>チュウジュン</t>
    </rPh>
    <rPh sb="12" eb="14">
      <t>キョカ</t>
    </rPh>
    <rPh sb="14" eb="16">
      <t>ヨテイ</t>
    </rPh>
    <phoneticPr fontId="1"/>
  </si>
  <si>
    <t>診断書取得中　3月下旬許可予定</t>
    <rPh sb="0" eb="3">
      <t>シンダンショ</t>
    </rPh>
    <rPh sb="3" eb="5">
      <t>シュトク</t>
    </rPh>
    <rPh sb="5" eb="6">
      <t>チュウ</t>
    </rPh>
    <rPh sb="8" eb="9">
      <t>ガツ</t>
    </rPh>
    <rPh sb="9" eb="11">
      <t>ゲジュン</t>
    </rPh>
    <rPh sb="11" eb="13">
      <t>キョカ</t>
    </rPh>
    <rPh sb="13" eb="15">
      <t>ヨテイ</t>
    </rPh>
    <phoneticPr fontId="1"/>
  </si>
  <si>
    <t>大田垣　嵩之</t>
    <rPh sb="0" eb="3">
      <t>オオタガキ</t>
    </rPh>
    <rPh sb="4" eb="6">
      <t>タカユキ</t>
    </rPh>
    <phoneticPr fontId="1"/>
  </si>
  <si>
    <t>診断書取得中　3月下旬許可予定</t>
    <phoneticPr fontId="1"/>
  </si>
  <si>
    <t>長江</t>
    <rPh sb="0" eb="2">
      <t>ナガエ</t>
    </rPh>
    <phoneticPr fontId="1"/>
  </si>
  <si>
    <t>1ヶ月訓練給付</t>
    <rPh sb="2" eb="3">
      <t>ゲツ</t>
    </rPh>
    <rPh sb="3" eb="5">
      <t>クンレン</t>
    </rPh>
    <rPh sb="5" eb="7">
      <t>キュウフ</t>
    </rPh>
    <phoneticPr fontId="1"/>
  </si>
  <si>
    <t>Ｂ型</t>
    <rPh sb="1" eb="2">
      <t>ガタ</t>
    </rPh>
    <phoneticPr fontId="1"/>
  </si>
  <si>
    <t>移行支援</t>
    <rPh sb="0" eb="2">
      <t>イコウ</t>
    </rPh>
    <rPh sb="2" eb="4">
      <t>シエン</t>
    </rPh>
    <phoneticPr fontId="1"/>
  </si>
  <si>
    <t>櫻武　隆一</t>
    <rPh sb="0" eb="2">
      <t>サクラタケ</t>
    </rPh>
    <rPh sb="3" eb="5">
      <t>リュウイチ</t>
    </rPh>
    <phoneticPr fontId="1"/>
  </si>
  <si>
    <t>佐藤　皓喜</t>
    <rPh sb="0" eb="2">
      <t>サトウ</t>
    </rPh>
    <rPh sb="3" eb="4">
      <t>コウ</t>
    </rPh>
    <rPh sb="4" eb="5">
      <t>ヨロコ</t>
    </rPh>
    <phoneticPr fontId="1"/>
  </si>
  <si>
    <t>平成27年4月7日で18歳</t>
    <rPh sb="0" eb="2">
      <t>ヘイセイ</t>
    </rPh>
    <rPh sb="4" eb="5">
      <t>ネン</t>
    </rPh>
    <rPh sb="6" eb="7">
      <t>ガツ</t>
    </rPh>
    <rPh sb="8" eb="9">
      <t>ニチ</t>
    </rPh>
    <rPh sb="12" eb="13">
      <t>サイ</t>
    </rPh>
    <phoneticPr fontId="1"/>
  </si>
  <si>
    <t>平成27年6月28日で18歳</t>
    <rPh sb="0" eb="2">
      <t>ヘイセイ</t>
    </rPh>
    <rPh sb="4" eb="5">
      <t>ネン</t>
    </rPh>
    <rPh sb="6" eb="7">
      <t>ガツ</t>
    </rPh>
    <rPh sb="9" eb="10">
      <t>ニチ</t>
    </rPh>
    <rPh sb="13" eb="14">
      <t>サイ</t>
    </rPh>
    <phoneticPr fontId="1"/>
  </si>
  <si>
    <t>平成28年1月30日で18歳</t>
    <rPh sb="0" eb="2">
      <t>ヘイセイ</t>
    </rPh>
    <rPh sb="4" eb="5">
      <t>ネン</t>
    </rPh>
    <rPh sb="6" eb="7">
      <t>ガツ</t>
    </rPh>
    <rPh sb="9" eb="10">
      <t>ニチ</t>
    </rPh>
    <rPh sb="13" eb="14">
      <t>サイ</t>
    </rPh>
    <phoneticPr fontId="1"/>
  </si>
  <si>
    <t>尾道市　申請中　未成年　4月下旬頃許可予定</t>
    <rPh sb="0" eb="3">
      <t>オノミチシ</t>
    </rPh>
    <rPh sb="14" eb="16">
      <t>ゲジュン</t>
    </rPh>
    <rPh sb="16" eb="17">
      <t>コロ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</si>
</sst>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0" fontId="0" fillId="0" borderId="12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left" vertical="center" shrinkToFit="1"/>
    </xf>
    <xf numFmtId="0" fontId="4" fillId="2" borderId="7" xfId="0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left" vertical="center" shrinkToFit="1"/>
    </xf>
    <xf numFmtId="0" fontId="0" fillId="0" borderId="0" xfId="0" applyAlignment="1">
      <alignment horizontal="center" vertical="center" shrinkToFit="1"/>
    </xf>
    <xf numFmtId="0" fontId="0" fillId="0" borderId="13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left" vertical="center" shrinkToFit="1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 shrinkToFit="1"/>
    </xf>
    <xf numFmtId="38" fontId="0" fillId="0" borderId="5" xfId="1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left" vertical="center" shrinkToFit="1"/>
    </xf>
    <xf numFmtId="0" fontId="4" fillId="0" borderId="18" xfId="0" applyFont="1" applyBorder="1" applyAlignment="1">
      <alignment horizontal="left" vertical="center" shrinkToFit="1"/>
    </xf>
    <xf numFmtId="0" fontId="0" fillId="2" borderId="16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left" vertical="center" shrinkToFit="1"/>
    </xf>
    <xf numFmtId="0" fontId="4" fillId="2" borderId="5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left" vertical="center" indent="1"/>
    </xf>
    <xf numFmtId="0" fontId="0" fillId="0" borderId="19" xfId="0" applyBorder="1" applyAlignment="1">
      <alignment horizontal="center" vertical="center"/>
    </xf>
    <xf numFmtId="38" fontId="0" fillId="0" borderId="18" xfId="1" applyFont="1" applyBorder="1" applyAlignment="1">
      <alignment horizontal="center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4"/>
  <sheetViews>
    <sheetView tabSelected="1" workbookViewId="0">
      <selection activeCell="D20" sqref="D20"/>
    </sheetView>
  </sheetViews>
  <sheetFormatPr defaultRowHeight="26.25" customHeight="1" x14ac:dyDescent="0.15"/>
  <cols>
    <col min="1" max="1" width="3.625" style="1" customWidth="1"/>
    <col min="2" max="2" width="2.75" style="1" customWidth="1"/>
    <col min="3" max="3" width="18.25" style="1" customWidth="1"/>
    <col min="4" max="6" width="9.875" style="1" customWidth="1"/>
    <col min="7" max="7" width="7.375" style="1" customWidth="1"/>
    <col min="8" max="9" width="9.875" style="1" customWidth="1"/>
    <col min="10" max="10" width="19.625" style="18" customWidth="1"/>
    <col min="11" max="11" width="36.375" style="1" customWidth="1"/>
    <col min="12" max="12" width="6.375" style="1" customWidth="1"/>
    <col min="13" max="16384" width="9" style="1"/>
  </cols>
  <sheetData>
    <row r="1" spans="2:11" ht="18.75" customHeight="1" thickBot="1" x14ac:dyDescent="0.2">
      <c r="B1" s="33" t="s">
        <v>28</v>
      </c>
      <c r="C1" s="33"/>
      <c r="D1" s="33"/>
      <c r="E1" s="33"/>
      <c r="F1" s="33"/>
      <c r="G1" s="33"/>
      <c r="H1" s="33"/>
      <c r="I1" s="33"/>
      <c r="J1" s="33"/>
      <c r="K1" s="33"/>
    </row>
    <row r="2" spans="2:11" ht="10.5" hidden="1" customHeight="1" thickBot="1" x14ac:dyDescent="0.2"/>
    <row r="3" spans="2:11" ht="26.25" customHeight="1" thickBot="1" x14ac:dyDescent="0.2">
      <c r="B3" s="2"/>
      <c r="C3" s="3" t="s">
        <v>23</v>
      </c>
      <c r="D3" s="3" t="s">
        <v>24</v>
      </c>
      <c r="E3" s="3" t="s">
        <v>25</v>
      </c>
      <c r="F3" s="3" t="s">
        <v>26</v>
      </c>
      <c r="G3" s="3" t="s">
        <v>3</v>
      </c>
      <c r="H3" s="3" t="s">
        <v>1</v>
      </c>
      <c r="I3" s="3" t="s">
        <v>2</v>
      </c>
      <c r="J3" s="3" t="s">
        <v>7</v>
      </c>
      <c r="K3" s="4" t="s">
        <v>27</v>
      </c>
    </row>
    <row r="4" spans="2:11" ht="26.25" customHeight="1" thickTop="1" x14ac:dyDescent="0.15">
      <c r="B4" s="11">
        <v>1</v>
      </c>
      <c r="C4" s="12" t="s">
        <v>31</v>
      </c>
      <c r="D4" s="12" t="s">
        <v>5</v>
      </c>
      <c r="E4" s="12">
        <v>17</v>
      </c>
      <c r="F4" s="12" t="s">
        <v>10</v>
      </c>
      <c r="G4" s="12" t="s">
        <v>32</v>
      </c>
      <c r="H4" s="12" t="s">
        <v>39</v>
      </c>
      <c r="I4" s="12" t="s">
        <v>6</v>
      </c>
      <c r="J4" s="16" t="s">
        <v>34</v>
      </c>
      <c r="K4" s="13" t="s">
        <v>33</v>
      </c>
    </row>
    <row r="5" spans="2:11" ht="26.25" customHeight="1" x14ac:dyDescent="0.15">
      <c r="B5" s="10">
        <v>2</v>
      </c>
      <c r="C5" s="14" t="s">
        <v>54</v>
      </c>
      <c r="D5" s="14" t="s">
        <v>16</v>
      </c>
      <c r="E5" s="14" t="s">
        <v>9</v>
      </c>
      <c r="F5" s="14" t="s">
        <v>10</v>
      </c>
      <c r="G5" s="14" t="s">
        <v>19</v>
      </c>
      <c r="H5" s="14" t="s">
        <v>40</v>
      </c>
      <c r="I5" s="14" t="s">
        <v>6</v>
      </c>
      <c r="J5" s="17"/>
      <c r="K5" s="15" t="s">
        <v>58</v>
      </c>
    </row>
    <row r="6" spans="2:11" ht="26.25" customHeight="1" x14ac:dyDescent="0.15">
      <c r="B6" s="10">
        <v>3</v>
      </c>
      <c r="C6" s="14" t="s">
        <v>41</v>
      </c>
      <c r="D6" s="14" t="s">
        <v>20</v>
      </c>
      <c r="E6" s="14" t="s">
        <v>17</v>
      </c>
      <c r="F6" s="14" t="s">
        <v>0</v>
      </c>
      <c r="G6" s="14" t="s">
        <v>43</v>
      </c>
      <c r="H6" s="14" t="s">
        <v>42</v>
      </c>
      <c r="I6" s="14" t="s">
        <v>6</v>
      </c>
      <c r="J6" s="17"/>
      <c r="K6" s="15" t="s">
        <v>45</v>
      </c>
    </row>
    <row r="7" spans="2:11" ht="26.25" customHeight="1" x14ac:dyDescent="0.15">
      <c r="B7" s="10">
        <v>4</v>
      </c>
      <c r="C7" s="14" t="s">
        <v>35</v>
      </c>
      <c r="D7" s="14" t="s">
        <v>20</v>
      </c>
      <c r="E7" s="14" t="s">
        <v>36</v>
      </c>
      <c r="F7" s="14" t="s">
        <v>10</v>
      </c>
      <c r="G7" s="14" t="s">
        <v>38</v>
      </c>
      <c r="H7" s="14" t="s">
        <v>37</v>
      </c>
      <c r="I7" s="14" t="s">
        <v>6</v>
      </c>
      <c r="J7" s="17" t="s">
        <v>18</v>
      </c>
      <c r="K7" s="15" t="s">
        <v>45</v>
      </c>
    </row>
    <row r="8" spans="2:11" ht="26.25" customHeight="1" thickBot="1" x14ac:dyDescent="0.2">
      <c r="B8" s="29">
        <v>5</v>
      </c>
      <c r="C8" s="30" t="s">
        <v>53</v>
      </c>
      <c r="D8" s="30" t="s">
        <v>44</v>
      </c>
      <c r="E8" s="30" t="s">
        <v>36</v>
      </c>
      <c r="F8" s="30" t="s">
        <v>10</v>
      </c>
      <c r="G8" s="30" t="s">
        <v>22</v>
      </c>
      <c r="H8" s="30" t="s">
        <v>11</v>
      </c>
      <c r="I8" s="30" t="s">
        <v>11</v>
      </c>
      <c r="J8" s="31" t="s">
        <v>21</v>
      </c>
      <c r="K8" s="32" t="s">
        <v>46</v>
      </c>
    </row>
    <row r="9" spans="2:11" ht="26.25" hidden="1" customHeight="1" thickBot="1" x14ac:dyDescent="0.2">
      <c r="B9" s="9">
        <v>6</v>
      </c>
      <c r="C9" s="26" t="s">
        <v>47</v>
      </c>
      <c r="D9" s="26" t="s">
        <v>44</v>
      </c>
      <c r="E9" s="26" t="s">
        <v>36</v>
      </c>
      <c r="F9" s="26" t="s">
        <v>10</v>
      </c>
      <c r="G9" s="26" t="s">
        <v>49</v>
      </c>
      <c r="H9" s="26" t="s">
        <v>11</v>
      </c>
      <c r="I9" s="26" t="s">
        <v>11</v>
      </c>
      <c r="J9" s="27" t="s">
        <v>15</v>
      </c>
      <c r="K9" s="28" t="s">
        <v>48</v>
      </c>
    </row>
    <row r="10" spans="2:11" ht="26.25" customHeight="1" thickBot="1" x14ac:dyDescent="0.2"/>
    <row r="11" spans="2:11" ht="26.25" customHeight="1" x14ac:dyDescent="0.15">
      <c r="I11" s="19"/>
      <c r="J11" s="24" t="s">
        <v>50</v>
      </c>
    </row>
    <row r="12" spans="2:11" ht="26.25" customHeight="1" thickBot="1" x14ac:dyDescent="0.2">
      <c r="I12" s="23" t="s">
        <v>51</v>
      </c>
      <c r="J12" s="25">
        <f>5*5860*20</f>
        <v>586000</v>
      </c>
    </row>
    <row r="13" spans="2:11" ht="1.5" hidden="1" customHeight="1" thickBot="1" x14ac:dyDescent="0.2">
      <c r="I13" s="34" t="s">
        <v>52</v>
      </c>
      <c r="J13" s="35">
        <f>5*7470*20</f>
        <v>747000</v>
      </c>
    </row>
    <row r="14" spans="2:11" ht="26.25" customHeight="1" thickBot="1" x14ac:dyDescent="0.2"/>
    <row r="15" spans="2:11" ht="26.25" customHeight="1" x14ac:dyDescent="0.15">
      <c r="B15" s="19">
        <v>1</v>
      </c>
      <c r="C15" s="20" t="s">
        <v>30</v>
      </c>
      <c r="D15" s="20" t="s">
        <v>5</v>
      </c>
      <c r="E15" s="20" t="s">
        <v>9</v>
      </c>
      <c r="F15" s="20" t="s">
        <v>10</v>
      </c>
      <c r="G15" s="20"/>
      <c r="H15" s="20"/>
      <c r="I15" s="20"/>
      <c r="J15" s="20"/>
      <c r="K15" s="21" t="s">
        <v>55</v>
      </c>
    </row>
    <row r="16" spans="2:11" ht="26.25" customHeight="1" x14ac:dyDescent="0.15">
      <c r="B16" s="22">
        <v>2</v>
      </c>
      <c r="C16" s="5" t="s">
        <v>8</v>
      </c>
      <c r="D16" s="5" t="s">
        <v>16</v>
      </c>
      <c r="E16" s="5" t="s">
        <v>9</v>
      </c>
      <c r="F16" s="5" t="s">
        <v>10</v>
      </c>
      <c r="G16" s="5" t="s">
        <v>4</v>
      </c>
      <c r="H16" s="5" t="s">
        <v>11</v>
      </c>
      <c r="I16" s="5" t="s">
        <v>11</v>
      </c>
      <c r="J16" s="5" t="s">
        <v>12</v>
      </c>
      <c r="K16" s="7" t="s">
        <v>56</v>
      </c>
    </row>
    <row r="17" spans="2:11" ht="26.25" customHeight="1" thickBot="1" x14ac:dyDescent="0.2">
      <c r="B17" s="23">
        <v>3</v>
      </c>
      <c r="C17" s="6" t="s">
        <v>13</v>
      </c>
      <c r="D17" s="6" t="s">
        <v>16</v>
      </c>
      <c r="E17" s="6" t="s">
        <v>9</v>
      </c>
      <c r="F17" s="6" t="s">
        <v>10</v>
      </c>
      <c r="G17" s="6" t="s">
        <v>14</v>
      </c>
      <c r="H17" s="6" t="s">
        <v>11</v>
      </c>
      <c r="I17" s="6" t="s">
        <v>11</v>
      </c>
      <c r="J17" s="6" t="s">
        <v>15</v>
      </c>
      <c r="K17" s="8" t="s">
        <v>57</v>
      </c>
    </row>
    <row r="18" spans="2:11" ht="26.25" customHeight="1" thickBot="1" x14ac:dyDescent="0.2"/>
    <row r="19" spans="2:11" ht="26.25" customHeight="1" x14ac:dyDescent="0.15">
      <c r="I19" s="19"/>
      <c r="J19" s="24" t="s">
        <v>50</v>
      </c>
    </row>
    <row r="20" spans="2:11" ht="27" customHeight="1" thickBot="1" x14ac:dyDescent="0.2">
      <c r="I20" s="23" t="s">
        <v>51</v>
      </c>
      <c r="J20" s="25">
        <f>3*5860*20</f>
        <v>351600</v>
      </c>
    </row>
    <row r="21" spans="2:11" ht="26.25" hidden="1" customHeight="1" thickBot="1" x14ac:dyDescent="0.2">
      <c r="I21" s="34" t="s">
        <v>52</v>
      </c>
      <c r="J21" s="35">
        <f>3*7470*20</f>
        <v>448200</v>
      </c>
    </row>
    <row r="23" spans="2:11" ht="36" customHeight="1" x14ac:dyDescent="0.15"/>
    <row r="24" spans="2:11" ht="26.25" customHeight="1" x14ac:dyDescent="0.15">
      <c r="H24" s="1" t="s">
        <v>29</v>
      </c>
    </row>
  </sheetData>
  <mergeCells count="1">
    <mergeCell ref="B1:K1"/>
  </mergeCells>
  <phoneticPr fontId="1"/>
  <pageMargins left="0.23622047244094491" right="0.23622047244094491" top="0.74803149606299213" bottom="0.35433070866141736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2015-03-16T06:06:31Z</cp:lastPrinted>
  <dcterms:created xsi:type="dcterms:W3CDTF">2015-01-07T23:18:16Z</dcterms:created>
  <dcterms:modified xsi:type="dcterms:W3CDTF">2015-03-16T06:51:20Z</dcterms:modified>
</cp:coreProperties>
</file>