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給料計算\"/>
    </mc:Choice>
  </mc:AlternateContent>
  <bookViews>
    <workbookView xWindow="0" yWindow="0" windowWidth="28800" windowHeight="12450" activeTab="2"/>
  </bookViews>
  <sheets>
    <sheet name="6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  <sheet name="6月集計表" sheetId="7" r:id="rId6"/>
    <sheet name="Sheet2" sheetId="8" r:id="rId7"/>
  </sheets>
  <definedNames>
    <definedName name="_xlnm.Print_Area" localSheetId="5">'6月集計表'!$A$1:$L$38</definedName>
    <definedName name="_xlnm.Print_Area" localSheetId="0">'6月分'!$A$1:$AO$34</definedName>
    <definedName name="_xlnm.Print_Area" localSheetId="2">給料支払明細書!$A$1:$P$448</definedName>
    <definedName name="_xlnm.Print_Area" localSheetId="3">'給料支払明細書（2）'!$A$1:$AI$204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4" l="1"/>
  <c r="K34" i="7" l="1"/>
  <c r="I70" i="4" l="1"/>
  <c r="B40" i="5"/>
  <c r="A82" i="4"/>
  <c r="K79" i="4"/>
  <c r="H79" i="4"/>
  <c r="C78" i="4"/>
  <c r="O355" i="4"/>
  <c r="I352" i="4"/>
  <c r="A352" i="4"/>
  <c r="H349" i="4"/>
  <c r="C348" i="4"/>
  <c r="O340" i="4"/>
  <c r="I337" i="4"/>
  <c r="A337" i="4"/>
  <c r="H334" i="4"/>
  <c r="C333" i="4"/>
  <c r="O325" i="4"/>
  <c r="I322" i="4"/>
  <c r="A322" i="4"/>
  <c r="H319" i="4"/>
  <c r="C318" i="4"/>
  <c r="X33" i="5"/>
  <c r="X32" i="5"/>
  <c r="X31" i="5"/>
  <c r="W33" i="5"/>
  <c r="W32" i="5"/>
  <c r="W31" i="5"/>
  <c r="H35" i="6"/>
  <c r="G35" i="6"/>
  <c r="B33" i="5" l="1"/>
  <c r="H33" i="5" s="1"/>
  <c r="O33" i="5" s="1"/>
  <c r="B32" i="5"/>
  <c r="H32" i="5" s="1"/>
  <c r="O32" i="5" s="1"/>
  <c r="B31" i="5"/>
  <c r="H31" i="5" s="1"/>
  <c r="O31" i="5" s="1"/>
  <c r="V36" i="5" l="1"/>
  <c r="I232" i="4" l="1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I67" i="4"/>
  <c r="H40" i="5" l="1"/>
  <c r="H38" i="7" l="1"/>
  <c r="C38" i="7"/>
  <c r="H26" i="7"/>
  <c r="H19" i="7"/>
  <c r="H12" i="7"/>
  <c r="N45" i="5"/>
  <c r="M45" i="5"/>
  <c r="K45" i="5"/>
  <c r="J45" i="5"/>
  <c r="I45" i="5"/>
  <c r="K36" i="5"/>
  <c r="Q14" i="5"/>
  <c r="P14" i="5"/>
  <c r="AF267" i="3" l="1"/>
  <c r="AF259" i="3"/>
  <c r="AH247" i="3"/>
  <c r="AB243" i="3"/>
  <c r="W267" i="3"/>
  <c r="W259" i="3"/>
  <c r="S243" i="3"/>
  <c r="N267" i="3"/>
  <c r="N259" i="3"/>
  <c r="J243" i="3"/>
  <c r="W199" i="3"/>
  <c r="N199" i="3"/>
  <c r="N200" i="3" s="1"/>
  <c r="E199" i="3"/>
  <c r="E200" i="3" s="1"/>
  <c r="G179" i="3"/>
  <c r="S175" i="3"/>
  <c r="J175" i="3"/>
  <c r="A175" i="3"/>
  <c r="AF18" i="3"/>
  <c r="E269" i="3"/>
  <c r="E268" i="3"/>
  <c r="E267" i="3"/>
  <c r="E260" i="3"/>
  <c r="E259" i="3"/>
  <c r="E252" i="3"/>
  <c r="G247" i="3"/>
  <c r="A243" i="3"/>
  <c r="O310" i="4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O385" i="4"/>
  <c r="D388" i="4" s="1"/>
  <c r="I382" i="4"/>
  <c r="A382" i="4"/>
  <c r="H379" i="4"/>
  <c r="C378" i="4"/>
  <c r="O370" i="4"/>
  <c r="D373" i="4" s="1"/>
  <c r="I367" i="4"/>
  <c r="A367" i="4"/>
  <c r="H364" i="4"/>
  <c r="C363" i="4"/>
  <c r="D358" i="4"/>
  <c r="O70" i="4"/>
  <c r="O25" i="4"/>
  <c r="O10" i="4"/>
  <c r="P179" i="3" l="1"/>
  <c r="Y179" i="3"/>
  <c r="H29" i="5"/>
  <c r="A388" i="4"/>
  <c r="G388" i="4" s="1"/>
  <c r="A358" i="4"/>
  <c r="G358" i="4" s="1"/>
  <c r="A373" i="4"/>
  <c r="G373" i="4" s="1"/>
  <c r="A403" i="4"/>
  <c r="G403" i="4" s="1"/>
  <c r="O29" i="5"/>
  <c r="H28" i="5"/>
  <c r="E184" i="3" s="1"/>
  <c r="H30" i="5"/>
  <c r="W184" i="3" s="1"/>
  <c r="AH9" i="1"/>
  <c r="AH8" i="1"/>
  <c r="A292" i="4" l="1"/>
  <c r="N184" i="3"/>
  <c r="A277" i="4"/>
  <c r="O28" i="5"/>
  <c r="E192" i="3" s="1"/>
  <c r="A307" i="4"/>
  <c r="O30" i="5"/>
  <c r="W192" i="3" s="1"/>
  <c r="N36" i="5"/>
  <c r="N157" i="3"/>
  <c r="E157" i="3"/>
  <c r="W123" i="3"/>
  <c r="I187" i="4"/>
  <c r="H439" i="4"/>
  <c r="H409" i="4" l="1"/>
  <c r="P247" i="3"/>
  <c r="H424" i="4"/>
  <c r="Y247" i="3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71" i="6" l="1"/>
  <c r="AI9" i="1" s="1"/>
  <c r="AF165" i="3"/>
  <c r="AF157" i="3"/>
  <c r="W165" i="3"/>
  <c r="W157" i="3"/>
  <c r="I262" i="4"/>
  <c r="I247" i="4"/>
  <c r="W30" i="5"/>
  <c r="W29" i="5"/>
  <c r="X29" i="5" s="1"/>
  <c r="N201" i="3" s="1"/>
  <c r="W28" i="5"/>
  <c r="X28" i="5" s="1"/>
  <c r="E201" i="3" s="1"/>
  <c r="W27" i="5"/>
  <c r="AF166" i="3" s="1"/>
  <c r="W26" i="5"/>
  <c r="W166" i="3" s="1"/>
  <c r="B27" i="5"/>
  <c r="AH145" i="3" s="1"/>
  <c r="B26" i="5"/>
  <c r="Y145" i="3" s="1"/>
  <c r="A27" i="5"/>
  <c r="AB141" i="3" s="1"/>
  <c r="A26" i="5"/>
  <c r="S141" i="3" s="1"/>
  <c r="X30" i="5" l="1"/>
  <c r="W201" i="3" s="1"/>
  <c r="W200" i="3"/>
  <c r="C258" i="4"/>
  <c r="C243" i="4"/>
  <c r="H26" i="5"/>
  <c r="H244" i="4"/>
  <c r="H27" i="5"/>
  <c r="H259" i="4"/>
  <c r="E233" i="3"/>
  <c r="E225" i="3"/>
  <c r="AF200" i="3"/>
  <c r="AF199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44" i="5"/>
  <c r="M44" i="5"/>
  <c r="M36" i="5"/>
  <c r="D328" i="4"/>
  <c r="D343" i="4"/>
  <c r="W39" i="5"/>
  <c r="W268" i="3" s="1"/>
  <c r="W40" i="5"/>
  <c r="AF268" i="3" s="1"/>
  <c r="K14" i="5"/>
  <c r="V14" i="5"/>
  <c r="V8" i="5"/>
  <c r="V44" i="5"/>
  <c r="W38" i="5"/>
  <c r="N268" i="3" s="1"/>
  <c r="W42" i="5"/>
  <c r="E234" i="3" s="1"/>
  <c r="W41" i="5"/>
  <c r="G213" i="3"/>
  <c r="AH179" i="3"/>
  <c r="AB175" i="3"/>
  <c r="V45" i="5" l="1"/>
  <c r="W44" i="5"/>
  <c r="O26" i="5"/>
  <c r="W150" i="3"/>
  <c r="A247" i="4"/>
  <c r="AF150" i="3"/>
  <c r="A262" i="4"/>
  <c r="O27" i="5"/>
  <c r="H42" i="5"/>
  <c r="A209" i="3"/>
  <c r="H41" i="5"/>
  <c r="F34" i="6"/>
  <c r="F29" i="6"/>
  <c r="F28" i="6"/>
  <c r="F22" i="6"/>
  <c r="F21" i="6"/>
  <c r="F15" i="6"/>
  <c r="F14" i="6"/>
  <c r="F8" i="6"/>
  <c r="F7" i="6"/>
  <c r="X26" i="5" l="1"/>
  <c r="W167" i="3" s="1"/>
  <c r="W158" i="3"/>
  <c r="AF158" i="3"/>
  <c r="X27" i="5"/>
  <c r="AF167" i="3" s="1"/>
  <c r="O41" i="5"/>
  <c r="AF184" i="3"/>
  <c r="A328" i="4"/>
  <c r="G328" i="4" s="1"/>
  <c r="A343" i="4"/>
  <c r="G343" i="4" s="1"/>
  <c r="E218" i="3"/>
  <c r="O42" i="5"/>
  <c r="F33" i="6"/>
  <c r="F32" i="6"/>
  <c r="F31" i="6"/>
  <c r="F30" i="6"/>
  <c r="F27" i="6"/>
  <c r="F26" i="6"/>
  <c r="F25" i="6"/>
  <c r="F24" i="6"/>
  <c r="F23" i="6"/>
  <c r="F20" i="6"/>
  <c r="F19" i="6"/>
  <c r="F18" i="6"/>
  <c r="F17" i="6"/>
  <c r="F16" i="6"/>
  <c r="F13" i="6"/>
  <c r="F12" i="6"/>
  <c r="F11" i="6"/>
  <c r="F10" i="6"/>
  <c r="F9" i="6"/>
  <c r="F6" i="6"/>
  <c r="F5" i="6"/>
  <c r="F4" i="6"/>
  <c r="E226" i="3" l="1"/>
  <c r="X42" i="5"/>
  <c r="E235" i="3" s="1"/>
  <c r="AF192" i="3"/>
  <c r="X41" i="5"/>
  <c r="AF201" i="3" s="1"/>
  <c r="F35" i="6"/>
  <c r="D10" i="5" s="1"/>
  <c r="D11" i="5"/>
  <c r="H11" i="5" s="1"/>
  <c r="A39" i="3"/>
  <c r="AB5" i="3"/>
  <c r="S5" i="3"/>
  <c r="A5" i="5"/>
  <c r="A67" i="4" l="1"/>
  <c r="AF14" i="3"/>
  <c r="H12" i="5"/>
  <c r="AI8" i="1"/>
  <c r="J5" i="3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H10" i="5" s="1"/>
  <c r="B6" i="5"/>
  <c r="B5" i="5"/>
  <c r="H229" i="4" l="1"/>
  <c r="H214" i="4"/>
  <c r="H199" i="4"/>
  <c r="H184" i="4"/>
  <c r="H169" i="4"/>
  <c r="H154" i="4"/>
  <c r="H139" i="4"/>
  <c r="H124" i="4"/>
  <c r="H109" i="4"/>
  <c r="H94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A88" i="4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L36" i="5"/>
  <c r="L45" i="5" s="1"/>
  <c r="S14" i="5"/>
  <c r="S45" i="5" s="1"/>
  <c r="M14" i="5"/>
  <c r="H14" i="5"/>
  <c r="S8" i="5"/>
  <c r="R8" i="5"/>
  <c r="Q8" i="5"/>
  <c r="P8" i="5"/>
  <c r="O8" i="5"/>
  <c r="M8" i="5"/>
  <c r="H8" i="5"/>
  <c r="N165" i="3"/>
  <c r="E165" i="3"/>
  <c r="E166" i="3" s="1"/>
  <c r="AF131" i="3"/>
  <c r="AF132" i="3" s="1"/>
  <c r="W131" i="3"/>
  <c r="W132" i="3" s="1"/>
  <c r="N132" i="3"/>
  <c r="E131" i="3"/>
  <c r="E132" i="3" s="1"/>
  <c r="AF97" i="3"/>
  <c r="AF98" i="3" s="1"/>
  <c r="W98" i="3"/>
  <c r="N97" i="3"/>
  <c r="N98" i="3" s="1"/>
  <c r="E97" i="3"/>
  <c r="E98" i="3" s="1"/>
  <c r="P145" i="3"/>
  <c r="G145" i="3"/>
  <c r="AH111" i="3"/>
  <c r="Y111" i="3"/>
  <c r="P111" i="3"/>
  <c r="G111" i="3"/>
  <c r="AH77" i="3"/>
  <c r="Y77" i="3"/>
  <c r="P77" i="3"/>
  <c r="G77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4" i="5"/>
  <c r="W23" i="5"/>
  <c r="W22" i="5"/>
  <c r="W21" i="5"/>
  <c r="D178" i="4" s="1"/>
  <c r="W20" i="5"/>
  <c r="W19" i="5"/>
  <c r="W18" i="5"/>
  <c r="W17" i="5"/>
  <c r="W16" i="5"/>
  <c r="W36" i="5" s="1"/>
  <c r="W12" i="5"/>
  <c r="W11" i="5"/>
  <c r="AF30" i="3" s="1"/>
  <c r="W6" i="5"/>
  <c r="W8" i="5" s="1"/>
  <c r="W5" i="5"/>
  <c r="O10" i="5"/>
  <c r="O6" i="5"/>
  <c r="O5" i="5"/>
  <c r="O12" i="5"/>
  <c r="O11" i="5"/>
  <c r="AF252" i="3"/>
  <c r="H39" i="5"/>
  <c r="W252" i="3" s="1"/>
  <c r="H38" i="5"/>
  <c r="N252" i="3" s="1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O14" i="5" l="1"/>
  <c r="A412" i="4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N150" i="3"/>
  <c r="W22" i="3"/>
  <c r="R10" i="5"/>
  <c r="A283" i="4"/>
  <c r="G283" i="4" s="1"/>
  <c r="H44" i="5"/>
  <c r="X6" i="5"/>
  <c r="N30" i="3"/>
  <c r="O21" i="5"/>
  <c r="X21" i="5" s="1"/>
  <c r="N133" i="3" s="1"/>
  <c r="N124" i="3"/>
  <c r="G73" i="4"/>
  <c r="O40" i="5"/>
  <c r="AF260" i="3" s="1"/>
  <c r="G178" i="4"/>
  <c r="O39" i="5"/>
  <c r="O38" i="5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36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1" i="5"/>
  <c r="X12" i="5"/>
  <c r="AF22" i="3"/>
  <c r="D43" i="4"/>
  <c r="G43" i="4" s="1"/>
  <c r="AH9" i="3"/>
  <c r="P9" i="3"/>
  <c r="G9" i="3"/>
  <c r="A5" i="3"/>
  <c r="X16" i="5" l="1"/>
  <c r="O36" i="5"/>
  <c r="H45" i="5"/>
  <c r="O47" i="5" s="1"/>
  <c r="N192" i="3"/>
  <c r="W260" i="3"/>
  <c r="O44" i="5"/>
  <c r="O45" i="5" s="1"/>
  <c r="N260" i="3"/>
  <c r="E55" i="4"/>
  <c r="D58" i="4" s="1"/>
  <c r="G58" i="4" s="1"/>
  <c r="R14" i="5"/>
  <c r="R45" i="5" s="1"/>
  <c r="W10" i="5"/>
  <c r="X40" i="5"/>
  <c r="AF269" i="3" s="1"/>
  <c r="X8" i="5"/>
  <c r="N31" i="3"/>
  <c r="X19" i="5"/>
  <c r="E82" i="3"/>
  <c r="X18" i="5"/>
  <c r="X39" i="5"/>
  <c r="W269" i="3" s="1"/>
  <c r="X17" i="5"/>
  <c r="N90" i="3"/>
  <c r="X25" i="5"/>
  <c r="N167" i="3" s="1"/>
  <c r="AF31" i="3"/>
  <c r="X38" i="5"/>
  <c r="N269" i="3" s="1"/>
  <c r="E90" i="3"/>
  <c r="E56" i="3"/>
  <c r="E65" i="3"/>
  <c r="X14" i="5" l="1"/>
  <c r="X45" i="5"/>
  <c r="W30" i="3"/>
  <c r="W14" i="5"/>
  <c r="W45" i="5" s="1"/>
  <c r="X10" i="5"/>
  <c r="X44" i="5"/>
  <c r="X36" i="5"/>
  <c r="W31" i="3" l="1"/>
</calcChain>
</file>

<file path=xl/sharedStrings.xml><?xml version="1.0" encoding="utf-8"?>
<sst xmlns="http://schemas.openxmlformats.org/spreadsheetml/2006/main" count="2595" uniqueCount="166">
  <si>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</si>
  <si>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</si>
  <si>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</si>
  <si>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</si>
  <si>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</si>
  <si>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</si>
  <si>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</si>
  <si>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</si>
  <si>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</si>
  <si>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</si>
  <si>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</si>
  <si>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</si>
  <si>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</si>
  <si>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</si>
  <si>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</si>
  <si>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</si>
  <si>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</si>
  <si>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</si>
  <si>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</si>
  <si>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</si>
  <si>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</si>
  <si>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</si>
  <si>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</si>
  <si>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</si>
  <si>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</si>
  <si>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</si>
  <si>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</si>
  <si>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</si>
  <si>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</si>
  <si>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</si>
  <si>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</si>
  <si>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</si>
  <si>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</si>
  <si>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</si>
  <si>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</si>
  <si>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</si>
  <si>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</si>
  <si>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</si>
  <si>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</si>
  <si>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</si>
  <si>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</si>
  <si>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</si>
  <si>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</si>
  <si>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</si>
  <si>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</si>
  <si>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</si>
  <si>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</si>
  <si>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</si>
  <si>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</si>
  <si>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</si>
  <si>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</si>
  <si>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</si>
  <si>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</si>
  <si>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</si>
  <si>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</si>
  <si>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</si>
  <si>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</si>
  <si>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</si>
  <si>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</si>
  <si>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</si>
  <si>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</si>
  <si>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</si>
  <si>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</si>
  <si>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</si>
  <si>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</si>
  <si>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</si>
  <si>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</si>
  <si>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</si>
  <si>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</si>
  <si>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</si>
  <si>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</si>
  <si>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</si>
  <si>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</si>
  <si>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</si>
  <si>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</si>
  <si>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</si>
  <si>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</si>
  <si>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</si>
  <si>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</si>
  <si>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</si>
  <si>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</si>
  <si>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</si>
  <si>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</si>
  <si>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</si>
  <si>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</si>
  <si>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</si>
  <si>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</si>
  <si>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</si>
  <si>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</si>
  <si>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</si>
  <si>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</si>
  <si>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</si>
  <si>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</si>
  <si>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</si>
  <si>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</si>
  <si>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</si>
  <si>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</si>
  <si>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</si>
  <si>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</si>
  <si>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</si>
  <si>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</si>
  <si>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</si>
  <si>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</si>
  <si>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</si>
  <si>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</si>
  <si>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</si>
  <si>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</si>
  <si>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</si>
  <si>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</si>
  <si>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手当</t>
    <rPh sb="0" eb="2">
      <t>テアテ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</si>
  <si>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</si>
  <si>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</si>
  <si>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</si>
  <si>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</si>
  <si>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5月1日～5月31日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</si>
  <si>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</si>
  <si>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</si>
  <si>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</si>
  <si>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</si>
  <si>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</si>
  <si>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</si>
  <si>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</si>
  <si>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</si>
  <si>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</si>
  <si>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</si>
  <si>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</si>
  <si>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</si>
  <si>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</si>
  <si>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</si>
  <si>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</si>
  <si>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パチンコ台解体費</t>
    <rPh sb="4" eb="5">
      <t>ダイ</t>
    </rPh>
    <rPh sb="5" eb="7">
      <t>カイタイ</t>
    </rPh>
    <rPh sb="7" eb="8">
      <t>ヒ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</si>
  <si>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</si>
  <si>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</si>
  <si>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</si>
  <si>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</si>
  <si>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</si>
  <si>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</si>
  <si>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</si>
  <si>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</si>
  <si>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</si>
  <si>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</si>
  <si>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</si>
  <si>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</si>
  <si>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</si>
  <si>
    <t>平成　27年　6月度</t>
    <rPh sb="0" eb="2">
      <t>ヘイセイ</t>
    </rPh>
    <rPh sb="5" eb="6">
      <t>ネン</t>
    </rPh>
    <rPh sb="8" eb="10">
      <t>ガツド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</si>
  <si>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</si>
  <si>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</si>
  <si>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</si>
  <si>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キ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</si>
  <si>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</si>
  <si>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</si>
  <si>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日</t>
    <rPh sb="0" eb="1">
      <t>ニチ</t>
    </rPh>
    <phoneticPr fontId="2"/>
  </si>
  <si>
    <t>休</t>
    <rPh sb="0" eb="1">
      <t>ヤス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</si>
  <si>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</si>
  <si>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平成27年6月分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</si>
  <si>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6月</t>
    <rPh sb="1" eb="2">
      <t>ツキ</t>
    </rPh>
    <phoneticPr fontId="2"/>
  </si>
  <si>
    <t>6月集計表</t>
    <rPh sb="1" eb="2">
      <t>ガツ</t>
    </rPh>
    <rPh sb="2" eb="5">
      <t>シュウケイヒョウ</t>
    </rPh>
    <phoneticPr fontId="2"/>
  </si>
  <si>
    <t>6月分給料</t>
    <rPh sb="1" eb="2">
      <t>ガツ</t>
    </rPh>
    <rPh sb="2" eb="3">
      <t>ブン</t>
    </rPh>
    <rPh sb="3" eb="5">
      <t>キュウリョウ</t>
    </rPh>
    <phoneticPr fontId="2"/>
  </si>
  <si>
    <t>6月分工賃</t>
    <rPh sb="1" eb="2">
      <t>ガツ</t>
    </rPh>
    <rPh sb="2" eb="3">
      <t>ブン</t>
    </rPh>
    <rPh sb="3" eb="5">
      <t>コウチン</t>
    </rPh>
    <phoneticPr fontId="2"/>
  </si>
  <si>
    <t>6月分家賃</t>
    <rPh sb="1" eb="2">
      <t>ガツ</t>
    </rPh>
    <rPh sb="2" eb="3">
      <t>ブン</t>
    </rPh>
    <rPh sb="3" eb="5">
      <t>ヤチン</t>
    </rPh>
    <phoneticPr fontId="2"/>
  </si>
  <si>
    <t>6月分技術指導料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</si>
  <si>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国保7月15日入金予定額</t>
    <rPh sb="0" eb="2">
      <t>コクホ</t>
    </rPh>
    <rPh sb="3" eb="4">
      <t>ガツ</t>
    </rPh>
    <rPh sb="6" eb="7">
      <t>ニチ</t>
    </rPh>
    <rPh sb="7" eb="9">
      <t>ニュウキン</t>
    </rPh>
    <rPh sb="9" eb="11">
      <t>ヨテイ</t>
    </rPh>
    <rPh sb="11" eb="12">
      <t>ガク</t>
    </rPh>
    <phoneticPr fontId="2"/>
  </si>
  <si>
    <t>訓練給付金(6月請求金額）</t>
    <rPh sb="0" eb="2">
      <t>クンレン</t>
    </rPh>
    <rPh sb="2" eb="5">
      <t>キュウフキン</t>
    </rPh>
    <rPh sb="7" eb="8">
      <t>ガツ</t>
    </rPh>
    <rPh sb="8" eb="10">
      <t>セイキュウ</t>
    </rPh>
    <rPh sb="10" eb="12">
      <t>キンガク</t>
    </rPh>
    <phoneticPr fontId="2"/>
  </si>
  <si>
    <t>こさこ電気</t>
    <rPh sb="3" eb="5">
      <t>デンキ</t>
    </rPh>
    <phoneticPr fontId="2"/>
  </si>
  <si>
    <t>中古冷蔵庫1台　　　廃棄冷蔵庫処分代2台</t>
    <rPh sb="0" eb="2">
      <t>チュウコ</t>
    </rPh>
    <rPh sb="2" eb="5">
      <t>レイゾウコ</t>
    </rPh>
    <rPh sb="6" eb="7">
      <t>ダイ</t>
    </rPh>
    <rPh sb="10" eb="12">
      <t>ハイキ</t>
    </rPh>
    <rPh sb="12" eb="15">
      <t>レイゾウコ</t>
    </rPh>
    <rPh sb="15" eb="17">
      <t>ショブン</t>
    </rPh>
    <rPh sb="17" eb="18">
      <t>ダイ</t>
    </rPh>
    <rPh sb="19" eb="20">
      <t>ダイ</t>
    </rPh>
    <phoneticPr fontId="2"/>
  </si>
  <si>
    <t>ETC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</si>
</sst>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3" x14ac:knownFonts="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b/>
      <sz val="11"/>
      <color rgb="FFFF0000"/>
      <name val="ＭＳ Ｐゴシック"/>
      <family val="3"/>
      <charset val="128"/>
    </font>
    <font>
      <sz val="9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</borders>
  <cellStyleXfs count="1">
    <xf numFmtId="0" fontId="0" fillId="0" borderId="0">
      <alignment vertical="center"/>
    </xf>
  </cellStyleXfs>
  <cellXfs count="316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7" fillId="0" borderId="15" xfId="0" applyNumberFormat="1" applyFont="1" applyBorder="1" applyAlignment="1">
      <alignment vertical="center" shrinkToFit="1"/>
    </xf>
    <xf numFmtId="178" fontId="17" fillId="0" borderId="15" xfId="0" applyNumberFormat="1" applyFont="1" applyBorder="1" applyAlignment="1">
      <alignment vertical="center" shrinkToFit="1"/>
    </xf>
    <xf numFmtId="3" fontId="17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178" fontId="0" fillId="3" borderId="16" xfId="0" applyNumberFormat="1" applyFont="1" applyFill="1" applyBorder="1" applyAlignment="1">
      <alignment horizontal="center" vertical="center" shrinkToFit="1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54" xfId="0" applyNumberFormat="1" applyFill="1" applyBorder="1">
      <alignment vertical="center"/>
    </xf>
    <xf numFmtId="0" fontId="0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20" fontId="0" fillId="0" borderId="15" xfId="0" applyNumberFormat="1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>
      <alignment vertical="center"/>
    </xf>
    <xf numFmtId="0" fontId="21" fillId="2" borderId="16" xfId="0" applyFont="1" applyFill="1" applyBorder="1" applyAlignment="1">
      <alignment horizontal="center" vertical="center"/>
    </xf>
    <xf numFmtId="3" fontId="22" fillId="0" borderId="16" xfId="0" applyNumberFormat="1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179" fontId="17" fillId="0" borderId="16" xfId="0" applyNumberFormat="1" applyFont="1" applyBorder="1">
      <alignment vertical="center"/>
    </xf>
    <xf numFmtId="0" fontId="1" fillId="0" borderId="16" xfId="0" applyFont="1" applyBorder="1" applyAlignment="1">
      <alignment horizontal="justify" vertical="center"/>
    </xf>
    <xf numFmtId="3" fontId="15" fillId="0" borderId="36" xfId="0" applyNumberFormat="1" applyFont="1" applyBorder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3" fontId="0" fillId="0" borderId="79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80" xfId="0" applyNumberFormat="1" applyBorder="1">
      <alignment vertical="center"/>
    </xf>
    <xf numFmtId="3" fontId="0" fillId="0" borderId="1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0" fontId="0" fillId="0" borderId="16" xfId="0" applyFont="1" applyFill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0" fontId="0" fillId="2" borderId="16" xfId="0" applyNumberFormat="1" applyFont="1" applyFill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20" fontId="0" fillId="0" borderId="0" xfId="0" applyNumberForma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77" xfId="0" applyNumberFormat="1" applyBorder="1" applyAlignment="1">
      <alignment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40" xfId="0" applyNumberFormat="1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 shrinkToFit="1"/>
    </xf>
    <xf numFmtId="0" fontId="0" fillId="0" borderId="73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12212</xdr:colOff>
      <xdr:row>28</xdr:row>
      <xdr:rowOff>219808</xdr:rowOff>
    </xdr:from>
    <xdr:to>
      <xdr:col>23</xdr:col>
      <xdr:colOff>0</xdr:colOff>
      <xdr:row>28</xdr:row>
      <xdr:rowOff>219808</xdr:rowOff>
    </xdr:to>
    <xdr:cxnSp macro="">
      <xdr:nvCxnSpPr>
        <xdr:cNvPr id="6" name="直線コネクタ 5"/>
        <xdr:cNvCxnSpPr/>
      </xdr:nvCxnSpPr>
      <xdr:spPr>
        <a:xfrm>
          <a:off x="1489808" y="10453077"/>
          <a:ext cx="742461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207596</xdr:rowOff>
    </xdr:from>
    <xdr:to>
      <xdr:col>24</xdr:col>
      <xdr:colOff>0</xdr:colOff>
      <xdr:row>13</xdr:row>
      <xdr:rowOff>219808</xdr:rowOff>
    </xdr:to>
    <xdr:cxnSp macro="">
      <xdr:nvCxnSpPr>
        <xdr:cNvPr id="10" name="直線コネクタ 9"/>
        <xdr:cNvCxnSpPr/>
      </xdr:nvCxnSpPr>
      <xdr:spPr>
        <a:xfrm>
          <a:off x="1477596" y="4762500"/>
          <a:ext cx="7790962" cy="1221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207596</xdr:rowOff>
    </xdr:from>
    <xdr:to>
      <xdr:col>32</xdr:col>
      <xdr:colOff>341923</xdr:colOff>
      <xdr:row>19</xdr:row>
      <xdr:rowOff>207596</xdr:rowOff>
    </xdr:to>
    <xdr:cxnSp macro="">
      <xdr:nvCxnSpPr>
        <xdr:cNvPr id="12" name="直線コネクタ 11"/>
        <xdr:cNvCxnSpPr/>
      </xdr:nvCxnSpPr>
      <xdr:spPr>
        <a:xfrm>
          <a:off x="1477596" y="7033846"/>
          <a:ext cx="1096596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78" zoomScaleNormal="78" workbookViewId="0">
      <selection activeCell="AH6" sqref="AH6"/>
    </sheetView>
  </sheetViews>
  <sheetFormatPr defaultRowHeight="13.5" x14ac:dyDescent="0.15"/>
  <cols>
    <col min="1" max="1" width="3.75" customWidth="1"/>
    <col min="2" max="2" width="15.75" customWidth="1"/>
    <col min="3" max="41" width="4.625" customWidth="1"/>
  </cols>
  <sheetData>
    <row r="1" spans="1:45" ht="28.5" x14ac:dyDescent="0.15">
      <c r="A1" s="196" t="s">
        <v>144</v>
      </c>
      <c r="B1" s="196"/>
      <c r="C1" s="196"/>
      <c r="Q1" s="197" t="s">
        <v>0</v>
      </c>
      <c r="R1" s="197"/>
      <c r="S1" s="197"/>
      <c r="T1" s="197"/>
      <c r="U1" s="197"/>
      <c r="V1" s="197"/>
      <c r="W1" s="197"/>
      <c r="X1" s="197"/>
      <c r="Y1" s="197"/>
    </row>
    <row r="2" spans="1:45" ht="7.5" customHeight="1" thickBot="1" x14ac:dyDescent="0.2">
      <c r="A2" s="198"/>
      <c r="B2" s="198"/>
      <c r="C2" s="198"/>
    </row>
    <row r="3" spans="1:45" ht="27" customHeight="1" x14ac:dyDescent="0.15">
      <c r="A3" s="1"/>
      <c r="B3" s="2" t="s">
        <v>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184">
        <v>6</v>
      </c>
      <c r="I3" s="186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184">
        <v>13</v>
      </c>
      <c r="P3" s="186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184">
        <v>20</v>
      </c>
      <c r="W3" s="186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184">
        <v>27</v>
      </c>
      <c r="AD3" s="186">
        <v>28</v>
      </c>
      <c r="AE3" s="3">
        <v>29</v>
      </c>
      <c r="AF3" s="3">
        <v>30</v>
      </c>
      <c r="AG3" s="147"/>
      <c r="AH3" s="199" t="s">
        <v>2</v>
      </c>
      <c r="AI3" s="192" t="s">
        <v>19</v>
      </c>
      <c r="AJ3" s="192" t="s">
        <v>3</v>
      </c>
      <c r="AK3" s="192" t="s">
        <v>4</v>
      </c>
      <c r="AL3" s="192" t="s">
        <v>5</v>
      </c>
      <c r="AM3" s="194" t="s">
        <v>6</v>
      </c>
      <c r="AN3" s="194"/>
      <c r="AO3" s="195"/>
    </row>
    <row r="4" spans="1:45" ht="27" customHeight="1" thickBot="1" x14ac:dyDescent="0.2">
      <c r="A4" s="4"/>
      <c r="B4" s="5" t="s">
        <v>7</v>
      </c>
      <c r="C4" s="7" t="s">
        <v>145</v>
      </c>
      <c r="D4" s="7" t="s">
        <v>146</v>
      </c>
      <c r="E4" s="7" t="s">
        <v>147</v>
      </c>
      <c r="F4" s="7" t="s">
        <v>148</v>
      </c>
      <c r="G4" s="7" t="s">
        <v>149</v>
      </c>
      <c r="H4" s="185" t="s">
        <v>150</v>
      </c>
      <c r="I4" s="187" t="s">
        <v>151</v>
      </c>
      <c r="J4" s="7" t="s">
        <v>145</v>
      </c>
      <c r="K4" s="7" t="s">
        <v>146</v>
      </c>
      <c r="L4" s="7" t="s">
        <v>147</v>
      </c>
      <c r="M4" s="7" t="s">
        <v>148</v>
      </c>
      <c r="N4" s="7" t="s">
        <v>149</v>
      </c>
      <c r="O4" s="185" t="s">
        <v>150</v>
      </c>
      <c r="P4" s="187" t="s">
        <v>151</v>
      </c>
      <c r="Q4" s="7" t="s">
        <v>145</v>
      </c>
      <c r="R4" s="7" t="s">
        <v>146</v>
      </c>
      <c r="S4" s="7" t="s">
        <v>147</v>
      </c>
      <c r="T4" s="7" t="s">
        <v>148</v>
      </c>
      <c r="U4" s="7" t="s">
        <v>149</v>
      </c>
      <c r="V4" s="185" t="s">
        <v>150</v>
      </c>
      <c r="W4" s="187" t="s">
        <v>151</v>
      </c>
      <c r="X4" s="7" t="s">
        <v>145</v>
      </c>
      <c r="Y4" s="7" t="s">
        <v>146</v>
      </c>
      <c r="Z4" s="7" t="s">
        <v>147</v>
      </c>
      <c r="AA4" s="7" t="s">
        <v>148</v>
      </c>
      <c r="AB4" s="7" t="s">
        <v>149</v>
      </c>
      <c r="AC4" s="185" t="s">
        <v>150</v>
      </c>
      <c r="AD4" s="187" t="s">
        <v>151</v>
      </c>
      <c r="AE4" s="7" t="s">
        <v>145</v>
      </c>
      <c r="AF4" s="7" t="s">
        <v>146</v>
      </c>
      <c r="AG4" s="6"/>
      <c r="AH4" s="200"/>
      <c r="AI4" s="193"/>
      <c r="AJ4" s="193"/>
      <c r="AK4" s="193"/>
      <c r="AL4" s="193"/>
      <c r="AM4" s="8" t="s">
        <v>11</v>
      </c>
      <c r="AN4" s="9" t="s">
        <v>12</v>
      </c>
      <c r="AO4" s="10" t="s">
        <v>13</v>
      </c>
    </row>
    <row r="5" spans="1:45" ht="30" customHeight="1" x14ac:dyDescent="0.15">
      <c r="A5" s="117">
        <v>1</v>
      </c>
      <c r="B5" s="118" t="s">
        <v>93</v>
      </c>
      <c r="C5" s="146"/>
      <c r="D5" s="12"/>
      <c r="E5" s="158"/>
      <c r="F5" s="158"/>
      <c r="G5" s="158"/>
      <c r="H5" s="159" t="s">
        <v>152</v>
      </c>
      <c r="I5" s="155" t="s">
        <v>152</v>
      </c>
      <c r="J5" s="146"/>
      <c r="K5" s="12"/>
      <c r="L5" s="158"/>
      <c r="M5" s="12"/>
      <c r="N5" s="146"/>
      <c r="O5" s="159"/>
      <c r="P5" s="155" t="s">
        <v>152</v>
      </c>
      <c r="Q5" s="146"/>
      <c r="R5" s="12"/>
      <c r="S5" s="158"/>
      <c r="T5" s="12"/>
      <c r="U5" s="146"/>
      <c r="V5" s="159" t="s">
        <v>152</v>
      </c>
      <c r="W5" s="155" t="s">
        <v>152</v>
      </c>
      <c r="X5" s="146"/>
      <c r="Y5" s="12"/>
      <c r="Z5" s="158"/>
      <c r="AA5" s="12"/>
      <c r="AB5" s="146"/>
      <c r="AC5" s="159" t="s">
        <v>152</v>
      </c>
      <c r="AD5" s="155" t="s">
        <v>152</v>
      </c>
      <c r="AE5" s="146"/>
      <c r="AF5" s="158"/>
      <c r="AG5" s="158"/>
      <c r="AH5" s="13">
        <v>23</v>
      </c>
      <c r="AI5" s="14"/>
      <c r="AJ5" s="14"/>
      <c r="AK5" s="14"/>
      <c r="AL5" s="15"/>
      <c r="AM5" s="14"/>
      <c r="AN5" s="14"/>
      <c r="AO5" s="16"/>
      <c r="AQ5">
        <v>280000</v>
      </c>
      <c r="AR5">
        <v>10000</v>
      </c>
    </row>
    <row r="6" spans="1:45" ht="30" customHeight="1" x14ac:dyDescent="0.15">
      <c r="A6" s="115">
        <v>2</v>
      </c>
      <c r="B6" s="78" t="s">
        <v>14</v>
      </c>
      <c r="C6" s="158"/>
      <c r="D6" s="158"/>
      <c r="E6" s="158"/>
      <c r="F6" s="158"/>
      <c r="G6" s="158"/>
      <c r="H6" s="159" t="s">
        <v>152</v>
      </c>
      <c r="I6" s="155" t="s">
        <v>152</v>
      </c>
      <c r="J6" s="158"/>
      <c r="K6" s="158"/>
      <c r="L6" s="158"/>
      <c r="M6" s="158"/>
      <c r="N6" s="146"/>
      <c r="O6" s="159" t="s">
        <v>152</v>
      </c>
      <c r="P6" s="155" t="s">
        <v>152</v>
      </c>
      <c r="Q6" s="158"/>
      <c r="R6" s="158"/>
      <c r="S6" s="158"/>
      <c r="T6" s="158"/>
      <c r="U6" s="146"/>
      <c r="V6" s="159" t="s">
        <v>152</v>
      </c>
      <c r="W6" s="155" t="s">
        <v>152</v>
      </c>
      <c r="X6" s="158"/>
      <c r="Y6" s="158"/>
      <c r="Z6" s="158"/>
      <c r="AA6" s="158"/>
      <c r="AB6" s="158"/>
      <c r="AC6" s="159" t="s">
        <v>152</v>
      </c>
      <c r="AD6" s="155" t="s">
        <v>152</v>
      </c>
      <c r="AE6" s="158"/>
      <c r="AF6" s="158"/>
      <c r="AG6" s="158"/>
      <c r="AH6" s="13">
        <v>22</v>
      </c>
      <c r="AI6" s="18"/>
      <c r="AJ6" s="18"/>
      <c r="AK6" s="18"/>
      <c r="AL6" s="19"/>
      <c r="AM6" s="18"/>
      <c r="AN6" s="18"/>
      <c r="AO6" s="20"/>
      <c r="AQ6">
        <v>200000</v>
      </c>
    </row>
    <row r="7" spans="1:45" ht="30" customHeight="1" x14ac:dyDescent="0.15">
      <c r="A7" s="17">
        <v>3</v>
      </c>
      <c r="B7" s="11"/>
      <c r="C7" s="121"/>
      <c r="D7" s="47"/>
      <c r="E7" s="47"/>
      <c r="F7" s="23"/>
      <c r="G7" s="121"/>
      <c r="H7" s="149"/>
      <c r="I7" s="152"/>
      <c r="J7" s="121"/>
      <c r="K7" s="47"/>
      <c r="L7" s="47"/>
      <c r="M7" s="23"/>
      <c r="N7" s="121"/>
      <c r="O7" s="149"/>
      <c r="P7" s="151"/>
      <c r="Q7" s="121"/>
      <c r="R7" s="47"/>
      <c r="S7" s="47"/>
      <c r="T7" s="23"/>
      <c r="U7" s="121"/>
      <c r="V7" s="149"/>
      <c r="W7" s="151"/>
      <c r="X7" s="121"/>
      <c r="Y7" s="47"/>
      <c r="Z7" s="47"/>
      <c r="AA7" s="23"/>
      <c r="AB7" s="121"/>
      <c r="AC7" s="189"/>
      <c r="AD7" s="152"/>
      <c r="AE7" s="121"/>
      <c r="AF7" s="47"/>
      <c r="AG7" s="47"/>
      <c r="AH7" s="13"/>
      <c r="AI7" s="18"/>
      <c r="AJ7" s="18"/>
      <c r="AK7" s="18"/>
      <c r="AL7" s="19"/>
      <c r="AM7" s="18"/>
      <c r="AN7" s="18"/>
      <c r="AO7" s="20"/>
    </row>
    <row r="8" spans="1:45" ht="30" customHeight="1" x14ac:dyDescent="0.15">
      <c r="A8" s="115">
        <v>4</v>
      </c>
      <c r="B8" s="78" t="s">
        <v>15</v>
      </c>
      <c r="C8" s="135"/>
      <c r="D8" s="129"/>
      <c r="E8" s="129"/>
      <c r="F8" s="142"/>
      <c r="G8" s="148"/>
      <c r="H8" s="141"/>
      <c r="I8" s="155" t="s">
        <v>152</v>
      </c>
      <c r="J8" s="135"/>
      <c r="K8" s="129"/>
      <c r="L8" s="129"/>
      <c r="M8" s="142"/>
      <c r="N8" s="148"/>
      <c r="O8" s="159" t="s">
        <v>152</v>
      </c>
      <c r="P8" s="155" t="s">
        <v>152</v>
      </c>
      <c r="Q8" s="135"/>
      <c r="R8" s="129"/>
      <c r="S8" s="129"/>
      <c r="T8" s="129"/>
      <c r="U8" s="190" t="s">
        <v>152</v>
      </c>
      <c r="V8" s="141"/>
      <c r="W8" s="155" t="s">
        <v>152</v>
      </c>
      <c r="X8" s="135"/>
      <c r="Y8" s="129"/>
      <c r="Z8" s="142"/>
      <c r="AA8" s="142"/>
      <c r="AB8" s="148"/>
      <c r="AC8" s="159" t="s">
        <v>152</v>
      </c>
      <c r="AD8" s="155" t="s">
        <v>152</v>
      </c>
      <c r="AE8" s="148"/>
      <c r="AF8" s="129"/>
      <c r="AG8" s="142"/>
      <c r="AH8" s="21">
        <f>時給計算書!C35</f>
        <v>24</v>
      </c>
      <c r="AI8" s="27">
        <f>時給計算書!F35</f>
        <v>6.8208333333333337</v>
      </c>
      <c r="AJ8" s="18"/>
      <c r="AK8" s="18"/>
      <c r="AL8" s="19"/>
      <c r="AM8" s="18"/>
      <c r="AN8" s="18"/>
      <c r="AO8" s="20"/>
      <c r="AQ8">
        <v>6000</v>
      </c>
      <c r="AS8">
        <v>858</v>
      </c>
    </row>
    <row r="9" spans="1:45" ht="30" customHeight="1" x14ac:dyDescent="0.15">
      <c r="A9" s="115">
        <v>5</v>
      </c>
      <c r="B9" s="78" t="s">
        <v>33</v>
      </c>
      <c r="C9" s="26"/>
      <c r="D9" s="26"/>
      <c r="E9" s="26"/>
      <c r="F9" s="26"/>
      <c r="G9" s="130"/>
      <c r="H9" s="159" t="s">
        <v>152</v>
      </c>
      <c r="I9" s="155" t="s">
        <v>152</v>
      </c>
      <c r="J9" s="26"/>
      <c r="K9" s="48"/>
      <c r="L9" s="26"/>
      <c r="M9" s="26"/>
      <c r="N9" s="130"/>
      <c r="O9" s="159" t="s">
        <v>152</v>
      </c>
      <c r="P9" s="155" t="s">
        <v>152</v>
      </c>
      <c r="Q9" s="26"/>
      <c r="R9" s="26"/>
      <c r="S9" s="26"/>
      <c r="T9" s="26"/>
      <c r="U9" s="130"/>
      <c r="V9" s="159" t="s">
        <v>152</v>
      </c>
      <c r="W9" s="155" t="s">
        <v>152</v>
      </c>
      <c r="X9" s="128"/>
      <c r="Y9" s="48"/>
      <c r="Z9" s="26"/>
      <c r="AA9" s="26"/>
      <c r="AB9" s="130"/>
      <c r="AC9" s="159" t="s">
        <v>152</v>
      </c>
      <c r="AD9" s="155" t="s">
        <v>152</v>
      </c>
      <c r="AE9" s="130"/>
      <c r="AF9" s="26"/>
      <c r="AG9" s="26"/>
      <c r="AH9" s="21">
        <f>時給計算書!C71</f>
        <v>21</v>
      </c>
      <c r="AI9" s="27">
        <f>時給計算書!F71</f>
        <v>4.9312500000000012</v>
      </c>
      <c r="AJ9" s="18"/>
      <c r="AK9" s="18"/>
      <c r="AL9" s="19"/>
      <c r="AM9" s="18"/>
      <c r="AN9" s="18"/>
      <c r="AO9" s="20"/>
      <c r="AQ9">
        <v>800</v>
      </c>
    </row>
    <row r="10" spans="1:45" ht="30" customHeight="1" x14ac:dyDescent="0.15">
      <c r="A10" s="115">
        <v>6</v>
      </c>
      <c r="B10" s="78"/>
      <c r="C10" s="26"/>
      <c r="D10" s="26"/>
      <c r="E10" s="26"/>
      <c r="F10" s="23"/>
      <c r="G10" s="121"/>
      <c r="H10" s="144"/>
      <c r="I10" s="188"/>
      <c r="J10" s="26"/>
      <c r="K10" s="48"/>
      <c r="L10" s="26"/>
      <c r="M10" s="23"/>
      <c r="N10" s="121"/>
      <c r="O10" s="144"/>
      <c r="P10" s="153"/>
      <c r="Q10" s="26"/>
      <c r="R10" s="26"/>
      <c r="S10" s="26"/>
      <c r="T10" s="23"/>
      <c r="U10" s="121"/>
      <c r="V10" s="154"/>
      <c r="W10" s="153"/>
      <c r="X10" s="128"/>
      <c r="Y10" s="48"/>
      <c r="Z10" s="26"/>
      <c r="AA10" s="23"/>
      <c r="AB10" s="121"/>
      <c r="AC10" s="144"/>
      <c r="AD10" s="153"/>
      <c r="AE10" s="121"/>
      <c r="AF10" s="26"/>
      <c r="AG10" s="26"/>
      <c r="AH10" s="21"/>
      <c r="AI10" s="27"/>
      <c r="AJ10" s="18"/>
      <c r="AK10" s="18"/>
      <c r="AL10" s="19"/>
      <c r="AM10" s="18"/>
      <c r="AN10" s="18"/>
      <c r="AO10" s="20"/>
      <c r="AQ10">
        <v>800</v>
      </c>
    </row>
    <row r="11" spans="1:45" ht="30" customHeight="1" x14ac:dyDescent="0.15">
      <c r="A11" s="17">
        <v>7</v>
      </c>
      <c r="B11" s="11"/>
      <c r="C11" s="121"/>
      <c r="D11" s="26"/>
      <c r="E11" s="26"/>
      <c r="F11" s="23"/>
      <c r="G11" s="121"/>
      <c r="H11" s="144"/>
      <c r="I11" s="152"/>
      <c r="J11" s="121"/>
      <c r="K11" s="26"/>
      <c r="L11" s="26"/>
      <c r="M11" s="23"/>
      <c r="N11" s="121"/>
      <c r="O11" s="144"/>
      <c r="P11" s="153"/>
      <c r="Q11" s="121"/>
      <c r="R11" s="26"/>
      <c r="S11" s="26"/>
      <c r="T11" s="23"/>
      <c r="U11" s="121"/>
      <c r="V11" s="154"/>
      <c r="W11" s="152"/>
      <c r="X11" s="121"/>
      <c r="Y11" s="26"/>
      <c r="Z11" s="26"/>
      <c r="AA11" s="23"/>
      <c r="AB11" s="121"/>
      <c r="AC11" s="144"/>
      <c r="AD11" s="152"/>
      <c r="AE11" s="121"/>
      <c r="AF11" s="48"/>
      <c r="AG11" s="26"/>
      <c r="AH11" s="21"/>
      <c r="AI11" s="27"/>
      <c r="AJ11" s="18"/>
      <c r="AK11" s="18"/>
      <c r="AL11" s="19"/>
      <c r="AM11" s="18"/>
      <c r="AN11" s="18"/>
      <c r="AO11" s="20"/>
    </row>
    <row r="12" spans="1:45" ht="30" customHeight="1" x14ac:dyDescent="0.15">
      <c r="A12" s="115">
        <v>8</v>
      </c>
      <c r="B12" s="78" t="s">
        <v>67</v>
      </c>
      <c r="C12" s="146"/>
      <c r="D12" s="12"/>
      <c r="E12" s="158"/>
      <c r="F12" s="158"/>
      <c r="G12" s="158"/>
      <c r="H12" s="159" t="s">
        <v>152</v>
      </c>
      <c r="I12" s="155" t="s">
        <v>152</v>
      </c>
      <c r="J12" s="146"/>
      <c r="K12" s="158"/>
      <c r="L12" s="158"/>
      <c r="M12" s="12"/>
      <c r="N12" s="190" t="s">
        <v>152</v>
      </c>
      <c r="O12" s="159" t="s">
        <v>152</v>
      </c>
      <c r="P12" s="155" t="s">
        <v>152</v>
      </c>
      <c r="Q12" s="190" t="s">
        <v>152</v>
      </c>
      <c r="R12" s="190" t="s">
        <v>152</v>
      </c>
      <c r="S12" s="190" t="s">
        <v>152</v>
      </c>
      <c r="T12" s="190" t="s">
        <v>152</v>
      </c>
      <c r="U12" s="190" t="s">
        <v>152</v>
      </c>
      <c r="V12" s="159" t="s">
        <v>152</v>
      </c>
      <c r="W12" s="155" t="s">
        <v>152</v>
      </c>
      <c r="X12" s="190" t="s">
        <v>152</v>
      </c>
      <c r="Y12" s="190" t="s">
        <v>152</v>
      </c>
      <c r="Z12" s="190" t="s">
        <v>152</v>
      </c>
      <c r="AA12" s="190" t="s">
        <v>152</v>
      </c>
      <c r="AB12" s="190" t="s">
        <v>152</v>
      </c>
      <c r="AC12" s="159" t="s">
        <v>152</v>
      </c>
      <c r="AD12" s="155" t="s">
        <v>152</v>
      </c>
      <c r="AE12" s="158"/>
      <c r="AF12" s="158"/>
      <c r="AG12" s="158"/>
      <c r="AH12" s="21">
        <v>11</v>
      </c>
      <c r="AI12" s="18"/>
      <c r="AJ12" s="18"/>
      <c r="AK12" s="18"/>
      <c r="AL12" s="19"/>
      <c r="AM12" s="18"/>
      <c r="AN12" s="18"/>
      <c r="AO12" s="20"/>
      <c r="AQ12">
        <v>1000</v>
      </c>
    </row>
    <row r="13" spans="1:45" ht="30" customHeight="1" x14ac:dyDescent="0.15">
      <c r="A13" s="115">
        <v>9</v>
      </c>
      <c r="B13" s="78" t="s">
        <v>68</v>
      </c>
      <c r="C13" s="146"/>
      <c r="D13" s="158"/>
      <c r="E13" s="158"/>
      <c r="F13" s="158"/>
      <c r="G13" s="158"/>
      <c r="H13" s="159" t="s">
        <v>152</v>
      </c>
      <c r="I13" s="155" t="s">
        <v>152</v>
      </c>
      <c r="J13" s="146"/>
      <c r="K13" s="158"/>
      <c r="L13" s="158"/>
      <c r="M13" s="12"/>
      <c r="N13" s="190" t="s">
        <v>152</v>
      </c>
      <c r="O13" s="159" t="s">
        <v>152</v>
      </c>
      <c r="P13" s="155" t="s">
        <v>152</v>
      </c>
      <c r="Q13" s="146"/>
      <c r="R13" s="158"/>
      <c r="S13" s="158"/>
      <c r="T13" s="190" t="s">
        <v>152</v>
      </c>
      <c r="U13" s="146"/>
      <c r="V13" s="159" t="s">
        <v>152</v>
      </c>
      <c r="W13" s="155" t="s">
        <v>152</v>
      </c>
      <c r="X13" s="146"/>
      <c r="Y13" s="158"/>
      <c r="Z13" s="158"/>
      <c r="AA13" s="190" t="s">
        <v>152</v>
      </c>
      <c r="AB13" s="158"/>
      <c r="AC13" s="159" t="s">
        <v>152</v>
      </c>
      <c r="AD13" s="155" t="s">
        <v>152</v>
      </c>
      <c r="AE13" s="146"/>
      <c r="AF13" s="158"/>
      <c r="AG13" s="158"/>
      <c r="AH13" s="21">
        <v>19</v>
      </c>
      <c r="AI13" s="18"/>
      <c r="AJ13" s="18"/>
      <c r="AK13" s="18"/>
      <c r="AL13" s="19"/>
      <c r="AM13" s="18"/>
      <c r="AN13" s="18"/>
      <c r="AO13" s="20"/>
      <c r="AQ13">
        <v>1000</v>
      </c>
    </row>
    <row r="14" spans="1:45" ht="30" customHeight="1" x14ac:dyDescent="0.15">
      <c r="A14" s="115">
        <v>10</v>
      </c>
      <c r="B14" s="78" t="s">
        <v>69</v>
      </c>
      <c r="C14" s="158"/>
      <c r="D14" s="158"/>
      <c r="E14" s="158"/>
      <c r="F14" s="158"/>
      <c r="G14" s="158"/>
      <c r="H14" s="159"/>
      <c r="I14" s="155"/>
      <c r="J14" s="158"/>
      <c r="K14" s="158"/>
      <c r="L14" s="158"/>
      <c r="M14" s="158"/>
      <c r="N14" s="158"/>
      <c r="O14" s="159"/>
      <c r="P14" s="155"/>
      <c r="Q14" s="158"/>
      <c r="R14" s="158"/>
      <c r="S14" s="158"/>
      <c r="T14" s="158"/>
      <c r="U14" s="158"/>
      <c r="V14" s="159"/>
      <c r="W14" s="155"/>
      <c r="X14" s="158"/>
      <c r="Y14" s="158"/>
      <c r="Z14" s="158"/>
      <c r="AA14" s="158"/>
      <c r="AB14" s="158"/>
      <c r="AC14" s="159" t="s">
        <v>152</v>
      </c>
      <c r="AD14" s="155" t="s">
        <v>152</v>
      </c>
      <c r="AE14" s="158"/>
      <c r="AF14" s="158"/>
      <c r="AG14" s="158"/>
      <c r="AH14" s="21">
        <v>6</v>
      </c>
      <c r="AI14" s="18"/>
      <c r="AJ14" s="18"/>
      <c r="AK14" s="18"/>
      <c r="AL14" s="19"/>
      <c r="AM14" s="18"/>
      <c r="AN14" s="18"/>
      <c r="AO14" s="20"/>
      <c r="AQ14">
        <v>1500</v>
      </c>
    </row>
    <row r="15" spans="1:45" ht="30" customHeight="1" x14ac:dyDescent="0.15">
      <c r="A15" s="115">
        <v>11</v>
      </c>
      <c r="B15" s="78" t="s">
        <v>70</v>
      </c>
      <c r="C15" s="146"/>
      <c r="D15" s="12"/>
      <c r="E15" s="158"/>
      <c r="F15" s="158"/>
      <c r="G15" s="158"/>
      <c r="H15" s="159" t="s">
        <v>152</v>
      </c>
      <c r="I15" s="155" t="s">
        <v>152</v>
      </c>
      <c r="J15" s="146"/>
      <c r="K15" s="12"/>
      <c r="L15" s="158"/>
      <c r="M15" s="12"/>
      <c r="N15" s="146"/>
      <c r="O15" s="159" t="s">
        <v>152</v>
      </c>
      <c r="P15" s="155" t="s">
        <v>152</v>
      </c>
      <c r="Q15" s="146"/>
      <c r="R15" s="12"/>
      <c r="S15" s="158"/>
      <c r="T15" s="12"/>
      <c r="U15" s="190"/>
      <c r="V15" s="159" t="s">
        <v>152</v>
      </c>
      <c r="W15" s="155" t="s">
        <v>152</v>
      </c>
      <c r="X15" s="146"/>
      <c r="Y15" s="12"/>
      <c r="Z15" s="158"/>
      <c r="AA15" s="12"/>
      <c r="AB15" s="146"/>
      <c r="AC15" s="159" t="s">
        <v>152</v>
      </c>
      <c r="AD15" s="155" t="s">
        <v>152</v>
      </c>
      <c r="AE15" s="146"/>
      <c r="AF15" s="158"/>
      <c r="AG15" s="158"/>
      <c r="AH15" s="21">
        <v>22</v>
      </c>
      <c r="AI15" s="18"/>
      <c r="AJ15" s="18"/>
      <c r="AK15" s="18"/>
      <c r="AL15" s="19"/>
      <c r="AM15" s="18"/>
      <c r="AN15" s="18"/>
      <c r="AO15" s="20"/>
      <c r="AQ15">
        <v>1500</v>
      </c>
    </row>
    <row r="16" spans="1:45" ht="30" customHeight="1" x14ac:dyDescent="0.15">
      <c r="A16" s="115">
        <v>12</v>
      </c>
      <c r="B16" s="78" t="s">
        <v>71</v>
      </c>
      <c r="C16" s="146"/>
      <c r="D16" s="12"/>
      <c r="E16" s="158"/>
      <c r="F16" s="158"/>
      <c r="G16" s="158"/>
      <c r="H16" s="159" t="s">
        <v>152</v>
      </c>
      <c r="I16" s="155" t="s">
        <v>152</v>
      </c>
      <c r="J16" s="146"/>
      <c r="K16" s="12"/>
      <c r="L16" s="158"/>
      <c r="M16" s="12"/>
      <c r="N16" s="146"/>
      <c r="O16" s="159" t="s">
        <v>152</v>
      </c>
      <c r="P16" s="155" t="s">
        <v>152</v>
      </c>
      <c r="Q16" s="146"/>
      <c r="R16" s="12"/>
      <c r="S16" s="158"/>
      <c r="T16" s="12"/>
      <c r="U16" s="190"/>
      <c r="V16" s="159" t="s">
        <v>152</v>
      </c>
      <c r="W16" s="155" t="s">
        <v>152</v>
      </c>
      <c r="X16" s="146"/>
      <c r="Y16" s="12"/>
      <c r="Z16" s="158"/>
      <c r="AA16" s="12"/>
      <c r="AB16" s="146"/>
      <c r="AC16" s="159" t="s">
        <v>152</v>
      </c>
      <c r="AD16" s="155" t="s">
        <v>152</v>
      </c>
      <c r="AE16" s="146"/>
      <c r="AF16" s="158"/>
      <c r="AG16" s="158"/>
      <c r="AH16" s="21">
        <v>22</v>
      </c>
      <c r="AI16" s="18"/>
      <c r="AJ16" s="18"/>
      <c r="AK16" s="18"/>
      <c r="AL16" s="19"/>
      <c r="AM16" s="18"/>
      <c r="AN16" s="18"/>
      <c r="AO16" s="20"/>
      <c r="AQ16">
        <v>1500</v>
      </c>
    </row>
    <row r="17" spans="1:43" ht="30" customHeight="1" x14ac:dyDescent="0.15">
      <c r="A17" s="115">
        <v>13</v>
      </c>
      <c r="B17" s="78" t="s">
        <v>72</v>
      </c>
      <c r="C17" s="190" t="s">
        <v>152</v>
      </c>
      <c r="D17" s="12"/>
      <c r="E17" s="158"/>
      <c r="F17" s="158"/>
      <c r="G17" s="190" t="s">
        <v>152</v>
      </c>
      <c r="H17" s="159" t="s">
        <v>152</v>
      </c>
      <c r="I17" s="155" t="s">
        <v>152</v>
      </c>
      <c r="J17" s="146"/>
      <c r="K17" s="190" t="s">
        <v>152</v>
      </c>
      <c r="L17" s="158"/>
      <c r="M17" s="12"/>
      <c r="N17" s="146"/>
      <c r="O17" s="159" t="s">
        <v>152</v>
      </c>
      <c r="P17" s="155" t="s">
        <v>152</v>
      </c>
      <c r="Q17" s="146"/>
      <c r="R17" s="190" t="s">
        <v>152</v>
      </c>
      <c r="S17" s="158"/>
      <c r="T17" s="12"/>
      <c r="U17" s="146"/>
      <c r="V17" s="159" t="s">
        <v>152</v>
      </c>
      <c r="W17" s="155" t="s">
        <v>152</v>
      </c>
      <c r="X17" s="158"/>
      <c r="Y17" s="190" t="s">
        <v>152</v>
      </c>
      <c r="Z17" s="190" t="s">
        <v>152</v>
      </c>
      <c r="AA17" s="190" t="s">
        <v>152</v>
      </c>
      <c r="AB17" s="190" t="s">
        <v>152</v>
      </c>
      <c r="AC17" s="159" t="s">
        <v>152</v>
      </c>
      <c r="AD17" s="155" t="s">
        <v>152</v>
      </c>
      <c r="AE17" s="190" t="s">
        <v>152</v>
      </c>
      <c r="AF17" s="190" t="s">
        <v>152</v>
      </c>
      <c r="AG17" s="158"/>
      <c r="AH17" s="21">
        <v>12</v>
      </c>
      <c r="AI17" s="18"/>
      <c r="AJ17" s="18"/>
      <c r="AK17" s="18"/>
      <c r="AL17" s="19"/>
      <c r="AM17" s="18"/>
      <c r="AN17" s="18"/>
      <c r="AO17" s="20"/>
      <c r="AQ17">
        <v>1000</v>
      </c>
    </row>
    <row r="18" spans="1:43" ht="30" customHeight="1" x14ac:dyDescent="0.15">
      <c r="A18" s="115">
        <v>14</v>
      </c>
      <c r="B18" s="78" t="s">
        <v>73</v>
      </c>
      <c r="C18" s="146"/>
      <c r="D18" s="12"/>
      <c r="E18" s="158"/>
      <c r="F18" s="158"/>
      <c r="G18" s="158"/>
      <c r="H18" s="159" t="s">
        <v>152</v>
      </c>
      <c r="I18" s="155" t="s">
        <v>152</v>
      </c>
      <c r="J18" s="146"/>
      <c r="K18" s="12"/>
      <c r="L18" s="158"/>
      <c r="M18" s="12"/>
      <c r="N18" s="146"/>
      <c r="O18" s="159" t="s">
        <v>152</v>
      </c>
      <c r="P18" s="155" t="s">
        <v>152</v>
      </c>
      <c r="Q18" s="146"/>
      <c r="R18" s="12"/>
      <c r="S18" s="158"/>
      <c r="T18" s="12"/>
      <c r="U18" s="190"/>
      <c r="V18" s="159" t="s">
        <v>152</v>
      </c>
      <c r="W18" s="155" t="s">
        <v>152</v>
      </c>
      <c r="X18" s="146"/>
      <c r="Y18" s="12"/>
      <c r="Z18" s="158"/>
      <c r="AA18" s="12"/>
      <c r="AB18" s="146"/>
      <c r="AC18" s="159" t="s">
        <v>152</v>
      </c>
      <c r="AD18" s="155" t="s">
        <v>152</v>
      </c>
      <c r="AE18" s="146"/>
      <c r="AF18" s="158"/>
      <c r="AG18" s="158"/>
      <c r="AH18" s="21">
        <v>22</v>
      </c>
      <c r="AI18" s="18"/>
      <c r="AJ18" s="18"/>
      <c r="AK18" s="18"/>
      <c r="AL18" s="19"/>
      <c r="AM18" s="18"/>
      <c r="AN18" s="18"/>
      <c r="AO18" s="20"/>
      <c r="AQ18">
        <v>1500</v>
      </c>
    </row>
    <row r="19" spans="1:43" ht="30" customHeight="1" x14ac:dyDescent="0.15">
      <c r="A19" s="115">
        <v>15</v>
      </c>
      <c r="B19" s="78" t="s">
        <v>74</v>
      </c>
      <c r="C19" s="146"/>
      <c r="D19" s="12"/>
      <c r="E19" s="158"/>
      <c r="F19" s="158"/>
      <c r="G19" s="158"/>
      <c r="H19" s="159" t="s">
        <v>152</v>
      </c>
      <c r="I19" s="155" t="s">
        <v>152</v>
      </c>
      <c r="J19" s="146"/>
      <c r="K19" s="12"/>
      <c r="L19" s="158"/>
      <c r="M19" s="12"/>
      <c r="N19" s="146"/>
      <c r="O19" s="159" t="s">
        <v>152</v>
      </c>
      <c r="P19" s="155" t="s">
        <v>152</v>
      </c>
      <c r="Q19" s="146"/>
      <c r="R19" s="12"/>
      <c r="S19" s="158"/>
      <c r="T19" s="12"/>
      <c r="U19" s="190" t="s">
        <v>152</v>
      </c>
      <c r="V19" s="159" t="s">
        <v>152</v>
      </c>
      <c r="W19" s="155" t="s">
        <v>152</v>
      </c>
      <c r="X19" s="146"/>
      <c r="Y19" s="12"/>
      <c r="Z19" s="158"/>
      <c r="AA19" s="12"/>
      <c r="AB19" s="146"/>
      <c r="AC19" s="159" t="s">
        <v>152</v>
      </c>
      <c r="AD19" s="155" t="s">
        <v>152</v>
      </c>
      <c r="AE19" s="146"/>
      <c r="AF19" s="158"/>
      <c r="AG19" s="158"/>
      <c r="AH19" s="21">
        <v>20</v>
      </c>
      <c r="AI19" s="18"/>
      <c r="AJ19" s="18"/>
      <c r="AK19" s="18"/>
      <c r="AL19" s="19"/>
      <c r="AM19" s="18"/>
      <c r="AN19" s="18"/>
      <c r="AO19" s="20"/>
      <c r="AQ19">
        <v>1000</v>
      </c>
    </row>
    <row r="20" spans="1:43" ht="30" customHeight="1" x14ac:dyDescent="0.15">
      <c r="A20" s="115">
        <v>16</v>
      </c>
      <c r="B20" s="78" t="s">
        <v>75</v>
      </c>
      <c r="C20" s="146"/>
      <c r="D20" s="158"/>
      <c r="E20" s="158"/>
      <c r="F20" s="158"/>
      <c r="G20" s="158"/>
      <c r="H20" s="159"/>
      <c r="I20" s="155"/>
      <c r="J20" s="158"/>
      <c r="K20" s="12"/>
      <c r="L20" s="158"/>
      <c r="M20" s="12"/>
      <c r="N20" s="146"/>
      <c r="O20" s="159"/>
      <c r="P20" s="150"/>
      <c r="Q20" s="158"/>
      <c r="R20" s="158"/>
      <c r="S20" s="158"/>
      <c r="T20" s="12"/>
      <c r="U20" s="158"/>
      <c r="V20" s="159"/>
      <c r="W20" s="155"/>
      <c r="X20" s="158"/>
      <c r="Y20" s="158"/>
      <c r="Z20" s="158"/>
      <c r="AA20" s="158"/>
      <c r="AB20" s="158"/>
      <c r="AC20" s="159"/>
      <c r="AD20" s="155"/>
      <c r="AE20" s="158"/>
      <c r="AF20" s="158"/>
      <c r="AG20" s="158"/>
      <c r="AH20" s="21"/>
      <c r="AI20" s="18"/>
      <c r="AJ20" s="18"/>
      <c r="AK20" s="18"/>
      <c r="AL20" s="19"/>
      <c r="AM20" s="18"/>
      <c r="AN20" s="18"/>
      <c r="AO20" s="20"/>
      <c r="AQ20">
        <v>1000</v>
      </c>
    </row>
    <row r="21" spans="1:43" ht="30" customHeight="1" x14ac:dyDescent="0.15">
      <c r="A21" s="115">
        <v>17</v>
      </c>
      <c r="B21" s="78" t="s">
        <v>76</v>
      </c>
      <c r="C21" s="190" t="s">
        <v>152</v>
      </c>
      <c r="D21" s="12"/>
      <c r="E21" s="158"/>
      <c r="F21" s="158"/>
      <c r="G21" s="158"/>
      <c r="H21" s="159" t="s">
        <v>152</v>
      </c>
      <c r="I21" s="155" t="s">
        <v>152</v>
      </c>
      <c r="J21" s="146"/>
      <c r="K21" s="12"/>
      <c r="L21" s="158"/>
      <c r="M21" s="12"/>
      <c r="N21" s="190" t="s">
        <v>152</v>
      </c>
      <c r="O21" s="159" t="s">
        <v>152</v>
      </c>
      <c r="P21" s="155" t="s">
        <v>152</v>
      </c>
      <c r="Q21" s="146"/>
      <c r="R21" s="12"/>
      <c r="S21" s="158"/>
      <c r="T21" s="12"/>
      <c r="U21" s="146"/>
      <c r="V21" s="159" t="s">
        <v>152</v>
      </c>
      <c r="W21" s="155" t="s">
        <v>152</v>
      </c>
      <c r="X21" s="146"/>
      <c r="Y21" s="190" t="s">
        <v>152</v>
      </c>
      <c r="Z21" s="158"/>
      <c r="AA21" s="190" t="s">
        <v>152</v>
      </c>
      <c r="AB21" s="146"/>
      <c r="AC21" s="159" t="s">
        <v>152</v>
      </c>
      <c r="AD21" s="155" t="s">
        <v>152</v>
      </c>
      <c r="AE21" s="146"/>
      <c r="AF21" s="158"/>
      <c r="AG21" s="158"/>
      <c r="AH21" s="21">
        <v>18</v>
      </c>
      <c r="AI21" s="18"/>
      <c r="AJ21" s="18"/>
      <c r="AK21" s="18"/>
      <c r="AL21" s="19"/>
      <c r="AM21" s="18"/>
      <c r="AN21" s="18"/>
      <c r="AO21" s="20"/>
      <c r="AQ21">
        <v>1000</v>
      </c>
    </row>
    <row r="22" spans="1:43" ht="30" customHeight="1" x14ac:dyDescent="0.15">
      <c r="A22" s="17">
        <v>18</v>
      </c>
      <c r="B22" s="11" t="s">
        <v>106</v>
      </c>
      <c r="C22" s="12"/>
      <c r="D22" s="190" t="s">
        <v>152</v>
      </c>
      <c r="E22" s="190" t="s">
        <v>152</v>
      </c>
      <c r="F22" s="190" t="s">
        <v>152</v>
      </c>
      <c r="G22" s="158"/>
      <c r="H22" s="159" t="s">
        <v>152</v>
      </c>
      <c r="I22" s="155" t="s">
        <v>152</v>
      </c>
      <c r="J22" s="12"/>
      <c r="K22" s="190" t="s">
        <v>152</v>
      </c>
      <c r="L22" s="158"/>
      <c r="M22" s="190" t="s">
        <v>152</v>
      </c>
      <c r="N22" s="158"/>
      <c r="O22" s="159" t="s">
        <v>152</v>
      </c>
      <c r="P22" s="155" t="s">
        <v>152</v>
      </c>
      <c r="Q22" s="12"/>
      <c r="R22" s="190" t="s">
        <v>152</v>
      </c>
      <c r="S22" s="158"/>
      <c r="T22" s="190" t="s">
        <v>152</v>
      </c>
      <c r="U22" s="190" t="s">
        <v>152</v>
      </c>
      <c r="V22" s="159" t="s">
        <v>152</v>
      </c>
      <c r="W22" s="155" t="s">
        <v>152</v>
      </c>
      <c r="X22" s="12"/>
      <c r="Y22" s="190" t="s">
        <v>152</v>
      </c>
      <c r="Z22" s="158"/>
      <c r="AA22" s="190" t="s">
        <v>152</v>
      </c>
      <c r="AB22" s="158"/>
      <c r="AC22" s="159" t="s">
        <v>152</v>
      </c>
      <c r="AD22" s="155" t="s">
        <v>152</v>
      </c>
      <c r="AE22" s="158"/>
      <c r="AF22" s="190" t="s">
        <v>152</v>
      </c>
      <c r="AG22" s="158"/>
      <c r="AH22" s="21">
        <v>11</v>
      </c>
      <c r="AI22" s="18"/>
      <c r="AJ22" s="18"/>
      <c r="AK22" s="18"/>
      <c r="AL22" s="19"/>
      <c r="AM22" s="18"/>
      <c r="AN22" s="18"/>
      <c r="AO22" s="20"/>
      <c r="AQ22">
        <v>1000</v>
      </c>
    </row>
    <row r="23" spans="1:43" ht="30" customHeight="1" x14ac:dyDescent="0.15">
      <c r="A23" s="115">
        <v>19</v>
      </c>
      <c r="B23" s="11" t="s">
        <v>107</v>
      </c>
      <c r="C23" s="12"/>
      <c r="D23" s="26"/>
      <c r="E23" s="158"/>
      <c r="F23" s="158"/>
      <c r="G23" s="158"/>
      <c r="H23" s="159" t="s">
        <v>152</v>
      </c>
      <c r="I23" s="155" t="s">
        <v>152</v>
      </c>
      <c r="J23" s="12"/>
      <c r="K23" s="26"/>
      <c r="L23" s="158"/>
      <c r="M23" s="12"/>
      <c r="N23" s="190" t="s">
        <v>152</v>
      </c>
      <c r="O23" s="159" t="s">
        <v>152</v>
      </c>
      <c r="P23" s="155" t="s">
        <v>152</v>
      </c>
      <c r="Q23" s="12"/>
      <c r="R23" s="190" t="s">
        <v>152</v>
      </c>
      <c r="S23" s="158"/>
      <c r="T23" s="12"/>
      <c r="U23" s="146"/>
      <c r="V23" s="159" t="s">
        <v>152</v>
      </c>
      <c r="W23" s="155" t="s">
        <v>152</v>
      </c>
      <c r="X23" s="12"/>
      <c r="Y23" s="158"/>
      <c r="Z23" s="158"/>
      <c r="AA23" s="12"/>
      <c r="AB23" s="146"/>
      <c r="AC23" s="159" t="s">
        <v>152</v>
      </c>
      <c r="AD23" s="155" t="s">
        <v>152</v>
      </c>
      <c r="AE23" s="146"/>
      <c r="AF23" s="158"/>
      <c r="AG23" s="158"/>
      <c r="AH23" s="24">
        <v>20</v>
      </c>
      <c r="AI23" s="18"/>
      <c r="AJ23" s="18"/>
      <c r="AK23" s="18"/>
      <c r="AL23" s="22"/>
      <c r="AM23" s="18"/>
      <c r="AN23" s="18"/>
      <c r="AO23" s="20"/>
      <c r="AQ23">
        <v>1000</v>
      </c>
    </row>
    <row r="24" spans="1:43" ht="30" customHeight="1" x14ac:dyDescent="0.15">
      <c r="A24" s="116">
        <v>20</v>
      </c>
      <c r="B24" s="78" t="s">
        <v>110</v>
      </c>
      <c r="C24" s="158"/>
      <c r="D24" s="190" t="s">
        <v>152</v>
      </c>
      <c r="E24" s="190" t="s">
        <v>152</v>
      </c>
      <c r="F24" s="190" t="s">
        <v>152</v>
      </c>
      <c r="G24" s="158"/>
      <c r="H24" s="159" t="s">
        <v>152</v>
      </c>
      <c r="I24" s="155" t="s">
        <v>152</v>
      </c>
      <c r="J24" s="158"/>
      <c r="K24" s="190" t="s">
        <v>152</v>
      </c>
      <c r="L24" s="190" t="s">
        <v>152</v>
      </c>
      <c r="M24" s="190" t="s">
        <v>152</v>
      </c>
      <c r="N24" s="146"/>
      <c r="O24" s="159" t="s">
        <v>152</v>
      </c>
      <c r="P24" s="155" t="s">
        <v>152</v>
      </c>
      <c r="Q24" s="190" t="s">
        <v>152</v>
      </c>
      <c r="R24" s="190" t="s">
        <v>152</v>
      </c>
      <c r="S24" s="190" t="s">
        <v>152</v>
      </c>
      <c r="T24" s="190" t="s">
        <v>152</v>
      </c>
      <c r="U24" s="190" t="s">
        <v>152</v>
      </c>
      <c r="V24" s="159" t="s">
        <v>152</v>
      </c>
      <c r="W24" s="155" t="s">
        <v>152</v>
      </c>
      <c r="X24" s="190" t="s">
        <v>152</v>
      </c>
      <c r="Y24" s="190" t="s">
        <v>152</v>
      </c>
      <c r="Z24" s="158"/>
      <c r="AA24" s="190" t="s">
        <v>152</v>
      </c>
      <c r="AB24" s="158"/>
      <c r="AC24" s="159" t="s">
        <v>152</v>
      </c>
      <c r="AD24" s="155" t="s">
        <v>152</v>
      </c>
      <c r="AE24" s="190" t="s">
        <v>152</v>
      </c>
      <c r="AF24" s="190" t="s">
        <v>152</v>
      </c>
      <c r="AG24" s="158"/>
      <c r="AH24" s="21">
        <v>6</v>
      </c>
      <c r="AI24" s="18"/>
      <c r="AJ24" s="18"/>
      <c r="AK24" s="18"/>
      <c r="AL24" s="19"/>
      <c r="AM24" s="18"/>
      <c r="AN24" s="18"/>
      <c r="AO24" s="20"/>
      <c r="AQ24">
        <v>1000</v>
      </c>
    </row>
    <row r="25" spans="1:43" ht="30" customHeight="1" x14ac:dyDescent="0.15">
      <c r="A25" s="115">
        <v>21</v>
      </c>
      <c r="B25" s="78" t="s">
        <v>111</v>
      </c>
      <c r="C25" s="158"/>
      <c r="D25" s="158"/>
      <c r="E25" s="158"/>
      <c r="F25" s="158"/>
      <c r="G25" s="190" t="s">
        <v>152</v>
      </c>
      <c r="H25" s="159" t="s">
        <v>152</v>
      </c>
      <c r="I25" s="155" t="s">
        <v>152</v>
      </c>
      <c r="J25" s="158"/>
      <c r="K25" s="158"/>
      <c r="L25" s="158"/>
      <c r="M25" s="158"/>
      <c r="N25" s="158"/>
      <c r="O25" s="159" t="s">
        <v>152</v>
      </c>
      <c r="P25" s="155" t="s">
        <v>152</v>
      </c>
      <c r="Q25" s="158"/>
      <c r="R25" s="158"/>
      <c r="S25" s="158"/>
      <c r="T25" s="158"/>
      <c r="U25" s="158"/>
      <c r="V25" s="159" t="s">
        <v>152</v>
      </c>
      <c r="W25" s="155" t="s">
        <v>152</v>
      </c>
      <c r="X25" s="158"/>
      <c r="Y25" s="158"/>
      <c r="Z25" s="158"/>
      <c r="AA25" s="158"/>
      <c r="AB25" s="158"/>
      <c r="AC25" s="159" t="s">
        <v>152</v>
      </c>
      <c r="AD25" s="155" t="s">
        <v>152</v>
      </c>
      <c r="AE25" s="146"/>
      <c r="AF25" s="158"/>
      <c r="AG25" s="158"/>
      <c r="AH25" s="21">
        <v>21</v>
      </c>
      <c r="AI25" s="18"/>
      <c r="AJ25" s="18"/>
      <c r="AK25" s="18"/>
      <c r="AL25" s="25"/>
      <c r="AM25" s="18"/>
      <c r="AN25" s="18"/>
      <c r="AO25" s="20"/>
      <c r="AQ25">
        <v>1000</v>
      </c>
    </row>
    <row r="26" spans="1:43" ht="30" customHeight="1" x14ac:dyDescent="0.15">
      <c r="A26" s="17">
        <v>22</v>
      </c>
      <c r="B26" s="11" t="s">
        <v>112</v>
      </c>
      <c r="C26" s="190" t="s">
        <v>152</v>
      </c>
      <c r="D26" s="12"/>
      <c r="E26" s="12"/>
      <c r="F26" s="12"/>
      <c r="G26" s="146"/>
      <c r="H26" s="159" t="s">
        <v>152</v>
      </c>
      <c r="I26" s="155" t="s">
        <v>152</v>
      </c>
      <c r="J26" s="12"/>
      <c r="K26" s="158"/>
      <c r="L26" s="158"/>
      <c r="M26" s="190" t="s">
        <v>152</v>
      </c>
      <c r="N26" s="146"/>
      <c r="O26" s="159" t="s">
        <v>152</v>
      </c>
      <c r="P26" s="155" t="s">
        <v>152</v>
      </c>
      <c r="Q26" s="12"/>
      <c r="R26" s="158"/>
      <c r="S26" s="158"/>
      <c r="T26" s="12"/>
      <c r="U26" s="190" t="s">
        <v>152</v>
      </c>
      <c r="V26" s="159" t="s">
        <v>152</v>
      </c>
      <c r="W26" s="155" t="s">
        <v>152</v>
      </c>
      <c r="X26" s="12"/>
      <c r="Y26" s="158"/>
      <c r="Z26" s="158"/>
      <c r="AA26" s="12"/>
      <c r="AB26" s="146"/>
      <c r="AC26" s="159" t="s">
        <v>152</v>
      </c>
      <c r="AD26" s="155" t="s">
        <v>152</v>
      </c>
      <c r="AE26" s="190" t="s">
        <v>152</v>
      </c>
      <c r="AF26" s="190" t="s">
        <v>152</v>
      </c>
      <c r="AG26" s="158"/>
      <c r="AH26" s="21">
        <v>17</v>
      </c>
      <c r="AI26" s="18"/>
      <c r="AJ26" s="18"/>
      <c r="AK26" s="18"/>
      <c r="AL26" s="19"/>
      <c r="AM26" s="18"/>
      <c r="AN26" s="18"/>
      <c r="AO26" s="20"/>
      <c r="AQ26">
        <v>1000</v>
      </c>
    </row>
    <row r="27" spans="1:43" ht="30" customHeight="1" x14ac:dyDescent="0.15">
      <c r="A27" s="17">
        <v>23</v>
      </c>
      <c r="B27" s="78" t="s">
        <v>78</v>
      </c>
      <c r="C27" s="12"/>
      <c r="D27" s="26"/>
      <c r="E27" s="26"/>
      <c r="F27" s="12"/>
      <c r="G27" s="146"/>
      <c r="H27" s="159" t="s">
        <v>152</v>
      </c>
      <c r="I27" s="155" t="s">
        <v>152</v>
      </c>
      <c r="J27" s="12"/>
      <c r="K27" s="26"/>
      <c r="L27" s="26"/>
      <c r="M27" s="190" t="s">
        <v>152</v>
      </c>
      <c r="N27" s="146"/>
      <c r="O27" s="159" t="s">
        <v>152</v>
      </c>
      <c r="P27" s="155" t="s">
        <v>152</v>
      </c>
      <c r="Q27" s="12"/>
      <c r="R27" s="26"/>
      <c r="S27" s="26"/>
      <c r="T27" s="12"/>
      <c r="U27" s="146"/>
      <c r="V27" s="159" t="s">
        <v>152</v>
      </c>
      <c r="W27" s="155" t="s">
        <v>152</v>
      </c>
      <c r="X27" s="12"/>
      <c r="Y27" s="26"/>
      <c r="Z27" s="26"/>
      <c r="AA27" s="12"/>
      <c r="AB27" s="146"/>
      <c r="AC27" s="159" t="s">
        <v>152</v>
      </c>
      <c r="AD27" s="155" t="s">
        <v>152</v>
      </c>
      <c r="AE27" s="146"/>
      <c r="AF27" s="26"/>
      <c r="AG27" s="26"/>
      <c r="AH27" s="24">
        <v>21</v>
      </c>
      <c r="AI27" s="27"/>
      <c r="AJ27" s="28"/>
      <c r="AK27" s="18"/>
      <c r="AL27" s="19"/>
      <c r="AM27" s="18"/>
      <c r="AN27" s="18"/>
      <c r="AO27" s="20"/>
      <c r="AQ27">
        <v>1000</v>
      </c>
    </row>
    <row r="28" spans="1:43" ht="30" customHeight="1" x14ac:dyDescent="0.15">
      <c r="A28" s="17">
        <v>24</v>
      </c>
      <c r="B28" s="78" t="s">
        <v>77</v>
      </c>
      <c r="C28" s="146"/>
      <c r="D28" s="12"/>
      <c r="E28" s="158"/>
      <c r="F28" s="158"/>
      <c r="G28" s="158"/>
      <c r="H28" s="159" t="s">
        <v>152</v>
      </c>
      <c r="I28" s="155" t="s">
        <v>152</v>
      </c>
      <c r="J28" s="146"/>
      <c r="K28" s="12"/>
      <c r="L28" s="158"/>
      <c r="M28" s="12"/>
      <c r="N28" s="146"/>
      <c r="O28" s="159" t="s">
        <v>152</v>
      </c>
      <c r="P28" s="155" t="s">
        <v>152</v>
      </c>
      <c r="Q28" s="146"/>
      <c r="R28" s="12"/>
      <c r="S28" s="158"/>
      <c r="T28" s="12"/>
      <c r="U28" s="146"/>
      <c r="V28" s="159" t="s">
        <v>152</v>
      </c>
      <c r="W28" s="155" t="s">
        <v>152</v>
      </c>
      <c r="X28" s="158"/>
      <c r="Y28" s="158"/>
      <c r="Z28" s="158"/>
      <c r="AA28" s="12"/>
      <c r="AB28" s="146"/>
      <c r="AC28" s="159" t="s">
        <v>152</v>
      </c>
      <c r="AD28" s="155" t="s">
        <v>152</v>
      </c>
      <c r="AE28" s="146"/>
      <c r="AF28" s="158"/>
      <c r="AG28" s="158"/>
      <c r="AH28" s="24">
        <v>22</v>
      </c>
      <c r="AI28" s="29"/>
      <c r="AJ28" s="18"/>
      <c r="AK28" s="18"/>
      <c r="AL28" s="19"/>
      <c r="AM28" s="18"/>
      <c r="AN28" s="18"/>
      <c r="AO28" s="20"/>
      <c r="AQ28">
        <v>1000</v>
      </c>
    </row>
    <row r="29" spans="1:43" ht="30" customHeight="1" x14ac:dyDescent="0.15">
      <c r="A29" s="17">
        <v>25</v>
      </c>
      <c r="B29" s="78" t="s">
        <v>153</v>
      </c>
      <c r="C29" s="146"/>
      <c r="D29" s="12"/>
      <c r="E29" s="158"/>
      <c r="F29" s="158"/>
      <c r="G29" s="158"/>
      <c r="H29" s="159"/>
      <c r="I29" s="150"/>
      <c r="J29" s="146"/>
      <c r="K29" s="182"/>
      <c r="L29" s="158"/>
      <c r="M29" s="12"/>
      <c r="N29" s="146"/>
      <c r="O29" s="143"/>
      <c r="P29" s="150"/>
      <c r="Q29" s="158"/>
      <c r="R29" s="12"/>
      <c r="S29" s="158"/>
      <c r="T29" s="12"/>
      <c r="U29" s="146"/>
      <c r="V29" s="143"/>
      <c r="W29" s="150"/>
      <c r="X29" s="146"/>
      <c r="Y29" s="12"/>
      <c r="Z29" s="158"/>
      <c r="AA29" s="12"/>
      <c r="AB29" s="190" t="s">
        <v>152</v>
      </c>
      <c r="AC29" s="159" t="s">
        <v>152</v>
      </c>
      <c r="AD29" s="155" t="s">
        <v>152</v>
      </c>
      <c r="AE29" s="190" t="s">
        <v>152</v>
      </c>
      <c r="AF29" s="158"/>
      <c r="AG29" s="158"/>
      <c r="AH29" s="21">
        <v>5</v>
      </c>
      <c r="AI29" s="18"/>
      <c r="AJ29" s="18"/>
      <c r="AK29" s="18"/>
      <c r="AL29" s="19"/>
      <c r="AM29" s="18"/>
      <c r="AN29" s="18"/>
      <c r="AO29" s="20"/>
      <c r="AQ29">
        <v>1000</v>
      </c>
    </row>
    <row r="30" spans="1:43" ht="30" customHeight="1" x14ac:dyDescent="0.15">
      <c r="A30" s="17">
        <v>26</v>
      </c>
      <c r="B30" s="78"/>
      <c r="C30" s="158"/>
      <c r="D30" s="158"/>
      <c r="E30" s="158"/>
      <c r="F30" s="158"/>
      <c r="G30" s="158"/>
      <c r="H30" s="159"/>
      <c r="I30" s="155"/>
      <c r="J30" s="158"/>
      <c r="K30" s="158"/>
      <c r="L30" s="158"/>
      <c r="M30" s="158"/>
      <c r="N30" s="158"/>
      <c r="O30" s="159"/>
      <c r="P30" s="155"/>
      <c r="Q30" s="158"/>
      <c r="R30" s="158"/>
      <c r="S30" s="158"/>
      <c r="T30" s="158"/>
      <c r="U30" s="158"/>
      <c r="V30" s="159"/>
      <c r="W30" s="155"/>
      <c r="X30" s="158"/>
      <c r="Y30" s="158"/>
      <c r="Z30" s="158"/>
      <c r="AA30" s="158"/>
      <c r="AB30" s="158"/>
      <c r="AC30" s="159"/>
      <c r="AD30" s="155"/>
      <c r="AE30" s="158"/>
      <c r="AF30" s="158"/>
      <c r="AG30" s="158"/>
      <c r="AH30" s="21"/>
      <c r="AI30" s="18"/>
      <c r="AJ30" s="18"/>
      <c r="AK30" s="18"/>
      <c r="AL30" s="19"/>
      <c r="AM30" s="18"/>
      <c r="AN30" s="18"/>
      <c r="AO30" s="20"/>
    </row>
    <row r="31" spans="1:43" ht="30" customHeight="1" x14ac:dyDescent="0.15">
      <c r="A31" s="17">
        <v>27</v>
      </c>
      <c r="B31" s="11" t="s">
        <v>143</v>
      </c>
      <c r="C31" s="12"/>
      <c r="D31" s="12"/>
      <c r="E31" s="12"/>
      <c r="F31" s="190" t="s">
        <v>152</v>
      </c>
      <c r="G31" s="190" t="s">
        <v>152</v>
      </c>
      <c r="H31" s="159" t="s">
        <v>152</v>
      </c>
      <c r="I31" s="155" t="s">
        <v>152</v>
      </c>
      <c r="J31" s="12"/>
      <c r="K31" s="12"/>
      <c r="L31" s="12"/>
      <c r="M31" s="190" t="s">
        <v>152</v>
      </c>
      <c r="N31" s="190" t="s">
        <v>152</v>
      </c>
      <c r="O31" s="159" t="s">
        <v>152</v>
      </c>
      <c r="P31" s="155" t="s">
        <v>152</v>
      </c>
      <c r="Q31" s="12"/>
      <c r="R31" s="12"/>
      <c r="S31" s="12"/>
      <c r="T31" s="190" t="s">
        <v>152</v>
      </c>
      <c r="U31" s="190" t="s">
        <v>152</v>
      </c>
      <c r="V31" s="159" t="s">
        <v>152</v>
      </c>
      <c r="W31" s="155" t="s">
        <v>152</v>
      </c>
      <c r="X31" s="12"/>
      <c r="Y31" s="12"/>
      <c r="Z31" s="190" t="s">
        <v>152</v>
      </c>
      <c r="AA31" s="190" t="s">
        <v>152</v>
      </c>
      <c r="AB31" s="190" t="s">
        <v>152</v>
      </c>
      <c r="AC31" s="159" t="s">
        <v>152</v>
      </c>
      <c r="AD31" s="155" t="s">
        <v>152</v>
      </c>
      <c r="AE31" s="146"/>
      <c r="AF31" s="12"/>
      <c r="AG31" s="183"/>
      <c r="AH31" s="21">
        <v>13</v>
      </c>
      <c r="AI31" s="18"/>
      <c r="AJ31" s="18"/>
      <c r="AK31" s="18"/>
      <c r="AL31" s="19"/>
      <c r="AM31" s="18"/>
      <c r="AN31" s="18"/>
      <c r="AO31" s="20"/>
    </row>
    <row r="32" spans="1:43" ht="30" customHeight="1" x14ac:dyDescent="0.15">
      <c r="A32" s="17">
        <v>28</v>
      </c>
      <c r="B32" s="11"/>
      <c r="C32" s="12"/>
      <c r="D32" s="26"/>
      <c r="E32" s="26"/>
      <c r="F32" s="12"/>
      <c r="G32" s="146"/>
      <c r="H32" s="144"/>
      <c r="I32" s="153"/>
      <c r="J32" s="12"/>
      <c r="K32" s="26"/>
      <c r="L32" s="26"/>
      <c r="M32" s="12"/>
      <c r="N32" s="146"/>
      <c r="O32" s="144"/>
      <c r="P32" s="153"/>
      <c r="Q32" s="12"/>
      <c r="R32" s="26"/>
      <c r="S32" s="26"/>
      <c r="T32" s="12"/>
      <c r="U32" s="146"/>
      <c r="V32" s="144"/>
      <c r="W32" s="150"/>
      <c r="X32" s="12"/>
      <c r="Y32" s="26"/>
      <c r="Z32" s="26"/>
      <c r="AA32" s="12"/>
      <c r="AB32" s="146"/>
      <c r="AC32" s="144"/>
      <c r="AD32" s="153"/>
      <c r="AE32" s="146"/>
      <c r="AF32" s="26"/>
      <c r="AG32" s="26"/>
      <c r="AH32" s="24"/>
      <c r="AI32" s="18"/>
      <c r="AJ32" s="18"/>
      <c r="AK32" s="18"/>
      <c r="AL32" s="19"/>
      <c r="AM32" s="18"/>
      <c r="AN32" s="18"/>
      <c r="AO32" s="20"/>
    </row>
    <row r="33" spans="1:41" ht="30" customHeight="1" x14ac:dyDescent="0.15">
      <c r="A33" s="107">
        <v>29</v>
      </c>
      <c r="B33" s="108"/>
      <c r="C33" s="110"/>
      <c r="D33" s="110"/>
      <c r="E33" s="110"/>
      <c r="F33" s="110"/>
      <c r="G33" s="110"/>
      <c r="H33" s="111"/>
      <c r="I33" s="109"/>
      <c r="J33" s="110"/>
      <c r="K33" s="110"/>
      <c r="L33" s="110"/>
      <c r="M33" s="110"/>
      <c r="N33" s="110"/>
      <c r="O33" s="111"/>
      <c r="P33" s="109"/>
      <c r="Q33" s="110"/>
      <c r="R33" s="110"/>
      <c r="S33" s="110"/>
      <c r="T33" s="110"/>
      <c r="U33" s="110"/>
      <c r="V33" s="111"/>
      <c r="W33" s="109"/>
      <c r="X33" s="110"/>
      <c r="Y33" s="110"/>
      <c r="Z33" s="110"/>
      <c r="AA33" s="110"/>
      <c r="AB33" s="110"/>
      <c r="AC33" s="111"/>
      <c r="AD33" s="109"/>
      <c r="AE33" s="110"/>
      <c r="AF33" s="110"/>
      <c r="AG33" s="110"/>
      <c r="AH33" s="112"/>
      <c r="AI33" s="66"/>
      <c r="AJ33" s="66"/>
      <c r="AK33" s="66"/>
      <c r="AL33" s="113"/>
      <c r="AM33" s="66"/>
      <c r="AN33" s="66"/>
      <c r="AO33" s="114"/>
    </row>
    <row r="34" spans="1:41" ht="30" customHeight="1" thickBot="1" x14ac:dyDescent="0.2">
      <c r="A34" s="30">
        <v>30</v>
      </c>
      <c r="B34" s="31"/>
      <c r="C34" s="7"/>
      <c r="D34" s="7"/>
      <c r="E34" s="7"/>
      <c r="F34" s="7"/>
      <c r="G34" s="7"/>
      <c r="H34" s="33"/>
      <c r="I34" s="32"/>
      <c r="J34" s="7"/>
      <c r="K34" s="7"/>
      <c r="L34" s="7"/>
      <c r="M34" s="7"/>
      <c r="N34" s="7"/>
      <c r="O34" s="33"/>
      <c r="P34" s="32"/>
      <c r="Q34" s="7"/>
      <c r="R34" s="7"/>
      <c r="S34" s="7"/>
      <c r="T34" s="7"/>
      <c r="U34" s="7"/>
      <c r="V34" s="33"/>
      <c r="W34" s="32"/>
      <c r="X34" s="7"/>
      <c r="Y34" s="7"/>
      <c r="Z34" s="7"/>
      <c r="AA34" s="7"/>
      <c r="AB34" s="7"/>
      <c r="AC34" s="33"/>
      <c r="AD34" s="32"/>
      <c r="AE34" s="7"/>
      <c r="AF34" s="7"/>
      <c r="AG34" s="7"/>
      <c r="AH34" s="34"/>
      <c r="AI34" s="35"/>
      <c r="AJ34" s="35"/>
      <c r="AK34" s="35"/>
      <c r="AL34" s="36"/>
      <c r="AM34" s="35"/>
      <c r="AN34" s="35"/>
      <c r="AO34" s="37"/>
    </row>
    <row r="35" spans="1:41" x14ac:dyDescent="0.15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spans="1:41" x14ac:dyDescent="0.15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41" x14ac:dyDescent="0.15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41" x14ac:dyDescent="0.15"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1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41" x14ac:dyDescent="0.15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39"/>
      <c r="Y39" s="40"/>
      <c r="Z39" s="39"/>
      <c r="AA39" s="39"/>
      <c r="AB39" s="39"/>
      <c r="AC39" s="39"/>
      <c r="AD39" s="39"/>
      <c r="AE39" s="39"/>
      <c r="AF39" s="39"/>
      <c r="AG39" s="40"/>
    </row>
    <row r="40" spans="1:41" x14ac:dyDescent="0.15">
      <c r="C40" s="39"/>
      <c r="D40" s="39"/>
      <c r="E40" s="39"/>
      <c r="F40" s="39"/>
      <c r="G40" s="39"/>
      <c r="H40" s="40"/>
      <c r="I40" s="40"/>
      <c r="J40" s="40"/>
      <c r="K40" s="40"/>
      <c r="L40" s="40"/>
      <c r="M40" s="40"/>
      <c r="N40" s="39"/>
      <c r="O40" s="40"/>
      <c r="P40" s="40"/>
      <c r="Q40" s="39"/>
      <c r="R40" s="40"/>
      <c r="S40" s="39"/>
      <c r="T40" s="40"/>
      <c r="U40" s="39"/>
      <c r="V40" s="40"/>
      <c r="W40" s="40"/>
      <c r="X40" s="39"/>
      <c r="Y40" s="40"/>
      <c r="Z40" s="39"/>
      <c r="AA40" s="40"/>
      <c r="AB40" s="39"/>
      <c r="AC40" s="40"/>
      <c r="AD40" s="40"/>
      <c r="AE40" s="40"/>
      <c r="AF40" s="40"/>
      <c r="AG40" s="39"/>
    </row>
    <row r="41" spans="1:41" x14ac:dyDescent="0.1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 spans="1:41" x14ac:dyDescent="0.15"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41" x14ac:dyDescent="0.15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</row>
    <row r="44" spans="1:41" x14ac:dyDescent="0.15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</row>
    <row r="45" spans="1:41" x14ac:dyDescent="0.15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 spans="1:41" x14ac:dyDescent="0.15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zoomScale="81" zoomScaleNormal="81" workbookViewId="0">
      <selection activeCell="W6" sqref="W6"/>
    </sheetView>
  </sheetViews>
  <sheetFormatPr defaultRowHeight="13.5" x14ac:dyDescent="0.1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6.625" customWidth="1"/>
  </cols>
  <sheetData>
    <row r="1" spans="1:28" ht="34.5" customHeight="1" x14ac:dyDescent="0.15">
      <c r="A1" s="201" t="s">
        <v>87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8" ht="22.5" customHeight="1" x14ac:dyDescent="0.15">
      <c r="A2" s="67" t="s">
        <v>154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 spans="1:28" ht="14.25" thickBot="1" x14ac:dyDescent="0.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</row>
    <row r="4" spans="1:28" ht="28.5" customHeight="1" thickBot="1" x14ac:dyDescent="0.2">
      <c r="A4" s="99" t="s">
        <v>17</v>
      </c>
      <c r="B4" s="100" t="s">
        <v>64</v>
      </c>
      <c r="C4" s="100" t="s">
        <v>79</v>
      </c>
      <c r="D4" s="101" t="s">
        <v>43</v>
      </c>
      <c r="E4" s="102" t="s">
        <v>65</v>
      </c>
      <c r="F4" s="102" t="s">
        <v>45</v>
      </c>
      <c r="G4" s="102" t="s">
        <v>46</v>
      </c>
      <c r="H4" s="102" t="s">
        <v>47</v>
      </c>
      <c r="I4" s="102" t="s">
        <v>50</v>
      </c>
      <c r="J4" s="102" t="s">
        <v>49</v>
      </c>
      <c r="K4" s="102" t="s">
        <v>51</v>
      </c>
      <c r="L4" s="102" t="s">
        <v>52</v>
      </c>
      <c r="M4" s="102" t="s">
        <v>53</v>
      </c>
      <c r="N4" s="103" t="s">
        <v>108</v>
      </c>
      <c r="O4" s="104" t="s">
        <v>54</v>
      </c>
      <c r="P4" s="105" t="s">
        <v>55</v>
      </c>
      <c r="Q4" s="102" t="s">
        <v>24</v>
      </c>
      <c r="R4" s="102" t="s">
        <v>56</v>
      </c>
      <c r="S4" s="102" t="s">
        <v>27</v>
      </c>
      <c r="T4" s="102" t="s">
        <v>26</v>
      </c>
      <c r="U4" s="100"/>
      <c r="V4" s="103" t="s">
        <v>80</v>
      </c>
      <c r="W4" s="104" t="s">
        <v>54</v>
      </c>
      <c r="X4" s="106" t="s">
        <v>66</v>
      </c>
    </row>
    <row r="5" spans="1:28" ht="21.75" customHeight="1" x14ac:dyDescent="0.15">
      <c r="A5" s="98" t="str">
        <f>'6月分'!B5</f>
        <v>岡﨑　峻喬</v>
      </c>
      <c r="B5" s="74">
        <f>'6月分'!AH5</f>
        <v>23</v>
      </c>
      <c r="C5" s="75">
        <v>280000</v>
      </c>
      <c r="D5" s="75"/>
      <c r="E5" s="75"/>
      <c r="F5" s="75"/>
      <c r="G5" s="75"/>
      <c r="H5" s="75">
        <v>280000</v>
      </c>
      <c r="I5" s="75"/>
      <c r="J5" s="75"/>
      <c r="K5" s="75"/>
      <c r="L5" s="75"/>
      <c r="M5" s="75">
        <v>10000</v>
      </c>
      <c r="N5" s="84"/>
      <c r="O5" s="94">
        <f>SUM(H5:N5)</f>
        <v>290000</v>
      </c>
      <c r="P5" s="89">
        <v>14042</v>
      </c>
      <c r="Q5" s="75">
        <v>24464</v>
      </c>
      <c r="R5" s="75">
        <v>1450</v>
      </c>
      <c r="S5" s="75">
        <v>4920</v>
      </c>
      <c r="T5" s="75"/>
      <c r="U5" s="75"/>
      <c r="V5" s="84"/>
      <c r="W5" s="94">
        <f>SUM(P5:V5)</f>
        <v>44876</v>
      </c>
      <c r="X5" s="94">
        <f>O5-W5</f>
        <v>245124</v>
      </c>
    </row>
    <row r="6" spans="1:28" ht="21.75" customHeight="1" x14ac:dyDescent="0.15">
      <c r="A6" s="96" t="s">
        <v>14</v>
      </c>
      <c r="B6" s="68">
        <f>'6月分'!AH6</f>
        <v>22</v>
      </c>
      <c r="C6" s="69">
        <v>200000</v>
      </c>
      <c r="D6" s="69"/>
      <c r="E6" s="69"/>
      <c r="F6" s="69"/>
      <c r="G6" s="69"/>
      <c r="H6" s="69">
        <v>200000</v>
      </c>
      <c r="I6" s="69"/>
      <c r="J6" s="69"/>
      <c r="K6" s="69"/>
      <c r="L6" s="69"/>
      <c r="M6" s="69"/>
      <c r="N6" s="81"/>
      <c r="O6" s="91">
        <f>SUM(H6:N6)</f>
        <v>200000</v>
      </c>
      <c r="P6" s="86"/>
      <c r="Q6" s="69"/>
      <c r="R6" s="69"/>
      <c r="S6" s="69">
        <v>3140</v>
      </c>
      <c r="T6" s="69"/>
      <c r="U6" s="69">
        <v>50000</v>
      </c>
      <c r="V6" s="81"/>
      <c r="W6" s="91">
        <f>SUM(P6:V6)</f>
        <v>53140</v>
      </c>
      <c r="X6" s="91">
        <f>O6-W6</f>
        <v>146860</v>
      </c>
    </row>
    <row r="7" spans="1:28" ht="21.75" customHeight="1" thickBot="1" x14ac:dyDescent="0.2">
      <c r="A7" s="97"/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82"/>
      <c r="O7" s="92"/>
      <c r="P7" s="87"/>
      <c r="Q7" s="71"/>
      <c r="R7" s="71"/>
      <c r="S7" s="71"/>
      <c r="T7" s="71"/>
      <c r="U7" s="71"/>
      <c r="V7" s="82"/>
      <c r="W7" s="92"/>
      <c r="X7" s="92"/>
    </row>
    <row r="8" spans="1:28" ht="21.75" customHeight="1" thickBot="1" x14ac:dyDescent="0.2">
      <c r="A8" s="79" t="s">
        <v>82</v>
      </c>
      <c r="B8" s="72"/>
      <c r="C8" s="73"/>
      <c r="D8" s="73"/>
      <c r="E8" s="73"/>
      <c r="F8" s="73"/>
      <c r="G8" s="73"/>
      <c r="H8" s="73">
        <f>SUM(H5:H7)</f>
        <v>480000</v>
      </c>
      <c r="I8" s="73"/>
      <c r="J8" s="73"/>
      <c r="K8" s="73"/>
      <c r="L8" s="73">
        <f>SUM(L5:L7)</f>
        <v>0</v>
      </c>
      <c r="M8" s="73">
        <f>SUM(M5:M7)</f>
        <v>10000</v>
      </c>
      <c r="N8" s="83"/>
      <c r="O8" s="93">
        <f>SUM(O5:O7)</f>
        <v>490000</v>
      </c>
      <c r="P8" s="88">
        <f t="shared" ref="P8:S8" si="0">SUM(P5:P7)</f>
        <v>14042</v>
      </c>
      <c r="Q8" s="73">
        <f t="shared" si="0"/>
        <v>24464</v>
      </c>
      <c r="R8" s="73">
        <f t="shared" si="0"/>
        <v>1450</v>
      </c>
      <c r="S8" s="73">
        <f t="shared" si="0"/>
        <v>8060</v>
      </c>
      <c r="T8" s="73"/>
      <c r="U8" s="73"/>
      <c r="V8" s="83">
        <f>SUM(V5:V7)</f>
        <v>0</v>
      </c>
      <c r="W8" s="93">
        <f t="shared" ref="W8" si="1">SUM(W5:W7)</f>
        <v>98016</v>
      </c>
      <c r="X8" s="93">
        <f t="shared" ref="X8" si="2">SUM(X5:X7)</f>
        <v>391984</v>
      </c>
    </row>
    <row r="9" spans="1:28" ht="21.75" customHeight="1" x14ac:dyDescent="0.15">
      <c r="A9" s="98"/>
      <c r="B9" s="74"/>
      <c r="C9" s="75"/>
      <c r="D9" s="137"/>
      <c r="E9" s="75"/>
      <c r="F9" s="138"/>
      <c r="G9" s="75"/>
      <c r="H9" s="75"/>
      <c r="I9" s="139"/>
      <c r="J9" s="75"/>
      <c r="K9" s="75"/>
      <c r="L9" s="75"/>
      <c r="M9" s="75"/>
      <c r="N9" s="84"/>
      <c r="O9" s="94"/>
      <c r="P9" s="89"/>
      <c r="Q9" s="75"/>
      <c r="R9" s="75"/>
      <c r="S9" s="75"/>
      <c r="T9" s="75"/>
      <c r="U9" s="75"/>
      <c r="V9" s="84"/>
      <c r="W9" s="94"/>
      <c r="X9" s="94"/>
    </row>
    <row r="10" spans="1:28" ht="21.75" customHeight="1" x14ac:dyDescent="0.15">
      <c r="A10" s="96" t="s">
        <v>15</v>
      </c>
      <c r="B10" s="68">
        <f>'6月分'!AH8</f>
        <v>24</v>
      </c>
      <c r="C10" s="69">
        <v>6000</v>
      </c>
      <c r="D10" s="132">
        <f>時給計算書!F35</f>
        <v>6.8208333333333337</v>
      </c>
      <c r="E10" s="156">
        <v>1157</v>
      </c>
      <c r="F10" s="156">
        <v>1071</v>
      </c>
      <c r="G10" s="156">
        <v>1288</v>
      </c>
      <c r="H10" s="160">
        <f>B10*C10</f>
        <v>144000</v>
      </c>
      <c r="I10" s="69"/>
      <c r="J10" s="69"/>
      <c r="K10" s="69"/>
      <c r="L10" s="69"/>
      <c r="M10" s="69"/>
      <c r="N10" s="81"/>
      <c r="O10" s="91">
        <f t="shared" ref="O10:O40" si="3">SUM(H10:N10)</f>
        <v>144000</v>
      </c>
      <c r="P10" s="86">
        <v>8708</v>
      </c>
      <c r="Q10" s="69">
        <v>13106</v>
      </c>
      <c r="R10" s="69">
        <f>O10*5/1000</f>
        <v>720</v>
      </c>
      <c r="S10" s="69">
        <v>1850</v>
      </c>
      <c r="T10" s="69"/>
      <c r="U10" s="69"/>
      <c r="V10" s="81">
        <v>2800</v>
      </c>
      <c r="W10" s="91">
        <f t="shared" ref="W10:W33" si="4">SUM(P10:V10)</f>
        <v>27184</v>
      </c>
      <c r="X10" s="91">
        <f t="shared" ref="X10:X39" si="5">O10-W10</f>
        <v>116816</v>
      </c>
      <c r="Z10" t="s">
        <v>90</v>
      </c>
      <c r="AA10" t="s">
        <v>91</v>
      </c>
      <c r="AB10" t="s">
        <v>94</v>
      </c>
    </row>
    <row r="11" spans="1:28" ht="21.75" customHeight="1" x14ac:dyDescent="0.15">
      <c r="A11" s="96" t="s">
        <v>33</v>
      </c>
      <c r="B11" s="68">
        <f>'6月分'!AH9</f>
        <v>21</v>
      </c>
      <c r="C11" s="69">
        <v>800</v>
      </c>
      <c r="D11" s="131">
        <f>'6月分'!AI9</f>
        <v>4.9312500000000012</v>
      </c>
      <c r="E11" s="69"/>
      <c r="F11" s="156">
        <v>1000</v>
      </c>
      <c r="G11" s="69"/>
      <c r="H11" s="69">
        <f>D11*24*C11</f>
        <v>94680.000000000015</v>
      </c>
      <c r="I11" s="69"/>
      <c r="J11" s="69"/>
      <c r="K11" s="69">
        <v>5000</v>
      </c>
      <c r="L11" s="69"/>
      <c r="M11" s="69"/>
      <c r="N11" s="81"/>
      <c r="O11" s="91">
        <f t="shared" si="3"/>
        <v>99680.000000000015</v>
      </c>
      <c r="P11" s="86"/>
      <c r="Q11" s="69"/>
      <c r="R11" s="69"/>
      <c r="S11" s="69">
        <v>720</v>
      </c>
      <c r="T11" s="69"/>
      <c r="U11" s="69"/>
      <c r="V11" s="81">
        <v>350</v>
      </c>
      <c r="W11" s="91">
        <f t="shared" si="4"/>
        <v>1070</v>
      </c>
      <c r="X11" s="91">
        <f t="shared" si="5"/>
        <v>98610.000000000015</v>
      </c>
    </row>
    <row r="12" spans="1:28" ht="21.75" customHeight="1" x14ac:dyDescent="0.15">
      <c r="A12" s="96"/>
      <c r="B12" s="68"/>
      <c r="C12" s="69"/>
      <c r="D12" s="132"/>
      <c r="E12" s="69"/>
      <c r="F12" s="69"/>
      <c r="G12" s="69"/>
      <c r="H12" s="69">
        <f>D12*24*C12</f>
        <v>0</v>
      </c>
      <c r="I12" s="69"/>
      <c r="J12" s="69"/>
      <c r="K12" s="69"/>
      <c r="L12" s="69"/>
      <c r="M12" s="69"/>
      <c r="N12" s="81"/>
      <c r="O12" s="91">
        <f t="shared" si="3"/>
        <v>0</v>
      </c>
      <c r="P12" s="86"/>
      <c r="Q12" s="69"/>
      <c r="R12" s="69"/>
      <c r="S12" s="69"/>
      <c r="T12" s="69"/>
      <c r="U12" s="69"/>
      <c r="V12" s="81"/>
      <c r="W12" s="91">
        <f t="shared" si="4"/>
        <v>0</v>
      </c>
      <c r="X12" s="91">
        <f t="shared" si="5"/>
        <v>0</v>
      </c>
    </row>
    <row r="13" spans="1:28" ht="21.75" customHeight="1" thickBot="1" x14ac:dyDescent="0.2">
      <c r="A13" s="97"/>
      <c r="B13" s="70"/>
      <c r="C13" s="71"/>
      <c r="D13" s="76"/>
      <c r="E13" s="71"/>
      <c r="F13" s="71"/>
      <c r="G13" s="71"/>
      <c r="H13" s="71"/>
      <c r="I13" s="71"/>
      <c r="J13" s="71"/>
      <c r="K13" s="71"/>
      <c r="L13" s="71"/>
      <c r="M13" s="71"/>
      <c r="N13" s="82"/>
      <c r="O13" s="92"/>
      <c r="P13" s="87"/>
      <c r="Q13" s="71"/>
      <c r="R13" s="71"/>
      <c r="S13" s="71"/>
      <c r="T13" s="71"/>
      <c r="U13" s="71"/>
      <c r="V13" s="82"/>
      <c r="W13" s="92"/>
      <c r="X13" s="92"/>
    </row>
    <row r="14" spans="1:28" ht="21.75" customHeight="1" thickBot="1" x14ac:dyDescent="0.2">
      <c r="A14" s="79" t="s">
        <v>83</v>
      </c>
      <c r="B14" s="72"/>
      <c r="C14" s="73"/>
      <c r="D14" s="77"/>
      <c r="E14" s="73"/>
      <c r="F14" s="73"/>
      <c r="G14" s="73"/>
      <c r="H14" s="73">
        <f>SUM(H10:H13)</f>
        <v>238680</v>
      </c>
      <c r="I14" s="73"/>
      <c r="J14" s="73"/>
      <c r="K14" s="73">
        <f>SUM(K10:K12)</f>
        <v>5000</v>
      </c>
      <c r="L14" s="73">
        <f>SUM(L9:L13)</f>
        <v>0</v>
      </c>
      <c r="M14" s="73">
        <f>SUM(M10:M13)</f>
        <v>0</v>
      </c>
      <c r="N14" s="83"/>
      <c r="O14" s="93">
        <f>SUM(O10:O13)</f>
        <v>243680</v>
      </c>
      <c r="P14" s="88">
        <f>SUM(P10:P12)</f>
        <v>8708</v>
      </c>
      <c r="Q14" s="73">
        <f>SUM(Q10:Q13)</f>
        <v>13106</v>
      </c>
      <c r="R14" s="73">
        <f>SUM(R10:R13)</f>
        <v>720</v>
      </c>
      <c r="S14" s="73">
        <f>SUM(S10:S13)</f>
        <v>2570</v>
      </c>
      <c r="T14" s="73"/>
      <c r="U14" s="73"/>
      <c r="V14" s="83">
        <f>SUM(V9:V13)</f>
        <v>3150</v>
      </c>
      <c r="W14" s="93">
        <f>SUM(W10:W13)</f>
        <v>28254</v>
      </c>
      <c r="X14" s="93">
        <f>O14-P14-Q14-R14-S14-V14</f>
        <v>215426</v>
      </c>
    </row>
    <row r="15" spans="1:28" ht="21.75" customHeight="1" x14ac:dyDescent="0.15">
      <c r="A15" s="98"/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84"/>
      <c r="O15" s="94"/>
      <c r="P15" s="89"/>
      <c r="Q15" s="75"/>
      <c r="R15" s="75"/>
      <c r="S15" s="75"/>
      <c r="T15" s="75"/>
      <c r="U15" s="75"/>
      <c r="V15" s="84"/>
      <c r="W15" s="94"/>
      <c r="X15" s="94"/>
    </row>
    <row r="16" spans="1:28" ht="21.75" customHeight="1" x14ac:dyDescent="0.15">
      <c r="A16" s="96" t="s">
        <v>67</v>
      </c>
      <c r="B16" s="68">
        <f>'6月分'!AH12</f>
        <v>11</v>
      </c>
      <c r="C16" s="69">
        <v>1000</v>
      </c>
      <c r="D16" s="69"/>
      <c r="E16" s="69"/>
      <c r="F16" s="69"/>
      <c r="G16" s="69"/>
      <c r="H16" s="69">
        <f>B16*C16</f>
        <v>11000</v>
      </c>
      <c r="I16" s="69"/>
      <c r="J16" s="69"/>
      <c r="K16" s="69"/>
      <c r="L16" s="69"/>
      <c r="M16" s="69"/>
      <c r="N16" s="81"/>
      <c r="O16" s="91">
        <f t="shared" si="3"/>
        <v>11000</v>
      </c>
      <c r="P16" s="86"/>
      <c r="Q16" s="69"/>
      <c r="R16" s="69"/>
      <c r="S16" s="69"/>
      <c r="T16" s="69"/>
      <c r="U16" s="69"/>
      <c r="V16" s="81">
        <v>2900</v>
      </c>
      <c r="W16" s="91">
        <f t="shared" si="4"/>
        <v>2900</v>
      </c>
      <c r="X16" s="91">
        <f t="shared" si="5"/>
        <v>8100</v>
      </c>
    </row>
    <row r="17" spans="1:24" ht="21.75" customHeight="1" x14ac:dyDescent="0.15">
      <c r="A17" s="96" t="s">
        <v>68</v>
      </c>
      <c r="B17" s="68">
        <f>'6月分'!AH13</f>
        <v>19</v>
      </c>
      <c r="C17" s="69">
        <v>1000</v>
      </c>
      <c r="D17" s="69"/>
      <c r="E17" s="69"/>
      <c r="F17" s="69"/>
      <c r="G17" s="69"/>
      <c r="H17" s="69">
        <f t="shared" ref="H17:H33" si="6">B17*C17</f>
        <v>19000</v>
      </c>
      <c r="I17" s="69"/>
      <c r="J17" s="69"/>
      <c r="K17" s="69"/>
      <c r="L17" s="69"/>
      <c r="M17" s="69"/>
      <c r="N17" s="81"/>
      <c r="O17" s="91">
        <f t="shared" si="3"/>
        <v>19000</v>
      </c>
      <c r="P17" s="86"/>
      <c r="Q17" s="69"/>
      <c r="R17" s="69"/>
      <c r="S17" s="69"/>
      <c r="T17" s="69"/>
      <c r="U17" s="69"/>
      <c r="V17" s="81">
        <v>6650</v>
      </c>
      <c r="W17" s="91">
        <f t="shared" si="4"/>
        <v>6650</v>
      </c>
      <c r="X17" s="91">
        <f t="shared" si="5"/>
        <v>12350</v>
      </c>
    </row>
    <row r="18" spans="1:24" ht="21.75" customHeight="1" x14ac:dyDescent="0.15">
      <c r="A18" s="96" t="s">
        <v>69</v>
      </c>
      <c r="B18" s="68">
        <f>'6月分'!AH14</f>
        <v>6</v>
      </c>
      <c r="C18" s="69">
        <v>1500</v>
      </c>
      <c r="D18" s="69"/>
      <c r="E18" s="69"/>
      <c r="F18" s="69"/>
      <c r="G18" s="69"/>
      <c r="H18" s="69">
        <f t="shared" si="6"/>
        <v>9000</v>
      </c>
      <c r="I18" s="69"/>
      <c r="J18" s="69"/>
      <c r="K18" s="69"/>
      <c r="L18" s="69"/>
      <c r="M18" s="69"/>
      <c r="N18" s="81"/>
      <c r="O18" s="91">
        <f t="shared" si="3"/>
        <v>9000</v>
      </c>
      <c r="P18" s="86"/>
      <c r="Q18" s="69"/>
      <c r="R18" s="69"/>
      <c r="S18" s="69"/>
      <c r="T18" s="69"/>
      <c r="U18" s="69"/>
      <c r="V18" s="81"/>
      <c r="W18" s="91">
        <f t="shared" si="4"/>
        <v>0</v>
      </c>
      <c r="X18" s="91">
        <f t="shared" si="5"/>
        <v>9000</v>
      </c>
    </row>
    <row r="19" spans="1:24" ht="21.75" customHeight="1" x14ac:dyDescent="0.15">
      <c r="A19" s="96" t="s">
        <v>70</v>
      </c>
      <c r="B19" s="68">
        <f>'6月分'!AH15</f>
        <v>22</v>
      </c>
      <c r="C19" s="69">
        <v>1500</v>
      </c>
      <c r="D19" s="69"/>
      <c r="E19" s="69"/>
      <c r="F19" s="69"/>
      <c r="G19" s="69"/>
      <c r="H19" s="69">
        <f t="shared" si="6"/>
        <v>33000</v>
      </c>
      <c r="I19" s="69"/>
      <c r="J19" s="69"/>
      <c r="K19" s="69"/>
      <c r="L19" s="69"/>
      <c r="M19" s="69"/>
      <c r="N19" s="81"/>
      <c r="O19" s="91">
        <f t="shared" si="3"/>
        <v>33000</v>
      </c>
      <c r="P19" s="86"/>
      <c r="Q19" s="69"/>
      <c r="R19" s="69"/>
      <c r="S19" s="69"/>
      <c r="T19" s="69"/>
      <c r="U19" s="69"/>
      <c r="V19" s="81">
        <v>1750</v>
      </c>
      <c r="W19" s="91">
        <f t="shared" si="4"/>
        <v>1750</v>
      </c>
      <c r="X19" s="91">
        <f t="shared" si="5"/>
        <v>31250</v>
      </c>
    </row>
    <row r="20" spans="1:24" ht="21.75" customHeight="1" x14ac:dyDescent="0.15">
      <c r="A20" s="96" t="s">
        <v>71</v>
      </c>
      <c r="B20" s="68">
        <f>'6月分'!AH16</f>
        <v>22</v>
      </c>
      <c r="C20" s="69">
        <v>1500</v>
      </c>
      <c r="D20" s="69"/>
      <c r="E20" s="69"/>
      <c r="F20" s="69"/>
      <c r="G20" s="69"/>
      <c r="H20" s="69">
        <f t="shared" si="6"/>
        <v>33000</v>
      </c>
      <c r="I20" s="69"/>
      <c r="J20" s="69"/>
      <c r="K20" s="69"/>
      <c r="L20" s="69"/>
      <c r="M20" s="69"/>
      <c r="N20" s="81"/>
      <c r="O20" s="91">
        <f t="shared" si="3"/>
        <v>33000</v>
      </c>
      <c r="P20" s="86"/>
      <c r="Q20" s="69"/>
      <c r="R20" s="69"/>
      <c r="S20" s="69"/>
      <c r="T20" s="69"/>
      <c r="U20" s="69"/>
      <c r="V20" s="81">
        <v>1750</v>
      </c>
      <c r="W20" s="91">
        <f t="shared" si="4"/>
        <v>1750</v>
      </c>
      <c r="X20" s="91">
        <f t="shared" si="5"/>
        <v>31250</v>
      </c>
    </row>
    <row r="21" spans="1:24" ht="21.75" customHeight="1" x14ac:dyDescent="0.15">
      <c r="A21" s="96" t="s">
        <v>72</v>
      </c>
      <c r="B21" s="68">
        <f>'6月分'!AH17</f>
        <v>12</v>
      </c>
      <c r="C21" s="69">
        <v>1000</v>
      </c>
      <c r="D21" s="69"/>
      <c r="E21" s="69"/>
      <c r="F21" s="69"/>
      <c r="G21" s="69"/>
      <c r="H21" s="69">
        <f t="shared" si="6"/>
        <v>12000</v>
      </c>
      <c r="I21" s="69"/>
      <c r="J21" s="69"/>
      <c r="K21" s="69"/>
      <c r="L21" s="69"/>
      <c r="M21" s="69"/>
      <c r="N21" s="81"/>
      <c r="O21" s="91">
        <f t="shared" si="3"/>
        <v>12000</v>
      </c>
      <c r="P21" s="86"/>
      <c r="Q21" s="69"/>
      <c r="R21" s="69"/>
      <c r="S21" s="69"/>
      <c r="T21" s="69"/>
      <c r="U21" s="69"/>
      <c r="V21" s="81"/>
      <c r="W21" s="91">
        <f t="shared" si="4"/>
        <v>0</v>
      </c>
      <c r="X21" s="91">
        <f t="shared" si="5"/>
        <v>12000</v>
      </c>
    </row>
    <row r="22" spans="1:24" ht="21.75" customHeight="1" x14ac:dyDescent="0.15">
      <c r="A22" s="96" t="s">
        <v>73</v>
      </c>
      <c r="B22" s="68">
        <f>'6月分'!AH18</f>
        <v>22</v>
      </c>
      <c r="C22" s="69">
        <v>1500</v>
      </c>
      <c r="D22" s="69"/>
      <c r="E22" s="69"/>
      <c r="F22" s="69"/>
      <c r="G22" s="69"/>
      <c r="H22" s="69">
        <f t="shared" si="6"/>
        <v>33000</v>
      </c>
      <c r="I22" s="69"/>
      <c r="J22" s="69"/>
      <c r="K22" s="69"/>
      <c r="L22" s="69"/>
      <c r="M22" s="69"/>
      <c r="N22" s="81">
        <v>5000</v>
      </c>
      <c r="O22" s="91">
        <f t="shared" si="3"/>
        <v>38000</v>
      </c>
      <c r="P22" s="86"/>
      <c r="Q22" s="69"/>
      <c r="R22" s="69"/>
      <c r="S22" s="69"/>
      <c r="T22" s="69"/>
      <c r="U22" s="69"/>
      <c r="V22" s="81">
        <v>7700</v>
      </c>
      <c r="W22" s="91">
        <f t="shared" si="4"/>
        <v>7700</v>
      </c>
      <c r="X22" s="91">
        <f t="shared" si="5"/>
        <v>30300</v>
      </c>
    </row>
    <row r="23" spans="1:24" ht="21.75" customHeight="1" x14ac:dyDescent="0.15">
      <c r="A23" s="96" t="s">
        <v>74</v>
      </c>
      <c r="B23" s="68">
        <f>'6月分'!AH19</f>
        <v>20</v>
      </c>
      <c r="C23" s="69">
        <v>1000</v>
      </c>
      <c r="D23" s="69"/>
      <c r="E23" s="69"/>
      <c r="F23" s="69"/>
      <c r="G23" s="69"/>
      <c r="H23" s="69">
        <f t="shared" si="6"/>
        <v>20000</v>
      </c>
      <c r="I23" s="69"/>
      <c r="J23" s="69"/>
      <c r="K23" s="69"/>
      <c r="L23" s="69"/>
      <c r="M23" s="69"/>
      <c r="N23" s="81"/>
      <c r="O23" s="91">
        <f t="shared" si="3"/>
        <v>20000</v>
      </c>
      <c r="P23" s="86"/>
      <c r="Q23" s="69"/>
      <c r="R23" s="69"/>
      <c r="S23" s="69"/>
      <c r="T23" s="69"/>
      <c r="U23" s="69"/>
      <c r="V23" s="81"/>
      <c r="W23" s="91">
        <f t="shared" si="4"/>
        <v>0</v>
      </c>
      <c r="X23" s="91">
        <f t="shared" si="5"/>
        <v>20000</v>
      </c>
    </row>
    <row r="24" spans="1:24" ht="21.75" customHeight="1" x14ac:dyDescent="0.15">
      <c r="A24" s="96" t="s">
        <v>75</v>
      </c>
      <c r="B24" s="68">
        <f>'6月分'!AH20</f>
        <v>0</v>
      </c>
      <c r="C24" s="69">
        <v>1000</v>
      </c>
      <c r="D24" s="69"/>
      <c r="E24" s="69"/>
      <c r="F24" s="69"/>
      <c r="G24" s="69"/>
      <c r="H24" s="69">
        <f t="shared" si="6"/>
        <v>0</v>
      </c>
      <c r="I24" s="69"/>
      <c r="J24" s="69"/>
      <c r="K24" s="69"/>
      <c r="L24" s="69"/>
      <c r="M24" s="69"/>
      <c r="N24" s="81"/>
      <c r="O24" s="91">
        <f t="shared" si="3"/>
        <v>0</v>
      </c>
      <c r="P24" s="86"/>
      <c r="Q24" s="69"/>
      <c r="R24" s="69"/>
      <c r="S24" s="69"/>
      <c r="T24" s="69"/>
      <c r="U24" s="69"/>
      <c r="V24" s="81"/>
      <c r="W24" s="91">
        <f t="shared" si="4"/>
        <v>0</v>
      </c>
      <c r="X24" s="91">
        <f t="shared" si="5"/>
        <v>0</v>
      </c>
    </row>
    <row r="25" spans="1:24" ht="21.75" customHeight="1" x14ac:dyDescent="0.15">
      <c r="A25" s="96" t="s">
        <v>76</v>
      </c>
      <c r="B25" s="68">
        <f>'6月分'!AH21</f>
        <v>18</v>
      </c>
      <c r="C25" s="69">
        <v>1000</v>
      </c>
      <c r="D25" s="69"/>
      <c r="E25" s="69"/>
      <c r="F25" s="69"/>
      <c r="G25" s="69"/>
      <c r="H25" s="69">
        <f t="shared" si="6"/>
        <v>18000</v>
      </c>
      <c r="I25" s="69"/>
      <c r="J25" s="69"/>
      <c r="K25" s="69"/>
      <c r="L25" s="69">
        <v>6650</v>
      </c>
      <c r="M25" s="69"/>
      <c r="N25" s="81"/>
      <c r="O25" s="91">
        <f t="shared" si="3"/>
        <v>24650</v>
      </c>
      <c r="P25" s="86"/>
      <c r="Q25" s="69"/>
      <c r="R25" s="69"/>
      <c r="S25" s="69"/>
      <c r="T25" s="69"/>
      <c r="U25" s="69"/>
      <c r="V25" s="81">
        <v>6650</v>
      </c>
      <c r="W25" s="91">
        <f t="shared" si="4"/>
        <v>6650</v>
      </c>
      <c r="X25" s="91">
        <f t="shared" si="5"/>
        <v>18000</v>
      </c>
    </row>
    <row r="26" spans="1:24" ht="21.75" customHeight="1" x14ac:dyDescent="0.15">
      <c r="A26" s="97" t="str">
        <f>'6月分'!B22</f>
        <v>岡田　直明</v>
      </c>
      <c r="B26" s="70">
        <f>'6月分'!AH22</f>
        <v>11</v>
      </c>
      <c r="C26" s="71">
        <v>1000</v>
      </c>
      <c r="D26" s="71"/>
      <c r="E26" s="71"/>
      <c r="F26" s="71"/>
      <c r="G26" s="71"/>
      <c r="H26" s="69">
        <f t="shared" si="6"/>
        <v>11000</v>
      </c>
      <c r="I26" s="71"/>
      <c r="J26" s="71"/>
      <c r="K26" s="71"/>
      <c r="L26" s="71"/>
      <c r="M26" s="71"/>
      <c r="N26" s="82"/>
      <c r="O26" s="91">
        <f t="shared" si="3"/>
        <v>11000</v>
      </c>
      <c r="P26" s="87"/>
      <c r="Q26" s="71"/>
      <c r="R26" s="71"/>
      <c r="S26" s="71"/>
      <c r="T26" s="71"/>
      <c r="U26" s="71"/>
      <c r="V26" s="82"/>
      <c r="W26" s="91">
        <f t="shared" si="4"/>
        <v>0</v>
      </c>
      <c r="X26" s="91">
        <f t="shared" si="5"/>
        <v>11000</v>
      </c>
    </row>
    <row r="27" spans="1:24" ht="21.75" customHeight="1" x14ac:dyDescent="0.15">
      <c r="A27" s="97" t="str">
        <f>'6月分'!B23</f>
        <v>神田　幸弘</v>
      </c>
      <c r="B27" s="70">
        <f>'6月分'!AH23</f>
        <v>20</v>
      </c>
      <c r="C27" s="71">
        <v>1000</v>
      </c>
      <c r="D27" s="71"/>
      <c r="E27" s="71"/>
      <c r="F27" s="71"/>
      <c r="G27" s="71"/>
      <c r="H27" s="69">
        <f t="shared" si="6"/>
        <v>20000</v>
      </c>
      <c r="I27" s="71"/>
      <c r="J27" s="71"/>
      <c r="K27" s="71"/>
      <c r="L27" s="71"/>
      <c r="M27" s="71"/>
      <c r="N27" s="82"/>
      <c r="O27" s="91">
        <f t="shared" si="3"/>
        <v>20000</v>
      </c>
      <c r="P27" s="87"/>
      <c r="Q27" s="71"/>
      <c r="R27" s="71"/>
      <c r="S27" s="71"/>
      <c r="T27" s="71"/>
      <c r="U27" s="71"/>
      <c r="V27" s="82">
        <v>2100</v>
      </c>
      <c r="W27" s="91">
        <f t="shared" si="4"/>
        <v>2100</v>
      </c>
      <c r="X27" s="91">
        <f t="shared" si="5"/>
        <v>17900</v>
      </c>
    </row>
    <row r="28" spans="1:24" ht="21.75" customHeight="1" x14ac:dyDescent="0.15">
      <c r="A28" s="78" t="s">
        <v>110</v>
      </c>
      <c r="B28" s="70">
        <f>'6月分'!AH24</f>
        <v>6</v>
      </c>
      <c r="C28" s="71">
        <v>1000</v>
      </c>
      <c r="D28" s="71"/>
      <c r="E28" s="71"/>
      <c r="F28" s="71"/>
      <c r="G28" s="71"/>
      <c r="H28" s="71">
        <f t="shared" si="6"/>
        <v>6000</v>
      </c>
      <c r="I28" s="71"/>
      <c r="J28" s="71"/>
      <c r="K28" s="71"/>
      <c r="L28" s="71"/>
      <c r="M28" s="71"/>
      <c r="N28" s="82"/>
      <c r="O28" s="92">
        <f t="shared" si="3"/>
        <v>6000</v>
      </c>
      <c r="P28" s="87"/>
      <c r="Q28" s="71"/>
      <c r="R28" s="71"/>
      <c r="S28" s="71"/>
      <c r="T28" s="71"/>
      <c r="U28" s="71"/>
      <c r="V28" s="82"/>
      <c r="W28" s="91">
        <f t="shared" si="4"/>
        <v>0</v>
      </c>
      <c r="X28" s="91">
        <f t="shared" si="5"/>
        <v>6000</v>
      </c>
    </row>
    <row r="29" spans="1:24" ht="21.75" customHeight="1" x14ac:dyDescent="0.15">
      <c r="A29" s="78" t="s">
        <v>111</v>
      </c>
      <c r="B29" s="70">
        <f>'6月分'!AH25</f>
        <v>21</v>
      </c>
      <c r="C29" s="71">
        <v>1000</v>
      </c>
      <c r="D29" s="71"/>
      <c r="E29" s="71"/>
      <c r="F29" s="71"/>
      <c r="G29" s="71"/>
      <c r="H29" s="71">
        <f t="shared" si="6"/>
        <v>21000</v>
      </c>
      <c r="I29" s="71"/>
      <c r="J29" s="71"/>
      <c r="K29" s="71"/>
      <c r="L29" s="71"/>
      <c r="M29" s="71"/>
      <c r="N29" s="82"/>
      <c r="O29" s="92">
        <f t="shared" si="3"/>
        <v>21000</v>
      </c>
      <c r="P29" s="87"/>
      <c r="Q29" s="71"/>
      <c r="R29" s="71"/>
      <c r="S29" s="71"/>
      <c r="T29" s="71"/>
      <c r="U29" s="71"/>
      <c r="V29" s="82">
        <v>5950</v>
      </c>
      <c r="W29" s="91">
        <f t="shared" si="4"/>
        <v>5950</v>
      </c>
      <c r="X29" s="91">
        <f t="shared" si="5"/>
        <v>15050</v>
      </c>
    </row>
    <row r="30" spans="1:24" ht="21.75" customHeight="1" x14ac:dyDescent="0.15">
      <c r="A30" s="11" t="s">
        <v>112</v>
      </c>
      <c r="B30" s="70">
        <f>'6月分'!AH26</f>
        <v>17</v>
      </c>
      <c r="C30" s="71">
        <v>1000</v>
      </c>
      <c r="D30" s="71"/>
      <c r="E30" s="71"/>
      <c r="F30" s="71"/>
      <c r="G30" s="71"/>
      <c r="H30" s="71">
        <f t="shared" si="6"/>
        <v>17000</v>
      </c>
      <c r="I30" s="71"/>
      <c r="J30" s="71"/>
      <c r="K30" s="71"/>
      <c r="L30" s="71"/>
      <c r="M30" s="71"/>
      <c r="N30" s="82"/>
      <c r="O30" s="92">
        <f t="shared" si="3"/>
        <v>17000</v>
      </c>
      <c r="P30" s="87"/>
      <c r="Q30" s="71"/>
      <c r="R30" s="71"/>
      <c r="S30" s="71"/>
      <c r="T30" s="71"/>
      <c r="U30" s="71"/>
      <c r="V30" s="82"/>
      <c r="W30" s="91">
        <f t="shared" si="4"/>
        <v>0</v>
      </c>
      <c r="X30" s="91">
        <f t="shared" si="5"/>
        <v>17000</v>
      </c>
    </row>
    <row r="31" spans="1:24" ht="21.75" customHeight="1" x14ac:dyDescent="0.15">
      <c r="A31" s="78" t="s">
        <v>78</v>
      </c>
      <c r="B31" s="70">
        <f>'6月分'!AH27</f>
        <v>21</v>
      </c>
      <c r="C31" s="71">
        <v>1000</v>
      </c>
      <c r="D31" s="71"/>
      <c r="E31" s="71"/>
      <c r="F31" s="71"/>
      <c r="G31" s="71"/>
      <c r="H31" s="71">
        <f t="shared" si="6"/>
        <v>21000</v>
      </c>
      <c r="I31" s="71"/>
      <c r="J31" s="71"/>
      <c r="K31" s="71"/>
      <c r="L31" s="71">
        <v>7350</v>
      </c>
      <c r="M31" s="71"/>
      <c r="N31" s="82"/>
      <c r="O31" s="92">
        <f t="shared" si="3"/>
        <v>28350</v>
      </c>
      <c r="P31" s="87"/>
      <c r="Q31" s="71"/>
      <c r="R31" s="71"/>
      <c r="S31" s="71"/>
      <c r="T31" s="71"/>
      <c r="U31" s="71"/>
      <c r="V31" s="82">
        <v>7350</v>
      </c>
      <c r="W31" s="91">
        <f t="shared" si="4"/>
        <v>7350</v>
      </c>
      <c r="X31" s="91">
        <f t="shared" si="5"/>
        <v>21000</v>
      </c>
    </row>
    <row r="32" spans="1:24" ht="21.75" customHeight="1" x14ac:dyDescent="0.15">
      <c r="A32" s="78" t="s">
        <v>77</v>
      </c>
      <c r="B32" s="70">
        <f>'6月分'!AH28</f>
        <v>22</v>
      </c>
      <c r="C32" s="71">
        <v>1000</v>
      </c>
      <c r="D32" s="71"/>
      <c r="E32" s="71"/>
      <c r="F32" s="71"/>
      <c r="G32" s="71"/>
      <c r="H32" s="71">
        <f t="shared" si="6"/>
        <v>22000</v>
      </c>
      <c r="I32" s="71"/>
      <c r="J32" s="71"/>
      <c r="K32" s="71"/>
      <c r="L32" s="71">
        <v>7700</v>
      </c>
      <c r="M32" s="71"/>
      <c r="N32" s="82"/>
      <c r="O32" s="92">
        <f t="shared" si="3"/>
        <v>29700</v>
      </c>
      <c r="P32" s="87"/>
      <c r="Q32" s="71"/>
      <c r="R32" s="71"/>
      <c r="S32" s="71"/>
      <c r="T32" s="71"/>
      <c r="U32" s="71"/>
      <c r="V32" s="82">
        <v>7700</v>
      </c>
      <c r="W32" s="91">
        <f t="shared" si="4"/>
        <v>7700</v>
      </c>
      <c r="X32" s="91">
        <f t="shared" si="5"/>
        <v>22000</v>
      </c>
    </row>
    <row r="33" spans="1:25" ht="21.75" customHeight="1" x14ac:dyDescent="0.15">
      <c r="A33" s="78" t="s">
        <v>153</v>
      </c>
      <c r="B33" s="70">
        <f>'6月分'!AH29</f>
        <v>5</v>
      </c>
      <c r="C33" s="71">
        <v>1000</v>
      </c>
      <c r="D33" s="71"/>
      <c r="E33" s="71"/>
      <c r="F33" s="71"/>
      <c r="G33" s="71"/>
      <c r="H33" s="71">
        <f t="shared" si="6"/>
        <v>5000</v>
      </c>
      <c r="I33" s="71"/>
      <c r="J33" s="71"/>
      <c r="K33" s="71"/>
      <c r="L33" s="71"/>
      <c r="M33" s="71"/>
      <c r="N33" s="82"/>
      <c r="O33" s="92">
        <f t="shared" si="3"/>
        <v>5000</v>
      </c>
      <c r="P33" s="87"/>
      <c r="Q33" s="71"/>
      <c r="R33" s="71"/>
      <c r="S33" s="71"/>
      <c r="T33" s="71"/>
      <c r="U33" s="71"/>
      <c r="V33" s="82"/>
      <c r="W33" s="91">
        <f t="shared" si="4"/>
        <v>0</v>
      </c>
      <c r="X33" s="91">
        <f t="shared" si="5"/>
        <v>5000</v>
      </c>
    </row>
    <row r="34" spans="1:25" ht="21.75" customHeight="1" x14ac:dyDescent="0.15">
      <c r="A34" s="161"/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82"/>
      <c r="O34" s="92"/>
      <c r="P34" s="87"/>
      <c r="Q34" s="71"/>
      <c r="R34" s="71"/>
      <c r="S34" s="71"/>
      <c r="T34" s="71"/>
      <c r="U34" s="71"/>
      <c r="V34" s="82"/>
      <c r="W34" s="92"/>
      <c r="X34" s="92"/>
    </row>
    <row r="35" spans="1:25" ht="21.75" customHeight="1" thickBot="1" x14ac:dyDescent="0.2">
      <c r="A35" s="97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82"/>
      <c r="O35" s="92"/>
      <c r="P35" s="87"/>
      <c r="Q35" s="71"/>
      <c r="R35" s="71"/>
      <c r="S35" s="71"/>
      <c r="T35" s="71"/>
      <c r="U35" s="71"/>
      <c r="V35" s="82"/>
      <c r="W35" s="92"/>
      <c r="X35" s="92"/>
    </row>
    <row r="36" spans="1:25" ht="21.75" customHeight="1" thickBot="1" x14ac:dyDescent="0.2">
      <c r="A36" s="80" t="s">
        <v>84</v>
      </c>
      <c r="B36" s="72"/>
      <c r="C36" s="73"/>
      <c r="D36" s="73"/>
      <c r="E36" s="73"/>
      <c r="F36" s="73"/>
      <c r="G36" s="73"/>
      <c r="H36" s="73">
        <f>SUM(H16:H35)</f>
        <v>311000</v>
      </c>
      <c r="I36" s="73"/>
      <c r="J36" s="73"/>
      <c r="K36" s="73">
        <f>SUM(K16:K35)</f>
        <v>0</v>
      </c>
      <c r="L36" s="73">
        <f>SUM(L16:L25)</f>
        <v>6650</v>
      </c>
      <c r="M36" s="73">
        <f>SUM(M16:M25)</f>
        <v>0</v>
      </c>
      <c r="N36" s="83">
        <f>SUM(N15:N35)</f>
        <v>5000</v>
      </c>
      <c r="O36" s="93">
        <f>SUM(O16:O34)</f>
        <v>337700</v>
      </c>
      <c r="P36" s="88"/>
      <c r="Q36" s="73"/>
      <c r="R36" s="73"/>
      <c r="S36" s="73"/>
      <c r="T36" s="73"/>
      <c r="U36" s="73"/>
      <c r="V36" s="83">
        <f>SUM(V16:V34)</f>
        <v>50500</v>
      </c>
      <c r="W36" s="93">
        <f>SUM(W16:W35)</f>
        <v>50500</v>
      </c>
      <c r="X36" s="93">
        <f>SUM(X16:X35)</f>
        <v>287200</v>
      </c>
    </row>
    <row r="37" spans="1:25" ht="21.75" customHeight="1" x14ac:dyDescent="0.15">
      <c r="A37" s="98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84"/>
      <c r="O37" s="94"/>
      <c r="P37" s="89"/>
      <c r="Q37" s="75"/>
      <c r="R37" s="75"/>
      <c r="S37" s="75"/>
      <c r="T37" s="75"/>
      <c r="U37" s="75"/>
      <c r="V37" s="84"/>
      <c r="W37" s="94"/>
      <c r="X37" s="94"/>
    </row>
    <row r="38" spans="1:25" ht="21.75" customHeight="1" x14ac:dyDescent="0.15">
      <c r="A38" s="96"/>
      <c r="B38" s="68"/>
      <c r="C38" s="69"/>
      <c r="D38" s="69"/>
      <c r="E38" s="69"/>
      <c r="F38" s="69"/>
      <c r="G38" s="69"/>
      <c r="H38" s="69">
        <f>B38*C38</f>
        <v>0</v>
      </c>
      <c r="I38" s="69"/>
      <c r="J38" s="69"/>
      <c r="K38" s="69"/>
      <c r="L38" s="69"/>
      <c r="M38" s="69"/>
      <c r="N38" s="81"/>
      <c r="O38" s="91">
        <f t="shared" si="3"/>
        <v>0</v>
      </c>
      <c r="P38" s="86"/>
      <c r="Q38" s="69"/>
      <c r="R38" s="69"/>
      <c r="S38" s="69"/>
      <c r="T38" s="69"/>
      <c r="U38" s="69"/>
      <c r="V38" s="81"/>
      <c r="W38" s="91">
        <f>SUM(P38:V38)</f>
        <v>0</v>
      </c>
      <c r="X38" s="91">
        <f t="shared" si="5"/>
        <v>0</v>
      </c>
    </row>
    <row r="39" spans="1:25" ht="21.75" customHeight="1" x14ac:dyDescent="0.15">
      <c r="A39" s="96"/>
      <c r="B39" s="68"/>
      <c r="C39" s="69"/>
      <c r="D39" s="69"/>
      <c r="E39" s="69"/>
      <c r="F39" s="69"/>
      <c r="G39" s="69"/>
      <c r="H39" s="69">
        <f t="shared" ref="H39" si="7">B39*C39</f>
        <v>0</v>
      </c>
      <c r="I39" s="69"/>
      <c r="J39" s="69"/>
      <c r="K39" s="69"/>
      <c r="L39" s="69"/>
      <c r="M39" s="69"/>
      <c r="N39" s="81"/>
      <c r="O39" s="91">
        <f t="shared" si="3"/>
        <v>0</v>
      </c>
      <c r="P39" s="86"/>
      <c r="Q39" s="69"/>
      <c r="R39" s="69"/>
      <c r="S39" s="69"/>
      <c r="T39" s="69"/>
      <c r="U39" s="69"/>
      <c r="V39" s="81"/>
      <c r="W39" s="91">
        <f>SUM(P39:V39)</f>
        <v>0</v>
      </c>
      <c r="X39" s="91">
        <f t="shared" si="5"/>
        <v>0</v>
      </c>
    </row>
    <row r="40" spans="1:25" ht="21.75" customHeight="1" x14ac:dyDescent="0.15">
      <c r="A40" s="96" t="s">
        <v>143</v>
      </c>
      <c r="B40" s="68">
        <f>'6月分'!AH31</f>
        <v>13</v>
      </c>
      <c r="C40" s="69">
        <v>800</v>
      </c>
      <c r="D40" s="69"/>
      <c r="E40" s="69"/>
      <c r="F40" s="69"/>
      <c r="G40" s="69"/>
      <c r="H40" s="69">
        <f>B40*C40</f>
        <v>10400</v>
      </c>
      <c r="I40" s="69"/>
      <c r="J40" s="69"/>
      <c r="K40" s="69"/>
      <c r="L40" s="69"/>
      <c r="M40" s="69"/>
      <c r="N40" s="81"/>
      <c r="O40" s="91">
        <f t="shared" si="3"/>
        <v>10400</v>
      </c>
      <c r="P40" s="86"/>
      <c r="Q40" s="69"/>
      <c r="R40" s="69"/>
      <c r="S40" s="69"/>
      <c r="T40" s="69"/>
      <c r="U40" s="69"/>
      <c r="V40" s="81"/>
      <c r="W40" s="91">
        <f>SUM(P40:V40)</f>
        <v>0</v>
      </c>
      <c r="X40" s="91">
        <f>O40-W40</f>
        <v>10400</v>
      </c>
    </row>
    <row r="41" spans="1:25" ht="21.75" customHeight="1" x14ac:dyDescent="0.15">
      <c r="A41" s="97"/>
      <c r="B41" s="70"/>
      <c r="C41" s="71"/>
      <c r="D41" s="71"/>
      <c r="E41" s="71"/>
      <c r="F41" s="71"/>
      <c r="G41" s="71"/>
      <c r="H41" s="71">
        <f>B41*C41</f>
        <v>0</v>
      </c>
      <c r="I41" s="71"/>
      <c r="J41" s="71"/>
      <c r="K41" s="71"/>
      <c r="L41" s="71"/>
      <c r="M41" s="71"/>
      <c r="N41" s="82"/>
      <c r="O41" s="92">
        <f>SUM(H41:N41)</f>
        <v>0</v>
      </c>
      <c r="P41" s="87"/>
      <c r="Q41" s="71"/>
      <c r="R41" s="71"/>
      <c r="S41" s="71"/>
      <c r="T41" s="71"/>
      <c r="U41" s="71"/>
      <c r="V41" s="82">
        <v>0</v>
      </c>
      <c r="W41" s="92">
        <f>SUM(P41:V41)</f>
        <v>0</v>
      </c>
      <c r="X41" s="92">
        <f>O41-W41</f>
        <v>0</v>
      </c>
    </row>
    <row r="42" spans="1:25" ht="21.75" customHeight="1" x14ac:dyDescent="0.15">
      <c r="A42" s="134"/>
      <c r="B42" s="68"/>
      <c r="C42" s="69"/>
      <c r="D42" s="69"/>
      <c r="E42" s="69"/>
      <c r="F42" s="69"/>
      <c r="G42" s="69"/>
      <c r="H42" s="69">
        <f>B42*C42</f>
        <v>0</v>
      </c>
      <c r="I42" s="69"/>
      <c r="J42" s="69"/>
      <c r="K42" s="69"/>
      <c r="L42" s="69"/>
      <c r="M42" s="69"/>
      <c r="N42" s="81"/>
      <c r="O42" s="91">
        <f>SUM(H42:N42)</f>
        <v>0</v>
      </c>
      <c r="P42" s="86"/>
      <c r="Q42" s="69"/>
      <c r="R42" s="69"/>
      <c r="S42" s="69"/>
      <c r="T42" s="69"/>
      <c r="U42" s="69"/>
      <c r="V42" s="81">
        <v>0</v>
      </c>
      <c r="W42" s="91">
        <f>SUM(P42:V42)</f>
        <v>0</v>
      </c>
      <c r="X42" s="91">
        <f>O42-W42</f>
        <v>0</v>
      </c>
    </row>
    <row r="43" spans="1:25" ht="21.75" customHeight="1" thickBot="1" x14ac:dyDescent="0.2">
      <c r="A43" s="98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85"/>
      <c r="O43" s="95"/>
      <c r="P43" s="90"/>
      <c r="Q43" s="74"/>
      <c r="R43" s="74"/>
      <c r="S43" s="74"/>
      <c r="T43" s="74"/>
      <c r="U43" s="74"/>
      <c r="V43" s="85"/>
      <c r="W43" s="95"/>
      <c r="X43" s="95"/>
    </row>
    <row r="44" spans="1:25" ht="21.75" customHeight="1" thickBot="1" x14ac:dyDescent="0.2">
      <c r="A44" s="79" t="s">
        <v>85</v>
      </c>
      <c r="B44" s="72"/>
      <c r="C44" s="73"/>
      <c r="D44" s="73"/>
      <c r="E44" s="73"/>
      <c r="F44" s="73"/>
      <c r="G44" s="73"/>
      <c r="H44" s="73">
        <f>SUM(H38:H43)</f>
        <v>10400</v>
      </c>
      <c r="I44" s="73"/>
      <c r="J44" s="73"/>
      <c r="K44" s="73"/>
      <c r="L44" s="73">
        <f>SUM(L38:L43)</f>
        <v>0</v>
      </c>
      <c r="M44" s="73">
        <f>SUM(M38:M42)</f>
        <v>0</v>
      </c>
      <c r="N44" s="83"/>
      <c r="O44" s="93">
        <f>SUM(O38:O43)</f>
        <v>10400</v>
      </c>
      <c r="P44" s="88"/>
      <c r="Q44" s="73"/>
      <c r="R44" s="73"/>
      <c r="S44" s="73"/>
      <c r="T44" s="73"/>
      <c r="U44" s="73"/>
      <c r="V44" s="83">
        <f>SUM(V38:V43)</f>
        <v>0</v>
      </c>
      <c r="W44" s="93">
        <f>SUM(W38:W43)</f>
        <v>0</v>
      </c>
      <c r="X44" s="93">
        <f>SUM(X38:X43)</f>
        <v>10400</v>
      </c>
    </row>
    <row r="45" spans="1:25" ht="33.75" customHeight="1" thickBot="1" x14ac:dyDescent="0.2">
      <c r="A45" s="79" t="s">
        <v>86</v>
      </c>
      <c r="B45" s="72"/>
      <c r="C45" s="72"/>
      <c r="D45" s="72"/>
      <c r="E45" s="72"/>
      <c r="F45" s="72"/>
      <c r="G45" s="72"/>
      <c r="H45" s="73">
        <f>H8+H14+H36+H44</f>
        <v>1040080</v>
      </c>
      <c r="I45" s="73">
        <f>I8+I14+I36+I44</f>
        <v>0</v>
      </c>
      <c r="J45" s="73">
        <f t="shared" ref="J45:N45" si="8">J8+J14+J36+J44</f>
        <v>0</v>
      </c>
      <c r="K45" s="73">
        <f t="shared" si="8"/>
        <v>5000</v>
      </c>
      <c r="L45" s="73">
        <f t="shared" si="8"/>
        <v>6650</v>
      </c>
      <c r="M45" s="73">
        <f t="shared" si="8"/>
        <v>10000</v>
      </c>
      <c r="N45" s="73">
        <f t="shared" si="8"/>
        <v>5000</v>
      </c>
      <c r="O45" s="93">
        <f>O8+O14+O36+O44</f>
        <v>1081780</v>
      </c>
      <c r="P45" s="88">
        <f t="shared" ref="P45:U45" si="9">P8+P14+P36+P42</f>
        <v>22750</v>
      </c>
      <c r="Q45" s="73">
        <f t="shared" si="9"/>
        <v>37570</v>
      </c>
      <c r="R45" s="73">
        <f t="shared" si="9"/>
        <v>2170</v>
      </c>
      <c r="S45" s="73">
        <f t="shared" si="9"/>
        <v>10630</v>
      </c>
      <c r="T45" s="73">
        <f t="shared" si="9"/>
        <v>0</v>
      </c>
      <c r="U45" s="73">
        <f t="shared" si="9"/>
        <v>0</v>
      </c>
      <c r="V45" s="83">
        <f>V8+V14+V36+V44</f>
        <v>53650</v>
      </c>
      <c r="W45" s="93">
        <f>W8+W14+W36+W44</f>
        <v>176770</v>
      </c>
      <c r="X45" s="93">
        <f>O45-P45-Q45-R45-S45-V45</f>
        <v>955010</v>
      </c>
      <c r="Y45" s="163"/>
    </row>
    <row r="47" spans="1:25" x14ac:dyDescent="0.15">
      <c r="O47" s="163">
        <f>H45+I45+J45+K45+L45+M45+N45</f>
        <v>1066730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zoomScale="85" zoomScaleNormal="85" workbookViewId="0">
      <selection sqref="A1:P448"/>
    </sheetView>
  </sheetViews>
  <sheetFormatPr defaultRowHeight="13.5" x14ac:dyDescent="0.1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 x14ac:dyDescent="0.15">
      <c r="A1" s="210" t="s">
        <v>16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1" t="s">
        <v>154</v>
      </c>
      <c r="N1" s="211"/>
      <c r="O1" s="211"/>
      <c r="P1" s="211"/>
    </row>
    <row r="2" spans="1:16" ht="14.25" thickBot="1" x14ac:dyDescent="0.2"/>
    <row r="3" spans="1:16" ht="21.75" customHeight="1" x14ac:dyDescent="0.15">
      <c r="A3" s="207" t="s">
        <v>17</v>
      </c>
      <c r="B3" s="208"/>
      <c r="C3" s="233" t="str">
        <f>賃金集計表!A5</f>
        <v>岡﨑　峻喬</v>
      </c>
      <c r="D3" s="234"/>
      <c r="E3" s="234"/>
      <c r="F3" s="234"/>
      <c r="G3" s="237" t="s">
        <v>88</v>
      </c>
      <c r="H3" s="208" t="s">
        <v>18</v>
      </c>
      <c r="I3" s="208"/>
      <c r="J3" s="208"/>
      <c r="K3" s="208" t="s">
        <v>19</v>
      </c>
      <c r="L3" s="208"/>
      <c r="M3" s="208"/>
      <c r="N3" s="208" t="s">
        <v>20</v>
      </c>
      <c r="O3" s="208"/>
      <c r="P3" s="214"/>
    </row>
    <row r="4" spans="1:16" ht="21.75" customHeight="1" thickBot="1" x14ac:dyDescent="0.2">
      <c r="A4" s="212"/>
      <c r="B4" s="213"/>
      <c r="C4" s="235"/>
      <c r="D4" s="236"/>
      <c r="E4" s="236"/>
      <c r="F4" s="236"/>
      <c r="G4" s="238"/>
      <c r="H4" s="215">
        <f>賃金集計表!B5</f>
        <v>23</v>
      </c>
      <c r="I4" s="215"/>
      <c r="J4" s="215"/>
      <c r="K4" s="215"/>
      <c r="L4" s="215"/>
      <c r="M4" s="215"/>
      <c r="N4" s="215"/>
      <c r="O4" s="215"/>
      <c r="P4" s="216"/>
    </row>
    <row r="5" spans="1:16" ht="9" customHeight="1" thickBot="1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ht="21.75" customHeight="1" x14ac:dyDescent="0.15">
      <c r="A6" s="207" t="s">
        <v>21</v>
      </c>
      <c r="B6" s="208"/>
      <c r="C6" s="209" t="s">
        <v>20</v>
      </c>
      <c r="D6" s="209"/>
      <c r="E6" s="208"/>
      <c r="F6" s="208"/>
      <c r="G6" s="208"/>
      <c r="H6" s="208"/>
      <c r="I6" s="208" t="s">
        <v>22</v>
      </c>
      <c r="J6" s="208"/>
      <c r="K6" s="202"/>
      <c r="L6" s="202"/>
      <c r="M6" s="202"/>
      <c r="N6" s="202"/>
      <c r="O6" s="202"/>
      <c r="P6" s="203"/>
    </row>
    <row r="7" spans="1:16" ht="30" customHeight="1" thickBot="1" x14ac:dyDescent="0.2">
      <c r="A7" s="204">
        <f>賃金集計表!H5</f>
        <v>280000</v>
      </c>
      <c r="B7" s="205"/>
      <c r="C7" s="205"/>
      <c r="D7" s="205"/>
      <c r="E7" s="205"/>
      <c r="F7" s="205"/>
      <c r="G7" s="205"/>
      <c r="H7" s="205"/>
      <c r="I7" s="205">
        <f>賃金集計表!M5</f>
        <v>10000</v>
      </c>
      <c r="J7" s="205"/>
      <c r="K7" s="205"/>
      <c r="L7" s="205"/>
      <c r="M7" s="205"/>
      <c r="N7" s="205"/>
      <c r="O7" s="205"/>
      <c r="P7" s="206"/>
    </row>
    <row r="8" spans="1:16" ht="9" customHeight="1" thickBot="1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1:16" ht="21.75" customHeight="1" x14ac:dyDescent="0.15">
      <c r="A9" s="207" t="s">
        <v>23</v>
      </c>
      <c r="B9" s="208"/>
      <c r="C9" s="209" t="s">
        <v>24</v>
      </c>
      <c r="D9" s="209"/>
      <c r="E9" s="208" t="s">
        <v>25</v>
      </c>
      <c r="F9" s="208"/>
      <c r="G9" s="208" t="s">
        <v>26</v>
      </c>
      <c r="H9" s="208"/>
      <c r="I9" s="208" t="s">
        <v>27</v>
      </c>
      <c r="J9" s="208"/>
      <c r="K9" s="202"/>
      <c r="L9" s="202"/>
      <c r="M9" s="202"/>
      <c r="N9" s="202"/>
      <c r="O9" s="208" t="s">
        <v>89</v>
      </c>
      <c r="P9" s="214"/>
    </row>
    <row r="10" spans="1:16" ht="30" customHeight="1" thickBot="1" x14ac:dyDescent="0.2">
      <c r="A10" s="204">
        <f>賃金集計表!P5</f>
        <v>14042</v>
      </c>
      <c r="B10" s="205"/>
      <c r="C10" s="205">
        <f>賃金集計表!Q5</f>
        <v>24464</v>
      </c>
      <c r="D10" s="205"/>
      <c r="E10" s="205">
        <f>賃金集計表!R5</f>
        <v>1450</v>
      </c>
      <c r="F10" s="205"/>
      <c r="G10" s="205">
        <f>賃金集計表!T5</f>
        <v>0</v>
      </c>
      <c r="H10" s="205"/>
      <c r="I10" s="205">
        <f>賃金集計表!S5</f>
        <v>4920</v>
      </c>
      <c r="J10" s="205"/>
      <c r="K10" s="205"/>
      <c r="L10" s="205"/>
      <c r="M10" s="205"/>
      <c r="N10" s="205"/>
      <c r="O10" s="205">
        <f>賃金集計表!V5</f>
        <v>0</v>
      </c>
      <c r="P10" s="206"/>
    </row>
    <row r="11" spans="1:16" ht="9" customHeight="1" thickBot="1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 spans="1:16" ht="21.75" customHeight="1" thickTop="1" x14ac:dyDescent="0.15">
      <c r="A12" s="217" t="s">
        <v>28</v>
      </c>
      <c r="B12" s="218"/>
      <c r="C12" s="218"/>
      <c r="D12" s="218" t="s">
        <v>29</v>
      </c>
      <c r="E12" s="218"/>
      <c r="F12" s="218"/>
      <c r="G12" s="218" t="s">
        <v>30</v>
      </c>
      <c r="H12" s="218"/>
      <c r="I12" s="219"/>
      <c r="J12" s="50"/>
      <c r="K12" s="220" t="s">
        <v>31</v>
      </c>
      <c r="L12" s="221"/>
      <c r="M12" s="221"/>
      <c r="N12" s="221"/>
      <c r="O12" s="221"/>
      <c r="P12" s="221"/>
    </row>
    <row r="13" spans="1:16" ht="30" customHeight="1" thickBot="1" x14ac:dyDescent="0.2">
      <c r="A13" s="222">
        <f>SUM(A7:P7)</f>
        <v>290000</v>
      </c>
      <c r="B13" s="223"/>
      <c r="C13" s="223"/>
      <c r="D13" s="224">
        <f>SUM(A10:P10)</f>
        <v>44876</v>
      </c>
      <c r="E13" s="223"/>
      <c r="F13" s="223"/>
      <c r="G13" s="224">
        <f>A13-D13</f>
        <v>245124</v>
      </c>
      <c r="H13" s="223"/>
      <c r="I13" s="225"/>
      <c r="J13" s="43"/>
      <c r="K13" s="226" t="s">
        <v>32</v>
      </c>
      <c r="L13" s="227"/>
      <c r="M13" s="227"/>
      <c r="N13" s="227"/>
      <c r="O13" s="227"/>
      <c r="P13" s="227"/>
    </row>
    <row r="14" spans="1:16" ht="14.25" thickTop="1" x14ac:dyDescent="0.15"/>
    <row r="16" spans="1:16" ht="30" customHeight="1" x14ac:dyDescent="0.15">
      <c r="A16" s="228" t="s">
        <v>16</v>
      </c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11" t="s">
        <v>154</v>
      </c>
      <c r="N16" s="211"/>
      <c r="O16" s="211"/>
      <c r="P16" s="211"/>
    </row>
    <row r="17" spans="1:16" ht="14.25" thickBot="1" x14ac:dyDescent="0.2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ht="21.75" customHeight="1" x14ac:dyDescent="0.15">
      <c r="A18" s="207" t="s">
        <v>17</v>
      </c>
      <c r="B18" s="208"/>
      <c r="C18" s="233" t="str">
        <f>賃金集計表!A6</f>
        <v>山内　雄司</v>
      </c>
      <c r="D18" s="234"/>
      <c r="E18" s="234"/>
      <c r="F18" s="234"/>
      <c r="G18" s="237" t="s">
        <v>88</v>
      </c>
      <c r="H18" s="208" t="s">
        <v>18</v>
      </c>
      <c r="I18" s="208"/>
      <c r="J18" s="208"/>
      <c r="K18" s="208" t="s">
        <v>19</v>
      </c>
      <c r="L18" s="208"/>
      <c r="M18" s="208"/>
      <c r="N18" s="208" t="s">
        <v>20</v>
      </c>
      <c r="O18" s="208"/>
      <c r="P18" s="214"/>
    </row>
    <row r="19" spans="1:16" ht="21.75" customHeight="1" thickBot="1" x14ac:dyDescent="0.2">
      <c r="A19" s="212"/>
      <c r="B19" s="213"/>
      <c r="C19" s="235"/>
      <c r="D19" s="236"/>
      <c r="E19" s="236"/>
      <c r="F19" s="236"/>
      <c r="G19" s="238"/>
      <c r="H19" s="215">
        <f>賃金集計表!B6</f>
        <v>22</v>
      </c>
      <c r="I19" s="215"/>
      <c r="J19" s="215"/>
      <c r="K19" s="215"/>
      <c r="L19" s="215"/>
      <c r="M19" s="215"/>
      <c r="N19" s="215"/>
      <c r="O19" s="215"/>
      <c r="P19" s="216"/>
    </row>
    <row r="20" spans="1:16" ht="9" customHeight="1" thickBot="1" x14ac:dyDescent="0.2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21.75" customHeight="1" x14ac:dyDescent="0.15">
      <c r="A21" s="207" t="s">
        <v>21</v>
      </c>
      <c r="B21" s="208"/>
      <c r="C21" s="209" t="s">
        <v>20</v>
      </c>
      <c r="D21" s="209"/>
      <c r="E21" s="208"/>
      <c r="F21" s="208"/>
      <c r="G21" s="208"/>
      <c r="H21" s="208"/>
      <c r="I21" s="208" t="s">
        <v>22</v>
      </c>
      <c r="J21" s="208"/>
      <c r="K21" s="202"/>
      <c r="L21" s="202"/>
      <c r="M21" s="202"/>
      <c r="N21" s="202"/>
      <c r="O21" s="202"/>
      <c r="P21" s="203"/>
    </row>
    <row r="22" spans="1:16" ht="30" customHeight="1" thickBot="1" x14ac:dyDescent="0.2">
      <c r="A22" s="204">
        <f>賃金集計表!H6</f>
        <v>200000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6"/>
    </row>
    <row r="23" spans="1:16" ht="9" customHeight="1" thickBot="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spans="1:16" ht="21.75" customHeight="1" x14ac:dyDescent="0.15">
      <c r="A24" s="207" t="s">
        <v>23</v>
      </c>
      <c r="B24" s="208"/>
      <c r="C24" s="209" t="s">
        <v>24</v>
      </c>
      <c r="D24" s="209"/>
      <c r="E24" s="208" t="s">
        <v>25</v>
      </c>
      <c r="F24" s="208"/>
      <c r="G24" s="208" t="s">
        <v>26</v>
      </c>
      <c r="H24" s="208"/>
      <c r="I24" s="208" t="s">
        <v>27</v>
      </c>
      <c r="J24" s="208"/>
      <c r="K24" s="202"/>
      <c r="L24" s="202"/>
      <c r="M24" s="208" t="s">
        <v>165</v>
      </c>
      <c r="N24" s="208"/>
      <c r="O24" s="208" t="s">
        <v>80</v>
      </c>
      <c r="P24" s="214"/>
    </row>
    <row r="25" spans="1:16" ht="30" customHeight="1" thickBot="1" x14ac:dyDescent="0.2">
      <c r="A25" s="204"/>
      <c r="B25" s="205"/>
      <c r="C25" s="205"/>
      <c r="D25" s="205"/>
      <c r="E25" s="205"/>
      <c r="F25" s="205"/>
      <c r="G25" s="205"/>
      <c r="H25" s="205"/>
      <c r="I25" s="205">
        <f>賃金集計表!S6</f>
        <v>3140</v>
      </c>
      <c r="J25" s="205"/>
      <c r="K25" s="205"/>
      <c r="L25" s="205"/>
      <c r="M25" s="205">
        <f>賃金集計表!U6</f>
        <v>50000</v>
      </c>
      <c r="N25" s="205"/>
      <c r="O25" s="205">
        <f>賃金集計表!V6</f>
        <v>0</v>
      </c>
      <c r="P25" s="206"/>
    </row>
    <row r="26" spans="1:16" ht="9" customHeight="1" thickBot="1" x14ac:dyDescent="0.2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</row>
    <row r="27" spans="1:16" ht="21.75" customHeight="1" thickTop="1" x14ac:dyDescent="0.15">
      <c r="A27" s="217" t="s">
        <v>28</v>
      </c>
      <c r="B27" s="218"/>
      <c r="C27" s="218"/>
      <c r="D27" s="218" t="s">
        <v>29</v>
      </c>
      <c r="E27" s="218"/>
      <c r="F27" s="218"/>
      <c r="G27" s="218" t="s">
        <v>30</v>
      </c>
      <c r="H27" s="218"/>
      <c r="I27" s="219"/>
      <c r="J27" s="50"/>
      <c r="K27" s="220" t="s">
        <v>31</v>
      </c>
      <c r="L27" s="229"/>
      <c r="M27" s="229"/>
      <c r="N27" s="229"/>
      <c r="O27" s="229"/>
      <c r="P27" s="229"/>
    </row>
    <row r="28" spans="1:16" ht="30" customHeight="1" thickBot="1" x14ac:dyDescent="0.2">
      <c r="A28" s="222">
        <f>SUM(A22:P22)</f>
        <v>200000</v>
      </c>
      <c r="B28" s="223"/>
      <c r="C28" s="223"/>
      <c r="D28" s="224">
        <f>SUM(A25:P25)</f>
        <v>53140</v>
      </c>
      <c r="E28" s="223"/>
      <c r="F28" s="223"/>
      <c r="G28" s="224">
        <f>A28-D28</f>
        <v>146860</v>
      </c>
      <c r="H28" s="223"/>
      <c r="I28" s="225"/>
      <c r="J28" s="43"/>
      <c r="K28" s="226" t="s">
        <v>32</v>
      </c>
      <c r="L28" s="230"/>
      <c r="M28" s="230"/>
      <c r="N28" s="230"/>
      <c r="O28" s="230"/>
      <c r="P28" s="230"/>
    </row>
    <row r="29" spans="1:16" ht="14.25" thickTop="1" x14ac:dyDescent="0.1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x14ac:dyDescent="0.1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16" ht="30" customHeight="1" x14ac:dyDescent="0.15">
      <c r="A31" s="210" t="s">
        <v>16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1" t="s">
        <v>154</v>
      </c>
      <c r="N31" s="211"/>
      <c r="O31" s="211"/>
      <c r="P31" s="211"/>
    </row>
    <row r="32" spans="1:16" ht="14.25" thickBot="1" x14ac:dyDescent="0.2"/>
    <row r="33" spans="1:16" ht="21.75" customHeight="1" x14ac:dyDescent="0.15">
      <c r="A33" s="207" t="s">
        <v>17</v>
      </c>
      <c r="B33" s="208"/>
      <c r="C33" s="233"/>
      <c r="D33" s="234"/>
      <c r="E33" s="234"/>
      <c r="F33" s="234"/>
      <c r="G33" s="237" t="s">
        <v>88</v>
      </c>
      <c r="H33" s="208" t="s">
        <v>18</v>
      </c>
      <c r="I33" s="208"/>
      <c r="J33" s="208"/>
      <c r="K33" s="208" t="s">
        <v>19</v>
      </c>
      <c r="L33" s="208"/>
      <c r="M33" s="208"/>
      <c r="N33" s="208" t="s">
        <v>20</v>
      </c>
      <c r="O33" s="208"/>
      <c r="P33" s="214"/>
    </row>
    <row r="34" spans="1:16" ht="21.75" customHeight="1" thickBot="1" x14ac:dyDescent="0.2">
      <c r="A34" s="212"/>
      <c r="B34" s="213"/>
      <c r="C34" s="235"/>
      <c r="D34" s="236"/>
      <c r="E34" s="236"/>
      <c r="F34" s="236"/>
      <c r="G34" s="238"/>
      <c r="H34" s="215"/>
      <c r="I34" s="215"/>
      <c r="J34" s="215"/>
      <c r="K34" s="215"/>
      <c r="L34" s="215"/>
      <c r="M34" s="215"/>
      <c r="N34" s="215"/>
      <c r="O34" s="215"/>
      <c r="P34" s="216"/>
    </row>
    <row r="35" spans="1:16" ht="9" customHeight="1" thickBot="1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</row>
    <row r="36" spans="1:16" ht="21.75" customHeight="1" x14ac:dyDescent="0.15">
      <c r="A36" s="207" t="s">
        <v>21</v>
      </c>
      <c r="B36" s="208"/>
      <c r="C36" s="209" t="s">
        <v>20</v>
      </c>
      <c r="D36" s="209"/>
      <c r="E36" s="208"/>
      <c r="F36" s="208"/>
      <c r="G36" s="208"/>
      <c r="H36" s="208"/>
      <c r="I36" s="208" t="s">
        <v>22</v>
      </c>
      <c r="J36" s="208"/>
      <c r="K36" s="202"/>
      <c r="L36" s="202"/>
      <c r="M36" s="202"/>
      <c r="N36" s="202"/>
      <c r="O36" s="202"/>
      <c r="P36" s="203"/>
    </row>
    <row r="37" spans="1:16" ht="30" customHeight="1" thickBot="1" x14ac:dyDescent="0.2">
      <c r="A37" s="204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6"/>
    </row>
    <row r="38" spans="1:16" ht="9" customHeight="1" thickBot="1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spans="1:16" ht="21.75" customHeight="1" x14ac:dyDescent="0.15">
      <c r="A39" s="207" t="s">
        <v>23</v>
      </c>
      <c r="B39" s="208"/>
      <c r="C39" s="209" t="s">
        <v>24</v>
      </c>
      <c r="D39" s="209"/>
      <c r="E39" s="208" t="s">
        <v>25</v>
      </c>
      <c r="F39" s="208"/>
      <c r="G39" s="208" t="s">
        <v>26</v>
      </c>
      <c r="H39" s="208"/>
      <c r="I39" s="208" t="s">
        <v>27</v>
      </c>
      <c r="J39" s="208"/>
      <c r="K39" s="202"/>
      <c r="L39" s="202"/>
      <c r="M39" s="202"/>
      <c r="N39" s="202"/>
      <c r="O39" s="208" t="s">
        <v>80</v>
      </c>
      <c r="P39" s="214"/>
    </row>
    <row r="40" spans="1:16" ht="30" customHeight="1" thickBot="1" x14ac:dyDescent="0.2">
      <c r="A40" s="204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6"/>
    </row>
    <row r="41" spans="1:16" ht="9" customHeight="1" thickBot="1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</row>
    <row r="42" spans="1:16" ht="21.75" customHeight="1" thickTop="1" x14ac:dyDescent="0.15">
      <c r="A42" s="217" t="s">
        <v>28</v>
      </c>
      <c r="B42" s="218"/>
      <c r="C42" s="218"/>
      <c r="D42" s="218" t="s">
        <v>29</v>
      </c>
      <c r="E42" s="218"/>
      <c r="F42" s="218"/>
      <c r="G42" s="218" t="s">
        <v>30</v>
      </c>
      <c r="H42" s="218"/>
      <c r="I42" s="219"/>
      <c r="J42" s="50"/>
      <c r="K42" s="220" t="s">
        <v>31</v>
      </c>
      <c r="L42" s="221"/>
      <c r="M42" s="221"/>
      <c r="N42" s="221"/>
      <c r="O42" s="221"/>
      <c r="P42" s="221"/>
    </row>
    <row r="43" spans="1:16" ht="30" customHeight="1" thickBot="1" x14ac:dyDescent="0.2">
      <c r="A43" s="222">
        <f>SUM(A37:P37)</f>
        <v>0</v>
      </c>
      <c r="B43" s="223"/>
      <c r="C43" s="223"/>
      <c r="D43" s="224">
        <f>SUM(A40:P40)</f>
        <v>0</v>
      </c>
      <c r="E43" s="223"/>
      <c r="F43" s="223"/>
      <c r="G43" s="224">
        <f>A43-D43</f>
        <v>0</v>
      </c>
      <c r="H43" s="223"/>
      <c r="I43" s="225"/>
      <c r="J43" s="43"/>
      <c r="K43" s="226" t="s">
        <v>32</v>
      </c>
      <c r="L43" s="227"/>
      <c r="M43" s="227"/>
      <c r="N43" s="227"/>
      <c r="O43" s="227"/>
      <c r="P43" s="227"/>
    </row>
    <row r="44" spans="1:16" ht="14.25" thickTop="1" x14ac:dyDescent="0.15"/>
    <row r="46" spans="1:16" ht="30" customHeight="1" x14ac:dyDescent="0.15">
      <c r="A46" s="228" t="s">
        <v>16</v>
      </c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11" t="s">
        <v>154</v>
      </c>
      <c r="N46" s="211"/>
      <c r="O46" s="211"/>
      <c r="P46" s="211"/>
    </row>
    <row r="47" spans="1:16" ht="14.25" thickBot="1" x14ac:dyDescent="0.2"/>
    <row r="48" spans="1:16" ht="21.75" customHeight="1" x14ac:dyDescent="0.15">
      <c r="A48" s="207" t="s">
        <v>17</v>
      </c>
      <c r="B48" s="208"/>
      <c r="C48" s="233" t="str">
        <f>賃金集計表!A10</f>
        <v>大元　照美</v>
      </c>
      <c r="D48" s="234"/>
      <c r="E48" s="234"/>
      <c r="F48" s="234"/>
      <c r="G48" s="237" t="s">
        <v>88</v>
      </c>
      <c r="H48" s="208" t="s">
        <v>18</v>
      </c>
      <c r="I48" s="208"/>
      <c r="J48" s="208"/>
      <c r="K48" s="208" t="s">
        <v>19</v>
      </c>
      <c r="L48" s="208"/>
      <c r="M48" s="208"/>
      <c r="N48" s="208" t="s">
        <v>20</v>
      </c>
      <c r="O48" s="208"/>
      <c r="P48" s="214"/>
    </row>
    <row r="49" spans="1:20" ht="21.75" customHeight="1" thickBot="1" x14ac:dyDescent="0.2">
      <c r="A49" s="212"/>
      <c r="B49" s="213"/>
      <c r="C49" s="235"/>
      <c r="D49" s="236"/>
      <c r="E49" s="236"/>
      <c r="F49" s="236"/>
      <c r="G49" s="238"/>
      <c r="H49" s="215">
        <f>賃金集計表!B10</f>
        <v>24</v>
      </c>
      <c r="I49" s="215"/>
      <c r="J49" s="215"/>
      <c r="K49" s="231"/>
      <c r="L49" s="215"/>
      <c r="M49" s="215"/>
      <c r="N49" s="215"/>
      <c r="O49" s="215"/>
      <c r="P49" s="216"/>
      <c r="R49" t="s">
        <v>113</v>
      </c>
    </row>
    <row r="50" spans="1:20" ht="9" customHeight="1" thickBo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1:20" ht="21.75" customHeight="1" x14ac:dyDescent="0.15">
      <c r="A51" s="207" t="s">
        <v>21</v>
      </c>
      <c r="B51" s="208"/>
      <c r="C51" s="209" t="s">
        <v>20</v>
      </c>
      <c r="D51" s="209"/>
      <c r="E51" s="208"/>
      <c r="F51" s="208"/>
      <c r="G51" s="208"/>
      <c r="H51" s="208"/>
      <c r="I51" s="208" t="s">
        <v>22</v>
      </c>
      <c r="J51" s="208"/>
      <c r="K51" s="202"/>
      <c r="L51" s="202"/>
      <c r="M51" s="202"/>
      <c r="N51" s="202"/>
      <c r="O51" s="202"/>
      <c r="P51" s="203"/>
      <c r="R51" s="49"/>
      <c r="T51" s="49"/>
    </row>
    <row r="52" spans="1:20" ht="30" customHeight="1" thickBot="1" x14ac:dyDescent="0.2">
      <c r="A52" s="204">
        <f>賃金集計表!H10</f>
        <v>144000</v>
      </c>
      <c r="B52" s="205"/>
      <c r="C52" s="205"/>
      <c r="D52" s="205"/>
      <c r="E52" s="205"/>
      <c r="F52" s="205"/>
      <c r="G52" s="205"/>
      <c r="H52" s="205"/>
      <c r="I52" s="205">
        <f>賃金集計表!M10</f>
        <v>0</v>
      </c>
      <c r="J52" s="205"/>
      <c r="K52" s="205"/>
      <c r="L52" s="205"/>
      <c r="M52" s="205"/>
      <c r="N52" s="205"/>
      <c r="O52" s="205"/>
      <c r="P52" s="206"/>
    </row>
    <row r="53" spans="1:20" ht="9" customHeight="1" thickBot="1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</row>
    <row r="54" spans="1:20" ht="21.75" customHeight="1" x14ac:dyDescent="0.15">
      <c r="A54" s="207" t="s">
        <v>23</v>
      </c>
      <c r="B54" s="208"/>
      <c r="C54" s="209" t="s">
        <v>24</v>
      </c>
      <c r="D54" s="209"/>
      <c r="E54" s="208" t="s">
        <v>25</v>
      </c>
      <c r="F54" s="208"/>
      <c r="G54" s="208" t="s">
        <v>26</v>
      </c>
      <c r="H54" s="208"/>
      <c r="I54" s="208" t="s">
        <v>27</v>
      </c>
      <c r="J54" s="208"/>
      <c r="K54" s="202"/>
      <c r="L54" s="202"/>
      <c r="M54" s="202"/>
      <c r="N54" s="202"/>
      <c r="O54" s="208" t="s">
        <v>80</v>
      </c>
      <c r="P54" s="214"/>
    </row>
    <row r="55" spans="1:20" ht="30" customHeight="1" thickBot="1" x14ac:dyDescent="0.2">
      <c r="A55" s="204">
        <f>賃金集計表!P10</f>
        <v>8708</v>
      </c>
      <c r="B55" s="205"/>
      <c r="C55" s="205">
        <f>賃金集計表!Q10</f>
        <v>13106</v>
      </c>
      <c r="D55" s="205"/>
      <c r="E55" s="205">
        <f>賃金集計表!R10</f>
        <v>720</v>
      </c>
      <c r="F55" s="205"/>
      <c r="G55" s="205">
        <f>賃金集計表!T10</f>
        <v>0</v>
      </c>
      <c r="H55" s="205"/>
      <c r="I55" s="205">
        <f>賃金集計表!S10</f>
        <v>1850</v>
      </c>
      <c r="J55" s="205"/>
      <c r="K55" s="205"/>
      <c r="L55" s="205"/>
      <c r="M55" s="205"/>
      <c r="N55" s="205"/>
      <c r="O55" s="205">
        <f>賃金集計表!V10</f>
        <v>2800</v>
      </c>
      <c r="P55" s="206"/>
    </row>
    <row r="56" spans="1:20" ht="9" customHeight="1" thickBot="1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</row>
    <row r="57" spans="1:20" ht="21.75" customHeight="1" thickTop="1" x14ac:dyDescent="0.15">
      <c r="A57" s="217" t="s">
        <v>28</v>
      </c>
      <c r="B57" s="218"/>
      <c r="C57" s="218"/>
      <c r="D57" s="218" t="s">
        <v>29</v>
      </c>
      <c r="E57" s="218"/>
      <c r="F57" s="218"/>
      <c r="G57" s="218" t="s">
        <v>30</v>
      </c>
      <c r="H57" s="218"/>
      <c r="I57" s="219"/>
      <c r="J57" s="50"/>
      <c r="K57" s="220" t="s">
        <v>31</v>
      </c>
      <c r="L57" s="221"/>
      <c r="M57" s="221"/>
      <c r="N57" s="221"/>
      <c r="O57" s="221"/>
      <c r="P57" s="221"/>
    </row>
    <row r="58" spans="1:20" ht="30" customHeight="1" thickBot="1" x14ac:dyDescent="0.2">
      <c r="A58" s="222">
        <f>SUM(A52:P52)</f>
        <v>144000</v>
      </c>
      <c r="B58" s="223"/>
      <c r="C58" s="223"/>
      <c r="D58" s="224">
        <f>SUM(A55:P55)</f>
        <v>27184</v>
      </c>
      <c r="E58" s="223"/>
      <c r="F58" s="223"/>
      <c r="G58" s="224">
        <f>A58-D58</f>
        <v>116816</v>
      </c>
      <c r="H58" s="223"/>
      <c r="I58" s="225"/>
      <c r="J58" s="43"/>
      <c r="K58" s="226" t="s">
        <v>32</v>
      </c>
      <c r="L58" s="227"/>
      <c r="M58" s="227"/>
      <c r="N58" s="227"/>
      <c r="O58" s="227"/>
      <c r="P58" s="227"/>
    </row>
    <row r="59" spans="1:20" ht="14.25" thickTop="1" x14ac:dyDescent="0.15"/>
    <row r="61" spans="1:20" ht="30" customHeight="1" x14ac:dyDescent="0.15">
      <c r="A61" s="228" t="s">
        <v>16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11" t="s">
        <v>154</v>
      </c>
      <c r="N61" s="211"/>
      <c r="O61" s="211"/>
      <c r="P61" s="211"/>
    </row>
    <row r="62" spans="1:20" ht="14.25" thickBot="1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 spans="1:20" ht="21.75" customHeight="1" x14ac:dyDescent="0.15">
      <c r="A63" s="207" t="s">
        <v>17</v>
      </c>
      <c r="B63" s="208"/>
      <c r="C63" s="233" t="str">
        <f>賃金集計表!A11</f>
        <v>瀬戸　光代</v>
      </c>
      <c r="D63" s="234"/>
      <c r="E63" s="234"/>
      <c r="F63" s="234"/>
      <c r="G63" s="237" t="s">
        <v>88</v>
      </c>
      <c r="H63" s="208" t="s">
        <v>18</v>
      </c>
      <c r="I63" s="208"/>
      <c r="J63" s="208"/>
      <c r="K63" s="208" t="s">
        <v>19</v>
      </c>
      <c r="L63" s="208"/>
      <c r="M63" s="208"/>
      <c r="N63" s="208" t="s">
        <v>20</v>
      </c>
      <c r="O63" s="208"/>
      <c r="P63" s="214"/>
    </row>
    <row r="64" spans="1:20" ht="21.75" customHeight="1" thickBot="1" x14ac:dyDescent="0.2">
      <c r="A64" s="212"/>
      <c r="B64" s="213"/>
      <c r="C64" s="235"/>
      <c r="D64" s="236"/>
      <c r="E64" s="236"/>
      <c r="F64" s="236"/>
      <c r="G64" s="238"/>
      <c r="H64" s="215">
        <f>賃金集計表!B11</f>
        <v>21</v>
      </c>
      <c r="I64" s="215"/>
      <c r="J64" s="215"/>
      <c r="K64" s="231">
        <f>賃金集計表!D11</f>
        <v>4.9312500000000012</v>
      </c>
      <c r="L64" s="231"/>
      <c r="M64" s="231"/>
      <c r="N64" s="215">
        <f>'6月分'!AM22</f>
        <v>0</v>
      </c>
      <c r="O64" s="215"/>
      <c r="P64" s="216"/>
      <c r="R64" s="120">
        <v>4.2263888888888888</v>
      </c>
      <c r="S64">
        <v>800</v>
      </c>
      <c r="T64" s="120">
        <f>R64*S64</f>
        <v>3381.1111111111109</v>
      </c>
    </row>
    <row r="65" spans="1:16" ht="9" customHeight="1" thickBot="1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spans="1:16" ht="21.75" customHeight="1" x14ac:dyDescent="0.15">
      <c r="A66" s="207" t="s">
        <v>21</v>
      </c>
      <c r="B66" s="208"/>
      <c r="C66" s="209" t="s">
        <v>20</v>
      </c>
      <c r="D66" s="209"/>
      <c r="E66" s="208"/>
      <c r="F66" s="208"/>
      <c r="G66" s="208"/>
      <c r="H66" s="208"/>
      <c r="I66" s="208" t="s">
        <v>22</v>
      </c>
      <c r="J66" s="208"/>
      <c r="K66" s="202"/>
      <c r="L66" s="202"/>
      <c r="M66" s="202"/>
      <c r="N66" s="202"/>
      <c r="O66" s="202"/>
      <c r="P66" s="203"/>
    </row>
    <row r="67" spans="1:16" ht="30" customHeight="1" thickBot="1" x14ac:dyDescent="0.2">
      <c r="A67" s="204">
        <f>賃金集計表!H11</f>
        <v>94680.000000000015</v>
      </c>
      <c r="B67" s="205"/>
      <c r="C67" s="205"/>
      <c r="D67" s="205"/>
      <c r="E67" s="205"/>
      <c r="F67" s="205"/>
      <c r="G67" s="205"/>
      <c r="H67" s="205"/>
      <c r="I67" s="205">
        <f>賃金集計表!K11</f>
        <v>5000</v>
      </c>
      <c r="J67" s="205"/>
      <c r="K67" s="205"/>
      <c r="L67" s="205"/>
      <c r="M67" s="205"/>
      <c r="N67" s="205"/>
      <c r="O67" s="205"/>
      <c r="P67" s="206"/>
    </row>
    <row r="68" spans="1:16" ht="9" customHeight="1" thickBot="1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 ht="21.75" customHeight="1" x14ac:dyDescent="0.15">
      <c r="A69" s="207" t="s">
        <v>23</v>
      </c>
      <c r="B69" s="208"/>
      <c r="C69" s="209" t="s">
        <v>24</v>
      </c>
      <c r="D69" s="209"/>
      <c r="E69" s="208" t="s">
        <v>25</v>
      </c>
      <c r="F69" s="208"/>
      <c r="G69" s="208" t="s">
        <v>26</v>
      </c>
      <c r="H69" s="208"/>
      <c r="I69" s="208" t="s">
        <v>27</v>
      </c>
      <c r="J69" s="208"/>
      <c r="K69" s="202"/>
      <c r="L69" s="202"/>
      <c r="M69" s="202"/>
      <c r="N69" s="202"/>
      <c r="O69" s="208" t="s">
        <v>80</v>
      </c>
      <c r="P69" s="214"/>
    </row>
    <row r="70" spans="1:16" ht="30" customHeight="1" thickBot="1" x14ac:dyDescent="0.2">
      <c r="A70" s="204"/>
      <c r="B70" s="205"/>
      <c r="C70" s="205"/>
      <c r="D70" s="205"/>
      <c r="E70" s="205"/>
      <c r="F70" s="205"/>
      <c r="G70" s="205"/>
      <c r="H70" s="205"/>
      <c r="I70" s="205">
        <f>賃金集計表!S11</f>
        <v>720</v>
      </c>
      <c r="J70" s="205"/>
      <c r="K70" s="205"/>
      <c r="L70" s="205"/>
      <c r="M70" s="205"/>
      <c r="N70" s="205"/>
      <c r="O70" s="205">
        <f>賃金集計表!V11</f>
        <v>350</v>
      </c>
      <c r="P70" s="206"/>
    </row>
    <row r="71" spans="1:16" ht="9" customHeight="1" thickBot="1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 ht="21.75" customHeight="1" thickTop="1" x14ac:dyDescent="0.15">
      <c r="A72" s="217" t="s">
        <v>28</v>
      </c>
      <c r="B72" s="218"/>
      <c r="C72" s="218"/>
      <c r="D72" s="218" t="s">
        <v>29</v>
      </c>
      <c r="E72" s="218"/>
      <c r="F72" s="218"/>
      <c r="G72" s="218" t="s">
        <v>30</v>
      </c>
      <c r="H72" s="218"/>
      <c r="I72" s="219"/>
      <c r="J72" s="50"/>
      <c r="K72" s="220" t="s">
        <v>31</v>
      </c>
      <c r="L72" s="229"/>
      <c r="M72" s="229"/>
      <c r="N72" s="229"/>
      <c r="O72" s="229"/>
      <c r="P72" s="229"/>
    </row>
    <row r="73" spans="1:16" ht="30" customHeight="1" thickBot="1" x14ac:dyDescent="0.2">
      <c r="A73" s="222">
        <f>SUM(A67:P67)</f>
        <v>99680.000000000015</v>
      </c>
      <c r="B73" s="223"/>
      <c r="C73" s="223"/>
      <c r="D73" s="224">
        <f>SUM(A70:P70)</f>
        <v>1070</v>
      </c>
      <c r="E73" s="223"/>
      <c r="F73" s="223"/>
      <c r="G73" s="224">
        <f>A73-D73</f>
        <v>98610.000000000015</v>
      </c>
      <c r="H73" s="223"/>
      <c r="I73" s="225"/>
      <c r="J73" s="43"/>
      <c r="K73" s="226" t="s">
        <v>32</v>
      </c>
      <c r="L73" s="230"/>
      <c r="M73" s="230"/>
      <c r="N73" s="230"/>
      <c r="O73" s="230"/>
      <c r="P73" s="230"/>
    </row>
    <row r="74" spans="1:16" ht="14.25" thickTop="1" x14ac:dyDescent="0.1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</row>
    <row r="75" spans="1:16" x14ac:dyDescent="0.1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1:16" ht="30" customHeight="1" x14ac:dyDescent="0.15">
      <c r="A76" s="210" t="s">
        <v>16</v>
      </c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1" t="s">
        <v>154</v>
      </c>
      <c r="N76" s="211"/>
      <c r="O76" s="211"/>
      <c r="P76" s="211"/>
    </row>
    <row r="77" spans="1:16" ht="14.25" thickBot="1" x14ac:dyDescent="0.2"/>
    <row r="78" spans="1:16" ht="21.75" customHeight="1" x14ac:dyDescent="0.15">
      <c r="A78" s="207" t="s">
        <v>17</v>
      </c>
      <c r="B78" s="208"/>
      <c r="C78" s="233">
        <f>賃金集計表!A12</f>
        <v>0</v>
      </c>
      <c r="D78" s="234"/>
      <c r="E78" s="234"/>
      <c r="F78" s="234"/>
      <c r="G78" s="237" t="s">
        <v>88</v>
      </c>
      <c r="H78" s="208" t="s">
        <v>18</v>
      </c>
      <c r="I78" s="208"/>
      <c r="J78" s="208"/>
      <c r="K78" s="208" t="s">
        <v>19</v>
      </c>
      <c r="L78" s="208"/>
      <c r="M78" s="208"/>
      <c r="N78" s="208" t="s">
        <v>20</v>
      </c>
      <c r="O78" s="208"/>
      <c r="P78" s="214"/>
    </row>
    <row r="79" spans="1:16" ht="21.75" customHeight="1" thickBot="1" x14ac:dyDescent="0.2">
      <c r="A79" s="212"/>
      <c r="B79" s="213"/>
      <c r="C79" s="235"/>
      <c r="D79" s="236"/>
      <c r="E79" s="236"/>
      <c r="F79" s="236"/>
      <c r="G79" s="238"/>
      <c r="H79" s="215">
        <f>賃金集計表!B12</f>
        <v>0</v>
      </c>
      <c r="I79" s="215"/>
      <c r="J79" s="215"/>
      <c r="K79" s="231">
        <f>賃金集計表!D12</f>
        <v>0</v>
      </c>
      <c r="L79" s="231"/>
      <c r="M79" s="231"/>
      <c r="N79" s="215"/>
      <c r="O79" s="215"/>
      <c r="P79" s="216"/>
    </row>
    <row r="80" spans="1:16" ht="9" customHeight="1" thickBo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</row>
    <row r="81" spans="1:20" ht="21.75" customHeight="1" x14ac:dyDescent="0.15">
      <c r="A81" s="207" t="s">
        <v>21</v>
      </c>
      <c r="B81" s="208"/>
      <c r="C81" s="209" t="s">
        <v>20</v>
      </c>
      <c r="D81" s="209"/>
      <c r="E81" s="208"/>
      <c r="F81" s="208"/>
      <c r="G81" s="208" t="s">
        <v>92</v>
      </c>
      <c r="H81" s="208"/>
      <c r="I81" s="208" t="s">
        <v>22</v>
      </c>
      <c r="J81" s="208"/>
      <c r="K81" s="202"/>
      <c r="L81" s="202"/>
      <c r="M81" s="202"/>
      <c r="N81" s="202"/>
      <c r="O81" s="202"/>
      <c r="P81" s="203"/>
    </row>
    <row r="82" spans="1:20" ht="30" customHeight="1" thickBot="1" x14ac:dyDescent="0.2">
      <c r="A82" s="204">
        <f>賃金集計表!H12</f>
        <v>0</v>
      </c>
      <c r="B82" s="205"/>
      <c r="C82" s="205"/>
      <c r="D82" s="205"/>
      <c r="E82" s="205"/>
      <c r="F82" s="205"/>
      <c r="G82" s="205">
        <f>賃金集計表!K12</f>
        <v>0</v>
      </c>
      <c r="H82" s="205"/>
      <c r="I82" s="205"/>
      <c r="J82" s="205"/>
      <c r="K82" s="205"/>
      <c r="L82" s="205"/>
      <c r="M82" s="205"/>
      <c r="N82" s="205"/>
      <c r="O82" s="205"/>
      <c r="P82" s="206"/>
    </row>
    <row r="83" spans="1:20" ht="9" customHeight="1" thickBo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</row>
    <row r="84" spans="1:20" ht="21.75" customHeight="1" x14ac:dyDescent="0.15">
      <c r="A84" s="207" t="s">
        <v>23</v>
      </c>
      <c r="B84" s="208"/>
      <c r="C84" s="209" t="s">
        <v>24</v>
      </c>
      <c r="D84" s="209"/>
      <c r="E84" s="208" t="s">
        <v>25</v>
      </c>
      <c r="F84" s="208"/>
      <c r="G84" s="208" t="s">
        <v>26</v>
      </c>
      <c r="H84" s="208"/>
      <c r="I84" s="208" t="s">
        <v>27</v>
      </c>
      <c r="J84" s="208"/>
      <c r="K84" s="202"/>
      <c r="L84" s="202"/>
      <c r="M84" s="202"/>
      <c r="N84" s="202"/>
      <c r="O84" s="208" t="s">
        <v>80</v>
      </c>
      <c r="P84" s="214"/>
    </row>
    <row r="85" spans="1:20" ht="30" customHeight="1" thickBot="1" x14ac:dyDescent="0.2">
      <c r="A85" s="204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6"/>
    </row>
    <row r="86" spans="1:20" ht="9" customHeight="1" thickBo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</row>
    <row r="87" spans="1:20" ht="21.75" customHeight="1" thickTop="1" x14ac:dyDescent="0.15">
      <c r="A87" s="217" t="s">
        <v>28</v>
      </c>
      <c r="B87" s="218"/>
      <c r="C87" s="218"/>
      <c r="D87" s="218" t="s">
        <v>29</v>
      </c>
      <c r="E87" s="218"/>
      <c r="F87" s="218"/>
      <c r="G87" s="218" t="s">
        <v>30</v>
      </c>
      <c r="H87" s="218"/>
      <c r="I87" s="219"/>
      <c r="J87" s="119"/>
      <c r="K87" s="220" t="s">
        <v>31</v>
      </c>
      <c r="L87" s="221"/>
      <c r="M87" s="221"/>
      <c r="N87" s="221"/>
      <c r="O87" s="221"/>
      <c r="P87" s="221"/>
    </row>
    <row r="88" spans="1:20" ht="30" customHeight="1" thickBot="1" x14ac:dyDescent="0.2">
      <c r="A88" s="222">
        <f>SUM(A82:P82)</f>
        <v>0</v>
      </c>
      <c r="B88" s="223"/>
      <c r="C88" s="223"/>
      <c r="D88" s="224">
        <f>SUM(A85:P85)</f>
        <v>0</v>
      </c>
      <c r="E88" s="223"/>
      <c r="F88" s="223"/>
      <c r="G88" s="224">
        <f>A88-D88</f>
        <v>0</v>
      </c>
      <c r="H88" s="223"/>
      <c r="I88" s="225"/>
      <c r="J88" s="43"/>
      <c r="K88" s="226" t="s">
        <v>32</v>
      </c>
      <c r="L88" s="227"/>
      <c r="M88" s="227"/>
      <c r="N88" s="227"/>
      <c r="O88" s="227"/>
      <c r="P88" s="227"/>
    </row>
    <row r="89" spans="1:20" ht="14.25" thickTop="1" x14ac:dyDescent="0.15"/>
    <row r="91" spans="1:20" ht="30" customHeight="1" x14ac:dyDescent="0.15">
      <c r="A91" s="228" t="s">
        <v>16</v>
      </c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11" t="s">
        <v>154</v>
      </c>
      <c r="N91" s="211"/>
      <c r="O91" s="211"/>
      <c r="P91" s="211"/>
    </row>
    <row r="92" spans="1:20" ht="14.25" thickBot="1" x14ac:dyDescent="0.2"/>
    <row r="93" spans="1:20" ht="21.75" customHeight="1" x14ac:dyDescent="0.15">
      <c r="A93" s="207" t="s">
        <v>17</v>
      </c>
      <c r="B93" s="208"/>
      <c r="C93" s="233" t="str">
        <f>賃金集計表!A16</f>
        <v>山内　龍一</v>
      </c>
      <c r="D93" s="234"/>
      <c r="E93" s="234"/>
      <c r="F93" s="234"/>
      <c r="G93" s="237" t="s">
        <v>88</v>
      </c>
      <c r="H93" s="208" t="s">
        <v>18</v>
      </c>
      <c r="I93" s="208"/>
      <c r="J93" s="208"/>
      <c r="K93" s="208" t="s">
        <v>19</v>
      </c>
      <c r="L93" s="208"/>
      <c r="M93" s="208"/>
      <c r="N93" s="208" t="s">
        <v>20</v>
      </c>
      <c r="O93" s="208"/>
      <c r="P93" s="214"/>
    </row>
    <row r="94" spans="1:20" ht="21.75" customHeight="1" thickBot="1" x14ac:dyDescent="0.2">
      <c r="A94" s="212"/>
      <c r="B94" s="213"/>
      <c r="C94" s="235"/>
      <c r="D94" s="236"/>
      <c r="E94" s="236"/>
      <c r="F94" s="236"/>
      <c r="G94" s="238"/>
      <c r="H94" s="215">
        <f>賃金集計表!B16</f>
        <v>11</v>
      </c>
      <c r="I94" s="215"/>
      <c r="J94" s="215"/>
      <c r="K94" s="231"/>
      <c r="L94" s="215"/>
      <c r="M94" s="215"/>
      <c r="N94" s="215"/>
      <c r="O94" s="215"/>
      <c r="P94" s="216"/>
    </row>
    <row r="95" spans="1:20" ht="9" customHeight="1" thickBo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</row>
    <row r="96" spans="1:20" ht="21.75" customHeight="1" x14ac:dyDescent="0.15">
      <c r="A96" s="207" t="s">
        <v>21</v>
      </c>
      <c r="B96" s="208"/>
      <c r="C96" s="209" t="s">
        <v>20</v>
      </c>
      <c r="D96" s="209"/>
      <c r="E96" s="208"/>
      <c r="F96" s="208"/>
      <c r="G96" s="208"/>
      <c r="H96" s="208"/>
      <c r="I96" s="208" t="s">
        <v>22</v>
      </c>
      <c r="J96" s="208"/>
      <c r="K96" s="202"/>
      <c r="L96" s="202"/>
      <c r="M96" s="202"/>
      <c r="N96" s="202"/>
      <c r="O96" s="202"/>
      <c r="P96" s="203"/>
      <c r="R96" s="49"/>
      <c r="T96" s="49"/>
    </row>
    <row r="97" spans="1:16" ht="30" customHeight="1" thickBot="1" x14ac:dyDescent="0.2">
      <c r="A97" s="204">
        <f>賃金集計表!H16</f>
        <v>11000</v>
      </c>
      <c r="B97" s="205"/>
      <c r="C97" s="205"/>
      <c r="D97" s="205"/>
      <c r="E97" s="205"/>
      <c r="F97" s="205"/>
      <c r="G97" s="205"/>
      <c r="H97" s="205"/>
      <c r="I97" s="205">
        <f>賃金集計表!K16</f>
        <v>0</v>
      </c>
      <c r="J97" s="205"/>
      <c r="K97" s="205"/>
      <c r="L97" s="205"/>
      <c r="M97" s="205"/>
      <c r="N97" s="205"/>
      <c r="O97" s="205"/>
      <c r="P97" s="206"/>
    </row>
    <row r="98" spans="1:16" ht="9" customHeight="1" thickBo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</row>
    <row r="99" spans="1:16" ht="21.75" customHeight="1" x14ac:dyDescent="0.15">
      <c r="A99" s="207" t="s">
        <v>23</v>
      </c>
      <c r="B99" s="208"/>
      <c r="C99" s="209" t="s">
        <v>24</v>
      </c>
      <c r="D99" s="209"/>
      <c r="E99" s="208" t="s">
        <v>25</v>
      </c>
      <c r="F99" s="208"/>
      <c r="G99" s="208" t="s">
        <v>26</v>
      </c>
      <c r="H99" s="208"/>
      <c r="I99" s="208" t="s">
        <v>27</v>
      </c>
      <c r="J99" s="208"/>
      <c r="K99" s="202"/>
      <c r="L99" s="202"/>
      <c r="M99" s="202"/>
      <c r="N99" s="202"/>
      <c r="O99" s="208" t="s">
        <v>80</v>
      </c>
      <c r="P99" s="214"/>
    </row>
    <row r="100" spans="1:16" ht="30" customHeight="1" thickBot="1" x14ac:dyDescent="0.2">
      <c r="A100" s="204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>
        <f>賃金集計表!V16</f>
        <v>2900</v>
      </c>
      <c r="P100" s="206"/>
    </row>
    <row r="101" spans="1:16" ht="9" customHeight="1" thickBo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</row>
    <row r="102" spans="1:16" ht="21.75" customHeight="1" thickTop="1" x14ac:dyDescent="0.15">
      <c r="A102" s="217" t="s">
        <v>28</v>
      </c>
      <c r="B102" s="218"/>
      <c r="C102" s="218"/>
      <c r="D102" s="218" t="s">
        <v>29</v>
      </c>
      <c r="E102" s="218"/>
      <c r="F102" s="218"/>
      <c r="G102" s="218" t="s">
        <v>30</v>
      </c>
      <c r="H102" s="218"/>
      <c r="I102" s="219"/>
      <c r="J102" s="119"/>
      <c r="K102" s="220" t="s">
        <v>31</v>
      </c>
      <c r="L102" s="221"/>
      <c r="M102" s="221"/>
      <c r="N102" s="221"/>
      <c r="O102" s="221"/>
      <c r="P102" s="221"/>
    </row>
    <row r="103" spans="1:16" ht="30" customHeight="1" thickBot="1" x14ac:dyDescent="0.2">
      <c r="A103" s="222">
        <f>SUM(A97:P97)</f>
        <v>11000</v>
      </c>
      <c r="B103" s="223"/>
      <c r="C103" s="223"/>
      <c r="D103" s="224">
        <f>SUM(A100:P100)</f>
        <v>2900</v>
      </c>
      <c r="E103" s="223"/>
      <c r="F103" s="223"/>
      <c r="G103" s="224">
        <f>A103-D103</f>
        <v>8100</v>
      </c>
      <c r="H103" s="223"/>
      <c r="I103" s="225"/>
      <c r="J103" s="43"/>
      <c r="K103" s="226" t="s">
        <v>32</v>
      </c>
      <c r="L103" s="227"/>
      <c r="M103" s="227"/>
      <c r="N103" s="227"/>
      <c r="O103" s="227"/>
      <c r="P103" s="227"/>
    </row>
    <row r="104" spans="1:16" ht="14.25" thickTop="1" x14ac:dyDescent="0.15"/>
    <row r="106" spans="1:16" ht="30" customHeight="1" x14ac:dyDescent="0.15">
      <c r="A106" s="228" t="s">
        <v>16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11" t="s">
        <v>154</v>
      </c>
      <c r="N106" s="211"/>
      <c r="O106" s="211"/>
      <c r="P106" s="211"/>
    </row>
    <row r="107" spans="1:16" ht="14.25" thickBot="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</row>
    <row r="108" spans="1:16" ht="21.75" customHeight="1" x14ac:dyDescent="0.15">
      <c r="A108" s="207" t="s">
        <v>17</v>
      </c>
      <c r="B108" s="208"/>
      <c r="C108" s="233" t="str">
        <f>賃金集計表!A17</f>
        <v>山下恵美子</v>
      </c>
      <c r="D108" s="234"/>
      <c r="E108" s="234"/>
      <c r="F108" s="234"/>
      <c r="G108" s="237" t="s">
        <v>88</v>
      </c>
      <c r="H108" s="208" t="s">
        <v>18</v>
      </c>
      <c r="I108" s="208"/>
      <c r="J108" s="208"/>
      <c r="K108" s="208" t="s">
        <v>19</v>
      </c>
      <c r="L108" s="208"/>
      <c r="M108" s="208"/>
      <c r="N108" s="208" t="s">
        <v>20</v>
      </c>
      <c r="O108" s="208"/>
      <c r="P108" s="214"/>
    </row>
    <row r="109" spans="1:16" ht="21.75" customHeight="1" thickBot="1" x14ac:dyDescent="0.2">
      <c r="A109" s="212"/>
      <c r="B109" s="213"/>
      <c r="C109" s="235"/>
      <c r="D109" s="236"/>
      <c r="E109" s="236"/>
      <c r="F109" s="236"/>
      <c r="G109" s="238"/>
      <c r="H109" s="215">
        <f>賃金集計表!B17</f>
        <v>19</v>
      </c>
      <c r="I109" s="215"/>
      <c r="J109" s="215"/>
      <c r="K109" s="232"/>
      <c r="L109" s="215"/>
      <c r="M109" s="215"/>
      <c r="N109" s="215"/>
      <c r="O109" s="215"/>
      <c r="P109" s="216"/>
    </row>
    <row r="110" spans="1:16" ht="9" customHeight="1" thickBot="1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</row>
    <row r="111" spans="1:16" ht="21.75" customHeight="1" x14ac:dyDescent="0.15">
      <c r="A111" s="207" t="s">
        <v>21</v>
      </c>
      <c r="B111" s="208"/>
      <c r="C111" s="209" t="s">
        <v>20</v>
      </c>
      <c r="D111" s="209"/>
      <c r="E111" s="208"/>
      <c r="F111" s="208"/>
      <c r="G111" s="208"/>
      <c r="H111" s="208"/>
      <c r="I111" s="208" t="s">
        <v>22</v>
      </c>
      <c r="J111" s="208"/>
      <c r="K111" s="202"/>
      <c r="L111" s="202"/>
      <c r="M111" s="202"/>
      <c r="N111" s="202"/>
      <c r="O111" s="202"/>
      <c r="P111" s="203"/>
    </row>
    <row r="112" spans="1:16" ht="30" customHeight="1" thickBot="1" x14ac:dyDescent="0.2">
      <c r="A112" s="204">
        <f>賃金集計表!H17</f>
        <v>19000</v>
      </c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6"/>
    </row>
    <row r="113" spans="1:16" ht="9" customHeight="1" thickBot="1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</row>
    <row r="114" spans="1:16" ht="21.75" customHeight="1" x14ac:dyDescent="0.15">
      <c r="A114" s="207" t="s">
        <v>23</v>
      </c>
      <c r="B114" s="208"/>
      <c r="C114" s="209" t="s">
        <v>24</v>
      </c>
      <c r="D114" s="209"/>
      <c r="E114" s="208" t="s">
        <v>25</v>
      </c>
      <c r="F114" s="208"/>
      <c r="G114" s="208" t="s">
        <v>26</v>
      </c>
      <c r="H114" s="208"/>
      <c r="I114" s="208" t="s">
        <v>27</v>
      </c>
      <c r="J114" s="208"/>
      <c r="K114" s="202"/>
      <c r="L114" s="202"/>
      <c r="M114" s="202"/>
      <c r="N114" s="202"/>
      <c r="O114" s="208" t="s">
        <v>80</v>
      </c>
      <c r="P114" s="214"/>
    </row>
    <row r="115" spans="1:16" ht="30" customHeight="1" thickBot="1" x14ac:dyDescent="0.2">
      <c r="A115" s="204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>
        <f>賃金集計表!V17</f>
        <v>6650</v>
      </c>
      <c r="P115" s="206"/>
    </row>
    <row r="116" spans="1:16" ht="9" customHeight="1" thickBot="1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</row>
    <row r="117" spans="1:16" ht="21.75" customHeight="1" thickTop="1" x14ac:dyDescent="0.15">
      <c r="A117" s="217" t="s">
        <v>28</v>
      </c>
      <c r="B117" s="218"/>
      <c r="C117" s="218"/>
      <c r="D117" s="218" t="s">
        <v>29</v>
      </c>
      <c r="E117" s="218"/>
      <c r="F117" s="218"/>
      <c r="G117" s="218" t="s">
        <v>30</v>
      </c>
      <c r="H117" s="218"/>
      <c r="I117" s="219"/>
      <c r="J117" s="119"/>
      <c r="K117" s="220" t="s">
        <v>31</v>
      </c>
      <c r="L117" s="229"/>
      <c r="M117" s="229"/>
      <c r="N117" s="229"/>
      <c r="O117" s="229"/>
      <c r="P117" s="229"/>
    </row>
    <row r="118" spans="1:16" ht="30" customHeight="1" thickBot="1" x14ac:dyDescent="0.2">
      <c r="A118" s="222">
        <f>SUM(A112:P112)</f>
        <v>19000</v>
      </c>
      <c r="B118" s="223"/>
      <c r="C118" s="223"/>
      <c r="D118" s="224">
        <f>SUM(A115:P115)</f>
        <v>6650</v>
      </c>
      <c r="E118" s="223"/>
      <c r="F118" s="223"/>
      <c r="G118" s="224">
        <f>A118-D118</f>
        <v>12350</v>
      </c>
      <c r="H118" s="223"/>
      <c r="I118" s="225"/>
      <c r="J118" s="43"/>
      <c r="K118" s="226" t="s">
        <v>32</v>
      </c>
      <c r="L118" s="230"/>
      <c r="M118" s="230"/>
      <c r="N118" s="230"/>
      <c r="O118" s="230"/>
      <c r="P118" s="230"/>
    </row>
    <row r="119" spans="1:16" ht="14.25" thickTop="1" x14ac:dyDescent="0.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</row>
    <row r="120" spans="1:16" x14ac:dyDescent="0.1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spans="1:16" ht="30" customHeight="1" x14ac:dyDescent="0.15">
      <c r="A121" s="210" t="s">
        <v>16</v>
      </c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1" t="s">
        <v>154</v>
      </c>
      <c r="N121" s="211"/>
      <c r="O121" s="211"/>
      <c r="P121" s="211"/>
    </row>
    <row r="122" spans="1:16" ht="14.25" thickBot="1" x14ac:dyDescent="0.2"/>
    <row r="123" spans="1:16" ht="21.75" customHeight="1" x14ac:dyDescent="0.15">
      <c r="A123" s="207" t="s">
        <v>17</v>
      </c>
      <c r="B123" s="208"/>
      <c r="C123" s="233" t="str">
        <f>賃金集計表!A18</f>
        <v>川上　智樹</v>
      </c>
      <c r="D123" s="234"/>
      <c r="E123" s="234"/>
      <c r="F123" s="234"/>
      <c r="G123" s="237" t="s">
        <v>88</v>
      </c>
      <c r="H123" s="208" t="s">
        <v>18</v>
      </c>
      <c r="I123" s="208"/>
      <c r="J123" s="208"/>
      <c r="K123" s="208" t="s">
        <v>19</v>
      </c>
      <c r="L123" s="208"/>
      <c r="M123" s="208"/>
      <c r="N123" s="208" t="s">
        <v>20</v>
      </c>
      <c r="O123" s="208"/>
      <c r="P123" s="214"/>
    </row>
    <row r="124" spans="1:16" ht="21.75" customHeight="1" thickBot="1" x14ac:dyDescent="0.2">
      <c r="A124" s="212"/>
      <c r="B124" s="213"/>
      <c r="C124" s="235"/>
      <c r="D124" s="236"/>
      <c r="E124" s="236"/>
      <c r="F124" s="236"/>
      <c r="G124" s="238"/>
      <c r="H124" s="215">
        <f>賃金集計表!B18</f>
        <v>6</v>
      </c>
      <c r="I124" s="215"/>
      <c r="J124" s="215"/>
      <c r="K124" s="215"/>
      <c r="L124" s="215"/>
      <c r="M124" s="215"/>
      <c r="N124" s="215"/>
      <c r="O124" s="215"/>
      <c r="P124" s="216"/>
    </row>
    <row r="125" spans="1:16" ht="9" customHeight="1" thickBo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</row>
    <row r="126" spans="1:16" ht="21.75" customHeight="1" x14ac:dyDescent="0.15">
      <c r="A126" s="207" t="s">
        <v>21</v>
      </c>
      <c r="B126" s="208"/>
      <c r="C126" s="209" t="s">
        <v>20</v>
      </c>
      <c r="D126" s="209"/>
      <c r="E126" s="208"/>
      <c r="F126" s="208"/>
      <c r="G126" s="208"/>
      <c r="H126" s="208"/>
      <c r="I126" s="208" t="s">
        <v>22</v>
      </c>
      <c r="J126" s="208"/>
      <c r="K126" s="202"/>
      <c r="L126" s="202"/>
      <c r="M126" s="202"/>
      <c r="N126" s="202"/>
      <c r="O126" s="202"/>
      <c r="P126" s="203"/>
    </row>
    <row r="127" spans="1:16" ht="30" customHeight="1" thickBot="1" x14ac:dyDescent="0.2">
      <c r="A127" s="204">
        <f>賃金集計表!H18</f>
        <v>9000</v>
      </c>
      <c r="B127" s="205"/>
      <c r="C127" s="205">
        <f>K124*S124</f>
        <v>0</v>
      </c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6"/>
    </row>
    <row r="128" spans="1:16" ht="9" customHeight="1" thickBo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</row>
    <row r="129" spans="1:20" ht="21.75" customHeight="1" x14ac:dyDescent="0.15">
      <c r="A129" s="207" t="s">
        <v>23</v>
      </c>
      <c r="B129" s="208"/>
      <c r="C129" s="209" t="s">
        <v>24</v>
      </c>
      <c r="D129" s="209"/>
      <c r="E129" s="208" t="s">
        <v>25</v>
      </c>
      <c r="F129" s="208"/>
      <c r="G129" s="208" t="s">
        <v>26</v>
      </c>
      <c r="H129" s="208"/>
      <c r="I129" s="208" t="s">
        <v>27</v>
      </c>
      <c r="J129" s="208"/>
      <c r="K129" s="202"/>
      <c r="L129" s="202"/>
      <c r="M129" s="202"/>
      <c r="N129" s="202"/>
      <c r="O129" s="208" t="s">
        <v>80</v>
      </c>
      <c r="P129" s="214"/>
    </row>
    <row r="130" spans="1:20" ht="30" customHeight="1" thickBot="1" x14ac:dyDescent="0.2">
      <c r="A130" s="204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6"/>
    </row>
    <row r="131" spans="1:20" ht="9" customHeight="1" thickBo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</row>
    <row r="132" spans="1:20" ht="21.75" customHeight="1" thickTop="1" x14ac:dyDescent="0.15">
      <c r="A132" s="217" t="s">
        <v>28</v>
      </c>
      <c r="B132" s="218"/>
      <c r="C132" s="218"/>
      <c r="D132" s="218" t="s">
        <v>29</v>
      </c>
      <c r="E132" s="218"/>
      <c r="F132" s="218"/>
      <c r="G132" s="218" t="s">
        <v>30</v>
      </c>
      <c r="H132" s="218"/>
      <c r="I132" s="219"/>
      <c r="J132" s="119"/>
      <c r="K132" s="220" t="s">
        <v>31</v>
      </c>
      <c r="L132" s="221"/>
      <c r="M132" s="221"/>
      <c r="N132" s="221"/>
      <c r="O132" s="221"/>
      <c r="P132" s="221"/>
    </row>
    <row r="133" spans="1:20" ht="30" customHeight="1" thickBot="1" x14ac:dyDescent="0.2">
      <c r="A133" s="222">
        <f>SUM(A127:P127)</f>
        <v>9000</v>
      </c>
      <c r="B133" s="223"/>
      <c r="C133" s="223"/>
      <c r="D133" s="224">
        <f>SUM(A130:P130)</f>
        <v>0</v>
      </c>
      <c r="E133" s="223"/>
      <c r="F133" s="223"/>
      <c r="G133" s="224">
        <f>A133-D133</f>
        <v>9000</v>
      </c>
      <c r="H133" s="223"/>
      <c r="I133" s="225"/>
      <c r="J133" s="43"/>
      <c r="K133" s="226" t="s">
        <v>32</v>
      </c>
      <c r="L133" s="227"/>
      <c r="M133" s="227"/>
      <c r="N133" s="227"/>
      <c r="O133" s="227"/>
      <c r="P133" s="227"/>
    </row>
    <row r="134" spans="1:20" ht="14.25" thickTop="1" x14ac:dyDescent="0.15"/>
    <row r="136" spans="1:20" ht="30" customHeight="1" x14ac:dyDescent="0.15">
      <c r="A136" s="228" t="s">
        <v>16</v>
      </c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11" t="s">
        <v>154</v>
      </c>
      <c r="N136" s="211"/>
      <c r="O136" s="211"/>
      <c r="P136" s="211"/>
    </row>
    <row r="137" spans="1:20" ht="14.25" thickBot="1" x14ac:dyDescent="0.2"/>
    <row r="138" spans="1:20" ht="21.75" customHeight="1" x14ac:dyDescent="0.15">
      <c r="A138" s="207" t="s">
        <v>17</v>
      </c>
      <c r="B138" s="208"/>
      <c r="C138" s="233" t="str">
        <f>賃金集計表!A19</f>
        <v>上松　正和</v>
      </c>
      <c r="D138" s="234"/>
      <c r="E138" s="234"/>
      <c r="F138" s="234"/>
      <c r="G138" s="237" t="s">
        <v>88</v>
      </c>
      <c r="H138" s="208" t="s">
        <v>18</v>
      </c>
      <c r="I138" s="208"/>
      <c r="J138" s="208"/>
      <c r="K138" s="208" t="s">
        <v>19</v>
      </c>
      <c r="L138" s="208"/>
      <c r="M138" s="208"/>
      <c r="N138" s="208" t="s">
        <v>20</v>
      </c>
      <c r="O138" s="208"/>
      <c r="P138" s="214"/>
    </row>
    <row r="139" spans="1:20" ht="21.75" customHeight="1" thickBot="1" x14ac:dyDescent="0.2">
      <c r="A139" s="212"/>
      <c r="B139" s="213"/>
      <c r="C139" s="235"/>
      <c r="D139" s="236"/>
      <c r="E139" s="236"/>
      <c r="F139" s="236"/>
      <c r="G139" s="238"/>
      <c r="H139" s="215">
        <f>賃金集計表!B19</f>
        <v>22</v>
      </c>
      <c r="I139" s="215"/>
      <c r="J139" s="215"/>
      <c r="K139" s="231"/>
      <c r="L139" s="215"/>
      <c r="M139" s="215"/>
      <c r="N139" s="215"/>
      <c r="O139" s="215"/>
      <c r="P139" s="216"/>
    </row>
    <row r="140" spans="1:20" ht="9" customHeight="1" thickBo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</row>
    <row r="141" spans="1:20" ht="21.75" customHeight="1" x14ac:dyDescent="0.15">
      <c r="A141" s="207" t="s">
        <v>21</v>
      </c>
      <c r="B141" s="208"/>
      <c r="C141" s="209" t="s">
        <v>20</v>
      </c>
      <c r="D141" s="209"/>
      <c r="E141" s="208"/>
      <c r="F141" s="208"/>
      <c r="G141" s="208"/>
      <c r="H141" s="208"/>
      <c r="I141" s="208" t="s">
        <v>22</v>
      </c>
      <c r="J141" s="208"/>
      <c r="K141" s="202"/>
      <c r="L141" s="202"/>
      <c r="M141" s="202"/>
      <c r="N141" s="202"/>
      <c r="O141" s="202"/>
      <c r="P141" s="203"/>
      <c r="R141" s="49"/>
      <c r="T141" s="49"/>
    </row>
    <row r="142" spans="1:20" ht="30" customHeight="1" thickBot="1" x14ac:dyDescent="0.2">
      <c r="A142" s="204">
        <f>賃金集計表!H19</f>
        <v>33000</v>
      </c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6"/>
    </row>
    <row r="143" spans="1:20" ht="9" customHeight="1" thickBo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</row>
    <row r="144" spans="1:20" ht="21.75" customHeight="1" x14ac:dyDescent="0.15">
      <c r="A144" s="207" t="s">
        <v>23</v>
      </c>
      <c r="B144" s="208"/>
      <c r="C144" s="209" t="s">
        <v>24</v>
      </c>
      <c r="D144" s="209"/>
      <c r="E144" s="208" t="s">
        <v>25</v>
      </c>
      <c r="F144" s="208"/>
      <c r="G144" s="208" t="s">
        <v>26</v>
      </c>
      <c r="H144" s="208"/>
      <c r="I144" s="208" t="s">
        <v>27</v>
      </c>
      <c r="J144" s="208"/>
      <c r="K144" s="202"/>
      <c r="L144" s="202"/>
      <c r="M144" s="202"/>
      <c r="N144" s="202"/>
      <c r="O144" s="208" t="s">
        <v>80</v>
      </c>
      <c r="P144" s="214"/>
    </row>
    <row r="145" spans="1:16" ht="30" customHeight="1" thickBot="1" x14ac:dyDescent="0.2">
      <c r="A145" s="204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>
        <f>賃金集計表!V19</f>
        <v>1750</v>
      </c>
      <c r="P145" s="206"/>
    </row>
    <row r="146" spans="1:16" ht="9" customHeight="1" thickBo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</row>
    <row r="147" spans="1:16" ht="21.75" customHeight="1" thickTop="1" x14ac:dyDescent="0.15">
      <c r="A147" s="217" t="s">
        <v>28</v>
      </c>
      <c r="B147" s="218"/>
      <c r="C147" s="218"/>
      <c r="D147" s="218" t="s">
        <v>29</v>
      </c>
      <c r="E147" s="218"/>
      <c r="F147" s="218"/>
      <c r="G147" s="218" t="s">
        <v>30</v>
      </c>
      <c r="H147" s="218"/>
      <c r="I147" s="219"/>
      <c r="J147" s="119"/>
      <c r="K147" s="220" t="s">
        <v>31</v>
      </c>
      <c r="L147" s="221"/>
      <c r="M147" s="221"/>
      <c r="N147" s="221"/>
      <c r="O147" s="221"/>
      <c r="P147" s="221"/>
    </row>
    <row r="148" spans="1:16" ht="30" customHeight="1" thickBot="1" x14ac:dyDescent="0.2">
      <c r="A148" s="222">
        <f>SUM(A142:P142)</f>
        <v>33000</v>
      </c>
      <c r="B148" s="223"/>
      <c r="C148" s="223"/>
      <c r="D148" s="224">
        <f>SUM(A145:P145)</f>
        <v>1750</v>
      </c>
      <c r="E148" s="223"/>
      <c r="F148" s="223"/>
      <c r="G148" s="224">
        <f>A148-D148</f>
        <v>31250</v>
      </c>
      <c r="H148" s="223"/>
      <c r="I148" s="225"/>
      <c r="J148" s="43"/>
      <c r="K148" s="226" t="s">
        <v>32</v>
      </c>
      <c r="L148" s="227"/>
      <c r="M148" s="227"/>
      <c r="N148" s="227"/>
      <c r="O148" s="227"/>
      <c r="P148" s="227"/>
    </row>
    <row r="149" spans="1:16" ht="14.25" thickTop="1" x14ac:dyDescent="0.15"/>
    <row r="151" spans="1:16" ht="30" customHeight="1" x14ac:dyDescent="0.15">
      <c r="A151" s="228" t="s">
        <v>16</v>
      </c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11" t="s">
        <v>154</v>
      </c>
      <c r="N151" s="211"/>
      <c r="O151" s="211"/>
      <c r="P151" s="211"/>
    </row>
    <row r="152" spans="1:16" ht="14.25" thickBot="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</row>
    <row r="153" spans="1:16" ht="21.75" customHeight="1" x14ac:dyDescent="0.15">
      <c r="A153" s="207" t="s">
        <v>17</v>
      </c>
      <c r="B153" s="208"/>
      <c r="C153" s="233" t="str">
        <f>賃金集計表!A20</f>
        <v>上松　浩二</v>
      </c>
      <c r="D153" s="234"/>
      <c r="E153" s="234"/>
      <c r="F153" s="234"/>
      <c r="G153" s="237" t="s">
        <v>88</v>
      </c>
      <c r="H153" s="208" t="s">
        <v>18</v>
      </c>
      <c r="I153" s="208"/>
      <c r="J153" s="208"/>
      <c r="K153" s="208" t="s">
        <v>19</v>
      </c>
      <c r="L153" s="208"/>
      <c r="M153" s="208"/>
      <c r="N153" s="208" t="s">
        <v>20</v>
      </c>
      <c r="O153" s="208"/>
      <c r="P153" s="214"/>
    </row>
    <row r="154" spans="1:16" ht="21.75" customHeight="1" thickBot="1" x14ac:dyDescent="0.2">
      <c r="A154" s="212"/>
      <c r="B154" s="213"/>
      <c r="C154" s="235"/>
      <c r="D154" s="236"/>
      <c r="E154" s="236"/>
      <c r="F154" s="236"/>
      <c r="G154" s="238"/>
      <c r="H154" s="215">
        <f>賃金集計表!B20</f>
        <v>22</v>
      </c>
      <c r="I154" s="215"/>
      <c r="J154" s="215"/>
      <c r="K154" s="232"/>
      <c r="L154" s="215"/>
      <c r="M154" s="215"/>
      <c r="N154" s="215"/>
      <c r="O154" s="215"/>
      <c r="P154" s="216"/>
    </row>
    <row r="155" spans="1:16" ht="9" customHeight="1" thickBot="1" x14ac:dyDescent="0.2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</row>
    <row r="156" spans="1:16" ht="21.75" customHeight="1" x14ac:dyDescent="0.15">
      <c r="A156" s="207" t="s">
        <v>21</v>
      </c>
      <c r="B156" s="208"/>
      <c r="C156" s="209" t="s">
        <v>20</v>
      </c>
      <c r="D156" s="209"/>
      <c r="E156" s="208"/>
      <c r="F156" s="208"/>
      <c r="G156" s="208"/>
      <c r="H156" s="208"/>
      <c r="I156" s="208" t="s">
        <v>22</v>
      </c>
      <c r="J156" s="208"/>
      <c r="K156" s="202"/>
      <c r="L156" s="202"/>
      <c r="M156" s="202"/>
      <c r="N156" s="202"/>
      <c r="O156" s="202"/>
      <c r="P156" s="203"/>
    </row>
    <row r="157" spans="1:16" ht="30" customHeight="1" thickBot="1" x14ac:dyDescent="0.2">
      <c r="A157" s="204">
        <f>賃金集計表!H20</f>
        <v>33000</v>
      </c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6"/>
    </row>
    <row r="158" spans="1:16" ht="9" customHeight="1" thickBot="1" x14ac:dyDescent="0.2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</row>
    <row r="159" spans="1:16" ht="21.75" customHeight="1" x14ac:dyDescent="0.15">
      <c r="A159" s="207" t="s">
        <v>23</v>
      </c>
      <c r="B159" s="208"/>
      <c r="C159" s="209" t="s">
        <v>24</v>
      </c>
      <c r="D159" s="209"/>
      <c r="E159" s="208" t="s">
        <v>25</v>
      </c>
      <c r="F159" s="208"/>
      <c r="G159" s="208" t="s">
        <v>26</v>
      </c>
      <c r="H159" s="208"/>
      <c r="I159" s="208" t="s">
        <v>27</v>
      </c>
      <c r="J159" s="208"/>
      <c r="K159" s="202"/>
      <c r="L159" s="202"/>
      <c r="M159" s="202"/>
      <c r="N159" s="202"/>
      <c r="O159" s="208" t="s">
        <v>80</v>
      </c>
      <c r="P159" s="214"/>
    </row>
    <row r="160" spans="1:16" ht="30" customHeight="1" thickBot="1" x14ac:dyDescent="0.2">
      <c r="A160" s="204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>
        <f>賃金集計表!V20</f>
        <v>1750</v>
      </c>
      <c r="P160" s="206"/>
    </row>
    <row r="161" spans="1:16" ht="9" customHeight="1" thickBot="1" x14ac:dyDescent="0.2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</row>
    <row r="162" spans="1:16" ht="21.75" customHeight="1" thickTop="1" x14ac:dyDescent="0.15">
      <c r="A162" s="217" t="s">
        <v>28</v>
      </c>
      <c r="B162" s="218"/>
      <c r="C162" s="218"/>
      <c r="D162" s="218" t="s">
        <v>29</v>
      </c>
      <c r="E162" s="218"/>
      <c r="F162" s="218"/>
      <c r="G162" s="218" t="s">
        <v>30</v>
      </c>
      <c r="H162" s="218"/>
      <c r="I162" s="219"/>
      <c r="J162" s="119"/>
      <c r="K162" s="220" t="s">
        <v>31</v>
      </c>
      <c r="L162" s="229"/>
      <c r="M162" s="229"/>
      <c r="N162" s="229"/>
      <c r="O162" s="229"/>
      <c r="P162" s="229"/>
    </row>
    <row r="163" spans="1:16" ht="30" customHeight="1" thickBot="1" x14ac:dyDescent="0.2">
      <c r="A163" s="222">
        <f>SUM(A157:P157)</f>
        <v>33000</v>
      </c>
      <c r="B163" s="223"/>
      <c r="C163" s="223"/>
      <c r="D163" s="224">
        <f>SUM(A160:P160)</f>
        <v>1750</v>
      </c>
      <c r="E163" s="223"/>
      <c r="F163" s="223"/>
      <c r="G163" s="224">
        <f>A163-D163</f>
        <v>31250</v>
      </c>
      <c r="H163" s="223"/>
      <c r="I163" s="225"/>
      <c r="J163" s="43"/>
      <c r="K163" s="226" t="s">
        <v>32</v>
      </c>
      <c r="L163" s="230"/>
      <c r="M163" s="230"/>
      <c r="N163" s="230"/>
      <c r="O163" s="230"/>
      <c r="P163" s="230"/>
    </row>
    <row r="164" spans="1:16" ht="14.25" thickTop="1" x14ac:dyDescent="0.1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</row>
    <row r="165" spans="1:16" x14ac:dyDescent="0.1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</row>
    <row r="166" spans="1:16" ht="30" customHeight="1" x14ac:dyDescent="0.15">
      <c r="A166" s="210" t="s">
        <v>16</v>
      </c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1" t="s">
        <v>154</v>
      </c>
      <c r="N166" s="211"/>
      <c r="O166" s="211"/>
      <c r="P166" s="211"/>
    </row>
    <row r="167" spans="1:16" ht="14.25" thickBot="1" x14ac:dyDescent="0.2"/>
    <row r="168" spans="1:16" ht="21.75" customHeight="1" x14ac:dyDescent="0.15">
      <c r="A168" s="207" t="s">
        <v>17</v>
      </c>
      <c r="B168" s="208"/>
      <c r="C168" s="233" t="str">
        <f>賃金集計表!A21</f>
        <v>若林　哲也</v>
      </c>
      <c r="D168" s="234"/>
      <c r="E168" s="234"/>
      <c r="F168" s="234"/>
      <c r="G168" s="237" t="s">
        <v>88</v>
      </c>
      <c r="H168" s="208" t="s">
        <v>18</v>
      </c>
      <c r="I168" s="208"/>
      <c r="J168" s="208"/>
      <c r="K168" s="208" t="s">
        <v>19</v>
      </c>
      <c r="L168" s="208"/>
      <c r="M168" s="208"/>
      <c r="N168" s="208" t="s">
        <v>20</v>
      </c>
      <c r="O168" s="208"/>
      <c r="P168" s="214"/>
    </row>
    <row r="169" spans="1:16" ht="21.75" customHeight="1" thickBot="1" x14ac:dyDescent="0.2">
      <c r="A169" s="212"/>
      <c r="B169" s="213"/>
      <c r="C169" s="235"/>
      <c r="D169" s="236"/>
      <c r="E169" s="236"/>
      <c r="F169" s="236"/>
      <c r="G169" s="238"/>
      <c r="H169" s="215">
        <f>賃金集計表!B21</f>
        <v>12</v>
      </c>
      <c r="I169" s="215"/>
      <c r="J169" s="215"/>
      <c r="K169" s="215"/>
      <c r="L169" s="215"/>
      <c r="M169" s="215"/>
      <c r="N169" s="215"/>
      <c r="O169" s="215"/>
      <c r="P169" s="216"/>
    </row>
    <row r="170" spans="1:16" ht="9" customHeight="1" thickBo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</row>
    <row r="171" spans="1:16" ht="21.75" customHeight="1" x14ac:dyDescent="0.15">
      <c r="A171" s="207" t="s">
        <v>21</v>
      </c>
      <c r="B171" s="208"/>
      <c r="C171" s="209" t="s">
        <v>20</v>
      </c>
      <c r="D171" s="209"/>
      <c r="E171" s="208"/>
      <c r="F171" s="208"/>
      <c r="G171" s="208"/>
      <c r="H171" s="208"/>
      <c r="I171" s="208" t="s">
        <v>22</v>
      </c>
      <c r="J171" s="208"/>
      <c r="K171" s="202"/>
      <c r="L171" s="202"/>
      <c r="M171" s="202"/>
      <c r="N171" s="202"/>
      <c r="O171" s="202"/>
      <c r="P171" s="203"/>
    </row>
    <row r="172" spans="1:16" ht="30" customHeight="1" thickBot="1" x14ac:dyDescent="0.2">
      <c r="A172" s="204">
        <f>賃金集計表!H21</f>
        <v>12000</v>
      </c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6"/>
    </row>
    <row r="173" spans="1:16" ht="9" customHeight="1" thickBo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</row>
    <row r="174" spans="1:16" ht="21.75" customHeight="1" x14ac:dyDescent="0.15">
      <c r="A174" s="207" t="s">
        <v>23</v>
      </c>
      <c r="B174" s="208"/>
      <c r="C174" s="209" t="s">
        <v>24</v>
      </c>
      <c r="D174" s="209"/>
      <c r="E174" s="208" t="s">
        <v>25</v>
      </c>
      <c r="F174" s="208"/>
      <c r="G174" s="208" t="s">
        <v>26</v>
      </c>
      <c r="H174" s="208"/>
      <c r="I174" s="208" t="s">
        <v>27</v>
      </c>
      <c r="J174" s="208"/>
      <c r="K174" s="202"/>
      <c r="L174" s="202"/>
      <c r="M174" s="202"/>
      <c r="N174" s="202"/>
      <c r="O174" s="208" t="s">
        <v>80</v>
      </c>
      <c r="P174" s="214"/>
    </row>
    <row r="175" spans="1:16" ht="30" customHeight="1" thickBot="1" x14ac:dyDescent="0.2">
      <c r="A175" s="204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>
        <f>賃金集計表!V21</f>
        <v>0</v>
      </c>
      <c r="P175" s="206"/>
    </row>
    <row r="176" spans="1:16" ht="9" customHeight="1" thickBo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</row>
    <row r="177" spans="1:20" ht="21.75" customHeight="1" thickTop="1" x14ac:dyDescent="0.15">
      <c r="A177" s="217" t="s">
        <v>28</v>
      </c>
      <c r="B177" s="218"/>
      <c r="C177" s="218"/>
      <c r="D177" s="218" t="s">
        <v>29</v>
      </c>
      <c r="E177" s="218"/>
      <c r="F177" s="218"/>
      <c r="G177" s="218" t="s">
        <v>30</v>
      </c>
      <c r="H177" s="218"/>
      <c r="I177" s="219"/>
      <c r="J177" s="119"/>
      <c r="K177" s="220" t="s">
        <v>31</v>
      </c>
      <c r="L177" s="221"/>
      <c r="M177" s="221"/>
      <c r="N177" s="221"/>
      <c r="O177" s="221"/>
      <c r="P177" s="221"/>
    </row>
    <row r="178" spans="1:20" ht="30" customHeight="1" thickBot="1" x14ac:dyDescent="0.2">
      <c r="A178" s="222">
        <f>SUM(A172:P172)</f>
        <v>12000</v>
      </c>
      <c r="B178" s="223"/>
      <c r="C178" s="223"/>
      <c r="D178" s="224">
        <f>SUM(A175:P175)</f>
        <v>0</v>
      </c>
      <c r="E178" s="223"/>
      <c r="F178" s="223"/>
      <c r="G178" s="224">
        <f>A178-D178</f>
        <v>12000</v>
      </c>
      <c r="H178" s="223"/>
      <c r="I178" s="225"/>
      <c r="J178" s="43"/>
      <c r="K178" s="226" t="s">
        <v>32</v>
      </c>
      <c r="L178" s="227"/>
      <c r="M178" s="227"/>
      <c r="N178" s="227"/>
      <c r="O178" s="227"/>
      <c r="P178" s="227"/>
    </row>
    <row r="179" spans="1:20" ht="14.25" thickTop="1" x14ac:dyDescent="0.15"/>
    <row r="181" spans="1:20" ht="30" customHeight="1" x14ac:dyDescent="0.15">
      <c r="A181" s="228" t="s">
        <v>16</v>
      </c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11" t="s">
        <v>154</v>
      </c>
      <c r="N181" s="211"/>
      <c r="O181" s="211"/>
      <c r="P181" s="211"/>
    </row>
    <row r="182" spans="1:20" ht="14.25" thickBot="1" x14ac:dyDescent="0.2"/>
    <row r="183" spans="1:20" ht="21.75" customHeight="1" x14ac:dyDescent="0.15">
      <c r="A183" s="207" t="s">
        <v>17</v>
      </c>
      <c r="B183" s="208"/>
      <c r="C183" s="233" t="str">
        <f>賃金集計表!A22</f>
        <v>柏木　憲太</v>
      </c>
      <c r="D183" s="234"/>
      <c r="E183" s="234"/>
      <c r="F183" s="234"/>
      <c r="G183" s="237" t="s">
        <v>88</v>
      </c>
      <c r="H183" s="208" t="s">
        <v>18</v>
      </c>
      <c r="I183" s="208"/>
      <c r="J183" s="208"/>
      <c r="K183" s="208" t="s">
        <v>19</v>
      </c>
      <c r="L183" s="208"/>
      <c r="M183" s="208"/>
      <c r="N183" s="208" t="s">
        <v>20</v>
      </c>
      <c r="O183" s="208"/>
      <c r="P183" s="214"/>
    </row>
    <row r="184" spans="1:20" ht="21.75" customHeight="1" thickBot="1" x14ac:dyDescent="0.2">
      <c r="A184" s="212"/>
      <c r="B184" s="213"/>
      <c r="C184" s="235"/>
      <c r="D184" s="236"/>
      <c r="E184" s="236"/>
      <c r="F184" s="236"/>
      <c r="G184" s="238"/>
      <c r="H184" s="215">
        <f>賃金集計表!B22</f>
        <v>22</v>
      </c>
      <c r="I184" s="215"/>
      <c r="J184" s="215"/>
      <c r="K184" s="231"/>
      <c r="L184" s="215"/>
      <c r="M184" s="215"/>
      <c r="N184" s="215"/>
      <c r="O184" s="215"/>
      <c r="P184" s="216"/>
    </row>
    <row r="185" spans="1:20" ht="9" customHeight="1" thickBo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</row>
    <row r="186" spans="1:20" ht="21.75" customHeight="1" x14ac:dyDescent="0.15">
      <c r="A186" s="207" t="s">
        <v>21</v>
      </c>
      <c r="B186" s="208"/>
      <c r="C186" s="209" t="s">
        <v>20</v>
      </c>
      <c r="D186" s="209"/>
      <c r="E186" s="208"/>
      <c r="F186" s="208"/>
      <c r="G186" s="208"/>
      <c r="H186" s="208"/>
      <c r="I186" s="208" t="s">
        <v>22</v>
      </c>
      <c r="J186" s="208"/>
      <c r="K186" s="202"/>
      <c r="L186" s="202"/>
      <c r="M186" s="202"/>
      <c r="N186" s="202"/>
      <c r="O186" s="202"/>
      <c r="P186" s="203"/>
      <c r="R186" s="49"/>
      <c r="T186" s="49"/>
    </row>
    <row r="187" spans="1:20" ht="30" customHeight="1" thickBot="1" x14ac:dyDescent="0.2">
      <c r="A187" s="204">
        <f>賃金集計表!H22</f>
        <v>33000</v>
      </c>
      <c r="B187" s="205"/>
      <c r="C187" s="205"/>
      <c r="D187" s="205"/>
      <c r="E187" s="205"/>
      <c r="F187" s="205"/>
      <c r="G187" s="205"/>
      <c r="H187" s="205"/>
      <c r="I187" s="205">
        <f>賃金集計表!N22</f>
        <v>5000</v>
      </c>
      <c r="J187" s="205"/>
      <c r="K187" s="205"/>
      <c r="L187" s="205"/>
      <c r="M187" s="205"/>
      <c r="N187" s="205"/>
      <c r="O187" s="205"/>
      <c r="P187" s="206"/>
    </row>
    <row r="188" spans="1:20" ht="9" customHeight="1" thickBo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</row>
    <row r="189" spans="1:20" ht="21.75" customHeight="1" x14ac:dyDescent="0.15">
      <c r="A189" s="207" t="s">
        <v>23</v>
      </c>
      <c r="B189" s="208"/>
      <c r="C189" s="209" t="s">
        <v>24</v>
      </c>
      <c r="D189" s="209"/>
      <c r="E189" s="208" t="s">
        <v>25</v>
      </c>
      <c r="F189" s="208"/>
      <c r="G189" s="208" t="s">
        <v>26</v>
      </c>
      <c r="H189" s="208"/>
      <c r="I189" s="208" t="s">
        <v>27</v>
      </c>
      <c r="J189" s="208"/>
      <c r="K189" s="202"/>
      <c r="L189" s="202"/>
      <c r="M189" s="202"/>
      <c r="N189" s="202"/>
      <c r="O189" s="208" t="s">
        <v>80</v>
      </c>
      <c r="P189" s="214"/>
    </row>
    <row r="190" spans="1:20" ht="30" customHeight="1" thickBot="1" x14ac:dyDescent="0.2">
      <c r="A190" s="204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>
        <f>賃金集計表!V22</f>
        <v>7700</v>
      </c>
      <c r="P190" s="206"/>
    </row>
    <row r="191" spans="1:20" ht="9" customHeight="1" thickBo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</row>
    <row r="192" spans="1:20" ht="21.75" customHeight="1" thickTop="1" x14ac:dyDescent="0.15">
      <c r="A192" s="217" t="s">
        <v>28</v>
      </c>
      <c r="B192" s="218"/>
      <c r="C192" s="218"/>
      <c r="D192" s="218" t="s">
        <v>29</v>
      </c>
      <c r="E192" s="218"/>
      <c r="F192" s="218"/>
      <c r="G192" s="218" t="s">
        <v>30</v>
      </c>
      <c r="H192" s="218"/>
      <c r="I192" s="219"/>
      <c r="J192" s="119"/>
      <c r="K192" s="220" t="s">
        <v>31</v>
      </c>
      <c r="L192" s="221"/>
      <c r="M192" s="221"/>
      <c r="N192" s="221"/>
      <c r="O192" s="221"/>
      <c r="P192" s="221"/>
    </row>
    <row r="193" spans="1:16" ht="30" customHeight="1" thickBot="1" x14ac:dyDescent="0.2">
      <c r="A193" s="222">
        <f>SUM(A187:P187)</f>
        <v>38000</v>
      </c>
      <c r="B193" s="223"/>
      <c r="C193" s="223"/>
      <c r="D193" s="224">
        <f>SUM(A190:P190)</f>
        <v>7700</v>
      </c>
      <c r="E193" s="223"/>
      <c r="F193" s="223"/>
      <c r="G193" s="224">
        <f>A193-D193</f>
        <v>30300</v>
      </c>
      <c r="H193" s="223"/>
      <c r="I193" s="225"/>
      <c r="J193" s="43"/>
      <c r="K193" s="226" t="s">
        <v>32</v>
      </c>
      <c r="L193" s="227"/>
      <c r="M193" s="227"/>
      <c r="N193" s="227"/>
      <c r="O193" s="227"/>
      <c r="P193" s="227"/>
    </row>
    <row r="194" spans="1:16" ht="14.25" thickTop="1" x14ac:dyDescent="0.15"/>
    <row r="196" spans="1:16" ht="30" customHeight="1" x14ac:dyDescent="0.15">
      <c r="A196" s="228" t="s">
        <v>16</v>
      </c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11" t="s">
        <v>154</v>
      </c>
      <c r="N196" s="211"/>
      <c r="O196" s="211"/>
      <c r="P196" s="211"/>
    </row>
    <row r="197" spans="1:16" ht="14.25" thickBot="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</row>
    <row r="198" spans="1:16" ht="21.75" customHeight="1" x14ac:dyDescent="0.15">
      <c r="A198" s="207" t="s">
        <v>17</v>
      </c>
      <c r="B198" s="208"/>
      <c r="C198" s="233" t="str">
        <f>賃金集計表!A23</f>
        <v>大元裕美子</v>
      </c>
      <c r="D198" s="234"/>
      <c r="E198" s="234"/>
      <c r="F198" s="234"/>
      <c r="G198" s="237" t="s">
        <v>88</v>
      </c>
      <c r="H198" s="208" t="s">
        <v>18</v>
      </c>
      <c r="I198" s="208"/>
      <c r="J198" s="208"/>
      <c r="K198" s="208" t="s">
        <v>19</v>
      </c>
      <c r="L198" s="208"/>
      <c r="M198" s="208"/>
      <c r="N198" s="208" t="s">
        <v>20</v>
      </c>
      <c r="O198" s="208"/>
      <c r="P198" s="214"/>
    </row>
    <row r="199" spans="1:16" ht="21.75" customHeight="1" thickBot="1" x14ac:dyDescent="0.2">
      <c r="A199" s="212"/>
      <c r="B199" s="213"/>
      <c r="C199" s="235"/>
      <c r="D199" s="236"/>
      <c r="E199" s="236"/>
      <c r="F199" s="236"/>
      <c r="G199" s="238"/>
      <c r="H199" s="215">
        <f>賃金集計表!B23</f>
        <v>20</v>
      </c>
      <c r="I199" s="215"/>
      <c r="J199" s="215"/>
      <c r="K199" s="232"/>
      <c r="L199" s="215"/>
      <c r="M199" s="215"/>
      <c r="N199" s="215"/>
      <c r="O199" s="215"/>
      <c r="P199" s="216"/>
    </row>
    <row r="200" spans="1:16" ht="9" customHeight="1" thickBot="1" x14ac:dyDescent="0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</row>
    <row r="201" spans="1:16" ht="21.75" customHeight="1" x14ac:dyDescent="0.15">
      <c r="A201" s="207" t="s">
        <v>21</v>
      </c>
      <c r="B201" s="208"/>
      <c r="C201" s="209" t="s">
        <v>20</v>
      </c>
      <c r="D201" s="209"/>
      <c r="E201" s="208"/>
      <c r="F201" s="208"/>
      <c r="G201" s="208"/>
      <c r="H201" s="208"/>
      <c r="I201" s="208" t="s">
        <v>22</v>
      </c>
      <c r="J201" s="208"/>
      <c r="K201" s="202"/>
      <c r="L201" s="202"/>
      <c r="M201" s="202"/>
      <c r="N201" s="202"/>
      <c r="O201" s="202"/>
      <c r="P201" s="203"/>
    </row>
    <row r="202" spans="1:16" ht="30" customHeight="1" thickBot="1" x14ac:dyDescent="0.2">
      <c r="A202" s="204">
        <f>賃金集計表!H23</f>
        <v>20000</v>
      </c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6"/>
    </row>
    <row r="203" spans="1:16" ht="9" customHeight="1" thickBot="1" x14ac:dyDescent="0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</row>
    <row r="204" spans="1:16" ht="21.75" customHeight="1" x14ac:dyDescent="0.15">
      <c r="A204" s="207" t="s">
        <v>23</v>
      </c>
      <c r="B204" s="208"/>
      <c r="C204" s="209" t="s">
        <v>24</v>
      </c>
      <c r="D204" s="209"/>
      <c r="E204" s="208" t="s">
        <v>25</v>
      </c>
      <c r="F204" s="208"/>
      <c r="G204" s="208" t="s">
        <v>26</v>
      </c>
      <c r="H204" s="208"/>
      <c r="I204" s="208" t="s">
        <v>27</v>
      </c>
      <c r="J204" s="208"/>
      <c r="K204" s="202"/>
      <c r="L204" s="202"/>
      <c r="M204" s="202"/>
      <c r="N204" s="202"/>
      <c r="O204" s="208" t="s">
        <v>80</v>
      </c>
      <c r="P204" s="214"/>
    </row>
    <row r="205" spans="1:16" ht="30" customHeight="1" thickBot="1" x14ac:dyDescent="0.2">
      <c r="A205" s="204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>
        <f>賃金集計表!V23</f>
        <v>0</v>
      </c>
      <c r="P205" s="206"/>
    </row>
    <row r="206" spans="1:16" ht="9" customHeight="1" thickBot="1" x14ac:dyDescent="0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</row>
    <row r="207" spans="1:16" ht="21.75" customHeight="1" thickTop="1" x14ac:dyDescent="0.15">
      <c r="A207" s="217" t="s">
        <v>28</v>
      </c>
      <c r="B207" s="218"/>
      <c r="C207" s="218"/>
      <c r="D207" s="218" t="s">
        <v>29</v>
      </c>
      <c r="E207" s="218"/>
      <c r="F207" s="218"/>
      <c r="G207" s="218" t="s">
        <v>30</v>
      </c>
      <c r="H207" s="218"/>
      <c r="I207" s="219"/>
      <c r="J207" s="119"/>
      <c r="K207" s="220" t="s">
        <v>31</v>
      </c>
      <c r="L207" s="229"/>
      <c r="M207" s="229"/>
      <c r="N207" s="229"/>
      <c r="O207" s="229"/>
      <c r="P207" s="229"/>
    </row>
    <row r="208" spans="1:16" ht="30" customHeight="1" thickBot="1" x14ac:dyDescent="0.2">
      <c r="A208" s="222">
        <f>SUM(A202:P202)</f>
        <v>20000</v>
      </c>
      <c r="B208" s="223"/>
      <c r="C208" s="223"/>
      <c r="D208" s="224">
        <f>SUM(A205:P205)</f>
        <v>0</v>
      </c>
      <c r="E208" s="223"/>
      <c r="F208" s="223"/>
      <c r="G208" s="224">
        <f>A208-D208</f>
        <v>20000</v>
      </c>
      <c r="H208" s="223"/>
      <c r="I208" s="225"/>
      <c r="J208" s="43"/>
      <c r="K208" s="226" t="s">
        <v>32</v>
      </c>
      <c r="L208" s="230"/>
      <c r="M208" s="230"/>
      <c r="N208" s="230"/>
      <c r="O208" s="230"/>
      <c r="P208" s="230"/>
    </row>
    <row r="209" spans="1:16" ht="14.25" thickTop="1" x14ac:dyDescent="0.1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</row>
    <row r="210" spans="1:16" x14ac:dyDescent="0.1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</row>
    <row r="211" spans="1:16" ht="30" customHeight="1" x14ac:dyDescent="0.15">
      <c r="A211" s="210" t="s">
        <v>16</v>
      </c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1" t="s">
        <v>154</v>
      </c>
      <c r="N211" s="211"/>
      <c r="O211" s="211"/>
      <c r="P211" s="211"/>
    </row>
    <row r="212" spans="1:16" ht="14.25" thickBot="1" x14ac:dyDescent="0.2"/>
    <row r="213" spans="1:16" ht="21.75" customHeight="1" x14ac:dyDescent="0.15">
      <c r="A213" s="207" t="s">
        <v>17</v>
      </c>
      <c r="B213" s="208"/>
      <c r="C213" s="233" t="str">
        <f>賃金集計表!A24</f>
        <v>倉谷　円</v>
      </c>
      <c r="D213" s="234"/>
      <c r="E213" s="234"/>
      <c r="F213" s="234"/>
      <c r="G213" s="237" t="s">
        <v>88</v>
      </c>
      <c r="H213" s="208" t="s">
        <v>18</v>
      </c>
      <c r="I213" s="208"/>
      <c r="J213" s="208"/>
      <c r="K213" s="208" t="s">
        <v>19</v>
      </c>
      <c r="L213" s="208"/>
      <c r="M213" s="208"/>
      <c r="N213" s="208" t="s">
        <v>20</v>
      </c>
      <c r="O213" s="208"/>
      <c r="P213" s="214"/>
    </row>
    <row r="214" spans="1:16" ht="21.75" customHeight="1" thickBot="1" x14ac:dyDescent="0.2">
      <c r="A214" s="212"/>
      <c r="B214" s="213"/>
      <c r="C214" s="235"/>
      <c r="D214" s="236"/>
      <c r="E214" s="236"/>
      <c r="F214" s="236"/>
      <c r="G214" s="238"/>
      <c r="H214" s="215">
        <f>賃金集計表!B24</f>
        <v>0</v>
      </c>
      <c r="I214" s="215"/>
      <c r="J214" s="215"/>
      <c r="K214" s="215"/>
      <c r="L214" s="215"/>
      <c r="M214" s="215"/>
      <c r="N214" s="215"/>
      <c r="O214" s="215"/>
      <c r="P214" s="216"/>
    </row>
    <row r="215" spans="1:16" ht="9" customHeight="1" thickBo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</row>
    <row r="216" spans="1:16" ht="21.75" customHeight="1" x14ac:dyDescent="0.15">
      <c r="A216" s="207" t="s">
        <v>21</v>
      </c>
      <c r="B216" s="208"/>
      <c r="C216" s="209" t="s">
        <v>20</v>
      </c>
      <c r="D216" s="209"/>
      <c r="E216" s="208"/>
      <c r="F216" s="208"/>
      <c r="G216" s="208"/>
      <c r="H216" s="208"/>
      <c r="I216" s="208" t="s">
        <v>22</v>
      </c>
      <c r="J216" s="208"/>
      <c r="K216" s="202"/>
      <c r="L216" s="202"/>
      <c r="M216" s="202"/>
      <c r="N216" s="202"/>
      <c r="O216" s="202"/>
      <c r="P216" s="203"/>
    </row>
    <row r="217" spans="1:16" ht="30" customHeight="1" thickBot="1" x14ac:dyDescent="0.2">
      <c r="A217" s="204">
        <f>賃金集計表!H24</f>
        <v>0</v>
      </c>
      <c r="B217" s="205"/>
      <c r="C217" s="205"/>
      <c r="D217" s="205"/>
      <c r="E217" s="205"/>
      <c r="F217" s="205"/>
      <c r="G217" s="205"/>
      <c r="H217" s="205"/>
      <c r="I217" s="205">
        <f>賃金集計表!L24</f>
        <v>0</v>
      </c>
      <c r="J217" s="205"/>
      <c r="K217" s="205"/>
      <c r="L217" s="205"/>
      <c r="M217" s="205"/>
      <c r="N217" s="205"/>
      <c r="O217" s="205"/>
      <c r="P217" s="206"/>
    </row>
    <row r="218" spans="1:16" ht="9" customHeight="1" thickBo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</row>
    <row r="219" spans="1:16" ht="21.75" customHeight="1" x14ac:dyDescent="0.15">
      <c r="A219" s="207" t="s">
        <v>23</v>
      </c>
      <c r="B219" s="208"/>
      <c r="C219" s="209" t="s">
        <v>24</v>
      </c>
      <c r="D219" s="209"/>
      <c r="E219" s="208" t="s">
        <v>25</v>
      </c>
      <c r="F219" s="208"/>
      <c r="G219" s="208" t="s">
        <v>26</v>
      </c>
      <c r="H219" s="208"/>
      <c r="I219" s="208" t="s">
        <v>27</v>
      </c>
      <c r="J219" s="208"/>
      <c r="K219" s="202"/>
      <c r="L219" s="202"/>
      <c r="M219" s="202"/>
      <c r="N219" s="202"/>
      <c r="O219" s="208" t="s">
        <v>80</v>
      </c>
      <c r="P219" s="214"/>
    </row>
    <row r="220" spans="1:16" ht="30" customHeight="1" thickBot="1" x14ac:dyDescent="0.2">
      <c r="A220" s="204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>
        <f>賃金集計表!V24</f>
        <v>0</v>
      </c>
      <c r="P220" s="206"/>
    </row>
    <row r="221" spans="1:16" ht="9" customHeight="1" thickBo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</row>
    <row r="222" spans="1:16" ht="21.75" customHeight="1" thickTop="1" x14ac:dyDescent="0.15">
      <c r="A222" s="217" t="s">
        <v>28</v>
      </c>
      <c r="B222" s="218"/>
      <c r="C222" s="218"/>
      <c r="D222" s="218" t="s">
        <v>29</v>
      </c>
      <c r="E222" s="218"/>
      <c r="F222" s="218"/>
      <c r="G222" s="218" t="s">
        <v>30</v>
      </c>
      <c r="H222" s="218"/>
      <c r="I222" s="219"/>
      <c r="J222" s="119"/>
      <c r="K222" s="220" t="s">
        <v>31</v>
      </c>
      <c r="L222" s="221"/>
      <c r="M222" s="221"/>
      <c r="N222" s="221"/>
      <c r="O222" s="221"/>
      <c r="P222" s="221"/>
    </row>
    <row r="223" spans="1:16" ht="30" customHeight="1" thickBot="1" x14ac:dyDescent="0.2">
      <c r="A223" s="222">
        <f>SUM(A217:P217)</f>
        <v>0</v>
      </c>
      <c r="B223" s="223"/>
      <c r="C223" s="223"/>
      <c r="D223" s="224">
        <f>SUM(A220:P220)</f>
        <v>0</v>
      </c>
      <c r="E223" s="223"/>
      <c r="F223" s="223"/>
      <c r="G223" s="224">
        <f>A223-D223</f>
        <v>0</v>
      </c>
      <c r="H223" s="223"/>
      <c r="I223" s="225"/>
      <c r="J223" s="43"/>
      <c r="K223" s="226" t="s">
        <v>32</v>
      </c>
      <c r="L223" s="227"/>
      <c r="M223" s="227"/>
      <c r="N223" s="227"/>
      <c r="O223" s="227"/>
      <c r="P223" s="227"/>
    </row>
    <row r="224" spans="1:16" ht="14.25" thickTop="1" x14ac:dyDescent="0.15"/>
    <row r="226" spans="1:20" ht="30" customHeight="1" x14ac:dyDescent="0.15">
      <c r="A226" s="228" t="s">
        <v>16</v>
      </c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11" t="s">
        <v>154</v>
      </c>
      <c r="N226" s="211"/>
      <c r="O226" s="211"/>
      <c r="P226" s="211"/>
    </row>
    <row r="227" spans="1:20" ht="14.25" thickBot="1" x14ac:dyDescent="0.2"/>
    <row r="228" spans="1:20" ht="21.75" customHeight="1" x14ac:dyDescent="0.15">
      <c r="A228" s="207" t="s">
        <v>17</v>
      </c>
      <c r="B228" s="208"/>
      <c r="C228" s="233" t="str">
        <f>賃金集計表!A25</f>
        <v>葛籠　沙葵</v>
      </c>
      <c r="D228" s="234"/>
      <c r="E228" s="234"/>
      <c r="F228" s="234"/>
      <c r="G228" s="237" t="s">
        <v>88</v>
      </c>
      <c r="H228" s="208" t="s">
        <v>18</v>
      </c>
      <c r="I228" s="208"/>
      <c r="J228" s="208"/>
      <c r="K228" s="208" t="s">
        <v>19</v>
      </c>
      <c r="L228" s="208"/>
      <c r="M228" s="208"/>
      <c r="N228" s="208" t="s">
        <v>20</v>
      </c>
      <c r="O228" s="208"/>
      <c r="P228" s="214"/>
    </row>
    <row r="229" spans="1:20" ht="21.75" customHeight="1" thickBot="1" x14ac:dyDescent="0.2">
      <c r="A229" s="212"/>
      <c r="B229" s="213"/>
      <c r="C229" s="235"/>
      <c r="D229" s="236"/>
      <c r="E229" s="236"/>
      <c r="F229" s="236"/>
      <c r="G229" s="238"/>
      <c r="H229" s="215">
        <f>賃金集計表!B25</f>
        <v>18</v>
      </c>
      <c r="I229" s="215"/>
      <c r="J229" s="215"/>
      <c r="K229" s="231"/>
      <c r="L229" s="215"/>
      <c r="M229" s="215"/>
      <c r="N229" s="215"/>
      <c r="O229" s="215"/>
      <c r="P229" s="216"/>
    </row>
    <row r="230" spans="1:20" ht="9" customHeight="1" thickBo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</row>
    <row r="231" spans="1:20" ht="21.75" customHeight="1" x14ac:dyDescent="0.15">
      <c r="A231" s="207" t="s">
        <v>21</v>
      </c>
      <c r="B231" s="208"/>
      <c r="C231" s="209" t="s">
        <v>20</v>
      </c>
      <c r="D231" s="209"/>
      <c r="E231" s="208"/>
      <c r="F231" s="208"/>
      <c r="G231" s="208"/>
      <c r="H231" s="208"/>
      <c r="I231" s="208" t="s">
        <v>22</v>
      </c>
      <c r="J231" s="208"/>
      <c r="K231" s="202"/>
      <c r="L231" s="202"/>
      <c r="M231" s="202"/>
      <c r="N231" s="202"/>
      <c r="O231" s="202"/>
      <c r="P231" s="203"/>
      <c r="R231" s="49"/>
      <c r="T231" s="49"/>
    </row>
    <row r="232" spans="1:20" ht="30" customHeight="1" thickBot="1" x14ac:dyDescent="0.2">
      <c r="A232" s="204">
        <f>賃金集計表!H25</f>
        <v>18000</v>
      </c>
      <c r="B232" s="205"/>
      <c r="C232" s="205"/>
      <c r="D232" s="205"/>
      <c r="E232" s="205"/>
      <c r="F232" s="205"/>
      <c r="G232" s="205"/>
      <c r="H232" s="205"/>
      <c r="I232" s="205">
        <f>賃金集計表!L25</f>
        <v>6650</v>
      </c>
      <c r="J232" s="205"/>
      <c r="K232" s="205"/>
      <c r="L232" s="205"/>
      <c r="M232" s="205"/>
      <c r="N232" s="205"/>
      <c r="O232" s="205"/>
      <c r="P232" s="206"/>
    </row>
    <row r="233" spans="1:20" ht="9" customHeight="1" thickBo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</row>
    <row r="234" spans="1:20" ht="21.75" customHeight="1" x14ac:dyDescent="0.15">
      <c r="A234" s="207" t="s">
        <v>23</v>
      </c>
      <c r="B234" s="208"/>
      <c r="C234" s="209" t="s">
        <v>24</v>
      </c>
      <c r="D234" s="209"/>
      <c r="E234" s="208" t="s">
        <v>25</v>
      </c>
      <c r="F234" s="208"/>
      <c r="G234" s="208" t="s">
        <v>26</v>
      </c>
      <c r="H234" s="208"/>
      <c r="I234" s="208" t="s">
        <v>27</v>
      </c>
      <c r="J234" s="208"/>
      <c r="K234" s="202"/>
      <c r="L234" s="202"/>
      <c r="M234" s="202"/>
      <c r="N234" s="202"/>
      <c r="O234" s="208" t="s">
        <v>80</v>
      </c>
      <c r="P234" s="214"/>
    </row>
    <row r="235" spans="1:20" ht="30" customHeight="1" thickBot="1" x14ac:dyDescent="0.2">
      <c r="A235" s="204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>
        <f>賃金集計表!V25</f>
        <v>6650</v>
      </c>
      <c r="P235" s="206"/>
    </row>
    <row r="236" spans="1:20" ht="9" customHeight="1" thickBo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</row>
    <row r="237" spans="1:20" ht="21.75" customHeight="1" thickTop="1" x14ac:dyDescent="0.15">
      <c r="A237" s="217" t="s">
        <v>28</v>
      </c>
      <c r="B237" s="218"/>
      <c r="C237" s="218"/>
      <c r="D237" s="218" t="s">
        <v>29</v>
      </c>
      <c r="E237" s="218"/>
      <c r="F237" s="218"/>
      <c r="G237" s="218" t="s">
        <v>30</v>
      </c>
      <c r="H237" s="218"/>
      <c r="I237" s="219"/>
      <c r="J237" s="119"/>
      <c r="K237" s="220" t="s">
        <v>31</v>
      </c>
      <c r="L237" s="221"/>
      <c r="M237" s="221"/>
      <c r="N237" s="221"/>
      <c r="O237" s="221"/>
      <c r="P237" s="221"/>
    </row>
    <row r="238" spans="1:20" ht="30" customHeight="1" thickBot="1" x14ac:dyDescent="0.2">
      <c r="A238" s="222">
        <f>SUM(A232:P232)</f>
        <v>24650</v>
      </c>
      <c r="B238" s="223"/>
      <c r="C238" s="223"/>
      <c r="D238" s="224">
        <f>SUM(A235:P235)</f>
        <v>6650</v>
      </c>
      <c r="E238" s="223"/>
      <c r="F238" s="223"/>
      <c r="G238" s="224">
        <f>A238-D238</f>
        <v>18000</v>
      </c>
      <c r="H238" s="223"/>
      <c r="I238" s="225"/>
      <c r="J238" s="43"/>
      <c r="K238" s="226" t="s">
        <v>32</v>
      </c>
      <c r="L238" s="227"/>
      <c r="M238" s="227"/>
      <c r="N238" s="227"/>
      <c r="O238" s="227"/>
      <c r="P238" s="227"/>
    </row>
    <row r="239" spans="1:20" ht="14.25" thickTop="1" x14ac:dyDescent="0.15"/>
    <row r="241" spans="1:16" ht="30" customHeight="1" x14ac:dyDescent="0.15">
      <c r="A241" s="228" t="s">
        <v>16</v>
      </c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11" t="s">
        <v>154</v>
      </c>
      <c r="N241" s="211"/>
      <c r="O241" s="211"/>
      <c r="P241" s="211"/>
    </row>
    <row r="242" spans="1:16" ht="14.25" thickBot="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</row>
    <row r="243" spans="1:16" ht="21.75" customHeight="1" x14ac:dyDescent="0.15">
      <c r="A243" s="207" t="s">
        <v>17</v>
      </c>
      <c r="B243" s="208"/>
      <c r="C243" s="233" t="str">
        <f>賃金集計表!A26</f>
        <v>岡田　直明</v>
      </c>
      <c r="D243" s="234"/>
      <c r="E243" s="234"/>
      <c r="F243" s="234"/>
      <c r="G243" s="237" t="s">
        <v>88</v>
      </c>
      <c r="H243" s="208" t="s">
        <v>18</v>
      </c>
      <c r="I243" s="208"/>
      <c r="J243" s="208"/>
      <c r="K243" s="208" t="s">
        <v>19</v>
      </c>
      <c r="L243" s="208"/>
      <c r="M243" s="208"/>
      <c r="N243" s="208" t="s">
        <v>20</v>
      </c>
      <c r="O243" s="208"/>
      <c r="P243" s="214"/>
    </row>
    <row r="244" spans="1:16" ht="21.75" customHeight="1" thickBot="1" x14ac:dyDescent="0.2">
      <c r="A244" s="212"/>
      <c r="B244" s="213"/>
      <c r="C244" s="235"/>
      <c r="D244" s="236"/>
      <c r="E244" s="236"/>
      <c r="F244" s="236"/>
      <c r="G244" s="238"/>
      <c r="H244" s="215">
        <f>賃金集計表!B26</f>
        <v>11</v>
      </c>
      <c r="I244" s="215"/>
      <c r="J244" s="215"/>
      <c r="K244" s="232"/>
      <c r="L244" s="215"/>
      <c r="M244" s="215"/>
      <c r="N244" s="215"/>
      <c r="O244" s="215"/>
      <c r="P244" s="216"/>
    </row>
    <row r="245" spans="1:16" ht="9" customHeight="1" thickBot="1" x14ac:dyDescent="0.2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</row>
    <row r="246" spans="1:16" ht="21.75" customHeight="1" x14ac:dyDescent="0.15">
      <c r="A246" s="207" t="s">
        <v>21</v>
      </c>
      <c r="B246" s="208"/>
      <c r="C246" s="209" t="s">
        <v>20</v>
      </c>
      <c r="D246" s="209"/>
      <c r="E246" s="208"/>
      <c r="F246" s="208"/>
      <c r="G246" s="208"/>
      <c r="H246" s="208"/>
      <c r="I246" s="208" t="s">
        <v>22</v>
      </c>
      <c r="J246" s="208"/>
      <c r="K246" s="202"/>
      <c r="L246" s="202"/>
      <c r="M246" s="202"/>
      <c r="N246" s="202"/>
      <c r="O246" s="202"/>
      <c r="P246" s="203"/>
    </row>
    <row r="247" spans="1:16" ht="30" customHeight="1" thickBot="1" x14ac:dyDescent="0.2">
      <c r="A247" s="204">
        <f>賃金集計表!H26</f>
        <v>11000</v>
      </c>
      <c r="B247" s="205"/>
      <c r="C247" s="205"/>
      <c r="D247" s="205"/>
      <c r="E247" s="205"/>
      <c r="F247" s="205"/>
      <c r="G247" s="205"/>
      <c r="H247" s="205"/>
      <c r="I247" s="205">
        <f>賃金集計表!L26</f>
        <v>0</v>
      </c>
      <c r="J247" s="205"/>
      <c r="K247" s="205"/>
      <c r="L247" s="205"/>
      <c r="M247" s="205"/>
      <c r="N247" s="205"/>
      <c r="O247" s="205"/>
      <c r="P247" s="206"/>
    </row>
    <row r="248" spans="1:16" ht="9" customHeight="1" thickBot="1" x14ac:dyDescent="0.2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</row>
    <row r="249" spans="1:16" ht="21.75" customHeight="1" x14ac:dyDescent="0.15">
      <c r="A249" s="207" t="s">
        <v>23</v>
      </c>
      <c r="B249" s="208"/>
      <c r="C249" s="209" t="s">
        <v>24</v>
      </c>
      <c r="D249" s="209"/>
      <c r="E249" s="208" t="s">
        <v>25</v>
      </c>
      <c r="F249" s="208"/>
      <c r="G249" s="208" t="s">
        <v>26</v>
      </c>
      <c r="H249" s="208"/>
      <c r="I249" s="208" t="s">
        <v>27</v>
      </c>
      <c r="J249" s="208"/>
      <c r="K249" s="202"/>
      <c r="L249" s="202"/>
      <c r="M249" s="202"/>
      <c r="N249" s="202"/>
      <c r="O249" s="208" t="s">
        <v>80</v>
      </c>
      <c r="P249" s="214"/>
    </row>
    <row r="250" spans="1:16" ht="30" customHeight="1" thickBot="1" x14ac:dyDescent="0.2">
      <c r="A250" s="204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>
        <f>賃金集計表!V26</f>
        <v>0</v>
      </c>
      <c r="P250" s="206"/>
    </row>
    <row r="251" spans="1:16" ht="9" customHeight="1" thickBot="1" x14ac:dyDescent="0.2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</row>
    <row r="252" spans="1:16" ht="21.75" customHeight="1" thickTop="1" x14ac:dyDescent="0.15">
      <c r="A252" s="217" t="s">
        <v>28</v>
      </c>
      <c r="B252" s="218"/>
      <c r="C252" s="218"/>
      <c r="D252" s="218" t="s">
        <v>29</v>
      </c>
      <c r="E252" s="218"/>
      <c r="F252" s="218"/>
      <c r="G252" s="218" t="s">
        <v>30</v>
      </c>
      <c r="H252" s="218"/>
      <c r="I252" s="219"/>
      <c r="J252" s="119"/>
      <c r="K252" s="220" t="s">
        <v>31</v>
      </c>
      <c r="L252" s="229"/>
      <c r="M252" s="229"/>
      <c r="N252" s="229"/>
      <c r="O252" s="229"/>
      <c r="P252" s="229"/>
    </row>
    <row r="253" spans="1:16" ht="30" customHeight="1" thickBot="1" x14ac:dyDescent="0.2">
      <c r="A253" s="222">
        <f>SUM(A247:P247)</f>
        <v>11000</v>
      </c>
      <c r="B253" s="223"/>
      <c r="C253" s="223"/>
      <c r="D253" s="224">
        <f>SUM(A250:P250)</f>
        <v>0</v>
      </c>
      <c r="E253" s="223"/>
      <c r="F253" s="223"/>
      <c r="G253" s="224">
        <f>A253-D253</f>
        <v>11000</v>
      </c>
      <c r="H253" s="223"/>
      <c r="I253" s="225"/>
      <c r="J253" s="43"/>
      <c r="K253" s="226" t="s">
        <v>32</v>
      </c>
      <c r="L253" s="230"/>
      <c r="M253" s="230"/>
      <c r="N253" s="230"/>
      <c r="O253" s="230"/>
      <c r="P253" s="230"/>
    </row>
    <row r="254" spans="1:16" ht="14.25" thickTop="1" x14ac:dyDescent="0.1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</row>
    <row r="255" spans="1:16" x14ac:dyDescent="0.1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</row>
    <row r="256" spans="1:16" ht="30" customHeight="1" x14ac:dyDescent="0.15">
      <c r="A256" s="210" t="s">
        <v>16</v>
      </c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1" t="s">
        <v>154</v>
      </c>
      <c r="N256" s="211"/>
      <c r="O256" s="211"/>
      <c r="P256" s="211"/>
    </row>
    <row r="257" spans="1:16" ht="14.25" thickBot="1" x14ac:dyDescent="0.2"/>
    <row r="258" spans="1:16" ht="21.75" customHeight="1" x14ac:dyDescent="0.15">
      <c r="A258" s="207" t="s">
        <v>17</v>
      </c>
      <c r="B258" s="208"/>
      <c r="C258" s="233" t="str">
        <f>賃金集計表!A27</f>
        <v>神田　幸弘</v>
      </c>
      <c r="D258" s="234"/>
      <c r="E258" s="234"/>
      <c r="F258" s="234"/>
      <c r="G258" s="237" t="s">
        <v>88</v>
      </c>
      <c r="H258" s="208" t="s">
        <v>18</v>
      </c>
      <c r="I258" s="208"/>
      <c r="J258" s="208"/>
      <c r="K258" s="208" t="s">
        <v>19</v>
      </c>
      <c r="L258" s="208"/>
      <c r="M258" s="208"/>
      <c r="N258" s="208" t="s">
        <v>20</v>
      </c>
      <c r="O258" s="208"/>
      <c r="P258" s="214"/>
    </row>
    <row r="259" spans="1:16" ht="21.75" customHeight="1" thickBot="1" x14ac:dyDescent="0.2">
      <c r="A259" s="212"/>
      <c r="B259" s="213"/>
      <c r="C259" s="235"/>
      <c r="D259" s="236"/>
      <c r="E259" s="236"/>
      <c r="F259" s="236"/>
      <c r="G259" s="238"/>
      <c r="H259" s="215">
        <f>賃金集計表!B27</f>
        <v>20</v>
      </c>
      <c r="I259" s="215"/>
      <c r="J259" s="215"/>
      <c r="K259" s="215"/>
      <c r="L259" s="215"/>
      <c r="M259" s="215"/>
      <c r="N259" s="215"/>
      <c r="O259" s="215"/>
      <c r="P259" s="216"/>
    </row>
    <row r="260" spans="1:16" ht="9" customHeight="1" thickBo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</row>
    <row r="261" spans="1:16" ht="21.75" customHeight="1" x14ac:dyDescent="0.15">
      <c r="A261" s="207" t="s">
        <v>21</v>
      </c>
      <c r="B261" s="208"/>
      <c r="C261" s="209" t="s">
        <v>20</v>
      </c>
      <c r="D261" s="209"/>
      <c r="E261" s="208"/>
      <c r="F261" s="208"/>
      <c r="G261" s="208"/>
      <c r="H261" s="208"/>
      <c r="I261" s="208" t="s">
        <v>22</v>
      </c>
      <c r="J261" s="208"/>
      <c r="K261" s="202"/>
      <c r="L261" s="202"/>
      <c r="M261" s="202"/>
      <c r="N261" s="202"/>
      <c r="O261" s="202"/>
      <c r="P261" s="203"/>
    </row>
    <row r="262" spans="1:16" ht="30" customHeight="1" thickBot="1" x14ac:dyDescent="0.2">
      <c r="A262" s="204">
        <f>賃金集計表!H27</f>
        <v>20000</v>
      </c>
      <c r="B262" s="205"/>
      <c r="C262" s="205">
        <f>K259*S259</f>
        <v>0</v>
      </c>
      <c r="D262" s="205"/>
      <c r="E262" s="205"/>
      <c r="F262" s="205"/>
      <c r="G262" s="205"/>
      <c r="H262" s="205"/>
      <c r="I262" s="205">
        <f>賃金集計表!L27</f>
        <v>0</v>
      </c>
      <c r="J262" s="205"/>
      <c r="K262" s="205"/>
      <c r="L262" s="205"/>
      <c r="M262" s="205"/>
      <c r="N262" s="205"/>
      <c r="O262" s="205"/>
      <c r="P262" s="206"/>
    </row>
    <row r="263" spans="1:16" ht="9" customHeight="1" thickBo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</row>
    <row r="264" spans="1:16" ht="21.75" customHeight="1" x14ac:dyDescent="0.15">
      <c r="A264" s="207" t="s">
        <v>23</v>
      </c>
      <c r="B264" s="208"/>
      <c r="C264" s="209" t="s">
        <v>24</v>
      </c>
      <c r="D264" s="209"/>
      <c r="E264" s="208" t="s">
        <v>25</v>
      </c>
      <c r="F264" s="208"/>
      <c r="G264" s="208" t="s">
        <v>26</v>
      </c>
      <c r="H264" s="208"/>
      <c r="I264" s="208" t="s">
        <v>27</v>
      </c>
      <c r="J264" s="208"/>
      <c r="K264" s="202"/>
      <c r="L264" s="202"/>
      <c r="M264" s="202"/>
      <c r="N264" s="202"/>
      <c r="O264" s="208" t="s">
        <v>80</v>
      </c>
      <c r="P264" s="214"/>
    </row>
    <row r="265" spans="1:16" ht="30" customHeight="1" thickBot="1" x14ac:dyDescent="0.2">
      <c r="A265" s="204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>
        <f>賃金集計表!V27</f>
        <v>2100</v>
      </c>
      <c r="P265" s="206"/>
    </row>
    <row r="266" spans="1:16" ht="9" customHeight="1" thickBo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</row>
    <row r="267" spans="1:16" ht="21.75" customHeight="1" thickTop="1" x14ac:dyDescent="0.15">
      <c r="A267" s="217" t="s">
        <v>28</v>
      </c>
      <c r="B267" s="218"/>
      <c r="C267" s="218"/>
      <c r="D267" s="218" t="s">
        <v>29</v>
      </c>
      <c r="E267" s="218"/>
      <c r="F267" s="218"/>
      <c r="G267" s="218" t="s">
        <v>30</v>
      </c>
      <c r="H267" s="218"/>
      <c r="I267" s="219"/>
      <c r="J267" s="119"/>
      <c r="K267" s="220" t="s">
        <v>31</v>
      </c>
      <c r="L267" s="221"/>
      <c r="M267" s="221"/>
      <c r="N267" s="221"/>
      <c r="O267" s="221"/>
      <c r="P267" s="221"/>
    </row>
    <row r="268" spans="1:16" ht="30" customHeight="1" thickBot="1" x14ac:dyDescent="0.2">
      <c r="A268" s="222">
        <f>SUM(A262:P262)</f>
        <v>20000</v>
      </c>
      <c r="B268" s="223"/>
      <c r="C268" s="223"/>
      <c r="D268" s="224">
        <f>SUM(A265:P265)</f>
        <v>2100</v>
      </c>
      <c r="E268" s="223"/>
      <c r="F268" s="223"/>
      <c r="G268" s="224">
        <f>A268-D268</f>
        <v>17900</v>
      </c>
      <c r="H268" s="223"/>
      <c r="I268" s="225"/>
      <c r="J268" s="43"/>
      <c r="K268" s="226" t="s">
        <v>32</v>
      </c>
      <c r="L268" s="227"/>
      <c r="M268" s="227"/>
      <c r="N268" s="227"/>
      <c r="O268" s="227"/>
      <c r="P268" s="227"/>
    </row>
    <row r="269" spans="1:16" ht="14.25" thickTop="1" x14ac:dyDescent="0.15"/>
    <row r="271" spans="1:16" ht="30" customHeight="1" x14ac:dyDescent="0.15">
      <c r="A271" s="228" t="s">
        <v>16</v>
      </c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11" t="s">
        <v>154</v>
      </c>
      <c r="N271" s="211"/>
      <c r="O271" s="211"/>
      <c r="P271" s="211"/>
    </row>
    <row r="272" spans="1:16" ht="14.25" thickBot="1" x14ac:dyDescent="0.2"/>
    <row r="273" spans="1:20" ht="21.75" customHeight="1" x14ac:dyDescent="0.15">
      <c r="A273" s="207" t="s">
        <v>17</v>
      </c>
      <c r="B273" s="208"/>
      <c r="C273" s="233" t="str">
        <f>賃金集計表!A28</f>
        <v>鹿室　泰洋</v>
      </c>
      <c r="D273" s="234"/>
      <c r="E273" s="234"/>
      <c r="F273" s="234"/>
      <c r="G273" s="237" t="s">
        <v>88</v>
      </c>
      <c r="H273" s="208" t="s">
        <v>18</v>
      </c>
      <c r="I273" s="208"/>
      <c r="J273" s="208"/>
      <c r="K273" s="208" t="s">
        <v>19</v>
      </c>
      <c r="L273" s="208"/>
      <c r="M273" s="208"/>
      <c r="N273" s="208" t="s">
        <v>20</v>
      </c>
      <c r="O273" s="208"/>
      <c r="P273" s="214"/>
    </row>
    <row r="274" spans="1:20" ht="21.75" customHeight="1" thickBot="1" x14ac:dyDescent="0.2">
      <c r="A274" s="212"/>
      <c r="B274" s="213"/>
      <c r="C274" s="235"/>
      <c r="D274" s="236"/>
      <c r="E274" s="236"/>
      <c r="F274" s="236"/>
      <c r="G274" s="238"/>
      <c r="H274" s="215">
        <f>賃金集計表!B28</f>
        <v>6</v>
      </c>
      <c r="I274" s="215"/>
      <c r="J274" s="215"/>
      <c r="K274" s="231"/>
      <c r="L274" s="215"/>
      <c r="M274" s="215"/>
      <c r="N274" s="215"/>
      <c r="O274" s="215"/>
      <c r="P274" s="216"/>
    </row>
    <row r="275" spans="1:20" ht="9" customHeight="1" thickBo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</row>
    <row r="276" spans="1:20" ht="21.75" customHeight="1" x14ac:dyDescent="0.15">
      <c r="A276" s="207" t="s">
        <v>21</v>
      </c>
      <c r="B276" s="208"/>
      <c r="C276" s="209" t="s">
        <v>20</v>
      </c>
      <c r="D276" s="209"/>
      <c r="E276" s="208"/>
      <c r="F276" s="208"/>
      <c r="G276" s="208"/>
      <c r="H276" s="208"/>
      <c r="I276" s="208" t="s">
        <v>22</v>
      </c>
      <c r="J276" s="208"/>
      <c r="K276" s="202"/>
      <c r="L276" s="202"/>
      <c r="M276" s="202"/>
      <c r="N276" s="202"/>
      <c r="O276" s="202"/>
      <c r="P276" s="203"/>
      <c r="R276" s="49"/>
      <c r="T276" s="49"/>
    </row>
    <row r="277" spans="1:20" ht="30" customHeight="1" thickBot="1" x14ac:dyDescent="0.2">
      <c r="A277" s="204">
        <f>賃金集計表!H28</f>
        <v>6000</v>
      </c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6"/>
    </row>
    <row r="278" spans="1:20" ht="9" customHeight="1" thickBo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</row>
    <row r="279" spans="1:20" ht="21.75" customHeight="1" x14ac:dyDescent="0.15">
      <c r="A279" s="207" t="s">
        <v>23</v>
      </c>
      <c r="B279" s="208"/>
      <c r="C279" s="209" t="s">
        <v>24</v>
      </c>
      <c r="D279" s="209"/>
      <c r="E279" s="208" t="s">
        <v>25</v>
      </c>
      <c r="F279" s="208"/>
      <c r="G279" s="208" t="s">
        <v>26</v>
      </c>
      <c r="H279" s="208"/>
      <c r="I279" s="208" t="s">
        <v>27</v>
      </c>
      <c r="J279" s="208"/>
      <c r="K279" s="202"/>
      <c r="L279" s="202"/>
      <c r="M279" s="202"/>
      <c r="N279" s="202"/>
      <c r="O279" s="208" t="s">
        <v>80</v>
      </c>
      <c r="P279" s="214"/>
    </row>
    <row r="280" spans="1:20" ht="30" customHeight="1" thickBot="1" x14ac:dyDescent="0.2">
      <c r="A280" s="204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>
        <f>賃金集計表!V28</f>
        <v>0</v>
      </c>
      <c r="P280" s="206"/>
    </row>
    <row r="281" spans="1:20" ht="9" customHeight="1" thickBo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</row>
    <row r="282" spans="1:20" ht="21.75" customHeight="1" thickTop="1" x14ac:dyDescent="0.15">
      <c r="A282" s="217" t="s">
        <v>28</v>
      </c>
      <c r="B282" s="218"/>
      <c r="C282" s="218"/>
      <c r="D282" s="218" t="s">
        <v>29</v>
      </c>
      <c r="E282" s="218"/>
      <c r="F282" s="218"/>
      <c r="G282" s="218" t="s">
        <v>30</v>
      </c>
      <c r="H282" s="218"/>
      <c r="I282" s="219"/>
      <c r="J282" s="119"/>
      <c r="K282" s="220" t="s">
        <v>31</v>
      </c>
      <c r="L282" s="221"/>
      <c r="M282" s="221"/>
      <c r="N282" s="221"/>
      <c r="O282" s="221"/>
      <c r="P282" s="221"/>
    </row>
    <row r="283" spans="1:20" ht="30" customHeight="1" thickBot="1" x14ac:dyDescent="0.2">
      <c r="A283" s="222">
        <f>SUM(A277:P277)</f>
        <v>6000</v>
      </c>
      <c r="B283" s="223"/>
      <c r="C283" s="223"/>
      <c r="D283" s="224">
        <f>SUM(A280:P280)</f>
        <v>0</v>
      </c>
      <c r="E283" s="223"/>
      <c r="F283" s="223"/>
      <c r="G283" s="224">
        <f>A283-D283</f>
        <v>6000</v>
      </c>
      <c r="H283" s="223"/>
      <c r="I283" s="225"/>
      <c r="J283" s="43"/>
      <c r="K283" s="226" t="s">
        <v>32</v>
      </c>
      <c r="L283" s="227"/>
      <c r="M283" s="227"/>
      <c r="N283" s="227"/>
      <c r="O283" s="227"/>
      <c r="P283" s="227"/>
    </row>
    <row r="284" spans="1:20" ht="14.25" thickTop="1" x14ac:dyDescent="0.15"/>
    <row r="286" spans="1:20" ht="30" customHeight="1" x14ac:dyDescent="0.15">
      <c r="A286" s="228" t="s">
        <v>16</v>
      </c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11" t="s">
        <v>154</v>
      </c>
      <c r="N286" s="211"/>
      <c r="O286" s="211"/>
      <c r="P286" s="211"/>
    </row>
    <row r="287" spans="1:20" ht="14.25" thickBo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</row>
    <row r="288" spans="1:20" ht="21.75" customHeight="1" x14ac:dyDescent="0.15">
      <c r="A288" s="207" t="s">
        <v>17</v>
      </c>
      <c r="B288" s="208"/>
      <c r="C288" s="233" t="str">
        <f>賃金集計表!A29</f>
        <v>吉岡　一夫</v>
      </c>
      <c r="D288" s="234"/>
      <c r="E288" s="234"/>
      <c r="F288" s="234"/>
      <c r="G288" s="237" t="s">
        <v>88</v>
      </c>
      <c r="H288" s="208" t="s">
        <v>18</v>
      </c>
      <c r="I288" s="208"/>
      <c r="J288" s="208"/>
      <c r="K288" s="208" t="s">
        <v>19</v>
      </c>
      <c r="L288" s="208"/>
      <c r="M288" s="208"/>
      <c r="N288" s="208" t="s">
        <v>20</v>
      </c>
      <c r="O288" s="208"/>
      <c r="P288" s="214"/>
    </row>
    <row r="289" spans="1:16" ht="21.75" customHeight="1" thickBot="1" x14ac:dyDescent="0.2">
      <c r="A289" s="212"/>
      <c r="B289" s="213"/>
      <c r="C289" s="235"/>
      <c r="D289" s="236"/>
      <c r="E289" s="236"/>
      <c r="F289" s="236"/>
      <c r="G289" s="238"/>
      <c r="H289" s="215">
        <f>賃金集計表!B29</f>
        <v>21</v>
      </c>
      <c r="I289" s="215"/>
      <c r="J289" s="215"/>
      <c r="K289" s="232"/>
      <c r="L289" s="215"/>
      <c r="M289" s="215"/>
      <c r="N289" s="215"/>
      <c r="O289" s="215"/>
      <c r="P289" s="216"/>
    </row>
    <row r="290" spans="1:16" ht="9" customHeight="1" thickBot="1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</row>
    <row r="291" spans="1:16" ht="21.75" customHeight="1" x14ac:dyDescent="0.15">
      <c r="A291" s="207" t="s">
        <v>21</v>
      </c>
      <c r="B291" s="208"/>
      <c r="C291" s="209" t="s">
        <v>20</v>
      </c>
      <c r="D291" s="209"/>
      <c r="E291" s="208"/>
      <c r="F291" s="208"/>
      <c r="G291" s="208"/>
      <c r="H291" s="208"/>
      <c r="I291" s="208" t="s">
        <v>22</v>
      </c>
      <c r="J291" s="208"/>
      <c r="K291" s="202"/>
      <c r="L291" s="202"/>
      <c r="M291" s="202"/>
      <c r="N291" s="202"/>
      <c r="O291" s="202"/>
      <c r="P291" s="203"/>
    </row>
    <row r="292" spans="1:16" ht="30" customHeight="1" thickBot="1" x14ac:dyDescent="0.2">
      <c r="A292" s="204">
        <f>賃金集計表!H29</f>
        <v>21000</v>
      </c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6"/>
    </row>
    <row r="293" spans="1:16" ht="9" customHeight="1" thickBot="1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</row>
    <row r="294" spans="1:16" ht="21.75" customHeight="1" x14ac:dyDescent="0.15">
      <c r="A294" s="207" t="s">
        <v>23</v>
      </c>
      <c r="B294" s="208"/>
      <c r="C294" s="209" t="s">
        <v>24</v>
      </c>
      <c r="D294" s="209"/>
      <c r="E294" s="208" t="s">
        <v>25</v>
      </c>
      <c r="F294" s="208"/>
      <c r="G294" s="208" t="s">
        <v>26</v>
      </c>
      <c r="H294" s="208"/>
      <c r="I294" s="208" t="s">
        <v>27</v>
      </c>
      <c r="J294" s="208"/>
      <c r="K294" s="202"/>
      <c r="L294" s="202"/>
      <c r="M294" s="202"/>
      <c r="N294" s="202"/>
      <c r="O294" s="208" t="s">
        <v>80</v>
      </c>
      <c r="P294" s="214"/>
    </row>
    <row r="295" spans="1:16" ht="30" customHeight="1" thickBot="1" x14ac:dyDescent="0.2">
      <c r="A295" s="204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>
        <f>賃金集計表!V29</f>
        <v>5950</v>
      </c>
      <c r="P295" s="206"/>
    </row>
    <row r="296" spans="1:16" ht="9" customHeight="1" thickBot="1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</row>
    <row r="297" spans="1:16" ht="21.75" customHeight="1" thickTop="1" x14ac:dyDescent="0.15">
      <c r="A297" s="217" t="s">
        <v>28</v>
      </c>
      <c r="B297" s="218"/>
      <c r="C297" s="218"/>
      <c r="D297" s="218" t="s">
        <v>29</v>
      </c>
      <c r="E297" s="218"/>
      <c r="F297" s="218"/>
      <c r="G297" s="218" t="s">
        <v>30</v>
      </c>
      <c r="H297" s="218"/>
      <c r="I297" s="219"/>
      <c r="J297" s="119"/>
      <c r="K297" s="220" t="s">
        <v>31</v>
      </c>
      <c r="L297" s="229"/>
      <c r="M297" s="229"/>
      <c r="N297" s="229"/>
      <c r="O297" s="229"/>
      <c r="P297" s="229"/>
    </row>
    <row r="298" spans="1:16" ht="30" customHeight="1" thickBot="1" x14ac:dyDescent="0.2">
      <c r="A298" s="222">
        <f>SUM(A292:P292)</f>
        <v>21000</v>
      </c>
      <c r="B298" s="223"/>
      <c r="C298" s="223"/>
      <c r="D298" s="224">
        <f>SUM(A295:P295)</f>
        <v>5950</v>
      </c>
      <c r="E298" s="223"/>
      <c r="F298" s="223"/>
      <c r="G298" s="224">
        <f>A298-D298</f>
        <v>15050</v>
      </c>
      <c r="H298" s="223"/>
      <c r="I298" s="225"/>
      <c r="J298" s="43"/>
      <c r="K298" s="226" t="s">
        <v>32</v>
      </c>
      <c r="L298" s="230"/>
      <c r="M298" s="230"/>
      <c r="N298" s="230"/>
      <c r="O298" s="230"/>
      <c r="P298" s="230"/>
    </row>
    <row r="299" spans="1:16" ht="14.25" thickTop="1" x14ac:dyDescent="0.1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</row>
    <row r="300" spans="1:16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</row>
    <row r="301" spans="1:16" ht="30" customHeight="1" x14ac:dyDescent="0.15">
      <c r="A301" s="210" t="s">
        <v>16</v>
      </c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1" t="s">
        <v>154</v>
      </c>
      <c r="N301" s="211"/>
      <c r="O301" s="211"/>
      <c r="P301" s="211"/>
    </row>
    <row r="302" spans="1:16" ht="14.25" thickBot="1" x14ac:dyDescent="0.2"/>
    <row r="303" spans="1:16" ht="21.75" customHeight="1" x14ac:dyDescent="0.15">
      <c r="A303" s="207" t="s">
        <v>17</v>
      </c>
      <c r="B303" s="208"/>
      <c r="C303" s="233" t="str">
        <f>賃金集計表!A30</f>
        <v>宇江　寿江</v>
      </c>
      <c r="D303" s="234"/>
      <c r="E303" s="234"/>
      <c r="F303" s="234"/>
      <c r="G303" s="237" t="s">
        <v>88</v>
      </c>
      <c r="H303" s="208" t="s">
        <v>18</v>
      </c>
      <c r="I303" s="208"/>
      <c r="J303" s="208"/>
      <c r="K303" s="208" t="s">
        <v>19</v>
      </c>
      <c r="L303" s="208"/>
      <c r="M303" s="208"/>
      <c r="N303" s="208" t="s">
        <v>20</v>
      </c>
      <c r="O303" s="208"/>
      <c r="P303" s="214"/>
    </row>
    <row r="304" spans="1:16" ht="21.75" customHeight="1" thickBot="1" x14ac:dyDescent="0.2">
      <c r="A304" s="212"/>
      <c r="B304" s="213"/>
      <c r="C304" s="235"/>
      <c r="D304" s="236"/>
      <c r="E304" s="236"/>
      <c r="F304" s="236"/>
      <c r="G304" s="238"/>
      <c r="H304" s="215">
        <f>賃金集計表!B30</f>
        <v>17</v>
      </c>
      <c r="I304" s="215"/>
      <c r="J304" s="215"/>
      <c r="K304" s="215"/>
      <c r="L304" s="215"/>
      <c r="M304" s="215"/>
      <c r="N304" s="215"/>
      <c r="O304" s="215"/>
      <c r="P304" s="216"/>
    </row>
    <row r="305" spans="1:16" ht="9" customHeight="1" thickBo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</row>
    <row r="306" spans="1:16" ht="21.75" customHeight="1" x14ac:dyDescent="0.15">
      <c r="A306" s="207" t="s">
        <v>21</v>
      </c>
      <c r="B306" s="208"/>
      <c r="C306" s="209" t="s">
        <v>20</v>
      </c>
      <c r="D306" s="209"/>
      <c r="E306" s="208"/>
      <c r="F306" s="208"/>
      <c r="G306" s="208"/>
      <c r="H306" s="208"/>
      <c r="I306" s="208" t="s">
        <v>22</v>
      </c>
      <c r="J306" s="208"/>
      <c r="K306" s="202"/>
      <c r="L306" s="202"/>
      <c r="M306" s="202"/>
      <c r="N306" s="202"/>
      <c r="O306" s="202"/>
      <c r="P306" s="203"/>
    </row>
    <row r="307" spans="1:16" ht="30" customHeight="1" thickBot="1" x14ac:dyDescent="0.2">
      <c r="A307" s="204">
        <f>賃金集計表!H30</f>
        <v>17000</v>
      </c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6"/>
    </row>
    <row r="308" spans="1:16" ht="9" customHeight="1" thickBo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</row>
    <row r="309" spans="1:16" ht="21.75" customHeight="1" x14ac:dyDescent="0.15">
      <c r="A309" s="207" t="s">
        <v>23</v>
      </c>
      <c r="B309" s="208"/>
      <c r="C309" s="209" t="s">
        <v>24</v>
      </c>
      <c r="D309" s="209"/>
      <c r="E309" s="208" t="s">
        <v>25</v>
      </c>
      <c r="F309" s="208"/>
      <c r="G309" s="208" t="s">
        <v>26</v>
      </c>
      <c r="H309" s="208"/>
      <c r="I309" s="208" t="s">
        <v>27</v>
      </c>
      <c r="J309" s="208"/>
      <c r="K309" s="202"/>
      <c r="L309" s="202"/>
      <c r="M309" s="202"/>
      <c r="N309" s="202"/>
      <c r="O309" s="208" t="s">
        <v>80</v>
      </c>
      <c r="P309" s="214"/>
    </row>
    <row r="310" spans="1:16" ht="30" customHeight="1" thickBot="1" x14ac:dyDescent="0.2">
      <c r="A310" s="204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>
        <f>賃金集計表!V30</f>
        <v>0</v>
      </c>
      <c r="P310" s="206"/>
    </row>
    <row r="311" spans="1:16" ht="9" customHeight="1" thickBo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</row>
    <row r="312" spans="1:16" ht="21.75" customHeight="1" thickTop="1" x14ac:dyDescent="0.15">
      <c r="A312" s="217" t="s">
        <v>28</v>
      </c>
      <c r="B312" s="218"/>
      <c r="C312" s="218"/>
      <c r="D312" s="218" t="s">
        <v>29</v>
      </c>
      <c r="E312" s="218"/>
      <c r="F312" s="218"/>
      <c r="G312" s="218" t="s">
        <v>30</v>
      </c>
      <c r="H312" s="218"/>
      <c r="I312" s="219"/>
      <c r="J312" s="119"/>
      <c r="K312" s="220" t="s">
        <v>31</v>
      </c>
      <c r="L312" s="221"/>
      <c r="M312" s="221"/>
      <c r="N312" s="221"/>
      <c r="O312" s="221"/>
      <c r="P312" s="221"/>
    </row>
    <row r="313" spans="1:16" ht="30" customHeight="1" thickBot="1" x14ac:dyDescent="0.2">
      <c r="A313" s="222">
        <f>SUM(A307:P307)</f>
        <v>17000</v>
      </c>
      <c r="B313" s="223"/>
      <c r="C313" s="223"/>
      <c r="D313" s="224">
        <f>SUM(A310:P310)</f>
        <v>0</v>
      </c>
      <c r="E313" s="223"/>
      <c r="F313" s="223"/>
      <c r="G313" s="224">
        <f>A313-D313</f>
        <v>17000</v>
      </c>
      <c r="H313" s="223"/>
      <c r="I313" s="225"/>
      <c r="J313" s="43"/>
      <c r="K313" s="226" t="s">
        <v>32</v>
      </c>
      <c r="L313" s="227"/>
      <c r="M313" s="227"/>
      <c r="N313" s="227"/>
      <c r="O313" s="227"/>
      <c r="P313" s="227"/>
    </row>
    <row r="314" spans="1:16" ht="14.25" thickTop="1" x14ac:dyDescent="0.15"/>
    <row r="316" spans="1:16" ht="30" customHeight="1" x14ac:dyDescent="0.15">
      <c r="A316" s="228" t="s">
        <v>16</v>
      </c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11" t="s">
        <v>154</v>
      </c>
      <c r="N316" s="211"/>
      <c r="O316" s="211"/>
      <c r="P316" s="211"/>
    </row>
    <row r="317" spans="1:16" ht="14.25" thickBot="1" x14ac:dyDescent="0.2"/>
    <row r="318" spans="1:16" ht="21.75" customHeight="1" x14ac:dyDescent="0.15">
      <c r="A318" s="207" t="s">
        <v>17</v>
      </c>
      <c r="B318" s="208"/>
      <c r="C318" s="233" t="str">
        <f>賃金集計表!A31</f>
        <v>吉原　祐平</v>
      </c>
      <c r="D318" s="234"/>
      <c r="E318" s="234"/>
      <c r="F318" s="234"/>
      <c r="G318" s="237" t="s">
        <v>41</v>
      </c>
      <c r="H318" s="208" t="s">
        <v>18</v>
      </c>
      <c r="I318" s="208"/>
      <c r="J318" s="208"/>
      <c r="K318" s="208" t="s">
        <v>19</v>
      </c>
      <c r="L318" s="208"/>
      <c r="M318" s="208"/>
      <c r="N318" s="208" t="s">
        <v>20</v>
      </c>
      <c r="O318" s="208"/>
      <c r="P318" s="214"/>
    </row>
    <row r="319" spans="1:16" ht="21.75" customHeight="1" thickBot="1" x14ac:dyDescent="0.2">
      <c r="A319" s="212"/>
      <c r="B319" s="213"/>
      <c r="C319" s="235"/>
      <c r="D319" s="236"/>
      <c r="E319" s="236"/>
      <c r="F319" s="236"/>
      <c r="G319" s="238"/>
      <c r="H319" s="215">
        <f>賃金集計表!B31</f>
        <v>21</v>
      </c>
      <c r="I319" s="215"/>
      <c r="J319" s="215"/>
      <c r="K319" s="231"/>
      <c r="L319" s="215"/>
      <c r="M319" s="215"/>
      <c r="N319" s="215"/>
      <c r="O319" s="215"/>
      <c r="P319" s="216"/>
    </row>
    <row r="320" spans="1:16" ht="9" customHeight="1" thickBo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</row>
    <row r="321" spans="1:20" ht="21.75" customHeight="1" x14ac:dyDescent="0.15">
      <c r="A321" s="207" t="s">
        <v>21</v>
      </c>
      <c r="B321" s="208"/>
      <c r="C321" s="209" t="s">
        <v>20</v>
      </c>
      <c r="D321" s="209"/>
      <c r="E321" s="208"/>
      <c r="F321" s="208"/>
      <c r="G321" s="208"/>
      <c r="H321" s="208"/>
      <c r="I321" s="208" t="s">
        <v>22</v>
      </c>
      <c r="J321" s="208"/>
      <c r="K321" s="202"/>
      <c r="L321" s="202"/>
      <c r="M321" s="202"/>
      <c r="N321" s="202"/>
      <c r="O321" s="202"/>
      <c r="P321" s="203"/>
      <c r="R321" s="49"/>
      <c r="T321" s="49"/>
    </row>
    <row r="322" spans="1:20" ht="30" customHeight="1" thickBot="1" x14ac:dyDescent="0.2">
      <c r="A322" s="204">
        <f>賃金集計表!H31</f>
        <v>21000</v>
      </c>
      <c r="B322" s="205"/>
      <c r="C322" s="205"/>
      <c r="D322" s="205"/>
      <c r="E322" s="205"/>
      <c r="F322" s="205"/>
      <c r="G322" s="205"/>
      <c r="H322" s="205"/>
      <c r="I322" s="205">
        <f>賃金集計表!L31</f>
        <v>7350</v>
      </c>
      <c r="J322" s="205"/>
      <c r="K322" s="205"/>
      <c r="L322" s="205"/>
      <c r="M322" s="205"/>
      <c r="N322" s="205"/>
      <c r="O322" s="205"/>
      <c r="P322" s="206"/>
    </row>
    <row r="323" spans="1:20" ht="9" customHeight="1" thickBo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</row>
    <row r="324" spans="1:20" ht="21.75" customHeight="1" x14ac:dyDescent="0.15">
      <c r="A324" s="207" t="s">
        <v>23</v>
      </c>
      <c r="B324" s="208"/>
      <c r="C324" s="209" t="s">
        <v>24</v>
      </c>
      <c r="D324" s="209"/>
      <c r="E324" s="208" t="s">
        <v>25</v>
      </c>
      <c r="F324" s="208"/>
      <c r="G324" s="208" t="s">
        <v>26</v>
      </c>
      <c r="H324" s="208"/>
      <c r="I324" s="208" t="s">
        <v>27</v>
      </c>
      <c r="J324" s="208"/>
      <c r="K324" s="202"/>
      <c r="L324" s="202"/>
      <c r="M324" s="202"/>
      <c r="N324" s="202"/>
      <c r="O324" s="208" t="s">
        <v>80</v>
      </c>
      <c r="P324" s="214"/>
    </row>
    <row r="325" spans="1:20" ht="30" customHeight="1" thickBot="1" x14ac:dyDescent="0.2">
      <c r="A325" s="204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>
        <f>賃金集計表!V31</f>
        <v>7350</v>
      </c>
      <c r="P325" s="206"/>
    </row>
    <row r="326" spans="1:20" ht="9" customHeight="1" thickBo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</row>
    <row r="327" spans="1:20" ht="21.75" customHeight="1" thickTop="1" x14ac:dyDescent="0.15">
      <c r="A327" s="217" t="s">
        <v>28</v>
      </c>
      <c r="B327" s="218"/>
      <c r="C327" s="218"/>
      <c r="D327" s="218" t="s">
        <v>29</v>
      </c>
      <c r="E327" s="218"/>
      <c r="F327" s="218"/>
      <c r="G327" s="218" t="s">
        <v>30</v>
      </c>
      <c r="H327" s="218"/>
      <c r="I327" s="219"/>
      <c r="J327" s="133"/>
      <c r="K327" s="220" t="s">
        <v>31</v>
      </c>
      <c r="L327" s="221"/>
      <c r="M327" s="221"/>
      <c r="N327" s="221"/>
      <c r="O327" s="221"/>
      <c r="P327" s="221"/>
    </row>
    <row r="328" spans="1:20" ht="30" customHeight="1" thickBot="1" x14ac:dyDescent="0.2">
      <c r="A328" s="222">
        <f>SUM(A322:P322)</f>
        <v>28350</v>
      </c>
      <c r="B328" s="223"/>
      <c r="C328" s="223"/>
      <c r="D328" s="224">
        <f>SUM(A325:P325)</f>
        <v>7350</v>
      </c>
      <c r="E328" s="223"/>
      <c r="F328" s="223"/>
      <c r="G328" s="224">
        <f>A328-D328</f>
        <v>21000</v>
      </c>
      <c r="H328" s="223"/>
      <c r="I328" s="225"/>
      <c r="J328" s="43"/>
      <c r="K328" s="226" t="s">
        <v>32</v>
      </c>
      <c r="L328" s="227"/>
      <c r="M328" s="227"/>
      <c r="N328" s="227"/>
      <c r="O328" s="227"/>
      <c r="P328" s="227"/>
    </row>
    <row r="329" spans="1:20" ht="14.25" thickTop="1" x14ac:dyDescent="0.15"/>
    <row r="331" spans="1:20" ht="30" customHeight="1" x14ac:dyDescent="0.15">
      <c r="A331" s="228" t="s">
        <v>16</v>
      </c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11" t="s">
        <v>154</v>
      </c>
      <c r="N331" s="211"/>
      <c r="O331" s="211"/>
      <c r="P331" s="211"/>
    </row>
    <row r="332" spans="1:20" ht="14.25" thickBot="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</row>
    <row r="333" spans="1:20" ht="21.75" customHeight="1" x14ac:dyDescent="0.15">
      <c r="A333" s="207" t="s">
        <v>17</v>
      </c>
      <c r="B333" s="208"/>
      <c r="C333" s="233" t="str">
        <f>賃金集計表!A32</f>
        <v>櫻武　隆一</v>
      </c>
      <c r="D333" s="234"/>
      <c r="E333" s="234"/>
      <c r="F333" s="234"/>
      <c r="G333" s="237" t="s">
        <v>41</v>
      </c>
      <c r="H333" s="208" t="s">
        <v>18</v>
      </c>
      <c r="I333" s="208"/>
      <c r="J333" s="208"/>
      <c r="K333" s="208" t="s">
        <v>19</v>
      </c>
      <c r="L333" s="208"/>
      <c r="M333" s="208"/>
      <c r="N333" s="208" t="s">
        <v>20</v>
      </c>
      <c r="O333" s="208"/>
      <c r="P333" s="214"/>
    </row>
    <row r="334" spans="1:20" ht="21.75" customHeight="1" thickBot="1" x14ac:dyDescent="0.2">
      <c r="A334" s="212"/>
      <c r="B334" s="213"/>
      <c r="C334" s="235"/>
      <c r="D334" s="236"/>
      <c r="E334" s="236"/>
      <c r="F334" s="236"/>
      <c r="G334" s="238"/>
      <c r="H334" s="215">
        <f>賃金集計表!B32</f>
        <v>22</v>
      </c>
      <c r="I334" s="215"/>
      <c r="J334" s="215"/>
      <c r="K334" s="232"/>
      <c r="L334" s="215"/>
      <c r="M334" s="215"/>
      <c r="N334" s="215"/>
      <c r="O334" s="215"/>
      <c r="P334" s="216"/>
    </row>
    <row r="335" spans="1:20" ht="9" customHeight="1" thickBot="1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</row>
    <row r="336" spans="1:20" ht="21.75" customHeight="1" x14ac:dyDescent="0.15">
      <c r="A336" s="207" t="s">
        <v>21</v>
      </c>
      <c r="B336" s="208"/>
      <c r="C336" s="209" t="s">
        <v>20</v>
      </c>
      <c r="D336" s="209"/>
      <c r="E336" s="208"/>
      <c r="F336" s="208"/>
      <c r="G336" s="208"/>
      <c r="H336" s="208"/>
      <c r="I336" s="208" t="s">
        <v>22</v>
      </c>
      <c r="J336" s="208"/>
      <c r="K336" s="202"/>
      <c r="L336" s="202"/>
      <c r="M336" s="202"/>
      <c r="N336" s="202"/>
      <c r="O336" s="202"/>
      <c r="P336" s="203"/>
    </row>
    <row r="337" spans="1:16" ht="30" customHeight="1" thickBot="1" x14ac:dyDescent="0.2">
      <c r="A337" s="204">
        <f>賃金集計表!H32</f>
        <v>22000</v>
      </c>
      <c r="B337" s="205"/>
      <c r="C337" s="205"/>
      <c r="D337" s="205"/>
      <c r="E337" s="205"/>
      <c r="F337" s="205"/>
      <c r="G337" s="205"/>
      <c r="H337" s="205"/>
      <c r="I337" s="205">
        <f>賃金集計表!L32</f>
        <v>7700</v>
      </c>
      <c r="J337" s="205"/>
      <c r="K337" s="205"/>
      <c r="L337" s="205"/>
      <c r="M337" s="205"/>
      <c r="N337" s="205"/>
      <c r="O337" s="205"/>
      <c r="P337" s="206"/>
    </row>
    <row r="338" spans="1:16" ht="9" customHeight="1" thickBot="1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</row>
    <row r="339" spans="1:16" ht="21.75" customHeight="1" x14ac:dyDescent="0.15">
      <c r="A339" s="207" t="s">
        <v>23</v>
      </c>
      <c r="B339" s="208"/>
      <c r="C339" s="209" t="s">
        <v>24</v>
      </c>
      <c r="D339" s="209"/>
      <c r="E339" s="208" t="s">
        <v>25</v>
      </c>
      <c r="F339" s="208"/>
      <c r="G339" s="208" t="s">
        <v>26</v>
      </c>
      <c r="H339" s="208"/>
      <c r="I339" s="208" t="s">
        <v>27</v>
      </c>
      <c r="J339" s="208"/>
      <c r="K339" s="202"/>
      <c r="L339" s="202"/>
      <c r="M339" s="202"/>
      <c r="N339" s="202"/>
      <c r="O339" s="208" t="s">
        <v>80</v>
      </c>
      <c r="P339" s="214"/>
    </row>
    <row r="340" spans="1:16" ht="30" customHeight="1" thickBot="1" x14ac:dyDescent="0.2">
      <c r="A340" s="204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>
        <f>賃金集計表!V32</f>
        <v>7700</v>
      </c>
      <c r="P340" s="206"/>
    </row>
    <row r="341" spans="1:16" ht="9" customHeight="1" thickBot="1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</row>
    <row r="342" spans="1:16" ht="21.75" customHeight="1" thickTop="1" x14ac:dyDescent="0.15">
      <c r="A342" s="217" t="s">
        <v>28</v>
      </c>
      <c r="B342" s="218"/>
      <c r="C342" s="218"/>
      <c r="D342" s="218" t="s">
        <v>29</v>
      </c>
      <c r="E342" s="218"/>
      <c r="F342" s="218"/>
      <c r="G342" s="218" t="s">
        <v>30</v>
      </c>
      <c r="H342" s="218"/>
      <c r="I342" s="219"/>
      <c r="J342" s="133"/>
      <c r="K342" s="220" t="s">
        <v>31</v>
      </c>
      <c r="L342" s="229"/>
      <c r="M342" s="229"/>
      <c r="N342" s="229"/>
      <c r="O342" s="229"/>
      <c r="P342" s="229"/>
    </row>
    <row r="343" spans="1:16" ht="30" customHeight="1" thickBot="1" x14ac:dyDescent="0.2">
      <c r="A343" s="222">
        <f>SUM(A337:P337)</f>
        <v>29700</v>
      </c>
      <c r="B343" s="223"/>
      <c r="C343" s="223"/>
      <c r="D343" s="224">
        <f>SUM(A340:P340)</f>
        <v>7700</v>
      </c>
      <c r="E343" s="223"/>
      <c r="F343" s="223"/>
      <c r="G343" s="224">
        <f>A343-D343</f>
        <v>22000</v>
      </c>
      <c r="H343" s="223"/>
      <c r="I343" s="225"/>
      <c r="J343" s="43"/>
      <c r="K343" s="226" t="s">
        <v>32</v>
      </c>
      <c r="L343" s="230"/>
      <c r="M343" s="230"/>
      <c r="N343" s="230"/>
      <c r="O343" s="230"/>
      <c r="P343" s="230"/>
    </row>
    <row r="344" spans="1:16" ht="14.25" thickTop="1" x14ac:dyDescent="0.1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</row>
    <row r="345" spans="1:16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</row>
    <row r="346" spans="1:16" ht="30" customHeight="1" x14ac:dyDescent="0.15">
      <c r="A346" s="210" t="s">
        <v>16</v>
      </c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1" t="s">
        <v>154</v>
      </c>
      <c r="N346" s="211"/>
      <c r="O346" s="211"/>
      <c r="P346" s="211"/>
    </row>
    <row r="347" spans="1:16" ht="14.25" thickBot="1" x14ac:dyDescent="0.2"/>
    <row r="348" spans="1:16" ht="21.75" customHeight="1" x14ac:dyDescent="0.15">
      <c r="A348" s="207" t="s">
        <v>17</v>
      </c>
      <c r="B348" s="208"/>
      <c r="C348" s="233" t="str">
        <f>賃金集計表!A33</f>
        <v>志並　智美</v>
      </c>
      <c r="D348" s="234"/>
      <c r="E348" s="234"/>
      <c r="F348" s="234"/>
      <c r="G348" s="237" t="s">
        <v>41</v>
      </c>
      <c r="H348" s="208" t="s">
        <v>18</v>
      </c>
      <c r="I348" s="208"/>
      <c r="J348" s="208"/>
      <c r="K348" s="208" t="s">
        <v>19</v>
      </c>
      <c r="L348" s="208"/>
      <c r="M348" s="208"/>
      <c r="N348" s="208" t="s">
        <v>20</v>
      </c>
      <c r="O348" s="208"/>
      <c r="P348" s="214"/>
    </row>
    <row r="349" spans="1:16" ht="21.75" customHeight="1" thickBot="1" x14ac:dyDescent="0.2">
      <c r="A349" s="212"/>
      <c r="B349" s="213"/>
      <c r="C349" s="235"/>
      <c r="D349" s="236"/>
      <c r="E349" s="236"/>
      <c r="F349" s="236"/>
      <c r="G349" s="238"/>
      <c r="H349" s="215">
        <f>賃金集計表!B33</f>
        <v>5</v>
      </c>
      <c r="I349" s="215"/>
      <c r="J349" s="215"/>
      <c r="K349" s="215"/>
      <c r="L349" s="215"/>
      <c r="M349" s="215"/>
      <c r="N349" s="215"/>
      <c r="O349" s="215"/>
      <c r="P349" s="216"/>
    </row>
    <row r="350" spans="1:16" ht="9" customHeight="1" thickBo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</row>
    <row r="351" spans="1:16" ht="21.75" customHeight="1" x14ac:dyDescent="0.15">
      <c r="A351" s="207" t="s">
        <v>21</v>
      </c>
      <c r="B351" s="208"/>
      <c r="C351" s="209" t="s">
        <v>20</v>
      </c>
      <c r="D351" s="209"/>
      <c r="E351" s="208"/>
      <c r="F351" s="208"/>
      <c r="G351" s="208"/>
      <c r="H351" s="208"/>
      <c r="I351" s="208" t="s">
        <v>22</v>
      </c>
      <c r="J351" s="208"/>
      <c r="K351" s="202"/>
      <c r="L351" s="202"/>
      <c r="M351" s="202"/>
      <c r="N351" s="202"/>
      <c r="O351" s="202"/>
      <c r="P351" s="203"/>
    </row>
    <row r="352" spans="1:16" ht="30" customHeight="1" thickBot="1" x14ac:dyDescent="0.2">
      <c r="A352" s="204">
        <f>賃金集計表!H33</f>
        <v>5000</v>
      </c>
      <c r="B352" s="205"/>
      <c r="C352" s="205"/>
      <c r="D352" s="205"/>
      <c r="E352" s="205"/>
      <c r="F352" s="205"/>
      <c r="G352" s="205"/>
      <c r="H352" s="205"/>
      <c r="I352" s="205">
        <f>賃金集計表!L33</f>
        <v>0</v>
      </c>
      <c r="J352" s="205"/>
      <c r="K352" s="205"/>
      <c r="L352" s="205"/>
      <c r="M352" s="205"/>
      <c r="N352" s="205"/>
      <c r="O352" s="205"/>
      <c r="P352" s="206"/>
    </row>
    <row r="353" spans="1:20" ht="9" customHeight="1" thickBo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</row>
    <row r="354" spans="1:20" ht="21.75" customHeight="1" x14ac:dyDescent="0.15">
      <c r="A354" s="207" t="s">
        <v>23</v>
      </c>
      <c r="B354" s="208"/>
      <c r="C354" s="209" t="s">
        <v>24</v>
      </c>
      <c r="D354" s="209"/>
      <c r="E354" s="208" t="s">
        <v>25</v>
      </c>
      <c r="F354" s="208"/>
      <c r="G354" s="208" t="s">
        <v>26</v>
      </c>
      <c r="H354" s="208"/>
      <c r="I354" s="208" t="s">
        <v>27</v>
      </c>
      <c r="J354" s="208"/>
      <c r="K354" s="202"/>
      <c r="L354" s="202"/>
      <c r="M354" s="202"/>
      <c r="N354" s="202"/>
      <c r="O354" s="208" t="s">
        <v>80</v>
      </c>
      <c r="P354" s="214"/>
    </row>
    <row r="355" spans="1:20" ht="30" customHeight="1" thickBot="1" x14ac:dyDescent="0.2">
      <c r="A355" s="204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>
        <f>賃金集計表!V33</f>
        <v>0</v>
      </c>
      <c r="P355" s="206"/>
    </row>
    <row r="356" spans="1:20" ht="9" customHeight="1" thickBo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</row>
    <row r="357" spans="1:20" ht="21.75" customHeight="1" thickTop="1" x14ac:dyDescent="0.15">
      <c r="A357" s="217" t="s">
        <v>28</v>
      </c>
      <c r="B357" s="218"/>
      <c r="C357" s="218"/>
      <c r="D357" s="218" t="s">
        <v>29</v>
      </c>
      <c r="E357" s="218"/>
      <c r="F357" s="218"/>
      <c r="G357" s="218" t="s">
        <v>30</v>
      </c>
      <c r="H357" s="218"/>
      <c r="I357" s="219"/>
      <c r="J357" s="157"/>
      <c r="K357" s="220" t="s">
        <v>31</v>
      </c>
      <c r="L357" s="221"/>
      <c r="M357" s="221"/>
      <c r="N357" s="221"/>
      <c r="O357" s="221"/>
      <c r="P357" s="221"/>
    </row>
    <row r="358" spans="1:20" ht="30" customHeight="1" thickBot="1" x14ac:dyDescent="0.2">
      <c r="A358" s="222">
        <f>SUM(A352:P352)</f>
        <v>5000</v>
      </c>
      <c r="B358" s="223"/>
      <c r="C358" s="223"/>
      <c r="D358" s="224">
        <f>SUM(A355:P355)</f>
        <v>0</v>
      </c>
      <c r="E358" s="223"/>
      <c r="F358" s="223"/>
      <c r="G358" s="224">
        <f>A358-D358</f>
        <v>5000</v>
      </c>
      <c r="H358" s="223"/>
      <c r="I358" s="225"/>
      <c r="J358" s="43"/>
      <c r="K358" s="226" t="s">
        <v>32</v>
      </c>
      <c r="L358" s="227"/>
      <c r="M358" s="227"/>
      <c r="N358" s="227"/>
      <c r="O358" s="227"/>
      <c r="P358" s="227"/>
    </row>
    <row r="359" spans="1:20" ht="14.25" thickTop="1" x14ac:dyDescent="0.15"/>
    <row r="361" spans="1:20" ht="30" customHeight="1" x14ac:dyDescent="0.15">
      <c r="A361" s="239" t="s">
        <v>16</v>
      </c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40" t="s">
        <v>154</v>
      </c>
      <c r="N361" s="240"/>
      <c r="O361" s="240"/>
      <c r="P361" s="240"/>
    </row>
    <row r="362" spans="1:20" ht="14.25" thickBot="1" x14ac:dyDescent="0.2"/>
    <row r="363" spans="1:20" ht="21.75" customHeight="1" x14ac:dyDescent="0.15">
      <c r="A363" s="207" t="s">
        <v>17</v>
      </c>
      <c r="B363" s="208"/>
      <c r="C363" s="233">
        <f>賃金集計表!A86</f>
        <v>0</v>
      </c>
      <c r="D363" s="234"/>
      <c r="E363" s="234"/>
      <c r="F363" s="234"/>
      <c r="G363" s="237" t="s">
        <v>41</v>
      </c>
      <c r="H363" s="208" t="s">
        <v>18</v>
      </c>
      <c r="I363" s="208"/>
      <c r="J363" s="208"/>
      <c r="K363" s="208" t="s">
        <v>19</v>
      </c>
      <c r="L363" s="208"/>
      <c r="M363" s="208"/>
      <c r="N363" s="208" t="s">
        <v>20</v>
      </c>
      <c r="O363" s="208"/>
      <c r="P363" s="214"/>
    </row>
    <row r="364" spans="1:20" ht="21.75" customHeight="1" thickBot="1" x14ac:dyDescent="0.2">
      <c r="A364" s="212"/>
      <c r="B364" s="213"/>
      <c r="C364" s="235"/>
      <c r="D364" s="236"/>
      <c r="E364" s="236"/>
      <c r="F364" s="236"/>
      <c r="G364" s="238"/>
      <c r="H364" s="215">
        <f>賃金集計表!B86</f>
        <v>0</v>
      </c>
      <c r="I364" s="215"/>
      <c r="J364" s="215"/>
      <c r="K364" s="231"/>
      <c r="L364" s="215"/>
      <c r="M364" s="215"/>
      <c r="N364" s="215"/>
      <c r="O364" s="215"/>
      <c r="P364" s="216"/>
    </row>
    <row r="365" spans="1:20" ht="9" customHeight="1" thickBo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</row>
    <row r="366" spans="1:20" ht="21.75" customHeight="1" x14ac:dyDescent="0.15">
      <c r="A366" s="207" t="s">
        <v>21</v>
      </c>
      <c r="B366" s="208"/>
      <c r="C366" s="209" t="s">
        <v>20</v>
      </c>
      <c r="D366" s="209"/>
      <c r="E366" s="208"/>
      <c r="F366" s="208"/>
      <c r="G366" s="208"/>
      <c r="H366" s="208"/>
      <c r="I366" s="208" t="s">
        <v>22</v>
      </c>
      <c r="J366" s="208"/>
      <c r="K366" s="202"/>
      <c r="L366" s="202"/>
      <c r="M366" s="202"/>
      <c r="N366" s="202"/>
      <c r="O366" s="202"/>
      <c r="P366" s="203"/>
      <c r="R366" s="49"/>
      <c r="T366" s="49"/>
    </row>
    <row r="367" spans="1:20" ht="30" customHeight="1" thickBot="1" x14ac:dyDescent="0.2">
      <c r="A367" s="204">
        <f>賃金集計表!H86</f>
        <v>0</v>
      </c>
      <c r="B367" s="205"/>
      <c r="C367" s="205"/>
      <c r="D367" s="205"/>
      <c r="E367" s="205"/>
      <c r="F367" s="205"/>
      <c r="G367" s="205"/>
      <c r="H367" s="205"/>
      <c r="I367" s="205">
        <f>賃金集計表!L374</f>
        <v>0</v>
      </c>
      <c r="J367" s="205"/>
      <c r="K367" s="205"/>
      <c r="L367" s="205"/>
      <c r="M367" s="205"/>
      <c r="N367" s="205"/>
      <c r="O367" s="205"/>
      <c r="P367" s="206"/>
    </row>
    <row r="368" spans="1:20" ht="9" customHeight="1" thickBo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</row>
    <row r="369" spans="1:20" ht="21.75" customHeight="1" x14ac:dyDescent="0.15">
      <c r="A369" s="207" t="s">
        <v>23</v>
      </c>
      <c r="B369" s="208"/>
      <c r="C369" s="209" t="s">
        <v>24</v>
      </c>
      <c r="D369" s="209"/>
      <c r="E369" s="208" t="s">
        <v>25</v>
      </c>
      <c r="F369" s="208"/>
      <c r="G369" s="208" t="s">
        <v>26</v>
      </c>
      <c r="H369" s="208"/>
      <c r="I369" s="208" t="s">
        <v>27</v>
      </c>
      <c r="J369" s="208"/>
      <c r="K369" s="202"/>
      <c r="L369" s="202"/>
      <c r="M369" s="202"/>
      <c r="N369" s="202"/>
      <c r="O369" s="208" t="s">
        <v>80</v>
      </c>
      <c r="P369" s="214"/>
    </row>
    <row r="370" spans="1:20" ht="30" customHeight="1" thickBot="1" x14ac:dyDescent="0.2">
      <c r="A370" s="204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>
        <f>賃金集計表!V86</f>
        <v>0</v>
      </c>
      <c r="P370" s="206"/>
    </row>
    <row r="371" spans="1:20" ht="9" customHeight="1" thickBo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</row>
    <row r="372" spans="1:20" ht="21.75" customHeight="1" thickTop="1" x14ac:dyDescent="0.15">
      <c r="A372" s="217" t="s">
        <v>28</v>
      </c>
      <c r="B372" s="218"/>
      <c r="C372" s="218"/>
      <c r="D372" s="218" t="s">
        <v>29</v>
      </c>
      <c r="E372" s="218"/>
      <c r="F372" s="218"/>
      <c r="G372" s="218" t="s">
        <v>30</v>
      </c>
      <c r="H372" s="218"/>
      <c r="I372" s="219"/>
      <c r="J372" s="157"/>
      <c r="K372" s="220" t="s">
        <v>31</v>
      </c>
      <c r="L372" s="221"/>
      <c r="M372" s="221"/>
      <c r="N372" s="221"/>
      <c r="O372" s="221"/>
      <c r="P372" s="221"/>
    </row>
    <row r="373" spans="1:20" ht="30" customHeight="1" thickBot="1" x14ac:dyDescent="0.2">
      <c r="A373" s="222">
        <f>SUM(A367:P367)</f>
        <v>0</v>
      </c>
      <c r="B373" s="223"/>
      <c r="C373" s="223"/>
      <c r="D373" s="224">
        <f>SUM(A370:P370)</f>
        <v>0</v>
      </c>
      <c r="E373" s="223"/>
      <c r="F373" s="223"/>
      <c r="G373" s="224">
        <f>A373-D373</f>
        <v>0</v>
      </c>
      <c r="H373" s="223"/>
      <c r="I373" s="225"/>
      <c r="J373" s="43"/>
      <c r="K373" s="226" t="s">
        <v>32</v>
      </c>
      <c r="L373" s="227"/>
      <c r="M373" s="227"/>
      <c r="N373" s="227"/>
      <c r="O373" s="227"/>
      <c r="P373" s="227"/>
    </row>
    <row r="374" spans="1:20" ht="14.25" thickTop="1" x14ac:dyDescent="0.15"/>
    <row r="376" spans="1:20" ht="30" customHeight="1" x14ac:dyDescent="0.15">
      <c r="A376" s="228" t="s">
        <v>16</v>
      </c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41" t="s">
        <v>154</v>
      </c>
      <c r="N376" s="241"/>
      <c r="O376" s="241"/>
      <c r="P376" s="241"/>
    </row>
    <row r="377" spans="1:20" ht="14.25" thickBot="1" x14ac:dyDescent="0.2"/>
    <row r="378" spans="1:20" ht="21.75" customHeight="1" x14ac:dyDescent="0.15">
      <c r="A378" s="207" t="s">
        <v>17</v>
      </c>
      <c r="B378" s="208"/>
      <c r="C378" s="233">
        <f>賃金集計表!A101</f>
        <v>0</v>
      </c>
      <c r="D378" s="234"/>
      <c r="E378" s="234"/>
      <c r="F378" s="234"/>
      <c r="G378" s="237" t="s">
        <v>41</v>
      </c>
      <c r="H378" s="208" t="s">
        <v>18</v>
      </c>
      <c r="I378" s="208"/>
      <c r="J378" s="208"/>
      <c r="K378" s="208" t="s">
        <v>19</v>
      </c>
      <c r="L378" s="208"/>
      <c r="M378" s="208"/>
      <c r="N378" s="208" t="s">
        <v>20</v>
      </c>
      <c r="O378" s="208"/>
      <c r="P378" s="214"/>
    </row>
    <row r="379" spans="1:20" ht="21.75" customHeight="1" thickBot="1" x14ac:dyDescent="0.2">
      <c r="A379" s="212"/>
      <c r="B379" s="213"/>
      <c r="C379" s="235"/>
      <c r="D379" s="236"/>
      <c r="E379" s="236"/>
      <c r="F379" s="236"/>
      <c r="G379" s="238"/>
      <c r="H379" s="215">
        <f>賃金集計表!B101</f>
        <v>0</v>
      </c>
      <c r="I379" s="215"/>
      <c r="J379" s="215"/>
      <c r="K379" s="231"/>
      <c r="L379" s="215"/>
      <c r="M379" s="215"/>
      <c r="N379" s="215"/>
      <c r="O379" s="215"/>
      <c r="P379" s="216"/>
    </row>
    <row r="380" spans="1:20" ht="9" customHeight="1" thickBo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</row>
    <row r="381" spans="1:20" ht="21.75" customHeight="1" x14ac:dyDescent="0.15">
      <c r="A381" s="207" t="s">
        <v>21</v>
      </c>
      <c r="B381" s="208"/>
      <c r="C381" s="209" t="s">
        <v>20</v>
      </c>
      <c r="D381" s="209"/>
      <c r="E381" s="208"/>
      <c r="F381" s="208"/>
      <c r="G381" s="208"/>
      <c r="H381" s="208"/>
      <c r="I381" s="208" t="s">
        <v>22</v>
      </c>
      <c r="J381" s="208"/>
      <c r="K381" s="202"/>
      <c r="L381" s="202"/>
      <c r="M381" s="202"/>
      <c r="N381" s="202"/>
      <c r="O381" s="202"/>
      <c r="P381" s="203"/>
      <c r="R381" s="49"/>
      <c r="T381" s="49"/>
    </row>
    <row r="382" spans="1:20" ht="30" customHeight="1" thickBot="1" x14ac:dyDescent="0.2">
      <c r="A382" s="204">
        <f>賃金集計表!H101</f>
        <v>0</v>
      </c>
      <c r="B382" s="205"/>
      <c r="C382" s="205"/>
      <c r="D382" s="205"/>
      <c r="E382" s="205"/>
      <c r="F382" s="205"/>
      <c r="G382" s="205"/>
      <c r="H382" s="205"/>
      <c r="I382" s="205">
        <f>賃金集計表!L389</f>
        <v>0</v>
      </c>
      <c r="J382" s="205"/>
      <c r="K382" s="205"/>
      <c r="L382" s="205"/>
      <c r="M382" s="205"/>
      <c r="N382" s="205"/>
      <c r="O382" s="205"/>
      <c r="P382" s="206"/>
    </row>
    <row r="383" spans="1:20" ht="9" customHeight="1" thickBo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</row>
    <row r="384" spans="1:20" ht="21.75" customHeight="1" x14ac:dyDescent="0.15">
      <c r="A384" s="207" t="s">
        <v>23</v>
      </c>
      <c r="B384" s="208"/>
      <c r="C384" s="209" t="s">
        <v>24</v>
      </c>
      <c r="D384" s="209"/>
      <c r="E384" s="208" t="s">
        <v>25</v>
      </c>
      <c r="F384" s="208"/>
      <c r="G384" s="208" t="s">
        <v>26</v>
      </c>
      <c r="H384" s="208"/>
      <c r="I384" s="208" t="s">
        <v>27</v>
      </c>
      <c r="J384" s="208"/>
      <c r="K384" s="202"/>
      <c r="L384" s="202"/>
      <c r="M384" s="202"/>
      <c r="N384" s="202"/>
      <c r="O384" s="208" t="s">
        <v>80</v>
      </c>
      <c r="P384" s="214"/>
    </row>
    <row r="385" spans="1:20" ht="30" customHeight="1" thickBot="1" x14ac:dyDescent="0.2">
      <c r="A385" s="204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>
        <f>賃金集計表!V101</f>
        <v>0</v>
      </c>
      <c r="P385" s="206"/>
    </row>
    <row r="386" spans="1:20" ht="9" customHeight="1" thickBo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</row>
    <row r="387" spans="1:20" ht="21.75" customHeight="1" thickTop="1" x14ac:dyDescent="0.15">
      <c r="A387" s="217" t="s">
        <v>28</v>
      </c>
      <c r="B387" s="218"/>
      <c r="C387" s="218"/>
      <c r="D387" s="218" t="s">
        <v>29</v>
      </c>
      <c r="E387" s="218"/>
      <c r="F387" s="218"/>
      <c r="G387" s="218" t="s">
        <v>30</v>
      </c>
      <c r="H387" s="218"/>
      <c r="I387" s="219"/>
      <c r="J387" s="157"/>
      <c r="K387" s="220" t="s">
        <v>31</v>
      </c>
      <c r="L387" s="221"/>
      <c r="M387" s="221"/>
      <c r="N387" s="221"/>
      <c r="O387" s="221"/>
      <c r="P387" s="221"/>
    </row>
    <row r="388" spans="1:20" ht="30" customHeight="1" thickBot="1" x14ac:dyDescent="0.2">
      <c r="A388" s="222">
        <f>SUM(A382:P382)</f>
        <v>0</v>
      </c>
      <c r="B388" s="223"/>
      <c r="C388" s="223"/>
      <c r="D388" s="224">
        <f>SUM(A385:P385)</f>
        <v>0</v>
      </c>
      <c r="E388" s="223"/>
      <c r="F388" s="223"/>
      <c r="G388" s="224">
        <f>A388-D388</f>
        <v>0</v>
      </c>
      <c r="H388" s="223"/>
      <c r="I388" s="225"/>
      <c r="J388" s="43"/>
      <c r="K388" s="226" t="s">
        <v>32</v>
      </c>
      <c r="L388" s="227"/>
      <c r="M388" s="227"/>
      <c r="N388" s="227"/>
      <c r="O388" s="227"/>
      <c r="P388" s="227"/>
    </row>
    <row r="389" spans="1:20" ht="14.25" thickTop="1" x14ac:dyDescent="0.15"/>
    <row r="391" spans="1:20" ht="30" customHeight="1" x14ac:dyDescent="0.15">
      <c r="A391" s="228" t="s">
        <v>16</v>
      </c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41" t="s">
        <v>154</v>
      </c>
      <c r="N391" s="241"/>
      <c r="O391" s="241"/>
      <c r="P391" s="241"/>
    </row>
    <row r="392" spans="1:20" ht="14.25" thickBot="1" x14ac:dyDescent="0.2"/>
    <row r="393" spans="1:20" ht="21.75" customHeight="1" x14ac:dyDescent="0.15">
      <c r="A393" s="207" t="s">
        <v>17</v>
      </c>
      <c r="B393" s="208"/>
      <c r="C393" s="233">
        <f>賃金集計表!A116</f>
        <v>0</v>
      </c>
      <c r="D393" s="234"/>
      <c r="E393" s="234"/>
      <c r="F393" s="234"/>
      <c r="G393" s="237" t="s">
        <v>41</v>
      </c>
      <c r="H393" s="208" t="s">
        <v>18</v>
      </c>
      <c r="I393" s="208"/>
      <c r="J393" s="208"/>
      <c r="K393" s="208" t="s">
        <v>19</v>
      </c>
      <c r="L393" s="208"/>
      <c r="M393" s="208"/>
      <c r="N393" s="208" t="s">
        <v>20</v>
      </c>
      <c r="O393" s="208"/>
      <c r="P393" s="214"/>
    </row>
    <row r="394" spans="1:20" ht="21.75" customHeight="1" thickBot="1" x14ac:dyDescent="0.2">
      <c r="A394" s="212"/>
      <c r="B394" s="213"/>
      <c r="C394" s="235"/>
      <c r="D394" s="236"/>
      <c r="E394" s="236"/>
      <c r="F394" s="236"/>
      <c r="G394" s="238"/>
      <c r="H394" s="215">
        <f>賃金集計表!B116</f>
        <v>0</v>
      </c>
      <c r="I394" s="215"/>
      <c r="J394" s="215"/>
      <c r="K394" s="231"/>
      <c r="L394" s="215"/>
      <c r="M394" s="215"/>
      <c r="N394" s="215"/>
      <c r="O394" s="215"/>
      <c r="P394" s="216"/>
    </row>
    <row r="395" spans="1:20" ht="9" customHeight="1" thickBo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</row>
    <row r="396" spans="1:20" ht="21.75" customHeight="1" x14ac:dyDescent="0.15">
      <c r="A396" s="207" t="s">
        <v>21</v>
      </c>
      <c r="B396" s="208"/>
      <c r="C396" s="209" t="s">
        <v>20</v>
      </c>
      <c r="D396" s="209"/>
      <c r="E396" s="208"/>
      <c r="F396" s="208"/>
      <c r="G396" s="208"/>
      <c r="H396" s="208"/>
      <c r="I396" s="208" t="s">
        <v>22</v>
      </c>
      <c r="J396" s="208"/>
      <c r="K396" s="202"/>
      <c r="L396" s="202"/>
      <c r="M396" s="202"/>
      <c r="N396" s="202"/>
      <c r="O396" s="202"/>
      <c r="P396" s="203"/>
      <c r="R396" s="49"/>
      <c r="T396" s="49"/>
    </row>
    <row r="397" spans="1:20" ht="30" customHeight="1" thickBot="1" x14ac:dyDescent="0.2">
      <c r="A397" s="204">
        <f>賃金集計表!H116</f>
        <v>0</v>
      </c>
      <c r="B397" s="205"/>
      <c r="C397" s="205"/>
      <c r="D397" s="205"/>
      <c r="E397" s="205"/>
      <c r="F397" s="205"/>
      <c r="G397" s="205"/>
      <c r="H397" s="205"/>
      <c r="I397" s="205">
        <f>賃金集計表!L404</f>
        <v>0</v>
      </c>
      <c r="J397" s="205"/>
      <c r="K397" s="205"/>
      <c r="L397" s="205"/>
      <c r="M397" s="205"/>
      <c r="N397" s="205"/>
      <c r="O397" s="205"/>
      <c r="P397" s="206"/>
    </row>
    <row r="398" spans="1:20" ht="9" customHeight="1" thickBo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</row>
    <row r="399" spans="1:20" ht="21.75" customHeight="1" x14ac:dyDescent="0.15">
      <c r="A399" s="207" t="s">
        <v>23</v>
      </c>
      <c r="B399" s="208"/>
      <c r="C399" s="209" t="s">
        <v>24</v>
      </c>
      <c r="D399" s="209"/>
      <c r="E399" s="208" t="s">
        <v>25</v>
      </c>
      <c r="F399" s="208"/>
      <c r="G399" s="208" t="s">
        <v>26</v>
      </c>
      <c r="H399" s="208"/>
      <c r="I399" s="208" t="s">
        <v>27</v>
      </c>
      <c r="J399" s="208"/>
      <c r="K399" s="202"/>
      <c r="L399" s="202"/>
      <c r="M399" s="202"/>
      <c r="N399" s="202"/>
      <c r="O399" s="208" t="s">
        <v>80</v>
      </c>
      <c r="P399" s="214"/>
    </row>
    <row r="400" spans="1:20" ht="30" customHeight="1" thickBot="1" x14ac:dyDescent="0.2">
      <c r="A400" s="204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>
        <f>賃金集計表!V116</f>
        <v>0</v>
      </c>
      <c r="P400" s="206"/>
    </row>
    <row r="401" spans="1:20" ht="9" customHeight="1" thickBo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</row>
    <row r="402" spans="1:20" ht="21.75" customHeight="1" thickTop="1" x14ac:dyDescent="0.15">
      <c r="A402" s="217" t="s">
        <v>28</v>
      </c>
      <c r="B402" s="218"/>
      <c r="C402" s="218"/>
      <c r="D402" s="218" t="s">
        <v>29</v>
      </c>
      <c r="E402" s="218"/>
      <c r="F402" s="218"/>
      <c r="G402" s="218" t="s">
        <v>30</v>
      </c>
      <c r="H402" s="218"/>
      <c r="I402" s="219"/>
      <c r="J402" s="157"/>
      <c r="K402" s="220" t="s">
        <v>31</v>
      </c>
      <c r="L402" s="221"/>
      <c r="M402" s="221"/>
      <c r="N402" s="221"/>
      <c r="O402" s="221"/>
      <c r="P402" s="221"/>
    </row>
    <row r="403" spans="1:20" ht="30" customHeight="1" thickBot="1" x14ac:dyDescent="0.2">
      <c r="A403" s="222">
        <f>SUM(A397:P397)</f>
        <v>0</v>
      </c>
      <c r="B403" s="223"/>
      <c r="C403" s="223"/>
      <c r="D403" s="224">
        <f>SUM(A400:P400)</f>
        <v>0</v>
      </c>
      <c r="E403" s="223"/>
      <c r="F403" s="223"/>
      <c r="G403" s="224">
        <f>A403-D403</f>
        <v>0</v>
      </c>
      <c r="H403" s="223"/>
      <c r="I403" s="225"/>
      <c r="J403" s="43"/>
      <c r="K403" s="226" t="s">
        <v>32</v>
      </c>
      <c r="L403" s="227"/>
      <c r="M403" s="227"/>
      <c r="N403" s="227"/>
      <c r="O403" s="227"/>
      <c r="P403" s="227"/>
    </row>
    <row r="404" spans="1:20" ht="14.25" thickTop="1" x14ac:dyDescent="0.15"/>
    <row r="406" spans="1:20" ht="30" customHeight="1" x14ac:dyDescent="0.15">
      <c r="A406" s="228" t="s">
        <v>16</v>
      </c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41" t="s">
        <v>154</v>
      </c>
      <c r="N406" s="241"/>
      <c r="O406" s="241"/>
      <c r="P406" s="241"/>
    </row>
    <row r="407" spans="1:20" ht="14.25" thickBot="1" x14ac:dyDescent="0.2"/>
    <row r="408" spans="1:20" ht="21.75" customHeight="1" x14ac:dyDescent="0.15">
      <c r="A408" s="207" t="s">
        <v>17</v>
      </c>
      <c r="B408" s="208"/>
      <c r="C408" s="233">
        <f>賃金集計表!A38</f>
        <v>0</v>
      </c>
      <c r="D408" s="234"/>
      <c r="E408" s="234"/>
      <c r="F408" s="234"/>
      <c r="G408" s="237" t="s">
        <v>41</v>
      </c>
      <c r="H408" s="208" t="s">
        <v>18</v>
      </c>
      <c r="I408" s="208"/>
      <c r="J408" s="208"/>
      <c r="K408" s="208" t="s">
        <v>19</v>
      </c>
      <c r="L408" s="208"/>
      <c r="M408" s="208"/>
      <c r="N408" s="208" t="s">
        <v>20</v>
      </c>
      <c r="O408" s="208"/>
      <c r="P408" s="214"/>
    </row>
    <row r="409" spans="1:20" ht="21.75" customHeight="1" thickBot="1" x14ac:dyDescent="0.2">
      <c r="A409" s="212"/>
      <c r="B409" s="213"/>
      <c r="C409" s="235"/>
      <c r="D409" s="236"/>
      <c r="E409" s="236"/>
      <c r="F409" s="236"/>
      <c r="G409" s="238"/>
      <c r="H409" s="242">
        <f>賃金集計表!B38</f>
        <v>0</v>
      </c>
      <c r="I409" s="215"/>
      <c r="J409" s="215"/>
      <c r="K409" s="231"/>
      <c r="L409" s="215"/>
      <c r="M409" s="215"/>
      <c r="N409" s="215"/>
      <c r="O409" s="215"/>
      <c r="P409" s="216"/>
    </row>
    <row r="410" spans="1:20" ht="9" customHeight="1" thickBo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</row>
    <row r="411" spans="1:20" ht="21.75" customHeight="1" x14ac:dyDescent="0.15">
      <c r="A411" s="207" t="s">
        <v>21</v>
      </c>
      <c r="B411" s="208"/>
      <c r="C411" s="209" t="s">
        <v>20</v>
      </c>
      <c r="D411" s="209"/>
      <c r="E411" s="208"/>
      <c r="F411" s="208"/>
      <c r="G411" s="208"/>
      <c r="H411" s="208"/>
      <c r="I411" s="208" t="s">
        <v>22</v>
      </c>
      <c r="J411" s="208"/>
      <c r="K411" s="202"/>
      <c r="L411" s="202"/>
      <c r="M411" s="202"/>
      <c r="N411" s="202"/>
      <c r="O411" s="202"/>
      <c r="P411" s="203"/>
      <c r="R411" s="49"/>
      <c r="T411" s="49"/>
    </row>
    <row r="412" spans="1:20" ht="30" customHeight="1" thickBot="1" x14ac:dyDescent="0.2">
      <c r="A412" s="204">
        <f>賃金集計表!H38</f>
        <v>0</v>
      </c>
      <c r="B412" s="205"/>
      <c r="C412" s="205"/>
      <c r="D412" s="205"/>
      <c r="E412" s="205"/>
      <c r="F412" s="205"/>
      <c r="G412" s="205"/>
      <c r="H412" s="205"/>
      <c r="I412" s="205">
        <f>賃金集計表!L38</f>
        <v>0</v>
      </c>
      <c r="J412" s="205"/>
      <c r="K412" s="205"/>
      <c r="L412" s="205"/>
      <c r="M412" s="205"/>
      <c r="N412" s="205"/>
      <c r="O412" s="205"/>
      <c r="P412" s="206"/>
    </row>
    <row r="413" spans="1:20" ht="9" customHeight="1" thickBo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</row>
    <row r="414" spans="1:20" ht="21.75" customHeight="1" x14ac:dyDescent="0.15">
      <c r="A414" s="207" t="s">
        <v>23</v>
      </c>
      <c r="B414" s="208"/>
      <c r="C414" s="209" t="s">
        <v>24</v>
      </c>
      <c r="D414" s="209"/>
      <c r="E414" s="208" t="s">
        <v>25</v>
      </c>
      <c r="F414" s="208"/>
      <c r="G414" s="208" t="s">
        <v>26</v>
      </c>
      <c r="H414" s="208"/>
      <c r="I414" s="208" t="s">
        <v>27</v>
      </c>
      <c r="J414" s="208"/>
      <c r="K414" s="202"/>
      <c r="L414" s="202"/>
      <c r="M414" s="202"/>
      <c r="N414" s="202"/>
      <c r="O414" s="208" t="s">
        <v>80</v>
      </c>
      <c r="P414" s="214"/>
    </row>
    <row r="415" spans="1:20" ht="30" customHeight="1" thickBot="1" x14ac:dyDescent="0.2">
      <c r="A415" s="204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>
        <f>賃金集計表!V38</f>
        <v>0</v>
      </c>
      <c r="P415" s="206"/>
    </row>
    <row r="416" spans="1:20" ht="9" customHeight="1" thickBo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</row>
    <row r="417" spans="1:20" ht="21.75" customHeight="1" thickTop="1" x14ac:dyDescent="0.15">
      <c r="A417" s="217" t="s">
        <v>28</v>
      </c>
      <c r="B417" s="218"/>
      <c r="C417" s="218"/>
      <c r="D417" s="218" t="s">
        <v>29</v>
      </c>
      <c r="E417" s="218"/>
      <c r="F417" s="218"/>
      <c r="G417" s="218" t="s">
        <v>30</v>
      </c>
      <c r="H417" s="218"/>
      <c r="I417" s="219"/>
      <c r="J417" s="157"/>
      <c r="K417" s="220" t="s">
        <v>31</v>
      </c>
      <c r="L417" s="221"/>
      <c r="M417" s="221"/>
      <c r="N417" s="221"/>
      <c r="O417" s="221"/>
      <c r="P417" s="221"/>
    </row>
    <row r="418" spans="1:20" ht="30" customHeight="1" thickBot="1" x14ac:dyDescent="0.2">
      <c r="A418" s="222">
        <f>SUM(A412:P412)</f>
        <v>0</v>
      </c>
      <c r="B418" s="223"/>
      <c r="C418" s="223"/>
      <c r="D418" s="224">
        <f>SUM(A415:P415)</f>
        <v>0</v>
      </c>
      <c r="E418" s="223"/>
      <c r="F418" s="223"/>
      <c r="G418" s="224">
        <f>A418-D418</f>
        <v>0</v>
      </c>
      <c r="H418" s="223"/>
      <c r="I418" s="225"/>
      <c r="J418" s="43"/>
      <c r="K418" s="226" t="s">
        <v>32</v>
      </c>
      <c r="L418" s="227"/>
      <c r="M418" s="227"/>
      <c r="N418" s="227"/>
      <c r="O418" s="227"/>
      <c r="P418" s="227"/>
    </row>
    <row r="419" spans="1:20" ht="14.25" thickTop="1" x14ac:dyDescent="0.15"/>
    <row r="421" spans="1:20" ht="30" customHeight="1" x14ac:dyDescent="0.15">
      <c r="A421" s="228" t="s">
        <v>16</v>
      </c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41" t="s">
        <v>154</v>
      </c>
      <c r="N421" s="241"/>
      <c r="O421" s="241"/>
      <c r="P421" s="241"/>
    </row>
    <row r="422" spans="1:20" ht="14.25" thickBot="1" x14ac:dyDescent="0.2"/>
    <row r="423" spans="1:20" ht="21.75" customHeight="1" x14ac:dyDescent="0.15">
      <c r="A423" s="207" t="s">
        <v>17</v>
      </c>
      <c r="B423" s="208"/>
      <c r="C423" s="233">
        <f>賃金集計表!A39</f>
        <v>0</v>
      </c>
      <c r="D423" s="234"/>
      <c r="E423" s="234"/>
      <c r="F423" s="234"/>
      <c r="G423" s="237" t="s">
        <v>41</v>
      </c>
      <c r="H423" s="208" t="s">
        <v>18</v>
      </c>
      <c r="I423" s="208"/>
      <c r="J423" s="208"/>
      <c r="K423" s="208" t="s">
        <v>19</v>
      </c>
      <c r="L423" s="208"/>
      <c r="M423" s="208"/>
      <c r="N423" s="208" t="s">
        <v>20</v>
      </c>
      <c r="O423" s="208"/>
      <c r="P423" s="214"/>
    </row>
    <row r="424" spans="1:20" ht="21.75" customHeight="1" thickBot="1" x14ac:dyDescent="0.2">
      <c r="A424" s="212"/>
      <c r="B424" s="213"/>
      <c r="C424" s="235"/>
      <c r="D424" s="236"/>
      <c r="E424" s="236"/>
      <c r="F424" s="236"/>
      <c r="G424" s="238"/>
      <c r="H424" s="215">
        <f>賃金集計表!B39</f>
        <v>0</v>
      </c>
      <c r="I424" s="215"/>
      <c r="J424" s="215"/>
      <c r="K424" s="231"/>
      <c r="L424" s="215"/>
      <c r="M424" s="215"/>
      <c r="N424" s="215"/>
      <c r="O424" s="215"/>
      <c r="P424" s="216"/>
    </row>
    <row r="425" spans="1:20" ht="9" customHeight="1" thickBo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</row>
    <row r="426" spans="1:20" ht="21.75" customHeight="1" x14ac:dyDescent="0.15">
      <c r="A426" s="207" t="s">
        <v>21</v>
      </c>
      <c r="B426" s="208"/>
      <c r="C426" s="209" t="s">
        <v>20</v>
      </c>
      <c r="D426" s="209"/>
      <c r="E426" s="208"/>
      <c r="F426" s="208"/>
      <c r="G426" s="208"/>
      <c r="H426" s="208"/>
      <c r="I426" s="208" t="s">
        <v>22</v>
      </c>
      <c r="J426" s="208"/>
      <c r="K426" s="202"/>
      <c r="L426" s="202"/>
      <c r="M426" s="202"/>
      <c r="N426" s="202"/>
      <c r="O426" s="202"/>
      <c r="P426" s="203"/>
      <c r="R426" s="49"/>
      <c r="T426" s="49"/>
    </row>
    <row r="427" spans="1:20" ht="30" customHeight="1" thickBot="1" x14ac:dyDescent="0.2">
      <c r="A427" s="204">
        <f>賃金集計表!H39</f>
        <v>0</v>
      </c>
      <c r="B427" s="205"/>
      <c r="C427" s="205"/>
      <c r="D427" s="205"/>
      <c r="E427" s="205"/>
      <c r="F427" s="205"/>
      <c r="G427" s="205"/>
      <c r="H427" s="205"/>
      <c r="I427" s="205">
        <f>賃金集計表!L39</f>
        <v>0</v>
      </c>
      <c r="J427" s="205"/>
      <c r="K427" s="205"/>
      <c r="L427" s="205"/>
      <c r="M427" s="205"/>
      <c r="N427" s="205"/>
      <c r="O427" s="205"/>
      <c r="P427" s="206"/>
    </row>
    <row r="428" spans="1:20" ht="9" customHeight="1" thickBo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</row>
    <row r="429" spans="1:20" ht="21.75" customHeight="1" x14ac:dyDescent="0.15">
      <c r="A429" s="207" t="s">
        <v>23</v>
      </c>
      <c r="B429" s="208"/>
      <c r="C429" s="209" t="s">
        <v>24</v>
      </c>
      <c r="D429" s="209"/>
      <c r="E429" s="208" t="s">
        <v>25</v>
      </c>
      <c r="F429" s="208"/>
      <c r="G429" s="208" t="s">
        <v>26</v>
      </c>
      <c r="H429" s="208"/>
      <c r="I429" s="208" t="s">
        <v>27</v>
      </c>
      <c r="J429" s="208"/>
      <c r="K429" s="202"/>
      <c r="L429" s="202"/>
      <c r="M429" s="202"/>
      <c r="N429" s="202"/>
      <c r="O429" s="208" t="s">
        <v>80</v>
      </c>
      <c r="P429" s="214"/>
    </row>
    <row r="430" spans="1:20" ht="30" customHeight="1" thickBot="1" x14ac:dyDescent="0.2">
      <c r="A430" s="204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>
        <f>賃金集計表!V39</f>
        <v>0</v>
      </c>
      <c r="P430" s="206"/>
    </row>
    <row r="431" spans="1:20" ht="9" customHeight="1" thickBo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</row>
    <row r="432" spans="1:20" ht="21.75" customHeight="1" thickTop="1" x14ac:dyDescent="0.15">
      <c r="A432" s="217" t="s">
        <v>28</v>
      </c>
      <c r="B432" s="218"/>
      <c r="C432" s="218"/>
      <c r="D432" s="218" t="s">
        <v>29</v>
      </c>
      <c r="E432" s="218"/>
      <c r="F432" s="218"/>
      <c r="G432" s="218" t="s">
        <v>30</v>
      </c>
      <c r="H432" s="218"/>
      <c r="I432" s="219"/>
      <c r="J432" s="157"/>
      <c r="K432" s="220" t="s">
        <v>31</v>
      </c>
      <c r="L432" s="221"/>
      <c r="M432" s="221"/>
      <c r="N432" s="221"/>
      <c r="O432" s="221"/>
      <c r="P432" s="221"/>
    </row>
    <row r="433" spans="1:20" ht="30" customHeight="1" thickBot="1" x14ac:dyDescent="0.2">
      <c r="A433" s="222">
        <f>SUM(A427:P427)</f>
        <v>0</v>
      </c>
      <c r="B433" s="223"/>
      <c r="C433" s="223"/>
      <c r="D433" s="224">
        <f>SUM(A430:P430)</f>
        <v>0</v>
      </c>
      <c r="E433" s="223"/>
      <c r="F433" s="223"/>
      <c r="G433" s="224">
        <f>A433-D433</f>
        <v>0</v>
      </c>
      <c r="H433" s="223"/>
      <c r="I433" s="225"/>
      <c r="J433" s="43"/>
      <c r="K433" s="226" t="s">
        <v>32</v>
      </c>
      <c r="L433" s="227"/>
      <c r="M433" s="227"/>
      <c r="N433" s="227"/>
      <c r="O433" s="227"/>
      <c r="P433" s="227"/>
    </row>
    <row r="434" spans="1:20" ht="14.25" thickTop="1" x14ac:dyDescent="0.15"/>
    <row r="436" spans="1:20" ht="30" customHeight="1" x14ac:dyDescent="0.15">
      <c r="A436" s="228" t="s">
        <v>16</v>
      </c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41" t="s">
        <v>154</v>
      </c>
      <c r="N436" s="241"/>
      <c r="O436" s="241"/>
      <c r="P436" s="241"/>
    </row>
    <row r="437" spans="1:20" ht="14.25" thickBot="1" x14ac:dyDescent="0.2"/>
    <row r="438" spans="1:20" ht="21.75" customHeight="1" x14ac:dyDescent="0.15">
      <c r="A438" s="207" t="s">
        <v>17</v>
      </c>
      <c r="B438" s="208"/>
      <c r="C438" s="233" t="str">
        <f>賃金集計表!A40</f>
        <v>仁井　諭</v>
      </c>
      <c r="D438" s="234"/>
      <c r="E438" s="234"/>
      <c r="F438" s="234"/>
      <c r="G438" s="237" t="s">
        <v>41</v>
      </c>
      <c r="H438" s="208" t="s">
        <v>18</v>
      </c>
      <c r="I438" s="208"/>
      <c r="J438" s="208"/>
      <c r="K438" s="208" t="s">
        <v>19</v>
      </c>
      <c r="L438" s="208"/>
      <c r="M438" s="208"/>
      <c r="N438" s="208" t="s">
        <v>20</v>
      </c>
      <c r="O438" s="208"/>
      <c r="P438" s="214"/>
    </row>
    <row r="439" spans="1:20" ht="21.75" customHeight="1" thickBot="1" x14ac:dyDescent="0.2">
      <c r="A439" s="212"/>
      <c r="B439" s="213"/>
      <c r="C439" s="235"/>
      <c r="D439" s="236"/>
      <c r="E439" s="236"/>
      <c r="F439" s="236"/>
      <c r="G439" s="238"/>
      <c r="H439" s="215">
        <f>賃金集計表!B40</f>
        <v>13</v>
      </c>
      <c r="I439" s="215"/>
      <c r="J439" s="215"/>
      <c r="K439" s="231"/>
      <c r="L439" s="215"/>
      <c r="M439" s="215"/>
      <c r="N439" s="215"/>
      <c r="O439" s="215"/>
      <c r="P439" s="216"/>
    </row>
    <row r="440" spans="1:20" ht="9" customHeight="1" thickBo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</row>
    <row r="441" spans="1:20" ht="21.75" customHeight="1" x14ac:dyDescent="0.15">
      <c r="A441" s="207" t="s">
        <v>21</v>
      </c>
      <c r="B441" s="208"/>
      <c r="C441" s="209" t="s">
        <v>20</v>
      </c>
      <c r="D441" s="209"/>
      <c r="E441" s="208"/>
      <c r="F441" s="208"/>
      <c r="G441" s="208"/>
      <c r="H441" s="208"/>
      <c r="I441" s="208" t="s">
        <v>22</v>
      </c>
      <c r="J441" s="208"/>
      <c r="K441" s="202"/>
      <c r="L441" s="202"/>
      <c r="M441" s="202"/>
      <c r="N441" s="202"/>
      <c r="O441" s="202"/>
      <c r="P441" s="203"/>
      <c r="R441" s="49"/>
      <c r="T441" s="49"/>
    </row>
    <row r="442" spans="1:20" ht="30" customHeight="1" thickBot="1" x14ac:dyDescent="0.2">
      <c r="A442" s="204">
        <f>賃金集計表!H40</f>
        <v>10400</v>
      </c>
      <c r="B442" s="205"/>
      <c r="C442" s="205"/>
      <c r="D442" s="205"/>
      <c r="E442" s="205"/>
      <c r="F442" s="205"/>
      <c r="G442" s="205"/>
      <c r="H442" s="205"/>
      <c r="I442" s="205">
        <f>賃金集計表!L449</f>
        <v>0</v>
      </c>
      <c r="J442" s="205"/>
      <c r="K442" s="205"/>
      <c r="L442" s="205"/>
      <c r="M442" s="205"/>
      <c r="N442" s="205"/>
      <c r="O442" s="205"/>
      <c r="P442" s="206"/>
    </row>
    <row r="443" spans="1:20" ht="9" customHeight="1" thickBo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</row>
    <row r="444" spans="1:20" ht="21.75" customHeight="1" x14ac:dyDescent="0.15">
      <c r="A444" s="207" t="s">
        <v>23</v>
      </c>
      <c r="B444" s="208"/>
      <c r="C444" s="209" t="s">
        <v>24</v>
      </c>
      <c r="D444" s="209"/>
      <c r="E444" s="208" t="s">
        <v>25</v>
      </c>
      <c r="F444" s="208"/>
      <c r="G444" s="208" t="s">
        <v>26</v>
      </c>
      <c r="H444" s="208"/>
      <c r="I444" s="208" t="s">
        <v>27</v>
      </c>
      <c r="J444" s="208"/>
      <c r="K444" s="202"/>
      <c r="L444" s="202"/>
      <c r="M444" s="202"/>
      <c r="N444" s="202"/>
      <c r="O444" s="208" t="s">
        <v>80</v>
      </c>
      <c r="P444" s="214"/>
    </row>
    <row r="445" spans="1:20" ht="30" customHeight="1" thickBot="1" x14ac:dyDescent="0.2">
      <c r="A445" s="204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>
        <f>賃金集計表!V40</f>
        <v>0</v>
      </c>
      <c r="P445" s="206"/>
    </row>
    <row r="446" spans="1:20" ht="9" customHeight="1" thickBo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</row>
    <row r="447" spans="1:20" ht="21.75" customHeight="1" thickTop="1" x14ac:dyDescent="0.15">
      <c r="A447" s="217" t="s">
        <v>28</v>
      </c>
      <c r="B447" s="218"/>
      <c r="C447" s="218"/>
      <c r="D447" s="218" t="s">
        <v>29</v>
      </c>
      <c r="E447" s="218"/>
      <c r="F447" s="218"/>
      <c r="G447" s="218" t="s">
        <v>30</v>
      </c>
      <c r="H447" s="218"/>
      <c r="I447" s="219"/>
      <c r="J447" s="157"/>
      <c r="K447" s="220" t="s">
        <v>31</v>
      </c>
      <c r="L447" s="221"/>
      <c r="M447" s="221"/>
      <c r="N447" s="221"/>
      <c r="O447" s="221"/>
      <c r="P447" s="221"/>
    </row>
    <row r="448" spans="1:20" ht="30" customHeight="1" thickBot="1" x14ac:dyDescent="0.2">
      <c r="A448" s="222">
        <f>SUM(A442:P442)</f>
        <v>10400</v>
      </c>
      <c r="B448" s="223"/>
      <c r="C448" s="223"/>
      <c r="D448" s="224">
        <f>SUM(A445:P445)</f>
        <v>0</v>
      </c>
      <c r="E448" s="223"/>
      <c r="F448" s="223"/>
      <c r="G448" s="224">
        <f>A448-D448</f>
        <v>10400</v>
      </c>
      <c r="H448" s="223"/>
      <c r="I448" s="225"/>
      <c r="J448" s="43"/>
      <c r="K448" s="226" t="s">
        <v>32</v>
      </c>
      <c r="L448" s="227"/>
      <c r="M448" s="227"/>
      <c r="N448" s="227"/>
      <c r="O448" s="227"/>
      <c r="P448" s="227"/>
    </row>
    <row r="449" ht="14.25" thickTop="1" x14ac:dyDescent="0.15"/>
  </sheetData>
  <mergeCells count="1530"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3"/>
  <sheetViews>
    <sheetView topLeftCell="A148" workbookViewId="0">
      <selection activeCell="AL28" sqref="AL28"/>
    </sheetView>
  </sheetViews>
  <sheetFormatPr defaultRowHeight="13.5" x14ac:dyDescent="0.1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 x14ac:dyDescent="0.15">
      <c r="A1" s="287" t="s">
        <v>34</v>
      </c>
      <c r="B1" s="287"/>
      <c r="C1" s="287"/>
      <c r="D1" s="287"/>
      <c r="E1" s="287"/>
      <c r="F1" s="287"/>
      <c r="G1" s="287"/>
      <c r="H1" s="287"/>
      <c r="J1" s="287" t="s">
        <v>34</v>
      </c>
      <c r="K1" s="287"/>
      <c r="L1" s="287"/>
      <c r="M1" s="287"/>
      <c r="N1" s="287"/>
      <c r="O1" s="287"/>
      <c r="P1" s="287"/>
      <c r="Q1" s="287"/>
      <c r="S1" s="287" t="s">
        <v>34</v>
      </c>
      <c r="T1" s="287"/>
      <c r="U1" s="287"/>
      <c r="V1" s="287"/>
      <c r="W1" s="287"/>
      <c r="X1" s="287"/>
      <c r="Y1" s="287"/>
      <c r="Z1" s="287"/>
      <c r="AB1" s="287" t="s">
        <v>34</v>
      </c>
      <c r="AC1" s="287"/>
      <c r="AD1" s="287"/>
      <c r="AE1" s="287"/>
      <c r="AF1" s="287"/>
      <c r="AG1" s="287"/>
      <c r="AH1" s="287"/>
      <c r="AI1" s="287"/>
    </row>
    <row r="2" spans="1:35" ht="8.25" customHeight="1" x14ac:dyDescent="0.15">
      <c r="A2" s="51"/>
      <c r="B2" s="51"/>
      <c r="C2" s="51"/>
      <c r="D2" s="51"/>
      <c r="E2" s="51"/>
      <c r="F2" s="51"/>
      <c r="G2" s="51"/>
      <c r="H2" s="51"/>
      <c r="J2" s="51"/>
      <c r="K2" s="51"/>
      <c r="L2" s="51"/>
      <c r="M2" s="51"/>
      <c r="N2" s="51"/>
      <c r="O2" s="51"/>
      <c r="P2" s="51"/>
      <c r="Q2" s="51"/>
      <c r="S2" s="51"/>
      <c r="T2" s="51"/>
      <c r="U2" s="51"/>
      <c r="V2" s="51"/>
      <c r="W2" s="51"/>
      <c r="X2" s="51"/>
      <c r="Y2" s="51"/>
      <c r="Z2" s="51"/>
      <c r="AB2" s="51"/>
      <c r="AC2" s="51"/>
      <c r="AD2" s="51"/>
      <c r="AE2" s="51"/>
      <c r="AF2" s="51"/>
      <c r="AG2" s="51"/>
      <c r="AH2" s="51"/>
      <c r="AI2" s="51"/>
    </row>
    <row r="3" spans="1:35" ht="23.25" customHeight="1" x14ac:dyDescent="0.15">
      <c r="A3" s="51"/>
      <c r="B3" s="51"/>
      <c r="C3" s="63" t="s">
        <v>35</v>
      </c>
      <c r="D3" s="51">
        <v>27</v>
      </c>
      <c r="E3" s="51" t="s">
        <v>36</v>
      </c>
      <c r="F3" s="51">
        <v>5</v>
      </c>
      <c r="G3" s="64" t="s">
        <v>37</v>
      </c>
      <c r="H3" s="51"/>
      <c r="J3" s="51"/>
      <c r="K3" s="51"/>
      <c r="L3" s="63" t="s">
        <v>35</v>
      </c>
      <c r="M3" s="51">
        <v>27</v>
      </c>
      <c r="N3" s="51" t="s">
        <v>36</v>
      </c>
      <c r="O3" s="51">
        <v>5</v>
      </c>
      <c r="P3" s="64" t="s">
        <v>37</v>
      </c>
      <c r="Q3" s="51"/>
      <c r="S3" s="51"/>
      <c r="T3" s="51"/>
      <c r="U3" s="63" t="s">
        <v>35</v>
      </c>
      <c r="V3" s="51">
        <v>27</v>
      </c>
      <c r="W3" s="51" t="s">
        <v>36</v>
      </c>
      <c r="X3" s="51">
        <v>5</v>
      </c>
      <c r="Y3" s="64" t="s">
        <v>37</v>
      </c>
      <c r="Z3" s="51"/>
      <c r="AB3" s="51"/>
      <c r="AC3" s="51"/>
      <c r="AD3" s="63" t="s">
        <v>35</v>
      </c>
      <c r="AE3" s="51">
        <v>27</v>
      </c>
      <c r="AF3" s="51" t="s">
        <v>36</v>
      </c>
      <c r="AG3" s="51">
        <v>5</v>
      </c>
      <c r="AH3" s="64" t="s">
        <v>37</v>
      </c>
      <c r="AI3" s="51"/>
    </row>
    <row r="4" spans="1:35" ht="20.25" customHeight="1" x14ac:dyDescent="0.15">
      <c r="A4" s="52" t="s">
        <v>38</v>
      </c>
      <c r="B4" s="52" t="s">
        <v>39</v>
      </c>
      <c r="C4" s="52" t="s">
        <v>40</v>
      </c>
      <c r="D4" s="52"/>
      <c r="E4" s="52"/>
      <c r="F4" s="51"/>
      <c r="G4" s="51"/>
      <c r="H4" s="51"/>
      <c r="J4" s="52" t="s">
        <v>38</v>
      </c>
      <c r="K4" s="52" t="s">
        <v>39</v>
      </c>
      <c r="L4" s="52" t="s">
        <v>40</v>
      </c>
      <c r="M4" s="52"/>
      <c r="N4" s="52"/>
      <c r="O4" s="51"/>
      <c r="P4" s="51"/>
      <c r="Q4" s="51"/>
      <c r="S4" s="52" t="s">
        <v>38</v>
      </c>
      <c r="T4" s="52" t="s">
        <v>39</v>
      </c>
      <c r="U4" s="52" t="s">
        <v>40</v>
      </c>
      <c r="V4" s="52"/>
      <c r="W4" s="52"/>
      <c r="X4" s="51"/>
      <c r="Y4" s="51"/>
      <c r="Z4" s="51"/>
      <c r="AB4" s="52" t="s">
        <v>38</v>
      </c>
      <c r="AC4" s="52" t="s">
        <v>39</v>
      </c>
      <c r="AD4" s="52" t="s">
        <v>40</v>
      </c>
      <c r="AE4" s="52"/>
      <c r="AF4" s="52"/>
      <c r="AG4" s="51"/>
      <c r="AH4" s="51"/>
      <c r="AI4" s="51"/>
    </row>
    <row r="5" spans="1:35" x14ac:dyDescent="0.15">
      <c r="A5" s="280" t="str">
        <f>'6月分'!B5</f>
        <v>岡﨑　峻喬</v>
      </c>
      <c r="B5" s="280"/>
      <c r="C5" s="280"/>
      <c r="D5" s="280"/>
      <c r="E5" s="280"/>
      <c r="F5" s="280"/>
      <c r="G5" s="280"/>
      <c r="H5" s="53"/>
      <c r="J5" s="280" t="str">
        <f>賃金集計表!A6</f>
        <v>山内　雄司</v>
      </c>
      <c r="K5" s="280"/>
      <c r="L5" s="280"/>
      <c r="M5" s="280"/>
      <c r="N5" s="280"/>
      <c r="O5" s="280"/>
      <c r="P5" s="280"/>
      <c r="Q5" s="53"/>
      <c r="S5" s="280" t="str">
        <f>賃金集計表!A10</f>
        <v>大元　照美</v>
      </c>
      <c r="T5" s="280"/>
      <c r="U5" s="280"/>
      <c r="V5" s="280"/>
      <c r="W5" s="280"/>
      <c r="X5" s="280"/>
      <c r="Y5" s="280"/>
      <c r="Z5" s="53"/>
      <c r="AB5" s="280" t="str">
        <f>賃金集計表!A11</f>
        <v>瀬戸　光代</v>
      </c>
      <c r="AC5" s="280"/>
      <c r="AD5" s="280"/>
      <c r="AE5" s="280"/>
      <c r="AF5" s="280"/>
      <c r="AG5" s="280"/>
      <c r="AH5" s="280"/>
      <c r="AI5" s="53"/>
    </row>
    <row r="6" spans="1:35" x14ac:dyDescent="0.15">
      <c r="A6" s="281"/>
      <c r="B6" s="281"/>
      <c r="C6" s="281"/>
      <c r="D6" s="281"/>
      <c r="E6" s="281"/>
      <c r="F6" s="281"/>
      <c r="G6" s="281"/>
      <c r="H6" s="52" t="s">
        <v>41</v>
      </c>
      <c r="J6" s="281"/>
      <c r="K6" s="281"/>
      <c r="L6" s="281"/>
      <c r="M6" s="281"/>
      <c r="N6" s="281"/>
      <c r="O6" s="281"/>
      <c r="P6" s="281"/>
      <c r="Q6" s="52" t="s">
        <v>41</v>
      </c>
      <c r="S6" s="281"/>
      <c r="T6" s="281"/>
      <c r="U6" s="281"/>
      <c r="V6" s="281"/>
      <c r="W6" s="281"/>
      <c r="X6" s="281"/>
      <c r="Y6" s="281"/>
      <c r="Z6" s="52" t="s">
        <v>41</v>
      </c>
      <c r="AB6" s="281"/>
      <c r="AC6" s="281"/>
      <c r="AD6" s="281"/>
      <c r="AE6" s="281"/>
      <c r="AF6" s="281"/>
      <c r="AG6" s="281"/>
      <c r="AH6" s="281"/>
      <c r="AI6" s="52" t="s">
        <v>41</v>
      </c>
    </row>
    <row r="7" spans="1:35" ht="6" customHeight="1" thickBot="1" x14ac:dyDescent="0.2">
      <c r="A7" s="51"/>
      <c r="B7" s="51"/>
      <c r="C7" s="51"/>
      <c r="D7" s="51"/>
      <c r="E7" s="51"/>
      <c r="F7" s="51"/>
      <c r="G7" s="51"/>
      <c r="H7" s="51"/>
      <c r="J7" s="51"/>
      <c r="K7" s="51"/>
      <c r="L7" s="51"/>
      <c r="M7" s="51"/>
      <c r="N7" s="51"/>
      <c r="O7" s="51"/>
      <c r="P7" s="51"/>
      <c r="Q7" s="51"/>
      <c r="S7" s="51"/>
      <c r="T7" s="51"/>
      <c r="U7" s="51"/>
      <c r="V7" s="51"/>
      <c r="W7" s="51"/>
      <c r="X7" s="51"/>
      <c r="Y7" s="51"/>
      <c r="Z7" s="51"/>
      <c r="AB7" s="51"/>
      <c r="AC7" s="51"/>
      <c r="AD7" s="51"/>
      <c r="AE7" s="51"/>
      <c r="AF7" s="51"/>
      <c r="AG7" s="51"/>
      <c r="AH7" s="51"/>
      <c r="AI7" s="51"/>
    </row>
    <row r="8" spans="1:35" ht="15" customHeight="1" thickTop="1" x14ac:dyDescent="0.15">
      <c r="A8" s="283" t="s">
        <v>42</v>
      </c>
      <c r="B8" s="284"/>
      <c r="C8" s="284"/>
      <c r="D8" s="284"/>
      <c r="E8" s="277" t="s">
        <v>114</v>
      </c>
      <c r="F8" s="278"/>
      <c r="G8" s="278"/>
      <c r="H8" s="279"/>
      <c r="J8" s="251" t="s">
        <v>42</v>
      </c>
      <c r="K8" s="252"/>
      <c r="L8" s="252"/>
      <c r="M8" s="252"/>
      <c r="N8" s="277" t="s">
        <v>114</v>
      </c>
      <c r="O8" s="278"/>
      <c r="P8" s="278"/>
      <c r="Q8" s="279"/>
      <c r="S8" s="251" t="s">
        <v>42</v>
      </c>
      <c r="T8" s="252"/>
      <c r="U8" s="252"/>
      <c r="V8" s="252"/>
      <c r="W8" s="277" t="s">
        <v>114</v>
      </c>
      <c r="X8" s="278"/>
      <c r="Y8" s="278"/>
      <c r="Z8" s="279"/>
      <c r="AB8" s="251" t="s">
        <v>42</v>
      </c>
      <c r="AC8" s="252"/>
      <c r="AD8" s="252"/>
      <c r="AE8" s="252"/>
      <c r="AF8" s="277" t="s">
        <v>114</v>
      </c>
      <c r="AG8" s="278"/>
      <c r="AH8" s="278"/>
      <c r="AI8" s="279"/>
    </row>
    <row r="9" spans="1:35" ht="15" customHeight="1" x14ac:dyDescent="0.15">
      <c r="A9" s="253" t="s">
        <v>59</v>
      </c>
      <c r="B9" s="254"/>
      <c r="C9" s="254"/>
      <c r="D9" s="254"/>
      <c r="E9" s="54"/>
      <c r="F9" s="55"/>
      <c r="G9" s="55">
        <f>'6月分'!AH5</f>
        <v>23</v>
      </c>
      <c r="H9" s="56" t="s">
        <v>8</v>
      </c>
      <c r="J9" s="247" t="s">
        <v>59</v>
      </c>
      <c r="K9" s="243"/>
      <c r="L9" s="243"/>
      <c r="M9" s="243"/>
      <c r="N9" s="54"/>
      <c r="O9" s="55"/>
      <c r="P9" s="55">
        <f>'6月分'!AH7</f>
        <v>0</v>
      </c>
      <c r="Q9" s="56" t="s">
        <v>8</v>
      </c>
      <c r="S9" s="247" t="s">
        <v>59</v>
      </c>
      <c r="T9" s="243"/>
      <c r="U9" s="243"/>
      <c r="V9" s="243"/>
      <c r="W9" s="54"/>
      <c r="X9" s="55"/>
      <c r="Y9" s="55">
        <v>23</v>
      </c>
      <c r="Z9" s="56" t="s">
        <v>8</v>
      </c>
      <c r="AB9" s="247" t="s">
        <v>59</v>
      </c>
      <c r="AC9" s="243"/>
      <c r="AD9" s="243"/>
      <c r="AE9" s="243"/>
      <c r="AF9" s="54"/>
      <c r="AG9" s="55"/>
      <c r="AH9" s="55">
        <f>'6月分'!AH11</f>
        <v>0</v>
      </c>
      <c r="AI9" s="56" t="s">
        <v>8</v>
      </c>
    </row>
    <row r="10" spans="1:35" ht="15" customHeight="1" x14ac:dyDescent="0.15">
      <c r="A10" s="253" t="s">
        <v>43</v>
      </c>
      <c r="B10" s="254"/>
      <c r="C10" s="254"/>
      <c r="D10" s="254"/>
      <c r="E10" s="54"/>
      <c r="F10" s="57" t="s">
        <v>61</v>
      </c>
      <c r="G10" s="54"/>
      <c r="H10" s="56" t="s">
        <v>60</v>
      </c>
      <c r="J10" s="247" t="s">
        <v>43</v>
      </c>
      <c r="K10" s="243"/>
      <c r="L10" s="243"/>
      <c r="M10" s="243"/>
      <c r="N10" s="54"/>
      <c r="O10" s="57" t="s">
        <v>61</v>
      </c>
      <c r="P10" s="54"/>
      <c r="Q10" s="56" t="s">
        <v>60</v>
      </c>
      <c r="S10" s="247" t="s">
        <v>43</v>
      </c>
      <c r="T10" s="243"/>
      <c r="U10" s="243"/>
      <c r="V10" s="243"/>
      <c r="W10" s="54"/>
      <c r="X10" s="57" t="s">
        <v>61</v>
      </c>
      <c r="Y10" s="54"/>
      <c r="Z10" s="56" t="s">
        <v>60</v>
      </c>
      <c r="AB10" s="247" t="s">
        <v>43</v>
      </c>
      <c r="AC10" s="243"/>
      <c r="AD10" s="243"/>
      <c r="AE10" s="243"/>
      <c r="AF10" s="65">
        <v>103</v>
      </c>
      <c r="AG10" s="55" t="s">
        <v>61</v>
      </c>
      <c r="AH10" s="55">
        <v>28</v>
      </c>
      <c r="AI10" s="56" t="s">
        <v>60</v>
      </c>
    </row>
    <row r="11" spans="1:35" ht="15" customHeight="1" x14ac:dyDescent="0.15">
      <c r="A11" s="253" t="s">
        <v>44</v>
      </c>
      <c r="B11" s="254"/>
      <c r="C11" s="254"/>
      <c r="D11" s="254"/>
      <c r="E11" s="54"/>
      <c r="F11" s="57" t="s">
        <v>61</v>
      </c>
      <c r="G11" s="54"/>
      <c r="H11" s="56" t="s">
        <v>60</v>
      </c>
      <c r="J11" s="247" t="s">
        <v>44</v>
      </c>
      <c r="K11" s="243"/>
      <c r="L11" s="243"/>
      <c r="M11" s="243"/>
      <c r="N11" s="54"/>
      <c r="O11" s="57" t="s">
        <v>61</v>
      </c>
      <c r="P11" s="54"/>
      <c r="Q11" s="56" t="s">
        <v>60</v>
      </c>
      <c r="S11" s="247" t="s">
        <v>44</v>
      </c>
      <c r="T11" s="243"/>
      <c r="U11" s="243"/>
      <c r="V11" s="243"/>
      <c r="W11" s="54"/>
      <c r="X11" s="57" t="s">
        <v>61</v>
      </c>
      <c r="Y11" s="54"/>
      <c r="Z11" s="56" t="s">
        <v>60</v>
      </c>
      <c r="AB11" s="247" t="s">
        <v>44</v>
      </c>
      <c r="AC11" s="243"/>
      <c r="AD11" s="243"/>
      <c r="AE11" s="243"/>
      <c r="AF11" s="54"/>
      <c r="AG11" s="57" t="s">
        <v>61</v>
      </c>
      <c r="AH11" s="54"/>
      <c r="AI11" s="56" t="s">
        <v>60</v>
      </c>
    </row>
    <row r="12" spans="1:35" ht="15" customHeight="1" x14ac:dyDescent="0.15">
      <c r="A12" s="253" t="s">
        <v>45</v>
      </c>
      <c r="B12" s="254"/>
      <c r="C12" s="254"/>
      <c r="D12" s="254"/>
      <c r="E12" s="54"/>
      <c r="F12" s="57" t="s">
        <v>61</v>
      </c>
      <c r="G12" s="54"/>
      <c r="H12" s="56" t="s">
        <v>60</v>
      </c>
      <c r="J12" s="247" t="s">
        <v>45</v>
      </c>
      <c r="K12" s="243"/>
      <c r="L12" s="243"/>
      <c r="M12" s="243"/>
      <c r="N12" s="54"/>
      <c r="O12" s="57" t="s">
        <v>61</v>
      </c>
      <c r="P12" s="54"/>
      <c r="Q12" s="56" t="s">
        <v>60</v>
      </c>
      <c r="S12" s="247" t="s">
        <v>45</v>
      </c>
      <c r="T12" s="243"/>
      <c r="U12" s="243"/>
      <c r="V12" s="243"/>
      <c r="W12" s="54"/>
      <c r="X12" s="57" t="s">
        <v>61</v>
      </c>
      <c r="Y12" s="54"/>
      <c r="Z12" s="56" t="s">
        <v>60</v>
      </c>
      <c r="AB12" s="247" t="s">
        <v>45</v>
      </c>
      <c r="AC12" s="243"/>
      <c r="AD12" s="243"/>
      <c r="AE12" s="243"/>
      <c r="AF12" s="54"/>
      <c r="AG12" s="57" t="s">
        <v>61</v>
      </c>
      <c r="AH12" s="54"/>
      <c r="AI12" s="56" t="s">
        <v>60</v>
      </c>
    </row>
    <row r="13" spans="1:35" ht="15" customHeight="1" x14ac:dyDescent="0.15">
      <c r="A13" s="253" t="s">
        <v>46</v>
      </c>
      <c r="B13" s="254"/>
      <c r="C13" s="254"/>
      <c r="D13" s="254"/>
      <c r="E13" s="58"/>
      <c r="F13" s="59" t="s">
        <v>61</v>
      </c>
      <c r="G13" s="58"/>
      <c r="H13" s="60" t="s">
        <v>60</v>
      </c>
      <c r="J13" s="247" t="s">
        <v>46</v>
      </c>
      <c r="K13" s="243"/>
      <c r="L13" s="243"/>
      <c r="M13" s="243"/>
      <c r="N13" s="58"/>
      <c r="O13" s="59" t="s">
        <v>61</v>
      </c>
      <c r="P13" s="58"/>
      <c r="Q13" s="60" t="s">
        <v>60</v>
      </c>
      <c r="S13" s="247" t="s">
        <v>46</v>
      </c>
      <c r="T13" s="243"/>
      <c r="U13" s="243"/>
      <c r="V13" s="243"/>
      <c r="W13" s="58"/>
      <c r="X13" s="59" t="s">
        <v>61</v>
      </c>
      <c r="Y13" s="58"/>
      <c r="Z13" s="60" t="s">
        <v>60</v>
      </c>
      <c r="AB13" s="247" t="s">
        <v>46</v>
      </c>
      <c r="AC13" s="243"/>
      <c r="AD13" s="243"/>
      <c r="AE13" s="243"/>
      <c r="AF13" s="58"/>
      <c r="AG13" s="59" t="s">
        <v>61</v>
      </c>
      <c r="AH13" s="58"/>
      <c r="AI13" s="60" t="s">
        <v>60</v>
      </c>
    </row>
    <row r="14" spans="1:35" ht="15" customHeight="1" x14ac:dyDescent="0.15">
      <c r="A14" s="253" t="s">
        <v>47</v>
      </c>
      <c r="B14" s="254"/>
      <c r="C14" s="254"/>
      <c r="D14" s="254"/>
      <c r="E14" s="276">
        <f>賃金集計表!H5</f>
        <v>280000</v>
      </c>
      <c r="F14" s="288"/>
      <c r="G14" s="288"/>
      <c r="H14" s="289"/>
      <c r="J14" s="247" t="s">
        <v>47</v>
      </c>
      <c r="K14" s="243"/>
      <c r="L14" s="243"/>
      <c r="M14" s="243"/>
      <c r="N14" s="276">
        <f>賃金集計表!H6</f>
        <v>200000</v>
      </c>
      <c r="O14" s="273"/>
      <c r="P14" s="273"/>
      <c r="Q14" s="274"/>
      <c r="S14" s="247" t="s">
        <v>47</v>
      </c>
      <c r="T14" s="243"/>
      <c r="U14" s="243"/>
      <c r="V14" s="243"/>
      <c r="W14" s="276">
        <f>賃金集計表!H10</f>
        <v>144000</v>
      </c>
      <c r="X14" s="273"/>
      <c r="Y14" s="273"/>
      <c r="Z14" s="274"/>
      <c r="AB14" s="247" t="s">
        <v>47</v>
      </c>
      <c r="AC14" s="243"/>
      <c r="AD14" s="243"/>
      <c r="AE14" s="243"/>
      <c r="AF14" s="276">
        <f>賃金集計表!H11</f>
        <v>94680.000000000015</v>
      </c>
      <c r="AG14" s="288"/>
      <c r="AH14" s="288"/>
      <c r="AI14" s="289"/>
    </row>
    <row r="15" spans="1:35" ht="15" customHeight="1" x14ac:dyDescent="0.15">
      <c r="A15" s="253" t="s">
        <v>48</v>
      </c>
      <c r="B15" s="254"/>
      <c r="C15" s="254"/>
      <c r="D15" s="254"/>
      <c r="E15" s="276"/>
      <c r="F15" s="288"/>
      <c r="G15" s="288"/>
      <c r="H15" s="289"/>
      <c r="J15" s="253" t="s">
        <v>48</v>
      </c>
      <c r="K15" s="254"/>
      <c r="L15" s="254"/>
      <c r="M15" s="254"/>
      <c r="N15" s="272"/>
      <c r="O15" s="273"/>
      <c r="P15" s="273"/>
      <c r="Q15" s="274"/>
      <c r="S15" s="253" t="s">
        <v>48</v>
      </c>
      <c r="T15" s="254"/>
      <c r="U15" s="254"/>
      <c r="V15" s="254"/>
      <c r="W15" s="272"/>
      <c r="X15" s="273"/>
      <c r="Y15" s="273"/>
      <c r="Z15" s="274"/>
      <c r="AB15" s="253" t="s">
        <v>48</v>
      </c>
      <c r="AC15" s="254"/>
      <c r="AD15" s="254"/>
      <c r="AE15" s="254"/>
      <c r="AF15" s="276"/>
      <c r="AG15" s="288"/>
      <c r="AH15" s="288"/>
      <c r="AI15" s="289"/>
    </row>
    <row r="16" spans="1:35" ht="15" customHeight="1" x14ac:dyDescent="0.15">
      <c r="A16" s="259" t="s">
        <v>22</v>
      </c>
      <c r="B16" s="254" t="s">
        <v>50</v>
      </c>
      <c r="C16" s="254"/>
      <c r="D16" s="254"/>
      <c r="E16" s="276"/>
      <c r="F16" s="288"/>
      <c r="G16" s="288"/>
      <c r="H16" s="289"/>
      <c r="J16" s="275" t="s">
        <v>22</v>
      </c>
      <c r="K16" s="243" t="s">
        <v>50</v>
      </c>
      <c r="L16" s="243"/>
      <c r="M16" s="243"/>
      <c r="N16" s="272"/>
      <c r="O16" s="273"/>
      <c r="P16" s="273"/>
      <c r="Q16" s="274"/>
      <c r="S16" s="275" t="s">
        <v>22</v>
      </c>
      <c r="T16" s="243" t="s">
        <v>50</v>
      </c>
      <c r="U16" s="243"/>
      <c r="V16" s="243"/>
      <c r="W16" s="272"/>
      <c r="X16" s="273"/>
      <c r="Y16" s="273"/>
      <c r="Z16" s="274"/>
      <c r="AB16" s="275" t="s">
        <v>22</v>
      </c>
      <c r="AC16" s="243" t="s">
        <v>50</v>
      </c>
      <c r="AD16" s="243"/>
      <c r="AE16" s="243"/>
      <c r="AF16" s="276"/>
      <c r="AG16" s="288"/>
      <c r="AH16" s="288"/>
      <c r="AI16" s="289"/>
    </row>
    <row r="17" spans="1:35" ht="15" customHeight="1" x14ac:dyDescent="0.15">
      <c r="A17" s="259"/>
      <c r="B17" s="254" t="s">
        <v>49</v>
      </c>
      <c r="C17" s="254"/>
      <c r="D17" s="254"/>
      <c r="E17" s="276"/>
      <c r="F17" s="288"/>
      <c r="G17" s="288"/>
      <c r="H17" s="289"/>
      <c r="J17" s="275"/>
      <c r="K17" s="243" t="s">
        <v>49</v>
      </c>
      <c r="L17" s="243"/>
      <c r="M17" s="243"/>
      <c r="N17" s="272"/>
      <c r="O17" s="273"/>
      <c r="P17" s="273"/>
      <c r="Q17" s="274"/>
      <c r="S17" s="275"/>
      <c r="T17" s="243" t="s">
        <v>49</v>
      </c>
      <c r="U17" s="243"/>
      <c r="V17" s="243"/>
      <c r="W17" s="272"/>
      <c r="X17" s="273"/>
      <c r="Y17" s="273"/>
      <c r="Z17" s="274"/>
      <c r="AB17" s="275"/>
      <c r="AC17" s="243" t="s">
        <v>49</v>
      </c>
      <c r="AD17" s="243"/>
      <c r="AE17" s="243"/>
      <c r="AF17" s="276"/>
      <c r="AG17" s="288"/>
      <c r="AH17" s="288"/>
      <c r="AI17" s="289"/>
    </row>
    <row r="18" spans="1:35" ht="15" customHeight="1" x14ac:dyDescent="0.15">
      <c r="A18" s="259"/>
      <c r="B18" s="254" t="s">
        <v>51</v>
      </c>
      <c r="C18" s="254"/>
      <c r="D18" s="254"/>
      <c r="E18" s="276"/>
      <c r="F18" s="288"/>
      <c r="G18" s="288"/>
      <c r="H18" s="289"/>
      <c r="J18" s="275"/>
      <c r="K18" s="243" t="s">
        <v>51</v>
      </c>
      <c r="L18" s="243"/>
      <c r="M18" s="243"/>
      <c r="N18" s="272"/>
      <c r="O18" s="273"/>
      <c r="P18" s="273"/>
      <c r="Q18" s="274"/>
      <c r="S18" s="275"/>
      <c r="T18" s="243" t="s">
        <v>51</v>
      </c>
      <c r="U18" s="243"/>
      <c r="V18" s="243"/>
      <c r="W18" s="272"/>
      <c r="X18" s="273"/>
      <c r="Y18" s="273"/>
      <c r="Z18" s="274"/>
      <c r="AB18" s="275"/>
      <c r="AC18" s="243" t="s">
        <v>51</v>
      </c>
      <c r="AD18" s="243"/>
      <c r="AE18" s="243"/>
      <c r="AF18" s="276">
        <f>賃金集計表!K11</f>
        <v>5000</v>
      </c>
      <c r="AG18" s="288"/>
      <c r="AH18" s="288"/>
      <c r="AI18" s="289"/>
    </row>
    <row r="19" spans="1:35" ht="15" customHeight="1" x14ac:dyDescent="0.15">
      <c r="A19" s="259"/>
      <c r="B19" s="254" t="s">
        <v>52</v>
      </c>
      <c r="C19" s="254"/>
      <c r="D19" s="254"/>
      <c r="E19" s="276"/>
      <c r="F19" s="288"/>
      <c r="G19" s="288"/>
      <c r="H19" s="289"/>
      <c r="J19" s="275"/>
      <c r="K19" s="243" t="s">
        <v>52</v>
      </c>
      <c r="L19" s="243"/>
      <c r="M19" s="243"/>
      <c r="N19" s="272"/>
      <c r="O19" s="273"/>
      <c r="P19" s="273"/>
      <c r="Q19" s="274"/>
      <c r="S19" s="275"/>
      <c r="T19" s="243" t="s">
        <v>52</v>
      </c>
      <c r="U19" s="243"/>
      <c r="V19" s="243"/>
      <c r="W19" s="272"/>
      <c r="X19" s="273"/>
      <c r="Y19" s="273"/>
      <c r="Z19" s="274"/>
      <c r="AB19" s="275"/>
      <c r="AC19" s="243" t="s">
        <v>52</v>
      </c>
      <c r="AD19" s="243"/>
      <c r="AE19" s="243"/>
      <c r="AF19" s="276"/>
      <c r="AG19" s="288"/>
      <c r="AH19" s="288"/>
      <c r="AI19" s="289"/>
    </row>
    <row r="20" spans="1:35" ht="15" customHeight="1" x14ac:dyDescent="0.15">
      <c r="A20" s="259"/>
      <c r="B20" s="254" t="s">
        <v>53</v>
      </c>
      <c r="C20" s="254"/>
      <c r="D20" s="254"/>
      <c r="E20" s="276">
        <f>賃金集計表!M5</f>
        <v>10000</v>
      </c>
      <c r="F20" s="288"/>
      <c r="G20" s="288"/>
      <c r="H20" s="289"/>
      <c r="J20" s="275"/>
      <c r="K20" s="243" t="s">
        <v>53</v>
      </c>
      <c r="L20" s="243"/>
      <c r="M20" s="243"/>
      <c r="N20" s="272"/>
      <c r="O20" s="273"/>
      <c r="P20" s="273"/>
      <c r="Q20" s="274"/>
      <c r="S20" s="275"/>
      <c r="T20" s="243" t="s">
        <v>53</v>
      </c>
      <c r="U20" s="243"/>
      <c r="V20" s="243"/>
      <c r="W20" s="276">
        <f>賃金集計表!M10</f>
        <v>0</v>
      </c>
      <c r="X20" s="273"/>
      <c r="Y20" s="273"/>
      <c r="Z20" s="274"/>
      <c r="AB20" s="275"/>
      <c r="AC20" s="243" t="s">
        <v>53</v>
      </c>
      <c r="AD20" s="243"/>
      <c r="AE20" s="243"/>
      <c r="AF20" s="276"/>
      <c r="AG20" s="288"/>
      <c r="AH20" s="288"/>
      <c r="AI20" s="289"/>
    </row>
    <row r="21" spans="1:35" ht="15" customHeight="1" x14ac:dyDescent="0.15">
      <c r="A21" s="259"/>
      <c r="B21" s="254"/>
      <c r="C21" s="254"/>
      <c r="D21" s="254"/>
      <c r="E21" s="255"/>
      <c r="F21" s="285"/>
      <c r="G21" s="285"/>
      <c r="H21" s="286"/>
      <c r="J21" s="275"/>
      <c r="K21" s="243"/>
      <c r="L21" s="243"/>
      <c r="M21" s="243"/>
      <c r="N21" s="258"/>
      <c r="O21" s="256"/>
      <c r="P21" s="256"/>
      <c r="Q21" s="257"/>
      <c r="S21" s="275"/>
      <c r="T21" s="243"/>
      <c r="U21" s="243"/>
      <c r="V21" s="243"/>
      <c r="W21" s="258"/>
      <c r="X21" s="256"/>
      <c r="Y21" s="256"/>
      <c r="Z21" s="257"/>
      <c r="AB21" s="275"/>
      <c r="AC21" s="243"/>
      <c r="AD21" s="243"/>
      <c r="AE21" s="243"/>
      <c r="AF21" s="255"/>
      <c r="AG21" s="285"/>
      <c r="AH21" s="285"/>
      <c r="AI21" s="286"/>
    </row>
    <row r="22" spans="1:35" ht="15" customHeight="1" x14ac:dyDescent="0.15">
      <c r="A22" s="253" t="s">
        <v>54</v>
      </c>
      <c r="B22" s="254"/>
      <c r="C22" s="254"/>
      <c r="D22" s="254"/>
      <c r="E22" s="255">
        <f>賃金集計表!O5</f>
        <v>290000</v>
      </c>
      <c r="F22" s="285"/>
      <c r="G22" s="285"/>
      <c r="H22" s="286"/>
      <c r="J22" s="247" t="s">
        <v>54</v>
      </c>
      <c r="K22" s="243"/>
      <c r="L22" s="243"/>
      <c r="M22" s="243"/>
      <c r="N22" s="255">
        <f>賃金集計表!O6</f>
        <v>200000</v>
      </c>
      <c r="O22" s="256"/>
      <c r="P22" s="256"/>
      <c r="Q22" s="257"/>
      <c r="S22" s="247" t="s">
        <v>54</v>
      </c>
      <c r="T22" s="243"/>
      <c r="U22" s="243"/>
      <c r="V22" s="243"/>
      <c r="W22" s="255">
        <f>賃金集計表!O10</f>
        <v>144000</v>
      </c>
      <c r="X22" s="256"/>
      <c r="Y22" s="256"/>
      <c r="Z22" s="257"/>
      <c r="AB22" s="247" t="s">
        <v>54</v>
      </c>
      <c r="AC22" s="243"/>
      <c r="AD22" s="243"/>
      <c r="AE22" s="243"/>
      <c r="AF22" s="255">
        <f>賃金集計表!O11</f>
        <v>99680.000000000015</v>
      </c>
      <c r="AG22" s="285"/>
      <c r="AH22" s="285"/>
      <c r="AI22" s="286"/>
    </row>
    <row r="23" spans="1:35" ht="15" customHeight="1" x14ac:dyDescent="0.15">
      <c r="A23" s="259" t="s">
        <v>29</v>
      </c>
      <c r="B23" s="254" t="s">
        <v>55</v>
      </c>
      <c r="C23" s="254"/>
      <c r="D23" s="254"/>
      <c r="E23" s="255">
        <f>賃金集計表!P5</f>
        <v>14042</v>
      </c>
      <c r="F23" s="285"/>
      <c r="G23" s="285"/>
      <c r="H23" s="286"/>
      <c r="J23" s="259" t="s">
        <v>29</v>
      </c>
      <c r="K23" s="243" t="s">
        <v>55</v>
      </c>
      <c r="L23" s="243"/>
      <c r="M23" s="243"/>
      <c r="N23" s="258"/>
      <c r="O23" s="256"/>
      <c r="P23" s="256"/>
      <c r="Q23" s="257"/>
      <c r="S23" s="259" t="s">
        <v>29</v>
      </c>
      <c r="T23" s="243" t="s">
        <v>55</v>
      </c>
      <c r="U23" s="243"/>
      <c r="V23" s="243"/>
      <c r="W23" s="258"/>
      <c r="X23" s="256"/>
      <c r="Y23" s="256"/>
      <c r="Z23" s="257"/>
      <c r="AB23" s="259" t="s">
        <v>29</v>
      </c>
      <c r="AC23" s="243" t="s">
        <v>55</v>
      </c>
      <c r="AD23" s="243"/>
      <c r="AE23" s="243"/>
      <c r="AF23" s="255"/>
      <c r="AG23" s="285"/>
      <c r="AH23" s="285"/>
      <c r="AI23" s="286"/>
    </row>
    <row r="24" spans="1:35" ht="15" customHeight="1" x14ac:dyDescent="0.15">
      <c r="A24" s="259"/>
      <c r="B24" s="254" t="s">
        <v>24</v>
      </c>
      <c r="C24" s="254"/>
      <c r="D24" s="254"/>
      <c r="E24" s="255">
        <f>賃金集計表!Q5</f>
        <v>24464</v>
      </c>
      <c r="F24" s="285"/>
      <c r="G24" s="285"/>
      <c r="H24" s="286"/>
      <c r="J24" s="259"/>
      <c r="K24" s="243" t="s">
        <v>24</v>
      </c>
      <c r="L24" s="243"/>
      <c r="M24" s="243"/>
      <c r="N24" s="258"/>
      <c r="O24" s="256"/>
      <c r="P24" s="256"/>
      <c r="Q24" s="257"/>
      <c r="S24" s="259"/>
      <c r="T24" s="243" t="s">
        <v>24</v>
      </c>
      <c r="U24" s="243"/>
      <c r="V24" s="243"/>
      <c r="W24" s="258"/>
      <c r="X24" s="256"/>
      <c r="Y24" s="256"/>
      <c r="Z24" s="257"/>
      <c r="AB24" s="259"/>
      <c r="AC24" s="243" t="s">
        <v>24</v>
      </c>
      <c r="AD24" s="243"/>
      <c r="AE24" s="243"/>
      <c r="AF24" s="255"/>
      <c r="AG24" s="285"/>
      <c r="AH24" s="285"/>
      <c r="AI24" s="286"/>
    </row>
    <row r="25" spans="1:35" ht="15" customHeight="1" x14ac:dyDescent="0.15">
      <c r="A25" s="259"/>
      <c r="B25" s="254" t="s">
        <v>56</v>
      </c>
      <c r="C25" s="254"/>
      <c r="D25" s="254"/>
      <c r="E25" s="255">
        <f>賃金集計表!R5</f>
        <v>1450</v>
      </c>
      <c r="F25" s="285"/>
      <c r="G25" s="285"/>
      <c r="H25" s="286"/>
      <c r="J25" s="259"/>
      <c r="K25" s="243" t="s">
        <v>56</v>
      </c>
      <c r="L25" s="243"/>
      <c r="M25" s="243"/>
      <c r="N25" s="258"/>
      <c r="O25" s="256"/>
      <c r="P25" s="256"/>
      <c r="Q25" s="257"/>
      <c r="S25" s="259"/>
      <c r="T25" s="243" t="s">
        <v>56</v>
      </c>
      <c r="U25" s="243"/>
      <c r="V25" s="243"/>
      <c r="W25" s="258"/>
      <c r="X25" s="256"/>
      <c r="Y25" s="256"/>
      <c r="Z25" s="257"/>
      <c r="AB25" s="259"/>
      <c r="AC25" s="243" t="s">
        <v>56</v>
      </c>
      <c r="AD25" s="243"/>
      <c r="AE25" s="243"/>
      <c r="AF25" s="255"/>
      <c r="AG25" s="285"/>
      <c r="AH25" s="285"/>
      <c r="AI25" s="286"/>
    </row>
    <row r="26" spans="1:35" ht="15" customHeight="1" x14ac:dyDescent="0.15">
      <c r="A26" s="259"/>
      <c r="B26" s="254" t="s">
        <v>27</v>
      </c>
      <c r="C26" s="254"/>
      <c r="D26" s="254"/>
      <c r="E26" s="255">
        <f>賃金集計表!S5</f>
        <v>4920</v>
      </c>
      <c r="F26" s="285"/>
      <c r="G26" s="285"/>
      <c r="H26" s="286"/>
      <c r="J26" s="259"/>
      <c r="K26" s="243" t="s">
        <v>27</v>
      </c>
      <c r="L26" s="243"/>
      <c r="M26" s="243"/>
      <c r="N26" s="255">
        <f>賃金集計表!S6</f>
        <v>3140</v>
      </c>
      <c r="O26" s="256"/>
      <c r="P26" s="256"/>
      <c r="Q26" s="257"/>
      <c r="S26" s="259"/>
      <c r="T26" s="243" t="s">
        <v>27</v>
      </c>
      <c r="U26" s="243"/>
      <c r="V26" s="243"/>
      <c r="W26" s="255">
        <f>賃金集計表!S10</f>
        <v>1850</v>
      </c>
      <c r="X26" s="256"/>
      <c r="Y26" s="256"/>
      <c r="Z26" s="257"/>
      <c r="AB26" s="259"/>
      <c r="AC26" s="243" t="s">
        <v>27</v>
      </c>
      <c r="AD26" s="243"/>
      <c r="AE26" s="243"/>
      <c r="AF26" s="255"/>
      <c r="AG26" s="285"/>
      <c r="AH26" s="285"/>
      <c r="AI26" s="286"/>
    </row>
    <row r="27" spans="1:35" ht="15" customHeight="1" x14ac:dyDescent="0.15">
      <c r="A27" s="259"/>
      <c r="B27" s="254" t="s">
        <v>26</v>
      </c>
      <c r="C27" s="254"/>
      <c r="D27" s="254"/>
      <c r="E27" s="255">
        <f>賃金集計表!T5</f>
        <v>0</v>
      </c>
      <c r="F27" s="285"/>
      <c r="G27" s="285"/>
      <c r="H27" s="286"/>
      <c r="J27" s="259"/>
      <c r="K27" s="243" t="s">
        <v>26</v>
      </c>
      <c r="L27" s="243"/>
      <c r="M27" s="243"/>
      <c r="N27" s="258"/>
      <c r="O27" s="256"/>
      <c r="P27" s="256"/>
      <c r="Q27" s="257"/>
      <c r="S27" s="259"/>
      <c r="T27" s="243" t="s">
        <v>26</v>
      </c>
      <c r="U27" s="243"/>
      <c r="V27" s="243"/>
      <c r="W27" s="258"/>
      <c r="X27" s="256"/>
      <c r="Y27" s="256"/>
      <c r="Z27" s="257"/>
      <c r="AB27" s="259"/>
      <c r="AC27" s="243" t="s">
        <v>26</v>
      </c>
      <c r="AD27" s="243"/>
      <c r="AE27" s="243"/>
      <c r="AF27" s="255"/>
      <c r="AG27" s="285"/>
      <c r="AH27" s="285"/>
      <c r="AI27" s="286"/>
    </row>
    <row r="28" spans="1:35" ht="15" customHeight="1" x14ac:dyDescent="0.15">
      <c r="A28" s="259"/>
      <c r="B28" s="254"/>
      <c r="C28" s="254"/>
      <c r="D28" s="254"/>
      <c r="E28" s="255"/>
      <c r="F28" s="285"/>
      <c r="G28" s="285"/>
      <c r="H28" s="286"/>
      <c r="J28" s="259"/>
      <c r="K28" s="243"/>
      <c r="L28" s="243"/>
      <c r="M28" s="243"/>
      <c r="N28" s="258"/>
      <c r="O28" s="256"/>
      <c r="P28" s="256"/>
      <c r="Q28" s="257"/>
      <c r="S28" s="259"/>
      <c r="T28" s="243"/>
      <c r="U28" s="243"/>
      <c r="V28" s="243"/>
      <c r="W28" s="258"/>
      <c r="X28" s="256"/>
      <c r="Y28" s="256"/>
      <c r="Z28" s="257"/>
      <c r="AB28" s="259"/>
      <c r="AC28" s="243"/>
      <c r="AD28" s="243"/>
      <c r="AE28" s="243"/>
      <c r="AF28" s="255"/>
      <c r="AG28" s="285"/>
      <c r="AH28" s="285"/>
      <c r="AI28" s="286"/>
    </row>
    <row r="29" spans="1:35" ht="15" customHeight="1" x14ac:dyDescent="0.15">
      <c r="A29" s="259"/>
      <c r="B29" s="254"/>
      <c r="C29" s="254"/>
      <c r="D29" s="254"/>
      <c r="E29" s="255"/>
      <c r="F29" s="285"/>
      <c r="G29" s="285"/>
      <c r="H29" s="286"/>
      <c r="J29" s="259"/>
      <c r="K29" s="243"/>
      <c r="L29" s="243"/>
      <c r="M29" s="243"/>
      <c r="N29" s="258"/>
      <c r="O29" s="256"/>
      <c r="P29" s="256"/>
      <c r="Q29" s="257"/>
      <c r="S29" s="259"/>
      <c r="T29" s="243" t="s">
        <v>81</v>
      </c>
      <c r="U29" s="243"/>
      <c r="V29" s="243"/>
      <c r="W29" s="255">
        <f>賃金集計表!V10</f>
        <v>2800</v>
      </c>
      <c r="X29" s="256"/>
      <c r="Y29" s="256"/>
      <c r="Z29" s="257"/>
      <c r="AB29" s="259"/>
      <c r="AC29" s="243" t="s">
        <v>81</v>
      </c>
      <c r="AD29" s="243"/>
      <c r="AE29" s="243"/>
      <c r="AF29" s="255">
        <f>賃金集計表!V11</f>
        <v>350</v>
      </c>
      <c r="AG29" s="285"/>
      <c r="AH29" s="285"/>
      <c r="AI29" s="286"/>
    </row>
    <row r="30" spans="1:35" ht="15" customHeight="1" x14ac:dyDescent="0.15">
      <c r="A30" s="259"/>
      <c r="B30" s="254" t="s">
        <v>54</v>
      </c>
      <c r="C30" s="254"/>
      <c r="D30" s="254"/>
      <c r="E30" s="255">
        <f>賃金集計表!W5</f>
        <v>44876</v>
      </c>
      <c r="F30" s="285"/>
      <c r="G30" s="285"/>
      <c r="H30" s="286"/>
      <c r="J30" s="259"/>
      <c r="K30" s="243" t="s">
        <v>54</v>
      </c>
      <c r="L30" s="243"/>
      <c r="M30" s="243"/>
      <c r="N30" s="255">
        <f>賃金集計表!W6</f>
        <v>53140</v>
      </c>
      <c r="O30" s="256"/>
      <c r="P30" s="256"/>
      <c r="Q30" s="257"/>
      <c r="S30" s="259"/>
      <c r="T30" s="243" t="s">
        <v>54</v>
      </c>
      <c r="U30" s="243"/>
      <c r="V30" s="243"/>
      <c r="W30" s="255">
        <f>賃金集計表!W10</f>
        <v>27184</v>
      </c>
      <c r="X30" s="256"/>
      <c r="Y30" s="256"/>
      <c r="Z30" s="257"/>
      <c r="AB30" s="259"/>
      <c r="AC30" s="243" t="s">
        <v>54</v>
      </c>
      <c r="AD30" s="243"/>
      <c r="AE30" s="243"/>
      <c r="AF30" s="255">
        <f>賃金集計表!W11</f>
        <v>1070</v>
      </c>
      <c r="AG30" s="285"/>
      <c r="AH30" s="285"/>
      <c r="AI30" s="286"/>
    </row>
    <row r="31" spans="1:35" ht="15" customHeight="1" x14ac:dyDescent="0.15">
      <c r="A31" s="253" t="s">
        <v>57</v>
      </c>
      <c r="B31" s="254"/>
      <c r="C31" s="254"/>
      <c r="D31" s="254"/>
      <c r="E31" s="255">
        <f>賃金集計表!X5</f>
        <v>245124</v>
      </c>
      <c r="F31" s="285"/>
      <c r="G31" s="285"/>
      <c r="H31" s="286"/>
      <c r="J31" s="247" t="s">
        <v>57</v>
      </c>
      <c r="K31" s="243"/>
      <c r="L31" s="243"/>
      <c r="M31" s="243"/>
      <c r="N31" s="255">
        <f>賃金集計表!X6</f>
        <v>146860</v>
      </c>
      <c r="O31" s="256"/>
      <c r="P31" s="256"/>
      <c r="Q31" s="257"/>
      <c r="S31" s="247" t="s">
        <v>57</v>
      </c>
      <c r="T31" s="243"/>
      <c r="U31" s="243"/>
      <c r="V31" s="243"/>
      <c r="W31" s="255">
        <f>賃金集計表!X10</f>
        <v>116816</v>
      </c>
      <c r="X31" s="256"/>
      <c r="Y31" s="256"/>
      <c r="Z31" s="257"/>
      <c r="AB31" s="247" t="s">
        <v>57</v>
      </c>
      <c r="AC31" s="243"/>
      <c r="AD31" s="243"/>
      <c r="AE31" s="243"/>
      <c r="AF31" s="255">
        <f>賃金集計表!X11</f>
        <v>98610.000000000015</v>
      </c>
      <c r="AG31" s="285"/>
      <c r="AH31" s="285"/>
      <c r="AI31" s="286"/>
    </row>
    <row r="32" spans="1:35" ht="15" customHeight="1" x14ac:dyDescent="0.15">
      <c r="A32" s="262" t="s">
        <v>58</v>
      </c>
      <c r="B32" s="263"/>
      <c r="C32" s="263"/>
      <c r="D32" s="61"/>
      <c r="E32" s="62"/>
      <c r="F32" s="62"/>
      <c r="G32" s="264" t="s">
        <v>62</v>
      </c>
      <c r="H32" s="265"/>
      <c r="J32" s="262" t="s">
        <v>58</v>
      </c>
      <c r="K32" s="263"/>
      <c r="L32" s="263"/>
      <c r="M32" s="61"/>
      <c r="N32" s="62"/>
      <c r="O32" s="62"/>
      <c r="P32" s="264" t="s">
        <v>62</v>
      </c>
      <c r="Q32" s="265"/>
      <c r="S32" s="262" t="s">
        <v>58</v>
      </c>
      <c r="T32" s="263"/>
      <c r="U32" s="263"/>
      <c r="V32" s="61"/>
      <c r="W32" s="62"/>
      <c r="X32" s="62"/>
      <c r="Y32" s="264" t="s">
        <v>62</v>
      </c>
      <c r="Z32" s="265"/>
      <c r="AB32" s="262" t="s">
        <v>58</v>
      </c>
      <c r="AC32" s="263"/>
      <c r="AD32" s="263"/>
      <c r="AE32" s="61"/>
      <c r="AF32" s="62"/>
      <c r="AG32" s="62"/>
      <c r="AH32" s="264" t="s">
        <v>62</v>
      </c>
      <c r="AI32" s="265"/>
    </row>
    <row r="33" spans="1:35" ht="18" customHeight="1" x14ac:dyDescent="0.15">
      <c r="A33" s="270" t="s">
        <v>31</v>
      </c>
      <c r="B33" s="271"/>
      <c r="C33" s="271"/>
      <c r="D33" s="271"/>
      <c r="E33" s="271"/>
      <c r="F33" s="271"/>
      <c r="G33" s="266"/>
      <c r="H33" s="267"/>
      <c r="J33" s="270" t="s">
        <v>31</v>
      </c>
      <c r="K33" s="271"/>
      <c r="L33" s="271"/>
      <c r="M33" s="271"/>
      <c r="N33" s="271"/>
      <c r="O33" s="271"/>
      <c r="P33" s="266"/>
      <c r="Q33" s="267"/>
      <c r="S33" s="270" t="s">
        <v>31</v>
      </c>
      <c r="T33" s="271"/>
      <c r="U33" s="271"/>
      <c r="V33" s="271"/>
      <c r="W33" s="271"/>
      <c r="X33" s="271"/>
      <c r="Y33" s="266"/>
      <c r="Z33" s="267"/>
      <c r="AB33" s="270" t="s">
        <v>31</v>
      </c>
      <c r="AC33" s="271"/>
      <c r="AD33" s="271"/>
      <c r="AE33" s="271"/>
      <c r="AF33" s="271"/>
      <c r="AG33" s="271"/>
      <c r="AH33" s="266"/>
      <c r="AI33" s="267"/>
    </row>
    <row r="34" spans="1:35" ht="22.5" customHeight="1" thickBot="1" x14ac:dyDescent="0.2">
      <c r="A34" s="260" t="s">
        <v>63</v>
      </c>
      <c r="B34" s="261"/>
      <c r="C34" s="261"/>
      <c r="D34" s="261"/>
      <c r="E34" s="261"/>
      <c r="F34" s="261"/>
      <c r="G34" s="268"/>
      <c r="H34" s="269"/>
      <c r="J34" s="260" t="s">
        <v>63</v>
      </c>
      <c r="K34" s="261"/>
      <c r="L34" s="261"/>
      <c r="M34" s="261"/>
      <c r="N34" s="261"/>
      <c r="O34" s="261"/>
      <c r="P34" s="268"/>
      <c r="Q34" s="269"/>
      <c r="S34" s="260" t="s">
        <v>63</v>
      </c>
      <c r="T34" s="261"/>
      <c r="U34" s="261"/>
      <c r="V34" s="261"/>
      <c r="W34" s="261"/>
      <c r="X34" s="261"/>
      <c r="Y34" s="268"/>
      <c r="Z34" s="269"/>
      <c r="AB34" s="260" t="s">
        <v>63</v>
      </c>
      <c r="AC34" s="261"/>
      <c r="AD34" s="261"/>
      <c r="AE34" s="261"/>
      <c r="AF34" s="261"/>
      <c r="AG34" s="261"/>
      <c r="AH34" s="268"/>
      <c r="AI34" s="269"/>
    </row>
    <row r="35" spans="1:35" ht="28.5" customHeight="1" thickTop="1" x14ac:dyDescent="0.15">
      <c r="A35" s="287" t="s">
        <v>34</v>
      </c>
      <c r="B35" s="287"/>
      <c r="C35" s="287"/>
      <c r="D35" s="287"/>
      <c r="E35" s="287"/>
      <c r="F35" s="287"/>
      <c r="G35" s="287"/>
      <c r="H35" s="287"/>
      <c r="J35" s="287" t="s">
        <v>34</v>
      </c>
      <c r="K35" s="287"/>
      <c r="L35" s="287"/>
      <c r="M35" s="287"/>
      <c r="N35" s="287"/>
      <c r="O35" s="287"/>
      <c r="P35" s="287"/>
      <c r="Q35" s="287"/>
      <c r="S35" s="287" t="s">
        <v>34</v>
      </c>
      <c r="T35" s="287"/>
      <c r="U35" s="287"/>
      <c r="V35" s="287"/>
      <c r="W35" s="287"/>
      <c r="X35" s="287"/>
      <c r="Y35" s="287"/>
      <c r="Z35" s="287"/>
      <c r="AB35" s="287" t="s">
        <v>34</v>
      </c>
      <c r="AC35" s="287"/>
      <c r="AD35" s="287"/>
      <c r="AE35" s="287"/>
      <c r="AF35" s="287"/>
      <c r="AG35" s="287"/>
      <c r="AH35" s="287"/>
      <c r="AI35" s="287"/>
    </row>
    <row r="36" spans="1:35" ht="8.25" customHeight="1" x14ac:dyDescent="0.15">
      <c r="A36" s="51"/>
      <c r="B36" s="51"/>
      <c r="C36" s="51"/>
      <c r="D36" s="51"/>
      <c r="E36" s="51"/>
      <c r="F36" s="51"/>
      <c r="G36" s="51"/>
      <c r="H36" s="51"/>
      <c r="J36" s="51"/>
      <c r="K36" s="51"/>
      <c r="L36" s="51"/>
      <c r="M36" s="51"/>
      <c r="N36" s="51"/>
      <c r="O36" s="51"/>
      <c r="P36" s="51"/>
      <c r="Q36" s="51"/>
      <c r="S36" s="51"/>
      <c r="T36" s="51"/>
      <c r="U36" s="51"/>
      <c r="V36" s="51"/>
      <c r="W36" s="51"/>
      <c r="X36" s="51"/>
      <c r="Y36" s="51"/>
      <c r="Z36" s="51"/>
      <c r="AB36" s="51"/>
      <c r="AC36" s="51"/>
      <c r="AD36" s="51"/>
      <c r="AE36" s="51"/>
      <c r="AF36" s="51"/>
      <c r="AG36" s="51"/>
      <c r="AH36" s="51"/>
      <c r="AI36" s="51"/>
    </row>
    <row r="37" spans="1:35" ht="23.25" customHeight="1" x14ac:dyDescent="0.15">
      <c r="A37" s="51"/>
      <c r="B37" s="51"/>
      <c r="C37" s="63" t="s">
        <v>35</v>
      </c>
      <c r="D37" s="51">
        <v>27</v>
      </c>
      <c r="E37" s="51" t="s">
        <v>36</v>
      </c>
      <c r="F37" s="51">
        <v>5</v>
      </c>
      <c r="G37" s="64" t="s">
        <v>37</v>
      </c>
      <c r="H37" s="51"/>
      <c r="J37" s="51"/>
      <c r="K37" s="51"/>
      <c r="L37" s="51" t="s">
        <v>35</v>
      </c>
      <c r="M37" s="51"/>
      <c r="N37" s="51" t="s">
        <v>36</v>
      </c>
      <c r="O37" s="51"/>
      <c r="P37" s="51" t="s">
        <v>37</v>
      </c>
      <c r="Q37" s="51"/>
      <c r="S37" s="51"/>
      <c r="T37" s="51"/>
      <c r="U37" s="51" t="s">
        <v>35</v>
      </c>
      <c r="V37" s="51"/>
      <c r="W37" s="51" t="s">
        <v>36</v>
      </c>
      <c r="X37" s="51"/>
      <c r="Y37" s="51" t="s">
        <v>37</v>
      </c>
      <c r="Z37" s="51"/>
      <c r="AB37" s="51"/>
      <c r="AC37" s="51"/>
      <c r="AD37" s="51" t="s">
        <v>35</v>
      </c>
      <c r="AE37" s="51"/>
      <c r="AF37" s="51" t="s">
        <v>36</v>
      </c>
      <c r="AG37" s="51"/>
      <c r="AH37" s="51" t="s">
        <v>37</v>
      </c>
      <c r="AI37" s="51"/>
    </row>
    <row r="38" spans="1:35" ht="20.25" customHeight="1" x14ac:dyDescent="0.15">
      <c r="A38" s="52" t="s">
        <v>38</v>
      </c>
      <c r="B38" s="52" t="s">
        <v>39</v>
      </c>
      <c r="C38" s="52" t="s">
        <v>40</v>
      </c>
      <c r="D38" s="52"/>
      <c r="E38" s="52"/>
      <c r="F38" s="51"/>
      <c r="G38" s="51"/>
      <c r="H38" s="51"/>
      <c r="J38" s="52" t="s">
        <v>38</v>
      </c>
      <c r="K38" s="52" t="s">
        <v>39</v>
      </c>
      <c r="L38" s="52" t="s">
        <v>40</v>
      </c>
      <c r="M38" s="52"/>
      <c r="N38" s="52"/>
      <c r="O38" s="51"/>
      <c r="P38" s="51"/>
      <c r="Q38" s="51"/>
      <c r="S38" s="52" t="s">
        <v>38</v>
      </c>
      <c r="T38" s="52" t="s">
        <v>39</v>
      </c>
      <c r="U38" s="52" t="s">
        <v>40</v>
      </c>
      <c r="V38" s="52"/>
      <c r="W38" s="52"/>
      <c r="X38" s="51"/>
      <c r="Y38" s="51"/>
      <c r="Z38" s="51"/>
      <c r="AB38" s="52" t="s">
        <v>38</v>
      </c>
      <c r="AC38" s="52" t="s">
        <v>39</v>
      </c>
      <c r="AD38" s="52" t="s">
        <v>40</v>
      </c>
      <c r="AE38" s="52"/>
      <c r="AF38" s="52"/>
      <c r="AG38" s="51"/>
      <c r="AH38" s="51"/>
      <c r="AI38" s="51"/>
    </row>
    <row r="39" spans="1:35" x14ac:dyDescent="0.15">
      <c r="A39" s="280">
        <f>賃金集計表!A12</f>
        <v>0</v>
      </c>
      <c r="B39" s="280"/>
      <c r="C39" s="280"/>
      <c r="D39" s="280"/>
      <c r="E39" s="280"/>
      <c r="F39" s="280"/>
      <c r="G39" s="280"/>
      <c r="H39" s="53"/>
      <c r="J39" s="282"/>
      <c r="K39" s="282"/>
      <c r="L39" s="282"/>
      <c r="M39" s="282"/>
      <c r="N39" s="282"/>
      <c r="O39" s="282"/>
      <c r="P39" s="282"/>
      <c r="Q39" s="53"/>
      <c r="S39" s="282"/>
      <c r="T39" s="282"/>
      <c r="U39" s="282"/>
      <c r="V39" s="282"/>
      <c r="W39" s="282"/>
      <c r="X39" s="282"/>
      <c r="Y39" s="282"/>
      <c r="Z39" s="53"/>
      <c r="AB39" s="282"/>
      <c r="AC39" s="282"/>
      <c r="AD39" s="282"/>
      <c r="AE39" s="282"/>
      <c r="AF39" s="282"/>
      <c r="AG39" s="282"/>
      <c r="AH39" s="282"/>
      <c r="AI39" s="53"/>
    </row>
    <row r="40" spans="1:35" x14ac:dyDescent="0.15">
      <c r="A40" s="281"/>
      <c r="B40" s="281"/>
      <c r="C40" s="281"/>
      <c r="D40" s="281"/>
      <c r="E40" s="281"/>
      <c r="F40" s="281"/>
      <c r="G40" s="281"/>
      <c r="H40" s="52" t="s">
        <v>41</v>
      </c>
      <c r="J40" s="245"/>
      <c r="K40" s="245"/>
      <c r="L40" s="245"/>
      <c r="M40" s="245"/>
      <c r="N40" s="245"/>
      <c r="O40" s="245"/>
      <c r="P40" s="245"/>
      <c r="Q40" s="52" t="s">
        <v>41</v>
      </c>
      <c r="S40" s="245"/>
      <c r="T40" s="245"/>
      <c r="U40" s="245"/>
      <c r="V40" s="245"/>
      <c r="W40" s="245"/>
      <c r="X40" s="245"/>
      <c r="Y40" s="245"/>
      <c r="Z40" s="52" t="s">
        <v>41</v>
      </c>
      <c r="AB40" s="245"/>
      <c r="AC40" s="245"/>
      <c r="AD40" s="245"/>
      <c r="AE40" s="245"/>
      <c r="AF40" s="245"/>
      <c r="AG40" s="245"/>
      <c r="AH40" s="245"/>
      <c r="AI40" s="52" t="s">
        <v>41</v>
      </c>
    </row>
    <row r="41" spans="1:35" ht="6" customHeight="1" thickBot="1" x14ac:dyDescent="0.2">
      <c r="A41" s="51"/>
      <c r="B41" s="51"/>
      <c r="C41" s="51"/>
      <c r="D41" s="51"/>
      <c r="E41" s="51"/>
      <c r="F41" s="51"/>
      <c r="G41" s="51"/>
      <c r="H41" s="51"/>
      <c r="J41" s="51"/>
      <c r="K41" s="51"/>
      <c r="L41" s="51"/>
      <c r="M41" s="51"/>
      <c r="N41" s="51"/>
      <c r="O41" s="51"/>
      <c r="P41" s="51"/>
      <c r="Q41" s="51"/>
      <c r="S41" s="51"/>
      <c r="T41" s="51"/>
      <c r="U41" s="51"/>
      <c r="V41" s="51"/>
      <c r="W41" s="51"/>
      <c r="X41" s="51"/>
      <c r="Y41" s="51"/>
      <c r="Z41" s="51"/>
      <c r="AB41" s="51"/>
      <c r="AC41" s="51"/>
      <c r="AD41" s="51"/>
      <c r="AE41" s="51"/>
      <c r="AF41" s="51"/>
      <c r="AG41" s="51"/>
      <c r="AH41" s="51"/>
      <c r="AI41" s="51"/>
    </row>
    <row r="42" spans="1:35" ht="15" customHeight="1" thickTop="1" x14ac:dyDescent="0.15">
      <c r="A42" s="283" t="s">
        <v>42</v>
      </c>
      <c r="B42" s="284"/>
      <c r="C42" s="284"/>
      <c r="D42" s="284"/>
      <c r="E42" s="277" t="s">
        <v>114</v>
      </c>
      <c r="F42" s="278"/>
      <c r="G42" s="278"/>
      <c r="H42" s="279"/>
      <c r="J42" s="251" t="s">
        <v>42</v>
      </c>
      <c r="K42" s="252"/>
      <c r="L42" s="252"/>
      <c r="M42" s="252"/>
      <c r="N42" s="277" t="s">
        <v>114</v>
      </c>
      <c r="O42" s="278"/>
      <c r="P42" s="278"/>
      <c r="Q42" s="279"/>
      <c r="S42" s="251" t="s">
        <v>42</v>
      </c>
      <c r="T42" s="252"/>
      <c r="U42" s="252"/>
      <c r="V42" s="252"/>
      <c r="W42" s="277" t="s">
        <v>114</v>
      </c>
      <c r="X42" s="278"/>
      <c r="Y42" s="278"/>
      <c r="Z42" s="279"/>
      <c r="AB42" s="251" t="s">
        <v>42</v>
      </c>
      <c r="AC42" s="252"/>
      <c r="AD42" s="252"/>
      <c r="AE42" s="252"/>
      <c r="AF42" s="277" t="s">
        <v>114</v>
      </c>
      <c r="AG42" s="278"/>
      <c r="AH42" s="278"/>
      <c r="AI42" s="279"/>
    </row>
    <row r="43" spans="1:35" ht="15" customHeight="1" x14ac:dyDescent="0.15">
      <c r="A43" s="253" t="s">
        <v>59</v>
      </c>
      <c r="B43" s="254"/>
      <c r="C43" s="254"/>
      <c r="D43" s="254"/>
      <c r="E43" s="54"/>
      <c r="F43" s="55"/>
      <c r="G43" s="55"/>
      <c r="H43" s="56" t="s">
        <v>8</v>
      </c>
      <c r="J43" s="247" t="s">
        <v>59</v>
      </c>
      <c r="K43" s="243"/>
      <c r="L43" s="243"/>
      <c r="M43" s="243"/>
      <c r="N43" s="54"/>
      <c r="O43" s="55"/>
      <c r="P43" s="55"/>
      <c r="Q43" s="56" t="s">
        <v>8</v>
      </c>
      <c r="S43" s="247" t="s">
        <v>59</v>
      </c>
      <c r="T43" s="243"/>
      <c r="U43" s="243"/>
      <c r="V43" s="243"/>
      <c r="W43" s="54"/>
      <c r="X43" s="55"/>
      <c r="Y43" s="55"/>
      <c r="Z43" s="56" t="s">
        <v>8</v>
      </c>
      <c r="AB43" s="247" t="s">
        <v>59</v>
      </c>
      <c r="AC43" s="243"/>
      <c r="AD43" s="243"/>
      <c r="AE43" s="243"/>
      <c r="AF43" s="54"/>
      <c r="AG43" s="55"/>
      <c r="AH43" s="55"/>
      <c r="AI43" s="56" t="s">
        <v>8</v>
      </c>
    </row>
    <row r="44" spans="1:35" ht="15" customHeight="1" x14ac:dyDescent="0.15">
      <c r="A44" s="253" t="s">
        <v>43</v>
      </c>
      <c r="B44" s="254"/>
      <c r="C44" s="254"/>
      <c r="D44" s="254"/>
      <c r="E44" s="54"/>
      <c r="F44" s="57" t="s">
        <v>61</v>
      </c>
      <c r="G44" s="54"/>
      <c r="H44" s="56" t="s">
        <v>60</v>
      </c>
      <c r="J44" s="247" t="s">
        <v>43</v>
      </c>
      <c r="K44" s="243"/>
      <c r="L44" s="243"/>
      <c r="M44" s="243"/>
      <c r="N44" s="54"/>
      <c r="O44" s="57" t="s">
        <v>61</v>
      </c>
      <c r="P44" s="54"/>
      <c r="Q44" s="56" t="s">
        <v>60</v>
      </c>
      <c r="S44" s="247" t="s">
        <v>43</v>
      </c>
      <c r="T44" s="243"/>
      <c r="U44" s="243"/>
      <c r="V44" s="243"/>
      <c r="W44" s="54"/>
      <c r="X44" s="57" t="s">
        <v>61</v>
      </c>
      <c r="Y44" s="54"/>
      <c r="Z44" s="56" t="s">
        <v>60</v>
      </c>
      <c r="AB44" s="247" t="s">
        <v>43</v>
      </c>
      <c r="AC44" s="243"/>
      <c r="AD44" s="243"/>
      <c r="AE44" s="243"/>
      <c r="AF44" s="54"/>
      <c r="AG44" s="57" t="s">
        <v>61</v>
      </c>
      <c r="AH44" s="54"/>
      <c r="AI44" s="56" t="s">
        <v>60</v>
      </c>
    </row>
    <row r="45" spans="1:35" ht="15" customHeight="1" x14ac:dyDescent="0.15">
      <c r="A45" s="253" t="s">
        <v>44</v>
      </c>
      <c r="B45" s="254"/>
      <c r="C45" s="254"/>
      <c r="D45" s="254"/>
      <c r="E45" s="54"/>
      <c r="F45" s="57" t="s">
        <v>61</v>
      </c>
      <c r="G45" s="54"/>
      <c r="H45" s="56" t="s">
        <v>60</v>
      </c>
      <c r="J45" s="247" t="s">
        <v>44</v>
      </c>
      <c r="K45" s="243"/>
      <c r="L45" s="243"/>
      <c r="M45" s="243"/>
      <c r="N45" s="54"/>
      <c r="O45" s="57" t="s">
        <v>61</v>
      </c>
      <c r="P45" s="54"/>
      <c r="Q45" s="56" t="s">
        <v>60</v>
      </c>
      <c r="S45" s="247" t="s">
        <v>44</v>
      </c>
      <c r="T45" s="243"/>
      <c r="U45" s="243"/>
      <c r="V45" s="243"/>
      <c r="W45" s="54"/>
      <c r="X45" s="57" t="s">
        <v>61</v>
      </c>
      <c r="Y45" s="54"/>
      <c r="Z45" s="56" t="s">
        <v>60</v>
      </c>
      <c r="AB45" s="247" t="s">
        <v>44</v>
      </c>
      <c r="AC45" s="243"/>
      <c r="AD45" s="243"/>
      <c r="AE45" s="243"/>
      <c r="AF45" s="54"/>
      <c r="AG45" s="57" t="s">
        <v>61</v>
      </c>
      <c r="AH45" s="54"/>
      <c r="AI45" s="56" t="s">
        <v>60</v>
      </c>
    </row>
    <row r="46" spans="1:35" ht="15" customHeight="1" x14ac:dyDescent="0.15">
      <c r="A46" s="253" t="s">
        <v>45</v>
      </c>
      <c r="B46" s="254"/>
      <c r="C46" s="254"/>
      <c r="D46" s="254"/>
      <c r="E46" s="54"/>
      <c r="F46" s="57" t="s">
        <v>61</v>
      </c>
      <c r="G46" s="54"/>
      <c r="H46" s="56" t="s">
        <v>60</v>
      </c>
      <c r="J46" s="247" t="s">
        <v>45</v>
      </c>
      <c r="K46" s="243"/>
      <c r="L46" s="243"/>
      <c r="M46" s="243"/>
      <c r="N46" s="54"/>
      <c r="O46" s="57" t="s">
        <v>61</v>
      </c>
      <c r="P46" s="54"/>
      <c r="Q46" s="56" t="s">
        <v>60</v>
      </c>
      <c r="S46" s="247" t="s">
        <v>45</v>
      </c>
      <c r="T46" s="243"/>
      <c r="U46" s="243"/>
      <c r="V46" s="243"/>
      <c r="W46" s="54"/>
      <c r="X46" s="57" t="s">
        <v>61</v>
      </c>
      <c r="Y46" s="54"/>
      <c r="Z46" s="56" t="s">
        <v>60</v>
      </c>
      <c r="AB46" s="247" t="s">
        <v>45</v>
      </c>
      <c r="AC46" s="243"/>
      <c r="AD46" s="243"/>
      <c r="AE46" s="243"/>
      <c r="AF46" s="54"/>
      <c r="AG46" s="57" t="s">
        <v>61</v>
      </c>
      <c r="AH46" s="54"/>
      <c r="AI46" s="56" t="s">
        <v>60</v>
      </c>
    </row>
    <row r="47" spans="1:35" ht="15" customHeight="1" x14ac:dyDescent="0.15">
      <c r="A47" s="253" t="s">
        <v>46</v>
      </c>
      <c r="B47" s="254"/>
      <c r="C47" s="254"/>
      <c r="D47" s="254"/>
      <c r="E47" s="58"/>
      <c r="F47" s="59" t="s">
        <v>61</v>
      </c>
      <c r="G47" s="58"/>
      <c r="H47" s="60" t="s">
        <v>60</v>
      </c>
      <c r="J47" s="247" t="s">
        <v>46</v>
      </c>
      <c r="K47" s="243"/>
      <c r="L47" s="243"/>
      <c r="M47" s="243"/>
      <c r="N47" s="58"/>
      <c r="O47" s="59" t="s">
        <v>61</v>
      </c>
      <c r="P47" s="58"/>
      <c r="Q47" s="60" t="s">
        <v>60</v>
      </c>
      <c r="S47" s="247" t="s">
        <v>46</v>
      </c>
      <c r="T47" s="243"/>
      <c r="U47" s="243"/>
      <c r="V47" s="243"/>
      <c r="W47" s="58"/>
      <c r="X47" s="59" t="s">
        <v>61</v>
      </c>
      <c r="Y47" s="58"/>
      <c r="Z47" s="60" t="s">
        <v>60</v>
      </c>
      <c r="AB47" s="247" t="s">
        <v>46</v>
      </c>
      <c r="AC47" s="243"/>
      <c r="AD47" s="243"/>
      <c r="AE47" s="243"/>
      <c r="AF47" s="58"/>
      <c r="AG47" s="59" t="s">
        <v>61</v>
      </c>
      <c r="AH47" s="58"/>
      <c r="AI47" s="60" t="s">
        <v>60</v>
      </c>
    </row>
    <row r="48" spans="1:35" ht="15" customHeight="1" x14ac:dyDescent="0.15">
      <c r="A48" s="253" t="s">
        <v>47</v>
      </c>
      <c r="B48" s="254"/>
      <c r="C48" s="254"/>
      <c r="D48" s="254"/>
      <c r="E48" s="276">
        <f>賃金集計表!H12</f>
        <v>0</v>
      </c>
      <c r="F48" s="273"/>
      <c r="G48" s="273"/>
      <c r="H48" s="274"/>
      <c r="J48" s="247" t="s">
        <v>47</v>
      </c>
      <c r="K48" s="243"/>
      <c r="L48" s="243"/>
      <c r="M48" s="243"/>
      <c r="N48" s="248"/>
      <c r="O48" s="249"/>
      <c r="P48" s="249"/>
      <c r="Q48" s="250"/>
      <c r="S48" s="247" t="s">
        <v>47</v>
      </c>
      <c r="T48" s="243"/>
      <c r="U48" s="243"/>
      <c r="V48" s="243"/>
      <c r="W48" s="248"/>
      <c r="X48" s="249"/>
      <c r="Y48" s="249"/>
      <c r="Z48" s="250"/>
      <c r="AB48" s="247" t="s">
        <v>47</v>
      </c>
      <c r="AC48" s="243"/>
      <c r="AD48" s="243"/>
      <c r="AE48" s="243"/>
      <c r="AF48" s="248"/>
      <c r="AG48" s="249"/>
      <c r="AH48" s="249"/>
      <c r="AI48" s="250"/>
    </row>
    <row r="49" spans="1:35" ht="15" customHeight="1" x14ac:dyDescent="0.15">
      <c r="A49" s="253" t="s">
        <v>48</v>
      </c>
      <c r="B49" s="254"/>
      <c r="C49" s="254"/>
      <c r="D49" s="254"/>
      <c r="E49" s="272"/>
      <c r="F49" s="273"/>
      <c r="G49" s="273"/>
      <c r="H49" s="274"/>
      <c r="J49" s="253" t="s">
        <v>48</v>
      </c>
      <c r="K49" s="254"/>
      <c r="L49" s="254"/>
      <c r="M49" s="254"/>
      <c r="N49" s="248"/>
      <c r="O49" s="249"/>
      <c r="P49" s="249"/>
      <c r="Q49" s="250"/>
      <c r="S49" s="253" t="s">
        <v>48</v>
      </c>
      <c r="T49" s="254"/>
      <c r="U49" s="254"/>
      <c r="V49" s="254"/>
      <c r="W49" s="248"/>
      <c r="X49" s="249"/>
      <c r="Y49" s="249"/>
      <c r="Z49" s="250"/>
      <c r="AB49" s="253" t="s">
        <v>48</v>
      </c>
      <c r="AC49" s="254"/>
      <c r="AD49" s="254"/>
      <c r="AE49" s="254"/>
      <c r="AF49" s="248"/>
      <c r="AG49" s="249"/>
      <c r="AH49" s="249"/>
      <c r="AI49" s="250"/>
    </row>
    <row r="50" spans="1:35" ht="15" customHeight="1" x14ac:dyDescent="0.15">
      <c r="A50" s="259" t="s">
        <v>22</v>
      </c>
      <c r="B50" s="254" t="s">
        <v>50</v>
      </c>
      <c r="C50" s="254"/>
      <c r="D50" s="254"/>
      <c r="E50" s="272"/>
      <c r="F50" s="273"/>
      <c r="G50" s="273"/>
      <c r="H50" s="274"/>
      <c r="J50" s="275" t="s">
        <v>22</v>
      </c>
      <c r="K50" s="243" t="s">
        <v>50</v>
      </c>
      <c r="L50" s="243"/>
      <c r="M50" s="243"/>
      <c r="N50" s="248"/>
      <c r="O50" s="249"/>
      <c r="P50" s="249"/>
      <c r="Q50" s="250"/>
      <c r="S50" s="275" t="s">
        <v>22</v>
      </c>
      <c r="T50" s="243" t="s">
        <v>50</v>
      </c>
      <c r="U50" s="243"/>
      <c r="V50" s="243"/>
      <c r="W50" s="248"/>
      <c r="X50" s="249"/>
      <c r="Y50" s="249"/>
      <c r="Z50" s="250"/>
      <c r="AB50" s="275" t="s">
        <v>22</v>
      </c>
      <c r="AC50" s="243" t="s">
        <v>50</v>
      </c>
      <c r="AD50" s="243"/>
      <c r="AE50" s="243"/>
      <c r="AF50" s="248"/>
      <c r="AG50" s="249"/>
      <c r="AH50" s="249"/>
      <c r="AI50" s="250"/>
    </row>
    <row r="51" spans="1:35" ht="15" customHeight="1" x14ac:dyDescent="0.15">
      <c r="A51" s="259"/>
      <c r="B51" s="254" t="s">
        <v>49</v>
      </c>
      <c r="C51" s="254"/>
      <c r="D51" s="254"/>
      <c r="E51" s="272"/>
      <c r="F51" s="273"/>
      <c r="G51" s="273"/>
      <c r="H51" s="274"/>
      <c r="J51" s="275"/>
      <c r="K51" s="243" t="s">
        <v>49</v>
      </c>
      <c r="L51" s="243"/>
      <c r="M51" s="243"/>
      <c r="N51" s="248"/>
      <c r="O51" s="249"/>
      <c r="P51" s="249"/>
      <c r="Q51" s="250"/>
      <c r="S51" s="275"/>
      <c r="T51" s="243" t="s">
        <v>49</v>
      </c>
      <c r="U51" s="243"/>
      <c r="V51" s="243"/>
      <c r="W51" s="248"/>
      <c r="X51" s="249"/>
      <c r="Y51" s="249"/>
      <c r="Z51" s="250"/>
      <c r="AB51" s="275"/>
      <c r="AC51" s="243" t="s">
        <v>49</v>
      </c>
      <c r="AD51" s="243"/>
      <c r="AE51" s="243"/>
      <c r="AF51" s="248"/>
      <c r="AG51" s="249"/>
      <c r="AH51" s="249"/>
      <c r="AI51" s="250"/>
    </row>
    <row r="52" spans="1:35" ht="15" customHeight="1" x14ac:dyDescent="0.15">
      <c r="A52" s="259"/>
      <c r="B52" s="254" t="s">
        <v>51</v>
      </c>
      <c r="C52" s="254"/>
      <c r="D52" s="254"/>
      <c r="E52" s="272"/>
      <c r="F52" s="273"/>
      <c r="G52" s="273"/>
      <c r="H52" s="274"/>
      <c r="J52" s="275"/>
      <c r="K52" s="243" t="s">
        <v>51</v>
      </c>
      <c r="L52" s="243"/>
      <c r="M52" s="243"/>
      <c r="N52" s="248"/>
      <c r="O52" s="249"/>
      <c r="P52" s="249"/>
      <c r="Q52" s="250"/>
      <c r="S52" s="275"/>
      <c r="T52" s="243" t="s">
        <v>51</v>
      </c>
      <c r="U52" s="243"/>
      <c r="V52" s="243"/>
      <c r="W52" s="248"/>
      <c r="X52" s="249"/>
      <c r="Y52" s="249"/>
      <c r="Z52" s="250"/>
      <c r="AB52" s="275"/>
      <c r="AC52" s="243" t="s">
        <v>51</v>
      </c>
      <c r="AD52" s="243"/>
      <c r="AE52" s="243"/>
      <c r="AF52" s="248"/>
      <c r="AG52" s="249"/>
      <c r="AH52" s="249"/>
      <c r="AI52" s="250"/>
    </row>
    <row r="53" spans="1:35" ht="15" customHeight="1" x14ac:dyDescent="0.15">
      <c r="A53" s="259"/>
      <c r="B53" s="254" t="s">
        <v>52</v>
      </c>
      <c r="C53" s="254"/>
      <c r="D53" s="254"/>
      <c r="E53" s="272"/>
      <c r="F53" s="273"/>
      <c r="G53" s="273"/>
      <c r="H53" s="274"/>
      <c r="J53" s="275"/>
      <c r="K53" s="243" t="s">
        <v>52</v>
      </c>
      <c r="L53" s="243"/>
      <c r="M53" s="243"/>
      <c r="N53" s="248"/>
      <c r="O53" s="249"/>
      <c r="P53" s="249"/>
      <c r="Q53" s="250"/>
      <c r="S53" s="275"/>
      <c r="T53" s="243" t="s">
        <v>52</v>
      </c>
      <c r="U53" s="243"/>
      <c r="V53" s="243"/>
      <c r="W53" s="248"/>
      <c r="X53" s="249"/>
      <c r="Y53" s="249"/>
      <c r="Z53" s="250"/>
      <c r="AB53" s="275"/>
      <c r="AC53" s="243" t="s">
        <v>52</v>
      </c>
      <c r="AD53" s="243"/>
      <c r="AE53" s="243"/>
      <c r="AF53" s="248"/>
      <c r="AG53" s="249"/>
      <c r="AH53" s="249"/>
      <c r="AI53" s="250"/>
    </row>
    <row r="54" spans="1:35" ht="15" customHeight="1" x14ac:dyDescent="0.15">
      <c r="A54" s="259"/>
      <c r="B54" s="254" t="s">
        <v>53</v>
      </c>
      <c r="C54" s="254"/>
      <c r="D54" s="254"/>
      <c r="E54" s="272"/>
      <c r="F54" s="273"/>
      <c r="G54" s="273"/>
      <c r="H54" s="274"/>
      <c r="J54" s="275"/>
      <c r="K54" s="243" t="s">
        <v>53</v>
      </c>
      <c r="L54" s="243"/>
      <c r="M54" s="243"/>
      <c r="N54" s="248"/>
      <c r="O54" s="249"/>
      <c r="P54" s="249"/>
      <c r="Q54" s="250"/>
      <c r="S54" s="275"/>
      <c r="T54" s="243" t="s">
        <v>53</v>
      </c>
      <c r="U54" s="243"/>
      <c r="V54" s="243"/>
      <c r="W54" s="248"/>
      <c r="X54" s="249"/>
      <c r="Y54" s="249"/>
      <c r="Z54" s="250"/>
      <c r="AB54" s="275"/>
      <c r="AC54" s="243" t="s">
        <v>53</v>
      </c>
      <c r="AD54" s="243"/>
      <c r="AE54" s="243"/>
      <c r="AF54" s="248"/>
      <c r="AG54" s="249"/>
      <c r="AH54" s="249"/>
      <c r="AI54" s="250"/>
    </row>
    <row r="55" spans="1:35" ht="15" customHeight="1" x14ac:dyDescent="0.15">
      <c r="A55" s="259"/>
      <c r="B55" s="254"/>
      <c r="C55" s="254"/>
      <c r="D55" s="254"/>
      <c r="E55" s="258"/>
      <c r="F55" s="256"/>
      <c r="G55" s="256"/>
      <c r="H55" s="257"/>
      <c r="J55" s="275"/>
      <c r="K55" s="243"/>
      <c r="L55" s="243"/>
      <c r="M55" s="243"/>
      <c r="N55" s="244"/>
      <c r="O55" s="245"/>
      <c r="P55" s="245"/>
      <c r="Q55" s="246"/>
      <c r="S55" s="275"/>
      <c r="T55" s="243"/>
      <c r="U55" s="243"/>
      <c r="V55" s="243"/>
      <c r="W55" s="244"/>
      <c r="X55" s="245"/>
      <c r="Y55" s="245"/>
      <c r="Z55" s="246"/>
      <c r="AB55" s="275"/>
      <c r="AC55" s="243"/>
      <c r="AD55" s="243"/>
      <c r="AE55" s="243"/>
      <c r="AF55" s="244"/>
      <c r="AG55" s="245"/>
      <c r="AH55" s="245"/>
      <c r="AI55" s="246"/>
    </row>
    <row r="56" spans="1:35" ht="15" customHeight="1" x14ac:dyDescent="0.15">
      <c r="A56" s="253" t="s">
        <v>54</v>
      </c>
      <c r="B56" s="254"/>
      <c r="C56" s="254"/>
      <c r="D56" s="254"/>
      <c r="E56" s="255">
        <f>賃金集計表!X12</f>
        <v>0</v>
      </c>
      <c r="F56" s="256"/>
      <c r="G56" s="256"/>
      <c r="H56" s="257"/>
      <c r="J56" s="247" t="s">
        <v>54</v>
      </c>
      <c r="K56" s="243"/>
      <c r="L56" s="243"/>
      <c r="M56" s="243"/>
      <c r="N56" s="244"/>
      <c r="O56" s="245"/>
      <c r="P56" s="245"/>
      <c r="Q56" s="246"/>
      <c r="S56" s="247" t="s">
        <v>54</v>
      </c>
      <c r="T56" s="243"/>
      <c r="U56" s="243"/>
      <c r="V56" s="243"/>
      <c r="W56" s="244"/>
      <c r="X56" s="245"/>
      <c r="Y56" s="245"/>
      <c r="Z56" s="246"/>
      <c r="AB56" s="247" t="s">
        <v>54</v>
      </c>
      <c r="AC56" s="243"/>
      <c r="AD56" s="243"/>
      <c r="AE56" s="243"/>
      <c r="AF56" s="244"/>
      <c r="AG56" s="245"/>
      <c r="AH56" s="245"/>
      <c r="AI56" s="246"/>
    </row>
    <row r="57" spans="1:35" ht="15" customHeight="1" x14ac:dyDescent="0.15">
      <c r="A57" s="259" t="s">
        <v>29</v>
      </c>
      <c r="B57" s="254" t="s">
        <v>55</v>
      </c>
      <c r="C57" s="254"/>
      <c r="D57" s="254"/>
      <c r="E57" s="258"/>
      <c r="F57" s="256"/>
      <c r="G57" s="256"/>
      <c r="H57" s="257"/>
      <c r="J57" s="259" t="s">
        <v>29</v>
      </c>
      <c r="K57" s="243" t="s">
        <v>55</v>
      </c>
      <c r="L57" s="243"/>
      <c r="M57" s="243"/>
      <c r="N57" s="244"/>
      <c r="O57" s="245"/>
      <c r="P57" s="245"/>
      <c r="Q57" s="246"/>
      <c r="S57" s="259" t="s">
        <v>29</v>
      </c>
      <c r="T57" s="243" t="s">
        <v>55</v>
      </c>
      <c r="U57" s="243"/>
      <c r="V57" s="243"/>
      <c r="W57" s="244"/>
      <c r="X57" s="245"/>
      <c r="Y57" s="245"/>
      <c r="Z57" s="246"/>
      <c r="AB57" s="259" t="s">
        <v>29</v>
      </c>
      <c r="AC57" s="243" t="s">
        <v>55</v>
      </c>
      <c r="AD57" s="243"/>
      <c r="AE57" s="243"/>
      <c r="AF57" s="244"/>
      <c r="AG57" s="245"/>
      <c r="AH57" s="245"/>
      <c r="AI57" s="246"/>
    </row>
    <row r="58" spans="1:35" ht="15" customHeight="1" x14ac:dyDescent="0.15">
      <c r="A58" s="259"/>
      <c r="B58" s="254" t="s">
        <v>24</v>
      </c>
      <c r="C58" s="254"/>
      <c r="D58" s="254"/>
      <c r="E58" s="258"/>
      <c r="F58" s="256"/>
      <c r="G58" s="256"/>
      <c r="H58" s="257"/>
      <c r="J58" s="259"/>
      <c r="K58" s="243" t="s">
        <v>24</v>
      </c>
      <c r="L58" s="243"/>
      <c r="M58" s="243"/>
      <c r="N58" s="244"/>
      <c r="O58" s="245"/>
      <c r="P58" s="245"/>
      <c r="Q58" s="246"/>
      <c r="S58" s="259"/>
      <c r="T58" s="243" t="s">
        <v>24</v>
      </c>
      <c r="U58" s="243"/>
      <c r="V58" s="243"/>
      <c r="W58" s="244"/>
      <c r="X58" s="245"/>
      <c r="Y58" s="245"/>
      <c r="Z58" s="246"/>
      <c r="AB58" s="259"/>
      <c r="AC58" s="243" t="s">
        <v>24</v>
      </c>
      <c r="AD58" s="243"/>
      <c r="AE58" s="243"/>
      <c r="AF58" s="244"/>
      <c r="AG58" s="245"/>
      <c r="AH58" s="245"/>
      <c r="AI58" s="246"/>
    </row>
    <row r="59" spans="1:35" ht="15" customHeight="1" x14ac:dyDescent="0.15">
      <c r="A59" s="259"/>
      <c r="B59" s="254" t="s">
        <v>56</v>
      </c>
      <c r="C59" s="254"/>
      <c r="D59" s="254"/>
      <c r="E59" s="258"/>
      <c r="F59" s="256"/>
      <c r="G59" s="256"/>
      <c r="H59" s="257"/>
      <c r="J59" s="259"/>
      <c r="K59" s="243" t="s">
        <v>56</v>
      </c>
      <c r="L59" s="243"/>
      <c r="M59" s="243"/>
      <c r="N59" s="244"/>
      <c r="O59" s="245"/>
      <c r="P59" s="245"/>
      <c r="Q59" s="246"/>
      <c r="S59" s="259"/>
      <c r="T59" s="243" t="s">
        <v>56</v>
      </c>
      <c r="U59" s="243"/>
      <c r="V59" s="243"/>
      <c r="W59" s="244"/>
      <c r="X59" s="245"/>
      <c r="Y59" s="245"/>
      <c r="Z59" s="246"/>
      <c r="AB59" s="259"/>
      <c r="AC59" s="243" t="s">
        <v>56</v>
      </c>
      <c r="AD59" s="243"/>
      <c r="AE59" s="243"/>
      <c r="AF59" s="244"/>
      <c r="AG59" s="245"/>
      <c r="AH59" s="245"/>
      <c r="AI59" s="246"/>
    </row>
    <row r="60" spans="1:35" ht="15" customHeight="1" x14ac:dyDescent="0.15">
      <c r="A60" s="259"/>
      <c r="B60" s="254" t="s">
        <v>27</v>
      </c>
      <c r="C60" s="254"/>
      <c r="D60" s="254"/>
      <c r="E60" s="258"/>
      <c r="F60" s="256"/>
      <c r="G60" s="256"/>
      <c r="H60" s="257"/>
      <c r="J60" s="259"/>
      <c r="K60" s="243" t="s">
        <v>27</v>
      </c>
      <c r="L60" s="243"/>
      <c r="M60" s="243"/>
      <c r="N60" s="244"/>
      <c r="O60" s="245"/>
      <c r="P60" s="245"/>
      <c r="Q60" s="246"/>
      <c r="S60" s="259"/>
      <c r="T60" s="243" t="s">
        <v>27</v>
      </c>
      <c r="U60" s="243"/>
      <c r="V60" s="243"/>
      <c r="W60" s="244"/>
      <c r="X60" s="245"/>
      <c r="Y60" s="245"/>
      <c r="Z60" s="246"/>
      <c r="AB60" s="259"/>
      <c r="AC60" s="243" t="s">
        <v>27</v>
      </c>
      <c r="AD60" s="243"/>
      <c r="AE60" s="243"/>
      <c r="AF60" s="244"/>
      <c r="AG60" s="245"/>
      <c r="AH60" s="245"/>
      <c r="AI60" s="246"/>
    </row>
    <row r="61" spans="1:35" ht="15" customHeight="1" x14ac:dyDescent="0.15">
      <c r="A61" s="259"/>
      <c r="B61" s="254" t="s">
        <v>26</v>
      </c>
      <c r="C61" s="254"/>
      <c r="D61" s="254"/>
      <c r="E61" s="258"/>
      <c r="F61" s="256"/>
      <c r="G61" s="256"/>
      <c r="H61" s="257"/>
      <c r="J61" s="259"/>
      <c r="K61" s="243" t="s">
        <v>26</v>
      </c>
      <c r="L61" s="243"/>
      <c r="M61" s="243"/>
      <c r="N61" s="244"/>
      <c r="O61" s="245"/>
      <c r="P61" s="245"/>
      <c r="Q61" s="246"/>
      <c r="S61" s="259"/>
      <c r="T61" s="243" t="s">
        <v>26</v>
      </c>
      <c r="U61" s="243"/>
      <c r="V61" s="243"/>
      <c r="W61" s="244"/>
      <c r="X61" s="245"/>
      <c r="Y61" s="245"/>
      <c r="Z61" s="246"/>
      <c r="AB61" s="259"/>
      <c r="AC61" s="243" t="s">
        <v>26</v>
      </c>
      <c r="AD61" s="243"/>
      <c r="AE61" s="243"/>
      <c r="AF61" s="244"/>
      <c r="AG61" s="245"/>
      <c r="AH61" s="245"/>
      <c r="AI61" s="246"/>
    </row>
    <row r="62" spans="1:35" ht="15" customHeight="1" x14ac:dyDescent="0.15">
      <c r="A62" s="259"/>
      <c r="B62" s="254"/>
      <c r="C62" s="254"/>
      <c r="D62" s="254"/>
      <c r="E62" s="258"/>
      <c r="F62" s="256"/>
      <c r="G62" s="256"/>
      <c r="H62" s="257"/>
      <c r="J62" s="259"/>
      <c r="K62" s="243"/>
      <c r="L62" s="243"/>
      <c r="M62" s="243"/>
      <c r="N62" s="244"/>
      <c r="O62" s="245"/>
      <c r="P62" s="245"/>
      <c r="Q62" s="246"/>
      <c r="S62" s="259"/>
      <c r="T62" s="243"/>
      <c r="U62" s="243"/>
      <c r="V62" s="243"/>
      <c r="W62" s="244"/>
      <c r="X62" s="245"/>
      <c r="Y62" s="245"/>
      <c r="Z62" s="246"/>
      <c r="AB62" s="259"/>
      <c r="AC62" s="243"/>
      <c r="AD62" s="243"/>
      <c r="AE62" s="243"/>
      <c r="AF62" s="244"/>
      <c r="AG62" s="245"/>
      <c r="AH62" s="245"/>
      <c r="AI62" s="246"/>
    </row>
    <row r="63" spans="1:35" ht="15" customHeight="1" x14ac:dyDescent="0.15">
      <c r="A63" s="259"/>
      <c r="B63" s="254"/>
      <c r="C63" s="254"/>
      <c r="D63" s="254"/>
      <c r="E63" s="258"/>
      <c r="F63" s="256"/>
      <c r="G63" s="256"/>
      <c r="H63" s="257"/>
      <c r="J63" s="259"/>
      <c r="K63" s="243"/>
      <c r="L63" s="243"/>
      <c r="M63" s="243"/>
      <c r="N63" s="244"/>
      <c r="O63" s="245"/>
      <c r="P63" s="245"/>
      <c r="Q63" s="246"/>
      <c r="S63" s="259"/>
      <c r="T63" s="243"/>
      <c r="U63" s="243"/>
      <c r="V63" s="243"/>
      <c r="W63" s="244"/>
      <c r="X63" s="245"/>
      <c r="Y63" s="245"/>
      <c r="Z63" s="246"/>
      <c r="AB63" s="259"/>
      <c r="AC63" s="243"/>
      <c r="AD63" s="243"/>
      <c r="AE63" s="243"/>
      <c r="AF63" s="244"/>
      <c r="AG63" s="245"/>
      <c r="AH63" s="245"/>
      <c r="AI63" s="246"/>
    </row>
    <row r="64" spans="1:35" ht="15" customHeight="1" x14ac:dyDescent="0.15">
      <c r="A64" s="259"/>
      <c r="B64" s="254" t="s">
        <v>54</v>
      </c>
      <c r="C64" s="254"/>
      <c r="D64" s="254"/>
      <c r="E64" s="258"/>
      <c r="F64" s="256"/>
      <c r="G64" s="256"/>
      <c r="H64" s="257"/>
      <c r="J64" s="259"/>
      <c r="K64" s="243" t="s">
        <v>54</v>
      </c>
      <c r="L64" s="243"/>
      <c r="M64" s="243"/>
      <c r="N64" s="244"/>
      <c r="O64" s="245"/>
      <c r="P64" s="245"/>
      <c r="Q64" s="246"/>
      <c r="S64" s="259"/>
      <c r="T64" s="243" t="s">
        <v>54</v>
      </c>
      <c r="U64" s="243"/>
      <c r="V64" s="243"/>
      <c r="W64" s="244"/>
      <c r="X64" s="245"/>
      <c r="Y64" s="245"/>
      <c r="Z64" s="246"/>
      <c r="AB64" s="259"/>
      <c r="AC64" s="243" t="s">
        <v>54</v>
      </c>
      <c r="AD64" s="243"/>
      <c r="AE64" s="243"/>
      <c r="AF64" s="244"/>
      <c r="AG64" s="245"/>
      <c r="AH64" s="245"/>
      <c r="AI64" s="246"/>
    </row>
    <row r="65" spans="1:35" ht="15" customHeight="1" x14ac:dyDescent="0.15">
      <c r="A65" s="253" t="s">
        <v>57</v>
      </c>
      <c r="B65" s="254"/>
      <c r="C65" s="254"/>
      <c r="D65" s="254"/>
      <c r="E65" s="255">
        <f>賃金集計表!X12</f>
        <v>0</v>
      </c>
      <c r="F65" s="256"/>
      <c r="G65" s="256"/>
      <c r="H65" s="257"/>
      <c r="J65" s="247" t="s">
        <v>57</v>
      </c>
      <c r="K65" s="243"/>
      <c r="L65" s="243"/>
      <c r="M65" s="243"/>
      <c r="N65" s="244"/>
      <c r="O65" s="245"/>
      <c r="P65" s="245"/>
      <c r="Q65" s="246"/>
      <c r="S65" s="247" t="s">
        <v>57</v>
      </c>
      <c r="T65" s="243"/>
      <c r="U65" s="243"/>
      <c r="V65" s="243"/>
      <c r="W65" s="244"/>
      <c r="X65" s="245"/>
      <c r="Y65" s="245"/>
      <c r="Z65" s="246"/>
      <c r="AB65" s="247" t="s">
        <v>57</v>
      </c>
      <c r="AC65" s="243"/>
      <c r="AD65" s="243"/>
      <c r="AE65" s="243"/>
      <c r="AF65" s="244"/>
      <c r="AG65" s="245"/>
      <c r="AH65" s="245"/>
      <c r="AI65" s="246"/>
    </row>
    <row r="66" spans="1:35" ht="15" customHeight="1" x14ac:dyDescent="0.15">
      <c r="A66" s="262" t="s">
        <v>58</v>
      </c>
      <c r="B66" s="263"/>
      <c r="C66" s="263"/>
      <c r="D66" s="61"/>
      <c r="E66" s="62"/>
      <c r="F66" s="62"/>
      <c r="G66" s="264" t="s">
        <v>62</v>
      </c>
      <c r="H66" s="265"/>
      <c r="J66" s="262" t="s">
        <v>58</v>
      </c>
      <c r="K66" s="263"/>
      <c r="L66" s="263"/>
      <c r="M66" s="61"/>
      <c r="N66" s="62"/>
      <c r="O66" s="62"/>
      <c r="P66" s="264" t="s">
        <v>62</v>
      </c>
      <c r="Q66" s="265"/>
      <c r="S66" s="262" t="s">
        <v>58</v>
      </c>
      <c r="T66" s="263"/>
      <c r="U66" s="263"/>
      <c r="V66" s="61"/>
      <c r="W66" s="62"/>
      <c r="X66" s="62"/>
      <c r="Y66" s="264" t="s">
        <v>62</v>
      </c>
      <c r="Z66" s="265"/>
      <c r="AB66" s="262" t="s">
        <v>58</v>
      </c>
      <c r="AC66" s="263"/>
      <c r="AD66" s="263"/>
      <c r="AE66" s="61"/>
      <c r="AF66" s="62"/>
      <c r="AG66" s="62"/>
      <c r="AH66" s="264" t="s">
        <v>62</v>
      </c>
      <c r="AI66" s="265"/>
    </row>
    <row r="67" spans="1:35" ht="18" customHeight="1" x14ac:dyDescent="0.15">
      <c r="A67" s="270" t="s">
        <v>31</v>
      </c>
      <c r="B67" s="271"/>
      <c r="C67" s="271"/>
      <c r="D67" s="271"/>
      <c r="E67" s="271"/>
      <c r="F67" s="271"/>
      <c r="G67" s="266"/>
      <c r="H67" s="267"/>
      <c r="J67" s="270" t="s">
        <v>31</v>
      </c>
      <c r="K67" s="271"/>
      <c r="L67" s="271"/>
      <c r="M67" s="271"/>
      <c r="N67" s="271"/>
      <c r="O67" s="271"/>
      <c r="P67" s="266"/>
      <c r="Q67" s="267"/>
      <c r="S67" s="270" t="s">
        <v>31</v>
      </c>
      <c r="T67" s="271"/>
      <c r="U67" s="271"/>
      <c r="V67" s="271"/>
      <c r="W67" s="271"/>
      <c r="X67" s="271"/>
      <c r="Y67" s="266"/>
      <c r="Z67" s="267"/>
      <c r="AB67" s="270" t="s">
        <v>31</v>
      </c>
      <c r="AC67" s="271"/>
      <c r="AD67" s="271"/>
      <c r="AE67" s="271"/>
      <c r="AF67" s="271"/>
      <c r="AG67" s="271"/>
      <c r="AH67" s="266"/>
      <c r="AI67" s="267"/>
    </row>
    <row r="68" spans="1:35" ht="22.5" customHeight="1" thickBot="1" x14ac:dyDescent="0.2">
      <c r="A68" s="260" t="s">
        <v>63</v>
      </c>
      <c r="B68" s="261"/>
      <c r="C68" s="261"/>
      <c r="D68" s="261"/>
      <c r="E68" s="261"/>
      <c r="F68" s="261"/>
      <c r="G68" s="268"/>
      <c r="H68" s="269"/>
      <c r="J68" s="260" t="s">
        <v>63</v>
      </c>
      <c r="K68" s="261"/>
      <c r="L68" s="261"/>
      <c r="M68" s="261"/>
      <c r="N68" s="261"/>
      <c r="O68" s="261"/>
      <c r="P68" s="268"/>
      <c r="Q68" s="269"/>
      <c r="S68" s="260" t="s">
        <v>63</v>
      </c>
      <c r="T68" s="261"/>
      <c r="U68" s="261"/>
      <c r="V68" s="261"/>
      <c r="W68" s="261"/>
      <c r="X68" s="261"/>
      <c r="Y68" s="268"/>
      <c r="Z68" s="269"/>
      <c r="AB68" s="260" t="s">
        <v>63</v>
      </c>
      <c r="AC68" s="261"/>
      <c r="AD68" s="261"/>
      <c r="AE68" s="261"/>
      <c r="AF68" s="261"/>
      <c r="AG68" s="261"/>
      <c r="AH68" s="268"/>
      <c r="AI68" s="269"/>
    </row>
    <row r="69" spans="1:35" ht="28.5" customHeight="1" thickTop="1" x14ac:dyDescent="0.15">
      <c r="A69" s="287" t="s">
        <v>34</v>
      </c>
      <c r="B69" s="287"/>
      <c r="C69" s="287"/>
      <c r="D69" s="287"/>
      <c r="E69" s="287"/>
      <c r="F69" s="287"/>
      <c r="G69" s="287"/>
      <c r="H69" s="287"/>
      <c r="J69" s="287" t="s">
        <v>34</v>
      </c>
      <c r="K69" s="287"/>
      <c r="L69" s="287"/>
      <c r="M69" s="287"/>
      <c r="N69" s="287"/>
      <c r="O69" s="287"/>
      <c r="P69" s="287"/>
      <c r="Q69" s="287"/>
      <c r="S69" s="287" t="s">
        <v>34</v>
      </c>
      <c r="T69" s="287"/>
      <c r="U69" s="287"/>
      <c r="V69" s="287"/>
      <c r="W69" s="287"/>
      <c r="X69" s="287"/>
      <c r="Y69" s="287"/>
      <c r="Z69" s="287"/>
      <c r="AB69" s="287" t="s">
        <v>34</v>
      </c>
      <c r="AC69" s="287"/>
      <c r="AD69" s="287"/>
      <c r="AE69" s="287"/>
      <c r="AF69" s="287"/>
      <c r="AG69" s="287"/>
      <c r="AH69" s="287"/>
      <c r="AI69" s="287"/>
    </row>
    <row r="70" spans="1:35" ht="8.25" customHeight="1" x14ac:dyDescent="0.15">
      <c r="A70" s="51"/>
      <c r="B70" s="51"/>
      <c r="C70" s="51"/>
      <c r="D70" s="51"/>
      <c r="E70" s="51"/>
      <c r="F70" s="51"/>
      <c r="G70" s="51"/>
      <c r="H70" s="51"/>
      <c r="J70" s="51"/>
      <c r="K70" s="51"/>
      <c r="L70" s="51"/>
      <c r="M70" s="51"/>
      <c r="N70" s="51"/>
      <c r="O70" s="51"/>
      <c r="P70" s="51"/>
      <c r="Q70" s="51"/>
      <c r="S70" s="51"/>
      <c r="T70" s="51"/>
      <c r="U70" s="51"/>
      <c r="V70" s="51"/>
      <c r="W70" s="51"/>
      <c r="X70" s="51"/>
      <c r="Y70" s="51"/>
      <c r="Z70" s="51"/>
      <c r="AB70" s="51"/>
      <c r="AC70" s="51"/>
      <c r="AD70" s="51"/>
      <c r="AE70" s="51"/>
      <c r="AF70" s="51"/>
      <c r="AG70" s="51"/>
      <c r="AH70" s="51"/>
      <c r="AI70" s="51"/>
    </row>
    <row r="71" spans="1:35" ht="23.25" customHeight="1" x14ac:dyDescent="0.15">
      <c r="A71" s="51"/>
      <c r="B71" s="51"/>
      <c r="C71" s="63" t="s">
        <v>35</v>
      </c>
      <c r="D71" s="51">
        <v>27</v>
      </c>
      <c r="E71" s="51" t="s">
        <v>36</v>
      </c>
      <c r="F71" s="51">
        <v>5</v>
      </c>
      <c r="G71" s="64" t="s">
        <v>37</v>
      </c>
      <c r="H71" s="51"/>
      <c r="J71" s="51"/>
      <c r="K71" s="51"/>
      <c r="L71" s="63" t="s">
        <v>35</v>
      </c>
      <c r="M71" s="51">
        <v>27</v>
      </c>
      <c r="N71" s="51" t="s">
        <v>36</v>
      </c>
      <c r="O71" s="51">
        <v>5</v>
      </c>
      <c r="P71" s="64" t="s">
        <v>37</v>
      </c>
      <c r="Q71" s="51"/>
      <c r="S71" s="51"/>
      <c r="T71" s="51"/>
      <c r="U71" s="63" t="s">
        <v>35</v>
      </c>
      <c r="V71" s="51">
        <v>27</v>
      </c>
      <c r="W71" s="51" t="s">
        <v>36</v>
      </c>
      <c r="X71" s="51">
        <v>5</v>
      </c>
      <c r="Y71" s="64" t="s">
        <v>37</v>
      </c>
      <c r="Z71" s="51"/>
      <c r="AB71" s="51"/>
      <c r="AC71" s="51"/>
      <c r="AD71" s="63" t="s">
        <v>35</v>
      </c>
      <c r="AE71" s="51">
        <v>27</v>
      </c>
      <c r="AF71" s="51" t="s">
        <v>36</v>
      </c>
      <c r="AG71" s="51">
        <v>5</v>
      </c>
      <c r="AH71" s="64" t="s">
        <v>37</v>
      </c>
      <c r="AI71" s="51"/>
    </row>
    <row r="72" spans="1:35" ht="20.25" customHeight="1" x14ac:dyDescent="0.15">
      <c r="A72" s="52" t="s">
        <v>38</v>
      </c>
      <c r="B72" s="52" t="s">
        <v>39</v>
      </c>
      <c r="C72" s="52" t="s">
        <v>40</v>
      </c>
      <c r="D72" s="52"/>
      <c r="E72" s="52"/>
      <c r="F72" s="51"/>
      <c r="G72" s="51"/>
      <c r="H72" s="51"/>
      <c r="J72" s="52" t="s">
        <v>38</v>
      </c>
      <c r="K72" s="52" t="s">
        <v>39</v>
      </c>
      <c r="L72" s="52" t="s">
        <v>40</v>
      </c>
      <c r="M72" s="52"/>
      <c r="N72" s="52"/>
      <c r="O72" s="51"/>
      <c r="P72" s="51"/>
      <c r="Q72" s="51"/>
      <c r="S72" s="52" t="s">
        <v>38</v>
      </c>
      <c r="T72" s="52" t="s">
        <v>39</v>
      </c>
      <c r="U72" s="52" t="s">
        <v>40</v>
      </c>
      <c r="V72" s="52"/>
      <c r="W72" s="52"/>
      <c r="X72" s="51"/>
      <c r="Y72" s="51"/>
      <c r="Z72" s="51"/>
      <c r="AB72" s="52" t="s">
        <v>38</v>
      </c>
      <c r="AC72" s="52" t="s">
        <v>39</v>
      </c>
      <c r="AD72" s="52" t="s">
        <v>40</v>
      </c>
      <c r="AE72" s="52"/>
      <c r="AF72" s="52"/>
      <c r="AG72" s="51"/>
      <c r="AH72" s="51"/>
      <c r="AI72" s="51"/>
    </row>
    <row r="73" spans="1:35" x14ac:dyDescent="0.15">
      <c r="A73" s="280" t="str">
        <f>賃金集計表!A16</f>
        <v>山内　龍一</v>
      </c>
      <c r="B73" s="280"/>
      <c r="C73" s="280"/>
      <c r="D73" s="280"/>
      <c r="E73" s="280"/>
      <c r="F73" s="280"/>
      <c r="G73" s="280"/>
      <c r="H73" s="53"/>
      <c r="J73" s="280" t="str">
        <f>賃金集計表!A17</f>
        <v>山下恵美子</v>
      </c>
      <c r="K73" s="280"/>
      <c r="L73" s="280"/>
      <c r="M73" s="280"/>
      <c r="N73" s="280"/>
      <c r="O73" s="280"/>
      <c r="P73" s="280"/>
      <c r="Q73" s="53"/>
      <c r="S73" s="280" t="str">
        <f>賃金集計表!A18</f>
        <v>川上　智樹</v>
      </c>
      <c r="T73" s="280"/>
      <c r="U73" s="280"/>
      <c r="V73" s="280"/>
      <c r="W73" s="280"/>
      <c r="X73" s="280"/>
      <c r="Y73" s="280"/>
      <c r="Z73" s="53"/>
      <c r="AB73" s="280" t="str">
        <f>賃金集計表!A19</f>
        <v>上松　正和</v>
      </c>
      <c r="AC73" s="280"/>
      <c r="AD73" s="280"/>
      <c r="AE73" s="280"/>
      <c r="AF73" s="280"/>
      <c r="AG73" s="280"/>
      <c r="AH73" s="280"/>
      <c r="AI73" s="53"/>
    </row>
    <row r="74" spans="1:35" x14ac:dyDescent="0.15">
      <c r="A74" s="281"/>
      <c r="B74" s="281"/>
      <c r="C74" s="281"/>
      <c r="D74" s="281"/>
      <c r="E74" s="281"/>
      <c r="F74" s="281"/>
      <c r="G74" s="281"/>
      <c r="H74" s="52" t="s">
        <v>41</v>
      </c>
      <c r="J74" s="281"/>
      <c r="K74" s="281"/>
      <c r="L74" s="281"/>
      <c r="M74" s="281"/>
      <c r="N74" s="281"/>
      <c r="O74" s="281"/>
      <c r="P74" s="281"/>
      <c r="Q74" s="52" t="s">
        <v>41</v>
      </c>
      <c r="S74" s="281"/>
      <c r="T74" s="281"/>
      <c r="U74" s="281"/>
      <c r="V74" s="281"/>
      <c r="W74" s="281"/>
      <c r="X74" s="281"/>
      <c r="Y74" s="281"/>
      <c r="Z74" s="52" t="s">
        <v>41</v>
      </c>
      <c r="AB74" s="281"/>
      <c r="AC74" s="281"/>
      <c r="AD74" s="281"/>
      <c r="AE74" s="281"/>
      <c r="AF74" s="281"/>
      <c r="AG74" s="281"/>
      <c r="AH74" s="281"/>
      <c r="AI74" s="52" t="s">
        <v>41</v>
      </c>
    </row>
    <row r="75" spans="1:35" ht="6" customHeight="1" thickBot="1" x14ac:dyDescent="0.2">
      <c r="A75" s="51"/>
      <c r="B75" s="51"/>
      <c r="C75" s="51"/>
      <c r="D75" s="51"/>
      <c r="E75" s="51"/>
      <c r="F75" s="51"/>
      <c r="G75" s="51"/>
      <c r="H75" s="51"/>
      <c r="J75" s="51"/>
      <c r="K75" s="51"/>
      <c r="L75" s="51"/>
      <c r="M75" s="51"/>
      <c r="N75" s="51"/>
      <c r="O75" s="51"/>
      <c r="P75" s="51"/>
      <c r="Q75" s="51"/>
      <c r="S75" s="51"/>
      <c r="T75" s="51"/>
      <c r="U75" s="51"/>
      <c r="V75" s="51"/>
      <c r="W75" s="51"/>
      <c r="X75" s="51"/>
      <c r="Y75" s="51"/>
      <c r="Z75" s="51"/>
      <c r="AB75" s="51"/>
      <c r="AC75" s="51"/>
      <c r="AD75" s="51"/>
      <c r="AE75" s="51"/>
      <c r="AF75" s="51"/>
      <c r="AG75" s="51"/>
      <c r="AH75" s="51"/>
      <c r="AI75" s="51"/>
    </row>
    <row r="76" spans="1:35" ht="15" customHeight="1" thickTop="1" x14ac:dyDescent="0.15">
      <c r="A76" s="283" t="s">
        <v>42</v>
      </c>
      <c r="B76" s="284"/>
      <c r="C76" s="284"/>
      <c r="D76" s="284"/>
      <c r="E76" s="277" t="s">
        <v>114</v>
      </c>
      <c r="F76" s="278"/>
      <c r="G76" s="278"/>
      <c r="H76" s="279"/>
      <c r="J76" s="251" t="s">
        <v>42</v>
      </c>
      <c r="K76" s="252"/>
      <c r="L76" s="252"/>
      <c r="M76" s="252"/>
      <c r="N76" s="277" t="s">
        <v>114</v>
      </c>
      <c r="O76" s="278"/>
      <c r="P76" s="278"/>
      <c r="Q76" s="279"/>
      <c r="S76" s="251" t="s">
        <v>42</v>
      </c>
      <c r="T76" s="252"/>
      <c r="U76" s="252"/>
      <c r="V76" s="252"/>
      <c r="W76" s="277" t="s">
        <v>114</v>
      </c>
      <c r="X76" s="278"/>
      <c r="Y76" s="278"/>
      <c r="Z76" s="279"/>
      <c r="AB76" s="251" t="s">
        <v>42</v>
      </c>
      <c r="AC76" s="252"/>
      <c r="AD76" s="252"/>
      <c r="AE76" s="252"/>
      <c r="AF76" s="277" t="s">
        <v>114</v>
      </c>
      <c r="AG76" s="278"/>
      <c r="AH76" s="278"/>
      <c r="AI76" s="279"/>
    </row>
    <row r="77" spans="1:35" ht="15" customHeight="1" x14ac:dyDescent="0.15">
      <c r="A77" s="253" t="s">
        <v>59</v>
      </c>
      <c r="B77" s="254"/>
      <c r="C77" s="254"/>
      <c r="D77" s="254"/>
      <c r="E77" s="54"/>
      <c r="F77" s="55"/>
      <c r="G77" s="55">
        <f>賃金集計表!B16</f>
        <v>11</v>
      </c>
      <c r="H77" s="56" t="s">
        <v>8</v>
      </c>
      <c r="J77" s="247" t="s">
        <v>59</v>
      </c>
      <c r="K77" s="243"/>
      <c r="L77" s="243"/>
      <c r="M77" s="243"/>
      <c r="N77" s="54"/>
      <c r="O77" s="55"/>
      <c r="P77" s="55">
        <f>賃金集計表!B17</f>
        <v>19</v>
      </c>
      <c r="Q77" s="56" t="s">
        <v>8</v>
      </c>
      <c r="S77" s="247" t="s">
        <v>59</v>
      </c>
      <c r="T77" s="243"/>
      <c r="U77" s="243"/>
      <c r="V77" s="243"/>
      <c r="W77" s="54"/>
      <c r="X77" s="55"/>
      <c r="Y77" s="55">
        <f>賃金集計表!B18</f>
        <v>6</v>
      </c>
      <c r="Z77" s="56" t="s">
        <v>8</v>
      </c>
      <c r="AB77" s="247" t="s">
        <v>59</v>
      </c>
      <c r="AC77" s="243"/>
      <c r="AD77" s="243"/>
      <c r="AE77" s="243"/>
      <c r="AF77" s="54"/>
      <c r="AG77" s="55"/>
      <c r="AH77" s="55">
        <f>賃金集計表!B19</f>
        <v>22</v>
      </c>
      <c r="AI77" s="56" t="s">
        <v>8</v>
      </c>
    </row>
    <row r="78" spans="1:35" ht="15" customHeight="1" x14ac:dyDescent="0.15">
      <c r="A78" s="253" t="s">
        <v>43</v>
      </c>
      <c r="B78" s="254"/>
      <c r="C78" s="254"/>
      <c r="D78" s="254"/>
      <c r="E78" s="54"/>
      <c r="F78" s="57" t="s">
        <v>61</v>
      </c>
      <c r="G78" s="54"/>
      <c r="H78" s="56" t="s">
        <v>60</v>
      </c>
      <c r="J78" s="247" t="s">
        <v>43</v>
      </c>
      <c r="K78" s="243"/>
      <c r="L78" s="243"/>
      <c r="M78" s="243"/>
      <c r="N78" s="54"/>
      <c r="O78" s="57" t="s">
        <v>61</v>
      </c>
      <c r="P78" s="54"/>
      <c r="Q78" s="56" t="s">
        <v>60</v>
      </c>
      <c r="S78" s="247" t="s">
        <v>43</v>
      </c>
      <c r="T78" s="243"/>
      <c r="U78" s="243"/>
      <c r="V78" s="243"/>
      <c r="W78" s="54"/>
      <c r="X78" s="57" t="s">
        <v>61</v>
      </c>
      <c r="Y78" s="54"/>
      <c r="Z78" s="56" t="s">
        <v>60</v>
      </c>
      <c r="AB78" s="247" t="s">
        <v>43</v>
      </c>
      <c r="AC78" s="243"/>
      <c r="AD78" s="243"/>
      <c r="AE78" s="243"/>
      <c r="AF78" s="54"/>
      <c r="AG78" s="57" t="s">
        <v>61</v>
      </c>
      <c r="AH78" s="54"/>
      <c r="AI78" s="56" t="s">
        <v>60</v>
      </c>
    </row>
    <row r="79" spans="1:35" ht="15" customHeight="1" x14ac:dyDescent="0.15">
      <c r="A79" s="253" t="s">
        <v>44</v>
      </c>
      <c r="B79" s="254"/>
      <c r="C79" s="254"/>
      <c r="D79" s="254"/>
      <c r="E79" s="54"/>
      <c r="F79" s="57" t="s">
        <v>61</v>
      </c>
      <c r="G79" s="54"/>
      <c r="H79" s="56" t="s">
        <v>60</v>
      </c>
      <c r="J79" s="247" t="s">
        <v>44</v>
      </c>
      <c r="K79" s="243"/>
      <c r="L79" s="243"/>
      <c r="M79" s="243"/>
      <c r="N79" s="54"/>
      <c r="O79" s="57" t="s">
        <v>61</v>
      </c>
      <c r="P79" s="54"/>
      <c r="Q79" s="56" t="s">
        <v>60</v>
      </c>
      <c r="S79" s="247" t="s">
        <v>44</v>
      </c>
      <c r="T79" s="243"/>
      <c r="U79" s="243"/>
      <c r="V79" s="243"/>
      <c r="W79" s="54"/>
      <c r="X79" s="57" t="s">
        <v>61</v>
      </c>
      <c r="Y79" s="54"/>
      <c r="Z79" s="56" t="s">
        <v>60</v>
      </c>
      <c r="AB79" s="247" t="s">
        <v>44</v>
      </c>
      <c r="AC79" s="243"/>
      <c r="AD79" s="243"/>
      <c r="AE79" s="243"/>
      <c r="AF79" s="54"/>
      <c r="AG79" s="57" t="s">
        <v>61</v>
      </c>
      <c r="AH79" s="54"/>
      <c r="AI79" s="56" t="s">
        <v>60</v>
      </c>
    </row>
    <row r="80" spans="1:35" ht="15" customHeight="1" x14ac:dyDescent="0.15">
      <c r="A80" s="253" t="s">
        <v>45</v>
      </c>
      <c r="B80" s="254"/>
      <c r="C80" s="254"/>
      <c r="D80" s="254"/>
      <c r="E80" s="54"/>
      <c r="F80" s="57" t="s">
        <v>61</v>
      </c>
      <c r="G80" s="54"/>
      <c r="H80" s="56" t="s">
        <v>60</v>
      </c>
      <c r="J80" s="247" t="s">
        <v>45</v>
      </c>
      <c r="K80" s="243"/>
      <c r="L80" s="243"/>
      <c r="M80" s="243"/>
      <c r="N80" s="54"/>
      <c r="O80" s="57" t="s">
        <v>61</v>
      </c>
      <c r="P80" s="54"/>
      <c r="Q80" s="56" t="s">
        <v>60</v>
      </c>
      <c r="S80" s="247" t="s">
        <v>45</v>
      </c>
      <c r="T80" s="243"/>
      <c r="U80" s="243"/>
      <c r="V80" s="243"/>
      <c r="W80" s="54"/>
      <c r="X80" s="57" t="s">
        <v>61</v>
      </c>
      <c r="Y80" s="54"/>
      <c r="Z80" s="56" t="s">
        <v>60</v>
      </c>
      <c r="AB80" s="247" t="s">
        <v>45</v>
      </c>
      <c r="AC80" s="243"/>
      <c r="AD80" s="243"/>
      <c r="AE80" s="243"/>
      <c r="AF80" s="54"/>
      <c r="AG80" s="57" t="s">
        <v>61</v>
      </c>
      <c r="AH80" s="54"/>
      <c r="AI80" s="56" t="s">
        <v>60</v>
      </c>
    </row>
    <row r="81" spans="1:35" ht="15" customHeight="1" x14ac:dyDescent="0.15">
      <c r="A81" s="253" t="s">
        <v>46</v>
      </c>
      <c r="B81" s="254"/>
      <c r="C81" s="254"/>
      <c r="D81" s="254"/>
      <c r="E81" s="58"/>
      <c r="F81" s="59" t="s">
        <v>61</v>
      </c>
      <c r="G81" s="58"/>
      <c r="H81" s="60" t="s">
        <v>60</v>
      </c>
      <c r="J81" s="247" t="s">
        <v>46</v>
      </c>
      <c r="K81" s="243"/>
      <c r="L81" s="243"/>
      <c r="M81" s="243"/>
      <c r="N81" s="58"/>
      <c r="O81" s="59" t="s">
        <v>61</v>
      </c>
      <c r="P81" s="58"/>
      <c r="Q81" s="60" t="s">
        <v>60</v>
      </c>
      <c r="S81" s="247" t="s">
        <v>46</v>
      </c>
      <c r="T81" s="243"/>
      <c r="U81" s="243"/>
      <c r="V81" s="243"/>
      <c r="W81" s="58"/>
      <c r="X81" s="59" t="s">
        <v>61</v>
      </c>
      <c r="Y81" s="58"/>
      <c r="Z81" s="60" t="s">
        <v>60</v>
      </c>
      <c r="AB81" s="247" t="s">
        <v>46</v>
      </c>
      <c r="AC81" s="243"/>
      <c r="AD81" s="243"/>
      <c r="AE81" s="243"/>
      <c r="AF81" s="58"/>
      <c r="AG81" s="59" t="s">
        <v>61</v>
      </c>
      <c r="AH81" s="58"/>
      <c r="AI81" s="60" t="s">
        <v>60</v>
      </c>
    </row>
    <row r="82" spans="1:35" ht="15" customHeight="1" x14ac:dyDescent="0.15">
      <c r="A82" s="253" t="s">
        <v>47</v>
      </c>
      <c r="B82" s="254"/>
      <c r="C82" s="254"/>
      <c r="D82" s="254"/>
      <c r="E82" s="276">
        <f>賃金集計表!O16</f>
        <v>11000</v>
      </c>
      <c r="F82" s="273"/>
      <c r="G82" s="273"/>
      <c r="H82" s="274"/>
      <c r="J82" s="247" t="s">
        <v>47</v>
      </c>
      <c r="K82" s="243"/>
      <c r="L82" s="243"/>
      <c r="M82" s="243"/>
      <c r="N82" s="276">
        <f>賃金集計表!O17</f>
        <v>19000</v>
      </c>
      <c r="O82" s="273"/>
      <c r="P82" s="273"/>
      <c r="Q82" s="274"/>
      <c r="S82" s="247" t="s">
        <v>47</v>
      </c>
      <c r="T82" s="243"/>
      <c r="U82" s="243"/>
      <c r="V82" s="243"/>
      <c r="W82" s="276">
        <f>賃金集計表!O18</f>
        <v>9000</v>
      </c>
      <c r="X82" s="273"/>
      <c r="Y82" s="273"/>
      <c r="Z82" s="274"/>
      <c r="AB82" s="247" t="s">
        <v>47</v>
      </c>
      <c r="AC82" s="243"/>
      <c r="AD82" s="243"/>
      <c r="AE82" s="243"/>
      <c r="AF82" s="276">
        <f>賃金集計表!O19</f>
        <v>33000</v>
      </c>
      <c r="AG82" s="273"/>
      <c r="AH82" s="273"/>
      <c r="AI82" s="274"/>
    </row>
    <row r="83" spans="1:35" ht="15" customHeight="1" x14ac:dyDescent="0.15">
      <c r="A83" s="253" t="s">
        <v>48</v>
      </c>
      <c r="B83" s="254"/>
      <c r="C83" s="254"/>
      <c r="D83" s="254"/>
      <c r="E83" s="272"/>
      <c r="F83" s="273"/>
      <c r="G83" s="273"/>
      <c r="H83" s="274"/>
      <c r="J83" s="253" t="s">
        <v>48</v>
      </c>
      <c r="K83" s="254"/>
      <c r="L83" s="254"/>
      <c r="M83" s="254"/>
      <c r="N83" s="272"/>
      <c r="O83" s="273"/>
      <c r="P83" s="273"/>
      <c r="Q83" s="274"/>
      <c r="S83" s="253" t="s">
        <v>48</v>
      </c>
      <c r="T83" s="254"/>
      <c r="U83" s="254"/>
      <c r="V83" s="254"/>
      <c r="W83" s="272"/>
      <c r="X83" s="273"/>
      <c r="Y83" s="273"/>
      <c r="Z83" s="274"/>
      <c r="AB83" s="253" t="s">
        <v>48</v>
      </c>
      <c r="AC83" s="254"/>
      <c r="AD83" s="254"/>
      <c r="AE83" s="254"/>
      <c r="AF83" s="272"/>
      <c r="AG83" s="273"/>
      <c r="AH83" s="273"/>
      <c r="AI83" s="274"/>
    </row>
    <row r="84" spans="1:35" ht="15" customHeight="1" x14ac:dyDescent="0.15">
      <c r="A84" s="259" t="s">
        <v>22</v>
      </c>
      <c r="B84" s="254" t="s">
        <v>50</v>
      </c>
      <c r="C84" s="254"/>
      <c r="D84" s="254"/>
      <c r="E84" s="272"/>
      <c r="F84" s="273"/>
      <c r="G84" s="273"/>
      <c r="H84" s="274"/>
      <c r="J84" s="275" t="s">
        <v>22</v>
      </c>
      <c r="K84" s="243" t="s">
        <v>50</v>
      </c>
      <c r="L84" s="243"/>
      <c r="M84" s="243"/>
      <c r="N84" s="272"/>
      <c r="O84" s="273"/>
      <c r="P84" s="273"/>
      <c r="Q84" s="274"/>
      <c r="S84" s="275" t="s">
        <v>22</v>
      </c>
      <c r="T84" s="243" t="s">
        <v>50</v>
      </c>
      <c r="U84" s="243"/>
      <c r="V84" s="243"/>
      <c r="W84" s="272"/>
      <c r="X84" s="273"/>
      <c r="Y84" s="273"/>
      <c r="Z84" s="274"/>
      <c r="AB84" s="275" t="s">
        <v>22</v>
      </c>
      <c r="AC84" s="243" t="s">
        <v>50</v>
      </c>
      <c r="AD84" s="243"/>
      <c r="AE84" s="243"/>
      <c r="AF84" s="272"/>
      <c r="AG84" s="273"/>
      <c r="AH84" s="273"/>
      <c r="AI84" s="274"/>
    </row>
    <row r="85" spans="1:35" ht="15" customHeight="1" x14ac:dyDescent="0.15">
      <c r="A85" s="259"/>
      <c r="B85" s="254" t="s">
        <v>49</v>
      </c>
      <c r="C85" s="254"/>
      <c r="D85" s="254"/>
      <c r="E85" s="272"/>
      <c r="F85" s="273"/>
      <c r="G85" s="273"/>
      <c r="H85" s="274"/>
      <c r="J85" s="275"/>
      <c r="K85" s="243" t="s">
        <v>49</v>
      </c>
      <c r="L85" s="243"/>
      <c r="M85" s="243"/>
      <c r="N85" s="272"/>
      <c r="O85" s="273"/>
      <c r="P85" s="273"/>
      <c r="Q85" s="274"/>
      <c r="S85" s="275"/>
      <c r="T85" s="243" t="s">
        <v>49</v>
      </c>
      <c r="U85" s="243"/>
      <c r="V85" s="243"/>
      <c r="W85" s="272"/>
      <c r="X85" s="273"/>
      <c r="Y85" s="273"/>
      <c r="Z85" s="274"/>
      <c r="AB85" s="275"/>
      <c r="AC85" s="243" t="s">
        <v>49</v>
      </c>
      <c r="AD85" s="243"/>
      <c r="AE85" s="243"/>
      <c r="AF85" s="272"/>
      <c r="AG85" s="273"/>
      <c r="AH85" s="273"/>
      <c r="AI85" s="274"/>
    </row>
    <row r="86" spans="1:35" ht="15" customHeight="1" x14ac:dyDescent="0.15">
      <c r="A86" s="259"/>
      <c r="B86" s="254" t="s">
        <v>51</v>
      </c>
      <c r="C86" s="254"/>
      <c r="D86" s="254"/>
      <c r="E86" s="272"/>
      <c r="F86" s="273"/>
      <c r="G86" s="273"/>
      <c r="H86" s="274"/>
      <c r="J86" s="275"/>
      <c r="K86" s="243" t="s">
        <v>51</v>
      </c>
      <c r="L86" s="243"/>
      <c r="M86" s="243"/>
      <c r="N86" s="272"/>
      <c r="O86" s="273"/>
      <c r="P86" s="273"/>
      <c r="Q86" s="274"/>
      <c r="S86" s="275"/>
      <c r="T86" s="243" t="s">
        <v>51</v>
      </c>
      <c r="U86" s="243"/>
      <c r="V86" s="243"/>
      <c r="W86" s="272"/>
      <c r="X86" s="273"/>
      <c r="Y86" s="273"/>
      <c r="Z86" s="274"/>
      <c r="AB86" s="275"/>
      <c r="AC86" s="243" t="s">
        <v>51</v>
      </c>
      <c r="AD86" s="243"/>
      <c r="AE86" s="243"/>
      <c r="AF86" s="272"/>
      <c r="AG86" s="273"/>
      <c r="AH86" s="273"/>
      <c r="AI86" s="274"/>
    </row>
    <row r="87" spans="1:35" ht="15" customHeight="1" x14ac:dyDescent="0.15">
      <c r="A87" s="259"/>
      <c r="B87" s="254" t="s">
        <v>52</v>
      </c>
      <c r="C87" s="254"/>
      <c r="D87" s="254"/>
      <c r="E87" s="272"/>
      <c r="F87" s="273"/>
      <c r="G87" s="273"/>
      <c r="H87" s="274"/>
      <c r="J87" s="275"/>
      <c r="K87" s="243" t="s">
        <v>52</v>
      </c>
      <c r="L87" s="243"/>
      <c r="M87" s="243"/>
      <c r="N87" s="272"/>
      <c r="O87" s="273"/>
      <c r="P87" s="273"/>
      <c r="Q87" s="274"/>
      <c r="S87" s="275"/>
      <c r="T87" s="243" t="s">
        <v>52</v>
      </c>
      <c r="U87" s="243"/>
      <c r="V87" s="243"/>
      <c r="W87" s="272"/>
      <c r="X87" s="273"/>
      <c r="Y87" s="273"/>
      <c r="Z87" s="274"/>
      <c r="AB87" s="275"/>
      <c r="AC87" s="243" t="s">
        <v>52</v>
      </c>
      <c r="AD87" s="243"/>
      <c r="AE87" s="243"/>
      <c r="AF87" s="272"/>
      <c r="AG87" s="273"/>
      <c r="AH87" s="273"/>
      <c r="AI87" s="274"/>
    </row>
    <row r="88" spans="1:35" ht="15" customHeight="1" x14ac:dyDescent="0.15">
      <c r="A88" s="259"/>
      <c r="B88" s="254" t="s">
        <v>53</v>
      </c>
      <c r="C88" s="254"/>
      <c r="D88" s="254"/>
      <c r="E88" s="272"/>
      <c r="F88" s="273"/>
      <c r="G88" s="273"/>
      <c r="H88" s="274"/>
      <c r="J88" s="275"/>
      <c r="K88" s="243" t="s">
        <v>53</v>
      </c>
      <c r="L88" s="243"/>
      <c r="M88" s="243"/>
      <c r="N88" s="272"/>
      <c r="O88" s="273"/>
      <c r="P88" s="273"/>
      <c r="Q88" s="274"/>
      <c r="S88" s="275"/>
      <c r="T88" s="243" t="s">
        <v>53</v>
      </c>
      <c r="U88" s="243"/>
      <c r="V88" s="243"/>
      <c r="W88" s="272"/>
      <c r="X88" s="273"/>
      <c r="Y88" s="273"/>
      <c r="Z88" s="274"/>
      <c r="AB88" s="275"/>
      <c r="AC88" s="243" t="s">
        <v>53</v>
      </c>
      <c r="AD88" s="243"/>
      <c r="AE88" s="243"/>
      <c r="AF88" s="272"/>
      <c r="AG88" s="273"/>
      <c r="AH88" s="273"/>
      <c r="AI88" s="274"/>
    </row>
    <row r="89" spans="1:35" ht="15" customHeight="1" x14ac:dyDescent="0.15">
      <c r="A89" s="259"/>
      <c r="B89" s="254"/>
      <c r="C89" s="254"/>
      <c r="D89" s="254"/>
      <c r="E89" s="258"/>
      <c r="F89" s="256"/>
      <c r="G89" s="256"/>
      <c r="H89" s="257"/>
      <c r="J89" s="275"/>
      <c r="K89" s="243"/>
      <c r="L89" s="243"/>
      <c r="M89" s="243"/>
      <c r="N89" s="258"/>
      <c r="O89" s="256"/>
      <c r="P89" s="256"/>
      <c r="Q89" s="257"/>
      <c r="S89" s="275"/>
      <c r="T89" s="243"/>
      <c r="U89" s="243"/>
      <c r="V89" s="243"/>
      <c r="W89" s="258"/>
      <c r="X89" s="256"/>
      <c r="Y89" s="256"/>
      <c r="Z89" s="257"/>
      <c r="AB89" s="275"/>
      <c r="AC89" s="243"/>
      <c r="AD89" s="243"/>
      <c r="AE89" s="243"/>
      <c r="AF89" s="258"/>
      <c r="AG89" s="256"/>
      <c r="AH89" s="256"/>
      <c r="AI89" s="257"/>
    </row>
    <row r="90" spans="1:35" ht="15" customHeight="1" x14ac:dyDescent="0.15">
      <c r="A90" s="253" t="s">
        <v>54</v>
      </c>
      <c r="B90" s="254"/>
      <c r="C90" s="254"/>
      <c r="D90" s="254"/>
      <c r="E90" s="255">
        <f>賃金集計表!O16</f>
        <v>11000</v>
      </c>
      <c r="F90" s="256"/>
      <c r="G90" s="256"/>
      <c r="H90" s="257"/>
      <c r="J90" s="247" t="s">
        <v>54</v>
      </c>
      <c r="K90" s="243"/>
      <c r="L90" s="243"/>
      <c r="M90" s="243"/>
      <c r="N90" s="276">
        <f>賃金集計表!O25</f>
        <v>24650</v>
      </c>
      <c r="O90" s="273"/>
      <c r="P90" s="273"/>
      <c r="Q90" s="274"/>
      <c r="S90" s="247" t="s">
        <v>54</v>
      </c>
      <c r="T90" s="243"/>
      <c r="U90" s="243"/>
      <c r="V90" s="243"/>
      <c r="W90" s="276">
        <f>W82</f>
        <v>9000</v>
      </c>
      <c r="X90" s="273"/>
      <c r="Y90" s="273"/>
      <c r="Z90" s="274"/>
      <c r="AB90" s="247" t="s">
        <v>54</v>
      </c>
      <c r="AC90" s="243"/>
      <c r="AD90" s="243"/>
      <c r="AE90" s="243"/>
      <c r="AF90" s="255">
        <f>AF82</f>
        <v>33000</v>
      </c>
      <c r="AG90" s="256"/>
      <c r="AH90" s="256"/>
      <c r="AI90" s="257"/>
    </row>
    <row r="91" spans="1:35" ht="15" customHeight="1" x14ac:dyDescent="0.15">
      <c r="A91" s="259" t="s">
        <v>29</v>
      </c>
      <c r="B91" s="254" t="s">
        <v>55</v>
      </c>
      <c r="C91" s="254"/>
      <c r="D91" s="254"/>
      <c r="E91" s="258"/>
      <c r="F91" s="256"/>
      <c r="G91" s="256"/>
      <c r="H91" s="257"/>
      <c r="J91" s="259" t="s">
        <v>29</v>
      </c>
      <c r="K91" s="243" t="s">
        <v>55</v>
      </c>
      <c r="L91" s="243"/>
      <c r="M91" s="243"/>
      <c r="N91" s="258"/>
      <c r="O91" s="256"/>
      <c r="P91" s="256"/>
      <c r="Q91" s="257"/>
      <c r="S91" s="259" t="s">
        <v>29</v>
      </c>
      <c r="T91" s="243" t="s">
        <v>55</v>
      </c>
      <c r="U91" s="243"/>
      <c r="V91" s="243"/>
      <c r="W91" s="258"/>
      <c r="X91" s="256"/>
      <c r="Y91" s="256"/>
      <c r="Z91" s="257"/>
      <c r="AB91" s="259" t="s">
        <v>29</v>
      </c>
      <c r="AC91" s="243" t="s">
        <v>55</v>
      </c>
      <c r="AD91" s="243"/>
      <c r="AE91" s="243"/>
      <c r="AF91" s="258"/>
      <c r="AG91" s="256"/>
      <c r="AH91" s="256"/>
      <c r="AI91" s="257"/>
    </row>
    <row r="92" spans="1:35" ht="15" customHeight="1" x14ac:dyDescent="0.15">
      <c r="A92" s="259"/>
      <c r="B92" s="254" t="s">
        <v>24</v>
      </c>
      <c r="C92" s="254"/>
      <c r="D92" s="254"/>
      <c r="E92" s="258"/>
      <c r="F92" s="256"/>
      <c r="G92" s="256"/>
      <c r="H92" s="257"/>
      <c r="J92" s="259"/>
      <c r="K92" s="243" t="s">
        <v>24</v>
      </c>
      <c r="L92" s="243"/>
      <c r="M92" s="243"/>
      <c r="N92" s="258"/>
      <c r="O92" s="256"/>
      <c r="P92" s="256"/>
      <c r="Q92" s="257"/>
      <c r="S92" s="259"/>
      <c r="T92" s="243" t="s">
        <v>24</v>
      </c>
      <c r="U92" s="243"/>
      <c r="V92" s="243"/>
      <c r="W92" s="258"/>
      <c r="X92" s="256"/>
      <c r="Y92" s="256"/>
      <c r="Z92" s="257"/>
      <c r="AB92" s="259"/>
      <c r="AC92" s="243" t="s">
        <v>24</v>
      </c>
      <c r="AD92" s="243"/>
      <c r="AE92" s="243"/>
      <c r="AF92" s="258"/>
      <c r="AG92" s="256"/>
      <c r="AH92" s="256"/>
      <c r="AI92" s="257"/>
    </row>
    <row r="93" spans="1:35" ht="15" customHeight="1" x14ac:dyDescent="0.15">
      <c r="A93" s="259"/>
      <c r="B93" s="254" t="s">
        <v>56</v>
      </c>
      <c r="C93" s="254"/>
      <c r="D93" s="254"/>
      <c r="E93" s="258"/>
      <c r="F93" s="256"/>
      <c r="G93" s="256"/>
      <c r="H93" s="257"/>
      <c r="J93" s="259"/>
      <c r="K93" s="243" t="s">
        <v>56</v>
      </c>
      <c r="L93" s="243"/>
      <c r="M93" s="243"/>
      <c r="N93" s="258"/>
      <c r="O93" s="256"/>
      <c r="P93" s="256"/>
      <c r="Q93" s="257"/>
      <c r="S93" s="259"/>
      <c r="T93" s="243" t="s">
        <v>56</v>
      </c>
      <c r="U93" s="243"/>
      <c r="V93" s="243"/>
      <c r="W93" s="258"/>
      <c r="X93" s="256"/>
      <c r="Y93" s="256"/>
      <c r="Z93" s="257"/>
      <c r="AB93" s="259"/>
      <c r="AC93" s="243" t="s">
        <v>56</v>
      </c>
      <c r="AD93" s="243"/>
      <c r="AE93" s="243"/>
      <c r="AF93" s="258"/>
      <c r="AG93" s="256"/>
      <c r="AH93" s="256"/>
      <c r="AI93" s="257"/>
    </row>
    <row r="94" spans="1:35" ht="15" customHeight="1" x14ac:dyDescent="0.15">
      <c r="A94" s="259"/>
      <c r="B94" s="254" t="s">
        <v>27</v>
      </c>
      <c r="C94" s="254"/>
      <c r="D94" s="254"/>
      <c r="E94" s="258"/>
      <c r="F94" s="256"/>
      <c r="G94" s="256"/>
      <c r="H94" s="257"/>
      <c r="J94" s="259"/>
      <c r="K94" s="243" t="s">
        <v>27</v>
      </c>
      <c r="L94" s="243"/>
      <c r="M94" s="243"/>
      <c r="N94" s="258"/>
      <c r="O94" s="256"/>
      <c r="P94" s="256"/>
      <c r="Q94" s="257"/>
      <c r="S94" s="259"/>
      <c r="T94" s="243" t="s">
        <v>27</v>
      </c>
      <c r="U94" s="243"/>
      <c r="V94" s="243"/>
      <c r="W94" s="258"/>
      <c r="X94" s="256"/>
      <c r="Y94" s="256"/>
      <c r="Z94" s="257"/>
      <c r="AB94" s="259"/>
      <c r="AC94" s="243" t="s">
        <v>27</v>
      </c>
      <c r="AD94" s="243"/>
      <c r="AE94" s="243"/>
      <c r="AF94" s="258"/>
      <c r="AG94" s="256"/>
      <c r="AH94" s="256"/>
      <c r="AI94" s="257"/>
    </row>
    <row r="95" spans="1:35" ht="15" customHeight="1" x14ac:dyDescent="0.15">
      <c r="A95" s="259"/>
      <c r="B95" s="254" t="s">
        <v>26</v>
      </c>
      <c r="C95" s="254"/>
      <c r="D95" s="254"/>
      <c r="E95" s="258"/>
      <c r="F95" s="256"/>
      <c r="G95" s="256"/>
      <c r="H95" s="257"/>
      <c r="J95" s="259"/>
      <c r="K95" s="243" t="s">
        <v>26</v>
      </c>
      <c r="L95" s="243"/>
      <c r="M95" s="243"/>
      <c r="N95" s="258"/>
      <c r="O95" s="256"/>
      <c r="P95" s="256"/>
      <c r="Q95" s="257"/>
      <c r="S95" s="259"/>
      <c r="T95" s="243" t="s">
        <v>26</v>
      </c>
      <c r="U95" s="243"/>
      <c r="V95" s="243"/>
      <c r="W95" s="258"/>
      <c r="X95" s="256"/>
      <c r="Y95" s="256"/>
      <c r="Z95" s="257"/>
      <c r="AB95" s="259"/>
      <c r="AC95" s="243" t="s">
        <v>26</v>
      </c>
      <c r="AD95" s="243"/>
      <c r="AE95" s="243"/>
      <c r="AF95" s="258"/>
      <c r="AG95" s="256"/>
      <c r="AH95" s="256"/>
      <c r="AI95" s="257"/>
    </row>
    <row r="96" spans="1:35" ht="15" customHeight="1" x14ac:dyDescent="0.15">
      <c r="A96" s="259"/>
      <c r="B96" s="254"/>
      <c r="C96" s="254"/>
      <c r="D96" s="254"/>
      <c r="E96" s="258"/>
      <c r="F96" s="256"/>
      <c r="G96" s="256"/>
      <c r="H96" s="257"/>
      <c r="J96" s="259"/>
      <c r="K96" s="243"/>
      <c r="L96" s="243"/>
      <c r="M96" s="243"/>
      <c r="N96" s="258"/>
      <c r="O96" s="256"/>
      <c r="P96" s="256"/>
      <c r="Q96" s="257"/>
      <c r="S96" s="259"/>
      <c r="T96" s="243"/>
      <c r="U96" s="243"/>
      <c r="V96" s="243"/>
      <c r="W96" s="258"/>
      <c r="X96" s="256"/>
      <c r="Y96" s="256"/>
      <c r="Z96" s="257"/>
      <c r="AB96" s="259"/>
      <c r="AC96" s="243"/>
      <c r="AD96" s="243"/>
      <c r="AE96" s="243"/>
      <c r="AF96" s="258"/>
      <c r="AG96" s="256"/>
      <c r="AH96" s="256"/>
      <c r="AI96" s="257"/>
    </row>
    <row r="97" spans="1:35" ht="15" customHeight="1" x14ac:dyDescent="0.15">
      <c r="A97" s="259"/>
      <c r="B97" s="243" t="s">
        <v>81</v>
      </c>
      <c r="C97" s="243"/>
      <c r="D97" s="243"/>
      <c r="E97" s="255">
        <f>賃金集計表!V16</f>
        <v>2900</v>
      </c>
      <c r="F97" s="256"/>
      <c r="G97" s="256"/>
      <c r="H97" s="257"/>
      <c r="J97" s="259"/>
      <c r="K97" s="243" t="s">
        <v>81</v>
      </c>
      <c r="L97" s="243"/>
      <c r="M97" s="243"/>
      <c r="N97" s="255">
        <f>賃金集計表!V17</f>
        <v>6650</v>
      </c>
      <c r="O97" s="256"/>
      <c r="P97" s="256"/>
      <c r="Q97" s="257"/>
      <c r="S97" s="259"/>
      <c r="T97" s="243" t="s">
        <v>81</v>
      </c>
      <c r="U97" s="243"/>
      <c r="V97" s="243"/>
      <c r="W97" s="258"/>
      <c r="X97" s="256"/>
      <c r="Y97" s="256"/>
      <c r="Z97" s="257"/>
      <c r="AB97" s="259"/>
      <c r="AC97" s="243" t="s">
        <v>81</v>
      </c>
      <c r="AD97" s="243"/>
      <c r="AE97" s="243"/>
      <c r="AF97" s="255">
        <f>賃金集計表!V19</f>
        <v>1750</v>
      </c>
      <c r="AG97" s="256"/>
      <c r="AH97" s="256"/>
      <c r="AI97" s="257"/>
    </row>
    <row r="98" spans="1:35" ht="15" customHeight="1" x14ac:dyDescent="0.15">
      <c r="A98" s="259"/>
      <c r="B98" s="254" t="s">
        <v>54</v>
      </c>
      <c r="C98" s="254"/>
      <c r="D98" s="254"/>
      <c r="E98" s="258">
        <f>SUM(E91:H97)</f>
        <v>2900</v>
      </c>
      <c r="F98" s="256"/>
      <c r="G98" s="256"/>
      <c r="H98" s="257"/>
      <c r="J98" s="259"/>
      <c r="K98" s="243" t="s">
        <v>54</v>
      </c>
      <c r="L98" s="243"/>
      <c r="M98" s="243"/>
      <c r="N98" s="258">
        <f>SUM(N91:Q97)</f>
        <v>6650</v>
      </c>
      <c r="O98" s="256"/>
      <c r="P98" s="256"/>
      <c r="Q98" s="257"/>
      <c r="S98" s="259"/>
      <c r="T98" s="243" t="s">
        <v>54</v>
      </c>
      <c r="U98" s="243"/>
      <c r="V98" s="243"/>
      <c r="W98" s="258">
        <f>SUM(W91:Z97)</f>
        <v>0</v>
      </c>
      <c r="X98" s="256"/>
      <c r="Y98" s="256"/>
      <c r="Z98" s="257"/>
      <c r="AB98" s="259"/>
      <c r="AC98" s="243" t="s">
        <v>54</v>
      </c>
      <c r="AD98" s="243"/>
      <c r="AE98" s="243"/>
      <c r="AF98" s="258">
        <f>SUM(AF91:AI97)</f>
        <v>1750</v>
      </c>
      <c r="AG98" s="256"/>
      <c r="AH98" s="256"/>
      <c r="AI98" s="257"/>
    </row>
    <row r="99" spans="1:35" ht="15" customHeight="1" x14ac:dyDescent="0.15">
      <c r="A99" s="253" t="s">
        <v>57</v>
      </c>
      <c r="B99" s="254"/>
      <c r="C99" s="254"/>
      <c r="D99" s="254"/>
      <c r="E99" s="255">
        <f>賃金集計表!X62</f>
        <v>0</v>
      </c>
      <c r="F99" s="256"/>
      <c r="G99" s="256"/>
      <c r="H99" s="257"/>
      <c r="J99" s="247" t="s">
        <v>57</v>
      </c>
      <c r="K99" s="243"/>
      <c r="L99" s="243"/>
      <c r="M99" s="243"/>
      <c r="N99" s="258"/>
      <c r="O99" s="256"/>
      <c r="P99" s="256"/>
      <c r="Q99" s="257"/>
      <c r="S99" s="247" t="s">
        <v>57</v>
      </c>
      <c r="T99" s="243"/>
      <c r="U99" s="243"/>
      <c r="V99" s="243"/>
      <c r="W99" s="258"/>
      <c r="X99" s="256"/>
      <c r="Y99" s="256"/>
      <c r="Z99" s="257"/>
      <c r="AB99" s="247" t="s">
        <v>57</v>
      </c>
      <c r="AC99" s="243"/>
      <c r="AD99" s="243"/>
      <c r="AE99" s="243"/>
      <c r="AF99" s="258"/>
      <c r="AG99" s="256"/>
      <c r="AH99" s="256"/>
      <c r="AI99" s="257"/>
    </row>
    <row r="100" spans="1:35" ht="15" customHeight="1" x14ac:dyDescent="0.15">
      <c r="A100" s="262" t="s">
        <v>58</v>
      </c>
      <c r="B100" s="263"/>
      <c r="C100" s="263"/>
      <c r="D100" s="61"/>
      <c r="E100" s="62"/>
      <c r="F100" s="62"/>
      <c r="G100" s="264" t="s">
        <v>62</v>
      </c>
      <c r="H100" s="265"/>
      <c r="J100" s="262" t="s">
        <v>58</v>
      </c>
      <c r="K100" s="263"/>
      <c r="L100" s="263"/>
      <c r="M100" s="61"/>
      <c r="N100" s="62"/>
      <c r="O100" s="62"/>
      <c r="P100" s="264" t="s">
        <v>62</v>
      </c>
      <c r="Q100" s="265"/>
      <c r="S100" s="262" t="s">
        <v>58</v>
      </c>
      <c r="T100" s="263"/>
      <c r="U100" s="263"/>
      <c r="V100" s="61"/>
      <c r="W100" s="62"/>
      <c r="X100" s="62"/>
      <c r="Y100" s="264" t="s">
        <v>62</v>
      </c>
      <c r="Z100" s="265"/>
      <c r="AB100" s="262" t="s">
        <v>58</v>
      </c>
      <c r="AC100" s="263"/>
      <c r="AD100" s="263"/>
      <c r="AE100" s="61"/>
      <c r="AF100" s="62"/>
      <c r="AG100" s="62"/>
      <c r="AH100" s="264" t="s">
        <v>62</v>
      </c>
      <c r="AI100" s="265"/>
    </row>
    <row r="101" spans="1:35" ht="18" customHeight="1" x14ac:dyDescent="0.15">
      <c r="A101" s="270" t="s">
        <v>31</v>
      </c>
      <c r="B101" s="271"/>
      <c r="C101" s="271"/>
      <c r="D101" s="271"/>
      <c r="E101" s="271"/>
      <c r="F101" s="271"/>
      <c r="G101" s="266"/>
      <c r="H101" s="267"/>
      <c r="J101" s="270" t="s">
        <v>31</v>
      </c>
      <c r="K101" s="271"/>
      <c r="L101" s="271"/>
      <c r="M101" s="271"/>
      <c r="N101" s="271"/>
      <c r="O101" s="271"/>
      <c r="P101" s="266"/>
      <c r="Q101" s="267"/>
      <c r="S101" s="270" t="s">
        <v>31</v>
      </c>
      <c r="T101" s="271"/>
      <c r="U101" s="271"/>
      <c r="V101" s="271"/>
      <c r="W101" s="271"/>
      <c r="X101" s="271"/>
      <c r="Y101" s="266"/>
      <c r="Z101" s="267"/>
      <c r="AB101" s="270" t="s">
        <v>31</v>
      </c>
      <c r="AC101" s="271"/>
      <c r="AD101" s="271"/>
      <c r="AE101" s="271"/>
      <c r="AF101" s="271"/>
      <c r="AG101" s="271"/>
      <c r="AH101" s="266"/>
      <c r="AI101" s="267"/>
    </row>
    <row r="102" spans="1:35" ht="22.5" customHeight="1" thickBot="1" x14ac:dyDescent="0.2">
      <c r="A102" s="260" t="s">
        <v>63</v>
      </c>
      <c r="B102" s="261"/>
      <c r="C102" s="261"/>
      <c r="D102" s="261"/>
      <c r="E102" s="261"/>
      <c r="F102" s="261"/>
      <c r="G102" s="268"/>
      <c r="H102" s="269"/>
      <c r="J102" s="260" t="s">
        <v>63</v>
      </c>
      <c r="K102" s="261"/>
      <c r="L102" s="261"/>
      <c r="M102" s="261"/>
      <c r="N102" s="261"/>
      <c r="O102" s="261"/>
      <c r="P102" s="268"/>
      <c r="Q102" s="269"/>
      <c r="S102" s="260" t="s">
        <v>63</v>
      </c>
      <c r="T102" s="261"/>
      <c r="U102" s="261"/>
      <c r="V102" s="261"/>
      <c r="W102" s="261"/>
      <c r="X102" s="261"/>
      <c r="Y102" s="268"/>
      <c r="Z102" s="269"/>
      <c r="AB102" s="260" t="s">
        <v>63</v>
      </c>
      <c r="AC102" s="261"/>
      <c r="AD102" s="261"/>
      <c r="AE102" s="261"/>
      <c r="AF102" s="261"/>
      <c r="AG102" s="261"/>
      <c r="AH102" s="268"/>
      <c r="AI102" s="269"/>
    </row>
    <row r="103" spans="1:35" ht="28.5" customHeight="1" thickTop="1" x14ac:dyDescent="0.15">
      <c r="A103" s="287" t="s">
        <v>34</v>
      </c>
      <c r="B103" s="287"/>
      <c r="C103" s="287"/>
      <c r="D103" s="287"/>
      <c r="E103" s="287"/>
      <c r="F103" s="287"/>
      <c r="G103" s="287"/>
      <c r="H103" s="287"/>
      <c r="J103" s="287" t="s">
        <v>34</v>
      </c>
      <c r="K103" s="287"/>
      <c r="L103" s="287"/>
      <c r="M103" s="287"/>
      <c r="N103" s="287"/>
      <c r="O103" s="287"/>
      <c r="P103" s="287"/>
      <c r="Q103" s="287"/>
      <c r="S103" s="287" t="s">
        <v>34</v>
      </c>
      <c r="T103" s="287"/>
      <c r="U103" s="287"/>
      <c r="V103" s="287"/>
      <c r="W103" s="287"/>
      <c r="X103" s="287"/>
      <c r="Y103" s="287"/>
      <c r="Z103" s="287"/>
      <c r="AB103" s="287" t="s">
        <v>34</v>
      </c>
      <c r="AC103" s="287"/>
      <c r="AD103" s="287"/>
      <c r="AE103" s="287"/>
      <c r="AF103" s="287"/>
      <c r="AG103" s="287"/>
      <c r="AH103" s="287"/>
      <c r="AI103" s="287"/>
    </row>
    <row r="104" spans="1:35" ht="8.25" customHeight="1" x14ac:dyDescent="0.15">
      <c r="A104" s="51"/>
      <c r="B104" s="51"/>
      <c r="C104" s="51"/>
      <c r="D104" s="51"/>
      <c r="E104" s="51"/>
      <c r="F104" s="51"/>
      <c r="G104" s="51"/>
      <c r="H104" s="51"/>
      <c r="J104" s="51"/>
      <c r="K104" s="51"/>
      <c r="L104" s="51"/>
      <c r="M104" s="51"/>
      <c r="N104" s="51"/>
      <c r="O104" s="51"/>
      <c r="P104" s="51"/>
      <c r="Q104" s="51"/>
      <c r="S104" s="51"/>
      <c r="T104" s="51"/>
      <c r="U104" s="51"/>
      <c r="V104" s="51"/>
      <c r="W104" s="51"/>
      <c r="X104" s="51"/>
      <c r="Y104" s="51"/>
      <c r="Z104" s="51"/>
      <c r="AB104" s="51"/>
      <c r="AC104" s="51"/>
      <c r="AD104" s="51"/>
      <c r="AE104" s="51"/>
      <c r="AF104" s="51"/>
      <c r="AG104" s="51"/>
      <c r="AH104" s="51"/>
      <c r="AI104" s="51"/>
    </row>
    <row r="105" spans="1:35" ht="23.25" customHeight="1" x14ac:dyDescent="0.15">
      <c r="A105" s="51"/>
      <c r="B105" s="51"/>
      <c r="C105" s="63" t="s">
        <v>35</v>
      </c>
      <c r="D105" s="51">
        <v>27</v>
      </c>
      <c r="E105" s="51" t="s">
        <v>36</v>
      </c>
      <c r="F105" s="51">
        <v>5</v>
      </c>
      <c r="G105" s="64" t="s">
        <v>37</v>
      </c>
      <c r="H105" s="51"/>
      <c r="J105" s="51"/>
      <c r="K105" s="51"/>
      <c r="L105" s="63" t="s">
        <v>35</v>
      </c>
      <c r="M105" s="51">
        <v>27</v>
      </c>
      <c r="N105" s="51" t="s">
        <v>36</v>
      </c>
      <c r="O105" s="51">
        <v>4</v>
      </c>
      <c r="P105" s="64">
        <v>5</v>
      </c>
      <c r="Q105" s="51"/>
      <c r="S105" s="51"/>
      <c r="T105" s="51"/>
      <c r="U105" s="63" t="s">
        <v>35</v>
      </c>
      <c r="V105" s="51">
        <v>27</v>
      </c>
      <c r="W105" s="51" t="s">
        <v>36</v>
      </c>
      <c r="X105" s="51">
        <v>5</v>
      </c>
      <c r="Y105" s="64" t="s">
        <v>37</v>
      </c>
      <c r="Z105" s="51"/>
      <c r="AB105" s="51"/>
      <c r="AC105" s="51"/>
      <c r="AD105" s="63" t="s">
        <v>35</v>
      </c>
      <c r="AE105" s="51">
        <v>27</v>
      </c>
      <c r="AF105" s="51" t="s">
        <v>36</v>
      </c>
      <c r="AG105" s="51">
        <v>5</v>
      </c>
      <c r="AH105" s="64" t="s">
        <v>37</v>
      </c>
      <c r="AI105" s="51"/>
    </row>
    <row r="106" spans="1:35" ht="20.25" customHeight="1" x14ac:dyDescent="0.15">
      <c r="A106" s="52" t="s">
        <v>38</v>
      </c>
      <c r="B106" s="52" t="s">
        <v>39</v>
      </c>
      <c r="C106" s="52" t="s">
        <v>40</v>
      </c>
      <c r="D106" s="52"/>
      <c r="E106" s="52"/>
      <c r="F106" s="51"/>
      <c r="G106" s="51"/>
      <c r="H106" s="51"/>
      <c r="J106" s="52" t="s">
        <v>38</v>
      </c>
      <c r="K106" s="52" t="s">
        <v>39</v>
      </c>
      <c r="L106" s="52" t="s">
        <v>40</v>
      </c>
      <c r="M106" s="52"/>
      <c r="N106" s="52"/>
      <c r="O106" s="51"/>
      <c r="P106" s="51"/>
      <c r="Q106" s="51"/>
      <c r="S106" s="52" t="s">
        <v>38</v>
      </c>
      <c r="T106" s="52" t="s">
        <v>39</v>
      </c>
      <c r="U106" s="52" t="s">
        <v>40</v>
      </c>
      <c r="V106" s="52"/>
      <c r="W106" s="52"/>
      <c r="X106" s="51"/>
      <c r="Y106" s="51"/>
      <c r="Z106" s="51"/>
      <c r="AB106" s="52" t="s">
        <v>38</v>
      </c>
      <c r="AC106" s="52" t="s">
        <v>39</v>
      </c>
      <c r="AD106" s="52" t="s">
        <v>40</v>
      </c>
      <c r="AE106" s="52"/>
      <c r="AF106" s="52"/>
      <c r="AG106" s="51"/>
      <c r="AH106" s="51"/>
      <c r="AI106" s="51"/>
    </row>
    <row r="107" spans="1:35" x14ac:dyDescent="0.15">
      <c r="A107" s="280" t="str">
        <f>賃金集計表!A20</f>
        <v>上松　浩二</v>
      </c>
      <c r="B107" s="280"/>
      <c r="C107" s="280"/>
      <c r="D107" s="280"/>
      <c r="E107" s="280"/>
      <c r="F107" s="280"/>
      <c r="G107" s="280"/>
      <c r="H107" s="53"/>
      <c r="J107" s="280" t="str">
        <f>賃金集計表!A21</f>
        <v>若林　哲也</v>
      </c>
      <c r="K107" s="280"/>
      <c r="L107" s="280"/>
      <c r="M107" s="280"/>
      <c r="N107" s="280"/>
      <c r="O107" s="280"/>
      <c r="P107" s="280"/>
      <c r="Q107" s="53"/>
      <c r="S107" s="280" t="str">
        <f>賃金集計表!A22</f>
        <v>柏木　憲太</v>
      </c>
      <c r="T107" s="280"/>
      <c r="U107" s="280"/>
      <c r="V107" s="280"/>
      <c r="W107" s="280"/>
      <c r="X107" s="280"/>
      <c r="Y107" s="280"/>
      <c r="Z107" s="53"/>
      <c r="AB107" s="280" t="str">
        <f>賃金集計表!A23</f>
        <v>大元裕美子</v>
      </c>
      <c r="AC107" s="280"/>
      <c r="AD107" s="280"/>
      <c r="AE107" s="280"/>
      <c r="AF107" s="280"/>
      <c r="AG107" s="280"/>
      <c r="AH107" s="280"/>
      <c r="AI107" s="53"/>
    </row>
    <row r="108" spans="1:35" x14ac:dyDescent="0.15">
      <c r="A108" s="281"/>
      <c r="B108" s="281"/>
      <c r="C108" s="281"/>
      <c r="D108" s="281"/>
      <c r="E108" s="281"/>
      <c r="F108" s="281"/>
      <c r="G108" s="281"/>
      <c r="H108" s="52" t="s">
        <v>41</v>
      </c>
      <c r="J108" s="281"/>
      <c r="K108" s="281"/>
      <c r="L108" s="281"/>
      <c r="M108" s="281"/>
      <c r="N108" s="281"/>
      <c r="O108" s="281"/>
      <c r="P108" s="281"/>
      <c r="Q108" s="52" t="s">
        <v>41</v>
      </c>
      <c r="S108" s="281"/>
      <c r="T108" s="281"/>
      <c r="U108" s="281"/>
      <c r="V108" s="281"/>
      <c r="W108" s="281"/>
      <c r="X108" s="281"/>
      <c r="Y108" s="281"/>
      <c r="Z108" s="52" t="s">
        <v>41</v>
      </c>
      <c r="AB108" s="281"/>
      <c r="AC108" s="281"/>
      <c r="AD108" s="281"/>
      <c r="AE108" s="281"/>
      <c r="AF108" s="281"/>
      <c r="AG108" s="281"/>
      <c r="AH108" s="281"/>
      <c r="AI108" s="52" t="s">
        <v>41</v>
      </c>
    </row>
    <row r="109" spans="1:35" ht="6" customHeight="1" thickBot="1" x14ac:dyDescent="0.2">
      <c r="A109" s="51"/>
      <c r="B109" s="51"/>
      <c r="C109" s="51"/>
      <c r="D109" s="51"/>
      <c r="E109" s="51"/>
      <c r="F109" s="51"/>
      <c r="G109" s="51"/>
      <c r="H109" s="51"/>
      <c r="J109" s="51"/>
      <c r="K109" s="51"/>
      <c r="L109" s="51"/>
      <c r="M109" s="51"/>
      <c r="N109" s="51"/>
      <c r="O109" s="51"/>
      <c r="P109" s="51"/>
      <c r="Q109" s="51"/>
      <c r="S109" s="51"/>
      <c r="T109" s="51"/>
      <c r="U109" s="51"/>
      <c r="V109" s="51"/>
      <c r="W109" s="51"/>
      <c r="X109" s="51"/>
      <c r="Y109" s="51"/>
      <c r="Z109" s="51"/>
      <c r="AB109" s="51"/>
      <c r="AC109" s="51"/>
      <c r="AD109" s="51"/>
      <c r="AE109" s="51"/>
      <c r="AF109" s="51"/>
      <c r="AG109" s="51"/>
      <c r="AH109" s="51"/>
      <c r="AI109" s="51"/>
    </row>
    <row r="110" spans="1:35" ht="15" customHeight="1" thickTop="1" x14ac:dyDescent="0.15">
      <c r="A110" s="283" t="s">
        <v>42</v>
      </c>
      <c r="B110" s="284"/>
      <c r="C110" s="284"/>
      <c r="D110" s="284"/>
      <c r="E110" s="277" t="s">
        <v>114</v>
      </c>
      <c r="F110" s="278"/>
      <c r="G110" s="278"/>
      <c r="H110" s="279"/>
      <c r="J110" s="251" t="s">
        <v>42</v>
      </c>
      <c r="K110" s="252"/>
      <c r="L110" s="252"/>
      <c r="M110" s="252"/>
      <c r="N110" s="277" t="s">
        <v>114</v>
      </c>
      <c r="O110" s="278"/>
      <c r="P110" s="278"/>
      <c r="Q110" s="279"/>
      <c r="S110" s="251" t="s">
        <v>42</v>
      </c>
      <c r="T110" s="252"/>
      <c r="U110" s="252"/>
      <c r="V110" s="252"/>
      <c r="W110" s="277" t="s">
        <v>114</v>
      </c>
      <c r="X110" s="278"/>
      <c r="Y110" s="278"/>
      <c r="Z110" s="279"/>
      <c r="AB110" s="251" t="s">
        <v>42</v>
      </c>
      <c r="AC110" s="252"/>
      <c r="AD110" s="252"/>
      <c r="AE110" s="252"/>
      <c r="AF110" s="277" t="s">
        <v>114</v>
      </c>
      <c r="AG110" s="278"/>
      <c r="AH110" s="278"/>
      <c r="AI110" s="279"/>
    </row>
    <row r="111" spans="1:35" ht="15" customHeight="1" x14ac:dyDescent="0.15">
      <c r="A111" s="253" t="s">
        <v>59</v>
      </c>
      <c r="B111" s="254"/>
      <c r="C111" s="254"/>
      <c r="D111" s="254"/>
      <c r="E111" s="54"/>
      <c r="F111" s="55"/>
      <c r="G111" s="55">
        <f>賃金集計表!B20</f>
        <v>22</v>
      </c>
      <c r="H111" s="56" t="s">
        <v>8</v>
      </c>
      <c r="J111" s="247" t="s">
        <v>59</v>
      </c>
      <c r="K111" s="243"/>
      <c r="L111" s="243"/>
      <c r="M111" s="243"/>
      <c r="N111" s="54"/>
      <c r="O111" s="55"/>
      <c r="P111" s="55">
        <f>賃金集計表!B21</f>
        <v>12</v>
      </c>
      <c r="Q111" s="56" t="s">
        <v>8</v>
      </c>
      <c r="S111" s="247" t="s">
        <v>59</v>
      </c>
      <c r="T111" s="243"/>
      <c r="U111" s="243"/>
      <c r="V111" s="243"/>
      <c r="W111" s="54"/>
      <c r="X111" s="55"/>
      <c r="Y111" s="55">
        <f>賃金集計表!B22</f>
        <v>22</v>
      </c>
      <c r="Z111" s="56" t="s">
        <v>8</v>
      </c>
      <c r="AB111" s="247" t="s">
        <v>59</v>
      </c>
      <c r="AC111" s="243"/>
      <c r="AD111" s="243"/>
      <c r="AE111" s="243"/>
      <c r="AF111" s="54"/>
      <c r="AG111" s="55"/>
      <c r="AH111" s="55">
        <f>賃金集計表!B23</f>
        <v>20</v>
      </c>
      <c r="AI111" s="56" t="s">
        <v>8</v>
      </c>
    </row>
    <row r="112" spans="1:35" ht="15" customHeight="1" x14ac:dyDescent="0.15">
      <c r="A112" s="253" t="s">
        <v>43</v>
      </c>
      <c r="B112" s="254"/>
      <c r="C112" s="254"/>
      <c r="D112" s="254"/>
      <c r="E112" s="54">
        <v>10</v>
      </c>
      <c r="F112" s="57" t="s">
        <v>61</v>
      </c>
      <c r="G112" s="54">
        <v>38</v>
      </c>
      <c r="H112" s="56" t="s">
        <v>60</v>
      </c>
      <c r="J112" s="247" t="s">
        <v>43</v>
      </c>
      <c r="K112" s="243"/>
      <c r="L112" s="243"/>
      <c r="M112" s="243"/>
      <c r="N112" s="54"/>
      <c r="O112" s="57" t="s">
        <v>61</v>
      </c>
      <c r="P112" s="54"/>
      <c r="Q112" s="56" t="s">
        <v>60</v>
      </c>
      <c r="S112" s="247" t="s">
        <v>43</v>
      </c>
      <c r="T112" s="243"/>
      <c r="U112" s="243"/>
      <c r="V112" s="243"/>
      <c r="W112" s="54"/>
      <c r="X112" s="57" t="s">
        <v>61</v>
      </c>
      <c r="Y112" s="54"/>
      <c r="Z112" s="56" t="s">
        <v>60</v>
      </c>
      <c r="AB112" s="247" t="s">
        <v>43</v>
      </c>
      <c r="AC112" s="243"/>
      <c r="AD112" s="243"/>
      <c r="AE112" s="243"/>
      <c r="AF112" s="54"/>
      <c r="AG112" s="57" t="s">
        <v>61</v>
      </c>
      <c r="AH112" s="54"/>
      <c r="AI112" s="56" t="s">
        <v>60</v>
      </c>
    </row>
    <row r="113" spans="1:35" ht="15" customHeight="1" x14ac:dyDescent="0.15">
      <c r="A113" s="253" t="s">
        <v>44</v>
      </c>
      <c r="B113" s="254"/>
      <c r="C113" s="254"/>
      <c r="D113" s="254"/>
      <c r="E113" s="54"/>
      <c r="F113" s="57" t="s">
        <v>61</v>
      </c>
      <c r="G113" s="54"/>
      <c r="H113" s="56" t="s">
        <v>60</v>
      </c>
      <c r="J113" s="247" t="s">
        <v>44</v>
      </c>
      <c r="K113" s="243"/>
      <c r="L113" s="243"/>
      <c r="M113" s="243"/>
      <c r="N113" s="54"/>
      <c r="O113" s="57" t="s">
        <v>61</v>
      </c>
      <c r="P113" s="54"/>
      <c r="Q113" s="56" t="s">
        <v>60</v>
      </c>
      <c r="S113" s="247" t="s">
        <v>44</v>
      </c>
      <c r="T113" s="243"/>
      <c r="U113" s="243"/>
      <c r="V113" s="243"/>
      <c r="W113" s="54"/>
      <c r="X113" s="57" t="s">
        <v>61</v>
      </c>
      <c r="Y113" s="54"/>
      <c r="Z113" s="56" t="s">
        <v>60</v>
      </c>
      <c r="AB113" s="247" t="s">
        <v>44</v>
      </c>
      <c r="AC113" s="243"/>
      <c r="AD113" s="243"/>
      <c r="AE113" s="243"/>
      <c r="AF113" s="54"/>
      <c r="AG113" s="57" t="s">
        <v>61</v>
      </c>
      <c r="AH113" s="54"/>
      <c r="AI113" s="56" t="s">
        <v>60</v>
      </c>
    </row>
    <row r="114" spans="1:35" ht="15" customHeight="1" x14ac:dyDescent="0.15">
      <c r="A114" s="253" t="s">
        <v>45</v>
      </c>
      <c r="B114" s="254"/>
      <c r="C114" s="254"/>
      <c r="D114" s="254"/>
      <c r="E114" s="54"/>
      <c r="F114" s="57" t="s">
        <v>61</v>
      </c>
      <c r="G114" s="54"/>
      <c r="H114" s="56" t="s">
        <v>60</v>
      </c>
      <c r="J114" s="247" t="s">
        <v>45</v>
      </c>
      <c r="K114" s="243"/>
      <c r="L114" s="243"/>
      <c r="M114" s="243"/>
      <c r="N114" s="54"/>
      <c r="O114" s="57" t="s">
        <v>61</v>
      </c>
      <c r="P114" s="54"/>
      <c r="Q114" s="56" t="s">
        <v>60</v>
      </c>
      <c r="S114" s="247" t="s">
        <v>45</v>
      </c>
      <c r="T114" s="243"/>
      <c r="U114" s="243"/>
      <c r="V114" s="243"/>
      <c r="W114" s="54"/>
      <c r="X114" s="57" t="s">
        <v>61</v>
      </c>
      <c r="Y114" s="54"/>
      <c r="Z114" s="56" t="s">
        <v>60</v>
      </c>
      <c r="AB114" s="247" t="s">
        <v>45</v>
      </c>
      <c r="AC114" s="243"/>
      <c r="AD114" s="243"/>
      <c r="AE114" s="243"/>
      <c r="AF114" s="54"/>
      <c r="AG114" s="57" t="s">
        <v>61</v>
      </c>
      <c r="AH114" s="54"/>
      <c r="AI114" s="56" t="s">
        <v>60</v>
      </c>
    </row>
    <row r="115" spans="1:35" ht="15" customHeight="1" x14ac:dyDescent="0.15">
      <c r="A115" s="253" t="s">
        <v>46</v>
      </c>
      <c r="B115" s="254"/>
      <c r="C115" s="254"/>
      <c r="D115" s="254"/>
      <c r="E115" s="58"/>
      <c r="F115" s="59" t="s">
        <v>61</v>
      </c>
      <c r="G115" s="58"/>
      <c r="H115" s="60" t="s">
        <v>60</v>
      </c>
      <c r="J115" s="247" t="s">
        <v>46</v>
      </c>
      <c r="K115" s="243"/>
      <c r="L115" s="243"/>
      <c r="M115" s="243"/>
      <c r="N115" s="58"/>
      <c r="O115" s="59" t="s">
        <v>61</v>
      </c>
      <c r="P115" s="58"/>
      <c r="Q115" s="60" t="s">
        <v>60</v>
      </c>
      <c r="S115" s="247" t="s">
        <v>46</v>
      </c>
      <c r="T115" s="243"/>
      <c r="U115" s="243"/>
      <c r="V115" s="243"/>
      <c r="W115" s="58"/>
      <c r="X115" s="59" t="s">
        <v>61</v>
      </c>
      <c r="Y115" s="58"/>
      <c r="Z115" s="60" t="s">
        <v>60</v>
      </c>
      <c r="AB115" s="247" t="s">
        <v>46</v>
      </c>
      <c r="AC115" s="243"/>
      <c r="AD115" s="243"/>
      <c r="AE115" s="243"/>
      <c r="AF115" s="58"/>
      <c r="AG115" s="59" t="s">
        <v>61</v>
      </c>
      <c r="AH115" s="58"/>
      <c r="AI115" s="60" t="s">
        <v>60</v>
      </c>
    </row>
    <row r="116" spans="1:35" ht="15" customHeight="1" x14ac:dyDescent="0.15">
      <c r="A116" s="253" t="s">
        <v>47</v>
      </c>
      <c r="B116" s="254"/>
      <c r="C116" s="254"/>
      <c r="D116" s="254"/>
      <c r="E116" s="276">
        <f>賃金集計表!H20</f>
        <v>33000</v>
      </c>
      <c r="F116" s="273"/>
      <c r="G116" s="273"/>
      <c r="H116" s="274"/>
      <c r="J116" s="247" t="s">
        <v>47</v>
      </c>
      <c r="K116" s="243"/>
      <c r="L116" s="243"/>
      <c r="M116" s="243"/>
      <c r="N116" s="276">
        <f>賃金集計表!H21</f>
        <v>12000</v>
      </c>
      <c r="O116" s="273"/>
      <c r="P116" s="273"/>
      <c r="Q116" s="274"/>
      <c r="S116" s="247" t="s">
        <v>47</v>
      </c>
      <c r="T116" s="243"/>
      <c r="U116" s="243"/>
      <c r="V116" s="243"/>
      <c r="W116" s="276">
        <f>賃金集計表!H22</f>
        <v>33000</v>
      </c>
      <c r="X116" s="273"/>
      <c r="Y116" s="273"/>
      <c r="Z116" s="274"/>
      <c r="AB116" s="247" t="s">
        <v>47</v>
      </c>
      <c r="AC116" s="243"/>
      <c r="AD116" s="243"/>
      <c r="AE116" s="243"/>
      <c r="AF116" s="276">
        <f>賃金集計表!H23</f>
        <v>20000</v>
      </c>
      <c r="AG116" s="273"/>
      <c r="AH116" s="273"/>
      <c r="AI116" s="274"/>
    </row>
    <row r="117" spans="1:35" ht="15" customHeight="1" x14ac:dyDescent="0.15">
      <c r="A117" s="253" t="s">
        <v>48</v>
      </c>
      <c r="B117" s="254"/>
      <c r="C117" s="254"/>
      <c r="D117" s="254"/>
      <c r="E117" s="272"/>
      <c r="F117" s="273"/>
      <c r="G117" s="273"/>
      <c r="H117" s="274"/>
      <c r="J117" s="253" t="s">
        <v>48</v>
      </c>
      <c r="K117" s="254"/>
      <c r="L117" s="254"/>
      <c r="M117" s="254"/>
      <c r="N117" s="272"/>
      <c r="O117" s="273"/>
      <c r="P117" s="273"/>
      <c r="Q117" s="274"/>
      <c r="S117" s="253" t="s">
        <v>48</v>
      </c>
      <c r="T117" s="254"/>
      <c r="U117" s="254"/>
      <c r="V117" s="254"/>
      <c r="W117" s="272"/>
      <c r="X117" s="273"/>
      <c r="Y117" s="273"/>
      <c r="Z117" s="274"/>
      <c r="AB117" s="253" t="s">
        <v>48</v>
      </c>
      <c r="AC117" s="254"/>
      <c r="AD117" s="254"/>
      <c r="AE117" s="254"/>
      <c r="AF117" s="272"/>
      <c r="AG117" s="273"/>
      <c r="AH117" s="273"/>
      <c r="AI117" s="274"/>
    </row>
    <row r="118" spans="1:35" ht="15" customHeight="1" x14ac:dyDescent="0.15">
      <c r="A118" s="259" t="s">
        <v>22</v>
      </c>
      <c r="B118" s="254" t="s">
        <v>50</v>
      </c>
      <c r="C118" s="254"/>
      <c r="D118" s="254"/>
      <c r="E118" s="272"/>
      <c r="F118" s="273"/>
      <c r="G118" s="273"/>
      <c r="H118" s="274"/>
      <c r="J118" s="275" t="s">
        <v>22</v>
      </c>
      <c r="K118" s="243" t="s">
        <v>50</v>
      </c>
      <c r="L118" s="243"/>
      <c r="M118" s="243"/>
      <c r="N118" s="272"/>
      <c r="O118" s="273"/>
      <c r="P118" s="273"/>
      <c r="Q118" s="274"/>
      <c r="S118" s="275" t="s">
        <v>22</v>
      </c>
      <c r="T118" s="243" t="s">
        <v>50</v>
      </c>
      <c r="U118" s="243"/>
      <c r="V118" s="243"/>
      <c r="W118" s="272"/>
      <c r="X118" s="273"/>
      <c r="Y118" s="273"/>
      <c r="Z118" s="274"/>
      <c r="AB118" s="275" t="s">
        <v>22</v>
      </c>
      <c r="AC118" s="243" t="s">
        <v>50</v>
      </c>
      <c r="AD118" s="243"/>
      <c r="AE118" s="243"/>
      <c r="AF118" s="272"/>
      <c r="AG118" s="273"/>
      <c r="AH118" s="273"/>
      <c r="AI118" s="274"/>
    </row>
    <row r="119" spans="1:35" ht="15" customHeight="1" x14ac:dyDescent="0.15">
      <c r="A119" s="259"/>
      <c r="B119" s="254" t="s">
        <v>49</v>
      </c>
      <c r="C119" s="254"/>
      <c r="D119" s="254"/>
      <c r="E119" s="272"/>
      <c r="F119" s="273"/>
      <c r="G119" s="273"/>
      <c r="H119" s="274"/>
      <c r="J119" s="275"/>
      <c r="K119" s="243" t="s">
        <v>49</v>
      </c>
      <c r="L119" s="243"/>
      <c r="M119" s="243"/>
      <c r="N119" s="272"/>
      <c r="O119" s="273"/>
      <c r="P119" s="273"/>
      <c r="Q119" s="274"/>
      <c r="S119" s="275"/>
      <c r="T119" s="243" t="s">
        <v>49</v>
      </c>
      <c r="U119" s="243"/>
      <c r="V119" s="243"/>
      <c r="W119" s="272"/>
      <c r="X119" s="273"/>
      <c r="Y119" s="273"/>
      <c r="Z119" s="274"/>
      <c r="AB119" s="275"/>
      <c r="AC119" s="243" t="s">
        <v>49</v>
      </c>
      <c r="AD119" s="243"/>
      <c r="AE119" s="243"/>
      <c r="AF119" s="272"/>
      <c r="AG119" s="273"/>
      <c r="AH119" s="273"/>
      <c r="AI119" s="274"/>
    </row>
    <row r="120" spans="1:35" ht="15" customHeight="1" x14ac:dyDescent="0.15">
      <c r="A120" s="259"/>
      <c r="B120" s="254" t="s">
        <v>51</v>
      </c>
      <c r="C120" s="254"/>
      <c r="D120" s="254"/>
      <c r="E120" s="272"/>
      <c r="F120" s="273"/>
      <c r="G120" s="273"/>
      <c r="H120" s="274"/>
      <c r="J120" s="275"/>
      <c r="K120" s="243" t="s">
        <v>51</v>
      </c>
      <c r="L120" s="243"/>
      <c r="M120" s="243"/>
      <c r="N120" s="272"/>
      <c r="O120" s="273"/>
      <c r="P120" s="273"/>
      <c r="Q120" s="274"/>
      <c r="S120" s="275"/>
      <c r="T120" s="243" t="s">
        <v>51</v>
      </c>
      <c r="U120" s="243"/>
      <c r="V120" s="243"/>
      <c r="W120" s="272"/>
      <c r="X120" s="273"/>
      <c r="Y120" s="273"/>
      <c r="Z120" s="274"/>
      <c r="AB120" s="275"/>
      <c r="AC120" s="243" t="s">
        <v>51</v>
      </c>
      <c r="AD120" s="243"/>
      <c r="AE120" s="243"/>
      <c r="AF120" s="272"/>
      <c r="AG120" s="273"/>
      <c r="AH120" s="273"/>
      <c r="AI120" s="274"/>
    </row>
    <row r="121" spans="1:35" ht="15" customHeight="1" x14ac:dyDescent="0.15">
      <c r="A121" s="259"/>
      <c r="B121" s="254" t="s">
        <v>52</v>
      </c>
      <c r="C121" s="254"/>
      <c r="D121" s="254"/>
      <c r="E121" s="272"/>
      <c r="F121" s="273"/>
      <c r="G121" s="273"/>
      <c r="H121" s="274"/>
      <c r="J121" s="275"/>
      <c r="K121" s="243" t="s">
        <v>52</v>
      </c>
      <c r="L121" s="243"/>
      <c r="M121" s="243"/>
      <c r="N121" s="272"/>
      <c r="O121" s="273"/>
      <c r="P121" s="273"/>
      <c r="Q121" s="274"/>
      <c r="S121" s="275"/>
      <c r="T121" s="243" t="s">
        <v>52</v>
      </c>
      <c r="U121" s="243"/>
      <c r="V121" s="243"/>
      <c r="W121" s="276"/>
      <c r="X121" s="273"/>
      <c r="Y121" s="273"/>
      <c r="Z121" s="274"/>
      <c r="AB121" s="275"/>
      <c r="AC121" s="243" t="s">
        <v>52</v>
      </c>
      <c r="AD121" s="243"/>
      <c r="AE121" s="243"/>
      <c r="AF121" s="272"/>
      <c r="AG121" s="273"/>
      <c r="AH121" s="273"/>
      <c r="AI121" s="274"/>
    </row>
    <row r="122" spans="1:35" ht="15" customHeight="1" x14ac:dyDescent="0.15">
      <c r="A122" s="259"/>
      <c r="B122" s="254" t="s">
        <v>53</v>
      </c>
      <c r="C122" s="254"/>
      <c r="D122" s="254"/>
      <c r="E122" s="272"/>
      <c r="F122" s="273"/>
      <c r="G122" s="273"/>
      <c r="H122" s="274"/>
      <c r="J122" s="275"/>
      <c r="K122" s="243" t="s">
        <v>53</v>
      </c>
      <c r="L122" s="243"/>
      <c r="M122" s="243"/>
      <c r="N122" s="272"/>
      <c r="O122" s="273"/>
      <c r="P122" s="273"/>
      <c r="Q122" s="274"/>
      <c r="S122" s="275"/>
      <c r="T122" s="243" t="s">
        <v>53</v>
      </c>
      <c r="U122" s="243"/>
      <c r="V122" s="243"/>
      <c r="W122" s="272"/>
      <c r="X122" s="273"/>
      <c r="Y122" s="273"/>
      <c r="Z122" s="274"/>
      <c r="AB122" s="275"/>
      <c r="AC122" s="243" t="s">
        <v>53</v>
      </c>
      <c r="AD122" s="243"/>
      <c r="AE122" s="243"/>
      <c r="AF122" s="272"/>
      <c r="AG122" s="273"/>
      <c r="AH122" s="273"/>
      <c r="AI122" s="274"/>
    </row>
    <row r="123" spans="1:35" ht="15" customHeight="1" x14ac:dyDescent="0.15">
      <c r="A123" s="259"/>
      <c r="B123" s="254"/>
      <c r="C123" s="254"/>
      <c r="D123" s="254"/>
      <c r="E123" s="258"/>
      <c r="F123" s="256"/>
      <c r="G123" s="256"/>
      <c r="H123" s="257"/>
      <c r="J123" s="275"/>
      <c r="K123" s="243"/>
      <c r="L123" s="243"/>
      <c r="M123" s="243"/>
      <c r="N123" s="258"/>
      <c r="O123" s="256"/>
      <c r="P123" s="256"/>
      <c r="Q123" s="257"/>
      <c r="S123" s="275"/>
      <c r="T123" s="243" t="s">
        <v>109</v>
      </c>
      <c r="U123" s="243"/>
      <c r="V123" s="243"/>
      <c r="W123" s="255">
        <f>賃金集計表!N22</f>
        <v>5000</v>
      </c>
      <c r="X123" s="256"/>
      <c r="Y123" s="256"/>
      <c r="Z123" s="257"/>
      <c r="AB123" s="275"/>
      <c r="AC123" s="243"/>
      <c r="AD123" s="243"/>
      <c r="AE123" s="243"/>
      <c r="AF123" s="258"/>
      <c r="AG123" s="256"/>
      <c r="AH123" s="256"/>
      <c r="AI123" s="257"/>
    </row>
    <row r="124" spans="1:35" ht="15" customHeight="1" x14ac:dyDescent="0.15">
      <c r="A124" s="253" t="s">
        <v>54</v>
      </c>
      <c r="B124" s="254"/>
      <c r="C124" s="254"/>
      <c r="D124" s="254"/>
      <c r="E124" s="255">
        <f>SUM(E116:H123)</f>
        <v>33000</v>
      </c>
      <c r="F124" s="256"/>
      <c r="G124" s="256"/>
      <c r="H124" s="257"/>
      <c r="J124" s="247" t="s">
        <v>54</v>
      </c>
      <c r="K124" s="243"/>
      <c r="L124" s="243"/>
      <c r="M124" s="243"/>
      <c r="N124" s="255">
        <f>賃金集計表!H21</f>
        <v>12000</v>
      </c>
      <c r="O124" s="256"/>
      <c r="P124" s="256"/>
      <c r="Q124" s="257"/>
      <c r="S124" s="247" t="s">
        <v>54</v>
      </c>
      <c r="T124" s="243"/>
      <c r="U124" s="243"/>
      <c r="V124" s="243"/>
      <c r="W124" s="255">
        <f>SUM(W116:Z123)</f>
        <v>38000</v>
      </c>
      <c r="X124" s="256"/>
      <c r="Y124" s="256"/>
      <c r="Z124" s="257"/>
      <c r="AB124" s="247" t="s">
        <v>54</v>
      </c>
      <c r="AC124" s="243"/>
      <c r="AD124" s="243"/>
      <c r="AE124" s="243"/>
      <c r="AF124" s="255">
        <f>SUM(AF116:AI123)</f>
        <v>20000</v>
      </c>
      <c r="AG124" s="256"/>
      <c r="AH124" s="256"/>
      <c r="AI124" s="257"/>
    </row>
    <row r="125" spans="1:35" ht="15" customHeight="1" x14ac:dyDescent="0.15">
      <c r="A125" s="259" t="s">
        <v>29</v>
      </c>
      <c r="B125" s="254" t="s">
        <v>55</v>
      </c>
      <c r="C125" s="254"/>
      <c r="D125" s="254"/>
      <c r="E125" s="258"/>
      <c r="F125" s="256"/>
      <c r="G125" s="256"/>
      <c r="H125" s="257"/>
      <c r="J125" s="259" t="s">
        <v>29</v>
      </c>
      <c r="K125" s="243" t="s">
        <v>55</v>
      </c>
      <c r="L125" s="243"/>
      <c r="M125" s="243"/>
      <c r="N125" s="258"/>
      <c r="O125" s="256"/>
      <c r="P125" s="256"/>
      <c r="Q125" s="257"/>
      <c r="S125" s="259" t="s">
        <v>29</v>
      </c>
      <c r="T125" s="243" t="s">
        <v>55</v>
      </c>
      <c r="U125" s="243"/>
      <c r="V125" s="243"/>
      <c r="W125" s="258"/>
      <c r="X125" s="256"/>
      <c r="Y125" s="256"/>
      <c r="Z125" s="257"/>
      <c r="AB125" s="259" t="s">
        <v>29</v>
      </c>
      <c r="AC125" s="243" t="s">
        <v>55</v>
      </c>
      <c r="AD125" s="243"/>
      <c r="AE125" s="243"/>
      <c r="AF125" s="258"/>
      <c r="AG125" s="256"/>
      <c r="AH125" s="256"/>
      <c r="AI125" s="257"/>
    </row>
    <row r="126" spans="1:35" ht="15" customHeight="1" x14ac:dyDescent="0.15">
      <c r="A126" s="259"/>
      <c r="B126" s="254" t="s">
        <v>24</v>
      </c>
      <c r="C126" s="254"/>
      <c r="D126" s="254"/>
      <c r="E126" s="258"/>
      <c r="F126" s="256"/>
      <c r="G126" s="256"/>
      <c r="H126" s="257"/>
      <c r="J126" s="259"/>
      <c r="K126" s="243" t="s">
        <v>24</v>
      </c>
      <c r="L126" s="243"/>
      <c r="M126" s="243"/>
      <c r="N126" s="258"/>
      <c r="O126" s="256"/>
      <c r="P126" s="256"/>
      <c r="Q126" s="257"/>
      <c r="S126" s="259"/>
      <c r="T126" s="243" t="s">
        <v>24</v>
      </c>
      <c r="U126" s="243"/>
      <c r="V126" s="243"/>
      <c r="W126" s="258"/>
      <c r="X126" s="256"/>
      <c r="Y126" s="256"/>
      <c r="Z126" s="257"/>
      <c r="AB126" s="259"/>
      <c r="AC126" s="243" t="s">
        <v>24</v>
      </c>
      <c r="AD126" s="243"/>
      <c r="AE126" s="243"/>
      <c r="AF126" s="258"/>
      <c r="AG126" s="256"/>
      <c r="AH126" s="256"/>
      <c r="AI126" s="257"/>
    </row>
    <row r="127" spans="1:35" ht="15" customHeight="1" x14ac:dyDescent="0.15">
      <c r="A127" s="259"/>
      <c r="B127" s="254" t="s">
        <v>56</v>
      </c>
      <c r="C127" s="254"/>
      <c r="D127" s="254"/>
      <c r="E127" s="258"/>
      <c r="F127" s="256"/>
      <c r="G127" s="256"/>
      <c r="H127" s="257"/>
      <c r="J127" s="259"/>
      <c r="K127" s="243" t="s">
        <v>56</v>
      </c>
      <c r="L127" s="243"/>
      <c r="M127" s="243"/>
      <c r="N127" s="258"/>
      <c r="O127" s="256"/>
      <c r="P127" s="256"/>
      <c r="Q127" s="257"/>
      <c r="S127" s="259"/>
      <c r="T127" s="243" t="s">
        <v>56</v>
      </c>
      <c r="U127" s="243"/>
      <c r="V127" s="243"/>
      <c r="W127" s="258"/>
      <c r="X127" s="256"/>
      <c r="Y127" s="256"/>
      <c r="Z127" s="257"/>
      <c r="AB127" s="259"/>
      <c r="AC127" s="243" t="s">
        <v>56</v>
      </c>
      <c r="AD127" s="243"/>
      <c r="AE127" s="243"/>
      <c r="AF127" s="258"/>
      <c r="AG127" s="256"/>
      <c r="AH127" s="256"/>
      <c r="AI127" s="257"/>
    </row>
    <row r="128" spans="1:35" ht="15" customHeight="1" x14ac:dyDescent="0.15">
      <c r="A128" s="259"/>
      <c r="B128" s="254" t="s">
        <v>27</v>
      </c>
      <c r="C128" s="254"/>
      <c r="D128" s="254"/>
      <c r="E128" s="258"/>
      <c r="F128" s="256"/>
      <c r="G128" s="256"/>
      <c r="H128" s="257"/>
      <c r="J128" s="259"/>
      <c r="K128" s="243" t="s">
        <v>27</v>
      </c>
      <c r="L128" s="243"/>
      <c r="M128" s="243"/>
      <c r="N128" s="258"/>
      <c r="O128" s="256"/>
      <c r="P128" s="256"/>
      <c r="Q128" s="257"/>
      <c r="S128" s="259"/>
      <c r="T128" s="243" t="s">
        <v>27</v>
      </c>
      <c r="U128" s="243"/>
      <c r="V128" s="243"/>
      <c r="W128" s="258"/>
      <c r="X128" s="256"/>
      <c r="Y128" s="256"/>
      <c r="Z128" s="257"/>
      <c r="AB128" s="259"/>
      <c r="AC128" s="243" t="s">
        <v>27</v>
      </c>
      <c r="AD128" s="243"/>
      <c r="AE128" s="243"/>
      <c r="AF128" s="258"/>
      <c r="AG128" s="256"/>
      <c r="AH128" s="256"/>
      <c r="AI128" s="257"/>
    </row>
    <row r="129" spans="1:35" ht="15" customHeight="1" x14ac:dyDescent="0.15">
      <c r="A129" s="259"/>
      <c r="B129" s="254" t="s">
        <v>26</v>
      </c>
      <c r="C129" s="254"/>
      <c r="D129" s="254"/>
      <c r="E129" s="258"/>
      <c r="F129" s="256"/>
      <c r="G129" s="256"/>
      <c r="H129" s="257"/>
      <c r="J129" s="259"/>
      <c r="K129" s="243" t="s">
        <v>26</v>
      </c>
      <c r="L129" s="243"/>
      <c r="M129" s="243"/>
      <c r="N129" s="258"/>
      <c r="O129" s="256"/>
      <c r="P129" s="256"/>
      <c r="Q129" s="257"/>
      <c r="S129" s="259"/>
      <c r="T129" s="243" t="s">
        <v>26</v>
      </c>
      <c r="U129" s="243"/>
      <c r="V129" s="243"/>
      <c r="W129" s="258"/>
      <c r="X129" s="256"/>
      <c r="Y129" s="256"/>
      <c r="Z129" s="257"/>
      <c r="AB129" s="259"/>
      <c r="AC129" s="243" t="s">
        <v>26</v>
      </c>
      <c r="AD129" s="243"/>
      <c r="AE129" s="243"/>
      <c r="AF129" s="258"/>
      <c r="AG129" s="256"/>
      <c r="AH129" s="256"/>
      <c r="AI129" s="257"/>
    </row>
    <row r="130" spans="1:35" ht="15" customHeight="1" x14ac:dyDescent="0.15">
      <c r="A130" s="259"/>
      <c r="B130" s="254"/>
      <c r="C130" s="254"/>
      <c r="D130" s="254"/>
      <c r="E130" s="258"/>
      <c r="F130" s="256"/>
      <c r="G130" s="256"/>
      <c r="H130" s="257"/>
      <c r="J130" s="259"/>
      <c r="K130" s="243"/>
      <c r="L130" s="243"/>
      <c r="M130" s="243"/>
      <c r="N130" s="258"/>
      <c r="O130" s="256"/>
      <c r="P130" s="256"/>
      <c r="Q130" s="257"/>
      <c r="S130" s="259"/>
      <c r="T130" s="243"/>
      <c r="U130" s="243"/>
      <c r="V130" s="243"/>
      <c r="W130" s="258"/>
      <c r="X130" s="256"/>
      <c r="Y130" s="256"/>
      <c r="Z130" s="257"/>
      <c r="AB130" s="259"/>
      <c r="AC130" s="243"/>
      <c r="AD130" s="243"/>
      <c r="AE130" s="243"/>
      <c r="AF130" s="258"/>
      <c r="AG130" s="256"/>
      <c r="AH130" s="256"/>
      <c r="AI130" s="257"/>
    </row>
    <row r="131" spans="1:35" ht="15" customHeight="1" x14ac:dyDescent="0.15">
      <c r="A131" s="259"/>
      <c r="B131" s="243" t="s">
        <v>81</v>
      </c>
      <c r="C131" s="243"/>
      <c r="D131" s="243"/>
      <c r="E131" s="255">
        <f>賃金集計表!V20</f>
        <v>1750</v>
      </c>
      <c r="F131" s="256"/>
      <c r="G131" s="256"/>
      <c r="H131" s="257"/>
      <c r="J131" s="259"/>
      <c r="K131" s="243" t="s">
        <v>81</v>
      </c>
      <c r="L131" s="243"/>
      <c r="M131" s="243"/>
      <c r="N131" s="258"/>
      <c r="O131" s="256"/>
      <c r="P131" s="256"/>
      <c r="Q131" s="257"/>
      <c r="S131" s="259"/>
      <c r="T131" s="243" t="s">
        <v>81</v>
      </c>
      <c r="U131" s="243"/>
      <c r="V131" s="243"/>
      <c r="W131" s="255">
        <f>賃金集計表!V22</f>
        <v>7700</v>
      </c>
      <c r="X131" s="256"/>
      <c r="Y131" s="256"/>
      <c r="Z131" s="257"/>
      <c r="AB131" s="259"/>
      <c r="AC131" s="243" t="s">
        <v>81</v>
      </c>
      <c r="AD131" s="243"/>
      <c r="AE131" s="243"/>
      <c r="AF131" s="255">
        <f>賃金集計表!V23</f>
        <v>0</v>
      </c>
      <c r="AG131" s="256"/>
      <c r="AH131" s="256"/>
      <c r="AI131" s="257"/>
    </row>
    <row r="132" spans="1:35" ht="15" customHeight="1" x14ac:dyDescent="0.15">
      <c r="A132" s="259"/>
      <c r="B132" s="254" t="s">
        <v>54</v>
      </c>
      <c r="C132" s="254"/>
      <c r="D132" s="254"/>
      <c r="E132" s="258">
        <f>SUM(E125:H131)</f>
        <v>1750</v>
      </c>
      <c r="F132" s="256"/>
      <c r="G132" s="256"/>
      <c r="H132" s="257"/>
      <c r="J132" s="259"/>
      <c r="K132" s="243" t="s">
        <v>54</v>
      </c>
      <c r="L132" s="243"/>
      <c r="M132" s="243"/>
      <c r="N132" s="258">
        <f>SUM(N125:Q131)</f>
        <v>0</v>
      </c>
      <c r="O132" s="256"/>
      <c r="P132" s="256"/>
      <c r="Q132" s="257"/>
      <c r="S132" s="259"/>
      <c r="T132" s="243" t="s">
        <v>54</v>
      </c>
      <c r="U132" s="243"/>
      <c r="V132" s="243"/>
      <c r="W132" s="258">
        <f>SUM(W125:Z131)</f>
        <v>7700</v>
      </c>
      <c r="X132" s="256"/>
      <c r="Y132" s="256"/>
      <c r="Z132" s="257"/>
      <c r="AB132" s="259"/>
      <c r="AC132" s="243" t="s">
        <v>54</v>
      </c>
      <c r="AD132" s="243"/>
      <c r="AE132" s="243"/>
      <c r="AF132" s="258">
        <f>SUM(AF125:AI131)</f>
        <v>0</v>
      </c>
      <c r="AG132" s="256"/>
      <c r="AH132" s="256"/>
      <c r="AI132" s="257"/>
    </row>
    <row r="133" spans="1:35" ht="15" customHeight="1" x14ac:dyDescent="0.15">
      <c r="A133" s="253" t="s">
        <v>57</v>
      </c>
      <c r="B133" s="254"/>
      <c r="C133" s="254"/>
      <c r="D133" s="254"/>
      <c r="E133" s="255">
        <f>賃金集計表!X20</f>
        <v>31250</v>
      </c>
      <c r="F133" s="256"/>
      <c r="G133" s="256"/>
      <c r="H133" s="257"/>
      <c r="J133" s="247" t="s">
        <v>57</v>
      </c>
      <c r="K133" s="243"/>
      <c r="L133" s="243"/>
      <c r="M133" s="243"/>
      <c r="N133" s="255">
        <f>賃金集計表!X21</f>
        <v>12000</v>
      </c>
      <c r="O133" s="256"/>
      <c r="P133" s="256"/>
      <c r="Q133" s="257"/>
      <c r="S133" s="247" t="s">
        <v>57</v>
      </c>
      <c r="T133" s="243"/>
      <c r="U133" s="243"/>
      <c r="V133" s="243"/>
      <c r="W133" s="255">
        <f>賃金集計表!X22</f>
        <v>30300</v>
      </c>
      <c r="X133" s="256"/>
      <c r="Y133" s="256"/>
      <c r="Z133" s="257"/>
      <c r="AB133" s="247" t="s">
        <v>57</v>
      </c>
      <c r="AC133" s="243"/>
      <c r="AD133" s="243"/>
      <c r="AE133" s="243"/>
      <c r="AF133" s="255">
        <f>賃金集計表!X23</f>
        <v>20000</v>
      </c>
      <c r="AG133" s="256"/>
      <c r="AH133" s="256"/>
      <c r="AI133" s="257"/>
    </row>
    <row r="134" spans="1:35" ht="15" customHeight="1" x14ac:dyDescent="0.15">
      <c r="A134" s="262" t="s">
        <v>58</v>
      </c>
      <c r="B134" s="263"/>
      <c r="C134" s="263"/>
      <c r="D134" s="61"/>
      <c r="E134" s="62"/>
      <c r="F134" s="62"/>
      <c r="G134" s="264" t="s">
        <v>62</v>
      </c>
      <c r="H134" s="265"/>
      <c r="J134" s="262" t="s">
        <v>58</v>
      </c>
      <c r="K134" s="263"/>
      <c r="L134" s="263"/>
      <c r="M134" s="61"/>
      <c r="N134" s="62"/>
      <c r="O134" s="62"/>
      <c r="P134" s="264" t="s">
        <v>62</v>
      </c>
      <c r="Q134" s="265"/>
      <c r="S134" s="262" t="s">
        <v>58</v>
      </c>
      <c r="T134" s="263"/>
      <c r="U134" s="263"/>
      <c r="V134" s="61"/>
      <c r="W134" s="62"/>
      <c r="X134" s="62"/>
      <c r="Y134" s="264" t="s">
        <v>62</v>
      </c>
      <c r="Z134" s="265"/>
      <c r="AB134" s="262" t="s">
        <v>58</v>
      </c>
      <c r="AC134" s="263"/>
      <c r="AD134" s="263"/>
      <c r="AE134" s="61"/>
      <c r="AF134" s="62"/>
      <c r="AG134" s="62"/>
      <c r="AH134" s="264" t="s">
        <v>62</v>
      </c>
      <c r="AI134" s="265"/>
    </row>
    <row r="135" spans="1:35" ht="18" customHeight="1" x14ac:dyDescent="0.15">
      <c r="A135" s="270" t="s">
        <v>31</v>
      </c>
      <c r="B135" s="271"/>
      <c r="C135" s="271"/>
      <c r="D135" s="271"/>
      <c r="E135" s="271"/>
      <c r="F135" s="271"/>
      <c r="G135" s="266"/>
      <c r="H135" s="267"/>
      <c r="J135" s="270" t="s">
        <v>31</v>
      </c>
      <c r="K135" s="271"/>
      <c r="L135" s="271"/>
      <c r="M135" s="271"/>
      <c r="N135" s="271"/>
      <c r="O135" s="271"/>
      <c r="P135" s="266"/>
      <c r="Q135" s="267"/>
      <c r="S135" s="270" t="s">
        <v>31</v>
      </c>
      <c r="T135" s="271"/>
      <c r="U135" s="271"/>
      <c r="V135" s="271"/>
      <c r="W135" s="271"/>
      <c r="X135" s="271"/>
      <c r="Y135" s="266"/>
      <c r="Z135" s="267"/>
      <c r="AB135" s="270" t="s">
        <v>31</v>
      </c>
      <c r="AC135" s="271"/>
      <c r="AD135" s="271"/>
      <c r="AE135" s="271"/>
      <c r="AF135" s="271"/>
      <c r="AG135" s="271"/>
      <c r="AH135" s="266"/>
      <c r="AI135" s="267"/>
    </row>
    <row r="136" spans="1:35" ht="22.5" customHeight="1" thickBot="1" x14ac:dyDescent="0.2">
      <c r="A136" s="260" t="s">
        <v>63</v>
      </c>
      <c r="B136" s="261"/>
      <c r="C136" s="261"/>
      <c r="D136" s="261"/>
      <c r="E136" s="261"/>
      <c r="F136" s="261"/>
      <c r="G136" s="268"/>
      <c r="H136" s="269"/>
      <c r="J136" s="260" t="s">
        <v>63</v>
      </c>
      <c r="K136" s="261"/>
      <c r="L136" s="261"/>
      <c r="M136" s="261"/>
      <c r="N136" s="261"/>
      <c r="O136" s="261"/>
      <c r="P136" s="268"/>
      <c r="Q136" s="269"/>
      <c r="S136" s="260" t="s">
        <v>63</v>
      </c>
      <c r="T136" s="261"/>
      <c r="U136" s="261"/>
      <c r="V136" s="261"/>
      <c r="W136" s="261"/>
      <c r="X136" s="261"/>
      <c r="Y136" s="268"/>
      <c r="Z136" s="269"/>
      <c r="AB136" s="260" t="s">
        <v>63</v>
      </c>
      <c r="AC136" s="261"/>
      <c r="AD136" s="261"/>
      <c r="AE136" s="261"/>
      <c r="AF136" s="261"/>
      <c r="AG136" s="261"/>
      <c r="AH136" s="268"/>
      <c r="AI136" s="269"/>
    </row>
    <row r="137" spans="1:35" ht="28.5" customHeight="1" thickTop="1" x14ac:dyDescent="0.15">
      <c r="A137" s="287" t="s">
        <v>34</v>
      </c>
      <c r="B137" s="287"/>
      <c r="C137" s="287"/>
      <c r="D137" s="287"/>
      <c r="E137" s="287"/>
      <c r="F137" s="287"/>
      <c r="G137" s="287"/>
      <c r="H137" s="287"/>
      <c r="J137" s="287" t="s">
        <v>34</v>
      </c>
      <c r="K137" s="287"/>
      <c r="L137" s="287"/>
      <c r="M137" s="287"/>
      <c r="N137" s="287"/>
      <c r="O137" s="287"/>
      <c r="P137" s="287"/>
      <c r="Q137" s="287"/>
      <c r="S137" s="287" t="s">
        <v>34</v>
      </c>
      <c r="T137" s="287"/>
      <c r="U137" s="287"/>
      <c r="V137" s="287"/>
      <c r="W137" s="287"/>
      <c r="X137" s="287"/>
      <c r="Y137" s="287"/>
      <c r="Z137" s="287"/>
      <c r="AB137" s="287" t="s">
        <v>34</v>
      </c>
      <c r="AC137" s="287"/>
      <c r="AD137" s="287"/>
      <c r="AE137" s="287"/>
      <c r="AF137" s="287"/>
      <c r="AG137" s="287"/>
      <c r="AH137" s="287"/>
      <c r="AI137" s="287"/>
    </row>
    <row r="138" spans="1:35" ht="8.25" customHeight="1" x14ac:dyDescent="0.15">
      <c r="A138" s="51"/>
      <c r="B138" s="51"/>
      <c r="C138" s="51"/>
      <c r="D138" s="51"/>
      <c r="E138" s="51"/>
      <c r="F138" s="51"/>
      <c r="G138" s="51"/>
      <c r="H138" s="51"/>
      <c r="J138" s="51"/>
      <c r="K138" s="51"/>
      <c r="L138" s="51"/>
      <c r="M138" s="51"/>
      <c r="N138" s="51"/>
      <c r="O138" s="51"/>
      <c r="P138" s="51"/>
      <c r="Q138" s="51"/>
      <c r="S138" s="51"/>
      <c r="T138" s="51"/>
      <c r="U138" s="51"/>
      <c r="V138" s="51"/>
      <c r="W138" s="51"/>
      <c r="X138" s="51"/>
      <c r="Y138" s="51"/>
      <c r="Z138" s="51"/>
      <c r="AB138" s="51"/>
      <c r="AC138" s="51"/>
      <c r="AD138" s="51"/>
      <c r="AE138" s="51"/>
      <c r="AF138" s="51"/>
      <c r="AG138" s="51"/>
      <c r="AH138" s="51"/>
      <c r="AI138" s="51"/>
    </row>
    <row r="139" spans="1:35" ht="23.25" customHeight="1" x14ac:dyDescent="0.15">
      <c r="A139" s="51"/>
      <c r="B139" s="51"/>
      <c r="C139" s="63" t="s">
        <v>35</v>
      </c>
      <c r="D139" s="51">
        <v>27</v>
      </c>
      <c r="E139" s="51" t="s">
        <v>36</v>
      </c>
      <c r="F139" s="51">
        <v>5</v>
      </c>
      <c r="G139" s="64" t="s">
        <v>37</v>
      </c>
      <c r="H139" s="51"/>
      <c r="J139" s="51"/>
      <c r="K139" s="51"/>
      <c r="L139" s="63" t="s">
        <v>35</v>
      </c>
      <c r="M139" s="51">
        <v>27</v>
      </c>
      <c r="N139" s="51" t="s">
        <v>36</v>
      </c>
      <c r="O139" s="51">
        <v>5</v>
      </c>
      <c r="P139" s="64" t="s">
        <v>37</v>
      </c>
      <c r="Q139" s="51"/>
      <c r="S139" s="51"/>
      <c r="T139" s="51"/>
      <c r="U139" s="63" t="s">
        <v>35</v>
      </c>
      <c r="V139" s="51">
        <v>27</v>
      </c>
      <c r="W139" s="51" t="s">
        <v>36</v>
      </c>
      <c r="X139" s="51">
        <v>5</v>
      </c>
      <c r="Y139" s="64" t="s">
        <v>37</v>
      </c>
      <c r="Z139" s="51"/>
      <c r="AB139" s="51"/>
      <c r="AC139" s="51"/>
      <c r="AD139" s="63" t="s">
        <v>35</v>
      </c>
      <c r="AE139" s="51">
        <v>27</v>
      </c>
      <c r="AF139" s="51" t="s">
        <v>36</v>
      </c>
      <c r="AG139" s="51">
        <v>5</v>
      </c>
      <c r="AH139" s="64" t="s">
        <v>37</v>
      </c>
      <c r="AI139" s="51"/>
    </row>
    <row r="140" spans="1:35" ht="20.25" customHeight="1" x14ac:dyDescent="0.15">
      <c r="A140" s="52" t="s">
        <v>38</v>
      </c>
      <c r="B140" s="52" t="s">
        <v>39</v>
      </c>
      <c r="C140" s="52" t="s">
        <v>40</v>
      </c>
      <c r="D140" s="52"/>
      <c r="E140" s="52"/>
      <c r="F140" s="51"/>
      <c r="G140" s="51"/>
      <c r="H140" s="51"/>
      <c r="J140" s="52" t="s">
        <v>38</v>
      </c>
      <c r="K140" s="52" t="s">
        <v>39</v>
      </c>
      <c r="L140" s="52" t="s">
        <v>40</v>
      </c>
      <c r="M140" s="52"/>
      <c r="N140" s="52"/>
      <c r="O140" s="51"/>
      <c r="P140" s="51"/>
      <c r="Q140" s="51"/>
      <c r="S140" s="52" t="s">
        <v>38</v>
      </c>
      <c r="T140" s="52" t="s">
        <v>39</v>
      </c>
      <c r="U140" s="52" t="s">
        <v>40</v>
      </c>
      <c r="V140" s="52"/>
      <c r="W140" s="52"/>
      <c r="X140" s="51"/>
      <c r="Y140" s="51"/>
      <c r="Z140" s="51"/>
      <c r="AB140" s="52" t="s">
        <v>38</v>
      </c>
      <c r="AC140" s="52" t="s">
        <v>39</v>
      </c>
      <c r="AD140" s="52" t="s">
        <v>40</v>
      </c>
      <c r="AE140" s="52"/>
      <c r="AF140" s="52"/>
      <c r="AG140" s="51"/>
      <c r="AH140" s="51"/>
      <c r="AI140" s="51"/>
    </row>
    <row r="141" spans="1:35" x14ac:dyDescent="0.15">
      <c r="A141" s="280" t="str">
        <f>賃金集計表!A24</f>
        <v>倉谷　円</v>
      </c>
      <c r="B141" s="280"/>
      <c r="C141" s="280"/>
      <c r="D141" s="280"/>
      <c r="E141" s="280"/>
      <c r="F141" s="280"/>
      <c r="G141" s="280"/>
      <c r="H141" s="53"/>
      <c r="J141" s="280" t="str">
        <f>賃金集計表!A25</f>
        <v>葛籠　沙葵</v>
      </c>
      <c r="K141" s="280"/>
      <c r="L141" s="280"/>
      <c r="M141" s="280"/>
      <c r="N141" s="280"/>
      <c r="O141" s="280"/>
      <c r="P141" s="280"/>
      <c r="Q141" s="53"/>
      <c r="S141" s="280" t="str">
        <f>賃金集計表!A26</f>
        <v>岡田　直明</v>
      </c>
      <c r="T141" s="280"/>
      <c r="U141" s="280"/>
      <c r="V141" s="280"/>
      <c r="W141" s="280"/>
      <c r="X141" s="280"/>
      <c r="Y141" s="280"/>
      <c r="Z141" s="53"/>
      <c r="AB141" s="280" t="str">
        <f>賃金集計表!A27</f>
        <v>神田　幸弘</v>
      </c>
      <c r="AC141" s="280"/>
      <c r="AD141" s="280"/>
      <c r="AE141" s="280"/>
      <c r="AF141" s="280"/>
      <c r="AG141" s="280"/>
      <c r="AH141" s="280"/>
      <c r="AI141" s="53"/>
    </row>
    <row r="142" spans="1:35" x14ac:dyDescent="0.15">
      <c r="A142" s="281"/>
      <c r="B142" s="281"/>
      <c r="C142" s="281"/>
      <c r="D142" s="281"/>
      <c r="E142" s="281"/>
      <c r="F142" s="281"/>
      <c r="G142" s="281"/>
      <c r="H142" s="52" t="s">
        <v>41</v>
      </c>
      <c r="J142" s="281"/>
      <c r="K142" s="281"/>
      <c r="L142" s="281"/>
      <c r="M142" s="281"/>
      <c r="N142" s="281"/>
      <c r="O142" s="281"/>
      <c r="P142" s="281"/>
      <c r="Q142" s="52" t="s">
        <v>41</v>
      </c>
      <c r="S142" s="281"/>
      <c r="T142" s="281"/>
      <c r="U142" s="281"/>
      <c r="V142" s="281"/>
      <c r="W142" s="281"/>
      <c r="X142" s="281"/>
      <c r="Y142" s="281"/>
      <c r="Z142" s="52" t="s">
        <v>41</v>
      </c>
      <c r="AB142" s="281"/>
      <c r="AC142" s="281"/>
      <c r="AD142" s="281"/>
      <c r="AE142" s="281"/>
      <c r="AF142" s="281"/>
      <c r="AG142" s="281"/>
      <c r="AH142" s="281"/>
      <c r="AI142" s="52" t="s">
        <v>41</v>
      </c>
    </row>
    <row r="143" spans="1:35" ht="6" customHeight="1" thickBot="1" x14ac:dyDescent="0.2">
      <c r="A143" s="51"/>
      <c r="B143" s="51"/>
      <c r="C143" s="51"/>
      <c r="D143" s="51"/>
      <c r="E143" s="51"/>
      <c r="F143" s="51"/>
      <c r="G143" s="51"/>
      <c r="H143" s="51"/>
      <c r="J143" s="51"/>
      <c r="K143" s="51"/>
      <c r="L143" s="51"/>
      <c r="M143" s="51"/>
      <c r="N143" s="51"/>
      <c r="O143" s="51"/>
      <c r="P143" s="51"/>
      <c r="Q143" s="51"/>
      <c r="S143" s="51"/>
      <c r="T143" s="51"/>
      <c r="U143" s="51"/>
      <c r="V143" s="51"/>
      <c r="W143" s="51"/>
      <c r="X143" s="51"/>
      <c r="Y143" s="51"/>
      <c r="Z143" s="51"/>
      <c r="AB143" s="51"/>
      <c r="AC143" s="51"/>
      <c r="AD143" s="51"/>
      <c r="AE143" s="51"/>
      <c r="AF143" s="51"/>
      <c r="AG143" s="51"/>
      <c r="AH143" s="51"/>
      <c r="AI143" s="51"/>
    </row>
    <row r="144" spans="1:35" ht="15" customHeight="1" thickTop="1" x14ac:dyDescent="0.15">
      <c r="A144" s="283" t="s">
        <v>42</v>
      </c>
      <c r="B144" s="284"/>
      <c r="C144" s="284"/>
      <c r="D144" s="284"/>
      <c r="J144" s="251" t="s">
        <v>42</v>
      </c>
      <c r="K144" s="252"/>
      <c r="L144" s="252"/>
      <c r="M144" s="252"/>
      <c r="N144" s="277" t="s">
        <v>114</v>
      </c>
      <c r="O144" s="278"/>
      <c r="P144" s="278"/>
      <c r="Q144" s="279"/>
      <c r="S144" s="251" t="s">
        <v>42</v>
      </c>
      <c r="T144" s="252"/>
      <c r="U144" s="252"/>
      <c r="V144" s="252"/>
      <c r="W144" s="277" t="s">
        <v>114</v>
      </c>
      <c r="X144" s="278"/>
      <c r="Y144" s="278"/>
      <c r="Z144" s="279"/>
      <c r="AB144" s="251" t="s">
        <v>42</v>
      </c>
      <c r="AC144" s="252"/>
      <c r="AD144" s="252"/>
      <c r="AE144" s="252"/>
      <c r="AF144" s="277" t="s">
        <v>114</v>
      </c>
      <c r="AG144" s="278"/>
      <c r="AH144" s="278"/>
      <c r="AI144" s="279"/>
    </row>
    <row r="145" spans="1:35" ht="15" customHeight="1" x14ac:dyDescent="0.15">
      <c r="A145" s="253" t="s">
        <v>59</v>
      </c>
      <c r="B145" s="254"/>
      <c r="C145" s="254"/>
      <c r="D145" s="254"/>
      <c r="E145" s="54"/>
      <c r="F145" s="55"/>
      <c r="G145" s="55">
        <f>賃金集計表!B24</f>
        <v>0</v>
      </c>
      <c r="H145" s="56" t="s">
        <v>8</v>
      </c>
      <c r="J145" s="247" t="s">
        <v>59</v>
      </c>
      <c r="K145" s="243"/>
      <c r="L145" s="243"/>
      <c r="M145" s="243"/>
      <c r="N145" s="54"/>
      <c r="O145" s="55"/>
      <c r="P145" s="55">
        <f>賃金集計表!B25</f>
        <v>18</v>
      </c>
      <c r="Q145" s="56" t="s">
        <v>8</v>
      </c>
      <c r="S145" s="247" t="s">
        <v>59</v>
      </c>
      <c r="T145" s="243"/>
      <c r="U145" s="243"/>
      <c r="V145" s="243"/>
      <c r="W145" s="54"/>
      <c r="X145" s="55"/>
      <c r="Y145" s="55">
        <f>賃金集計表!B26</f>
        <v>11</v>
      </c>
      <c r="Z145" s="56" t="s">
        <v>8</v>
      </c>
      <c r="AB145" s="247" t="s">
        <v>59</v>
      </c>
      <c r="AC145" s="243"/>
      <c r="AD145" s="243"/>
      <c r="AE145" s="243"/>
      <c r="AF145" s="54"/>
      <c r="AG145" s="55"/>
      <c r="AH145" s="55">
        <f>賃金集計表!B27</f>
        <v>20</v>
      </c>
      <c r="AI145" s="56" t="s">
        <v>8</v>
      </c>
    </row>
    <row r="146" spans="1:35" ht="15" customHeight="1" x14ac:dyDescent="0.15">
      <c r="A146" s="253" t="s">
        <v>43</v>
      </c>
      <c r="B146" s="254"/>
      <c r="C146" s="254"/>
      <c r="D146" s="254"/>
      <c r="E146" s="54"/>
      <c r="F146" s="57" t="s">
        <v>61</v>
      </c>
      <c r="G146" s="54"/>
      <c r="H146" s="56" t="s">
        <v>60</v>
      </c>
      <c r="J146" s="247" t="s">
        <v>43</v>
      </c>
      <c r="K146" s="243"/>
      <c r="L146" s="243"/>
      <c r="M146" s="243"/>
      <c r="N146" s="54"/>
      <c r="O146" s="57" t="s">
        <v>61</v>
      </c>
      <c r="P146" s="54"/>
      <c r="Q146" s="56" t="s">
        <v>60</v>
      </c>
      <c r="S146" s="247" t="s">
        <v>43</v>
      </c>
      <c r="T146" s="243"/>
      <c r="U146" s="243"/>
      <c r="V146" s="243"/>
      <c r="W146" s="54"/>
      <c r="X146" s="57" t="s">
        <v>61</v>
      </c>
      <c r="Y146" s="54"/>
      <c r="Z146" s="56" t="s">
        <v>60</v>
      </c>
      <c r="AB146" s="247" t="s">
        <v>43</v>
      </c>
      <c r="AC146" s="243"/>
      <c r="AD146" s="243"/>
      <c r="AE146" s="243"/>
      <c r="AF146" s="54"/>
      <c r="AG146" s="57" t="s">
        <v>61</v>
      </c>
      <c r="AH146" s="54"/>
      <c r="AI146" s="56" t="s">
        <v>60</v>
      </c>
    </row>
    <row r="147" spans="1:35" ht="15" customHeight="1" x14ac:dyDescent="0.15">
      <c r="A147" s="253" t="s">
        <v>44</v>
      </c>
      <c r="B147" s="254"/>
      <c r="C147" s="254"/>
      <c r="D147" s="254"/>
      <c r="E147" s="54"/>
      <c r="F147" s="57" t="s">
        <v>61</v>
      </c>
      <c r="G147" s="54"/>
      <c r="H147" s="56" t="s">
        <v>60</v>
      </c>
      <c r="J147" s="247" t="s">
        <v>44</v>
      </c>
      <c r="K147" s="243"/>
      <c r="L147" s="243"/>
      <c r="M147" s="243"/>
      <c r="N147" s="54"/>
      <c r="O147" s="57" t="s">
        <v>61</v>
      </c>
      <c r="P147" s="54"/>
      <c r="Q147" s="56" t="s">
        <v>60</v>
      </c>
      <c r="S147" s="247" t="s">
        <v>44</v>
      </c>
      <c r="T147" s="243"/>
      <c r="U147" s="243"/>
      <c r="V147" s="243"/>
      <c r="W147" s="54"/>
      <c r="X147" s="57" t="s">
        <v>61</v>
      </c>
      <c r="Y147" s="54"/>
      <c r="Z147" s="56" t="s">
        <v>60</v>
      </c>
      <c r="AB147" s="247" t="s">
        <v>44</v>
      </c>
      <c r="AC147" s="243"/>
      <c r="AD147" s="243"/>
      <c r="AE147" s="243"/>
      <c r="AF147" s="54"/>
      <c r="AG147" s="57" t="s">
        <v>61</v>
      </c>
      <c r="AH147" s="54"/>
      <c r="AI147" s="56" t="s">
        <v>60</v>
      </c>
    </row>
    <row r="148" spans="1:35" ht="15" customHeight="1" x14ac:dyDescent="0.15">
      <c r="A148" s="253" t="s">
        <v>45</v>
      </c>
      <c r="B148" s="254"/>
      <c r="C148" s="254"/>
      <c r="D148" s="254"/>
      <c r="E148" s="54"/>
      <c r="F148" s="57" t="s">
        <v>61</v>
      </c>
      <c r="G148" s="54"/>
      <c r="H148" s="56" t="s">
        <v>60</v>
      </c>
      <c r="J148" s="247" t="s">
        <v>45</v>
      </c>
      <c r="K148" s="243"/>
      <c r="L148" s="243"/>
      <c r="M148" s="243"/>
      <c r="N148" s="54"/>
      <c r="O148" s="57" t="s">
        <v>61</v>
      </c>
      <c r="P148" s="54"/>
      <c r="Q148" s="56" t="s">
        <v>60</v>
      </c>
      <c r="S148" s="247" t="s">
        <v>45</v>
      </c>
      <c r="T148" s="243"/>
      <c r="U148" s="243"/>
      <c r="V148" s="243"/>
      <c r="W148" s="54"/>
      <c r="X148" s="57" t="s">
        <v>61</v>
      </c>
      <c r="Y148" s="54"/>
      <c r="Z148" s="56" t="s">
        <v>60</v>
      </c>
      <c r="AB148" s="247" t="s">
        <v>45</v>
      </c>
      <c r="AC148" s="243"/>
      <c r="AD148" s="243"/>
      <c r="AE148" s="243"/>
      <c r="AF148" s="54"/>
      <c r="AG148" s="57" t="s">
        <v>61</v>
      </c>
      <c r="AH148" s="54"/>
      <c r="AI148" s="56" t="s">
        <v>60</v>
      </c>
    </row>
    <row r="149" spans="1:35" ht="15" customHeight="1" x14ac:dyDescent="0.15">
      <c r="A149" s="253" t="s">
        <v>46</v>
      </c>
      <c r="B149" s="254"/>
      <c r="C149" s="254"/>
      <c r="D149" s="254"/>
      <c r="E149" s="58"/>
      <c r="F149" s="59" t="s">
        <v>61</v>
      </c>
      <c r="G149" s="58"/>
      <c r="H149" s="60" t="s">
        <v>60</v>
      </c>
      <c r="J149" s="247" t="s">
        <v>46</v>
      </c>
      <c r="K149" s="243"/>
      <c r="L149" s="243"/>
      <c r="M149" s="243"/>
      <c r="N149" s="58"/>
      <c r="O149" s="59" t="s">
        <v>61</v>
      </c>
      <c r="P149" s="58"/>
      <c r="Q149" s="60" t="s">
        <v>60</v>
      </c>
      <c r="S149" s="247" t="s">
        <v>46</v>
      </c>
      <c r="T149" s="243"/>
      <c r="U149" s="243"/>
      <c r="V149" s="243"/>
      <c r="W149" s="58"/>
      <c r="X149" s="59" t="s">
        <v>61</v>
      </c>
      <c r="Y149" s="58"/>
      <c r="Z149" s="60" t="s">
        <v>60</v>
      </c>
      <c r="AB149" s="247" t="s">
        <v>46</v>
      </c>
      <c r="AC149" s="243"/>
      <c r="AD149" s="243"/>
      <c r="AE149" s="243"/>
      <c r="AF149" s="58"/>
      <c r="AG149" s="59" t="s">
        <v>61</v>
      </c>
      <c r="AH149" s="58"/>
      <c r="AI149" s="60" t="s">
        <v>60</v>
      </c>
    </row>
    <row r="150" spans="1:35" ht="15" customHeight="1" x14ac:dyDescent="0.15">
      <c r="A150" s="253" t="s">
        <v>47</v>
      </c>
      <c r="B150" s="254"/>
      <c r="C150" s="254"/>
      <c r="D150" s="254"/>
      <c r="E150" s="276">
        <f>賃金集計表!H24</f>
        <v>0</v>
      </c>
      <c r="F150" s="273"/>
      <c r="G150" s="273"/>
      <c r="H150" s="274"/>
      <c r="J150" s="247" t="s">
        <v>47</v>
      </c>
      <c r="K150" s="243"/>
      <c r="L150" s="243"/>
      <c r="M150" s="243"/>
      <c r="N150" s="276">
        <f>賃金集計表!H25</f>
        <v>18000</v>
      </c>
      <c r="O150" s="273"/>
      <c r="P150" s="273"/>
      <c r="Q150" s="274"/>
      <c r="S150" s="247" t="s">
        <v>47</v>
      </c>
      <c r="T150" s="243"/>
      <c r="U150" s="243"/>
      <c r="V150" s="243"/>
      <c r="W150" s="276">
        <f>賃金集計表!H26</f>
        <v>11000</v>
      </c>
      <c r="X150" s="273"/>
      <c r="Y150" s="273"/>
      <c r="Z150" s="274"/>
      <c r="AB150" s="247" t="s">
        <v>47</v>
      </c>
      <c r="AC150" s="243"/>
      <c r="AD150" s="243"/>
      <c r="AE150" s="243"/>
      <c r="AF150" s="276">
        <f>賃金集計表!H27</f>
        <v>20000</v>
      </c>
      <c r="AG150" s="273"/>
      <c r="AH150" s="273"/>
      <c r="AI150" s="274"/>
    </row>
    <row r="151" spans="1:35" ht="15" customHeight="1" x14ac:dyDescent="0.15">
      <c r="A151" s="253" t="s">
        <v>48</v>
      </c>
      <c r="B151" s="254"/>
      <c r="C151" s="254"/>
      <c r="D151" s="254"/>
      <c r="E151" s="272"/>
      <c r="F151" s="273"/>
      <c r="G151" s="273"/>
      <c r="H151" s="274"/>
      <c r="J151" s="253" t="s">
        <v>48</v>
      </c>
      <c r="K151" s="254"/>
      <c r="L151" s="254"/>
      <c r="M151" s="254"/>
      <c r="N151" s="272"/>
      <c r="O151" s="273"/>
      <c r="P151" s="273"/>
      <c r="Q151" s="274"/>
      <c r="S151" s="253" t="s">
        <v>48</v>
      </c>
      <c r="T151" s="254"/>
      <c r="U151" s="254"/>
      <c r="V151" s="254"/>
      <c r="W151" s="272"/>
      <c r="X151" s="273"/>
      <c r="Y151" s="273"/>
      <c r="Z151" s="274"/>
      <c r="AB151" s="253" t="s">
        <v>48</v>
      </c>
      <c r="AC151" s="254"/>
      <c r="AD151" s="254"/>
      <c r="AE151" s="254"/>
      <c r="AF151" s="272"/>
      <c r="AG151" s="273"/>
      <c r="AH151" s="273"/>
      <c r="AI151" s="274"/>
    </row>
    <row r="152" spans="1:35" ht="15" customHeight="1" x14ac:dyDescent="0.15">
      <c r="A152" s="259" t="s">
        <v>22</v>
      </c>
      <c r="B152" s="254" t="s">
        <v>50</v>
      </c>
      <c r="C152" s="254"/>
      <c r="D152" s="254"/>
      <c r="E152" s="272"/>
      <c r="F152" s="273"/>
      <c r="G152" s="273"/>
      <c r="H152" s="274"/>
      <c r="J152" s="275" t="s">
        <v>22</v>
      </c>
      <c r="K152" s="243" t="s">
        <v>50</v>
      </c>
      <c r="L152" s="243"/>
      <c r="M152" s="243"/>
      <c r="N152" s="272"/>
      <c r="O152" s="273"/>
      <c r="P152" s="273"/>
      <c r="Q152" s="274"/>
      <c r="S152" s="275" t="s">
        <v>22</v>
      </c>
      <c r="T152" s="243" t="s">
        <v>50</v>
      </c>
      <c r="U152" s="243"/>
      <c r="V152" s="243"/>
      <c r="W152" s="272"/>
      <c r="X152" s="273"/>
      <c r="Y152" s="273"/>
      <c r="Z152" s="274"/>
      <c r="AB152" s="275" t="s">
        <v>22</v>
      </c>
      <c r="AC152" s="243" t="s">
        <v>50</v>
      </c>
      <c r="AD152" s="243"/>
      <c r="AE152" s="243"/>
      <c r="AF152" s="272"/>
      <c r="AG152" s="273"/>
      <c r="AH152" s="273"/>
      <c r="AI152" s="274"/>
    </row>
    <row r="153" spans="1:35" ht="15" customHeight="1" x14ac:dyDescent="0.15">
      <c r="A153" s="259"/>
      <c r="B153" s="254" t="s">
        <v>49</v>
      </c>
      <c r="C153" s="254"/>
      <c r="D153" s="254"/>
      <c r="E153" s="272"/>
      <c r="F153" s="273"/>
      <c r="G153" s="273"/>
      <c r="H153" s="274"/>
      <c r="J153" s="275"/>
      <c r="K153" s="243" t="s">
        <v>49</v>
      </c>
      <c r="L153" s="243"/>
      <c r="M153" s="243"/>
      <c r="N153" s="272"/>
      <c r="O153" s="273"/>
      <c r="P153" s="273"/>
      <c r="Q153" s="274"/>
      <c r="S153" s="275"/>
      <c r="T153" s="243" t="s">
        <v>49</v>
      </c>
      <c r="U153" s="243"/>
      <c r="V153" s="243"/>
      <c r="W153" s="272"/>
      <c r="X153" s="273"/>
      <c r="Y153" s="273"/>
      <c r="Z153" s="274"/>
      <c r="AB153" s="275"/>
      <c r="AC153" s="243" t="s">
        <v>49</v>
      </c>
      <c r="AD153" s="243"/>
      <c r="AE153" s="243"/>
      <c r="AF153" s="272"/>
      <c r="AG153" s="273"/>
      <c r="AH153" s="273"/>
      <c r="AI153" s="274"/>
    </row>
    <row r="154" spans="1:35" ht="15" customHeight="1" x14ac:dyDescent="0.15">
      <c r="A154" s="259"/>
      <c r="B154" s="254" t="s">
        <v>51</v>
      </c>
      <c r="C154" s="254"/>
      <c r="D154" s="254"/>
      <c r="E154" s="272"/>
      <c r="F154" s="273"/>
      <c r="G154" s="273"/>
      <c r="H154" s="274"/>
      <c r="J154" s="275"/>
      <c r="K154" s="243" t="s">
        <v>51</v>
      </c>
      <c r="L154" s="243"/>
      <c r="M154" s="243"/>
      <c r="N154" s="272"/>
      <c r="O154" s="273"/>
      <c r="P154" s="273"/>
      <c r="Q154" s="274"/>
      <c r="S154" s="275"/>
      <c r="T154" s="243" t="s">
        <v>51</v>
      </c>
      <c r="U154" s="243"/>
      <c r="V154" s="243"/>
      <c r="W154" s="272"/>
      <c r="X154" s="273"/>
      <c r="Y154" s="273"/>
      <c r="Z154" s="274"/>
      <c r="AB154" s="275"/>
      <c r="AC154" s="243" t="s">
        <v>51</v>
      </c>
      <c r="AD154" s="243"/>
      <c r="AE154" s="243"/>
      <c r="AF154" s="272"/>
      <c r="AG154" s="273"/>
      <c r="AH154" s="273"/>
      <c r="AI154" s="274"/>
    </row>
    <row r="155" spans="1:35" ht="15" customHeight="1" x14ac:dyDescent="0.15">
      <c r="A155" s="259"/>
      <c r="B155" s="254" t="s">
        <v>52</v>
      </c>
      <c r="C155" s="254"/>
      <c r="D155" s="254"/>
      <c r="E155" s="272"/>
      <c r="F155" s="273"/>
      <c r="G155" s="273"/>
      <c r="H155" s="274"/>
      <c r="J155" s="275"/>
      <c r="K155" s="243" t="s">
        <v>52</v>
      </c>
      <c r="L155" s="243"/>
      <c r="M155" s="243"/>
      <c r="N155" s="272"/>
      <c r="O155" s="273"/>
      <c r="P155" s="273"/>
      <c r="Q155" s="274"/>
      <c r="S155" s="275"/>
      <c r="T155" s="243" t="s">
        <v>52</v>
      </c>
      <c r="U155" s="243"/>
      <c r="V155" s="243"/>
      <c r="W155" s="272"/>
      <c r="X155" s="273"/>
      <c r="Y155" s="273"/>
      <c r="Z155" s="274"/>
      <c r="AB155" s="275"/>
      <c r="AC155" s="243" t="s">
        <v>52</v>
      </c>
      <c r="AD155" s="243"/>
      <c r="AE155" s="243"/>
      <c r="AF155" s="272"/>
      <c r="AG155" s="273"/>
      <c r="AH155" s="273"/>
      <c r="AI155" s="274"/>
    </row>
    <row r="156" spans="1:35" ht="15" customHeight="1" x14ac:dyDescent="0.15">
      <c r="A156" s="259"/>
      <c r="B156" s="254" t="s">
        <v>53</v>
      </c>
      <c r="C156" s="254"/>
      <c r="D156" s="254"/>
      <c r="E156" s="272"/>
      <c r="F156" s="273"/>
      <c r="G156" s="273"/>
      <c r="H156" s="274"/>
      <c r="J156" s="275"/>
      <c r="K156" s="243" t="s">
        <v>53</v>
      </c>
      <c r="L156" s="243"/>
      <c r="M156" s="243"/>
      <c r="N156" s="272"/>
      <c r="O156" s="273"/>
      <c r="P156" s="273"/>
      <c r="Q156" s="274"/>
      <c r="S156" s="275"/>
      <c r="T156" s="243" t="s">
        <v>53</v>
      </c>
      <c r="U156" s="243"/>
      <c r="V156" s="243"/>
      <c r="W156" s="272"/>
      <c r="X156" s="273"/>
      <c r="Y156" s="273"/>
      <c r="Z156" s="274"/>
      <c r="AB156" s="275"/>
      <c r="AC156" s="243" t="s">
        <v>53</v>
      </c>
      <c r="AD156" s="243"/>
      <c r="AE156" s="243"/>
      <c r="AF156" s="272"/>
      <c r="AG156" s="273"/>
      <c r="AH156" s="273"/>
      <c r="AI156" s="274"/>
    </row>
    <row r="157" spans="1:35" ht="15" customHeight="1" x14ac:dyDescent="0.15">
      <c r="A157" s="259"/>
      <c r="B157" s="254" t="s">
        <v>109</v>
      </c>
      <c r="C157" s="254"/>
      <c r="D157" s="254"/>
      <c r="E157" s="255">
        <f>賃金集計表!N24</f>
        <v>0</v>
      </c>
      <c r="F157" s="256"/>
      <c r="G157" s="256"/>
      <c r="H157" s="257"/>
      <c r="J157" s="275"/>
      <c r="K157" s="243" t="s">
        <v>109</v>
      </c>
      <c r="L157" s="243"/>
      <c r="M157" s="243"/>
      <c r="N157" s="255">
        <f>賃金集計表!N25</f>
        <v>0</v>
      </c>
      <c r="O157" s="256"/>
      <c r="P157" s="256"/>
      <c r="Q157" s="257"/>
      <c r="S157" s="275"/>
      <c r="T157" s="243"/>
      <c r="U157" s="243"/>
      <c r="V157" s="243"/>
      <c r="W157" s="255">
        <f>賃金集計表!L26</f>
        <v>0</v>
      </c>
      <c r="X157" s="256"/>
      <c r="Y157" s="256"/>
      <c r="Z157" s="257"/>
      <c r="AB157" s="275"/>
      <c r="AC157" s="243"/>
      <c r="AD157" s="243"/>
      <c r="AE157" s="243"/>
      <c r="AF157" s="255">
        <f>賃金集計表!L27</f>
        <v>0</v>
      </c>
      <c r="AG157" s="256"/>
      <c r="AH157" s="256"/>
      <c r="AI157" s="257"/>
    </row>
    <row r="158" spans="1:35" ht="15" customHeight="1" x14ac:dyDescent="0.15">
      <c r="A158" s="253" t="s">
        <v>54</v>
      </c>
      <c r="B158" s="254"/>
      <c r="C158" s="254"/>
      <c r="D158" s="254"/>
      <c r="E158" s="255">
        <f>SUM(E150:H157)</f>
        <v>0</v>
      </c>
      <c r="F158" s="256"/>
      <c r="G158" s="256"/>
      <c r="H158" s="257"/>
      <c r="J158" s="247" t="s">
        <v>54</v>
      </c>
      <c r="K158" s="243"/>
      <c r="L158" s="243"/>
      <c r="M158" s="243"/>
      <c r="N158" s="255">
        <f>賃金集計表!O25</f>
        <v>24650</v>
      </c>
      <c r="O158" s="256"/>
      <c r="P158" s="256"/>
      <c r="Q158" s="257"/>
      <c r="S158" s="247" t="s">
        <v>54</v>
      </c>
      <c r="T158" s="243"/>
      <c r="U158" s="243"/>
      <c r="V158" s="243"/>
      <c r="W158" s="255">
        <f>賃金集計表!O26</f>
        <v>11000</v>
      </c>
      <c r="X158" s="256"/>
      <c r="Y158" s="256"/>
      <c r="Z158" s="257"/>
      <c r="AB158" s="247" t="s">
        <v>54</v>
      </c>
      <c r="AC158" s="243"/>
      <c r="AD158" s="243"/>
      <c r="AE158" s="243"/>
      <c r="AF158" s="255">
        <f>賃金集計表!O27</f>
        <v>20000</v>
      </c>
      <c r="AG158" s="256"/>
      <c r="AH158" s="256"/>
      <c r="AI158" s="257"/>
    </row>
    <row r="159" spans="1:35" ht="15" customHeight="1" x14ac:dyDescent="0.15">
      <c r="A159" s="259" t="s">
        <v>29</v>
      </c>
      <c r="B159" s="254" t="s">
        <v>55</v>
      </c>
      <c r="C159" s="254"/>
      <c r="D159" s="254"/>
      <c r="E159" s="258"/>
      <c r="F159" s="256"/>
      <c r="G159" s="256"/>
      <c r="H159" s="257"/>
      <c r="J159" s="259" t="s">
        <v>29</v>
      </c>
      <c r="K159" s="243" t="s">
        <v>55</v>
      </c>
      <c r="L159" s="243"/>
      <c r="M159" s="243"/>
      <c r="N159" s="258"/>
      <c r="O159" s="256"/>
      <c r="P159" s="256"/>
      <c r="Q159" s="257"/>
      <c r="S159" s="259" t="s">
        <v>29</v>
      </c>
      <c r="T159" s="243" t="s">
        <v>55</v>
      </c>
      <c r="U159" s="243"/>
      <c r="V159" s="243"/>
      <c r="W159" s="258"/>
      <c r="X159" s="256"/>
      <c r="Y159" s="256"/>
      <c r="Z159" s="257"/>
      <c r="AB159" s="259" t="s">
        <v>29</v>
      </c>
      <c r="AC159" s="243" t="s">
        <v>55</v>
      </c>
      <c r="AD159" s="243"/>
      <c r="AE159" s="243"/>
      <c r="AF159" s="258"/>
      <c r="AG159" s="256"/>
      <c r="AH159" s="256"/>
      <c r="AI159" s="257"/>
    </row>
    <row r="160" spans="1:35" ht="15" customHeight="1" x14ac:dyDescent="0.15">
      <c r="A160" s="259"/>
      <c r="B160" s="254" t="s">
        <v>24</v>
      </c>
      <c r="C160" s="254"/>
      <c r="D160" s="254"/>
      <c r="E160" s="258"/>
      <c r="F160" s="256"/>
      <c r="G160" s="256"/>
      <c r="H160" s="257"/>
      <c r="J160" s="259"/>
      <c r="K160" s="243" t="s">
        <v>24</v>
      </c>
      <c r="L160" s="243"/>
      <c r="M160" s="243"/>
      <c r="N160" s="258"/>
      <c r="O160" s="256"/>
      <c r="P160" s="256"/>
      <c r="Q160" s="257"/>
      <c r="S160" s="259"/>
      <c r="T160" s="243" t="s">
        <v>24</v>
      </c>
      <c r="U160" s="243"/>
      <c r="V160" s="243"/>
      <c r="W160" s="258"/>
      <c r="X160" s="256"/>
      <c r="Y160" s="256"/>
      <c r="Z160" s="257"/>
      <c r="AB160" s="259"/>
      <c r="AC160" s="243" t="s">
        <v>24</v>
      </c>
      <c r="AD160" s="243"/>
      <c r="AE160" s="243"/>
      <c r="AF160" s="258"/>
      <c r="AG160" s="256"/>
      <c r="AH160" s="256"/>
      <c r="AI160" s="257"/>
    </row>
    <row r="161" spans="1:35" ht="15" customHeight="1" x14ac:dyDescent="0.15">
      <c r="A161" s="259"/>
      <c r="B161" s="254" t="s">
        <v>56</v>
      </c>
      <c r="C161" s="254"/>
      <c r="D161" s="254"/>
      <c r="E161" s="258"/>
      <c r="F161" s="256"/>
      <c r="G161" s="256"/>
      <c r="H161" s="257"/>
      <c r="J161" s="259"/>
      <c r="K161" s="243" t="s">
        <v>56</v>
      </c>
      <c r="L161" s="243"/>
      <c r="M161" s="243"/>
      <c r="N161" s="258"/>
      <c r="O161" s="256"/>
      <c r="P161" s="256"/>
      <c r="Q161" s="257"/>
      <c r="S161" s="259"/>
      <c r="T161" s="243" t="s">
        <v>56</v>
      </c>
      <c r="U161" s="243"/>
      <c r="V161" s="243"/>
      <c r="W161" s="258"/>
      <c r="X161" s="256"/>
      <c r="Y161" s="256"/>
      <c r="Z161" s="257"/>
      <c r="AB161" s="259"/>
      <c r="AC161" s="243" t="s">
        <v>56</v>
      </c>
      <c r="AD161" s="243"/>
      <c r="AE161" s="243"/>
      <c r="AF161" s="258"/>
      <c r="AG161" s="256"/>
      <c r="AH161" s="256"/>
      <c r="AI161" s="257"/>
    </row>
    <row r="162" spans="1:35" ht="15" customHeight="1" x14ac:dyDescent="0.15">
      <c r="A162" s="259"/>
      <c r="B162" s="254" t="s">
        <v>27</v>
      </c>
      <c r="C162" s="254"/>
      <c r="D162" s="254"/>
      <c r="E162" s="258"/>
      <c r="F162" s="256"/>
      <c r="G162" s="256"/>
      <c r="H162" s="257"/>
      <c r="J162" s="259"/>
      <c r="K162" s="243" t="s">
        <v>27</v>
      </c>
      <c r="L162" s="243"/>
      <c r="M162" s="243"/>
      <c r="N162" s="258"/>
      <c r="O162" s="256"/>
      <c r="P162" s="256"/>
      <c r="Q162" s="257"/>
      <c r="S162" s="259"/>
      <c r="T162" s="243" t="s">
        <v>27</v>
      </c>
      <c r="U162" s="243"/>
      <c r="V162" s="243"/>
      <c r="W162" s="258"/>
      <c r="X162" s="256"/>
      <c r="Y162" s="256"/>
      <c r="Z162" s="257"/>
      <c r="AB162" s="259"/>
      <c r="AC162" s="243" t="s">
        <v>27</v>
      </c>
      <c r="AD162" s="243"/>
      <c r="AE162" s="243"/>
      <c r="AF162" s="258"/>
      <c r="AG162" s="256"/>
      <c r="AH162" s="256"/>
      <c r="AI162" s="257"/>
    </row>
    <row r="163" spans="1:35" ht="15" customHeight="1" x14ac:dyDescent="0.15">
      <c r="A163" s="259"/>
      <c r="B163" s="254" t="s">
        <v>26</v>
      </c>
      <c r="C163" s="254"/>
      <c r="D163" s="254"/>
      <c r="E163" s="258"/>
      <c r="F163" s="256"/>
      <c r="G163" s="256"/>
      <c r="H163" s="257"/>
      <c r="J163" s="259"/>
      <c r="K163" s="243" t="s">
        <v>26</v>
      </c>
      <c r="L163" s="243"/>
      <c r="M163" s="243"/>
      <c r="N163" s="258"/>
      <c r="O163" s="256"/>
      <c r="P163" s="256"/>
      <c r="Q163" s="257"/>
      <c r="S163" s="259"/>
      <c r="T163" s="243" t="s">
        <v>26</v>
      </c>
      <c r="U163" s="243"/>
      <c r="V163" s="243"/>
      <c r="W163" s="258"/>
      <c r="X163" s="256"/>
      <c r="Y163" s="256"/>
      <c r="Z163" s="257"/>
      <c r="AB163" s="259"/>
      <c r="AC163" s="243" t="s">
        <v>26</v>
      </c>
      <c r="AD163" s="243"/>
      <c r="AE163" s="243"/>
      <c r="AF163" s="258"/>
      <c r="AG163" s="256"/>
      <c r="AH163" s="256"/>
      <c r="AI163" s="257"/>
    </row>
    <row r="164" spans="1:35" ht="15" customHeight="1" x14ac:dyDescent="0.15">
      <c r="A164" s="259"/>
      <c r="B164" s="254"/>
      <c r="C164" s="254"/>
      <c r="D164" s="254"/>
      <c r="E164" s="258"/>
      <c r="F164" s="256"/>
      <c r="G164" s="256"/>
      <c r="H164" s="257"/>
      <c r="J164" s="259"/>
      <c r="K164" s="243"/>
      <c r="L164" s="243"/>
      <c r="M164" s="243"/>
      <c r="N164" s="258"/>
      <c r="O164" s="256"/>
      <c r="P164" s="256"/>
      <c r="Q164" s="257"/>
      <c r="S164" s="259"/>
      <c r="T164" s="243"/>
      <c r="U164" s="243"/>
      <c r="V164" s="243"/>
      <c r="W164" s="258"/>
      <c r="X164" s="256"/>
      <c r="Y164" s="256"/>
      <c r="Z164" s="257"/>
      <c r="AB164" s="259"/>
      <c r="AC164" s="243"/>
      <c r="AD164" s="243"/>
      <c r="AE164" s="243"/>
      <c r="AF164" s="258"/>
      <c r="AG164" s="256"/>
      <c r="AH164" s="256"/>
      <c r="AI164" s="257"/>
    </row>
    <row r="165" spans="1:35" ht="15" customHeight="1" x14ac:dyDescent="0.15">
      <c r="A165" s="259"/>
      <c r="B165" s="243" t="s">
        <v>81</v>
      </c>
      <c r="C165" s="243"/>
      <c r="D165" s="243"/>
      <c r="E165" s="255">
        <f>賃金集計表!V24</f>
        <v>0</v>
      </c>
      <c r="F165" s="256"/>
      <c r="G165" s="256"/>
      <c r="H165" s="257"/>
      <c r="J165" s="259"/>
      <c r="K165" s="243" t="s">
        <v>81</v>
      </c>
      <c r="L165" s="243"/>
      <c r="M165" s="243"/>
      <c r="N165" s="255">
        <f>賃金集計表!V25</f>
        <v>6650</v>
      </c>
      <c r="O165" s="256"/>
      <c r="P165" s="256"/>
      <c r="Q165" s="257"/>
      <c r="S165" s="259"/>
      <c r="T165" s="243" t="s">
        <v>81</v>
      </c>
      <c r="U165" s="243"/>
      <c r="V165" s="243"/>
      <c r="W165" s="255">
        <f>賃金集計表!V26</f>
        <v>0</v>
      </c>
      <c r="X165" s="256"/>
      <c r="Y165" s="256"/>
      <c r="Z165" s="257"/>
      <c r="AB165" s="259"/>
      <c r="AC165" s="243" t="s">
        <v>81</v>
      </c>
      <c r="AD165" s="243"/>
      <c r="AE165" s="243"/>
      <c r="AF165" s="255">
        <f>賃金集計表!V27</f>
        <v>2100</v>
      </c>
      <c r="AG165" s="256"/>
      <c r="AH165" s="256"/>
      <c r="AI165" s="257"/>
    </row>
    <row r="166" spans="1:35" ht="15" customHeight="1" x14ac:dyDescent="0.15">
      <c r="A166" s="259"/>
      <c r="B166" s="254" t="s">
        <v>54</v>
      </c>
      <c r="C166" s="254"/>
      <c r="D166" s="254"/>
      <c r="E166" s="258">
        <f>SUM(E159:H165)</f>
        <v>0</v>
      </c>
      <c r="F166" s="256"/>
      <c r="G166" s="256"/>
      <c r="H166" s="257"/>
      <c r="J166" s="259"/>
      <c r="K166" s="243" t="s">
        <v>54</v>
      </c>
      <c r="L166" s="243"/>
      <c r="M166" s="243"/>
      <c r="N166" s="255">
        <f>賃金集計表!W25</f>
        <v>6650</v>
      </c>
      <c r="O166" s="256"/>
      <c r="P166" s="256"/>
      <c r="Q166" s="257"/>
      <c r="S166" s="259"/>
      <c r="T166" s="243" t="s">
        <v>54</v>
      </c>
      <c r="U166" s="243"/>
      <c r="V166" s="243"/>
      <c r="W166" s="255">
        <f>賃金集計表!W26</f>
        <v>0</v>
      </c>
      <c r="X166" s="256"/>
      <c r="Y166" s="256"/>
      <c r="Z166" s="257"/>
      <c r="AB166" s="259"/>
      <c r="AC166" s="243" t="s">
        <v>54</v>
      </c>
      <c r="AD166" s="243"/>
      <c r="AE166" s="243"/>
      <c r="AF166" s="255">
        <f>賃金集計表!W27</f>
        <v>2100</v>
      </c>
      <c r="AG166" s="256"/>
      <c r="AH166" s="256"/>
      <c r="AI166" s="257"/>
    </row>
    <row r="167" spans="1:35" ht="15" customHeight="1" x14ac:dyDescent="0.15">
      <c r="A167" s="253" t="s">
        <v>57</v>
      </c>
      <c r="B167" s="254"/>
      <c r="C167" s="254"/>
      <c r="D167" s="254"/>
      <c r="E167" s="255">
        <f>E158-E166</f>
        <v>0</v>
      </c>
      <c r="F167" s="256"/>
      <c r="G167" s="256"/>
      <c r="H167" s="257"/>
      <c r="J167" s="247" t="s">
        <v>57</v>
      </c>
      <c r="K167" s="243"/>
      <c r="L167" s="243"/>
      <c r="M167" s="243"/>
      <c r="N167" s="255">
        <f>賃金集計表!X25</f>
        <v>18000</v>
      </c>
      <c r="O167" s="256"/>
      <c r="P167" s="256"/>
      <c r="Q167" s="257"/>
      <c r="S167" s="247" t="s">
        <v>57</v>
      </c>
      <c r="T167" s="243"/>
      <c r="U167" s="243"/>
      <c r="V167" s="243"/>
      <c r="W167" s="255">
        <f>賃金集計表!X26</f>
        <v>11000</v>
      </c>
      <c r="X167" s="256"/>
      <c r="Y167" s="256"/>
      <c r="Z167" s="257"/>
      <c r="AB167" s="247" t="s">
        <v>57</v>
      </c>
      <c r="AC167" s="243"/>
      <c r="AD167" s="243"/>
      <c r="AE167" s="243"/>
      <c r="AF167" s="255">
        <f>賃金集計表!X27</f>
        <v>17900</v>
      </c>
      <c r="AG167" s="256"/>
      <c r="AH167" s="256"/>
      <c r="AI167" s="257"/>
    </row>
    <row r="168" spans="1:35" ht="15" customHeight="1" x14ac:dyDescent="0.15">
      <c r="A168" s="262" t="s">
        <v>58</v>
      </c>
      <c r="B168" s="263"/>
      <c r="C168" s="263"/>
      <c r="D168" s="61"/>
      <c r="E168" s="62"/>
      <c r="F168" s="62"/>
      <c r="G168" s="264" t="s">
        <v>62</v>
      </c>
      <c r="H168" s="265"/>
      <c r="J168" s="262" t="s">
        <v>58</v>
      </c>
      <c r="K168" s="263"/>
      <c r="L168" s="263"/>
      <c r="M168" s="61"/>
      <c r="N168" s="62"/>
      <c r="O168" s="62"/>
      <c r="P168" s="264" t="s">
        <v>62</v>
      </c>
      <c r="Q168" s="265"/>
      <c r="S168" s="262" t="s">
        <v>58</v>
      </c>
      <c r="T168" s="263"/>
      <c r="U168" s="263"/>
      <c r="V168" s="61"/>
      <c r="W168" s="62"/>
      <c r="X168" s="62"/>
      <c r="Y168" s="264" t="s">
        <v>62</v>
      </c>
      <c r="Z168" s="265"/>
      <c r="AB168" s="262" t="s">
        <v>58</v>
      </c>
      <c r="AC168" s="263"/>
      <c r="AD168" s="263"/>
      <c r="AE168" s="61"/>
      <c r="AF168" s="62"/>
      <c r="AG168" s="62"/>
      <c r="AH168" s="264" t="s">
        <v>62</v>
      </c>
      <c r="AI168" s="265"/>
    </row>
    <row r="169" spans="1:35" ht="18" customHeight="1" x14ac:dyDescent="0.15">
      <c r="A169" s="270" t="s">
        <v>31</v>
      </c>
      <c r="B169" s="271"/>
      <c r="C169" s="271"/>
      <c r="D169" s="271"/>
      <c r="E169" s="271"/>
      <c r="F169" s="271"/>
      <c r="G169" s="266"/>
      <c r="H169" s="267"/>
      <c r="J169" s="270" t="s">
        <v>31</v>
      </c>
      <c r="K169" s="271"/>
      <c r="L169" s="271"/>
      <c r="M169" s="271"/>
      <c r="N169" s="271"/>
      <c r="O169" s="271"/>
      <c r="P169" s="266"/>
      <c r="Q169" s="267"/>
      <c r="S169" s="270" t="s">
        <v>31</v>
      </c>
      <c r="T169" s="271"/>
      <c r="U169" s="271"/>
      <c r="V169" s="271"/>
      <c r="W169" s="271"/>
      <c r="X169" s="271"/>
      <c r="Y169" s="266"/>
      <c r="Z169" s="267"/>
      <c r="AB169" s="270" t="s">
        <v>31</v>
      </c>
      <c r="AC169" s="271"/>
      <c r="AD169" s="271"/>
      <c r="AE169" s="271"/>
      <c r="AF169" s="271"/>
      <c r="AG169" s="271"/>
      <c r="AH169" s="266"/>
      <c r="AI169" s="267"/>
    </row>
    <row r="170" spans="1:35" ht="22.5" customHeight="1" thickBot="1" x14ac:dyDescent="0.2">
      <c r="A170" s="260" t="s">
        <v>63</v>
      </c>
      <c r="B170" s="261"/>
      <c r="C170" s="261"/>
      <c r="D170" s="261"/>
      <c r="E170" s="261"/>
      <c r="F170" s="261"/>
      <c r="G170" s="268"/>
      <c r="H170" s="269"/>
      <c r="J170" s="260" t="s">
        <v>63</v>
      </c>
      <c r="K170" s="261"/>
      <c r="L170" s="261"/>
      <c r="M170" s="261"/>
      <c r="N170" s="261"/>
      <c r="O170" s="261"/>
      <c r="P170" s="268"/>
      <c r="Q170" s="269"/>
      <c r="S170" s="260" t="s">
        <v>63</v>
      </c>
      <c r="T170" s="261"/>
      <c r="U170" s="261"/>
      <c r="V170" s="261"/>
      <c r="W170" s="261"/>
      <c r="X170" s="261"/>
      <c r="Y170" s="268"/>
      <c r="Z170" s="269"/>
      <c r="AB170" s="260" t="s">
        <v>63</v>
      </c>
      <c r="AC170" s="261"/>
      <c r="AD170" s="261"/>
      <c r="AE170" s="261"/>
      <c r="AF170" s="261"/>
      <c r="AG170" s="261"/>
      <c r="AH170" s="268"/>
      <c r="AI170" s="269"/>
    </row>
    <row r="171" spans="1:35" ht="28.5" customHeight="1" thickTop="1" x14ac:dyDescent="0.15">
      <c r="A171" s="287" t="s">
        <v>34</v>
      </c>
      <c r="B171" s="287"/>
      <c r="C171" s="287"/>
      <c r="D171" s="287"/>
      <c r="E171" s="287"/>
      <c r="F171" s="287"/>
      <c r="G171" s="287"/>
      <c r="H171" s="287"/>
      <c r="J171" s="287" t="s">
        <v>34</v>
      </c>
      <c r="K171" s="287"/>
      <c r="L171" s="287"/>
      <c r="M171" s="287"/>
      <c r="N171" s="287"/>
      <c r="O171" s="287"/>
      <c r="P171" s="287"/>
      <c r="Q171" s="287"/>
      <c r="S171" s="287" t="s">
        <v>34</v>
      </c>
      <c r="T171" s="287"/>
      <c r="U171" s="287"/>
      <c r="V171" s="287"/>
      <c r="W171" s="287"/>
      <c r="X171" s="287"/>
      <c r="Y171" s="287"/>
      <c r="Z171" s="287"/>
      <c r="AB171" s="287" t="s">
        <v>34</v>
      </c>
      <c r="AC171" s="287"/>
      <c r="AD171" s="287"/>
      <c r="AE171" s="287"/>
      <c r="AF171" s="287"/>
      <c r="AG171" s="287"/>
      <c r="AH171" s="287"/>
      <c r="AI171" s="287"/>
    </row>
    <row r="172" spans="1:35" ht="8.25" customHeight="1" x14ac:dyDescent="0.15">
      <c r="A172" s="51"/>
      <c r="B172" s="51"/>
      <c r="C172" s="51"/>
      <c r="D172" s="51"/>
      <c r="E172" s="51"/>
      <c r="F172" s="51"/>
      <c r="G172" s="51"/>
      <c r="H172" s="51"/>
      <c r="J172" s="51"/>
      <c r="K172" s="51"/>
      <c r="L172" s="51"/>
      <c r="M172" s="51"/>
      <c r="N172" s="51"/>
      <c r="O172" s="51"/>
      <c r="P172" s="51"/>
      <c r="Q172" s="51"/>
      <c r="S172" s="51"/>
      <c r="T172" s="51"/>
      <c r="U172" s="51"/>
      <c r="V172" s="51"/>
      <c r="W172" s="51"/>
      <c r="X172" s="51"/>
      <c r="Y172" s="51"/>
      <c r="Z172" s="51"/>
      <c r="AB172" s="51"/>
      <c r="AC172" s="51"/>
      <c r="AD172" s="51"/>
      <c r="AE172" s="51"/>
      <c r="AF172" s="51"/>
      <c r="AG172" s="51"/>
      <c r="AH172" s="51"/>
      <c r="AI172" s="51"/>
    </row>
    <row r="173" spans="1:35" ht="23.25" customHeight="1" x14ac:dyDescent="0.15">
      <c r="A173" s="51"/>
      <c r="B173" s="51"/>
      <c r="C173" s="63" t="s">
        <v>35</v>
      </c>
      <c r="D173" s="51">
        <v>27</v>
      </c>
      <c r="E173" s="51" t="s">
        <v>36</v>
      </c>
      <c r="F173" s="51">
        <v>5</v>
      </c>
      <c r="G173" s="64" t="s">
        <v>37</v>
      </c>
      <c r="H173" s="51"/>
      <c r="J173" s="51"/>
      <c r="K173" s="51"/>
      <c r="L173" s="63" t="s">
        <v>35</v>
      </c>
      <c r="M173" s="51">
        <v>27</v>
      </c>
      <c r="N173" s="51" t="s">
        <v>36</v>
      </c>
      <c r="O173" s="51">
        <v>5</v>
      </c>
      <c r="P173" s="64" t="s">
        <v>37</v>
      </c>
      <c r="Q173" s="51"/>
      <c r="S173" s="51"/>
      <c r="T173" s="51"/>
      <c r="U173" s="63" t="s">
        <v>35</v>
      </c>
      <c r="V173" s="51">
        <v>27</v>
      </c>
      <c r="W173" s="51" t="s">
        <v>36</v>
      </c>
      <c r="X173" s="51">
        <v>5</v>
      </c>
      <c r="Y173" s="64" t="s">
        <v>37</v>
      </c>
      <c r="Z173" s="51"/>
      <c r="AB173" s="51"/>
      <c r="AC173" s="51"/>
      <c r="AD173" s="51" t="s">
        <v>35</v>
      </c>
      <c r="AE173" s="51">
        <v>27</v>
      </c>
      <c r="AF173" s="51" t="s">
        <v>36</v>
      </c>
      <c r="AG173" s="51">
        <v>5</v>
      </c>
      <c r="AH173" s="51" t="s">
        <v>37</v>
      </c>
      <c r="AI173" s="51"/>
    </row>
    <row r="174" spans="1:35" ht="20.25" customHeight="1" x14ac:dyDescent="0.15">
      <c r="A174" s="52" t="s">
        <v>38</v>
      </c>
      <c r="B174" s="52" t="s">
        <v>39</v>
      </c>
      <c r="C174" s="52" t="s">
        <v>40</v>
      </c>
      <c r="D174" s="52"/>
      <c r="E174" s="52"/>
      <c r="F174" s="51"/>
      <c r="G174" s="51"/>
      <c r="H174" s="51"/>
      <c r="J174" s="52" t="s">
        <v>38</v>
      </c>
      <c r="K174" s="52" t="s">
        <v>39</v>
      </c>
      <c r="L174" s="52" t="s">
        <v>40</v>
      </c>
      <c r="M174" s="52"/>
      <c r="N174" s="52"/>
      <c r="O174" s="51"/>
      <c r="P174" s="51"/>
      <c r="Q174" s="51"/>
      <c r="S174" s="52" t="s">
        <v>38</v>
      </c>
      <c r="T174" s="52" t="s">
        <v>39</v>
      </c>
      <c r="U174" s="52" t="s">
        <v>40</v>
      </c>
      <c r="V174" s="52"/>
      <c r="W174" s="52"/>
      <c r="X174" s="51"/>
      <c r="Y174" s="51"/>
      <c r="Z174" s="51"/>
      <c r="AB174" s="52" t="s">
        <v>38</v>
      </c>
      <c r="AC174" s="52" t="s">
        <v>39</v>
      </c>
      <c r="AD174" s="52" t="s">
        <v>40</v>
      </c>
      <c r="AE174" s="52"/>
      <c r="AF174" s="52"/>
      <c r="AG174" s="51"/>
      <c r="AH174" s="51"/>
      <c r="AI174" s="51"/>
    </row>
    <row r="175" spans="1:35" x14ac:dyDescent="0.15">
      <c r="A175" s="280" t="str">
        <f>賃金集計表!A28</f>
        <v>鹿室　泰洋</v>
      </c>
      <c r="B175" s="280"/>
      <c r="C175" s="280"/>
      <c r="D175" s="280"/>
      <c r="E175" s="280"/>
      <c r="F175" s="280"/>
      <c r="G175" s="280"/>
      <c r="H175" s="53"/>
      <c r="J175" s="280" t="str">
        <f>賃金集計表!A29</f>
        <v>吉岡　一夫</v>
      </c>
      <c r="K175" s="280"/>
      <c r="L175" s="280"/>
      <c r="M175" s="280"/>
      <c r="N175" s="280"/>
      <c r="O175" s="280"/>
      <c r="P175" s="280"/>
      <c r="Q175" s="53"/>
      <c r="S175" s="280" t="str">
        <f>賃金集計表!A30</f>
        <v>宇江　寿江</v>
      </c>
      <c r="T175" s="280"/>
      <c r="U175" s="280"/>
      <c r="V175" s="280"/>
      <c r="W175" s="280"/>
      <c r="X175" s="280"/>
      <c r="Y175" s="280"/>
      <c r="Z175" s="53"/>
      <c r="AB175" s="280">
        <f>賃金集計表!A41</f>
        <v>0</v>
      </c>
      <c r="AC175" s="280"/>
      <c r="AD175" s="280"/>
      <c r="AE175" s="280"/>
      <c r="AF175" s="280"/>
      <c r="AG175" s="280"/>
      <c r="AH175" s="280"/>
      <c r="AI175" s="53"/>
    </row>
    <row r="176" spans="1:35" x14ac:dyDescent="0.15">
      <c r="A176" s="281"/>
      <c r="B176" s="281"/>
      <c r="C176" s="281"/>
      <c r="D176" s="281"/>
      <c r="E176" s="281"/>
      <c r="F176" s="281"/>
      <c r="G176" s="281"/>
      <c r="H176" s="52" t="s">
        <v>41</v>
      </c>
      <c r="J176" s="281"/>
      <c r="K176" s="281"/>
      <c r="L176" s="281"/>
      <c r="M176" s="281"/>
      <c r="N176" s="281"/>
      <c r="O176" s="281"/>
      <c r="P176" s="281"/>
      <c r="Q176" s="52" t="s">
        <v>41</v>
      </c>
      <c r="S176" s="281"/>
      <c r="T176" s="281"/>
      <c r="U176" s="281"/>
      <c r="V176" s="281"/>
      <c r="W176" s="281"/>
      <c r="X176" s="281"/>
      <c r="Y176" s="281"/>
      <c r="Z176" s="52" t="s">
        <v>41</v>
      </c>
      <c r="AB176" s="281"/>
      <c r="AC176" s="281"/>
      <c r="AD176" s="281"/>
      <c r="AE176" s="281"/>
      <c r="AF176" s="281"/>
      <c r="AG176" s="281"/>
      <c r="AH176" s="281"/>
      <c r="AI176" s="52" t="s">
        <v>41</v>
      </c>
    </row>
    <row r="177" spans="1:35" ht="6" customHeight="1" thickBot="1" x14ac:dyDescent="0.2">
      <c r="A177" s="51"/>
      <c r="B177" s="51"/>
      <c r="C177" s="51"/>
      <c r="D177" s="51"/>
      <c r="E177" s="51"/>
      <c r="F177" s="51"/>
      <c r="G177" s="51"/>
      <c r="H177" s="51"/>
      <c r="J177" s="51"/>
      <c r="K177" s="51"/>
      <c r="L177" s="51"/>
      <c r="M177" s="51"/>
      <c r="N177" s="51"/>
      <c r="O177" s="51"/>
      <c r="P177" s="51"/>
      <c r="Q177" s="51"/>
      <c r="S177" s="51"/>
      <c r="T177" s="51"/>
      <c r="U177" s="51"/>
      <c r="V177" s="51"/>
      <c r="W177" s="51"/>
      <c r="X177" s="51"/>
      <c r="Y177" s="51"/>
      <c r="Z177" s="51"/>
      <c r="AB177" s="51"/>
      <c r="AC177" s="51"/>
      <c r="AD177" s="51"/>
      <c r="AE177" s="51"/>
      <c r="AF177" s="51"/>
      <c r="AG177" s="51"/>
      <c r="AH177" s="51"/>
      <c r="AI177" s="51"/>
    </row>
    <row r="178" spans="1:35" ht="15" customHeight="1" thickTop="1" x14ac:dyDescent="0.15">
      <c r="A178" s="283" t="s">
        <v>42</v>
      </c>
      <c r="B178" s="284"/>
      <c r="C178" s="284"/>
      <c r="D178" s="284"/>
      <c r="E178" s="277" t="s">
        <v>114</v>
      </c>
      <c r="F178" s="278"/>
      <c r="G178" s="278"/>
      <c r="H178" s="279"/>
      <c r="J178" s="251" t="s">
        <v>42</v>
      </c>
      <c r="K178" s="252"/>
      <c r="L178" s="252"/>
      <c r="M178" s="252"/>
      <c r="N178" s="277" t="s">
        <v>114</v>
      </c>
      <c r="O178" s="278"/>
      <c r="P178" s="278"/>
      <c r="Q178" s="279"/>
      <c r="S178" s="251" t="s">
        <v>42</v>
      </c>
      <c r="T178" s="252"/>
      <c r="U178" s="252"/>
      <c r="V178" s="252"/>
      <c r="W178" s="277" t="s">
        <v>114</v>
      </c>
      <c r="X178" s="278"/>
      <c r="Y178" s="278"/>
      <c r="Z178" s="279"/>
      <c r="AB178" s="251" t="s">
        <v>42</v>
      </c>
      <c r="AC178" s="252"/>
      <c r="AD178" s="252"/>
      <c r="AE178" s="252"/>
      <c r="AF178" s="277" t="s">
        <v>114</v>
      </c>
      <c r="AG178" s="278"/>
      <c r="AH178" s="278"/>
      <c r="AI178" s="279"/>
    </row>
    <row r="179" spans="1:35" ht="15" customHeight="1" x14ac:dyDescent="0.15">
      <c r="A179" s="253" t="s">
        <v>59</v>
      </c>
      <c r="B179" s="254"/>
      <c r="C179" s="254"/>
      <c r="D179" s="254"/>
      <c r="E179" s="54"/>
      <c r="F179" s="55"/>
      <c r="G179" s="55">
        <f>賃金集計表!B28</f>
        <v>6</v>
      </c>
      <c r="H179" s="56" t="s">
        <v>8</v>
      </c>
      <c r="J179" s="247" t="s">
        <v>59</v>
      </c>
      <c r="K179" s="243"/>
      <c r="L179" s="243"/>
      <c r="M179" s="243"/>
      <c r="N179" s="54"/>
      <c r="O179" s="55"/>
      <c r="P179" s="55">
        <f>賃金集計表!B29</f>
        <v>21</v>
      </c>
      <c r="Q179" s="56" t="s">
        <v>8</v>
      </c>
      <c r="S179" s="247" t="s">
        <v>59</v>
      </c>
      <c r="T179" s="243"/>
      <c r="U179" s="243"/>
      <c r="V179" s="243"/>
      <c r="W179" s="54"/>
      <c r="X179" s="55"/>
      <c r="Y179" s="55">
        <f>賃金集計表!B30</f>
        <v>17</v>
      </c>
      <c r="Z179" s="56" t="s">
        <v>8</v>
      </c>
      <c r="AB179" s="247" t="s">
        <v>59</v>
      </c>
      <c r="AC179" s="243"/>
      <c r="AD179" s="243"/>
      <c r="AE179" s="243"/>
      <c r="AF179" s="54"/>
      <c r="AG179" s="55"/>
      <c r="AH179" s="55">
        <f>賃金集計表!B41</f>
        <v>0</v>
      </c>
      <c r="AI179" s="56" t="s">
        <v>8</v>
      </c>
    </row>
    <row r="180" spans="1:35" ht="15" customHeight="1" x14ac:dyDescent="0.15">
      <c r="A180" s="253" t="s">
        <v>43</v>
      </c>
      <c r="B180" s="254"/>
      <c r="C180" s="254"/>
      <c r="D180" s="254"/>
      <c r="E180" s="54"/>
      <c r="F180" s="57" t="s">
        <v>61</v>
      </c>
      <c r="G180" s="54"/>
      <c r="H180" s="56" t="s">
        <v>60</v>
      </c>
      <c r="J180" s="247" t="s">
        <v>43</v>
      </c>
      <c r="K180" s="243"/>
      <c r="L180" s="243"/>
      <c r="M180" s="243"/>
      <c r="N180" s="54"/>
      <c r="O180" s="57" t="s">
        <v>61</v>
      </c>
      <c r="P180" s="54"/>
      <c r="Q180" s="56" t="s">
        <v>60</v>
      </c>
      <c r="S180" s="247" t="s">
        <v>43</v>
      </c>
      <c r="T180" s="243"/>
      <c r="U180" s="243"/>
      <c r="V180" s="243"/>
      <c r="W180" s="54"/>
      <c r="X180" s="57" t="s">
        <v>61</v>
      </c>
      <c r="Y180" s="54"/>
      <c r="Z180" s="56" t="s">
        <v>60</v>
      </c>
      <c r="AB180" s="247" t="s">
        <v>43</v>
      </c>
      <c r="AC180" s="243"/>
      <c r="AD180" s="243"/>
      <c r="AE180" s="243"/>
      <c r="AF180" s="54"/>
      <c r="AG180" s="57" t="s">
        <v>61</v>
      </c>
      <c r="AH180" s="54"/>
      <c r="AI180" s="56" t="s">
        <v>60</v>
      </c>
    </row>
    <row r="181" spans="1:35" ht="15" customHeight="1" x14ac:dyDescent="0.15">
      <c r="A181" s="253" t="s">
        <v>44</v>
      </c>
      <c r="B181" s="254"/>
      <c r="C181" s="254"/>
      <c r="D181" s="254"/>
      <c r="E181" s="54"/>
      <c r="F181" s="57" t="s">
        <v>61</v>
      </c>
      <c r="G181" s="54"/>
      <c r="H181" s="56" t="s">
        <v>60</v>
      </c>
      <c r="J181" s="247" t="s">
        <v>44</v>
      </c>
      <c r="K181" s="243"/>
      <c r="L181" s="243"/>
      <c r="M181" s="243"/>
      <c r="N181" s="54"/>
      <c r="O181" s="57" t="s">
        <v>61</v>
      </c>
      <c r="P181" s="54"/>
      <c r="Q181" s="56" t="s">
        <v>60</v>
      </c>
      <c r="S181" s="247" t="s">
        <v>44</v>
      </c>
      <c r="T181" s="243"/>
      <c r="U181" s="243"/>
      <c r="V181" s="243"/>
      <c r="W181" s="54"/>
      <c r="X181" s="57" t="s">
        <v>61</v>
      </c>
      <c r="Y181" s="54"/>
      <c r="Z181" s="56" t="s">
        <v>60</v>
      </c>
      <c r="AB181" s="247" t="s">
        <v>44</v>
      </c>
      <c r="AC181" s="243"/>
      <c r="AD181" s="243"/>
      <c r="AE181" s="243"/>
      <c r="AF181" s="54"/>
      <c r="AG181" s="57" t="s">
        <v>61</v>
      </c>
      <c r="AH181" s="54"/>
      <c r="AI181" s="56" t="s">
        <v>60</v>
      </c>
    </row>
    <row r="182" spans="1:35" ht="15" customHeight="1" x14ac:dyDescent="0.15">
      <c r="A182" s="253" t="s">
        <v>45</v>
      </c>
      <c r="B182" s="254"/>
      <c r="C182" s="254"/>
      <c r="D182" s="254"/>
      <c r="E182" s="54"/>
      <c r="F182" s="57" t="s">
        <v>61</v>
      </c>
      <c r="G182" s="54"/>
      <c r="H182" s="56" t="s">
        <v>60</v>
      </c>
      <c r="J182" s="247" t="s">
        <v>45</v>
      </c>
      <c r="K182" s="243"/>
      <c r="L182" s="243"/>
      <c r="M182" s="243"/>
      <c r="N182" s="54"/>
      <c r="O182" s="57" t="s">
        <v>61</v>
      </c>
      <c r="P182" s="54"/>
      <c r="Q182" s="56" t="s">
        <v>60</v>
      </c>
      <c r="S182" s="247" t="s">
        <v>45</v>
      </c>
      <c r="T182" s="243"/>
      <c r="U182" s="243"/>
      <c r="V182" s="243"/>
      <c r="W182" s="54"/>
      <c r="X182" s="57" t="s">
        <v>61</v>
      </c>
      <c r="Y182" s="54"/>
      <c r="Z182" s="56" t="s">
        <v>60</v>
      </c>
      <c r="AB182" s="247" t="s">
        <v>45</v>
      </c>
      <c r="AC182" s="243"/>
      <c r="AD182" s="243"/>
      <c r="AE182" s="243"/>
      <c r="AF182" s="54"/>
      <c r="AG182" s="57" t="s">
        <v>61</v>
      </c>
      <c r="AH182" s="54"/>
      <c r="AI182" s="56" t="s">
        <v>60</v>
      </c>
    </row>
    <row r="183" spans="1:35" ht="15" customHeight="1" x14ac:dyDescent="0.15">
      <c r="A183" s="253" t="s">
        <v>46</v>
      </c>
      <c r="B183" s="254"/>
      <c r="C183" s="254"/>
      <c r="D183" s="254"/>
      <c r="E183" s="58"/>
      <c r="F183" s="59" t="s">
        <v>61</v>
      </c>
      <c r="G183" s="58"/>
      <c r="H183" s="60" t="s">
        <v>60</v>
      </c>
      <c r="J183" s="247" t="s">
        <v>46</v>
      </c>
      <c r="K183" s="243"/>
      <c r="L183" s="243"/>
      <c r="M183" s="243"/>
      <c r="N183" s="58"/>
      <c r="O183" s="59" t="s">
        <v>61</v>
      </c>
      <c r="P183" s="58"/>
      <c r="Q183" s="60" t="s">
        <v>60</v>
      </c>
      <c r="S183" s="247" t="s">
        <v>46</v>
      </c>
      <c r="T183" s="243"/>
      <c r="U183" s="243"/>
      <c r="V183" s="243"/>
      <c r="W183" s="58"/>
      <c r="X183" s="59" t="s">
        <v>61</v>
      </c>
      <c r="Y183" s="58"/>
      <c r="Z183" s="60" t="s">
        <v>60</v>
      </c>
      <c r="AB183" s="247" t="s">
        <v>46</v>
      </c>
      <c r="AC183" s="243"/>
      <c r="AD183" s="243"/>
      <c r="AE183" s="243"/>
      <c r="AF183" s="58"/>
      <c r="AG183" s="59" t="s">
        <v>61</v>
      </c>
      <c r="AH183" s="58"/>
      <c r="AI183" s="60" t="s">
        <v>60</v>
      </c>
    </row>
    <row r="184" spans="1:35" ht="15" customHeight="1" x14ac:dyDescent="0.15">
      <c r="A184" s="253" t="s">
        <v>47</v>
      </c>
      <c r="B184" s="254"/>
      <c r="C184" s="254"/>
      <c r="D184" s="254"/>
      <c r="E184" s="276">
        <f>賃金集計表!H28</f>
        <v>6000</v>
      </c>
      <c r="F184" s="273"/>
      <c r="G184" s="273"/>
      <c r="H184" s="274"/>
      <c r="J184" s="247" t="s">
        <v>47</v>
      </c>
      <c r="K184" s="243"/>
      <c r="L184" s="243"/>
      <c r="M184" s="243"/>
      <c r="N184" s="276">
        <f>賃金集計表!H29</f>
        <v>21000</v>
      </c>
      <c r="O184" s="273"/>
      <c r="P184" s="273"/>
      <c r="Q184" s="274"/>
      <c r="S184" s="247" t="s">
        <v>47</v>
      </c>
      <c r="T184" s="243"/>
      <c r="U184" s="243"/>
      <c r="V184" s="243"/>
      <c r="W184" s="276">
        <f>賃金集計表!H30</f>
        <v>17000</v>
      </c>
      <c r="X184" s="273"/>
      <c r="Y184" s="273"/>
      <c r="Z184" s="274"/>
      <c r="AB184" s="247" t="s">
        <v>47</v>
      </c>
      <c r="AC184" s="243"/>
      <c r="AD184" s="243"/>
      <c r="AE184" s="243"/>
      <c r="AF184" s="276">
        <f>賃金集計表!H41</f>
        <v>0</v>
      </c>
      <c r="AG184" s="273"/>
      <c r="AH184" s="273"/>
      <c r="AI184" s="274"/>
    </row>
    <row r="185" spans="1:35" ht="15" customHeight="1" x14ac:dyDescent="0.15">
      <c r="A185" s="253" t="s">
        <v>48</v>
      </c>
      <c r="B185" s="254"/>
      <c r="C185" s="254"/>
      <c r="D185" s="254"/>
      <c r="E185" s="272"/>
      <c r="F185" s="273"/>
      <c r="G185" s="273"/>
      <c r="H185" s="274"/>
      <c r="J185" s="253" t="s">
        <v>48</v>
      </c>
      <c r="K185" s="254"/>
      <c r="L185" s="254"/>
      <c r="M185" s="254"/>
      <c r="N185" s="272"/>
      <c r="O185" s="273"/>
      <c r="P185" s="273"/>
      <c r="Q185" s="274"/>
      <c r="S185" s="253" t="s">
        <v>48</v>
      </c>
      <c r="T185" s="254"/>
      <c r="U185" s="254"/>
      <c r="V185" s="254"/>
      <c r="W185" s="272"/>
      <c r="X185" s="273"/>
      <c r="Y185" s="273"/>
      <c r="Z185" s="274"/>
      <c r="AB185" s="253" t="s">
        <v>48</v>
      </c>
      <c r="AC185" s="254"/>
      <c r="AD185" s="254"/>
      <c r="AE185" s="254"/>
      <c r="AF185" s="272"/>
      <c r="AG185" s="273"/>
      <c r="AH185" s="273"/>
      <c r="AI185" s="274"/>
    </row>
    <row r="186" spans="1:35" ht="15" customHeight="1" x14ac:dyDescent="0.15">
      <c r="A186" s="259" t="s">
        <v>22</v>
      </c>
      <c r="B186" s="254" t="s">
        <v>50</v>
      </c>
      <c r="C186" s="254"/>
      <c r="D186" s="254"/>
      <c r="E186" s="272"/>
      <c r="F186" s="273"/>
      <c r="G186" s="273"/>
      <c r="H186" s="274"/>
      <c r="J186" s="275" t="s">
        <v>22</v>
      </c>
      <c r="K186" s="243" t="s">
        <v>50</v>
      </c>
      <c r="L186" s="243"/>
      <c r="M186" s="243"/>
      <c r="N186" s="272"/>
      <c r="O186" s="273"/>
      <c r="P186" s="273"/>
      <c r="Q186" s="274"/>
      <c r="S186" s="275" t="s">
        <v>22</v>
      </c>
      <c r="T186" s="243" t="s">
        <v>50</v>
      </c>
      <c r="U186" s="243"/>
      <c r="V186" s="243"/>
      <c r="W186" s="272"/>
      <c r="X186" s="273"/>
      <c r="Y186" s="273"/>
      <c r="Z186" s="274"/>
      <c r="AB186" s="275" t="s">
        <v>22</v>
      </c>
      <c r="AC186" s="243" t="s">
        <v>50</v>
      </c>
      <c r="AD186" s="243"/>
      <c r="AE186" s="243"/>
      <c r="AF186" s="272"/>
      <c r="AG186" s="273"/>
      <c r="AH186" s="273"/>
      <c r="AI186" s="274"/>
    </row>
    <row r="187" spans="1:35" ht="15" customHeight="1" x14ac:dyDescent="0.15">
      <c r="A187" s="259"/>
      <c r="B187" s="254" t="s">
        <v>49</v>
      </c>
      <c r="C187" s="254"/>
      <c r="D187" s="254"/>
      <c r="E187" s="272"/>
      <c r="F187" s="273"/>
      <c r="G187" s="273"/>
      <c r="H187" s="274"/>
      <c r="J187" s="275"/>
      <c r="K187" s="243" t="s">
        <v>49</v>
      </c>
      <c r="L187" s="243"/>
      <c r="M187" s="243"/>
      <c r="N187" s="272"/>
      <c r="O187" s="273"/>
      <c r="P187" s="273"/>
      <c r="Q187" s="274"/>
      <c r="S187" s="275"/>
      <c r="T187" s="243" t="s">
        <v>49</v>
      </c>
      <c r="U187" s="243"/>
      <c r="V187" s="243"/>
      <c r="W187" s="272"/>
      <c r="X187" s="273"/>
      <c r="Y187" s="273"/>
      <c r="Z187" s="274"/>
      <c r="AB187" s="275"/>
      <c r="AC187" s="243" t="s">
        <v>49</v>
      </c>
      <c r="AD187" s="243"/>
      <c r="AE187" s="243"/>
      <c r="AF187" s="272"/>
      <c r="AG187" s="273"/>
      <c r="AH187" s="273"/>
      <c r="AI187" s="274"/>
    </row>
    <row r="188" spans="1:35" ht="15" customHeight="1" x14ac:dyDescent="0.15">
      <c r="A188" s="259"/>
      <c r="B188" s="254" t="s">
        <v>51</v>
      </c>
      <c r="C188" s="254"/>
      <c r="D188" s="254"/>
      <c r="E188" s="272"/>
      <c r="F188" s="273"/>
      <c r="G188" s="273"/>
      <c r="H188" s="274"/>
      <c r="J188" s="275"/>
      <c r="K188" s="243" t="s">
        <v>51</v>
      </c>
      <c r="L188" s="243"/>
      <c r="M188" s="243"/>
      <c r="N188" s="272"/>
      <c r="O188" s="273"/>
      <c r="P188" s="273"/>
      <c r="Q188" s="274"/>
      <c r="S188" s="275"/>
      <c r="T188" s="243" t="s">
        <v>51</v>
      </c>
      <c r="U188" s="243"/>
      <c r="V188" s="243"/>
      <c r="W188" s="272"/>
      <c r="X188" s="273"/>
      <c r="Y188" s="273"/>
      <c r="Z188" s="274"/>
      <c r="AB188" s="275"/>
      <c r="AC188" s="243" t="s">
        <v>51</v>
      </c>
      <c r="AD188" s="243"/>
      <c r="AE188" s="243"/>
      <c r="AF188" s="272"/>
      <c r="AG188" s="273"/>
      <c r="AH188" s="273"/>
      <c r="AI188" s="274"/>
    </row>
    <row r="189" spans="1:35" ht="15" customHeight="1" x14ac:dyDescent="0.15">
      <c r="A189" s="259"/>
      <c r="B189" s="254" t="s">
        <v>52</v>
      </c>
      <c r="C189" s="254"/>
      <c r="D189" s="254"/>
      <c r="E189" s="272"/>
      <c r="F189" s="273"/>
      <c r="G189" s="273"/>
      <c r="H189" s="274"/>
      <c r="J189" s="275"/>
      <c r="K189" s="243" t="s">
        <v>52</v>
      </c>
      <c r="L189" s="243"/>
      <c r="M189" s="243"/>
      <c r="N189" s="272"/>
      <c r="O189" s="273"/>
      <c r="P189" s="273"/>
      <c r="Q189" s="274"/>
      <c r="S189" s="275"/>
      <c r="T189" s="243" t="s">
        <v>52</v>
      </c>
      <c r="U189" s="243"/>
      <c r="V189" s="243"/>
      <c r="W189" s="272"/>
      <c r="X189" s="273"/>
      <c r="Y189" s="273"/>
      <c r="Z189" s="274"/>
      <c r="AB189" s="275"/>
      <c r="AC189" s="243" t="s">
        <v>52</v>
      </c>
      <c r="AD189" s="243"/>
      <c r="AE189" s="243"/>
      <c r="AF189" s="272"/>
      <c r="AG189" s="273"/>
      <c r="AH189" s="273"/>
      <c r="AI189" s="274"/>
    </row>
    <row r="190" spans="1:35" ht="15" customHeight="1" x14ac:dyDescent="0.15">
      <c r="A190" s="259"/>
      <c r="B190" s="254" t="s">
        <v>53</v>
      </c>
      <c r="C190" s="254"/>
      <c r="D190" s="254"/>
      <c r="E190" s="272"/>
      <c r="F190" s="273"/>
      <c r="G190" s="273"/>
      <c r="H190" s="274"/>
      <c r="J190" s="275"/>
      <c r="K190" s="243" t="s">
        <v>53</v>
      </c>
      <c r="L190" s="243"/>
      <c r="M190" s="243"/>
      <c r="N190" s="272"/>
      <c r="O190" s="273"/>
      <c r="P190" s="273"/>
      <c r="Q190" s="274"/>
      <c r="S190" s="275"/>
      <c r="T190" s="243" t="s">
        <v>53</v>
      </c>
      <c r="U190" s="243"/>
      <c r="V190" s="243"/>
      <c r="W190" s="272"/>
      <c r="X190" s="273"/>
      <c r="Y190" s="273"/>
      <c r="Z190" s="274"/>
      <c r="AB190" s="275"/>
      <c r="AC190" s="243" t="s">
        <v>53</v>
      </c>
      <c r="AD190" s="243"/>
      <c r="AE190" s="243"/>
      <c r="AF190" s="272"/>
      <c r="AG190" s="273"/>
      <c r="AH190" s="273"/>
      <c r="AI190" s="274"/>
    </row>
    <row r="191" spans="1:35" ht="15" customHeight="1" x14ac:dyDescent="0.15">
      <c r="A191" s="259"/>
      <c r="B191" s="254"/>
      <c r="C191" s="254"/>
      <c r="D191" s="254"/>
      <c r="E191" s="255"/>
      <c r="F191" s="256"/>
      <c r="G191" s="256"/>
      <c r="H191" s="257"/>
      <c r="J191" s="275"/>
      <c r="K191" s="243"/>
      <c r="L191" s="243"/>
      <c r="M191" s="243"/>
      <c r="N191" s="255"/>
      <c r="O191" s="256"/>
      <c r="P191" s="256"/>
      <c r="Q191" s="257"/>
      <c r="S191" s="275"/>
      <c r="T191" s="243"/>
      <c r="U191" s="243"/>
      <c r="V191" s="243"/>
      <c r="W191" s="255"/>
      <c r="X191" s="256"/>
      <c r="Y191" s="256"/>
      <c r="Z191" s="257"/>
      <c r="AB191" s="275"/>
      <c r="AC191" s="243"/>
      <c r="AD191" s="243"/>
      <c r="AE191" s="243"/>
      <c r="AF191" s="255"/>
      <c r="AG191" s="256"/>
      <c r="AH191" s="256"/>
      <c r="AI191" s="257"/>
    </row>
    <row r="192" spans="1:35" ht="15" customHeight="1" x14ac:dyDescent="0.15">
      <c r="A192" s="253" t="s">
        <v>54</v>
      </c>
      <c r="B192" s="254"/>
      <c r="C192" s="254"/>
      <c r="D192" s="254"/>
      <c r="E192" s="255">
        <f>賃金集計表!O28</f>
        <v>6000</v>
      </c>
      <c r="F192" s="256"/>
      <c r="G192" s="256"/>
      <c r="H192" s="257"/>
      <c r="J192" s="247" t="s">
        <v>54</v>
      </c>
      <c r="K192" s="243"/>
      <c r="L192" s="243"/>
      <c r="M192" s="243"/>
      <c r="N192" s="255">
        <f>賃金集計表!O39</f>
        <v>0</v>
      </c>
      <c r="O192" s="256"/>
      <c r="P192" s="256"/>
      <c r="Q192" s="257"/>
      <c r="S192" s="247" t="s">
        <v>54</v>
      </c>
      <c r="T192" s="243"/>
      <c r="U192" s="243"/>
      <c r="V192" s="243"/>
      <c r="W192" s="255">
        <f>賃金集計表!O30</f>
        <v>17000</v>
      </c>
      <c r="X192" s="256"/>
      <c r="Y192" s="256"/>
      <c r="Z192" s="257"/>
      <c r="AB192" s="247" t="s">
        <v>54</v>
      </c>
      <c r="AC192" s="243"/>
      <c r="AD192" s="243"/>
      <c r="AE192" s="243"/>
      <c r="AF192" s="255">
        <f>賃金集計表!O41</f>
        <v>0</v>
      </c>
      <c r="AG192" s="256"/>
      <c r="AH192" s="256"/>
      <c r="AI192" s="257"/>
    </row>
    <row r="193" spans="1:35" ht="15" customHeight="1" x14ac:dyDescent="0.15">
      <c r="A193" s="259" t="s">
        <v>29</v>
      </c>
      <c r="B193" s="254" t="s">
        <v>55</v>
      </c>
      <c r="C193" s="254"/>
      <c r="D193" s="254"/>
      <c r="E193" s="258"/>
      <c r="F193" s="256"/>
      <c r="G193" s="256"/>
      <c r="H193" s="257"/>
      <c r="J193" s="259" t="s">
        <v>29</v>
      </c>
      <c r="K193" s="243" t="s">
        <v>55</v>
      </c>
      <c r="L193" s="243"/>
      <c r="M193" s="243"/>
      <c r="N193" s="258"/>
      <c r="O193" s="256"/>
      <c r="P193" s="256"/>
      <c r="Q193" s="257"/>
      <c r="S193" s="259" t="s">
        <v>29</v>
      </c>
      <c r="T193" s="243" t="s">
        <v>55</v>
      </c>
      <c r="U193" s="243"/>
      <c r="V193" s="243"/>
      <c r="W193" s="258"/>
      <c r="X193" s="256"/>
      <c r="Y193" s="256"/>
      <c r="Z193" s="257"/>
      <c r="AB193" s="259" t="s">
        <v>29</v>
      </c>
      <c r="AC193" s="243" t="s">
        <v>55</v>
      </c>
      <c r="AD193" s="243"/>
      <c r="AE193" s="243"/>
      <c r="AF193" s="258"/>
      <c r="AG193" s="256"/>
      <c r="AH193" s="256"/>
      <c r="AI193" s="257"/>
    </row>
    <row r="194" spans="1:35" ht="15" customHeight="1" x14ac:dyDescent="0.15">
      <c r="A194" s="259"/>
      <c r="B194" s="254" t="s">
        <v>24</v>
      </c>
      <c r="C194" s="254"/>
      <c r="D194" s="254"/>
      <c r="E194" s="258"/>
      <c r="F194" s="256"/>
      <c r="G194" s="256"/>
      <c r="H194" s="257"/>
      <c r="J194" s="259"/>
      <c r="K194" s="243" t="s">
        <v>24</v>
      </c>
      <c r="L194" s="243"/>
      <c r="M194" s="243"/>
      <c r="N194" s="258"/>
      <c r="O194" s="256"/>
      <c r="P194" s="256"/>
      <c r="Q194" s="257"/>
      <c r="S194" s="259"/>
      <c r="T194" s="243" t="s">
        <v>24</v>
      </c>
      <c r="U194" s="243"/>
      <c r="V194" s="243"/>
      <c r="W194" s="258"/>
      <c r="X194" s="256"/>
      <c r="Y194" s="256"/>
      <c r="Z194" s="257"/>
      <c r="AB194" s="259"/>
      <c r="AC194" s="243" t="s">
        <v>24</v>
      </c>
      <c r="AD194" s="243"/>
      <c r="AE194" s="243"/>
      <c r="AF194" s="258"/>
      <c r="AG194" s="256"/>
      <c r="AH194" s="256"/>
      <c r="AI194" s="257"/>
    </row>
    <row r="195" spans="1:35" ht="15" customHeight="1" x14ac:dyDescent="0.15">
      <c r="A195" s="259"/>
      <c r="B195" s="254" t="s">
        <v>56</v>
      </c>
      <c r="C195" s="254"/>
      <c r="D195" s="254"/>
      <c r="E195" s="258"/>
      <c r="F195" s="256"/>
      <c r="G195" s="256"/>
      <c r="H195" s="257"/>
      <c r="J195" s="259"/>
      <c r="K195" s="243" t="s">
        <v>56</v>
      </c>
      <c r="L195" s="243"/>
      <c r="M195" s="243"/>
      <c r="N195" s="258"/>
      <c r="O195" s="256"/>
      <c r="P195" s="256"/>
      <c r="Q195" s="257"/>
      <c r="S195" s="259"/>
      <c r="T195" s="243" t="s">
        <v>56</v>
      </c>
      <c r="U195" s="243"/>
      <c r="V195" s="243"/>
      <c r="W195" s="258"/>
      <c r="X195" s="256"/>
      <c r="Y195" s="256"/>
      <c r="Z195" s="257"/>
      <c r="AB195" s="259"/>
      <c r="AC195" s="243" t="s">
        <v>56</v>
      </c>
      <c r="AD195" s="243"/>
      <c r="AE195" s="243"/>
      <c r="AF195" s="258"/>
      <c r="AG195" s="256"/>
      <c r="AH195" s="256"/>
      <c r="AI195" s="257"/>
    </row>
    <row r="196" spans="1:35" ht="15" customHeight="1" x14ac:dyDescent="0.15">
      <c r="A196" s="259"/>
      <c r="B196" s="254" t="s">
        <v>27</v>
      </c>
      <c r="C196" s="254"/>
      <c r="D196" s="254"/>
      <c r="E196" s="258"/>
      <c r="F196" s="256"/>
      <c r="G196" s="256"/>
      <c r="H196" s="257"/>
      <c r="J196" s="259"/>
      <c r="K196" s="243" t="s">
        <v>27</v>
      </c>
      <c r="L196" s="243"/>
      <c r="M196" s="243"/>
      <c r="N196" s="258"/>
      <c r="O196" s="256"/>
      <c r="P196" s="256"/>
      <c r="Q196" s="257"/>
      <c r="S196" s="259"/>
      <c r="T196" s="243" t="s">
        <v>27</v>
      </c>
      <c r="U196" s="243"/>
      <c r="V196" s="243"/>
      <c r="W196" s="258"/>
      <c r="X196" s="256"/>
      <c r="Y196" s="256"/>
      <c r="Z196" s="257"/>
      <c r="AB196" s="259"/>
      <c r="AC196" s="243" t="s">
        <v>27</v>
      </c>
      <c r="AD196" s="243"/>
      <c r="AE196" s="243"/>
      <c r="AF196" s="258"/>
      <c r="AG196" s="256"/>
      <c r="AH196" s="256"/>
      <c r="AI196" s="257"/>
    </row>
    <row r="197" spans="1:35" ht="15" customHeight="1" x14ac:dyDescent="0.15">
      <c r="A197" s="259"/>
      <c r="B197" s="254" t="s">
        <v>26</v>
      </c>
      <c r="C197" s="254"/>
      <c r="D197" s="254"/>
      <c r="E197" s="258"/>
      <c r="F197" s="256"/>
      <c r="G197" s="256"/>
      <c r="H197" s="257"/>
      <c r="J197" s="259"/>
      <c r="K197" s="243" t="s">
        <v>26</v>
      </c>
      <c r="L197" s="243"/>
      <c r="M197" s="243"/>
      <c r="N197" s="258"/>
      <c r="O197" s="256"/>
      <c r="P197" s="256"/>
      <c r="Q197" s="257"/>
      <c r="S197" s="259"/>
      <c r="T197" s="243" t="s">
        <v>26</v>
      </c>
      <c r="U197" s="243"/>
      <c r="V197" s="243"/>
      <c r="W197" s="258"/>
      <c r="X197" s="256"/>
      <c r="Y197" s="256"/>
      <c r="Z197" s="257"/>
      <c r="AB197" s="259"/>
      <c r="AC197" s="243" t="s">
        <v>26</v>
      </c>
      <c r="AD197" s="243"/>
      <c r="AE197" s="243"/>
      <c r="AF197" s="258"/>
      <c r="AG197" s="256"/>
      <c r="AH197" s="256"/>
      <c r="AI197" s="257"/>
    </row>
    <row r="198" spans="1:35" ht="15" customHeight="1" x14ac:dyDescent="0.15">
      <c r="A198" s="259"/>
      <c r="B198" s="254"/>
      <c r="C198" s="254"/>
      <c r="D198" s="254"/>
      <c r="E198" s="258"/>
      <c r="F198" s="256"/>
      <c r="G198" s="256"/>
      <c r="H198" s="257"/>
      <c r="J198" s="259"/>
      <c r="K198" s="243"/>
      <c r="L198" s="243"/>
      <c r="M198" s="243"/>
      <c r="N198" s="258"/>
      <c r="O198" s="256"/>
      <c r="P198" s="256"/>
      <c r="Q198" s="257"/>
      <c r="S198" s="259"/>
      <c r="T198" s="243"/>
      <c r="U198" s="243"/>
      <c r="V198" s="243"/>
      <c r="W198" s="258"/>
      <c r="X198" s="256"/>
      <c r="Y198" s="256"/>
      <c r="Z198" s="257"/>
      <c r="AB198" s="259"/>
      <c r="AC198" s="243"/>
      <c r="AD198" s="243"/>
      <c r="AE198" s="243"/>
      <c r="AF198" s="258"/>
      <c r="AG198" s="256"/>
      <c r="AH198" s="256"/>
      <c r="AI198" s="257"/>
    </row>
    <row r="199" spans="1:35" ht="15" customHeight="1" x14ac:dyDescent="0.15">
      <c r="A199" s="259"/>
      <c r="B199" s="243" t="s">
        <v>81</v>
      </c>
      <c r="C199" s="243"/>
      <c r="D199" s="243"/>
      <c r="E199" s="255">
        <f>賃金集計表!V28</f>
        <v>0</v>
      </c>
      <c r="F199" s="256"/>
      <c r="G199" s="256"/>
      <c r="H199" s="257"/>
      <c r="J199" s="259"/>
      <c r="K199" s="243" t="s">
        <v>81</v>
      </c>
      <c r="L199" s="243"/>
      <c r="M199" s="243"/>
      <c r="N199" s="255">
        <f>賃金集計表!V29</f>
        <v>5950</v>
      </c>
      <c r="O199" s="256"/>
      <c r="P199" s="256"/>
      <c r="Q199" s="257"/>
      <c r="S199" s="259"/>
      <c r="T199" s="243" t="s">
        <v>81</v>
      </c>
      <c r="U199" s="243"/>
      <c r="V199" s="243"/>
      <c r="W199" s="255">
        <f>賃金集計表!V30</f>
        <v>0</v>
      </c>
      <c r="X199" s="256"/>
      <c r="Y199" s="256"/>
      <c r="Z199" s="257"/>
      <c r="AB199" s="259"/>
      <c r="AC199" s="243" t="s">
        <v>81</v>
      </c>
      <c r="AD199" s="243"/>
      <c r="AE199" s="243"/>
      <c r="AF199" s="255">
        <f>賃金集計表!V41</f>
        <v>0</v>
      </c>
      <c r="AG199" s="256"/>
      <c r="AH199" s="256"/>
      <c r="AI199" s="257"/>
    </row>
    <row r="200" spans="1:35" ht="15" customHeight="1" x14ac:dyDescent="0.15">
      <c r="A200" s="259"/>
      <c r="B200" s="254" t="s">
        <v>54</v>
      </c>
      <c r="C200" s="254"/>
      <c r="D200" s="254"/>
      <c r="E200" s="255">
        <f>E199</f>
        <v>0</v>
      </c>
      <c r="F200" s="256"/>
      <c r="G200" s="256"/>
      <c r="H200" s="257"/>
      <c r="J200" s="259"/>
      <c r="K200" s="243" t="s">
        <v>54</v>
      </c>
      <c r="L200" s="243"/>
      <c r="M200" s="243"/>
      <c r="N200" s="255">
        <f>N199</f>
        <v>5950</v>
      </c>
      <c r="O200" s="256"/>
      <c r="P200" s="256"/>
      <c r="Q200" s="257"/>
      <c r="S200" s="259"/>
      <c r="T200" s="243" t="s">
        <v>54</v>
      </c>
      <c r="U200" s="243"/>
      <c r="V200" s="243"/>
      <c r="W200" s="255">
        <f>賃金集計表!W30</f>
        <v>0</v>
      </c>
      <c r="X200" s="256"/>
      <c r="Y200" s="256"/>
      <c r="Z200" s="257"/>
      <c r="AB200" s="259"/>
      <c r="AC200" s="243" t="s">
        <v>54</v>
      </c>
      <c r="AD200" s="243"/>
      <c r="AE200" s="243"/>
      <c r="AF200" s="255">
        <f>賃金集計表!W41</f>
        <v>0</v>
      </c>
      <c r="AG200" s="256"/>
      <c r="AH200" s="256"/>
      <c r="AI200" s="257"/>
    </row>
    <row r="201" spans="1:35" ht="15" customHeight="1" x14ac:dyDescent="0.15">
      <c r="A201" s="253" t="s">
        <v>57</v>
      </c>
      <c r="B201" s="254"/>
      <c r="C201" s="254"/>
      <c r="D201" s="254"/>
      <c r="E201" s="255">
        <f>賃金集計表!X28</f>
        <v>6000</v>
      </c>
      <c r="F201" s="256"/>
      <c r="G201" s="256"/>
      <c r="H201" s="257"/>
      <c r="J201" s="247" t="s">
        <v>57</v>
      </c>
      <c r="K201" s="243"/>
      <c r="L201" s="243"/>
      <c r="M201" s="243"/>
      <c r="N201" s="255">
        <f>賃金集計表!X29</f>
        <v>15050</v>
      </c>
      <c r="O201" s="256"/>
      <c r="P201" s="256"/>
      <c r="Q201" s="257"/>
      <c r="S201" s="247" t="s">
        <v>57</v>
      </c>
      <c r="T201" s="243"/>
      <c r="U201" s="243"/>
      <c r="V201" s="243"/>
      <c r="W201" s="255">
        <f>賃金集計表!X30</f>
        <v>17000</v>
      </c>
      <c r="X201" s="256"/>
      <c r="Y201" s="256"/>
      <c r="Z201" s="257"/>
      <c r="AB201" s="247" t="s">
        <v>57</v>
      </c>
      <c r="AC201" s="243"/>
      <c r="AD201" s="243"/>
      <c r="AE201" s="243"/>
      <c r="AF201" s="255">
        <f>賃金集計表!X41</f>
        <v>0</v>
      </c>
      <c r="AG201" s="256"/>
      <c r="AH201" s="256"/>
      <c r="AI201" s="257"/>
    </row>
    <row r="202" spans="1:35" ht="15" customHeight="1" x14ac:dyDescent="0.15">
      <c r="A202" s="262" t="s">
        <v>58</v>
      </c>
      <c r="B202" s="263"/>
      <c r="C202" s="263"/>
      <c r="D202" s="61"/>
      <c r="E202" s="62"/>
      <c r="F202" s="62"/>
      <c r="G202" s="264" t="s">
        <v>62</v>
      </c>
      <c r="H202" s="265"/>
      <c r="J202" s="262" t="s">
        <v>58</v>
      </c>
      <c r="K202" s="263"/>
      <c r="L202" s="263"/>
      <c r="M202" s="61"/>
      <c r="N202" s="62"/>
      <c r="O202" s="62"/>
      <c r="P202" s="264" t="s">
        <v>62</v>
      </c>
      <c r="Q202" s="265"/>
      <c r="S202" s="262" t="s">
        <v>58</v>
      </c>
      <c r="T202" s="263"/>
      <c r="U202" s="263"/>
      <c r="V202" s="61"/>
      <c r="W202" s="62"/>
      <c r="X202" s="62"/>
      <c r="Y202" s="264" t="s">
        <v>62</v>
      </c>
      <c r="Z202" s="265"/>
      <c r="AB202" s="262" t="s">
        <v>58</v>
      </c>
      <c r="AC202" s="263"/>
      <c r="AD202" s="263"/>
      <c r="AE202" s="61"/>
      <c r="AF202" s="62"/>
      <c r="AG202" s="62"/>
      <c r="AH202" s="264" t="s">
        <v>62</v>
      </c>
      <c r="AI202" s="265"/>
    </row>
    <row r="203" spans="1:35" ht="18" customHeight="1" x14ac:dyDescent="0.15">
      <c r="A203" s="270" t="s">
        <v>31</v>
      </c>
      <c r="B203" s="271"/>
      <c r="C203" s="271"/>
      <c r="D203" s="271"/>
      <c r="E203" s="271"/>
      <c r="F203" s="271"/>
      <c r="G203" s="266"/>
      <c r="H203" s="267"/>
      <c r="J203" s="270" t="s">
        <v>31</v>
      </c>
      <c r="K203" s="271"/>
      <c r="L203" s="271"/>
      <c r="M203" s="271"/>
      <c r="N203" s="271"/>
      <c r="O203" s="271"/>
      <c r="P203" s="266"/>
      <c r="Q203" s="267"/>
      <c r="S203" s="270" t="s">
        <v>31</v>
      </c>
      <c r="T203" s="271"/>
      <c r="U203" s="271"/>
      <c r="V203" s="271"/>
      <c r="W203" s="271"/>
      <c r="X203" s="271"/>
      <c r="Y203" s="266"/>
      <c r="Z203" s="267"/>
      <c r="AB203" s="270" t="s">
        <v>31</v>
      </c>
      <c r="AC203" s="271"/>
      <c r="AD203" s="271"/>
      <c r="AE203" s="271"/>
      <c r="AF203" s="271"/>
      <c r="AG203" s="271"/>
      <c r="AH203" s="266"/>
      <c r="AI203" s="267"/>
    </row>
    <row r="204" spans="1:35" ht="22.5" customHeight="1" thickBot="1" x14ac:dyDescent="0.2">
      <c r="A204" s="260" t="s">
        <v>63</v>
      </c>
      <c r="B204" s="261"/>
      <c r="C204" s="261"/>
      <c r="D204" s="261"/>
      <c r="E204" s="261"/>
      <c r="F204" s="261"/>
      <c r="G204" s="268"/>
      <c r="H204" s="269"/>
      <c r="J204" s="260" t="s">
        <v>63</v>
      </c>
      <c r="K204" s="261"/>
      <c r="L204" s="261"/>
      <c r="M204" s="261"/>
      <c r="N204" s="261"/>
      <c r="O204" s="261"/>
      <c r="P204" s="268"/>
      <c r="Q204" s="269"/>
      <c r="S204" s="260" t="s">
        <v>63</v>
      </c>
      <c r="T204" s="261"/>
      <c r="U204" s="261"/>
      <c r="V204" s="261"/>
      <c r="W204" s="261"/>
      <c r="X204" s="261"/>
      <c r="Y204" s="268"/>
      <c r="Z204" s="269"/>
      <c r="AB204" s="260" t="s">
        <v>63</v>
      </c>
      <c r="AC204" s="261"/>
      <c r="AD204" s="261"/>
      <c r="AE204" s="261"/>
      <c r="AF204" s="261"/>
      <c r="AG204" s="261"/>
      <c r="AH204" s="268"/>
      <c r="AI204" s="269"/>
    </row>
    <row r="205" spans="1:35" ht="28.5" customHeight="1" thickTop="1" x14ac:dyDescent="0.15">
      <c r="A205" s="287" t="s">
        <v>34</v>
      </c>
      <c r="B205" s="287"/>
      <c r="C205" s="287"/>
      <c r="D205" s="287"/>
      <c r="E205" s="287"/>
      <c r="F205" s="287"/>
      <c r="G205" s="287"/>
      <c r="H205" s="287"/>
      <c r="J205" s="287" t="s">
        <v>34</v>
      </c>
      <c r="K205" s="287"/>
      <c r="L205" s="287"/>
      <c r="M205" s="287"/>
      <c r="N205" s="287"/>
      <c r="O205" s="287"/>
      <c r="P205" s="287"/>
      <c r="Q205" s="287"/>
      <c r="S205" s="287" t="s">
        <v>34</v>
      </c>
      <c r="T205" s="287"/>
      <c r="U205" s="287"/>
      <c r="V205" s="287"/>
      <c r="W205" s="287"/>
      <c r="X205" s="287"/>
      <c r="Y205" s="287"/>
      <c r="Z205" s="287"/>
      <c r="AB205" s="287" t="s">
        <v>34</v>
      </c>
      <c r="AC205" s="287"/>
      <c r="AD205" s="287"/>
      <c r="AE205" s="287"/>
      <c r="AF205" s="287"/>
      <c r="AG205" s="287"/>
      <c r="AH205" s="287"/>
      <c r="AI205" s="287"/>
    </row>
    <row r="206" spans="1:35" ht="8.25" customHeight="1" x14ac:dyDescent="0.15">
      <c r="A206" s="51"/>
      <c r="B206" s="51"/>
      <c r="C206" s="51"/>
      <c r="D206" s="51"/>
      <c r="E206" s="51"/>
      <c r="F206" s="51"/>
      <c r="G206" s="51"/>
      <c r="H206" s="51"/>
      <c r="J206" s="51"/>
      <c r="K206" s="51"/>
      <c r="L206" s="51"/>
      <c r="M206" s="51"/>
      <c r="N206" s="51"/>
      <c r="O206" s="51"/>
      <c r="P206" s="51"/>
      <c r="Q206" s="51"/>
      <c r="S206" s="51"/>
      <c r="T206" s="51"/>
      <c r="U206" s="51"/>
      <c r="V206" s="51"/>
      <c r="W206" s="51"/>
      <c r="X206" s="51"/>
      <c r="Y206" s="51"/>
      <c r="Z206" s="51"/>
      <c r="AB206" s="51"/>
      <c r="AC206" s="51"/>
      <c r="AD206" s="51"/>
      <c r="AE206" s="51"/>
      <c r="AF206" s="51"/>
      <c r="AG206" s="51"/>
      <c r="AH206" s="51"/>
      <c r="AI206" s="51"/>
    </row>
    <row r="207" spans="1:35" ht="23.25" customHeight="1" x14ac:dyDescent="0.15">
      <c r="A207" s="51"/>
      <c r="B207" s="51"/>
      <c r="C207" s="63" t="s">
        <v>35</v>
      </c>
      <c r="D207" s="51">
        <v>27</v>
      </c>
      <c r="E207" s="51" t="s">
        <v>36</v>
      </c>
      <c r="F207" s="51">
        <v>5</v>
      </c>
      <c r="G207" s="64" t="s">
        <v>37</v>
      </c>
      <c r="H207" s="51"/>
      <c r="J207" s="51"/>
      <c r="K207" s="51"/>
      <c r="L207" s="63" t="s">
        <v>35</v>
      </c>
      <c r="M207" s="51">
        <v>27</v>
      </c>
      <c r="N207" s="51" t="s">
        <v>36</v>
      </c>
      <c r="O207" s="51">
        <v>5</v>
      </c>
      <c r="P207" s="64" t="s">
        <v>37</v>
      </c>
      <c r="Q207" s="51"/>
      <c r="S207" s="51"/>
      <c r="T207" s="51"/>
      <c r="U207" s="63" t="s">
        <v>35</v>
      </c>
      <c r="V207" s="51">
        <v>27</v>
      </c>
      <c r="W207" s="51" t="s">
        <v>36</v>
      </c>
      <c r="X207" s="51">
        <v>5</v>
      </c>
      <c r="Y207" s="64" t="s">
        <v>37</v>
      </c>
      <c r="Z207" s="51"/>
      <c r="AB207" s="51"/>
      <c r="AC207" s="51"/>
      <c r="AD207" s="51" t="s">
        <v>35</v>
      </c>
      <c r="AE207" s="51"/>
      <c r="AF207" s="51" t="s">
        <v>36</v>
      </c>
      <c r="AG207" s="51"/>
      <c r="AH207" s="51" t="s">
        <v>37</v>
      </c>
      <c r="AI207" s="51"/>
    </row>
    <row r="208" spans="1:35" ht="20.25" customHeight="1" x14ac:dyDescent="0.15">
      <c r="A208" s="52" t="s">
        <v>38</v>
      </c>
      <c r="B208" s="52" t="s">
        <v>39</v>
      </c>
      <c r="C208" s="52" t="s">
        <v>40</v>
      </c>
      <c r="D208" s="52"/>
      <c r="E208" s="52"/>
      <c r="F208" s="51"/>
      <c r="G208" s="51"/>
      <c r="H208" s="51"/>
      <c r="J208" s="52" t="s">
        <v>38</v>
      </c>
      <c r="K208" s="52" t="s">
        <v>39</v>
      </c>
      <c r="L208" s="52" t="s">
        <v>40</v>
      </c>
      <c r="M208" s="52"/>
      <c r="N208" s="52"/>
      <c r="O208" s="51"/>
      <c r="P208" s="51"/>
      <c r="Q208" s="51"/>
      <c r="S208" s="52" t="s">
        <v>38</v>
      </c>
      <c r="T208" s="52" t="s">
        <v>39</v>
      </c>
      <c r="U208" s="52" t="s">
        <v>40</v>
      </c>
      <c r="V208" s="52"/>
      <c r="W208" s="52"/>
      <c r="X208" s="51"/>
      <c r="Y208" s="51"/>
      <c r="Z208" s="51"/>
      <c r="AB208" s="52" t="s">
        <v>38</v>
      </c>
      <c r="AC208" s="52" t="s">
        <v>39</v>
      </c>
      <c r="AD208" s="52" t="s">
        <v>40</v>
      </c>
      <c r="AE208" s="52"/>
      <c r="AF208" s="52"/>
      <c r="AG208" s="51"/>
      <c r="AH208" s="51"/>
      <c r="AI208" s="51"/>
    </row>
    <row r="209" spans="1:35" x14ac:dyDescent="0.15">
      <c r="A209" s="280">
        <f>賃金集計表!A42</f>
        <v>0</v>
      </c>
      <c r="B209" s="280"/>
      <c r="C209" s="280"/>
      <c r="D209" s="280"/>
      <c r="E209" s="280"/>
      <c r="F209" s="280"/>
      <c r="G209" s="280"/>
      <c r="H209" s="53"/>
      <c r="J209" s="280">
        <f>賃金集計表!A73</f>
        <v>0</v>
      </c>
      <c r="K209" s="280"/>
      <c r="L209" s="280"/>
      <c r="M209" s="280"/>
      <c r="N209" s="280"/>
      <c r="O209" s="280"/>
      <c r="P209" s="280"/>
      <c r="Q209" s="53"/>
      <c r="S209" s="280">
        <f>賃金集計表!A74</f>
        <v>0</v>
      </c>
      <c r="T209" s="280"/>
      <c r="U209" s="280"/>
      <c r="V209" s="280"/>
      <c r="W209" s="280"/>
      <c r="X209" s="280"/>
      <c r="Y209" s="280"/>
      <c r="Z209" s="53"/>
      <c r="AB209" s="280">
        <f>'6月分'!AC193</f>
        <v>0</v>
      </c>
      <c r="AC209" s="280"/>
      <c r="AD209" s="280"/>
      <c r="AE209" s="280"/>
      <c r="AF209" s="280"/>
      <c r="AG209" s="280"/>
      <c r="AH209" s="280"/>
      <c r="AI209" s="53"/>
    </row>
    <row r="210" spans="1:35" x14ac:dyDescent="0.15">
      <c r="A210" s="281"/>
      <c r="B210" s="281"/>
      <c r="C210" s="281"/>
      <c r="D210" s="281"/>
      <c r="E210" s="281"/>
      <c r="F210" s="281"/>
      <c r="G210" s="281"/>
      <c r="H210" s="52" t="s">
        <v>41</v>
      </c>
      <c r="J210" s="281"/>
      <c r="K210" s="281"/>
      <c r="L210" s="281"/>
      <c r="M210" s="281"/>
      <c r="N210" s="281"/>
      <c r="O210" s="281"/>
      <c r="P210" s="281"/>
      <c r="Q210" s="52" t="s">
        <v>41</v>
      </c>
      <c r="S210" s="281"/>
      <c r="T210" s="281"/>
      <c r="U210" s="281"/>
      <c r="V210" s="281"/>
      <c r="W210" s="281"/>
      <c r="X210" s="281"/>
      <c r="Y210" s="281"/>
      <c r="Z210" s="52" t="s">
        <v>41</v>
      </c>
      <c r="AB210" s="281"/>
      <c r="AC210" s="281"/>
      <c r="AD210" s="281"/>
      <c r="AE210" s="281"/>
      <c r="AF210" s="281"/>
      <c r="AG210" s="281"/>
      <c r="AH210" s="281"/>
      <c r="AI210" s="52" t="s">
        <v>41</v>
      </c>
    </row>
    <row r="211" spans="1:35" ht="6" customHeight="1" thickBot="1" x14ac:dyDescent="0.2">
      <c r="A211" s="51"/>
      <c r="B211" s="51"/>
      <c r="C211" s="51"/>
      <c r="D211" s="51"/>
      <c r="E211" s="51"/>
      <c r="F211" s="51"/>
      <c r="G211" s="51"/>
      <c r="H211" s="51"/>
      <c r="J211" s="51"/>
      <c r="K211" s="51"/>
      <c r="L211" s="51"/>
      <c r="M211" s="51"/>
      <c r="N211" s="51"/>
      <c r="O211" s="51"/>
      <c r="P211" s="51"/>
      <c r="Q211" s="51"/>
      <c r="S211" s="51"/>
      <c r="T211" s="51"/>
      <c r="U211" s="51"/>
      <c r="V211" s="51"/>
      <c r="W211" s="51"/>
      <c r="X211" s="51"/>
      <c r="Y211" s="51"/>
      <c r="Z211" s="51"/>
      <c r="AB211" s="51"/>
      <c r="AC211" s="51"/>
      <c r="AD211" s="51"/>
      <c r="AE211" s="51"/>
      <c r="AF211" s="51"/>
      <c r="AG211" s="51"/>
      <c r="AH211" s="51"/>
      <c r="AI211" s="51"/>
    </row>
    <row r="212" spans="1:35" ht="15" customHeight="1" thickTop="1" x14ac:dyDescent="0.15">
      <c r="A212" s="283" t="s">
        <v>42</v>
      </c>
      <c r="B212" s="284"/>
      <c r="C212" s="284"/>
      <c r="D212" s="284"/>
      <c r="E212" s="277" t="s">
        <v>114</v>
      </c>
      <c r="F212" s="278"/>
      <c r="G212" s="278"/>
      <c r="H212" s="279"/>
      <c r="J212" s="251" t="s">
        <v>42</v>
      </c>
      <c r="K212" s="252"/>
      <c r="L212" s="252"/>
      <c r="M212" s="252"/>
      <c r="N212" s="277" t="s">
        <v>114</v>
      </c>
      <c r="O212" s="278"/>
      <c r="P212" s="278"/>
      <c r="Q212" s="279"/>
      <c r="S212" s="251" t="s">
        <v>42</v>
      </c>
      <c r="T212" s="252"/>
      <c r="U212" s="252"/>
      <c r="V212" s="252"/>
      <c r="W212" s="277" t="s">
        <v>114</v>
      </c>
      <c r="X212" s="278"/>
      <c r="Y212" s="278"/>
      <c r="Z212" s="279"/>
      <c r="AB212" s="251" t="s">
        <v>42</v>
      </c>
      <c r="AC212" s="252"/>
      <c r="AD212" s="252"/>
      <c r="AE212" s="252"/>
      <c r="AF212" s="277" t="s">
        <v>114</v>
      </c>
      <c r="AG212" s="278"/>
      <c r="AH212" s="278"/>
      <c r="AI212" s="279"/>
    </row>
    <row r="213" spans="1:35" ht="15" customHeight="1" x14ac:dyDescent="0.15">
      <c r="A213" s="253" t="s">
        <v>59</v>
      </c>
      <c r="B213" s="254"/>
      <c r="C213" s="254"/>
      <c r="D213" s="254"/>
      <c r="E213" s="54"/>
      <c r="F213" s="55"/>
      <c r="G213" s="55">
        <f>賃金集計表!B42</f>
        <v>0</v>
      </c>
      <c r="H213" s="56" t="s">
        <v>8</v>
      </c>
      <c r="J213" s="247" t="s">
        <v>59</v>
      </c>
      <c r="K213" s="243"/>
      <c r="L213" s="243"/>
      <c r="M213" s="243"/>
      <c r="N213" s="54"/>
      <c r="O213" s="55"/>
      <c r="P213" s="55">
        <f>賃金集計表!B73</f>
        <v>0</v>
      </c>
      <c r="Q213" s="56" t="s">
        <v>8</v>
      </c>
      <c r="S213" s="247" t="s">
        <v>59</v>
      </c>
      <c r="T213" s="243"/>
      <c r="U213" s="243"/>
      <c r="V213" s="243"/>
      <c r="W213" s="54"/>
      <c r="X213" s="55"/>
      <c r="Y213" s="55">
        <f>賃金集計表!B74</f>
        <v>0</v>
      </c>
      <c r="Z213" s="56" t="s">
        <v>8</v>
      </c>
      <c r="AB213" s="247" t="s">
        <v>59</v>
      </c>
      <c r="AC213" s="243"/>
      <c r="AD213" s="243"/>
      <c r="AE213" s="243"/>
      <c r="AF213" s="54"/>
      <c r="AG213" s="55"/>
      <c r="AH213" s="55"/>
      <c r="AI213" s="56" t="s">
        <v>8</v>
      </c>
    </row>
    <row r="214" spans="1:35" ht="15" customHeight="1" x14ac:dyDescent="0.15">
      <c r="A214" s="253" t="s">
        <v>43</v>
      </c>
      <c r="B214" s="254"/>
      <c r="C214" s="254"/>
      <c r="D214" s="254"/>
      <c r="E214" s="54"/>
      <c r="F214" s="57" t="s">
        <v>61</v>
      </c>
      <c r="G214" s="54"/>
      <c r="H214" s="56" t="s">
        <v>60</v>
      </c>
      <c r="J214" s="247" t="s">
        <v>43</v>
      </c>
      <c r="K214" s="243"/>
      <c r="L214" s="243"/>
      <c r="M214" s="243"/>
      <c r="N214" s="54"/>
      <c r="O214" s="57" t="s">
        <v>61</v>
      </c>
      <c r="P214" s="54"/>
      <c r="Q214" s="56" t="s">
        <v>60</v>
      </c>
      <c r="S214" s="247" t="s">
        <v>43</v>
      </c>
      <c r="T214" s="243"/>
      <c r="U214" s="243"/>
      <c r="V214" s="243"/>
      <c r="W214" s="54"/>
      <c r="X214" s="57" t="s">
        <v>61</v>
      </c>
      <c r="Y214" s="54"/>
      <c r="Z214" s="56" t="s">
        <v>60</v>
      </c>
      <c r="AB214" s="247" t="s">
        <v>43</v>
      </c>
      <c r="AC214" s="243"/>
      <c r="AD214" s="243"/>
      <c r="AE214" s="243"/>
      <c r="AF214" s="54"/>
      <c r="AG214" s="57" t="s">
        <v>61</v>
      </c>
      <c r="AH214" s="54"/>
      <c r="AI214" s="56" t="s">
        <v>60</v>
      </c>
    </row>
    <row r="215" spans="1:35" ht="15" customHeight="1" x14ac:dyDescent="0.15">
      <c r="A215" s="253" t="s">
        <v>44</v>
      </c>
      <c r="B215" s="254"/>
      <c r="C215" s="254"/>
      <c r="D215" s="254"/>
      <c r="E215" s="54"/>
      <c r="F215" s="57" t="s">
        <v>61</v>
      </c>
      <c r="G215" s="54"/>
      <c r="H215" s="56" t="s">
        <v>60</v>
      </c>
      <c r="J215" s="247" t="s">
        <v>44</v>
      </c>
      <c r="K215" s="243"/>
      <c r="L215" s="243"/>
      <c r="M215" s="243"/>
      <c r="N215" s="54"/>
      <c r="O215" s="57" t="s">
        <v>61</v>
      </c>
      <c r="P215" s="54"/>
      <c r="Q215" s="56" t="s">
        <v>60</v>
      </c>
      <c r="S215" s="247" t="s">
        <v>44</v>
      </c>
      <c r="T215" s="243"/>
      <c r="U215" s="243"/>
      <c r="V215" s="243"/>
      <c r="W215" s="54"/>
      <c r="X215" s="57" t="s">
        <v>61</v>
      </c>
      <c r="Y215" s="54"/>
      <c r="Z215" s="56" t="s">
        <v>60</v>
      </c>
      <c r="AB215" s="247" t="s">
        <v>44</v>
      </c>
      <c r="AC215" s="243"/>
      <c r="AD215" s="243"/>
      <c r="AE215" s="243"/>
      <c r="AF215" s="54"/>
      <c r="AG215" s="57" t="s">
        <v>61</v>
      </c>
      <c r="AH215" s="54"/>
      <c r="AI215" s="56" t="s">
        <v>60</v>
      </c>
    </row>
    <row r="216" spans="1:35" ht="15" customHeight="1" x14ac:dyDescent="0.15">
      <c r="A216" s="253" t="s">
        <v>45</v>
      </c>
      <c r="B216" s="254"/>
      <c r="C216" s="254"/>
      <c r="D216" s="254"/>
      <c r="E216" s="54"/>
      <c r="F216" s="57" t="s">
        <v>61</v>
      </c>
      <c r="G216" s="54"/>
      <c r="H216" s="56" t="s">
        <v>60</v>
      </c>
      <c r="J216" s="247" t="s">
        <v>45</v>
      </c>
      <c r="K216" s="243"/>
      <c r="L216" s="243"/>
      <c r="M216" s="243"/>
      <c r="N216" s="54"/>
      <c r="O216" s="57" t="s">
        <v>61</v>
      </c>
      <c r="P216" s="54"/>
      <c r="Q216" s="56" t="s">
        <v>60</v>
      </c>
      <c r="S216" s="247" t="s">
        <v>45</v>
      </c>
      <c r="T216" s="243"/>
      <c r="U216" s="243"/>
      <c r="V216" s="243"/>
      <c r="W216" s="54"/>
      <c r="X216" s="57" t="s">
        <v>61</v>
      </c>
      <c r="Y216" s="54"/>
      <c r="Z216" s="56" t="s">
        <v>60</v>
      </c>
      <c r="AB216" s="247" t="s">
        <v>45</v>
      </c>
      <c r="AC216" s="243"/>
      <c r="AD216" s="243"/>
      <c r="AE216" s="243"/>
      <c r="AF216" s="54"/>
      <c r="AG216" s="57" t="s">
        <v>61</v>
      </c>
      <c r="AH216" s="54"/>
      <c r="AI216" s="56" t="s">
        <v>60</v>
      </c>
    </row>
    <row r="217" spans="1:35" ht="15" customHeight="1" x14ac:dyDescent="0.15">
      <c r="A217" s="253" t="s">
        <v>46</v>
      </c>
      <c r="B217" s="254"/>
      <c r="C217" s="254"/>
      <c r="D217" s="254"/>
      <c r="E217" s="58"/>
      <c r="F217" s="59" t="s">
        <v>61</v>
      </c>
      <c r="G217" s="58"/>
      <c r="H217" s="60" t="s">
        <v>60</v>
      </c>
      <c r="J217" s="247" t="s">
        <v>46</v>
      </c>
      <c r="K217" s="243"/>
      <c r="L217" s="243"/>
      <c r="M217" s="243"/>
      <c r="N217" s="58"/>
      <c r="O217" s="59" t="s">
        <v>61</v>
      </c>
      <c r="P217" s="58"/>
      <c r="Q217" s="60" t="s">
        <v>60</v>
      </c>
      <c r="S217" s="247" t="s">
        <v>46</v>
      </c>
      <c r="T217" s="243"/>
      <c r="U217" s="243"/>
      <c r="V217" s="243"/>
      <c r="W217" s="58"/>
      <c r="X217" s="59" t="s">
        <v>61</v>
      </c>
      <c r="Y217" s="58"/>
      <c r="Z217" s="60" t="s">
        <v>60</v>
      </c>
      <c r="AB217" s="247" t="s">
        <v>46</v>
      </c>
      <c r="AC217" s="243"/>
      <c r="AD217" s="243"/>
      <c r="AE217" s="243"/>
      <c r="AF217" s="58"/>
      <c r="AG217" s="59" t="s">
        <v>61</v>
      </c>
      <c r="AH217" s="58"/>
      <c r="AI217" s="60" t="s">
        <v>60</v>
      </c>
    </row>
    <row r="218" spans="1:35" ht="15" customHeight="1" x14ac:dyDescent="0.15">
      <c r="A218" s="253" t="s">
        <v>47</v>
      </c>
      <c r="B218" s="254"/>
      <c r="C218" s="254"/>
      <c r="D218" s="254"/>
      <c r="E218" s="276">
        <f>賃金集計表!H42</f>
        <v>0</v>
      </c>
      <c r="F218" s="273"/>
      <c r="G218" s="273"/>
      <c r="H218" s="274"/>
      <c r="J218" s="247" t="s">
        <v>47</v>
      </c>
      <c r="K218" s="243"/>
      <c r="L218" s="243"/>
      <c r="M218" s="243"/>
      <c r="N218" s="276">
        <f>賃金集計表!H73</f>
        <v>0</v>
      </c>
      <c r="O218" s="273"/>
      <c r="P218" s="273"/>
      <c r="Q218" s="274"/>
      <c r="S218" s="247" t="s">
        <v>47</v>
      </c>
      <c r="T218" s="243"/>
      <c r="U218" s="243"/>
      <c r="V218" s="243"/>
      <c r="W218" s="276">
        <f>賃金集計表!H74</f>
        <v>0</v>
      </c>
      <c r="X218" s="273"/>
      <c r="Y218" s="273"/>
      <c r="Z218" s="274"/>
      <c r="AB218" s="247" t="s">
        <v>47</v>
      </c>
      <c r="AC218" s="243"/>
      <c r="AD218" s="243"/>
      <c r="AE218" s="243"/>
      <c r="AF218" s="272"/>
      <c r="AG218" s="273"/>
      <c r="AH218" s="273"/>
      <c r="AI218" s="274"/>
    </row>
    <row r="219" spans="1:35" ht="15" customHeight="1" x14ac:dyDescent="0.15">
      <c r="A219" s="253" t="s">
        <v>48</v>
      </c>
      <c r="B219" s="254"/>
      <c r="C219" s="254"/>
      <c r="D219" s="254"/>
      <c r="E219" s="272"/>
      <c r="F219" s="273"/>
      <c r="G219" s="273"/>
      <c r="H219" s="274"/>
      <c r="J219" s="253" t="s">
        <v>48</v>
      </c>
      <c r="K219" s="254"/>
      <c r="L219" s="254"/>
      <c r="M219" s="254"/>
      <c r="N219" s="272"/>
      <c r="O219" s="273"/>
      <c r="P219" s="273"/>
      <c r="Q219" s="274"/>
      <c r="S219" s="253" t="s">
        <v>48</v>
      </c>
      <c r="T219" s="254"/>
      <c r="U219" s="254"/>
      <c r="V219" s="254"/>
      <c r="W219" s="272"/>
      <c r="X219" s="273"/>
      <c r="Y219" s="273"/>
      <c r="Z219" s="274"/>
      <c r="AB219" s="253" t="s">
        <v>48</v>
      </c>
      <c r="AC219" s="254"/>
      <c r="AD219" s="254"/>
      <c r="AE219" s="254"/>
      <c r="AF219" s="272"/>
      <c r="AG219" s="273"/>
      <c r="AH219" s="273"/>
      <c r="AI219" s="274"/>
    </row>
    <row r="220" spans="1:35" ht="15" customHeight="1" x14ac:dyDescent="0.15">
      <c r="A220" s="259" t="s">
        <v>22</v>
      </c>
      <c r="B220" s="254" t="s">
        <v>50</v>
      </c>
      <c r="C220" s="254"/>
      <c r="D220" s="254"/>
      <c r="E220" s="272"/>
      <c r="F220" s="273"/>
      <c r="G220" s="273"/>
      <c r="H220" s="274"/>
      <c r="J220" s="275" t="s">
        <v>22</v>
      </c>
      <c r="K220" s="243" t="s">
        <v>50</v>
      </c>
      <c r="L220" s="243"/>
      <c r="M220" s="243"/>
      <c r="N220" s="272"/>
      <c r="O220" s="273"/>
      <c r="P220" s="273"/>
      <c r="Q220" s="274"/>
      <c r="S220" s="275" t="s">
        <v>22</v>
      </c>
      <c r="T220" s="243" t="s">
        <v>50</v>
      </c>
      <c r="U220" s="243"/>
      <c r="V220" s="243"/>
      <c r="W220" s="272"/>
      <c r="X220" s="273"/>
      <c r="Y220" s="273"/>
      <c r="Z220" s="274"/>
      <c r="AB220" s="275" t="s">
        <v>22</v>
      </c>
      <c r="AC220" s="243" t="s">
        <v>50</v>
      </c>
      <c r="AD220" s="243"/>
      <c r="AE220" s="243"/>
      <c r="AF220" s="272"/>
      <c r="AG220" s="273"/>
      <c r="AH220" s="273"/>
      <c r="AI220" s="274"/>
    </row>
    <row r="221" spans="1:35" ht="15" customHeight="1" x14ac:dyDescent="0.15">
      <c r="A221" s="259"/>
      <c r="B221" s="254" t="s">
        <v>49</v>
      </c>
      <c r="C221" s="254"/>
      <c r="D221" s="254"/>
      <c r="E221" s="272"/>
      <c r="F221" s="273"/>
      <c r="G221" s="273"/>
      <c r="H221" s="274"/>
      <c r="J221" s="275"/>
      <c r="K221" s="243" t="s">
        <v>49</v>
      </c>
      <c r="L221" s="243"/>
      <c r="M221" s="243"/>
      <c r="N221" s="272"/>
      <c r="O221" s="273"/>
      <c r="P221" s="273"/>
      <c r="Q221" s="274"/>
      <c r="S221" s="275"/>
      <c r="T221" s="243" t="s">
        <v>49</v>
      </c>
      <c r="U221" s="243"/>
      <c r="V221" s="243"/>
      <c r="W221" s="272"/>
      <c r="X221" s="273"/>
      <c r="Y221" s="273"/>
      <c r="Z221" s="274"/>
      <c r="AB221" s="275"/>
      <c r="AC221" s="243" t="s">
        <v>49</v>
      </c>
      <c r="AD221" s="243"/>
      <c r="AE221" s="243"/>
      <c r="AF221" s="272"/>
      <c r="AG221" s="273"/>
      <c r="AH221" s="273"/>
      <c r="AI221" s="274"/>
    </row>
    <row r="222" spans="1:35" ht="15" customHeight="1" x14ac:dyDescent="0.15">
      <c r="A222" s="259"/>
      <c r="B222" s="254" t="s">
        <v>51</v>
      </c>
      <c r="C222" s="254"/>
      <c r="D222" s="254"/>
      <c r="E222" s="272"/>
      <c r="F222" s="273"/>
      <c r="G222" s="273"/>
      <c r="H222" s="274"/>
      <c r="J222" s="275"/>
      <c r="K222" s="243" t="s">
        <v>51</v>
      </c>
      <c r="L222" s="243"/>
      <c r="M222" s="243"/>
      <c r="N222" s="272"/>
      <c r="O222" s="273"/>
      <c r="P222" s="273"/>
      <c r="Q222" s="274"/>
      <c r="S222" s="275"/>
      <c r="T222" s="243" t="s">
        <v>51</v>
      </c>
      <c r="U222" s="243"/>
      <c r="V222" s="243"/>
      <c r="W222" s="272"/>
      <c r="X222" s="273"/>
      <c r="Y222" s="273"/>
      <c r="Z222" s="274"/>
      <c r="AB222" s="275"/>
      <c r="AC222" s="243" t="s">
        <v>51</v>
      </c>
      <c r="AD222" s="243"/>
      <c r="AE222" s="243"/>
      <c r="AF222" s="272"/>
      <c r="AG222" s="273"/>
      <c r="AH222" s="273"/>
      <c r="AI222" s="274"/>
    </row>
    <row r="223" spans="1:35" ht="15" customHeight="1" x14ac:dyDescent="0.15">
      <c r="A223" s="259"/>
      <c r="B223" s="254" t="s">
        <v>52</v>
      </c>
      <c r="C223" s="254"/>
      <c r="D223" s="254"/>
      <c r="E223" s="272"/>
      <c r="F223" s="273"/>
      <c r="G223" s="273"/>
      <c r="H223" s="274"/>
      <c r="J223" s="275"/>
      <c r="K223" s="243" t="s">
        <v>52</v>
      </c>
      <c r="L223" s="243"/>
      <c r="M223" s="243"/>
      <c r="N223" s="272"/>
      <c r="O223" s="273"/>
      <c r="P223" s="273"/>
      <c r="Q223" s="274"/>
      <c r="S223" s="275"/>
      <c r="T223" s="243" t="s">
        <v>52</v>
      </c>
      <c r="U223" s="243"/>
      <c r="V223" s="243"/>
      <c r="W223" s="272"/>
      <c r="X223" s="273"/>
      <c r="Y223" s="273"/>
      <c r="Z223" s="274"/>
      <c r="AB223" s="275"/>
      <c r="AC223" s="243" t="s">
        <v>52</v>
      </c>
      <c r="AD223" s="243"/>
      <c r="AE223" s="243"/>
      <c r="AF223" s="272"/>
      <c r="AG223" s="273"/>
      <c r="AH223" s="273"/>
      <c r="AI223" s="274"/>
    </row>
    <row r="224" spans="1:35" ht="15" customHeight="1" x14ac:dyDescent="0.15">
      <c r="A224" s="259"/>
      <c r="B224" s="254" t="s">
        <v>53</v>
      </c>
      <c r="C224" s="254"/>
      <c r="D224" s="254"/>
      <c r="E224" s="272"/>
      <c r="F224" s="273"/>
      <c r="G224" s="273"/>
      <c r="H224" s="274"/>
      <c r="J224" s="275"/>
      <c r="K224" s="243" t="s">
        <v>53</v>
      </c>
      <c r="L224" s="243"/>
      <c r="M224" s="243"/>
      <c r="N224" s="272"/>
      <c r="O224" s="273"/>
      <c r="P224" s="273"/>
      <c r="Q224" s="274"/>
      <c r="S224" s="275"/>
      <c r="T224" s="243" t="s">
        <v>53</v>
      </c>
      <c r="U224" s="243"/>
      <c r="V224" s="243"/>
      <c r="W224" s="272"/>
      <c r="X224" s="273"/>
      <c r="Y224" s="273"/>
      <c r="Z224" s="274"/>
      <c r="AB224" s="275"/>
      <c r="AC224" s="243" t="s">
        <v>53</v>
      </c>
      <c r="AD224" s="243"/>
      <c r="AE224" s="243"/>
      <c r="AF224" s="272"/>
      <c r="AG224" s="273"/>
      <c r="AH224" s="273"/>
      <c r="AI224" s="274"/>
    </row>
    <row r="225" spans="1:35" ht="15" customHeight="1" x14ac:dyDescent="0.15">
      <c r="A225" s="259"/>
      <c r="B225" s="254"/>
      <c r="C225" s="254"/>
      <c r="D225" s="254"/>
      <c r="E225" s="255">
        <f>賃金集計表!L42</f>
        <v>0</v>
      </c>
      <c r="F225" s="256"/>
      <c r="G225" s="256"/>
      <c r="H225" s="257"/>
      <c r="J225" s="275"/>
      <c r="K225" s="243"/>
      <c r="L225" s="243"/>
      <c r="M225" s="243"/>
      <c r="N225" s="258"/>
      <c r="O225" s="256"/>
      <c r="P225" s="256"/>
      <c r="Q225" s="257"/>
      <c r="S225" s="275"/>
      <c r="T225" s="243"/>
      <c r="U225" s="243"/>
      <c r="V225" s="243"/>
      <c r="W225" s="258"/>
      <c r="X225" s="256"/>
      <c r="Y225" s="256"/>
      <c r="Z225" s="257"/>
      <c r="AB225" s="275"/>
      <c r="AC225" s="243"/>
      <c r="AD225" s="243"/>
      <c r="AE225" s="243"/>
      <c r="AF225" s="258"/>
      <c r="AG225" s="256"/>
      <c r="AH225" s="256"/>
      <c r="AI225" s="257"/>
    </row>
    <row r="226" spans="1:35" ht="15" customHeight="1" x14ac:dyDescent="0.15">
      <c r="A226" s="253" t="s">
        <v>54</v>
      </c>
      <c r="B226" s="254"/>
      <c r="C226" s="254"/>
      <c r="D226" s="254"/>
      <c r="E226" s="255">
        <f>賃金集計表!O42</f>
        <v>0</v>
      </c>
      <c r="F226" s="256"/>
      <c r="G226" s="256"/>
      <c r="H226" s="257"/>
      <c r="J226" s="247" t="s">
        <v>54</v>
      </c>
      <c r="K226" s="243"/>
      <c r="L226" s="243"/>
      <c r="M226" s="243"/>
      <c r="N226" s="255">
        <f>賃金集計表!O73</f>
        <v>0</v>
      </c>
      <c r="O226" s="256"/>
      <c r="P226" s="256"/>
      <c r="Q226" s="257"/>
      <c r="S226" s="247" t="s">
        <v>54</v>
      </c>
      <c r="T226" s="243"/>
      <c r="U226" s="243"/>
      <c r="V226" s="243"/>
      <c r="W226" s="255">
        <f>賃金集計表!O74</f>
        <v>0</v>
      </c>
      <c r="X226" s="256"/>
      <c r="Y226" s="256"/>
      <c r="Z226" s="257"/>
      <c r="AB226" s="247" t="s">
        <v>54</v>
      </c>
      <c r="AC226" s="243"/>
      <c r="AD226" s="243"/>
      <c r="AE226" s="243"/>
      <c r="AF226" s="258"/>
      <c r="AG226" s="256"/>
      <c r="AH226" s="256"/>
      <c r="AI226" s="257"/>
    </row>
    <row r="227" spans="1:35" ht="15" customHeight="1" x14ac:dyDescent="0.15">
      <c r="A227" s="259" t="s">
        <v>29</v>
      </c>
      <c r="B227" s="254" t="s">
        <v>55</v>
      </c>
      <c r="C227" s="254"/>
      <c r="D227" s="254"/>
      <c r="E227" s="258"/>
      <c r="F227" s="256"/>
      <c r="G227" s="256"/>
      <c r="H227" s="257"/>
      <c r="J227" s="259" t="s">
        <v>29</v>
      </c>
      <c r="K227" s="243" t="s">
        <v>55</v>
      </c>
      <c r="L227" s="243"/>
      <c r="M227" s="243"/>
      <c r="N227" s="258"/>
      <c r="O227" s="256"/>
      <c r="P227" s="256"/>
      <c r="Q227" s="257"/>
      <c r="S227" s="259" t="s">
        <v>29</v>
      </c>
      <c r="T227" s="243" t="s">
        <v>55</v>
      </c>
      <c r="U227" s="243"/>
      <c r="V227" s="243"/>
      <c r="W227" s="258"/>
      <c r="X227" s="256"/>
      <c r="Y227" s="256"/>
      <c r="Z227" s="257"/>
      <c r="AB227" s="259" t="s">
        <v>29</v>
      </c>
      <c r="AC227" s="243" t="s">
        <v>55</v>
      </c>
      <c r="AD227" s="243"/>
      <c r="AE227" s="243"/>
      <c r="AF227" s="258"/>
      <c r="AG227" s="256"/>
      <c r="AH227" s="256"/>
      <c r="AI227" s="257"/>
    </row>
    <row r="228" spans="1:35" ht="15" customHeight="1" x14ac:dyDescent="0.15">
      <c r="A228" s="259"/>
      <c r="B228" s="254" t="s">
        <v>24</v>
      </c>
      <c r="C228" s="254"/>
      <c r="D228" s="254"/>
      <c r="E228" s="258"/>
      <c r="F228" s="256"/>
      <c r="G228" s="256"/>
      <c r="H228" s="257"/>
      <c r="J228" s="259"/>
      <c r="K228" s="243" t="s">
        <v>24</v>
      </c>
      <c r="L228" s="243"/>
      <c r="M228" s="243"/>
      <c r="N228" s="258"/>
      <c r="O228" s="256"/>
      <c r="P228" s="256"/>
      <c r="Q228" s="257"/>
      <c r="S228" s="259"/>
      <c r="T228" s="243" t="s">
        <v>24</v>
      </c>
      <c r="U228" s="243"/>
      <c r="V228" s="243"/>
      <c r="W228" s="258"/>
      <c r="X228" s="256"/>
      <c r="Y228" s="256"/>
      <c r="Z228" s="257"/>
      <c r="AB228" s="259"/>
      <c r="AC228" s="243" t="s">
        <v>24</v>
      </c>
      <c r="AD228" s="243"/>
      <c r="AE228" s="243"/>
      <c r="AF228" s="258"/>
      <c r="AG228" s="256"/>
      <c r="AH228" s="256"/>
      <c r="AI228" s="257"/>
    </row>
    <row r="229" spans="1:35" ht="15" customHeight="1" x14ac:dyDescent="0.15">
      <c r="A229" s="259"/>
      <c r="B229" s="254" t="s">
        <v>56</v>
      </c>
      <c r="C229" s="254"/>
      <c r="D229" s="254"/>
      <c r="E229" s="258"/>
      <c r="F229" s="256"/>
      <c r="G229" s="256"/>
      <c r="H229" s="257"/>
      <c r="J229" s="259"/>
      <c r="K229" s="243" t="s">
        <v>56</v>
      </c>
      <c r="L229" s="243"/>
      <c r="M229" s="243"/>
      <c r="N229" s="258"/>
      <c r="O229" s="256"/>
      <c r="P229" s="256"/>
      <c r="Q229" s="257"/>
      <c r="S229" s="259"/>
      <c r="T229" s="243" t="s">
        <v>56</v>
      </c>
      <c r="U229" s="243"/>
      <c r="V229" s="243"/>
      <c r="W229" s="258"/>
      <c r="X229" s="256"/>
      <c r="Y229" s="256"/>
      <c r="Z229" s="257"/>
      <c r="AB229" s="259"/>
      <c r="AC229" s="243" t="s">
        <v>56</v>
      </c>
      <c r="AD229" s="243"/>
      <c r="AE229" s="243"/>
      <c r="AF229" s="258"/>
      <c r="AG229" s="256"/>
      <c r="AH229" s="256"/>
      <c r="AI229" s="257"/>
    </row>
    <row r="230" spans="1:35" ht="15" customHeight="1" x14ac:dyDescent="0.15">
      <c r="A230" s="259"/>
      <c r="B230" s="254" t="s">
        <v>27</v>
      </c>
      <c r="C230" s="254"/>
      <c r="D230" s="254"/>
      <c r="E230" s="258"/>
      <c r="F230" s="256"/>
      <c r="G230" s="256"/>
      <c r="H230" s="257"/>
      <c r="J230" s="259"/>
      <c r="K230" s="243" t="s">
        <v>27</v>
      </c>
      <c r="L230" s="243"/>
      <c r="M230" s="243"/>
      <c r="N230" s="258"/>
      <c r="O230" s="256"/>
      <c r="P230" s="256"/>
      <c r="Q230" s="257"/>
      <c r="S230" s="259"/>
      <c r="T230" s="243" t="s">
        <v>27</v>
      </c>
      <c r="U230" s="243"/>
      <c r="V230" s="243"/>
      <c r="W230" s="258"/>
      <c r="X230" s="256"/>
      <c r="Y230" s="256"/>
      <c r="Z230" s="257"/>
      <c r="AB230" s="259"/>
      <c r="AC230" s="243" t="s">
        <v>27</v>
      </c>
      <c r="AD230" s="243"/>
      <c r="AE230" s="243"/>
      <c r="AF230" s="258"/>
      <c r="AG230" s="256"/>
      <c r="AH230" s="256"/>
      <c r="AI230" s="257"/>
    </row>
    <row r="231" spans="1:35" ht="15" customHeight="1" x14ac:dyDescent="0.15">
      <c r="A231" s="259"/>
      <c r="B231" s="254" t="s">
        <v>26</v>
      </c>
      <c r="C231" s="254"/>
      <c r="D231" s="254"/>
      <c r="E231" s="258"/>
      <c r="F231" s="256"/>
      <c r="G231" s="256"/>
      <c r="H231" s="257"/>
      <c r="J231" s="259"/>
      <c r="K231" s="243" t="s">
        <v>26</v>
      </c>
      <c r="L231" s="243"/>
      <c r="M231" s="243"/>
      <c r="N231" s="258"/>
      <c r="O231" s="256"/>
      <c r="P231" s="256"/>
      <c r="Q231" s="257"/>
      <c r="S231" s="259"/>
      <c r="T231" s="243" t="s">
        <v>26</v>
      </c>
      <c r="U231" s="243"/>
      <c r="V231" s="243"/>
      <c r="W231" s="258"/>
      <c r="X231" s="256"/>
      <c r="Y231" s="256"/>
      <c r="Z231" s="257"/>
      <c r="AB231" s="259"/>
      <c r="AC231" s="243" t="s">
        <v>26</v>
      </c>
      <c r="AD231" s="243"/>
      <c r="AE231" s="243"/>
      <c r="AF231" s="258"/>
      <c r="AG231" s="256"/>
      <c r="AH231" s="256"/>
      <c r="AI231" s="257"/>
    </row>
    <row r="232" spans="1:35" ht="15" customHeight="1" x14ac:dyDescent="0.15">
      <c r="A232" s="259"/>
      <c r="B232" s="254"/>
      <c r="C232" s="254"/>
      <c r="D232" s="254"/>
      <c r="E232" s="258"/>
      <c r="F232" s="256"/>
      <c r="G232" s="256"/>
      <c r="H232" s="257"/>
      <c r="J232" s="259"/>
      <c r="K232" s="243"/>
      <c r="L232" s="243"/>
      <c r="M232" s="243"/>
      <c r="N232" s="258"/>
      <c r="O232" s="256"/>
      <c r="P232" s="256"/>
      <c r="Q232" s="257"/>
      <c r="S232" s="259"/>
      <c r="T232" s="243"/>
      <c r="U232" s="243"/>
      <c r="V232" s="243"/>
      <c r="W232" s="258"/>
      <c r="X232" s="256"/>
      <c r="Y232" s="256"/>
      <c r="Z232" s="257"/>
      <c r="AB232" s="259"/>
      <c r="AC232" s="243"/>
      <c r="AD232" s="243"/>
      <c r="AE232" s="243"/>
      <c r="AF232" s="258"/>
      <c r="AG232" s="256"/>
      <c r="AH232" s="256"/>
      <c r="AI232" s="257"/>
    </row>
    <row r="233" spans="1:35" ht="15" customHeight="1" x14ac:dyDescent="0.15">
      <c r="A233" s="259"/>
      <c r="B233" s="243" t="s">
        <v>80</v>
      </c>
      <c r="C233" s="243"/>
      <c r="D233" s="243"/>
      <c r="E233" s="255">
        <f>賃金集計表!V42</f>
        <v>0</v>
      </c>
      <c r="F233" s="256"/>
      <c r="G233" s="256"/>
      <c r="H233" s="257"/>
      <c r="J233" s="259"/>
      <c r="K233" s="243" t="s">
        <v>80</v>
      </c>
      <c r="L233" s="243"/>
      <c r="M233" s="243"/>
      <c r="N233" s="255">
        <f>賃金集計表!V73</f>
        <v>0</v>
      </c>
      <c r="O233" s="256"/>
      <c r="P233" s="256"/>
      <c r="Q233" s="257"/>
      <c r="S233" s="259"/>
      <c r="T233" s="243" t="s">
        <v>80</v>
      </c>
      <c r="U233" s="243"/>
      <c r="V233" s="243"/>
      <c r="W233" s="255">
        <f>賃金集計表!V74</f>
        <v>0</v>
      </c>
      <c r="X233" s="256"/>
      <c r="Y233" s="256"/>
      <c r="Z233" s="257"/>
      <c r="AB233" s="259"/>
      <c r="AC233" s="243" t="s">
        <v>80</v>
      </c>
      <c r="AD233" s="243"/>
      <c r="AE233" s="243"/>
      <c r="AF233" s="258"/>
      <c r="AG233" s="256"/>
      <c r="AH233" s="256"/>
      <c r="AI233" s="257"/>
    </row>
    <row r="234" spans="1:35" ht="15" customHeight="1" x14ac:dyDescent="0.15">
      <c r="A234" s="259"/>
      <c r="B234" s="254" t="s">
        <v>54</v>
      </c>
      <c r="C234" s="254"/>
      <c r="D234" s="254"/>
      <c r="E234" s="255">
        <f>賃金集計表!W42</f>
        <v>0</v>
      </c>
      <c r="F234" s="256"/>
      <c r="G234" s="256"/>
      <c r="H234" s="257"/>
      <c r="J234" s="259"/>
      <c r="K234" s="243" t="s">
        <v>54</v>
      </c>
      <c r="L234" s="243"/>
      <c r="M234" s="243"/>
      <c r="N234" s="255">
        <f>賃金集計表!W73</f>
        <v>0</v>
      </c>
      <c r="O234" s="256"/>
      <c r="P234" s="256"/>
      <c r="Q234" s="257"/>
      <c r="S234" s="259"/>
      <c r="T234" s="243" t="s">
        <v>54</v>
      </c>
      <c r="U234" s="243"/>
      <c r="V234" s="243"/>
      <c r="W234" s="255">
        <f>賃金集計表!W74</f>
        <v>0</v>
      </c>
      <c r="X234" s="256"/>
      <c r="Y234" s="256"/>
      <c r="Z234" s="257"/>
      <c r="AB234" s="259"/>
      <c r="AC234" s="243" t="s">
        <v>54</v>
      </c>
      <c r="AD234" s="243"/>
      <c r="AE234" s="243"/>
      <c r="AF234" s="258"/>
      <c r="AG234" s="256"/>
      <c r="AH234" s="256"/>
      <c r="AI234" s="257"/>
    </row>
    <row r="235" spans="1:35" ht="15" customHeight="1" x14ac:dyDescent="0.15">
      <c r="A235" s="253" t="s">
        <v>57</v>
      </c>
      <c r="B235" s="254"/>
      <c r="C235" s="254"/>
      <c r="D235" s="254"/>
      <c r="E235" s="255">
        <f>賃金集計表!X42</f>
        <v>0</v>
      </c>
      <c r="F235" s="256"/>
      <c r="G235" s="256"/>
      <c r="H235" s="257"/>
      <c r="J235" s="247" t="s">
        <v>57</v>
      </c>
      <c r="K235" s="243"/>
      <c r="L235" s="243"/>
      <c r="M235" s="243"/>
      <c r="N235" s="255">
        <f>賃金集計表!X73</f>
        <v>0</v>
      </c>
      <c r="O235" s="256"/>
      <c r="P235" s="256"/>
      <c r="Q235" s="257"/>
      <c r="S235" s="247" t="s">
        <v>57</v>
      </c>
      <c r="T235" s="243"/>
      <c r="U235" s="243"/>
      <c r="V235" s="243"/>
      <c r="W235" s="255">
        <f>賃金集計表!X74</f>
        <v>0</v>
      </c>
      <c r="X235" s="256"/>
      <c r="Y235" s="256"/>
      <c r="Z235" s="257"/>
      <c r="AB235" s="247" t="s">
        <v>57</v>
      </c>
      <c r="AC235" s="243"/>
      <c r="AD235" s="243"/>
      <c r="AE235" s="243"/>
      <c r="AF235" s="258"/>
      <c r="AG235" s="256"/>
      <c r="AH235" s="256"/>
      <c r="AI235" s="257"/>
    </row>
    <row r="236" spans="1:35" ht="15" customHeight="1" x14ac:dyDescent="0.15">
      <c r="A236" s="262" t="s">
        <v>58</v>
      </c>
      <c r="B236" s="263"/>
      <c r="C236" s="263"/>
      <c r="D236" s="61"/>
      <c r="E236" s="62"/>
      <c r="F236" s="62"/>
      <c r="G236" s="264" t="s">
        <v>62</v>
      </c>
      <c r="H236" s="265"/>
      <c r="J236" s="262" t="s">
        <v>58</v>
      </c>
      <c r="K236" s="263"/>
      <c r="L236" s="263"/>
      <c r="M236" s="61"/>
      <c r="N236" s="62"/>
      <c r="O236" s="62"/>
      <c r="P236" s="264" t="s">
        <v>62</v>
      </c>
      <c r="Q236" s="265"/>
      <c r="S236" s="262" t="s">
        <v>58</v>
      </c>
      <c r="T236" s="263"/>
      <c r="U236" s="263"/>
      <c r="V236" s="61"/>
      <c r="W236" s="62"/>
      <c r="X236" s="62"/>
      <c r="Y236" s="264" t="s">
        <v>62</v>
      </c>
      <c r="Z236" s="265"/>
      <c r="AB236" s="262" t="s">
        <v>58</v>
      </c>
      <c r="AC236" s="263"/>
      <c r="AD236" s="263"/>
      <c r="AE236" s="61"/>
      <c r="AF236" s="62"/>
      <c r="AG236" s="62"/>
      <c r="AH236" s="264" t="s">
        <v>62</v>
      </c>
      <c r="AI236" s="265"/>
    </row>
    <row r="237" spans="1:35" ht="18" customHeight="1" x14ac:dyDescent="0.15">
      <c r="A237" s="270" t="s">
        <v>31</v>
      </c>
      <c r="B237" s="271"/>
      <c r="C237" s="271"/>
      <c r="D237" s="271"/>
      <c r="E237" s="271"/>
      <c r="F237" s="271"/>
      <c r="G237" s="266"/>
      <c r="H237" s="267"/>
      <c r="J237" s="270" t="s">
        <v>31</v>
      </c>
      <c r="K237" s="271"/>
      <c r="L237" s="271"/>
      <c r="M237" s="271"/>
      <c r="N237" s="271"/>
      <c r="O237" s="271"/>
      <c r="P237" s="266"/>
      <c r="Q237" s="267"/>
      <c r="S237" s="270" t="s">
        <v>31</v>
      </c>
      <c r="T237" s="271"/>
      <c r="U237" s="271"/>
      <c r="V237" s="271"/>
      <c r="W237" s="271"/>
      <c r="X237" s="271"/>
      <c r="Y237" s="266"/>
      <c r="Z237" s="267"/>
      <c r="AB237" s="270" t="s">
        <v>31</v>
      </c>
      <c r="AC237" s="271"/>
      <c r="AD237" s="271"/>
      <c r="AE237" s="271"/>
      <c r="AF237" s="271"/>
      <c r="AG237" s="271"/>
      <c r="AH237" s="266"/>
      <c r="AI237" s="267"/>
    </row>
    <row r="238" spans="1:35" ht="22.5" customHeight="1" thickBot="1" x14ac:dyDescent="0.2">
      <c r="A238" s="260" t="s">
        <v>63</v>
      </c>
      <c r="B238" s="261"/>
      <c r="C238" s="261"/>
      <c r="D238" s="261"/>
      <c r="E238" s="261"/>
      <c r="F238" s="261"/>
      <c r="G238" s="268"/>
      <c r="H238" s="269"/>
      <c r="J238" s="260" t="s">
        <v>63</v>
      </c>
      <c r="K238" s="261"/>
      <c r="L238" s="261"/>
      <c r="M238" s="261"/>
      <c r="N238" s="261"/>
      <c r="O238" s="261"/>
      <c r="P238" s="268"/>
      <c r="Q238" s="269"/>
      <c r="S238" s="260" t="s">
        <v>63</v>
      </c>
      <c r="T238" s="261"/>
      <c r="U238" s="261"/>
      <c r="V238" s="261"/>
      <c r="W238" s="261"/>
      <c r="X238" s="261"/>
      <c r="Y238" s="268"/>
      <c r="Z238" s="269"/>
      <c r="AB238" s="260" t="s">
        <v>63</v>
      </c>
      <c r="AC238" s="261"/>
      <c r="AD238" s="261"/>
      <c r="AE238" s="261"/>
      <c r="AF238" s="261"/>
      <c r="AG238" s="261"/>
      <c r="AH238" s="268"/>
      <c r="AI238" s="269"/>
    </row>
    <row r="239" spans="1:35" ht="28.5" customHeight="1" thickTop="1" x14ac:dyDescent="0.15">
      <c r="A239" s="287" t="s">
        <v>34</v>
      </c>
      <c r="B239" s="287"/>
      <c r="C239" s="287"/>
      <c r="D239" s="287"/>
      <c r="E239" s="287"/>
      <c r="F239" s="287"/>
      <c r="G239" s="287"/>
      <c r="H239" s="287"/>
      <c r="J239" s="287" t="s">
        <v>34</v>
      </c>
      <c r="K239" s="287"/>
      <c r="L239" s="287"/>
      <c r="M239" s="287"/>
      <c r="N239" s="287"/>
      <c r="O239" s="287"/>
      <c r="P239" s="287"/>
      <c r="Q239" s="287"/>
      <c r="S239" s="287" t="s">
        <v>34</v>
      </c>
      <c r="T239" s="287"/>
      <c r="U239" s="287"/>
      <c r="V239" s="287"/>
      <c r="W239" s="287"/>
      <c r="X239" s="287"/>
      <c r="Y239" s="287"/>
      <c r="Z239" s="287"/>
      <c r="AB239" s="287" t="s">
        <v>34</v>
      </c>
      <c r="AC239" s="287"/>
      <c r="AD239" s="287"/>
      <c r="AE239" s="287"/>
      <c r="AF239" s="287"/>
      <c r="AG239" s="287"/>
      <c r="AH239" s="287"/>
      <c r="AI239" s="287"/>
    </row>
    <row r="240" spans="1:35" ht="8.25" customHeight="1" x14ac:dyDescent="0.15">
      <c r="A240" s="51"/>
      <c r="B240" s="51"/>
      <c r="C240" s="51"/>
      <c r="D240" s="51"/>
      <c r="E240" s="51"/>
      <c r="F240" s="51"/>
      <c r="G240" s="51"/>
      <c r="H240" s="51"/>
      <c r="J240" s="51"/>
      <c r="K240" s="51"/>
      <c r="L240" s="51"/>
      <c r="M240" s="51"/>
      <c r="N240" s="51"/>
      <c r="O240" s="51"/>
      <c r="P240" s="51"/>
      <c r="Q240" s="51"/>
      <c r="S240" s="51"/>
      <c r="T240" s="51"/>
      <c r="U240" s="51"/>
      <c r="V240" s="51"/>
      <c r="W240" s="51"/>
      <c r="X240" s="51"/>
      <c r="Y240" s="51"/>
      <c r="Z240" s="51"/>
      <c r="AB240" s="51"/>
      <c r="AC240" s="51"/>
      <c r="AD240" s="51"/>
      <c r="AE240" s="51"/>
      <c r="AF240" s="51"/>
      <c r="AG240" s="51"/>
      <c r="AH240" s="51"/>
      <c r="AI240" s="51"/>
    </row>
    <row r="241" spans="1:35" ht="23.25" customHeight="1" x14ac:dyDescent="0.15">
      <c r="A241" s="51"/>
      <c r="B241" s="51"/>
      <c r="C241" s="63" t="s">
        <v>35</v>
      </c>
      <c r="D241" s="51">
        <v>27</v>
      </c>
      <c r="E241" s="51" t="s">
        <v>36</v>
      </c>
      <c r="F241" s="51">
        <v>5</v>
      </c>
      <c r="G241" s="64" t="s">
        <v>37</v>
      </c>
      <c r="H241" s="51"/>
      <c r="J241" s="51"/>
      <c r="K241" s="51"/>
      <c r="L241" s="63" t="s">
        <v>35</v>
      </c>
      <c r="M241" s="51">
        <v>27</v>
      </c>
      <c r="N241" s="51" t="s">
        <v>36</v>
      </c>
      <c r="O241" s="51">
        <v>5</v>
      </c>
      <c r="P241" s="64" t="s">
        <v>37</v>
      </c>
      <c r="Q241" s="51"/>
      <c r="S241" s="51"/>
      <c r="T241" s="51"/>
      <c r="U241" s="63" t="s">
        <v>35</v>
      </c>
      <c r="V241" s="51">
        <v>27</v>
      </c>
      <c r="W241" s="51" t="s">
        <v>36</v>
      </c>
      <c r="X241" s="51">
        <v>5</v>
      </c>
      <c r="Y241" s="64" t="s">
        <v>37</v>
      </c>
      <c r="Z241" s="51"/>
      <c r="AB241" s="51"/>
      <c r="AC241" s="51"/>
      <c r="AD241" s="51" t="s">
        <v>35</v>
      </c>
      <c r="AE241" s="51">
        <v>27</v>
      </c>
      <c r="AF241" s="51" t="s">
        <v>36</v>
      </c>
      <c r="AG241" s="51">
        <v>5</v>
      </c>
      <c r="AH241" s="51" t="s">
        <v>37</v>
      </c>
      <c r="AI241" s="51"/>
    </row>
    <row r="242" spans="1:35" ht="20.25" customHeight="1" x14ac:dyDescent="0.15">
      <c r="A242" s="52" t="s">
        <v>38</v>
      </c>
      <c r="B242" s="52" t="s">
        <v>39</v>
      </c>
      <c r="C242" s="52" t="s">
        <v>40</v>
      </c>
      <c r="D242" s="52"/>
      <c r="E242" s="52"/>
      <c r="F242" s="51"/>
      <c r="G242" s="51"/>
      <c r="H242" s="51"/>
      <c r="J242" s="52" t="s">
        <v>38</v>
      </c>
      <c r="K242" s="52" t="s">
        <v>39</v>
      </c>
      <c r="L242" s="52" t="s">
        <v>40</v>
      </c>
      <c r="M242" s="52"/>
      <c r="N242" s="52"/>
      <c r="O242" s="51"/>
      <c r="P242" s="51"/>
      <c r="Q242" s="51"/>
      <c r="S242" s="52" t="s">
        <v>38</v>
      </c>
      <c r="T242" s="52" t="s">
        <v>39</v>
      </c>
      <c r="U242" s="52" t="s">
        <v>40</v>
      </c>
      <c r="V242" s="52"/>
      <c r="W242" s="52"/>
      <c r="X242" s="51"/>
      <c r="Y242" s="51"/>
      <c r="Z242" s="51"/>
      <c r="AB242" s="52" t="s">
        <v>38</v>
      </c>
      <c r="AC242" s="52" t="s">
        <v>39</v>
      </c>
      <c r="AD242" s="52" t="s">
        <v>40</v>
      </c>
      <c r="AE242" s="52"/>
      <c r="AF242" s="52"/>
      <c r="AG242" s="51"/>
      <c r="AH242" s="51"/>
      <c r="AI242" s="51"/>
    </row>
    <row r="243" spans="1:35" x14ac:dyDescent="0.15">
      <c r="A243" s="280">
        <f>賃金集計表!A76</f>
        <v>0</v>
      </c>
      <c r="B243" s="280"/>
      <c r="C243" s="280"/>
      <c r="D243" s="280"/>
      <c r="E243" s="280"/>
      <c r="F243" s="280"/>
      <c r="G243" s="280"/>
      <c r="H243" s="53"/>
      <c r="J243" s="280">
        <f>賃金集計表!A38</f>
        <v>0</v>
      </c>
      <c r="K243" s="280"/>
      <c r="L243" s="280"/>
      <c r="M243" s="280"/>
      <c r="N243" s="280"/>
      <c r="O243" s="280"/>
      <c r="P243" s="280"/>
      <c r="Q243" s="53"/>
      <c r="S243" s="280">
        <f>賃金集計表!A39</f>
        <v>0</v>
      </c>
      <c r="T243" s="280"/>
      <c r="U243" s="280"/>
      <c r="V243" s="280"/>
      <c r="W243" s="280"/>
      <c r="X243" s="280"/>
      <c r="Y243" s="280"/>
      <c r="Z243" s="53"/>
      <c r="AB243" s="280" t="str">
        <f>賃金集計表!A40</f>
        <v>仁井　諭</v>
      </c>
      <c r="AC243" s="280"/>
      <c r="AD243" s="280"/>
      <c r="AE243" s="280"/>
      <c r="AF243" s="280"/>
      <c r="AG243" s="280"/>
      <c r="AH243" s="280"/>
      <c r="AI243" s="53"/>
    </row>
    <row r="244" spans="1:35" x14ac:dyDescent="0.15">
      <c r="A244" s="281"/>
      <c r="B244" s="281"/>
      <c r="C244" s="281"/>
      <c r="D244" s="281"/>
      <c r="E244" s="281"/>
      <c r="F244" s="281"/>
      <c r="G244" s="281"/>
      <c r="H244" s="52" t="s">
        <v>41</v>
      </c>
      <c r="J244" s="281"/>
      <c r="K244" s="281"/>
      <c r="L244" s="281"/>
      <c r="M244" s="281"/>
      <c r="N244" s="281"/>
      <c r="O244" s="281"/>
      <c r="P244" s="281"/>
      <c r="Q244" s="52" t="s">
        <v>41</v>
      </c>
      <c r="S244" s="281"/>
      <c r="T244" s="281"/>
      <c r="U244" s="281"/>
      <c r="V244" s="281"/>
      <c r="W244" s="281"/>
      <c r="X244" s="281"/>
      <c r="Y244" s="281"/>
      <c r="Z244" s="52" t="s">
        <v>41</v>
      </c>
      <c r="AB244" s="281"/>
      <c r="AC244" s="281"/>
      <c r="AD244" s="281"/>
      <c r="AE244" s="281"/>
      <c r="AF244" s="281"/>
      <c r="AG244" s="281"/>
      <c r="AH244" s="281"/>
      <c r="AI244" s="52" t="s">
        <v>41</v>
      </c>
    </row>
    <row r="245" spans="1:35" ht="6" customHeight="1" thickBot="1" x14ac:dyDescent="0.2">
      <c r="A245" s="51"/>
      <c r="B245" s="51"/>
      <c r="C245" s="51"/>
      <c r="D245" s="51"/>
      <c r="E245" s="51"/>
      <c r="F245" s="51"/>
      <c r="G245" s="51"/>
      <c r="H245" s="51"/>
      <c r="J245" s="51"/>
      <c r="K245" s="51"/>
      <c r="L245" s="51"/>
      <c r="M245" s="51"/>
      <c r="N245" s="51"/>
      <c r="O245" s="51"/>
      <c r="P245" s="51"/>
      <c r="Q245" s="51"/>
      <c r="S245" s="51"/>
      <c r="T245" s="51"/>
      <c r="U245" s="51"/>
      <c r="V245" s="51"/>
      <c r="W245" s="51"/>
      <c r="X245" s="51"/>
      <c r="Y245" s="51"/>
      <c r="Z245" s="51"/>
      <c r="AB245" s="51"/>
      <c r="AC245" s="51"/>
      <c r="AD245" s="51"/>
      <c r="AE245" s="51"/>
      <c r="AF245" s="51"/>
      <c r="AG245" s="51"/>
      <c r="AH245" s="51"/>
      <c r="AI245" s="51"/>
    </row>
    <row r="246" spans="1:35" ht="15" customHeight="1" thickTop="1" x14ac:dyDescent="0.15">
      <c r="A246" s="283" t="s">
        <v>42</v>
      </c>
      <c r="B246" s="284"/>
      <c r="C246" s="284"/>
      <c r="D246" s="284"/>
      <c r="E246" s="277" t="s">
        <v>114</v>
      </c>
      <c r="F246" s="278"/>
      <c r="G246" s="278"/>
      <c r="H246" s="279"/>
      <c r="J246" s="251" t="s">
        <v>42</v>
      </c>
      <c r="K246" s="252"/>
      <c r="L246" s="252"/>
      <c r="M246" s="252"/>
      <c r="N246" s="277" t="s">
        <v>114</v>
      </c>
      <c r="O246" s="278"/>
      <c r="P246" s="278"/>
      <c r="Q246" s="279"/>
      <c r="S246" s="251" t="s">
        <v>42</v>
      </c>
      <c r="T246" s="252"/>
      <c r="U246" s="252"/>
      <c r="V246" s="252"/>
      <c r="W246" s="277" t="s">
        <v>114</v>
      </c>
      <c r="X246" s="278"/>
      <c r="Y246" s="278"/>
      <c r="Z246" s="279"/>
      <c r="AB246" s="251" t="s">
        <v>42</v>
      </c>
      <c r="AC246" s="252"/>
      <c r="AD246" s="252"/>
      <c r="AE246" s="252"/>
      <c r="AF246" s="277" t="s">
        <v>114</v>
      </c>
      <c r="AG246" s="278"/>
      <c r="AH246" s="278"/>
      <c r="AI246" s="279"/>
    </row>
    <row r="247" spans="1:35" ht="15" customHeight="1" x14ac:dyDescent="0.15">
      <c r="A247" s="253" t="s">
        <v>59</v>
      </c>
      <c r="B247" s="254"/>
      <c r="C247" s="254"/>
      <c r="D247" s="254"/>
      <c r="E247" s="54"/>
      <c r="F247" s="55"/>
      <c r="G247" s="55">
        <f>賃金集計表!B76</f>
        <v>0</v>
      </c>
      <c r="H247" s="56" t="s">
        <v>8</v>
      </c>
      <c r="J247" s="247" t="s">
        <v>59</v>
      </c>
      <c r="K247" s="243"/>
      <c r="L247" s="243"/>
      <c r="M247" s="243"/>
      <c r="N247" s="54"/>
      <c r="O247" s="55"/>
      <c r="P247" s="55">
        <f>賃金集計表!B38</f>
        <v>0</v>
      </c>
      <c r="Q247" s="56" t="s">
        <v>8</v>
      </c>
      <c r="S247" s="247" t="s">
        <v>59</v>
      </c>
      <c r="T247" s="243"/>
      <c r="U247" s="243"/>
      <c r="V247" s="243"/>
      <c r="W247" s="54"/>
      <c r="X247" s="55"/>
      <c r="Y247" s="162">
        <f>賃金集計表!B39</f>
        <v>0</v>
      </c>
      <c r="Z247" s="56" t="s">
        <v>8</v>
      </c>
      <c r="AB247" s="247" t="s">
        <v>59</v>
      </c>
      <c r="AC247" s="243"/>
      <c r="AD247" s="243"/>
      <c r="AE247" s="243"/>
      <c r="AF247" s="54"/>
      <c r="AG247" s="55"/>
      <c r="AH247" s="55">
        <f>賃金集計表!B40</f>
        <v>13</v>
      </c>
      <c r="AI247" s="56" t="s">
        <v>8</v>
      </c>
    </row>
    <row r="248" spans="1:35" ht="15" customHeight="1" x14ac:dyDescent="0.15">
      <c r="A248" s="253" t="s">
        <v>43</v>
      </c>
      <c r="B248" s="254"/>
      <c r="C248" s="254"/>
      <c r="D248" s="254"/>
      <c r="E248" s="54"/>
      <c r="F248" s="57" t="s">
        <v>61</v>
      </c>
      <c r="G248" s="54"/>
      <c r="H248" s="56" t="s">
        <v>60</v>
      </c>
      <c r="J248" s="247" t="s">
        <v>43</v>
      </c>
      <c r="K248" s="243"/>
      <c r="L248" s="243"/>
      <c r="M248" s="243"/>
      <c r="N248" s="54"/>
      <c r="O248" s="57" t="s">
        <v>61</v>
      </c>
      <c r="P248" s="54"/>
      <c r="Q248" s="56" t="s">
        <v>60</v>
      </c>
      <c r="S248" s="247" t="s">
        <v>43</v>
      </c>
      <c r="T248" s="243"/>
      <c r="U248" s="243"/>
      <c r="V248" s="243"/>
      <c r="W248" s="54"/>
      <c r="X248" s="57" t="s">
        <v>61</v>
      </c>
      <c r="Y248" s="54"/>
      <c r="Z248" s="56" t="s">
        <v>60</v>
      </c>
      <c r="AB248" s="247" t="s">
        <v>43</v>
      </c>
      <c r="AC248" s="243"/>
      <c r="AD248" s="243"/>
      <c r="AE248" s="243"/>
      <c r="AF248" s="54"/>
      <c r="AG248" s="57" t="s">
        <v>61</v>
      </c>
      <c r="AH248" s="54"/>
      <c r="AI248" s="56" t="s">
        <v>60</v>
      </c>
    </row>
    <row r="249" spans="1:35" ht="15" customHeight="1" x14ac:dyDescent="0.15">
      <c r="A249" s="253" t="s">
        <v>44</v>
      </c>
      <c r="B249" s="254"/>
      <c r="C249" s="254"/>
      <c r="D249" s="254"/>
      <c r="E249" s="54"/>
      <c r="F249" s="57" t="s">
        <v>61</v>
      </c>
      <c r="G249" s="54"/>
      <c r="H249" s="56" t="s">
        <v>60</v>
      </c>
      <c r="J249" s="247" t="s">
        <v>44</v>
      </c>
      <c r="K249" s="243"/>
      <c r="L249" s="243"/>
      <c r="M249" s="243"/>
      <c r="N249" s="54"/>
      <c r="O249" s="57" t="s">
        <v>61</v>
      </c>
      <c r="P249" s="54"/>
      <c r="Q249" s="56" t="s">
        <v>60</v>
      </c>
      <c r="S249" s="247" t="s">
        <v>44</v>
      </c>
      <c r="T249" s="243"/>
      <c r="U249" s="243"/>
      <c r="V249" s="243"/>
      <c r="W249" s="54"/>
      <c r="X249" s="57" t="s">
        <v>61</v>
      </c>
      <c r="Y249" s="54"/>
      <c r="Z249" s="56" t="s">
        <v>60</v>
      </c>
      <c r="AB249" s="247" t="s">
        <v>44</v>
      </c>
      <c r="AC249" s="243"/>
      <c r="AD249" s="243"/>
      <c r="AE249" s="243"/>
      <c r="AF249" s="54"/>
      <c r="AG249" s="57" t="s">
        <v>61</v>
      </c>
      <c r="AH249" s="54"/>
      <c r="AI249" s="56" t="s">
        <v>60</v>
      </c>
    </row>
    <row r="250" spans="1:35" ht="15" customHeight="1" x14ac:dyDescent="0.15">
      <c r="A250" s="253" t="s">
        <v>45</v>
      </c>
      <c r="B250" s="254"/>
      <c r="C250" s="254"/>
      <c r="D250" s="254"/>
      <c r="E250" s="54"/>
      <c r="F250" s="57" t="s">
        <v>61</v>
      </c>
      <c r="G250" s="54"/>
      <c r="H250" s="56" t="s">
        <v>60</v>
      </c>
      <c r="J250" s="247" t="s">
        <v>45</v>
      </c>
      <c r="K250" s="243"/>
      <c r="L250" s="243"/>
      <c r="M250" s="243"/>
      <c r="N250" s="54"/>
      <c r="O250" s="57" t="s">
        <v>61</v>
      </c>
      <c r="P250" s="54"/>
      <c r="Q250" s="56" t="s">
        <v>60</v>
      </c>
      <c r="S250" s="247" t="s">
        <v>45</v>
      </c>
      <c r="T250" s="243"/>
      <c r="U250" s="243"/>
      <c r="V250" s="243"/>
      <c r="W250" s="54"/>
      <c r="X250" s="57" t="s">
        <v>61</v>
      </c>
      <c r="Y250" s="54"/>
      <c r="Z250" s="56" t="s">
        <v>60</v>
      </c>
      <c r="AB250" s="247" t="s">
        <v>45</v>
      </c>
      <c r="AC250" s="243"/>
      <c r="AD250" s="243"/>
      <c r="AE250" s="243"/>
      <c r="AF250" s="54"/>
      <c r="AG250" s="57" t="s">
        <v>61</v>
      </c>
      <c r="AH250" s="54"/>
      <c r="AI250" s="56" t="s">
        <v>60</v>
      </c>
    </row>
    <row r="251" spans="1:35" ht="15" customHeight="1" x14ac:dyDescent="0.15">
      <c r="A251" s="253" t="s">
        <v>46</v>
      </c>
      <c r="B251" s="254"/>
      <c r="C251" s="254"/>
      <c r="D251" s="254"/>
      <c r="E251" s="58"/>
      <c r="F251" s="59" t="s">
        <v>61</v>
      </c>
      <c r="G251" s="58"/>
      <c r="H251" s="60" t="s">
        <v>60</v>
      </c>
      <c r="J251" s="247" t="s">
        <v>46</v>
      </c>
      <c r="K251" s="243"/>
      <c r="L251" s="243"/>
      <c r="M251" s="243"/>
      <c r="N251" s="58"/>
      <c r="O251" s="59" t="s">
        <v>61</v>
      </c>
      <c r="P251" s="58"/>
      <c r="Q251" s="60" t="s">
        <v>60</v>
      </c>
      <c r="S251" s="247" t="s">
        <v>46</v>
      </c>
      <c r="T251" s="243"/>
      <c r="U251" s="243"/>
      <c r="V251" s="243"/>
      <c r="W251" s="58"/>
      <c r="X251" s="59" t="s">
        <v>61</v>
      </c>
      <c r="Y251" s="58"/>
      <c r="Z251" s="60" t="s">
        <v>60</v>
      </c>
      <c r="AB251" s="247" t="s">
        <v>46</v>
      </c>
      <c r="AC251" s="243"/>
      <c r="AD251" s="243"/>
      <c r="AE251" s="243"/>
      <c r="AF251" s="58"/>
      <c r="AG251" s="59" t="s">
        <v>61</v>
      </c>
      <c r="AH251" s="58"/>
      <c r="AI251" s="60" t="s">
        <v>60</v>
      </c>
    </row>
    <row r="252" spans="1:35" ht="15" customHeight="1" x14ac:dyDescent="0.15">
      <c r="A252" s="253" t="s">
        <v>47</v>
      </c>
      <c r="B252" s="254"/>
      <c r="C252" s="254"/>
      <c r="D252" s="254"/>
      <c r="E252" s="276">
        <f>賃金集計表!H76</f>
        <v>0</v>
      </c>
      <c r="F252" s="273"/>
      <c r="G252" s="273"/>
      <c r="H252" s="274"/>
      <c r="J252" s="247" t="s">
        <v>47</v>
      </c>
      <c r="K252" s="243"/>
      <c r="L252" s="243"/>
      <c r="M252" s="243"/>
      <c r="N252" s="276">
        <f>賃金集計表!H38</f>
        <v>0</v>
      </c>
      <c r="O252" s="273"/>
      <c r="P252" s="273"/>
      <c r="Q252" s="274"/>
      <c r="S252" s="247" t="s">
        <v>47</v>
      </c>
      <c r="T252" s="243"/>
      <c r="U252" s="243"/>
      <c r="V252" s="243"/>
      <c r="W252" s="276">
        <f>賃金集計表!H39</f>
        <v>0</v>
      </c>
      <c r="X252" s="273"/>
      <c r="Y252" s="273"/>
      <c r="Z252" s="274"/>
      <c r="AB252" s="247" t="s">
        <v>47</v>
      </c>
      <c r="AC252" s="243"/>
      <c r="AD252" s="243"/>
      <c r="AE252" s="243"/>
      <c r="AF252" s="276">
        <f>賃金集計表!H40</f>
        <v>10400</v>
      </c>
      <c r="AG252" s="273"/>
      <c r="AH252" s="273"/>
      <c r="AI252" s="274"/>
    </row>
    <row r="253" spans="1:35" ht="15" customHeight="1" x14ac:dyDescent="0.15">
      <c r="A253" s="253" t="s">
        <v>48</v>
      </c>
      <c r="B253" s="254"/>
      <c r="C253" s="254"/>
      <c r="D253" s="254"/>
      <c r="E253" s="272"/>
      <c r="F253" s="273"/>
      <c r="G253" s="273"/>
      <c r="H253" s="274"/>
      <c r="J253" s="253" t="s">
        <v>48</v>
      </c>
      <c r="K253" s="254"/>
      <c r="L253" s="254"/>
      <c r="M253" s="254"/>
      <c r="N253" s="272"/>
      <c r="O253" s="273"/>
      <c r="P253" s="273"/>
      <c r="Q253" s="274"/>
      <c r="S253" s="253" t="s">
        <v>48</v>
      </c>
      <c r="T253" s="254"/>
      <c r="U253" s="254"/>
      <c r="V253" s="254"/>
      <c r="W253" s="272"/>
      <c r="X253" s="273"/>
      <c r="Y253" s="273"/>
      <c r="Z253" s="274"/>
      <c r="AB253" s="253" t="s">
        <v>48</v>
      </c>
      <c r="AC253" s="254"/>
      <c r="AD253" s="254"/>
      <c r="AE253" s="254"/>
      <c r="AF253" s="272"/>
      <c r="AG253" s="273"/>
      <c r="AH253" s="273"/>
      <c r="AI253" s="274"/>
    </row>
    <row r="254" spans="1:35" ht="15" customHeight="1" x14ac:dyDescent="0.15">
      <c r="A254" s="259" t="s">
        <v>22</v>
      </c>
      <c r="B254" s="254" t="s">
        <v>50</v>
      </c>
      <c r="C254" s="254"/>
      <c r="D254" s="254"/>
      <c r="E254" s="272"/>
      <c r="F254" s="273"/>
      <c r="G254" s="273"/>
      <c r="H254" s="274"/>
      <c r="J254" s="275" t="s">
        <v>22</v>
      </c>
      <c r="K254" s="243" t="s">
        <v>50</v>
      </c>
      <c r="L254" s="243"/>
      <c r="M254" s="243"/>
      <c r="N254" s="272"/>
      <c r="O254" s="273"/>
      <c r="P254" s="273"/>
      <c r="Q254" s="274"/>
      <c r="S254" s="275" t="s">
        <v>22</v>
      </c>
      <c r="T254" s="243" t="s">
        <v>50</v>
      </c>
      <c r="U254" s="243"/>
      <c r="V254" s="243"/>
      <c r="W254" s="272"/>
      <c r="X254" s="273"/>
      <c r="Y254" s="273"/>
      <c r="Z254" s="274"/>
      <c r="AB254" s="275" t="s">
        <v>22</v>
      </c>
      <c r="AC254" s="243" t="s">
        <v>50</v>
      </c>
      <c r="AD254" s="243"/>
      <c r="AE254" s="243"/>
      <c r="AF254" s="272"/>
      <c r="AG254" s="273"/>
      <c r="AH254" s="273"/>
      <c r="AI254" s="274"/>
    </row>
    <row r="255" spans="1:35" ht="15" customHeight="1" x14ac:dyDescent="0.15">
      <c r="A255" s="259"/>
      <c r="B255" s="254" t="s">
        <v>49</v>
      </c>
      <c r="C255" s="254"/>
      <c r="D255" s="254"/>
      <c r="E255" s="272"/>
      <c r="F255" s="273"/>
      <c r="G255" s="273"/>
      <c r="H255" s="274"/>
      <c r="J255" s="275"/>
      <c r="K255" s="243" t="s">
        <v>49</v>
      </c>
      <c r="L255" s="243"/>
      <c r="M255" s="243"/>
      <c r="N255" s="272"/>
      <c r="O255" s="273"/>
      <c r="P255" s="273"/>
      <c r="Q255" s="274"/>
      <c r="S255" s="275"/>
      <c r="T255" s="243" t="s">
        <v>49</v>
      </c>
      <c r="U255" s="243"/>
      <c r="V255" s="243"/>
      <c r="W255" s="272"/>
      <c r="X255" s="273"/>
      <c r="Y255" s="273"/>
      <c r="Z255" s="274"/>
      <c r="AB255" s="275"/>
      <c r="AC255" s="243" t="s">
        <v>49</v>
      </c>
      <c r="AD255" s="243"/>
      <c r="AE255" s="243"/>
      <c r="AF255" s="272"/>
      <c r="AG255" s="273"/>
      <c r="AH255" s="273"/>
      <c r="AI255" s="274"/>
    </row>
    <row r="256" spans="1:35" ht="15" customHeight="1" x14ac:dyDescent="0.15">
      <c r="A256" s="259"/>
      <c r="B256" s="254" t="s">
        <v>51</v>
      </c>
      <c r="C256" s="254"/>
      <c r="D256" s="254"/>
      <c r="E256" s="272"/>
      <c r="F256" s="273"/>
      <c r="G256" s="273"/>
      <c r="H256" s="274"/>
      <c r="J256" s="275"/>
      <c r="K256" s="243" t="s">
        <v>51</v>
      </c>
      <c r="L256" s="243"/>
      <c r="M256" s="243"/>
      <c r="N256" s="272"/>
      <c r="O256" s="273"/>
      <c r="P256" s="273"/>
      <c r="Q256" s="274"/>
      <c r="S256" s="275"/>
      <c r="T256" s="243" t="s">
        <v>51</v>
      </c>
      <c r="U256" s="243"/>
      <c r="V256" s="243"/>
      <c r="W256" s="272"/>
      <c r="X256" s="273"/>
      <c r="Y256" s="273"/>
      <c r="Z256" s="274"/>
      <c r="AB256" s="275"/>
      <c r="AC256" s="243" t="s">
        <v>51</v>
      </c>
      <c r="AD256" s="243"/>
      <c r="AE256" s="243"/>
      <c r="AF256" s="272"/>
      <c r="AG256" s="273"/>
      <c r="AH256" s="273"/>
      <c r="AI256" s="274"/>
    </row>
    <row r="257" spans="1:35" ht="15" customHeight="1" x14ac:dyDescent="0.15">
      <c r="A257" s="259"/>
      <c r="B257" s="254" t="s">
        <v>52</v>
      </c>
      <c r="C257" s="254"/>
      <c r="D257" s="254"/>
      <c r="E257" s="272"/>
      <c r="F257" s="273"/>
      <c r="G257" s="273"/>
      <c r="H257" s="274"/>
      <c r="J257" s="275"/>
      <c r="K257" s="243" t="s">
        <v>52</v>
      </c>
      <c r="L257" s="243"/>
      <c r="M257" s="243"/>
      <c r="N257" s="272"/>
      <c r="O257" s="273"/>
      <c r="P257" s="273"/>
      <c r="Q257" s="274"/>
      <c r="S257" s="275"/>
      <c r="T257" s="243" t="s">
        <v>52</v>
      </c>
      <c r="U257" s="243"/>
      <c r="V257" s="243"/>
      <c r="W257" s="272"/>
      <c r="X257" s="273"/>
      <c r="Y257" s="273"/>
      <c r="Z257" s="274"/>
      <c r="AB257" s="275"/>
      <c r="AC257" s="243" t="s">
        <v>52</v>
      </c>
      <c r="AD257" s="243"/>
      <c r="AE257" s="243"/>
      <c r="AF257" s="272"/>
      <c r="AG257" s="273"/>
      <c r="AH257" s="273"/>
      <c r="AI257" s="274"/>
    </row>
    <row r="258" spans="1:35" ht="15" customHeight="1" x14ac:dyDescent="0.15">
      <c r="A258" s="259"/>
      <c r="B258" s="254" t="s">
        <v>53</v>
      </c>
      <c r="C258" s="254"/>
      <c r="D258" s="254"/>
      <c r="E258" s="272"/>
      <c r="F258" s="273"/>
      <c r="G258" s="273"/>
      <c r="H258" s="274"/>
      <c r="J258" s="275"/>
      <c r="K258" s="243" t="s">
        <v>53</v>
      </c>
      <c r="L258" s="243"/>
      <c r="M258" s="243"/>
      <c r="N258" s="272"/>
      <c r="O258" s="273"/>
      <c r="P258" s="273"/>
      <c r="Q258" s="274"/>
      <c r="S258" s="275"/>
      <c r="T258" s="243" t="s">
        <v>53</v>
      </c>
      <c r="U258" s="243"/>
      <c r="V258" s="243"/>
      <c r="W258" s="272"/>
      <c r="X258" s="273"/>
      <c r="Y258" s="273"/>
      <c r="Z258" s="274"/>
      <c r="AB258" s="275"/>
      <c r="AC258" s="243" t="s">
        <v>53</v>
      </c>
      <c r="AD258" s="243"/>
      <c r="AE258" s="243"/>
      <c r="AF258" s="272"/>
      <c r="AG258" s="273"/>
      <c r="AH258" s="273"/>
      <c r="AI258" s="274"/>
    </row>
    <row r="259" spans="1:35" ht="15" customHeight="1" x14ac:dyDescent="0.15">
      <c r="A259" s="259"/>
      <c r="B259" s="254"/>
      <c r="C259" s="254"/>
      <c r="D259" s="254"/>
      <c r="E259" s="255">
        <f>賃金集計表!L76</f>
        <v>0</v>
      </c>
      <c r="F259" s="256"/>
      <c r="G259" s="256"/>
      <c r="H259" s="257"/>
      <c r="J259" s="275"/>
      <c r="K259" s="243"/>
      <c r="L259" s="243"/>
      <c r="M259" s="243"/>
      <c r="N259" s="255">
        <f>賃金集計表!L38</f>
        <v>0</v>
      </c>
      <c r="O259" s="256"/>
      <c r="P259" s="256"/>
      <c r="Q259" s="257"/>
      <c r="S259" s="275"/>
      <c r="T259" s="243"/>
      <c r="U259" s="243"/>
      <c r="V259" s="243"/>
      <c r="W259" s="255">
        <f>賃金集計表!L39</f>
        <v>0</v>
      </c>
      <c r="X259" s="256"/>
      <c r="Y259" s="256"/>
      <c r="Z259" s="257"/>
      <c r="AB259" s="275"/>
      <c r="AC259" s="243"/>
      <c r="AD259" s="243"/>
      <c r="AE259" s="243"/>
      <c r="AF259" s="255">
        <f>賃金集計表!L40</f>
        <v>0</v>
      </c>
      <c r="AG259" s="256"/>
      <c r="AH259" s="256"/>
      <c r="AI259" s="257"/>
    </row>
    <row r="260" spans="1:35" ht="15" customHeight="1" x14ac:dyDescent="0.15">
      <c r="A260" s="253" t="s">
        <v>54</v>
      </c>
      <c r="B260" s="254"/>
      <c r="C260" s="254"/>
      <c r="D260" s="254"/>
      <c r="E260" s="255">
        <f>賃金集計表!O76</f>
        <v>0</v>
      </c>
      <c r="F260" s="256"/>
      <c r="G260" s="256"/>
      <c r="H260" s="257"/>
      <c r="J260" s="247" t="s">
        <v>54</v>
      </c>
      <c r="K260" s="243"/>
      <c r="L260" s="243"/>
      <c r="M260" s="243"/>
      <c r="N260" s="255">
        <f>賃金集計表!O38</f>
        <v>0</v>
      </c>
      <c r="O260" s="256"/>
      <c r="P260" s="256"/>
      <c r="Q260" s="257"/>
      <c r="S260" s="247" t="s">
        <v>54</v>
      </c>
      <c r="T260" s="243"/>
      <c r="U260" s="243"/>
      <c r="V260" s="243"/>
      <c r="W260" s="255">
        <f>賃金集計表!O39</f>
        <v>0</v>
      </c>
      <c r="X260" s="256"/>
      <c r="Y260" s="256"/>
      <c r="Z260" s="257"/>
      <c r="AB260" s="247" t="s">
        <v>54</v>
      </c>
      <c r="AC260" s="243"/>
      <c r="AD260" s="243"/>
      <c r="AE260" s="243"/>
      <c r="AF260" s="255">
        <f>賃金集計表!O40</f>
        <v>10400</v>
      </c>
      <c r="AG260" s="256"/>
      <c r="AH260" s="256"/>
      <c r="AI260" s="257"/>
    </row>
    <row r="261" spans="1:35" ht="15" customHeight="1" x14ac:dyDescent="0.15">
      <c r="A261" s="259" t="s">
        <v>29</v>
      </c>
      <c r="B261" s="254" t="s">
        <v>55</v>
      </c>
      <c r="C261" s="254"/>
      <c r="D261" s="254"/>
      <c r="E261" s="258"/>
      <c r="F261" s="256"/>
      <c r="G261" s="256"/>
      <c r="H261" s="257"/>
      <c r="J261" s="259" t="s">
        <v>29</v>
      </c>
      <c r="K261" s="243" t="s">
        <v>55</v>
      </c>
      <c r="L261" s="243"/>
      <c r="M261" s="243"/>
      <c r="N261" s="258"/>
      <c r="O261" s="256"/>
      <c r="P261" s="256"/>
      <c r="Q261" s="257"/>
      <c r="S261" s="259" t="s">
        <v>29</v>
      </c>
      <c r="T261" s="243" t="s">
        <v>55</v>
      </c>
      <c r="U261" s="243"/>
      <c r="V261" s="243"/>
      <c r="W261" s="258"/>
      <c r="X261" s="256"/>
      <c r="Y261" s="256"/>
      <c r="Z261" s="257"/>
      <c r="AB261" s="259" t="s">
        <v>29</v>
      </c>
      <c r="AC261" s="243" t="s">
        <v>55</v>
      </c>
      <c r="AD261" s="243"/>
      <c r="AE261" s="243"/>
      <c r="AF261" s="258"/>
      <c r="AG261" s="256"/>
      <c r="AH261" s="256"/>
      <c r="AI261" s="257"/>
    </row>
    <row r="262" spans="1:35" ht="15" customHeight="1" x14ac:dyDescent="0.15">
      <c r="A262" s="259"/>
      <c r="B262" s="254" t="s">
        <v>24</v>
      </c>
      <c r="C262" s="254"/>
      <c r="D262" s="254"/>
      <c r="E262" s="258"/>
      <c r="F262" s="256"/>
      <c r="G262" s="256"/>
      <c r="H262" s="257"/>
      <c r="J262" s="259"/>
      <c r="K262" s="243" t="s">
        <v>24</v>
      </c>
      <c r="L262" s="243"/>
      <c r="M262" s="243"/>
      <c r="N262" s="258"/>
      <c r="O262" s="256"/>
      <c r="P262" s="256"/>
      <c r="Q262" s="257"/>
      <c r="S262" s="259"/>
      <c r="T262" s="243" t="s">
        <v>24</v>
      </c>
      <c r="U262" s="243"/>
      <c r="V262" s="243"/>
      <c r="W262" s="258"/>
      <c r="X262" s="256"/>
      <c r="Y262" s="256"/>
      <c r="Z262" s="257"/>
      <c r="AB262" s="259"/>
      <c r="AC262" s="243" t="s">
        <v>24</v>
      </c>
      <c r="AD262" s="243"/>
      <c r="AE262" s="243"/>
      <c r="AF262" s="258"/>
      <c r="AG262" s="256"/>
      <c r="AH262" s="256"/>
      <c r="AI262" s="257"/>
    </row>
    <row r="263" spans="1:35" ht="15" customHeight="1" x14ac:dyDescent="0.15">
      <c r="A263" s="259"/>
      <c r="B263" s="254" t="s">
        <v>56</v>
      </c>
      <c r="C263" s="254"/>
      <c r="D263" s="254"/>
      <c r="E263" s="258"/>
      <c r="F263" s="256"/>
      <c r="G263" s="256"/>
      <c r="H263" s="257"/>
      <c r="J263" s="259"/>
      <c r="K263" s="243" t="s">
        <v>56</v>
      </c>
      <c r="L263" s="243"/>
      <c r="M263" s="243"/>
      <c r="N263" s="258"/>
      <c r="O263" s="256"/>
      <c r="P263" s="256"/>
      <c r="Q263" s="257"/>
      <c r="S263" s="259"/>
      <c r="T263" s="243" t="s">
        <v>56</v>
      </c>
      <c r="U263" s="243"/>
      <c r="V263" s="243"/>
      <c r="W263" s="258"/>
      <c r="X263" s="256"/>
      <c r="Y263" s="256"/>
      <c r="Z263" s="257"/>
      <c r="AB263" s="259"/>
      <c r="AC263" s="243" t="s">
        <v>56</v>
      </c>
      <c r="AD263" s="243"/>
      <c r="AE263" s="243"/>
      <c r="AF263" s="258"/>
      <c r="AG263" s="256"/>
      <c r="AH263" s="256"/>
      <c r="AI263" s="257"/>
    </row>
    <row r="264" spans="1:35" ht="15" customHeight="1" x14ac:dyDescent="0.15">
      <c r="A264" s="259"/>
      <c r="B264" s="254" t="s">
        <v>27</v>
      </c>
      <c r="C264" s="254"/>
      <c r="D264" s="254"/>
      <c r="E264" s="258"/>
      <c r="F264" s="256"/>
      <c r="G264" s="256"/>
      <c r="H264" s="257"/>
      <c r="J264" s="259"/>
      <c r="K264" s="243" t="s">
        <v>27</v>
      </c>
      <c r="L264" s="243"/>
      <c r="M264" s="243"/>
      <c r="N264" s="258"/>
      <c r="O264" s="256"/>
      <c r="P264" s="256"/>
      <c r="Q264" s="257"/>
      <c r="S264" s="259"/>
      <c r="T264" s="243" t="s">
        <v>27</v>
      </c>
      <c r="U264" s="243"/>
      <c r="V264" s="243"/>
      <c r="W264" s="258"/>
      <c r="X264" s="256"/>
      <c r="Y264" s="256"/>
      <c r="Z264" s="257"/>
      <c r="AB264" s="259"/>
      <c r="AC264" s="243" t="s">
        <v>27</v>
      </c>
      <c r="AD264" s="243"/>
      <c r="AE264" s="243"/>
      <c r="AF264" s="258"/>
      <c r="AG264" s="256"/>
      <c r="AH264" s="256"/>
      <c r="AI264" s="257"/>
    </row>
    <row r="265" spans="1:35" ht="15" customHeight="1" x14ac:dyDescent="0.15">
      <c r="A265" s="259"/>
      <c r="B265" s="254" t="s">
        <v>26</v>
      </c>
      <c r="C265" s="254"/>
      <c r="D265" s="254"/>
      <c r="E265" s="258"/>
      <c r="F265" s="256"/>
      <c r="G265" s="256"/>
      <c r="H265" s="257"/>
      <c r="J265" s="259"/>
      <c r="K265" s="243" t="s">
        <v>26</v>
      </c>
      <c r="L265" s="243"/>
      <c r="M265" s="243"/>
      <c r="N265" s="258"/>
      <c r="O265" s="256"/>
      <c r="P265" s="256"/>
      <c r="Q265" s="257"/>
      <c r="S265" s="259"/>
      <c r="T265" s="243" t="s">
        <v>26</v>
      </c>
      <c r="U265" s="243"/>
      <c r="V265" s="243"/>
      <c r="W265" s="258"/>
      <c r="X265" s="256"/>
      <c r="Y265" s="256"/>
      <c r="Z265" s="257"/>
      <c r="AB265" s="259"/>
      <c r="AC265" s="243" t="s">
        <v>26</v>
      </c>
      <c r="AD265" s="243"/>
      <c r="AE265" s="243"/>
      <c r="AF265" s="258"/>
      <c r="AG265" s="256"/>
      <c r="AH265" s="256"/>
      <c r="AI265" s="257"/>
    </row>
    <row r="266" spans="1:35" ht="15" customHeight="1" x14ac:dyDescent="0.15">
      <c r="A266" s="259"/>
      <c r="B266" s="254"/>
      <c r="C266" s="254"/>
      <c r="D266" s="254"/>
      <c r="E266" s="258"/>
      <c r="F266" s="256"/>
      <c r="G266" s="256"/>
      <c r="H266" s="257"/>
      <c r="J266" s="259"/>
      <c r="K266" s="243"/>
      <c r="L266" s="243"/>
      <c r="M266" s="243"/>
      <c r="N266" s="258"/>
      <c r="O266" s="256"/>
      <c r="P266" s="256"/>
      <c r="Q266" s="257"/>
      <c r="S266" s="259"/>
      <c r="T266" s="243"/>
      <c r="U266" s="243"/>
      <c r="V266" s="243"/>
      <c r="W266" s="258"/>
      <c r="X266" s="256"/>
      <c r="Y266" s="256"/>
      <c r="Z266" s="257"/>
      <c r="AB266" s="259"/>
      <c r="AC266" s="243"/>
      <c r="AD266" s="243"/>
      <c r="AE266" s="243"/>
      <c r="AF266" s="258"/>
      <c r="AG266" s="256"/>
      <c r="AH266" s="256"/>
      <c r="AI266" s="257"/>
    </row>
    <row r="267" spans="1:35" ht="15" customHeight="1" x14ac:dyDescent="0.15">
      <c r="A267" s="259"/>
      <c r="B267" s="243" t="s">
        <v>80</v>
      </c>
      <c r="C267" s="243"/>
      <c r="D267" s="243"/>
      <c r="E267" s="255">
        <f>賃金集計表!V76</f>
        <v>0</v>
      </c>
      <c r="F267" s="256"/>
      <c r="G267" s="256"/>
      <c r="H267" s="257"/>
      <c r="J267" s="259"/>
      <c r="K267" s="243" t="s">
        <v>80</v>
      </c>
      <c r="L267" s="243"/>
      <c r="M267" s="243"/>
      <c r="N267" s="255">
        <f>賃金集計表!V38</f>
        <v>0</v>
      </c>
      <c r="O267" s="256"/>
      <c r="P267" s="256"/>
      <c r="Q267" s="257"/>
      <c r="S267" s="259"/>
      <c r="T267" s="243" t="s">
        <v>80</v>
      </c>
      <c r="U267" s="243"/>
      <c r="V267" s="243"/>
      <c r="W267" s="255">
        <f>賃金集計表!V39</f>
        <v>0</v>
      </c>
      <c r="X267" s="256"/>
      <c r="Y267" s="256"/>
      <c r="Z267" s="257"/>
      <c r="AB267" s="259"/>
      <c r="AC267" s="243" t="s">
        <v>80</v>
      </c>
      <c r="AD267" s="243"/>
      <c r="AE267" s="243"/>
      <c r="AF267" s="255">
        <f>賃金集計表!V40</f>
        <v>0</v>
      </c>
      <c r="AG267" s="256"/>
      <c r="AH267" s="256"/>
      <c r="AI267" s="257"/>
    </row>
    <row r="268" spans="1:35" ht="15" customHeight="1" x14ac:dyDescent="0.15">
      <c r="A268" s="259"/>
      <c r="B268" s="254" t="s">
        <v>54</v>
      </c>
      <c r="C268" s="254"/>
      <c r="D268" s="254"/>
      <c r="E268" s="255">
        <f>賃金集計表!W76</f>
        <v>0</v>
      </c>
      <c r="F268" s="256"/>
      <c r="G268" s="256"/>
      <c r="H268" s="257"/>
      <c r="J268" s="259"/>
      <c r="K268" s="243" t="s">
        <v>54</v>
      </c>
      <c r="L268" s="243"/>
      <c r="M268" s="243"/>
      <c r="N268" s="255">
        <f>賃金集計表!W38</f>
        <v>0</v>
      </c>
      <c r="O268" s="256"/>
      <c r="P268" s="256"/>
      <c r="Q268" s="257"/>
      <c r="S268" s="259"/>
      <c r="T268" s="243" t="s">
        <v>54</v>
      </c>
      <c r="U268" s="243"/>
      <c r="V268" s="243"/>
      <c r="W268" s="255">
        <f>賃金集計表!W39</f>
        <v>0</v>
      </c>
      <c r="X268" s="256"/>
      <c r="Y268" s="256"/>
      <c r="Z268" s="257"/>
      <c r="AB268" s="259"/>
      <c r="AC268" s="243" t="s">
        <v>54</v>
      </c>
      <c r="AD268" s="243"/>
      <c r="AE268" s="243"/>
      <c r="AF268" s="255">
        <f>賃金集計表!W40</f>
        <v>0</v>
      </c>
      <c r="AG268" s="256"/>
      <c r="AH268" s="256"/>
      <c r="AI268" s="257"/>
    </row>
    <row r="269" spans="1:35" ht="15" customHeight="1" x14ac:dyDescent="0.15">
      <c r="A269" s="253" t="s">
        <v>57</v>
      </c>
      <c r="B269" s="254"/>
      <c r="C269" s="254"/>
      <c r="D269" s="254"/>
      <c r="E269" s="255">
        <f>賃金集計表!X76</f>
        <v>0</v>
      </c>
      <c r="F269" s="256"/>
      <c r="G269" s="256"/>
      <c r="H269" s="257"/>
      <c r="J269" s="247" t="s">
        <v>57</v>
      </c>
      <c r="K269" s="243"/>
      <c r="L269" s="243"/>
      <c r="M269" s="243"/>
      <c r="N269" s="255">
        <f>賃金集計表!X38</f>
        <v>0</v>
      </c>
      <c r="O269" s="256"/>
      <c r="P269" s="256"/>
      <c r="Q269" s="257"/>
      <c r="S269" s="247" t="s">
        <v>57</v>
      </c>
      <c r="T269" s="243"/>
      <c r="U269" s="243"/>
      <c r="V269" s="243"/>
      <c r="W269" s="255">
        <f>賃金集計表!X39</f>
        <v>0</v>
      </c>
      <c r="X269" s="256"/>
      <c r="Y269" s="256"/>
      <c r="Z269" s="257"/>
      <c r="AB269" s="247" t="s">
        <v>57</v>
      </c>
      <c r="AC269" s="243"/>
      <c r="AD269" s="243"/>
      <c r="AE269" s="243"/>
      <c r="AF269" s="255">
        <f>賃金集計表!X40</f>
        <v>10400</v>
      </c>
      <c r="AG269" s="256"/>
      <c r="AH269" s="256"/>
      <c r="AI269" s="257"/>
    </row>
    <row r="270" spans="1:35" ht="15" customHeight="1" x14ac:dyDescent="0.15">
      <c r="A270" s="262" t="s">
        <v>58</v>
      </c>
      <c r="B270" s="263"/>
      <c r="C270" s="263"/>
      <c r="D270" s="61"/>
      <c r="E270" s="62"/>
      <c r="F270" s="62"/>
      <c r="G270" s="264" t="s">
        <v>62</v>
      </c>
      <c r="H270" s="265"/>
      <c r="J270" s="262" t="s">
        <v>58</v>
      </c>
      <c r="K270" s="263"/>
      <c r="L270" s="263"/>
      <c r="M270" s="61"/>
      <c r="N270" s="62"/>
      <c r="O270" s="62"/>
      <c r="P270" s="264" t="s">
        <v>62</v>
      </c>
      <c r="Q270" s="265"/>
      <c r="S270" s="262" t="s">
        <v>58</v>
      </c>
      <c r="T270" s="263"/>
      <c r="U270" s="263"/>
      <c r="V270" s="61"/>
      <c r="W270" s="62"/>
      <c r="X270" s="62"/>
      <c r="Y270" s="264" t="s">
        <v>62</v>
      </c>
      <c r="Z270" s="265"/>
      <c r="AB270" s="262" t="s">
        <v>58</v>
      </c>
      <c r="AC270" s="263"/>
      <c r="AD270" s="263"/>
      <c r="AE270" s="61"/>
      <c r="AF270" s="62"/>
      <c r="AG270" s="62"/>
      <c r="AH270" s="264" t="s">
        <v>62</v>
      </c>
      <c r="AI270" s="265"/>
    </row>
    <row r="271" spans="1:35" ht="18" customHeight="1" x14ac:dyDescent="0.15">
      <c r="A271" s="270" t="s">
        <v>31</v>
      </c>
      <c r="B271" s="271"/>
      <c r="C271" s="271"/>
      <c r="D271" s="271"/>
      <c r="E271" s="271"/>
      <c r="F271" s="271"/>
      <c r="G271" s="266"/>
      <c r="H271" s="267"/>
      <c r="J271" s="270" t="s">
        <v>31</v>
      </c>
      <c r="K271" s="271"/>
      <c r="L271" s="271"/>
      <c r="M271" s="271"/>
      <c r="N271" s="271"/>
      <c r="O271" s="271"/>
      <c r="P271" s="266"/>
      <c r="Q271" s="267"/>
      <c r="S271" s="270" t="s">
        <v>31</v>
      </c>
      <c r="T271" s="271"/>
      <c r="U271" s="271"/>
      <c r="V271" s="271"/>
      <c r="W271" s="271"/>
      <c r="X271" s="271"/>
      <c r="Y271" s="266"/>
      <c r="Z271" s="267"/>
      <c r="AB271" s="270" t="s">
        <v>31</v>
      </c>
      <c r="AC271" s="271"/>
      <c r="AD271" s="271"/>
      <c r="AE271" s="271"/>
      <c r="AF271" s="271"/>
      <c r="AG271" s="271"/>
      <c r="AH271" s="266"/>
      <c r="AI271" s="267"/>
    </row>
    <row r="272" spans="1:35" ht="22.5" customHeight="1" thickBot="1" x14ac:dyDescent="0.2">
      <c r="A272" s="260" t="s">
        <v>63</v>
      </c>
      <c r="B272" s="261"/>
      <c r="C272" s="261"/>
      <c r="D272" s="261"/>
      <c r="E272" s="261"/>
      <c r="F272" s="261"/>
      <c r="G272" s="268"/>
      <c r="H272" s="269"/>
      <c r="J272" s="260" t="s">
        <v>63</v>
      </c>
      <c r="K272" s="261"/>
      <c r="L272" s="261"/>
      <c r="M272" s="261"/>
      <c r="N272" s="261"/>
      <c r="O272" s="261"/>
      <c r="P272" s="268"/>
      <c r="Q272" s="269"/>
      <c r="S272" s="260" t="s">
        <v>63</v>
      </c>
      <c r="T272" s="261"/>
      <c r="U272" s="261"/>
      <c r="V272" s="261"/>
      <c r="W272" s="261"/>
      <c r="X272" s="261"/>
      <c r="Y272" s="268"/>
      <c r="Z272" s="269"/>
      <c r="AB272" s="260" t="s">
        <v>63</v>
      </c>
      <c r="AC272" s="261"/>
      <c r="AD272" s="261"/>
      <c r="AE272" s="261"/>
      <c r="AF272" s="261"/>
      <c r="AG272" s="261"/>
      <c r="AH272" s="268"/>
      <c r="AI272" s="269"/>
    </row>
    <row r="273" ht="14.25" thickTop="1" x14ac:dyDescent="0.15"/>
  </sheetData>
  <mergeCells count="1631">
    <mergeCell ref="B268:D268"/>
    <mergeCell ref="E268:H268"/>
    <mergeCell ref="K268:M268"/>
    <mergeCell ref="N268:Q268"/>
    <mergeCell ref="T268:V268"/>
    <mergeCell ref="W268:Z268"/>
    <mergeCell ref="AC268:AE268"/>
    <mergeCell ref="AF268:AI268"/>
    <mergeCell ref="A269:D269"/>
    <mergeCell ref="E269:H269"/>
    <mergeCell ref="J269:M269"/>
    <mergeCell ref="N269:Q269"/>
    <mergeCell ref="S269:V269"/>
    <mergeCell ref="W269:Z269"/>
    <mergeCell ref="AB269:AE269"/>
    <mergeCell ref="AF269:AI269"/>
    <mergeCell ref="A270:C270"/>
    <mergeCell ref="G270:H272"/>
    <mergeCell ref="J270:L270"/>
    <mergeCell ref="P270:Q272"/>
    <mergeCell ref="S270:U270"/>
    <mergeCell ref="Y270:Z272"/>
    <mergeCell ref="AB270:AD270"/>
    <mergeCell ref="AH270:AI272"/>
    <mergeCell ref="A271:F271"/>
    <mergeCell ref="J271:O271"/>
    <mergeCell ref="S271:X271"/>
    <mergeCell ref="AB271:AG271"/>
    <mergeCell ref="A272:F272"/>
    <mergeCell ref="J272:O272"/>
    <mergeCell ref="S272:X272"/>
    <mergeCell ref="AB272:AG272"/>
    <mergeCell ref="B265:D265"/>
    <mergeCell ref="E265:H265"/>
    <mergeCell ref="K265:M265"/>
    <mergeCell ref="N265:Q265"/>
    <mergeCell ref="T265:V265"/>
    <mergeCell ref="W265:Z265"/>
    <mergeCell ref="AC265:AE265"/>
    <mergeCell ref="AF265:AI265"/>
    <mergeCell ref="B266:D266"/>
    <mergeCell ref="E266:H266"/>
    <mergeCell ref="K266:M266"/>
    <mergeCell ref="N266:Q266"/>
    <mergeCell ref="T266:V266"/>
    <mergeCell ref="W266:Z266"/>
    <mergeCell ref="AC266:AE266"/>
    <mergeCell ref="AF266:AI266"/>
    <mergeCell ref="B267:D267"/>
    <mergeCell ref="E267:H267"/>
    <mergeCell ref="K267:M267"/>
    <mergeCell ref="N267:Q267"/>
    <mergeCell ref="T267:V267"/>
    <mergeCell ref="W267:Z267"/>
    <mergeCell ref="AC267:AE267"/>
    <mergeCell ref="AF267:AI267"/>
    <mergeCell ref="T262:V262"/>
    <mergeCell ref="W262:Z262"/>
    <mergeCell ref="AC262:AE262"/>
    <mergeCell ref="AF262:AI262"/>
    <mergeCell ref="B263:D263"/>
    <mergeCell ref="E263:H263"/>
    <mergeCell ref="K263:M263"/>
    <mergeCell ref="N263:Q263"/>
    <mergeCell ref="T263:V263"/>
    <mergeCell ref="W263:Z263"/>
    <mergeCell ref="AC263:AE263"/>
    <mergeCell ref="AF263:AI263"/>
    <mergeCell ref="B264:D264"/>
    <mergeCell ref="E264:H264"/>
    <mergeCell ref="K264:M264"/>
    <mergeCell ref="N264:Q264"/>
    <mergeCell ref="T264:V264"/>
    <mergeCell ref="W264:Z264"/>
    <mergeCell ref="AC264:AE264"/>
    <mergeCell ref="AF264:AI264"/>
    <mergeCell ref="B259:D259"/>
    <mergeCell ref="E259:H259"/>
    <mergeCell ref="K259:M259"/>
    <mergeCell ref="N259:Q259"/>
    <mergeCell ref="T259:V259"/>
    <mergeCell ref="W259:Z259"/>
    <mergeCell ref="AC259:AE259"/>
    <mergeCell ref="AF259:AI259"/>
    <mergeCell ref="A260:D260"/>
    <mergeCell ref="E260:H260"/>
    <mergeCell ref="J260:M260"/>
    <mergeCell ref="N260:Q260"/>
    <mergeCell ref="S260:V260"/>
    <mergeCell ref="W260:Z260"/>
    <mergeCell ref="AB260:AE260"/>
    <mergeCell ref="AF260:AI260"/>
    <mergeCell ref="A261:A268"/>
    <mergeCell ref="B261:D261"/>
    <mergeCell ref="E261:H261"/>
    <mergeCell ref="J261:J268"/>
    <mergeCell ref="K261:M261"/>
    <mergeCell ref="N261:Q261"/>
    <mergeCell ref="S261:S268"/>
    <mergeCell ref="T261:V261"/>
    <mergeCell ref="W261:Z261"/>
    <mergeCell ref="AB261:AB268"/>
    <mergeCell ref="AC261:AE261"/>
    <mergeCell ref="AF261:AI261"/>
    <mergeCell ref="B262:D262"/>
    <mergeCell ref="E262:H262"/>
    <mergeCell ref="K262:M262"/>
    <mergeCell ref="N262:Q262"/>
    <mergeCell ref="N256:Q256"/>
    <mergeCell ref="T256:V256"/>
    <mergeCell ref="W256:Z256"/>
    <mergeCell ref="AC256:AE256"/>
    <mergeCell ref="AF256:AI256"/>
    <mergeCell ref="B257:D257"/>
    <mergeCell ref="E257:H257"/>
    <mergeCell ref="K257:M257"/>
    <mergeCell ref="N257:Q257"/>
    <mergeCell ref="T257:V257"/>
    <mergeCell ref="W257:Z257"/>
    <mergeCell ref="AC257:AE257"/>
    <mergeCell ref="AF257:AI257"/>
    <mergeCell ref="B258:D258"/>
    <mergeCell ref="E258:H258"/>
    <mergeCell ref="K258:M258"/>
    <mergeCell ref="N258:Q258"/>
    <mergeCell ref="T258:V258"/>
    <mergeCell ref="W258:Z258"/>
    <mergeCell ref="AC258:AE258"/>
    <mergeCell ref="AF258:AI258"/>
    <mergeCell ref="AF252:AI252"/>
    <mergeCell ref="A253:D253"/>
    <mergeCell ref="E253:H253"/>
    <mergeCell ref="J253:M253"/>
    <mergeCell ref="N253:Q253"/>
    <mergeCell ref="S253:V253"/>
    <mergeCell ref="W253:Z253"/>
    <mergeCell ref="AB253:AE253"/>
    <mergeCell ref="AF253:AI253"/>
    <mergeCell ref="A254:A259"/>
    <mergeCell ref="B254:D254"/>
    <mergeCell ref="E254:H254"/>
    <mergeCell ref="J254:J259"/>
    <mergeCell ref="K254:M254"/>
    <mergeCell ref="N254:Q254"/>
    <mergeCell ref="S254:S259"/>
    <mergeCell ref="T254:V254"/>
    <mergeCell ref="W254:Z254"/>
    <mergeCell ref="AB254:AB259"/>
    <mergeCell ref="AC254:AE254"/>
    <mergeCell ref="AF254:AI254"/>
    <mergeCell ref="B255:D255"/>
    <mergeCell ref="E255:H255"/>
    <mergeCell ref="K255:M255"/>
    <mergeCell ref="N255:Q255"/>
    <mergeCell ref="T255:V255"/>
    <mergeCell ref="W255:Z255"/>
    <mergeCell ref="AC255:AE255"/>
    <mergeCell ref="AF255:AI255"/>
    <mergeCell ref="B256:D256"/>
    <mergeCell ref="E256:H256"/>
    <mergeCell ref="K256:M256"/>
    <mergeCell ref="A248:D248"/>
    <mergeCell ref="J248:M248"/>
    <mergeCell ref="S248:V248"/>
    <mergeCell ref="AB248:AE248"/>
    <mergeCell ref="A249:D249"/>
    <mergeCell ref="J249:M249"/>
    <mergeCell ref="S249:V249"/>
    <mergeCell ref="AB249:AE249"/>
    <mergeCell ref="A250:D250"/>
    <mergeCell ref="J250:M250"/>
    <mergeCell ref="S250:V250"/>
    <mergeCell ref="AB250:AE250"/>
    <mergeCell ref="A251:D251"/>
    <mergeCell ref="J251:M251"/>
    <mergeCell ref="S251:V251"/>
    <mergeCell ref="AB251:AE251"/>
    <mergeCell ref="A252:D252"/>
    <mergeCell ref="E252:H252"/>
    <mergeCell ref="J252:M252"/>
    <mergeCell ref="N252:Q252"/>
    <mergeCell ref="S252:V252"/>
    <mergeCell ref="W252:Z252"/>
    <mergeCell ref="AB252:AE252"/>
    <mergeCell ref="A239:H239"/>
    <mergeCell ref="J239:Q239"/>
    <mergeCell ref="S239:Z239"/>
    <mergeCell ref="AB239:AI239"/>
    <mergeCell ref="A243:G244"/>
    <mergeCell ref="J243:P244"/>
    <mergeCell ref="S243:Y244"/>
    <mergeCell ref="AB243:AH244"/>
    <mergeCell ref="A246:D246"/>
    <mergeCell ref="E246:H246"/>
    <mergeCell ref="J246:M246"/>
    <mergeCell ref="N246:Q246"/>
    <mergeCell ref="S246:V246"/>
    <mergeCell ref="W246:Z246"/>
    <mergeCell ref="AB246:AE246"/>
    <mergeCell ref="AF246:AI246"/>
    <mergeCell ref="A247:D247"/>
    <mergeCell ref="J247:M247"/>
    <mergeCell ref="S247:V247"/>
    <mergeCell ref="AB247:AE247"/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J178:M178"/>
    <mergeCell ref="N178:Q178"/>
    <mergeCell ref="S178:V178"/>
    <mergeCell ref="W178:Z178"/>
    <mergeCell ref="AB178:AE178"/>
    <mergeCell ref="AF178:AI178"/>
    <mergeCell ref="E178:H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16" workbookViewId="0">
      <selection activeCell="C36" sqref="C36"/>
    </sheetView>
  </sheetViews>
  <sheetFormatPr defaultRowHeight="13.5" x14ac:dyDescent="0.15"/>
  <cols>
    <col min="1" max="1" width="3.5" customWidth="1"/>
    <col min="2" max="2" width="5.125" customWidth="1"/>
    <col min="6" max="6" width="11.875" customWidth="1"/>
  </cols>
  <sheetData>
    <row r="1" spans="1:8" ht="32.25" customHeight="1" thickBot="1" x14ac:dyDescent="0.2">
      <c r="C1" s="122" t="s">
        <v>17</v>
      </c>
      <c r="D1" s="261" t="s">
        <v>15</v>
      </c>
      <c r="E1" s="261"/>
      <c r="F1" s="261"/>
    </row>
    <row r="2" spans="1:8" ht="30" customHeight="1" thickTop="1" x14ac:dyDescent="0.15">
      <c r="C2" s="123" t="s">
        <v>100</v>
      </c>
      <c r="D2" t="s">
        <v>101</v>
      </c>
      <c r="E2" t="s">
        <v>155</v>
      </c>
    </row>
    <row r="3" spans="1:8" x14ac:dyDescent="0.15">
      <c r="A3" s="124" t="s">
        <v>8</v>
      </c>
      <c r="B3" s="124" t="s">
        <v>95</v>
      </c>
      <c r="C3" s="124" t="s">
        <v>96</v>
      </c>
      <c r="D3" s="124" t="s">
        <v>97</v>
      </c>
      <c r="E3" s="124" t="s">
        <v>98</v>
      </c>
      <c r="F3" s="124" t="s">
        <v>99</v>
      </c>
    </row>
    <row r="4" spans="1:8" x14ac:dyDescent="0.15">
      <c r="A4" s="140">
        <v>1</v>
      </c>
      <c r="B4" s="140" t="s">
        <v>104</v>
      </c>
      <c r="C4" s="127">
        <v>0.36944444444444446</v>
      </c>
      <c r="D4" s="127">
        <v>0.72430555555555554</v>
      </c>
      <c r="E4" s="127">
        <v>4.1666666666666664E-2</v>
      </c>
      <c r="F4" s="127">
        <f>D4-C4-E4</f>
        <v>0.31319444444444439</v>
      </c>
      <c r="G4" s="49">
        <v>2.1527777777777781E-2</v>
      </c>
    </row>
    <row r="5" spans="1:8" x14ac:dyDescent="0.15">
      <c r="A5" s="140">
        <v>2</v>
      </c>
      <c r="B5" s="140" t="s">
        <v>105</v>
      </c>
      <c r="C5" s="127">
        <v>0.36736111111111108</v>
      </c>
      <c r="D5" s="127">
        <v>0.70763888888888893</v>
      </c>
      <c r="E5" s="127">
        <v>4.1666666666666664E-2</v>
      </c>
      <c r="F5" s="127">
        <f t="shared" ref="F5:F8" si="0">D5-C5-E5</f>
        <v>0.29861111111111116</v>
      </c>
      <c r="G5" s="49">
        <v>6.9444444444444441E-3</v>
      </c>
    </row>
    <row r="6" spans="1:8" x14ac:dyDescent="0.15">
      <c r="A6" s="140">
        <v>3</v>
      </c>
      <c r="B6" s="140" t="s">
        <v>102</v>
      </c>
      <c r="C6" s="127">
        <v>0.3666666666666667</v>
      </c>
      <c r="D6" s="127">
        <v>0.70972222222222225</v>
      </c>
      <c r="E6" s="127">
        <v>4.1666666666666664E-2</v>
      </c>
      <c r="F6" s="127">
        <f t="shared" si="0"/>
        <v>0.30138888888888887</v>
      </c>
      <c r="G6" s="49">
        <v>9.7222222222222224E-3</v>
      </c>
    </row>
    <row r="7" spans="1:8" x14ac:dyDescent="0.15">
      <c r="A7" s="140">
        <v>4</v>
      </c>
      <c r="B7" s="140" t="s">
        <v>9</v>
      </c>
      <c r="C7" s="127">
        <v>0.36944444444444446</v>
      </c>
      <c r="D7" s="127">
        <v>0.72013888888888899</v>
      </c>
      <c r="E7" s="127">
        <v>4.1666666666666664E-2</v>
      </c>
      <c r="F7" s="127">
        <f t="shared" si="0"/>
        <v>0.30902777777777785</v>
      </c>
      <c r="G7" s="49">
        <v>1.7361111111111112E-2</v>
      </c>
    </row>
    <row r="8" spans="1:8" x14ac:dyDescent="0.15">
      <c r="A8" s="140">
        <v>5</v>
      </c>
      <c r="B8" s="140" t="s">
        <v>10</v>
      </c>
      <c r="C8" s="127">
        <v>0.36874999999999997</v>
      </c>
      <c r="D8" s="127">
        <v>0.7104166666666667</v>
      </c>
      <c r="E8" s="127">
        <v>4.1666666666666664E-2</v>
      </c>
      <c r="F8" s="127">
        <f t="shared" si="0"/>
        <v>0.30000000000000004</v>
      </c>
      <c r="G8" s="49">
        <v>8.3333333333333332E-3</v>
      </c>
    </row>
    <row r="9" spans="1:8" x14ac:dyDescent="0.15">
      <c r="A9" s="125">
        <v>6</v>
      </c>
      <c r="B9" s="125" t="s">
        <v>103</v>
      </c>
      <c r="C9" s="127">
        <v>0.375</v>
      </c>
      <c r="D9" s="127">
        <v>0.62708333333333333</v>
      </c>
      <c r="E9" s="127">
        <v>4.1666666666666664E-2</v>
      </c>
      <c r="F9" s="127">
        <f t="shared" ref="F9:F15" si="1">D9-C9-E9</f>
        <v>0.21041666666666667</v>
      </c>
      <c r="G9" s="49">
        <v>2.0833333333333333E-3</v>
      </c>
    </row>
    <row r="10" spans="1:8" x14ac:dyDescent="0.15">
      <c r="A10" s="126">
        <v>7</v>
      </c>
      <c r="B10" s="126" t="s">
        <v>8</v>
      </c>
      <c r="C10" s="127"/>
      <c r="D10" s="127"/>
      <c r="E10" s="127"/>
      <c r="F10" s="127">
        <f t="shared" si="1"/>
        <v>0</v>
      </c>
    </row>
    <row r="11" spans="1:8" x14ac:dyDescent="0.15">
      <c r="A11" s="140">
        <v>8</v>
      </c>
      <c r="B11" s="140" t="s">
        <v>104</v>
      </c>
      <c r="C11" s="127">
        <v>0.36944444444444446</v>
      </c>
      <c r="D11" s="127">
        <v>0.7090277777777777</v>
      </c>
      <c r="E11" s="127">
        <v>4.1666666666666664E-2</v>
      </c>
      <c r="F11" s="127">
        <f t="shared" si="1"/>
        <v>0.29791666666666655</v>
      </c>
      <c r="G11" s="49">
        <v>6.2499999999999995E-3</v>
      </c>
    </row>
    <row r="12" spans="1:8" x14ac:dyDescent="0.15">
      <c r="A12" s="140">
        <v>9</v>
      </c>
      <c r="B12" s="140" t="s">
        <v>105</v>
      </c>
      <c r="C12" s="127">
        <v>0.375</v>
      </c>
      <c r="D12" s="127">
        <v>0.71805555555555556</v>
      </c>
      <c r="E12" s="127">
        <v>4.1666666666666664E-2</v>
      </c>
      <c r="F12" s="127">
        <f t="shared" si="1"/>
        <v>0.30138888888888887</v>
      </c>
      <c r="G12" s="49">
        <v>9.7222222222222224E-3</v>
      </c>
    </row>
    <row r="13" spans="1:8" x14ac:dyDescent="0.15">
      <c r="A13" s="140">
        <v>10</v>
      </c>
      <c r="B13" s="140" t="s">
        <v>102</v>
      </c>
      <c r="C13" s="127">
        <v>0.37222222222222223</v>
      </c>
      <c r="D13" s="127">
        <v>0.66875000000000007</v>
      </c>
      <c r="E13" s="127">
        <v>4.1666666666666664E-2</v>
      </c>
      <c r="F13" s="127">
        <f t="shared" si="1"/>
        <v>0.25486111111111115</v>
      </c>
      <c r="H13" s="191">
        <v>3.6805555555555557E-2</v>
      </c>
    </row>
    <row r="14" spans="1:8" x14ac:dyDescent="0.15">
      <c r="A14" s="140">
        <v>11</v>
      </c>
      <c r="B14" s="140" t="s">
        <v>9</v>
      </c>
      <c r="C14" s="127">
        <v>0.3659722222222222</v>
      </c>
      <c r="D14" s="127">
        <v>0.71527777777777779</v>
      </c>
      <c r="E14" s="127">
        <v>4.1666666666666664E-2</v>
      </c>
      <c r="F14" s="127">
        <f t="shared" si="1"/>
        <v>0.30763888888888891</v>
      </c>
      <c r="G14" s="49">
        <v>1.5972222222222224E-2</v>
      </c>
    </row>
    <row r="15" spans="1:8" x14ac:dyDescent="0.15">
      <c r="A15" s="140">
        <v>12</v>
      </c>
      <c r="B15" s="140" t="s">
        <v>10</v>
      </c>
      <c r="C15" s="127">
        <v>0.36874999999999997</v>
      </c>
      <c r="D15" s="127">
        <v>0.70972222222222225</v>
      </c>
      <c r="E15" s="127">
        <v>4.1666666666666664E-2</v>
      </c>
      <c r="F15" s="127">
        <f t="shared" si="1"/>
        <v>0.2993055555555556</v>
      </c>
      <c r="G15" s="49">
        <v>7.6388888888888886E-3</v>
      </c>
    </row>
    <row r="16" spans="1:8" x14ac:dyDescent="0.15">
      <c r="A16" s="125">
        <v>13</v>
      </c>
      <c r="B16" s="125" t="s">
        <v>103</v>
      </c>
      <c r="C16" s="127"/>
      <c r="D16" s="127"/>
      <c r="E16" s="127"/>
      <c r="F16" s="127">
        <f t="shared" ref="F16:F19" si="2">D16-C16-E16</f>
        <v>0</v>
      </c>
    </row>
    <row r="17" spans="1:8" x14ac:dyDescent="0.15">
      <c r="A17" s="126">
        <v>14</v>
      </c>
      <c r="B17" s="126" t="s">
        <v>8</v>
      </c>
      <c r="C17" s="127"/>
      <c r="D17" s="127"/>
      <c r="E17" s="127"/>
      <c r="F17" s="127">
        <f t="shared" si="2"/>
        <v>0</v>
      </c>
    </row>
    <row r="18" spans="1:8" x14ac:dyDescent="0.15">
      <c r="A18" s="140">
        <v>15</v>
      </c>
      <c r="B18" s="140" t="s">
        <v>104</v>
      </c>
      <c r="C18" s="127">
        <v>0.36874999999999997</v>
      </c>
      <c r="D18" s="127">
        <v>0.7090277777777777</v>
      </c>
      <c r="E18" s="127">
        <v>4.1666666666666664E-2</v>
      </c>
      <c r="F18" s="127">
        <f t="shared" si="2"/>
        <v>0.29861111111111105</v>
      </c>
      <c r="G18" s="49">
        <v>6.9444444444444441E-3</v>
      </c>
    </row>
    <row r="19" spans="1:8" x14ac:dyDescent="0.15">
      <c r="A19" s="140">
        <v>16</v>
      </c>
      <c r="B19" s="140" t="s">
        <v>105</v>
      </c>
      <c r="C19" s="127">
        <v>0.37152777777777773</v>
      </c>
      <c r="D19" s="127">
        <v>0.7104166666666667</v>
      </c>
      <c r="E19" s="127">
        <v>4.1666666666666664E-2</v>
      </c>
      <c r="F19" s="127">
        <f t="shared" si="2"/>
        <v>0.29722222222222228</v>
      </c>
      <c r="G19" s="49">
        <v>5.5555555555555558E-3</v>
      </c>
    </row>
    <row r="20" spans="1:8" x14ac:dyDescent="0.15">
      <c r="A20" s="140">
        <v>17</v>
      </c>
      <c r="B20" s="140" t="s">
        <v>102</v>
      </c>
      <c r="C20" s="127">
        <v>0.3659722222222222</v>
      </c>
      <c r="D20" s="127">
        <v>0.71458333333333324</v>
      </c>
      <c r="E20" s="127">
        <v>4.1666666666666664E-2</v>
      </c>
      <c r="F20" s="127">
        <f>D20-C20-E20</f>
        <v>0.30694444444444435</v>
      </c>
      <c r="G20" s="49">
        <v>1.5277777777777777E-2</v>
      </c>
    </row>
    <row r="21" spans="1:8" x14ac:dyDescent="0.15">
      <c r="A21" s="140">
        <v>18</v>
      </c>
      <c r="B21" s="140" t="s">
        <v>9</v>
      </c>
      <c r="C21" s="127">
        <v>0.36944444444444446</v>
      </c>
      <c r="D21" s="127">
        <v>0.71875</v>
      </c>
      <c r="E21" s="127">
        <v>4.1666666666666664E-2</v>
      </c>
      <c r="F21" s="127">
        <f t="shared" ref="F21:F22" si="3">D21-C21-E21</f>
        <v>0.30763888888888885</v>
      </c>
      <c r="G21" s="49">
        <v>1.5972222222222224E-2</v>
      </c>
    </row>
    <row r="22" spans="1:8" x14ac:dyDescent="0.15">
      <c r="A22" s="140">
        <v>19</v>
      </c>
      <c r="B22" s="140" t="s">
        <v>10</v>
      </c>
      <c r="C22" s="127"/>
      <c r="D22" s="127"/>
      <c r="E22" s="127"/>
      <c r="F22" s="127">
        <f t="shared" si="3"/>
        <v>0</v>
      </c>
    </row>
    <row r="23" spans="1:8" x14ac:dyDescent="0.15">
      <c r="A23" s="125">
        <v>20</v>
      </c>
      <c r="B23" s="125" t="s">
        <v>103</v>
      </c>
      <c r="C23" s="127">
        <v>0.37222222222222223</v>
      </c>
      <c r="D23" s="127">
        <v>0.60972222222222217</v>
      </c>
      <c r="E23" s="127">
        <v>4.1666666666666664E-2</v>
      </c>
      <c r="F23" s="127">
        <f t="shared" ref="F23:F29" si="4">D23-C23-E23</f>
        <v>0.19583333333333328</v>
      </c>
      <c r="H23" s="49">
        <v>1.2499999999999999E-2</v>
      </c>
    </row>
    <row r="24" spans="1:8" x14ac:dyDescent="0.15">
      <c r="A24" s="126">
        <v>21</v>
      </c>
      <c r="B24" s="126" t="s">
        <v>8</v>
      </c>
      <c r="C24" s="127"/>
      <c r="D24" s="127"/>
      <c r="E24" s="127"/>
      <c r="F24" s="127">
        <f t="shared" si="4"/>
        <v>0</v>
      </c>
    </row>
    <row r="25" spans="1:8" x14ac:dyDescent="0.15">
      <c r="A25" s="140">
        <v>22</v>
      </c>
      <c r="B25" s="140" t="s">
        <v>104</v>
      </c>
      <c r="C25" s="127">
        <v>0.44027777777777777</v>
      </c>
      <c r="D25" s="127">
        <v>0.70763888888888893</v>
      </c>
      <c r="E25" s="127">
        <v>4.1666666666666664E-2</v>
      </c>
      <c r="F25" s="127">
        <f t="shared" si="4"/>
        <v>0.2256944444444445</v>
      </c>
      <c r="H25" s="49">
        <v>6.5972222222222224E-2</v>
      </c>
    </row>
    <row r="26" spans="1:8" x14ac:dyDescent="0.15">
      <c r="A26" s="140">
        <v>23</v>
      </c>
      <c r="B26" s="140" t="s">
        <v>105</v>
      </c>
      <c r="C26" s="127">
        <v>0.36736111111111108</v>
      </c>
      <c r="D26" s="127">
        <v>0.70833333333333337</v>
      </c>
      <c r="E26" s="127">
        <v>4.1666666666666664E-2</v>
      </c>
      <c r="F26" s="127">
        <f t="shared" si="4"/>
        <v>0.2993055555555556</v>
      </c>
      <c r="G26" s="49">
        <v>7.6388888888888886E-3</v>
      </c>
    </row>
    <row r="27" spans="1:8" x14ac:dyDescent="0.15">
      <c r="A27" s="140">
        <v>24</v>
      </c>
      <c r="B27" s="140" t="s">
        <v>102</v>
      </c>
      <c r="C27" s="127">
        <v>0.3666666666666667</v>
      </c>
      <c r="D27" s="127">
        <v>0.70972222222222225</v>
      </c>
      <c r="E27" s="127">
        <v>4.1666666666666664E-2</v>
      </c>
      <c r="F27" s="127">
        <f t="shared" si="4"/>
        <v>0.30138888888888887</v>
      </c>
      <c r="G27" s="49">
        <v>9.7222222222222224E-3</v>
      </c>
    </row>
    <row r="28" spans="1:8" x14ac:dyDescent="0.15">
      <c r="A28" s="140">
        <v>25</v>
      </c>
      <c r="B28" s="140" t="s">
        <v>9</v>
      </c>
      <c r="C28" s="127">
        <v>0.37222222222222223</v>
      </c>
      <c r="D28" s="127">
        <v>0.71111111111111114</v>
      </c>
      <c r="E28" s="127">
        <v>4.1666666666666664E-2</v>
      </c>
      <c r="F28" s="127">
        <f t="shared" si="4"/>
        <v>0.29722222222222222</v>
      </c>
      <c r="G28" s="49">
        <v>5.5555555555555558E-3</v>
      </c>
    </row>
    <row r="29" spans="1:8" x14ac:dyDescent="0.15">
      <c r="A29" s="140">
        <v>26</v>
      </c>
      <c r="B29" s="140" t="s">
        <v>10</v>
      </c>
      <c r="C29" s="127">
        <v>0.3659722222222222</v>
      </c>
      <c r="D29" s="127">
        <v>0.70972222222222225</v>
      </c>
      <c r="E29" s="127">
        <v>4.1666666666666664E-2</v>
      </c>
      <c r="F29" s="127">
        <f t="shared" si="4"/>
        <v>0.30208333333333337</v>
      </c>
      <c r="G29" s="49">
        <v>1.0416666666666666E-2</v>
      </c>
    </row>
    <row r="30" spans="1:8" x14ac:dyDescent="0.15">
      <c r="A30" s="125">
        <v>27</v>
      </c>
      <c r="B30" s="125" t="s">
        <v>103</v>
      </c>
      <c r="C30" s="127">
        <v>0.37222222222222223</v>
      </c>
      <c r="D30" s="127">
        <v>0.58472222222222225</v>
      </c>
      <c r="E30" s="127">
        <v>4.1666666666666664E-2</v>
      </c>
      <c r="F30" s="127">
        <f t="shared" ref="F30:F34" si="5">D30-C30-E30</f>
        <v>0.17083333333333336</v>
      </c>
      <c r="H30" s="49">
        <v>3.7499999999999999E-2</v>
      </c>
    </row>
    <row r="31" spans="1:8" x14ac:dyDescent="0.15">
      <c r="A31" s="126">
        <v>28</v>
      </c>
      <c r="B31" s="126" t="s">
        <v>8</v>
      </c>
      <c r="C31" s="127"/>
      <c r="D31" s="127"/>
      <c r="E31" s="127"/>
      <c r="F31" s="127">
        <f t="shared" si="5"/>
        <v>0</v>
      </c>
    </row>
    <row r="32" spans="1:8" x14ac:dyDescent="0.15">
      <c r="A32" s="140">
        <v>29</v>
      </c>
      <c r="B32" s="140" t="s">
        <v>104</v>
      </c>
      <c r="C32" s="127">
        <v>0.36805555555555558</v>
      </c>
      <c r="D32" s="127">
        <v>0.73472222222222217</v>
      </c>
      <c r="E32" s="127">
        <v>4.1666666666666664E-2</v>
      </c>
      <c r="F32" s="127">
        <f t="shared" si="5"/>
        <v>0.3249999999999999</v>
      </c>
      <c r="G32" s="49">
        <v>3.3333333333333333E-2</v>
      </c>
    </row>
    <row r="33" spans="1:8" x14ac:dyDescent="0.15">
      <c r="A33" s="140">
        <v>30</v>
      </c>
      <c r="B33" s="140" t="s">
        <v>105</v>
      </c>
      <c r="C33" s="127">
        <v>0.37152777777777773</v>
      </c>
      <c r="D33" s="127">
        <v>0.71250000000000002</v>
      </c>
      <c r="E33" s="127">
        <v>4.1666666666666664E-2</v>
      </c>
      <c r="F33" s="127">
        <f t="shared" si="5"/>
        <v>0.2993055555555556</v>
      </c>
      <c r="G33" s="49">
        <v>7.6388888888888886E-3</v>
      </c>
    </row>
    <row r="34" spans="1:8" x14ac:dyDescent="0.15">
      <c r="A34" s="126"/>
      <c r="B34" s="126"/>
      <c r="C34" s="18"/>
      <c r="D34" s="18"/>
      <c r="E34" s="18"/>
      <c r="F34" s="127">
        <f t="shared" si="5"/>
        <v>0</v>
      </c>
    </row>
    <row r="35" spans="1:8" x14ac:dyDescent="0.15">
      <c r="C35">
        <v>24</v>
      </c>
      <c r="E35" t="s">
        <v>86</v>
      </c>
      <c r="F35" s="120">
        <f>SUM(F4:F34)</f>
        <v>6.8208333333333337</v>
      </c>
      <c r="G35" s="120">
        <f>SUM(G4:G34)</f>
        <v>0.22361111111111109</v>
      </c>
      <c r="H35" s="120">
        <f>SUM(H4:H34)</f>
        <v>0.15277777777777779</v>
      </c>
    </row>
    <row r="37" spans="1:8" ht="32.25" customHeight="1" thickBot="1" x14ac:dyDescent="0.2">
      <c r="C37" s="122" t="s">
        <v>17</v>
      </c>
      <c r="D37" s="261" t="s">
        <v>33</v>
      </c>
      <c r="E37" s="261"/>
      <c r="F37" s="261"/>
    </row>
    <row r="38" spans="1:8" ht="30" customHeight="1" thickTop="1" x14ac:dyDescent="0.15">
      <c r="C38" s="123" t="s">
        <v>100</v>
      </c>
      <c r="D38" t="s">
        <v>101</v>
      </c>
      <c r="E38" t="s">
        <v>155</v>
      </c>
    </row>
    <row r="39" spans="1:8" x14ac:dyDescent="0.15">
      <c r="A39" s="124" t="s">
        <v>8</v>
      </c>
      <c r="B39" s="124" t="s">
        <v>95</v>
      </c>
      <c r="C39" s="124" t="s">
        <v>96</v>
      </c>
      <c r="D39" s="124" t="s">
        <v>97</v>
      </c>
      <c r="E39" s="124" t="s">
        <v>98</v>
      </c>
      <c r="F39" s="124" t="s">
        <v>99</v>
      </c>
    </row>
    <row r="40" spans="1:8" x14ac:dyDescent="0.15">
      <c r="A40" s="140">
        <v>1</v>
      </c>
      <c r="B40" s="140" t="s">
        <v>104</v>
      </c>
      <c r="C40" s="127">
        <v>0.37708333333333338</v>
      </c>
      <c r="D40" s="127">
        <v>0.64861111111111114</v>
      </c>
      <c r="E40" s="127">
        <v>4.1666666666666664E-2</v>
      </c>
      <c r="F40" s="127">
        <f>D40-C40-E40</f>
        <v>0.2298611111111111</v>
      </c>
      <c r="G40" s="49"/>
    </row>
    <row r="41" spans="1:8" x14ac:dyDescent="0.15">
      <c r="A41" s="140">
        <v>2</v>
      </c>
      <c r="B41" s="140" t="s">
        <v>105</v>
      </c>
      <c r="C41" s="127">
        <v>0.39097222222222222</v>
      </c>
      <c r="D41" s="127">
        <v>0.64930555555555558</v>
      </c>
      <c r="E41" s="127">
        <v>4.1666666666666664E-2</v>
      </c>
      <c r="F41" s="127">
        <f t="shared" ref="F41:F55" si="6">D41-C41-E41</f>
        <v>0.2166666666666667</v>
      </c>
      <c r="H41" s="49"/>
    </row>
    <row r="42" spans="1:8" x14ac:dyDescent="0.15">
      <c r="A42" s="140">
        <v>3</v>
      </c>
      <c r="B42" s="140" t="s">
        <v>102</v>
      </c>
      <c r="C42" s="127">
        <v>0.3840277777777778</v>
      </c>
      <c r="D42" s="127">
        <v>0.65277777777777779</v>
      </c>
      <c r="E42" s="127">
        <v>4.1666666666666664E-2</v>
      </c>
      <c r="F42" s="127">
        <f t="shared" si="6"/>
        <v>0.22708333333333333</v>
      </c>
      <c r="G42" s="49"/>
    </row>
    <row r="43" spans="1:8" x14ac:dyDescent="0.15">
      <c r="A43" s="140">
        <v>4</v>
      </c>
      <c r="B43" s="140" t="s">
        <v>9</v>
      </c>
      <c r="C43" s="127">
        <v>0.39166666666666666</v>
      </c>
      <c r="D43" s="127">
        <v>0.65069444444444446</v>
      </c>
      <c r="E43" s="127">
        <v>4.1666666666666664E-2</v>
      </c>
      <c r="F43" s="127">
        <f t="shared" si="6"/>
        <v>0.21736111111111114</v>
      </c>
    </row>
    <row r="44" spans="1:8" x14ac:dyDescent="0.15">
      <c r="A44" s="140">
        <v>5</v>
      </c>
      <c r="B44" s="140" t="s">
        <v>10</v>
      </c>
      <c r="C44" s="127">
        <v>0.38055555555555554</v>
      </c>
      <c r="D44" s="127">
        <v>0.64861111111111114</v>
      </c>
      <c r="E44" s="127">
        <v>4.1666666666666664E-2</v>
      </c>
      <c r="F44" s="127">
        <f t="shared" si="6"/>
        <v>0.22638888888888895</v>
      </c>
    </row>
    <row r="45" spans="1:8" x14ac:dyDescent="0.15">
      <c r="A45" s="125">
        <v>6</v>
      </c>
      <c r="B45" s="125" t="s">
        <v>103</v>
      </c>
      <c r="C45" s="127"/>
      <c r="D45" s="127"/>
      <c r="E45" s="127"/>
      <c r="F45" s="127">
        <f t="shared" si="6"/>
        <v>0</v>
      </c>
      <c r="G45" s="49"/>
    </row>
    <row r="46" spans="1:8" x14ac:dyDescent="0.15">
      <c r="A46" s="126">
        <v>7</v>
      </c>
      <c r="B46" s="126" t="s">
        <v>8</v>
      </c>
      <c r="C46" s="127"/>
      <c r="D46" s="127"/>
      <c r="E46" s="127"/>
      <c r="F46" s="127">
        <f t="shared" si="6"/>
        <v>0</v>
      </c>
      <c r="H46" s="49"/>
    </row>
    <row r="47" spans="1:8" x14ac:dyDescent="0.15">
      <c r="A47" s="140">
        <v>8</v>
      </c>
      <c r="B47" s="140" t="s">
        <v>104</v>
      </c>
      <c r="C47" s="127">
        <v>0.38125000000000003</v>
      </c>
      <c r="D47" s="127">
        <v>0.65277777777777779</v>
      </c>
      <c r="E47" s="127">
        <v>4.1666666666666664E-2</v>
      </c>
      <c r="F47" s="127">
        <f t="shared" si="6"/>
        <v>0.2298611111111111</v>
      </c>
      <c r="G47" s="49"/>
    </row>
    <row r="48" spans="1:8" x14ac:dyDescent="0.15">
      <c r="A48" s="140">
        <v>9</v>
      </c>
      <c r="B48" s="140" t="s">
        <v>105</v>
      </c>
      <c r="C48" s="127">
        <v>0.38541666666666669</v>
      </c>
      <c r="D48" s="127">
        <v>0.65555555555555556</v>
      </c>
      <c r="E48" s="127">
        <v>4.1666666666666664E-2</v>
      </c>
      <c r="F48" s="127">
        <f t="shared" si="6"/>
        <v>0.22847222222222222</v>
      </c>
      <c r="H48" s="49"/>
    </row>
    <row r="49" spans="1:8" x14ac:dyDescent="0.15">
      <c r="A49" s="140">
        <v>10</v>
      </c>
      <c r="B49" s="140" t="s">
        <v>102</v>
      </c>
      <c r="C49" s="127">
        <v>0.3840277777777778</v>
      </c>
      <c r="D49" s="127">
        <v>0.65208333333333335</v>
      </c>
      <c r="E49" s="127">
        <v>4.1666666666666664E-2</v>
      </c>
      <c r="F49" s="127">
        <f t="shared" si="6"/>
        <v>0.22638888888888889</v>
      </c>
      <c r="G49" s="49"/>
    </row>
    <row r="50" spans="1:8" x14ac:dyDescent="0.15">
      <c r="A50" s="140">
        <v>11</v>
      </c>
      <c r="B50" s="140" t="s">
        <v>9</v>
      </c>
      <c r="C50" s="127">
        <v>0.38750000000000001</v>
      </c>
      <c r="D50" s="127">
        <v>0.65277777777777779</v>
      </c>
      <c r="E50" s="127">
        <v>4.1666666666666664E-2</v>
      </c>
      <c r="F50" s="127">
        <f t="shared" si="6"/>
        <v>0.22361111111111112</v>
      </c>
    </row>
    <row r="51" spans="1:8" x14ac:dyDescent="0.15">
      <c r="A51" s="140">
        <v>12</v>
      </c>
      <c r="B51" s="140" t="s">
        <v>10</v>
      </c>
      <c r="C51" s="127">
        <v>0.37916666666666665</v>
      </c>
      <c r="D51" s="127">
        <v>0.64583333333333337</v>
      </c>
      <c r="E51" s="127">
        <v>4.1666666666666664E-2</v>
      </c>
      <c r="F51" s="127">
        <f t="shared" si="6"/>
        <v>0.22500000000000006</v>
      </c>
      <c r="G51" s="49"/>
    </row>
    <row r="52" spans="1:8" x14ac:dyDescent="0.15">
      <c r="A52" s="125">
        <v>13</v>
      </c>
      <c r="B52" s="125" t="s">
        <v>103</v>
      </c>
      <c r="C52" s="127"/>
      <c r="D52" s="127"/>
      <c r="E52" s="127"/>
      <c r="F52" s="127">
        <f t="shared" si="6"/>
        <v>0</v>
      </c>
      <c r="G52" s="49"/>
      <c r="H52" s="49"/>
    </row>
    <row r="53" spans="1:8" x14ac:dyDescent="0.15">
      <c r="A53" s="126">
        <v>14</v>
      </c>
      <c r="B53" s="126" t="s">
        <v>8</v>
      </c>
      <c r="C53" s="127"/>
      <c r="D53" s="127"/>
      <c r="E53" s="127"/>
      <c r="F53" s="127">
        <f t="shared" si="6"/>
        <v>0</v>
      </c>
      <c r="G53" s="49"/>
      <c r="H53" s="49"/>
    </row>
    <row r="54" spans="1:8" x14ac:dyDescent="0.15">
      <c r="A54" s="140">
        <v>15</v>
      </c>
      <c r="B54" s="140" t="s">
        <v>104</v>
      </c>
      <c r="C54" s="127">
        <v>0.37916666666666665</v>
      </c>
      <c r="D54" s="127">
        <v>0.64930555555555558</v>
      </c>
      <c r="E54" s="127">
        <v>4.1666666666666664E-2</v>
      </c>
      <c r="F54" s="127">
        <f t="shared" si="6"/>
        <v>0.22847222222222227</v>
      </c>
      <c r="G54" s="49"/>
      <c r="H54" s="49"/>
    </row>
    <row r="55" spans="1:8" x14ac:dyDescent="0.15">
      <c r="A55" s="140">
        <v>16</v>
      </c>
      <c r="B55" s="140" t="s">
        <v>105</v>
      </c>
      <c r="C55" s="127">
        <v>0.3888888888888889</v>
      </c>
      <c r="D55" s="127">
        <v>0.64861111111111114</v>
      </c>
      <c r="E55" s="127">
        <v>4.1666666666666664E-2</v>
      </c>
      <c r="F55" s="127">
        <f t="shared" si="6"/>
        <v>0.21805555555555559</v>
      </c>
      <c r="H55" s="49"/>
    </row>
    <row r="56" spans="1:8" x14ac:dyDescent="0.15">
      <c r="A56" s="140">
        <v>17</v>
      </c>
      <c r="B56" s="140" t="s">
        <v>102</v>
      </c>
      <c r="C56" s="127">
        <v>0.37152777777777773</v>
      </c>
      <c r="D56" s="127">
        <v>0.65833333333333333</v>
      </c>
      <c r="E56" s="127">
        <v>4.1666666666666664E-2</v>
      </c>
      <c r="F56" s="127">
        <f>D56-C56-E56</f>
        <v>0.24513888888888893</v>
      </c>
      <c r="H56" s="49"/>
    </row>
    <row r="57" spans="1:8" x14ac:dyDescent="0.15">
      <c r="A57" s="140">
        <v>18</v>
      </c>
      <c r="B57" s="140" t="s">
        <v>9</v>
      </c>
      <c r="C57" s="127">
        <v>0.39097222222222222</v>
      </c>
      <c r="D57" s="127">
        <v>0.50486111111111109</v>
      </c>
      <c r="E57" s="127">
        <v>4.1666666666666664E-2</v>
      </c>
      <c r="F57" s="127">
        <f t="shared" ref="F57:F70" si="7">D57-C57-E57</f>
        <v>7.2222222222222215E-2</v>
      </c>
      <c r="G57" s="49"/>
    </row>
    <row r="58" spans="1:8" x14ac:dyDescent="0.15">
      <c r="A58" s="140">
        <v>19</v>
      </c>
      <c r="B58" s="140" t="s">
        <v>10</v>
      </c>
      <c r="C58" s="127">
        <v>0.39027777777777778</v>
      </c>
      <c r="D58" s="127">
        <v>0.6743055555555556</v>
      </c>
      <c r="E58" s="127">
        <v>4.1666666666666664E-2</v>
      </c>
      <c r="F58" s="127">
        <f t="shared" si="7"/>
        <v>0.24236111111111117</v>
      </c>
      <c r="G58" s="49"/>
    </row>
    <row r="59" spans="1:8" x14ac:dyDescent="0.15">
      <c r="A59" s="125">
        <v>20</v>
      </c>
      <c r="B59" s="125" t="s">
        <v>103</v>
      </c>
      <c r="C59" s="127"/>
      <c r="D59" s="127"/>
      <c r="E59" s="127"/>
      <c r="F59" s="127">
        <f t="shared" si="7"/>
        <v>0</v>
      </c>
      <c r="G59" s="49"/>
      <c r="H59" s="49"/>
    </row>
    <row r="60" spans="1:8" x14ac:dyDescent="0.15">
      <c r="A60" s="126">
        <v>21</v>
      </c>
      <c r="B60" s="126" t="s">
        <v>8</v>
      </c>
      <c r="C60" s="127"/>
      <c r="D60" s="127"/>
      <c r="E60" s="127"/>
      <c r="F60" s="127">
        <f t="shared" si="7"/>
        <v>0</v>
      </c>
      <c r="G60" s="49"/>
      <c r="H60" s="49"/>
    </row>
    <row r="61" spans="1:8" x14ac:dyDescent="0.15">
      <c r="A61" s="140">
        <v>22</v>
      </c>
      <c r="B61" s="140" t="s">
        <v>104</v>
      </c>
      <c r="C61" s="127">
        <v>0.37708333333333338</v>
      </c>
      <c r="D61" s="127">
        <v>0.67638888888888893</v>
      </c>
      <c r="E61" s="127">
        <v>4.1666666666666664E-2</v>
      </c>
      <c r="F61" s="127">
        <f t="shared" si="7"/>
        <v>0.25763888888888886</v>
      </c>
      <c r="G61" s="49"/>
      <c r="H61" s="49"/>
    </row>
    <row r="62" spans="1:8" x14ac:dyDescent="0.15">
      <c r="A62" s="140">
        <v>23</v>
      </c>
      <c r="B62" s="140" t="s">
        <v>105</v>
      </c>
      <c r="C62" s="127">
        <v>0.37152777777777773</v>
      </c>
      <c r="D62" s="127">
        <v>0.65833333333333333</v>
      </c>
      <c r="E62" s="127">
        <v>4.1666666666666664E-2</v>
      </c>
      <c r="F62" s="127">
        <f t="shared" si="7"/>
        <v>0.24513888888888893</v>
      </c>
      <c r="H62" s="49"/>
    </row>
    <row r="63" spans="1:8" x14ac:dyDescent="0.15">
      <c r="A63" s="140">
        <v>24</v>
      </c>
      <c r="B63" s="140" t="s">
        <v>102</v>
      </c>
      <c r="C63" s="127">
        <v>0.38194444444444442</v>
      </c>
      <c r="D63" s="127">
        <v>0.64930555555555558</v>
      </c>
      <c r="E63" s="127">
        <v>4.1666666666666664E-2</v>
      </c>
      <c r="F63" s="127">
        <f t="shared" si="7"/>
        <v>0.2256944444444445</v>
      </c>
    </row>
    <row r="64" spans="1:8" x14ac:dyDescent="0.15">
      <c r="A64" s="140">
        <v>25</v>
      </c>
      <c r="B64" s="140" t="s">
        <v>9</v>
      </c>
      <c r="C64" s="127">
        <v>0.36805555555555558</v>
      </c>
      <c r="D64" s="127">
        <v>0.65277777777777779</v>
      </c>
      <c r="E64" s="127">
        <v>4.1666666666666664E-2</v>
      </c>
      <c r="F64" s="127">
        <f t="shared" si="7"/>
        <v>0.24305555555555555</v>
      </c>
      <c r="G64" s="49"/>
    </row>
    <row r="65" spans="1:8" x14ac:dyDescent="0.15">
      <c r="A65" s="140">
        <v>26</v>
      </c>
      <c r="B65" s="140" t="s">
        <v>10</v>
      </c>
      <c r="C65" s="127">
        <v>0.38194444444444442</v>
      </c>
      <c r="D65" s="127">
        <v>0.65</v>
      </c>
      <c r="E65" s="127">
        <v>4.1666666666666664E-2</v>
      </c>
      <c r="F65" s="127">
        <f t="shared" si="7"/>
        <v>0.22638888888888895</v>
      </c>
      <c r="G65" s="49"/>
    </row>
    <row r="66" spans="1:8" x14ac:dyDescent="0.15">
      <c r="A66" s="125">
        <v>27</v>
      </c>
      <c r="B66" s="125" t="s">
        <v>103</v>
      </c>
      <c r="C66" s="127"/>
      <c r="D66" s="127"/>
      <c r="E66" s="127"/>
      <c r="F66" s="127">
        <f t="shared" si="7"/>
        <v>0</v>
      </c>
      <c r="G66" s="49"/>
      <c r="H66" s="49"/>
    </row>
    <row r="67" spans="1:8" x14ac:dyDescent="0.15">
      <c r="A67" s="126">
        <v>28</v>
      </c>
      <c r="B67" s="126" t="s">
        <v>8</v>
      </c>
      <c r="C67" s="127"/>
      <c r="D67" s="127"/>
      <c r="E67" s="127"/>
      <c r="F67" s="127">
        <f t="shared" si="7"/>
        <v>0</v>
      </c>
      <c r="G67" s="49"/>
      <c r="H67" s="49"/>
    </row>
    <row r="68" spans="1:8" x14ac:dyDescent="0.15">
      <c r="A68" s="140">
        <v>29</v>
      </c>
      <c r="B68" s="140" t="s">
        <v>104</v>
      </c>
      <c r="C68" s="127">
        <v>0.37291666666666662</v>
      </c>
      <c r="D68" s="127">
        <v>0.64722222222222225</v>
      </c>
      <c r="E68" s="127">
        <v>4.1666666666666664E-2</v>
      </c>
      <c r="F68" s="127">
        <f t="shared" si="7"/>
        <v>0.23263888888888898</v>
      </c>
      <c r="G68" s="49"/>
    </row>
    <row r="69" spans="1:8" x14ac:dyDescent="0.15">
      <c r="A69" s="140">
        <v>30</v>
      </c>
      <c r="B69" s="140" t="s">
        <v>105</v>
      </c>
      <c r="C69" s="127">
        <v>0.36805555555555558</v>
      </c>
      <c r="D69" s="127">
        <v>0.65347222222222223</v>
      </c>
      <c r="E69" s="127">
        <v>4.1666666666666664E-2</v>
      </c>
      <c r="F69" s="127">
        <f t="shared" si="7"/>
        <v>0.24374999999999999</v>
      </c>
      <c r="G69" s="49"/>
    </row>
    <row r="70" spans="1:8" x14ac:dyDescent="0.15">
      <c r="A70" s="126"/>
      <c r="B70" s="126"/>
      <c r="C70" s="18"/>
      <c r="D70" s="18"/>
      <c r="E70" s="18"/>
      <c r="F70" s="127">
        <f t="shared" si="7"/>
        <v>0</v>
      </c>
    </row>
    <row r="71" spans="1:8" x14ac:dyDescent="0.15">
      <c r="C71" s="145">
        <v>21</v>
      </c>
      <c r="E71" t="s">
        <v>86</v>
      </c>
      <c r="F71" s="120">
        <f>SUM(F40:F70)</f>
        <v>4.9312500000000012</v>
      </c>
      <c r="G71" s="49"/>
      <c r="H71" s="136"/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10" workbookViewId="0">
      <selection activeCell="M36" sqref="M36"/>
    </sheetView>
  </sheetViews>
  <sheetFormatPr defaultRowHeight="13.5" x14ac:dyDescent="0.15"/>
  <cols>
    <col min="1" max="9" width="11.875" customWidth="1"/>
    <col min="11" max="11" width="9.25" bestFit="1" customWidth="1"/>
    <col min="12" max="12" width="12" customWidth="1"/>
  </cols>
  <sheetData>
    <row r="1" spans="1:9" ht="14.25" thickBot="1" x14ac:dyDescent="0.2">
      <c r="A1" t="s">
        <v>156</v>
      </c>
    </row>
    <row r="2" spans="1:9" ht="15.75" customHeight="1" thickBot="1" x14ac:dyDescent="0.2">
      <c r="A2" s="310" t="s">
        <v>115</v>
      </c>
      <c r="B2" s="311"/>
      <c r="C2" s="308" t="s">
        <v>116</v>
      </c>
      <c r="D2" s="308"/>
      <c r="E2" s="308"/>
      <c r="F2" s="308"/>
      <c r="G2" s="170" t="s">
        <v>117</v>
      </c>
      <c r="H2" s="170" t="s">
        <v>118</v>
      </c>
      <c r="I2" s="171" t="s">
        <v>119</v>
      </c>
    </row>
    <row r="3" spans="1:9" ht="15.75" customHeight="1" thickTop="1" x14ac:dyDescent="0.15">
      <c r="A3" s="312" t="s">
        <v>120</v>
      </c>
      <c r="B3" s="313"/>
      <c r="C3" s="304" t="s">
        <v>121</v>
      </c>
      <c r="D3" s="304"/>
      <c r="E3" s="304"/>
      <c r="F3" s="304"/>
      <c r="G3" s="168">
        <v>42202</v>
      </c>
      <c r="H3" s="169">
        <v>138512</v>
      </c>
      <c r="I3" s="16" t="s">
        <v>123</v>
      </c>
    </row>
    <row r="4" spans="1:9" ht="15.75" customHeight="1" x14ac:dyDescent="0.15">
      <c r="A4" s="314" t="s">
        <v>163</v>
      </c>
      <c r="B4" s="315"/>
      <c r="C4" s="296" t="s">
        <v>164</v>
      </c>
      <c r="D4" s="296"/>
      <c r="E4" s="296"/>
      <c r="F4" s="296"/>
      <c r="G4" s="165">
        <v>42202</v>
      </c>
      <c r="H4" s="166">
        <v>22956</v>
      </c>
      <c r="I4" s="20" t="s">
        <v>123</v>
      </c>
    </row>
    <row r="5" spans="1:9" ht="15.75" customHeight="1" x14ac:dyDescent="0.15">
      <c r="A5" s="314" t="s">
        <v>122</v>
      </c>
      <c r="B5" s="315"/>
      <c r="C5" s="296" t="s">
        <v>80</v>
      </c>
      <c r="D5" s="296"/>
      <c r="E5" s="296"/>
      <c r="F5" s="296"/>
      <c r="G5" s="165">
        <v>42202</v>
      </c>
      <c r="H5" s="166">
        <v>57620</v>
      </c>
      <c r="I5" s="20" t="s">
        <v>124</v>
      </c>
    </row>
    <row r="6" spans="1:9" ht="15.75" customHeight="1" x14ac:dyDescent="0.15">
      <c r="A6" s="295"/>
      <c r="B6" s="296"/>
      <c r="C6" s="296"/>
      <c r="D6" s="296"/>
      <c r="E6" s="296"/>
      <c r="F6" s="296"/>
      <c r="G6" s="18"/>
      <c r="H6" s="166"/>
      <c r="I6" s="20"/>
    </row>
    <row r="7" spans="1:9" ht="15.75" customHeight="1" x14ac:dyDescent="0.15">
      <c r="A7" s="295"/>
      <c r="B7" s="296"/>
      <c r="C7" s="296"/>
      <c r="D7" s="296"/>
      <c r="E7" s="296"/>
      <c r="F7" s="296"/>
      <c r="G7" s="18"/>
      <c r="H7" s="166"/>
      <c r="I7" s="20"/>
    </row>
    <row r="8" spans="1:9" ht="15.75" customHeight="1" x14ac:dyDescent="0.15">
      <c r="A8" s="295"/>
      <c r="B8" s="296"/>
      <c r="C8" s="296"/>
      <c r="D8" s="296"/>
      <c r="E8" s="296"/>
      <c r="F8" s="296"/>
      <c r="G8" s="18"/>
      <c r="H8" s="166"/>
      <c r="I8" s="20"/>
    </row>
    <row r="9" spans="1:9" ht="15.75" customHeight="1" x14ac:dyDescent="0.15">
      <c r="A9" s="295" t="s">
        <v>125</v>
      </c>
      <c r="B9" s="296"/>
      <c r="C9" s="296" t="s">
        <v>157</v>
      </c>
      <c r="D9" s="296"/>
      <c r="E9" s="296"/>
      <c r="F9" s="296"/>
      <c r="G9" s="165">
        <v>42202</v>
      </c>
      <c r="H9" s="166">
        <v>657410</v>
      </c>
      <c r="I9" s="20" t="s">
        <v>124</v>
      </c>
    </row>
    <row r="10" spans="1:9" ht="15.75" customHeight="1" x14ac:dyDescent="0.15">
      <c r="A10" s="295" t="s">
        <v>126</v>
      </c>
      <c r="B10" s="296"/>
      <c r="C10" s="296" t="s">
        <v>158</v>
      </c>
      <c r="D10" s="296"/>
      <c r="E10" s="296"/>
      <c r="F10" s="296"/>
      <c r="G10" s="165">
        <v>42202</v>
      </c>
      <c r="H10" s="166">
        <v>297600</v>
      </c>
      <c r="I10" s="20" t="s">
        <v>124</v>
      </c>
    </row>
    <row r="11" spans="1:9" ht="15.75" customHeight="1" x14ac:dyDescent="0.15">
      <c r="A11" s="295"/>
      <c r="B11" s="296"/>
      <c r="C11" s="296"/>
      <c r="D11" s="296"/>
      <c r="E11" s="296"/>
      <c r="F11" s="296"/>
      <c r="G11" s="18"/>
      <c r="H11" s="166"/>
      <c r="I11" s="20"/>
    </row>
    <row r="12" spans="1:9" ht="15.75" customHeight="1" thickBot="1" x14ac:dyDescent="0.2">
      <c r="A12" s="297"/>
      <c r="B12" s="298"/>
      <c r="C12" s="298"/>
      <c r="D12" s="298"/>
      <c r="E12" s="298"/>
      <c r="F12" s="298"/>
      <c r="G12" s="35" t="s">
        <v>86</v>
      </c>
      <c r="H12" s="167">
        <f>SUM(H3:H11)</f>
        <v>1174098</v>
      </c>
      <c r="I12" s="37"/>
    </row>
    <row r="13" spans="1:9" ht="15.75" customHeight="1" thickBot="1" x14ac:dyDescent="0.2">
      <c r="A13" s="309"/>
      <c r="B13" s="309"/>
      <c r="C13" s="309"/>
      <c r="D13" s="309"/>
      <c r="E13" s="309"/>
      <c r="F13" s="309"/>
    </row>
    <row r="14" spans="1:9" ht="15.75" customHeight="1" thickBot="1" x14ac:dyDescent="0.2">
      <c r="A14" s="307" t="s">
        <v>127</v>
      </c>
      <c r="B14" s="308"/>
      <c r="C14" s="308" t="s">
        <v>116</v>
      </c>
      <c r="D14" s="308"/>
      <c r="E14" s="308"/>
      <c r="F14" s="308"/>
      <c r="G14" s="170" t="s">
        <v>131</v>
      </c>
      <c r="H14" s="170" t="s">
        <v>118</v>
      </c>
      <c r="I14" s="171"/>
    </row>
    <row r="15" spans="1:9" ht="15.75" customHeight="1" thickTop="1" x14ac:dyDescent="0.15">
      <c r="A15" s="303" t="s">
        <v>128</v>
      </c>
      <c r="B15" s="304"/>
      <c r="C15" s="304" t="s">
        <v>162</v>
      </c>
      <c r="D15" s="304"/>
      <c r="E15" s="304"/>
      <c r="F15" s="304"/>
      <c r="G15" s="168">
        <v>42231</v>
      </c>
      <c r="H15" s="169">
        <v>1679050</v>
      </c>
      <c r="I15" s="16"/>
    </row>
    <row r="16" spans="1:9" ht="15.75" customHeight="1" x14ac:dyDescent="0.15">
      <c r="A16" s="295" t="s">
        <v>129</v>
      </c>
      <c r="B16" s="296"/>
      <c r="C16" s="296" t="s">
        <v>130</v>
      </c>
      <c r="D16" s="296"/>
      <c r="E16" s="296"/>
      <c r="F16" s="296"/>
      <c r="G16" s="165">
        <v>42200</v>
      </c>
      <c r="H16" s="166">
        <v>198029</v>
      </c>
      <c r="I16" s="20"/>
    </row>
    <row r="17" spans="1:12" ht="15.75" customHeight="1" x14ac:dyDescent="0.15">
      <c r="A17" s="295"/>
      <c r="B17" s="296"/>
      <c r="C17" s="296"/>
      <c r="D17" s="296"/>
      <c r="E17" s="296"/>
      <c r="F17" s="296"/>
      <c r="G17" s="18"/>
      <c r="H17" s="166"/>
      <c r="I17" s="20"/>
    </row>
    <row r="18" spans="1:12" ht="15.75" customHeight="1" x14ac:dyDescent="0.15">
      <c r="A18" s="295"/>
      <c r="B18" s="296"/>
      <c r="C18" s="296"/>
      <c r="D18" s="296"/>
      <c r="E18" s="296"/>
      <c r="F18" s="296"/>
      <c r="G18" s="18"/>
      <c r="H18" s="166"/>
      <c r="I18" s="20"/>
    </row>
    <row r="19" spans="1:12" ht="15.75" customHeight="1" thickBot="1" x14ac:dyDescent="0.2">
      <c r="A19" s="297"/>
      <c r="B19" s="298"/>
      <c r="C19" s="298"/>
      <c r="D19" s="298"/>
      <c r="E19" s="298"/>
      <c r="F19" s="298"/>
      <c r="G19" s="35" t="s">
        <v>86</v>
      </c>
      <c r="H19" s="167">
        <f>SUM(H15:H18)</f>
        <v>1877079</v>
      </c>
      <c r="I19" s="37"/>
    </row>
    <row r="20" spans="1:12" ht="15.75" customHeight="1" thickBot="1" x14ac:dyDescent="0.2"/>
    <row r="21" spans="1:12" ht="15.75" customHeight="1" thickBot="1" x14ac:dyDescent="0.2">
      <c r="A21" s="307" t="s">
        <v>132</v>
      </c>
      <c r="B21" s="308"/>
      <c r="C21" s="308" t="s">
        <v>116</v>
      </c>
      <c r="D21" s="308"/>
      <c r="E21" s="308"/>
      <c r="F21" s="308"/>
      <c r="G21" s="170"/>
      <c r="H21" s="170" t="s">
        <v>118</v>
      </c>
      <c r="I21" s="171"/>
    </row>
    <row r="22" spans="1:12" ht="15.75" customHeight="1" thickTop="1" x14ac:dyDescent="0.15">
      <c r="A22" s="303" t="s">
        <v>129</v>
      </c>
      <c r="B22" s="304"/>
      <c r="C22" s="304" t="s">
        <v>159</v>
      </c>
      <c r="D22" s="304"/>
      <c r="E22" s="304"/>
      <c r="F22" s="304"/>
      <c r="G22" s="168"/>
      <c r="H22" s="169">
        <v>324000</v>
      </c>
      <c r="I22" s="16"/>
    </row>
    <row r="23" spans="1:12" ht="15.75" customHeight="1" x14ac:dyDescent="0.15">
      <c r="A23" s="295" t="s">
        <v>129</v>
      </c>
      <c r="B23" s="296"/>
      <c r="C23" s="296" t="s">
        <v>160</v>
      </c>
      <c r="D23" s="296"/>
      <c r="E23" s="296"/>
      <c r="F23" s="296"/>
      <c r="G23" s="165"/>
      <c r="H23" s="166">
        <v>270000</v>
      </c>
      <c r="I23" s="20"/>
    </row>
    <row r="24" spans="1:12" ht="15.75" customHeight="1" x14ac:dyDescent="0.15">
      <c r="A24" s="295"/>
      <c r="B24" s="296"/>
      <c r="C24" s="296"/>
      <c r="D24" s="296"/>
      <c r="E24" s="296"/>
      <c r="F24" s="296"/>
      <c r="G24" s="18"/>
      <c r="H24" s="166"/>
      <c r="I24" s="20"/>
    </row>
    <row r="25" spans="1:12" ht="15.75" customHeight="1" x14ac:dyDescent="0.15">
      <c r="A25" s="295"/>
      <c r="B25" s="296"/>
      <c r="C25" s="296"/>
      <c r="D25" s="296"/>
      <c r="E25" s="296"/>
      <c r="F25" s="296"/>
      <c r="G25" s="18"/>
      <c r="H25" s="166"/>
      <c r="I25" s="20"/>
    </row>
    <row r="26" spans="1:12" ht="15.75" customHeight="1" thickBot="1" x14ac:dyDescent="0.2">
      <c r="A26" s="297"/>
      <c r="B26" s="298"/>
      <c r="C26" s="298"/>
      <c r="D26" s="298"/>
      <c r="E26" s="298"/>
      <c r="F26" s="298"/>
      <c r="G26" s="35" t="s">
        <v>86</v>
      </c>
      <c r="H26" s="167">
        <f>SUM(H22:H25)</f>
        <v>594000</v>
      </c>
      <c r="I26" s="37"/>
    </row>
    <row r="27" spans="1:12" ht="15.75" customHeight="1" thickBot="1" x14ac:dyDescent="0.2"/>
    <row r="28" spans="1:12" ht="15.75" customHeight="1" thickBot="1" x14ac:dyDescent="0.2">
      <c r="A28" s="301" t="s">
        <v>161</v>
      </c>
      <c r="B28" s="302"/>
      <c r="C28" s="302"/>
      <c r="D28" s="302"/>
      <c r="E28" s="302"/>
      <c r="F28" s="302"/>
      <c r="G28" s="292" t="s">
        <v>139</v>
      </c>
      <c r="H28" s="293"/>
      <c r="I28" s="294"/>
    </row>
    <row r="29" spans="1:12" ht="15.75" customHeight="1" thickTop="1" x14ac:dyDescent="0.15">
      <c r="A29" s="303" t="s">
        <v>133</v>
      </c>
      <c r="B29" s="304"/>
      <c r="C29" s="305">
        <v>686410</v>
      </c>
      <c r="D29" s="305"/>
      <c r="E29" s="305"/>
      <c r="F29" s="306"/>
      <c r="G29" s="172">
        <v>10000</v>
      </c>
      <c r="H29" s="174">
        <v>860000</v>
      </c>
      <c r="I29" s="175">
        <v>86</v>
      </c>
      <c r="K29" s="178">
        <v>955010</v>
      </c>
      <c r="L29" s="164" t="s">
        <v>141</v>
      </c>
    </row>
    <row r="30" spans="1:12" ht="15.75" customHeight="1" x14ac:dyDescent="0.15">
      <c r="A30" s="295" t="s">
        <v>134</v>
      </c>
      <c r="B30" s="296"/>
      <c r="C30" s="290"/>
      <c r="D30" s="290"/>
      <c r="E30" s="290"/>
      <c r="F30" s="291"/>
      <c r="G30" s="173">
        <v>5000</v>
      </c>
      <c r="H30" s="166">
        <v>60000</v>
      </c>
      <c r="I30" s="176">
        <v>12</v>
      </c>
      <c r="K30" s="179">
        <v>162332</v>
      </c>
      <c r="L30" s="20" t="s">
        <v>141</v>
      </c>
    </row>
    <row r="31" spans="1:12" ht="15.75" customHeight="1" x14ac:dyDescent="0.15">
      <c r="A31" s="295" t="s">
        <v>135</v>
      </c>
      <c r="B31" s="296"/>
      <c r="C31" s="290">
        <v>256960</v>
      </c>
      <c r="D31" s="290"/>
      <c r="E31" s="290"/>
      <c r="F31" s="291"/>
      <c r="G31" s="173">
        <v>1000</v>
      </c>
      <c r="H31" s="166">
        <v>30000</v>
      </c>
      <c r="I31" s="176">
        <v>30</v>
      </c>
      <c r="K31" s="179">
        <v>57620</v>
      </c>
      <c r="L31" s="20" t="s">
        <v>141</v>
      </c>
    </row>
    <row r="32" spans="1:12" ht="15.75" customHeight="1" x14ac:dyDescent="0.15">
      <c r="A32" s="295" t="s">
        <v>136</v>
      </c>
      <c r="B32" s="296"/>
      <c r="C32" s="290">
        <v>410480</v>
      </c>
      <c r="D32" s="290"/>
      <c r="E32" s="290"/>
      <c r="F32" s="291"/>
      <c r="G32" s="173">
        <v>500</v>
      </c>
      <c r="H32" s="166">
        <v>2000</v>
      </c>
      <c r="I32" s="176">
        <v>4</v>
      </c>
      <c r="K32" s="179">
        <v>25038</v>
      </c>
      <c r="L32" s="20" t="s">
        <v>140</v>
      </c>
    </row>
    <row r="33" spans="1:12" ht="15.75" customHeight="1" x14ac:dyDescent="0.15">
      <c r="A33" s="295" t="s">
        <v>137</v>
      </c>
      <c r="B33" s="296"/>
      <c r="C33" s="290">
        <v>128480</v>
      </c>
      <c r="D33" s="290"/>
      <c r="E33" s="290"/>
      <c r="F33" s="291"/>
      <c r="G33" s="173">
        <v>100</v>
      </c>
      <c r="H33" s="166">
        <v>2700</v>
      </c>
      <c r="I33" s="176">
        <v>27</v>
      </c>
      <c r="K33" s="21"/>
      <c r="L33" s="20"/>
    </row>
    <row r="34" spans="1:12" ht="15.75" customHeight="1" thickBot="1" x14ac:dyDescent="0.2">
      <c r="A34" s="295" t="s">
        <v>138</v>
      </c>
      <c r="B34" s="296"/>
      <c r="C34" s="290"/>
      <c r="D34" s="290"/>
      <c r="E34" s="290"/>
      <c r="F34" s="291"/>
      <c r="G34" s="173">
        <v>50</v>
      </c>
      <c r="H34" s="166">
        <v>250</v>
      </c>
      <c r="I34" s="176">
        <v>5</v>
      </c>
      <c r="K34" s="180">
        <f>SUM(K29:K33)</f>
        <v>1200000</v>
      </c>
      <c r="L34" s="181" t="s">
        <v>142</v>
      </c>
    </row>
    <row r="35" spans="1:12" ht="15.75" customHeight="1" x14ac:dyDescent="0.15">
      <c r="A35" s="295"/>
      <c r="B35" s="296"/>
      <c r="C35" s="290"/>
      <c r="D35" s="290"/>
      <c r="E35" s="290"/>
      <c r="F35" s="291"/>
      <c r="G35" s="173">
        <v>10</v>
      </c>
      <c r="H35" s="166">
        <v>50</v>
      </c>
      <c r="I35" s="176">
        <v>5</v>
      </c>
    </row>
    <row r="36" spans="1:12" ht="15.75" customHeight="1" x14ac:dyDescent="0.15">
      <c r="A36" s="295"/>
      <c r="B36" s="296"/>
      <c r="C36" s="290"/>
      <c r="D36" s="290"/>
      <c r="E36" s="290"/>
      <c r="F36" s="291"/>
      <c r="G36" s="173">
        <v>5</v>
      </c>
      <c r="H36" s="166">
        <v>5</v>
      </c>
      <c r="I36" s="176">
        <v>1</v>
      </c>
    </row>
    <row r="37" spans="1:12" ht="15.75" customHeight="1" x14ac:dyDescent="0.15">
      <c r="A37" s="295"/>
      <c r="B37" s="296"/>
      <c r="C37" s="290"/>
      <c r="D37" s="290"/>
      <c r="E37" s="290"/>
      <c r="F37" s="291"/>
      <c r="G37" s="173">
        <v>1</v>
      </c>
      <c r="H37" s="166">
        <v>5</v>
      </c>
      <c r="I37" s="176">
        <v>5</v>
      </c>
    </row>
    <row r="38" spans="1:12" ht="15.75" customHeight="1" thickBot="1" x14ac:dyDescent="0.2">
      <c r="A38" s="297" t="s">
        <v>86</v>
      </c>
      <c r="B38" s="298"/>
      <c r="C38" s="299">
        <f>SUM(C29:F37)</f>
        <v>1482330</v>
      </c>
      <c r="D38" s="299"/>
      <c r="E38" s="299"/>
      <c r="F38" s="300"/>
      <c r="G38" s="30" t="s">
        <v>86</v>
      </c>
      <c r="H38" s="167">
        <f>SUM(H29:H37)</f>
        <v>955010</v>
      </c>
      <c r="I38" s="177"/>
    </row>
  </sheetData>
  <mergeCells count="70">
    <mergeCell ref="A2:B2"/>
    <mergeCell ref="A3:B3"/>
    <mergeCell ref="A4:B4"/>
    <mergeCell ref="A5:B5"/>
    <mergeCell ref="C2:F2"/>
    <mergeCell ref="C3:F3"/>
    <mergeCell ref="C4:F4"/>
    <mergeCell ref="C5:F5"/>
    <mergeCell ref="A7:B7"/>
    <mergeCell ref="C7:F7"/>
    <mergeCell ref="A6:B6"/>
    <mergeCell ref="C6:F6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1:B21"/>
    <mergeCell ref="C21:F21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C37:F37"/>
    <mergeCell ref="G28:I28"/>
    <mergeCell ref="A36:B36"/>
    <mergeCell ref="C36:F36"/>
    <mergeCell ref="A32:B32"/>
    <mergeCell ref="C32:F32"/>
  </mergeCells>
  <phoneticPr fontId="2"/>
  <pageMargins left="0.51181102362204722" right="0.11811023622047245" top="0.35433070866141736" bottom="0" header="0.31496062992125984" footer="0.31496062992125984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6月分</vt:lpstr>
      <vt:lpstr>賃金集計表</vt:lpstr>
      <vt:lpstr>給料支払明細書</vt:lpstr>
      <vt:lpstr>給料支払明細書（2）</vt:lpstr>
      <vt:lpstr>時給計算書</vt:lpstr>
      <vt:lpstr>6月集計表</vt:lpstr>
      <vt:lpstr>Sheet2</vt:lpstr>
      <vt:lpstr>'6月集計表'!Print_Area</vt:lpstr>
      <vt:lpstr>'6月分'!Print_Area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2015-07-16T01:35:39Z</cp:lastPrinted>
  <dcterms:created xsi:type="dcterms:W3CDTF">2015-04-15T05:06:26Z</dcterms:created>
  <dcterms:modified xsi:type="dcterms:W3CDTF">2015-07-16T01:35:44Z</dcterms:modified>
</cp:coreProperties>
</file>