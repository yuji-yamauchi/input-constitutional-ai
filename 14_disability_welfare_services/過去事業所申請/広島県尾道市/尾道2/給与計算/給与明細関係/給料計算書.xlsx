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28800" windowHeight="12450" activeTab="1"/>
  </bookViews>
  <sheets>
    <sheet name="3月分" sheetId="1" r:id="rId1"/>
    <sheet name="Sheet2" sheetId="2" r:id="rId2"/>
  </sheets>
  <definedNames>
    <definedName name="_xlnm.Print_Area" localSheetId="0">'3月分'!$A$1:$AO$24</definedName>
    <definedName name="_xlnm.Print_Area" localSheetId="1">Sheet2!$A$1:$P$75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2" l="1"/>
  <c r="H4" i="2"/>
  <c r="K49" i="2"/>
  <c r="E40" i="2"/>
  <c r="D43" i="2" s="1"/>
  <c r="N64" i="2"/>
  <c r="A73" i="2"/>
  <c r="H64" i="2"/>
  <c r="N49" i="2"/>
  <c r="A58" i="2"/>
  <c r="H49" i="2"/>
  <c r="N34" i="2"/>
  <c r="K34" i="2"/>
  <c r="C37" i="2" s="1"/>
  <c r="H34" i="2"/>
  <c r="A37" i="2" s="1"/>
  <c r="D73" i="2"/>
  <c r="D58" i="2"/>
  <c r="D28" i="2"/>
  <c r="A28" i="2"/>
  <c r="D13" i="2"/>
  <c r="A13" i="2"/>
  <c r="G13" i="2" s="1"/>
  <c r="A43" i="2" l="1"/>
  <c r="G58" i="2"/>
  <c r="G28" i="2"/>
  <c r="G73" i="2"/>
  <c r="G43" i="2"/>
</calcChain>
</file>

<file path=xl/sharedStrings.xml><?xml version="1.0" encoding="utf-8"?>
<sst xmlns="http://schemas.openxmlformats.org/spreadsheetml/2006/main" count="250" uniqueCount="50">
  <si>
    <t>平成　27年　3月度</t>
    <rPh sb="0" eb="2">
      <t>ヘイセイ</t>
    </rPh>
    <rPh sb="5" eb="6">
      <t>ネン</t>
    </rPh>
    <rPh sb="8" eb="10">
      <t>ガツド</t>
    </rPh>
    <phoneticPr fontId="2"/>
  </si>
  <si>
    <t>出　　　勤　　　簿</t>
    <rPh sb="0" eb="1">
      <t>デ</t>
    </rPh>
    <rPh sb="4" eb="5">
      <t>ツトム</t>
    </rPh>
    <rPh sb="8" eb="9">
      <t>ボ</t>
    </rPh>
    <phoneticPr fontId="2"/>
  </si>
  <si>
    <t>　　　　　　　　　　日</t>
    <rPh sb="10" eb="11">
      <t>ヒ</t>
    </rPh>
    <phoneticPr fontId="2"/>
  </si>
  <si>
    <t>出勤日数</t>
    <rPh sb="0" eb="2">
      <t>シュッキン</t>
    </rPh>
    <rPh sb="2" eb="4">
      <t>ニッスウ</t>
    </rPh>
    <phoneticPr fontId="2"/>
  </si>
  <si>
    <t>休日出勤日数</t>
    <rPh sb="0" eb="2">
      <t>キュウジツ</t>
    </rPh>
    <rPh sb="2" eb="4">
      <t>シュッキン</t>
    </rPh>
    <rPh sb="4" eb="6">
      <t>ニッスウ</t>
    </rPh>
    <phoneticPr fontId="2"/>
  </si>
  <si>
    <t>欠勤日数</t>
    <rPh sb="0" eb="2">
      <t>ケッキン</t>
    </rPh>
    <rPh sb="2" eb="4">
      <t>ニッスウ</t>
    </rPh>
    <phoneticPr fontId="2"/>
  </si>
  <si>
    <t>遅刻早引時間</t>
    <rPh sb="0" eb="2">
      <t>チコク</t>
    </rPh>
    <rPh sb="2" eb="3">
      <t>ハヤ</t>
    </rPh>
    <rPh sb="3" eb="4">
      <t>ヒ</t>
    </rPh>
    <rPh sb="4" eb="6">
      <t>ジカン</t>
    </rPh>
    <phoneticPr fontId="2"/>
  </si>
  <si>
    <t>時間外労働</t>
    <rPh sb="0" eb="3">
      <t>ジカンガイ</t>
    </rPh>
    <rPh sb="3" eb="5">
      <t>ロウドウ</t>
    </rPh>
    <phoneticPr fontId="2"/>
  </si>
  <si>
    <r>
      <t>氏　　名　　　　　</t>
    </r>
    <r>
      <rPr>
        <sz val="9"/>
        <rFont val="ＭＳ Ｐゴシック"/>
        <family val="3"/>
        <charset val="128"/>
      </rPr>
      <t>曜</t>
    </r>
    <rPh sb="0" eb="1">
      <t>シ</t>
    </rPh>
    <rPh sb="3" eb="4">
      <t>メイ</t>
    </rPh>
    <rPh sb="9" eb="10">
      <t>ヒカリ</t>
    </rPh>
    <phoneticPr fontId="2"/>
  </si>
  <si>
    <t>日</t>
    <rPh sb="0" eb="1">
      <t>ニチ</t>
    </rPh>
    <phoneticPr fontId="2"/>
  </si>
  <si>
    <t>月</t>
    <rPh sb="0" eb="1">
      <t>ツキ</t>
    </rPh>
    <phoneticPr fontId="2"/>
  </si>
  <si>
    <t>火</t>
    <rPh sb="0" eb="1">
      <t>ヒ</t>
    </rPh>
    <phoneticPr fontId="2"/>
  </si>
  <si>
    <t>水</t>
    <rPh sb="0" eb="1">
      <t>ミズ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</si>
  <si>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</si>
  <si>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</si>
  <si>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土</t>
    <rPh sb="0" eb="1">
      <t>ツチ</t>
    </rPh>
    <phoneticPr fontId="2"/>
  </si>
  <si>
    <t>早出残業</t>
    <rPh sb="0" eb="2">
      <t>ハヤデ</t>
    </rPh>
    <rPh sb="2" eb="4">
      <t>ザンギョウ</t>
    </rPh>
    <phoneticPr fontId="2"/>
  </si>
  <si>
    <t>深夜</t>
    <rPh sb="0" eb="2">
      <t>シンヤ</t>
    </rPh>
    <phoneticPr fontId="2"/>
  </si>
  <si>
    <t>休日</t>
    <rPh sb="0" eb="2">
      <t>キュウジツ</t>
    </rPh>
    <phoneticPr fontId="2"/>
  </si>
  <si>
    <t>休</t>
    <rPh sb="0" eb="1">
      <t>ヤス</t>
    </rPh>
    <phoneticPr fontId="2"/>
  </si>
  <si>
    <t>岡崎　峻喬</t>
    <rPh sb="0" eb="2">
      <t>オカザキ</t>
    </rPh>
    <rPh sb="3" eb="4">
      <t>シュン</t>
    </rPh>
    <rPh sb="4" eb="5">
      <t>タカシ</t>
    </rPh>
    <phoneticPr fontId="2"/>
  </si>
  <si>
    <t>山内　雄司</t>
    <rPh sb="0" eb="2">
      <t>ヤマウチ</t>
    </rPh>
    <rPh sb="3" eb="5">
      <t>ユウジ</t>
    </rPh>
    <phoneticPr fontId="2"/>
  </si>
  <si>
    <t>大元　照美</t>
    <rPh sb="0" eb="2">
      <t>オオモト</t>
    </rPh>
    <rPh sb="3" eb="4">
      <t>テル</t>
    </rPh>
    <rPh sb="4" eb="5">
      <t>ミ</t>
    </rPh>
    <phoneticPr fontId="2"/>
  </si>
  <si>
    <t>山内　ノリ子</t>
    <rPh sb="0" eb="2">
      <t>ヤマウチ</t>
    </rPh>
    <rPh sb="5" eb="6">
      <t>コ</t>
    </rPh>
    <phoneticPr fontId="2"/>
  </si>
  <si>
    <t>給料支払明細書</t>
    <rPh sb="0" eb="2">
      <t>キュウリョウ</t>
    </rPh>
    <rPh sb="2" eb="4">
      <t>シハラ</t>
    </rPh>
    <rPh sb="4" eb="7">
      <t>メイサイショ</t>
    </rPh>
    <phoneticPr fontId="2"/>
  </si>
  <si>
    <t>平成27年3月分</t>
    <rPh sb="0" eb="2">
      <t>ヘイセイ</t>
    </rPh>
    <rPh sb="4" eb="5">
      <t>ネン</t>
    </rPh>
    <rPh sb="6" eb="7">
      <t>ガツ</t>
    </rPh>
    <rPh sb="7" eb="8">
      <t>ブン</t>
    </rPh>
    <phoneticPr fontId="2"/>
  </si>
  <si>
    <t>氏名</t>
    <rPh sb="0" eb="2">
      <t>シメイ</t>
    </rPh>
    <phoneticPr fontId="2"/>
  </si>
  <si>
    <t>労働日数</t>
    <rPh sb="0" eb="2">
      <t>ロウドウ</t>
    </rPh>
    <rPh sb="2" eb="3">
      <t>ヒ</t>
    </rPh>
    <rPh sb="3" eb="4">
      <t>カズ</t>
    </rPh>
    <phoneticPr fontId="2"/>
  </si>
  <si>
    <t>労働時間</t>
    <rPh sb="0" eb="2">
      <t>ロウドウ</t>
    </rPh>
    <rPh sb="2" eb="4">
      <t>ジカン</t>
    </rPh>
    <phoneticPr fontId="2"/>
  </si>
  <si>
    <t>時間外労働時間</t>
    <rPh sb="0" eb="3">
      <t>ジカンガイ</t>
    </rPh>
    <rPh sb="3" eb="5">
      <t>ロウドウ</t>
    </rPh>
    <rPh sb="5" eb="7">
      <t>ジカン</t>
    </rPh>
    <phoneticPr fontId="2"/>
  </si>
  <si>
    <t>基本給</t>
    <rPh sb="0" eb="3">
      <t>キホンキュウ</t>
    </rPh>
    <phoneticPr fontId="2"/>
  </si>
  <si>
    <t>手当</t>
    <rPh sb="0" eb="2">
      <t>テアテ</t>
    </rPh>
    <phoneticPr fontId="2"/>
  </si>
  <si>
    <t>社会保険料</t>
    <rPh sb="0" eb="2">
      <t>シャカイ</t>
    </rPh>
    <rPh sb="2" eb="4">
      <t>ホケン</t>
    </rPh>
    <rPh sb="4" eb="5">
      <t>リョウ</t>
    </rPh>
    <phoneticPr fontId="2"/>
  </si>
  <si>
    <t>厚生年金</t>
    <rPh sb="0" eb="2">
      <t>コウセイ</t>
    </rPh>
    <rPh sb="2" eb="4">
      <t>ネンキン</t>
    </rPh>
    <phoneticPr fontId="2"/>
  </si>
  <si>
    <t>雇用保険料</t>
    <rPh sb="0" eb="2">
      <t>コヨウ</t>
    </rPh>
    <rPh sb="2" eb="4">
      <t>ホケン</t>
    </rPh>
    <rPh sb="4" eb="5">
      <t>リョウ</t>
    </rPh>
    <phoneticPr fontId="2"/>
  </si>
  <si>
    <t>市民税</t>
    <rPh sb="0" eb="3">
      <t>シミンゼイ</t>
    </rPh>
    <phoneticPr fontId="2"/>
  </si>
  <si>
    <t>所得税</t>
    <rPh sb="0" eb="3">
      <t>ショトクゼイ</t>
    </rPh>
    <phoneticPr fontId="2"/>
  </si>
  <si>
    <t>総支給額</t>
    <rPh sb="0" eb="1">
      <t>ソウ</t>
    </rPh>
    <rPh sb="1" eb="4">
      <t>シキュウガク</t>
    </rPh>
    <phoneticPr fontId="2"/>
  </si>
  <si>
    <t>控除額</t>
    <rPh sb="0" eb="2">
      <t>コウジョ</t>
    </rPh>
    <rPh sb="2" eb="3">
      <t>ガク</t>
    </rPh>
    <phoneticPr fontId="2"/>
  </si>
  <si>
    <t>差引支給額</t>
    <rPh sb="0" eb="2">
      <t>サシヒ</t>
    </rPh>
    <rPh sb="2" eb="5">
      <t>シキュウガク</t>
    </rPh>
    <phoneticPr fontId="2"/>
  </si>
  <si>
    <t>一般社団法人　チャレンジド尾道</t>
    <rPh sb="0" eb="2">
      <t>イッパン</t>
    </rPh>
    <rPh sb="2" eb="4">
      <t>シャダン</t>
    </rPh>
    <rPh sb="4" eb="6">
      <t>ホウジン</t>
    </rPh>
    <rPh sb="13" eb="15">
      <t>オノミチ</t>
    </rPh>
    <phoneticPr fontId="2"/>
  </si>
  <si>
    <t>就労継続支援（Ｂ型）施設　カイト御調</t>
    <rPh sb="0" eb="2">
      <t>シュウロウ</t>
    </rPh>
    <rPh sb="2" eb="4">
      <t>ケイゾク</t>
    </rPh>
    <rPh sb="4" eb="6">
      <t>シエン</t>
    </rPh>
    <rPh sb="8" eb="9">
      <t>ガタ</t>
    </rPh>
    <rPh sb="10" eb="12">
      <t>シセツ</t>
    </rPh>
    <rPh sb="16" eb="18">
      <t>ミツギ</t>
    </rPh>
    <phoneticPr fontId="2"/>
  </si>
  <si>
    <r>
      <rPr>
        <b/>
        <sz val="18"/>
        <rFont val="ＭＳ 明朝"/>
        <family val="1"/>
        <charset val="128"/>
      </rPr>
      <t>岡崎　峻喬</t>
    </r>
    <r>
      <rPr>
        <b/>
        <sz val="14"/>
        <rFont val="ＭＳ 明朝"/>
        <family val="1"/>
        <charset val="128"/>
      </rPr>
      <t>　　殿</t>
    </r>
    <rPh sb="0" eb="2">
      <t>オカザキ</t>
    </rPh>
    <rPh sb="3" eb="4">
      <t>シュン</t>
    </rPh>
    <rPh sb="4" eb="5">
      <t>タカシ</t>
    </rPh>
    <rPh sb="7" eb="8">
      <t>ドノ</t>
    </rPh>
    <phoneticPr fontId="2"/>
  </si>
  <si>
    <r>
      <t>山内　雄司　　</t>
    </r>
    <r>
      <rPr>
        <b/>
        <sz val="14"/>
        <rFont val="ＭＳ 明朝"/>
        <family val="1"/>
        <charset val="128"/>
      </rPr>
      <t>殿</t>
    </r>
    <rPh sb="0" eb="2">
      <t>ヤマウチ</t>
    </rPh>
    <rPh sb="3" eb="5">
      <t>ユウジ</t>
    </rPh>
    <rPh sb="7" eb="8">
      <t>ドノ</t>
    </rPh>
    <phoneticPr fontId="2"/>
  </si>
  <si>
    <r>
      <t>大元　照美　</t>
    </r>
    <r>
      <rPr>
        <b/>
        <sz val="14"/>
        <rFont val="ＭＳ 明朝"/>
        <family val="1"/>
        <charset val="128"/>
      </rPr>
      <t>殿</t>
    </r>
    <rPh sb="0" eb="2">
      <t>オオモト</t>
    </rPh>
    <rPh sb="3" eb="4">
      <t>テル</t>
    </rPh>
    <rPh sb="4" eb="5">
      <t>ミ</t>
    </rPh>
    <rPh sb="6" eb="7">
      <t>ドノ</t>
    </rPh>
    <phoneticPr fontId="2"/>
  </si>
  <si>
    <r>
      <t>山内　ノリ子　</t>
    </r>
    <r>
      <rPr>
        <b/>
        <sz val="14"/>
        <rFont val="ＭＳ 明朝"/>
        <family val="1"/>
        <charset val="128"/>
      </rPr>
      <t>殿</t>
    </r>
    <rPh sb="0" eb="2">
      <t>ヤマウチ</t>
    </rPh>
    <rPh sb="5" eb="6">
      <t>コ</t>
    </rPh>
    <rPh sb="7" eb="8">
      <t>ドノ</t>
    </rPh>
    <phoneticPr fontId="2"/>
  </si>
  <si>
    <t>出</t>
    <rPh sb="0" eb="1">
      <t>デ</t>
    </rPh>
    <phoneticPr fontId="2"/>
  </si>
  <si>
    <t>4Ｈ</t>
    <phoneticPr fontId="2"/>
  </si>
  <si>
    <t>瀬戸　光代</t>
    <rPh sb="0" eb="2">
      <t>セト</t>
    </rPh>
    <rPh sb="3" eb="5">
      <t>ミツヨ</t>
    </rPh>
    <phoneticPr fontId="2"/>
  </si>
  <si>
    <r>
      <t>瀬戸　光代　　</t>
    </r>
    <r>
      <rPr>
        <b/>
        <sz val="14"/>
        <rFont val="ＭＳ 明朝"/>
        <family val="1"/>
        <charset val="128"/>
      </rPr>
      <t>殿</t>
    </r>
    <rPh sb="0" eb="2">
      <t>セト</t>
    </rPh>
    <rPh sb="3" eb="5">
      <t>ミツヨ</t>
    </rPh>
    <rPh sb="7" eb="8">
      <t>ドノ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</si>
</sst>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_ "/>
    <numFmt numFmtId="177" formatCode="0_);[Red]\(0\)"/>
  </numFmts>
  <fonts count="14"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4"/>
      <name val="ＭＳ 明朝"/>
      <family val="1"/>
      <charset val="128"/>
    </font>
    <font>
      <b/>
      <sz val="18"/>
      <name val="ＭＳ 明朝"/>
      <family val="1"/>
      <charset val="128"/>
    </font>
    <font>
      <b/>
      <sz val="12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ashDotDot">
        <color auto="1"/>
      </top>
      <bottom/>
      <diagonal/>
    </border>
    <border>
      <left/>
      <right/>
      <top/>
      <bottom style="dashDotDot">
        <color auto="1"/>
      </bottom>
      <diagonal/>
    </border>
  </borders>
  <cellStyleXfs count="1">
    <xf numFmtId="0" fontId="0" fillId="0" borderId="0">
      <alignment vertical="center"/>
    </xf>
  </cellStyleXfs>
  <cellXfs count="111">
    <xf numFmtId="0" fontId="0" fillId="0" borderId="0" xfId="0">
      <alignment vertical="center"/>
    </xf>
    <xf numFmtId="0" fontId="0" fillId="0" borderId="3" xfId="0" applyBorder="1">
      <alignment vertical="center"/>
    </xf>
    <xf numFmtId="0" fontId="4" fillId="0" borderId="4" xfId="0" applyFont="1" applyBorder="1" applyAlignment="1">
      <alignment horizontal="right" vertical="top"/>
    </xf>
    <xf numFmtId="0" fontId="5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vertical="top"/>
    </xf>
    <xf numFmtId="0" fontId="5" fillId="0" borderId="11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5" xfId="0" applyFont="1" applyBorder="1" applyAlignment="1">
      <alignment horizontal="justify" vertical="center"/>
    </xf>
    <xf numFmtId="0" fontId="0" fillId="0" borderId="16" xfId="0" applyFont="1" applyFill="1" applyBorder="1" applyAlignment="1">
      <alignment horizontal="center" vertical="center"/>
    </xf>
    <xf numFmtId="0" fontId="0" fillId="3" borderId="16" xfId="0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8" fillId="0" borderId="15" xfId="0" applyFont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2" borderId="16" xfId="0" applyFont="1" applyFill="1" applyBorder="1">
      <alignment vertical="center"/>
    </xf>
    <xf numFmtId="0" fontId="0" fillId="0" borderId="16" xfId="0" applyFont="1" applyFill="1" applyBorder="1">
      <alignment vertical="center"/>
    </xf>
    <xf numFmtId="0" fontId="0" fillId="0" borderId="16" xfId="0" applyBorder="1">
      <alignment vertical="center"/>
    </xf>
    <xf numFmtId="0" fontId="8" fillId="0" borderId="16" xfId="0" applyFont="1" applyBorder="1">
      <alignment vertical="center"/>
    </xf>
    <xf numFmtId="0" fontId="0" fillId="0" borderId="19" xfId="0" applyBorder="1">
      <alignment vertical="center"/>
    </xf>
    <xf numFmtId="0" fontId="0" fillId="0" borderId="18" xfId="0" applyBorder="1">
      <alignment vertical="center"/>
    </xf>
    <xf numFmtId="0" fontId="9" fillId="2" borderId="16" xfId="0" applyFont="1" applyFill="1" applyBorder="1" applyAlignment="1">
      <alignment horizontal="center" vertical="center"/>
    </xf>
    <xf numFmtId="0" fontId="0" fillId="3" borderId="16" xfId="0" applyFont="1" applyFill="1" applyBorder="1">
      <alignment vertical="center"/>
    </xf>
    <xf numFmtId="0" fontId="0" fillId="0" borderId="20" xfId="0" applyFont="1" applyFill="1" applyBorder="1">
      <alignment vertical="center"/>
    </xf>
    <xf numFmtId="0" fontId="10" fillId="0" borderId="16" xfId="0" applyFont="1" applyBorder="1">
      <alignment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176" fontId="10" fillId="0" borderId="16" xfId="0" applyNumberFormat="1" applyFont="1" applyBorder="1">
      <alignment vertical="center"/>
    </xf>
    <xf numFmtId="0" fontId="0" fillId="0" borderId="20" xfId="0" applyFont="1" applyFill="1" applyBorder="1" applyAlignment="1">
      <alignment horizontal="center" vertical="center"/>
    </xf>
    <xf numFmtId="20" fontId="0" fillId="0" borderId="16" xfId="0" applyNumberFormat="1" applyFont="1" applyFill="1" applyBorder="1" applyAlignment="1">
      <alignment horizontal="center" vertical="center"/>
    </xf>
    <xf numFmtId="20" fontId="0" fillId="3" borderId="16" xfId="0" applyNumberFormat="1" applyFont="1" applyFill="1" applyBorder="1" applyAlignment="1">
      <alignment horizontal="center" vertical="center"/>
    </xf>
    <xf numFmtId="46" fontId="0" fillId="0" borderId="16" xfId="0" applyNumberFormat="1" applyBorder="1" applyAlignment="1">
      <alignment vertical="center" shrinkToFit="1"/>
    </xf>
    <xf numFmtId="177" fontId="8" fillId="0" borderId="16" xfId="0" applyNumberFormat="1" applyFont="1" applyBorder="1">
      <alignment vertical="center"/>
    </xf>
    <xf numFmtId="46" fontId="0" fillId="0" borderId="16" xfId="0" applyNumberFormat="1" applyBorder="1">
      <alignment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justify" vertical="center"/>
    </xf>
    <xf numFmtId="0" fontId="0" fillId="2" borderId="11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8" fillId="0" borderId="11" xfId="0" applyFont="1" applyBorder="1">
      <alignment vertical="center"/>
    </xf>
    <xf numFmtId="0" fontId="0" fillId="0" borderId="13" xfId="0" applyBorder="1">
      <alignment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176" fontId="0" fillId="0" borderId="0" xfId="0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0" fontId="13" fillId="0" borderId="0" xfId="0" applyFont="1" applyBorder="1" applyAlignment="1">
      <alignment horizontal="center" vertical="center"/>
    </xf>
    <xf numFmtId="3" fontId="11" fillId="0" borderId="0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11" fillId="0" borderId="0" xfId="0" applyFont="1" applyBorder="1">
      <alignment vertical="center"/>
    </xf>
    <xf numFmtId="0" fontId="0" fillId="0" borderId="29" xfId="0" applyBorder="1">
      <alignment vertical="center"/>
    </xf>
    <xf numFmtId="0" fontId="9" fillId="2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20" fontId="0" fillId="0" borderId="16" xfId="0" applyNumberFormat="1" applyFont="1" applyFill="1" applyBorder="1">
      <alignment vertical="center"/>
    </xf>
    <xf numFmtId="20" fontId="0" fillId="0" borderId="16" xfId="0" applyNumberFormat="1" applyBorder="1" applyAlignment="1">
      <alignment vertical="center" shrinkToFi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11" fillId="0" borderId="25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3" fontId="11" fillId="0" borderId="26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0" fontId="13" fillId="0" borderId="5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3" fontId="11" fillId="0" borderId="12" xfId="0" applyNumberFormat="1" applyFont="1" applyBorder="1" applyAlignment="1">
      <alignment vertical="center"/>
    </xf>
    <xf numFmtId="3" fontId="11" fillId="0" borderId="11" xfId="0" applyNumberFormat="1" applyFont="1" applyBorder="1" applyAlignment="1">
      <alignment vertical="center"/>
    </xf>
    <xf numFmtId="3" fontId="11" fillId="0" borderId="13" xfId="0" applyNumberFormat="1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shrinkToFit="1"/>
    </xf>
    <xf numFmtId="0" fontId="12" fillId="0" borderId="2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0" fontId="11" fillId="0" borderId="1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6" fontId="11" fillId="0" borderId="11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</xdr:col>
      <xdr:colOff>1190625</xdr:colOff>
      <xdr:row>2</xdr:row>
      <xdr:rowOff>219075</xdr:rowOff>
    </xdr:to>
    <xdr:cxnSp macro="">
      <xdr:nvCxnSpPr>
        <xdr:cNvPr id="2" name="AutoShape 1"/>
        <xdr:cNvCxnSpPr>
          <a:cxnSpLocks noChangeShapeType="1"/>
        </xdr:cNvCxnSpPr>
      </xdr:nvCxnSpPr>
      <xdr:spPr bwMode="auto">
        <a:xfrm>
          <a:off x="285750" y="466725"/>
          <a:ext cx="1190625" cy="2095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</xdr:row>
      <xdr:rowOff>85725</xdr:rowOff>
    </xdr:from>
    <xdr:to>
      <xdr:col>1</xdr:col>
      <xdr:colOff>1190625</xdr:colOff>
      <xdr:row>3</xdr:row>
      <xdr:rowOff>247650</xdr:rowOff>
    </xdr:to>
    <xdr:cxnSp macro="">
      <xdr:nvCxnSpPr>
        <xdr:cNvPr id="3" name="AutoShape 2"/>
        <xdr:cNvCxnSpPr>
          <a:cxnSpLocks noChangeShapeType="1"/>
        </xdr:cNvCxnSpPr>
      </xdr:nvCxnSpPr>
      <xdr:spPr bwMode="auto">
        <a:xfrm>
          <a:off x="285750" y="447675"/>
          <a:ext cx="1190625" cy="6000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36"/>
  <sheetViews>
    <sheetView zoomScaleNormal="100" workbookViewId="0">
      <selection activeCell="B13" sqref="B13"/>
    </sheetView>
  </sheetViews>
  <sheetFormatPr defaultRowHeight="13.5"/>
  <cols>
    <col min="1" max="1" width="3.75" customWidth="1"/>
    <col min="2" max="2" width="15.75" customWidth="1"/>
    <col min="3" max="41" width="4.625" customWidth="1"/>
  </cols>
  <sheetData>
    <row r="1" spans="1:43" ht="28.5">
      <c r="A1" s="72" t="s">
        <v>0</v>
      </c>
      <c r="B1" s="72"/>
      <c r="C1" s="72"/>
      <c r="Q1" s="73" t="s">
        <v>1</v>
      </c>
      <c r="R1" s="73"/>
      <c r="S1" s="73"/>
      <c r="T1" s="73"/>
      <c r="U1" s="73"/>
      <c r="V1" s="73"/>
      <c r="W1" s="73"/>
      <c r="X1" s="73"/>
      <c r="Y1" s="73"/>
    </row>
    <row r="2" spans="1:43" ht="7.5" customHeight="1" thickBot="1">
      <c r="A2" s="74"/>
      <c r="B2" s="74"/>
      <c r="C2" s="74"/>
    </row>
    <row r="3" spans="1:43" ht="27" customHeight="1">
      <c r="A3" s="1"/>
      <c r="B3" s="2" t="s">
        <v>2</v>
      </c>
      <c r="C3" s="3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5">
        <v>7</v>
      </c>
      <c r="J3" s="3">
        <v>8</v>
      </c>
      <c r="K3" s="4">
        <v>9</v>
      </c>
      <c r="L3" s="4">
        <v>10</v>
      </c>
      <c r="M3" s="4">
        <v>11</v>
      </c>
      <c r="N3" s="4">
        <v>12</v>
      </c>
      <c r="O3" s="4">
        <v>13</v>
      </c>
      <c r="P3" s="5">
        <v>14</v>
      </c>
      <c r="Q3" s="3">
        <v>15</v>
      </c>
      <c r="R3" s="4">
        <v>16</v>
      </c>
      <c r="S3" s="4">
        <v>17</v>
      </c>
      <c r="T3" s="4">
        <v>18</v>
      </c>
      <c r="U3" s="4">
        <v>19</v>
      </c>
      <c r="V3" s="4">
        <v>20</v>
      </c>
      <c r="W3" s="5">
        <v>21</v>
      </c>
      <c r="X3" s="3">
        <v>22</v>
      </c>
      <c r="Y3" s="4">
        <v>23</v>
      </c>
      <c r="Z3" s="4">
        <v>24</v>
      </c>
      <c r="AA3" s="4">
        <v>25</v>
      </c>
      <c r="AB3" s="4">
        <v>26</v>
      </c>
      <c r="AC3" s="4">
        <v>27</v>
      </c>
      <c r="AD3" s="5">
        <v>28</v>
      </c>
      <c r="AE3" s="3">
        <v>29</v>
      </c>
      <c r="AF3" s="4">
        <v>30</v>
      </c>
      <c r="AG3" s="6">
        <v>31</v>
      </c>
      <c r="AH3" s="75" t="s">
        <v>3</v>
      </c>
      <c r="AI3" s="68" t="s">
        <v>28</v>
      </c>
      <c r="AJ3" s="68" t="s">
        <v>4</v>
      </c>
      <c r="AK3" s="68" t="s">
        <v>5</v>
      </c>
      <c r="AL3" s="68" t="s">
        <v>6</v>
      </c>
      <c r="AM3" s="70" t="s">
        <v>7</v>
      </c>
      <c r="AN3" s="70"/>
      <c r="AO3" s="71"/>
    </row>
    <row r="4" spans="1:43" ht="27" customHeight="1" thickBot="1">
      <c r="A4" s="7"/>
      <c r="B4" s="8" t="s">
        <v>8</v>
      </c>
      <c r="C4" s="9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11" t="s">
        <v>15</v>
      </c>
      <c r="J4" s="9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1" t="s">
        <v>15</v>
      </c>
      <c r="Q4" s="9" t="s">
        <v>9</v>
      </c>
      <c r="R4" s="10" t="s">
        <v>10</v>
      </c>
      <c r="S4" s="10" t="s">
        <v>11</v>
      </c>
      <c r="T4" s="10" t="s">
        <v>12</v>
      </c>
      <c r="U4" s="10" t="s">
        <v>13</v>
      </c>
      <c r="V4" s="10" t="s">
        <v>14</v>
      </c>
      <c r="W4" s="11" t="s">
        <v>15</v>
      </c>
      <c r="X4" s="9" t="s">
        <v>9</v>
      </c>
      <c r="Y4" s="10" t="s">
        <v>10</v>
      </c>
      <c r="Z4" s="10" t="s">
        <v>11</v>
      </c>
      <c r="AA4" s="10" t="s">
        <v>12</v>
      </c>
      <c r="AB4" s="10" t="s">
        <v>13</v>
      </c>
      <c r="AC4" s="10" t="s">
        <v>14</v>
      </c>
      <c r="AD4" s="11" t="s">
        <v>15</v>
      </c>
      <c r="AE4" s="9" t="s">
        <v>9</v>
      </c>
      <c r="AF4" s="10" t="s">
        <v>10</v>
      </c>
      <c r="AG4" s="10" t="s">
        <v>11</v>
      </c>
      <c r="AH4" s="76"/>
      <c r="AI4" s="69"/>
      <c r="AJ4" s="69"/>
      <c r="AK4" s="69"/>
      <c r="AL4" s="69"/>
      <c r="AM4" s="12" t="s">
        <v>16</v>
      </c>
      <c r="AN4" s="13" t="s">
        <v>17</v>
      </c>
      <c r="AO4" s="14" t="s">
        <v>18</v>
      </c>
    </row>
    <row r="5" spans="1:43" ht="30" customHeight="1">
      <c r="A5" s="15">
        <v>1</v>
      </c>
      <c r="B5" s="16" t="s">
        <v>20</v>
      </c>
      <c r="C5" s="63" t="s">
        <v>19</v>
      </c>
      <c r="D5" s="64" t="s">
        <v>46</v>
      </c>
      <c r="E5" s="64" t="s">
        <v>46</v>
      </c>
      <c r="F5" s="64" t="s">
        <v>46</v>
      </c>
      <c r="G5" s="64" t="s">
        <v>46</v>
      </c>
      <c r="H5" s="64" t="s">
        <v>46</v>
      </c>
      <c r="I5" s="35" t="s">
        <v>19</v>
      </c>
      <c r="J5" s="63" t="s">
        <v>19</v>
      </c>
      <c r="K5" s="64" t="s">
        <v>46</v>
      </c>
      <c r="L5" s="64" t="s">
        <v>46</v>
      </c>
      <c r="M5" s="64" t="s">
        <v>46</v>
      </c>
      <c r="N5" s="64" t="s">
        <v>46</v>
      </c>
      <c r="O5" s="64" t="s">
        <v>46</v>
      </c>
      <c r="P5" s="35" t="s">
        <v>19</v>
      </c>
      <c r="Q5" s="63" t="s">
        <v>19</v>
      </c>
      <c r="R5" s="64" t="s">
        <v>46</v>
      </c>
      <c r="S5" s="64" t="s">
        <v>46</v>
      </c>
      <c r="T5" s="64" t="s">
        <v>46</v>
      </c>
      <c r="U5" s="64" t="s">
        <v>46</v>
      </c>
      <c r="V5" s="64" t="s">
        <v>46</v>
      </c>
      <c r="W5" s="35" t="s">
        <v>19</v>
      </c>
      <c r="X5" s="63" t="s">
        <v>19</v>
      </c>
      <c r="Y5" s="64" t="s">
        <v>46</v>
      </c>
      <c r="Z5" s="64" t="s">
        <v>46</v>
      </c>
      <c r="AA5" s="64" t="s">
        <v>46</v>
      </c>
      <c r="AB5" s="64" t="s">
        <v>46</v>
      </c>
      <c r="AC5" s="64" t="s">
        <v>46</v>
      </c>
      <c r="AD5" s="35" t="s">
        <v>19</v>
      </c>
      <c r="AE5" s="63" t="s">
        <v>19</v>
      </c>
      <c r="AF5" s="64" t="s">
        <v>46</v>
      </c>
      <c r="AG5" s="64" t="s">
        <v>46</v>
      </c>
      <c r="AH5" s="20">
        <v>22</v>
      </c>
      <c r="AI5" s="21"/>
      <c r="AJ5" s="21"/>
      <c r="AK5" s="21"/>
      <c r="AL5" s="22"/>
      <c r="AM5" s="21"/>
      <c r="AN5" s="21"/>
      <c r="AO5" s="23"/>
    </row>
    <row r="6" spans="1:43" ht="30" customHeight="1">
      <c r="A6" s="24">
        <v>2</v>
      </c>
      <c r="B6" s="16"/>
      <c r="C6" s="25"/>
      <c r="D6" s="17"/>
      <c r="E6" s="17"/>
      <c r="F6" s="26"/>
      <c r="G6" s="26"/>
      <c r="H6" s="17"/>
      <c r="I6" s="18"/>
      <c r="J6" s="25"/>
      <c r="K6" s="17"/>
      <c r="L6" s="17"/>
      <c r="M6" s="26"/>
      <c r="N6" s="26"/>
      <c r="O6" s="17"/>
      <c r="P6" s="18"/>
      <c r="Q6" s="19"/>
      <c r="R6" s="17"/>
      <c r="S6" s="17"/>
      <c r="T6" s="26"/>
      <c r="U6" s="26"/>
      <c r="V6" s="17"/>
      <c r="W6" s="18"/>
      <c r="X6" s="25"/>
      <c r="Y6" s="17"/>
      <c r="Z6" s="17"/>
      <c r="AA6" s="26"/>
      <c r="AB6" s="26"/>
      <c r="AC6" s="17"/>
      <c r="AD6" s="18"/>
      <c r="AE6" s="25"/>
      <c r="AF6" s="17"/>
      <c r="AG6" s="17"/>
      <c r="AH6" s="20"/>
      <c r="AI6" s="27"/>
      <c r="AJ6" s="27"/>
      <c r="AK6" s="27"/>
      <c r="AL6" s="28"/>
      <c r="AM6" s="27"/>
      <c r="AN6" s="27"/>
      <c r="AO6" s="29"/>
    </row>
    <row r="7" spans="1:43" ht="30" customHeight="1">
      <c r="A7" s="24">
        <v>3</v>
      </c>
      <c r="B7" s="16" t="s">
        <v>21</v>
      </c>
      <c r="C7" s="63" t="s">
        <v>19</v>
      </c>
      <c r="D7" s="64" t="s">
        <v>46</v>
      </c>
      <c r="E7" s="64" t="s">
        <v>46</v>
      </c>
      <c r="F7" s="64" t="s">
        <v>46</v>
      </c>
      <c r="G7" s="64" t="s">
        <v>46</v>
      </c>
      <c r="H7" s="64" t="s">
        <v>46</v>
      </c>
      <c r="I7" s="35" t="s">
        <v>19</v>
      </c>
      <c r="J7" s="63" t="s">
        <v>19</v>
      </c>
      <c r="K7" s="64" t="s">
        <v>46</v>
      </c>
      <c r="L7" s="64" t="s">
        <v>46</v>
      </c>
      <c r="M7" s="64" t="s">
        <v>46</v>
      </c>
      <c r="N7" s="64" t="s">
        <v>46</v>
      </c>
      <c r="O7" s="64" t="s">
        <v>46</v>
      </c>
      <c r="P7" s="65" t="s">
        <v>46</v>
      </c>
      <c r="Q7" s="63" t="s">
        <v>19</v>
      </c>
      <c r="R7" s="64" t="s">
        <v>46</v>
      </c>
      <c r="S7" s="64" t="s">
        <v>46</v>
      </c>
      <c r="T7" s="64" t="s">
        <v>46</v>
      </c>
      <c r="U7" s="64" t="s">
        <v>46</v>
      </c>
      <c r="V7" s="64" t="s">
        <v>46</v>
      </c>
      <c r="W7" s="65" t="s">
        <v>46</v>
      </c>
      <c r="X7" s="63" t="s">
        <v>19</v>
      </c>
      <c r="Y7" s="64" t="s">
        <v>46</v>
      </c>
      <c r="Z7" s="64" t="s">
        <v>46</v>
      </c>
      <c r="AA7" s="36" t="s">
        <v>19</v>
      </c>
      <c r="AB7" s="64" t="s">
        <v>46</v>
      </c>
      <c r="AC7" s="36" t="s">
        <v>19</v>
      </c>
      <c r="AD7" s="35" t="s">
        <v>19</v>
      </c>
      <c r="AE7" s="63" t="s">
        <v>19</v>
      </c>
      <c r="AF7" s="64" t="s">
        <v>46</v>
      </c>
      <c r="AG7" s="64" t="s">
        <v>46</v>
      </c>
      <c r="AH7" s="20">
        <v>22</v>
      </c>
      <c r="AI7" s="27"/>
      <c r="AJ7" s="27"/>
      <c r="AK7" s="27"/>
      <c r="AL7" s="28"/>
      <c r="AM7" s="27"/>
      <c r="AN7" s="27"/>
      <c r="AO7" s="29"/>
    </row>
    <row r="8" spans="1:43" ht="30" customHeight="1">
      <c r="A8" s="24">
        <v>4</v>
      </c>
      <c r="B8" s="16"/>
      <c r="C8" s="25"/>
      <c r="D8" s="17"/>
      <c r="E8" s="17"/>
      <c r="F8" s="26"/>
      <c r="G8" s="26"/>
      <c r="H8" s="17"/>
      <c r="I8" s="18"/>
      <c r="J8" s="25"/>
      <c r="K8" s="17"/>
      <c r="L8" s="17"/>
      <c r="M8" s="26"/>
      <c r="N8" s="26"/>
      <c r="O8" s="17"/>
      <c r="P8" s="18"/>
      <c r="Q8" s="19"/>
      <c r="R8" s="17"/>
      <c r="S8" s="17"/>
      <c r="T8" s="26"/>
      <c r="U8" s="26"/>
      <c r="V8" s="17"/>
      <c r="W8" s="18"/>
      <c r="X8" s="25"/>
      <c r="Y8" s="17"/>
      <c r="Z8" s="17"/>
      <c r="AA8" s="26"/>
      <c r="AB8" s="26"/>
      <c r="AC8" s="17"/>
      <c r="AD8" s="18"/>
      <c r="AE8" s="25"/>
      <c r="AF8" s="17"/>
      <c r="AG8" s="17"/>
      <c r="AH8" s="20"/>
      <c r="AI8" s="27"/>
      <c r="AJ8" s="27"/>
      <c r="AK8" s="27"/>
      <c r="AL8" s="28"/>
      <c r="AM8" s="27"/>
      <c r="AN8" s="27"/>
      <c r="AO8" s="29"/>
    </row>
    <row r="9" spans="1:43" ht="30" customHeight="1">
      <c r="A9" s="24">
        <v>5</v>
      </c>
      <c r="B9" s="16" t="s">
        <v>22</v>
      </c>
      <c r="C9" s="63" t="s">
        <v>19</v>
      </c>
      <c r="D9" s="64" t="s">
        <v>46</v>
      </c>
      <c r="E9" s="64" t="s">
        <v>46</v>
      </c>
      <c r="F9" s="64" t="s">
        <v>46</v>
      </c>
      <c r="G9" s="64" t="s">
        <v>46</v>
      </c>
      <c r="H9" s="64" t="s">
        <v>46</v>
      </c>
      <c r="I9" s="35" t="s">
        <v>19</v>
      </c>
      <c r="J9" s="63" t="s">
        <v>19</v>
      </c>
      <c r="K9" s="64" t="s">
        <v>46</v>
      </c>
      <c r="L9" s="64" t="s">
        <v>46</v>
      </c>
      <c r="M9" s="64" t="s">
        <v>46</v>
      </c>
      <c r="N9" s="64" t="s">
        <v>47</v>
      </c>
      <c r="O9" s="64" t="s">
        <v>46</v>
      </c>
      <c r="P9" s="65" t="s">
        <v>47</v>
      </c>
      <c r="Q9" s="63" t="s">
        <v>19</v>
      </c>
      <c r="R9" s="64" t="s">
        <v>46</v>
      </c>
      <c r="S9" s="64" t="s">
        <v>46</v>
      </c>
      <c r="T9" s="64" t="s">
        <v>46</v>
      </c>
      <c r="U9" s="64" t="s">
        <v>46</v>
      </c>
      <c r="V9" s="64" t="s">
        <v>46</v>
      </c>
      <c r="W9" s="35" t="s">
        <v>19</v>
      </c>
      <c r="X9" s="63" t="s">
        <v>19</v>
      </c>
      <c r="Y9" s="64" t="s">
        <v>46</v>
      </c>
      <c r="Z9" s="64" t="s">
        <v>46</v>
      </c>
      <c r="AA9" s="64" t="s">
        <v>46</v>
      </c>
      <c r="AB9" s="64" t="s">
        <v>46</v>
      </c>
      <c r="AC9" s="64" t="s">
        <v>46</v>
      </c>
      <c r="AD9" s="35" t="s">
        <v>19</v>
      </c>
      <c r="AE9" s="63" t="s">
        <v>19</v>
      </c>
      <c r="AF9" s="64" t="s">
        <v>46</v>
      </c>
      <c r="AG9" s="64" t="s">
        <v>46</v>
      </c>
      <c r="AH9" s="30">
        <v>23</v>
      </c>
      <c r="AI9" s="27"/>
      <c r="AJ9" s="27"/>
      <c r="AK9" s="27"/>
      <c r="AL9" s="28"/>
      <c r="AM9" s="27"/>
      <c r="AN9" s="27"/>
      <c r="AO9" s="29"/>
      <c r="AQ9">
        <v>800</v>
      </c>
    </row>
    <row r="10" spans="1:43" ht="30" customHeight="1">
      <c r="A10" s="24">
        <v>6</v>
      </c>
      <c r="B10" s="16"/>
      <c r="C10" s="31"/>
      <c r="D10" s="26"/>
      <c r="E10" s="26"/>
      <c r="F10" s="26"/>
      <c r="G10" s="26"/>
      <c r="H10" s="26"/>
      <c r="I10" s="32"/>
      <c r="J10" s="31"/>
      <c r="K10" s="26"/>
      <c r="L10" s="26"/>
      <c r="M10" s="26"/>
      <c r="N10" s="26"/>
      <c r="O10" s="26"/>
      <c r="P10" s="32"/>
      <c r="Q10" s="31"/>
      <c r="R10" s="26"/>
      <c r="S10" s="26"/>
      <c r="T10" s="26"/>
      <c r="U10" s="26"/>
      <c r="V10" s="26"/>
      <c r="W10" s="32"/>
      <c r="X10" s="31"/>
      <c r="Y10" s="26"/>
      <c r="Z10" s="26"/>
      <c r="AA10" s="26"/>
      <c r="AB10" s="26"/>
      <c r="AC10" s="26"/>
      <c r="AD10" s="32"/>
      <c r="AE10" s="31"/>
      <c r="AF10" s="26"/>
      <c r="AG10" s="33"/>
      <c r="AH10" s="30"/>
      <c r="AI10" s="27"/>
      <c r="AJ10" s="27"/>
      <c r="AK10" s="27"/>
      <c r="AL10" s="34"/>
      <c r="AM10" s="27"/>
      <c r="AN10" s="27"/>
      <c r="AO10" s="29"/>
    </row>
    <row r="11" spans="1:43" ht="30" customHeight="1">
      <c r="A11" s="24">
        <v>7</v>
      </c>
      <c r="B11" s="16" t="s">
        <v>23</v>
      </c>
      <c r="C11" s="63" t="s">
        <v>19</v>
      </c>
      <c r="D11" s="40">
        <v>0.19236111111111112</v>
      </c>
      <c r="E11" s="40">
        <v>0.19444444444444445</v>
      </c>
      <c r="F11" s="40">
        <v>0.19236111111111112</v>
      </c>
      <c r="G11" s="40">
        <v>0.19930555555555554</v>
      </c>
      <c r="H11" s="40">
        <v>0.19444444444444445</v>
      </c>
      <c r="I11" s="35" t="s">
        <v>19</v>
      </c>
      <c r="J11" s="63" t="s">
        <v>19</v>
      </c>
      <c r="K11" s="40">
        <v>0.18055555555555555</v>
      </c>
      <c r="L11" s="40">
        <v>0.20208333333333331</v>
      </c>
      <c r="M11" s="66">
        <v>0.19791666666666666</v>
      </c>
      <c r="N11" s="40">
        <v>0.19027777777777777</v>
      </c>
      <c r="O11" s="40">
        <v>0.19791666666666666</v>
      </c>
      <c r="P11" s="41">
        <v>0.12847222222222224</v>
      </c>
      <c r="Q11" s="63" t="s">
        <v>19</v>
      </c>
      <c r="R11" s="40">
        <v>0.19791666666666666</v>
      </c>
      <c r="S11" s="40">
        <v>0.19999999999999998</v>
      </c>
      <c r="T11" s="40">
        <v>7.3611111111111113E-2</v>
      </c>
      <c r="U11" s="66">
        <v>0.18819444444444444</v>
      </c>
      <c r="V11" s="66">
        <v>0.19305555555555554</v>
      </c>
      <c r="W11" s="35" t="s">
        <v>19</v>
      </c>
      <c r="X11" s="63" t="s">
        <v>19</v>
      </c>
      <c r="Y11" s="40">
        <v>0.18888888888888888</v>
      </c>
      <c r="Z11" s="40">
        <v>0.19305555555555554</v>
      </c>
      <c r="AA11" s="66">
        <v>0.19930555555555554</v>
      </c>
      <c r="AB11" s="40">
        <v>0.15555555555555556</v>
      </c>
      <c r="AC11" s="40">
        <v>0.18611111111111112</v>
      </c>
      <c r="AD11" s="35" t="s">
        <v>19</v>
      </c>
      <c r="AE11" s="63" t="s">
        <v>19</v>
      </c>
      <c r="AF11" s="66">
        <v>0.19236111111111112</v>
      </c>
      <c r="AG11" s="40">
        <v>0.18819444444444444</v>
      </c>
      <c r="AH11" s="30">
        <v>23</v>
      </c>
      <c r="AI11" s="42">
        <v>4.2263888888888888</v>
      </c>
      <c r="AJ11" s="27"/>
      <c r="AK11" s="27"/>
      <c r="AL11" s="28"/>
      <c r="AM11" s="27"/>
      <c r="AN11" s="27"/>
      <c r="AO11" s="29"/>
      <c r="AQ11">
        <v>800</v>
      </c>
    </row>
    <row r="12" spans="1:43" ht="30" customHeight="1">
      <c r="A12" s="24">
        <v>8</v>
      </c>
      <c r="B12" s="16"/>
      <c r="C12" s="31"/>
      <c r="D12" s="17"/>
      <c r="E12" s="17"/>
      <c r="F12" s="17"/>
      <c r="G12" s="17"/>
      <c r="H12" s="17"/>
      <c r="I12" s="18"/>
      <c r="J12" s="31"/>
      <c r="K12" s="17"/>
      <c r="L12" s="17"/>
      <c r="M12" s="17"/>
      <c r="N12" s="17"/>
      <c r="O12" s="17"/>
      <c r="P12" s="18"/>
      <c r="Q12" s="31"/>
      <c r="R12" s="17"/>
      <c r="S12" s="17"/>
      <c r="T12" s="17"/>
      <c r="U12" s="17"/>
      <c r="V12" s="17"/>
      <c r="W12" s="18"/>
      <c r="X12" s="31"/>
      <c r="Y12" s="17"/>
      <c r="Z12" s="17"/>
      <c r="AA12" s="17"/>
      <c r="AB12" s="17"/>
      <c r="AC12" s="17"/>
      <c r="AD12" s="35"/>
      <c r="AE12" s="31"/>
      <c r="AF12" s="17"/>
      <c r="AG12" s="17"/>
      <c r="AH12" s="30"/>
      <c r="AI12" s="27"/>
      <c r="AJ12" s="27"/>
      <c r="AK12" s="27"/>
      <c r="AL12" s="28"/>
      <c r="AM12" s="27"/>
      <c r="AN12" s="27"/>
      <c r="AO12" s="29"/>
    </row>
    <row r="13" spans="1:43" ht="30" customHeight="1">
      <c r="A13" s="24">
        <v>9</v>
      </c>
      <c r="B13" s="16" t="s">
        <v>48</v>
      </c>
      <c r="C13" s="19"/>
      <c r="D13" s="17"/>
      <c r="E13" s="17"/>
      <c r="F13" s="17"/>
      <c r="G13" s="17"/>
      <c r="H13" s="17"/>
      <c r="I13" s="32"/>
      <c r="J13" s="19"/>
      <c r="K13" s="26"/>
      <c r="L13" s="17"/>
      <c r="M13" s="26"/>
      <c r="N13" s="17"/>
      <c r="O13" s="17"/>
      <c r="P13" s="18"/>
      <c r="Q13" s="19"/>
      <c r="R13" s="17"/>
      <c r="S13" s="17"/>
      <c r="T13" s="17"/>
      <c r="U13" s="17"/>
      <c r="V13" s="26"/>
      <c r="W13" s="18"/>
      <c r="X13" s="31"/>
      <c r="Y13" s="26"/>
      <c r="Z13" s="17"/>
      <c r="AA13" s="26"/>
      <c r="AB13" s="17"/>
      <c r="AC13" s="17"/>
      <c r="AD13" s="18"/>
      <c r="AE13" s="19"/>
      <c r="AF13" s="40">
        <v>0.21805555555555556</v>
      </c>
      <c r="AG13" s="40">
        <v>0.22500000000000001</v>
      </c>
      <c r="AH13" s="30">
        <v>2</v>
      </c>
      <c r="AI13" s="67">
        <v>0.44305555555555554</v>
      </c>
      <c r="AJ13" s="27"/>
      <c r="AK13" s="27"/>
      <c r="AL13" s="28"/>
      <c r="AM13" s="27"/>
      <c r="AN13" s="27"/>
      <c r="AO13" s="29"/>
      <c r="AQ13">
        <v>800</v>
      </c>
    </row>
    <row r="14" spans="1:43" ht="30" customHeight="1">
      <c r="A14" s="24">
        <v>10</v>
      </c>
      <c r="B14" s="16"/>
      <c r="C14" s="31"/>
      <c r="D14" s="17"/>
      <c r="E14" s="17"/>
      <c r="F14" s="17"/>
      <c r="G14" s="36"/>
      <c r="H14" s="36"/>
      <c r="I14" s="35"/>
      <c r="J14" s="31"/>
      <c r="K14" s="17"/>
      <c r="L14" s="17"/>
      <c r="M14" s="17"/>
      <c r="N14" s="17"/>
      <c r="O14" s="17"/>
      <c r="P14" s="18"/>
      <c r="Q14" s="31"/>
      <c r="R14" s="17"/>
      <c r="S14" s="17"/>
      <c r="T14" s="17"/>
      <c r="U14" s="17"/>
      <c r="V14" s="17"/>
      <c r="W14" s="35"/>
      <c r="X14" s="31"/>
      <c r="Y14" s="17"/>
      <c r="Z14" s="17"/>
      <c r="AA14" s="36"/>
      <c r="AB14" s="17"/>
      <c r="AC14" s="17"/>
      <c r="AD14" s="35"/>
      <c r="AE14" s="31"/>
      <c r="AF14" s="17"/>
      <c r="AG14" s="17"/>
      <c r="AH14" s="37"/>
      <c r="AI14" s="27"/>
      <c r="AJ14" s="27"/>
      <c r="AK14" s="27"/>
      <c r="AL14" s="34"/>
      <c r="AM14" s="27"/>
      <c r="AN14" s="27"/>
      <c r="AO14" s="29"/>
    </row>
    <row r="15" spans="1:43" ht="30" customHeight="1">
      <c r="A15" s="24">
        <v>11</v>
      </c>
      <c r="B15" s="16"/>
      <c r="C15" s="19"/>
      <c r="D15" s="17"/>
      <c r="E15" s="17"/>
      <c r="F15" s="17"/>
      <c r="G15" s="17"/>
      <c r="H15" s="17"/>
      <c r="I15" s="18"/>
      <c r="J15" s="19"/>
      <c r="K15" s="26"/>
      <c r="L15" s="17"/>
      <c r="M15" s="17"/>
      <c r="N15" s="17"/>
      <c r="O15" s="17"/>
      <c r="P15" s="18"/>
      <c r="Q15" s="19"/>
      <c r="R15" s="17"/>
      <c r="S15" s="17"/>
      <c r="T15" s="17"/>
      <c r="U15" s="17"/>
      <c r="V15" s="17"/>
      <c r="W15" s="18"/>
      <c r="X15" s="19"/>
      <c r="Y15" s="17"/>
      <c r="Z15" s="17"/>
      <c r="AA15" s="17"/>
      <c r="AB15" s="17"/>
      <c r="AC15" s="17"/>
      <c r="AD15" s="18"/>
      <c r="AE15" s="19"/>
      <c r="AF15" s="17"/>
      <c r="AG15" s="17"/>
      <c r="AH15" s="30"/>
      <c r="AI15" s="27"/>
      <c r="AJ15" s="27"/>
      <c r="AK15" s="27"/>
      <c r="AL15" s="28"/>
      <c r="AM15" s="27"/>
      <c r="AN15" s="27"/>
      <c r="AO15" s="29"/>
    </row>
    <row r="16" spans="1:43" ht="30" customHeight="1">
      <c r="A16" s="24">
        <v>12</v>
      </c>
      <c r="B16" s="16"/>
      <c r="C16" s="31"/>
      <c r="D16" s="17"/>
      <c r="E16" s="17"/>
      <c r="F16" s="17"/>
      <c r="G16" s="17"/>
      <c r="H16" s="17"/>
      <c r="I16" s="18"/>
      <c r="J16" s="31"/>
      <c r="K16" s="17"/>
      <c r="L16" s="17"/>
      <c r="M16" s="36"/>
      <c r="N16" s="17"/>
      <c r="O16" s="17"/>
      <c r="P16" s="18"/>
      <c r="Q16" s="31"/>
      <c r="R16" s="17"/>
      <c r="S16" s="17"/>
      <c r="T16" s="17"/>
      <c r="U16" s="17"/>
      <c r="V16" s="17"/>
      <c r="W16" s="35"/>
      <c r="X16" s="31"/>
      <c r="Y16" s="26"/>
      <c r="Z16" s="17"/>
      <c r="AA16" s="26"/>
      <c r="AB16" s="17"/>
      <c r="AC16" s="17"/>
      <c r="AD16" s="18"/>
      <c r="AE16" s="31"/>
      <c r="AF16" s="17"/>
      <c r="AG16" s="17"/>
      <c r="AH16" s="30"/>
      <c r="AI16" s="27"/>
      <c r="AJ16" s="27"/>
      <c r="AK16" s="27"/>
      <c r="AL16" s="38"/>
      <c r="AM16" s="27"/>
      <c r="AN16" s="27"/>
      <c r="AO16" s="29"/>
    </row>
    <row r="17" spans="1:41" ht="30" customHeight="1">
      <c r="A17" s="24">
        <v>13</v>
      </c>
      <c r="B17" s="16"/>
      <c r="C17" s="19"/>
      <c r="D17" s="17"/>
      <c r="E17" s="17"/>
      <c r="F17" s="17"/>
      <c r="G17" s="17"/>
      <c r="H17" s="17"/>
      <c r="I17" s="18"/>
      <c r="J17" s="19"/>
      <c r="K17" s="17"/>
      <c r="L17" s="17"/>
      <c r="M17" s="17"/>
      <c r="N17" s="17"/>
      <c r="O17" s="17"/>
      <c r="P17" s="18"/>
      <c r="Q17" s="19"/>
      <c r="R17" s="17"/>
      <c r="S17" s="17"/>
      <c r="T17" s="17"/>
      <c r="U17" s="17"/>
      <c r="V17" s="17"/>
      <c r="W17" s="18"/>
      <c r="X17" s="19"/>
      <c r="Y17" s="17"/>
      <c r="Z17" s="17"/>
      <c r="AA17" s="17"/>
      <c r="AB17" s="17"/>
      <c r="AC17" s="17"/>
      <c r="AD17" s="18"/>
      <c r="AE17" s="19"/>
      <c r="AF17" s="17"/>
      <c r="AG17" s="39"/>
      <c r="AH17" s="30"/>
      <c r="AI17" s="27"/>
      <c r="AJ17" s="27"/>
      <c r="AK17" s="27"/>
      <c r="AL17" s="28"/>
      <c r="AM17" s="27"/>
      <c r="AN17" s="27"/>
      <c r="AO17" s="29"/>
    </row>
    <row r="18" spans="1:41" ht="30" customHeight="1">
      <c r="A18" s="24">
        <v>14</v>
      </c>
      <c r="B18" s="16"/>
      <c r="C18" s="31"/>
      <c r="D18" s="40"/>
      <c r="E18" s="40"/>
      <c r="F18" s="40"/>
      <c r="G18" s="40"/>
      <c r="H18" s="40"/>
      <c r="I18" s="41"/>
      <c r="J18" s="31"/>
      <c r="K18" s="40"/>
      <c r="L18" s="40"/>
      <c r="M18" s="40"/>
      <c r="N18" s="40"/>
      <c r="O18" s="40"/>
      <c r="P18" s="41"/>
      <c r="Q18" s="31"/>
      <c r="R18" s="40"/>
      <c r="S18" s="40"/>
      <c r="T18" s="40"/>
      <c r="U18" s="40"/>
      <c r="V18" s="40"/>
      <c r="W18" s="35"/>
      <c r="X18" s="31"/>
      <c r="Y18" s="40"/>
      <c r="Z18" s="40"/>
      <c r="AA18" s="40"/>
      <c r="AB18" s="40"/>
      <c r="AC18" s="40"/>
      <c r="AD18" s="41"/>
      <c r="AE18" s="31"/>
      <c r="AF18" s="40"/>
      <c r="AG18" s="40"/>
      <c r="AH18" s="37"/>
      <c r="AI18" s="42"/>
      <c r="AJ18" s="43"/>
      <c r="AK18" s="27"/>
      <c r="AL18" s="28"/>
      <c r="AM18" s="27"/>
      <c r="AN18" s="27"/>
      <c r="AO18" s="29"/>
    </row>
    <row r="19" spans="1:41" ht="30" customHeight="1">
      <c r="A19" s="24">
        <v>15</v>
      </c>
      <c r="B19" s="16"/>
      <c r="C19" s="31"/>
      <c r="D19" s="17"/>
      <c r="E19" s="17"/>
      <c r="F19" s="17"/>
      <c r="G19" s="17"/>
      <c r="H19" s="17"/>
      <c r="I19" s="18"/>
      <c r="J19" s="19"/>
      <c r="K19" s="17"/>
      <c r="L19" s="17"/>
      <c r="M19" s="17"/>
      <c r="N19" s="17"/>
      <c r="O19" s="17"/>
      <c r="P19" s="18"/>
      <c r="Q19" s="19"/>
      <c r="R19" s="17"/>
      <c r="S19" s="17"/>
      <c r="T19" s="17"/>
      <c r="U19" s="17"/>
      <c r="V19" s="17"/>
      <c r="W19" s="18"/>
      <c r="X19" s="19"/>
      <c r="Y19" s="17"/>
      <c r="Z19" s="17"/>
      <c r="AA19" s="17"/>
      <c r="AB19" s="17"/>
      <c r="AC19" s="17"/>
      <c r="AD19" s="18"/>
      <c r="AE19" s="19"/>
      <c r="AF19" s="17"/>
      <c r="AG19" s="17"/>
      <c r="AH19" s="30"/>
      <c r="AI19" s="44"/>
      <c r="AJ19" s="27"/>
      <c r="AK19" s="27"/>
      <c r="AL19" s="28"/>
      <c r="AM19" s="27"/>
      <c r="AN19" s="27"/>
      <c r="AO19" s="29"/>
    </row>
    <row r="20" spans="1:41" ht="30" customHeight="1">
      <c r="A20" s="24">
        <v>16</v>
      </c>
      <c r="B20" s="16"/>
      <c r="C20" s="19"/>
      <c r="D20" s="17"/>
      <c r="E20" s="17"/>
      <c r="F20" s="17"/>
      <c r="G20" s="17"/>
      <c r="H20" s="17"/>
      <c r="I20" s="18"/>
      <c r="J20" s="19"/>
      <c r="K20" s="17"/>
      <c r="L20" s="17"/>
      <c r="M20" s="17"/>
      <c r="N20" s="17"/>
      <c r="O20" s="17"/>
      <c r="P20" s="18"/>
      <c r="Q20" s="19"/>
      <c r="R20" s="17"/>
      <c r="S20" s="17"/>
      <c r="T20" s="17"/>
      <c r="U20" s="17"/>
      <c r="V20" s="17"/>
      <c r="W20" s="18"/>
      <c r="X20" s="19"/>
      <c r="Y20" s="17"/>
      <c r="Z20" s="17"/>
      <c r="AA20" s="17"/>
      <c r="AB20" s="17"/>
      <c r="AC20" s="17"/>
      <c r="AD20" s="18"/>
      <c r="AE20" s="19"/>
      <c r="AF20" s="17"/>
      <c r="AG20" s="17"/>
      <c r="AH20" s="30"/>
      <c r="AI20" s="27"/>
      <c r="AJ20" s="27"/>
      <c r="AK20" s="27"/>
      <c r="AL20" s="28"/>
      <c r="AM20" s="27"/>
      <c r="AN20" s="27"/>
      <c r="AO20" s="29"/>
    </row>
    <row r="21" spans="1:41" ht="30" customHeight="1">
      <c r="A21" s="24">
        <v>17</v>
      </c>
      <c r="B21" s="16"/>
      <c r="C21" s="19"/>
      <c r="D21" s="17"/>
      <c r="E21" s="17"/>
      <c r="F21" s="17"/>
      <c r="G21" s="17"/>
      <c r="H21" s="17"/>
      <c r="I21" s="18"/>
      <c r="J21" s="25"/>
      <c r="K21" s="17"/>
      <c r="L21" s="17"/>
      <c r="M21" s="17"/>
      <c r="N21" s="17"/>
      <c r="O21" s="17"/>
      <c r="P21" s="18"/>
      <c r="Q21" s="19"/>
      <c r="R21" s="17"/>
      <c r="S21" s="17"/>
      <c r="T21" s="17"/>
      <c r="U21" s="17"/>
      <c r="V21" s="17"/>
      <c r="W21" s="18"/>
      <c r="X21" s="19"/>
      <c r="Y21" s="17"/>
      <c r="Z21" s="26"/>
      <c r="AA21" s="17"/>
      <c r="AB21" s="17"/>
      <c r="AC21" s="17"/>
      <c r="AD21" s="18"/>
      <c r="AE21" s="19"/>
      <c r="AF21" s="17"/>
      <c r="AG21" s="17"/>
      <c r="AH21" s="30"/>
      <c r="AI21" s="27"/>
      <c r="AJ21" s="27"/>
      <c r="AK21" s="27"/>
      <c r="AL21" s="28"/>
      <c r="AM21" s="27"/>
      <c r="AN21" s="27"/>
      <c r="AO21" s="29"/>
    </row>
    <row r="22" spans="1:41" ht="30" customHeight="1">
      <c r="A22" s="24">
        <v>18</v>
      </c>
      <c r="B22" s="16"/>
      <c r="C22" s="19"/>
      <c r="D22" s="17"/>
      <c r="E22" s="17"/>
      <c r="F22" s="17"/>
      <c r="G22" s="17"/>
      <c r="H22" s="26"/>
      <c r="I22" s="18"/>
      <c r="J22" s="19"/>
      <c r="K22" s="17"/>
      <c r="L22" s="17"/>
      <c r="M22" s="17"/>
      <c r="N22" s="17"/>
      <c r="O22" s="17"/>
      <c r="P22" s="18"/>
      <c r="Q22" s="19"/>
      <c r="R22" s="17"/>
      <c r="S22" s="17"/>
      <c r="T22" s="17"/>
      <c r="U22" s="17"/>
      <c r="V22" s="26"/>
      <c r="W22" s="18"/>
      <c r="X22" s="19"/>
      <c r="Y22" s="17"/>
      <c r="Z22" s="17"/>
      <c r="AA22" s="17"/>
      <c r="AB22" s="17"/>
      <c r="AC22" s="26"/>
      <c r="AD22" s="18"/>
      <c r="AE22" s="19"/>
      <c r="AF22" s="17"/>
      <c r="AG22" s="17"/>
      <c r="AH22" s="30"/>
      <c r="AI22" s="27"/>
      <c r="AJ22" s="27"/>
      <c r="AK22" s="27"/>
      <c r="AL22" s="28"/>
      <c r="AM22" s="27"/>
      <c r="AN22" s="27"/>
      <c r="AO22" s="29"/>
    </row>
    <row r="23" spans="1:41" ht="30" customHeight="1">
      <c r="A23" s="24">
        <v>19</v>
      </c>
      <c r="B23" s="16"/>
      <c r="C23" s="19"/>
      <c r="D23" s="17"/>
      <c r="E23" s="17"/>
      <c r="F23" s="17"/>
      <c r="G23" s="17"/>
      <c r="H23" s="17"/>
      <c r="I23" s="18"/>
      <c r="J23" s="19"/>
      <c r="K23" s="17"/>
      <c r="L23" s="17"/>
      <c r="M23" s="17"/>
      <c r="N23" s="17"/>
      <c r="O23" s="17"/>
      <c r="P23" s="18"/>
      <c r="Q23" s="19"/>
      <c r="R23" s="17"/>
      <c r="S23" s="17"/>
      <c r="T23" s="17"/>
      <c r="U23" s="17"/>
      <c r="V23" s="17"/>
      <c r="W23" s="18"/>
      <c r="X23" s="19"/>
      <c r="Y23" s="17"/>
      <c r="Z23" s="17"/>
      <c r="AA23" s="17"/>
      <c r="AB23" s="17"/>
      <c r="AC23" s="17"/>
      <c r="AD23" s="18"/>
      <c r="AE23" s="19"/>
      <c r="AF23" s="17"/>
      <c r="AG23" s="17"/>
      <c r="AH23" s="30"/>
      <c r="AI23" s="27"/>
      <c r="AJ23" s="27"/>
      <c r="AK23" s="27"/>
      <c r="AL23" s="28"/>
      <c r="AM23" s="27"/>
      <c r="AN23" s="27"/>
      <c r="AO23" s="29"/>
    </row>
    <row r="24" spans="1:41" ht="30" customHeight="1" thickBot="1">
      <c r="A24" s="45">
        <v>20</v>
      </c>
      <c r="B24" s="46"/>
      <c r="C24" s="47"/>
      <c r="D24" s="10"/>
      <c r="E24" s="10"/>
      <c r="F24" s="10"/>
      <c r="G24" s="10"/>
      <c r="H24" s="10"/>
      <c r="I24" s="48"/>
      <c r="J24" s="47"/>
      <c r="K24" s="10"/>
      <c r="L24" s="10"/>
      <c r="M24" s="10"/>
      <c r="N24" s="10"/>
      <c r="O24" s="10"/>
      <c r="P24" s="48"/>
      <c r="Q24" s="47"/>
      <c r="R24" s="10"/>
      <c r="S24" s="10"/>
      <c r="T24" s="10"/>
      <c r="U24" s="10"/>
      <c r="V24" s="10"/>
      <c r="W24" s="48"/>
      <c r="X24" s="47"/>
      <c r="Y24" s="10"/>
      <c r="Z24" s="10"/>
      <c r="AA24" s="10"/>
      <c r="AB24" s="10"/>
      <c r="AC24" s="10"/>
      <c r="AD24" s="48"/>
      <c r="AE24" s="47"/>
      <c r="AF24" s="10"/>
      <c r="AG24" s="10"/>
      <c r="AH24" s="49"/>
      <c r="AI24" s="50"/>
      <c r="AJ24" s="50"/>
      <c r="AK24" s="50"/>
      <c r="AL24" s="51"/>
      <c r="AM24" s="50"/>
      <c r="AN24" s="50"/>
      <c r="AO24" s="52"/>
    </row>
    <row r="25" spans="1:41"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</row>
    <row r="26" spans="1:41"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5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</row>
    <row r="27" spans="1:41"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</row>
    <row r="28" spans="1:41"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6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</row>
    <row r="29" spans="1:41"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4"/>
      <c r="Y29" s="55"/>
      <c r="Z29" s="54"/>
      <c r="AA29" s="54"/>
      <c r="AB29" s="54"/>
      <c r="AC29" s="54"/>
      <c r="AD29" s="54"/>
      <c r="AE29" s="54"/>
      <c r="AF29" s="54"/>
      <c r="AG29" s="55"/>
    </row>
    <row r="30" spans="1:41">
      <c r="C30" s="54"/>
      <c r="D30" s="54"/>
      <c r="E30" s="54"/>
      <c r="F30" s="54"/>
      <c r="G30" s="54"/>
      <c r="H30" s="55"/>
      <c r="I30" s="55"/>
      <c r="J30" s="55"/>
      <c r="K30" s="55"/>
      <c r="L30" s="55"/>
      <c r="M30" s="55"/>
      <c r="N30" s="54"/>
      <c r="O30" s="55"/>
      <c r="P30" s="55"/>
      <c r="Q30" s="54"/>
      <c r="R30" s="55"/>
      <c r="S30" s="54"/>
      <c r="T30" s="55"/>
      <c r="U30" s="54"/>
      <c r="V30" s="55"/>
      <c r="W30" s="55"/>
      <c r="X30" s="54"/>
      <c r="Y30" s="55"/>
      <c r="Z30" s="54"/>
      <c r="AA30" s="55"/>
      <c r="AB30" s="54"/>
      <c r="AC30" s="55"/>
      <c r="AD30" s="55"/>
      <c r="AE30" s="55"/>
      <c r="AF30" s="55"/>
      <c r="AG30" s="54"/>
    </row>
    <row r="31" spans="1:41"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</row>
    <row r="32" spans="1:41"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</row>
    <row r="33" spans="3:33"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</row>
    <row r="34" spans="3:33"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</row>
    <row r="35" spans="3:33"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</row>
    <row r="36" spans="3:33"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</row>
  </sheetData>
  <mergeCells count="9">
    <mergeCell ref="AK3:AK4"/>
    <mergeCell ref="AL3:AL4"/>
    <mergeCell ref="AM3:AO3"/>
    <mergeCell ref="A1:C1"/>
    <mergeCell ref="Q1:Y1"/>
    <mergeCell ref="A2:C2"/>
    <mergeCell ref="AH3:AH4"/>
    <mergeCell ref="AI3:AI4"/>
    <mergeCell ref="AJ3:AJ4"/>
  </mergeCells>
  <phoneticPr fontId="2"/>
  <pageMargins left="0.62992125984251968" right="0.19685039370078741" top="1.1811023622047245" bottom="0" header="0.11811023622047245" footer="0.15748031496062992"/>
  <pageSetup paperSize="9" scale="70" orientation="landscape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5"/>
  <sheetViews>
    <sheetView tabSelected="1" topLeftCell="A49" workbookViewId="0">
      <selection activeCell="G67" sqref="G67:H67"/>
    </sheetView>
  </sheetViews>
  <sheetFormatPr defaultRowHeight="13.5"/>
  <cols>
    <col min="1" max="11" width="5.75" customWidth="1"/>
    <col min="12" max="16" width="5.625" customWidth="1"/>
  </cols>
  <sheetData>
    <row r="1" spans="1:16" ht="30" customHeight="1">
      <c r="A1" s="108" t="s">
        <v>24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9" t="s">
        <v>25</v>
      </c>
      <c r="N1" s="109"/>
      <c r="O1" s="109"/>
      <c r="P1" s="109"/>
    </row>
    <row r="2" spans="1:16" ht="14.25" thickBot="1"/>
    <row r="3" spans="1:16" ht="21.75" customHeight="1">
      <c r="A3" s="93" t="s">
        <v>26</v>
      </c>
      <c r="B3" s="94"/>
      <c r="C3" s="101" t="s">
        <v>42</v>
      </c>
      <c r="D3" s="101"/>
      <c r="E3" s="101"/>
      <c r="F3" s="101"/>
      <c r="G3" s="101"/>
      <c r="H3" s="94" t="s">
        <v>27</v>
      </c>
      <c r="I3" s="94"/>
      <c r="J3" s="94"/>
      <c r="K3" s="94" t="s">
        <v>28</v>
      </c>
      <c r="L3" s="94"/>
      <c r="M3" s="94"/>
      <c r="N3" s="94" t="s">
        <v>29</v>
      </c>
      <c r="O3" s="94"/>
      <c r="P3" s="103"/>
    </row>
    <row r="4" spans="1:16" ht="21.75" customHeight="1" thickBot="1">
      <c r="A4" s="98"/>
      <c r="B4" s="99"/>
      <c r="C4" s="102"/>
      <c r="D4" s="102"/>
      <c r="E4" s="102"/>
      <c r="F4" s="102"/>
      <c r="G4" s="102"/>
      <c r="H4" s="102">
        <f>'3月分'!AH5</f>
        <v>22</v>
      </c>
      <c r="I4" s="102"/>
      <c r="J4" s="102"/>
      <c r="K4" s="102"/>
      <c r="L4" s="102"/>
      <c r="M4" s="102"/>
      <c r="N4" s="102"/>
      <c r="O4" s="102"/>
      <c r="P4" s="105"/>
    </row>
    <row r="5" spans="1:16" ht="9" customHeight="1" thickBot="1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</row>
    <row r="6" spans="1:16" ht="21.75" customHeight="1">
      <c r="A6" s="93" t="s">
        <v>30</v>
      </c>
      <c r="B6" s="94"/>
      <c r="C6" s="95" t="s">
        <v>29</v>
      </c>
      <c r="D6" s="95"/>
      <c r="E6" s="94"/>
      <c r="F6" s="94"/>
      <c r="G6" s="94"/>
      <c r="H6" s="94"/>
      <c r="I6" s="94" t="s">
        <v>31</v>
      </c>
      <c r="J6" s="94"/>
      <c r="K6" s="88"/>
      <c r="L6" s="88"/>
      <c r="M6" s="88"/>
      <c r="N6" s="88"/>
      <c r="O6" s="88"/>
      <c r="P6" s="89"/>
    </row>
    <row r="7" spans="1:16" ht="30" customHeight="1" thickBot="1">
      <c r="A7" s="90">
        <v>280000</v>
      </c>
      <c r="B7" s="91"/>
      <c r="C7" s="91"/>
      <c r="D7" s="91"/>
      <c r="E7" s="91"/>
      <c r="F7" s="91"/>
      <c r="G7" s="91"/>
      <c r="H7" s="91"/>
      <c r="I7" s="91">
        <v>10000</v>
      </c>
      <c r="J7" s="91"/>
      <c r="K7" s="91"/>
      <c r="L7" s="91"/>
      <c r="M7" s="91"/>
      <c r="N7" s="91"/>
      <c r="O7" s="91"/>
      <c r="P7" s="92"/>
    </row>
    <row r="8" spans="1:16" ht="9" customHeight="1" thickBot="1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</row>
    <row r="9" spans="1:16" ht="21.75" customHeight="1">
      <c r="A9" s="93" t="s">
        <v>32</v>
      </c>
      <c r="B9" s="94"/>
      <c r="C9" s="95" t="s">
        <v>33</v>
      </c>
      <c r="D9" s="95"/>
      <c r="E9" s="94" t="s">
        <v>34</v>
      </c>
      <c r="F9" s="94"/>
      <c r="G9" s="94" t="s">
        <v>35</v>
      </c>
      <c r="H9" s="94"/>
      <c r="I9" s="94" t="s">
        <v>36</v>
      </c>
      <c r="J9" s="94"/>
      <c r="K9" s="88"/>
      <c r="L9" s="88"/>
      <c r="M9" s="88"/>
      <c r="N9" s="88"/>
      <c r="O9" s="88"/>
      <c r="P9" s="89"/>
    </row>
    <row r="10" spans="1:16" ht="30" customHeight="1" thickBot="1">
      <c r="A10" s="90">
        <v>14042</v>
      </c>
      <c r="B10" s="91"/>
      <c r="C10" s="91">
        <v>24464</v>
      </c>
      <c r="D10" s="91"/>
      <c r="E10" s="91">
        <v>1450</v>
      </c>
      <c r="F10" s="91"/>
      <c r="G10" s="91"/>
      <c r="H10" s="91"/>
      <c r="I10" s="91">
        <v>4920</v>
      </c>
      <c r="J10" s="91"/>
      <c r="K10" s="91"/>
      <c r="L10" s="91"/>
      <c r="M10" s="91"/>
      <c r="N10" s="91"/>
      <c r="O10" s="91"/>
      <c r="P10" s="92"/>
    </row>
    <row r="11" spans="1:16" ht="9" customHeight="1" thickBot="1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</row>
    <row r="12" spans="1:16" ht="21.75" customHeight="1" thickTop="1">
      <c r="A12" s="77" t="s">
        <v>37</v>
      </c>
      <c r="B12" s="78"/>
      <c r="C12" s="78"/>
      <c r="D12" s="78" t="s">
        <v>38</v>
      </c>
      <c r="E12" s="78"/>
      <c r="F12" s="78"/>
      <c r="G12" s="78" t="s">
        <v>39</v>
      </c>
      <c r="H12" s="78"/>
      <c r="I12" s="79"/>
      <c r="J12" s="58"/>
      <c r="K12" s="80" t="s">
        <v>40</v>
      </c>
      <c r="L12" s="106"/>
      <c r="M12" s="106"/>
      <c r="N12" s="106"/>
      <c r="O12" s="106"/>
      <c r="P12" s="106"/>
    </row>
    <row r="13" spans="1:16" ht="30" customHeight="1" thickBot="1">
      <c r="A13" s="82">
        <f>SUM(A7:P7)</f>
        <v>290000</v>
      </c>
      <c r="B13" s="83"/>
      <c r="C13" s="83"/>
      <c r="D13" s="84">
        <f>SUM(A10:P10)</f>
        <v>44876</v>
      </c>
      <c r="E13" s="83"/>
      <c r="F13" s="83"/>
      <c r="G13" s="84">
        <f>A13-D13</f>
        <v>245124</v>
      </c>
      <c r="H13" s="83"/>
      <c r="I13" s="85"/>
      <c r="J13" s="59"/>
      <c r="K13" s="86" t="s">
        <v>41</v>
      </c>
      <c r="L13" s="107"/>
      <c r="M13" s="107"/>
      <c r="N13" s="107"/>
      <c r="O13" s="107"/>
      <c r="P13" s="107"/>
    </row>
    <row r="14" spans="1:16" ht="14.25" thickTop="1"/>
    <row r="16" spans="1:16" ht="30" customHeight="1">
      <c r="A16" s="96" t="s">
        <v>24</v>
      </c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7" t="s">
        <v>25</v>
      </c>
      <c r="N16" s="97"/>
      <c r="O16" s="97"/>
      <c r="P16" s="97"/>
    </row>
    <row r="17" spans="1:16" ht="14.25" thickBot="1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</row>
    <row r="18" spans="1:16" ht="21.75" customHeight="1">
      <c r="A18" s="93" t="s">
        <v>26</v>
      </c>
      <c r="B18" s="94"/>
      <c r="C18" s="100" t="s">
        <v>43</v>
      </c>
      <c r="D18" s="101"/>
      <c r="E18" s="101"/>
      <c r="F18" s="101"/>
      <c r="G18" s="101"/>
      <c r="H18" s="94" t="s">
        <v>27</v>
      </c>
      <c r="I18" s="94"/>
      <c r="J18" s="94"/>
      <c r="K18" s="94" t="s">
        <v>28</v>
      </c>
      <c r="L18" s="94"/>
      <c r="M18" s="94"/>
      <c r="N18" s="94" t="s">
        <v>29</v>
      </c>
      <c r="O18" s="94"/>
      <c r="P18" s="103"/>
    </row>
    <row r="19" spans="1:16" ht="21.75" customHeight="1" thickBot="1">
      <c r="A19" s="98"/>
      <c r="B19" s="99"/>
      <c r="C19" s="102"/>
      <c r="D19" s="102"/>
      <c r="E19" s="102"/>
      <c r="F19" s="102"/>
      <c r="G19" s="102"/>
      <c r="H19" s="102">
        <f>'3月分'!AH7</f>
        <v>22</v>
      </c>
      <c r="I19" s="102"/>
      <c r="J19" s="102"/>
      <c r="K19" s="102"/>
      <c r="L19" s="102"/>
      <c r="M19" s="102"/>
      <c r="N19" s="102"/>
      <c r="O19" s="102"/>
      <c r="P19" s="105"/>
    </row>
    <row r="20" spans="1:16" ht="9" customHeight="1" thickBot="1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</row>
    <row r="21" spans="1:16" ht="21.75" customHeight="1">
      <c r="A21" s="93" t="s">
        <v>30</v>
      </c>
      <c r="B21" s="94"/>
      <c r="C21" s="95" t="s">
        <v>29</v>
      </c>
      <c r="D21" s="95"/>
      <c r="E21" s="94"/>
      <c r="F21" s="94"/>
      <c r="G21" s="94"/>
      <c r="H21" s="94"/>
      <c r="I21" s="94" t="s">
        <v>31</v>
      </c>
      <c r="J21" s="94"/>
      <c r="K21" s="88"/>
      <c r="L21" s="88"/>
      <c r="M21" s="88"/>
      <c r="N21" s="88"/>
      <c r="O21" s="88"/>
      <c r="P21" s="89"/>
    </row>
    <row r="22" spans="1:16" ht="30" customHeight="1" thickBot="1">
      <c r="A22" s="90">
        <v>200000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2"/>
    </row>
    <row r="23" spans="1:16" ht="9" customHeight="1" thickBo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</row>
    <row r="24" spans="1:16" ht="21.75" customHeight="1">
      <c r="A24" s="93" t="s">
        <v>32</v>
      </c>
      <c r="B24" s="94"/>
      <c r="C24" s="95" t="s">
        <v>33</v>
      </c>
      <c r="D24" s="95"/>
      <c r="E24" s="94" t="s">
        <v>34</v>
      </c>
      <c r="F24" s="94"/>
      <c r="G24" s="94" t="s">
        <v>35</v>
      </c>
      <c r="H24" s="94"/>
      <c r="I24" s="94" t="s">
        <v>36</v>
      </c>
      <c r="J24" s="94"/>
      <c r="K24" s="88"/>
      <c r="L24" s="88"/>
      <c r="M24" s="88"/>
      <c r="N24" s="88"/>
      <c r="O24" s="88"/>
      <c r="P24" s="89"/>
    </row>
    <row r="25" spans="1:16" ht="30" customHeight="1" thickBot="1">
      <c r="A25" s="90"/>
      <c r="B25" s="91"/>
      <c r="C25" s="91"/>
      <c r="D25" s="91"/>
      <c r="E25" s="91"/>
      <c r="F25" s="91"/>
      <c r="G25" s="91"/>
      <c r="H25" s="91"/>
      <c r="I25" s="91">
        <v>3140</v>
      </c>
      <c r="J25" s="91"/>
      <c r="K25" s="91"/>
      <c r="L25" s="91"/>
      <c r="M25" s="91"/>
      <c r="N25" s="91"/>
      <c r="O25" s="91"/>
      <c r="P25" s="92"/>
    </row>
    <row r="26" spans="1:16" ht="9" customHeight="1" thickBo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</row>
    <row r="27" spans="1:16" ht="21.75" customHeight="1" thickTop="1">
      <c r="A27" s="77" t="s">
        <v>37</v>
      </c>
      <c r="B27" s="78"/>
      <c r="C27" s="78"/>
      <c r="D27" s="78" t="s">
        <v>38</v>
      </c>
      <c r="E27" s="78"/>
      <c r="F27" s="78"/>
      <c r="G27" s="78" t="s">
        <v>39</v>
      </c>
      <c r="H27" s="78"/>
      <c r="I27" s="79"/>
      <c r="J27" s="58"/>
      <c r="K27" s="80" t="s">
        <v>40</v>
      </c>
      <c r="L27" s="81"/>
      <c r="M27" s="81"/>
      <c r="N27" s="81"/>
      <c r="O27" s="81"/>
      <c r="P27" s="81"/>
    </row>
    <row r="28" spans="1:16" ht="30" customHeight="1" thickBot="1">
      <c r="A28" s="82">
        <f>SUM(A22:P22)</f>
        <v>200000</v>
      </c>
      <c r="B28" s="83"/>
      <c r="C28" s="83"/>
      <c r="D28" s="84">
        <f>SUM(A25:P25)</f>
        <v>3140</v>
      </c>
      <c r="E28" s="83"/>
      <c r="F28" s="83"/>
      <c r="G28" s="84">
        <f>A28-D28</f>
        <v>196860</v>
      </c>
      <c r="H28" s="83"/>
      <c r="I28" s="85"/>
      <c r="J28" s="59"/>
      <c r="K28" s="86" t="s">
        <v>41</v>
      </c>
      <c r="L28" s="87"/>
      <c r="M28" s="87"/>
      <c r="N28" s="87"/>
      <c r="O28" s="87"/>
      <c r="P28" s="87"/>
    </row>
    <row r="29" spans="1:16" ht="14.25" thickTop="1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</row>
    <row r="30" spans="1:16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</row>
    <row r="31" spans="1:16" ht="30" customHeight="1">
      <c r="A31" s="108" t="s">
        <v>24</v>
      </c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9" t="s">
        <v>25</v>
      </c>
      <c r="N31" s="109"/>
      <c r="O31" s="109"/>
      <c r="P31" s="109"/>
    </row>
    <row r="32" spans="1:16" ht="14.25" thickBot="1"/>
    <row r="33" spans="1:19" ht="21.75" customHeight="1">
      <c r="A33" s="93" t="s">
        <v>26</v>
      </c>
      <c r="B33" s="94"/>
      <c r="C33" s="100" t="s">
        <v>44</v>
      </c>
      <c r="D33" s="101"/>
      <c r="E33" s="101"/>
      <c r="F33" s="101"/>
      <c r="G33" s="101"/>
      <c r="H33" s="94" t="s">
        <v>27</v>
      </c>
      <c r="I33" s="94"/>
      <c r="J33" s="94"/>
      <c r="K33" s="94" t="s">
        <v>28</v>
      </c>
      <c r="L33" s="94"/>
      <c r="M33" s="94"/>
      <c r="N33" s="94" t="s">
        <v>29</v>
      </c>
      <c r="O33" s="94"/>
      <c r="P33" s="103"/>
    </row>
    <row r="34" spans="1:19" ht="21.75" customHeight="1" thickBot="1">
      <c r="A34" s="98"/>
      <c r="B34" s="99"/>
      <c r="C34" s="102"/>
      <c r="D34" s="102"/>
      <c r="E34" s="102"/>
      <c r="F34" s="102"/>
      <c r="G34" s="102"/>
      <c r="H34" s="102">
        <f>'3月分'!AH9</f>
        <v>23</v>
      </c>
      <c r="I34" s="102"/>
      <c r="J34" s="102"/>
      <c r="K34" s="102">
        <f>'3月分'!AI9</f>
        <v>0</v>
      </c>
      <c r="L34" s="102"/>
      <c r="M34" s="102"/>
      <c r="N34" s="102">
        <f>'3月分'!AM9</f>
        <v>0</v>
      </c>
      <c r="O34" s="102"/>
      <c r="P34" s="105"/>
      <c r="R34">
        <v>6400</v>
      </c>
      <c r="S34">
        <v>1000</v>
      </c>
    </row>
    <row r="35" spans="1:19" ht="9" customHeight="1" thickBo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</row>
    <row r="36" spans="1:19" ht="21.75" customHeight="1">
      <c r="A36" s="93" t="s">
        <v>30</v>
      </c>
      <c r="B36" s="94"/>
      <c r="C36" s="95" t="s">
        <v>29</v>
      </c>
      <c r="D36" s="95"/>
      <c r="E36" s="94"/>
      <c r="F36" s="94"/>
      <c r="G36" s="94"/>
      <c r="H36" s="94"/>
      <c r="I36" s="94" t="s">
        <v>31</v>
      </c>
      <c r="J36" s="94"/>
      <c r="K36" s="88"/>
      <c r="L36" s="88"/>
      <c r="M36" s="88"/>
      <c r="N36" s="88"/>
      <c r="O36" s="88"/>
      <c r="P36" s="89"/>
    </row>
    <row r="37" spans="1:19" ht="30" customHeight="1" thickBot="1">
      <c r="A37" s="90">
        <f>H34*R34</f>
        <v>147200</v>
      </c>
      <c r="B37" s="91"/>
      <c r="C37" s="91">
        <f>K34*S34</f>
        <v>0</v>
      </c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2"/>
    </row>
    <row r="38" spans="1:19" ht="9" customHeight="1" thickBo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</row>
    <row r="39" spans="1:19" ht="21.75" customHeight="1">
      <c r="A39" s="93" t="s">
        <v>32</v>
      </c>
      <c r="B39" s="94"/>
      <c r="C39" s="95" t="s">
        <v>33</v>
      </c>
      <c r="D39" s="95"/>
      <c r="E39" s="94" t="s">
        <v>34</v>
      </c>
      <c r="F39" s="94"/>
      <c r="G39" s="94" t="s">
        <v>35</v>
      </c>
      <c r="H39" s="94"/>
      <c r="I39" s="94" t="s">
        <v>36</v>
      </c>
      <c r="J39" s="94"/>
      <c r="K39" s="88"/>
      <c r="L39" s="88"/>
      <c r="M39" s="88"/>
      <c r="N39" s="88"/>
      <c r="O39" s="88"/>
      <c r="P39" s="89"/>
    </row>
    <row r="40" spans="1:19" ht="30" customHeight="1" thickBot="1">
      <c r="A40" s="90"/>
      <c r="B40" s="91"/>
      <c r="C40" s="91"/>
      <c r="D40" s="91"/>
      <c r="E40" s="91">
        <f>A43*5/1000</f>
        <v>736</v>
      </c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2"/>
    </row>
    <row r="41" spans="1:19" ht="9" customHeight="1" thickBo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</row>
    <row r="42" spans="1:19" ht="21.75" customHeight="1" thickTop="1">
      <c r="A42" s="77" t="s">
        <v>37</v>
      </c>
      <c r="B42" s="78"/>
      <c r="C42" s="78"/>
      <c r="D42" s="78" t="s">
        <v>38</v>
      </c>
      <c r="E42" s="78"/>
      <c r="F42" s="78"/>
      <c r="G42" s="78" t="s">
        <v>39</v>
      </c>
      <c r="H42" s="78"/>
      <c r="I42" s="79"/>
      <c r="J42" s="58"/>
      <c r="K42" s="80" t="s">
        <v>40</v>
      </c>
      <c r="L42" s="106"/>
      <c r="M42" s="106"/>
      <c r="N42" s="106"/>
      <c r="O42" s="106"/>
      <c r="P42" s="106"/>
    </row>
    <row r="43" spans="1:19" ht="30" customHeight="1" thickBot="1">
      <c r="A43" s="82">
        <f>SUM(A37:P37)</f>
        <v>147200</v>
      </c>
      <c r="B43" s="83"/>
      <c r="C43" s="83"/>
      <c r="D43" s="84">
        <f>SUM(A40:P40)</f>
        <v>736</v>
      </c>
      <c r="E43" s="83"/>
      <c r="F43" s="83"/>
      <c r="G43" s="84">
        <f>A43-D43</f>
        <v>146464</v>
      </c>
      <c r="H43" s="83"/>
      <c r="I43" s="85"/>
      <c r="J43" s="59"/>
      <c r="K43" s="86" t="s">
        <v>41</v>
      </c>
      <c r="L43" s="107"/>
      <c r="M43" s="107"/>
      <c r="N43" s="107"/>
      <c r="O43" s="107"/>
      <c r="P43" s="107"/>
    </row>
    <row r="44" spans="1:19" ht="14.25" thickTop="1"/>
    <row r="46" spans="1:19" ht="30" customHeight="1">
      <c r="A46" s="108" t="s">
        <v>24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9" t="s">
        <v>25</v>
      </c>
      <c r="N46" s="109"/>
      <c r="O46" s="109"/>
      <c r="P46" s="109"/>
    </row>
    <row r="47" spans="1:19" ht="14.25" thickBot="1"/>
    <row r="48" spans="1:19" ht="21.75" customHeight="1">
      <c r="A48" s="93" t="s">
        <v>26</v>
      </c>
      <c r="B48" s="94"/>
      <c r="C48" s="100" t="s">
        <v>45</v>
      </c>
      <c r="D48" s="101"/>
      <c r="E48" s="101"/>
      <c r="F48" s="101"/>
      <c r="G48" s="101"/>
      <c r="H48" s="94" t="s">
        <v>27</v>
      </c>
      <c r="I48" s="94"/>
      <c r="J48" s="94"/>
      <c r="K48" s="94" t="s">
        <v>28</v>
      </c>
      <c r="L48" s="94"/>
      <c r="M48" s="94"/>
      <c r="N48" s="94" t="s">
        <v>29</v>
      </c>
      <c r="O48" s="94"/>
      <c r="P48" s="103"/>
    </row>
    <row r="49" spans="1:18" ht="21.75" customHeight="1" thickBot="1">
      <c r="A49" s="98"/>
      <c r="B49" s="99"/>
      <c r="C49" s="102"/>
      <c r="D49" s="102"/>
      <c r="E49" s="102"/>
      <c r="F49" s="102"/>
      <c r="G49" s="102"/>
      <c r="H49" s="102">
        <f>'3月分'!AH11</f>
        <v>23</v>
      </c>
      <c r="I49" s="102"/>
      <c r="J49" s="102"/>
      <c r="K49" s="110">
        <f>'3月分'!AI11</f>
        <v>4.2263888888888888</v>
      </c>
      <c r="L49" s="102"/>
      <c r="M49" s="102"/>
      <c r="N49" s="102">
        <f>'3月分'!AM11</f>
        <v>0</v>
      </c>
      <c r="O49" s="102"/>
      <c r="P49" s="105"/>
      <c r="R49">
        <v>800</v>
      </c>
    </row>
    <row r="50" spans="1:18" ht="9" customHeight="1" thickBo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</row>
    <row r="51" spans="1:18" ht="21.75" customHeight="1">
      <c r="A51" s="93" t="s">
        <v>30</v>
      </c>
      <c r="B51" s="94"/>
      <c r="C51" s="95" t="s">
        <v>29</v>
      </c>
      <c r="D51" s="95"/>
      <c r="E51" s="94"/>
      <c r="F51" s="94"/>
      <c r="G51" s="94"/>
      <c r="H51" s="94"/>
      <c r="I51" s="94" t="s">
        <v>31</v>
      </c>
      <c r="J51" s="94"/>
      <c r="K51" s="88"/>
      <c r="L51" s="88"/>
      <c r="M51" s="88"/>
      <c r="N51" s="88"/>
      <c r="O51" s="88"/>
      <c r="P51" s="89"/>
    </row>
    <row r="52" spans="1:18" ht="30" customHeight="1" thickBot="1">
      <c r="A52" s="90">
        <v>81147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2"/>
    </row>
    <row r="53" spans="1:18" ht="9" customHeight="1" thickBo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</row>
    <row r="54" spans="1:18" ht="21.75" customHeight="1">
      <c r="A54" s="93" t="s">
        <v>32</v>
      </c>
      <c r="B54" s="94"/>
      <c r="C54" s="95" t="s">
        <v>33</v>
      </c>
      <c r="D54" s="95"/>
      <c r="E54" s="94" t="s">
        <v>34</v>
      </c>
      <c r="F54" s="94"/>
      <c r="G54" s="94" t="s">
        <v>35</v>
      </c>
      <c r="H54" s="94"/>
      <c r="I54" s="94" t="s">
        <v>36</v>
      </c>
      <c r="J54" s="94"/>
      <c r="K54" s="88"/>
      <c r="L54" s="88"/>
      <c r="M54" s="88"/>
      <c r="N54" s="88"/>
      <c r="O54" s="88"/>
      <c r="P54" s="89"/>
    </row>
    <row r="55" spans="1:18" ht="30" customHeight="1" thickBot="1">
      <c r="A55" s="90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2"/>
    </row>
    <row r="56" spans="1:18" ht="9" customHeight="1" thickBo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</row>
    <row r="57" spans="1:18" ht="21.75" customHeight="1" thickTop="1">
      <c r="A57" s="77" t="s">
        <v>37</v>
      </c>
      <c r="B57" s="78"/>
      <c r="C57" s="78"/>
      <c r="D57" s="78" t="s">
        <v>38</v>
      </c>
      <c r="E57" s="78"/>
      <c r="F57" s="78"/>
      <c r="G57" s="78" t="s">
        <v>39</v>
      </c>
      <c r="H57" s="78"/>
      <c r="I57" s="79"/>
      <c r="J57" s="58"/>
      <c r="K57" s="80" t="s">
        <v>40</v>
      </c>
      <c r="L57" s="106"/>
      <c r="M57" s="106"/>
      <c r="N57" s="106"/>
      <c r="O57" s="106"/>
      <c r="P57" s="106"/>
    </row>
    <row r="58" spans="1:18" ht="30" customHeight="1" thickBot="1">
      <c r="A58" s="82">
        <f>SUM(A52:P52)</f>
        <v>81147</v>
      </c>
      <c r="B58" s="83"/>
      <c r="C58" s="83"/>
      <c r="D58" s="84">
        <f>SUM(A55:P55)</f>
        <v>0</v>
      </c>
      <c r="E58" s="83"/>
      <c r="F58" s="83"/>
      <c r="G58" s="84">
        <f>A58-D58</f>
        <v>81147</v>
      </c>
      <c r="H58" s="83"/>
      <c r="I58" s="85"/>
      <c r="J58" s="59"/>
      <c r="K58" s="86" t="s">
        <v>41</v>
      </c>
      <c r="L58" s="107"/>
      <c r="M58" s="107"/>
      <c r="N58" s="107"/>
      <c r="O58" s="107"/>
      <c r="P58" s="107"/>
    </row>
    <row r="59" spans="1:18" ht="14.25" thickTop="1"/>
    <row r="61" spans="1:18" ht="30" customHeight="1">
      <c r="A61" s="96" t="s">
        <v>24</v>
      </c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7" t="s">
        <v>25</v>
      </c>
      <c r="N61" s="97"/>
      <c r="O61" s="97"/>
      <c r="P61" s="97"/>
    </row>
    <row r="62" spans="1:18" ht="14.25" thickBo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spans="1:18" ht="21.75" customHeight="1">
      <c r="A63" s="93" t="s">
        <v>26</v>
      </c>
      <c r="B63" s="94"/>
      <c r="C63" s="100" t="s">
        <v>49</v>
      </c>
      <c r="D63" s="101"/>
      <c r="E63" s="101"/>
      <c r="F63" s="101"/>
      <c r="G63" s="101"/>
      <c r="H63" s="94" t="s">
        <v>27</v>
      </c>
      <c r="I63" s="94"/>
      <c r="J63" s="94"/>
      <c r="K63" s="94" t="s">
        <v>28</v>
      </c>
      <c r="L63" s="94"/>
      <c r="M63" s="94"/>
      <c r="N63" s="94" t="s">
        <v>29</v>
      </c>
      <c r="O63" s="94"/>
      <c r="P63" s="103"/>
    </row>
    <row r="64" spans="1:18" ht="21.75" customHeight="1" thickBot="1">
      <c r="A64" s="98"/>
      <c r="B64" s="99"/>
      <c r="C64" s="102"/>
      <c r="D64" s="102"/>
      <c r="E64" s="102"/>
      <c r="F64" s="102"/>
      <c r="G64" s="102"/>
      <c r="H64" s="102">
        <f>'3月分'!AH13</f>
        <v>2</v>
      </c>
      <c r="I64" s="102"/>
      <c r="J64" s="102"/>
      <c r="K64" s="104">
        <v>0.44305555555555554</v>
      </c>
      <c r="L64" s="102"/>
      <c r="M64" s="102"/>
      <c r="N64" s="102">
        <f>'3月分'!AM13</f>
        <v>0</v>
      </c>
      <c r="O64" s="102"/>
      <c r="P64" s="105"/>
      <c r="R64">
        <v>800</v>
      </c>
    </row>
    <row r="65" spans="1:16" ht="9" customHeight="1" thickBo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</row>
    <row r="66" spans="1:16" ht="21.75" customHeight="1">
      <c r="A66" s="93" t="s">
        <v>30</v>
      </c>
      <c r="B66" s="94"/>
      <c r="C66" s="95" t="s">
        <v>29</v>
      </c>
      <c r="D66" s="95"/>
      <c r="E66" s="94"/>
      <c r="F66" s="94"/>
      <c r="G66" s="94"/>
      <c r="H66" s="94"/>
      <c r="I66" s="94" t="s">
        <v>31</v>
      </c>
      <c r="J66" s="94"/>
      <c r="K66" s="88"/>
      <c r="L66" s="88"/>
      <c r="M66" s="88"/>
      <c r="N66" s="88"/>
      <c r="O66" s="88"/>
      <c r="P66" s="89"/>
    </row>
    <row r="67" spans="1:16" ht="30" customHeight="1" thickBot="1">
      <c r="A67" s="90">
        <v>8507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2"/>
    </row>
    <row r="68" spans="1:16" ht="9" customHeight="1" thickBo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</row>
    <row r="69" spans="1:16" ht="21.75" customHeight="1">
      <c r="A69" s="93" t="s">
        <v>32</v>
      </c>
      <c r="B69" s="94"/>
      <c r="C69" s="95" t="s">
        <v>33</v>
      </c>
      <c r="D69" s="95"/>
      <c r="E69" s="94" t="s">
        <v>34</v>
      </c>
      <c r="F69" s="94"/>
      <c r="G69" s="94" t="s">
        <v>35</v>
      </c>
      <c r="H69" s="94"/>
      <c r="I69" s="94" t="s">
        <v>36</v>
      </c>
      <c r="J69" s="94"/>
      <c r="K69" s="88"/>
      <c r="L69" s="88"/>
      <c r="M69" s="88"/>
      <c r="N69" s="88"/>
      <c r="O69" s="88"/>
      <c r="P69" s="89"/>
    </row>
    <row r="70" spans="1:16" ht="30" customHeight="1" thickBot="1">
      <c r="A70" s="90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2"/>
    </row>
    <row r="71" spans="1:16" ht="9" customHeight="1" thickBo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</row>
    <row r="72" spans="1:16" ht="21.75" customHeight="1" thickTop="1">
      <c r="A72" s="77" t="s">
        <v>37</v>
      </c>
      <c r="B72" s="78"/>
      <c r="C72" s="78"/>
      <c r="D72" s="78" t="s">
        <v>38</v>
      </c>
      <c r="E72" s="78"/>
      <c r="F72" s="78"/>
      <c r="G72" s="78" t="s">
        <v>39</v>
      </c>
      <c r="H72" s="78"/>
      <c r="I72" s="79"/>
      <c r="J72" s="58"/>
      <c r="K72" s="80" t="s">
        <v>40</v>
      </c>
      <c r="L72" s="81"/>
      <c r="M72" s="81"/>
      <c r="N72" s="81"/>
      <c r="O72" s="81"/>
      <c r="P72" s="81"/>
    </row>
    <row r="73" spans="1:16" ht="30" customHeight="1" thickBot="1">
      <c r="A73" s="82">
        <f>SUM(A67:P67)</f>
        <v>8507</v>
      </c>
      <c r="B73" s="83"/>
      <c r="C73" s="83"/>
      <c r="D73" s="84">
        <f>SUM(A70:P70)</f>
        <v>0</v>
      </c>
      <c r="E73" s="83"/>
      <c r="F73" s="83"/>
      <c r="G73" s="84">
        <f>A73-D73</f>
        <v>8507</v>
      </c>
      <c r="H73" s="83"/>
      <c r="I73" s="85"/>
      <c r="J73" s="59"/>
      <c r="K73" s="86" t="s">
        <v>41</v>
      </c>
      <c r="L73" s="87"/>
      <c r="M73" s="87"/>
      <c r="N73" s="87"/>
      <c r="O73" s="87"/>
      <c r="P73" s="87"/>
    </row>
    <row r="74" spans="1:16" ht="14.25" thickTop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</row>
    <row r="75" spans="1:16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</row>
  </sheetData>
  <mergeCells count="250">
    <mergeCell ref="K6:L6"/>
    <mergeCell ref="M6:N6"/>
    <mergeCell ref="O6:P6"/>
    <mergeCell ref="K7:L7"/>
    <mergeCell ref="M7:N7"/>
    <mergeCell ref="O7:P7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12:C12"/>
    <mergeCell ref="A13:C13"/>
    <mergeCell ref="G12:I12"/>
    <mergeCell ref="G13:I13"/>
    <mergeCell ref="D12:F12"/>
    <mergeCell ref="D13:F13"/>
    <mergeCell ref="K12:P12"/>
    <mergeCell ref="K13:P13"/>
    <mergeCell ref="M9:N9"/>
    <mergeCell ref="O9:P9"/>
    <mergeCell ref="A10:B10"/>
    <mergeCell ref="C10:D10"/>
    <mergeCell ref="E10:F10"/>
    <mergeCell ref="G10:H10"/>
    <mergeCell ref="I10:J10"/>
    <mergeCell ref="K10:L10"/>
    <mergeCell ref="M10:N10"/>
    <mergeCell ref="O10:P10"/>
    <mergeCell ref="A9:B9"/>
    <mergeCell ref="C9:D9"/>
    <mergeCell ref="E9:F9"/>
    <mergeCell ref="G9:H9"/>
    <mergeCell ref="I9:J9"/>
    <mergeCell ref="K9:L9"/>
    <mergeCell ref="N3:P3"/>
    <mergeCell ref="H4:J4"/>
    <mergeCell ref="K4:M4"/>
    <mergeCell ref="N4:P4"/>
    <mergeCell ref="A1:L1"/>
    <mergeCell ref="M1:P1"/>
    <mergeCell ref="A3:B4"/>
    <mergeCell ref="C3:G4"/>
    <mergeCell ref="H3:J3"/>
    <mergeCell ref="K3:M3"/>
    <mergeCell ref="A16:L16"/>
    <mergeCell ref="M16:P16"/>
    <mergeCell ref="A18:B19"/>
    <mergeCell ref="C18:G19"/>
    <mergeCell ref="H18:J18"/>
    <mergeCell ref="K18:M18"/>
    <mergeCell ref="N18:P18"/>
    <mergeCell ref="H19:J19"/>
    <mergeCell ref="K19:M19"/>
    <mergeCell ref="N19:P19"/>
    <mergeCell ref="M21:N21"/>
    <mergeCell ref="O21:P21"/>
    <mergeCell ref="A22:B22"/>
    <mergeCell ref="C22:D22"/>
    <mergeCell ref="E22:F22"/>
    <mergeCell ref="G22:H22"/>
    <mergeCell ref="I22:J22"/>
    <mergeCell ref="K22:L22"/>
    <mergeCell ref="M22:N22"/>
    <mergeCell ref="O22:P22"/>
    <mergeCell ref="A21:B21"/>
    <mergeCell ref="C21:D21"/>
    <mergeCell ref="E21:F21"/>
    <mergeCell ref="G21:H21"/>
    <mergeCell ref="I21:J21"/>
    <mergeCell ref="K21:L21"/>
    <mergeCell ref="A27:C27"/>
    <mergeCell ref="D27:F27"/>
    <mergeCell ref="G27:I27"/>
    <mergeCell ref="K27:P27"/>
    <mergeCell ref="A28:C28"/>
    <mergeCell ref="D28:F28"/>
    <mergeCell ref="G28:I28"/>
    <mergeCell ref="K28:P28"/>
    <mergeCell ref="M24:N24"/>
    <mergeCell ref="O24:P24"/>
    <mergeCell ref="A25:B25"/>
    <mergeCell ref="C25:D25"/>
    <mergeCell ref="E25:F25"/>
    <mergeCell ref="G25:H25"/>
    <mergeCell ref="I25:J25"/>
    <mergeCell ref="K25:L25"/>
    <mergeCell ref="M25:N25"/>
    <mergeCell ref="O25:P25"/>
    <mergeCell ref="A24:B24"/>
    <mergeCell ref="C24:D24"/>
    <mergeCell ref="E24:F24"/>
    <mergeCell ref="G24:H24"/>
    <mergeCell ref="I24:J24"/>
    <mergeCell ref="K24:L24"/>
    <mergeCell ref="A31:L31"/>
    <mergeCell ref="M31:P31"/>
    <mergeCell ref="A33:B34"/>
    <mergeCell ref="C33:G34"/>
    <mergeCell ref="H33:J33"/>
    <mergeCell ref="K33:M33"/>
    <mergeCell ref="N33:P33"/>
    <mergeCell ref="H34:J34"/>
    <mergeCell ref="K34:M34"/>
    <mergeCell ref="N34:P34"/>
    <mergeCell ref="M36:N36"/>
    <mergeCell ref="O36:P36"/>
    <mergeCell ref="A37:B37"/>
    <mergeCell ref="C37:D37"/>
    <mergeCell ref="E37:F37"/>
    <mergeCell ref="G37:H37"/>
    <mergeCell ref="I37:J37"/>
    <mergeCell ref="K37:L37"/>
    <mergeCell ref="M37:N37"/>
    <mergeCell ref="O37:P37"/>
    <mergeCell ref="A36:B36"/>
    <mergeCell ref="C36:D36"/>
    <mergeCell ref="E36:F36"/>
    <mergeCell ref="G36:H36"/>
    <mergeCell ref="I36:J36"/>
    <mergeCell ref="K36:L36"/>
    <mergeCell ref="A42:C42"/>
    <mergeCell ref="D42:F42"/>
    <mergeCell ref="G42:I42"/>
    <mergeCell ref="K42:P42"/>
    <mergeCell ref="A43:C43"/>
    <mergeCell ref="D43:F43"/>
    <mergeCell ref="G43:I43"/>
    <mergeCell ref="K43:P43"/>
    <mergeCell ref="M39:N39"/>
    <mergeCell ref="O39:P39"/>
    <mergeCell ref="A40:B40"/>
    <mergeCell ref="C40:D40"/>
    <mergeCell ref="E40:F40"/>
    <mergeCell ref="G40:H40"/>
    <mergeCell ref="I40:J40"/>
    <mergeCell ref="K40:L40"/>
    <mergeCell ref="M40:N40"/>
    <mergeCell ref="O40:P40"/>
    <mergeCell ref="A39:B39"/>
    <mergeCell ref="C39:D39"/>
    <mergeCell ref="E39:F39"/>
    <mergeCell ref="G39:H39"/>
    <mergeCell ref="I39:J39"/>
    <mergeCell ref="K39:L39"/>
    <mergeCell ref="A46:L46"/>
    <mergeCell ref="M46:P46"/>
    <mergeCell ref="A48:B49"/>
    <mergeCell ref="C48:G49"/>
    <mergeCell ref="H48:J48"/>
    <mergeCell ref="K48:M48"/>
    <mergeCell ref="N48:P48"/>
    <mergeCell ref="H49:J49"/>
    <mergeCell ref="K49:M49"/>
    <mergeCell ref="N49:P49"/>
    <mergeCell ref="M51:N51"/>
    <mergeCell ref="O51:P51"/>
    <mergeCell ref="A52:B52"/>
    <mergeCell ref="C52:D52"/>
    <mergeCell ref="E52:F52"/>
    <mergeCell ref="G52:H52"/>
    <mergeCell ref="I52:J52"/>
    <mergeCell ref="K52:L52"/>
    <mergeCell ref="M52:N52"/>
    <mergeCell ref="O52:P52"/>
    <mergeCell ref="A51:B51"/>
    <mergeCell ref="C51:D51"/>
    <mergeCell ref="E51:F51"/>
    <mergeCell ref="G51:H51"/>
    <mergeCell ref="I51:J51"/>
    <mergeCell ref="K51:L51"/>
    <mergeCell ref="A57:C57"/>
    <mergeCell ref="D57:F57"/>
    <mergeCell ref="G57:I57"/>
    <mergeCell ref="K57:P57"/>
    <mergeCell ref="A58:C58"/>
    <mergeCell ref="D58:F58"/>
    <mergeCell ref="G58:I58"/>
    <mergeCell ref="K58:P58"/>
    <mergeCell ref="M54:N54"/>
    <mergeCell ref="O54:P54"/>
    <mergeCell ref="A55:B55"/>
    <mergeCell ref="C55:D55"/>
    <mergeCell ref="E55:F55"/>
    <mergeCell ref="G55:H55"/>
    <mergeCell ref="I55:J55"/>
    <mergeCell ref="K55:L55"/>
    <mergeCell ref="M55:N55"/>
    <mergeCell ref="O55:P55"/>
    <mergeCell ref="A54:B54"/>
    <mergeCell ref="C54:D54"/>
    <mergeCell ref="E54:F54"/>
    <mergeCell ref="G54:H54"/>
    <mergeCell ref="I54:J54"/>
    <mergeCell ref="K54:L54"/>
    <mergeCell ref="A61:L61"/>
    <mergeCell ref="M61:P61"/>
    <mergeCell ref="A63:B64"/>
    <mergeCell ref="C63:G64"/>
    <mergeCell ref="H63:J63"/>
    <mergeCell ref="K63:M63"/>
    <mergeCell ref="N63:P63"/>
    <mergeCell ref="H64:J64"/>
    <mergeCell ref="K64:M64"/>
    <mergeCell ref="N64:P64"/>
    <mergeCell ref="M66:N66"/>
    <mergeCell ref="O66:P66"/>
    <mergeCell ref="A67:B67"/>
    <mergeCell ref="C67:D67"/>
    <mergeCell ref="E67:F67"/>
    <mergeCell ref="G67:H67"/>
    <mergeCell ref="I67:J67"/>
    <mergeCell ref="K67:L67"/>
    <mergeCell ref="M67:N67"/>
    <mergeCell ref="O67:P67"/>
    <mergeCell ref="A66:B66"/>
    <mergeCell ref="C66:D66"/>
    <mergeCell ref="E66:F66"/>
    <mergeCell ref="G66:H66"/>
    <mergeCell ref="I66:J66"/>
    <mergeCell ref="K66:L66"/>
    <mergeCell ref="A72:C72"/>
    <mergeCell ref="D72:F72"/>
    <mergeCell ref="G72:I72"/>
    <mergeCell ref="K72:P72"/>
    <mergeCell ref="A73:C73"/>
    <mergeCell ref="D73:F73"/>
    <mergeCell ref="G73:I73"/>
    <mergeCell ref="K73:P73"/>
    <mergeCell ref="M69:N69"/>
    <mergeCell ref="O69:P69"/>
    <mergeCell ref="A70:B70"/>
    <mergeCell ref="C70:D70"/>
    <mergeCell ref="E70:F70"/>
    <mergeCell ref="G70:H70"/>
    <mergeCell ref="I70:J70"/>
    <mergeCell ref="K70:L70"/>
    <mergeCell ref="M70:N70"/>
    <mergeCell ref="O70:P70"/>
    <mergeCell ref="A69:B69"/>
    <mergeCell ref="C69:D69"/>
    <mergeCell ref="E69:F69"/>
    <mergeCell ref="G69:H69"/>
    <mergeCell ref="I69:J69"/>
    <mergeCell ref="K69:L69"/>
  </mergeCells>
  <phoneticPr fontId="2"/>
  <pageMargins left="0.62992125984251968" right="0.23622047244094491" top="0.15748031496062992" bottom="0.15748031496062992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3月分</vt:lpstr>
      <vt:lpstr>Sheet2</vt:lpstr>
      <vt:lpstr>'3月分'!Print_Area</vt:lpstr>
      <vt:lpstr>Sheet2!Print_Area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fujitobi-murakami</cp:lastModifiedBy>
  <cp:lastPrinted>2015-04-15T09:05:52Z</cp:lastPrinted>
  <dcterms:created xsi:type="dcterms:W3CDTF">2015-04-15T05:06:26Z</dcterms:created>
  <dcterms:modified xsi:type="dcterms:W3CDTF">2015-04-15T09:31:28Z</dcterms:modified>
</cp:coreProperties>
</file>