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4.尾道\00.設立\世羅\"/>
    </mc:Choice>
  </mc:AlternateContent>
  <bookViews>
    <workbookView xWindow="480" yWindow="15" windowWidth="18180" windowHeight="12120"/>
  </bookViews>
  <sheets>
    <sheet name="表紙" sheetId="7" r:id="rId1"/>
    <sheet name="平成27年度" sheetId="1" r:id="rId2"/>
    <sheet name="平成28年度" sheetId="2" r:id="rId3"/>
    <sheet name="ＰＬＨ27年度" sheetId="3" r:id="rId4"/>
    <sheet name="ＰＬＨ２8年度" sheetId="4" r:id="rId5"/>
    <sheet name="財産目録" sheetId="5" r:id="rId6"/>
    <sheet name="事業計画書" sheetId="6" r:id="rId7"/>
  </sheets>
  <calcPr calcId="152511"/>
</workbook>
</file>

<file path=xl/calcChain.xml><?xml version="1.0" encoding="utf-8"?>
<calcChain xmlns="http://schemas.openxmlformats.org/spreadsheetml/2006/main">
  <c r="C35" i="4" l="1"/>
  <c r="C34" i="4"/>
  <c r="C35" i="3"/>
  <c r="D23" i="2"/>
  <c r="D23" i="1"/>
  <c r="D19" i="1"/>
  <c r="D16" i="1"/>
  <c r="D9" i="1"/>
  <c r="D19" i="2" l="1"/>
  <c r="D16" i="2"/>
  <c r="B31" i="4"/>
  <c r="D32" i="4" s="1"/>
  <c r="B28" i="4"/>
  <c r="B16" i="4"/>
  <c r="B13" i="4"/>
  <c r="C20" i="4" s="1"/>
  <c r="C8" i="4"/>
  <c r="B8" i="4"/>
  <c r="D36" i="3"/>
  <c r="B31" i="3"/>
  <c r="D32" i="3" s="1"/>
  <c r="B28" i="3"/>
  <c r="B16" i="3"/>
  <c r="B13" i="3"/>
  <c r="C8" i="3"/>
  <c r="B8" i="3"/>
  <c r="D25" i="2"/>
  <c r="E36" i="2"/>
  <c r="E38" i="2" s="1"/>
  <c r="D36" i="4" s="1"/>
  <c r="E17" i="2"/>
  <c r="D9" i="2"/>
  <c r="E11" i="2" s="1"/>
  <c r="D5" i="2" s="1"/>
  <c r="E6" i="2" s="1"/>
  <c r="E12" i="2" s="1"/>
  <c r="E36" i="1"/>
  <c r="E17" i="1"/>
  <c r="E11" i="1"/>
  <c r="E6" i="1"/>
  <c r="E12" i="1" s="1"/>
  <c r="C20" i="3"/>
  <c r="D21" i="3"/>
  <c r="D21" i="4" l="1"/>
  <c r="D37" i="4"/>
  <c r="D37" i="3"/>
  <c r="E38" i="1"/>
</calcChain>
</file>

<file path=xl/sharedStrings.xml><?xml version="1.0" encoding="utf-8"?>
<sst xmlns="http://schemas.openxmlformats.org/spreadsheetml/2006/main" count="253" uniqueCount="163">
  <si>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</si>
  <si>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</si>
  <si>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</si>
  <si>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</si>
  <si>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</si>
  <si>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</si>
  <si>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</si>
  <si>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</si>
  <si>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</si>
  <si>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</si>
  <si>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</si>
  <si>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</si>
  <si>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</si>
  <si>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</si>
  <si>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</si>
  <si>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</si>
  <si>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</si>
  <si>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</si>
  <si>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</si>
  <si>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ｼｽﾃﾑ利用料</t>
    <rPh sb="4" eb="6">
      <t>リヨウ</t>
    </rPh>
    <rPh sb="6" eb="7">
      <t>リョウ</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</si>
  <si>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</si>
  <si>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</si>
  <si>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</si>
  <si>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</si>
  <si>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</si>
  <si>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</si>
  <si>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</si>
  <si>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</si>
  <si>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</si>
  <si>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</si>
  <si>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</si>
  <si>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</si>
  <si>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</si>
  <si>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</si>
  <si>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</si>
  <si>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</si>
  <si>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</si>
  <si>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</si>
  <si>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</si>
  <si>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</si>
  <si>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</si>
  <si>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</si>
  <si>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</si>
  <si>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</si>
  <si>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</si>
  <si>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</si>
  <si>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</si>
  <si>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</si>
  <si>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</si>
  <si>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</si>
  <si>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</si>
  <si>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</si>
  <si>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</si>
  <si>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</si>
  <si>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</si>
  <si>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</si>
  <si>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</si>
  <si>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</si>
  <si>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</si>
  <si>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</si>
  <si>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</si>
  <si>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</si>
  <si>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</si>
  <si>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</si>
  <si>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</si>
  <si>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</si>
  <si>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</si>
  <si>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</si>
  <si>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</si>
  <si>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</si>
  <si>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</si>
  <si>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</si>
  <si>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</si>
  <si>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</si>
  <si>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</si>
  <si>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</si>
  <si>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</si>
  <si>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</si>
  <si>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</si>
  <si>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</si>
  <si>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</si>
  <si>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</si>
  <si>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</si>
  <si>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</si>
  <si>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</si>
  <si>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</si>
  <si>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</si>
  <si>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</si>
  <si>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</si>
  <si>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</si>
  <si>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</si>
  <si>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</si>
  <si>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</si>
  <si>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</si>
  <si>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</si>
  <si>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</si>
  <si>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</si>
  <si>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</si>
  <si>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</si>
  <si>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</si>
  <si>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</si>
  <si>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</si>
  <si>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</si>
  <si>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</si>
  <si>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</si>
  <si>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</si>
  <si>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</si>
  <si>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</si>
  <si>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</si>
  <si>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</si>
  <si>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 xml:space="preserve"> サービス提供責任者　１名</t>
    <rPh sb="5" eb="7">
      <t>テイキョウ</t>
    </rPh>
    <rPh sb="7" eb="10">
      <t>セキニンシャ</t>
    </rPh>
    <rPh sb="12" eb="13">
      <t>メイ</t>
    </rPh>
    <phoneticPr fontId="2"/>
  </si>
  <si>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</si>
  <si>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</si>
  <si>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</si>
  <si>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t>
  </si>
  <si>
    <t xml:space="preserve"> その他　　　１名</t>
    <rPh sb="1" eb="4">
      <t>ソノタ</t>
    </rPh>
    <rPh sb="8" eb="9">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</si>
  <si>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</si>
  <si>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</si>
  <si>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</si>
  <si>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</si>
  <si>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</si>
  <si>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</si>
  <si>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</si>
  <si>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１００，０００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</si>
  <si>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</si>
  <si>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</si>
  <si>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パチンコ解体作業工賃</t>
    <rPh sb="4" eb="6">
      <t>カイタイ</t>
    </rPh>
    <rPh sb="6" eb="8">
      <t>サギョウ</t>
    </rPh>
    <rPh sb="8" eb="10">
      <t>コウチン</t>
    </rPh>
    <phoneticPr fontId="2"/>
  </si>
  <si>
    <t>事務員20万円×5ヶ月</t>
    <rPh sb="0" eb="3">
      <t>ジムイン</t>
    </rPh>
    <rPh sb="5" eb="7">
      <t>マンエン</t>
    </rPh>
    <rPh sb="10" eb="11">
      <t>ゲツ</t>
    </rPh>
    <phoneticPr fontId="2"/>
  </si>
  <si>
    <t>利用者20名×日給1,300円×21日×12か月（平均）</t>
    <rPh sb="0" eb="3">
      <t>リヨウシャ</t>
    </rPh>
    <rPh sb="5" eb="6">
      <t>メイ</t>
    </rPh>
    <rPh sb="7" eb="9">
      <t>ニッキュウ</t>
    </rPh>
    <rPh sb="14" eb="15">
      <t>エン</t>
    </rPh>
    <rPh sb="18" eb="19">
      <t>ニチ</t>
    </rPh>
    <rPh sb="25" eb="27">
      <t>ヘイキン</t>
    </rPh>
    <phoneticPr fontId="2"/>
  </si>
  <si>
    <t>消耗品</t>
    <rPh sb="0" eb="2">
      <t>ショウモウ</t>
    </rPh>
    <rPh sb="2" eb="3">
      <t>ヒン</t>
    </rPh>
    <phoneticPr fontId="2"/>
  </si>
  <si>
    <t>パチンコ解体作業工賃</t>
    <rPh sb="4" eb="6">
      <t>カイタイ</t>
    </rPh>
    <rPh sb="6" eb="8">
      <t>サギョウ</t>
    </rPh>
    <rPh sb="8" eb="10">
      <t>コウチン</t>
    </rPh>
    <phoneticPr fontId="2"/>
  </si>
  <si>
    <t>20人×5,850円×21日×12か月</t>
    <rPh sb="2" eb="3">
      <t>ニン</t>
    </rPh>
    <rPh sb="9" eb="10">
      <t>エン</t>
    </rPh>
    <rPh sb="13" eb="14">
      <t>ニチ</t>
    </rPh>
    <phoneticPr fontId="2"/>
  </si>
  <si>
    <t>0</t>
    <phoneticPr fontId="2"/>
  </si>
  <si>
    <t>（</t>
    <phoneticPr fontId="2"/>
  </si>
  <si>
    <t>（ カイト世羅</t>
    <rPh sb="5" eb="7">
      <t>セラ</t>
    </rPh>
    <phoneticPr fontId="2"/>
  </si>
  <si>
    <t xml:space="preserve">上記内容に相違ありません。
平成2７年5月31日
　　　　　一般社団法人チャレンジド尾道
　　　　　代表理事　藤原　照國
</t>
    <rPh sb="0" eb="2">
      <t>ジョウキ</t>
    </rPh>
    <rPh sb="2" eb="4">
      <t>ナイヨウ</t>
    </rPh>
    <rPh sb="5" eb="7">
      <t>ソウイ</t>
    </rPh>
    <rPh sb="14" eb="16">
      <t>ヘイセイ</t>
    </rPh>
    <rPh sb="18" eb="19">
      <t>ネン</t>
    </rPh>
    <rPh sb="20" eb="21">
      <t>ガツ</t>
    </rPh>
    <rPh sb="23" eb="24">
      <t>ニチ</t>
    </rPh>
    <rPh sb="31" eb="33">
      <t>イッパン</t>
    </rPh>
    <rPh sb="33" eb="35">
      <t>シャダン</t>
    </rPh>
    <rPh sb="35" eb="37">
      <t>ホウジン</t>
    </rPh>
    <rPh sb="43" eb="45">
      <t>オノミチ</t>
    </rPh>
    <rPh sb="51" eb="53">
      <t>ダイヒョウ</t>
    </rPh>
    <rPh sb="53" eb="55">
      <t>リジ</t>
    </rPh>
    <rPh sb="56" eb="58">
      <t>フジワラ</t>
    </rPh>
    <rPh sb="59" eb="60">
      <t>テル</t>
    </rPh>
    <rPh sb="60" eb="61">
      <t>クニ</t>
    </rPh>
    <phoneticPr fontId="2"/>
  </si>
  <si>
    <t>＜世羅町＞</t>
    <rPh sb="1" eb="4">
      <t>セラチョウ</t>
    </rPh>
    <phoneticPr fontId="2"/>
  </si>
  <si>
    <t>就労業務としては、パチンコ台解体作業を準備する。
パチンコ台の確保は一般社団法人遊技機リサイクル協会の指定事業者藤鳶工業㈱より、広島県においては独占的に提供していただける。現在の広島においてのパチンコ台回収実績は月２，０００台程度。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ヒロシマ</t>
    </rPh>
    <rPh sb="66" eb="67">
      <t>ケン</t>
    </rPh>
    <rPh sb="72" eb="75">
      <t>ドクセンテキ</t>
    </rPh>
    <rPh sb="76" eb="78">
      <t>テイキョウ</t>
    </rPh>
    <rPh sb="86" eb="88">
      <t>ゲンザイ</t>
    </rPh>
    <rPh sb="89" eb="91">
      <t>ヒロシマ</t>
    </rPh>
    <rPh sb="100" eb="101">
      <t>ダイ</t>
    </rPh>
    <rPh sb="101" eb="103">
      <t>カイシュウ</t>
    </rPh>
    <rPh sb="103" eb="105">
      <t>ジッセキ</t>
    </rPh>
    <rPh sb="106" eb="107">
      <t>ツキ</t>
    </rPh>
    <rPh sb="112" eb="113">
      <t>ダイ</t>
    </rPh>
    <rPh sb="113" eb="115">
      <t>テイド</t>
    </rPh>
    <phoneticPr fontId="2"/>
  </si>
  <si>
    <t>平成２７年７月１日</t>
    <rPh sb="0" eb="2">
      <t>ヘイセイ</t>
    </rPh>
    <rPh sb="4" eb="5">
      <t>ネン</t>
    </rPh>
    <rPh sb="6" eb="7">
      <t>ガツ</t>
    </rPh>
    <rPh sb="8" eb="9">
      <t>ニチ</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</si>
  <si>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（１２）移動支援
（１３）前各号に掲げる便宜に附帯する便宜
</t>
    <rPh sb="142" eb="144">
      <t>イドウ</t>
    </rPh>
    <rPh sb="144" eb="146">
      <t>シエン</t>
    </rPh>
    <phoneticPr fontId="2"/>
  </si>
  <si>
    <t xml:space="preserve">資産状況
カイト世羅
</t>
    <rPh sb="0" eb="2">
      <t>シサン</t>
    </rPh>
    <rPh sb="2" eb="4">
      <t>ジョウキョウ</t>
    </rPh>
    <rPh sb="9" eb="11">
      <t>セラ</t>
    </rPh>
    <phoneticPr fontId="2"/>
  </si>
  <si>
    <t>平成27年7月1日から平成28年3月31日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</si>
  <si>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消耗品等</t>
    <rPh sb="0" eb="2">
      <t>ショウモウ</t>
    </rPh>
    <rPh sb="2" eb="3">
      <t>ヒン</t>
    </rPh>
    <rPh sb="3" eb="4">
      <t>トウ</t>
    </rPh>
    <phoneticPr fontId="2"/>
  </si>
  <si>
    <t>.</t>
    <phoneticPr fontId="2"/>
  </si>
  <si>
    <t>管理者　20万円/月×8ヶ月</t>
    <rPh sb="0" eb="3">
      <t>カンリシャ</t>
    </rPh>
    <rPh sb="6" eb="8">
      <t>マンエン</t>
    </rPh>
    <rPh sb="9" eb="10">
      <t>ツキ</t>
    </rPh>
    <phoneticPr fontId="2"/>
  </si>
  <si>
    <t>ｻｰﾋﾞｽ管理責任者　20万円/月×8ヶ月</t>
    <rPh sb="5" eb="7">
      <t>カンリ</t>
    </rPh>
    <rPh sb="7" eb="9">
      <t>セキニン</t>
    </rPh>
    <rPh sb="9" eb="10">
      <t>シャ</t>
    </rPh>
    <rPh sb="13" eb="15">
      <t>マンエン</t>
    </rPh>
    <rPh sb="16" eb="17">
      <t>ツキ</t>
    </rPh>
    <phoneticPr fontId="2"/>
  </si>
  <si>
    <t>支援員・アルバイト50万円/月×8ヶ月</t>
    <rPh sb="0" eb="2">
      <t>シエン</t>
    </rPh>
    <rPh sb="2" eb="3">
      <t>イン</t>
    </rPh>
    <rPh sb="11" eb="13">
      <t>マンエン</t>
    </rPh>
    <rPh sb="14" eb="15">
      <t>ツキ</t>
    </rPh>
    <phoneticPr fontId="2"/>
  </si>
  <si>
    <t>電話・インターネット・携帯電話等）2万円/月×8ヶ月</t>
    <rPh sb="0" eb="2">
      <t>デンワ</t>
    </rPh>
    <rPh sb="11" eb="13">
      <t>ケイタイ</t>
    </rPh>
    <rPh sb="13" eb="15">
      <t>デンワ</t>
    </rPh>
    <rPh sb="15" eb="16">
      <t>トウ</t>
    </rPh>
    <rPh sb="18" eb="20">
      <t>マンエン</t>
    </rPh>
    <rPh sb="21" eb="22">
      <t>ツキ</t>
    </rPh>
    <phoneticPr fontId="2"/>
  </si>
  <si>
    <t>家賃30万円/月×8ヶ月</t>
    <rPh sb="0" eb="2">
      <t>ヤチン</t>
    </rPh>
    <rPh sb="4" eb="6">
      <t>マンエン</t>
    </rPh>
    <rPh sb="7" eb="8">
      <t>ツキ</t>
    </rPh>
    <phoneticPr fontId="2"/>
  </si>
  <si>
    <t>電気ガス水道5万円/月×8ヶ月</t>
    <rPh sb="0" eb="2">
      <t>デンキ</t>
    </rPh>
    <rPh sb="4" eb="6">
      <t>スイドウ</t>
    </rPh>
    <rPh sb="7" eb="9">
      <t>マンエン</t>
    </rPh>
    <rPh sb="10" eb="11">
      <t>ツキ</t>
    </rPh>
    <phoneticPr fontId="2"/>
  </si>
  <si>
    <t>事務用品等2万円/月×8ヶ月</t>
    <rPh sb="0" eb="2">
      <t>ジム</t>
    </rPh>
    <rPh sb="2" eb="4">
      <t>ヨウヒン</t>
    </rPh>
    <rPh sb="4" eb="5">
      <t>トウ</t>
    </rPh>
    <rPh sb="6" eb="8">
      <t>マンエン</t>
    </rPh>
    <phoneticPr fontId="2"/>
  </si>
  <si>
    <t>燃料等万円２/月×8ヶ月</t>
    <rPh sb="0" eb="2">
      <t>ネンリョウ</t>
    </rPh>
    <rPh sb="2" eb="3">
      <t>トウ</t>
    </rPh>
    <phoneticPr fontId="2"/>
  </si>
  <si>
    <t>建物修理等２/月×8ヶ月</t>
    <rPh sb="0" eb="2">
      <t>タテモノ</t>
    </rPh>
    <rPh sb="2" eb="4">
      <t>シュウリ</t>
    </rPh>
    <rPh sb="4" eb="5">
      <t>トウ</t>
    </rPh>
    <phoneticPr fontId="2"/>
  </si>
  <si>
    <t>5万円/月×8ヶ月</t>
  </si>
  <si>
    <t>3万円/月×8ヶ月</t>
  </si>
  <si>
    <t>利用者１5名×日給1,300円×21日×8ヶ月</t>
    <rPh sb="0" eb="3">
      <t>リヨウシャ</t>
    </rPh>
    <rPh sb="5" eb="6">
      <t>メイ</t>
    </rPh>
    <rPh sb="7" eb="9">
      <t>ニッキュウ</t>
    </rPh>
    <rPh sb="14" eb="15">
      <t>エン</t>
    </rPh>
    <rPh sb="18" eb="19">
      <t>ニチ</t>
    </rPh>
    <rPh sb="22" eb="23">
      <t>ゲツ</t>
    </rPh>
    <phoneticPr fontId="2"/>
  </si>
  <si>
    <t>15人×5,850円×21日×8ヶ月</t>
    <rPh sb="2" eb="3">
      <t>ニン</t>
    </rPh>
    <rPh sb="9" eb="10">
      <t>エン</t>
    </rPh>
    <rPh sb="13" eb="14">
      <t>ニチ</t>
    </rPh>
    <rPh sb="17" eb="18">
      <t>ゲツ</t>
    </rPh>
    <phoneticPr fontId="2"/>
  </si>
  <si>
    <t>社会保険・健康診断等15万円/月×8ヶ月</t>
    <rPh sb="0" eb="2">
      <t>シャカイ</t>
    </rPh>
    <rPh sb="2" eb="4">
      <t>ホケン</t>
    </rPh>
    <rPh sb="5" eb="7">
      <t>ケンコウ</t>
    </rPh>
    <rPh sb="7" eb="9">
      <t>シンダン</t>
    </rPh>
    <rPh sb="9" eb="10">
      <t>トウ</t>
    </rPh>
    <rPh sb="12" eb="14">
      <t>マンエン</t>
    </rPh>
    <rPh sb="15" eb="16">
      <t>ツキ</t>
    </rPh>
    <phoneticPr fontId="2"/>
  </si>
  <si>
    <t>介護システムＡＳＰ10万円×1ヶ月</t>
    <rPh sb="0" eb="2">
      <t>カイゴ</t>
    </rPh>
    <rPh sb="11" eb="13">
      <t>マンエン</t>
    </rPh>
    <phoneticPr fontId="2"/>
  </si>
  <si>
    <t>介護システムＡＳＰ２2万円×12か月</t>
    <rPh sb="0" eb="2">
      <t>カイゴ</t>
    </rPh>
    <rPh sb="11" eb="13">
      <t>マンエン</t>
    </rPh>
    <phoneticPr fontId="2"/>
  </si>
  <si>
    <t>社会保険・健康診断等20万円/月×12か月</t>
    <rPh sb="0" eb="2">
      <t>シャカイ</t>
    </rPh>
    <rPh sb="2" eb="4">
      <t>ホケン</t>
    </rPh>
    <rPh sb="5" eb="7">
      <t>ケンコウ</t>
    </rPh>
    <rPh sb="7" eb="9">
      <t>シンダン</t>
    </rPh>
    <rPh sb="9" eb="10">
      <t>トウ</t>
    </rPh>
    <rPh sb="12" eb="14">
      <t>マンエン</t>
    </rPh>
    <rPh sb="15" eb="16">
      <t>ツキ</t>
    </rPh>
    <phoneticPr fontId="2"/>
  </si>
  <si>
    <t>平成28年４月1日から平成29年3月31日</t>
    <rPh sb="0" eb="2">
      <t>ヘイセイ</t>
    </rPh>
    <rPh sb="4" eb="5">
      <t>ネン</t>
    </rPh>
    <rPh sb="6" eb="7">
      <t>ガツ</t>
    </rPh>
    <rPh sb="8" eb="9">
      <t>ニチ</t>
    </rPh>
    <rPh sb="11" eb="13">
      <t>ヘイセイ</t>
    </rPh>
    <rPh sb="15" eb="16">
      <t>ネン</t>
    </rPh>
    <rPh sb="17" eb="18">
      <t>ガツ</t>
    </rPh>
    <rPh sb="20" eb="21">
      <t>ニチ</t>
    </rPh>
    <phoneticPr fontId="2"/>
  </si>
  <si>
    <t>平成28年度収支予算書</t>
    <rPh sb="0" eb="2">
      <t>ヘイセイ</t>
    </rPh>
    <rPh sb="4" eb="6">
      <t>ネンド</t>
    </rPh>
    <rPh sb="6" eb="8">
      <t>シュウシ</t>
    </rPh>
    <rPh sb="8" eb="11">
      <t>ヨサンショ</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</si>
</sst>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6">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8" fillId="0" borderId="0" xfId="0" applyFont="1" applyAlignment="1">
      <alignment horizontal="center" wrapText="1"/>
    </xf>
    <xf numFmtId="0" fontId="8" fillId="0" borderId="0" xfId="0" applyFont="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0" fillId="0" borderId="0" xfId="0" applyNumberFormat="1" applyBorder="1" applyAlignment="1">
      <alignment horizontal="right"/>
    </xf>
    <xf numFmtId="49" fontId="6" fillId="0" borderId="0" xfId="0" applyNumberFormat="1" applyFont="1" applyAlignment="1">
      <alignment horizontal="center"/>
    </xf>
    <xf numFmtId="49" fontId="0" fillId="0" borderId="0" xfId="0" applyNumberFormat="1" applyAlignment="1">
      <alignment horizontal="left" wrapText="1"/>
    </xf>
    <xf numFmtId="49" fontId="0" fillId="0" borderId="0" xfId="0" applyNumberFormat="1" applyAlignment="1">
      <alignment horizontal="left"/>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tabSelected="1" topLeftCell="A4" zoomScaleNormal="100" workbookViewId="0">
      <selection activeCell="L13" sqref="L13"/>
    </sheetView>
  </sheetViews>
  <sheetFormatPr defaultRowHeight="16.5" customHeight="1"/>
  <cols>
    <col min="6" max="6" width="9" style="34"/>
  </cols>
  <sheetData>
    <row r="7" spans="1:9" ht="16.5" customHeight="1">
      <c r="A7" s="58" t="s">
        <v>140</v>
      </c>
      <c r="B7" s="59"/>
      <c r="C7" s="59"/>
      <c r="D7" s="59"/>
      <c r="E7" s="59"/>
      <c r="F7" s="59"/>
      <c r="G7" s="59"/>
      <c r="H7" s="59"/>
      <c r="I7" s="59"/>
    </row>
    <row r="8" spans="1:9" ht="16.5" customHeight="1">
      <c r="A8" s="59"/>
      <c r="B8" s="59"/>
      <c r="C8" s="59"/>
      <c r="D8" s="59"/>
      <c r="E8" s="59"/>
      <c r="F8" s="59"/>
      <c r="G8" s="59"/>
      <c r="H8" s="59"/>
      <c r="I8" s="59"/>
    </row>
    <row r="9" spans="1:9" ht="16.5" customHeight="1">
      <c r="A9" s="59"/>
      <c r="B9" s="59"/>
      <c r="C9" s="59"/>
      <c r="D9" s="59"/>
      <c r="E9" s="59"/>
      <c r="F9" s="59"/>
      <c r="G9" s="59"/>
      <c r="H9" s="59"/>
      <c r="I9" s="59"/>
    </row>
    <row r="10" spans="1:9" ht="16.5" customHeight="1">
      <c r="A10" s="59"/>
      <c r="B10" s="59"/>
      <c r="C10" s="59"/>
      <c r="D10" s="59"/>
      <c r="E10" s="59"/>
      <c r="F10" s="59"/>
      <c r="G10" s="59"/>
      <c r="H10" s="59"/>
      <c r="I10" s="59"/>
    </row>
    <row r="11" spans="1:9" ht="16.5" customHeight="1">
      <c r="A11" s="59"/>
      <c r="B11" s="59"/>
      <c r="C11" s="59"/>
      <c r="D11" s="59"/>
      <c r="E11" s="59"/>
      <c r="F11" s="59"/>
      <c r="G11" s="59"/>
      <c r="H11" s="59"/>
      <c r="I11" s="59"/>
    </row>
    <row r="12" spans="1:9" ht="16.5" customHeight="1">
      <c r="A12" s="59"/>
      <c r="B12" s="59"/>
      <c r="C12" s="59"/>
      <c r="D12" s="59"/>
      <c r="E12" s="59"/>
      <c r="F12" s="59"/>
      <c r="G12" s="59"/>
      <c r="H12" s="59"/>
      <c r="I12" s="59"/>
    </row>
    <row r="13" spans="1:9" ht="16.5" customHeight="1">
      <c r="A13" s="59"/>
      <c r="B13" s="59"/>
      <c r="C13" s="59"/>
      <c r="D13" s="59"/>
      <c r="E13" s="59"/>
      <c r="F13" s="59"/>
      <c r="G13" s="59"/>
      <c r="H13" s="59"/>
      <c r="I13" s="59"/>
    </row>
    <row r="14" spans="1:9" ht="16.5" customHeight="1">
      <c r="A14" s="59"/>
      <c r="B14" s="59"/>
      <c r="C14" s="59"/>
      <c r="D14" s="59"/>
      <c r="E14" s="59"/>
      <c r="F14" s="59"/>
      <c r="G14" s="59"/>
      <c r="H14" s="59"/>
      <c r="I14" s="59"/>
    </row>
    <row r="15" spans="1:9" ht="16.5" customHeight="1">
      <c r="A15" s="59"/>
      <c r="B15" s="59"/>
      <c r="C15" s="59"/>
      <c r="D15" s="59"/>
      <c r="E15" s="59"/>
      <c r="F15" s="59"/>
      <c r="G15" s="59"/>
      <c r="H15" s="59"/>
      <c r="I15" s="59"/>
    </row>
    <row r="16" spans="1:9" ht="16.5" customHeight="1">
      <c r="A16" s="59"/>
      <c r="B16" s="59"/>
      <c r="C16" s="59"/>
      <c r="D16" s="59"/>
      <c r="E16" s="59"/>
      <c r="F16" s="59"/>
      <c r="G16" s="59"/>
      <c r="H16" s="59"/>
      <c r="I16" s="59"/>
    </row>
    <row r="17" spans="1:9" ht="16.5" customHeight="1">
      <c r="A17" s="59"/>
      <c r="B17" s="59"/>
      <c r="C17" s="59"/>
      <c r="D17" s="59"/>
      <c r="E17" s="59"/>
      <c r="F17" s="59"/>
      <c r="G17" s="59"/>
      <c r="H17" s="59"/>
      <c r="I17" s="59"/>
    </row>
    <row r="18" spans="1:9" ht="16.5" customHeight="1">
      <c r="A18" s="59"/>
      <c r="B18" s="59"/>
      <c r="C18" s="59"/>
      <c r="D18" s="59"/>
      <c r="E18" s="59"/>
      <c r="F18" s="59"/>
      <c r="G18" s="59"/>
      <c r="H18" s="59"/>
      <c r="I18" s="59"/>
    </row>
    <row r="19" spans="1:9" ht="16.5" customHeight="1">
      <c r="A19" s="59"/>
      <c r="B19" s="59"/>
      <c r="C19" s="59"/>
      <c r="D19" s="59"/>
      <c r="E19" s="59"/>
      <c r="F19" s="59"/>
      <c r="G19" s="59"/>
      <c r="H19" s="59"/>
      <c r="I19" s="59"/>
    </row>
    <row r="20" spans="1:9" ht="16.5" customHeight="1">
      <c r="A20" s="59"/>
      <c r="B20" s="59"/>
      <c r="C20" s="59"/>
      <c r="D20" s="59"/>
      <c r="E20" s="59"/>
      <c r="F20" s="59"/>
      <c r="G20" s="59"/>
      <c r="H20" s="59"/>
      <c r="I20" s="59"/>
    </row>
    <row r="21" spans="1:9" ht="16.5" customHeight="1">
      <c r="A21" s="59"/>
      <c r="B21" s="59"/>
      <c r="C21" s="59"/>
      <c r="D21" s="59"/>
      <c r="E21" s="59"/>
      <c r="F21" s="59"/>
      <c r="G21" s="59"/>
      <c r="H21" s="59"/>
      <c r="I21" s="59"/>
    </row>
    <row r="22" spans="1:9" ht="16.5" customHeight="1">
      <c r="A22" s="59"/>
      <c r="B22" s="59"/>
      <c r="C22" s="59"/>
      <c r="D22" s="59"/>
      <c r="E22" s="59"/>
      <c r="F22" s="59"/>
      <c r="G22" s="59"/>
      <c r="H22" s="59"/>
      <c r="I22" s="59"/>
    </row>
    <row r="23" spans="1:9" ht="16.5" customHeight="1">
      <c r="A23" s="59"/>
      <c r="B23" s="59"/>
      <c r="C23" s="59"/>
      <c r="D23" s="59"/>
      <c r="E23" s="59"/>
      <c r="F23" s="59"/>
      <c r="G23" s="59"/>
      <c r="H23" s="59"/>
      <c r="I23" s="59"/>
    </row>
    <row r="24" spans="1:9" ht="16.5" customHeight="1">
      <c r="A24" s="59"/>
      <c r="B24" s="59"/>
      <c r="C24" s="59"/>
      <c r="D24" s="59"/>
      <c r="E24" s="59"/>
      <c r="F24" s="59"/>
      <c r="G24" s="59"/>
      <c r="H24" s="59"/>
      <c r="I24" s="59"/>
    </row>
    <row r="25" spans="1:9" ht="16.5" customHeight="1">
      <c r="A25" s="59"/>
      <c r="B25" s="59"/>
      <c r="C25" s="59"/>
      <c r="D25" s="59"/>
      <c r="E25" s="59"/>
      <c r="F25" s="59"/>
      <c r="G25" s="59"/>
      <c r="H25" s="59"/>
      <c r="I25" s="59"/>
    </row>
    <row r="26" spans="1:9" ht="16.5" customHeight="1">
      <c r="A26" s="59"/>
      <c r="B26" s="59"/>
      <c r="C26" s="59"/>
      <c r="D26" s="59"/>
      <c r="E26" s="59"/>
      <c r="F26" s="59"/>
      <c r="G26" s="59"/>
      <c r="H26" s="59"/>
      <c r="I26" s="59"/>
    </row>
    <row r="27" spans="1:9" ht="16.5" customHeight="1">
      <c r="A27" s="59"/>
      <c r="B27" s="59"/>
      <c r="C27" s="59"/>
      <c r="D27" s="59"/>
      <c r="E27" s="59"/>
      <c r="F27" s="59"/>
      <c r="G27" s="59"/>
      <c r="H27" s="59"/>
      <c r="I27" s="59"/>
    </row>
    <row r="28" spans="1:9" ht="16.5" customHeight="1">
      <c r="A28" s="59"/>
      <c r="B28" s="59"/>
      <c r="C28" s="59"/>
      <c r="D28" s="59"/>
      <c r="E28" s="59"/>
      <c r="F28" s="59"/>
      <c r="G28" s="59"/>
      <c r="H28" s="59"/>
      <c r="I28" s="59"/>
    </row>
    <row r="29" spans="1:9" ht="16.5" customHeight="1">
      <c r="A29" s="59"/>
      <c r="B29" s="59"/>
      <c r="C29" s="59"/>
      <c r="D29" s="59"/>
      <c r="E29" s="59"/>
      <c r="F29" s="59"/>
      <c r="G29" s="59"/>
      <c r="H29" s="59"/>
      <c r="I29" s="59"/>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abSelected="1" zoomScaleNormal="100" workbookViewId="0">
      <selection activeCell="L13" sqref="L13"/>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60" t="s">
        <v>30</v>
      </c>
      <c r="C1" s="60"/>
      <c r="D1" s="60"/>
      <c r="E1" s="60"/>
      <c r="F1" s="60"/>
    </row>
    <row r="2" spans="1:6" ht="16.5" customHeight="1">
      <c r="B2" s="60" t="s">
        <v>141</v>
      </c>
      <c r="C2" s="60"/>
      <c r="D2" s="60"/>
      <c r="E2" s="60"/>
      <c r="F2" s="60"/>
    </row>
    <row r="3" spans="1:6" ht="16.5" customHeight="1">
      <c r="A3" s="1"/>
      <c r="B3" s="61" t="s">
        <v>0</v>
      </c>
      <c r="C3" s="62"/>
      <c r="D3" s="2"/>
      <c r="E3" s="3"/>
      <c r="F3" s="3" t="s">
        <v>1</v>
      </c>
    </row>
    <row r="4" spans="1:6" ht="16.5" customHeight="1">
      <c r="A4" s="63" t="s">
        <v>2</v>
      </c>
      <c r="B4" s="4" t="s">
        <v>3</v>
      </c>
      <c r="C4" s="5"/>
      <c r="D4" s="6"/>
      <c r="E4" s="7"/>
      <c r="F4" s="8"/>
    </row>
    <row r="5" spans="1:6" ht="16.5" customHeight="1">
      <c r="A5" s="64"/>
      <c r="B5" s="9"/>
      <c r="C5" s="10" t="s">
        <v>4</v>
      </c>
      <c r="D5" s="11">
        <v>3576000</v>
      </c>
      <c r="E5" s="12"/>
      <c r="F5" s="13" t="s">
        <v>126</v>
      </c>
    </row>
    <row r="6" spans="1:6" ht="16.5" customHeight="1" thickBot="1">
      <c r="A6" s="64"/>
      <c r="B6" s="9"/>
      <c r="C6" s="10" t="s">
        <v>5</v>
      </c>
      <c r="D6" s="11"/>
      <c r="E6" s="14">
        <f>SUM(D5)</f>
        <v>3576000</v>
      </c>
      <c r="F6" s="13"/>
    </row>
    <row r="7" spans="1:6" ht="16.5" customHeight="1" thickTop="1">
      <c r="A7" s="64"/>
      <c r="B7" s="15"/>
      <c r="C7" s="16"/>
      <c r="D7" s="17"/>
      <c r="E7" s="18"/>
      <c r="F7" s="13"/>
    </row>
    <row r="8" spans="1:6" ht="16.5" customHeight="1">
      <c r="A8" s="64"/>
      <c r="B8" s="19" t="s">
        <v>6</v>
      </c>
      <c r="C8" s="20"/>
      <c r="D8" s="6"/>
      <c r="E8" s="7"/>
      <c r="F8" s="13"/>
    </row>
    <row r="9" spans="1:6" ht="16.5" customHeight="1">
      <c r="A9" s="64"/>
      <c r="B9" s="9"/>
      <c r="C9" s="10" t="s">
        <v>7</v>
      </c>
      <c r="D9" s="11">
        <f>15*1300*21*8</f>
        <v>3276000</v>
      </c>
      <c r="E9" s="12"/>
      <c r="F9" s="21" t="s">
        <v>155</v>
      </c>
    </row>
    <row r="10" spans="1:6" ht="16.5" customHeight="1">
      <c r="A10" s="64"/>
      <c r="B10" s="9"/>
      <c r="C10" s="10" t="s">
        <v>8</v>
      </c>
      <c r="D10" s="11">
        <v>300000</v>
      </c>
      <c r="E10" s="12"/>
      <c r="F10" s="21" t="s">
        <v>142</v>
      </c>
    </row>
    <row r="11" spans="1:6" ht="16.5" customHeight="1" thickBot="1">
      <c r="A11" s="64"/>
      <c r="B11" s="9"/>
      <c r="C11" s="10" t="s">
        <v>9</v>
      </c>
      <c r="D11" s="11"/>
      <c r="E11" s="14">
        <f>SUM(D9:D10)</f>
        <v>3576000</v>
      </c>
      <c r="F11" s="21"/>
    </row>
    <row r="12" spans="1:6" ht="16.5" customHeight="1" thickTop="1">
      <c r="A12" s="64"/>
      <c r="B12" s="9"/>
      <c r="C12" s="22" t="s">
        <v>10</v>
      </c>
      <c r="D12" s="11"/>
      <c r="E12" s="18">
        <f>E6-E11</f>
        <v>0</v>
      </c>
      <c r="F12" s="21"/>
    </row>
    <row r="13" spans="1:6" ht="16.5" customHeight="1">
      <c r="A13" s="65"/>
      <c r="B13" s="15"/>
      <c r="C13" s="16"/>
      <c r="D13" s="17"/>
      <c r="E13" s="23"/>
      <c r="F13" s="24"/>
    </row>
    <row r="14" spans="1:6" ht="16.5" customHeight="1">
      <c r="A14" s="66" t="s">
        <v>11</v>
      </c>
      <c r="B14" s="69" t="s">
        <v>125</v>
      </c>
      <c r="C14" s="70"/>
      <c r="D14" s="7"/>
      <c r="E14" s="7"/>
      <c r="F14" s="25"/>
    </row>
    <row r="15" spans="1:6" ht="16.5" customHeight="1">
      <c r="A15" s="67"/>
      <c r="B15" s="71"/>
      <c r="C15" s="72"/>
      <c r="D15" s="12"/>
      <c r="E15" s="12"/>
      <c r="F15" s="26"/>
    </row>
    <row r="16" spans="1:6" ht="16.5" customHeight="1">
      <c r="A16" s="67"/>
      <c r="B16" s="9"/>
      <c r="C16" s="10" t="s">
        <v>12</v>
      </c>
      <c r="D16" s="12">
        <f>15*5850*21*8</f>
        <v>14742000</v>
      </c>
      <c r="E16" s="12"/>
      <c r="F16" s="26" t="s">
        <v>156</v>
      </c>
    </row>
    <row r="17" spans="1:6" ht="16.5" customHeight="1" thickBot="1">
      <c r="A17" s="67"/>
      <c r="B17" s="9"/>
      <c r="C17" s="22" t="s">
        <v>5</v>
      </c>
      <c r="D17" s="12"/>
      <c r="E17" s="14">
        <f>SUM(D16)</f>
        <v>14742000</v>
      </c>
      <c r="F17" s="26" t="s">
        <v>143</v>
      </c>
    </row>
    <row r="18" spans="1:6" ht="16.5" customHeight="1" thickTop="1">
      <c r="A18" s="67"/>
      <c r="B18" s="27" t="s">
        <v>13</v>
      </c>
      <c r="C18" s="28"/>
      <c r="D18" s="12"/>
      <c r="E18" s="18"/>
      <c r="F18" s="26"/>
    </row>
    <row r="19" spans="1:6" ht="12" customHeight="1">
      <c r="A19" s="67"/>
      <c r="B19" s="9"/>
      <c r="C19" s="73" t="s">
        <v>14</v>
      </c>
      <c r="D19" s="74">
        <f>(200000+200000+500000+200000)*8</f>
        <v>8800000</v>
      </c>
      <c r="E19" s="12"/>
      <c r="F19" s="26" t="s">
        <v>144</v>
      </c>
    </row>
    <row r="20" spans="1:6" ht="12" customHeight="1">
      <c r="A20" s="67"/>
      <c r="B20" s="9"/>
      <c r="C20" s="73"/>
      <c r="D20" s="74"/>
      <c r="E20" s="12"/>
      <c r="F20" s="26" t="s">
        <v>145</v>
      </c>
    </row>
    <row r="21" spans="1:6" ht="12" customHeight="1">
      <c r="A21" s="67"/>
      <c r="B21" s="9"/>
      <c r="C21" s="73"/>
      <c r="D21" s="74"/>
      <c r="E21" s="12"/>
      <c r="F21" s="26" t="s">
        <v>146</v>
      </c>
    </row>
    <row r="22" spans="1:6" ht="12" customHeight="1">
      <c r="A22" s="67"/>
      <c r="B22" s="9"/>
      <c r="C22" s="73"/>
      <c r="D22" s="74"/>
      <c r="E22" s="12"/>
      <c r="F22" s="26" t="s">
        <v>127</v>
      </c>
    </row>
    <row r="23" spans="1:6" ht="16.5" customHeight="1">
      <c r="A23" s="67"/>
      <c r="B23" s="9"/>
      <c r="C23" s="28" t="s">
        <v>15</v>
      </c>
      <c r="D23" s="12">
        <f>150000*8</f>
        <v>1200000</v>
      </c>
      <c r="E23" s="12"/>
      <c r="F23" s="26" t="s">
        <v>157</v>
      </c>
    </row>
    <row r="24" spans="1:6" ht="16.5" customHeight="1">
      <c r="A24" s="67"/>
      <c r="B24" s="9"/>
      <c r="C24" s="28" t="s">
        <v>16</v>
      </c>
      <c r="D24" s="12">
        <v>100000</v>
      </c>
      <c r="E24" s="29"/>
      <c r="F24" s="26" t="s">
        <v>17</v>
      </c>
    </row>
    <row r="25" spans="1:6" ht="16.5" customHeight="1">
      <c r="A25" s="67"/>
      <c r="B25" s="9"/>
      <c r="C25" s="28" t="s">
        <v>18</v>
      </c>
      <c r="D25" s="12">
        <v>160000</v>
      </c>
      <c r="E25" s="29"/>
      <c r="F25" s="26" t="s">
        <v>147</v>
      </c>
    </row>
    <row r="26" spans="1:6" ht="16.5" customHeight="1">
      <c r="A26" s="67"/>
      <c r="B26" s="9"/>
      <c r="C26" s="28" t="s">
        <v>19</v>
      </c>
      <c r="D26" s="12">
        <v>80000</v>
      </c>
      <c r="E26" s="29"/>
      <c r="F26" s="26" t="s">
        <v>158</v>
      </c>
    </row>
    <row r="27" spans="1:6" ht="16.5" customHeight="1">
      <c r="A27" s="67"/>
      <c r="B27" s="9"/>
      <c r="C27" s="28" t="s">
        <v>20</v>
      </c>
      <c r="D27" s="12">
        <v>2400000</v>
      </c>
      <c r="E27" s="29"/>
      <c r="F27" s="26" t="s">
        <v>148</v>
      </c>
    </row>
    <row r="28" spans="1:6" ht="16.5" customHeight="1">
      <c r="A28" s="67"/>
      <c r="B28" s="9"/>
      <c r="C28" s="28" t="s">
        <v>21</v>
      </c>
      <c r="D28" s="12">
        <v>300000</v>
      </c>
      <c r="E28" s="29"/>
      <c r="F28" s="26" t="s">
        <v>22</v>
      </c>
    </row>
    <row r="29" spans="1:6" ht="16.5" customHeight="1">
      <c r="A29" s="67"/>
      <c r="B29" s="9"/>
      <c r="C29" s="28" t="s">
        <v>23</v>
      </c>
      <c r="D29" s="12">
        <v>400000</v>
      </c>
      <c r="E29" s="29"/>
      <c r="F29" s="26" t="s">
        <v>149</v>
      </c>
    </row>
    <row r="30" spans="1:6" ht="16.5" customHeight="1">
      <c r="A30" s="67"/>
      <c r="B30" s="9"/>
      <c r="C30" s="28" t="s">
        <v>24</v>
      </c>
      <c r="D30" s="12">
        <v>160000</v>
      </c>
      <c r="E30" s="29"/>
      <c r="F30" s="26" t="s">
        <v>150</v>
      </c>
    </row>
    <row r="31" spans="1:6" ht="16.5" customHeight="1">
      <c r="A31" s="67"/>
      <c r="B31" s="9"/>
      <c r="C31" s="28" t="s">
        <v>25</v>
      </c>
      <c r="D31" s="12">
        <v>160000</v>
      </c>
      <c r="E31" s="29"/>
      <c r="F31" s="26" t="s">
        <v>151</v>
      </c>
    </row>
    <row r="32" spans="1:6" ht="16.5" customHeight="1">
      <c r="A32" s="67"/>
      <c r="B32" s="9"/>
      <c r="C32" s="28" t="s">
        <v>26</v>
      </c>
      <c r="D32" s="12">
        <v>160000</v>
      </c>
      <c r="E32" s="29"/>
      <c r="F32" s="26" t="s">
        <v>152</v>
      </c>
    </row>
    <row r="33" spans="1:6" ht="16.5" customHeight="1">
      <c r="A33" s="67"/>
      <c r="B33" s="9"/>
      <c r="C33" s="28" t="s">
        <v>27</v>
      </c>
      <c r="D33" s="12">
        <v>400000</v>
      </c>
      <c r="E33" s="29"/>
      <c r="F33" s="30" t="s">
        <v>153</v>
      </c>
    </row>
    <row r="34" spans="1:6" ht="16.5" customHeight="1">
      <c r="A34" s="67"/>
      <c r="B34" s="9"/>
      <c r="C34" s="28" t="s">
        <v>28</v>
      </c>
      <c r="D34" s="12">
        <v>240000</v>
      </c>
      <c r="E34" s="29"/>
      <c r="F34" s="30" t="s">
        <v>154</v>
      </c>
    </row>
    <row r="35" spans="1:6" ht="16.5" customHeight="1">
      <c r="A35" s="67"/>
      <c r="B35" s="9"/>
      <c r="C35" s="28"/>
      <c r="D35" s="12"/>
      <c r="E35" s="29"/>
      <c r="F35" s="30"/>
    </row>
    <row r="36" spans="1:6" ht="16.5" customHeight="1" thickBot="1">
      <c r="A36" s="67"/>
      <c r="B36" s="9"/>
      <c r="C36" s="10" t="s">
        <v>9</v>
      </c>
      <c r="D36" s="12"/>
      <c r="E36" s="14">
        <f>SUM(D19:D34)</f>
        <v>14560000</v>
      </c>
      <c r="F36" s="30"/>
    </row>
    <row r="37" spans="1:6" ht="16.5" customHeight="1" thickTop="1">
      <c r="A37" s="67"/>
      <c r="B37" s="9"/>
      <c r="C37" s="28"/>
      <c r="D37" s="12"/>
      <c r="E37" s="18"/>
      <c r="F37" s="30"/>
    </row>
    <row r="38" spans="1:6" ht="16.5" customHeight="1">
      <c r="A38" s="68"/>
      <c r="B38" s="15"/>
      <c r="C38" s="31" t="s">
        <v>29</v>
      </c>
      <c r="D38" s="23"/>
      <c r="E38" s="32">
        <f>E17-E36</f>
        <v>182000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abSelected="1" zoomScaleNormal="100" workbookViewId="0">
      <selection activeCell="L13" sqref="L13"/>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60" t="s">
        <v>162</v>
      </c>
      <c r="C1" s="60"/>
      <c r="D1" s="60"/>
      <c r="E1" s="60"/>
      <c r="F1" s="60"/>
    </row>
    <row r="2" spans="1:6" ht="16.5" customHeight="1">
      <c r="B2" s="60" t="s">
        <v>161</v>
      </c>
      <c r="C2" s="60"/>
      <c r="D2" s="60"/>
      <c r="E2" s="60"/>
      <c r="F2" s="60"/>
    </row>
    <row r="3" spans="1:6" ht="16.5" customHeight="1">
      <c r="A3" s="1"/>
      <c r="B3" s="61" t="s">
        <v>0</v>
      </c>
      <c r="C3" s="62"/>
      <c r="D3" s="2"/>
      <c r="E3" s="3"/>
      <c r="F3" s="3" t="s">
        <v>1</v>
      </c>
    </row>
    <row r="4" spans="1:6" ht="16.5" customHeight="1">
      <c r="A4" s="63" t="s">
        <v>2</v>
      </c>
      <c r="B4" s="4" t="s">
        <v>3</v>
      </c>
      <c r="C4" s="5"/>
      <c r="D4" s="6"/>
      <c r="E4" s="7"/>
      <c r="F4" s="8"/>
    </row>
    <row r="5" spans="1:6" ht="16.5" customHeight="1">
      <c r="A5" s="64"/>
      <c r="B5" s="9"/>
      <c r="C5" s="10" t="s">
        <v>4</v>
      </c>
      <c r="D5" s="11">
        <f>E11</f>
        <v>6496800</v>
      </c>
      <c r="E5" s="12"/>
      <c r="F5" s="13" t="s">
        <v>130</v>
      </c>
    </row>
    <row r="6" spans="1:6" ht="16.5" customHeight="1" thickBot="1">
      <c r="A6" s="64"/>
      <c r="B6" s="9"/>
      <c r="C6" s="10" t="s">
        <v>5</v>
      </c>
      <c r="D6" s="11"/>
      <c r="E6" s="14">
        <f>SUM(D5)</f>
        <v>6496800</v>
      </c>
      <c r="F6" s="13"/>
    </row>
    <row r="7" spans="1:6" ht="16.5" customHeight="1" thickTop="1">
      <c r="A7" s="64"/>
      <c r="B7" s="15"/>
      <c r="C7" s="16"/>
      <c r="D7" s="17"/>
      <c r="E7" s="18"/>
      <c r="F7" s="13"/>
    </row>
    <row r="8" spans="1:6" ht="16.5" customHeight="1">
      <c r="A8" s="64"/>
      <c r="B8" s="19" t="s">
        <v>6</v>
      </c>
      <c r="C8" s="20"/>
      <c r="D8" s="6"/>
      <c r="E8" s="7"/>
      <c r="F8" s="13"/>
    </row>
    <row r="9" spans="1:6" ht="16.5" customHeight="1">
      <c r="A9" s="64"/>
      <c r="B9" s="9"/>
      <c r="C9" s="10" t="s">
        <v>7</v>
      </c>
      <c r="D9" s="11">
        <f>18*1300*21*12</f>
        <v>5896800</v>
      </c>
      <c r="E9" s="12"/>
      <c r="F9" s="21" t="s">
        <v>128</v>
      </c>
    </row>
    <row r="10" spans="1:6" ht="16.5" customHeight="1">
      <c r="A10" s="64"/>
      <c r="B10" s="9"/>
      <c r="C10" s="10" t="s">
        <v>8</v>
      </c>
      <c r="D10" s="11">
        <v>600000</v>
      </c>
      <c r="E10" s="12"/>
      <c r="F10" s="21" t="s">
        <v>129</v>
      </c>
    </row>
    <row r="11" spans="1:6" ht="16.5" customHeight="1" thickBot="1">
      <c r="A11" s="64"/>
      <c r="B11" s="9"/>
      <c r="C11" s="10" t="s">
        <v>9</v>
      </c>
      <c r="D11" s="11"/>
      <c r="E11" s="14">
        <f>SUM(D9:D10)</f>
        <v>6496800</v>
      </c>
      <c r="F11" s="21"/>
    </row>
    <row r="12" spans="1:6" ht="16.5" customHeight="1" thickTop="1">
      <c r="A12" s="64"/>
      <c r="B12" s="9"/>
      <c r="C12" s="22" t="s">
        <v>10</v>
      </c>
      <c r="D12" s="11"/>
      <c r="E12" s="18">
        <f>E6-E11</f>
        <v>0</v>
      </c>
      <c r="F12" s="21"/>
    </row>
    <row r="13" spans="1:6" ht="16.5" customHeight="1">
      <c r="A13" s="65"/>
      <c r="B13" s="15"/>
      <c r="C13" s="16"/>
      <c r="D13" s="17"/>
      <c r="E13" s="23"/>
      <c r="F13" s="24"/>
    </row>
    <row r="14" spans="1:6" ht="16.5" customHeight="1">
      <c r="A14" s="66" t="s">
        <v>11</v>
      </c>
      <c r="B14" s="69" t="s">
        <v>125</v>
      </c>
      <c r="C14" s="70"/>
      <c r="D14" s="7"/>
      <c r="E14" s="7"/>
      <c r="F14" s="25"/>
    </row>
    <row r="15" spans="1:6" ht="16.5" customHeight="1">
      <c r="A15" s="67"/>
      <c r="B15" s="71"/>
      <c r="C15" s="72"/>
      <c r="D15" s="12"/>
      <c r="E15" s="12"/>
      <c r="F15" s="26"/>
    </row>
    <row r="16" spans="1:6" ht="16.5" customHeight="1">
      <c r="A16" s="67"/>
      <c r="B16" s="9"/>
      <c r="C16" s="10" t="s">
        <v>12</v>
      </c>
      <c r="D16" s="12">
        <f>20*5850*21*12</f>
        <v>29484000</v>
      </c>
      <c r="E16" s="12"/>
      <c r="F16" s="26" t="s">
        <v>131</v>
      </c>
    </row>
    <row r="17" spans="1:6" ht="16.5" customHeight="1" thickBot="1">
      <c r="A17" s="67"/>
      <c r="B17" s="9"/>
      <c r="C17" s="22" t="s">
        <v>5</v>
      </c>
      <c r="D17" s="12"/>
      <c r="E17" s="14">
        <f>SUM(D16)</f>
        <v>29484000</v>
      </c>
      <c r="F17" s="26"/>
    </row>
    <row r="18" spans="1:6" ht="16.5" customHeight="1" thickTop="1">
      <c r="A18" s="67"/>
      <c r="B18" s="27" t="s">
        <v>13</v>
      </c>
      <c r="C18" s="28"/>
      <c r="D18" s="12"/>
      <c r="E18" s="18"/>
      <c r="F18" s="26"/>
    </row>
    <row r="19" spans="1:6" ht="12" customHeight="1">
      <c r="A19" s="67"/>
      <c r="B19" s="9"/>
      <c r="C19" s="73" t="s">
        <v>14</v>
      </c>
      <c r="D19" s="74">
        <f>(320000+300000+800000+200000)*12</f>
        <v>19440000</v>
      </c>
      <c r="E19" s="12"/>
      <c r="F19" s="26" t="s">
        <v>31</v>
      </c>
    </row>
    <row r="20" spans="1:6" ht="12" customHeight="1">
      <c r="A20" s="67"/>
      <c r="B20" s="9"/>
      <c r="C20" s="73"/>
      <c r="D20" s="74"/>
      <c r="E20" s="12"/>
      <c r="F20" s="26" t="s">
        <v>32</v>
      </c>
    </row>
    <row r="21" spans="1:6" ht="12" customHeight="1">
      <c r="A21" s="67"/>
      <c r="B21" s="9"/>
      <c r="C21" s="73"/>
      <c r="D21" s="74"/>
      <c r="E21" s="12"/>
      <c r="F21" s="26" t="s">
        <v>33</v>
      </c>
    </row>
    <row r="22" spans="1:6" ht="12" customHeight="1">
      <c r="A22" s="67"/>
      <c r="B22" s="9"/>
      <c r="C22" s="73"/>
      <c r="D22" s="74"/>
      <c r="E22" s="12"/>
      <c r="F22" s="26" t="s">
        <v>34</v>
      </c>
    </row>
    <row r="23" spans="1:6" ht="16.5" customHeight="1">
      <c r="A23" s="67"/>
      <c r="B23" s="9"/>
      <c r="C23" s="28" t="s">
        <v>15</v>
      </c>
      <c r="D23" s="12">
        <f>200000*12</f>
        <v>2400000</v>
      </c>
      <c r="E23" s="12"/>
      <c r="F23" s="26" t="s">
        <v>160</v>
      </c>
    </row>
    <row r="24" spans="1:6" ht="16.5" customHeight="1">
      <c r="A24" s="67"/>
      <c r="B24" s="9"/>
      <c r="C24" s="28" t="s">
        <v>16</v>
      </c>
      <c r="D24" s="12">
        <v>120000</v>
      </c>
      <c r="E24" s="29"/>
      <c r="F24" s="26" t="s">
        <v>17</v>
      </c>
    </row>
    <row r="25" spans="1:6" ht="16.5" customHeight="1">
      <c r="A25" s="67"/>
      <c r="B25" s="9"/>
      <c r="C25" s="28" t="s">
        <v>18</v>
      </c>
      <c r="D25" s="12">
        <f>30000*12</f>
        <v>360000</v>
      </c>
      <c r="E25" s="29"/>
      <c r="F25" s="26" t="s">
        <v>35</v>
      </c>
    </row>
    <row r="26" spans="1:6" ht="16.5" customHeight="1">
      <c r="A26" s="67"/>
      <c r="B26" s="9"/>
      <c r="C26" s="28" t="s">
        <v>19</v>
      </c>
      <c r="D26" s="12">
        <v>240000</v>
      </c>
      <c r="E26" s="29"/>
      <c r="F26" s="26" t="s">
        <v>159</v>
      </c>
    </row>
    <row r="27" spans="1:6" ht="16.5" customHeight="1">
      <c r="A27" s="67"/>
      <c r="B27" s="9"/>
      <c r="C27" s="28" t="s">
        <v>20</v>
      </c>
      <c r="D27" s="12">
        <v>3600000</v>
      </c>
      <c r="E27" s="29"/>
      <c r="F27" s="26" t="s">
        <v>36</v>
      </c>
    </row>
    <row r="28" spans="1:6" ht="16.5" customHeight="1">
      <c r="A28" s="67"/>
      <c r="B28" s="9"/>
      <c r="C28" s="28" t="s">
        <v>21</v>
      </c>
      <c r="D28" s="12">
        <v>300000</v>
      </c>
      <c r="E28" s="29"/>
      <c r="F28" s="26" t="s">
        <v>22</v>
      </c>
    </row>
    <row r="29" spans="1:6" ht="16.5" customHeight="1">
      <c r="A29" s="67"/>
      <c r="B29" s="9"/>
      <c r="C29" s="28" t="s">
        <v>23</v>
      </c>
      <c r="D29" s="12">
        <v>360000</v>
      </c>
      <c r="E29" s="29"/>
      <c r="F29" s="26" t="s">
        <v>37</v>
      </c>
    </row>
    <row r="30" spans="1:6" ht="16.5" customHeight="1">
      <c r="A30" s="67"/>
      <c r="B30" s="9"/>
      <c r="C30" s="28" t="s">
        <v>24</v>
      </c>
      <c r="D30" s="12">
        <v>240000</v>
      </c>
      <c r="E30" s="29"/>
      <c r="F30" s="26" t="s">
        <v>38</v>
      </c>
    </row>
    <row r="31" spans="1:6" ht="16.5" customHeight="1">
      <c r="A31" s="67"/>
      <c r="B31" s="9"/>
      <c r="C31" s="28" t="s">
        <v>25</v>
      </c>
      <c r="D31" s="12">
        <v>360000</v>
      </c>
      <c r="E31" s="29"/>
      <c r="F31" s="26" t="s">
        <v>39</v>
      </c>
    </row>
    <row r="32" spans="1:6" ht="16.5" customHeight="1">
      <c r="A32" s="67"/>
      <c r="B32" s="9"/>
      <c r="C32" s="28" t="s">
        <v>26</v>
      </c>
      <c r="D32" s="12">
        <v>360000</v>
      </c>
      <c r="E32" s="29"/>
      <c r="F32" s="26" t="s">
        <v>40</v>
      </c>
    </row>
    <row r="33" spans="1:6" ht="16.5" customHeight="1">
      <c r="A33" s="67"/>
      <c r="B33" s="9"/>
      <c r="C33" s="28" t="s">
        <v>27</v>
      </c>
      <c r="D33" s="12">
        <v>240000</v>
      </c>
      <c r="E33" s="29"/>
      <c r="F33" s="30" t="s">
        <v>41</v>
      </c>
    </row>
    <row r="34" spans="1:6" ht="16.5" customHeight="1">
      <c r="A34" s="67"/>
      <c r="B34" s="9"/>
      <c r="C34" s="28" t="s">
        <v>28</v>
      </c>
      <c r="D34" s="12">
        <v>360000</v>
      </c>
      <c r="E34" s="29"/>
      <c r="F34" s="30" t="s">
        <v>42</v>
      </c>
    </row>
    <row r="35" spans="1:6" ht="16.5" customHeight="1">
      <c r="A35" s="67"/>
      <c r="B35" s="9"/>
      <c r="C35" s="28"/>
      <c r="D35" s="12"/>
      <c r="E35" s="29"/>
      <c r="F35" s="30"/>
    </row>
    <row r="36" spans="1:6" ht="16.5" customHeight="1" thickBot="1">
      <c r="A36" s="67"/>
      <c r="B36" s="9"/>
      <c r="C36" s="10" t="s">
        <v>9</v>
      </c>
      <c r="D36" s="12"/>
      <c r="E36" s="14">
        <f>SUM(D19:D34)</f>
        <v>28380000</v>
      </c>
      <c r="F36" s="30"/>
    </row>
    <row r="37" spans="1:6" ht="16.5" customHeight="1" thickTop="1">
      <c r="A37" s="67"/>
      <c r="B37" s="9"/>
      <c r="C37" s="28"/>
      <c r="D37" s="12"/>
      <c r="E37" s="18"/>
      <c r="F37" s="30"/>
    </row>
    <row r="38" spans="1:6" ht="16.5" customHeight="1">
      <c r="A38" s="68"/>
      <c r="B38" s="15"/>
      <c r="C38" s="31" t="s">
        <v>10</v>
      </c>
      <c r="D38" s="23"/>
      <c r="E38" s="32">
        <f>E17-E36</f>
        <v>1104000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workbookViewId="0">
      <selection activeCell="L13" sqref="L13"/>
    </sheetView>
  </sheetViews>
  <sheetFormatPr defaultRowHeight="13.5"/>
  <cols>
    <col min="1" max="1" width="30.125" customWidth="1"/>
    <col min="2" max="4" width="19.125" style="35" customWidth="1"/>
    <col min="5" max="8" width="9" style="35"/>
  </cols>
  <sheetData>
    <row r="1" spans="1:4">
      <c r="A1" s="75" t="s">
        <v>43</v>
      </c>
      <c r="B1" s="75"/>
      <c r="C1" s="75"/>
      <c r="D1" s="75"/>
    </row>
    <row r="2" spans="1:4">
      <c r="A2" s="76">
        <v>42460</v>
      </c>
      <c r="B2" s="77"/>
      <c r="C2" s="77"/>
      <c r="D2" s="77"/>
    </row>
    <row r="3" spans="1:4">
      <c r="A3" s="36" t="s">
        <v>0</v>
      </c>
      <c r="B3" s="78" t="s">
        <v>44</v>
      </c>
      <c r="C3" s="79"/>
      <c r="D3" s="79"/>
    </row>
    <row r="4" spans="1:4">
      <c r="A4" s="29" t="s">
        <v>45</v>
      </c>
      <c r="B4" s="7"/>
      <c r="C4" s="7"/>
      <c r="D4" s="7"/>
    </row>
    <row r="5" spans="1:4">
      <c r="A5" s="37" t="s">
        <v>46</v>
      </c>
      <c r="B5" s="12"/>
      <c r="C5" s="12"/>
      <c r="D5" s="12"/>
    </row>
    <row r="6" spans="1:4">
      <c r="A6" s="38" t="s">
        <v>47</v>
      </c>
      <c r="B6" s="12">
        <v>100000</v>
      </c>
      <c r="C6" s="12"/>
      <c r="D6" s="12"/>
    </row>
    <row r="7" spans="1:4">
      <c r="A7" s="38" t="s">
        <v>48</v>
      </c>
      <c r="B7" s="23">
        <v>300000</v>
      </c>
      <c r="C7" s="12"/>
      <c r="D7" s="12"/>
    </row>
    <row r="8" spans="1:4">
      <c r="A8" s="38" t="s">
        <v>49</v>
      </c>
      <c r="B8" s="12">
        <f>SUM(B6:B7)</f>
        <v>400000</v>
      </c>
      <c r="C8" s="12">
        <f>SUM(B6:B7)</f>
        <v>400000</v>
      </c>
      <c r="D8" s="12"/>
    </row>
    <row r="9" spans="1:4">
      <c r="A9" s="37" t="s">
        <v>50</v>
      </c>
      <c r="B9" s="12"/>
      <c r="C9" s="12"/>
      <c r="D9" s="12"/>
    </row>
    <row r="10" spans="1:4">
      <c r="A10" s="37" t="s">
        <v>51</v>
      </c>
      <c r="B10" s="12"/>
      <c r="C10" s="12"/>
      <c r="D10" s="12"/>
    </row>
    <row r="11" spans="1:4">
      <c r="A11" s="38" t="s">
        <v>52</v>
      </c>
      <c r="B11" s="12"/>
      <c r="C11" s="12"/>
      <c r="D11" s="12"/>
    </row>
    <row r="12" spans="1:4">
      <c r="A12" s="38" t="s">
        <v>53</v>
      </c>
      <c r="B12" s="23">
        <v>300000</v>
      </c>
      <c r="C12" s="12"/>
      <c r="D12" s="12"/>
    </row>
    <row r="13" spans="1:4">
      <c r="A13" s="38" t="s">
        <v>54</v>
      </c>
      <c r="B13" s="12">
        <f>SUM(B11:B12)</f>
        <v>300000</v>
      </c>
      <c r="C13" s="12"/>
      <c r="D13" s="12"/>
    </row>
    <row r="14" spans="1:4">
      <c r="A14" s="37" t="s">
        <v>55</v>
      </c>
      <c r="B14" s="12"/>
      <c r="C14" s="12"/>
      <c r="D14" s="12"/>
    </row>
    <row r="15" spans="1:4">
      <c r="A15" s="38" t="s">
        <v>56</v>
      </c>
      <c r="B15" s="23">
        <v>0</v>
      </c>
      <c r="C15" s="12"/>
      <c r="D15" s="12"/>
    </row>
    <row r="16" spans="1:4">
      <c r="A16" s="38" t="s">
        <v>57</v>
      </c>
      <c r="B16" s="12">
        <f>SUM(B15)</f>
        <v>0</v>
      </c>
      <c r="C16" s="12"/>
      <c r="D16" s="12"/>
    </row>
    <row r="17" spans="1:4">
      <c r="A17" s="37" t="s">
        <v>58</v>
      </c>
      <c r="B17" s="12"/>
      <c r="C17" s="12"/>
      <c r="D17" s="12"/>
    </row>
    <row r="18" spans="1:4">
      <c r="A18" s="38" t="s">
        <v>59</v>
      </c>
      <c r="B18" s="23">
        <v>0</v>
      </c>
      <c r="C18" s="12"/>
      <c r="D18" s="12"/>
    </row>
    <row r="19" spans="1:4">
      <c r="A19" s="38" t="s">
        <v>60</v>
      </c>
      <c r="B19" s="12">
        <v>0</v>
      </c>
      <c r="C19" s="12"/>
      <c r="D19" s="12"/>
    </row>
    <row r="20" spans="1:4">
      <c r="A20" s="37" t="s">
        <v>61</v>
      </c>
      <c r="B20" s="12"/>
      <c r="C20" s="23">
        <f>B13+B16</f>
        <v>300000</v>
      </c>
      <c r="D20" s="12"/>
    </row>
    <row r="21" spans="1:4" ht="14.25" thickBot="1">
      <c r="A21" s="29" t="s">
        <v>62</v>
      </c>
      <c r="B21" s="12"/>
      <c r="C21" s="12"/>
      <c r="D21" s="39">
        <f>C8+C20</f>
        <v>700000</v>
      </c>
    </row>
    <row r="22" spans="1:4" ht="14.25" thickTop="1">
      <c r="A22" s="29"/>
      <c r="B22" s="12"/>
      <c r="C22" s="12"/>
      <c r="D22" s="12"/>
    </row>
    <row r="23" spans="1:4">
      <c r="A23" s="29" t="s">
        <v>63</v>
      </c>
      <c r="B23" s="12"/>
      <c r="C23" s="12"/>
      <c r="D23" s="12"/>
    </row>
    <row r="24" spans="1:4">
      <c r="A24" s="37" t="s">
        <v>64</v>
      </c>
      <c r="B24" s="12"/>
      <c r="C24" s="12"/>
      <c r="D24" s="12"/>
    </row>
    <row r="25" spans="1:4">
      <c r="A25" s="38" t="s">
        <v>65</v>
      </c>
      <c r="B25" s="12">
        <v>0</v>
      </c>
      <c r="C25" s="12"/>
      <c r="D25" s="12"/>
    </row>
    <row r="26" spans="1:4">
      <c r="A26" s="38" t="s">
        <v>66</v>
      </c>
      <c r="B26" s="12">
        <v>0</v>
      </c>
      <c r="C26" s="12"/>
      <c r="D26" s="12"/>
    </row>
    <row r="27" spans="1:4">
      <c r="A27" s="38" t="s">
        <v>67</v>
      </c>
      <c r="B27" s="23">
        <v>50000</v>
      </c>
      <c r="C27" s="12"/>
      <c r="D27" s="12"/>
    </row>
    <row r="28" spans="1:4">
      <c r="A28" s="38" t="s">
        <v>68</v>
      </c>
      <c r="B28" s="12">
        <f>SUM(B25:B27)</f>
        <v>50000</v>
      </c>
      <c r="C28" s="12"/>
      <c r="D28" s="12"/>
    </row>
    <row r="29" spans="1:4">
      <c r="A29" s="37" t="s">
        <v>69</v>
      </c>
      <c r="B29" s="12"/>
      <c r="C29" s="12"/>
      <c r="D29" s="12"/>
    </row>
    <row r="30" spans="1:4">
      <c r="A30" s="38" t="s">
        <v>70</v>
      </c>
      <c r="B30" s="23">
        <v>468000</v>
      </c>
      <c r="C30" s="12"/>
      <c r="D30" s="12"/>
    </row>
    <row r="31" spans="1:4">
      <c r="A31" s="38" t="s">
        <v>71</v>
      </c>
      <c r="B31" s="12">
        <f>SUM(B30)</f>
        <v>468000</v>
      </c>
      <c r="C31" s="12"/>
      <c r="D31" s="12"/>
    </row>
    <row r="32" spans="1:4">
      <c r="A32" s="29" t="s">
        <v>72</v>
      </c>
      <c r="B32" s="12"/>
      <c r="C32" s="12"/>
      <c r="D32" s="12">
        <f>B28+B31</f>
        <v>518000</v>
      </c>
    </row>
    <row r="33" spans="1:4">
      <c r="A33" s="29" t="s">
        <v>73</v>
      </c>
      <c r="B33" s="12"/>
      <c r="C33" s="12"/>
      <c r="D33" s="12"/>
    </row>
    <row r="34" spans="1:4">
      <c r="A34" s="37" t="s">
        <v>74</v>
      </c>
      <c r="B34" s="12"/>
      <c r="C34" s="12">
        <v>0</v>
      </c>
      <c r="D34" s="12"/>
    </row>
    <row r="35" spans="1:4">
      <c r="A35" s="37" t="s">
        <v>75</v>
      </c>
      <c r="B35" s="12"/>
      <c r="C35" s="23">
        <f>平成27年度!E38</f>
        <v>182000</v>
      </c>
      <c r="D35" s="12"/>
    </row>
    <row r="36" spans="1:4">
      <c r="A36" s="37" t="s">
        <v>76</v>
      </c>
      <c r="B36" s="12"/>
      <c r="C36" s="12"/>
      <c r="D36" s="23">
        <f>SUM(C34:C35)</f>
        <v>182000</v>
      </c>
    </row>
    <row r="37" spans="1:4">
      <c r="A37" s="40" t="s">
        <v>77</v>
      </c>
      <c r="B37" s="23"/>
      <c r="C37" s="23"/>
      <c r="D37" s="23">
        <f>D32+D36</f>
        <v>700000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workbookViewId="0">
      <selection activeCell="L13" sqref="L13"/>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5" t="s">
        <v>43</v>
      </c>
      <c r="B1" s="75"/>
      <c r="C1" s="75"/>
      <c r="D1" s="75"/>
    </row>
    <row r="2" spans="1:4">
      <c r="A2" s="76">
        <v>42825</v>
      </c>
      <c r="B2" s="77"/>
      <c r="C2" s="77"/>
      <c r="D2" s="77"/>
    </row>
    <row r="3" spans="1:4">
      <c r="A3" s="36" t="s">
        <v>0</v>
      </c>
      <c r="B3" s="78" t="s">
        <v>44</v>
      </c>
      <c r="C3" s="79"/>
      <c r="D3" s="79"/>
    </row>
    <row r="4" spans="1:4">
      <c r="A4" s="29" t="s">
        <v>45</v>
      </c>
      <c r="B4" s="7"/>
      <c r="C4" s="7"/>
      <c r="D4" s="7"/>
    </row>
    <row r="5" spans="1:4">
      <c r="A5" s="37" t="s">
        <v>46</v>
      </c>
      <c r="B5" s="12"/>
      <c r="C5" s="12"/>
      <c r="D5" s="12"/>
    </row>
    <row r="6" spans="1:4">
      <c r="A6" s="38" t="s">
        <v>47</v>
      </c>
      <c r="B6" s="12">
        <v>150000</v>
      </c>
      <c r="C6" s="12"/>
      <c r="D6" s="12"/>
    </row>
    <row r="7" spans="1:4">
      <c r="A7" s="38" t="s">
        <v>48</v>
      </c>
      <c r="B7" s="23">
        <v>600000</v>
      </c>
      <c r="C7" s="12"/>
      <c r="D7" s="12"/>
    </row>
    <row r="8" spans="1:4">
      <c r="A8" s="38" t="s">
        <v>49</v>
      </c>
      <c r="B8" s="12">
        <f>SUM(B6:B7)</f>
        <v>750000</v>
      </c>
      <c r="C8" s="12">
        <f>SUM(B6:B7)</f>
        <v>750000</v>
      </c>
      <c r="D8" s="12"/>
    </row>
    <row r="9" spans="1:4">
      <c r="A9" s="37" t="s">
        <v>50</v>
      </c>
      <c r="B9" s="12"/>
      <c r="C9" s="12"/>
      <c r="D9" s="12"/>
    </row>
    <row r="10" spans="1:4">
      <c r="A10" s="37" t="s">
        <v>51</v>
      </c>
      <c r="B10" s="12"/>
      <c r="C10" s="12"/>
      <c r="D10" s="12"/>
    </row>
    <row r="11" spans="1:4">
      <c r="A11" s="38" t="s">
        <v>52</v>
      </c>
      <c r="B11" s="12">
        <v>400000</v>
      </c>
      <c r="C11" s="12"/>
      <c r="D11" s="12"/>
    </row>
    <row r="12" spans="1:4">
      <c r="A12" s="38" t="s">
        <v>53</v>
      </c>
      <c r="B12" s="23">
        <v>300000</v>
      </c>
      <c r="C12" s="12"/>
      <c r="D12" s="12"/>
    </row>
    <row r="13" spans="1:4">
      <c r="A13" s="38" t="s">
        <v>54</v>
      </c>
      <c r="B13" s="12">
        <f>SUM(B11:B12)</f>
        <v>700000</v>
      </c>
      <c r="C13" s="12"/>
      <c r="D13" s="12"/>
    </row>
    <row r="14" spans="1:4">
      <c r="A14" s="37" t="s">
        <v>55</v>
      </c>
      <c r="B14" s="12"/>
      <c r="C14" s="12"/>
      <c r="D14" s="12"/>
    </row>
    <row r="15" spans="1:4">
      <c r="A15" s="38" t="s">
        <v>78</v>
      </c>
      <c r="B15" s="23">
        <v>300000</v>
      </c>
      <c r="C15" s="12"/>
      <c r="D15" s="12"/>
    </row>
    <row r="16" spans="1:4">
      <c r="A16" s="38" t="s">
        <v>57</v>
      </c>
      <c r="B16" s="12">
        <f>SUM(B15)</f>
        <v>300000</v>
      </c>
      <c r="C16" s="12"/>
      <c r="D16" s="12"/>
    </row>
    <row r="17" spans="1:4">
      <c r="A17" s="37" t="s">
        <v>58</v>
      </c>
      <c r="B17" s="12"/>
      <c r="C17" s="12"/>
      <c r="D17" s="12"/>
    </row>
    <row r="18" spans="1:4">
      <c r="A18" s="38" t="s">
        <v>59</v>
      </c>
      <c r="B18" s="23">
        <v>0</v>
      </c>
      <c r="C18" s="12"/>
      <c r="D18" s="12"/>
    </row>
    <row r="19" spans="1:4">
      <c r="A19" s="38" t="s">
        <v>60</v>
      </c>
      <c r="B19" s="12">
        <v>0</v>
      </c>
      <c r="C19" s="12"/>
      <c r="D19" s="12"/>
    </row>
    <row r="20" spans="1:4">
      <c r="A20" s="37" t="s">
        <v>61</v>
      </c>
      <c r="B20" s="12"/>
      <c r="C20" s="23">
        <f>B13+B16</f>
        <v>1000000</v>
      </c>
      <c r="D20" s="12"/>
    </row>
    <row r="21" spans="1:4" ht="14.25" thickBot="1">
      <c r="A21" s="29" t="s">
        <v>62</v>
      </c>
      <c r="B21" s="12"/>
      <c r="C21" s="12"/>
      <c r="D21" s="39">
        <f>C8+C20</f>
        <v>1750000</v>
      </c>
    </row>
    <row r="22" spans="1:4" ht="14.25" thickTop="1">
      <c r="A22" s="29"/>
      <c r="B22" s="12"/>
      <c r="C22" s="12"/>
      <c r="D22" s="12"/>
    </row>
    <row r="23" spans="1:4">
      <c r="A23" s="29" t="s">
        <v>63</v>
      </c>
      <c r="B23" s="12"/>
      <c r="C23" s="12"/>
      <c r="D23" s="12"/>
    </row>
    <row r="24" spans="1:4">
      <c r="A24" s="37" t="s">
        <v>64</v>
      </c>
      <c r="B24" s="12"/>
      <c r="C24" s="12"/>
      <c r="D24" s="12"/>
    </row>
    <row r="25" spans="1:4">
      <c r="A25" s="38" t="s">
        <v>65</v>
      </c>
      <c r="B25" s="12">
        <v>0</v>
      </c>
      <c r="C25" s="12"/>
      <c r="D25" s="12"/>
    </row>
    <row r="26" spans="1:4">
      <c r="A26" s="38" t="s">
        <v>66</v>
      </c>
      <c r="B26" s="12">
        <v>0</v>
      </c>
      <c r="C26" s="12"/>
      <c r="D26" s="12"/>
    </row>
    <row r="27" spans="1:4">
      <c r="A27" s="38" t="s">
        <v>67</v>
      </c>
      <c r="B27" s="23">
        <v>150000</v>
      </c>
      <c r="C27" s="12"/>
      <c r="D27" s="12"/>
    </row>
    <row r="28" spans="1:4">
      <c r="A28" s="38" t="s">
        <v>68</v>
      </c>
      <c r="B28" s="12">
        <f>SUM(B25:B27)</f>
        <v>150000</v>
      </c>
      <c r="C28" s="12"/>
      <c r="D28" s="12"/>
    </row>
    <row r="29" spans="1:4">
      <c r="A29" s="37" t="s">
        <v>69</v>
      </c>
      <c r="B29" s="12"/>
      <c r="C29" s="12"/>
      <c r="D29" s="12"/>
    </row>
    <row r="30" spans="1:4">
      <c r="A30" s="38" t="s">
        <v>70</v>
      </c>
      <c r="B30" s="23">
        <v>314000</v>
      </c>
      <c r="C30" s="12"/>
      <c r="D30" s="12"/>
    </row>
    <row r="31" spans="1:4">
      <c r="A31" s="38" t="s">
        <v>71</v>
      </c>
      <c r="B31" s="12">
        <f>SUM(B30)</f>
        <v>314000</v>
      </c>
      <c r="C31" s="12"/>
      <c r="D31" s="12"/>
    </row>
    <row r="32" spans="1:4">
      <c r="A32" s="29" t="s">
        <v>72</v>
      </c>
      <c r="B32" s="12"/>
      <c r="C32" s="12"/>
      <c r="D32" s="12">
        <f>B28+B31</f>
        <v>464000</v>
      </c>
    </row>
    <row r="33" spans="1:4">
      <c r="A33" s="29" t="s">
        <v>73</v>
      </c>
      <c r="B33" s="12"/>
      <c r="C33" s="12"/>
      <c r="D33" s="12"/>
    </row>
    <row r="34" spans="1:4">
      <c r="A34" s="37" t="s">
        <v>74</v>
      </c>
      <c r="B34" s="12"/>
      <c r="C34" s="12">
        <f>ＰＬＨ27年度!D36</f>
        <v>182000</v>
      </c>
      <c r="D34" s="12"/>
    </row>
    <row r="35" spans="1:4">
      <c r="A35" s="37" t="s">
        <v>75</v>
      </c>
      <c r="B35" s="12"/>
      <c r="C35" s="23">
        <f>平成28年度!E38</f>
        <v>1104000</v>
      </c>
      <c r="D35" s="12"/>
    </row>
    <row r="36" spans="1:4">
      <c r="A36" s="37" t="s">
        <v>76</v>
      </c>
      <c r="B36" s="12"/>
      <c r="C36" s="12"/>
      <c r="D36" s="23">
        <f>SUM(C34:C35)</f>
        <v>1286000</v>
      </c>
    </row>
    <row r="37" spans="1:4">
      <c r="A37" s="40" t="s">
        <v>77</v>
      </c>
      <c r="B37" s="23"/>
      <c r="C37" s="23"/>
      <c r="D37" s="23">
        <f>D32+D36</f>
        <v>1750000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3"/>
  <sheetViews>
    <sheetView tabSelected="1" topLeftCell="A22" zoomScaleNormal="100" workbookViewId="0">
      <selection activeCell="L13" sqref="L13"/>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1" t="s">
        <v>79</v>
      </c>
      <c r="F3" s="81"/>
      <c r="G3" s="81"/>
      <c r="H3" s="81"/>
      <c r="I3" s="81"/>
      <c r="J3" s="81"/>
      <c r="K3" s="81"/>
      <c r="L3" s="81"/>
      <c r="M3" s="81"/>
      <c r="N3" s="81"/>
      <c r="O3" s="81"/>
      <c r="P3" s="81"/>
      <c r="Q3" s="81"/>
      <c r="R3" s="81"/>
      <c r="S3" s="81"/>
      <c r="T3" s="81"/>
      <c r="U3" s="81"/>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80</v>
      </c>
      <c r="E6" s="41"/>
      <c r="F6" s="41"/>
      <c r="G6" s="41"/>
      <c r="H6" s="41"/>
      <c r="I6" s="41" t="s">
        <v>81</v>
      </c>
      <c r="J6" s="41"/>
      <c r="K6" s="41"/>
      <c r="L6" s="41"/>
      <c r="M6" s="41"/>
      <c r="N6" s="41"/>
      <c r="O6" s="41"/>
      <c r="P6" s="41"/>
      <c r="Q6" s="41"/>
      <c r="R6" s="41"/>
      <c r="S6" s="41"/>
      <c r="T6" s="41"/>
      <c r="U6" s="41"/>
      <c r="V6" s="41"/>
      <c r="W6" s="41" t="s">
        <v>82</v>
      </c>
      <c r="X6" s="41"/>
    </row>
    <row r="7" spans="1:24" ht="25.5" customHeight="1">
      <c r="A7" s="41"/>
      <c r="B7" s="41"/>
      <c r="C7" s="41"/>
      <c r="D7" s="41" t="s">
        <v>83</v>
      </c>
      <c r="E7" s="41"/>
      <c r="F7" s="41"/>
      <c r="G7" s="41"/>
      <c r="H7" s="41"/>
      <c r="I7" s="41" t="s">
        <v>134</v>
      </c>
      <c r="J7" s="41"/>
      <c r="K7" s="41"/>
      <c r="L7" s="41"/>
      <c r="M7" s="41"/>
      <c r="N7" s="41"/>
      <c r="O7" s="41"/>
      <c r="P7" s="41"/>
      <c r="Q7" s="41"/>
      <c r="R7" s="41"/>
      <c r="S7" s="41"/>
      <c r="T7" s="41"/>
      <c r="U7" s="41"/>
      <c r="V7" s="41"/>
      <c r="W7" s="41" t="s">
        <v>82</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45</v>
      </c>
      <c r="D10" s="47"/>
      <c r="E10" s="47"/>
      <c r="F10" s="47"/>
      <c r="G10" s="47"/>
      <c r="H10" s="47"/>
      <c r="I10" s="47"/>
      <c r="J10" s="47"/>
      <c r="K10" s="47"/>
      <c r="L10" s="47"/>
      <c r="M10" s="47"/>
      <c r="N10" s="47"/>
      <c r="O10" s="47"/>
      <c r="P10" s="47"/>
      <c r="Q10" s="47"/>
      <c r="R10" s="47"/>
      <c r="S10" s="47"/>
      <c r="T10" s="47"/>
      <c r="U10" s="47"/>
      <c r="W10" s="47" t="s">
        <v>84</v>
      </c>
      <c r="X10" s="48"/>
    </row>
    <row r="11" spans="1:24" ht="25.5" customHeight="1">
      <c r="A11" s="41"/>
      <c r="B11" s="9"/>
      <c r="C11" s="47"/>
      <c r="D11" s="47"/>
      <c r="E11" s="47" t="s">
        <v>85</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86</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87</v>
      </c>
      <c r="G13" s="47"/>
      <c r="H13" s="47" t="s">
        <v>88</v>
      </c>
      <c r="I13" s="47"/>
      <c r="J13" s="47"/>
      <c r="K13" s="47"/>
      <c r="L13" s="47"/>
      <c r="M13" s="47"/>
      <c r="N13" s="47"/>
      <c r="O13" s="47"/>
      <c r="P13" s="80"/>
      <c r="Q13" s="80"/>
      <c r="R13" s="80"/>
      <c r="S13" s="80"/>
      <c r="T13" s="80"/>
      <c r="U13" s="80"/>
      <c r="V13" s="80"/>
      <c r="W13" s="47" t="s">
        <v>84</v>
      </c>
      <c r="X13" s="48"/>
    </row>
    <row r="14" spans="1:24" ht="25.5" customHeight="1">
      <c r="A14" s="41"/>
      <c r="B14" s="9"/>
      <c r="C14" s="47"/>
      <c r="D14" s="47"/>
      <c r="E14" s="47"/>
      <c r="F14" s="47" t="s">
        <v>89</v>
      </c>
      <c r="G14" s="47"/>
      <c r="H14" s="47" t="s">
        <v>90</v>
      </c>
      <c r="I14" s="47"/>
      <c r="J14" s="47"/>
      <c r="K14" s="47"/>
      <c r="L14" s="47"/>
      <c r="M14" s="47"/>
      <c r="N14" s="47"/>
      <c r="O14" s="47"/>
      <c r="P14" s="80" t="s">
        <v>91</v>
      </c>
      <c r="Q14" s="80"/>
      <c r="R14" s="80"/>
      <c r="S14" s="80"/>
      <c r="T14" s="80"/>
      <c r="U14" s="80"/>
      <c r="V14" s="80"/>
      <c r="W14" s="47" t="s">
        <v>84</v>
      </c>
      <c r="X14" s="48"/>
    </row>
    <row r="15" spans="1:24" ht="25.5" customHeight="1">
      <c r="A15" s="41"/>
      <c r="B15" s="9"/>
      <c r="C15" s="47"/>
      <c r="D15" s="47"/>
      <c r="E15" s="47" t="s">
        <v>92</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86</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87</v>
      </c>
      <c r="G17" s="47"/>
      <c r="H17" s="47" t="s">
        <v>93</v>
      </c>
      <c r="I17" s="47"/>
      <c r="J17" s="47"/>
      <c r="K17" s="47"/>
      <c r="L17" s="47"/>
      <c r="M17" s="47"/>
      <c r="N17" s="47"/>
      <c r="O17" s="47"/>
      <c r="P17" s="80" t="s">
        <v>123</v>
      </c>
      <c r="Q17" s="80"/>
      <c r="R17" s="80"/>
      <c r="S17" s="80"/>
      <c r="T17" s="80"/>
      <c r="U17" s="80"/>
      <c r="V17" s="80"/>
      <c r="W17" s="47" t="s">
        <v>84</v>
      </c>
      <c r="X17" s="48"/>
    </row>
    <row r="18" spans="1:24" ht="25.5" customHeight="1">
      <c r="A18" s="41"/>
      <c r="B18" s="49"/>
      <c r="C18" s="47"/>
      <c r="D18" s="47"/>
      <c r="E18" s="47"/>
      <c r="F18" s="47" t="s">
        <v>89</v>
      </c>
      <c r="G18" s="47"/>
      <c r="H18" s="47" t="s">
        <v>94</v>
      </c>
      <c r="I18" s="47"/>
      <c r="J18" s="47"/>
      <c r="K18" s="47"/>
      <c r="L18" s="47"/>
      <c r="M18" s="47"/>
      <c r="N18" s="47"/>
      <c r="O18" s="47"/>
      <c r="P18" s="47"/>
      <c r="Q18" s="47"/>
      <c r="R18" s="47"/>
      <c r="S18" s="47"/>
      <c r="T18" s="47"/>
      <c r="U18" s="47"/>
      <c r="W18" s="47" t="s">
        <v>84</v>
      </c>
      <c r="X18" s="48"/>
    </row>
    <row r="19" spans="1:24" ht="25.5" customHeight="1">
      <c r="A19" s="41"/>
      <c r="B19" s="49"/>
      <c r="C19" s="47"/>
      <c r="D19" s="47"/>
      <c r="E19" s="47"/>
      <c r="F19" s="47" t="s">
        <v>95</v>
      </c>
      <c r="G19" s="47"/>
      <c r="H19" s="47" t="s">
        <v>90</v>
      </c>
      <c r="I19" s="47"/>
      <c r="J19" s="47"/>
      <c r="K19" s="47"/>
      <c r="L19" s="47"/>
      <c r="M19" s="47"/>
      <c r="N19" s="47"/>
      <c r="O19" s="47"/>
      <c r="P19" s="47"/>
      <c r="Q19" s="47"/>
      <c r="R19" s="47"/>
      <c r="S19" s="47"/>
      <c r="T19" s="47"/>
      <c r="U19" s="47"/>
      <c r="W19" s="47" t="s">
        <v>84</v>
      </c>
      <c r="X19" s="48"/>
    </row>
    <row r="20" spans="1:24" ht="25.5" customHeight="1">
      <c r="A20" s="41"/>
      <c r="B20" s="49"/>
      <c r="C20" s="47" t="s">
        <v>63</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96</v>
      </c>
      <c r="F21" s="47"/>
      <c r="G21" s="47"/>
      <c r="H21" s="47"/>
      <c r="I21" s="47"/>
      <c r="J21" s="47"/>
      <c r="K21" s="47"/>
      <c r="L21" s="47"/>
      <c r="M21" s="47"/>
      <c r="N21" s="47"/>
      <c r="O21" s="47"/>
      <c r="P21" s="80" t="s">
        <v>123</v>
      </c>
      <c r="Q21" s="80"/>
      <c r="R21" s="80"/>
      <c r="S21" s="80"/>
      <c r="T21" s="80"/>
      <c r="U21" s="80"/>
      <c r="V21" s="80"/>
      <c r="W21" s="47" t="s">
        <v>84</v>
      </c>
      <c r="X21" s="48"/>
    </row>
    <row r="22" spans="1:24" ht="25.5" customHeight="1">
      <c r="A22" s="41"/>
      <c r="B22" s="49"/>
      <c r="C22" s="47" t="s">
        <v>97</v>
      </c>
      <c r="D22" s="47"/>
      <c r="E22" s="47"/>
      <c r="F22" s="47"/>
      <c r="G22" s="47"/>
      <c r="H22" s="47"/>
      <c r="I22" s="47"/>
      <c r="J22" s="47"/>
      <c r="K22" s="47"/>
      <c r="L22" s="47"/>
      <c r="M22" s="47"/>
      <c r="N22" s="47"/>
      <c r="O22" s="47"/>
      <c r="P22" s="80" t="s">
        <v>132</v>
      </c>
      <c r="Q22" s="80"/>
      <c r="R22" s="80"/>
      <c r="S22" s="80"/>
      <c r="T22" s="80"/>
      <c r="U22" s="80"/>
      <c r="V22" s="80"/>
      <c r="W22" s="47" t="s">
        <v>84</v>
      </c>
      <c r="X22" s="48"/>
    </row>
    <row r="23" spans="1:24" ht="25.5" customHeight="1">
      <c r="A23" s="41"/>
      <c r="B23" s="49"/>
      <c r="C23" s="47"/>
      <c r="D23" s="47"/>
      <c r="E23" s="47" t="s">
        <v>98</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82" t="s">
        <v>135</v>
      </c>
      <c r="D26" s="83"/>
      <c r="E26" s="83"/>
      <c r="F26" s="83"/>
      <c r="G26" s="83"/>
      <c r="H26" s="83"/>
      <c r="I26" s="83"/>
      <c r="J26" s="83"/>
      <c r="K26" s="83"/>
      <c r="L26" s="83"/>
      <c r="M26" s="83"/>
      <c r="N26" s="83"/>
      <c r="O26" s="83"/>
      <c r="P26" s="83"/>
      <c r="Q26" s="83"/>
      <c r="R26" s="83"/>
      <c r="S26" s="83"/>
      <c r="T26" s="83"/>
      <c r="U26" s="83"/>
      <c r="V26" s="83"/>
      <c r="W26" s="83"/>
      <c r="X26" s="41"/>
    </row>
    <row r="27" spans="1:24" ht="25.5" customHeight="1">
      <c r="A27" s="41"/>
      <c r="B27" s="41"/>
      <c r="C27" s="83"/>
      <c r="D27" s="83"/>
      <c r="E27" s="83"/>
      <c r="F27" s="83"/>
      <c r="G27" s="83"/>
      <c r="H27" s="83"/>
      <c r="I27" s="83"/>
      <c r="J27" s="83"/>
      <c r="K27" s="83"/>
      <c r="L27" s="83"/>
      <c r="M27" s="83"/>
      <c r="N27" s="83"/>
      <c r="O27" s="83"/>
      <c r="P27" s="83"/>
      <c r="Q27" s="83"/>
      <c r="R27" s="83"/>
      <c r="S27" s="83"/>
      <c r="T27" s="83"/>
      <c r="U27" s="83"/>
      <c r="V27" s="83"/>
      <c r="W27" s="83"/>
      <c r="X27" s="41"/>
    </row>
    <row r="28" spans="1:24" ht="25.5" customHeight="1">
      <c r="A28" s="41"/>
      <c r="B28" s="41"/>
      <c r="C28" s="83"/>
      <c r="D28" s="83"/>
      <c r="E28" s="83"/>
      <c r="F28" s="83"/>
      <c r="G28" s="83"/>
      <c r="H28" s="83"/>
      <c r="I28" s="83"/>
      <c r="J28" s="83"/>
      <c r="K28" s="83"/>
      <c r="L28" s="83"/>
      <c r="M28" s="83"/>
      <c r="N28" s="83"/>
      <c r="O28" s="83"/>
      <c r="P28" s="83"/>
      <c r="Q28" s="83"/>
      <c r="R28" s="83"/>
      <c r="S28" s="83"/>
      <c r="T28" s="83"/>
      <c r="U28" s="83"/>
      <c r="V28" s="83"/>
      <c r="W28" s="83"/>
      <c r="X28" s="41"/>
    </row>
    <row r="29" spans="1:24" ht="25.5" customHeight="1">
      <c r="A29" s="41"/>
      <c r="B29" s="41"/>
      <c r="C29" s="83"/>
      <c r="D29" s="83"/>
      <c r="E29" s="83"/>
      <c r="F29" s="83"/>
      <c r="G29" s="83"/>
      <c r="H29" s="83"/>
      <c r="I29" s="83"/>
      <c r="J29" s="83"/>
      <c r="K29" s="83"/>
      <c r="L29" s="83"/>
      <c r="M29" s="83"/>
      <c r="N29" s="83"/>
      <c r="O29" s="83"/>
      <c r="P29" s="83"/>
      <c r="Q29" s="83"/>
      <c r="R29" s="83"/>
      <c r="S29" s="83"/>
      <c r="T29" s="83"/>
      <c r="U29" s="83"/>
      <c r="V29" s="83"/>
      <c r="W29" s="83"/>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sheetData>
  <mergeCells count="7">
    <mergeCell ref="E3:U3"/>
    <mergeCell ref="P13:V13"/>
    <mergeCell ref="P14:V14"/>
    <mergeCell ref="P17:V17"/>
    <mergeCell ref="P21:V21"/>
    <mergeCell ref="P22:V22"/>
    <mergeCell ref="C26:W29"/>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tabSelected="1" topLeftCell="A10" zoomScaleNormal="100" workbookViewId="0">
      <selection activeCell="L13" sqref="L13"/>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1" t="s">
        <v>99</v>
      </c>
      <c r="F3" s="81"/>
      <c r="G3" s="81"/>
      <c r="H3" s="81"/>
      <c r="I3" s="81"/>
      <c r="J3" s="81"/>
      <c r="K3" s="81"/>
      <c r="L3" s="81"/>
      <c r="M3" s="81"/>
      <c r="N3" s="81"/>
      <c r="O3" s="81"/>
      <c r="P3" s="81"/>
      <c r="Q3" s="81"/>
      <c r="R3" s="81"/>
      <c r="S3" s="81"/>
      <c r="T3" s="81"/>
      <c r="U3" s="81"/>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80</v>
      </c>
      <c r="E6" s="41"/>
      <c r="F6" s="41"/>
      <c r="G6" s="41"/>
      <c r="H6" s="41"/>
      <c r="I6" s="41" t="s">
        <v>100</v>
      </c>
      <c r="J6" s="41"/>
      <c r="K6" s="41"/>
      <c r="L6" s="41"/>
      <c r="M6" s="41"/>
      <c r="N6" s="41"/>
      <c r="O6" s="41"/>
      <c r="P6" s="41"/>
      <c r="Q6" s="41"/>
      <c r="R6" s="41"/>
      <c r="S6" s="41"/>
      <c r="T6" s="41"/>
      <c r="U6" s="41"/>
      <c r="V6" s="41"/>
      <c r="W6" s="41" t="s">
        <v>101</v>
      </c>
      <c r="X6" s="41"/>
      <c r="Y6" s="41"/>
      <c r="Z6" s="41"/>
    </row>
    <row r="7" spans="1:28" ht="17.100000000000001" customHeight="1">
      <c r="A7" s="41"/>
      <c r="B7" s="41"/>
      <c r="C7" s="41"/>
      <c r="D7" s="41" t="s">
        <v>83</v>
      </c>
      <c r="E7" s="41"/>
      <c r="F7" s="41"/>
      <c r="G7" s="41"/>
      <c r="H7" s="41"/>
      <c r="I7" s="41" t="s">
        <v>133</v>
      </c>
      <c r="J7" s="41"/>
      <c r="K7" s="41"/>
      <c r="L7" s="41"/>
      <c r="M7" s="41"/>
      <c r="N7" s="41"/>
      <c r="O7" s="41"/>
      <c r="P7" s="41"/>
      <c r="Q7" s="41"/>
      <c r="R7" s="41"/>
      <c r="S7" s="41"/>
      <c r="T7" s="41"/>
      <c r="U7" s="41"/>
      <c r="V7" s="41"/>
      <c r="W7" s="41" t="s">
        <v>101</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99" t="s">
        <v>102</v>
      </c>
      <c r="E9" s="99"/>
      <c r="F9" s="99"/>
      <c r="G9" s="99"/>
      <c r="H9" s="99"/>
      <c r="I9" s="45"/>
      <c r="J9" s="46"/>
      <c r="K9" s="45"/>
      <c r="L9" s="45"/>
      <c r="M9" s="45"/>
      <c r="N9" s="45"/>
      <c r="O9" s="99" t="s">
        <v>103</v>
      </c>
      <c r="P9" s="99"/>
      <c r="Q9" s="99"/>
      <c r="R9" s="99"/>
      <c r="S9" s="99"/>
      <c r="T9" s="99"/>
      <c r="U9" s="45"/>
      <c r="V9" s="45"/>
      <c r="W9" s="45"/>
      <c r="X9" s="45"/>
      <c r="Y9" s="46"/>
      <c r="Z9" s="41"/>
    </row>
    <row r="10" spans="1:28" ht="12.75" customHeight="1">
      <c r="A10" s="41"/>
      <c r="B10" s="51"/>
      <c r="C10" s="52"/>
      <c r="D10" s="100"/>
      <c r="E10" s="100"/>
      <c r="F10" s="100"/>
      <c r="G10" s="100"/>
      <c r="H10" s="100"/>
      <c r="I10" s="52"/>
      <c r="J10" s="53"/>
      <c r="K10" s="52"/>
      <c r="L10" s="52"/>
      <c r="M10" s="52"/>
      <c r="N10" s="52"/>
      <c r="O10" s="100"/>
      <c r="P10" s="100"/>
      <c r="Q10" s="100"/>
      <c r="R10" s="100"/>
      <c r="S10" s="100"/>
      <c r="T10" s="100"/>
      <c r="U10" s="52"/>
      <c r="V10" s="52"/>
      <c r="W10" s="52"/>
      <c r="X10" s="52"/>
      <c r="Y10" s="53"/>
      <c r="Z10" s="41"/>
    </row>
    <row r="11" spans="1:28" ht="7.5" customHeight="1">
      <c r="A11" s="41"/>
      <c r="B11" s="54"/>
      <c r="C11" s="84" t="s">
        <v>104</v>
      </c>
      <c r="D11" s="91"/>
      <c r="E11" s="91"/>
      <c r="F11" s="91"/>
      <c r="G11" s="91"/>
      <c r="H11" s="91"/>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101"/>
      <c r="D12" s="101"/>
      <c r="E12" s="101"/>
      <c r="F12" s="101"/>
      <c r="G12" s="101"/>
      <c r="H12" s="101"/>
      <c r="I12" s="47"/>
      <c r="J12" s="48"/>
      <c r="K12" s="49"/>
      <c r="L12" s="104" t="s">
        <v>124</v>
      </c>
      <c r="M12" s="104"/>
      <c r="N12" s="104"/>
      <c r="O12" s="104"/>
      <c r="P12" s="104"/>
      <c r="Q12" s="104"/>
      <c r="R12" s="104"/>
      <c r="S12" s="104"/>
      <c r="T12" s="104"/>
      <c r="U12" s="104"/>
      <c r="V12" s="104"/>
      <c r="W12" s="104"/>
      <c r="X12" s="104"/>
      <c r="Y12" s="105"/>
      <c r="Z12" s="41"/>
    </row>
    <row r="13" spans="1:28" ht="17.100000000000001" customHeight="1">
      <c r="A13" s="41"/>
      <c r="B13" s="49"/>
      <c r="C13" s="57"/>
      <c r="D13" s="57"/>
      <c r="E13" s="57"/>
      <c r="F13" s="57"/>
      <c r="G13" s="57"/>
      <c r="H13" s="57"/>
      <c r="I13" s="47"/>
      <c r="J13" s="48"/>
      <c r="K13" s="49"/>
      <c r="L13" s="104"/>
      <c r="M13" s="104"/>
      <c r="N13" s="104"/>
      <c r="O13" s="104"/>
      <c r="P13" s="104"/>
      <c r="Q13" s="104"/>
      <c r="R13" s="104"/>
      <c r="S13" s="104"/>
      <c r="T13" s="104"/>
      <c r="U13" s="104"/>
      <c r="V13" s="104"/>
      <c r="W13" s="104"/>
      <c r="X13" s="104"/>
      <c r="Y13" s="105"/>
      <c r="Z13" s="41"/>
    </row>
    <row r="14" spans="1:28" ht="17.100000000000001" customHeight="1">
      <c r="A14" s="41"/>
      <c r="B14" s="49"/>
      <c r="C14" s="47"/>
      <c r="D14" s="47"/>
      <c r="E14" s="47"/>
      <c r="F14" s="47"/>
      <c r="G14" s="47"/>
      <c r="H14" s="47"/>
      <c r="I14" s="47"/>
      <c r="J14" s="48"/>
      <c r="K14" s="49"/>
      <c r="L14" s="104"/>
      <c r="M14" s="104"/>
      <c r="N14" s="104"/>
      <c r="O14" s="104"/>
      <c r="P14" s="104"/>
      <c r="Q14" s="104"/>
      <c r="R14" s="104"/>
      <c r="S14" s="104"/>
      <c r="T14" s="104"/>
      <c r="U14" s="104"/>
      <c r="V14" s="104"/>
      <c r="W14" s="104"/>
      <c r="X14" s="104"/>
      <c r="Y14" s="105"/>
      <c r="Z14" s="41"/>
    </row>
    <row r="15" spans="1:28" ht="24.75" customHeight="1">
      <c r="A15" s="41"/>
      <c r="B15" s="49"/>
      <c r="C15" s="47"/>
      <c r="D15" s="47"/>
      <c r="E15" s="47"/>
      <c r="F15" s="47"/>
      <c r="G15" s="47"/>
      <c r="H15" s="47"/>
      <c r="I15" s="47"/>
      <c r="J15" s="48"/>
      <c r="K15" s="49"/>
      <c r="L15" s="102" t="s">
        <v>139</v>
      </c>
      <c r="M15" s="103"/>
      <c r="N15" s="103"/>
      <c r="O15" s="103"/>
      <c r="P15" s="103"/>
      <c r="Q15" s="103"/>
      <c r="R15" s="103"/>
      <c r="S15" s="103"/>
      <c r="T15" s="103"/>
      <c r="U15" s="103"/>
      <c r="V15" s="103"/>
      <c r="W15" s="103"/>
      <c r="X15" s="103"/>
      <c r="Y15" s="48"/>
      <c r="Z15" s="41"/>
    </row>
    <row r="16" spans="1:28" ht="24.75" customHeight="1">
      <c r="A16" s="41"/>
      <c r="B16" s="49"/>
      <c r="C16" s="47"/>
      <c r="D16" s="47"/>
      <c r="E16" s="47"/>
      <c r="F16" s="47"/>
      <c r="G16" s="47"/>
      <c r="H16" s="47"/>
      <c r="I16" s="47"/>
      <c r="J16" s="48"/>
      <c r="K16" s="49"/>
      <c r="L16" s="103"/>
      <c r="M16" s="103"/>
      <c r="N16" s="103"/>
      <c r="O16" s="103"/>
      <c r="P16" s="103"/>
      <c r="Q16" s="103"/>
      <c r="R16" s="103"/>
      <c r="S16" s="103"/>
      <c r="T16" s="103"/>
      <c r="U16" s="103"/>
      <c r="V16" s="103"/>
      <c r="W16" s="103"/>
      <c r="X16" s="103"/>
      <c r="Y16" s="48"/>
      <c r="Z16" s="41"/>
      <c r="AB16" s="55"/>
    </row>
    <row r="17" spans="1:26" ht="24.75" customHeight="1">
      <c r="A17" s="41"/>
      <c r="B17" s="49"/>
      <c r="C17" s="47"/>
      <c r="D17" s="47"/>
      <c r="E17" s="47"/>
      <c r="F17" s="47"/>
      <c r="G17" s="47"/>
      <c r="H17" s="47"/>
      <c r="I17" s="47"/>
      <c r="J17" s="48"/>
      <c r="K17" s="49"/>
      <c r="L17" s="103"/>
      <c r="M17" s="103"/>
      <c r="N17" s="103"/>
      <c r="O17" s="103"/>
      <c r="P17" s="103"/>
      <c r="Q17" s="103"/>
      <c r="R17" s="103"/>
      <c r="S17" s="103"/>
      <c r="T17" s="103"/>
      <c r="U17" s="103"/>
      <c r="V17" s="103"/>
      <c r="W17" s="103"/>
      <c r="X17" s="103"/>
      <c r="Y17" s="48"/>
      <c r="Z17" s="41"/>
    </row>
    <row r="18" spans="1:26" ht="24.75" customHeight="1">
      <c r="A18" s="41"/>
      <c r="B18" s="49"/>
      <c r="C18" s="47"/>
      <c r="D18" s="47"/>
      <c r="E18" s="47"/>
      <c r="F18" s="47"/>
      <c r="G18" s="47"/>
      <c r="H18" s="47"/>
      <c r="I18" s="47"/>
      <c r="J18" s="48"/>
      <c r="K18" s="49"/>
      <c r="L18" s="103"/>
      <c r="M18" s="103"/>
      <c r="N18" s="103"/>
      <c r="O18" s="103"/>
      <c r="P18" s="103"/>
      <c r="Q18" s="103"/>
      <c r="R18" s="103"/>
      <c r="S18" s="103"/>
      <c r="T18" s="103"/>
      <c r="U18" s="103"/>
      <c r="V18" s="103"/>
      <c r="W18" s="103"/>
      <c r="X18" s="103"/>
      <c r="Y18" s="48"/>
      <c r="Z18" s="41"/>
    </row>
    <row r="19" spans="1:26" ht="24.75" customHeight="1">
      <c r="A19" s="41"/>
      <c r="B19" s="49"/>
      <c r="C19" s="47"/>
      <c r="D19" s="47"/>
      <c r="E19" s="47"/>
      <c r="F19" s="47"/>
      <c r="G19" s="47"/>
      <c r="H19" s="47"/>
      <c r="I19" s="47"/>
      <c r="J19" s="48"/>
      <c r="K19" s="49"/>
      <c r="L19" s="103"/>
      <c r="M19" s="103"/>
      <c r="N19" s="103"/>
      <c r="O19" s="103"/>
      <c r="P19" s="103"/>
      <c r="Q19" s="103"/>
      <c r="R19" s="103"/>
      <c r="S19" s="103"/>
      <c r="T19" s="103"/>
      <c r="U19" s="103"/>
      <c r="V19" s="103"/>
      <c r="W19" s="103"/>
      <c r="X19" s="103"/>
      <c r="Y19" s="48"/>
      <c r="Z19" s="41"/>
    </row>
    <row r="20" spans="1:26" ht="24.75" customHeight="1">
      <c r="A20" s="41"/>
      <c r="B20" s="49"/>
      <c r="C20" s="47"/>
      <c r="D20" s="47"/>
      <c r="E20" s="47"/>
      <c r="F20" s="47"/>
      <c r="G20" s="47"/>
      <c r="H20" s="47"/>
      <c r="I20" s="47"/>
      <c r="J20" s="48"/>
      <c r="K20" s="49"/>
      <c r="L20" s="103"/>
      <c r="M20" s="103"/>
      <c r="N20" s="103"/>
      <c r="O20" s="103"/>
      <c r="P20" s="103"/>
      <c r="Q20" s="103"/>
      <c r="R20" s="103"/>
      <c r="S20" s="103"/>
      <c r="T20" s="103"/>
      <c r="U20" s="103"/>
      <c r="V20" s="103"/>
      <c r="W20" s="103"/>
      <c r="X20" s="103"/>
      <c r="Y20" s="48"/>
      <c r="Z20" s="41"/>
    </row>
    <row r="21" spans="1:26" ht="39.75" customHeight="1">
      <c r="A21" s="41"/>
      <c r="B21" s="49"/>
      <c r="C21" s="47"/>
      <c r="D21" s="47"/>
      <c r="E21" s="47"/>
      <c r="F21" s="47"/>
      <c r="G21" s="47"/>
      <c r="H21" s="47"/>
      <c r="I21" s="47"/>
      <c r="J21" s="48"/>
      <c r="K21" s="49"/>
      <c r="L21" s="103"/>
      <c r="M21" s="103"/>
      <c r="N21" s="103"/>
      <c r="O21" s="103"/>
      <c r="P21" s="103"/>
      <c r="Q21" s="103"/>
      <c r="R21" s="103"/>
      <c r="S21" s="103"/>
      <c r="T21" s="103"/>
      <c r="U21" s="103"/>
      <c r="V21" s="103"/>
      <c r="W21" s="103"/>
      <c r="X21" s="103"/>
      <c r="Y21" s="48"/>
      <c r="Z21" s="41"/>
    </row>
    <row r="22" spans="1:26" ht="75" customHeight="1">
      <c r="A22" s="41"/>
      <c r="B22" s="49"/>
      <c r="C22" s="47"/>
      <c r="D22" s="47"/>
      <c r="E22" s="47"/>
      <c r="F22" s="47"/>
      <c r="G22" s="47"/>
      <c r="H22" s="47"/>
      <c r="I22" s="47"/>
      <c r="J22" s="48"/>
      <c r="K22" s="49"/>
      <c r="L22" s="98" t="s">
        <v>137</v>
      </c>
      <c r="M22" s="98"/>
      <c r="N22" s="98"/>
      <c r="O22" s="98"/>
      <c r="P22" s="98"/>
      <c r="Q22" s="98"/>
      <c r="R22" s="98"/>
      <c r="S22" s="98"/>
      <c r="T22" s="98"/>
      <c r="U22" s="98"/>
      <c r="V22" s="98"/>
      <c r="W22" s="98"/>
      <c r="X22" s="98"/>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84" t="s">
        <v>105</v>
      </c>
      <c r="D25" s="84"/>
      <c r="E25" s="84"/>
      <c r="F25" s="84"/>
      <c r="G25" s="84"/>
      <c r="H25" s="84"/>
      <c r="I25" s="84"/>
      <c r="J25" s="46"/>
      <c r="K25" s="54"/>
      <c r="L25" s="84" t="s">
        <v>138</v>
      </c>
      <c r="M25" s="84"/>
      <c r="N25" s="84"/>
      <c r="O25" s="84"/>
      <c r="P25" s="84"/>
      <c r="Q25" s="84"/>
      <c r="R25" s="87"/>
      <c r="S25" s="87"/>
      <c r="T25" s="87"/>
      <c r="U25" s="87"/>
      <c r="V25" s="87"/>
      <c r="W25" s="87"/>
      <c r="X25" s="87"/>
      <c r="Y25" s="88"/>
      <c r="Z25" s="41"/>
    </row>
    <row r="26" spans="1:26" ht="17.100000000000001" customHeight="1">
      <c r="A26" s="41"/>
      <c r="B26" s="51"/>
      <c r="C26" s="85"/>
      <c r="D26" s="86"/>
      <c r="E26" s="86"/>
      <c r="F26" s="86"/>
      <c r="G26" s="86"/>
      <c r="H26" s="86"/>
      <c r="I26" s="86"/>
      <c r="J26" s="53"/>
      <c r="K26" s="51"/>
      <c r="L26" s="86"/>
      <c r="M26" s="86"/>
      <c r="N26" s="86"/>
      <c r="O26" s="86"/>
      <c r="P26" s="86"/>
      <c r="Q26" s="86"/>
      <c r="R26" s="89"/>
      <c r="S26" s="89"/>
      <c r="T26" s="89"/>
      <c r="U26" s="89"/>
      <c r="V26" s="89"/>
      <c r="W26" s="89"/>
      <c r="X26" s="89"/>
      <c r="Y26" s="90"/>
      <c r="Z26" s="41"/>
    </row>
    <row r="27" spans="1:26" ht="17.100000000000001" customHeight="1">
      <c r="A27" s="41"/>
      <c r="B27" s="54"/>
      <c r="C27" s="84" t="s">
        <v>106</v>
      </c>
      <c r="D27" s="91"/>
      <c r="E27" s="91"/>
      <c r="F27" s="91"/>
      <c r="G27" s="91"/>
      <c r="H27" s="91"/>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92"/>
      <c r="D28" s="92"/>
      <c r="E28" s="92"/>
      <c r="F28" s="92"/>
      <c r="G28" s="92"/>
      <c r="H28" s="92"/>
      <c r="I28" s="47"/>
      <c r="J28" s="48"/>
      <c r="K28" s="49"/>
      <c r="L28" s="47" t="s">
        <v>107</v>
      </c>
      <c r="M28" s="47" t="s">
        <v>108</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109</v>
      </c>
      <c r="M29" s="47" t="s">
        <v>110</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111</v>
      </c>
      <c r="M30" s="47" t="s">
        <v>112</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113</v>
      </c>
      <c r="N31" s="47"/>
      <c r="O31" s="47"/>
      <c r="P31" s="47"/>
      <c r="Q31" s="47"/>
      <c r="R31" s="47"/>
      <c r="S31" s="47"/>
      <c r="T31" s="47"/>
      <c r="U31" s="47"/>
      <c r="V31" s="47"/>
      <c r="W31" s="47"/>
      <c r="X31" s="47"/>
      <c r="Y31" s="48"/>
      <c r="Z31" s="41"/>
    </row>
    <row r="32" spans="1:26" ht="17.100000000000001" customHeight="1">
      <c r="A32" s="41"/>
      <c r="B32" s="49"/>
      <c r="C32" s="47"/>
      <c r="D32" s="47"/>
      <c r="E32" s="47"/>
      <c r="F32" s="47"/>
      <c r="G32" s="47"/>
      <c r="H32" s="47"/>
      <c r="I32" s="47"/>
      <c r="J32" s="48"/>
      <c r="K32" s="49"/>
      <c r="L32" s="47" t="s">
        <v>114</v>
      </c>
      <c r="M32" s="47" t="s">
        <v>115</v>
      </c>
      <c r="N32" s="47"/>
      <c r="O32" s="47"/>
      <c r="P32" s="47"/>
      <c r="Q32" s="47"/>
      <c r="R32" s="47"/>
      <c r="S32" s="47"/>
      <c r="T32" s="47"/>
      <c r="U32" s="47"/>
      <c r="V32" s="47"/>
      <c r="W32" s="47"/>
      <c r="X32" s="47"/>
      <c r="Y32" s="48"/>
      <c r="Z32" s="41"/>
    </row>
    <row r="33" spans="1:26" ht="17.100000000000001" customHeight="1">
      <c r="A33" s="41"/>
      <c r="B33" s="51"/>
      <c r="C33" s="52"/>
      <c r="D33" s="52"/>
      <c r="E33" s="52"/>
      <c r="F33" s="52"/>
      <c r="G33" s="52"/>
      <c r="H33" s="52"/>
      <c r="I33" s="52"/>
      <c r="J33" s="53"/>
      <c r="K33" s="51"/>
      <c r="L33" s="52"/>
      <c r="M33" s="52"/>
      <c r="N33" s="52"/>
      <c r="O33" s="52"/>
      <c r="P33" s="52"/>
      <c r="Q33" s="52"/>
      <c r="R33" s="52"/>
      <c r="S33" s="52"/>
      <c r="T33" s="52"/>
      <c r="U33" s="52"/>
      <c r="V33" s="52"/>
      <c r="W33" s="52"/>
      <c r="X33" s="52"/>
      <c r="Y33" s="53"/>
      <c r="Z33" s="41"/>
    </row>
    <row r="34" spans="1:26" ht="17.100000000000001" customHeight="1">
      <c r="A34" s="41"/>
      <c r="B34" s="54"/>
      <c r="C34" s="93" t="s">
        <v>116</v>
      </c>
      <c r="D34" s="94"/>
      <c r="E34" s="94"/>
      <c r="F34" s="94"/>
      <c r="G34" s="94"/>
      <c r="H34" s="94"/>
      <c r="I34" s="94"/>
      <c r="J34" s="95"/>
      <c r="K34" s="54"/>
      <c r="L34" s="45"/>
      <c r="M34" s="45"/>
      <c r="N34" s="45"/>
      <c r="O34" s="45"/>
      <c r="P34" s="45"/>
      <c r="Q34" s="45"/>
      <c r="R34" s="45"/>
      <c r="S34" s="45"/>
      <c r="T34" s="45"/>
      <c r="U34" s="45"/>
      <c r="V34" s="45"/>
      <c r="W34" s="45"/>
      <c r="X34" s="45"/>
      <c r="Y34" s="46"/>
      <c r="Z34" s="41"/>
    </row>
    <row r="35" spans="1:26" ht="17.100000000000001" customHeight="1">
      <c r="A35" s="41"/>
      <c r="B35" s="49"/>
      <c r="C35" s="96"/>
      <c r="D35" s="96"/>
      <c r="E35" s="96"/>
      <c r="F35" s="96"/>
      <c r="G35" s="96"/>
      <c r="H35" s="96"/>
      <c r="I35" s="96"/>
      <c r="J35" s="97"/>
      <c r="K35" s="49"/>
      <c r="L35" s="47" t="s">
        <v>107</v>
      </c>
      <c r="M35" s="47" t="s">
        <v>117</v>
      </c>
      <c r="N35" s="47"/>
      <c r="O35" s="47"/>
      <c r="P35" s="47"/>
      <c r="Q35" s="47"/>
      <c r="R35" s="47"/>
      <c r="S35" s="47"/>
      <c r="T35" s="47"/>
      <c r="U35" s="47"/>
      <c r="V35" s="47"/>
      <c r="W35" s="47"/>
      <c r="X35" s="47"/>
      <c r="Y35" s="48"/>
      <c r="Z35" s="41"/>
    </row>
    <row r="36" spans="1:26" ht="17.100000000000001" customHeight="1">
      <c r="A36" s="41"/>
      <c r="B36" s="49"/>
      <c r="C36" s="96"/>
      <c r="D36" s="96"/>
      <c r="E36" s="96"/>
      <c r="F36" s="96"/>
      <c r="G36" s="96"/>
      <c r="H36" s="96"/>
      <c r="I36" s="96"/>
      <c r="J36" s="97"/>
      <c r="K36" s="49"/>
      <c r="L36" s="47"/>
      <c r="M36" s="47" t="s">
        <v>118</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c r="M37" s="47" t="s">
        <v>119</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t="s">
        <v>120</v>
      </c>
      <c r="M38" s="47" t="s">
        <v>121</v>
      </c>
      <c r="N38" s="47"/>
      <c r="O38" s="47"/>
      <c r="P38" s="47"/>
      <c r="Q38" s="47"/>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136</v>
      </c>
      <c r="N39" s="47"/>
      <c r="O39" s="47"/>
      <c r="P39" s="80" t="s">
        <v>122</v>
      </c>
      <c r="Q39" s="80"/>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80"/>
      <c r="Q40" s="80"/>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80"/>
      <c r="Q41" s="80"/>
      <c r="R41" s="47"/>
      <c r="S41" s="47"/>
      <c r="T41" s="47"/>
      <c r="U41" s="47"/>
      <c r="V41" s="47"/>
      <c r="W41" s="47"/>
      <c r="X41" s="47"/>
      <c r="Y41" s="48"/>
      <c r="Z41" s="41"/>
    </row>
    <row r="42" spans="1:26" ht="17.100000000000001" customHeight="1">
      <c r="A42" s="41"/>
      <c r="B42" s="49"/>
      <c r="C42" s="47"/>
      <c r="D42" s="47"/>
      <c r="E42" s="47"/>
      <c r="F42" s="47"/>
      <c r="G42" s="47"/>
      <c r="H42" s="47"/>
      <c r="I42" s="47"/>
      <c r="J42" s="48"/>
      <c r="K42" s="49"/>
      <c r="L42" s="47"/>
      <c r="M42" s="47"/>
      <c r="N42" s="47"/>
      <c r="O42" s="47"/>
      <c r="P42" s="47"/>
      <c r="Q42" s="47"/>
      <c r="R42" s="47"/>
      <c r="S42" s="47"/>
      <c r="T42" s="47"/>
      <c r="U42" s="47"/>
      <c r="V42" s="47"/>
      <c r="W42" s="47"/>
      <c r="X42" s="47"/>
      <c r="Y42" s="48"/>
      <c r="Z42" s="41"/>
    </row>
    <row r="43" spans="1:26" ht="17.100000000000001" customHeight="1">
      <c r="A43" s="41"/>
      <c r="B43" s="51"/>
      <c r="C43" s="52"/>
      <c r="D43" s="52"/>
      <c r="E43" s="52"/>
      <c r="F43" s="52"/>
      <c r="G43" s="52"/>
      <c r="H43" s="52"/>
      <c r="I43" s="52"/>
      <c r="J43" s="53"/>
      <c r="K43" s="51"/>
      <c r="L43" s="52"/>
      <c r="M43" s="52"/>
      <c r="N43" s="52"/>
      <c r="O43" s="52"/>
      <c r="P43" s="52"/>
      <c r="Q43" s="52"/>
      <c r="R43" s="52"/>
      <c r="S43" s="52"/>
      <c r="T43" s="52"/>
      <c r="U43" s="52"/>
      <c r="V43" s="52"/>
      <c r="W43" s="52"/>
      <c r="X43" s="52"/>
      <c r="Y43" s="53"/>
      <c r="Z43" s="41"/>
    </row>
    <row r="44" spans="1:26" ht="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7.100000000000001"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sheetData>
  <mergeCells count="14">
    <mergeCell ref="L22:X22"/>
    <mergeCell ref="E3:U3"/>
    <mergeCell ref="D9:H10"/>
    <mergeCell ref="O9:T10"/>
    <mergeCell ref="C11:H12"/>
    <mergeCell ref="L15:X21"/>
    <mergeCell ref="L12:Y14"/>
    <mergeCell ref="P41:Q41"/>
    <mergeCell ref="C25:I26"/>
    <mergeCell ref="L25:Y26"/>
    <mergeCell ref="C27:H28"/>
    <mergeCell ref="C34:J36"/>
    <mergeCell ref="P39:Q39"/>
    <mergeCell ref="P40:Q40"/>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平成27年度</vt:lpstr>
      <vt:lpstr>平成28年度</vt:lpstr>
      <vt:lpstr>ＰＬＨ27年度</vt:lpstr>
      <vt:lpstr>ＰＬＨ２8年度</vt:lpstr>
      <vt:lpstr>財産目録</vt:lpstr>
      <vt:lpstr>事業計画書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2014-09-25T10:08:47Z</cp:lastPrinted>
  <dcterms:created xsi:type="dcterms:W3CDTF">2014-03-29T00:07:08Z</dcterms:created>
  <dcterms:modified xsi:type="dcterms:W3CDTF">2015-05-30T00:41:21Z</dcterms:modified>
</cp:coreProperties>
</file>