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ropbox\01.アンマー事業管理\01.福祉施設設立関係\R1.7.1\"/>
    </mc:Choice>
  </mc:AlternateContent>
  <xr:revisionPtr revIDLastSave="0" documentId="8_{DD37C648-24A2-4288-B6E9-D37167BD1074}" xr6:coauthVersionLast="43" xr6:coauthVersionMax="43" xr10:uidLastSave="{00000000-0000-0000-0000-000000000000}"/>
  <bookViews>
    <workbookView xWindow="-108" yWindow="-108" windowWidth="23256" windowHeight="12576" activeTab="1" xr2:uid="{0872B27C-6333-4647-8625-BA15DFFA9C8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1" i="2" l="1"/>
  <c r="E10" i="2"/>
  <c r="E9" i="2"/>
  <c r="G6" i="1" l="1"/>
  <c r="F6" i="1"/>
  <c r="E6" i="1"/>
</calcChain>
</file>

<file path=xl/sharedStrings.xml><?xml version="1.0" encoding="utf-8"?>
<sst xmlns="http://schemas.openxmlformats.org/spreadsheetml/2006/main" count="33" uniqueCount="27">
  <si>
    <t>ダスキン</t>
    <phoneticPr fontId="2"/>
  </si>
  <si>
    <t>松山園</t>
    <rPh sb="0" eb="1">
      <t>マツ</t>
    </rPh>
    <rPh sb="1" eb="2">
      <t>ヤマ</t>
    </rPh>
    <rPh sb="2" eb="3">
      <t>エン</t>
    </rPh>
    <phoneticPr fontId="2"/>
  </si>
  <si>
    <t>草刈り機</t>
    <rPh sb="0" eb="2">
      <t>クサカ</t>
    </rPh>
    <rPh sb="3" eb="4">
      <t>キ</t>
    </rPh>
    <phoneticPr fontId="2"/>
  </si>
  <si>
    <t>資格</t>
    <rPh sb="0" eb="2">
      <t>シカク</t>
    </rPh>
    <phoneticPr fontId="2"/>
  </si>
  <si>
    <t>チェーンソー</t>
    <phoneticPr fontId="2"/>
  </si>
  <si>
    <t>目標工賃達成職員加算</t>
    <rPh sb="0" eb="2">
      <t>モクヒョウ</t>
    </rPh>
    <rPh sb="2" eb="4">
      <t>コウチン</t>
    </rPh>
    <rPh sb="4" eb="6">
      <t>タッセイ</t>
    </rPh>
    <rPh sb="6" eb="8">
      <t>ショクイン</t>
    </rPh>
    <rPh sb="8" eb="10">
      <t>カサン</t>
    </rPh>
    <phoneticPr fontId="2"/>
  </si>
  <si>
    <t>5月対象日数</t>
    <rPh sb="1" eb="2">
      <t>ガツ</t>
    </rPh>
    <rPh sb="2" eb="4">
      <t>タイショウ</t>
    </rPh>
    <rPh sb="4" eb="6">
      <t>ニッスウ</t>
    </rPh>
    <phoneticPr fontId="2"/>
  </si>
  <si>
    <t>単価</t>
    <rPh sb="0" eb="2">
      <t>タンカ</t>
    </rPh>
    <phoneticPr fontId="2"/>
  </si>
  <si>
    <t>福祉専門職員加算</t>
    <rPh sb="0" eb="2">
      <t>フクシ</t>
    </rPh>
    <rPh sb="2" eb="4">
      <t>センモン</t>
    </rPh>
    <rPh sb="4" eb="6">
      <t>ショクイン</t>
    </rPh>
    <rPh sb="6" eb="8">
      <t>カサン</t>
    </rPh>
    <phoneticPr fontId="2"/>
  </si>
  <si>
    <t>B型</t>
    <rPh sb="1" eb="2">
      <t>ガタ</t>
    </rPh>
    <phoneticPr fontId="2"/>
  </si>
  <si>
    <t>職業指導員</t>
    <rPh sb="0" eb="2">
      <t>ショクギョウ</t>
    </rPh>
    <rPh sb="2" eb="5">
      <t>シドウイン</t>
    </rPh>
    <phoneticPr fontId="2"/>
  </si>
  <si>
    <t>貝畑</t>
    <rPh sb="0" eb="2">
      <t>カイハタ</t>
    </rPh>
    <phoneticPr fontId="2"/>
  </si>
  <si>
    <t>目標工賃達成職員</t>
    <rPh sb="0" eb="2">
      <t>モクヒョウ</t>
    </rPh>
    <rPh sb="2" eb="4">
      <t>コウチン</t>
    </rPh>
    <rPh sb="4" eb="6">
      <t>タッセイ</t>
    </rPh>
    <rPh sb="6" eb="8">
      <t>ショクイン</t>
    </rPh>
    <phoneticPr fontId="2"/>
  </si>
  <si>
    <t>現在</t>
    <rPh sb="0" eb="2">
      <t>ゲンザイ</t>
    </rPh>
    <phoneticPr fontId="2"/>
  </si>
  <si>
    <t>無</t>
    <rPh sb="0" eb="1">
      <t>ナ</t>
    </rPh>
    <phoneticPr fontId="2"/>
  </si>
  <si>
    <t>7月～</t>
    <rPh sb="1" eb="2">
      <t>ガツ</t>
    </rPh>
    <phoneticPr fontId="2"/>
  </si>
  <si>
    <t>上野</t>
    <rPh sb="0" eb="2">
      <t>ウエノ</t>
    </rPh>
    <phoneticPr fontId="2"/>
  </si>
  <si>
    <t>　　</t>
    <phoneticPr fontId="2"/>
  </si>
  <si>
    <t>山内　継成</t>
    <rPh sb="0" eb="2">
      <t>ヤマウチ</t>
    </rPh>
    <rPh sb="3" eb="4">
      <t>ツギ</t>
    </rPh>
    <rPh sb="4" eb="5">
      <t>シゲル</t>
    </rPh>
    <phoneticPr fontId="2"/>
  </si>
  <si>
    <t>移行</t>
    <rPh sb="0" eb="2">
      <t>イコウ</t>
    </rPh>
    <phoneticPr fontId="2"/>
  </si>
  <si>
    <t>加算月額</t>
    <rPh sb="0" eb="2">
      <t>カサン</t>
    </rPh>
    <rPh sb="2" eb="4">
      <t>ゲツガク</t>
    </rPh>
    <phoneticPr fontId="2"/>
  </si>
  <si>
    <t>山内継成　基本</t>
    <rPh sb="0" eb="2">
      <t>ヤマウチ</t>
    </rPh>
    <rPh sb="2" eb="3">
      <t>ケイ</t>
    </rPh>
    <rPh sb="3" eb="4">
      <t>シゲル</t>
    </rPh>
    <rPh sb="5" eb="7">
      <t>キホン</t>
    </rPh>
    <phoneticPr fontId="2"/>
  </si>
  <si>
    <t>社保負担　約2万円</t>
    <rPh sb="0" eb="2">
      <t>シャホ</t>
    </rPh>
    <rPh sb="2" eb="4">
      <t>フタン</t>
    </rPh>
    <rPh sb="5" eb="6">
      <t>ヤク</t>
    </rPh>
    <rPh sb="7" eb="9">
      <t>マンエン</t>
    </rPh>
    <phoneticPr fontId="2"/>
  </si>
  <si>
    <t>Bへの変更予定</t>
    <rPh sb="3" eb="5">
      <t>ヘンコウ</t>
    </rPh>
    <rPh sb="5" eb="7">
      <t>ヨテイ</t>
    </rPh>
    <phoneticPr fontId="2"/>
  </si>
  <si>
    <t>　田淵</t>
    <rPh sb="1" eb="3">
      <t>タブチ</t>
    </rPh>
    <phoneticPr fontId="2"/>
  </si>
  <si>
    <t>　北田</t>
    <rPh sb="1" eb="3">
      <t>キタダ</t>
    </rPh>
    <phoneticPr fontId="2"/>
  </si>
  <si>
    <t>　赤瀬</t>
    <rPh sb="1" eb="3">
      <t>アカセ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</si>
</sst>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57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38" fontId="0" fillId="0" borderId="0" xfId="1" applyFon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38" fontId="0" fillId="0" borderId="1" xfId="1" applyFont="1" applyBorder="1">
      <alignment vertical="center"/>
    </xf>
    <xf numFmtId="0" fontId="0" fillId="0" borderId="3" xfId="0" applyBorder="1">
      <alignment vertical="center"/>
    </xf>
    <xf numFmtId="38" fontId="0" fillId="0" borderId="3" xfId="0" applyNumberFormat="1" applyBorder="1">
      <alignment vertical="center"/>
    </xf>
    <xf numFmtId="0" fontId="0" fillId="0" borderId="2" xfId="0" applyBorder="1">
      <alignment vertical="center"/>
    </xf>
    <xf numFmtId="38" fontId="0" fillId="0" borderId="2" xfId="1" applyFont="1" applyBorder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4FC2C-231D-47ED-8C60-3DAF12F7E52B}">
  <dimension ref="A1:G11"/>
  <sheetViews>
    <sheetView workbookViewId="0">
      <selection activeCell="D10" sqref="D10"/>
    </sheetView>
  </sheetViews>
  <sheetFormatPr defaultRowHeight="18" x14ac:dyDescent="0.45"/>
  <cols>
    <col min="2" max="2" width="12.3984375" bestFit="1" customWidth="1"/>
    <col min="5" max="5" width="9.3984375" bestFit="1" customWidth="1"/>
    <col min="7" max="7" width="11.69921875" customWidth="1"/>
  </cols>
  <sheetData>
    <row r="1" spans="1:7" x14ac:dyDescent="0.45">
      <c r="B1" s="2" t="s">
        <v>0</v>
      </c>
      <c r="C1" s="2" t="s">
        <v>1</v>
      </c>
      <c r="D1" s="2"/>
    </row>
    <row r="2" spans="1:7" x14ac:dyDescent="0.45">
      <c r="B2" s="1">
        <v>42916</v>
      </c>
      <c r="C2" s="1">
        <v>43373</v>
      </c>
      <c r="D2" s="1">
        <v>43646</v>
      </c>
    </row>
    <row r="6" spans="1:7" x14ac:dyDescent="0.45">
      <c r="E6" s="3">
        <f>1000000</f>
        <v>1000000</v>
      </c>
      <c r="F6" s="3">
        <f>E6/5880</f>
        <v>170.06802721088437</v>
      </c>
      <c r="G6" s="3">
        <f>F6*890</f>
        <v>151360.5442176871</v>
      </c>
    </row>
    <row r="10" spans="1:7" x14ac:dyDescent="0.45">
      <c r="A10" t="s">
        <v>3</v>
      </c>
      <c r="B10" t="s">
        <v>2</v>
      </c>
    </row>
    <row r="11" spans="1:7" x14ac:dyDescent="0.45">
      <c r="A11" t="s">
        <v>3</v>
      </c>
      <c r="B11" t="s">
        <v>4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7CC6D-F731-4D58-9609-D8987DA7EBC8}">
  <dimension ref="B2:E19"/>
  <sheetViews>
    <sheetView tabSelected="1" workbookViewId="0">
      <selection activeCell="D16" sqref="D16"/>
    </sheetView>
  </sheetViews>
  <sheetFormatPr defaultRowHeight="18" x14ac:dyDescent="0.45"/>
  <cols>
    <col min="1" max="1" width="3.296875" customWidth="1"/>
    <col min="2" max="2" width="20.19921875" bestFit="1" customWidth="1"/>
    <col min="3" max="5" width="17.3984375" customWidth="1"/>
  </cols>
  <sheetData>
    <row r="2" spans="2:5" x14ac:dyDescent="0.45">
      <c r="B2" s="6" t="s">
        <v>9</v>
      </c>
      <c r="C2" s="7" t="s">
        <v>13</v>
      </c>
      <c r="D2" s="7" t="s">
        <v>15</v>
      </c>
    </row>
    <row r="3" spans="2:5" x14ac:dyDescent="0.45">
      <c r="B3" s="4" t="s">
        <v>10</v>
      </c>
      <c r="C3" s="5" t="s">
        <v>11</v>
      </c>
      <c r="D3" s="5" t="s">
        <v>16</v>
      </c>
    </row>
    <row r="4" spans="2:5" x14ac:dyDescent="0.45">
      <c r="B4" s="4" t="s">
        <v>12</v>
      </c>
      <c r="C4" s="5" t="s">
        <v>14</v>
      </c>
      <c r="D4" s="5" t="s">
        <v>18</v>
      </c>
    </row>
    <row r="5" spans="2:5" x14ac:dyDescent="0.45">
      <c r="B5" s="6" t="s">
        <v>19</v>
      </c>
      <c r="C5" s="7" t="s">
        <v>13</v>
      </c>
      <c r="D5" s="7" t="s">
        <v>15</v>
      </c>
    </row>
    <row r="6" spans="2:5" x14ac:dyDescent="0.45">
      <c r="B6" s="4" t="s">
        <v>10</v>
      </c>
      <c r="C6" s="5" t="s">
        <v>16</v>
      </c>
      <c r="D6" s="5" t="s">
        <v>11</v>
      </c>
    </row>
    <row r="7" spans="2:5" x14ac:dyDescent="0.45">
      <c r="D7" t="s">
        <v>17</v>
      </c>
    </row>
    <row r="8" spans="2:5" x14ac:dyDescent="0.45">
      <c r="B8" s="4"/>
      <c r="C8" s="5" t="s">
        <v>7</v>
      </c>
      <c r="D8" s="5" t="s">
        <v>6</v>
      </c>
      <c r="E8" s="5" t="s">
        <v>20</v>
      </c>
    </row>
    <row r="9" spans="2:5" x14ac:dyDescent="0.45">
      <c r="B9" s="4" t="s">
        <v>5</v>
      </c>
      <c r="C9" s="4">
        <v>890</v>
      </c>
      <c r="D9" s="4">
        <v>189</v>
      </c>
      <c r="E9" s="8">
        <f>D9*C9</f>
        <v>168210</v>
      </c>
    </row>
    <row r="10" spans="2:5" ht="18.600000000000001" thickBot="1" x14ac:dyDescent="0.5">
      <c r="B10" s="11" t="s">
        <v>8</v>
      </c>
      <c r="C10" s="11">
        <v>150</v>
      </c>
      <c r="D10" s="11">
        <v>189</v>
      </c>
      <c r="E10" s="12">
        <f>D10*C10</f>
        <v>28350</v>
      </c>
    </row>
    <row r="11" spans="2:5" ht="18.600000000000001" thickTop="1" x14ac:dyDescent="0.45">
      <c r="B11" s="9"/>
      <c r="C11" s="9"/>
      <c r="D11" s="9"/>
      <c r="E11" s="10">
        <f>SUM(E9:E10)</f>
        <v>196560</v>
      </c>
    </row>
    <row r="13" spans="2:5" x14ac:dyDescent="0.45">
      <c r="B13" t="s">
        <v>21</v>
      </c>
      <c r="C13" s="3">
        <v>180000</v>
      </c>
      <c r="D13" s="2" t="s">
        <v>22</v>
      </c>
    </row>
    <row r="16" spans="2:5" x14ac:dyDescent="0.45">
      <c r="B16" t="s">
        <v>23</v>
      </c>
    </row>
    <row r="17" spans="2:2" x14ac:dyDescent="0.45">
      <c r="B17" t="s">
        <v>24</v>
      </c>
    </row>
    <row r="18" spans="2:2" x14ac:dyDescent="0.45">
      <c r="B18" t="s">
        <v>25</v>
      </c>
    </row>
    <row r="19" spans="2:2" x14ac:dyDescent="0.45">
      <c r="B19" t="s">
        <v>26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2019-06-09T04:48:04Z</dcterms:created>
  <dcterms:modified xsi:type="dcterms:W3CDTF">2019-06-10T03:12:22Z</dcterms:modified>
</cp:coreProperties>
</file>