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yamauchi\Dropbox\GF-NPO【仮称】\"/>
    </mc:Choice>
  </mc:AlternateContent>
  <bookViews>
    <workbookView xWindow="45" yWindow="0" windowWidth="15480" windowHeight="11640" activeTab="5"/>
  </bookViews>
  <sheets>
    <sheet name="事業評価【A案・税引前】" sheetId="4" r:id="rId1"/>
    <sheet name="事業評価【A案・税引後】" sheetId="5" state="hidden" r:id="rId2"/>
    <sheet name="予備" sheetId="11" r:id="rId3"/>
    <sheet name="売上計画 " sheetId="15" r:id="rId4"/>
    <sheet name="営業権譲渡関連" sheetId="16" state="hidden" r:id="rId5"/>
    <sheet name="Sheet2" sheetId="17" r:id="rId6"/>
    <sheet name="基礎" sheetId="1" r:id="rId7"/>
    <sheet name="PL" sheetId="2" r:id="rId8"/>
    <sheet name="CF" sheetId="3" r:id="rId9"/>
    <sheet name="BS" sheetId="10" r:id="rId10"/>
    <sheet name="店舗初期投資" sheetId="7" state="hidden" r:id="rId11"/>
    <sheet name="店舗投資詳細" sheetId="6" state="hidden" r:id="rId12"/>
    <sheet name="金融借入" sheetId="8" state="hidden" r:id="rId13"/>
    <sheet name="金融借入（移行計算）" sheetId="9" r:id="rId14"/>
    <sheet name="Sheet1" sheetId="13" r:id="rId15"/>
  </sheets>
  <definedNames>
    <definedName name="_xlnm.Print_Area" localSheetId="6">基礎!$A$1:$FN$78</definedName>
  </definedNames>
  <calcPr calcId="152511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W74" i="1" l="1"/>
  <c r="AL22" i="1"/>
  <c r="AL21" i="1"/>
  <c r="V20" i="1"/>
  <c r="U20" i="1"/>
  <c r="X22" i="1"/>
  <c r="X21" i="1"/>
  <c r="F16" i="17"/>
  <c r="F15" i="17"/>
  <c r="F14" i="17"/>
  <c r="F13" i="17"/>
  <c r="G19" i="17"/>
  <c r="F19" i="17"/>
  <c r="F20" i="17" s="1"/>
  <c r="F3" i="17"/>
  <c r="AL85" i="1" l="1"/>
  <c r="AN85" i="1" s="1"/>
  <c r="AL84" i="1"/>
  <c r="AN84" i="1" s="1"/>
  <c r="AL83" i="1"/>
  <c r="AN83" i="1" s="1"/>
  <c r="AL81" i="1"/>
  <c r="AL86" i="1" s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M69" i="1"/>
  <c r="AM64" i="1" s="1"/>
  <c r="AM74" i="1" s="1"/>
  <c r="AK67" i="1"/>
  <c r="AK66" i="1"/>
  <c r="AK65" i="1"/>
  <c r="AW64" i="1"/>
  <c r="AV64" i="1"/>
  <c r="AV74" i="1" s="1"/>
  <c r="AU64" i="1"/>
  <c r="AU74" i="1" s="1"/>
  <c r="AT64" i="1"/>
  <c r="AT74" i="1" s="1"/>
  <c r="AS64" i="1"/>
  <c r="AR64" i="1"/>
  <c r="AR74" i="1" s="1"/>
  <c r="AQ64" i="1"/>
  <c r="AQ74" i="1" s="1"/>
  <c r="AP64" i="1"/>
  <c r="AP74" i="1" s="1"/>
  <c r="AO64" i="1"/>
  <c r="AN64" i="1"/>
  <c r="AN74" i="1" s="1"/>
  <c r="AL64" i="1"/>
  <c r="AL74" i="1" s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1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K57" i="1"/>
  <c r="AL56" i="1"/>
  <c r="AN54" i="1"/>
  <c r="AM54" i="1"/>
  <c r="AL54" i="1"/>
  <c r="AK54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2" i="1"/>
  <c r="AL51" i="1"/>
  <c r="AL50" i="1" s="1"/>
  <c r="AX44" i="1"/>
  <c r="AY44" i="1" s="1"/>
  <c r="AX43" i="1"/>
  <c r="AY43" i="1" s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X41" i="1"/>
  <c r="AY41" i="1" s="1"/>
  <c r="AX39" i="1"/>
  <c r="AY39" i="1" s="1"/>
  <c r="AX38" i="1"/>
  <c r="AY38" i="1" s="1"/>
  <c r="AK38" i="1"/>
  <c r="AX37" i="1"/>
  <c r="AY37" i="1" s="1"/>
  <c r="AX36" i="1"/>
  <c r="AY36" i="1" s="1"/>
  <c r="AK36" i="1"/>
  <c r="AX35" i="1"/>
  <c r="AY35" i="1" s="1"/>
  <c r="AX34" i="1"/>
  <c r="AY34" i="1" s="1"/>
  <c r="AK34" i="1"/>
  <c r="AY33" i="1"/>
  <c r="AX33" i="1"/>
  <c r="AX32" i="1"/>
  <c r="AY32" i="1" s="1"/>
  <c r="AW31" i="1"/>
  <c r="AV31" i="1"/>
  <c r="AW58" i="1" s="1"/>
  <c r="AU31" i="1"/>
  <c r="AV58" i="1" s="1"/>
  <c r="AT31" i="1"/>
  <c r="AU58" i="1" s="1"/>
  <c r="AS31" i="1"/>
  <c r="AT58" i="1" s="1"/>
  <c r="AR31" i="1"/>
  <c r="AS58" i="1" s="1"/>
  <c r="AQ31" i="1"/>
  <c r="AR58" i="1" s="1"/>
  <c r="AP31" i="1"/>
  <c r="AQ58" i="1" s="1"/>
  <c r="AO31" i="1"/>
  <c r="AP58" i="1" s="1"/>
  <c r="AN31" i="1"/>
  <c r="AO58" i="1" s="1"/>
  <c r="AM31" i="1"/>
  <c r="AN58" i="1" s="1"/>
  <c r="AL31" i="1"/>
  <c r="AM58" i="1" s="1"/>
  <c r="AX29" i="1"/>
  <c r="AK29" i="1"/>
  <c r="AW28" i="1"/>
  <c r="AV28" i="1"/>
  <c r="AU28" i="1"/>
  <c r="AT28" i="1"/>
  <c r="AS28" i="1"/>
  <c r="AR28" i="1"/>
  <c r="AQ28" i="1"/>
  <c r="AP28" i="1"/>
  <c r="AO28" i="1"/>
  <c r="AN28" i="1"/>
  <c r="AM28" i="1"/>
  <c r="AQ27" i="1"/>
  <c r="AR27" i="1" s="1"/>
  <c r="AS27" i="1" s="1"/>
  <c r="AT27" i="1" s="1"/>
  <c r="AU27" i="1" s="1"/>
  <c r="AV27" i="1" s="1"/>
  <c r="AW27" i="1" s="1"/>
  <c r="AP27" i="1"/>
  <c r="AM27" i="1"/>
  <c r="AX26" i="1"/>
  <c r="AM25" i="1"/>
  <c r="AM56" i="1" s="1"/>
  <c r="AK25" i="1"/>
  <c r="AM24" i="1"/>
  <c r="AN24" i="1" s="1"/>
  <c r="AK24" i="1"/>
  <c r="AX23" i="1"/>
  <c r="AK22" i="1"/>
  <c r="AM21" i="1"/>
  <c r="AN21" i="1" s="1"/>
  <c r="AK21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X19" i="1"/>
  <c r="AK19" i="1"/>
  <c r="AJ18" i="1"/>
  <c r="AX17" i="1"/>
  <c r="AY17" i="1" s="1"/>
  <c r="AY16" i="1"/>
  <c r="AX15" i="1"/>
  <c r="AY15" i="1" s="1"/>
  <c r="AJ15" i="1"/>
  <c r="AX14" i="1"/>
  <c r="AY14" i="1" s="1"/>
  <c r="AK12" i="1"/>
  <c r="AX10" i="1"/>
  <c r="AW9" i="1"/>
  <c r="AV9" i="1"/>
  <c r="AW52" i="1" s="1"/>
  <c r="AU9" i="1"/>
  <c r="AV52" i="1" s="1"/>
  <c r="AT9" i="1"/>
  <c r="AU52" i="1" s="1"/>
  <c r="AS9" i="1"/>
  <c r="AT52" i="1" s="1"/>
  <c r="AR9" i="1"/>
  <c r="AS52" i="1" s="1"/>
  <c r="AQ9" i="1"/>
  <c r="AR52" i="1" s="1"/>
  <c r="AP9" i="1"/>
  <c r="AQ52" i="1" s="1"/>
  <c r="AO9" i="1"/>
  <c r="AP52" i="1" s="1"/>
  <c r="AN9" i="1"/>
  <c r="AO52" i="1" s="1"/>
  <c r="AM9" i="1"/>
  <c r="AN52" i="1" s="1"/>
  <c r="AL9" i="1"/>
  <c r="AM52" i="1" s="1"/>
  <c r="AW8" i="1"/>
  <c r="AV8" i="1"/>
  <c r="AU8" i="1"/>
  <c r="AT8" i="1"/>
  <c r="AS8" i="1"/>
  <c r="AR8" i="1"/>
  <c r="AQ8" i="1"/>
  <c r="AP8" i="1"/>
  <c r="AO8" i="1"/>
  <c r="AN8" i="1"/>
  <c r="AX8" i="1" s="1"/>
  <c r="AY8" i="1" s="1"/>
  <c r="AM8" i="1"/>
  <c r="AM4" i="1" s="1"/>
  <c r="AM3" i="1" s="1"/>
  <c r="AX7" i="1"/>
  <c r="AY7" i="1" s="1"/>
  <c r="AK7" i="1"/>
  <c r="AW6" i="1"/>
  <c r="AW4" i="1" s="1"/>
  <c r="AW3" i="1" s="1"/>
  <c r="AV6" i="1"/>
  <c r="AU6" i="1"/>
  <c r="AT6" i="1"/>
  <c r="AT4" i="1" s="1"/>
  <c r="AS6" i="1"/>
  <c r="AS4" i="1" s="1"/>
  <c r="AS3" i="1" s="1"/>
  <c r="AR6" i="1"/>
  <c r="AQ6" i="1"/>
  <c r="AP6" i="1"/>
  <c r="AP4" i="1" s="1"/>
  <c r="AO6" i="1"/>
  <c r="AO4" i="1" s="1"/>
  <c r="AO3" i="1" s="1"/>
  <c r="AN6" i="1"/>
  <c r="AM6" i="1"/>
  <c r="AL6" i="1"/>
  <c r="AK6" i="1"/>
  <c r="AX5" i="1"/>
  <c r="AU4" i="1"/>
  <c r="AU51" i="1" s="1"/>
  <c r="AU50" i="1" s="1"/>
  <c r="AQ4" i="1"/>
  <c r="AQ51" i="1" s="1"/>
  <c r="AQ50" i="1" s="1"/>
  <c r="W53" i="1"/>
  <c r="X53" i="1"/>
  <c r="Y53" i="1"/>
  <c r="Z53" i="1"/>
  <c r="AA53" i="1"/>
  <c r="AB53" i="1"/>
  <c r="AC53" i="1"/>
  <c r="AD53" i="1"/>
  <c r="AE53" i="1"/>
  <c r="AF53" i="1"/>
  <c r="Y52" i="1"/>
  <c r="Z52" i="1"/>
  <c r="AD52" i="1"/>
  <c r="W28" i="1"/>
  <c r="X28" i="1"/>
  <c r="Y28" i="1"/>
  <c r="Z28" i="1"/>
  <c r="AA28" i="1"/>
  <c r="AB28" i="1"/>
  <c r="AC28" i="1"/>
  <c r="AD28" i="1"/>
  <c r="AE28" i="1"/>
  <c r="AF28" i="1"/>
  <c r="V28" i="1"/>
  <c r="W25" i="1"/>
  <c r="Y25" i="1" s="1"/>
  <c r="Y27" i="1"/>
  <c r="Z27" i="1" s="1"/>
  <c r="AA27" i="1" s="1"/>
  <c r="AB27" i="1" s="1"/>
  <c r="AC27" i="1" s="1"/>
  <c r="AD27" i="1" s="1"/>
  <c r="AE27" i="1" s="1"/>
  <c r="AF27" i="1" s="1"/>
  <c r="V25" i="1"/>
  <c r="V24" i="1"/>
  <c r="W24" i="1" s="1"/>
  <c r="X24" i="1" s="1"/>
  <c r="AG23" i="1"/>
  <c r="F6" i="17"/>
  <c r="F5" i="17"/>
  <c r="G9" i="17" s="1"/>
  <c r="V69" i="1" s="1"/>
  <c r="F4" i="17"/>
  <c r="T21" i="1"/>
  <c r="T22" i="1"/>
  <c r="T23" i="1"/>
  <c r="AK23" i="1" s="1"/>
  <c r="T24" i="1"/>
  <c r="T25" i="1"/>
  <c r="T26" i="1"/>
  <c r="AK26" i="1" s="1"/>
  <c r="T27" i="1"/>
  <c r="AK27" i="1" s="1"/>
  <c r="T28" i="1"/>
  <c r="AK28" i="1" s="1"/>
  <c r="T29" i="1"/>
  <c r="AG10" i="1"/>
  <c r="W20" i="1"/>
  <c r="X20" i="1"/>
  <c r="Y20" i="1"/>
  <c r="Z20" i="1"/>
  <c r="AA20" i="1"/>
  <c r="AB20" i="1"/>
  <c r="AC20" i="1"/>
  <c r="AD20" i="1"/>
  <c r="AE20" i="1"/>
  <c r="AF20" i="1"/>
  <c r="W9" i="1"/>
  <c r="X52" i="1" s="1"/>
  <c r="X9" i="1"/>
  <c r="Y9" i="1"/>
  <c r="AA9" i="1"/>
  <c r="AB52" i="1" s="1"/>
  <c r="AB9" i="1"/>
  <c r="AC52" i="1" s="1"/>
  <c r="AC9" i="1"/>
  <c r="AF9" i="1"/>
  <c r="AL52" i="1" s="1"/>
  <c r="U6" i="1"/>
  <c r="U4" i="1" s="1"/>
  <c r="W51" i="1" s="1"/>
  <c r="U70" i="1"/>
  <c r="AF62" i="1"/>
  <c r="AE62" i="1"/>
  <c r="AD62" i="1"/>
  <c r="AC62" i="1"/>
  <c r="AB62" i="1"/>
  <c r="AA62" i="1"/>
  <c r="Z62" i="1"/>
  <c r="Y62" i="1"/>
  <c r="X62" i="1"/>
  <c r="W62" i="1"/>
  <c r="V62" i="1"/>
  <c r="U62" i="1"/>
  <c r="AF60" i="1"/>
  <c r="AE60" i="1"/>
  <c r="AD60" i="1"/>
  <c r="AC60" i="1"/>
  <c r="AB60" i="1"/>
  <c r="AA60" i="1"/>
  <c r="Z60" i="1"/>
  <c r="Y60" i="1"/>
  <c r="X60" i="1"/>
  <c r="W60" i="1"/>
  <c r="V60" i="1"/>
  <c r="U60" i="1"/>
  <c r="AF58" i="1"/>
  <c r="AE58" i="1"/>
  <c r="AC58" i="1"/>
  <c r="AB58" i="1"/>
  <c r="Y58" i="1"/>
  <c r="X58" i="1"/>
  <c r="U56" i="1"/>
  <c r="U54" i="1"/>
  <c r="U53" i="1"/>
  <c r="V53" i="1"/>
  <c r="V54" i="1"/>
  <c r="W54" i="1"/>
  <c r="T73" i="1"/>
  <c r="AK73" i="1" s="1"/>
  <c r="T72" i="1"/>
  <c r="AK72" i="1" s="1"/>
  <c r="T71" i="1"/>
  <c r="AK71" i="1" s="1"/>
  <c r="T68" i="1"/>
  <c r="AK68" i="1" s="1"/>
  <c r="T67" i="1"/>
  <c r="T66" i="1"/>
  <c r="T65" i="1"/>
  <c r="T62" i="1"/>
  <c r="AK62" i="1" s="1"/>
  <c r="T61" i="1"/>
  <c r="T60" i="1"/>
  <c r="T59" i="1"/>
  <c r="AK59" i="1" s="1"/>
  <c r="T58" i="1"/>
  <c r="AK58" i="1" s="1"/>
  <c r="T57" i="1"/>
  <c r="T56" i="1"/>
  <c r="AK56" i="1" s="1"/>
  <c r="T54" i="1"/>
  <c r="T53" i="1"/>
  <c r="AK53" i="1" s="1"/>
  <c r="T52" i="1"/>
  <c r="T51" i="1"/>
  <c r="AK51" i="1" s="1"/>
  <c r="AE9" i="1"/>
  <c r="AF52" i="1" s="1"/>
  <c r="AD9" i="1"/>
  <c r="AE52" i="1" s="1"/>
  <c r="Z9" i="1"/>
  <c r="AA52" i="1" s="1"/>
  <c r="V9" i="1"/>
  <c r="U9" i="1"/>
  <c r="V52" i="1" s="1"/>
  <c r="D9" i="1"/>
  <c r="E9" i="1"/>
  <c r="F9" i="1"/>
  <c r="H9" i="1"/>
  <c r="I9" i="1"/>
  <c r="J52" i="1" s="1"/>
  <c r="J9" i="1"/>
  <c r="K9" i="1"/>
  <c r="L9" i="1"/>
  <c r="M9" i="1"/>
  <c r="N52" i="1" s="1"/>
  <c r="N9" i="1"/>
  <c r="O9" i="1"/>
  <c r="U52" i="1" s="1"/>
  <c r="G9" i="1"/>
  <c r="P10" i="1"/>
  <c r="AF42" i="1"/>
  <c r="AE42" i="1"/>
  <c r="AD42" i="1"/>
  <c r="AC42" i="1"/>
  <c r="AB42" i="1"/>
  <c r="AA42" i="1"/>
  <c r="Z42" i="1"/>
  <c r="Y42" i="1"/>
  <c r="X42" i="1"/>
  <c r="W42" i="1"/>
  <c r="V42" i="1"/>
  <c r="U42" i="1"/>
  <c r="AF31" i="1"/>
  <c r="AL58" i="1" s="1"/>
  <c r="AE31" i="1"/>
  <c r="AD31" i="1"/>
  <c r="AC31" i="1"/>
  <c r="AD58" i="1" s="1"/>
  <c r="AB31" i="1"/>
  <c r="AA31" i="1"/>
  <c r="Z31" i="1"/>
  <c r="AA58" i="1" s="1"/>
  <c r="Y31" i="1"/>
  <c r="Z58" i="1" s="1"/>
  <c r="X31" i="1"/>
  <c r="W31" i="1"/>
  <c r="V31" i="1"/>
  <c r="W58" i="1" s="1"/>
  <c r="U31" i="1"/>
  <c r="V58" i="1" s="1"/>
  <c r="AF8" i="1"/>
  <c r="AE8" i="1"/>
  <c r="AD8" i="1"/>
  <c r="AC8" i="1"/>
  <c r="AB8" i="1"/>
  <c r="AA8" i="1"/>
  <c r="Z8" i="1"/>
  <c r="Y8" i="1"/>
  <c r="X8" i="1"/>
  <c r="W8" i="1"/>
  <c r="W4" i="1" s="1"/>
  <c r="V8" i="1"/>
  <c r="AF6" i="1"/>
  <c r="AF4" i="1" s="1"/>
  <c r="AM51" i="1" s="1"/>
  <c r="AE6" i="1"/>
  <c r="AD6" i="1"/>
  <c r="AC6" i="1"/>
  <c r="AB6" i="1"/>
  <c r="AB4" i="1" s="1"/>
  <c r="AA6" i="1"/>
  <c r="Z6" i="1"/>
  <c r="Y6" i="1"/>
  <c r="X6" i="1"/>
  <c r="X4" i="1" s="1"/>
  <c r="W6" i="1"/>
  <c r="V6" i="1"/>
  <c r="AE4" i="1"/>
  <c r="E56" i="1"/>
  <c r="F56" i="1"/>
  <c r="G56" i="1"/>
  <c r="H56" i="1"/>
  <c r="I56" i="1"/>
  <c r="J56" i="1"/>
  <c r="K56" i="1"/>
  <c r="L56" i="1"/>
  <c r="M56" i="1"/>
  <c r="N56" i="1"/>
  <c r="O56" i="1"/>
  <c r="D56" i="1"/>
  <c r="F52" i="1"/>
  <c r="G52" i="1"/>
  <c r="I52" i="1"/>
  <c r="K52" i="1"/>
  <c r="L52" i="1"/>
  <c r="M52" i="1"/>
  <c r="O52" i="1"/>
  <c r="F53" i="1"/>
  <c r="G53" i="1"/>
  <c r="H53" i="1"/>
  <c r="I53" i="1"/>
  <c r="J53" i="1"/>
  <c r="K53" i="1"/>
  <c r="L53" i="1"/>
  <c r="M53" i="1"/>
  <c r="N53" i="1"/>
  <c r="O53" i="1"/>
  <c r="F54" i="1"/>
  <c r="G54" i="1"/>
  <c r="H54" i="1"/>
  <c r="I54" i="1"/>
  <c r="J54" i="1"/>
  <c r="K54" i="1"/>
  <c r="L54" i="1"/>
  <c r="M54" i="1"/>
  <c r="N54" i="1"/>
  <c r="O54" i="1"/>
  <c r="E54" i="1"/>
  <c r="E53" i="1"/>
  <c r="E52" i="1"/>
  <c r="G51" i="1"/>
  <c r="D18" i="1"/>
  <c r="E57" i="1" s="1"/>
  <c r="S30" i="1"/>
  <c r="AJ30" i="1" s="1"/>
  <c r="S18" i="1"/>
  <c r="S17" i="1"/>
  <c r="AJ17" i="1" s="1"/>
  <c r="S15" i="1"/>
  <c r="S9" i="1"/>
  <c r="AJ9" i="1" s="1"/>
  <c r="S4" i="1"/>
  <c r="AJ4" i="1" s="1"/>
  <c r="T39" i="1"/>
  <c r="AK39" i="1" s="1"/>
  <c r="T38" i="1"/>
  <c r="T37" i="1"/>
  <c r="AK37" i="1" s="1"/>
  <c r="T36" i="1"/>
  <c r="T35" i="1"/>
  <c r="AK35" i="1" s="1"/>
  <c r="T34" i="1"/>
  <c r="T33" i="1"/>
  <c r="AK33" i="1" s="1"/>
  <c r="T32" i="1"/>
  <c r="AK32" i="1" s="1"/>
  <c r="T20" i="1"/>
  <c r="AK20" i="1" s="1"/>
  <c r="T19" i="1"/>
  <c r="T12" i="1"/>
  <c r="T11" i="1"/>
  <c r="AK11" i="1" s="1"/>
  <c r="T10" i="1"/>
  <c r="AK10" i="1" s="1"/>
  <c r="T6" i="1"/>
  <c r="T7" i="1"/>
  <c r="T8" i="1"/>
  <c r="AK8" i="1" s="1"/>
  <c r="T5" i="1"/>
  <c r="AK5" i="1" s="1"/>
  <c r="O8" i="1"/>
  <c r="N8" i="1"/>
  <c r="M8" i="1"/>
  <c r="L8" i="1"/>
  <c r="K8" i="1"/>
  <c r="J8" i="1"/>
  <c r="I8" i="1"/>
  <c r="H8" i="1"/>
  <c r="G8" i="1"/>
  <c r="F8" i="1"/>
  <c r="E8" i="1"/>
  <c r="P7" i="1"/>
  <c r="Q7" i="1" s="1"/>
  <c r="G6" i="1"/>
  <c r="G4" i="1" s="1"/>
  <c r="I51" i="1" s="1"/>
  <c r="F6" i="1"/>
  <c r="F4" i="1" s="1"/>
  <c r="H51" i="1" s="1"/>
  <c r="E6" i="1"/>
  <c r="E4" i="1" s="1"/>
  <c r="AG5" i="1"/>
  <c r="H6" i="1"/>
  <c r="I6" i="1"/>
  <c r="J6" i="1"/>
  <c r="J4" i="1" s="1"/>
  <c r="L51" i="1" s="1"/>
  <c r="K6" i="1"/>
  <c r="K4" i="1" s="1"/>
  <c r="M51" i="1" s="1"/>
  <c r="L6" i="1"/>
  <c r="M6" i="1"/>
  <c r="N6" i="1"/>
  <c r="N4" i="1" s="1"/>
  <c r="U51" i="1" s="1"/>
  <c r="O6" i="1"/>
  <c r="O4" i="1" s="1"/>
  <c r="V51" i="1" s="1"/>
  <c r="AP51" i="1" l="1"/>
  <c r="AP50" i="1" s="1"/>
  <c r="AP3" i="1"/>
  <c r="AM22" i="1"/>
  <c r="AN22" i="1" s="1"/>
  <c r="AO22" i="1" s="1"/>
  <c r="AP22" i="1" s="1"/>
  <c r="AQ22" i="1" s="1"/>
  <c r="AR22" i="1" s="1"/>
  <c r="AS22" i="1" s="1"/>
  <c r="AT22" i="1" s="1"/>
  <c r="AU22" i="1" s="1"/>
  <c r="AV22" i="1" s="1"/>
  <c r="AW22" i="1" s="1"/>
  <c r="AN27" i="1"/>
  <c r="AX27" i="1" s="1"/>
  <c r="F9" i="17"/>
  <c r="F10" i="17" s="1"/>
  <c r="U22" i="1" s="1"/>
  <c r="V22" i="1" s="1"/>
  <c r="W22" i="1" s="1"/>
  <c r="Y22" i="1" s="1"/>
  <c r="Z22" i="1" s="1"/>
  <c r="AA22" i="1" s="1"/>
  <c r="AB22" i="1" s="1"/>
  <c r="AC22" i="1" s="1"/>
  <c r="AD22" i="1" s="1"/>
  <c r="AE22" i="1" s="1"/>
  <c r="AF22" i="1" s="1"/>
  <c r="AX6" i="1"/>
  <c r="AT51" i="1"/>
  <c r="AT50" i="1" s="1"/>
  <c r="AT3" i="1"/>
  <c r="AL18" i="1"/>
  <c r="AM57" i="1" s="1"/>
  <c r="AM55" i="1" s="1"/>
  <c r="AM63" i="1" s="1"/>
  <c r="AX20" i="1"/>
  <c r="Y4" i="1"/>
  <c r="AC4" i="1"/>
  <c r="AL4" i="1"/>
  <c r="AM50" i="1"/>
  <c r="M4" i="1"/>
  <c r="O51" i="1" s="1"/>
  <c r="I4" i="1"/>
  <c r="K51" i="1" s="1"/>
  <c r="V4" i="1"/>
  <c r="Z4" i="1"/>
  <c r="Z3" i="1" s="1"/>
  <c r="AD4" i="1"/>
  <c r="AD3" i="1" s="1"/>
  <c r="AM18" i="1"/>
  <c r="AN57" i="1" s="1"/>
  <c r="AX28" i="1"/>
  <c r="AA4" i="1"/>
  <c r="AN4" i="1"/>
  <c r="AN3" i="1" s="1"/>
  <c r="AR4" i="1"/>
  <c r="AR51" i="1" s="1"/>
  <c r="AR50" i="1" s="1"/>
  <c r="AV4" i="1"/>
  <c r="AV3" i="1" s="1"/>
  <c r="AX42" i="1"/>
  <c r="AY42" i="1" s="1"/>
  <c r="AO74" i="1"/>
  <c r="AS74" i="1"/>
  <c r="AW74" i="1"/>
  <c r="AR3" i="1"/>
  <c r="AV51" i="1"/>
  <c r="AV50" i="1" s="1"/>
  <c r="AO21" i="1"/>
  <c r="AQ3" i="1"/>
  <c r="AU3" i="1"/>
  <c r="AX9" i="1"/>
  <c r="AO51" i="1"/>
  <c r="AO50" i="1" s="1"/>
  <c r="AS51" i="1"/>
  <c r="AS50" i="1" s="1"/>
  <c r="AW51" i="1"/>
  <c r="AW50" i="1" s="1"/>
  <c r="AN81" i="1"/>
  <c r="AN86" i="1" s="1"/>
  <c r="AO24" i="1"/>
  <c r="AP24" i="1" s="1"/>
  <c r="AQ24" i="1" s="1"/>
  <c r="AR24" i="1" s="1"/>
  <c r="AS24" i="1" s="1"/>
  <c r="AT24" i="1" s="1"/>
  <c r="AU24" i="1" s="1"/>
  <c r="AV24" i="1" s="1"/>
  <c r="AW24" i="1" s="1"/>
  <c r="AN25" i="1"/>
  <c r="AX31" i="1"/>
  <c r="AY31" i="1" s="1"/>
  <c r="AB3" i="1"/>
  <c r="W3" i="1"/>
  <c r="V56" i="1"/>
  <c r="Z25" i="1"/>
  <c r="Y24" i="1"/>
  <c r="Z24" i="1" s="1"/>
  <c r="AA24" i="1" s="1"/>
  <c r="AB24" i="1" s="1"/>
  <c r="AC24" i="1" s="1"/>
  <c r="AD24" i="1" s="1"/>
  <c r="AE24" i="1" s="1"/>
  <c r="AF24" i="1" s="1"/>
  <c r="AG27" i="1"/>
  <c r="AF3" i="1"/>
  <c r="AE3" i="1"/>
  <c r="AC3" i="1"/>
  <c r="AA3" i="1"/>
  <c r="Y3" i="1"/>
  <c r="X3" i="1"/>
  <c r="V3" i="1"/>
  <c r="W52" i="1"/>
  <c r="U3" i="1"/>
  <c r="AG6" i="1"/>
  <c r="P8" i="1"/>
  <c r="Q8" i="1" s="1"/>
  <c r="H4" i="1"/>
  <c r="J51" i="1" s="1"/>
  <c r="BU4" i="1"/>
  <c r="BV4" i="1"/>
  <c r="BW4" i="1"/>
  <c r="BX4" i="1"/>
  <c r="BY4" i="1"/>
  <c r="BZ4" i="1"/>
  <c r="CA4" i="1"/>
  <c r="CB4" i="1"/>
  <c r="CC4" i="1"/>
  <c r="CD4" i="1"/>
  <c r="CE4" i="1"/>
  <c r="BT4" i="1"/>
  <c r="AX4" i="1" l="1"/>
  <c r="AL3" i="1"/>
  <c r="AL30" i="1" s="1"/>
  <c r="AL40" i="1" s="1"/>
  <c r="U21" i="1"/>
  <c r="V21" i="1" s="1"/>
  <c r="AN51" i="1"/>
  <c r="AN50" i="1" s="1"/>
  <c r="AX22" i="1"/>
  <c r="AM30" i="1"/>
  <c r="AM40" i="1" s="1"/>
  <c r="AM45" i="1" s="1"/>
  <c r="AX3" i="1"/>
  <c r="AY9" i="1" s="1"/>
  <c r="AX24" i="1"/>
  <c r="AN56" i="1"/>
  <c r="AN55" i="1" s="1"/>
  <c r="AO25" i="1"/>
  <c r="AO18" i="1" s="1"/>
  <c r="AN18" i="1"/>
  <c r="AP21" i="1"/>
  <c r="W56" i="1"/>
  <c r="AG22" i="1"/>
  <c r="AG26" i="1"/>
  <c r="AA25" i="1"/>
  <c r="AG24" i="1"/>
  <c r="C6" i="2"/>
  <c r="C7" i="2"/>
  <c r="C8" i="2"/>
  <c r="C9" i="2"/>
  <c r="C10" i="2"/>
  <c r="C11" i="2"/>
  <c r="C5" i="2"/>
  <c r="D9" i="2"/>
  <c r="E9" i="2"/>
  <c r="F9" i="2"/>
  <c r="I9" i="2"/>
  <c r="J9" i="2"/>
  <c r="K9" i="2"/>
  <c r="L9" i="2"/>
  <c r="M9" i="2"/>
  <c r="D10" i="2"/>
  <c r="E10" i="2"/>
  <c r="F10" i="2"/>
  <c r="I10" i="2"/>
  <c r="J10" i="2"/>
  <c r="K10" i="2"/>
  <c r="L10" i="2"/>
  <c r="M10" i="2"/>
  <c r="D11" i="2"/>
  <c r="E11" i="2"/>
  <c r="F11" i="2"/>
  <c r="I11" i="2"/>
  <c r="J11" i="2"/>
  <c r="K11" i="2"/>
  <c r="L11" i="2"/>
  <c r="M11" i="2"/>
  <c r="I12" i="2"/>
  <c r="J12" i="2"/>
  <c r="K12" i="2"/>
  <c r="L12" i="2"/>
  <c r="BU34" i="1"/>
  <c r="BV34" i="1"/>
  <c r="BW34" i="1"/>
  <c r="BX34" i="1"/>
  <c r="BY34" i="1"/>
  <c r="BZ34" i="1"/>
  <c r="CA34" i="1"/>
  <c r="CB34" i="1"/>
  <c r="CC34" i="1"/>
  <c r="CD34" i="1"/>
  <c r="CE34" i="1"/>
  <c r="BT34" i="1"/>
  <c r="CF15" i="1"/>
  <c r="CF14" i="1"/>
  <c r="CE9" i="1"/>
  <c r="CD9" i="1"/>
  <c r="CC9" i="1"/>
  <c r="CB9" i="1"/>
  <c r="CA9" i="1"/>
  <c r="BZ9" i="1"/>
  <c r="BY9" i="1"/>
  <c r="BX9" i="1"/>
  <c r="BW9" i="1"/>
  <c r="BV9" i="1"/>
  <c r="BU9" i="1"/>
  <c r="BT9" i="1"/>
  <c r="CF8" i="1"/>
  <c r="H8" i="2" s="1"/>
  <c r="CF7" i="1"/>
  <c r="CF6" i="1"/>
  <c r="CF5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AK82" i="1"/>
  <c r="AK86" i="1" s="1"/>
  <c r="AK87" i="1" s="1"/>
  <c r="AN63" i="1" l="1"/>
  <c r="U18" i="1"/>
  <c r="V57" i="1" s="1"/>
  <c r="AO57" i="1"/>
  <c r="AN30" i="1"/>
  <c r="AY4" i="1"/>
  <c r="AY10" i="1"/>
  <c r="AP57" i="1"/>
  <c r="AO30" i="1"/>
  <c r="AO40" i="1" s="1"/>
  <c r="AO45" i="1" s="1"/>
  <c r="AQ21" i="1"/>
  <c r="AP18" i="1"/>
  <c r="AO56" i="1"/>
  <c r="AO55" i="1" s="1"/>
  <c r="AO63" i="1" s="1"/>
  <c r="AP25" i="1"/>
  <c r="AL45" i="1"/>
  <c r="X56" i="1"/>
  <c r="V18" i="1"/>
  <c r="W21" i="1"/>
  <c r="AB25" i="1"/>
  <c r="CF9" i="1"/>
  <c r="CF28" i="1"/>
  <c r="H26" i="2" s="1"/>
  <c r="H11" i="2"/>
  <c r="H10" i="2"/>
  <c r="H9" i="2"/>
  <c r="CF4" i="1"/>
  <c r="M12" i="2"/>
  <c r="BO5" i="1"/>
  <c r="G5" i="2" s="1"/>
  <c r="BO6" i="1"/>
  <c r="BO7" i="1"/>
  <c r="G7" i="2" s="1"/>
  <c r="BO8" i="1"/>
  <c r="G8" i="2" s="1"/>
  <c r="G9" i="2"/>
  <c r="G10" i="2"/>
  <c r="G11" i="2"/>
  <c r="F30" i="2"/>
  <c r="F31" i="2"/>
  <c r="F34" i="2"/>
  <c r="F27" i="2"/>
  <c r="BB6" i="1"/>
  <c r="BS6" i="1" s="1"/>
  <c r="CJ6" i="1" s="1"/>
  <c r="DA6" i="1" s="1"/>
  <c r="DR6" i="1" s="1"/>
  <c r="EI6" i="1" s="1"/>
  <c r="EZ6" i="1" s="1"/>
  <c r="BB5" i="1"/>
  <c r="BS5" i="1" s="1"/>
  <c r="F8" i="2"/>
  <c r="F6" i="2"/>
  <c r="F5" i="2"/>
  <c r="AG38" i="1"/>
  <c r="E36" i="2" s="1"/>
  <c r="AE64" i="1"/>
  <c r="AG7" i="1"/>
  <c r="E7" i="2" s="1"/>
  <c r="AG8" i="1"/>
  <c r="E8" i="2" s="1"/>
  <c r="AG29" i="1"/>
  <c r="E27" i="2" s="1"/>
  <c r="C9" i="10"/>
  <c r="G9" i="10" s="1"/>
  <c r="K9" i="10" s="1"/>
  <c r="O9" i="10" s="1"/>
  <c r="S9" i="10" s="1"/>
  <c r="C7" i="10"/>
  <c r="G7" i="10" s="1"/>
  <c r="K7" i="10" s="1"/>
  <c r="O7" i="10" s="1"/>
  <c r="E8" i="10"/>
  <c r="I8" i="10" s="1"/>
  <c r="M8" i="10" s="1"/>
  <c r="Q8" i="10" s="1"/>
  <c r="U8" i="10" s="1"/>
  <c r="E26" i="10" s="1"/>
  <c r="I26" i="10" s="1"/>
  <c r="M26" i="10" s="1"/>
  <c r="Q26" i="10" s="1"/>
  <c r="U26" i="10" s="1"/>
  <c r="C11" i="10"/>
  <c r="G11" i="10" s="1"/>
  <c r="K11" i="10" s="1"/>
  <c r="O11" i="10" s="1"/>
  <c r="S11" i="10" s="1"/>
  <c r="C29" i="10" s="1"/>
  <c r="G29" i="10" s="1"/>
  <c r="K29" i="10" s="1"/>
  <c r="O29" i="10" s="1"/>
  <c r="S29" i="10" s="1"/>
  <c r="F82" i="1"/>
  <c r="F83" i="1"/>
  <c r="F84" i="1"/>
  <c r="F85" i="1"/>
  <c r="P32" i="1"/>
  <c r="D30" i="2" s="1"/>
  <c r="P33" i="1"/>
  <c r="D31" i="2" s="1"/>
  <c r="P34" i="1"/>
  <c r="D32" i="2" s="1"/>
  <c r="P35" i="1"/>
  <c r="P36" i="1"/>
  <c r="Q36" i="1" s="1"/>
  <c r="P37" i="1"/>
  <c r="D35" i="2" s="1"/>
  <c r="L4" i="1"/>
  <c r="N51" i="1" s="1"/>
  <c r="Q86" i="1"/>
  <c r="T86" i="1"/>
  <c r="T87" i="1" s="1"/>
  <c r="P85" i="1"/>
  <c r="U83" i="1"/>
  <c r="W83" i="1" s="1"/>
  <c r="U84" i="1"/>
  <c r="W84" i="1" s="1"/>
  <c r="U85" i="1"/>
  <c r="W85" i="1" s="1"/>
  <c r="P81" i="1"/>
  <c r="P86" i="1" s="1"/>
  <c r="P29" i="1"/>
  <c r="D27" i="2" s="1"/>
  <c r="P6" i="1"/>
  <c r="D6" i="2" s="1"/>
  <c r="D8" i="2"/>
  <c r="P5" i="1"/>
  <c r="D4" i="1"/>
  <c r="F51" i="1" s="1"/>
  <c r="H3" i="1"/>
  <c r="H31" i="1"/>
  <c r="I58" i="1" s="1"/>
  <c r="H42" i="1"/>
  <c r="I3" i="1"/>
  <c r="I18" i="1"/>
  <c r="J57" i="1" s="1"/>
  <c r="I31" i="1"/>
  <c r="J58" i="1" s="1"/>
  <c r="J3" i="1"/>
  <c r="J31" i="1"/>
  <c r="K58" i="1" s="1"/>
  <c r="J42" i="1"/>
  <c r="K31" i="1"/>
  <c r="L58" i="1" s="1"/>
  <c r="K3" i="1"/>
  <c r="K42" i="1"/>
  <c r="L31" i="1"/>
  <c r="M58" i="1" s="1"/>
  <c r="M31" i="1"/>
  <c r="N58" i="1" s="1"/>
  <c r="M42" i="1"/>
  <c r="N31" i="1"/>
  <c r="O58" i="1" s="1"/>
  <c r="N42" i="1"/>
  <c r="O31" i="1"/>
  <c r="U58" i="1" s="1"/>
  <c r="O3" i="1"/>
  <c r="O42" i="1"/>
  <c r="F3" i="1"/>
  <c r="I70" i="1"/>
  <c r="J70" i="1"/>
  <c r="K70" i="1"/>
  <c r="L70" i="1"/>
  <c r="C8" i="10"/>
  <c r="G8" i="10" s="1"/>
  <c r="K8" i="10" s="1"/>
  <c r="O8" i="10" s="1"/>
  <c r="S8" i="10" s="1"/>
  <c r="C26" i="10" s="1"/>
  <c r="G26" i="10" s="1"/>
  <c r="K26" i="10" s="1"/>
  <c r="O26" i="10" s="1"/>
  <c r="S26" i="10" s="1"/>
  <c r="E64" i="1"/>
  <c r="E70" i="1"/>
  <c r="D70" i="1"/>
  <c r="F64" i="1"/>
  <c r="F70" i="1"/>
  <c r="G64" i="1"/>
  <c r="G70" i="1"/>
  <c r="H64" i="1"/>
  <c r="H70" i="1"/>
  <c r="H62" i="1"/>
  <c r="I64" i="1"/>
  <c r="I62" i="1"/>
  <c r="J64" i="1"/>
  <c r="J62" i="1"/>
  <c r="K64" i="1"/>
  <c r="K62" i="1"/>
  <c r="K60" i="1"/>
  <c r="L64" i="1"/>
  <c r="L62" i="1"/>
  <c r="M64" i="1"/>
  <c r="M62" i="1"/>
  <c r="N64" i="1"/>
  <c r="N62" i="1"/>
  <c r="O62" i="1"/>
  <c r="C6" i="10"/>
  <c r="E9" i="10"/>
  <c r="I9" i="10" s="1"/>
  <c r="M9" i="10" s="1"/>
  <c r="E14" i="10"/>
  <c r="I14" i="10" s="1"/>
  <c r="M14" i="10" s="1"/>
  <c r="Q14" i="10" s="1"/>
  <c r="U14" i="10" s="1"/>
  <c r="E32" i="10" s="1"/>
  <c r="I32" i="10" s="1"/>
  <c r="M32" i="10" s="1"/>
  <c r="Q32" i="10" s="1"/>
  <c r="U32" i="10" s="1"/>
  <c r="E15" i="10"/>
  <c r="I15" i="10" s="1"/>
  <c r="M15" i="10" s="1"/>
  <c r="Q15" i="10" s="1"/>
  <c r="U15" i="10" s="1"/>
  <c r="E33" i="10" s="1"/>
  <c r="I33" i="10" s="1"/>
  <c r="M33" i="10" s="1"/>
  <c r="Q33" i="10" s="1"/>
  <c r="U33" i="10" s="1"/>
  <c r="AE70" i="1"/>
  <c r="AF70" i="1"/>
  <c r="BC72" i="1"/>
  <c r="BD72" i="1"/>
  <c r="BD70" i="1" s="1"/>
  <c r="BE72" i="1"/>
  <c r="BE70" i="1" s="1"/>
  <c r="BF72" i="1"/>
  <c r="BF70" i="1" s="1"/>
  <c r="BG72" i="1"/>
  <c r="BH72" i="1"/>
  <c r="BH70" i="1" s="1"/>
  <c r="BI72" i="1"/>
  <c r="BJ72" i="1"/>
  <c r="BJ70" i="1" s="1"/>
  <c r="BK72" i="1"/>
  <c r="BL72" i="1"/>
  <c r="BL70" i="1" s="1"/>
  <c r="BM72" i="1"/>
  <c r="BM70" i="1" s="1"/>
  <c r="BN72" i="1"/>
  <c r="BN70" i="1" s="1"/>
  <c r="BT72" i="1"/>
  <c r="BU72" i="1"/>
  <c r="BV72" i="1"/>
  <c r="BV70" i="1" s="1"/>
  <c r="BW72" i="1"/>
  <c r="BW70" i="1" s="1"/>
  <c r="BX72" i="1"/>
  <c r="BY72" i="1"/>
  <c r="BY70" i="1" s="1"/>
  <c r="BZ72" i="1"/>
  <c r="BZ70" i="1" s="1"/>
  <c r="CA72" i="1"/>
  <c r="CA70" i="1" s="1"/>
  <c r="CB72" i="1"/>
  <c r="CD72" i="1"/>
  <c r="CD70" i="1" s="1"/>
  <c r="CE72" i="1"/>
  <c r="CE70" i="1" s="1"/>
  <c r="CK72" i="1"/>
  <c r="CL72" i="1"/>
  <c r="CN72" i="1"/>
  <c r="CO72" i="1"/>
  <c r="CP72" i="1"/>
  <c r="CQ72" i="1"/>
  <c r="CR72" i="1"/>
  <c r="CS72" i="1"/>
  <c r="CT72" i="1"/>
  <c r="CU72" i="1"/>
  <c r="CV72" i="1"/>
  <c r="DB72" i="1"/>
  <c r="DC72" i="1"/>
  <c r="DD72" i="1"/>
  <c r="DE72" i="1"/>
  <c r="DF72" i="1"/>
  <c r="DG72" i="1"/>
  <c r="DH72" i="1"/>
  <c r="DI72" i="1"/>
  <c r="DJ72" i="1"/>
  <c r="DK72" i="1"/>
  <c r="DL72" i="1"/>
  <c r="DM72" i="1"/>
  <c r="DS72" i="1"/>
  <c r="DT72" i="1"/>
  <c r="DU72" i="1"/>
  <c r="DV72" i="1"/>
  <c r="DW72" i="1"/>
  <c r="DX72" i="1"/>
  <c r="DY72" i="1"/>
  <c r="DZ72" i="1"/>
  <c r="EA72" i="1"/>
  <c r="EB72" i="1"/>
  <c r="EC72" i="1"/>
  <c r="ED72" i="1"/>
  <c r="EJ72" i="1"/>
  <c r="EK72" i="1"/>
  <c r="EL72" i="1"/>
  <c r="EM72" i="1"/>
  <c r="EN72" i="1"/>
  <c r="EO72" i="1"/>
  <c r="EP72" i="1"/>
  <c r="EQ72" i="1"/>
  <c r="ER72" i="1"/>
  <c r="ES72" i="1"/>
  <c r="ET72" i="1"/>
  <c r="EU72" i="1"/>
  <c r="FA72" i="1"/>
  <c r="FB72" i="1"/>
  <c r="FC72" i="1"/>
  <c r="FD72" i="1"/>
  <c r="FE72" i="1"/>
  <c r="FF72" i="1"/>
  <c r="FG72" i="1"/>
  <c r="FH72" i="1"/>
  <c r="FI72" i="1"/>
  <c r="FJ72" i="1"/>
  <c r="FK72" i="1"/>
  <c r="FL72" i="1"/>
  <c r="BC69" i="1"/>
  <c r="BC64" i="1" s="1"/>
  <c r="BD69" i="1"/>
  <c r="BE69" i="1"/>
  <c r="BF69" i="1"/>
  <c r="BF64" i="1" s="1"/>
  <c r="BG69" i="1"/>
  <c r="BG64" i="1" s="1"/>
  <c r="BH69" i="1"/>
  <c r="BI69" i="1"/>
  <c r="BJ69" i="1"/>
  <c r="BJ64" i="1" s="1"/>
  <c r="BK69" i="1"/>
  <c r="BK64" i="1" s="1"/>
  <c r="BL69" i="1"/>
  <c r="BM69" i="1"/>
  <c r="BN69" i="1"/>
  <c r="BT69" i="1"/>
  <c r="BU69" i="1"/>
  <c r="BV69" i="1"/>
  <c r="BW69" i="1"/>
  <c r="BW64" i="1" s="1"/>
  <c r="BX69" i="1"/>
  <c r="BY69" i="1"/>
  <c r="BZ69" i="1"/>
  <c r="CA69" i="1"/>
  <c r="CB69" i="1"/>
  <c r="CC69" i="1"/>
  <c r="CC64" i="1" s="1"/>
  <c r="CD69" i="1"/>
  <c r="CE69" i="1"/>
  <c r="CK69" i="1"/>
  <c r="CK64" i="1" s="1"/>
  <c r="CL69" i="1"/>
  <c r="CL64" i="1" s="1"/>
  <c r="CM69" i="1"/>
  <c r="CN69" i="1"/>
  <c r="CN64" i="1" s="1"/>
  <c r="CO69" i="1"/>
  <c r="CP69" i="1"/>
  <c r="CP64" i="1" s="1"/>
  <c r="CQ69" i="1"/>
  <c r="CR69" i="1"/>
  <c r="CR64" i="1" s="1"/>
  <c r="CS69" i="1"/>
  <c r="CT69" i="1"/>
  <c r="CT64" i="1" s="1"/>
  <c r="CU69" i="1"/>
  <c r="CV69" i="1"/>
  <c r="DB69" i="1"/>
  <c r="DB64" i="1" s="1"/>
  <c r="DC69" i="1"/>
  <c r="DD69" i="1"/>
  <c r="DE69" i="1"/>
  <c r="DF69" i="1"/>
  <c r="DF64" i="1" s="1"/>
  <c r="DG69" i="1"/>
  <c r="DG64" i="1" s="1"/>
  <c r="DH69" i="1"/>
  <c r="DI69" i="1"/>
  <c r="DI64" i="1" s="1"/>
  <c r="DJ69" i="1"/>
  <c r="DJ64" i="1" s="1"/>
  <c r="DK69" i="1"/>
  <c r="DK64" i="1" s="1"/>
  <c r="DL69" i="1"/>
  <c r="DM69" i="1"/>
  <c r="DS69" i="1"/>
  <c r="DT69" i="1"/>
  <c r="DU69" i="1"/>
  <c r="DV69" i="1"/>
  <c r="DV64" i="1" s="1"/>
  <c r="DW69" i="1"/>
  <c r="DW64" i="1" s="1"/>
  <c r="DX69" i="1"/>
  <c r="DX64" i="1" s="1"/>
  <c r="DY69" i="1"/>
  <c r="DZ69" i="1"/>
  <c r="DZ64" i="1" s="1"/>
  <c r="EA69" i="1"/>
  <c r="EB69" i="1"/>
  <c r="EB64" i="1" s="1"/>
  <c r="EC69" i="1"/>
  <c r="ED69" i="1"/>
  <c r="EJ13" i="1"/>
  <c r="EK13" i="1" s="1"/>
  <c r="G12" i="10"/>
  <c r="K12" i="10"/>
  <c r="AG39" i="1"/>
  <c r="AH39" i="1" s="1"/>
  <c r="AG33" i="1"/>
  <c r="E31" i="2" s="1"/>
  <c r="AG34" i="1"/>
  <c r="AG35" i="1"/>
  <c r="AG36" i="1"/>
  <c r="E34" i="2" s="1"/>
  <c r="AG32" i="1"/>
  <c r="AG37" i="1"/>
  <c r="AH37" i="1" s="1"/>
  <c r="O12" i="10"/>
  <c r="BO39" i="1"/>
  <c r="BP39" i="1" s="1"/>
  <c r="BO38" i="1"/>
  <c r="BO33" i="1"/>
  <c r="G31" i="2" s="1"/>
  <c r="BC34" i="1"/>
  <c r="BC31" i="1" s="1"/>
  <c r="BD34" i="1"/>
  <c r="BE34" i="1"/>
  <c r="BF34" i="1"/>
  <c r="BF31" i="1" s="1"/>
  <c r="BG34" i="1"/>
  <c r="BG31" i="1" s="1"/>
  <c r="BH34" i="1"/>
  <c r="BH31" i="1" s="1"/>
  <c r="BI34" i="1"/>
  <c r="BJ34" i="1"/>
  <c r="BJ31" i="1" s="1"/>
  <c r="BK34" i="1"/>
  <c r="BK31" i="1" s="1"/>
  <c r="BL34" i="1"/>
  <c r="BL31" i="1" s="1"/>
  <c r="BM34" i="1"/>
  <c r="BN34" i="1"/>
  <c r="BN31" i="1" s="1"/>
  <c r="BO36" i="1"/>
  <c r="BO35" i="1"/>
  <c r="G33" i="2" s="1"/>
  <c r="BE31" i="1"/>
  <c r="BI31" i="1"/>
  <c r="BM31" i="1"/>
  <c r="S12" i="10"/>
  <c r="C30" i="10" s="1"/>
  <c r="CF38" i="1"/>
  <c r="H36" i="2" s="1"/>
  <c r="BT20" i="1"/>
  <c r="BU57" i="1" s="1"/>
  <c r="BU20" i="1"/>
  <c r="BV20" i="1"/>
  <c r="BW57" i="1" s="1"/>
  <c r="BW20" i="1"/>
  <c r="BX57" i="1" s="1"/>
  <c r="BX20" i="1"/>
  <c r="BY57" i="1" s="1"/>
  <c r="BY20" i="1"/>
  <c r="BZ57" i="1" s="1"/>
  <c r="BZ20" i="1"/>
  <c r="CA57" i="1" s="1"/>
  <c r="CA20" i="1"/>
  <c r="CB57" i="1" s="1"/>
  <c r="CB20" i="1"/>
  <c r="CC57" i="1" s="1"/>
  <c r="CC20" i="1"/>
  <c r="CD57" i="1" s="1"/>
  <c r="CD20" i="1"/>
  <c r="CE20" i="1"/>
  <c r="CK57" i="1" s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E57" i="1"/>
  <c r="CK33" i="1"/>
  <c r="CL33" i="1"/>
  <c r="CM33" i="1"/>
  <c r="CM34" i="1" s="1"/>
  <c r="CN33" i="1"/>
  <c r="CN34" i="1" s="1"/>
  <c r="CO33" i="1"/>
  <c r="CO34" i="1" s="1"/>
  <c r="CP33" i="1"/>
  <c r="CQ33" i="1"/>
  <c r="CQ34" i="1" s="1"/>
  <c r="CR33" i="1"/>
  <c r="CR34" i="1" s="1"/>
  <c r="CS33" i="1"/>
  <c r="CT33" i="1"/>
  <c r="CU33" i="1"/>
  <c r="CU34" i="1" s="1"/>
  <c r="CV33" i="1"/>
  <c r="CV34" i="1" s="1"/>
  <c r="CK34" i="1"/>
  <c r="CS34" i="1"/>
  <c r="CK36" i="1"/>
  <c r="CL36" i="1"/>
  <c r="CM36" i="1"/>
  <c r="CN36" i="1"/>
  <c r="CO36" i="1"/>
  <c r="CP36" i="1"/>
  <c r="CQ36" i="1"/>
  <c r="CR36" i="1"/>
  <c r="CS36" i="1"/>
  <c r="CT36" i="1"/>
  <c r="CU36" i="1"/>
  <c r="CV36" i="1"/>
  <c r="CK4" i="1"/>
  <c r="CK28" i="1" s="1"/>
  <c r="CL4" i="1"/>
  <c r="CL51" i="1" s="1"/>
  <c r="CM4" i="1"/>
  <c r="CM28" i="1" s="1"/>
  <c r="CN4" i="1"/>
  <c r="CO52" i="1" s="1"/>
  <c r="CO4" i="1"/>
  <c r="CO28" i="1" s="1"/>
  <c r="CP4" i="1"/>
  <c r="CP25" i="1" s="1"/>
  <c r="CQ4" i="1"/>
  <c r="CQ28" i="1" s="1"/>
  <c r="CR4" i="1"/>
  <c r="CS4" i="1"/>
  <c r="CS28" i="1" s="1"/>
  <c r="CT4" i="1"/>
  <c r="CT19" i="1" s="1"/>
  <c r="CU56" i="1" s="1"/>
  <c r="CU4" i="1"/>
  <c r="CU28" i="1" s="1"/>
  <c r="CV4" i="1"/>
  <c r="CK25" i="1"/>
  <c r="CL25" i="1"/>
  <c r="DB33" i="1"/>
  <c r="DC33" i="1"/>
  <c r="DD33" i="1"/>
  <c r="DD34" i="1" s="1"/>
  <c r="DE33" i="1"/>
  <c r="DE34" i="1" s="1"/>
  <c r="DF33" i="1"/>
  <c r="DF34" i="1" s="1"/>
  <c r="DG33" i="1"/>
  <c r="DH33" i="1"/>
  <c r="DH34" i="1" s="1"/>
  <c r="DI33" i="1"/>
  <c r="DI34" i="1" s="1"/>
  <c r="DJ33" i="1"/>
  <c r="DK33" i="1"/>
  <c r="DL33" i="1"/>
  <c r="DL34" i="1" s="1"/>
  <c r="DM33" i="1"/>
  <c r="DM34" i="1" s="1"/>
  <c r="DB34" i="1"/>
  <c r="DJ34" i="1"/>
  <c r="DB36" i="1"/>
  <c r="DC36" i="1"/>
  <c r="DD36" i="1"/>
  <c r="DE36" i="1"/>
  <c r="DF36" i="1"/>
  <c r="DG36" i="1"/>
  <c r="DH36" i="1"/>
  <c r="DI36" i="1"/>
  <c r="DJ36" i="1"/>
  <c r="DK36" i="1"/>
  <c r="DL36" i="1"/>
  <c r="DM36" i="1"/>
  <c r="DB4" i="1"/>
  <c r="DB20" i="1" s="1"/>
  <c r="DC4" i="1"/>
  <c r="DC20" i="1" s="1"/>
  <c r="DD57" i="1" s="1"/>
  <c r="DD4" i="1"/>
  <c r="DE4" i="1"/>
  <c r="DE51" i="1" s="1"/>
  <c r="DF4" i="1"/>
  <c r="DF20" i="1" s="1"/>
  <c r="DG57" i="1" s="1"/>
  <c r="DG4" i="1"/>
  <c r="DG20" i="1" s="1"/>
  <c r="DH57" i="1" s="1"/>
  <c r="DH4" i="1"/>
  <c r="DI4" i="1"/>
  <c r="DI19" i="1" s="1"/>
  <c r="DJ56" i="1" s="1"/>
  <c r="DJ4" i="1"/>
  <c r="DJ20" i="1" s="1"/>
  <c r="DK57" i="1" s="1"/>
  <c r="DK4" i="1"/>
  <c r="DK20" i="1" s="1"/>
  <c r="DL57" i="1" s="1"/>
  <c r="DL4" i="1"/>
  <c r="DL19" i="1" s="1"/>
  <c r="DM56" i="1" s="1"/>
  <c r="DM4" i="1"/>
  <c r="DS33" i="1"/>
  <c r="DT33" i="1"/>
  <c r="DU33" i="1"/>
  <c r="DV33" i="1"/>
  <c r="DV34" i="1" s="1"/>
  <c r="DW33" i="1"/>
  <c r="DX33" i="1"/>
  <c r="DX34" i="1" s="1"/>
  <c r="DY33" i="1"/>
  <c r="DZ33" i="1"/>
  <c r="EA33" i="1"/>
  <c r="EB33" i="1"/>
  <c r="EB34" i="1" s="1"/>
  <c r="EC33" i="1"/>
  <c r="ED33" i="1"/>
  <c r="ED34" i="1" s="1"/>
  <c r="DZ34" i="1"/>
  <c r="DS36" i="1"/>
  <c r="DT36" i="1"/>
  <c r="DU36" i="1"/>
  <c r="DV36" i="1"/>
  <c r="DW36" i="1"/>
  <c r="DX36" i="1"/>
  <c r="DY36" i="1"/>
  <c r="DZ36" i="1"/>
  <c r="EA36" i="1"/>
  <c r="EB36" i="1"/>
  <c r="EC36" i="1"/>
  <c r="ED36" i="1"/>
  <c r="DS4" i="1"/>
  <c r="DS51" i="1" s="1"/>
  <c r="DT4" i="1"/>
  <c r="DT20" i="1" s="1"/>
  <c r="DU4" i="1"/>
  <c r="DU25" i="1" s="1"/>
  <c r="DV4" i="1"/>
  <c r="DW4" i="1"/>
  <c r="DW51" i="1" s="1"/>
  <c r="DX4" i="1"/>
  <c r="DX20" i="1" s="1"/>
  <c r="DY4" i="1"/>
  <c r="DY25" i="1" s="1"/>
  <c r="DZ4" i="1"/>
  <c r="EA4" i="1"/>
  <c r="EB52" i="1" s="1"/>
  <c r="EB4" i="1"/>
  <c r="EB20" i="1" s="1"/>
  <c r="EC4" i="1"/>
  <c r="EC25" i="1" s="1"/>
  <c r="ED4" i="1"/>
  <c r="EJ52" i="1" s="1"/>
  <c r="DS25" i="1"/>
  <c r="DT25" i="1"/>
  <c r="EJ6" i="1"/>
  <c r="EK6" i="1" s="1"/>
  <c r="EL6" i="1" s="1"/>
  <c r="EM6" i="1" s="1"/>
  <c r="EN6" i="1" s="1"/>
  <c r="EJ7" i="1"/>
  <c r="EK7" i="1" s="1"/>
  <c r="EL7" i="1" s="1"/>
  <c r="EM7" i="1" s="1"/>
  <c r="EN7" i="1" s="1"/>
  <c r="EO7" i="1" s="1"/>
  <c r="EJ8" i="1"/>
  <c r="EK8" i="1" s="1"/>
  <c r="EP6" i="1"/>
  <c r="EQ6" i="1" s="1"/>
  <c r="ER6" i="1" s="1"/>
  <c r="ES6" i="1" s="1"/>
  <c r="ET6" i="1" s="1"/>
  <c r="EU6" i="1" s="1"/>
  <c r="BT19" i="1"/>
  <c r="BU56" i="1" s="1"/>
  <c r="BU19" i="1"/>
  <c r="BV56" i="1" s="1"/>
  <c r="BV19" i="1"/>
  <c r="BW19" i="1"/>
  <c r="BX56" i="1" s="1"/>
  <c r="BX19" i="1"/>
  <c r="BY56" i="1" s="1"/>
  <c r="BY19" i="1"/>
  <c r="BZ56" i="1" s="1"/>
  <c r="BZ19" i="1"/>
  <c r="CA56" i="1" s="1"/>
  <c r="CA19" i="1"/>
  <c r="CB56" i="1" s="1"/>
  <c r="CB19" i="1"/>
  <c r="CC56" i="1" s="1"/>
  <c r="CC19" i="1"/>
  <c r="CD56" i="1" s="1"/>
  <c r="CD19" i="1"/>
  <c r="CE19" i="1"/>
  <c r="CK56" i="1" s="1"/>
  <c r="BN9" i="1"/>
  <c r="BN4" i="1" s="1"/>
  <c r="BN19" i="1" s="1"/>
  <c r="BN43" i="1"/>
  <c r="BC43" i="1"/>
  <c r="BC9" i="1"/>
  <c r="BC4" i="1" s="1"/>
  <c r="BC19" i="1" s="1"/>
  <c r="BD43" i="1"/>
  <c r="BD42" i="1" s="1"/>
  <c r="BD9" i="1"/>
  <c r="BD4" i="1" s="1"/>
  <c r="BE43" i="1"/>
  <c r="BE42" i="1" s="1"/>
  <c r="BE9" i="1"/>
  <c r="BE4" i="1" s="1"/>
  <c r="BE3" i="1" s="1"/>
  <c r="BF43" i="1"/>
  <c r="BF9" i="1"/>
  <c r="BG43" i="1"/>
  <c r="BG42" i="1" s="1"/>
  <c r="BG9" i="1"/>
  <c r="BG4" i="1" s="1"/>
  <c r="BH52" i="1" s="1"/>
  <c r="BH43" i="1"/>
  <c r="BH42" i="1" s="1"/>
  <c r="BH9" i="1"/>
  <c r="BH4" i="1" s="1"/>
  <c r="BH51" i="1" s="1"/>
  <c r="BI43" i="1"/>
  <c r="BI42" i="1" s="1"/>
  <c r="BI9" i="1"/>
  <c r="BI4" i="1" s="1"/>
  <c r="BI51" i="1" s="1"/>
  <c r="BJ43" i="1"/>
  <c r="BJ9" i="1"/>
  <c r="BK43" i="1"/>
  <c r="BK42" i="1" s="1"/>
  <c r="BK9" i="1"/>
  <c r="BK4" i="1" s="1"/>
  <c r="BL52" i="1" s="1"/>
  <c r="BL43" i="1"/>
  <c r="BL42" i="1" s="1"/>
  <c r="BL9" i="1"/>
  <c r="BL4" i="1" s="1"/>
  <c r="BL51" i="1" s="1"/>
  <c r="BM43" i="1"/>
  <c r="BM9" i="1"/>
  <c r="CE3" i="1"/>
  <c r="CE43" i="1"/>
  <c r="CE42" i="1" s="1"/>
  <c r="BT43" i="1"/>
  <c r="BT60" i="1" s="1"/>
  <c r="BT3" i="1"/>
  <c r="BU43" i="1"/>
  <c r="BU42" i="1" s="1"/>
  <c r="BU3" i="1"/>
  <c r="BV43" i="1"/>
  <c r="BV42" i="1" s="1"/>
  <c r="BV3" i="1"/>
  <c r="BW43" i="1"/>
  <c r="BW42" i="1" s="1"/>
  <c r="BW3" i="1"/>
  <c r="BX43" i="1"/>
  <c r="BX42" i="1" s="1"/>
  <c r="BX3" i="1"/>
  <c r="BY43" i="1"/>
  <c r="BY42" i="1" s="1"/>
  <c r="BY3" i="1"/>
  <c r="BZ43" i="1"/>
  <c r="BZ3" i="1"/>
  <c r="CA43" i="1"/>
  <c r="CA3" i="1"/>
  <c r="CB43" i="1"/>
  <c r="CB42" i="1" s="1"/>
  <c r="CB3" i="1"/>
  <c r="CB18" i="1"/>
  <c r="CC43" i="1"/>
  <c r="CC42" i="1" s="1"/>
  <c r="CC3" i="1"/>
  <c r="CD43" i="1"/>
  <c r="CD42" i="1" s="1"/>
  <c r="CD3" i="1"/>
  <c r="CV9" i="1"/>
  <c r="CV43" i="1"/>
  <c r="CV42" i="1" s="1"/>
  <c r="CK43" i="1"/>
  <c r="CK42" i="1" s="1"/>
  <c r="CK9" i="1"/>
  <c r="CL43" i="1"/>
  <c r="CL42" i="1" s="1"/>
  <c r="CL9" i="1"/>
  <c r="CM43" i="1"/>
  <c r="CM42" i="1" s="1"/>
  <c r="CM9" i="1"/>
  <c r="CN53" i="1" s="1"/>
  <c r="CN43" i="1"/>
  <c r="CN9" i="1"/>
  <c r="CO53" i="1" s="1"/>
  <c r="CO43" i="1"/>
  <c r="CO42" i="1" s="1"/>
  <c r="CO9" i="1"/>
  <c r="CP43" i="1"/>
  <c r="CP9" i="1"/>
  <c r="CQ43" i="1"/>
  <c r="CQ42" i="1" s="1"/>
  <c r="CQ9" i="1"/>
  <c r="CR53" i="1" s="1"/>
  <c r="CR43" i="1"/>
  <c r="CR42" i="1" s="1"/>
  <c r="CR9" i="1"/>
  <c r="CS53" i="1" s="1"/>
  <c r="CS43" i="1"/>
  <c r="CS9" i="1"/>
  <c r="CS3" i="1" s="1"/>
  <c r="CT43" i="1"/>
  <c r="CT42" i="1" s="1"/>
  <c r="CT9" i="1"/>
  <c r="CU43" i="1"/>
  <c r="CU42" i="1" s="1"/>
  <c r="CU9" i="1"/>
  <c r="CV53" i="1" s="1"/>
  <c r="DM9" i="1"/>
  <c r="DM43" i="1"/>
  <c r="DB43" i="1"/>
  <c r="DB42" i="1" s="1"/>
  <c r="DB9" i="1"/>
  <c r="DC53" i="1" s="1"/>
  <c r="DC43" i="1"/>
  <c r="DC42" i="1" s="1"/>
  <c r="DC9" i="1"/>
  <c r="DD43" i="1"/>
  <c r="DD42" i="1" s="1"/>
  <c r="DD9" i="1"/>
  <c r="DE53" i="1" s="1"/>
  <c r="DE43" i="1"/>
  <c r="DE42" i="1" s="1"/>
  <c r="DE9" i="1"/>
  <c r="DF43" i="1"/>
  <c r="DF42" i="1" s="1"/>
  <c r="DF9" i="1"/>
  <c r="DG53" i="1" s="1"/>
  <c r="DG43" i="1"/>
  <c r="DG42" i="1" s="1"/>
  <c r="DG9" i="1"/>
  <c r="DH53" i="1" s="1"/>
  <c r="DH43" i="1"/>
  <c r="DH42" i="1" s="1"/>
  <c r="DH9" i="1"/>
  <c r="DI53" i="1" s="1"/>
  <c r="DI43" i="1"/>
  <c r="DI9" i="1"/>
  <c r="DJ43" i="1"/>
  <c r="DJ42" i="1" s="1"/>
  <c r="DJ9" i="1"/>
  <c r="DK53" i="1" s="1"/>
  <c r="DK43" i="1"/>
  <c r="DK9" i="1"/>
  <c r="DL53" i="1" s="1"/>
  <c r="DL43" i="1"/>
  <c r="DL42" i="1" s="1"/>
  <c r="DL9" i="1"/>
  <c r="DM53" i="1" s="1"/>
  <c r="ED9" i="1"/>
  <c r="ED43" i="1"/>
  <c r="ED42" i="1" s="1"/>
  <c r="DS43" i="1"/>
  <c r="DS42" i="1" s="1"/>
  <c r="DS9" i="1"/>
  <c r="DT53" i="1" s="1"/>
  <c r="DT43" i="1"/>
  <c r="DT42" i="1" s="1"/>
  <c r="DT9" i="1"/>
  <c r="DU53" i="1" s="1"/>
  <c r="DU43" i="1"/>
  <c r="DU42" i="1" s="1"/>
  <c r="DU9" i="1"/>
  <c r="DV53" i="1" s="1"/>
  <c r="DV43" i="1"/>
  <c r="DV9" i="1"/>
  <c r="DW43" i="1"/>
  <c r="DW42" i="1" s="1"/>
  <c r="DW9" i="1"/>
  <c r="DX53" i="1" s="1"/>
  <c r="DX43" i="1"/>
  <c r="DX9" i="1"/>
  <c r="DY43" i="1"/>
  <c r="DY42" i="1" s="1"/>
  <c r="DY9" i="1"/>
  <c r="DZ53" i="1" s="1"/>
  <c r="DZ43" i="1"/>
  <c r="DZ9" i="1"/>
  <c r="EA43" i="1"/>
  <c r="EA42" i="1" s="1"/>
  <c r="EA9" i="1"/>
  <c r="EB53" i="1" s="1"/>
  <c r="EB43" i="1"/>
  <c r="EB9" i="1"/>
  <c r="EC53" i="1" s="1"/>
  <c r="EC43" i="1"/>
  <c r="EC42" i="1" s="1"/>
  <c r="EC9" i="1"/>
  <c r="ED53" i="1" s="1"/>
  <c r="EU43" i="1"/>
  <c r="EU42" i="1" s="1"/>
  <c r="EJ43" i="1"/>
  <c r="EJ42" i="1" s="1"/>
  <c r="EK43" i="1"/>
  <c r="EK42" i="1" s="1"/>
  <c r="EL43" i="1"/>
  <c r="EL42" i="1" s="1"/>
  <c r="EM43" i="1"/>
  <c r="EM42" i="1" s="1"/>
  <c r="EN43" i="1"/>
  <c r="EO43" i="1"/>
  <c r="EO42" i="1" s="1"/>
  <c r="EP43" i="1"/>
  <c r="EP42" i="1" s="1"/>
  <c r="EQ43" i="1"/>
  <c r="EQ42" i="1" s="1"/>
  <c r="ER43" i="1"/>
  <c r="ER42" i="1" s="1"/>
  <c r="ES43" i="1"/>
  <c r="ES42" i="1" s="1"/>
  <c r="ET43" i="1"/>
  <c r="ET42" i="1" s="1"/>
  <c r="FL43" i="1"/>
  <c r="FA43" i="1"/>
  <c r="FB43" i="1"/>
  <c r="FB42" i="1" s="1"/>
  <c r="FC43" i="1"/>
  <c r="FD43" i="1"/>
  <c r="FE43" i="1"/>
  <c r="FE42" i="1" s="1"/>
  <c r="FF43" i="1"/>
  <c r="FF42" i="1" s="1"/>
  <c r="FG43" i="1"/>
  <c r="FH43" i="1"/>
  <c r="FH42" i="1" s="1"/>
  <c r="FI43" i="1"/>
  <c r="FJ43" i="1"/>
  <c r="FJ42" i="1" s="1"/>
  <c r="FK43" i="1"/>
  <c r="E82" i="1"/>
  <c r="E83" i="1"/>
  <c r="E84" i="1"/>
  <c r="E85" i="1"/>
  <c r="U64" i="1"/>
  <c r="V64" i="1"/>
  <c r="W64" i="1"/>
  <c r="X64" i="1"/>
  <c r="Y64" i="1"/>
  <c r="Z64" i="1"/>
  <c r="AA64" i="1"/>
  <c r="AB64" i="1"/>
  <c r="AC64" i="1"/>
  <c r="AD64" i="1"/>
  <c r="AF64" i="1"/>
  <c r="F17" i="5"/>
  <c r="BC70" i="1"/>
  <c r="BG70" i="1"/>
  <c r="BI70" i="1"/>
  <c r="BK70" i="1"/>
  <c r="BN62" i="1"/>
  <c r="G17" i="3" s="1"/>
  <c r="BN64" i="1"/>
  <c r="BT51" i="1"/>
  <c r="BU51" i="1"/>
  <c r="BU52" i="1"/>
  <c r="BU53" i="1"/>
  <c r="BV51" i="1"/>
  <c r="BV52" i="1"/>
  <c r="BV53" i="1"/>
  <c r="BW60" i="1"/>
  <c r="BW51" i="1"/>
  <c r="BW52" i="1"/>
  <c r="BW53" i="1"/>
  <c r="BX51" i="1"/>
  <c r="H6" i="4" s="1"/>
  <c r="BX52" i="1"/>
  <c r="BX53" i="1"/>
  <c r="H35" i="3"/>
  <c r="BY60" i="1"/>
  <c r="BY51" i="1"/>
  <c r="BY52" i="1"/>
  <c r="BY53" i="1"/>
  <c r="BZ51" i="1"/>
  <c r="BZ52" i="1"/>
  <c r="BZ53" i="1"/>
  <c r="CA51" i="1"/>
  <c r="CA52" i="1"/>
  <c r="CA53" i="1"/>
  <c r="CB60" i="1"/>
  <c r="CB51" i="1"/>
  <c r="CB52" i="1"/>
  <c r="CB53" i="1"/>
  <c r="CC51" i="1"/>
  <c r="CC52" i="1"/>
  <c r="CC53" i="1"/>
  <c r="CD60" i="1"/>
  <c r="CD51" i="1"/>
  <c r="CD52" i="1"/>
  <c r="CD53" i="1"/>
  <c r="CE51" i="1"/>
  <c r="CE52" i="1"/>
  <c r="CE53" i="1"/>
  <c r="CK60" i="1"/>
  <c r="CK51" i="1"/>
  <c r="CK52" i="1"/>
  <c r="CK53" i="1"/>
  <c r="CM60" i="1"/>
  <c r="CO60" i="1"/>
  <c r="CQ60" i="1"/>
  <c r="CR51" i="1"/>
  <c r="CT60" i="1"/>
  <c r="CU60" i="1"/>
  <c r="DB60" i="1"/>
  <c r="DD60" i="1"/>
  <c r="DE60" i="1"/>
  <c r="DF60" i="1"/>
  <c r="DH60" i="1"/>
  <c r="DJ60" i="1"/>
  <c r="DK51" i="1"/>
  <c r="DL60" i="1"/>
  <c r="DS60" i="1"/>
  <c r="DS52" i="1"/>
  <c r="DU60" i="1"/>
  <c r="DW60" i="1"/>
  <c r="DW53" i="1"/>
  <c r="DY60" i="1"/>
  <c r="EA60" i="1"/>
  <c r="EB51" i="1"/>
  <c r="EC60" i="1"/>
  <c r="ED60" i="1"/>
  <c r="EK60" i="1"/>
  <c r="EO60" i="1"/>
  <c r="ER60" i="1"/>
  <c r="ES60" i="1"/>
  <c r="FE60" i="1"/>
  <c r="FH60" i="1"/>
  <c r="G6" i="10"/>
  <c r="K6" i="10" s="1"/>
  <c r="O6" i="10" s="1"/>
  <c r="CC70" i="1"/>
  <c r="CF35" i="1"/>
  <c r="I34" i="3"/>
  <c r="CV35" i="1"/>
  <c r="CK35" i="1"/>
  <c r="CL35" i="1"/>
  <c r="CM35" i="1"/>
  <c r="CN35" i="1"/>
  <c r="CO35" i="1"/>
  <c r="CP35" i="1"/>
  <c r="CQ35" i="1"/>
  <c r="CR35" i="1"/>
  <c r="CS35" i="1"/>
  <c r="CT35" i="1"/>
  <c r="CU35" i="1"/>
  <c r="J34" i="5"/>
  <c r="DM35" i="1"/>
  <c r="DB35" i="1"/>
  <c r="DC35" i="1"/>
  <c r="DD35" i="1"/>
  <c r="DE35" i="1"/>
  <c r="DF35" i="1"/>
  <c r="DG35" i="1"/>
  <c r="DH35" i="1"/>
  <c r="DI35" i="1"/>
  <c r="DJ35" i="1"/>
  <c r="DK35" i="1"/>
  <c r="DL35" i="1"/>
  <c r="K34" i="4"/>
  <c r="ED35" i="1"/>
  <c r="DS35" i="1"/>
  <c r="DT35" i="1"/>
  <c r="DU35" i="1"/>
  <c r="DV35" i="1"/>
  <c r="DW35" i="1"/>
  <c r="DX35" i="1"/>
  <c r="DY35" i="1"/>
  <c r="DZ35" i="1"/>
  <c r="EA35" i="1"/>
  <c r="EB35" i="1"/>
  <c r="EC35" i="1"/>
  <c r="EJ5" i="1"/>
  <c r="EP5" i="1"/>
  <c r="EJ10" i="1"/>
  <c r="EK10" i="1" s="1"/>
  <c r="EJ11" i="1"/>
  <c r="EK11" i="1" s="1"/>
  <c r="EL11" i="1" s="1"/>
  <c r="EM11" i="1" s="1"/>
  <c r="EN11" i="1" s="1"/>
  <c r="EO11" i="1" s="1"/>
  <c r="EJ12" i="1"/>
  <c r="EK12" i="1" s="1"/>
  <c r="EL12" i="1" s="1"/>
  <c r="EM12" i="1" s="1"/>
  <c r="EN12" i="1" s="1"/>
  <c r="EO12" i="1" s="1"/>
  <c r="EP12" i="1" s="1"/>
  <c r="EQ12" i="1" s="1"/>
  <c r="ER12" i="1" s="1"/>
  <c r="ES12" i="1" s="1"/>
  <c r="FA8" i="1"/>
  <c r="FA35" i="1" s="1"/>
  <c r="FB5" i="1"/>
  <c r="FB6" i="1"/>
  <c r="FC6" i="1" s="1"/>
  <c r="FD6" i="1" s="1"/>
  <c r="FE6" i="1" s="1"/>
  <c r="FF6" i="1" s="1"/>
  <c r="FG6" i="1" s="1"/>
  <c r="FH6" i="1" s="1"/>
  <c r="FI6" i="1" s="1"/>
  <c r="FB7" i="1"/>
  <c r="FC7" i="1" s="1"/>
  <c r="FD7" i="1" s="1"/>
  <c r="F31" i="1"/>
  <c r="G58" i="1" s="1"/>
  <c r="F42" i="1"/>
  <c r="G31" i="1"/>
  <c r="H58" i="1" s="1"/>
  <c r="G42" i="1"/>
  <c r="E18" i="1"/>
  <c r="F57" i="1" s="1"/>
  <c r="D11" i="16"/>
  <c r="CJ5" i="1"/>
  <c r="DA5" i="1" s="1"/>
  <c r="DR5" i="1" s="1"/>
  <c r="EI5" i="1" s="1"/>
  <c r="EZ5" i="1" s="1"/>
  <c r="CW5" i="1"/>
  <c r="DN5" i="1"/>
  <c r="J5" i="2" s="1"/>
  <c r="EE5" i="1"/>
  <c r="AC8" i="15"/>
  <c r="AD8" i="15"/>
  <c r="AE8" i="15"/>
  <c r="AF8" i="15"/>
  <c r="AG8" i="15"/>
  <c r="AH8" i="15"/>
  <c r="AI8" i="15"/>
  <c r="AJ8" i="15"/>
  <c r="AK8" i="15"/>
  <c r="AK20" i="15" s="1"/>
  <c r="AL8" i="15"/>
  <c r="AM8" i="15"/>
  <c r="AN8" i="15"/>
  <c r="AN20" i="15" s="1"/>
  <c r="AC15" i="15"/>
  <c r="AC16" i="15" s="1"/>
  <c r="AD15" i="15"/>
  <c r="AD16" i="15" s="1"/>
  <c r="AE15" i="15"/>
  <c r="AE16" i="15" s="1"/>
  <c r="AF15" i="15"/>
  <c r="AF16" i="15" s="1"/>
  <c r="AG15" i="15"/>
  <c r="AG16" i="15" s="1"/>
  <c r="AG20" i="15" s="1"/>
  <c r="AH15" i="15"/>
  <c r="AH16" i="15" s="1"/>
  <c r="AI15" i="15"/>
  <c r="AI16" i="15" s="1"/>
  <c r="AJ15" i="15"/>
  <c r="AJ16" i="15"/>
  <c r="AK15" i="15"/>
  <c r="AK16" i="15" s="1"/>
  <c r="AL15" i="15"/>
  <c r="AL16" i="15"/>
  <c r="AL20" i="15" s="1"/>
  <c r="AM15" i="15"/>
  <c r="AM16" i="15" s="1"/>
  <c r="AM20" i="15" s="1"/>
  <c r="AN15" i="15"/>
  <c r="AN16" i="15"/>
  <c r="Q8" i="15"/>
  <c r="R8" i="15"/>
  <c r="S8" i="15"/>
  <c r="T8" i="15"/>
  <c r="U8" i="15"/>
  <c r="U20" i="15" s="1"/>
  <c r="V8" i="15"/>
  <c r="W8" i="15"/>
  <c r="X8" i="15"/>
  <c r="Y8" i="15"/>
  <c r="Z8" i="15"/>
  <c r="AA8" i="15"/>
  <c r="AB8" i="15"/>
  <c r="Q15" i="15"/>
  <c r="Q16" i="15"/>
  <c r="R15" i="15"/>
  <c r="R16" i="15" s="1"/>
  <c r="S15" i="15"/>
  <c r="S16" i="15"/>
  <c r="S20" i="15" s="1"/>
  <c r="T15" i="15"/>
  <c r="T16" i="15" s="1"/>
  <c r="U15" i="15"/>
  <c r="U16" i="15"/>
  <c r="V15" i="15"/>
  <c r="V16" i="15" s="1"/>
  <c r="W15" i="15"/>
  <c r="W16" i="15" s="1"/>
  <c r="W20" i="15" s="1"/>
  <c r="X15" i="15"/>
  <c r="X16" i="15"/>
  <c r="Y15" i="15"/>
  <c r="Y16" i="15" s="1"/>
  <c r="Z15" i="15"/>
  <c r="Z16" i="15" s="1"/>
  <c r="AA15" i="15"/>
  <c r="AA16" i="15" s="1"/>
  <c r="AB15" i="15"/>
  <c r="AB16" i="15"/>
  <c r="AB20" i="15" s="1"/>
  <c r="AO8" i="15"/>
  <c r="AP8" i="15"/>
  <c r="AP20" i="15" s="1"/>
  <c r="AQ8" i="15"/>
  <c r="AR8" i="15"/>
  <c r="AS8" i="15"/>
  <c r="AT8" i="15"/>
  <c r="AU8" i="15"/>
  <c r="AV8" i="15"/>
  <c r="AW8" i="15"/>
  <c r="AX8" i="15"/>
  <c r="AY8" i="15"/>
  <c r="AZ8" i="15"/>
  <c r="AO15" i="15"/>
  <c r="AO16" i="15"/>
  <c r="AP15" i="15"/>
  <c r="AP16" i="15" s="1"/>
  <c r="AQ15" i="15"/>
  <c r="AQ16" i="15" s="1"/>
  <c r="AR15" i="15"/>
  <c r="AR16" i="15" s="1"/>
  <c r="AS15" i="15"/>
  <c r="AS16" i="15" s="1"/>
  <c r="AS20" i="15" s="1"/>
  <c r="AT15" i="15"/>
  <c r="AT16" i="15" s="1"/>
  <c r="AU15" i="15"/>
  <c r="AU16" i="15" s="1"/>
  <c r="AV15" i="15"/>
  <c r="AV16" i="15" s="1"/>
  <c r="AW15" i="15"/>
  <c r="AW16" i="15" s="1"/>
  <c r="AX15" i="15"/>
  <c r="AX16" i="15" s="1"/>
  <c r="AY15" i="15"/>
  <c r="AY16" i="15" s="1"/>
  <c r="AZ15" i="15"/>
  <c r="AZ16" i="15"/>
  <c r="AZ20" i="15" s="1"/>
  <c r="BA8" i="15"/>
  <c r="BB8" i="15"/>
  <c r="BC8" i="15"/>
  <c r="BD8" i="15"/>
  <c r="BE8" i="15"/>
  <c r="BF8" i="15"/>
  <c r="BG8" i="15"/>
  <c r="BH8" i="15"/>
  <c r="BI8" i="15"/>
  <c r="BJ8" i="15"/>
  <c r="BK8" i="15"/>
  <c r="BL8" i="15"/>
  <c r="BA15" i="15"/>
  <c r="BA16" i="15" s="1"/>
  <c r="BB15" i="15"/>
  <c r="BB16" i="15" s="1"/>
  <c r="BB20" i="15" s="1"/>
  <c r="BC15" i="15"/>
  <c r="BC16" i="15" s="1"/>
  <c r="BC20" i="15" s="1"/>
  <c r="BD15" i="15"/>
  <c r="BD16" i="15" s="1"/>
  <c r="BE15" i="15"/>
  <c r="BE16" i="15"/>
  <c r="BF15" i="15"/>
  <c r="BF16" i="15" s="1"/>
  <c r="BG15" i="15"/>
  <c r="BG16" i="15" s="1"/>
  <c r="BH15" i="15"/>
  <c r="BH16" i="15"/>
  <c r="BI15" i="15"/>
  <c r="BI16" i="15" s="1"/>
  <c r="BI20" i="15" s="1"/>
  <c r="BJ15" i="15"/>
  <c r="BJ16" i="15"/>
  <c r="BK15" i="15"/>
  <c r="BK16" i="15" s="1"/>
  <c r="BK20" i="15" s="1"/>
  <c r="BL15" i="15"/>
  <c r="BL16" i="15" s="1"/>
  <c r="BM8" i="15"/>
  <c r="BN8" i="15"/>
  <c r="BN20" i="15" s="1"/>
  <c r="BO8" i="15"/>
  <c r="BO20" i="15" s="1"/>
  <c r="BP8" i="15"/>
  <c r="BQ8" i="15"/>
  <c r="BR8" i="15"/>
  <c r="BS8" i="15"/>
  <c r="BT8" i="15"/>
  <c r="BU8" i="15"/>
  <c r="BV8" i="15"/>
  <c r="BW8" i="15"/>
  <c r="BX8" i="15"/>
  <c r="BM15" i="15"/>
  <c r="BM16" i="15"/>
  <c r="BN15" i="15"/>
  <c r="BN16" i="15" s="1"/>
  <c r="BO15" i="15"/>
  <c r="BO16" i="15"/>
  <c r="BP15" i="15"/>
  <c r="BP16" i="15" s="1"/>
  <c r="BP20" i="15" s="1"/>
  <c r="BQ15" i="15"/>
  <c r="BQ16" i="15"/>
  <c r="BR15" i="15"/>
  <c r="BR16" i="15" s="1"/>
  <c r="BS15" i="15"/>
  <c r="BS16" i="15" s="1"/>
  <c r="BT15" i="15"/>
  <c r="BT16" i="15"/>
  <c r="BU15" i="15"/>
  <c r="BU16" i="15" s="1"/>
  <c r="BU20" i="15" s="1"/>
  <c r="BV15" i="15"/>
  <c r="BV16" i="15" s="1"/>
  <c r="BW15" i="15"/>
  <c r="BW16" i="15" s="1"/>
  <c r="BW20" i="15" s="1"/>
  <c r="BX15" i="15"/>
  <c r="BX16" i="15"/>
  <c r="BY8" i="15"/>
  <c r="BZ8" i="15"/>
  <c r="BZ20" i="15" s="1"/>
  <c r="CA8" i="15"/>
  <c r="CB8" i="15"/>
  <c r="CC8" i="15"/>
  <c r="CD8" i="15"/>
  <c r="CD20" i="15" s="1"/>
  <c r="CE8" i="15"/>
  <c r="CF8" i="15"/>
  <c r="CG8" i="15"/>
  <c r="CH8" i="15"/>
  <c r="CI8" i="15"/>
  <c r="CJ8" i="15"/>
  <c r="BY15" i="15"/>
  <c r="BY16" i="15"/>
  <c r="BY20" i="15" s="1"/>
  <c r="BZ15" i="15"/>
  <c r="BZ16" i="15" s="1"/>
  <c r="CA15" i="15"/>
  <c r="CA16" i="15" s="1"/>
  <c r="CB15" i="15"/>
  <c r="CB16" i="15" s="1"/>
  <c r="CC15" i="15"/>
  <c r="CC16" i="15" s="1"/>
  <c r="CC20" i="15" s="1"/>
  <c r="CD15" i="15"/>
  <c r="CD16" i="15" s="1"/>
  <c r="CE15" i="15"/>
  <c r="CE16" i="15"/>
  <c r="CF15" i="15"/>
  <c r="CF16" i="15"/>
  <c r="CF20" i="15" s="1"/>
  <c r="CG15" i="15"/>
  <c r="CG16" i="15"/>
  <c r="CH15" i="15"/>
  <c r="CH16" i="15"/>
  <c r="CI15" i="15"/>
  <c r="CI16" i="15"/>
  <c r="CJ15" i="15"/>
  <c r="CJ16" i="15"/>
  <c r="CJ20" i="15" s="1"/>
  <c r="CK8" i="15"/>
  <c r="CL8" i="15"/>
  <c r="CM8" i="15"/>
  <c r="CN8" i="15"/>
  <c r="CO8" i="15"/>
  <c r="CP8" i="15"/>
  <c r="CQ8" i="15"/>
  <c r="CR8" i="15"/>
  <c r="CS8" i="15"/>
  <c r="CT8" i="15"/>
  <c r="CU8" i="15"/>
  <c r="CV8" i="15"/>
  <c r="CK15" i="15"/>
  <c r="CK16" i="15" s="1"/>
  <c r="CL15" i="15"/>
  <c r="CL16" i="15" s="1"/>
  <c r="CL20" i="15" s="1"/>
  <c r="CM15" i="15"/>
  <c r="CM16" i="15" s="1"/>
  <c r="CM20" i="15" s="1"/>
  <c r="CN15" i="15"/>
  <c r="CN16" i="15" s="1"/>
  <c r="CN20" i="15" s="1"/>
  <c r="CO15" i="15"/>
  <c r="CO16" i="15" s="1"/>
  <c r="CO20" i="15" s="1"/>
  <c r="CP15" i="15"/>
  <c r="CP16" i="15" s="1"/>
  <c r="CP20" i="15" s="1"/>
  <c r="CQ15" i="15"/>
  <c r="CQ16" i="15"/>
  <c r="CR15" i="15"/>
  <c r="CR16" i="15"/>
  <c r="CS15" i="15"/>
  <c r="CS16" i="15"/>
  <c r="CT15" i="15"/>
  <c r="CT16" i="15"/>
  <c r="CT20" i="15" s="1"/>
  <c r="CU15" i="15"/>
  <c r="CU16" i="15"/>
  <c r="CV15" i="15"/>
  <c r="CV16" i="15"/>
  <c r="CV20" i="15" s="1"/>
  <c r="E8" i="15"/>
  <c r="F8" i="15"/>
  <c r="G8" i="15"/>
  <c r="H8" i="15"/>
  <c r="I8" i="15"/>
  <c r="J8" i="15"/>
  <c r="K8" i="15"/>
  <c r="L8" i="15"/>
  <c r="M8" i="15"/>
  <c r="N8" i="15"/>
  <c r="O8" i="15"/>
  <c r="P8" i="15"/>
  <c r="E15" i="15"/>
  <c r="E16" i="15" s="1"/>
  <c r="F15" i="15"/>
  <c r="F16" i="15" s="1"/>
  <c r="F20" i="15" s="1"/>
  <c r="G15" i="15"/>
  <c r="G16" i="15" s="1"/>
  <c r="G20" i="15" s="1"/>
  <c r="H15" i="15"/>
  <c r="H16" i="15" s="1"/>
  <c r="I15" i="15"/>
  <c r="I16" i="15" s="1"/>
  <c r="I20" i="15" s="1"/>
  <c r="J15" i="15"/>
  <c r="J16" i="15" s="1"/>
  <c r="J20" i="15" s="1"/>
  <c r="K15" i="15"/>
  <c r="K16" i="15"/>
  <c r="L15" i="15"/>
  <c r="L16" i="15"/>
  <c r="M15" i="15"/>
  <c r="M16" i="15"/>
  <c r="M20" i="15" s="1"/>
  <c r="N15" i="15"/>
  <c r="N16" i="15"/>
  <c r="N20" i="15" s="1"/>
  <c r="O15" i="15"/>
  <c r="O16" i="15"/>
  <c r="P15" i="15"/>
  <c r="P16" i="15"/>
  <c r="Q9" i="15"/>
  <c r="R9" i="15"/>
  <c r="S9" i="15"/>
  <c r="T9" i="15"/>
  <c r="U9" i="15"/>
  <c r="V9" i="15"/>
  <c r="W9" i="15"/>
  <c r="X9" i="15"/>
  <c r="Y9" i="15"/>
  <c r="Z9" i="15"/>
  <c r="AA9" i="15"/>
  <c r="AB9" i="15"/>
  <c r="AB19" i="15" s="1"/>
  <c r="Q17" i="15"/>
  <c r="Q19" i="15" s="1"/>
  <c r="R17" i="15"/>
  <c r="S17" i="15"/>
  <c r="T17" i="15"/>
  <c r="U17" i="15"/>
  <c r="U19" i="15" s="1"/>
  <c r="V17" i="15"/>
  <c r="W17" i="15"/>
  <c r="X17" i="15"/>
  <c r="Y17" i="15"/>
  <c r="Z17" i="15"/>
  <c r="AA17" i="15"/>
  <c r="AB17" i="15"/>
  <c r="AC9" i="15"/>
  <c r="AD9" i="15"/>
  <c r="AD19" i="15" s="1"/>
  <c r="AE9" i="15"/>
  <c r="AF9" i="15"/>
  <c r="AF19" i="15" s="1"/>
  <c r="AG9" i="15"/>
  <c r="AH9" i="15"/>
  <c r="AI9" i="15"/>
  <c r="AJ9" i="15"/>
  <c r="AK9" i="15"/>
  <c r="AL9" i="15"/>
  <c r="AM9" i="15"/>
  <c r="AN9" i="15"/>
  <c r="AC17" i="15"/>
  <c r="AD17" i="15"/>
  <c r="AE17" i="15"/>
  <c r="AF17" i="15"/>
  <c r="AG17" i="15"/>
  <c r="AH17" i="15"/>
  <c r="AI17" i="15"/>
  <c r="AJ17" i="15"/>
  <c r="AK17" i="15"/>
  <c r="AK19" i="15" s="1"/>
  <c r="AL17" i="15"/>
  <c r="AM17" i="15"/>
  <c r="AM19" i="15" s="1"/>
  <c r="AN17" i="15"/>
  <c r="AO9" i="15"/>
  <c r="AP9" i="15"/>
  <c r="AQ9" i="15"/>
  <c r="AQ19" i="15" s="1"/>
  <c r="AR9" i="15"/>
  <c r="AS9" i="15"/>
  <c r="AT9" i="15"/>
  <c r="AT19" i="15" s="1"/>
  <c r="AU9" i="15"/>
  <c r="AV9" i="15"/>
  <c r="AW9" i="15"/>
  <c r="AX9" i="15"/>
  <c r="L29" i="15" s="1"/>
  <c r="AY9" i="15"/>
  <c r="AZ9" i="15"/>
  <c r="AO17" i="15"/>
  <c r="AP17" i="15"/>
  <c r="AQ17" i="15"/>
  <c r="AR17" i="15"/>
  <c r="AS17" i="15"/>
  <c r="AT17" i="15"/>
  <c r="AU17" i="15"/>
  <c r="AV17" i="15"/>
  <c r="AV19" i="15" s="1"/>
  <c r="AW17" i="15"/>
  <c r="AX17" i="15"/>
  <c r="AY17" i="15"/>
  <c r="AZ17" i="15"/>
  <c r="AZ19" i="15" s="1"/>
  <c r="BA9" i="15"/>
  <c r="BB9" i="15"/>
  <c r="BC9" i="15"/>
  <c r="BD9" i="15"/>
  <c r="BE9" i="15"/>
  <c r="BE19" i="15" s="1"/>
  <c r="BF9" i="15"/>
  <c r="BG9" i="15"/>
  <c r="BH9" i="15"/>
  <c r="BI9" i="15"/>
  <c r="BJ9" i="15"/>
  <c r="BK9" i="15"/>
  <c r="BL9" i="15"/>
  <c r="BA17" i="15"/>
  <c r="BB17" i="15"/>
  <c r="BC17" i="15"/>
  <c r="BD17" i="15"/>
  <c r="BE17" i="15"/>
  <c r="BF17" i="15"/>
  <c r="BF19" i="15" s="1"/>
  <c r="BG17" i="15"/>
  <c r="BH17" i="15"/>
  <c r="BI17" i="15"/>
  <c r="BI19" i="15" s="1"/>
  <c r="BJ17" i="15"/>
  <c r="BK17" i="15"/>
  <c r="BK19" i="15" s="1"/>
  <c r="BL17" i="15"/>
  <c r="BM9" i="15"/>
  <c r="BN9" i="15"/>
  <c r="BO9" i="15"/>
  <c r="BP9" i="15"/>
  <c r="BQ9" i="15"/>
  <c r="BR9" i="15"/>
  <c r="BR19" i="15" s="1"/>
  <c r="BS9" i="15"/>
  <c r="BT9" i="15"/>
  <c r="BU9" i="15"/>
  <c r="BV9" i="15"/>
  <c r="BW9" i="15"/>
  <c r="BX9" i="15"/>
  <c r="BX19" i="15" s="1"/>
  <c r="BM17" i="15"/>
  <c r="BM19" i="15" s="1"/>
  <c r="BN17" i="15"/>
  <c r="BO17" i="15"/>
  <c r="BO19" i="15" s="1"/>
  <c r="BP17" i="15"/>
  <c r="BQ17" i="15"/>
  <c r="BQ19" i="15" s="1"/>
  <c r="BR17" i="15"/>
  <c r="BS17" i="15"/>
  <c r="BT17" i="15"/>
  <c r="BU17" i="15"/>
  <c r="BV17" i="15"/>
  <c r="BW17" i="15"/>
  <c r="BX17" i="15"/>
  <c r="BY9" i="15"/>
  <c r="BZ9" i="15"/>
  <c r="CA9" i="15"/>
  <c r="CB9" i="15"/>
  <c r="CC9" i="15"/>
  <c r="CD9" i="15"/>
  <c r="CE9" i="15"/>
  <c r="CF9" i="15"/>
  <c r="CG9" i="15"/>
  <c r="CH9" i="15"/>
  <c r="CI9" i="15"/>
  <c r="CJ9" i="15"/>
  <c r="BY17" i="15"/>
  <c r="BZ17" i="15"/>
  <c r="CA17" i="15"/>
  <c r="CB17" i="15"/>
  <c r="CC17" i="15"/>
  <c r="CD17" i="15"/>
  <c r="CD19" i="15" s="1"/>
  <c r="CE17" i="15"/>
  <c r="CF17" i="15"/>
  <c r="CG17" i="15"/>
  <c r="CG19" i="15" s="1"/>
  <c r="CH17" i="15"/>
  <c r="CI17" i="15"/>
  <c r="CI19" i="15" s="1"/>
  <c r="CJ17" i="15"/>
  <c r="CK9" i="15"/>
  <c r="CL9" i="15"/>
  <c r="CM9" i="15"/>
  <c r="CN9" i="15"/>
  <c r="CO9" i="15"/>
  <c r="CP9" i="15"/>
  <c r="CQ9" i="15"/>
  <c r="CR9" i="15"/>
  <c r="CS9" i="15"/>
  <c r="CT9" i="15"/>
  <c r="CU9" i="15"/>
  <c r="CV9" i="15"/>
  <c r="CK17" i="15"/>
  <c r="CL17" i="15"/>
  <c r="CM17" i="15"/>
  <c r="CN17" i="15"/>
  <c r="CO17" i="15"/>
  <c r="CO19" i="15" s="1"/>
  <c r="CP17" i="15"/>
  <c r="CQ17" i="15"/>
  <c r="CR17" i="15"/>
  <c r="CS17" i="15"/>
  <c r="CT17" i="15"/>
  <c r="CU17" i="15"/>
  <c r="CV17" i="15"/>
  <c r="CV19" i="15" s="1"/>
  <c r="E9" i="15"/>
  <c r="E19" i="15" s="1"/>
  <c r="F9" i="15"/>
  <c r="G9" i="15"/>
  <c r="G19" i="15" s="1"/>
  <c r="H9" i="15"/>
  <c r="I9" i="15"/>
  <c r="J9" i="15"/>
  <c r="E29" i="15"/>
  <c r="K9" i="15"/>
  <c r="L9" i="15"/>
  <c r="M9" i="15"/>
  <c r="N9" i="15"/>
  <c r="O9" i="15"/>
  <c r="P9" i="15"/>
  <c r="E17" i="15"/>
  <c r="F17" i="15"/>
  <c r="F19" i="15" s="1"/>
  <c r="G17" i="15"/>
  <c r="H17" i="15"/>
  <c r="H19" i="15" s="1"/>
  <c r="I17" i="15"/>
  <c r="J17" i="15"/>
  <c r="J19" i="15" s="1"/>
  <c r="K17" i="15"/>
  <c r="L17" i="15"/>
  <c r="M17" i="15"/>
  <c r="N17" i="15"/>
  <c r="O17" i="15"/>
  <c r="P17" i="15"/>
  <c r="CS20" i="15"/>
  <c r="CG20" i="15"/>
  <c r="BQ20" i="15"/>
  <c r="BT20" i="15"/>
  <c r="BX20" i="15"/>
  <c r="BJ20" i="15"/>
  <c r="BL20" i="15"/>
  <c r="BF20" i="15"/>
  <c r="BB19" i="15"/>
  <c r="BL19" i="15"/>
  <c r="BP19" i="15"/>
  <c r="CB19" i="15"/>
  <c r="CN19" i="15"/>
  <c r="CR19" i="15"/>
  <c r="AQ20" i="15"/>
  <c r="AR20" i="15"/>
  <c r="AT20" i="15"/>
  <c r="AW20" i="15"/>
  <c r="AY20" i="15"/>
  <c r="AU19" i="15"/>
  <c r="AY19" i="15"/>
  <c r="AD20" i="15"/>
  <c r="AE20" i="15"/>
  <c r="AF20" i="15"/>
  <c r="AH20" i="15"/>
  <c r="Z20" i="15"/>
  <c r="AA20" i="15"/>
  <c r="X20" i="15"/>
  <c r="Q20" i="15"/>
  <c r="R20" i="15"/>
  <c r="R19" i="15"/>
  <c r="T19" i="15"/>
  <c r="X19" i="15"/>
  <c r="Y19" i="15"/>
  <c r="Z19" i="15"/>
  <c r="I19" i="15"/>
  <c r="M19" i="15"/>
  <c r="O19" i="15"/>
  <c r="BB8" i="1"/>
  <c r="BS8" i="1" s="1"/>
  <c r="CJ8" i="1" s="1"/>
  <c r="DA8" i="1" s="1"/>
  <c r="DR8" i="1" s="1"/>
  <c r="EI8" i="1" s="1"/>
  <c r="EZ8" i="1" s="1"/>
  <c r="BB7" i="1"/>
  <c r="BS7" i="1" s="1"/>
  <c r="CJ7" i="1" s="1"/>
  <c r="DA7" i="1" s="1"/>
  <c r="DR7" i="1" s="1"/>
  <c r="EI7" i="1" s="1"/>
  <c r="EZ7" i="1" s="1"/>
  <c r="D8" i="11"/>
  <c r="C13" i="11"/>
  <c r="C11" i="11"/>
  <c r="C12" i="11"/>
  <c r="C14" i="11"/>
  <c r="D22" i="8"/>
  <c r="E22" i="8"/>
  <c r="D23" i="8"/>
  <c r="E23" i="8"/>
  <c r="D24" i="8"/>
  <c r="E24" i="8"/>
  <c r="D25" i="8"/>
  <c r="E25" i="8"/>
  <c r="D26" i="8"/>
  <c r="E26" i="8"/>
  <c r="D27" i="8"/>
  <c r="E27" i="8"/>
  <c r="D28" i="8"/>
  <c r="E28" i="8"/>
  <c r="D29" i="8"/>
  <c r="E29" i="8"/>
  <c r="D30" i="8"/>
  <c r="E30" i="8"/>
  <c r="D31" i="8"/>
  <c r="E31" i="8"/>
  <c r="D32" i="8"/>
  <c r="E32" i="8"/>
  <c r="D33" i="8"/>
  <c r="E33" i="8"/>
  <c r="D34" i="8"/>
  <c r="E34" i="8"/>
  <c r="D35" i="8"/>
  <c r="E35" i="8"/>
  <c r="D36" i="8"/>
  <c r="E36" i="8"/>
  <c r="D37" i="8"/>
  <c r="E37" i="8"/>
  <c r="D38" i="8"/>
  <c r="E38" i="8"/>
  <c r="D39" i="8"/>
  <c r="E39" i="8"/>
  <c r="D40" i="8"/>
  <c r="E40" i="8"/>
  <c r="D41" i="8"/>
  <c r="E41" i="8"/>
  <c r="D42" i="8"/>
  <c r="E42" i="8"/>
  <c r="D43" i="8"/>
  <c r="E43" i="8"/>
  <c r="D44" i="8"/>
  <c r="E44" i="8"/>
  <c r="D45" i="8"/>
  <c r="E45" i="8"/>
  <c r="D46" i="8"/>
  <c r="E46" i="8"/>
  <c r="D47" i="8"/>
  <c r="E47" i="8"/>
  <c r="D48" i="8"/>
  <c r="E48" i="8"/>
  <c r="D49" i="8"/>
  <c r="E49" i="8"/>
  <c r="D50" i="8"/>
  <c r="E50" i="8"/>
  <c r="D51" i="8"/>
  <c r="E51" i="8"/>
  <c r="D52" i="8"/>
  <c r="E52" i="8"/>
  <c r="D53" i="8"/>
  <c r="E53" i="8"/>
  <c r="D54" i="8"/>
  <c r="E54" i="8"/>
  <c r="D55" i="8"/>
  <c r="E55" i="8"/>
  <c r="D56" i="8"/>
  <c r="E56" i="8"/>
  <c r="D57" i="8"/>
  <c r="E57" i="8"/>
  <c r="D58" i="8"/>
  <c r="E58" i="8"/>
  <c r="D59" i="8"/>
  <c r="E59" i="8"/>
  <c r="D60" i="8"/>
  <c r="E60" i="8"/>
  <c r="D61" i="8"/>
  <c r="E61" i="8"/>
  <c r="D62" i="8"/>
  <c r="E62" i="8"/>
  <c r="D63" i="8"/>
  <c r="E63" i="8"/>
  <c r="D64" i="8"/>
  <c r="E64" i="8"/>
  <c r="D65" i="8"/>
  <c r="E65" i="8"/>
  <c r="D66" i="8"/>
  <c r="E66" i="8"/>
  <c r="D67" i="8"/>
  <c r="E67" i="8"/>
  <c r="D68" i="8"/>
  <c r="E68" i="8"/>
  <c r="D69" i="8"/>
  <c r="E69" i="8"/>
  <c r="D70" i="8"/>
  <c r="E70" i="8"/>
  <c r="D71" i="8"/>
  <c r="E71" i="8"/>
  <c r="D72" i="8"/>
  <c r="E72" i="8"/>
  <c r="D73" i="8"/>
  <c r="E73" i="8"/>
  <c r="D74" i="8"/>
  <c r="E74" i="8"/>
  <c r="D75" i="8"/>
  <c r="E75" i="8"/>
  <c r="D76" i="8"/>
  <c r="E76" i="8"/>
  <c r="D77" i="8"/>
  <c r="E77" i="8"/>
  <c r="D78" i="8"/>
  <c r="E78" i="8"/>
  <c r="D79" i="8"/>
  <c r="E79" i="8"/>
  <c r="D80" i="8"/>
  <c r="E80" i="8"/>
  <c r="D81" i="8"/>
  <c r="E81" i="8"/>
  <c r="D82" i="8"/>
  <c r="E82" i="8"/>
  <c r="D83" i="8"/>
  <c r="E83" i="8"/>
  <c r="D84" i="8"/>
  <c r="E84" i="8"/>
  <c r="D85" i="8"/>
  <c r="E85" i="8"/>
  <c r="D86" i="8"/>
  <c r="E86" i="8"/>
  <c r="D87" i="8"/>
  <c r="E87" i="8"/>
  <c r="D88" i="8"/>
  <c r="E88" i="8"/>
  <c r="D89" i="8"/>
  <c r="E89" i="8"/>
  <c r="D90" i="8"/>
  <c r="E90" i="8"/>
  <c r="D91" i="8"/>
  <c r="E91" i="8"/>
  <c r="D92" i="8"/>
  <c r="E92" i="8"/>
  <c r="D93" i="8"/>
  <c r="E93" i="8"/>
  <c r="D94" i="8"/>
  <c r="E94" i="8"/>
  <c r="D95" i="8"/>
  <c r="E95" i="8"/>
  <c r="D96" i="8"/>
  <c r="E96" i="8"/>
  <c r="D97" i="8"/>
  <c r="E97" i="8"/>
  <c r="D98" i="8"/>
  <c r="E98" i="8"/>
  <c r="D99" i="8"/>
  <c r="E99" i="8"/>
  <c r="D100" i="8"/>
  <c r="E100" i="8"/>
  <c r="D101" i="8"/>
  <c r="E101" i="8"/>
  <c r="D102" i="8"/>
  <c r="E102" i="8"/>
  <c r="D103" i="8"/>
  <c r="E103" i="8"/>
  <c r="D104" i="8"/>
  <c r="E104" i="8"/>
  <c r="D105" i="8"/>
  <c r="E105" i="8"/>
  <c r="D106" i="8"/>
  <c r="E106" i="8"/>
  <c r="D107" i="8"/>
  <c r="E107" i="8"/>
  <c r="D108" i="8"/>
  <c r="E108" i="8"/>
  <c r="D109" i="8"/>
  <c r="E109" i="8"/>
  <c r="D110" i="8"/>
  <c r="E110" i="8"/>
  <c r="D111" i="8"/>
  <c r="E111" i="8"/>
  <c r="D112" i="8"/>
  <c r="E112" i="8"/>
  <c r="D113" i="8"/>
  <c r="E113" i="8"/>
  <c r="D114" i="8"/>
  <c r="E114" i="8"/>
  <c r="D115" i="8"/>
  <c r="E115" i="8"/>
  <c r="D116" i="8"/>
  <c r="E116" i="8"/>
  <c r="D117" i="8"/>
  <c r="E117" i="8"/>
  <c r="D118" i="8"/>
  <c r="E118" i="8"/>
  <c r="D119" i="8"/>
  <c r="E119" i="8"/>
  <c r="D120" i="8"/>
  <c r="E120" i="8"/>
  <c r="D121" i="8"/>
  <c r="E121" i="8"/>
  <c r="D122" i="8"/>
  <c r="E122" i="8"/>
  <c r="D123" i="8"/>
  <c r="E123" i="8"/>
  <c r="D124" i="8"/>
  <c r="E124" i="8"/>
  <c r="D125" i="8"/>
  <c r="E125" i="8"/>
  <c r="D126" i="8"/>
  <c r="E126" i="8"/>
  <c r="D127" i="8"/>
  <c r="E127" i="8"/>
  <c r="D128" i="8"/>
  <c r="E128" i="8"/>
  <c r="D129" i="8"/>
  <c r="E129" i="8"/>
  <c r="D130" i="8"/>
  <c r="E130" i="8"/>
  <c r="D131" i="8"/>
  <c r="E131" i="8"/>
  <c r="D132" i="8"/>
  <c r="E132" i="8"/>
  <c r="D133" i="8"/>
  <c r="E133" i="8"/>
  <c r="D134" i="8"/>
  <c r="E134" i="8"/>
  <c r="D135" i="8"/>
  <c r="E135" i="8"/>
  <c r="D136" i="8"/>
  <c r="E136" i="8"/>
  <c r="D137" i="8"/>
  <c r="E137" i="8"/>
  <c r="D138" i="8"/>
  <c r="E138" i="8"/>
  <c r="D139" i="8"/>
  <c r="E139" i="8"/>
  <c r="D140" i="8"/>
  <c r="E140" i="8"/>
  <c r="D141" i="8"/>
  <c r="E141" i="8"/>
  <c r="D142" i="8"/>
  <c r="E142" i="8"/>
  <c r="D143" i="8"/>
  <c r="E143" i="8"/>
  <c r="D144" i="8"/>
  <c r="E144" i="8"/>
  <c r="D145" i="8"/>
  <c r="E145" i="8"/>
  <c r="D146" i="8"/>
  <c r="E146" i="8"/>
  <c r="D147" i="8"/>
  <c r="E147" i="8"/>
  <c r="D148" i="8"/>
  <c r="E148" i="8"/>
  <c r="D149" i="8"/>
  <c r="E149" i="8"/>
  <c r="D150" i="8"/>
  <c r="E150" i="8"/>
  <c r="D151" i="8"/>
  <c r="E151" i="8"/>
  <c r="D152" i="8"/>
  <c r="E152" i="8"/>
  <c r="D153" i="8"/>
  <c r="E153" i="8"/>
  <c r="D154" i="8"/>
  <c r="E154" i="8"/>
  <c r="D155" i="8"/>
  <c r="E155" i="8"/>
  <c r="D156" i="8"/>
  <c r="E156" i="8"/>
  <c r="D157" i="8"/>
  <c r="E157" i="8"/>
  <c r="D158" i="8"/>
  <c r="E158" i="8"/>
  <c r="D159" i="8"/>
  <c r="E159" i="8"/>
  <c r="D160" i="8"/>
  <c r="E160" i="8"/>
  <c r="D161" i="8"/>
  <c r="E161" i="8"/>
  <c r="D162" i="8"/>
  <c r="E162" i="8"/>
  <c r="D163" i="8"/>
  <c r="E163" i="8"/>
  <c r="D164" i="8"/>
  <c r="E164" i="8"/>
  <c r="D15" i="8"/>
  <c r="E15" i="8"/>
  <c r="D16" i="8"/>
  <c r="E16" i="8"/>
  <c r="D17" i="8"/>
  <c r="E17" i="8"/>
  <c r="D18" i="8"/>
  <c r="E18" i="8"/>
  <c r="D19" i="8"/>
  <c r="E19" i="8"/>
  <c r="D20" i="8"/>
  <c r="E20" i="8"/>
  <c r="D21" i="8"/>
  <c r="E21" i="8"/>
  <c r="D6" i="8"/>
  <c r="E6" i="8"/>
  <c r="D7" i="8"/>
  <c r="E7" i="8"/>
  <c r="D8" i="8"/>
  <c r="E8" i="8"/>
  <c r="D9" i="8"/>
  <c r="E9" i="8"/>
  <c r="D10" i="8"/>
  <c r="E10" i="8"/>
  <c r="D11" i="8"/>
  <c r="E11" i="8"/>
  <c r="D12" i="8"/>
  <c r="E12" i="8"/>
  <c r="D13" i="8"/>
  <c r="E13" i="8"/>
  <c r="D14" i="8"/>
  <c r="E14" i="8"/>
  <c r="E5" i="8"/>
  <c r="D5" i="8"/>
  <c r="AU60" i="8"/>
  <c r="AQ60" i="8" s="1"/>
  <c r="AU59" i="8"/>
  <c r="AQ59" i="8"/>
  <c r="AU58" i="8"/>
  <c r="AQ58" i="8" s="1"/>
  <c r="AU57" i="8"/>
  <c r="AQ57" i="8"/>
  <c r="AU56" i="8"/>
  <c r="AQ56" i="8" s="1"/>
  <c r="AU55" i="8"/>
  <c r="AQ55" i="8" s="1"/>
  <c r="AU54" i="8"/>
  <c r="AQ54" i="8" s="1"/>
  <c r="AU53" i="8"/>
  <c r="AQ53" i="8" s="1"/>
  <c r="AU52" i="8"/>
  <c r="AQ52" i="8" s="1"/>
  <c r="AU51" i="8"/>
  <c r="AQ51" i="8"/>
  <c r="AU50" i="8"/>
  <c r="AQ50" i="8" s="1"/>
  <c r="AU49" i="8"/>
  <c r="AQ49" i="8"/>
  <c r="AU48" i="8"/>
  <c r="AQ48" i="8" s="1"/>
  <c r="AU47" i="8"/>
  <c r="AQ47" i="8" s="1"/>
  <c r="AU46" i="8"/>
  <c r="AQ46" i="8" s="1"/>
  <c r="AU45" i="8"/>
  <c r="AQ45" i="8"/>
  <c r="AU44" i="8"/>
  <c r="AQ44" i="8" s="1"/>
  <c r="AU43" i="8"/>
  <c r="AQ43" i="8"/>
  <c r="AU42" i="8"/>
  <c r="AQ42" i="8" s="1"/>
  <c r="AU41" i="8"/>
  <c r="AQ41" i="8"/>
  <c r="AU40" i="8"/>
  <c r="AQ40" i="8" s="1"/>
  <c r="AU39" i="8"/>
  <c r="AQ39" i="8" s="1"/>
  <c r="AU38" i="8"/>
  <c r="AQ38" i="8" s="1"/>
  <c r="AU37" i="8"/>
  <c r="AQ37" i="8"/>
  <c r="AU36" i="8"/>
  <c r="AQ36" i="8" s="1"/>
  <c r="AU35" i="8"/>
  <c r="AQ35" i="8"/>
  <c r="AU34" i="8"/>
  <c r="AQ34" i="8" s="1"/>
  <c r="AU33" i="8"/>
  <c r="AQ33" i="8"/>
  <c r="AU32" i="8"/>
  <c r="AQ32" i="8" s="1"/>
  <c r="AU31" i="8"/>
  <c r="AQ31" i="8" s="1"/>
  <c r="AU30" i="8"/>
  <c r="AQ30" i="8" s="1"/>
  <c r="AU29" i="8"/>
  <c r="AQ29" i="8"/>
  <c r="AU28" i="8"/>
  <c r="AQ28" i="8" s="1"/>
  <c r="AU27" i="8"/>
  <c r="AQ27" i="8"/>
  <c r="AU26" i="8"/>
  <c r="AQ26" i="8" s="1"/>
  <c r="AU25" i="8"/>
  <c r="AQ25" i="8"/>
  <c r="AU24" i="8"/>
  <c r="AQ24" i="8" s="1"/>
  <c r="AU23" i="8"/>
  <c r="AQ23" i="8" s="1"/>
  <c r="AU22" i="8"/>
  <c r="AQ22" i="8" s="1"/>
  <c r="AU21" i="8"/>
  <c r="AQ21" i="8" s="1"/>
  <c r="AU20" i="8"/>
  <c r="AQ20" i="8" s="1"/>
  <c r="AU19" i="8"/>
  <c r="AQ19" i="8"/>
  <c r="AU18" i="8"/>
  <c r="AQ18" i="8" s="1"/>
  <c r="AU17" i="8"/>
  <c r="AQ17" i="8"/>
  <c r="AU16" i="8"/>
  <c r="AQ16" i="8" s="1"/>
  <c r="AU15" i="8"/>
  <c r="AQ15" i="8" s="1"/>
  <c r="AU14" i="8"/>
  <c r="AQ14" i="8" s="1"/>
  <c r="AU13" i="8"/>
  <c r="AQ13" i="8"/>
  <c r="AU12" i="8"/>
  <c r="AQ12" i="8" s="1"/>
  <c r="AU11" i="8"/>
  <c r="AQ11" i="8"/>
  <c r="AU10" i="8"/>
  <c r="AQ10" i="8" s="1"/>
  <c r="AU9" i="8"/>
  <c r="AQ9" i="8"/>
  <c r="AU8" i="8"/>
  <c r="AQ8" i="8" s="1"/>
  <c r="AU7" i="8"/>
  <c r="AQ7" i="8" s="1"/>
  <c r="AU6" i="8"/>
  <c r="AQ6" i="8" s="1"/>
  <c r="AU5" i="8"/>
  <c r="AQ5" i="8"/>
  <c r="AM151" i="8"/>
  <c r="AI151" i="8" s="1"/>
  <c r="AM150" i="8"/>
  <c r="AI150" i="8"/>
  <c r="AM149" i="8"/>
  <c r="AI149" i="8" s="1"/>
  <c r="AM148" i="8"/>
  <c r="AI148" i="8"/>
  <c r="AM147" i="8"/>
  <c r="AI147" i="8" s="1"/>
  <c r="AM146" i="8"/>
  <c r="AI146" i="8" s="1"/>
  <c r="AM145" i="8"/>
  <c r="AI145" i="8" s="1"/>
  <c r="AM144" i="8"/>
  <c r="AI144" i="8"/>
  <c r="AM143" i="8"/>
  <c r="AI143" i="8" s="1"/>
  <c r="AM142" i="8"/>
  <c r="AI142" i="8"/>
  <c r="AM141" i="8"/>
  <c r="AI141" i="8" s="1"/>
  <c r="AM140" i="8"/>
  <c r="AI140" i="8"/>
  <c r="AM139" i="8"/>
  <c r="AI139" i="8" s="1"/>
  <c r="AM138" i="8"/>
  <c r="AI138" i="8" s="1"/>
  <c r="AM137" i="8"/>
  <c r="AI137" i="8" s="1"/>
  <c r="AM136" i="8"/>
  <c r="AI136" i="8" s="1"/>
  <c r="AM135" i="8"/>
  <c r="AI135" i="8" s="1"/>
  <c r="AM134" i="8"/>
  <c r="AI134" i="8"/>
  <c r="AM133" i="8"/>
  <c r="AI133" i="8" s="1"/>
  <c r="AM132" i="8"/>
  <c r="AI132" i="8"/>
  <c r="AM131" i="8"/>
  <c r="AI131" i="8" s="1"/>
  <c r="AM130" i="8"/>
  <c r="AI130" i="8" s="1"/>
  <c r="AM129" i="8"/>
  <c r="AI129" i="8" s="1"/>
  <c r="AM128" i="8"/>
  <c r="G128" i="8" s="1"/>
  <c r="AI128" i="8"/>
  <c r="AM127" i="8"/>
  <c r="AI127" i="8" s="1"/>
  <c r="AM126" i="8"/>
  <c r="AI126" i="8"/>
  <c r="AM125" i="8"/>
  <c r="AI125" i="8" s="1"/>
  <c r="AM124" i="8"/>
  <c r="AI124" i="8"/>
  <c r="AM123" i="8"/>
  <c r="AM122" i="8"/>
  <c r="AI122" i="8" s="1"/>
  <c r="AM121" i="8"/>
  <c r="AI121" i="8" s="1"/>
  <c r="AM120" i="8"/>
  <c r="G120" i="8" s="1"/>
  <c r="AI120" i="8"/>
  <c r="AM119" i="8"/>
  <c r="AI119" i="8" s="1"/>
  <c r="AM118" i="8"/>
  <c r="AI118" i="8"/>
  <c r="AM117" i="8"/>
  <c r="AI117" i="8" s="1"/>
  <c r="AM116" i="8"/>
  <c r="AI116" i="8"/>
  <c r="AM115" i="8"/>
  <c r="AM114" i="8"/>
  <c r="AI114" i="8" s="1"/>
  <c r="AM113" i="8"/>
  <c r="AI113" i="8" s="1"/>
  <c r="AM112" i="8"/>
  <c r="AI112" i="8"/>
  <c r="AM111" i="8"/>
  <c r="AI111" i="8" s="1"/>
  <c r="AM110" i="8"/>
  <c r="AI110" i="8"/>
  <c r="AM109" i="8"/>
  <c r="AI109" i="8" s="1"/>
  <c r="AM108" i="8"/>
  <c r="AI108" i="8"/>
  <c r="AM107" i="8"/>
  <c r="AI107" i="8" s="1"/>
  <c r="AM106" i="8"/>
  <c r="AI106" i="8" s="1"/>
  <c r="AM105" i="8"/>
  <c r="AI105" i="8" s="1"/>
  <c r="AM104" i="8"/>
  <c r="G104" i="8" s="1"/>
  <c r="AM103" i="8"/>
  <c r="AI103" i="8" s="1"/>
  <c r="AM102" i="8"/>
  <c r="AI102" i="8"/>
  <c r="AM101" i="8"/>
  <c r="AI101" i="8" s="1"/>
  <c r="AM100" i="8"/>
  <c r="AI100" i="8"/>
  <c r="AM99" i="8"/>
  <c r="AI99" i="8" s="1"/>
  <c r="AM98" i="8"/>
  <c r="AM97" i="8"/>
  <c r="AI97" i="8" s="1"/>
  <c r="AM96" i="8"/>
  <c r="AI96" i="8"/>
  <c r="AM95" i="8"/>
  <c r="AI95" i="8" s="1"/>
  <c r="AM94" i="8"/>
  <c r="AI94" i="8"/>
  <c r="AM93" i="8"/>
  <c r="AI93" i="8" s="1"/>
  <c r="AM92" i="8"/>
  <c r="AI92" i="8"/>
  <c r="AM91" i="8"/>
  <c r="AI91" i="8" s="1"/>
  <c r="AM90" i="8"/>
  <c r="AI90" i="8" s="1"/>
  <c r="AM89" i="8"/>
  <c r="AI89" i="8" s="1"/>
  <c r="AM88" i="8"/>
  <c r="G88" i="8" s="1"/>
  <c r="AI88" i="8"/>
  <c r="AM87" i="8"/>
  <c r="AI87" i="8" s="1"/>
  <c r="AM86" i="8"/>
  <c r="AI86" i="8"/>
  <c r="AM85" i="8"/>
  <c r="AI85" i="8" s="1"/>
  <c r="AM84" i="8"/>
  <c r="AI84" i="8"/>
  <c r="AM83" i="8"/>
  <c r="AI83" i="8" s="1"/>
  <c r="AM82" i="8"/>
  <c r="AM81" i="8"/>
  <c r="AI81" i="8" s="1"/>
  <c r="AM80" i="8"/>
  <c r="AI80" i="8"/>
  <c r="AM79" i="8"/>
  <c r="AI79" i="8" s="1"/>
  <c r="AM78" i="8"/>
  <c r="AI78" i="8"/>
  <c r="AM77" i="8"/>
  <c r="AI77" i="8" s="1"/>
  <c r="AM76" i="8"/>
  <c r="AI76" i="8"/>
  <c r="AM75" i="8"/>
  <c r="AI75" i="8" s="1"/>
  <c r="AM74" i="8"/>
  <c r="AI74" i="8" s="1"/>
  <c r="AM73" i="8"/>
  <c r="AI73" i="8" s="1"/>
  <c r="AM72" i="8"/>
  <c r="AI72" i="8" s="1"/>
  <c r="AM71" i="8"/>
  <c r="AI71" i="8" s="1"/>
  <c r="AM70" i="8"/>
  <c r="AI70" i="8"/>
  <c r="AM69" i="8"/>
  <c r="AI69" i="8" s="1"/>
  <c r="AM68" i="8"/>
  <c r="AI68" i="8"/>
  <c r="AM67" i="8"/>
  <c r="AI67" i="8" s="1"/>
  <c r="AM66" i="8"/>
  <c r="AI66" i="8" s="1"/>
  <c r="AM65" i="8"/>
  <c r="AI65" i="8" s="1"/>
  <c r="AM64" i="8"/>
  <c r="G64" i="8" s="1"/>
  <c r="AI64" i="8"/>
  <c r="AM63" i="8"/>
  <c r="AI63" i="8" s="1"/>
  <c r="AM62" i="8"/>
  <c r="G62" i="8" s="1"/>
  <c r="AI62" i="8"/>
  <c r="AM61" i="8"/>
  <c r="AI61" i="8" s="1"/>
  <c r="AM60" i="8"/>
  <c r="AI60" i="8"/>
  <c r="AM59" i="8"/>
  <c r="AI59" i="8" s="1"/>
  <c r="AM58" i="8"/>
  <c r="AI58" i="8" s="1"/>
  <c r="AM57" i="8"/>
  <c r="AI57" i="8" s="1"/>
  <c r="AM56" i="8"/>
  <c r="G56" i="8" s="1"/>
  <c r="AI56" i="8"/>
  <c r="AM55" i="8"/>
  <c r="AI55" i="8" s="1"/>
  <c r="AM54" i="8"/>
  <c r="AI54" i="8"/>
  <c r="AM53" i="8"/>
  <c r="AI53" i="8" s="1"/>
  <c r="AM52" i="8"/>
  <c r="AI52" i="8"/>
  <c r="AM51" i="8"/>
  <c r="AI51" i="8" s="1"/>
  <c r="AM50" i="8"/>
  <c r="AI50" i="8" s="1"/>
  <c r="AM49" i="8"/>
  <c r="AI49" i="8" s="1"/>
  <c r="AM48" i="8"/>
  <c r="G48" i="8" s="1"/>
  <c r="AI48" i="8"/>
  <c r="AM47" i="8"/>
  <c r="AI47" i="8" s="1"/>
  <c r="AM46" i="8"/>
  <c r="AI46" i="8"/>
  <c r="AM45" i="8"/>
  <c r="AI45" i="8" s="1"/>
  <c r="AM44" i="8"/>
  <c r="AI44" i="8"/>
  <c r="AM43" i="8"/>
  <c r="AI43" i="8" s="1"/>
  <c r="AM42" i="8"/>
  <c r="AI42" i="8" s="1"/>
  <c r="AM41" i="8"/>
  <c r="AI41" i="8" s="1"/>
  <c r="AM40" i="8"/>
  <c r="G40" i="8" s="1"/>
  <c r="AM39" i="8"/>
  <c r="AI39" i="8" s="1"/>
  <c r="AM38" i="8"/>
  <c r="AI38" i="8"/>
  <c r="AM37" i="8"/>
  <c r="AI37" i="8" s="1"/>
  <c r="AM36" i="8"/>
  <c r="AI36" i="8"/>
  <c r="AM35" i="8"/>
  <c r="AI35" i="8" s="1"/>
  <c r="AM34" i="8"/>
  <c r="AI34" i="8" s="1"/>
  <c r="AM33" i="8"/>
  <c r="AI33" i="8" s="1"/>
  <c r="AM32" i="8"/>
  <c r="G32" i="8" s="1"/>
  <c r="AI32" i="8"/>
  <c r="AM31" i="8"/>
  <c r="AI31" i="8" s="1"/>
  <c r="AM30" i="8"/>
  <c r="AI30" i="8"/>
  <c r="AM29" i="8"/>
  <c r="AI29" i="8" s="1"/>
  <c r="AM28" i="8"/>
  <c r="AI28" i="8"/>
  <c r="AM27" i="8"/>
  <c r="AI27" i="8" s="1"/>
  <c r="AM26" i="8"/>
  <c r="AI26" i="8" s="1"/>
  <c r="AM25" i="8"/>
  <c r="AI25" i="8" s="1"/>
  <c r="AM24" i="8"/>
  <c r="AI24" i="8"/>
  <c r="AM23" i="8"/>
  <c r="AI23" i="8" s="1"/>
  <c r="AM22" i="8"/>
  <c r="AI22" i="8"/>
  <c r="AM21" i="8"/>
  <c r="AI21" i="8" s="1"/>
  <c r="AM20" i="8"/>
  <c r="AI20" i="8"/>
  <c r="AM19" i="8"/>
  <c r="AI19" i="8" s="1"/>
  <c r="AM18" i="8"/>
  <c r="AM17" i="8"/>
  <c r="AI17" i="8" s="1"/>
  <c r="AM16" i="8"/>
  <c r="AI16" i="8"/>
  <c r="AM15" i="8"/>
  <c r="AI15" i="8" s="1"/>
  <c r="AM14" i="8"/>
  <c r="G14" i="8" s="1"/>
  <c r="AI14" i="8"/>
  <c r="AM13" i="8"/>
  <c r="AI13" i="8" s="1"/>
  <c r="AM12" i="8"/>
  <c r="AI12" i="8"/>
  <c r="AM11" i="8"/>
  <c r="AI11" i="8" s="1"/>
  <c r="AM10" i="8"/>
  <c r="AI10" i="8" s="1"/>
  <c r="AM9" i="8"/>
  <c r="AI9" i="8" s="1"/>
  <c r="AM8" i="8"/>
  <c r="G8" i="8" s="1"/>
  <c r="AM7" i="8"/>
  <c r="AI7" i="8" s="1"/>
  <c r="AM6" i="8"/>
  <c r="AI6" i="8"/>
  <c r="AM5" i="8"/>
  <c r="AI5" i="8" s="1"/>
  <c r="AE88" i="8"/>
  <c r="AA88" i="8"/>
  <c r="AE87" i="8"/>
  <c r="AA87" i="8" s="1"/>
  <c r="AE86" i="8"/>
  <c r="AE85" i="8"/>
  <c r="AA85" i="8" s="1"/>
  <c r="AE84" i="8"/>
  <c r="G84" i="8" s="1"/>
  <c r="AA84" i="8"/>
  <c r="AE83" i="8"/>
  <c r="AA83" i="8" s="1"/>
  <c r="AE82" i="8"/>
  <c r="AA82" i="8"/>
  <c r="AE81" i="8"/>
  <c r="AA81" i="8" s="1"/>
  <c r="AE80" i="8"/>
  <c r="AA80" i="8"/>
  <c r="AE79" i="8"/>
  <c r="AA79" i="8" s="1"/>
  <c r="AE78" i="8"/>
  <c r="AA78" i="8" s="1"/>
  <c r="AE77" i="8"/>
  <c r="AA77" i="8" s="1"/>
  <c r="AE76" i="8"/>
  <c r="G76" i="8" s="1"/>
  <c r="AA76" i="8"/>
  <c r="AE75" i="8"/>
  <c r="AA75" i="8" s="1"/>
  <c r="AE74" i="8"/>
  <c r="AA74" i="8"/>
  <c r="AE73" i="8"/>
  <c r="AA73" i="8" s="1"/>
  <c r="AE72" i="8"/>
  <c r="AA72" i="8"/>
  <c r="AE71" i="8"/>
  <c r="AA71" i="8"/>
  <c r="AE70" i="8"/>
  <c r="AA70" i="8"/>
  <c r="AE69" i="8"/>
  <c r="AA69" i="8"/>
  <c r="AE68" i="8"/>
  <c r="AA68" i="8"/>
  <c r="AE67" i="8"/>
  <c r="AA67" i="8"/>
  <c r="AE66" i="8"/>
  <c r="AA66" i="8"/>
  <c r="AE65" i="8"/>
  <c r="AA65" i="8"/>
  <c r="AE64" i="8"/>
  <c r="AA64" i="8"/>
  <c r="AE63" i="8"/>
  <c r="AA63" i="8"/>
  <c r="AE62" i="8"/>
  <c r="AA62" i="8"/>
  <c r="AE61" i="8"/>
  <c r="AA61" i="8"/>
  <c r="AE60" i="8"/>
  <c r="AA60" i="8"/>
  <c r="AE59" i="8"/>
  <c r="AA59" i="8"/>
  <c r="AE58" i="8"/>
  <c r="AA58" i="8"/>
  <c r="AE57" i="8"/>
  <c r="AA57" i="8"/>
  <c r="AE56" i="8"/>
  <c r="AA56" i="8"/>
  <c r="AE55" i="8"/>
  <c r="AA55" i="8"/>
  <c r="AE54" i="8"/>
  <c r="AA54" i="8"/>
  <c r="AE53" i="8"/>
  <c r="AA53" i="8"/>
  <c r="AE52" i="8"/>
  <c r="AA52" i="8"/>
  <c r="AE51" i="8"/>
  <c r="AA51" i="8"/>
  <c r="AE50" i="8"/>
  <c r="AA50" i="8"/>
  <c r="AE49" i="8"/>
  <c r="AA49" i="8"/>
  <c r="AE48" i="8"/>
  <c r="AA48" i="8"/>
  <c r="AE47" i="8"/>
  <c r="AA47" i="8"/>
  <c r="AE46" i="8"/>
  <c r="AA46" i="8"/>
  <c r="AE45" i="8"/>
  <c r="AA45" i="8"/>
  <c r="AE44" i="8"/>
  <c r="AA44" i="8"/>
  <c r="AE43" i="8"/>
  <c r="AA43" i="8"/>
  <c r="AE42" i="8"/>
  <c r="AA42" i="8"/>
  <c r="AE41" i="8"/>
  <c r="AA41" i="8"/>
  <c r="AE40" i="8"/>
  <c r="AA40" i="8"/>
  <c r="AE39" i="8"/>
  <c r="AA39" i="8"/>
  <c r="AE38" i="8"/>
  <c r="AA38" i="8"/>
  <c r="AE37" i="8"/>
  <c r="AA37" i="8"/>
  <c r="AE36" i="8"/>
  <c r="AA36" i="8"/>
  <c r="AE35" i="8"/>
  <c r="AA35" i="8"/>
  <c r="AE34" i="8"/>
  <c r="AA34" i="8"/>
  <c r="AE33" i="8"/>
  <c r="AA33" i="8"/>
  <c r="AE32" i="8"/>
  <c r="AA32" i="8"/>
  <c r="AE31" i="8"/>
  <c r="AA31" i="8"/>
  <c r="AE30" i="8"/>
  <c r="AA30" i="8"/>
  <c r="AE29" i="8"/>
  <c r="AA29" i="8"/>
  <c r="AE28" i="8"/>
  <c r="AA28" i="8"/>
  <c r="AE27" i="8"/>
  <c r="AA27" i="8"/>
  <c r="AE26" i="8"/>
  <c r="AA26" i="8"/>
  <c r="AE25" i="8"/>
  <c r="AA25" i="8"/>
  <c r="AE24" i="8"/>
  <c r="AA24" i="8"/>
  <c r="AE23" i="8"/>
  <c r="AA23" i="8"/>
  <c r="AE22" i="8"/>
  <c r="AA22" i="8"/>
  <c r="AE21" i="8"/>
  <c r="AA21" i="8"/>
  <c r="AE20" i="8"/>
  <c r="AA20" i="8"/>
  <c r="AE19" i="8"/>
  <c r="AA19" i="8"/>
  <c r="AE18" i="8"/>
  <c r="AA18" i="8"/>
  <c r="AE17" i="8"/>
  <c r="AA17" i="8"/>
  <c r="AE16" i="8"/>
  <c r="AA16" i="8"/>
  <c r="AE15" i="8"/>
  <c r="AA15" i="8"/>
  <c r="AE14" i="8"/>
  <c r="AA14" i="8"/>
  <c r="AE13" i="8"/>
  <c r="AA13" i="8"/>
  <c r="AE12" i="8"/>
  <c r="AA12" i="8"/>
  <c r="AE11" i="8"/>
  <c r="AA11" i="8"/>
  <c r="AE10" i="8"/>
  <c r="AA10" i="8"/>
  <c r="AE9" i="8"/>
  <c r="AA9" i="8"/>
  <c r="AE8" i="8"/>
  <c r="AA8" i="8"/>
  <c r="AE7" i="8"/>
  <c r="AA7" i="8"/>
  <c r="AE6" i="8"/>
  <c r="AA6" i="8"/>
  <c r="AE5" i="8"/>
  <c r="AA5" i="8"/>
  <c r="W88" i="8"/>
  <c r="S88" i="8"/>
  <c r="W87" i="8"/>
  <c r="S87" i="8"/>
  <c r="W86" i="8"/>
  <c r="S86" i="8"/>
  <c r="W85" i="8"/>
  <c r="S85" i="8"/>
  <c r="W84" i="8"/>
  <c r="S84" i="8"/>
  <c r="W83" i="8"/>
  <c r="S83" i="8"/>
  <c r="W82" i="8"/>
  <c r="S82" i="8"/>
  <c r="W81" i="8"/>
  <c r="S81" i="8"/>
  <c r="W80" i="8"/>
  <c r="S80" i="8"/>
  <c r="W79" i="8"/>
  <c r="S79" i="8"/>
  <c r="W78" i="8"/>
  <c r="S78" i="8"/>
  <c r="W77" i="8"/>
  <c r="G77" i="8" s="1"/>
  <c r="S77" i="8"/>
  <c r="W76" i="8"/>
  <c r="S76" i="8"/>
  <c r="W75" i="8"/>
  <c r="S75" i="8"/>
  <c r="W74" i="8"/>
  <c r="S74" i="8"/>
  <c r="W73" i="8"/>
  <c r="S73" i="8"/>
  <c r="W72" i="8"/>
  <c r="S72" i="8"/>
  <c r="W71" i="8"/>
  <c r="S71" i="8"/>
  <c r="W70" i="8"/>
  <c r="S70" i="8"/>
  <c r="W69" i="8"/>
  <c r="S69" i="8"/>
  <c r="W68" i="8"/>
  <c r="S68" i="8"/>
  <c r="W67" i="8"/>
  <c r="G67" i="8" s="1"/>
  <c r="S67" i="8"/>
  <c r="W66" i="8"/>
  <c r="S66" i="8"/>
  <c r="W65" i="8"/>
  <c r="G65" i="8" s="1"/>
  <c r="S65" i="8"/>
  <c r="W64" i="8"/>
  <c r="S64" i="8"/>
  <c r="W63" i="8"/>
  <c r="S63" i="8"/>
  <c r="W62" i="8"/>
  <c r="S62" i="8"/>
  <c r="W61" i="8"/>
  <c r="S61" i="8"/>
  <c r="W60" i="8"/>
  <c r="S60" i="8"/>
  <c r="W59" i="8"/>
  <c r="S59" i="8"/>
  <c r="W58" i="8"/>
  <c r="S58" i="8"/>
  <c r="W57" i="8"/>
  <c r="S57" i="8"/>
  <c r="W56" i="8"/>
  <c r="S56" i="8"/>
  <c r="W55" i="8"/>
  <c r="S55" i="8"/>
  <c r="W54" i="8"/>
  <c r="S54" i="8"/>
  <c r="W53" i="8"/>
  <c r="S53" i="8"/>
  <c r="W52" i="8"/>
  <c r="S52" i="8"/>
  <c r="W51" i="8"/>
  <c r="S51" i="8"/>
  <c r="W50" i="8"/>
  <c r="S50" i="8"/>
  <c r="W49" i="8"/>
  <c r="S49" i="8"/>
  <c r="W48" i="8"/>
  <c r="S48" i="8"/>
  <c r="W47" i="8"/>
  <c r="S47" i="8"/>
  <c r="W46" i="8"/>
  <c r="S46" i="8"/>
  <c r="W45" i="8"/>
  <c r="S45" i="8"/>
  <c r="W44" i="8"/>
  <c r="S44" i="8"/>
  <c r="W43" i="8"/>
  <c r="S43" i="8"/>
  <c r="W42" i="8"/>
  <c r="S42" i="8"/>
  <c r="W41" i="8"/>
  <c r="S41" i="8"/>
  <c r="W40" i="8"/>
  <c r="S40" i="8"/>
  <c r="W39" i="8"/>
  <c r="S39" i="8"/>
  <c r="W38" i="8"/>
  <c r="S38" i="8"/>
  <c r="W37" i="8"/>
  <c r="S37" i="8"/>
  <c r="W36" i="8"/>
  <c r="S36" i="8"/>
  <c r="W35" i="8"/>
  <c r="S35" i="8"/>
  <c r="W34" i="8"/>
  <c r="S34" i="8"/>
  <c r="W33" i="8"/>
  <c r="S33" i="8"/>
  <c r="W32" i="8"/>
  <c r="S32" i="8"/>
  <c r="W31" i="8"/>
  <c r="S31" i="8"/>
  <c r="W30" i="8"/>
  <c r="S30" i="8"/>
  <c r="W29" i="8"/>
  <c r="S29" i="8"/>
  <c r="W28" i="8"/>
  <c r="S28" i="8"/>
  <c r="W27" i="8"/>
  <c r="S27" i="8"/>
  <c r="W26" i="8"/>
  <c r="S26" i="8"/>
  <c r="W25" i="8"/>
  <c r="S25" i="8"/>
  <c r="W24" i="8"/>
  <c r="S24" i="8"/>
  <c r="W23" i="8"/>
  <c r="S23" i="8"/>
  <c r="W22" i="8"/>
  <c r="S22" i="8"/>
  <c r="W21" i="8"/>
  <c r="S21" i="8"/>
  <c r="W20" i="8"/>
  <c r="S20" i="8"/>
  <c r="W19" i="8"/>
  <c r="S19" i="8"/>
  <c r="W18" i="8"/>
  <c r="S18" i="8"/>
  <c r="W17" i="8"/>
  <c r="S17" i="8"/>
  <c r="W16" i="8"/>
  <c r="S16" i="8"/>
  <c r="W15" i="8"/>
  <c r="S15" i="8"/>
  <c r="W14" i="8"/>
  <c r="S14" i="8"/>
  <c r="W13" i="8"/>
  <c r="S13" i="8"/>
  <c r="W12" i="8"/>
  <c r="S12" i="8"/>
  <c r="W11" i="8"/>
  <c r="S11" i="8"/>
  <c r="W10" i="8"/>
  <c r="S10" i="8"/>
  <c r="W9" i="8"/>
  <c r="S9" i="8"/>
  <c r="W8" i="8"/>
  <c r="S8" i="8"/>
  <c r="W7" i="8"/>
  <c r="S7" i="8"/>
  <c r="W6" i="8"/>
  <c r="S6" i="8"/>
  <c r="W5" i="8"/>
  <c r="S5" i="8"/>
  <c r="O64" i="8"/>
  <c r="K64" i="8"/>
  <c r="O63" i="8"/>
  <c r="K63" i="8"/>
  <c r="O62" i="8"/>
  <c r="K62" i="8"/>
  <c r="O61" i="8"/>
  <c r="K61" i="8"/>
  <c r="O60" i="8"/>
  <c r="K60" i="8"/>
  <c r="O59" i="8"/>
  <c r="K59" i="8"/>
  <c r="O58" i="8"/>
  <c r="K58" i="8"/>
  <c r="O57" i="8"/>
  <c r="K57" i="8"/>
  <c r="O56" i="8"/>
  <c r="K56" i="8"/>
  <c r="O55" i="8"/>
  <c r="G55" i="8" s="1"/>
  <c r="K55" i="8"/>
  <c r="O54" i="8"/>
  <c r="K54" i="8"/>
  <c r="O53" i="8"/>
  <c r="K53" i="8"/>
  <c r="O52" i="8"/>
  <c r="K52" i="8"/>
  <c r="O51" i="8"/>
  <c r="G51" i="8" s="1"/>
  <c r="K51" i="8"/>
  <c r="O50" i="8"/>
  <c r="K50" i="8"/>
  <c r="O49" i="8"/>
  <c r="G49" i="8" s="1"/>
  <c r="K49" i="8"/>
  <c r="O48" i="8"/>
  <c r="K48" i="8"/>
  <c r="O47" i="8"/>
  <c r="K47" i="8"/>
  <c r="O46" i="8"/>
  <c r="K46" i="8"/>
  <c r="O45" i="8"/>
  <c r="G45" i="8" s="1"/>
  <c r="K45" i="8"/>
  <c r="O44" i="8"/>
  <c r="K44" i="8"/>
  <c r="O43" i="8"/>
  <c r="K43" i="8"/>
  <c r="O42" i="8"/>
  <c r="K42" i="8"/>
  <c r="O41" i="8"/>
  <c r="G41" i="8" s="1"/>
  <c r="K41" i="8"/>
  <c r="O40" i="8"/>
  <c r="K40" i="8"/>
  <c r="O39" i="8"/>
  <c r="K39" i="8"/>
  <c r="O38" i="8"/>
  <c r="K38" i="8"/>
  <c r="O37" i="8"/>
  <c r="G37" i="8" s="1"/>
  <c r="K37" i="8"/>
  <c r="O36" i="8"/>
  <c r="K36" i="8"/>
  <c r="O35" i="8"/>
  <c r="K35" i="8"/>
  <c r="O34" i="8"/>
  <c r="K34" i="8"/>
  <c r="O33" i="8"/>
  <c r="G33" i="8" s="1"/>
  <c r="K33" i="8"/>
  <c r="O32" i="8"/>
  <c r="K32" i="8"/>
  <c r="O31" i="8"/>
  <c r="G31" i="8" s="1"/>
  <c r="K31" i="8"/>
  <c r="O30" i="8"/>
  <c r="K30" i="8"/>
  <c r="O29" i="8"/>
  <c r="K29" i="8"/>
  <c r="O28" i="8"/>
  <c r="K28" i="8"/>
  <c r="O27" i="8"/>
  <c r="K27" i="8"/>
  <c r="O26" i="8"/>
  <c r="K26" i="8"/>
  <c r="O25" i="8"/>
  <c r="G25" i="8" s="1"/>
  <c r="K25" i="8"/>
  <c r="O24" i="8"/>
  <c r="K24" i="8"/>
  <c r="O23" i="8"/>
  <c r="G23" i="8" s="1"/>
  <c r="K23" i="8"/>
  <c r="O22" i="8"/>
  <c r="K22" i="8"/>
  <c r="O21" i="8"/>
  <c r="K21" i="8"/>
  <c r="O20" i="8"/>
  <c r="K20" i="8"/>
  <c r="O19" i="8"/>
  <c r="K19" i="8"/>
  <c r="O18" i="8"/>
  <c r="K18" i="8"/>
  <c r="O17" i="8"/>
  <c r="K17" i="8"/>
  <c r="O16" i="8"/>
  <c r="K16" i="8"/>
  <c r="O15" i="8"/>
  <c r="G15" i="8" s="1"/>
  <c r="K15" i="8"/>
  <c r="O14" i="8"/>
  <c r="K14" i="8"/>
  <c r="O13" i="8"/>
  <c r="G13" i="8" s="1"/>
  <c r="K13" i="8"/>
  <c r="O12" i="8"/>
  <c r="K12" i="8"/>
  <c r="O11" i="8"/>
  <c r="K11" i="8"/>
  <c r="O10" i="8"/>
  <c r="K10" i="8"/>
  <c r="O9" i="8"/>
  <c r="G9" i="8" s="1"/>
  <c r="K9" i="8"/>
  <c r="O8" i="8"/>
  <c r="K8" i="8"/>
  <c r="O7" i="8"/>
  <c r="K7" i="8"/>
  <c r="K65" i="8" s="1"/>
  <c r="O6" i="8"/>
  <c r="K6" i="8"/>
  <c r="O5" i="8"/>
  <c r="G5" i="8" s="1"/>
  <c r="D62" i="1"/>
  <c r="D17" i="3" s="1"/>
  <c r="E62" i="1"/>
  <c r="BB29" i="1"/>
  <c r="BS29" i="1" s="1"/>
  <c r="CJ29" i="1" s="1"/>
  <c r="DA29" i="1" s="1"/>
  <c r="DR29" i="1" s="1"/>
  <c r="EI29" i="1" s="1"/>
  <c r="EZ29" i="1" s="1"/>
  <c r="BB20" i="1"/>
  <c r="BS20" i="1" s="1"/>
  <c r="CJ20" i="1" s="1"/>
  <c r="DA20" i="1" s="1"/>
  <c r="DR20" i="1" s="1"/>
  <c r="EI20" i="1" s="1"/>
  <c r="EZ20" i="1" s="1"/>
  <c r="BB25" i="1"/>
  <c r="BS25" i="1" s="1"/>
  <c r="CJ25" i="1" s="1"/>
  <c r="DA25" i="1" s="1"/>
  <c r="DR25" i="1" s="1"/>
  <c r="EI25" i="1" s="1"/>
  <c r="EZ25" i="1" s="1"/>
  <c r="BB19" i="1"/>
  <c r="BS19" i="1" s="1"/>
  <c r="CJ19" i="1" s="1"/>
  <c r="DA19" i="1" s="1"/>
  <c r="DR19" i="1" s="1"/>
  <c r="EI19" i="1" s="1"/>
  <c r="EZ19" i="1" s="1"/>
  <c r="FM14" i="1"/>
  <c r="EV14" i="1"/>
  <c r="EW14" i="1" s="1"/>
  <c r="EE14" i="1"/>
  <c r="EF14" i="1" s="1"/>
  <c r="DN14" i="1"/>
  <c r="CW14" i="1"/>
  <c r="I18" i="2" s="1"/>
  <c r="BO14" i="1"/>
  <c r="BP14" i="1" s="1"/>
  <c r="AF32" i="11"/>
  <c r="AF39" i="11"/>
  <c r="AF40" i="11" s="1"/>
  <c r="AG32" i="11"/>
  <c r="AG39" i="11"/>
  <c r="AG40" i="11" s="1"/>
  <c r="AG44" i="11" s="1"/>
  <c r="AH32" i="11"/>
  <c r="AH39" i="11"/>
  <c r="AH40" i="11" s="1"/>
  <c r="AI32" i="11"/>
  <c r="AI39" i="11"/>
  <c r="AI40" i="11" s="1"/>
  <c r="AI44" i="11" s="1"/>
  <c r="AB32" i="11"/>
  <c r="AB44" i="11" s="1"/>
  <c r="AB39" i="11"/>
  <c r="AB40" i="11"/>
  <c r="AC32" i="11"/>
  <c r="AC39" i="11"/>
  <c r="AC40" i="11" s="1"/>
  <c r="AD32" i="11"/>
  <c r="AD39" i="11"/>
  <c r="AD40" i="11"/>
  <c r="AE32" i="11"/>
  <c r="AE39" i="11"/>
  <c r="AE40" i="11"/>
  <c r="X32" i="11"/>
  <c r="X44" i="11" s="1"/>
  <c r="X39" i="11"/>
  <c r="X40" i="11"/>
  <c r="Y32" i="11"/>
  <c r="Y39" i="11"/>
  <c r="Y40" i="11" s="1"/>
  <c r="Z32" i="11"/>
  <c r="Z39" i="11"/>
  <c r="Z40" i="11" s="1"/>
  <c r="AA32" i="11"/>
  <c r="AA39" i="11"/>
  <c r="AA40" i="11"/>
  <c r="AI33" i="11"/>
  <c r="AI43" i="11" s="1"/>
  <c r="AI41" i="11"/>
  <c r="AH33" i="11"/>
  <c r="AH41" i="11"/>
  <c r="AG33" i="11"/>
  <c r="AG43" i="11" s="1"/>
  <c r="AG41" i="11"/>
  <c r="AF33" i="11"/>
  <c r="AF41" i="11"/>
  <c r="AF43" i="11" s="1"/>
  <c r="AE33" i="11"/>
  <c r="AE41" i="11"/>
  <c r="AD33" i="11"/>
  <c r="AD41" i="11"/>
  <c r="AC33" i="11"/>
  <c r="AC41" i="11"/>
  <c r="AC43" i="11"/>
  <c r="AB33" i="11"/>
  <c r="AB41" i="11"/>
  <c r="AA33" i="11"/>
  <c r="AA41" i="11"/>
  <c r="Z33" i="11"/>
  <c r="Z43" i="11" s="1"/>
  <c r="Z41" i="11"/>
  <c r="Y33" i="11"/>
  <c r="Y41" i="11"/>
  <c r="Y43" i="11"/>
  <c r="X33" i="11"/>
  <c r="X41" i="11"/>
  <c r="X43" i="11" s="1"/>
  <c r="AF8" i="11"/>
  <c r="AG8" i="11"/>
  <c r="AH8" i="11"/>
  <c r="AI8" i="11"/>
  <c r="AB8" i="11"/>
  <c r="AC8" i="11"/>
  <c r="AD8" i="11"/>
  <c r="AE8" i="11"/>
  <c r="X8" i="11"/>
  <c r="Y8" i="11"/>
  <c r="Z8" i="11"/>
  <c r="AA8" i="11"/>
  <c r="T8" i="11"/>
  <c r="U8" i="11"/>
  <c r="V8" i="11"/>
  <c r="W8" i="11"/>
  <c r="P8" i="11"/>
  <c r="Q8" i="11"/>
  <c r="R8" i="11"/>
  <c r="S8" i="11"/>
  <c r="L8" i="11"/>
  <c r="M8" i="11"/>
  <c r="N8" i="11"/>
  <c r="O8" i="11"/>
  <c r="H8" i="11"/>
  <c r="I8" i="11"/>
  <c r="J8" i="11"/>
  <c r="K8" i="11"/>
  <c r="E8" i="11"/>
  <c r="F8" i="11"/>
  <c r="G8" i="11"/>
  <c r="AI9" i="11"/>
  <c r="AI17" i="11"/>
  <c r="AI19" i="11" s="1"/>
  <c r="AH9" i="11"/>
  <c r="AH17" i="11"/>
  <c r="AG9" i="11"/>
  <c r="AG17" i="11"/>
  <c r="AF9" i="11"/>
  <c r="AF17" i="11"/>
  <c r="AF19" i="11"/>
  <c r="AE9" i="11"/>
  <c r="AE17" i="11"/>
  <c r="AD9" i="11"/>
  <c r="AD17" i="11"/>
  <c r="AC9" i="11"/>
  <c r="AC17" i="11"/>
  <c r="AB9" i="11"/>
  <c r="AB17" i="11"/>
  <c r="AB19" i="11"/>
  <c r="AA9" i="11"/>
  <c r="AA17" i="11"/>
  <c r="AA19" i="11" s="1"/>
  <c r="Z9" i="11"/>
  <c r="Z17" i="11"/>
  <c r="Y9" i="11"/>
  <c r="Y17" i="11"/>
  <c r="X9" i="11"/>
  <c r="X17" i="11"/>
  <c r="W9" i="11"/>
  <c r="W17" i="11"/>
  <c r="W19" i="11" s="1"/>
  <c r="V9" i="11"/>
  <c r="V19" i="11" s="1"/>
  <c r="V17" i="11"/>
  <c r="U9" i="11"/>
  <c r="U17" i="11"/>
  <c r="T9" i="11"/>
  <c r="T19" i="11" s="1"/>
  <c r="T17" i="11"/>
  <c r="S9" i="11"/>
  <c r="S17" i="11"/>
  <c r="R9" i="11"/>
  <c r="R17" i="11"/>
  <c r="Q9" i="11"/>
  <c r="Q17" i="11"/>
  <c r="P9" i="11"/>
  <c r="P17" i="11"/>
  <c r="P19" i="11"/>
  <c r="O9" i="11"/>
  <c r="O17" i="11"/>
  <c r="N9" i="11"/>
  <c r="N17" i="11"/>
  <c r="M9" i="11"/>
  <c r="M17" i="11"/>
  <c r="L9" i="11"/>
  <c r="L17" i="11"/>
  <c r="L19" i="11" s="1"/>
  <c r="K9" i="11"/>
  <c r="K17" i="11"/>
  <c r="K19" i="11" s="1"/>
  <c r="J9" i="11"/>
  <c r="J19" i="11" s="1"/>
  <c r="J17" i="11"/>
  <c r="I9" i="11"/>
  <c r="I17" i="11"/>
  <c r="H9" i="11"/>
  <c r="H19" i="11" s="1"/>
  <c r="H17" i="11"/>
  <c r="G9" i="11"/>
  <c r="G17" i="11"/>
  <c r="G19" i="11" s="1"/>
  <c r="F9" i="11"/>
  <c r="F19" i="11" s="1"/>
  <c r="F17" i="11"/>
  <c r="E9" i="11"/>
  <c r="E17" i="11"/>
  <c r="D9" i="11"/>
  <c r="D19" i="11" s="1"/>
  <c r="D17" i="11"/>
  <c r="P36" i="10"/>
  <c r="T36" i="10"/>
  <c r="L36" i="10"/>
  <c r="H36" i="10"/>
  <c r="P18" i="10"/>
  <c r="R18" i="10"/>
  <c r="T18" i="10"/>
  <c r="AE112" i="8"/>
  <c r="G112" i="8" s="1"/>
  <c r="AA112" i="8"/>
  <c r="AE111" i="8"/>
  <c r="AE110" i="8"/>
  <c r="AA110" i="8"/>
  <c r="AE109" i="8"/>
  <c r="AA109" i="8" s="1"/>
  <c r="AE108" i="8"/>
  <c r="G108" i="8" s="1"/>
  <c r="AA108" i="8"/>
  <c r="AE107" i="8"/>
  <c r="AE106" i="8"/>
  <c r="AA106" i="8"/>
  <c r="AE105" i="8"/>
  <c r="AE104" i="8"/>
  <c r="AA104" i="8"/>
  <c r="AE103" i="8"/>
  <c r="AA103" i="8" s="1"/>
  <c r="AE102" i="8"/>
  <c r="G102" i="8" s="1"/>
  <c r="AA102" i="8"/>
  <c r="AE101" i="8"/>
  <c r="AE100" i="8"/>
  <c r="AA100" i="8"/>
  <c r="AE99" i="8"/>
  <c r="AA99" i="8" s="1"/>
  <c r="AE98" i="8"/>
  <c r="AA98" i="8"/>
  <c r="AE97" i="8"/>
  <c r="AA97" i="8" s="1"/>
  <c r="AE96" i="8"/>
  <c r="AA96" i="8"/>
  <c r="AE95" i="8"/>
  <c r="AE94" i="8"/>
  <c r="AA94" i="8"/>
  <c r="AE93" i="8"/>
  <c r="AA93" i="8" s="1"/>
  <c r="AE92" i="8"/>
  <c r="G92" i="8" s="1"/>
  <c r="AA92" i="8"/>
  <c r="AE91" i="8"/>
  <c r="AE90" i="8"/>
  <c r="AA90" i="8"/>
  <c r="AE89" i="8"/>
  <c r="F107" i="8"/>
  <c r="F103" i="8"/>
  <c r="F99" i="8"/>
  <c r="F95" i="8"/>
  <c r="F91" i="8"/>
  <c r="F87" i="8"/>
  <c r="F83" i="8"/>
  <c r="F79" i="8"/>
  <c r="F75" i="8"/>
  <c r="F71" i="8"/>
  <c r="F67" i="8"/>
  <c r="F63" i="8"/>
  <c r="F59" i="8"/>
  <c r="F55" i="8"/>
  <c r="E42" i="1"/>
  <c r="D42" i="1"/>
  <c r="F6" i="8"/>
  <c r="H6" i="8"/>
  <c r="F7" i="8"/>
  <c r="H7" i="8"/>
  <c r="F8" i="8"/>
  <c r="H8" i="8"/>
  <c r="F9" i="8"/>
  <c r="H9" i="8"/>
  <c r="F10" i="8"/>
  <c r="H10" i="8"/>
  <c r="F11" i="8"/>
  <c r="H11" i="8"/>
  <c r="F12" i="8"/>
  <c r="H12" i="8"/>
  <c r="F13" i="8"/>
  <c r="H13" i="8"/>
  <c r="F14" i="8"/>
  <c r="H14" i="8"/>
  <c r="F15" i="8"/>
  <c r="H15" i="8"/>
  <c r="F16" i="8"/>
  <c r="H16" i="8"/>
  <c r="F17" i="8"/>
  <c r="H17" i="8"/>
  <c r="F18" i="8"/>
  <c r="H18" i="8"/>
  <c r="F19" i="8"/>
  <c r="G19" i="8"/>
  <c r="H19" i="8"/>
  <c r="F20" i="8"/>
  <c r="H20" i="8"/>
  <c r="F21" i="8"/>
  <c r="H21" i="8"/>
  <c r="F22" i="8"/>
  <c r="H22" i="8"/>
  <c r="F23" i="8"/>
  <c r="H23" i="8"/>
  <c r="F24" i="8"/>
  <c r="H24" i="8"/>
  <c r="F25" i="8"/>
  <c r="H25" i="8"/>
  <c r="F26" i="8"/>
  <c r="H26" i="8"/>
  <c r="F27" i="8"/>
  <c r="H27" i="8"/>
  <c r="F28" i="8"/>
  <c r="H28" i="8"/>
  <c r="F29" i="8"/>
  <c r="H29" i="8"/>
  <c r="F30" i="8"/>
  <c r="H30" i="8"/>
  <c r="F31" i="8"/>
  <c r="H31" i="8"/>
  <c r="F32" i="8"/>
  <c r="H32" i="8"/>
  <c r="F33" i="8"/>
  <c r="H33" i="8"/>
  <c r="F34" i="8"/>
  <c r="H34" i="8"/>
  <c r="F35" i="8"/>
  <c r="H35" i="8"/>
  <c r="F36" i="8"/>
  <c r="G36" i="8"/>
  <c r="H36" i="8"/>
  <c r="F37" i="8"/>
  <c r="H37" i="8"/>
  <c r="F38" i="8"/>
  <c r="G38" i="8"/>
  <c r="H38" i="8"/>
  <c r="F39" i="8"/>
  <c r="G39" i="8"/>
  <c r="H39" i="8"/>
  <c r="F40" i="8"/>
  <c r="H40" i="8"/>
  <c r="F41" i="8"/>
  <c r="H41" i="8"/>
  <c r="F42" i="8"/>
  <c r="H42" i="8"/>
  <c r="F43" i="8"/>
  <c r="G43" i="8"/>
  <c r="H43" i="8"/>
  <c r="F44" i="8"/>
  <c r="G44" i="8"/>
  <c r="H44" i="8"/>
  <c r="F45" i="8"/>
  <c r="H45" i="8"/>
  <c r="F46" i="8"/>
  <c r="G46" i="8"/>
  <c r="H46" i="8"/>
  <c r="F47" i="8"/>
  <c r="G47" i="8"/>
  <c r="H47" i="8"/>
  <c r="F48" i="8"/>
  <c r="H48" i="8"/>
  <c r="F49" i="8"/>
  <c r="H49" i="8"/>
  <c r="F50" i="8"/>
  <c r="H50" i="8"/>
  <c r="F51" i="8"/>
  <c r="H51" i="8"/>
  <c r="F52" i="8"/>
  <c r="G52" i="8"/>
  <c r="H52" i="8"/>
  <c r="F53" i="8"/>
  <c r="H53" i="8"/>
  <c r="F54" i="8"/>
  <c r="G54" i="8"/>
  <c r="H54" i="8"/>
  <c r="H55" i="8"/>
  <c r="F56" i="8"/>
  <c r="H56" i="8"/>
  <c r="F57" i="8"/>
  <c r="G57" i="8"/>
  <c r="H57" i="8"/>
  <c r="F58" i="8"/>
  <c r="H58" i="8"/>
  <c r="H59" i="8"/>
  <c r="F60" i="8"/>
  <c r="G60" i="8"/>
  <c r="H60" i="8"/>
  <c r="F61" i="8"/>
  <c r="H61" i="8"/>
  <c r="F62" i="8"/>
  <c r="H62" i="8"/>
  <c r="G63" i="8"/>
  <c r="H63" i="8"/>
  <c r="F64" i="8"/>
  <c r="H64" i="8"/>
  <c r="F65" i="8"/>
  <c r="H65" i="8"/>
  <c r="F66" i="8"/>
  <c r="G66" i="8"/>
  <c r="H66" i="8"/>
  <c r="H67" i="8"/>
  <c r="F68" i="8"/>
  <c r="G68" i="8"/>
  <c r="H68" i="8"/>
  <c r="F69" i="8"/>
  <c r="G69" i="8"/>
  <c r="H69" i="8"/>
  <c r="F70" i="8"/>
  <c r="G70" i="8"/>
  <c r="H70" i="8"/>
  <c r="G71" i="8"/>
  <c r="H71" i="8"/>
  <c r="F72" i="8"/>
  <c r="H72" i="8"/>
  <c r="F73" i="8"/>
  <c r="H73" i="8"/>
  <c r="F74" i="8"/>
  <c r="H74" i="8"/>
  <c r="G75" i="8"/>
  <c r="H75" i="8"/>
  <c r="F76" i="8"/>
  <c r="H76" i="8"/>
  <c r="F77" i="8"/>
  <c r="H77" i="8"/>
  <c r="F78" i="8"/>
  <c r="H78" i="8"/>
  <c r="H79" i="8"/>
  <c r="F80" i="8"/>
  <c r="G80" i="8"/>
  <c r="H80" i="8"/>
  <c r="F81" i="8"/>
  <c r="H81" i="8"/>
  <c r="F82" i="8"/>
  <c r="H82" i="8"/>
  <c r="G83" i="8"/>
  <c r="H83" i="8"/>
  <c r="F84" i="8"/>
  <c r="H84" i="8"/>
  <c r="F85" i="8"/>
  <c r="H85" i="8"/>
  <c r="F86" i="8"/>
  <c r="H86" i="8"/>
  <c r="H87" i="8"/>
  <c r="F88" i="8"/>
  <c r="H88" i="8"/>
  <c r="F89" i="8"/>
  <c r="H89" i="8"/>
  <c r="F90" i="8"/>
  <c r="H90" i="8"/>
  <c r="H91" i="8"/>
  <c r="F92" i="8"/>
  <c r="H92" i="8"/>
  <c r="F93" i="8"/>
  <c r="G93" i="8"/>
  <c r="H93" i="8"/>
  <c r="F94" i="8"/>
  <c r="G94" i="8"/>
  <c r="H94" i="8"/>
  <c r="H95" i="8"/>
  <c r="F96" i="8"/>
  <c r="G96" i="8"/>
  <c r="H96" i="8"/>
  <c r="F97" i="8"/>
  <c r="H97" i="8"/>
  <c r="F98" i="8"/>
  <c r="H98" i="8"/>
  <c r="H99" i="8"/>
  <c r="F100" i="8"/>
  <c r="G100" i="8"/>
  <c r="H100" i="8"/>
  <c r="F101" i="8"/>
  <c r="H101" i="8"/>
  <c r="F102" i="8"/>
  <c r="H102" i="8"/>
  <c r="G103" i="8"/>
  <c r="H103" i="8"/>
  <c r="F104" i="8"/>
  <c r="H104" i="8"/>
  <c r="F105" i="8"/>
  <c r="H105" i="8"/>
  <c r="F106" i="8"/>
  <c r="G106" i="8"/>
  <c r="H106" i="8"/>
  <c r="H107" i="8"/>
  <c r="F108" i="8"/>
  <c r="H108" i="8"/>
  <c r="F109" i="8"/>
  <c r="G109" i="8"/>
  <c r="H109" i="8"/>
  <c r="F110" i="8"/>
  <c r="G110" i="8"/>
  <c r="H110" i="8"/>
  <c r="F111" i="8"/>
  <c r="H111" i="8"/>
  <c r="F112" i="8"/>
  <c r="H112" i="8"/>
  <c r="F113" i="8"/>
  <c r="G113" i="8"/>
  <c r="H113" i="8"/>
  <c r="F114" i="8"/>
  <c r="H114" i="8"/>
  <c r="F115" i="8"/>
  <c r="H115" i="8"/>
  <c r="F116" i="8"/>
  <c r="G116" i="8"/>
  <c r="H116" i="8"/>
  <c r="F117" i="8"/>
  <c r="H117" i="8"/>
  <c r="F118" i="8"/>
  <c r="G118" i="8"/>
  <c r="H118" i="8"/>
  <c r="F119" i="8"/>
  <c r="G119" i="8"/>
  <c r="H119" i="8"/>
  <c r="F120" i="8"/>
  <c r="H120" i="8"/>
  <c r="F121" i="8"/>
  <c r="G121" i="8"/>
  <c r="H121" i="8"/>
  <c r="F122" i="8"/>
  <c r="H122" i="8"/>
  <c r="F123" i="8"/>
  <c r="H123" i="8"/>
  <c r="F124" i="8"/>
  <c r="G124" i="8"/>
  <c r="H124" i="8"/>
  <c r="F125" i="8"/>
  <c r="H125" i="8"/>
  <c r="F126" i="8"/>
  <c r="G126" i="8"/>
  <c r="H126" i="8"/>
  <c r="F127" i="8"/>
  <c r="G127" i="8"/>
  <c r="H127" i="8"/>
  <c r="F128" i="8"/>
  <c r="H128" i="8"/>
  <c r="F129" i="8"/>
  <c r="G129" i="8"/>
  <c r="H129" i="8"/>
  <c r="F5" i="8"/>
  <c r="H5" i="8"/>
  <c r="G34" i="8"/>
  <c r="G30" i="8"/>
  <c r="G29" i="8"/>
  <c r="G28" i="8"/>
  <c r="G24" i="8"/>
  <c r="G22" i="8"/>
  <c r="G17" i="8"/>
  <c r="G12" i="8"/>
  <c r="G11" i="8"/>
  <c r="G7" i="8"/>
  <c r="G6" i="8"/>
  <c r="C15" i="6"/>
  <c r="O35" i="7"/>
  <c r="N35" i="7"/>
  <c r="M35" i="7"/>
  <c r="L35" i="7"/>
  <c r="K35" i="7"/>
  <c r="J35" i="7"/>
  <c r="F29" i="7"/>
  <c r="F35" i="7" s="1"/>
  <c r="C29" i="7"/>
  <c r="O34" i="7"/>
  <c r="N34" i="7"/>
  <c r="M34" i="7"/>
  <c r="L34" i="7"/>
  <c r="K34" i="7"/>
  <c r="J34" i="7"/>
  <c r="F34" i="7"/>
  <c r="O33" i="7"/>
  <c r="N33" i="7"/>
  <c r="M33" i="7"/>
  <c r="L33" i="7"/>
  <c r="K33" i="7"/>
  <c r="J33" i="7"/>
  <c r="O32" i="7"/>
  <c r="N32" i="7"/>
  <c r="M32" i="7"/>
  <c r="L32" i="7"/>
  <c r="K32" i="7"/>
  <c r="J32" i="7"/>
  <c r="O31" i="7"/>
  <c r="N31" i="7"/>
  <c r="M31" i="7"/>
  <c r="L31" i="7"/>
  <c r="K31" i="7"/>
  <c r="J31" i="7"/>
  <c r="E29" i="7"/>
  <c r="E35" i="7" s="1"/>
  <c r="D29" i="7"/>
  <c r="D35" i="7"/>
  <c r="F28" i="7"/>
  <c r="E28" i="7"/>
  <c r="D28" i="7"/>
  <c r="C28" i="7"/>
  <c r="E23" i="7"/>
  <c r="E24" i="7"/>
  <c r="F24" i="7"/>
  <c r="F32" i="7" s="1"/>
  <c r="E32" i="7"/>
  <c r="D24" i="7"/>
  <c r="D32" i="7" s="1"/>
  <c r="C24" i="7"/>
  <c r="C32" i="7"/>
  <c r="F23" i="7"/>
  <c r="F31" i="7" s="1"/>
  <c r="D23" i="7"/>
  <c r="D31" i="7" s="1"/>
  <c r="C23" i="7"/>
  <c r="EC64" i="1"/>
  <c r="DY64" i="1"/>
  <c r="DU64" i="1"/>
  <c r="CU64" i="1"/>
  <c r="CM64" i="1"/>
  <c r="BY64" i="1"/>
  <c r="EA64" i="1"/>
  <c r="DT64" i="1"/>
  <c r="DS64" i="1"/>
  <c r="DL64" i="1"/>
  <c r="DH64" i="1"/>
  <c r="DE64" i="1"/>
  <c r="DD64" i="1"/>
  <c r="DC64" i="1"/>
  <c r="CS64" i="1"/>
  <c r="CQ64" i="1"/>
  <c r="CO64" i="1"/>
  <c r="CD64" i="1"/>
  <c r="CA64" i="1"/>
  <c r="BZ64" i="1"/>
  <c r="BV64" i="1"/>
  <c r="BU64" i="1"/>
  <c r="BM64" i="1"/>
  <c r="BL64" i="1"/>
  <c r="BI64" i="1"/>
  <c r="BI74" i="1" s="1"/>
  <c r="BH64" i="1"/>
  <c r="BE64" i="1"/>
  <c r="BD64" i="1"/>
  <c r="D64" i="1"/>
  <c r="G60" i="1"/>
  <c r="F60" i="1"/>
  <c r="E60" i="1"/>
  <c r="D60" i="1"/>
  <c r="FM44" i="1"/>
  <c r="EV44" i="1"/>
  <c r="L42" i="2" s="1"/>
  <c r="EE44" i="1"/>
  <c r="EF44" i="1"/>
  <c r="DN44" i="1"/>
  <c r="DO44" i="1" s="1"/>
  <c r="CW44" i="1"/>
  <c r="CX44" i="1" s="1"/>
  <c r="CF44" i="1"/>
  <c r="CG44" i="1"/>
  <c r="BO44" i="1"/>
  <c r="BP44" i="1" s="1"/>
  <c r="F42" i="2"/>
  <c r="AG44" i="1"/>
  <c r="P44" i="1"/>
  <c r="Q44" i="1" s="1"/>
  <c r="FM41" i="1"/>
  <c r="FN41" i="1" s="1"/>
  <c r="M39" i="2"/>
  <c r="EV41" i="1"/>
  <c r="EE41" i="1"/>
  <c r="EF41" i="1" s="1"/>
  <c r="DN41" i="1"/>
  <c r="DO41" i="1" s="1"/>
  <c r="CW41" i="1"/>
  <c r="CX41" i="1" s="1"/>
  <c r="CF41" i="1"/>
  <c r="CG41" i="1" s="1"/>
  <c r="BO41" i="1"/>
  <c r="BP41" i="1" s="1"/>
  <c r="F39" i="2"/>
  <c r="AG41" i="1"/>
  <c r="E39" i="2" s="1"/>
  <c r="P41" i="1"/>
  <c r="D39" i="2" s="1"/>
  <c r="FN39" i="1"/>
  <c r="FM37" i="1"/>
  <c r="EV37" i="1"/>
  <c r="L35" i="2" s="1"/>
  <c r="EE37" i="1"/>
  <c r="DN37" i="1"/>
  <c r="J35" i="2" s="1"/>
  <c r="CW37" i="1"/>
  <c r="CF37" i="1"/>
  <c r="H35" i="2" s="1"/>
  <c r="BO37" i="1"/>
  <c r="D33" i="2"/>
  <c r="FM32" i="1"/>
  <c r="M30" i="2" s="1"/>
  <c r="EV32" i="1"/>
  <c r="L30" i="2" s="1"/>
  <c r="EE32" i="1"/>
  <c r="K30" i="2" s="1"/>
  <c r="DN32" i="1"/>
  <c r="J30" i="2" s="1"/>
  <c r="CW32" i="1"/>
  <c r="I30" i="2" s="1"/>
  <c r="CF32" i="1"/>
  <c r="H30" i="2" s="1"/>
  <c r="BO32" i="1"/>
  <c r="E30" i="2"/>
  <c r="FM29" i="1"/>
  <c r="FN29" i="1" s="1"/>
  <c r="EV29" i="1"/>
  <c r="L27" i="2" s="1"/>
  <c r="EE29" i="1"/>
  <c r="DN29" i="1"/>
  <c r="DO29" i="1" s="1"/>
  <c r="CW29" i="1"/>
  <c r="CX29" i="1" s="1"/>
  <c r="CF29" i="1"/>
  <c r="H27" i="2" s="1"/>
  <c r="BO29" i="1"/>
  <c r="G27" i="2" s="1"/>
  <c r="FN28" i="1"/>
  <c r="EW28" i="1"/>
  <c r="EF28" i="1"/>
  <c r="DO28" i="1"/>
  <c r="FM17" i="1"/>
  <c r="M21" i="2" s="1"/>
  <c r="EV17" i="1"/>
  <c r="EE17" i="1"/>
  <c r="EF17" i="1" s="1"/>
  <c r="DN17" i="1"/>
  <c r="DO17" i="1" s="1"/>
  <c r="CW17" i="1"/>
  <c r="CX17" i="1" s="1"/>
  <c r="CF17" i="1"/>
  <c r="BO17" i="1"/>
  <c r="BP17" i="1" s="1"/>
  <c r="AG17" i="1"/>
  <c r="AH17" i="1" s="1"/>
  <c r="P17" i="1"/>
  <c r="FN16" i="1"/>
  <c r="EW16" i="1"/>
  <c r="EF16" i="1"/>
  <c r="DO16" i="1"/>
  <c r="CX16" i="1"/>
  <c r="CG16" i="1"/>
  <c r="BP16" i="1"/>
  <c r="AH16" i="1"/>
  <c r="P16" i="1"/>
  <c r="D20" i="2" s="1"/>
  <c r="FM15" i="1"/>
  <c r="M19" i="2" s="1"/>
  <c r="EV15" i="1"/>
  <c r="EW15" i="1" s="1"/>
  <c r="EE15" i="1"/>
  <c r="EF15" i="1" s="1"/>
  <c r="DN15" i="1"/>
  <c r="J19" i="2" s="1"/>
  <c r="CW15" i="1"/>
  <c r="CG15" i="1"/>
  <c r="BO15" i="1"/>
  <c r="BP15" i="1" s="1"/>
  <c r="AG15" i="1"/>
  <c r="AH15" i="1" s="1"/>
  <c r="P15" i="1"/>
  <c r="DO14" i="1"/>
  <c r="CG14" i="1"/>
  <c r="AG14" i="1"/>
  <c r="P14" i="1"/>
  <c r="D18" i="2" s="1"/>
  <c r="EE8" i="1"/>
  <c r="K8" i="2" s="1"/>
  <c r="DN8" i="1"/>
  <c r="J8" i="2" s="1"/>
  <c r="CW8" i="1"/>
  <c r="I8" i="2" s="1"/>
  <c r="EE7" i="1"/>
  <c r="K7" i="2" s="1"/>
  <c r="DN7" i="1"/>
  <c r="J7" i="2" s="1"/>
  <c r="CW7" i="1"/>
  <c r="I7" i="2" s="1"/>
  <c r="H7" i="2"/>
  <c r="D7" i="2"/>
  <c r="EE6" i="1"/>
  <c r="K6" i="2" s="1"/>
  <c r="DN6" i="1"/>
  <c r="J6" i="2" s="1"/>
  <c r="CW6" i="1"/>
  <c r="I6" i="2" s="1"/>
  <c r="E6" i="2"/>
  <c r="K5" i="2"/>
  <c r="H5" i="2"/>
  <c r="E5" i="2"/>
  <c r="D5" i="2"/>
  <c r="K42" i="2"/>
  <c r="H42" i="2"/>
  <c r="M37" i="2"/>
  <c r="M35" i="2"/>
  <c r="I35" i="2"/>
  <c r="F35" i="2"/>
  <c r="E35" i="2"/>
  <c r="M27" i="2"/>
  <c r="M26" i="2"/>
  <c r="L26" i="2"/>
  <c r="K26" i="2"/>
  <c r="J26" i="2"/>
  <c r="M20" i="2"/>
  <c r="L20" i="2"/>
  <c r="K20" i="2"/>
  <c r="J20" i="2"/>
  <c r="I20" i="2"/>
  <c r="H20" i="2"/>
  <c r="G20" i="2"/>
  <c r="F20" i="2"/>
  <c r="E20" i="2"/>
  <c r="L19" i="2"/>
  <c r="K19" i="2"/>
  <c r="L18" i="2"/>
  <c r="K18" i="2"/>
  <c r="J18" i="2"/>
  <c r="H18" i="2"/>
  <c r="G18" i="2"/>
  <c r="F18" i="2"/>
  <c r="F7" i="2"/>
  <c r="H6" i="2"/>
  <c r="G6" i="2"/>
  <c r="I5" i="2"/>
  <c r="H51" i="3"/>
  <c r="M36" i="3"/>
  <c r="L36" i="3"/>
  <c r="K36" i="3"/>
  <c r="J36" i="3"/>
  <c r="I36" i="3"/>
  <c r="H36" i="3"/>
  <c r="G36" i="3"/>
  <c r="F36" i="3"/>
  <c r="E36" i="3"/>
  <c r="D36" i="3"/>
  <c r="G35" i="3"/>
  <c r="F35" i="3"/>
  <c r="K34" i="3"/>
  <c r="G34" i="3"/>
  <c r="F34" i="3"/>
  <c r="E34" i="3"/>
  <c r="M33" i="3"/>
  <c r="L33" i="3"/>
  <c r="K33" i="3"/>
  <c r="J33" i="3"/>
  <c r="I33" i="3"/>
  <c r="H33" i="3"/>
  <c r="G33" i="3"/>
  <c r="F33" i="3"/>
  <c r="E33" i="3"/>
  <c r="D33" i="3"/>
  <c r="M32" i="3"/>
  <c r="L32" i="3"/>
  <c r="K32" i="3"/>
  <c r="J32" i="3"/>
  <c r="I32" i="3"/>
  <c r="H32" i="3"/>
  <c r="G32" i="3"/>
  <c r="F32" i="3"/>
  <c r="E32" i="3"/>
  <c r="D32" i="3"/>
  <c r="M31" i="3"/>
  <c r="L31" i="3"/>
  <c r="K31" i="3"/>
  <c r="J31" i="3"/>
  <c r="I31" i="3"/>
  <c r="H31" i="3"/>
  <c r="G31" i="3"/>
  <c r="F31" i="3"/>
  <c r="E31" i="3"/>
  <c r="D31" i="3"/>
  <c r="M29" i="3"/>
  <c r="L29" i="3"/>
  <c r="K29" i="3"/>
  <c r="J29" i="3"/>
  <c r="I29" i="3"/>
  <c r="H29" i="3"/>
  <c r="G29" i="3"/>
  <c r="F29" i="3"/>
  <c r="N28" i="3"/>
  <c r="M27" i="3"/>
  <c r="L27" i="3"/>
  <c r="K27" i="3"/>
  <c r="J27" i="3"/>
  <c r="I27" i="3"/>
  <c r="H27" i="3"/>
  <c r="G27" i="3"/>
  <c r="F27" i="3"/>
  <c r="E27" i="3"/>
  <c r="D27" i="3"/>
  <c r="M25" i="3"/>
  <c r="L25" i="3"/>
  <c r="K25" i="3"/>
  <c r="J25" i="3"/>
  <c r="I25" i="3"/>
  <c r="H25" i="3"/>
  <c r="G25" i="3"/>
  <c r="F25" i="3"/>
  <c r="E25" i="3"/>
  <c r="D25" i="3"/>
  <c r="M23" i="3"/>
  <c r="L23" i="3"/>
  <c r="K23" i="3"/>
  <c r="J23" i="3"/>
  <c r="I23" i="3"/>
  <c r="H23" i="3"/>
  <c r="G23" i="3"/>
  <c r="F23" i="3"/>
  <c r="E23" i="3"/>
  <c r="D23" i="3"/>
  <c r="M22" i="3"/>
  <c r="L22" i="3"/>
  <c r="K22" i="3"/>
  <c r="J22" i="3"/>
  <c r="I22" i="3"/>
  <c r="H22" i="3"/>
  <c r="G22" i="3"/>
  <c r="F22" i="3"/>
  <c r="E22" i="3"/>
  <c r="D22" i="3"/>
  <c r="M21" i="3"/>
  <c r="L21" i="3"/>
  <c r="K21" i="3"/>
  <c r="J21" i="3"/>
  <c r="I21" i="3"/>
  <c r="H21" i="3"/>
  <c r="G21" i="3"/>
  <c r="F21" i="3"/>
  <c r="E21" i="3"/>
  <c r="D21" i="3"/>
  <c r="M20" i="3"/>
  <c r="L20" i="3"/>
  <c r="K20" i="3"/>
  <c r="J20" i="3"/>
  <c r="I20" i="3"/>
  <c r="H20" i="3"/>
  <c r="G20" i="3"/>
  <c r="F20" i="3"/>
  <c r="E20" i="3"/>
  <c r="D20" i="3"/>
  <c r="M16" i="3"/>
  <c r="L16" i="3"/>
  <c r="K16" i="3"/>
  <c r="J16" i="3"/>
  <c r="I16" i="3"/>
  <c r="H16" i="3"/>
  <c r="G16" i="3"/>
  <c r="F16" i="3"/>
  <c r="E16" i="3"/>
  <c r="D16" i="3"/>
  <c r="M14" i="3"/>
  <c r="L14" i="3"/>
  <c r="K14" i="3"/>
  <c r="J14" i="3"/>
  <c r="I14" i="3"/>
  <c r="H14" i="3"/>
  <c r="G14" i="3"/>
  <c r="F14" i="3"/>
  <c r="E14" i="3"/>
  <c r="D14" i="3"/>
  <c r="M9" i="3"/>
  <c r="L9" i="3"/>
  <c r="K9" i="3"/>
  <c r="J9" i="3"/>
  <c r="I9" i="3"/>
  <c r="H9" i="3"/>
  <c r="G9" i="3"/>
  <c r="F9" i="3"/>
  <c r="E9" i="3"/>
  <c r="D9" i="3"/>
  <c r="I50" i="5"/>
  <c r="M35" i="5"/>
  <c r="L35" i="5"/>
  <c r="K35" i="5"/>
  <c r="J35" i="5"/>
  <c r="I35" i="5"/>
  <c r="H35" i="5"/>
  <c r="G35" i="5"/>
  <c r="F35" i="5"/>
  <c r="E35" i="5"/>
  <c r="D35" i="5"/>
  <c r="H34" i="5"/>
  <c r="G34" i="5"/>
  <c r="F34" i="5"/>
  <c r="E34" i="5"/>
  <c r="M33" i="5"/>
  <c r="L33" i="5"/>
  <c r="K33" i="5"/>
  <c r="J33" i="5"/>
  <c r="I33" i="5"/>
  <c r="H33" i="5"/>
  <c r="G33" i="5"/>
  <c r="F33" i="5"/>
  <c r="E33" i="5"/>
  <c r="D33" i="5"/>
  <c r="M32" i="5"/>
  <c r="L32" i="5"/>
  <c r="K32" i="5"/>
  <c r="J32" i="5"/>
  <c r="I32" i="5"/>
  <c r="H32" i="5"/>
  <c r="G32" i="5"/>
  <c r="F32" i="5"/>
  <c r="E32" i="5"/>
  <c r="D32" i="5"/>
  <c r="M31" i="5"/>
  <c r="L31" i="5"/>
  <c r="K31" i="5"/>
  <c r="J31" i="5"/>
  <c r="I31" i="5"/>
  <c r="H31" i="5"/>
  <c r="G31" i="5"/>
  <c r="F31" i="5"/>
  <c r="E31" i="5"/>
  <c r="D31" i="5"/>
  <c r="N28" i="5"/>
  <c r="M27" i="5"/>
  <c r="L27" i="5"/>
  <c r="K27" i="5"/>
  <c r="J27" i="5"/>
  <c r="I27" i="5"/>
  <c r="H27" i="5"/>
  <c r="G27" i="5"/>
  <c r="F27" i="5"/>
  <c r="E27" i="5"/>
  <c r="D27" i="5"/>
  <c r="M25" i="5"/>
  <c r="L25" i="5"/>
  <c r="K25" i="5"/>
  <c r="J25" i="5"/>
  <c r="I25" i="5"/>
  <c r="H25" i="5"/>
  <c r="G25" i="5"/>
  <c r="F25" i="5"/>
  <c r="E25" i="5"/>
  <c r="D25" i="5"/>
  <c r="M23" i="5"/>
  <c r="L23" i="5"/>
  <c r="K23" i="5"/>
  <c r="J23" i="5"/>
  <c r="I23" i="5"/>
  <c r="H23" i="5"/>
  <c r="G23" i="5"/>
  <c r="F23" i="5"/>
  <c r="E23" i="5"/>
  <c r="D23" i="5"/>
  <c r="M22" i="5"/>
  <c r="L22" i="5"/>
  <c r="K22" i="5"/>
  <c r="J22" i="5"/>
  <c r="I22" i="5"/>
  <c r="H22" i="5"/>
  <c r="G22" i="5"/>
  <c r="F22" i="5"/>
  <c r="E22" i="5"/>
  <c r="D22" i="5"/>
  <c r="M21" i="5"/>
  <c r="L21" i="5"/>
  <c r="K21" i="5"/>
  <c r="J21" i="5"/>
  <c r="I21" i="5"/>
  <c r="H21" i="5"/>
  <c r="G21" i="5"/>
  <c r="F21" i="5"/>
  <c r="E21" i="5"/>
  <c r="D21" i="5"/>
  <c r="M20" i="5"/>
  <c r="L20" i="5"/>
  <c r="K20" i="5"/>
  <c r="J20" i="5"/>
  <c r="I20" i="5"/>
  <c r="H20" i="5"/>
  <c r="G20" i="5"/>
  <c r="F20" i="5"/>
  <c r="E20" i="5"/>
  <c r="M16" i="5"/>
  <c r="L16" i="5"/>
  <c r="K16" i="5"/>
  <c r="J16" i="5"/>
  <c r="I16" i="5"/>
  <c r="H16" i="5"/>
  <c r="G16" i="5"/>
  <c r="F16" i="5"/>
  <c r="E16" i="5"/>
  <c r="D16" i="5"/>
  <c r="M14" i="5"/>
  <c r="L14" i="5"/>
  <c r="K14" i="5"/>
  <c r="J14" i="5"/>
  <c r="I14" i="5"/>
  <c r="H14" i="5"/>
  <c r="G14" i="5"/>
  <c r="F14" i="5"/>
  <c r="E14" i="5"/>
  <c r="D14" i="5"/>
  <c r="M9" i="5"/>
  <c r="L9" i="5"/>
  <c r="K9" i="5"/>
  <c r="J9" i="5"/>
  <c r="I9" i="5"/>
  <c r="H9" i="5"/>
  <c r="G9" i="5"/>
  <c r="F9" i="5"/>
  <c r="E9" i="5"/>
  <c r="D9" i="5"/>
  <c r="I50" i="4"/>
  <c r="M35" i="4"/>
  <c r="L35" i="4"/>
  <c r="K35" i="4"/>
  <c r="J35" i="4"/>
  <c r="I35" i="4"/>
  <c r="H35" i="4"/>
  <c r="G35" i="4"/>
  <c r="F35" i="4"/>
  <c r="E35" i="4"/>
  <c r="D35" i="4"/>
  <c r="J34" i="4"/>
  <c r="G34" i="4"/>
  <c r="F34" i="4"/>
  <c r="E34" i="4"/>
  <c r="M33" i="4"/>
  <c r="L33" i="4"/>
  <c r="K33" i="4"/>
  <c r="J33" i="4"/>
  <c r="I33" i="4"/>
  <c r="H33" i="4"/>
  <c r="G33" i="4"/>
  <c r="F33" i="4"/>
  <c r="E33" i="4"/>
  <c r="D33" i="4"/>
  <c r="M32" i="4"/>
  <c r="L32" i="4"/>
  <c r="K32" i="4"/>
  <c r="J32" i="4"/>
  <c r="I32" i="4"/>
  <c r="H32" i="4"/>
  <c r="G32" i="4"/>
  <c r="F32" i="4"/>
  <c r="E32" i="4"/>
  <c r="D32" i="4"/>
  <c r="M31" i="4"/>
  <c r="L31" i="4"/>
  <c r="K31" i="4"/>
  <c r="J31" i="4"/>
  <c r="I31" i="4"/>
  <c r="H31" i="4"/>
  <c r="G31" i="4"/>
  <c r="F31" i="4"/>
  <c r="E31" i="4"/>
  <c r="D31" i="4"/>
  <c r="N28" i="4"/>
  <c r="M27" i="4"/>
  <c r="L27" i="4"/>
  <c r="K27" i="4"/>
  <c r="J27" i="4"/>
  <c r="I27" i="4"/>
  <c r="H27" i="4"/>
  <c r="G27" i="4"/>
  <c r="F27" i="4"/>
  <c r="E27" i="4"/>
  <c r="D27" i="4"/>
  <c r="M25" i="4"/>
  <c r="L25" i="4"/>
  <c r="K25" i="4"/>
  <c r="J25" i="4"/>
  <c r="I25" i="4"/>
  <c r="H25" i="4"/>
  <c r="G25" i="4"/>
  <c r="F25" i="4"/>
  <c r="E25" i="4"/>
  <c r="D25" i="4"/>
  <c r="M23" i="4"/>
  <c r="L23" i="4"/>
  <c r="K23" i="4"/>
  <c r="J23" i="4"/>
  <c r="I23" i="4"/>
  <c r="H23" i="4"/>
  <c r="G23" i="4"/>
  <c r="F23" i="4"/>
  <c r="E23" i="4"/>
  <c r="D23" i="4"/>
  <c r="M22" i="4"/>
  <c r="L22" i="4"/>
  <c r="K22" i="4"/>
  <c r="J22" i="4"/>
  <c r="I22" i="4"/>
  <c r="H22" i="4"/>
  <c r="G22" i="4"/>
  <c r="F22" i="4"/>
  <c r="E22" i="4"/>
  <c r="D22" i="4"/>
  <c r="M21" i="4"/>
  <c r="L21" i="4"/>
  <c r="K21" i="4"/>
  <c r="J21" i="4"/>
  <c r="I21" i="4"/>
  <c r="H21" i="4"/>
  <c r="G21" i="4"/>
  <c r="F21" i="4"/>
  <c r="E21" i="4"/>
  <c r="D21" i="4"/>
  <c r="M20" i="4"/>
  <c r="L20" i="4"/>
  <c r="K20" i="4"/>
  <c r="J20" i="4"/>
  <c r="I20" i="4"/>
  <c r="H20" i="4"/>
  <c r="G20" i="4"/>
  <c r="F20" i="4"/>
  <c r="E20" i="4"/>
  <c r="M16" i="4"/>
  <c r="L16" i="4"/>
  <c r="K16" i="4"/>
  <c r="J16" i="4"/>
  <c r="I16" i="4"/>
  <c r="H16" i="4"/>
  <c r="G16" i="4"/>
  <c r="F16" i="4"/>
  <c r="E16" i="4"/>
  <c r="D16" i="4"/>
  <c r="M14" i="4"/>
  <c r="L14" i="4"/>
  <c r="K14" i="4"/>
  <c r="J14" i="4"/>
  <c r="I14" i="4"/>
  <c r="H14" i="4"/>
  <c r="G14" i="4"/>
  <c r="F14" i="4"/>
  <c r="E14" i="4"/>
  <c r="D14" i="4"/>
  <c r="M9" i="4"/>
  <c r="L9" i="4"/>
  <c r="K9" i="4"/>
  <c r="J9" i="4"/>
  <c r="I9" i="4"/>
  <c r="H9" i="4"/>
  <c r="G9" i="4"/>
  <c r="F9" i="4"/>
  <c r="E9" i="4"/>
  <c r="D9" i="4"/>
  <c r="Q14" i="1"/>
  <c r="Q41" i="1"/>
  <c r="EW41" i="1"/>
  <c r="L39" i="2"/>
  <c r="J42" i="2"/>
  <c r="J39" i="2"/>
  <c r="F19" i="2"/>
  <c r="H19" i="2"/>
  <c r="G35" i="2"/>
  <c r="K35" i="2"/>
  <c r="D35" i="3"/>
  <c r="D14" i="2"/>
  <c r="H15" i="11"/>
  <c r="H16" i="11"/>
  <c r="H20" i="11" s="1"/>
  <c r="AB15" i="11"/>
  <c r="AB16" i="11"/>
  <c r="AG11" i="1"/>
  <c r="AH11" i="1" s="1"/>
  <c r="S15" i="11"/>
  <c r="S16" i="11" s="1"/>
  <c r="S20" i="11" s="1"/>
  <c r="DN11" i="1"/>
  <c r="J15" i="2" s="1"/>
  <c r="P11" i="1"/>
  <c r="D15" i="2" s="1"/>
  <c r="BO11" i="1"/>
  <c r="G15" i="2" s="1"/>
  <c r="CW11" i="1"/>
  <c r="CX11" i="1" s="1"/>
  <c r="EE11" i="1"/>
  <c r="BO12" i="1"/>
  <c r="G16" i="2" s="1"/>
  <c r="D15" i="11"/>
  <c r="D16" i="11"/>
  <c r="D20" i="11" s="1"/>
  <c r="AE15" i="11"/>
  <c r="AE16" i="11" s="1"/>
  <c r="AE20" i="11" s="1"/>
  <c r="AC15" i="11"/>
  <c r="AC16" i="11" s="1"/>
  <c r="AC20" i="11" s="1"/>
  <c r="AI15" i="11"/>
  <c r="AI16" i="11"/>
  <c r="AI20" i="11" s="1"/>
  <c r="EE12" i="1"/>
  <c r="K16" i="2" s="1"/>
  <c r="AG12" i="1"/>
  <c r="E16" i="2" s="1"/>
  <c r="P12" i="1"/>
  <c r="DN12" i="1"/>
  <c r="N15" i="11"/>
  <c r="N16" i="11"/>
  <c r="N20" i="11" s="1"/>
  <c r="L15" i="11"/>
  <c r="L16" i="11" s="1"/>
  <c r="P15" i="11"/>
  <c r="P16" i="11" s="1"/>
  <c r="P20" i="11" s="1"/>
  <c r="V15" i="11"/>
  <c r="V16" i="11" s="1"/>
  <c r="V20" i="11" s="1"/>
  <c r="Z15" i="11"/>
  <c r="Z16" i="11"/>
  <c r="Z20" i="11" s="1"/>
  <c r="CW12" i="1"/>
  <c r="CX12" i="1" s="1"/>
  <c r="BO10" i="1"/>
  <c r="G14" i="2" s="1"/>
  <c r="CW10" i="1"/>
  <c r="I14" i="2" s="1"/>
  <c r="DN10" i="1"/>
  <c r="J14" i="2" s="1"/>
  <c r="EE10" i="1"/>
  <c r="K14" i="2" s="1"/>
  <c r="E14" i="2"/>
  <c r="G15" i="11"/>
  <c r="G16" i="11"/>
  <c r="G20" i="11"/>
  <c r="K15" i="11"/>
  <c r="K16" i="11" s="1"/>
  <c r="K20" i="11" s="1"/>
  <c r="I15" i="11"/>
  <c r="I16" i="11"/>
  <c r="I20" i="11" s="1"/>
  <c r="O15" i="11"/>
  <c r="O16" i="11"/>
  <c r="O20" i="11"/>
  <c r="T15" i="11"/>
  <c r="T16" i="11" s="1"/>
  <c r="X15" i="11"/>
  <c r="X16" i="11"/>
  <c r="X20" i="11" s="1"/>
  <c r="P13" i="1"/>
  <c r="AG13" i="1"/>
  <c r="E17" i="2" s="1"/>
  <c r="BO13" i="1"/>
  <c r="G17" i="2" s="1"/>
  <c r="EE13" i="1"/>
  <c r="K17" i="2" s="1"/>
  <c r="G36" i="2"/>
  <c r="F27" i="7"/>
  <c r="F33" i="7" s="1"/>
  <c r="D27" i="7"/>
  <c r="D33" i="7"/>
  <c r="D34" i="7"/>
  <c r="G20" i="8"/>
  <c r="G16" i="8"/>
  <c r="G10" i="8"/>
  <c r="D24" i="3"/>
  <c r="D24" i="5"/>
  <c r="D24" i="4"/>
  <c r="E35" i="3"/>
  <c r="G34" i="2"/>
  <c r="F33" i="2"/>
  <c r="E24" i="5"/>
  <c r="E24" i="3"/>
  <c r="E24" i="4"/>
  <c r="H4" i="2"/>
  <c r="F32" i="2"/>
  <c r="E33" i="2"/>
  <c r="D34" i="3"/>
  <c r="D34" i="5"/>
  <c r="D34" i="4"/>
  <c r="F36" i="2"/>
  <c r="D37" i="2"/>
  <c r="E32" i="2"/>
  <c r="H13" i="2"/>
  <c r="Q39" i="1"/>
  <c r="G62" i="1"/>
  <c r="F62" i="1"/>
  <c r="CG9" i="1"/>
  <c r="BP10" i="1"/>
  <c r="AH12" i="1"/>
  <c r="D26" i="5"/>
  <c r="D26" i="4"/>
  <c r="D26" i="3"/>
  <c r="F26" i="5"/>
  <c r="F26" i="4"/>
  <c r="F26" i="3"/>
  <c r="F37" i="2"/>
  <c r="E26" i="4"/>
  <c r="E26" i="5"/>
  <c r="E26" i="3"/>
  <c r="G26" i="3"/>
  <c r="G17" i="4"/>
  <c r="L20" i="11" l="1"/>
  <c r="AA89" i="8"/>
  <c r="G89" i="8"/>
  <c r="AA105" i="8"/>
  <c r="G105" i="8"/>
  <c r="P30" i="15"/>
  <c r="BH20" i="15"/>
  <c r="EF10" i="1"/>
  <c r="S21" i="11"/>
  <c r="G125" i="8"/>
  <c r="G122" i="8"/>
  <c r="G87" i="8"/>
  <c r="G78" i="8"/>
  <c r="G35" i="8"/>
  <c r="AA95" i="8"/>
  <c r="G95" i="8"/>
  <c r="AA111" i="8"/>
  <c r="G111" i="8"/>
  <c r="AB20" i="11"/>
  <c r="AI18" i="8"/>
  <c r="G18" i="8"/>
  <c r="AI82" i="8"/>
  <c r="G82" i="8"/>
  <c r="AI123" i="8"/>
  <c r="G123" i="8"/>
  <c r="BA19" i="15"/>
  <c r="M29" i="15"/>
  <c r="M33" i="15" s="1"/>
  <c r="K31" i="15"/>
  <c r="K29" i="15"/>
  <c r="H38" i="15" s="1"/>
  <c r="I31" i="15"/>
  <c r="AL19" i="15"/>
  <c r="AH19" i="15"/>
  <c r="V19" i="15"/>
  <c r="G29" i="15"/>
  <c r="F32" i="15"/>
  <c r="S30" i="15"/>
  <c r="L39" i="15" s="1"/>
  <c r="R32" i="15"/>
  <c r="BV20" i="15"/>
  <c r="AX20" i="15"/>
  <c r="FD42" i="1"/>
  <c r="FD60" i="1"/>
  <c r="FL42" i="1"/>
  <c r="FL60" i="1"/>
  <c r="CV3" i="1"/>
  <c r="DB53" i="1"/>
  <c r="BF4" i="1"/>
  <c r="BG53" i="1"/>
  <c r="BN42" i="1"/>
  <c r="BN60" i="1"/>
  <c r="DZ51" i="1"/>
  <c r="EA52" i="1"/>
  <c r="BP13" i="1"/>
  <c r="E34" i="7"/>
  <c r="T20" i="11"/>
  <c r="FN44" i="1"/>
  <c r="M42" i="2"/>
  <c r="G99" i="8"/>
  <c r="G97" i="8"/>
  <c r="G90" i="8"/>
  <c r="G81" i="8"/>
  <c r="G72" i="8"/>
  <c r="G58" i="8"/>
  <c r="G50" i="8"/>
  <c r="G61" i="8"/>
  <c r="AA101" i="8"/>
  <c r="G101" i="8"/>
  <c r="X19" i="11"/>
  <c r="Z19" i="11"/>
  <c r="AC44" i="11"/>
  <c r="G21" i="8"/>
  <c r="G27" i="8"/>
  <c r="G53" i="8"/>
  <c r="G59" i="8"/>
  <c r="G73" i="8"/>
  <c r="G79" i="8"/>
  <c r="G85" i="8"/>
  <c r="AI115" i="8"/>
  <c r="G115" i="8"/>
  <c r="CF13" i="1"/>
  <c r="AX13" i="1"/>
  <c r="CE20" i="15"/>
  <c r="CJ19" i="15"/>
  <c r="R29" i="15"/>
  <c r="CF19" i="15"/>
  <c r="P31" i="15"/>
  <c r="P33" i="15" s="1"/>
  <c r="BT19" i="15"/>
  <c r="N29" i="15"/>
  <c r="N33" i="15" s="1"/>
  <c r="BH19" i="15"/>
  <c r="BD19" i="15"/>
  <c r="AW19" i="15"/>
  <c r="AS19" i="15"/>
  <c r="AO19" i="15"/>
  <c r="I32" i="15"/>
  <c r="I30" i="15"/>
  <c r="BI52" i="1"/>
  <c r="BJ42" i="1"/>
  <c r="BJ60" i="1"/>
  <c r="DM51" i="1"/>
  <c r="DM19" i="1"/>
  <c r="BO34" i="1"/>
  <c r="G32" i="2" s="1"/>
  <c r="BD31" i="1"/>
  <c r="G37" i="2"/>
  <c r="G26" i="8"/>
  <c r="CW13" i="1"/>
  <c r="I17" i="2" s="1"/>
  <c r="DN13" i="1"/>
  <c r="DO13" i="1" s="1"/>
  <c r="AG15" i="11"/>
  <c r="AG16" i="11" s="1"/>
  <c r="AG20" i="11" s="1"/>
  <c r="AI21" i="11" s="1"/>
  <c r="M15" i="11"/>
  <c r="M16" i="11" s="1"/>
  <c r="M20" i="11" s="1"/>
  <c r="E15" i="11"/>
  <c r="E16" i="11" s="1"/>
  <c r="E20" i="11" s="1"/>
  <c r="G21" i="11" s="1"/>
  <c r="F15" i="11"/>
  <c r="F16" i="11" s="1"/>
  <c r="F20" i="11" s="1"/>
  <c r="AA15" i="11"/>
  <c r="AA16" i="11" s="1"/>
  <c r="AA20" i="11" s="1"/>
  <c r="R15" i="11"/>
  <c r="R16" i="11" s="1"/>
  <c r="R20" i="11" s="1"/>
  <c r="U15" i="11"/>
  <c r="U16" i="11" s="1"/>
  <c r="U20" i="11" s="1"/>
  <c r="I42" i="2"/>
  <c r="G117" i="8"/>
  <c r="G114" i="8"/>
  <c r="G42" i="8"/>
  <c r="AA91" i="8"/>
  <c r="G91" i="8"/>
  <c r="AA107" i="8"/>
  <c r="G107" i="8"/>
  <c r="S19" i="11"/>
  <c r="Y44" i="11"/>
  <c r="G74" i="8"/>
  <c r="AA86" i="8"/>
  <c r="G86" i="8"/>
  <c r="AI8" i="8"/>
  <c r="AI40" i="8"/>
  <c r="AI98" i="8"/>
  <c r="G98" i="8"/>
  <c r="AI104" i="8"/>
  <c r="CF12" i="1"/>
  <c r="H16" i="2" s="1"/>
  <c r="AX12" i="1"/>
  <c r="Y15" i="11"/>
  <c r="Y16" i="11" s="1"/>
  <c r="Y20" i="11" s="1"/>
  <c r="AA21" i="11" s="1"/>
  <c r="AH15" i="11"/>
  <c r="AH16" i="11" s="1"/>
  <c r="AH20" i="11" s="1"/>
  <c r="Q15" i="11"/>
  <c r="Q16" i="11" s="1"/>
  <c r="Q20" i="11" s="1"/>
  <c r="AF15" i="11"/>
  <c r="AF16" i="11" s="1"/>
  <c r="AF20" i="11" s="1"/>
  <c r="W15" i="11"/>
  <c r="W16" i="11" s="1"/>
  <c r="W20" i="11" s="1"/>
  <c r="N19" i="15"/>
  <c r="CU19" i="15"/>
  <c r="CQ19" i="15"/>
  <c r="T29" i="15"/>
  <c r="T33" i="15" s="1"/>
  <c r="CE19" i="15"/>
  <c r="R31" i="15"/>
  <c r="CA19" i="15"/>
  <c r="BW19" i="15"/>
  <c r="P29" i="15"/>
  <c r="N31" i="15"/>
  <c r="N30" i="15"/>
  <c r="BE20" i="15"/>
  <c r="L32" i="15"/>
  <c r="AV20" i="15"/>
  <c r="AJ20" i="15"/>
  <c r="BL60" i="1"/>
  <c r="BH60" i="1"/>
  <c r="D55" i="1"/>
  <c r="E19" i="11"/>
  <c r="N19" i="11"/>
  <c r="U19" i="11"/>
  <c r="AD19" i="11"/>
  <c r="AA43" i="11"/>
  <c r="AD44" i="11"/>
  <c r="F31" i="15"/>
  <c r="P19" i="15"/>
  <c r="F29" i="15"/>
  <c r="CK19" i="15"/>
  <c r="S31" i="15"/>
  <c r="CP19" i="15"/>
  <c r="CL19" i="15"/>
  <c r="Q31" i="15"/>
  <c r="K40" i="15" s="1"/>
  <c r="CH19" i="15"/>
  <c r="BV19" i="15"/>
  <c r="O29" i="15"/>
  <c r="O33" i="15" s="1"/>
  <c r="BN19" i="15"/>
  <c r="M31" i="15"/>
  <c r="BJ19" i="15"/>
  <c r="BC19" i="15"/>
  <c r="AN19" i="15"/>
  <c r="J29" i="15"/>
  <c r="H31" i="15"/>
  <c r="P20" i="15"/>
  <c r="L20" i="15"/>
  <c r="E30" i="15"/>
  <c r="T32" i="15"/>
  <c r="CR20" i="15"/>
  <c r="CH20" i="15"/>
  <c r="BR20" i="15"/>
  <c r="H32" i="15"/>
  <c r="V20" i="15"/>
  <c r="G39" i="2"/>
  <c r="O19" i="11"/>
  <c r="R19" i="11"/>
  <c r="AE19" i="11"/>
  <c r="AH19" i="11"/>
  <c r="AB43" i="11"/>
  <c r="AE43" i="11"/>
  <c r="AE44" i="11"/>
  <c r="AH44" i="11"/>
  <c r="AI45" i="11" s="1"/>
  <c r="AF44" i="11"/>
  <c r="K19" i="15"/>
  <c r="T31" i="15"/>
  <c r="L40" i="15" s="1"/>
  <c r="CS19" i="15"/>
  <c r="S29" i="15"/>
  <c r="AI19" i="15"/>
  <c r="J31" i="15"/>
  <c r="AE19" i="15"/>
  <c r="AA19" i="15"/>
  <c r="H29" i="15"/>
  <c r="S19" i="15"/>
  <c r="CU20" i="15"/>
  <c r="T30" i="15"/>
  <c r="CI20" i="15"/>
  <c r="R30" i="15"/>
  <c r="T20" i="15"/>
  <c r="AI20" i="15"/>
  <c r="BZ50" i="1"/>
  <c r="FI42" i="1"/>
  <c r="FI60" i="1"/>
  <c r="FA42" i="1"/>
  <c r="FA60" i="1"/>
  <c r="EN42" i="1"/>
  <c r="EV42" i="1" s="1"/>
  <c r="EW42" i="1" s="1"/>
  <c r="EN60" i="1"/>
  <c r="DN43" i="1"/>
  <c r="J41" i="2" s="1"/>
  <c r="BM42" i="1"/>
  <c r="BM60" i="1"/>
  <c r="CD18" i="1"/>
  <c r="CD30" i="1" s="1"/>
  <c r="BV18" i="1"/>
  <c r="EE33" i="1"/>
  <c r="K31" i="2" s="1"/>
  <c r="DT34" i="1"/>
  <c r="K24" i="5"/>
  <c r="G24" i="4"/>
  <c r="U30" i="1"/>
  <c r="U40" i="1" s="1"/>
  <c r="U45" i="1" s="1"/>
  <c r="CF11" i="1"/>
  <c r="H15" i="2" s="1"/>
  <c r="AX11" i="1"/>
  <c r="CT19" i="15"/>
  <c r="CM19" i="15"/>
  <c r="CC19" i="15"/>
  <c r="BY19" i="15"/>
  <c r="BU19" i="15"/>
  <c r="AX19" i="15"/>
  <c r="AR19" i="15"/>
  <c r="AG19" i="15"/>
  <c r="I29" i="15"/>
  <c r="O20" i="15"/>
  <c r="F30" i="15"/>
  <c r="CB20" i="15"/>
  <c r="BD20" i="15"/>
  <c r="AQ57" i="1"/>
  <c r="AP30" i="1"/>
  <c r="AP40" i="1" s="1"/>
  <c r="AP45" i="1" s="1"/>
  <c r="AN40" i="1"/>
  <c r="AR21" i="1"/>
  <c r="AP56" i="1"/>
  <c r="AP55" i="1" s="1"/>
  <c r="AP63" i="1" s="1"/>
  <c r="AQ25" i="1"/>
  <c r="AQ18" i="1" s="1"/>
  <c r="Y56" i="1"/>
  <c r="W18" i="1"/>
  <c r="W57" i="1"/>
  <c r="V30" i="1"/>
  <c r="V40" i="1" s="1"/>
  <c r="V45" i="1" s="1"/>
  <c r="AC25" i="1"/>
  <c r="G3" i="1"/>
  <c r="H52" i="1"/>
  <c r="H50" i="1" s="1"/>
  <c r="AH41" i="1"/>
  <c r="E17" i="4"/>
  <c r="L74" i="1"/>
  <c r="D74" i="1"/>
  <c r="F17" i="4"/>
  <c r="AH13" i="1"/>
  <c r="CG12" i="1"/>
  <c r="BP11" i="1"/>
  <c r="D17" i="4"/>
  <c r="EE35" i="1"/>
  <c r="K33" i="2" s="1"/>
  <c r="EJ60" i="1"/>
  <c r="CE60" i="1"/>
  <c r="BM52" i="1"/>
  <c r="BI60" i="1"/>
  <c r="BG60" i="1"/>
  <c r="G74" i="1"/>
  <c r="I74" i="1"/>
  <c r="DN35" i="1"/>
  <c r="J33" i="2" s="1"/>
  <c r="DX38" i="1"/>
  <c r="DO10" i="1"/>
  <c r="BP12" i="1"/>
  <c r="DO15" i="1"/>
  <c r="K24" i="4"/>
  <c r="I39" i="2"/>
  <c r="CW35" i="1"/>
  <c r="I33" i="2" s="1"/>
  <c r="DJ52" i="1"/>
  <c r="DF52" i="1"/>
  <c r="DC51" i="1"/>
  <c r="BE60" i="1"/>
  <c r="BZ18" i="1"/>
  <c r="K24" i="3"/>
  <c r="BC74" i="1"/>
  <c r="J30" i="5"/>
  <c r="J28" i="5" s="1"/>
  <c r="FE7" i="1"/>
  <c r="FF7" i="1" s="1"/>
  <c r="FG7" i="1" s="1"/>
  <c r="FH7" i="1" s="1"/>
  <c r="FI7" i="1" s="1"/>
  <c r="FJ7" i="1" s="1"/>
  <c r="FK7" i="1" s="1"/>
  <c r="FL7" i="1" s="1"/>
  <c r="FM7" i="1"/>
  <c r="M7" i="2" s="1"/>
  <c r="BV74" i="1"/>
  <c r="FB8" i="1"/>
  <c r="FC8" i="1" s="1"/>
  <c r="FD8" i="1" s="1"/>
  <c r="FE8" i="1" s="1"/>
  <c r="FF8" i="1" s="1"/>
  <c r="FG8" i="1" s="1"/>
  <c r="F17" i="3"/>
  <c r="E37" i="2"/>
  <c r="E17" i="5"/>
  <c r="D17" i="5"/>
  <c r="DN9" i="1"/>
  <c r="J13" i="2" s="1"/>
  <c r="G24" i="5"/>
  <c r="F24" i="3"/>
  <c r="D42" i="2"/>
  <c r="J24" i="4"/>
  <c r="I34" i="4"/>
  <c r="J24" i="5"/>
  <c r="K34" i="5"/>
  <c r="J34" i="3"/>
  <c r="G42" i="2"/>
  <c r="EW44" i="1"/>
  <c r="DU51" i="1"/>
  <c r="CU52" i="1"/>
  <c r="CP51" i="1"/>
  <c r="CM52" i="1"/>
  <c r="BD60" i="1"/>
  <c r="BT18" i="1"/>
  <c r="BT30" i="1" s="1"/>
  <c r="CL19" i="1"/>
  <c r="CM56" i="1" s="1"/>
  <c r="CT25" i="1"/>
  <c r="K30" i="3"/>
  <c r="J30" i="4"/>
  <c r="J28" i="4" s="1"/>
  <c r="I30" i="3"/>
  <c r="E30" i="5"/>
  <c r="E28" i="5" s="1"/>
  <c r="H74" i="1"/>
  <c r="E74" i="1"/>
  <c r="DO11" i="1"/>
  <c r="G24" i="3"/>
  <c r="F24" i="4"/>
  <c r="H39" i="2"/>
  <c r="I34" i="5"/>
  <c r="I24" i="3"/>
  <c r="J27" i="2"/>
  <c r="BE74" i="1"/>
  <c r="DB51" i="1"/>
  <c r="CT51" i="1"/>
  <c r="CQ52" i="1"/>
  <c r="BT52" i="1"/>
  <c r="H7" i="5" s="1"/>
  <c r="BL53" i="1"/>
  <c r="BL50" i="1" s="1"/>
  <c r="BJ53" i="1"/>
  <c r="BC52" i="1"/>
  <c r="H60" i="1"/>
  <c r="U81" i="1"/>
  <c r="E17" i="3"/>
  <c r="F24" i="5"/>
  <c r="I24" i="4"/>
  <c r="I24" i="5"/>
  <c r="J24" i="3"/>
  <c r="K39" i="2"/>
  <c r="BM74" i="1"/>
  <c r="ED52" i="1"/>
  <c r="DY51" i="1"/>
  <c r="DG52" i="1"/>
  <c r="CD50" i="1"/>
  <c r="BJ52" i="1"/>
  <c r="CP3" i="1"/>
  <c r="CL3" i="1"/>
  <c r="BX18" i="1"/>
  <c r="CP19" i="1"/>
  <c r="CQ56" i="1" s="1"/>
  <c r="K74" i="1"/>
  <c r="G19" i="2"/>
  <c r="J21" i="2"/>
  <c r="F21" i="2"/>
  <c r="BG52" i="1"/>
  <c r="FF60" i="1"/>
  <c r="EP60" i="1"/>
  <c r="CT52" i="1"/>
  <c r="CS51" i="1"/>
  <c r="CS50" i="1" s="1"/>
  <c r="CO51" i="1"/>
  <c r="BU60" i="1"/>
  <c r="DI3" i="1"/>
  <c r="DS19" i="1"/>
  <c r="DT56" i="1" s="1"/>
  <c r="DE19" i="1"/>
  <c r="DF56" i="1" s="1"/>
  <c r="CS38" i="1"/>
  <c r="CS31" i="1" s="1"/>
  <c r="Q37" i="1"/>
  <c r="E30" i="4"/>
  <c r="E28" i="4" s="1"/>
  <c r="FJ60" i="1"/>
  <c r="ET60" i="1"/>
  <c r="DX52" i="1"/>
  <c r="DT52" i="1"/>
  <c r="DI51" i="1"/>
  <c r="CP52" i="1"/>
  <c r="CL52" i="1"/>
  <c r="BC53" i="1"/>
  <c r="AF74" i="1"/>
  <c r="EE9" i="1"/>
  <c r="K13" i="2" s="1"/>
  <c r="DM3" i="1"/>
  <c r="BT42" i="1"/>
  <c r="CO19" i="1"/>
  <c r="CP56" i="1" s="1"/>
  <c r="M60" i="1"/>
  <c r="CG11" i="1"/>
  <c r="F30" i="4"/>
  <c r="F28" i="4" s="1"/>
  <c r="FB60" i="1"/>
  <c r="EL60" i="1"/>
  <c r="CL60" i="1"/>
  <c r="CC60" i="1"/>
  <c r="CO3" i="1"/>
  <c r="EA19" i="1"/>
  <c r="EB56" i="1" s="1"/>
  <c r="CS19" i="1"/>
  <c r="CT56" i="1" s="1"/>
  <c r="CK19" i="1"/>
  <c r="CL56" i="1" s="1"/>
  <c r="I11" i="5" s="1"/>
  <c r="J60" i="1"/>
  <c r="CQ19" i="1"/>
  <c r="CR56" i="1" s="1"/>
  <c r="M30" i="4"/>
  <c r="L30" i="4"/>
  <c r="K30" i="5"/>
  <c r="K28" i="5" s="1"/>
  <c r="J30" i="3"/>
  <c r="I30" i="5"/>
  <c r="I28" i="5" s="1"/>
  <c r="H30" i="3"/>
  <c r="E30" i="3"/>
  <c r="EF13" i="1"/>
  <c r="D30" i="5"/>
  <c r="D28" i="5" s="1"/>
  <c r="L30" i="5"/>
  <c r="G30" i="4"/>
  <c r="K30" i="4"/>
  <c r="K28" i="4" s="1"/>
  <c r="F30" i="5"/>
  <c r="F28" i="5" s="1"/>
  <c r="F30" i="3"/>
  <c r="F28" i="3" s="1"/>
  <c r="L30" i="3"/>
  <c r="EV43" i="1"/>
  <c r="BG74" i="1"/>
  <c r="BK74" i="1"/>
  <c r="EC52" i="1"/>
  <c r="DY52" i="1"/>
  <c r="DT51" i="1"/>
  <c r="DL52" i="1"/>
  <c r="DD52" i="1"/>
  <c r="DC60" i="1"/>
  <c r="CR60" i="1"/>
  <c r="BK60" i="1"/>
  <c r="BF53" i="1"/>
  <c r="BE51" i="1"/>
  <c r="DX19" i="1"/>
  <c r="DY56" i="1" s="1"/>
  <c r="DK19" i="1"/>
  <c r="DL56" i="1" s="1"/>
  <c r="DC19" i="1"/>
  <c r="CU19" i="1"/>
  <c r="CV56" i="1" s="1"/>
  <c r="DG25" i="1"/>
  <c r="CK38" i="1"/>
  <c r="CK31" i="1" s="1"/>
  <c r="CL58" i="1" s="1"/>
  <c r="D34" i="2"/>
  <c r="D30" i="4"/>
  <c r="D28" i="4" s="1"/>
  <c r="D30" i="3"/>
  <c r="H30" i="4"/>
  <c r="D19" i="5"/>
  <c r="G30" i="5"/>
  <c r="G28" i="5" s="1"/>
  <c r="M30" i="5"/>
  <c r="G30" i="3"/>
  <c r="G28" i="3" s="1"/>
  <c r="DX51" i="1"/>
  <c r="DX50" i="1" s="1"/>
  <c r="DT70" i="1"/>
  <c r="DT74" i="1" s="1"/>
  <c r="DT60" i="1"/>
  <c r="DH52" i="1"/>
  <c r="DG51" i="1"/>
  <c r="DG50" i="1" s="1"/>
  <c r="CV52" i="1"/>
  <c r="BH53" i="1"/>
  <c r="BH50" i="1" s="1"/>
  <c r="BF52" i="1"/>
  <c r="DW19" i="1"/>
  <c r="DX56" i="1" s="1"/>
  <c r="EA25" i="1"/>
  <c r="G50" i="1"/>
  <c r="D19" i="4"/>
  <c r="Q11" i="1"/>
  <c r="P43" i="1"/>
  <c r="D41" i="2" s="1"/>
  <c r="M30" i="3"/>
  <c r="H30" i="5"/>
  <c r="H28" i="5" s="1"/>
  <c r="I30" i="4"/>
  <c r="I28" i="4" s="1"/>
  <c r="I27" i="2"/>
  <c r="DU52" i="1"/>
  <c r="DS53" i="1"/>
  <c r="DS50" i="1" s="1"/>
  <c r="DG60" i="1"/>
  <c r="CV60" i="1"/>
  <c r="CQ51" i="1"/>
  <c r="BX60" i="1"/>
  <c r="BV60" i="1"/>
  <c r="BD53" i="1"/>
  <c r="EB3" i="1"/>
  <c r="DX3" i="1"/>
  <c r="DT3" i="1"/>
  <c r="DK3" i="1"/>
  <c r="DG3" i="1"/>
  <c r="EB19" i="1"/>
  <c r="EC56" i="1" s="1"/>
  <c r="DT19" i="1"/>
  <c r="DU56" i="1" s="1"/>
  <c r="DG19" i="1"/>
  <c r="DH56" i="1" s="1"/>
  <c r="CM19" i="1"/>
  <c r="CN56" i="1" s="1"/>
  <c r="DW25" i="1"/>
  <c r="O60" i="1"/>
  <c r="N60" i="1"/>
  <c r="N55" i="1" s="1"/>
  <c r="FG42" i="1"/>
  <c r="FG60" i="1"/>
  <c r="FC42" i="1"/>
  <c r="FM43" i="1"/>
  <c r="FC60" i="1"/>
  <c r="DZ42" i="1"/>
  <c r="DZ60" i="1"/>
  <c r="DV42" i="1"/>
  <c r="DV60" i="1"/>
  <c r="CA60" i="1"/>
  <c r="CA42" i="1"/>
  <c r="DH25" i="1"/>
  <c r="DH51" i="1"/>
  <c r="DH19" i="1"/>
  <c r="DI56" i="1" s="1"/>
  <c r="DO43" i="1"/>
  <c r="EF12" i="1"/>
  <c r="AG43" i="1"/>
  <c r="E41" i="2" s="1"/>
  <c r="D19" i="2"/>
  <c r="CG29" i="1"/>
  <c r="CP60" i="1"/>
  <c r="CP42" i="1"/>
  <c r="CN42" i="1"/>
  <c r="CN60" i="1"/>
  <c r="CW43" i="1"/>
  <c r="BJ4" i="1"/>
  <c r="BJ25" i="1" s="1"/>
  <c r="BK58" i="1" s="1"/>
  <c r="BK53" i="1"/>
  <c r="BC42" i="1"/>
  <c r="BO43" i="1"/>
  <c r="G41" i="2" s="1"/>
  <c r="ED20" i="1"/>
  <c r="ED51" i="1"/>
  <c r="DZ20" i="1"/>
  <c r="EA57" i="1" s="1"/>
  <c r="DZ19" i="1"/>
  <c r="EA56" i="1" s="1"/>
  <c r="DV20" i="1"/>
  <c r="DW57" i="1" s="1"/>
  <c r="DV19" i="1"/>
  <c r="DW56" i="1" s="1"/>
  <c r="DV51" i="1"/>
  <c r="DW52" i="1"/>
  <c r="DW50" i="1" s="1"/>
  <c r="DT38" i="1"/>
  <c r="DJ38" i="1"/>
  <c r="DJ31" i="1" s="1"/>
  <c r="CO38" i="1"/>
  <c r="CO31" i="1" s="1"/>
  <c r="M50" i="1"/>
  <c r="CP70" i="1"/>
  <c r="CP74" i="1" s="1"/>
  <c r="CR70" i="1"/>
  <c r="CR74" i="1" s="1"/>
  <c r="DD70" i="1"/>
  <c r="DD74" i="1" s="1"/>
  <c r="DX70" i="1"/>
  <c r="DX74" i="1" s="1"/>
  <c r="DY70" i="1"/>
  <c r="DY74" i="1" s="1"/>
  <c r="DZ70" i="1"/>
  <c r="DZ74" i="1" s="1"/>
  <c r="ED70" i="1"/>
  <c r="CS70" i="1"/>
  <c r="CS74" i="1" s="1"/>
  <c r="CT70" i="1"/>
  <c r="CT74" i="1" s="1"/>
  <c r="CU70" i="1"/>
  <c r="CU74" i="1" s="1"/>
  <c r="DE70" i="1"/>
  <c r="DE74" i="1" s="1"/>
  <c r="DF70" i="1"/>
  <c r="DF74" i="1" s="1"/>
  <c r="DM70" i="1"/>
  <c r="DS70" i="1"/>
  <c r="DS74" i="1" s="1"/>
  <c r="CM70" i="1"/>
  <c r="CM74" i="1" s="1"/>
  <c r="DB70" i="1"/>
  <c r="DB74" i="1" s="1"/>
  <c r="DC70" i="1"/>
  <c r="DC74" i="1" s="1"/>
  <c r="DH70" i="1"/>
  <c r="DH74" i="1" s="1"/>
  <c r="DJ70" i="1"/>
  <c r="DJ74" i="1" s="1"/>
  <c r="DK70" i="1"/>
  <c r="DK74" i="1" s="1"/>
  <c r="DU70" i="1"/>
  <c r="DU74" i="1" s="1"/>
  <c r="DV70" i="1"/>
  <c r="DV74" i="1" s="1"/>
  <c r="DW70" i="1"/>
  <c r="DW74" i="1" s="1"/>
  <c r="EA70" i="1"/>
  <c r="EA74" i="1" s="1"/>
  <c r="EB70" i="1"/>
  <c r="EB74" i="1" s="1"/>
  <c r="EC70" i="1"/>
  <c r="EC74" i="1" s="1"/>
  <c r="DX42" i="1"/>
  <c r="DX60" i="1"/>
  <c r="DK42" i="1"/>
  <c r="DK60" i="1"/>
  <c r="DD25" i="1"/>
  <c r="DD19" i="1"/>
  <c r="DE56" i="1" s="1"/>
  <c r="DD51" i="1"/>
  <c r="DE52" i="1"/>
  <c r="DE50" i="1" s="1"/>
  <c r="DN4" i="1"/>
  <c r="J4" i="2" s="1"/>
  <c r="CF43" i="1"/>
  <c r="I21" i="2"/>
  <c r="EV6" i="1"/>
  <c r="L6" i="2" s="1"/>
  <c r="CL70" i="1"/>
  <c r="CL74" i="1" s="1"/>
  <c r="EU60" i="1"/>
  <c r="EQ60" i="1"/>
  <c r="EM60" i="1"/>
  <c r="DI52" i="1"/>
  <c r="CS42" i="1"/>
  <c r="CS60" i="1"/>
  <c r="CL53" i="1"/>
  <c r="CK3" i="1"/>
  <c r="BM4" i="1"/>
  <c r="BM19" i="1" s="1"/>
  <c r="BN53" i="1"/>
  <c r="BD51" i="1"/>
  <c r="BE52" i="1"/>
  <c r="DF38" i="1"/>
  <c r="DF31" i="1" s="1"/>
  <c r="FK42" i="1"/>
  <c r="FK60" i="1"/>
  <c r="EB42" i="1"/>
  <c r="EB60" i="1"/>
  <c r="ED3" i="1"/>
  <c r="EJ53" i="1"/>
  <c r="DI42" i="1"/>
  <c r="DI60" i="1"/>
  <c r="DL25" i="1"/>
  <c r="DL51" i="1"/>
  <c r="DM52" i="1"/>
  <c r="DM50" i="1" s="1"/>
  <c r="CM38" i="1"/>
  <c r="CM31" i="1" s="1"/>
  <c r="CQ38" i="1"/>
  <c r="CQ31" i="1" s="1"/>
  <c r="CU38" i="1"/>
  <c r="CU31" i="1" s="1"/>
  <c r="DD38" i="1"/>
  <c r="DD31" i="1" s="1"/>
  <c r="DH38" i="1"/>
  <c r="DH31" i="1" s="1"/>
  <c r="DL38" i="1"/>
  <c r="DL31" i="1" s="1"/>
  <c r="DV38" i="1"/>
  <c r="DV31" i="1" s="1"/>
  <c r="DZ38" i="1"/>
  <c r="DZ31" i="1" s="1"/>
  <c r="ED38" i="1"/>
  <c r="CN38" i="1"/>
  <c r="CN31" i="1" s="1"/>
  <c r="CR38" i="1"/>
  <c r="CR31" i="1" s="1"/>
  <c r="CV38" i="1"/>
  <c r="DE38" i="1"/>
  <c r="DE31" i="1" s="1"/>
  <c r="DI38" i="1"/>
  <c r="DI31" i="1" s="1"/>
  <c r="DM38" i="1"/>
  <c r="DS38" i="1"/>
  <c r="DW38" i="1"/>
  <c r="EA38" i="1"/>
  <c r="CL38" i="1"/>
  <c r="CP38" i="1"/>
  <c r="CT38" i="1"/>
  <c r="DC38" i="1"/>
  <c r="DG38" i="1"/>
  <c r="DK38" i="1"/>
  <c r="DU38" i="1"/>
  <c r="DY38" i="1"/>
  <c r="EC38" i="1"/>
  <c r="CX10" i="1"/>
  <c r="CW9" i="1"/>
  <c r="CX9" i="1" s="1"/>
  <c r="EE43" i="1"/>
  <c r="K41" i="2" s="1"/>
  <c r="G28" i="4"/>
  <c r="BP29" i="1"/>
  <c r="DG70" i="1"/>
  <c r="DG74" i="1" s="1"/>
  <c r="BC60" i="1"/>
  <c r="DE3" i="1"/>
  <c r="DF53" i="1"/>
  <c r="DC3" i="1"/>
  <c r="DD53" i="1"/>
  <c r="DM42" i="1"/>
  <c r="DM60" i="1"/>
  <c r="CT3" i="1"/>
  <c r="CU53" i="1"/>
  <c r="BZ42" i="1"/>
  <c r="BZ60" i="1"/>
  <c r="BF42" i="1"/>
  <c r="BF60" i="1"/>
  <c r="ED19" i="1"/>
  <c r="EJ56" i="1" s="1"/>
  <c r="EB38" i="1"/>
  <c r="EB31" i="1" s="1"/>
  <c r="DB38" i="1"/>
  <c r="CV19" i="1"/>
  <c r="DB56" i="1" s="1"/>
  <c r="DB52" i="1"/>
  <c r="CV51" i="1"/>
  <c r="CR19" i="1"/>
  <c r="CS56" i="1" s="1"/>
  <c r="CS52" i="1"/>
  <c r="CN19" i="1"/>
  <c r="CO56" i="1" s="1"/>
  <c r="CN51" i="1"/>
  <c r="C37" i="10"/>
  <c r="G30" i="10"/>
  <c r="DX31" i="1"/>
  <c r="DL70" i="1"/>
  <c r="DL74" i="1" s="1"/>
  <c r="CQ70" i="1"/>
  <c r="CQ74" i="1" s="1"/>
  <c r="DZ3" i="1"/>
  <c r="DV3" i="1"/>
  <c r="CN3" i="1"/>
  <c r="EB25" i="1"/>
  <c r="CO70" i="1"/>
  <c r="CO74" i="1" s="1"/>
  <c r="DL3" i="1"/>
  <c r="DH3" i="1"/>
  <c r="CR3" i="1"/>
  <c r="DI70" i="1"/>
  <c r="DI74" i="1" s="1"/>
  <c r="CV70" i="1"/>
  <c r="DD3" i="1"/>
  <c r="DY53" i="1"/>
  <c r="EL8" i="1"/>
  <c r="EM8" i="1" s="1"/>
  <c r="EN8" i="1" s="1"/>
  <c r="EO8" i="1" s="1"/>
  <c r="EO38" i="1" s="1"/>
  <c r="G21" i="2"/>
  <c r="FN15" i="1"/>
  <c r="CN70" i="1"/>
  <c r="CN74" i="1" s="1"/>
  <c r="I16" i="2"/>
  <c r="J55" i="1"/>
  <c r="BC57" i="1"/>
  <c r="DX25" i="1"/>
  <c r="H18" i="1"/>
  <c r="I57" i="1" s="1"/>
  <c r="EP11" i="1"/>
  <c r="EQ11" i="1" s="1"/>
  <c r="ER11" i="1" s="1"/>
  <c r="ES11" i="1" s="1"/>
  <c r="ET11" i="1" s="1"/>
  <c r="EU11" i="1" s="1"/>
  <c r="FA11" i="1" s="1"/>
  <c r="FB11" i="1" s="1"/>
  <c r="FC11" i="1" s="1"/>
  <c r="FD11" i="1" s="1"/>
  <c r="FE11" i="1" s="1"/>
  <c r="FF11" i="1" s="1"/>
  <c r="FG11" i="1" s="1"/>
  <c r="FH11" i="1" s="1"/>
  <c r="FI11" i="1" s="1"/>
  <c r="FJ11" i="1" s="1"/>
  <c r="FK11" i="1" s="1"/>
  <c r="FL11" i="1" s="1"/>
  <c r="EL13" i="1"/>
  <c r="EM13" i="1" s="1"/>
  <c r="EN13" i="1" s="1"/>
  <c r="EO13" i="1" s="1"/>
  <c r="EP13" i="1" s="1"/>
  <c r="EQ13" i="1" s="1"/>
  <c r="ER13" i="1" s="1"/>
  <c r="ES13" i="1" s="1"/>
  <c r="ET13" i="1" s="1"/>
  <c r="EU13" i="1" s="1"/>
  <c r="FA13" i="1" s="1"/>
  <c r="J50" i="1"/>
  <c r="BY50" i="1"/>
  <c r="BX50" i="1"/>
  <c r="I15" i="2"/>
  <c r="EJ57" i="1"/>
  <c r="EC57" i="1"/>
  <c r="DY57" i="1"/>
  <c r="DU57" i="1"/>
  <c r="EB50" i="1"/>
  <c r="EA53" i="1"/>
  <c r="DJ53" i="1"/>
  <c r="DF51" i="1"/>
  <c r="CU51" i="1"/>
  <c r="CP53" i="1"/>
  <c r="CM53" i="1"/>
  <c r="BT53" i="1"/>
  <c r="H8" i="5" s="1"/>
  <c r="BN51" i="1"/>
  <c r="BM53" i="1"/>
  <c r="BK51" i="1"/>
  <c r="BI53" i="1"/>
  <c r="BG51" i="1"/>
  <c r="BE53" i="1"/>
  <c r="BC51" i="1"/>
  <c r="EC3" i="1"/>
  <c r="DY3" i="1"/>
  <c r="DU3" i="1"/>
  <c r="DF3" i="1"/>
  <c r="DB3" i="1"/>
  <c r="CU3" i="1"/>
  <c r="BK3" i="1"/>
  <c r="BG3" i="1"/>
  <c r="BC3" i="1"/>
  <c r="DJ19" i="1"/>
  <c r="DK56" i="1" s="1"/>
  <c r="DF19" i="1"/>
  <c r="DG56" i="1" s="1"/>
  <c r="DB19" i="1"/>
  <c r="DC56" i="1" s="1"/>
  <c r="EC20" i="1"/>
  <c r="ED57" i="1" s="1"/>
  <c r="EA20" i="1"/>
  <c r="DY20" i="1"/>
  <c r="DZ57" i="1" s="1"/>
  <c r="DW20" i="1"/>
  <c r="DU20" i="1"/>
  <c r="DV57" i="1" s="1"/>
  <c r="DS20" i="1"/>
  <c r="K50" i="1"/>
  <c r="DO9" i="1"/>
  <c r="EE4" i="1"/>
  <c r="K4" i="2" s="1"/>
  <c r="CW4" i="1"/>
  <c r="I4" i="2" s="1"/>
  <c r="EA51" i="1"/>
  <c r="DJ51" i="1"/>
  <c r="CR52" i="1"/>
  <c r="CR50" i="1" s="1"/>
  <c r="CO50" i="1"/>
  <c r="CM51" i="1"/>
  <c r="BD52" i="1"/>
  <c r="EA3" i="1"/>
  <c r="DW3" i="1"/>
  <c r="DS3" i="1"/>
  <c r="CQ3" i="1"/>
  <c r="CM3" i="1"/>
  <c r="BF19" i="1"/>
  <c r="BG56" i="1" s="1"/>
  <c r="ED25" i="1"/>
  <c r="ED18" i="1" s="1"/>
  <c r="ED30" i="1" s="1"/>
  <c r="DZ25" i="1"/>
  <c r="DV25" i="1"/>
  <c r="BO9" i="1"/>
  <c r="AG9" i="1"/>
  <c r="EC51" i="1"/>
  <c r="EC50" i="1" s="1"/>
  <c r="DZ52" i="1"/>
  <c r="DZ50" i="1" s="1"/>
  <c r="DV52" i="1"/>
  <c r="DK52" i="1"/>
  <c r="DK50" i="1" s="1"/>
  <c r="DI50" i="1"/>
  <c r="DC52" i="1"/>
  <c r="CT53" i="1"/>
  <c r="CQ53" i="1"/>
  <c r="CN52" i="1"/>
  <c r="DJ3" i="1"/>
  <c r="EC19" i="1"/>
  <c r="DY19" i="1"/>
  <c r="DU19" i="1"/>
  <c r="CK20" i="1"/>
  <c r="G18" i="1"/>
  <c r="K18" i="1"/>
  <c r="H30" i="1"/>
  <c r="H40" i="1" s="1"/>
  <c r="H45" i="1" s="1"/>
  <c r="I50" i="1"/>
  <c r="O21" i="11"/>
  <c r="J16" i="2"/>
  <c r="DO12" i="1"/>
  <c r="E15" i="2"/>
  <c r="C31" i="7"/>
  <c r="C27" i="7"/>
  <c r="C33" i="7" s="1"/>
  <c r="E38" i="15"/>
  <c r="F33" i="15"/>
  <c r="I38" i="15"/>
  <c r="E39" i="15"/>
  <c r="Q32" i="15"/>
  <c r="K41" i="15" s="1"/>
  <c r="CA20" i="15"/>
  <c r="BS20" i="15"/>
  <c r="P32" i="15"/>
  <c r="P34" i="15" s="1"/>
  <c r="I34" i="15"/>
  <c r="ET12" i="1"/>
  <c r="EU12" i="1" s="1"/>
  <c r="FA12" i="1" s="1"/>
  <c r="K15" i="2"/>
  <c r="EF11" i="1"/>
  <c r="Q13" i="1"/>
  <c r="D17" i="2"/>
  <c r="D21" i="2"/>
  <c r="CG17" i="1"/>
  <c r="H21" i="2"/>
  <c r="EW17" i="1"/>
  <c r="L21" i="2"/>
  <c r="EF29" i="1"/>
  <c r="K27" i="2"/>
  <c r="CX4" i="1"/>
  <c r="F14" i="2"/>
  <c r="D16" i="2"/>
  <c r="Q12" i="1"/>
  <c r="CX15" i="1"/>
  <c r="I19" i="2"/>
  <c r="BO31" i="1"/>
  <c r="G29" i="2" s="1"/>
  <c r="G30" i="2"/>
  <c r="C35" i="7"/>
  <c r="C34" i="7"/>
  <c r="I19" i="11"/>
  <c r="Y19" i="11"/>
  <c r="AD43" i="11"/>
  <c r="M18" i="2"/>
  <c r="FN14" i="1"/>
  <c r="H33" i="15"/>
  <c r="E32" i="15"/>
  <c r="E20" i="15"/>
  <c r="T34" i="15"/>
  <c r="FH8" i="1"/>
  <c r="FI8" i="1" s="1"/>
  <c r="FJ8" i="1" s="1"/>
  <c r="FK8" i="1" s="1"/>
  <c r="FL8" i="1" s="1"/>
  <c r="AH44" i="1"/>
  <c r="E42" i="2"/>
  <c r="M19" i="11"/>
  <c r="AC19" i="11"/>
  <c r="AH43" i="11"/>
  <c r="Z44" i="11"/>
  <c r="AA45" i="11" s="1"/>
  <c r="L38" i="15"/>
  <c r="L42" i="15" s="1"/>
  <c r="S33" i="15"/>
  <c r="J38" i="15"/>
  <c r="I40" i="15"/>
  <c r="F38" i="15"/>
  <c r="H20" i="15"/>
  <c r="E18" i="2"/>
  <c r="AH14" i="1"/>
  <c r="CX14" i="1"/>
  <c r="E31" i="7"/>
  <c r="E27" i="7"/>
  <c r="E33" i="7" s="1"/>
  <c r="Q19" i="11"/>
  <c r="AG19" i="11"/>
  <c r="AA44" i="11"/>
  <c r="G38" i="15"/>
  <c r="I33" i="15"/>
  <c r="F34" i="15"/>
  <c r="CK20" i="15"/>
  <c r="S32" i="15"/>
  <c r="L41" i="15" s="1"/>
  <c r="N32" i="15"/>
  <c r="N34" i="15" s="1"/>
  <c r="BG20" i="15"/>
  <c r="FJ6" i="1"/>
  <c r="FK6" i="1" s="1"/>
  <c r="FL6" i="1" s="1"/>
  <c r="O32" i="15"/>
  <c r="M32" i="15"/>
  <c r="I41" i="15" s="1"/>
  <c r="K32" i="15"/>
  <c r="H41" i="15" s="1"/>
  <c r="G30" i="15"/>
  <c r="EJ33" i="1"/>
  <c r="EJ35" i="1"/>
  <c r="EJ38" i="1"/>
  <c r="EJ4" i="1"/>
  <c r="EK5" i="1"/>
  <c r="CC74" i="1"/>
  <c r="BW74" i="1"/>
  <c r="E19" i="2"/>
  <c r="E21" i="2"/>
  <c r="K21" i="2"/>
  <c r="FN17" i="1"/>
  <c r="EW29" i="1"/>
  <c r="J15" i="11"/>
  <c r="J16" i="11" s="1"/>
  <c r="J20" i="11" s="1"/>
  <c r="K21" i="11" s="1"/>
  <c r="AD15" i="11"/>
  <c r="AD16" i="11" s="1"/>
  <c r="AD20" i="11" s="1"/>
  <c r="AE21" i="11" s="1"/>
  <c r="L19" i="15"/>
  <c r="W19" i="15"/>
  <c r="AC19" i="15"/>
  <c r="AP19" i="15"/>
  <c r="AU20" i="15"/>
  <c r="BS19" i="15"/>
  <c r="BG19" i="15"/>
  <c r="BM20" i="15"/>
  <c r="BX21" i="15" s="1"/>
  <c r="CQ20" i="15"/>
  <c r="E31" i="15"/>
  <c r="E33" i="15" s="1"/>
  <c r="L31" i="15"/>
  <c r="H40" i="15" s="1"/>
  <c r="K30" i="15"/>
  <c r="H30" i="15"/>
  <c r="J32" i="15"/>
  <c r="K20" i="15"/>
  <c r="Y20" i="15"/>
  <c r="AB21" i="15" s="1"/>
  <c r="AJ19" i="15"/>
  <c r="AC20" i="15"/>
  <c r="BZ19" i="15"/>
  <c r="BA20" i="15"/>
  <c r="BL21" i="15" s="1"/>
  <c r="Q29" i="15"/>
  <c r="O31" i="15"/>
  <c r="G31" i="15"/>
  <c r="F40" i="15" s="1"/>
  <c r="Q30" i="15"/>
  <c r="O30" i="15"/>
  <c r="M30" i="15"/>
  <c r="L30" i="15"/>
  <c r="L34" i="15" s="1"/>
  <c r="J30" i="15"/>
  <c r="J34" i="15" s="1"/>
  <c r="CF10" i="1"/>
  <c r="AO20" i="15"/>
  <c r="G32" i="15"/>
  <c r="F41" i="15" s="1"/>
  <c r="FB4" i="1"/>
  <c r="FB70" i="1"/>
  <c r="FC5" i="1"/>
  <c r="EK69" i="1"/>
  <c r="EK64" i="1" s="1"/>
  <c r="EK36" i="1"/>
  <c r="EK9" i="1"/>
  <c r="EL53" i="1" s="1"/>
  <c r="EL10" i="1"/>
  <c r="EQ5" i="1"/>
  <c r="BT56" i="1"/>
  <c r="BY74" i="1"/>
  <c r="FA38" i="1"/>
  <c r="FA4" i="1"/>
  <c r="EJ69" i="1"/>
  <c r="EJ36" i="1"/>
  <c r="EJ9" i="1"/>
  <c r="CA74" i="1"/>
  <c r="BJ74" i="1"/>
  <c r="BL25" i="1"/>
  <c r="BM58" i="1" s="1"/>
  <c r="BL20" i="1"/>
  <c r="BM57" i="1" s="1"/>
  <c r="BL28" i="1"/>
  <c r="BL19" i="1"/>
  <c r="BL3" i="1"/>
  <c r="BF74" i="1"/>
  <c r="BH25" i="1"/>
  <c r="BI58" i="1" s="1"/>
  <c r="BH20" i="1"/>
  <c r="BI57" i="1" s="1"/>
  <c r="BH28" i="1"/>
  <c r="BH19" i="1"/>
  <c r="BH3" i="1"/>
  <c r="DB31" i="1"/>
  <c r="BL74" i="1"/>
  <c r="BH74" i="1"/>
  <c r="BD74" i="1"/>
  <c r="BI20" i="1"/>
  <c r="BJ57" i="1" s="1"/>
  <c r="BI28" i="1"/>
  <c r="BI19" i="1"/>
  <c r="BI25" i="1"/>
  <c r="BJ58" i="1" s="1"/>
  <c r="BI3" i="1"/>
  <c r="BD25" i="1"/>
  <c r="BD20" i="1"/>
  <c r="BE57" i="1" s="1"/>
  <c r="BD28" i="1"/>
  <c r="BD19" i="1"/>
  <c r="BD3" i="1"/>
  <c r="BD56" i="1"/>
  <c r="BN28" i="1"/>
  <c r="BN25" i="1"/>
  <c r="BT58" i="1" s="1"/>
  <c r="BN20" i="1"/>
  <c r="BT57" i="1" s="1"/>
  <c r="BN3" i="1"/>
  <c r="DS56" i="1"/>
  <c r="EP7" i="1"/>
  <c r="BZ30" i="1"/>
  <c r="BK28" i="1"/>
  <c r="BK25" i="1"/>
  <c r="BL58" i="1" s="1"/>
  <c r="BK20" i="1"/>
  <c r="BL57" i="1" s="1"/>
  <c r="BJ3" i="1"/>
  <c r="BF28" i="1"/>
  <c r="BF25" i="1"/>
  <c r="BG58" i="1" s="1"/>
  <c r="BF20" i="1"/>
  <c r="DD56" i="1"/>
  <c r="BJ28" i="1"/>
  <c r="BJ20" i="1"/>
  <c r="BK57" i="1" s="1"/>
  <c r="BE20" i="1"/>
  <c r="BF57" i="1" s="1"/>
  <c r="BE28" i="1"/>
  <c r="BE25" i="1"/>
  <c r="BF58" i="1" s="1"/>
  <c r="BE19" i="1"/>
  <c r="BG28" i="1"/>
  <c r="BG25" i="1"/>
  <c r="BH58" i="1" s="1"/>
  <c r="BG19" i="1"/>
  <c r="BG20" i="1"/>
  <c r="BH57" i="1" s="1"/>
  <c r="BC28" i="1"/>
  <c r="BC25" i="1"/>
  <c r="BD58" i="1" s="1"/>
  <c r="BC20" i="1"/>
  <c r="BK19" i="1"/>
  <c r="EE36" i="1"/>
  <c r="DK25" i="1"/>
  <c r="DK34" i="1"/>
  <c r="DG34" i="1"/>
  <c r="DC34" i="1"/>
  <c r="DN33" i="1"/>
  <c r="CT34" i="1"/>
  <c r="CT31" i="1" s="1"/>
  <c r="CU58" i="1" s="1"/>
  <c r="CP34" i="1"/>
  <c r="CL34" i="1"/>
  <c r="CW33" i="1"/>
  <c r="DN36" i="1"/>
  <c r="CT28" i="1"/>
  <c r="CT20" i="1"/>
  <c r="CP28" i="1"/>
  <c r="CP20" i="1"/>
  <c r="CL28" i="1"/>
  <c r="CL20" i="1"/>
  <c r="M7" i="10"/>
  <c r="Q7" i="10" s="1"/>
  <c r="U7" i="10" s="1"/>
  <c r="E25" i="10" s="1"/>
  <c r="I25" i="10" s="1"/>
  <c r="M25" i="10" s="1"/>
  <c r="EA34" i="1"/>
  <c r="EA31" i="1" s="1"/>
  <c r="DW34" i="1"/>
  <c r="DS34" i="1"/>
  <c r="DC25" i="1"/>
  <c r="DC57" i="1"/>
  <c r="CW36" i="1"/>
  <c r="DM20" i="1"/>
  <c r="DS57" i="1" s="1"/>
  <c r="DM25" i="1"/>
  <c r="DI20" i="1"/>
  <c r="DI25" i="1"/>
  <c r="DE20" i="1"/>
  <c r="DE25" i="1"/>
  <c r="CV28" i="1"/>
  <c r="CV20" i="1"/>
  <c r="CV25" i="1"/>
  <c r="CR28" i="1"/>
  <c r="CR20" i="1"/>
  <c r="CR25" i="1"/>
  <c r="CN28" i="1"/>
  <c r="CN20" i="1"/>
  <c r="CN25" i="1"/>
  <c r="I42" i="1"/>
  <c r="I60" i="1"/>
  <c r="EC34" i="1"/>
  <c r="DY34" i="1"/>
  <c r="DU34" i="1"/>
  <c r="DJ25" i="1"/>
  <c r="DF25" i="1"/>
  <c r="DB25" i="1"/>
  <c r="DL20" i="1"/>
  <c r="DH20" i="1"/>
  <c r="DD20" i="1"/>
  <c r="CS25" i="1"/>
  <c r="CO25" i="1"/>
  <c r="CU20" i="1"/>
  <c r="CS20" i="1"/>
  <c r="CQ20" i="1"/>
  <c r="CO20" i="1"/>
  <c r="CM20" i="1"/>
  <c r="M3" i="1"/>
  <c r="N50" i="1"/>
  <c r="O64" i="1"/>
  <c r="D19" i="3" s="1"/>
  <c r="E10" i="10"/>
  <c r="I10" i="10" s="1"/>
  <c r="M10" i="10" s="1"/>
  <c r="Q10" i="10" s="1"/>
  <c r="U10" i="10" s="1"/>
  <c r="L42" i="1"/>
  <c r="L60" i="1"/>
  <c r="F29" i="2"/>
  <c r="E6" i="10"/>
  <c r="N3" i="1"/>
  <c r="J18" i="1"/>
  <c r="F18" i="1"/>
  <c r="E19" i="5"/>
  <c r="CU25" i="1"/>
  <c r="CQ25" i="1"/>
  <c r="CM25" i="1"/>
  <c r="AG31" i="1"/>
  <c r="E29" i="2" s="1"/>
  <c r="I30" i="1"/>
  <c r="I40" i="1" s="1"/>
  <c r="Q87" i="1"/>
  <c r="Q88" i="1"/>
  <c r="V70" i="1"/>
  <c r="V74" i="1" s="1"/>
  <c r="CB64" i="1"/>
  <c r="BX64" i="1"/>
  <c r="J74" i="1"/>
  <c r="F74" i="1"/>
  <c r="U74" i="1"/>
  <c r="AA51" i="1"/>
  <c r="V50" i="1"/>
  <c r="X51" i="1"/>
  <c r="X70" i="1"/>
  <c r="X74" i="1" s="1"/>
  <c r="W70" i="1"/>
  <c r="CE50" i="1"/>
  <c r="CA50" i="1"/>
  <c r="BV30" i="1"/>
  <c r="CE56" i="1"/>
  <c r="BW56" i="1"/>
  <c r="CF25" i="1"/>
  <c r="H25" i="2" s="1"/>
  <c r="CB50" i="1"/>
  <c r="BV50" i="1"/>
  <c r="CD74" i="1"/>
  <c r="BZ74" i="1"/>
  <c r="BC56" i="1"/>
  <c r="AC51" i="1"/>
  <c r="AD70" i="1"/>
  <c r="AD74" i="1" s="1"/>
  <c r="AD51" i="1"/>
  <c r="AD50" i="1" s="1"/>
  <c r="Y51" i="1"/>
  <c r="AF51" i="1"/>
  <c r="AA70" i="1"/>
  <c r="AA74" i="1" s="1"/>
  <c r="M70" i="1"/>
  <c r="M74" i="1" s="1"/>
  <c r="P4" i="1"/>
  <c r="D4" i="2" s="1"/>
  <c r="M18" i="1"/>
  <c r="N57" i="1" s="1"/>
  <c r="N70" i="1"/>
  <c r="N74" i="1" s="1"/>
  <c r="O70" i="1"/>
  <c r="O74" i="1" s="1"/>
  <c r="L3" i="1"/>
  <c r="G19" i="5"/>
  <c r="G19" i="3"/>
  <c r="BN74" i="1"/>
  <c r="G19" i="4"/>
  <c r="G17" i="5"/>
  <c r="G26" i="4"/>
  <c r="G26" i="5"/>
  <c r="H33" i="2"/>
  <c r="H34" i="4"/>
  <c r="BW50" i="1"/>
  <c r="H6" i="3"/>
  <c r="H6" i="5"/>
  <c r="BU70" i="1"/>
  <c r="BU74" i="1" s="1"/>
  <c r="CF20" i="1"/>
  <c r="BV57" i="1"/>
  <c r="CF3" i="1"/>
  <c r="CD31" i="1"/>
  <c r="CE58" i="1" s="1"/>
  <c r="BV31" i="1"/>
  <c r="BW58" i="1" s="1"/>
  <c r="BW55" i="1" s="1"/>
  <c r="CC31" i="1"/>
  <c r="CD58" i="1" s="1"/>
  <c r="CD55" i="1" s="1"/>
  <c r="CD63" i="1" s="1"/>
  <c r="BY31" i="1"/>
  <c r="BZ58" i="1" s="1"/>
  <c r="CF33" i="1"/>
  <c r="H7" i="3"/>
  <c r="H34" i="3"/>
  <c r="H28" i="3" s="1"/>
  <c r="S6" i="10"/>
  <c r="BZ31" i="1"/>
  <c r="CA58" i="1" s="1"/>
  <c r="CA31" i="1"/>
  <c r="CB58" i="1" s="1"/>
  <c r="CB55" i="1" s="1"/>
  <c r="BW31" i="1"/>
  <c r="BX58" i="1" s="1"/>
  <c r="BT64" i="1"/>
  <c r="H24" i="3"/>
  <c r="H24" i="4"/>
  <c r="H24" i="5"/>
  <c r="CB70" i="1"/>
  <c r="BX70" i="1"/>
  <c r="CK50" i="1"/>
  <c r="CC50" i="1"/>
  <c r="BU50" i="1"/>
  <c r="CE18" i="1"/>
  <c r="CE30" i="1" s="1"/>
  <c r="CA18" i="1"/>
  <c r="CA30" i="1" s="1"/>
  <c r="BW18" i="1"/>
  <c r="BW30" i="1" s="1"/>
  <c r="BX31" i="1"/>
  <c r="BY58" i="1" s="1"/>
  <c r="BY55" i="1" s="1"/>
  <c r="CB30" i="1"/>
  <c r="BX30" i="1"/>
  <c r="CC18" i="1"/>
  <c r="CC30" i="1" s="1"/>
  <c r="BY18" i="1"/>
  <c r="BY30" i="1" s="1"/>
  <c r="CF19" i="1"/>
  <c r="BU18" i="1"/>
  <c r="CF36" i="1"/>
  <c r="CB31" i="1"/>
  <c r="CC58" i="1" s="1"/>
  <c r="BT31" i="1"/>
  <c r="BU58" i="1" s="1"/>
  <c r="BU55" i="1" s="1"/>
  <c r="S7" i="10"/>
  <c r="BT70" i="1"/>
  <c r="E19" i="4"/>
  <c r="AE74" i="1"/>
  <c r="E19" i="3"/>
  <c r="Q9" i="10"/>
  <c r="K22" i="11" l="1"/>
  <c r="F30" i="1"/>
  <c r="F40" i="1" s="1"/>
  <c r="F45" i="1" s="1"/>
  <c r="G57" i="1"/>
  <c r="G55" i="1" s="1"/>
  <c r="AE22" i="11"/>
  <c r="J35" i="15"/>
  <c r="K30" i="1"/>
  <c r="K40" i="1" s="1"/>
  <c r="K45" i="1" s="1"/>
  <c r="L57" i="1"/>
  <c r="R34" i="15"/>
  <c r="AY12" i="1"/>
  <c r="F16" i="2"/>
  <c r="AY13" i="1"/>
  <c r="F17" i="2"/>
  <c r="AN21" i="15"/>
  <c r="G41" i="15"/>
  <c r="G39" i="15"/>
  <c r="AE46" i="11"/>
  <c r="G30" i="1"/>
  <c r="G40" i="1" s="1"/>
  <c r="G45" i="1" s="1"/>
  <c r="H57" i="1"/>
  <c r="CT50" i="1"/>
  <c r="BF50" i="1"/>
  <c r="H55" i="1"/>
  <c r="R33" i="15"/>
  <c r="H17" i="2"/>
  <c r="CG13" i="1"/>
  <c r="AY11" i="1"/>
  <c r="F15" i="2"/>
  <c r="K33" i="15"/>
  <c r="DB50" i="1"/>
  <c r="DY50" i="1"/>
  <c r="AE45" i="11"/>
  <c r="AI46" i="11" s="1"/>
  <c r="BX74" i="1"/>
  <c r="J30" i="1"/>
  <c r="J40" i="1" s="1"/>
  <c r="J45" i="1" s="1"/>
  <c r="K57" i="1"/>
  <c r="K55" i="1" s="1"/>
  <c r="K63" i="1" s="1"/>
  <c r="BE58" i="1"/>
  <c r="J40" i="15"/>
  <c r="E40" i="15"/>
  <c r="E42" i="15" s="1"/>
  <c r="J41" i="15"/>
  <c r="L33" i="15"/>
  <c r="I42" i="15"/>
  <c r="DT31" i="1"/>
  <c r="DU58" i="1" s="1"/>
  <c r="J17" i="2"/>
  <c r="CB74" i="1"/>
  <c r="L55" i="1"/>
  <c r="H34" i="15"/>
  <c r="E41" i="15"/>
  <c r="E43" i="15" s="1"/>
  <c r="CJ21" i="15"/>
  <c r="DC50" i="1"/>
  <c r="BI50" i="1"/>
  <c r="EB18" i="1"/>
  <c r="EB30" i="1" s="1"/>
  <c r="EB40" i="1" s="1"/>
  <c r="EB45" i="1" s="1"/>
  <c r="CX13" i="1"/>
  <c r="J33" i="15"/>
  <c r="W21" i="11"/>
  <c r="W22" i="11" s="1"/>
  <c r="BF3" i="1"/>
  <c r="BF51" i="1"/>
  <c r="G40" i="15"/>
  <c r="G42" i="15" s="1"/>
  <c r="AN45" i="1"/>
  <c r="AQ56" i="1"/>
  <c r="AQ55" i="1" s="1"/>
  <c r="AQ63" i="1" s="1"/>
  <c r="AR25" i="1"/>
  <c r="AS21" i="1"/>
  <c r="AR18" i="1"/>
  <c r="AR57" i="1"/>
  <c r="AQ30" i="1"/>
  <c r="Z56" i="1"/>
  <c r="Y21" i="1"/>
  <c r="X18" i="1"/>
  <c r="X57" i="1"/>
  <c r="X55" i="1" s="1"/>
  <c r="W30" i="1"/>
  <c r="W40" i="1" s="1"/>
  <c r="W45" i="1" s="1"/>
  <c r="AD25" i="1"/>
  <c r="Y50" i="1"/>
  <c r="H7" i="4"/>
  <c r="X50" i="1"/>
  <c r="EO35" i="1"/>
  <c r="FB35" i="1"/>
  <c r="FB38" i="1"/>
  <c r="I13" i="2"/>
  <c r="EC31" i="1"/>
  <c r="ED58" i="1" s="1"/>
  <c r="BM25" i="1"/>
  <c r="BN58" i="1" s="1"/>
  <c r="EF9" i="1"/>
  <c r="DI58" i="1"/>
  <c r="CL50" i="1"/>
  <c r="ED50" i="1"/>
  <c r="DU50" i="1"/>
  <c r="BD50" i="1"/>
  <c r="DH50" i="1"/>
  <c r="DT50" i="1"/>
  <c r="E36" i="5"/>
  <c r="DU31" i="1"/>
  <c r="DV58" i="1" s="1"/>
  <c r="FM6" i="1"/>
  <c r="M6" i="2" s="1"/>
  <c r="DC31" i="1"/>
  <c r="DD58" i="1" s="1"/>
  <c r="DD55" i="1" s="1"/>
  <c r="DD63" i="1" s="1"/>
  <c r="E15" i="5"/>
  <c r="U86" i="1"/>
  <c r="W81" i="1"/>
  <c r="W86" i="1" s="1"/>
  <c r="J63" i="1"/>
  <c r="DK31" i="1"/>
  <c r="DL58" i="1" s="1"/>
  <c r="DL55" i="1" s="1"/>
  <c r="EA58" i="1"/>
  <c r="DG18" i="1"/>
  <c r="DG30" i="1" s="1"/>
  <c r="D7" i="4"/>
  <c r="DW31" i="1"/>
  <c r="DX58" i="1" s="1"/>
  <c r="CP50" i="1"/>
  <c r="DV50" i="1"/>
  <c r="BG50" i="1"/>
  <c r="EA50" i="1"/>
  <c r="CC55" i="1"/>
  <c r="CF42" i="1"/>
  <c r="CG42" i="1" s="1"/>
  <c r="DW58" i="1"/>
  <c r="DW55" i="1" s="1"/>
  <c r="DW63" i="1" s="1"/>
  <c r="DL50" i="1"/>
  <c r="DE58" i="1"/>
  <c r="BX55" i="1"/>
  <c r="BX63" i="1" s="1"/>
  <c r="CU50" i="1"/>
  <c r="I11" i="4"/>
  <c r="H28" i="4"/>
  <c r="G63" i="1"/>
  <c r="CS58" i="1"/>
  <c r="CQ50" i="1"/>
  <c r="BO4" i="1"/>
  <c r="G4" i="2" s="1"/>
  <c r="H15" i="3"/>
  <c r="G8" i="4"/>
  <c r="BY63" i="1"/>
  <c r="H8" i="3"/>
  <c r="G36" i="4"/>
  <c r="CV58" i="1"/>
  <c r="DG31" i="1"/>
  <c r="DH58" i="1" s="1"/>
  <c r="DH55" i="1" s="1"/>
  <c r="BM20" i="1"/>
  <c r="BN57" i="1" s="1"/>
  <c r="DU55" i="1"/>
  <c r="DU63" i="1" s="1"/>
  <c r="L50" i="1"/>
  <c r="L63" i="1" s="1"/>
  <c r="E15" i="3"/>
  <c r="AG42" i="1"/>
  <c r="E40" i="2" s="1"/>
  <c r="L40" i="2"/>
  <c r="CA55" i="1"/>
  <c r="CA63" i="1" s="1"/>
  <c r="G36" i="5"/>
  <c r="BM28" i="1"/>
  <c r="BO28" i="1" s="1"/>
  <c r="G26" i="2" s="1"/>
  <c r="I11" i="3"/>
  <c r="I45" i="1"/>
  <c r="CT58" i="1"/>
  <c r="DX18" i="1"/>
  <c r="DX30" i="1" s="1"/>
  <c r="DX40" i="1" s="1"/>
  <c r="DX45" i="1" s="1"/>
  <c r="CV50" i="1"/>
  <c r="EC58" i="1"/>
  <c r="EC55" i="1" s="1"/>
  <c r="EC63" i="1" s="1"/>
  <c r="EE38" i="1"/>
  <c r="K36" i="2" s="1"/>
  <c r="EE42" i="1"/>
  <c r="EF42" i="1" s="1"/>
  <c r="G37" i="3"/>
  <c r="CN58" i="1"/>
  <c r="K8" i="5"/>
  <c r="EV11" i="1"/>
  <c r="EW11" i="1" s="1"/>
  <c r="DY58" i="1"/>
  <c r="DY55" i="1" s="1"/>
  <c r="CW38" i="1"/>
  <c r="CP31" i="1"/>
  <c r="CQ58" i="1" s="1"/>
  <c r="DV18" i="1"/>
  <c r="DV30" i="1" s="1"/>
  <c r="DV40" i="1" s="1"/>
  <c r="DV45" i="1" s="1"/>
  <c r="BE50" i="1"/>
  <c r="DD50" i="1"/>
  <c r="E15" i="4"/>
  <c r="D36" i="4"/>
  <c r="D36" i="5"/>
  <c r="EW43" i="1"/>
  <c r="L41" i="2"/>
  <c r="CR58" i="1"/>
  <c r="D6" i="5"/>
  <c r="BT55" i="1"/>
  <c r="DT18" i="1"/>
  <c r="DT30" i="1" s="1"/>
  <c r="DT40" i="1" s="1"/>
  <c r="DT45" i="1" s="1"/>
  <c r="F41" i="2"/>
  <c r="DM58" i="1"/>
  <c r="I35" i="3"/>
  <c r="I28" i="3" s="1"/>
  <c r="H15" i="5"/>
  <c r="DN38" i="1"/>
  <c r="J36" i="2" s="1"/>
  <c r="FM11" i="1"/>
  <c r="FN11" i="1" s="1"/>
  <c r="DZ18" i="1"/>
  <c r="DZ30" i="1" s="1"/>
  <c r="DZ40" i="1" s="1"/>
  <c r="DZ45" i="1" s="1"/>
  <c r="BM3" i="1"/>
  <c r="BO3" i="1" s="1"/>
  <c r="CG3" i="1" s="1"/>
  <c r="BN52" i="1"/>
  <c r="BN50" i="1" s="1"/>
  <c r="BM51" i="1"/>
  <c r="BM50" i="1" s="1"/>
  <c r="CG43" i="1"/>
  <c r="H41" i="2"/>
  <c r="J35" i="3"/>
  <c r="J28" i="3" s="1"/>
  <c r="BJ19" i="1"/>
  <c r="BK56" i="1" s="1"/>
  <c r="BK52" i="1"/>
  <c r="BJ51" i="1"/>
  <c r="BJ50" i="1" s="1"/>
  <c r="H15" i="4"/>
  <c r="K15" i="3"/>
  <c r="K15" i="5"/>
  <c r="K15" i="4"/>
  <c r="M15" i="5"/>
  <c r="M15" i="4"/>
  <c r="M15" i="3"/>
  <c r="K30" i="10"/>
  <c r="G37" i="10"/>
  <c r="I41" i="2"/>
  <c r="CX43" i="1"/>
  <c r="CB63" i="1"/>
  <c r="EA55" i="1"/>
  <c r="CW19" i="1"/>
  <c r="CX19" i="1" s="1"/>
  <c r="BP43" i="1"/>
  <c r="J15" i="5"/>
  <c r="J15" i="3"/>
  <c r="J15" i="4"/>
  <c r="L15" i="3"/>
  <c r="L15" i="4"/>
  <c r="L15" i="5"/>
  <c r="BO42" i="1"/>
  <c r="I15" i="5"/>
  <c r="I15" i="3"/>
  <c r="I15" i="4"/>
  <c r="FM42" i="1"/>
  <c r="M41" i="2"/>
  <c r="FN43" i="1"/>
  <c r="E36" i="4"/>
  <c r="BZ55" i="1"/>
  <c r="BZ63" i="1" s="1"/>
  <c r="DY31" i="1"/>
  <c r="DZ58" i="1" s="1"/>
  <c r="CO58" i="1"/>
  <c r="DJ58" i="1"/>
  <c r="CK70" i="1"/>
  <c r="CK74" i="1" s="1"/>
  <c r="EF43" i="1"/>
  <c r="DJ50" i="1"/>
  <c r="G15" i="3"/>
  <c r="G15" i="5"/>
  <c r="G15" i="4"/>
  <c r="DN42" i="1"/>
  <c r="K35" i="3"/>
  <c r="K28" i="3" s="1"/>
  <c r="CW42" i="1"/>
  <c r="EV12" i="1"/>
  <c r="L16" i="2" s="1"/>
  <c r="K6" i="3"/>
  <c r="I8" i="4"/>
  <c r="H11" i="4"/>
  <c r="CW34" i="1"/>
  <c r="I32" i="2" s="1"/>
  <c r="FM8" i="1"/>
  <c r="M8" i="2" s="1"/>
  <c r="EP8" i="1"/>
  <c r="EO4" i="1"/>
  <c r="EE34" i="1"/>
  <c r="K32" i="2" s="1"/>
  <c r="EV13" i="1"/>
  <c r="FB13" i="1"/>
  <c r="FC13" i="1" s="1"/>
  <c r="FD13" i="1" s="1"/>
  <c r="FE13" i="1" s="1"/>
  <c r="FF13" i="1" s="1"/>
  <c r="FG13" i="1" s="1"/>
  <c r="FH13" i="1" s="1"/>
  <c r="FI13" i="1" s="1"/>
  <c r="FJ13" i="1" s="1"/>
  <c r="FK13" i="1" s="1"/>
  <c r="FL13" i="1" s="1"/>
  <c r="DN34" i="1"/>
  <c r="CW3" i="1"/>
  <c r="CX5" i="1" s="1"/>
  <c r="DN3" i="1"/>
  <c r="DO6" i="1" s="1"/>
  <c r="I7" i="4"/>
  <c r="I7" i="5"/>
  <c r="F13" i="2"/>
  <c r="DF50" i="1"/>
  <c r="J6" i="5"/>
  <c r="G8" i="3"/>
  <c r="BT50" i="1"/>
  <c r="BT63" i="1" s="1"/>
  <c r="DN20" i="1"/>
  <c r="J24" i="2" s="1"/>
  <c r="DN19" i="1"/>
  <c r="DO19" i="1" s="1"/>
  <c r="DY18" i="1"/>
  <c r="DY30" i="1" s="1"/>
  <c r="DZ56" i="1"/>
  <c r="G13" i="2"/>
  <c r="BP9" i="1"/>
  <c r="CM50" i="1"/>
  <c r="I6" i="4"/>
  <c r="I6" i="5"/>
  <c r="I6" i="3"/>
  <c r="BC50" i="1"/>
  <c r="H8" i="4"/>
  <c r="J8" i="5"/>
  <c r="J8" i="3"/>
  <c r="I7" i="3"/>
  <c r="K6" i="4"/>
  <c r="J6" i="3"/>
  <c r="I8" i="5"/>
  <c r="EC18" i="1"/>
  <c r="EC30" i="1" s="1"/>
  <c r="ED56" i="1"/>
  <c r="E8" i="5"/>
  <c r="E8" i="4"/>
  <c r="E8" i="3"/>
  <c r="J6" i="4"/>
  <c r="DT57" i="1"/>
  <c r="DS18" i="1"/>
  <c r="EB57" i="1"/>
  <c r="EA18" i="1"/>
  <c r="EA30" i="1" s="1"/>
  <c r="EA40" i="1" s="1"/>
  <c r="EA45" i="1" s="1"/>
  <c r="G8" i="5"/>
  <c r="EE25" i="1"/>
  <c r="K25" i="2" s="1"/>
  <c r="J8" i="4"/>
  <c r="K8" i="3"/>
  <c r="CW28" i="1"/>
  <c r="CX28" i="1" s="1"/>
  <c r="DV56" i="1"/>
  <c r="DU18" i="1"/>
  <c r="DU30" i="1" s="1"/>
  <c r="EE19" i="1"/>
  <c r="K23" i="2" s="1"/>
  <c r="J7" i="4"/>
  <c r="J7" i="3"/>
  <c r="J7" i="5"/>
  <c r="DX57" i="1"/>
  <c r="DW18" i="1"/>
  <c r="DW30" i="1" s="1"/>
  <c r="F8" i="5"/>
  <c r="F8" i="4"/>
  <c r="I8" i="3"/>
  <c r="EE20" i="1"/>
  <c r="K24" i="2" s="1"/>
  <c r="BC18" i="1"/>
  <c r="BC30" i="1" s="1"/>
  <c r="EE3" i="1"/>
  <c r="EF38" i="1" s="1"/>
  <c r="CL57" i="1"/>
  <c r="CL55" i="1" s="1"/>
  <c r="CK18" i="1"/>
  <c r="CK30" i="1" s="1"/>
  <c r="CK40" i="1" s="1"/>
  <c r="CK45" i="1" s="1"/>
  <c r="K7" i="4"/>
  <c r="K7" i="5"/>
  <c r="E13" i="2"/>
  <c r="K8" i="4"/>
  <c r="CN50" i="1"/>
  <c r="F8" i="3"/>
  <c r="K6" i="5"/>
  <c r="K7" i="3"/>
  <c r="L18" i="1"/>
  <c r="M57" i="1" s="1"/>
  <c r="M55" i="1" s="1"/>
  <c r="P20" i="1"/>
  <c r="D24" i="2" s="1"/>
  <c r="N63" i="1"/>
  <c r="M30" i="1"/>
  <c r="M40" i="1" s="1"/>
  <c r="M45" i="1" s="1"/>
  <c r="H63" i="1"/>
  <c r="EB58" i="1"/>
  <c r="CN57" i="1"/>
  <c r="CM18" i="1"/>
  <c r="CM30" i="1" s="1"/>
  <c r="CM40" i="1" s="1"/>
  <c r="CM45" i="1" s="1"/>
  <c r="DI57" i="1"/>
  <c r="DI55" i="1" s="1"/>
  <c r="DI63" i="1" s="1"/>
  <c r="DH18" i="1"/>
  <c r="DH30" i="1" s="1"/>
  <c r="DH40" i="1" s="1"/>
  <c r="DH45" i="1" s="1"/>
  <c r="DK58" i="1"/>
  <c r="DK55" i="1" s="1"/>
  <c r="DK63" i="1" s="1"/>
  <c r="DJ18" i="1"/>
  <c r="DJ30" i="1" s="1"/>
  <c r="DJ40" i="1" s="1"/>
  <c r="DJ45" i="1" s="1"/>
  <c r="I31" i="2"/>
  <c r="BG57" i="1"/>
  <c r="BG55" i="1" s="1"/>
  <c r="BF18" i="1"/>
  <c r="BE56" i="1"/>
  <c r="BE55" i="1" s="1"/>
  <c r="BD18" i="1"/>
  <c r="BD30" i="1" s="1"/>
  <c r="BD40" i="1" s="1"/>
  <c r="BD45" i="1" s="1"/>
  <c r="D3" i="1"/>
  <c r="P9" i="1"/>
  <c r="L43" i="15"/>
  <c r="D29" i="3"/>
  <c r="D28" i="3" s="1"/>
  <c r="D37" i="3" s="1"/>
  <c r="W55" i="1"/>
  <c r="W50" i="1"/>
  <c r="F55" i="1"/>
  <c r="E31" i="1"/>
  <c r="F58" i="1" s="1"/>
  <c r="CP57" i="1"/>
  <c r="CO18" i="1"/>
  <c r="CO30" i="1" s="1"/>
  <c r="CO40" i="1" s="1"/>
  <c r="CO45" i="1" s="1"/>
  <c r="CP58" i="1"/>
  <c r="DM57" i="1"/>
  <c r="DL18" i="1"/>
  <c r="DL30" i="1" s="1"/>
  <c r="DL40" i="1" s="1"/>
  <c r="DL45" i="1" s="1"/>
  <c r="CO57" i="1"/>
  <c r="CN18" i="1"/>
  <c r="CN30" i="1" s="1"/>
  <c r="CN40" i="1" s="1"/>
  <c r="CN45" i="1" s="1"/>
  <c r="I34" i="2"/>
  <c r="CX36" i="1"/>
  <c r="CQ57" i="1"/>
  <c r="CP18" i="1"/>
  <c r="CP30" i="1" s="1"/>
  <c r="CW25" i="1"/>
  <c r="CL31" i="1"/>
  <c r="CM58" i="1" s="1"/>
  <c r="J32" i="2"/>
  <c r="DK18" i="1"/>
  <c r="DK30" i="1" s="1"/>
  <c r="BN56" i="1"/>
  <c r="J11" i="5"/>
  <c r="J11" i="4"/>
  <c r="J11" i="3"/>
  <c r="EJ64" i="1"/>
  <c r="EL69" i="1"/>
  <c r="EL64" i="1" s="1"/>
  <c r="EL9" i="1"/>
  <c r="EM53" i="1" s="1"/>
  <c r="EL36" i="1"/>
  <c r="EM10" i="1"/>
  <c r="FB20" i="1"/>
  <c r="FC57" i="1" s="1"/>
  <c r="FB19" i="1"/>
  <c r="FB25" i="1"/>
  <c r="FB51" i="1"/>
  <c r="FC52" i="1"/>
  <c r="CG10" i="1"/>
  <c r="H14" i="2"/>
  <c r="I39" i="15"/>
  <c r="I43" i="15" s="1"/>
  <c r="M34" i="15"/>
  <c r="N35" i="15" s="1"/>
  <c r="H39" i="15"/>
  <c r="H43" i="15" s="1"/>
  <c r="K34" i="15"/>
  <c r="L35" i="15" s="1"/>
  <c r="EK38" i="1"/>
  <c r="EK4" i="1"/>
  <c r="EK35" i="1"/>
  <c r="EK33" i="1"/>
  <c r="EL5" i="1"/>
  <c r="EJ70" i="1"/>
  <c r="F39" i="15"/>
  <c r="F43" i="15" s="1"/>
  <c r="G34" i="15"/>
  <c r="CV21" i="15"/>
  <c r="O22" i="11"/>
  <c r="S22" i="11"/>
  <c r="D31" i="1"/>
  <c r="E58" i="1" s="1"/>
  <c r="P38" i="1"/>
  <c r="D50" i="1"/>
  <c r="D63" i="1" s="1"/>
  <c r="D76" i="1" s="1"/>
  <c r="E49" i="1" s="1"/>
  <c r="D6" i="4"/>
  <c r="CV57" i="1"/>
  <c r="CU18" i="1"/>
  <c r="CU30" i="1" s="1"/>
  <c r="CU40" i="1" s="1"/>
  <c r="CU45" i="1" s="1"/>
  <c r="CS57" i="1"/>
  <c r="CR18" i="1"/>
  <c r="CR30" i="1" s="1"/>
  <c r="CR40" i="1" s="1"/>
  <c r="CR45" i="1" s="1"/>
  <c r="DF57" i="1"/>
  <c r="DE18" i="1"/>
  <c r="DE30" i="1" s="1"/>
  <c r="DE40" i="1" s="1"/>
  <c r="DE45" i="1" s="1"/>
  <c r="ER5" i="1"/>
  <c r="V55" i="1"/>
  <c r="V63" i="1" s="1"/>
  <c r="CR57" i="1"/>
  <c r="CQ18" i="1"/>
  <c r="CQ30" i="1" s="1"/>
  <c r="CQ40" i="1" s="1"/>
  <c r="CQ45" i="1" s="1"/>
  <c r="DC58" i="1"/>
  <c r="DC55" i="1" s="1"/>
  <c r="DC63" i="1" s="1"/>
  <c r="DN25" i="1"/>
  <c r="DB18" i="1"/>
  <c r="I55" i="1"/>
  <c r="I63" i="1" s="1"/>
  <c r="D15" i="5"/>
  <c r="D15" i="4"/>
  <c r="I36" i="2"/>
  <c r="DJ57" i="1"/>
  <c r="DI18" i="1"/>
  <c r="DI30" i="1" s="1"/>
  <c r="DI40" i="1" s="1"/>
  <c r="DI45" i="1" s="1"/>
  <c r="DC18" i="1"/>
  <c r="DC30" i="1" s="1"/>
  <c r="K34" i="2"/>
  <c r="EF36" i="1"/>
  <c r="BL56" i="1"/>
  <c r="BL55" i="1" s="1"/>
  <c r="BL63" i="1" s="1"/>
  <c r="BK18" i="1"/>
  <c r="BK30" i="1" s="1"/>
  <c r="BK40" i="1" s="1"/>
  <c r="BK45" i="1" s="1"/>
  <c r="BF56" i="1"/>
  <c r="BF55" i="1" s="1"/>
  <c r="BF63" i="1" s="1"/>
  <c r="BE18" i="1"/>
  <c r="BE30" i="1" s="1"/>
  <c r="BE40" i="1" s="1"/>
  <c r="BE45" i="1" s="1"/>
  <c r="EQ7" i="1"/>
  <c r="ER7" i="1" s="1"/>
  <c r="ES7" i="1" s="1"/>
  <c r="ET7" i="1" s="1"/>
  <c r="BJ56" i="1"/>
  <c r="BJ55" i="1" s="1"/>
  <c r="BI18" i="1"/>
  <c r="BI30" i="1" s="1"/>
  <c r="BI40" i="1" s="1"/>
  <c r="BI45" i="1" s="1"/>
  <c r="BM56" i="1"/>
  <c r="BM55" i="1" s="1"/>
  <c r="BL18" i="1"/>
  <c r="BL30" i="1" s="1"/>
  <c r="BL40" i="1" s="1"/>
  <c r="BL45" i="1" s="1"/>
  <c r="FA20" i="1"/>
  <c r="FA25" i="1"/>
  <c r="FA19" i="1"/>
  <c r="FB52" i="1"/>
  <c r="FA51" i="1"/>
  <c r="BN18" i="1"/>
  <c r="BN30" i="1" s="1"/>
  <c r="BN40" i="1" s="1"/>
  <c r="BN45" i="1" s="1"/>
  <c r="FC4" i="1"/>
  <c r="FC38" i="1"/>
  <c r="FD5" i="1"/>
  <c r="FC35" i="1"/>
  <c r="AZ21" i="15"/>
  <c r="J39" i="15"/>
  <c r="O34" i="15"/>
  <c r="P35" i="15" s="1"/>
  <c r="K38" i="15"/>
  <c r="K42" i="15" s="1"/>
  <c r="Q33" i="15"/>
  <c r="EJ25" i="1"/>
  <c r="EJ20" i="1"/>
  <c r="EJ19" i="1"/>
  <c r="EJ3" i="1"/>
  <c r="EK52" i="1"/>
  <c r="EJ51" i="1"/>
  <c r="EJ34" i="1"/>
  <c r="EJ31" i="1" s="1"/>
  <c r="M15" i="2"/>
  <c r="F42" i="15"/>
  <c r="AI22" i="11"/>
  <c r="I6" i="10"/>
  <c r="E13" i="10"/>
  <c r="DM18" i="1"/>
  <c r="DM30" i="1" s="1"/>
  <c r="G43" i="15"/>
  <c r="G44" i="15" s="1"/>
  <c r="BY40" i="1"/>
  <c r="BY45" i="1" s="1"/>
  <c r="D7" i="3"/>
  <c r="D6" i="3"/>
  <c r="F26" i="2"/>
  <c r="F19" i="3"/>
  <c r="F37" i="3" s="1"/>
  <c r="F19" i="4"/>
  <c r="F36" i="4" s="1"/>
  <c r="F19" i="5"/>
  <c r="F36" i="5" s="1"/>
  <c r="E50" i="1"/>
  <c r="CT57" i="1"/>
  <c r="CS18" i="1"/>
  <c r="CS30" i="1" s="1"/>
  <c r="CS40" i="1" s="1"/>
  <c r="CS45" i="1" s="1"/>
  <c r="DE57" i="1"/>
  <c r="DD18" i="1"/>
  <c r="DD30" i="1" s="1"/>
  <c r="DD40" i="1" s="1"/>
  <c r="DD45" i="1" s="1"/>
  <c r="DG58" i="1"/>
  <c r="DG55" i="1" s="1"/>
  <c r="DG63" i="1" s="1"/>
  <c r="DF18" i="1"/>
  <c r="DF30" i="1" s="1"/>
  <c r="DF40" i="1" s="1"/>
  <c r="DF45" i="1" s="1"/>
  <c r="P42" i="1"/>
  <c r="D40" i="2" s="1"/>
  <c r="DB57" i="1"/>
  <c r="CV18" i="1"/>
  <c r="CV30" i="1" s="1"/>
  <c r="DF58" i="1"/>
  <c r="DS31" i="1"/>
  <c r="CM57" i="1"/>
  <c r="CW20" i="1"/>
  <c r="CL18" i="1"/>
  <c r="CU57" i="1"/>
  <c r="CU55" i="1" s="1"/>
  <c r="CU63" i="1" s="1"/>
  <c r="CT18" i="1"/>
  <c r="CT30" i="1" s="1"/>
  <c r="CT40" i="1" s="1"/>
  <c r="CT45" i="1" s="1"/>
  <c r="J34" i="2"/>
  <c r="DO36" i="1"/>
  <c r="J31" i="2"/>
  <c r="BD57" i="1"/>
  <c r="BH56" i="1"/>
  <c r="BH55" i="1" s="1"/>
  <c r="BH63" i="1" s="1"/>
  <c r="BG18" i="1"/>
  <c r="BG30" i="1" s="1"/>
  <c r="BG40" i="1" s="1"/>
  <c r="BG45" i="1" s="1"/>
  <c r="F15" i="3"/>
  <c r="F15" i="4"/>
  <c r="F15" i="5"/>
  <c r="BH18" i="1"/>
  <c r="BH30" i="1" s="1"/>
  <c r="BH40" i="1" s="1"/>
  <c r="BH45" i="1" s="1"/>
  <c r="BI56" i="1"/>
  <c r="BI55" i="1" s="1"/>
  <c r="BI63" i="1" s="1"/>
  <c r="BK55" i="1"/>
  <c r="EK53" i="1"/>
  <c r="E3" i="1"/>
  <c r="E30" i="1" s="1"/>
  <c r="F50" i="1"/>
  <c r="DO4" i="1"/>
  <c r="EF4" i="1"/>
  <c r="K39" i="15"/>
  <c r="K43" i="15" s="1"/>
  <c r="Q34" i="15"/>
  <c r="R35" i="15" s="1"/>
  <c r="S34" i="15"/>
  <c r="T35" i="15" s="1"/>
  <c r="G33" i="15"/>
  <c r="J42" i="15"/>
  <c r="P21" i="15"/>
  <c r="H42" i="15"/>
  <c r="D15" i="3"/>
  <c r="FB12" i="1"/>
  <c r="FC12" i="1" s="1"/>
  <c r="FD12" i="1" s="1"/>
  <c r="FE12" i="1" s="1"/>
  <c r="FF12" i="1" s="1"/>
  <c r="FG12" i="1" s="1"/>
  <c r="FH12" i="1" s="1"/>
  <c r="FI12" i="1" s="1"/>
  <c r="FJ12" i="1" s="1"/>
  <c r="FK12" i="1" s="1"/>
  <c r="FL12" i="1" s="1"/>
  <c r="E34" i="15"/>
  <c r="F35" i="15" s="1"/>
  <c r="AC70" i="1"/>
  <c r="AC74" i="1" s="1"/>
  <c r="CG8" i="1"/>
  <c r="CG28" i="1"/>
  <c r="H11" i="3"/>
  <c r="H11" i="5"/>
  <c r="F6" i="4"/>
  <c r="F4" i="2"/>
  <c r="F23" i="2"/>
  <c r="F6" i="5"/>
  <c r="F6" i="3"/>
  <c r="F24" i="2"/>
  <c r="AE51" i="1"/>
  <c r="AE50" i="1" s="1"/>
  <c r="AF50" i="1"/>
  <c r="AG4" i="1"/>
  <c r="E4" i="2" s="1"/>
  <c r="AA50" i="1"/>
  <c r="Z70" i="1"/>
  <c r="Z74" i="1" s="1"/>
  <c r="Z51" i="1"/>
  <c r="F7" i="4"/>
  <c r="F7" i="3"/>
  <c r="F7" i="5"/>
  <c r="AB70" i="1"/>
  <c r="AB74" i="1" s="1"/>
  <c r="AB51" i="1"/>
  <c r="AB50" i="1" s="1"/>
  <c r="U50" i="1"/>
  <c r="D7" i="5"/>
  <c r="O18" i="1"/>
  <c r="C10" i="10"/>
  <c r="P25" i="1"/>
  <c r="D25" i="2" s="1"/>
  <c r="N18" i="1"/>
  <c r="P19" i="1"/>
  <c r="P28" i="1"/>
  <c r="D26" i="2" s="1"/>
  <c r="O50" i="1"/>
  <c r="CF18" i="1"/>
  <c r="H22" i="2" s="1"/>
  <c r="H49" i="2" s="1"/>
  <c r="CD40" i="1"/>
  <c r="CD45" i="1" s="1"/>
  <c r="BX40" i="1"/>
  <c r="BX45" i="1" s="1"/>
  <c r="CA40" i="1"/>
  <c r="CA45" i="1" s="1"/>
  <c r="CF34" i="1"/>
  <c r="CC40" i="1"/>
  <c r="CC45" i="1" s="1"/>
  <c r="H12" i="5"/>
  <c r="H12" i="3"/>
  <c r="H12" i="4"/>
  <c r="H34" i="2"/>
  <c r="CG36" i="1"/>
  <c r="H23" i="2"/>
  <c r="CG19" i="1"/>
  <c r="H31" i="2"/>
  <c r="CG33" i="1"/>
  <c r="BW40" i="1"/>
  <c r="BW45" i="1" s="1"/>
  <c r="H24" i="2"/>
  <c r="CG20" i="1"/>
  <c r="BU63" i="1"/>
  <c r="BT74" i="1"/>
  <c r="C24" i="10"/>
  <c r="BV40" i="1"/>
  <c r="BV45" i="1" s="1"/>
  <c r="BT40" i="1"/>
  <c r="H3" i="2"/>
  <c r="H48" i="2" s="1"/>
  <c r="CG5" i="1"/>
  <c r="CG7" i="1"/>
  <c r="CG37" i="1"/>
  <c r="CG32" i="1"/>
  <c r="CG4" i="1"/>
  <c r="CG25" i="1"/>
  <c r="CG38" i="1"/>
  <c r="CG6" i="1"/>
  <c r="BW63" i="1"/>
  <c r="C25" i="10"/>
  <c r="G25" i="10" s="1"/>
  <c r="K25" i="10" s="1"/>
  <c r="CB40" i="1"/>
  <c r="CB45" i="1" s="1"/>
  <c r="CC63" i="1"/>
  <c r="BU31" i="1"/>
  <c r="BV58" i="1" s="1"/>
  <c r="H13" i="4" s="1"/>
  <c r="BU30" i="1"/>
  <c r="BZ40" i="1"/>
  <c r="BZ45" i="1" s="1"/>
  <c r="CG35" i="1"/>
  <c r="U9" i="10"/>
  <c r="H44" i="15" l="1"/>
  <c r="CO55" i="1"/>
  <c r="CO63" i="1" s="1"/>
  <c r="AA22" i="11"/>
  <c r="D12" i="4"/>
  <c r="N30" i="1"/>
  <c r="N40" i="1" s="1"/>
  <c r="N45" i="1" s="1"/>
  <c r="O57" i="1"/>
  <c r="D12" i="5" s="1"/>
  <c r="J43" i="15"/>
  <c r="J44" i="15" s="1"/>
  <c r="CR55" i="1"/>
  <c r="CR63" i="1" s="1"/>
  <c r="BG63" i="1"/>
  <c r="CL63" i="1"/>
  <c r="L15" i="2"/>
  <c r="K44" i="15"/>
  <c r="D12" i="3"/>
  <c r="O30" i="1"/>
  <c r="O40" i="1" s="1"/>
  <c r="O45" i="1" s="1"/>
  <c r="U57" i="1"/>
  <c r="BF30" i="1"/>
  <c r="BF40" i="1" s="1"/>
  <c r="BF45" i="1" s="1"/>
  <c r="L30" i="1"/>
  <c r="DO8" i="1"/>
  <c r="J23" i="2"/>
  <c r="H35" i="15"/>
  <c r="EC40" i="1"/>
  <c r="EC45" i="1" s="1"/>
  <c r="DY63" i="1"/>
  <c r="DH63" i="1"/>
  <c r="K5" i="5"/>
  <c r="AT21" i="1"/>
  <c r="AS57" i="1"/>
  <c r="AR30" i="1"/>
  <c r="AR40" i="1" s="1"/>
  <c r="AR45" i="1" s="1"/>
  <c r="AQ40" i="1"/>
  <c r="AR56" i="1"/>
  <c r="AR55" i="1" s="1"/>
  <c r="AR63" i="1" s="1"/>
  <c r="AS25" i="1"/>
  <c r="AS18" i="1" s="1"/>
  <c r="X63" i="1"/>
  <c r="AA56" i="1"/>
  <c r="Y57" i="1"/>
  <c r="Y55" i="1" s="1"/>
  <c r="Y63" i="1" s="1"/>
  <c r="X30" i="1"/>
  <c r="X40" i="1" s="1"/>
  <c r="X45" i="1" s="1"/>
  <c r="Z21" i="1"/>
  <c r="Y18" i="1"/>
  <c r="AE25" i="1"/>
  <c r="DW40" i="1"/>
  <c r="DW45" i="1" s="1"/>
  <c r="H40" i="2"/>
  <c r="BO25" i="1"/>
  <c r="BE63" i="1"/>
  <c r="K5" i="3"/>
  <c r="DO38" i="1"/>
  <c r="CP40" i="1"/>
  <c r="CP45" i="1" s="1"/>
  <c r="DU40" i="1"/>
  <c r="DU45" i="1" s="1"/>
  <c r="G7" i="4"/>
  <c r="K40" i="2"/>
  <c r="CX3" i="1"/>
  <c r="K5" i="4"/>
  <c r="DC40" i="1"/>
  <c r="DC45" i="1" s="1"/>
  <c r="I23" i="2"/>
  <c r="EA63" i="1"/>
  <c r="DK40" i="1"/>
  <c r="DK45" i="1" s="1"/>
  <c r="DO7" i="1"/>
  <c r="DO33" i="1"/>
  <c r="DO5" i="1"/>
  <c r="DO35" i="1"/>
  <c r="DO37" i="1"/>
  <c r="J3" i="2"/>
  <c r="J48" i="2" s="1"/>
  <c r="DE55" i="1"/>
  <c r="DE63" i="1" s="1"/>
  <c r="EW12" i="1"/>
  <c r="CN55" i="1"/>
  <c r="CN63" i="1" s="1"/>
  <c r="EF32" i="1"/>
  <c r="BO20" i="1"/>
  <c r="BM63" i="1"/>
  <c r="BO19" i="1"/>
  <c r="BP19" i="1" s="1"/>
  <c r="BJ18" i="1"/>
  <c r="BJ30" i="1" s="1"/>
  <c r="BJ40" i="1" s="1"/>
  <c r="BJ45" i="1" s="1"/>
  <c r="BM18" i="1"/>
  <c r="DL63" i="1"/>
  <c r="DG40" i="1"/>
  <c r="DG45" i="1" s="1"/>
  <c r="EP4" i="1"/>
  <c r="EP20" i="1" s="1"/>
  <c r="EQ57" i="1" s="1"/>
  <c r="BN55" i="1"/>
  <c r="BN63" i="1" s="1"/>
  <c r="J5" i="5"/>
  <c r="K12" i="3"/>
  <c r="CT55" i="1"/>
  <c r="CT63" i="1" s="1"/>
  <c r="EV7" i="1"/>
  <c r="CQ55" i="1"/>
  <c r="CQ63" i="1" s="1"/>
  <c r="I26" i="2"/>
  <c r="J5" i="3"/>
  <c r="CS55" i="1"/>
  <c r="CS63" i="1" s="1"/>
  <c r="K11" i="4"/>
  <c r="E40" i="1"/>
  <c r="DO34" i="1"/>
  <c r="DO20" i="1"/>
  <c r="EF33" i="1"/>
  <c r="DO32" i="1"/>
  <c r="DY40" i="1"/>
  <c r="DY45" i="1" s="1"/>
  <c r="G7" i="5"/>
  <c r="G40" i="2"/>
  <c r="BP42" i="1"/>
  <c r="O30" i="10"/>
  <c r="K37" i="10"/>
  <c r="EF25" i="1"/>
  <c r="J5" i="4"/>
  <c r="EB55" i="1"/>
  <c r="EB63" i="1" s="1"/>
  <c r="CX7" i="1"/>
  <c r="G6" i="5"/>
  <c r="J40" i="2"/>
  <c r="DO42" i="1"/>
  <c r="BK50" i="1"/>
  <c r="G5" i="4" s="1"/>
  <c r="M40" i="2"/>
  <c r="FN42" i="1"/>
  <c r="BJ63" i="1"/>
  <c r="EF20" i="1"/>
  <c r="DJ55" i="1"/>
  <c r="DJ63" i="1" s="1"/>
  <c r="DV55" i="1"/>
  <c r="DV63" i="1" s="1"/>
  <c r="CX8" i="1"/>
  <c r="G6" i="4"/>
  <c r="EP70" i="1"/>
  <c r="EP38" i="1"/>
  <c r="BM30" i="1"/>
  <c r="BM40" i="1" s="1"/>
  <c r="BM45" i="1" s="1"/>
  <c r="G6" i="3"/>
  <c r="CX42" i="1"/>
  <c r="I40" i="2"/>
  <c r="G7" i="3"/>
  <c r="EF8" i="1"/>
  <c r="EF6" i="1"/>
  <c r="K3" i="2"/>
  <c r="K48" i="2" s="1"/>
  <c r="CX32" i="1"/>
  <c r="CX6" i="1"/>
  <c r="EF7" i="1"/>
  <c r="EF37" i="1"/>
  <c r="DO3" i="1"/>
  <c r="CX35" i="1"/>
  <c r="I3" i="2"/>
  <c r="I48" i="2" s="1"/>
  <c r="EF3" i="1"/>
  <c r="EF35" i="1"/>
  <c r="EF5" i="1"/>
  <c r="CX38" i="1"/>
  <c r="EF34" i="1"/>
  <c r="CX33" i="1"/>
  <c r="CX34" i="1"/>
  <c r="CX37" i="1"/>
  <c r="K11" i="3"/>
  <c r="EP52" i="1"/>
  <c r="EO51" i="1"/>
  <c r="EO20" i="1"/>
  <c r="EP57" i="1" s="1"/>
  <c r="EO25" i="1"/>
  <c r="EO19" i="1"/>
  <c r="EJ74" i="1"/>
  <c r="EQ8" i="1"/>
  <c r="EP35" i="1"/>
  <c r="CG18" i="1"/>
  <c r="K12" i="5"/>
  <c r="D30" i="1"/>
  <c r="D40" i="1" s="1"/>
  <c r="I5" i="4"/>
  <c r="L17" i="2"/>
  <c r="EW13" i="1"/>
  <c r="FM13" i="1"/>
  <c r="H5" i="5"/>
  <c r="I5" i="5"/>
  <c r="EF19" i="1"/>
  <c r="K11" i="5"/>
  <c r="EE18" i="1"/>
  <c r="H5" i="4"/>
  <c r="I5" i="3"/>
  <c r="K12" i="4"/>
  <c r="DX55" i="1"/>
  <c r="DX63" i="1" s="1"/>
  <c r="DZ55" i="1"/>
  <c r="DZ63" i="1" s="1"/>
  <c r="H5" i="3"/>
  <c r="DS30" i="1"/>
  <c r="EE30" i="1" s="1"/>
  <c r="K28" i="2" s="1"/>
  <c r="K50" i="2" s="1"/>
  <c r="D13" i="4"/>
  <c r="F63" i="1"/>
  <c r="D13" i="3"/>
  <c r="P18" i="1"/>
  <c r="D22" i="2" s="1"/>
  <c r="D49" i="2" s="1"/>
  <c r="EK57" i="1"/>
  <c r="DO25" i="1"/>
  <c r="J25" i="2"/>
  <c r="EL35" i="1"/>
  <c r="EL4" i="1"/>
  <c r="EL33" i="1"/>
  <c r="EL38" i="1"/>
  <c r="EM5" i="1"/>
  <c r="BC40" i="1"/>
  <c r="D13" i="5"/>
  <c r="P3" i="1"/>
  <c r="G11" i="4"/>
  <c r="CM55" i="1"/>
  <c r="CM63" i="1" s="1"/>
  <c r="I12" i="4"/>
  <c r="I12" i="5"/>
  <c r="I12" i="3"/>
  <c r="J12" i="3"/>
  <c r="J12" i="5"/>
  <c r="J12" i="4"/>
  <c r="EK58" i="1"/>
  <c r="EP19" i="1"/>
  <c r="D36" i="2"/>
  <c r="P31" i="1"/>
  <c r="D29" i="2" s="1"/>
  <c r="EK70" i="1"/>
  <c r="EK74" i="1" s="1"/>
  <c r="FC56" i="1"/>
  <c r="FB18" i="1"/>
  <c r="EM69" i="1"/>
  <c r="EM64" i="1" s="1"/>
  <c r="EM36" i="1"/>
  <c r="EM9" i="1"/>
  <c r="EN10" i="1"/>
  <c r="W63" i="1"/>
  <c r="D8" i="5"/>
  <c r="D8" i="4"/>
  <c r="D8" i="3"/>
  <c r="L7" i="2"/>
  <c r="G3" i="2"/>
  <c r="G48" i="2" s="1"/>
  <c r="H55" i="2" s="1"/>
  <c r="BP5" i="1"/>
  <c r="BP34" i="1"/>
  <c r="BP37" i="1"/>
  <c r="BP8" i="1"/>
  <c r="BP36" i="1"/>
  <c r="BP32" i="1"/>
  <c r="BP7" i="1"/>
  <c r="BP35" i="1"/>
  <c r="BP38" i="1"/>
  <c r="BP33" i="1"/>
  <c r="BP6" i="1"/>
  <c r="BP4" i="1"/>
  <c r="BP31" i="1"/>
  <c r="DT58" i="1"/>
  <c r="DT55" i="1" s="1"/>
  <c r="DT63" i="1" s="1"/>
  <c r="E55" i="1"/>
  <c r="E63" i="1" s="1"/>
  <c r="E76" i="1" s="1"/>
  <c r="F49" i="1" s="1"/>
  <c r="FD4" i="1"/>
  <c r="FD38" i="1"/>
  <c r="FE5" i="1"/>
  <c r="FD35" i="1"/>
  <c r="FC25" i="1"/>
  <c r="FC20" i="1"/>
  <c r="FD57" i="1" s="1"/>
  <c r="FC19" i="1"/>
  <c r="FC51" i="1"/>
  <c r="FD52" i="1"/>
  <c r="FB56" i="1"/>
  <c r="FA18" i="1"/>
  <c r="ES5" i="1"/>
  <c r="DF55" i="1"/>
  <c r="DF63" i="1" s="1"/>
  <c r="EK34" i="1"/>
  <c r="I44" i="15"/>
  <c r="G25" i="2"/>
  <c r="BP25" i="1"/>
  <c r="G12" i="3"/>
  <c r="BD55" i="1"/>
  <c r="BD63" i="1" s="1"/>
  <c r="G12" i="5"/>
  <c r="G12" i="4"/>
  <c r="I24" i="2"/>
  <c r="CX20" i="1"/>
  <c r="EJ50" i="1"/>
  <c r="FB57" i="1"/>
  <c r="EK20" i="1"/>
  <c r="EL57" i="1" s="1"/>
  <c r="EK25" i="1"/>
  <c r="EK19" i="1"/>
  <c r="EK3" i="1"/>
  <c r="EK51" i="1"/>
  <c r="EK50" i="1" s="1"/>
  <c r="EL52" i="1"/>
  <c r="G11" i="5"/>
  <c r="G11" i="3"/>
  <c r="BP28" i="1"/>
  <c r="FM12" i="1"/>
  <c r="BP20" i="1"/>
  <c r="G24" i="2"/>
  <c r="CL30" i="1"/>
  <c r="CW18" i="1"/>
  <c r="M6" i="10"/>
  <c r="I13" i="10"/>
  <c r="EK56" i="1"/>
  <c r="EJ18" i="1"/>
  <c r="EJ30" i="1" s="1"/>
  <c r="FC70" i="1"/>
  <c r="F40" i="2"/>
  <c r="G23" i="2"/>
  <c r="DN18" i="1"/>
  <c r="DB30" i="1"/>
  <c r="EQ35" i="1"/>
  <c r="F44" i="15"/>
  <c r="CX25" i="1"/>
  <c r="I25" i="2"/>
  <c r="CP55" i="1"/>
  <c r="CP63" i="1" s="1"/>
  <c r="L44" i="15"/>
  <c r="Q9" i="1"/>
  <c r="D13" i="2"/>
  <c r="E7" i="4"/>
  <c r="E7" i="3"/>
  <c r="AC50" i="1"/>
  <c r="F3" i="2"/>
  <c r="F48" i="2" s="1"/>
  <c r="BP3" i="1"/>
  <c r="F5" i="3"/>
  <c r="F5" i="5"/>
  <c r="F5" i="4"/>
  <c r="AG19" i="1"/>
  <c r="E23" i="2" s="1"/>
  <c r="E7" i="5"/>
  <c r="Z50" i="1"/>
  <c r="E6" i="3"/>
  <c r="E6" i="4"/>
  <c r="E6" i="5"/>
  <c r="Y70" i="1"/>
  <c r="Y74" i="1" s="1"/>
  <c r="E29" i="3"/>
  <c r="E28" i="3" s="1"/>
  <c r="E37" i="3" s="1"/>
  <c r="AG20" i="1"/>
  <c r="AG3" i="1"/>
  <c r="AY3" i="1" s="1"/>
  <c r="O55" i="1"/>
  <c r="D11" i="3"/>
  <c r="D11" i="5"/>
  <c r="D11" i="4"/>
  <c r="D5" i="3"/>
  <c r="D5" i="5"/>
  <c r="D5" i="4"/>
  <c r="U55" i="1"/>
  <c r="U63" i="1" s="1"/>
  <c r="D23" i="2"/>
  <c r="E3" i="10"/>
  <c r="G10" i="10"/>
  <c r="C13" i="10"/>
  <c r="Q6" i="1"/>
  <c r="Q4" i="1"/>
  <c r="L40" i="1"/>
  <c r="M63" i="1"/>
  <c r="H13" i="5"/>
  <c r="BU40" i="1"/>
  <c r="BU45" i="1" s="1"/>
  <c r="H13" i="3"/>
  <c r="BV55" i="1"/>
  <c r="BV63" i="1" s="1"/>
  <c r="G24" i="10"/>
  <c r="H56" i="2"/>
  <c r="C27" i="10"/>
  <c r="CF30" i="1"/>
  <c r="BT45" i="1"/>
  <c r="CG34" i="1"/>
  <c r="H32" i="2"/>
  <c r="E27" i="10"/>
  <c r="EQ52" i="1" l="1"/>
  <c r="EP51" i="1"/>
  <c r="EP25" i="1"/>
  <c r="Q17" i="1"/>
  <c r="AY29" i="1"/>
  <c r="AY5" i="1"/>
  <c r="AY6" i="1"/>
  <c r="AQ45" i="1"/>
  <c r="AT57" i="1"/>
  <c r="AS30" i="1"/>
  <c r="AS56" i="1"/>
  <c r="AS55" i="1" s="1"/>
  <c r="AS63" i="1" s="1"/>
  <c r="AT25" i="1"/>
  <c r="AU21" i="1"/>
  <c r="AB56" i="1"/>
  <c r="Z57" i="1"/>
  <c r="Z55" i="1" s="1"/>
  <c r="Z63" i="1" s="1"/>
  <c r="Y30" i="1"/>
  <c r="Y40" i="1" s="1"/>
  <c r="Y45" i="1" s="1"/>
  <c r="AA21" i="1"/>
  <c r="Z18" i="1"/>
  <c r="AF25" i="1"/>
  <c r="Q5" i="1"/>
  <c r="Q10" i="1"/>
  <c r="Q15" i="1"/>
  <c r="AH10" i="1"/>
  <c r="AH9" i="1"/>
  <c r="Q35" i="1"/>
  <c r="AH29" i="1"/>
  <c r="K55" i="2"/>
  <c r="F76" i="1"/>
  <c r="G49" i="1" s="1"/>
  <c r="G76" i="1" s="1"/>
  <c r="H49" i="1" s="1"/>
  <c r="H76" i="1" s="1"/>
  <c r="I49" i="1" s="1"/>
  <c r="I76" i="1" s="1"/>
  <c r="J49" i="1" s="1"/>
  <c r="J76" i="1" s="1"/>
  <c r="K49" i="1" s="1"/>
  <c r="K76" i="1" s="1"/>
  <c r="L49" i="1" s="1"/>
  <c r="L76" i="1" s="1"/>
  <c r="M49" i="1" s="1"/>
  <c r="M76" i="1" s="1"/>
  <c r="N49" i="1" s="1"/>
  <c r="N76" i="1" s="1"/>
  <c r="O49" i="1" s="1"/>
  <c r="EQ70" i="1"/>
  <c r="J55" i="2"/>
  <c r="C4" i="10"/>
  <c r="G4" i="10" s="1"/>
  <c r="K4" i="10" s="1"/>
  <c r="Q42" i="1"/>
  <c r="BO18" i="1"/>
  <c r="BP18" i="1" s="1"/>
  <c r="Q43" i="1"/>
  <c r="Q32" i="1"/>
  <c r="Q33" i="1"/>
  <c r="G5" i="3"/>
  <c r="Q38" i="1"/>
  <c r="Q34" i="1"/>
  <c r="Q18" i="1"/>
  <c r="D3" i="2"/>
  <c r="D48" i="2" s="1"/>
  <c r="D56" i="2" s="1"/>
  <c r="Q3" i="1"/>
  <c r="BO30" i="1"/>
  <c r="G28" i="2" s="1"/>
  <c r="G50" i="2" s="1"/>
  <c r="G57" i="2" s="1"/>
  <c r="BK63" i="1"/>
  <c r="S30" i="10"/>
  <c r="S37" i="10" s="1"/>
  <c r="O37" i="10"/>
  <c r="G5" i="5"/>
  <c r="I55" i="2"/>
  <c r="G55" i="2"/>
  <c r="P30" i="1"/>
  <c r="Q30" i="1" s="1"/>
  <c r="K57" i="2"/>
  <c r="ER8" i="1"/>
  <c r="EQ4" i="1"/>
  <c r="EQ38" i="1"/>
  <c r="DS40" i="1"/>
  <c r="DS45" i="1" s="1"/>
  <c r="EF30" i="1"/>
  <c r="EO18" i="1"/>
  <c r="EP56" i="1"/>
  <c r="D10" i="4"/>
  <c r="O63" i="1"/>
  <c r="D18" i="3" s="1"/>
  <c r="D38" i="3" s="1"/>
  <c r="D43" i="3" s="1"/>
  <c r="FN13" i="1"/>
  <c r="M17" i="2"/>
  <c r="K22" i="2"/>
  <c r="K49" i="2" s="1"/>
  <c r="K56" i="2" s="1"/>
  <c r="EF18" i="1"/>
  <c r="D10" i="3"/>
  <c r="EJ40" i="1"/>
  <c r="EJ45" i="1" s="1"/>
  <c r="E5" i="5"/>
  <c r="EK55" i="1"/>
  <c r="EK63" i="1" s="1"/>
  <c r="FD56" i="1"/>
  <c r="FC18" i="1"/>
  <c r="EQ56" i="1"/>
  <c r="EP18" i="1"/>
  <c r="BC45" i="1"/>
  <c r="BO45" i="1" s="1"/>
  <c r="BO40" i="1"/>
  <c r="EL25" i="1"/>
  <c r="EL19" i="1"/>
  <c r="EL20" i="1"/>
  <c r="EM57" i="1" s="1"/>
  <c r="EL3" i="1"/>
  <c r="EL51" i="1"/>
  <c r="EM52" i="1"/>
  <c r="D10" i="5"/>
  <c r="Q31" i="1"/>
  <c r="E5" i="3"/>
  <c r="DB40" i="1"/>
  <c r="DB45" i="1" s="1"/>
  <c r="DN30" i="1"/>
  <c r="CX18" i="1"/>
  <c r="I22" i="2"/>
  <c r="I49" i="2" s="1"/>
  <c r="I56" i="2" s="1"/>
  <c r="E4" i="10"/>
  <c r="FD70" i="1"/>
  <c r="EN69" i="1"/>
  <c r="EN36" i="1"/>
  <c r="EN9" i="1"/>
  <c r="EO53" i="1" s="1"/>
  <c r="EO10" i="1"/>
  <c r="AH5" i="1"/>
  <c r="AH6" i="1"/>
  <c r="EM38" i="1"/>
  <c r="EM35" i="1"/>
  <c r="EM4" i="1"/>
  <c r="EM33" i="1"/>
  <c r="EN5" i="1"/>
  <c r="EL70" i="1"/>
  <c r="EL74" i="1" s="1"/>
  <c r="J22" i="2"/>
  <c r="J49" i="2" s="1"/>
  <c r="J56" i="2" s="1"/>
  <c r="DO18" i="1"/>
  <c r="CL40" i="1"/>
  <c r="CL45" i="1" s="1"/>
  <c r="CW30" i="1"/>
  <c r="M16" i="2"/>
  <c r="FN12" i="1"/>
  <c r="EL56" i="1"/>
  <c r="EK18" i="1"/>
  <c r="EK30" i="1" s="1"/>
  <c r="EN53" i="1"/>
  <c r="Q6" i="10"/>
  <c r="M13" i="10"/>
  <c r="EK31" i="1"/>
  <c r="EL58" i="1" s="1"/>
  <c r="ET5" i="1"/>
  <c r="FE4" i="1"/>
  <c r="FE38" i="1"/>
  <c r="FF5" i="1"/>
  <c r="FE35" i="1"/>
  <c r="FD20" i="1"/>
  <c r="FD25" i="1"/>
  <c r="FD19" i="1"/>
  <c r="FD51" i="1"/>
  <c r="FE52" i="1"/>
  <c r="EL34" i="1"/>
  <c r="EL31" i="1" s="1"/>
  <c r="E5" i="4"/>
  <c r="AH7" i="1"/>
  <c r="E3" i="2"/>
  <c r="E48" i="2" s="1"/>
  <c r="F55" i="2" s="1"/>
  <c r="AH4" i="1"/>
  <c r="AH35" i="1"/>
  <c r="AH8" i="1"/>
  <c r="AH31" i="1"/>
  <c r="AH38" i="1"/>
  <c r="AH43" i="1"/>
  <c r="AH34" i="1"/>
  <c r="AH32" i="1"/>
  <c r="AH33" i="1"/>
  <c r="AH36" i="1"/>
  <c r="AH42" i="1"/>
  <c r="E24" i="2"/>
  <c r="E13" i="5"/>
  <c r="E13" i="4"/>
  <c r="E13" i="3"/>
  <c r="AH3" i="1"/>
  <c r="K10" i="10"/>
  <c r="G13" i="10"/>
  <c r="P40" i="1"/>
  <c r="L45" i="1"/>
  <c r="P45" i="1" s="1"/>
  <c r="P46" i="1" s="1"/>
  <c r="C36" i="10"/>
  <c r="C38" i="10" s="1"/>
  <c r="CV39" i="1" s="1"/>
  <c r="G27" i="10"/>
  <c r="H28" i="2"/>
  <c r="H50" i="2" s="1"/>
  <c r="H57" i="2" s="1"/>
  <c r="CG30" i="1"/>
  <c r="CF39" i="1"/>
  <c r="CE62" i="1"/>
  <c r="CE31" i="1"/>
  <c r="K24" i="10"/>
  <c r="I27" i="10"/>
  <c r="AV21" i="1" l="1"/>
  <c r="AU18" i="1"/>
  <c r="AT56" i="1"/>
  <c r="AT55" i="1" s="1"/>
  <c r="AT63" i="1" s="1"/>
  <c r="AU25" i="1"/>
  <c r="AT18" i="1"/>
  <c r="AS40" i="1"/>
  <c r="AC56" i="1"/>
  <c r="AA57" i="1"/>
  <c r="AA55" i="1" s="1"/>
  <c r="AA63" i="1" s="1"/>
  <c r="Z30" i="1"/>
  <c r="Z40" i="1" s="1"/>
  <c r="Z45" i="1" s="1"/>
  <c r="AB21" i="1"/>
  <c r="AA18" i="1"/>
  <c r="AG25" i="1"/>
  <c r="E25" i="2" s="1"/>
  <c r="D18" i="5"/>
  <c r="D37" i="5" s="1"/>
  <c r="D42" i="5" s="1"/>
  <c r="BP30" i="1"/>
  <c r="G22" i="2"/>
  <c r="G49" i="2" s="1"/>
  <c r="G56" i="2" s="1"/>
  <c r="D18" i="4"/>
  <c r="D37" i="4" s="1"/>
  <c r="D42" i="4" s="1"/>
  <c r="D28" i="2"/>
  <c r="D50" i="2" s="1"/>
  <c r="D57" i="2" s="1"/>
  <c r="EQ19" i="1"/>
  <c r="EQ51" i="1"/>
  <c r="EQ20" i="1"/>
  <c r="ER57" i="1" s="1"/>
  <c r="ER52" i="1"/>
  <c r="EQ25" i="1"/>
  <c r="E55" i="2"/>
  <c r="ES8" i="1"/>
  <c r="ER38" i="1"/>
  <c r="ER4" i="1"/>
  <c r="ER35" i="1"/>
  <c r="E5" i="10"/>
  <c r="EK40" i="1"/>
  <c r="EK45" i="1" s="1"/>
  <c r="EM20" i="1"/>
  <c r="EM25" i="1"/>
  <c r="EM19" i="1"/>
  <c r="EM3" i="1"/>
  <c r="EM51" i="1"/>
  <c r="EM50" i="1" s="1"/>
  <c r="EN52" i="1"/>
  <c r="J28" i="2"/>
  <c r="J50" i="2" s="1"/>
  <c r="J57" i="2" s="1"/>
  <c r="DO30" i="1"/>
  <c r="EL50" i="1"/>
  <c r="EM58" i="1"/>
  <c r="FE56" i="1"/>
  <c r="FD18" i="1"/>
  <c r="FF38" i="1"/>
  <c r="FF4" i="1"/>
  <c r="FG5" i="1"/>
  <c r="FF35" i="1"/>
  <c r="FE20" i="1"/>
  <c r="FF57" i="1" s="1"/>
  <c r="FE25" i="1"/>
  <c r="FE19" i="1"/>
  <c r="FE51" i="1"/>
  <c r="FF52" i="1"/>
  <c r="U6" i="10"/>
  <c r="Q13" i="10"/>
  <c r="EN33" i="1"/>
  <c r="EN35" i="1"/>
  <c r="EN4" i="1"/>
  <c r="EN38" i="1"/>
  <c r="BP40" i="1"/>
  <c r="G38" i="2"/>
  <c r="G51" i="2" s="1"/>
  <c r="G58" i="2" s="1"/>
  <c r="EU5" i="1"/>
  <c r="I28" i="2"/>
  <c r="I50" i="2" s="1"/>
  <c r="I57" i="2" s="1"/>
  <c r="CX30" i="1"/>
  <c r="EN64" i="1"/>
  <c r="G43" i="2"/>
  <c r="BO46" i="1"/>
  <c r="BN75" i="1" s="1"/>
  <c r="BP45" i="1"/>
  <c r="FE57" i="1"/>
  <c r="FE70" i="1"/>
  <c r="EL55" i="1"/>
  <c r="EM34" i="1"/>
  <c r="EM31" i="1" s="1"/>
  <c r="EM70" i="1"/>
  <c r="EM74" i="1" s="1"/>
  <c r="EO69" i="1"/>
  <c r="EO64" i="1" s="1"/>
  <c r="EO36" i="1"/>
  <c r="EO9" i="1"/>
  <c r="EP10" i="1"/>
  <c r="EO33" i="1"/>
  <c r="EM56" i="1"/>
  <c r="EL18" i="1"/>
  <c r="O4" i="10"/>
  <c r="S4" i="10" s="1"/>
  <c r="C22" i="10" s="1"/>
  <c r="G22" i="10" s="1"/>
  <c r="K22" i="10" s="1"/>
  <c r="O10" i="10"/>
  <c r="K13" i="10"/>
  <c r="Q40" i="1"/>
  <c r="D38" i="2"/>
  <c r="D51" i="2" s="1"/>
  <c r="D58" i="2" s="1"/>
  <c r="E16" i="10"/>
  <c r="Q45" i="1"/>
  <c r="D43" i="2"/>
  <c r="CE64" i="1"/>
  <c r="H26" i="5"/>
  <c r="H26" i="3"/>
  <c r="H26" i="4"/>
  <c r="CW39" i="1"/>
  <c r="CV31" i="1"/>
  <c r="CV62" i="1"/>
  <c r="H17" i="5"/>
  <c r="H17" i="3"/>
  <c r="H17" i="4"/>
  <c r="CE55" i="1"/>
  <c r="CG39" i="1"/>
  <c r="H37" i="2"/>
  <c r="CF31" i="1"/>
  <c r="CK58" i="1"/>
  <c r="CE40" i="1"/>
  <c r="G36" i="10"/>
  <c r="G38" i="10" s="1"/>
  <c r="DM39" i="1" s="1"/>
  <c r="K27" i="10"/>
  <c r="M27" i="10"/>
  <c r="AU57" i="1" l="1"/>
  <c r="AT30" i="1"/>
  <c r="AU56" i="1"/>
  <c r="AV25" i="1"/>
  <c r="AV18" i="1" s="1"/>
  <c r="AW21" i="1"/>
  <c r="AV57" i="1"/>
  <c r="AU30" i="1"/>
  <c r="AU40" i="1" s="1"/>
  <c r="AU45" i="1" s="1"/>
  <c r="AS45" i="1"/>
  <c r="AD56" i="1"/>
  <c r="AB57" i="1"/>
  <c r="AB55" i="1" s="1"/>
  <c r="AB63" i="1" s="1"/>
  <c r="AA30" i="1"/>
  <c r="AA40" i="1" s="1"/>
  <c r="AA45" i="1" s="1"/>
  <c r="AC21" i="1"/>
  <c r="AB18" i="1"/>
  <c r="F13" i="3"/>
  <c r="F13" i="5"/>
  <c r="F13" i="4"/>
  <c r="ER20" i="1"/>
  <c r="ES57" i="1" s="1"/>
  <c r="ES52" i="1"/>
  <c r="ER25" i="1"/>
  <c r="ER19" i="1"/>
  <c r="ER51" i="1"/>
  <c r="ET8" i="1"/>
  <c r="EV8" i="1"/>
  <c r="L8" i="2" s="1"/>
  <c r="ES38" i="1"/>
  <c r="ES35" i="1"/>
  <c r="ES4" i="1"/>
  <c r="ER70" i="1"/>
  <c r="ER56" i="1"/>
  <c r="EQ18" i="1"/>
  <c r="EP69" i="1"/>
  <c r="EP36" i="1"/>
  <c r="EP9" i="1"/>
  <c r="EQ10" i="1"/>
  <c r="EP33" i="1"/>
  <c r="EU35" i="1"/>
  <c r="EU38" i="1"/>
  <c r="EU4" i="1"/>
  <c r="EV5" i="1"/>
  <c r="O75" i="1"/>
  <c r="O76" i="1" s="1"/>
  <c r="C3" i="10" s="1"/>
  <c r="C5" i="10" s="1"/>
  <c r="C17" i="10" s="1"/>
  <c r="EL30" i="1"/>
  <c r="EN58" i="1"/>
  <c r="EO34" i="1"/>
  <c r="EO31" i="1" s="1"/>
  <c r="EP58" i="1" s="1"/>
  <c r="EP55" i="1" s="1"/>
  <c r="G52" i="2"/>
  <c r="G59" i="2" s="1"/>
  <c r="G44" i="2"/>
  <c r="EN70" i="1"/>
  <c r="EN74" i="1" s="1"/>
  <c r="E24" i="10"/>
  <c r="U13" i="10"/>
  <c r="FG4" i="1"/>
  <c r="FG38" i="1"/>
  <c r="FH5" i="1"/>
  <c r="FG35" i="1"/>
  <c r="EL63" i="1"/>
  <c r="EN57" i="1"/>
  <c r="EN34" i="1"/>
  <c r="EN31" i="1" s="1"/>
  <c r="EM55" i="1"/>
  <c r="EM63" i="1" s="1"/>
  <c r="EO3" i="1"/>
  <c r="EO30" i="1" s="1"/>
  <c r="EP53" i="1"/>
  <c r="EN20" i="1"/>
  <c r="EO57" i="1" s="1"/>
  <c r="EN25" i="1"/>
  <c r="EN19" i="1"/>
  <c r="EN3" i="1"/>
  <c r="EN51" i="1"/>
  <c r="EO52" i="1"/>
  <c r="EO70" i="1"/>
  <c r="EO74" i="1" s="1"/>
  <c r="FE18" i="1"/>
  <c r="FF56" i="1"/>
  <c r="FF70" i="1"/>
  <c r="FF20" i="1"/>
  <c r="FF25" i="1"/>
  <c r="FF19" i="1"/>
  <c r="FF51" i="1"/>
  <c r="FG52" i="1"/>
  <c r="EN56" i="1"/>
  <c r="EM18" i="1"/>
  <c r="EM30" i="1" s="1"/>
  <c r="EM40" i="1" s="1"/>
  <c r="EM45" i="1" s="1"/>
  <c r="S10" i="10"/>
  <c r="O13" i="10"/>
  <c r="E17" i="10"/>
  <c r="D44" i="2"/>
  <c r="D45" i="2" s="1"/>
  <c r="D53" i="2" s="1"/>
  <c r="D60" i="2" s="1"/>
  <c r="D52" i="2"/>
  <c r="D59" i="2" s="1"/>
  <c r="CE63" i="1"/>
  <c r="H10" i="3"/>
  <c r="H10" i="4"/>
  <c r="H10" i="5"/>
  <c r="DB58" i="1"/>
  <c r="CV40" i="1"/>
  <c r="H29" i="2"/>
  <c r="CG31" i="1"/>
  <c r="CW31" i="1"/>
  <c r="CX39" i="1"/>
  <c r="I37" i="2"/>
  <c r="K36" i="10"/>
  <c r="K38" i="10" s="1"/>
  <c r="ED39" i="1" s="1"/>
  <c r="CV64" i="1"/>
  <c r="I26" i="4"/>
  <c r="I26" i="3"/>
  <c r="I26" i="5"/>
  <c r="DM62" i="1"/>
  <c r="DN39" i="1"/>
  <c r="DM31" i="1"/>
  <c r="CV55" i="1"/>
  <c r="CV63" i="1" s="1"/>
  <c r="I17" i="4"/>
  <c r="I17" i="3"/>
  <c r="I17" i="5"/>
  <c r="CE45" i="1"/>
  <c r="CF45" i="1" s="1"/>
  <c r="CF40" i="1"/>
  <c r="I13" i="5"/>
  <c r="I13" i="4"/>
  <c r="I13" i="3"/>
  <c r="CK55" i="1"/>
  <c r="CE74" i="1"/>
  <c r="H19" i="3"/>
  <c r="H37" i="3" s="1"/>
  <c r="H19" i="5"/>
  <c r="H36" i="5" s="1"/>
  <c r="H19" i="4"/>
  <c r="H36" i="4" s="1"/>
  <c r="Q27" i="10"/>
  <c r="AU55" i="1" l="1"/>
  <c r="AU63" i="1" s="1"/>
  <c r="AW57" i="1"/>
  <c r="AV30" i="1"/>
  <c r="AV40" i="1" s="1"/>
  <c r="AV45" i="1" s="1"/>
  <c r="AT40" i="1"/>
  <c r="AX21" i="1"/>
  <c r="AV56" i="1"/>
  <c r="AV55" i="1" s="1"/>
  <c r="AV63" i="1" s="1"/>
  <c r="AW25" i="1"/>
  <c r="AW18" i="1" s="1"/>
  <c r="AE56" i="1"/>
  <c r="AC57" i="1"/>
  <c r="AB30" i="1"/>
  <c r="AB40" i="1" s="1"/>
  <c r="AB45" i="1" s="1"/>
  <c r="AD21" i="1"/>
  <c r="AC18" i="1"/>
  <c r="ES70" i="1"/>
  <c r="ES56" i="1"/>
  <c r="ER18" i="1"/>
  <c r="ES19" i="1"/>
  <c r="ES51" i="1"/>
  <c r="ES20" i="1"/>
  <c r="ET57" i="1" s="1"/>
  <c r="ET52" i="1"/>
  <c r="ES25" i="1"/>
  <c r="ET38" i="1"/>
  <c r="EV38" i="1" s="1"/>
  <c r="L36" i="2" s="1"/>
  <c r="O25" i="10"/>
  <c r="O24" i="10"/>
  <c r="ET35" i="1"/>
  <c r="EV35" i="1" s="1"/>
  <c r="L33" i="2" s="1"/>
  <c r="ET4" i="1"/>
  <c r="EV4" i="1" s="1"/>
  <c r="EN55" i="1"/>
  <c r="U49" i="1"/>
  <c r="U76" i="1" s="1"/>
  <c r="V49" i="1" s="1"/>
  <c r="V76" i="1" s="1"/>
  <c r="W49" i="1" s="1"/>
  <c r="W76" i="1" s="1"/>
  <c r="X49" i="1" s="1"/>
  <c r="X76" i="1" s="1"/>
  <c r="Y49" i="1" s="1"/>
  <c r="Y76" i="1" s="1"/>
  <c r="Z49" i="1" s="1"/>
  <c r="Z76" i="1" s="1"/>
  <c r="AA49" i="1" s="1"/>
  <c r="AA76" i="1" s="1"/>
  <c r="AB49" i="1" s="1"/>
  <c r="AB76" i="1" s="1"/>
  <c r="AC49" i="1" s="1"/>
  <c r="FG56" i="1"/>
  <c r="FF18" i="1"/>
  <c r="EO50" i="1"/>
  <c r="EO58" i="1"/>
  <c r="EP50" i="1"/>
  <c r="EP63" i="1" s="1"/>
  <c r="FA70" i="1"/>
  <c r="EQ69" i="1"/>
  <c r="EQ36" i="1"/>
  <c r="EQ9" i="1"/>
  <c r="ER10" i="1"/>
  <c r="EQ33" i="1"/>
  <c r="L35" i="3"/>
  <c r="EP34" i="1"/>
  <c r="EP31" i="1" s="1"/>
  <c r="EQ58" i="1" s="1"/>
  <c r="EQ55" i="1" s="1"/>
  <c r="EN50" i="1"/>
  <c r="EO40" i="1"/>
  <c r="EO45" i="1" s="1"/>
  <c r="FH4" i="1"/>
  <c r="FH38" i="1"/>
  <c r="FI5" i="1"/>
  <c r="FH35" i="1"/>
  <c r="FH70" i="1"/>
  <c r="FG25" i="1"/>
  <c r="FG20" i="1"/>
  <c r="FH57" i="1" s="1"/>
  <c r="FG19" i="1"/>
  <c r="FG51" i="1"/>
  <c r="FH52" i="1"/>
  <c r="EL40" i="1"/>
  <c r="EL45" i="1" s="1"/>
  <c r="L5" i="2"/>
  <c r="EQ53" i="1"/>
  <c r="EQ50" i="1" s="1"/>
  <c r="EP3" i="1"/>
  <c r="EO56" i="1"/>
  <c r="EN18" i="1"/>
  <c r="EN30" i="1" s="1"/>
  <c r="EN40" i="1" s="1"/>
  <c r="EN45" i="1" s="1"/>
  <c r="EU20" i="1"/>
  <c r="EU25" i="1"/>
  <c r="EU19" i="1"/>
  <c r="EU51" i="1"/>
  <c r="FA52" i="1"/>
  <c r="EP64" i="1"/>
  <c r="EP74" i="1" s="1"/>
  <c r="FG57" i="1"/>
  <c r="FG70" i="1"/>
  <c r="I24" i="10"/>
  <c r="E31" i="10"/>
  <c r="G45" i="2"/>
  <c r="G53" i="2" s="1"/>
  <c r="G60" i="2" s="1"/>
  <c r="G38" i="5"/>
  <c r="G38" i="4"/>
  <c r="G39" i="3"/>
  <c r="EU70" i="1"/>
  <c r="C28" i="10"/>
  <c r="S13" i="10"/>
  <c r="E18" i="10"/>
  <c r="D38" i="4"/>
  <c r="D39" i="4" s="1"/>
  <c r="D39" i="3"/>
  <c r="D40" i="3" s="1"/>
  <c r="D38" i="5"/>
  <c r="D39" i="5" s="1"/>
  <c r="DM64" i="1"/>
  <c r="J26" i="5"/>
  <c r="J26" i="3"/>
  <c r="J26" i="4"/>
  <c r="CX31" i="1"/>
  <c r="I29" i="2"/>
  <c r="I10" i="4"/>
  <c r="I10" i="5"/>
  <c r="I10" i="3"/>
  <c r="CK63" i="1"/>
  <c r="DM40" i="1"/>
  <c r="DS58" i="1"/>
  <c r="ED31" i="1"/>
  <c r="ED62" i="1"/>
  <c r="EE39" i="1"/>
  <c r="CG40" i="1"/>
  <c r="H38" i="2"/>
  <c r="H51" i="2" s="1"/>
  <c r="H58" i="2" s="1"/>
  <c r="DN31" i="1"/>
  <c r="J37" i="2"/>
  <c r="DO39" i="1"/>
  <c r="CV45" i="1"/>
  <c r="CW45" i="1" s="1"/>
  <c r="CW40" i="1"/>
  <c r="CF46" i="1"/>
  <c r="H43" i="2"/>
  <c r="CG45" i="1"/>
  <c r="DM55" i="1"/>
  <c r="DM63" i="1" s="1"/>
  <c r="J17" i="5"/>
  <c r="J17" i="3"/>
  <c r="J17" i="4"/>
  <c r="CV74" i="1"/>
  <c r="I19" i="5"/>
  <c r="I36" i="5" s="1"/>
  <c r="I19" i="3"/>
  <c r="I37" i="3" s="1"/>
  <c r="I19" i="4"/>
  <c r="I36" i="4" s="1"/>
  <c r="DB55" i="1"/>
  <c r="J13" i="5"/>
  <c r="J13" i="3"/>
  <c r="J13" i="4"/>
  <c r="H18" i="3"/>
  <c r="H38" i="3" s="1"/>
  <c r="H18" i="4"/>
  <c r="H37" i="4" s="1"/>
  <c r="H18" i="5"/>
  <c r="H37" i="5" s="1"/>
  <c r="U27" i="10"/>
  <c r="AW30" i="1" l="1"/>
  <c r="AX18" i="1"/>
  <c r="AY18" i="1" s="1"/>
  <c r="AT45" i="1"/>
  <c r="AW56" i="1"/>
  <c r="AW55" i="1" s="1"/>
  <c r="AW63" i="1" s="1"/>
  <c r="AX25" i="1"/>
  <c r="F25" i="2" s="1"/>
  <c r="BC58" i="1"/>
  <c r="AF56" i="1"/>
  <c r="I3" i="10" s="1"/>
  <c r="AG28" i="1"/>
  <c r="E26" i="2" s="1"/>
  <c r="AE21" i="1"/>
  <c r="AD18" i="1"/>
  <c r="AC55" i="1"/>
  <c r="AD57" i="1"/>
  <c r="AC30" i="1"/>
  <c r="EQ63" i="1"/>
  <c r="EO55" i="1"/>
  <c r="EO63" i="1" s="1"/>
  <c r="ET20" i="1"/>
  <c r="EU57" i="1" s="1"/>
  <c r="ET51" i="1"/>
  <c r="L6" i="5" s="1"/>
  <c r="ET25" i="1"/>
  <c r="EV25" i="1" s="1"/>
  <c r="L25" i="2" s="1"/>
  <c r="EU52" i="1"/>
  <c r="ET19" i="1"/>
  <c r="ET56" i="1"/>
  <c r="ES18" i="1"/>
  <c r="L34" i="5"/>
  <c r="L28" i="5" s="1"/>
  <c r="L34" i="4"/>
  <c r="L28" i="4" s="1"/>
  <c r="L34" i="3"/>
  <c r="L28" i="3" s="1"/>
  <c r="ET70" i="1"/>
  <c r="O27" i="10"/>
  <c r="M24" i="10"/>
  <c r="I31" i="10"/>
  <c r="FA57" i="1"/>
  <c r="FH56" i="1"/>
  <c r="FG18" i="1"/>
  <c r="ER53" i="1"/>
  <c r="ER50" i="1" s="1"/>
  <c r="EQ3" i="1"/>
  <c r="EQ30" i="1" s="1"/>
  <c r="FA56" i="1"/>
  <c r="EU18" i="1"/>
  <c r="L4" i="2"/>
  <c r="FI38" i="1"/>
  <c r="FI4" i="1"/>
  <c r="FI35" i="1"/>
  <c r="FJ5" i="1"/>
  <c r="FH20" i="1"/>
  <c r="FH19" i="1"/>
  <c r="FH25" i="1"/>
  <c r="FH51" i="1"/>
  <c r="FI52" i="1"/>
  <c r="EQ34" i="1"/>
  <c r="EQ31" i="1" s="1"/>
  <c r="ER58" i="1" s="1"/>
  <c r="ER55" i="1" s="1"/>
  <c r="EQ64" i="1"/>
  <c r="EQ74" i="1" s="1"/>
  <c r="EP30" i="1"/>
  <c r="EP40" i="1" s="1"/>
  <c r="EP45" i="1" s="1"/>
  <c r="EN63" i="1"/>
  <c r="ER69" i="1"/>
  <c r="ER64" i="1" s="1"/>
  <c r="ER74" i="1" s="1"/>
  <c r="ER36" i="1"/>
  <c r="ER9" i="1"/>
  <c r="ES10" i="1"/>
  <c r="ER33" i="1"/>
  <c r="G28" i="10"/>
  <c r="C31" i="10"/>
  <c r="D40" i="5"/>
  <c r="E4" i="5" s="1"/>
  <c r="D43" i="5"/>
  <c r="D44" i="3"/>
  <c r="D41" i="3"/>
  <c r="E4" i="3" s="1"/>
  <c r="D43" i="4"/>
  <c r="D40" i="4"/>
  <c r="E4" i="4" s="1"/>
  <c r="H42" i="5"/>
  <c r="H42" i="4"/>
  <c r="H43" i="3"/>
  <c r="E47" i="3" s="1"/>
  <c r="DB63" i="1"/>
  <c r="J10" i="3"/>
  <c r="J10" i="4"/>
  <c r="J10" i="5"/>
  <c r="H44" i="2"/>
  <c r="H45" i="2" s="1"/>
  <c r="H53" i="2" s="1"/>
  <c r="H60" i="2" s="1"/>
  <c r="H52" i="2"/>
  <c r="H59" i="2" s="1"/>
  <c r="I43" i="2"/>
  <c r="CW46" i="1"/>
  <c r="CV75" i="1" s="1"/>
  <c r="CX45" i="1"/>
  <c r="DO31" i="1"/>
  <c r="J29" i="2"/>
  <c r="EJ58" i="1"/>
  <c r="ED40" i="1"/>
  <c r="CE75" i="1"/>
  <c r="ED64" i="1"/>
  <c r="K26" i="5"/>
  <c r="K26" i="4"/>
  <c r="K26" i="3"/>
  <c r="DS55" i="1"/>
  <c r="K13" i="5"/>
  <c r="K13" i="4"/>
  <c r="K13" i="3"/>
  <c r="EE31" i="1"/>
  <c r="EF39" i="1"/>
  <c r="K37" i="2"/>
  <c r="DM45" i="1"/>
  <c r="DN45" i="1" s="1"/>
  <c r="DN40" i="1"/>
  <c r="I38" i="2"/>
  <c r="I51" i="2" s="1"/>
  <c r="I58" i="2" s="1"/>
  <c r="CX40" i="1"/>
  <c r="ED55" i="1"/>
  <c r="ED63" i="1" s="1"/>
  <c r="K17" i="3"/>
  <c r="K17" i="4"/>
  <c r="K17" i="5"/>
  <c r="I18" i="4"/>
  <c r="I37" i="4" s="1"/>
  <c r="I18" i="5"/>
  <c r="I37" i="5" s="1"/>
  <c r="I18" i="3"/>
  <c r="I38" i="3" s="1"/>
  <c r="DM74" i="1"/>
  <c r="J19" i="5"/>
  <c r="J36" i="5" s="1"/>
  <c r="J19" i="3"/>
  <c r="J37" i="3" s="1"/>
  <c r="J19" i="4"/>
  <c r="J36" i="4" s="1"/>
  <c r="E11" i="3" l="1"/>
  <c r="F11" i="3"/>
  <c r="AW40" i="1"/>
  <c r="AX30" i="1"/>
  <c r="AY30" i="1" s="1"/>
  <c r="F11" i="4"/>
  <c r="G13" i="4"/>
  <c r="BC55" i="1"/>
  <c r="G13" i="3"/>
  <c r="G13" i="5"/>
  <c r="F11" i="5"/>
  <c r="M3" i="10"/>
  <c r="Q3" i="10" s="1"/>
  <c r="U3" i="10" s="1"/>
  <c r="E11" i="4"/>
  <c r="E11" i="5"/>
  <c r="AC40" i="1"/>
  <c r="AC63" i="1"/>
  <c r="AD55" i="1"/>
  <c r="AD63" i="1" s="1"/>
  <c r="AD30" i="1"/>
  <c r="AD40" i="1" s="1"/>
  <c r="AD45" i="1" s="1"/>
  <c r="AE57" i="1"/>
  <c r="AF21" i="1"/>
  <c r="AE18" i="1"/>
  <c r="EV20" i="1"/>
  <c r="FI70" i="1"/>
  <c r="L6" i="4"/>
  <c r="L6" i="3"/>
  <c r="EV19" i="1"/>
  <c r="EU56" i="1"/>
  <c r="ET18" i="1"/>
  <c r="L12" i="3"/>
  <c r="L12" i="5"/>
  <c r="L12" i="4"/>
  <c r="EV18" i="1"/>
  <c r="L22" i="2" s="1"/>
  <c r="L49" i="2" s="1"/>
  <c r="L7" i="5"/>
  <c r="L7" i="3"/>
  <c r="L7" i="4"/>
  <c r="ES69" i="1"/>
  <c r="ES64" i="1" s="1"/>
  <c r="ES74" i="1" s="1"/>
  <c r="ES36" i="1"/>
  <c r="ES9" i="1"/>
  <c r="ET10" i="1"/>
  <c r="ES33" i="1"/>
  <c r="FI57" i="1"/>
  <c r="L24" i="2"/>
  <c r="Q24" i="10"/>
  <c r="M31" i="10"/>
  <c r="ES53" i="1"/>
  <c r="ER3" i="1"/>
  <c r="FJ38" i="1"/>
  <c r="FJ4" i="1"/>
  <c r="FK5" i="1"/>
  <c r="FJ35" i="1"/>
  <c r="FI20" i="1"/>
  <c r="FJ57" i="1" s="1"/>
  <c r="FI25" i="1"/>
  <c r="FI19" i="1"/>
  <c r="FI51" i="1"/>
  <c r="FJ52" i="1"/>
  <c r="O36" i="10"/>
  <c r="O38" i="10" s="1"/>
  <c r="EU39" i="1" s="1"/>
  <c r="EQ40" i="1"/>
  <c r="EQ45" i="1" s="1"/>
  <c r="ER34" i="1"/>
  <c r="ER31" i="1" s="1"/>
  <c r="ES58" i="1" s="1"/>
  <c r="FI56" i="1"/>
  <c r="FH18" i="1"/>
  <c r="ER63" i="1"/>
  <c r="K28" i="10"/>
  <c r="G31" i="10"/>
  <c r="I42" i="5"/>
  <c r="J38" i="2"/>
  <c r="J51" i="2" s="1"/>
  <c r="J58" i="2" s="1"/>
  <c r="DO40" i="1"/>
  <c r="EJ55" i="1"/>
  <c r="I42" i="4"/>
  <c r="DN46" i="1"/>
  <c r="DM75" i="1" s="1"/>
  <c r="J43" i="2"/>
  <c r="DO45" i="1"/>
  <c r="J18" i="4"/>
  <c r="J37" i="4" s="1"/>
  <c r="J18" i="3"/>
  <c r="J38" i="3" s="1"/>
  <c r="J18" i="5"/>
  <c r="J37" i="5" s="1"/>
  <c r="I43" i="3"/>
  <c r="DS63" i="1"/>
  <c r="K10" i="4"/>
  <c r="K10" i="3"/>
  <c r="K10" i="5"/>
  <c r="ED74" i="1"/>
  <c r="K19" i="3"/>
  <c r="K37" i="3" s="1"/>
  <c r="K19" i="5"/>
  <c r="K36" i="5" s="1"/>
  <c r="K19" i="4"/>
  <c r="K36" i="4" s="1"/>
  <c r="ED45" i="1"/>
  <c r="EE45" i="1" s="1"/>
  <c r="EE40" i="1"/>
  <c r="I44" i="2"/>
  <c r="I52" i="2"/>
  <c r="I59" i="2" s="1"/>
  <c r="K29" i="2"/>
  <c r="EF31" i="1"/>
  <c r="H38" i="5"/>
  <c r="H39" i="5" s="1"/>
  <c r="H39" i="3"/>
  <c r="H40" i="3" s="1"/>
  <c r="H38" i="4"/>
  <c r="H39" i="4" s="1"/>
  <c r="AW45" i="1" l="1"/>
  <c r="AX45" i="1" s="1"/>
  <c r="AX40" i="1"/>
  <c r="AY40" i="1" s="1"/>
  <c r="F22" i="2"/>
  <c r="F49" i="2" s="1"/>
  <c r="F56" i="2" s="1"/>
  <c r="BC63" i="1"/>
  <c r="G10" i="5"/>
  <c r="G10" i="4"/>
  <c r="G10" i="3"/>
  <c r="AE30" i="1"/>
  <c r="AF57" i="1"/>
  <c r="AF55" i="1" s="1"/>
  <c r="AF63" i="1" s="1"/>
  <c r="AF18" i="1"/>
  <c r="AL57" i="1" s="1"/>
  <c r="AL55" i="1" s="1"/>
  <c r="AL63" i="1" s="1"/>
  <c r="AG21" i="1"/>
  <c r="AC76" i="1"/>
  <c r="AD49" i="1" s="1"/>
  <c r="AD76" i="1" s="1"/>
  <c r="AE49" i="1" s="1"/>
  <c r="AE55" i="1"/>
  <c r="E10" i="3" s="1"/>
  <c r="AC45" i="1"/>
  <c r="E21" i="10"/>
  <c r="L11" i="4"/>
  <c r="L11" i="5"/>
  <c r="L11" i="3"/>
  <c r="L23" i="2"/>
  <c r="ES55" i="1"/>
  <c r="EU62" i="1"/>
  <c r="EV39" i="1"/>
  <c r="FK4" i="1"/>
  <c r="FK38" i="1"/>
  <c r="FL5" i="1"/>
  <c r="FK35" i="1"/>
  <c r="ET53" i="1"/>
  <c r="ET50" i="1" s="1"/>
  <c r="ES3" i="1"/>
  <c r="ES30" i="1" s="1"/>
  <c r="ET69" i="1"/>
  <c r="ET64" i="1" s="1"/>
  <c r="ET74" i="1" s="1"/>
  <c r="ET36" i="1"/>
  <c r="ET9" i="1"/>
  <c r="EU10" i="1"/>
  <c r="ET33" i="1"/>
  <c r="FJ70" i="1"/>
  <c r="FJ20" i="1"/>
  <c r="FK57" i="1" s="1"/>
  <c r="FJ19" i="1"/>
  <c r="FJ25" i="1"/>
  <c r="FJ51" i="1"/>
  <c r="FK52" i="1"/>
  <c r="ER30" i="1"/>
  <c r="ER40" i="1" s="1"/>
  <c r="ER45" i="1" s="1"/>
  <c r="U24" i="10"/>
  <c r="FJ56" i="1"/>
  <c r="FI18" i="1"/>
  <c r="ES50" i="1"/>
  <c r="ES34" i="1"/>
  <c r="ES31" i="1" s="1"/>
  <c r="ET58" i="1" s="1"/>
  <c r="ET55" i="1" s="1"/>
  <c r="O28" i="10"/>
  <c r="K31" i="10"/>
  <c r="K38" i="2"/>
  <c r="K51" i="2" s="1"/>
  <c r="K58" i="2" s="1"/>
  <c r="EF40" i="1"/>
  <c r="H43" i="4"/>
  <c r="I39" i="3"/>
  <c r="I40" i="3" s="1"/>
  <c r="I44" i="3" s="1"/>
  <c r="I38" i="5"/>
  <c r="I39" i="5" s="1"/>
  <c r="I43" i="5" s="1"/>
  <c r="I38" i="4"/>
  <c r="I39" i="4" s="1"/>
  <c r="I43" i="4" s="1"/>
  <c r="J42" i="5"/>
  <c r="H44" i="3"/>
  <c r="E48" i="3" s="1"/>
  <c r="I45" i="2"/>
  <c r="I53" i="2" s="1"/>
  <c r="I60" i="2" s="1"/>
  <c r="J43" i="3"/>
  <c r="J44" i="2"/>
  <c r="J45" i="2" s="1"/>
  <c r="J53" i="2" s="1"/>
  <c r="J60" i="2" s="1"/>
  <c r="J52" i="2"/>
  <c r="J59" i="2" s="1"/>
  <c r="H43" i="5"/>
  <c r="J42" i="4"/>
  <c r="K43" i="2"/>
  <c r="EE46" i="1"/>
  <c r="EF45" i="1"/>
  <c r="K18" i="3"/>
  <c r="K38" i="3" s="1"/>
  <c r="K18" i="4"/>
  <c r="K37" i="4" s="1"/>
  <c r="K18" i="5"/>
  <c r="K37" i="5" s="1"/>
  <c r="EJ63" i="1"/>
  <c r="E12" i="5" l="1"/>
  <c r="AY45" i="1"/>
  <c r="AX46" i="1"/>
  <c r="AW75" i="1" s="1"/>
  <c r="AF30" i="1"/>
  <c r="AF40" i="1" s="1"/>
  <c r="AF45" i="1" s="1"/>
  <c r="G18" i="4"/>
  <c r="G37" i="4" s="1"/>
  <c r="G18" i="3"/>
  <c r="G38" i="3" s="1"/>
  <c r="G18" i="5"/>
  <c r="G37" i="5" s="1"/>
  <c r="F28" i="2"/>
  <c r="F50" i="2" s="1"/>
  <c r="F57" i="2" s="1"/>
  <c r="AG18" i="1"/>
  <c r="E22" i="2" s="1"/>
  <c r="E49" i="2" s="1"/>
  <c r="E56" i="2" s="1"/>
  <c r="E12" i="4"/>
  <c r="E12" i="3"/>
  <c r="AE63" i="1"/>
  <c r="AE76" i="1" s="1"/>
  <c r="AF49" i="1" s="1"/>
  <c r="E10" i="5"/>
  <c r="AE40" i="1"/>
  <c r="E10" i="4"/>
  <c r="I4" i="10"/>
  <c r="I21" i="10"/>
  <c r="EU69" i="1"/>
  <c r="EU36" i="1"/>
  <c r="EV36" i="1" s="1"/>
  <c r="EU9" i="1"/>
  <c r="FA10" i="1"/>
  <c r="EU33" i="1"/>
  <c r="EV10" i="1"/>
  <c r="FK70" i="1"/>
  <c r="L17" i="5"/>
  <c r="L17" i="3"/>
  <c r="L17" i="4"/>
  <c r="ET63" i="1"/>
  <c r="FK56" i="1"/>
  <c r="FJ18" i="1"/>
  <c r="EU53" i="1"/>
  <c r="ET3" i="1"/>
  <c r="ET30" i="1" s="1"/>
  <c r="ES40" i="1"/>
  <c r="L26" i="5"/>
  <c r="L26" i="3"/>
  <c r="L26" i="4"/>
  <c r="ES63" i="1"/>
  <c r="ET34" i="1"/>
  <c r="ET31" i="1" s="1"/>
  <c r="EU58" i="1" s="1"/>
  <c r="EU55" i="1" s="1"/>
  <c r="L10" i="3" s="1"/>
  <c r="FL4" i="1"/>
  <c r="FL38" i="1"/>
  <c r="FM38" i="1" s="1"/>
  <c r="FL35" i="1"/>
  <c r="FM35" i="1" s="1"/>
  <c r="M35" i="3"/>
  <c r="M34" i="5"/>
  <c r="M28" i="5" s="1"/>
  <c r="FM5" i="1"/>
  <c r="FK25" i="1"/>
  <c r="FK20" i="1"/>
  <c r="FL57" i="1" s="1"/>
  <c r="M12" i="4" s="1"/>
  <c r="FK19" i="1"/>
  <c r="FK51" i="1"/>
  <c r="FL52" i="1"/>
  <c r="M7" i="5" s="1"/>
  <c r="L37" i="2"/>
  <c r="S28" i="10"/>
  <c r="O31" i="10"/>
  <c r="K43" i="3"/>
  <c r="K44" i="2"/>
  <c r="K45" i="2" s="1"/>
  <c r="K53" i="2" s="1"/>
  <c r="K60" i="2" s="1"/>
  <c r="K52" i="2"/>
  <c r="K59" i="2" s="1"/>
  <c r="K42" i="5"/>
  <c r="ED75" i="1"/>
  <c r="J38" i="4"/>
  <c r="J39" i="4" s="1"/>
  <c r="J43" i="4" s="1"/>
  <c r="J39" i="3"/>
  <c r="J40" i="3" s="1"/>
  <c r="J44" i="3" s="1"/>
  <c r="J38" i="5"/>
  <c r="J39" i="5" s="1"/>
  <c r="J43" i="5" s="1"/>
  <c r="K42" i="4"/>
  <c r="AG30" i="1" l="1"/>
  <c r="AH30" i="1" s="1"/>
  <c r="F12" i="5"/>
  <c r="F12" i="4"/>
  <c r="F12" i="3"/>
  <c r="F38" i="2"/>
  <c r="F51" i="2" s="1"/>
  <c r="F58" i="2" s="1"/>
  <c r="G42" i="4"/>
  <c r="G39" i="4"/>
  <c r="G43" i="4" s="1"/>
  <c r="G42" i="5"/>
  <c r="G39" i="5"/>
  <c r="G43" i="5" s="1"/>
  <c r="G43" i="3"/>
  <c r="G40" i="3"/>
  <c r="G44" i="3" s="1"/>
  <c r="F43" i="2"/>
  <c r="AH18" i="1"/>
  <c r="AE45" i="1"/>
  <c r="AG45" i="1" s="1"/>
  <c r="AG46" i="1" s="1"/>
  <c r="AF75" i="1" s="1"/>
  <c r="AG40" i="1"/>
  <c r="M4" i="10"/>
  <c r="I5" i="10"/>
  <c r="E18" i="3"/>
  <c r="E38" i="3" s="1"/>
  <c r="E43" i="3" s="1"/>
  <c r="E18" i="4"/>
  <c r="E37" i="4" s="1"/>
  <c r="E42" i="4" s="1"/>
  <c r="E18" i="5"/>
  <c r="E37" i="5" s="1"/>
  <c r="E42" i="5" s="1"/>
  <c r="M21" i="10"/>
  <c r="M12" i="3"/>
  <c r="M12" i="5"/>
  <c r="S24" i="10"/>
  <c r="M36" i="2"/>
  <c r="FA69" i="1"/>
  <c r="FA36" i="1"/>
  <c r="FA9" i="1"/>
  <c r="FB10" i="1"/>
  <c r="FA33" i="1"/>
  <c r="M5" i="2"/>
  <c r="L13" i="4"/>
  <c r="EU50" i="1"/>
  <c r="EU63" i="1" s="1"/>
  <c r="L8" i="3"/>
  <c r="L8" i="5"/>
  <c r="L8" i="4"/>
  <c r="EU34" i="1"/>
  <c r="EV34" i="1" s="1"/>
  <c r="EV33" i="1"/>
  <c r="Q25" i="10"/>
  <c r="L24" i="4"/>
  <c r="L24" i="5"/>
  <c r="L24" i="3"/>
  <c r="EU64" i="1"/>
  <c r="L10" i="4"/>
  <c r="FL20" i="1"/>
  <c r="FM20" i="1" s="1"/>
  <c r="FL25" i="1"/>
  <c r="FM25" i="1" s="1"/>
  <c r="FL19" i="1"/>
  <c r="FL51" i="1"/>
  <c r="FM4" i="1"/>
  <c r="ES45" i="1"/>
  <c r="FA53" i="1"/>
  <c r="EV9" i="1"/>
  <c r="EU3" i="1"/>
  <c r="FL56" i="1"/>
  <c r="M11" i="4" s="1"/>
  <c r="FK18" i="1"/>
  <c r="FL70" i="1"/>
  <c r="M34" i="3"/>
  <c r="M28" i="3" s="1"/>
  <c r="S25" i="10"/>
  <c r="S27" i="10" s="1"/>
  <c r="S36" i="10" s="1"/>
  <c r="S38" i="10" s="1"/>
  <c r="FL39" i="1" s="1"/>
  <c r="M34" i="4"/>
  <c r="M28" i="4" s="1"/>
  <c r="M33" i="2"/>
  <c r="L10" i="5"/>
  <c r="ET40" i="1"/>
  <c r="ET45" i="1" s="1"/>
  <c r="L13" i="5"/>
  <c r="L13" i="3"/>
  <c r="M7" i="4"/>
  <c r="EW10" i="1"/>
  <c r="L14" i="2"/>
  <c r="L34" i="2"/>
  <c r="EW36" i="1"/>
  <c r="M7" i="3"/>
  <c r="K38" i="5"/>
  <c r="K39" i="5" s="1"/>
  <c r="K43" i="5" s="1"/>
  <c r="K39" i="3"/>
  <c r="K40" i="3" s="1"/>
  <c r="K44" i="3" s="1"/>
  <c r="K38" i="4"/>
  <c r="K39" i="4" s="1"/>
  <c r="K43" i="4" s="1"/>
  <c r="E28" i="2" l="1"/>
  <c r="E50" i="2" s="1"/>
  <c r="E57" i="2" s="1"/>
  <c r="F10" i="5"/>
  <c r="F10" i="3"/>
  <c r="F10" i="4"/>
  <c r="F52" i="2"/>
  <c r="F59" i="2" s="1"/>
  <c r="F44" i="2"/>
  <c r="F45" i="2" s="1"/>
  <c r="F53" i="2" s="1"/>
  <c r="F60" i="2" s="1"/>
  <c r="AH40" i="1"/>
  <c r="E38" i="2"/>
  <c r="E51" i="2" s="1"/>
  <c r="E58" i="2" s="1"/>
  <c r="AH45" i="1"/>
  <c r="E43" i="2"/>
  <c r="I16" i="10"/>
  <c r="M16" i="10" s="1"/>
  <c r="Q16" i="10" s="1"/>
  <c r="U16" i="10" s="1"/>
  <c r="E34" i="10" s="1"/>
  <c r="Q4" i="10"/>
  <c r="M5" i="10"/>
  <c r="Q21" i="10"/>
  <c r="M11" i="3"/>
  <c r="EU31" i="1"/>
  <c r="FA58" i="1" s="1"/>
  <c r="FA55" i="1" s="1"/>
  <c r="FL62" i="1"/>
  <c r="M11" i="5"/>
  <c r="FA50" i="1"/>
  <c r="FL18" i="1"/>
  <c r="FM18" i="1" s="1"/>
  <c r="FM19" i="1"/>
  <c r="L19" i="5"/>
  <c r="L36" i="5" s="1"/>
  <c r="L19" i="3"/>
  <c r="L37" i="3" s="1"/>
  <c r="L19" i="4"/>
  <c r="L36" i="4" s="1"/>
  <c r="EU74" i="1"/>
  <c r="Q31" i="10"/>
  <c r="FA64" i="1"/>
  <c r="M4" i="2"/>
  <c r="L18" i="3"/>
  <c r="L18" i="5"/>
  <c r="L18" i="4"/>
  <c r="EU30" i="1"/>
  <c r="EV3" i="1"/>
  <c r="EW34" i="1" s="1"/>
  <c r="M6" i="5"/>
  <c r="M6" i="3"/>
  <c r="M6" i="4"/>
  <c r="M24" i="2"/>
  <c r="FB53" i="1"/>
  <c r="FB50" i="1" s="1"/>
  <c r="FA3" i="1"/>
  <c r="M25" i="2"/>
  <c r="L31" i="2"/>
  <c r="EV31" i="1"/>
  <c r="FB69" i="1"/>
  <c r="FB64" i="1" s="1"/>
  <c r="FB74" i="1" s="1"/>
  <c r="FB9" i="1"/>
  <c r="FB36" i="1"/>
  <c r="FC10" i="1"/>
  <c r="FB33" i="1"/>
  <c r="L13" i="2"/>
  <c r="EW9" i="1"/>
  <c r="L32" i="2"/>
  <c r="L5" i="5"/>
  <c r="L5" i="4"/>
  <c r="L5" i="3"/>
  <c r="FA34" i="1"/>
  <c r="S31" i="10"/>
  <c r="F18" i="4" l="1"/>
  <c r="F37" i="4" s="1"/>
  <c r="F42" i="4" s="1"/>
  <c r="F18" i="5"/>
  <c r="F37" i="5" s="1"/>
  <c r="F42" i="5" s="1"/>
  <c r="F18" i="3"/>
  <c r="F38" i="3" s="1"/>
  <c r="F43" i="3" s="1"/>
  <c r="F38" i="5"/>
  <c r="F39" i="3"/>
  <c r="F38" i="4"/>
  <c r="AF76" i="1"/>
  <c r="AL49" i="1" s="1"/>
  <c r="AL76" i="1" s="1"/>
  <c r="AM49" i="1" s="1"/>
  <c r="AM76" i="1" s="1"/>
  <c r="AN49" i="1" s="1"/>
  <c r="AN76" i="1" s="1"/>
  <c r="AO49" i="1" s="1"/>
  <c r="AO76" i="1" s="1"/>
  <c r="AP49" i="1" s="1"/>
  <c r="AP76" i="1" s="1"/>
  <c r="AQ49" i="1" s="1"/>
  <c r="AQ76" i="1" s="1"/>
  <c r="AR49" i="1" s="1"/>
  <c r="AR76" i="1" s="1"/>
  <c r="AS49" i="1" s="1"/>
  <c r="AS76" i="1" s="1"/>
  <c r="AT49" i="1" s="1"/>
  <c r="AT76" i="1" s="1"/>
  <c r="AU49" i="1" s="1"/>
  <c r="AU76" i="1" s="1"/>
  <c r="AV49" i="1" s="1"/>
  <c r="AV76" i="1" s="1"/>
  <c r="AW49" i="1" s="1"/>
  <c r="AW76" i="1" s="1"/>
  <c r="U4" i="10"/>
  <c r="Q5" i="10"/>
  <c r="Q17" i="10" s="1"/>
  <c r="M17" i="10"/>
  <c r="E52" i="2"/>
  <c r="E59" i="2" s="1"/>
  <c r="E44" i="2"/>
  <c r="I17" i="10"/>
  <c r="I34" i="10"/>
  <c r="L37" i="4"/>
  <c r="L42" i="4" s="1"/>
  <c r="L38" i="3"/>
  <c r="L43" i="3" s="1"/>
  <c r="FC53" i="1"/>
  <c r="FB3" i="1"/>
  <c r="FB30" i="1" s="1"/>
  <c r="FB34" i="1"/>
  <c r="FB31" i="1" s="1"/>
  <c r="FC58" i="1" s="1"/>
  <c r="FC55" i="1" s="1"/>
  <c r="EU40" i="1"/>
  <c r="EV30" i="1"/>
  <c r="M23" i="2"/>
  <c r="U21" i="10"/>
  <c r="M17" i="3"/>
  <c r="M17" i="5"/>
  <c r="M17" i="4"/>
  <c r="FA74" i="1"/>
  <c r="FC36" i="1"/>
  <c r="FC69" i="1"/>
  <c r="FC9" i="1"/>
  <c r="FD10" i="1"/>
  <c r="FC33" i="1"/>
  <c r="EW31" i="1"/>
  <c r="L29" i="2"/>
  <c r="M22" i="2"/>
  <c r="M49" i="2" s="1"/>
  <c r="M26" i="5"/>
  <c r="M26" i="4"/>
  <c r="M26" i="3"/>
  <c r="L3" i="2"/>
  <c r="L48" i="2" s="1"/>
  <c r="EW3" i="1"/>
  <c r="EW6" i="1"/>
  <c r="EW32" i="1"/>
  <c r="EW8" i="1"/>
  <c r="EW37" i="1"/>
  <c r="EW7" i="1"/>
  <c r="O22" i="10"/>
  <c r="EW35" i="1"/>
  <c r="EW5" i="1"/>
  <c r="EW38" i="1"/>
  <c r="EW25" i="1"/>
  <c r="EW4" i="1"/>
  <c r="EW19" i="1"/>
  <c r="EW20" i="1"/>
  <c r="EW18" i="1"/>
  <c r="EW39" i="1"/>
  <c r="FA31" i="1"/>
  <c r="FB58" i="1" s="1"/>
  <c r="EW33" i="1"/>
  <c r="FA30" i="1"/>
  <c r="L37" i="5"/>
  <c r="L42" i="5" s="1"/>
  <c r="FA63" i="1"/>
  <c r="F39" i="4" l="1"/>
  <c r="F43" i="4" s="1"/>
  <c r="F40" i="3"/>
  <c r="F44" i="3" s="1"/>
  <c r="F39" i="5"/>
  <c r="F43" i="5" s="1"/>
  <c r="G3" i="10"/>
  <c r="G5" i="10" s="1"/>
  <c r="G17" i="10" s="1"/>
  <c r="I18" i="10" s="1"/>
  <c r="E45" i="2"/>
  <c r="E53" i="2" s="1"/>
  <c r="E60" i="2" s="1"/>
  <c r="E38" i="5"/>
  <c r="E39" i="5" s="1"/>
  <c r="E38" i="4"/>
  <c r="E39" i="4" s="1"/>
  <c r="E39" i="3"/>
  <c r="E40" i="3" s="1"/>
  <c r="E22" i="10"/>
  <c r="U5" i="10"/>
  <c r="U17" i="10" s="1"/>
  <c r="K3" i="10"/>
  <c r="K5" i="10" s="1"/>
  <c r="K17" i="10" s="1"/>
  <c r="M18" i="10" s="1"/>
  <c r="BC49" i="1"/>
  <c r="BC76" i="1" s="1"/>
  <c r="BD49" i="1" s="1"/>
  <c r="BD76" i="1" s="1"/>
  <c r="BE49" i="1" s="1"/>
  <c r="BE76" i="1" s="1"/>
  <c r="BF49" i="1" s="1"/>
  <c r="BF76" i="1" s="1"/>
  <c r="BG49" i="1" s="1"/>
  <c r="BG76" i="1" s="1"/>
  <c r="BH49" i="1" s="1"/>
  <c r="BH76" i="1" s="1"/>
  <c r="BI49" i="1" s="1"/>
  <c r="BI76" i="1" s="1"/>
  <c r="BJ49" i="1" s="1"/>
  <c r="BJ76" i="1" s="1"/>
  <c r="BK49" i="1" s="1"/>
  <c r="BK76" i="1" s="1"/>
  <c r="BL49" i="1" s="1"/>
  <c r="BL76" i="1" s="1"/>
  <c r="BM49" i="1" s="1"/>
  <c r="BM76" i="1" s="1"/>
  <c r="BN49" i="1" s="1"/>
  <c r="BN76" i="1" s="1"/>
  <c r="M34" i="10"/>
  <c r="FB40" i="1"/>
  <c r="FB45" i="1" s="1"/>
  <c r="FC34" i="1"/>
  <c r="FC31" i="1" s="1"/>
  <c r="FD58" i="1" s="1"/>
  <c r="FD55" i="1" s="1"/>
  <c r="L28" i="2"/>
  <c r="L50" i="2" s="1"/>
  <c r="L57" i="2" s="1"/>
  <c r="EW30" i="1"/>
  <c r="FB55" i="1"/>
  <c r="FD69" i="1"/>
  <c r="FD36" i="1"/>
  <c r="FD9" i="1"/>
  <c r="FE10" i="1"/>
  <c r="FD33" i="1"/>
  <c r="EU45" i="1"/>
  <c r="EV45" i="1" s="1"/>
  <c r="EV40" i="1"/>
  <c r="L55" i="2"/>
  <c r="L56" i="2"/>
  <c r="FD53" i="1"/>
  <c r="FC3" i="1"/>
  <c r="FA40" i="1"/>
  <c r="FC64" i="1"/>
  <c r="FC50" i="1"/>
  <c r="O3" i="10" l="1"/>
  <c r="O5" i="10" s="1"/>
  <c r="O17" i="10" s="1"/>
  <c r="Q18" i="10" s="1"/>
  <c r="BT49" i="1"/>
  <c r="BT76" i="1" s="1"/>
  <c r="BU49" i="1" s="1"/>
  <c r="BU76" i="1" s="1"/>
  <c r="BV49" i="1" s="1"/>
  <c r="BV76" i="1" s="1"/>
  <c r="BW49" i="1" s="1"/>
  <c r="BW76" i="1" s="1"/>
  <c r="BX49" i="1" s="1"/>
  <c r="BX76" i="1" s="1"/>
  <c r="BY49" i="1" s="1"/>
  <c r="BY76" i="1" s="1"/>
  <c r="BZ49" i="1" s="1"/>
  <c r="BZ76" i="1" s="1"/>
  <c r="CA49" i="1" s="1"/>
  <c r="CA76" i="1" s="1"/>
  <c r="CB49" i="1" s="1"/>
  <c r="CB76" i="1" s="1"/>
  <c r="CC49" i="1" s="1"/>
  <c r="CC76" i="1" s="1"/>
  <c r="CD49" i="1" s="1"/>
  <c r="CD76" i="1" s="1"/>
  <c r="CE49" i="1" s="1"/>
  <c r="CE76" i="1" s="1"/>
  <c r="E41" i="3"/>
  <c r="F4" i="3" s="1"/>
  <c r="F41" i="3" s="1"/>
  <c r="G4" i="3" s="1"/>
  <c r="G41" i="3" s="1"/>
  <c r="H4" i="3" s="1"/>
  <c r="H41" i="3" s="1"/>
  <c r="I4" i="3" s="1"/>
  <c r="I41" i="3" s="1"/>
  <c r="J4" i="3" s="1"/>
  <c r="J41" i="3" s="1"/>
  <c r="K4" i="3" s="1"/>
  <c r="K41" i="3" s="1"/>
  <c r="L4" i="3" s="1"/>
  <c r="E44" i="3"/>
  <c r="E40" i="4"/>
  <c r="F4" i="4" s="1"/>
  <c r="F40" i="4" s="1"/>
  <c r="G4" i="4" s="1"/>
  <c r="G40" i="4" s="1"/>
  <c r="H4" i="4" s="1"/>
  <c r="H40" i="4" s="1"/>
  <c r="I4" i="4" s="1"/>
  <c r="I40" i="4" s="1"/>
  <c r="J4" i="4" s="1"/>
  <c r="J40" i="4" s="1"/>
  <c r="K4" i="4" s="1"/>
  <c r="K40" i="4" s="1"/>
  <c r="L4" i="4" s="1"/>
  <c r="E43" i="4"/>
  <c r="E40" i="5"/>
  <c r="F4" i="5" s="1"/>
  <c r="F40" i="5" s="1"/>
  <c r="G4" i="5" s="1"/>
  <c r="G40" i="5" s="1"/>
  <c r="H4" i="5" s="1"/>
  <c r="H40" i="5" s="1"/>
  <c r="I4" i="5" s="1"/>
  <c r="I40" i="5" s="1"/>
  <c r="J4" i="5" s="1"/>
  <c r="J40" i="5" s="1"/>
  <c r="K4" i="5" s="1"/>
  <c r="K40" i="5" s="1"/>
  <c r="L4" i="5" s="1"/>
  <c r="E43" i="5"/>
  <c r="I22" i="10"/>
  <c r="E23" i="10"/>
  <c r="E35" i="10" s="1"/>
  <c r="FD64" i="1"/>
  <c r="FD74" i="1" s="1"/>
  <c r="FB63" i="1"/>
  <c r="FC63" i="1"/>
  <c r="FC30" i="1"/>
  <c r="L38" i="2"/>
  <c r="L51" i="2" s="1"/>
  <c r="L58" i="2" s="1"/>
  <c r="EW40" i="1"/>
  <c r="FE53" i="1"/>
  <c r="FE50" i="1" s="1"/>
  <c r="FD3" i="1"/>
  <c r="FD30" i="1" s="1"/>
  <c r="FD50" i="1"/>
  <c r="FD63" i="1" s="1"/>
  <c r="EW45" i="1"/>
  <c r="L43" i="2"/>
  <c r="EV46" i="1"/>
  <c r="FD34" i="1"/>
  <c r="FC74" i="1"/>
  <c r="FA45" i="1"/>
  <c r="FE69" i="1"/>
  <c r="FE36" i="1"/>
  <c r="FE9" i="1"/>
  <c r="FF10" i="1"/>
  <c r="FE33" i="1"/>
  <c r="CK49" i="1" l="1"/>
  <c r="CK76" i="1" s="1"/>
  <c r="CL49" i="1" s="1"/>
  <c r="CL76" i="1" s="1"/>
  <c r="CM49" i="1" s="1"/>
  <c r="CM76" i="1" s="1"/>
  <c r="CN49" i="1" s="1"/>
  <c r="CN76" i="1" s="1"/>
  <c r="CO49" i="1" s="1"/>
  <c r="CO76" i="1" s="1"/>
  <c r="CP49" i="1" s="1"/>
  <c r="CP76" i="1" s="1"/>
  <c r="CQ49" i="1" s="1"/>
  <c r="CQ76" i="1" s="1"/>
  <c r="CR49" i="1" s="1"/>
  <c r="CR76" i="1" s="1"/>
  <c r="CS49" i="1" s="1"/>
  <c r="CS76" i="1" s="1"/>
  <c r="CT49" i="1" s="1"/>
  <c r="CT76" i="1" s="1"/>
  <c r="CU49" i="1" s="1"/>
  <c r="CU76" i="1" s="1"/>
  <c r="CV49" i="1" s="1"/>
  <c r="CV76" i="1" s="1"/>
  <c r="S3" i="10"/>
  <c r="S5" i="10" s="1"/>
  <c r="S17" i="10" s="1"/>
  <c r="M22" i="10"/>
  <c r="I23" i="10"/>
  <c r="I35" i="10" s="1"/>
  <c r="FC40" i="1"/>
  <c r="FE34" i="1"/>
  <c r="FE31" i="1" s="1"/>
  <c r="FF58" i="1" s="1"/>
  <c r="FF55" i="1" s="1"/>
  <c r="FE64" i="1"/>
  <c r="FD31" i="1"/>
  <c r="FE58" i="1" s="1"/>
  <c r="EU75" i="1"/>
  <c r="Q34" i="10"/>
  <c r="FF69" i="1"/>
  <c r="FF64" i="1" s="1"/>
  <c r="FF74" i="1" s="1"/>
  <c r="FF36" i="1"/>
  <c r="FF9" i="1"/>
  <c r="FG10" i="1"/>
  <c r="FF33" i="1"/>
  <c r="L44" i="2"/>
  <c r="L52" i="2"/>
  <c r="L59" i="2" s="1"/>
  <c r="FF53" i="1"/>
  <c r="FF50" i="1" s="1"/>
  <c r="FE3" i="1"/>
  <c r="FE30" i="1" s="1"/>
  <c r="U18" i="10" l="1"/>
  <c r="S18" i="10"/>
  <c r="DB49" i="1"/>
  <c r="DB76" i="1" s="1"/>
  <c r="DC49" i="1" s="1"/>
  <c r="DC76" i="1" s="1"/>
  <c r="DD49" i="1" s="1"/>
  <c r="DD76" i="1" s="1"/>
  <c r="DE49" i="1" s="1"/>
  <c r="DE76" i="1" s="1"/>
  <c r="DF49" i="1" s="1"/>
  <c r="DF76" i="1" s="1"/>
  <c r="DG49" i="1" s="1"/>
  <c r="DG76" i="1" s="1"/>
  <c r="DH49" i="1" s="1"/>
  <c r="DH76" i="1" s="1"/>
  <c r="DI49" i="1" s="1"/>
  <c r="DI76" i="1" s="1"/>
  <c r="DJ49" i="1" s="1"/>
  <c r="DJ76" i="1" s="1"/>
  <c r="DK49" i="1" s="1"/>
  <c r="DK76" i="1" s="1"/>
  <c r="DL49" i="1" s="1"/>
  <c r="DL76" i="1" s="1"/>
  <c r="DM49" i="1" s="1"/>
  <c r="DM76" i="1" s="1"/>
  <c r="C21" i="10"/>
  <c r="C23" i="10" s="1"/>
  <c r="C35" i="10" s="1"/>
  <c r="M23" i="10"/>
  <c r="M35" i="10" s="1"/>
  <c r="Q22" i="10"/>
  <c r="Q23" i="10" s="1"/>
  <c r="Q35" i="10" s="1"/>
  <c r="FD40" i="1"/>
  <c r="FD45" i="1" s="1"/>
  <c r="FE40" i="1"/>
  <c r="FE45" i="1" s="1"/>
  <c r="FG53" i="1"/>
  <c r="FF3" i="1"/>
  <c r="FF30" i="1" s="1"/>
  <c r="FF34" i="1"/>
  <c r="FF31" i="1" s="1"/>
  <c r="FG58" i="1" s="1"/>
  <c r="FF63" i="1"/>
  <c r="L38" i="4"/>
  <c r="L39" i="4" s="1"/>
  <c r="L39" i="3"/>
  <c r="L40" i="3" s="1"/>
  <c r="L38" i="5"/>
  <c r="L39" i="5" s="1"/>
  <c r="FE55" i="1"/>
  <c r="FC45" i="1"/>
  <c r="L45" i="2"/>
  <c r="L53" i="2" s="1"/>
  <c r="L60" i="2" s="1"/>
  <c r="FG36" i="1"/>
  <c r="FG69" i="1"/>
  <c r="FG64" i="1" s="1"/>
  <c r="FG74" i="1" s="1"/>
  <c r="FG9" i="1"/>
  <c r="FH10" i="1"/>
  <c r="FG33" i="1"/>
  <c r="FE74" i="1"/>
  <c r="E36" i="10" l="1"/>
  <c r="E39" i="10"/>
  <c r="DS49" i="1"/>
  <c r="DS76" i="1" s="1"/>
  <c r="DT49" i="1" s="1"/>
  <c r="DT76" i="1" s="1"/>
  <c r="DU49" i="1" s="1"/>
  <c r="DU76" i="1" s="1"/>
  <c r="DV49" i="1" s="1"/>
  <c r="DV76" i="1" s="1"/>
  <c r="DW49" i="1" s="1"/>
  <c r="DW76" i="1" s="1"/>
  <c r="DX49" i="1" s="1"/>
  <c r="DX76" i="1" s="1"/>
  <c r="DY49" i="1" s="1"/>
  <c r="DY76" i="1" s="1"/>
  <c r="DZ49" i="1" s="1"/>
  <c r="DZ76" i="1" s="1"/>
  <c r="EA49" i="1" s="1"/>
  <c r="EA76" i="1" s="1"/>
  <c r="EB49" i="1" s="1"/>
  <c r="EB76" i="1" s="1"/>
  <c r="EC49" i="1" s="1"/>
  <c r="EC76" i="1" s="1"/>
  <c r="ED49" i="1" s="1"/>
  <c r="ED76" i="1" s="1"/>
  <c r="G21" i="10"/>
  <c r="G23" i="10" s="1"/>
  <c r="G35" i="10" s="1"/>
  <c r="FG55" i="1"/>
  <c r="FH69" i="1"/>
  <c r="FH64" i="1" s="1"/>
  <c r="FH36" i="1"/>
  <c r="FH9" i="1"/>
  <c r="FI10" i="1"/>
  <c r="FH33" i="1"/>
  <c r="L43" i="4"/>
  <c r="L40" i="4"/>
  <c r="M4" i="4" s="1"/>
  <c r="FH53" i="1"/>
  <c r="FH50" i="1" s="1"/>
  <c r="FG3" i="1"/>
  <c r="FE63" i="1"/>
  <c r="FF40" i="1"/>
  <c r="L43" i="5"/>
  <c r="L40" i="5"/>
  <c r="M4" i="5" s="1"/>
  <c r="FG50" i="1"/>
  <c r="FG34" i="1"/>
  <c r="FG31" i="1" s="1"/>
  <c r="FH58" i="1" s="1"/>
  <c r="FH55" i="1" s="1"/>
  <c r="L44" i="3"/>
  <c r="L41" i="3"/>
  <c r="M4" i="3" s="1"/>
  <c r="EJ49" i="1" l="1"/>
  <c r="EJ76" i="1" s="1"/>
  <c r="EK49" i="1" s="1"/>
  <c r="EK76" i="1" s="1"/>
  <c r="EL49" i="1" s="1"/>
  <c r="EL76" i="1" s="1"/>
  <c r="EM49" i="1" s="1"/>
  <c r="EM76" i="1" s="1"/>
  <c r="EN49" i="1" s="1"/>
  <c r="EN76" i="1" s="1"/>
  <c r="EO49" i="1" s="1"/>
  <c r="EO76" i="1" s="1"/>
  <c r="EP49" i="1" s="1"/>
  <c r="EP76" i="1" s="1"/>
  <c r="EQ49" i="1" s="1"/>
  <c r="EQ76" i="1" s="1"/>
  <c r="ER49" i="1" s="1"/>
  <c r="ER76" i="1" s="1"/>
  <c r="ES49" i="1" s="1"/>
  <c r="ES76" i="1" s="1"/>
  <c r="ET49" i="1" s="1"/>
  <c r="ET76" i="1" s="1"/>
  <c r="EU49" i="1" s="1"/>
  <c r="EU76" i="1" s="1"/>
  <c r="K21" i="10"/>
  <c r="K23" i="10" s="1"/>
  <c r="K35" i="10" s="1"/>
  <c r="I36" i="10"/>
  <c r="I39" i="10"/>
  <c r="FF45" i="1"/>
  <c r="FH63" i="1"/>
  <c r="FH34" i="1"/>
  <c r="FH31" i="1" s="1"/>
  <c r="FI58" i="1" s="1"/>
  <c r="FI55" i="1" s="1"/>
  <c r="FH74" i="1"/>
  <c r="FI53" i="1"/>
  <c r="FI50" i="1" s="1"/>
  <c r="FH3" i="1"/>
  <c r="FH30" i="1" s="1"/>
  <c r="FG63" i="1"/>
  <c r="FI69" i="1"/>
  <c r="FI9" i="1"/>
  <c r="FI36" i="1"/>
  <c r="FJ10" i="1"/>
  <c r="FI33" i="1"/>
  <c r="FG30" i="1"/>
  <c r="M36" i="10" l="1"/>
  <c r="M39" i="10"/>
  <c r="FA49" i="1"/>
  <c r="FA76" i="1" s="1"/>
  <c r="FB49" i="1" s="1"/>
  <c r="FB76" i="1" s="1"/>
  <c r="FC49" i="1" s="1"/>
  <c r="FC76" i="1" s="1"/>
  <c r="FD49" i="1" s="1"/>
  <c r="FD76" i="1" s="1"/>
  <c r="FE49" i="1" s="1"/>
  <c r="FE76" i="1" s="1"/>
  <c r="FF49" i="1" s="1"/>
  <c r="FF76" i="1" s="1"/>
  <c r="FG49" i="1" s="1"/>
  <c r="FG76" i="1" s="1"/>
  <c r="FH49" i="1" s="1"/>
  <c r="FH76" i="1" s="1"/>
  <c r="FI49" i="1" s="1"/>
  <c r="O21" i="10"/>
  <c r="O23" i="10" s="1"/>
  <c r="O35" i="10" s="1"/>
  <c r="FJ69" i="1"/>
  <c r="FJ64" i="1" s="1"/>
  <c r="FJ74" i="1" s="1"/>
  <c r="FJ36" i="1"/>
  <c r="FJ9" i="1"/>
  <c r="FK10" i="1"/>
  <c r="FJ33" i="1"/>
  <c r="FG40" i="1"/>
  <c r="FH40" i="1"/>
  <c r="FH45" i="1" s="1"/>
  <c r="FJ53" i="1"/>
  <c r="FJ50" i="1" s="1"/>
  <c r="FI3" i="1"/>
  <c r="FI30" i="1" s="1"/>
  <c r="FI63" i="1"/>
  <c r="FI34" i="1"/>
  <c r="FI31" i="1" s="1"/>
  <c r="FJ58" i="1" s="1"/>
  <c r="FJ55" i="1" s="1"/>
  <c r="FI64" i="1"/>
  <c r="Q39" i="10" l="1"/>
  <c r="Q36" i="10"/>
  <c r="FI40" i="1"/>
  <c r="FI45" i="1" s="1"/>
  <c r="FK69" i="1"/>
  <c r="FK64" i="1" s="1"/>
  <c r="FK74" i="1" s="1"/>
  <c r="FK36" i="1"/>
  <c r="FK9" i="1"/>
  <c r="FL10" i="1"/>
  <c r="FK33" i="1"/>
  <c r="FK53" i="1"/>
  <c r="FK50" i="1" s="1"/>
  <c r="FJ3" i="1"/>
  <c r="FJ30" i="1" s="1"/>
  <c r="FI74" i="1"/>
  <c r="FI76" i="1" s="1"/>
  <c r="FJ49" i="1" s="1"/>
  <c r="FG45" i="1"/>
  <c r="FJ63" i="1"/>
  <c r="FJ34" i="1"/>
  <c r="FJ31" i="1" s="1"/>
  <c r="FK58" i="1" s="1"/>
  <c r="FK55" i="1" s="1"/>
  <c r="FJ76" i="1" l="1"/>
  <c r="FK49" i="1" s="1"/>
  <c r="FK63" i="1"/>
  <c r="FK34" i="1"/>
  <c r="FK31" i="1" s="1"/>
  <c r="FL58" i="1" s="1"/>
  <c r="FL69" i="1"/>
  <c r="FL36" i="1"/>
  <c r="FM36" i="1" s="1"/>
  <c r="FL9" i="1"/>
  <c r="FL33" i="1"/>
  <c r="FM10" i="1"/>
  <c r="FJ40" i="1"/>
  <c r="FJ45" i="1" s="1"/>
  <c r="FL53" i="1"/>
  <c r="FK3" i="1"/>
  <c r="FK30" i="1" s="1"/>
  <c r="FK76" i="1" l="1"/>
  <c r="FL49" i="1" s="1"/>
  <c r="FL55" i="1"/>
  <c r="M13" i="5"/>
  <c r="M13" i="4"/>
  <c r="M13" i="3"/>
  <c r="FL3" i="1"/>
  <c r="FM9" i="1"/>
  <c r="FK40" i="1"/>
  <c r="FK45" i="1" s="1"/>
  <c r="M14" i="2"/>
  <c r="FN10" i="1"/>
  <c r="FL64" i="1"/>
  <c r="M24" i="5"/>
  <c r="M24" i="4"/>
  <c r="M24" i="3"/>
  <c r="U25" i="10"/>
  <c r="U31" i="10" s="1"/>
  <c r="FL50" i="1"/>
  <c r="M8" i="5"/>
  <c r="M8" i="4"/>
  <c r="M8" i="3"/>
  <c r="FL34" i="1"/>
  <c r="FM34" i="1" s="1"/>
  <c r="FM33" i="1"/>
  <c r="M34" i="2"/>
  <c r="FN36" i="1"/>
  <c r="FN9" i="1" l="1"/>
  <c r="M13" i="2"/>
  <c r="FL31" i="1"/>
  <c r="FL74" i="1"/>
  <c r="M19" i="3"/>
  <c r="M37" i="3" s="1"/>
  <c r="M19" i="5"/>
  <c r="M36" i="5" s="1"/>
  <c r="M19" i="4"/>
  <c r="M36" i="4" s="1"/>
  <c r="M32" i="2"/>
  <c r="M5" i="5"/>
  <c r="M5" i="4"/>
  <c r="M5" i="3"/>
  <c r="M31" i="2"/>
  <c r="FM31" i="1"/>
  <c r="FL30" i="1"/>
  <c r="FM30" i="1" s="1"/>
  <c r="FM3" i="1"/>
  <c r="FN33" i="1" s="1"/>
  <c r="FL63" i="1"/>
  <c r="M10" i="5"/>
  <c r="M10" i="4"/>
  <c r="M10" i="3"/>
  <c r="M28" i="2" l="1"/>
  <c r="M50" i="2" s="1"/>
  <c r="FN30" i="1"/>
  <c r="FN31" i="1"/>
  <c r="M29" i="2"/>
  <c r="U22" i="10"/>
  <c r="U23" i="10" s="1"/>
  <c r="FL40" i="1"/>
  <c r="M18" i="3"/>
  <c r="M38" i="3" s="1"/>
  <c r="M18" i="5"/>
  <c r="M37" i="5" s="1"/>
  <c r="M18" i="4"/>
  <c r="M37" i="4" s="1"/>
  <c r="M3" i="2"/>
  <c r="M48" i="2" s="1"/>
  <c r="FN3" i="1"/>
  <c r="FN37" i="1"/>
  <c r="FN32" i="1"/>
  <c r="FN7" i="1"/>
  <c r="FN8" i="1"/>
  <c r="FN6" i="1"/>
  <c r="FN35" i="1"/>
  <c r="FN5" i="1"/>
  <c r="FN38" i="1"/>
  <c r="FN20" i="1"/>
  <c r="FN4" i="1"/>
  <c r="FN25" i="1"/>
  <c r="FN19" i="1"/>
  <c r="FN18" i="1"/>
  <c r="S22" i="10"/>
  <c r="FN34" i="1"/>
  <c r="M42" i="5" l="1"/>
  <c r="E46" i="5" s="1"/>
  <c r="FL45" i="1"/>
  <c r="FM45" i="1" s="1"/>
  <c r="FM40" i="1"/>
  <c r="M55" i="2"/>
  <c r="M56" i="2"/>
  <c r="M43" i="3"/>
  <c r="G51" i="3" s="1"/>
  <c r="G53" i="3" s="1"/>
  <c r="M42" i="4"/>
  <c r="E46" i="4" s="1"/>
  <c r="G50" i="4" s="1"/>
  <c r="G52" i="4" s="1"/>
  <c r="M57" i="2"/>
  <c r="G55" i="3" l="1"/>
  <c r="G54" i="3"/>
  <c r="M43" i="2"/>
  <c r="FM46" i="1"/>
  <c r="U34" i="10" s="1"/>
  <c r="U35" i="10" s="1"/>
  <c r="FN45" i="1"/>
  <c r="FN40" i="1"/>
  <c r="M38" i="2"/>
  <c r="M51" i="2" s="1"/>
  <c r="M58" i="2" s="1"/>
  <c r="G54" i="4"/>
  <c r="G53" i="4"/>
  <c r="M52" i="2" l="1"/>
  <c r="M59" i="2" s="1"/>
  <c r="M44" i="2"/>
  <c r="FL75" i="1"/>
  <c r="FL76" i="1" s="1"/>
  <c r="S21" i="10" s="1"/>
  <c r="S23" i="10" s="1"/>
  <c r="S35" i="10" s="1"/>
  <c r="U36" i="10" s="1"/>
  <c r="U39" i="10" l="1"/>
  <c r="M45" i="2"/>
  <c r="M53" i="2" s="1"/>
  <c r="M60" i="2" s="1"/>
  <c r="M39" i="3"/>
  <c r="M40" i="3" s="1"/>
  <c r="M38" i="4"/>
  <c r="M39" i="4" s="1"/>
  <c r="M38" i="5"/>
  <c r="M39" i="5" s="1"/>
  <c r="M44" i="3" l="1"/>
  <c r="M41" i="3"/>
  <c r="M43" i="4"/>
  <c r="E47" i="4" s="1"/>
  <c r="M40" i="4"/>
  <c r="M43" i="5"/>
  <c r="E47" i="5" s="1"/>
  <c r="G50" i="5" s="1"/>
  <c r="G52" i="5" s="1"/>
  <c r="M40" i="5"/>
  <c r="G54" i="5" l="1"/>
  <c r="G53" i="5"/>
</calcChain>
</file>

<file path=xl/sharedStrings.xml><?xml version="1.0" encoding="utf-8"?>
<sst xmlns="http://schemas.openxmlformats.org/spreadsheetml/2006/main" count="2019" uniqueCount="543">
  <si>
    <t>飲食収入</t>
    <rPh sb="0" eb="2">
      <t>インショク</t>
    </rPh>
    <rPh sb="2" eb="4">
      <t>シュウニュウ</t>
    </rPh>
    <phoneticPr fontId="2"/>
  </si>
  <si>
    <t>その他収入</t>
    <rPh sb="2" eb="3">
      <t>ホカ</t>
    </rPh>
    <rPh sb="3" eb="5">
      <t>シュウニュウ</t>
    </rPh>
    <phoneticPr fontId="2"/>
  </si>
  <si>
    <t>（売上総利益）</t>
    <rPh sb="1" eb="3">
      <t>ウリアゲ</t>
    </rPh>
    <rPh sb="3" eb="6">
      <t>ソウリエキ</t>
    </rPh>
    <phoneticPr fontId="2"/>
  </si>
  <si>
    <t>役員報酬</t>
    <rPh sb="0" eb="2">
      <t>ヤクイン</t>
    </rPh>
    <rPh sb="2" eb="4">
      <t>ホウシュウ</t>
    </rPh>
    <phoneticPr fontId="2"/>
  </si>
  <si>
    <t>給料手当</t>
    <rPh sb="0" eb="2">
      <t>キュウリョウ</t>
    </rPh>
    <rPh sb="2" eb="4">
      <t>テアテ</t>
    </rPh>
    <phoneticPr fontId="2"/>
  </si>
  <si>
    <t>法定福利費</t>
    <rPh sb="0" eb="2">
      <t>ホウテイ</t>
    </rPh>
    <rPh sb="2" eb="4">
      <t>フクリ</t>
    </rPh>
    <rPh sb="4" eb="5">
      <t>ヒ</t>
    </rPh>
    <phoneticPr fontId="2"/>
  </si>
  <si>
    <t>水道光熱費</t>
    <rPh sb="0" eb="2">
      <t>スイドウ</t>
    </rPh>
    <rPh sb="2" eb="5">
      <t>コウネツヒ</t>
    </rPh>
    <phoneticPr fontId="2"/>
  </si>
  <si>
    <t>リース料</t>
    <rPh sb="3" eb="4">
      <t>リョウ</t>
    </rPh>
    <phoneticPr fontId="2"/>
  </si>
  <si>
    <t>地代家賃</t>
    <rPh sb="0" eb="2">
      <t>チダイ</t>
    </rPh>
    <rPh sb="2" eb="4">
      <t>ヤチン</t>
    </rPh>
    <phoneticPr fontId="2"/>
  </si>
  <si>
    <t>（販管費）</t>
    <rPh sb="1" eb="4">
      <t>ハンカンヒ</t>
    </rPh>
    <phoneticPr fontId="2"/>
  </si>
  <si>
    <t>（営業利益）</t>
    <rPh sb="1" eb="3">
      <t>エイギョウ</t>
    </rPh>
    <rPh sb="3" eb="5">
      <t>リエキ</t>
    </rPh>
    <phoneticPr fontId="2"/>
  </si>
  <si>
    <t>（営業外収益）</t>
    <rPh sb="1" eb="4">
      <t>エイギョウガイ</t>
    </rPh>
    <rPh sb="4" eb="6">
      <t>シュウエキ</t>
    </rPh>
    <phoneticPr fontId="2"/>
  </si>
  <si>
    <t>支払利息</t>
    <rPh sb="0" eb="2">
      <t>シハライ</t>
    </rPh>
    <rPh sb="2" eb="4">
      <t>リソク</t>
    </rPh>
    <phoneticPr fontId="2"/>
  </si>
  <si>
    <t>雑損失</t>
    <rPh sb="0" eb="1">
      <t>ザツ</t>
    </rPh>
    <rPh sb="1" eb="3">
      <t>ソンシツ</t>
    </rPh>
    <phoneticPr fontId="2"/>
  </si>
  <si>
    <t>（営業外損失）</t>
    <rPh sb="1" eb="4">
      <t>エイギョウガイ</t>
    </rPh>
    <rPh sb="4" eb="6">
      <t>ソンシツ</t>
    </rPh>
    <phoneticPr fontId="2"/>
  </si>
  <si>
    <t>（経常利益）</t>
    <rPh sb="1" eb="3">
      <t>ケイジョウ</t>
    </rPh>
    <rPh sb="3" eb="5">
      <t>リエキ</t>
    </rPh>
    <phoneticPr fontId="2"/>
  </si>
  <si>
    <t>FCロイヤリティ</t>
    <phoneticPr fontId="2"/>
  </si>
  <si>
    <t>FC収入</t>
    <rPh sb="2" eb="4">
      <t>シュウニュウ</t>
    </rPh>
    <phoneticPr fontId="2"/>
  </si>
  <si>
    <t>4月</t>
    <rPh sb="1" eb="2">
      <t>ガツ</t>
    </rPh>
    <phoneticPr fontId="2"/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</si>
  <si>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</si>
  <si>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</si>
  <si>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</si>
  <si>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</si>
  <si>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</si>
  <si>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</si>
  <si>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</si>
  <si>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</si>
  <si>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</si>
  <si>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</si>
  <si>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合計</t>
    <rPh sb="0" eb="2">
      <t>ゴウケイ</t>
    </rPh>
    <phoneticPr fontId="2"/>
  </si>
  <si>
    <t>総売上</t>
    <rPh sb="0" eb="1">
      <t>ソウ</t>
    </rPh>
    <rPh sb="1" eb="2">
      <t>ウ</t>
    </rPh>
    <rPh sb="2" eb="3">
      <t>ア</t>
    </rPh>
    <phoneticPr fontId="2"/>
  </si>
  <si>
    <t>売上原価</t>
    <rPh sb="0" eb="2">
      <t>ウリアゲ</t>
    </rPh>
    <rPh sb="2" eb="4">
      <t>ゲンカ</t>
    </rPh>
    <phoneticPr fontId="2"/>
  </si>
  <si>
    <t>販売費</t>
    <rPh sb="0" eb="3">
      <t>ハンバイヒ</t>
    </rPh>
    <phoneticPr fontId="2"/>
  </si>
  <si>
    <t>管理費</t>
    <rPh sb="0" eb="3">
      <t>カンリヒ</t>
    </rPh>
    <phoneticPr fontId="2"/>
  </si>
  <si>
    <t>その他原価（FC等）</t>
    <rPh sb="2" eb="3">
      <t>ホカ</t>
    </rPh>
    <rPh sb="3" eb="5">
      <t>ゲンカ</t>
    </rPh>
    <rPh sb="8" eb="9">
      <t>トウ</t>
    </rPh>
    <phoneticPr fontId="2"/>
  </si>
  <si>
    <t>対売上比率</t>
    <rPh sb="0" eb="1">
      <t>タイ</t>
    </rPh>
    <rPh sb="1" eb="3">
      <t>ウリアゲ</t>
    </rPh>
    <rPh sb="3" eb="5">
      <t>ヒリツ</t>
    </rPh>
    <phoneticPr fontId="2"/>
  </si>
  <si>
    <t>前月繰越</t>
    <rPh sb="0" eb="2">
      <t>ゼンゲツ</t>
    </rPh>
    <rPh sb="2" eb="4">
      <t>クリコシ</t>
    </rPh>
    <phoneticPr fontId="2"/>
  </si>
  <si>
    <t>店舗現金売上</t>
    <rPh sb="0" eb="2">
      <t>テンポ</t>
    </rPh>
    <rPh sb="2" eb="4">
      <t>ゲンキン</t>
    </rPh>
    <rPh sb="4" eb="6">
      <t>ウリアゲ</t>
    </rPh>
    <phoneticPr fontId="2"/>
  </si>
  <si>
    <t>店舗催事売掛入金</t>
    <rPh sb="0" eb="2">
      <t>テンポ</t>
    </rPh>
    <rPh sb="2" eb="4">
      <t>サイジ</t>
    </rPh>
    <rPh sb="4" eb="6">
      <t>ウリカケ</t>
    </rPh>
    <rPh sb="6" eb="8">
      <t>ニュウキン</t>
    </rPh>
    <phoneticPr fontId="2"/>
  </si>
  <si>
    <t>月末締め翌月末払い</t>
    <rPh sb="0" eb="2">
      <t>ゲツマツ</t>
    </rPh>
    <rPh sb="2" eb="3">
      <t>ジ</t>
    </rPh>
    <rPh sb="4" eb="7">
      <t>ヨクゲツマツ</t>
    </rPh>
    <rPh sb="7" eb="8">
      <t>ハラ</t>
    </rPh>
    <phoneticPr fontId="2"/>
  </si>
  <si>
    <t>条件</t>
    <rPh sb="0" eb="2">
      <t>ジョウケン</t>
    </rPh>
    <phoneticPr fontId="2"/>
  </si>
  <si>
    <t>他収入</t>
    <rPh sb="0" eb="1">
      <t>ホカ</t>
    </rPh>
    <rPh sb="1" eb="3">
      <t>シュウニュウ</t>
    </rPh>
    <phoneticPr fontId="2"/>
  </si>
  <si>
    <t>経常収入</t>
    <rPh sb="0" eb="2">
      <t>ケイジョウ</t>
    </rPh>
    <rPh sb="2" eb="4">
      <t>シュウニュウ</t>
    </rPh>
    <phoneticPr fontId="2"/>
  </si>
  <si>
    <t>経常支出</t>
    <rPh sb="0" eb="2">
      <t>ケイジョウ</t>
    </rPh>
    <rPh sb="2" eb="4">
      <t>シシュツ</t>
    </rPh>
    <phoneticPr fontId="2"/>
  </si>
  <si>
    <t>店舗仕入買掛</t>
    <rPh sb="0" eb="2">
      <t>テンポ</t>
    </rPh>
    <rPh sb="2" eb="4">
      <t>シイレ</t>
    </rPh>
    <rPh sb="4" eb="6">
      <t>カイカケ</t>
    </rPh>
    <phoneticPr fontId="2"/>
  </si>
  <si>
    <t>店舗人件費</t>
    <rPh sb="0" eb="2">
      <t>テンポ</t>
    </rPh>
    <rPh sb="2" eb="5">
      <t>ジンケンヒ</t>
    </rPh>
    <phoneticPr fontId="2"/>
  </si>
  <si>
    <t>原価人件費</t>
    <rPh sb="0" eb="2">
      <t>ゲンカ</t>
    </rPh>
    <rPh sb="2" eb="5">
      <t>ジンケンヒ</t>
    </rPh>
    <phoneticPr fontId="2"/>
  </si>
  <si>
    <t>販管費（ｻｲﾄ１）</t>
    <rPh sb="0" eb="3">
      <t>ハンカンヒ</t>
    </rPh>
    <phoneticPr fontId="2"/>
  </si>
  <si>
    <t>販管費（ｻｲﾄ２）</t>
    <rPh sb="0" eb="3">
      <t>ハンカンヒ</t>
    </rPh>
    <phoneticPr fontId="2"/>
  </si>
  <si>
    <t>販管費（月末締め翌月末払い）</t>
    <rPh sb="0" eb="3">
      <t>ハンカンヒ</t>
    </rPh>
    <rPh sb="4" eb="6">
      <t>ゲツマツ</t>
    </rPh>
    <rPh sb="6" eb="7">
      <t>ジ</t>
    </rPh>
    <rPh sb="8" eb="11">
      <t>ヨクゲツマツ</t>
    </rPh>
    <rPh sb="11" eb="12">
      <t>バラ</t>
    </rPh>
    <phoneticPr fontId="2"/>
  </si>
  <si>
    <t>販管費（月末締め翌々月末払い）</t>
    <rPh sb="0" eb="3">
      <t>ハンカンヒ</t>
    </rPh>
    <rPh sb="4" eb="6">
      <t>ゲツマツ</t>
    </rPh>
    <rPh sb="6" eb="7">
      <t>ジ</t>
    </rPh>
    <rPh sb="8" eb="11">
      <t>ヨクヨクゲツ</t>
    </rPh>
    <rPh sb="11" eb="12">
      <t>スエ</t>
    </rPh>
    <rPh sb="12" eb="13">
      <t>バラ</t>
    </rPh>
    <phoneticPr fontId="2"/>
  </si>
  <si>
    <t>他支出</t>
    <rPh sb="0" eb="1">
      <t>ホカ</t>
    </rPh>
    <rPh sb="1" eb="3">
      <t>シシュツ</t>
    </rPh>
    <phoneticPr fontId="2"/>
  </si>
  <si>
    <t>固定資産購入等</t>
    <rPh sb="0" eb="2">
      <t>コテイ</t>
    </rPh>
    <rPh sb="2" eb="4">
      <t>シサン</t>
    </rPh>
    <rPh sb="4" eb="6">
      <t>コウニュウ</t>
    </rPh>
    <rPh sb="6" eb="7">
      <t>トウ</t>
    </rPh>
    <phoneticPr fontId="2"/>
  </si>
  <si>
    <t>経常収支差額</t>
    <rPh sb="0" eb="2">
      <t>ケイジョウ</t>
    </rPh>
    <rPh sb="2" eb="4">
      <t>シュウシ</t>
    </rPh>
    <rPh sb="4" eb="6">
      <t>サガク</t>
    </rPh>
    <phoneticPr fontId="2"/>
  </si>
  <si>
    <t>資本金</t>
    <rPh sb="0" eb="3">
      <t>シホンキン</t>
    </rPh>
    <phoneticPr fontId="2"/>
  </si>
  <si>
    <t>役員借入</t>
    <rPh sb="0" eb="2">
      <t>ヤクイン</t>
    </rPh>
    <rPh sb="2" eb="4">
      <t>カリイレ</t>
    </rPh>
    <phoneticPr fontId="2"/>
  </si>
  <si>
    <t>固定資産売却</t>
    <rPh sb="0" eb="2">
      <t>コテイ</t>
    </rPh>
    <rPh sb="2" eb="4">
      <t>シサン</t>
    </rPh>
    <rPh sb="4" eb="6">
      <t>バイキャク</t>
    </rPh>
    <phoneticPr fontId="2"/>
  </si>
  <si>
    <t>FC保証金</t>
    <rPh sb="2" eb="5">
      <t>ホショウキン</t>
    </rPh>
    <phoneticPr fontId="2"/>
  </si>
  <si>
    <t>地区本部保証金</t>
    <rPh sb="0" eb="2">
      <t>チク</t>
    </rPh>
    <rPh sb="2" eb="4">
      <t>ホンブ</t>
    </rPh>
    <rPh sb="4" eb="7">
      <t>ホショウキン</t>
    </rPh>
    <phoneticPr fontId="2"/>
  </si>
  <si>
    <t>その他</t>
    <rPh sb="2" eb="3">
      <t>ホカ</t>
    </rPh>
    <phoneticPr fontId="2"/>
  </si>
  <si>
    <t>金融機関借入</t>
    <rPh sb="0" eb="2">
      <t>キンユウ</t>
    </rPh>
    <rPh sb="2" eb="4">
      <t>キカン</t>
    </rPh>
    <rPh sb="4" eb="6">
      <t>カリイレ</t>
    </rPh>
    <phoneticPr fontId="2"/>
  </si>
  <si>
    <t>財務収入</t>
    <rPh sb="0" eb="2">
      <t>ザイム</t>
    </rPh>
    <rPh sb="2" eb="4">
      <t>シュウニュウ</t>
    </rPh>
    <phoneticPr fontId="2"/>
  </si>
  <si>
    <t>財務支出</t>
    <rPh sb="0" eb="2">
      <t>ザイム</t>
    </rPh>
    <rPh sb="2" eb="4">
      <t>シシュツ</t>
    </rPh>
    <phoneticPr fontId="2"/>
  </si>
  <si>
    <t>金融機関返済</t>
    <rPh sb="0" eb="2">
      <t>キンユウ</t>
    </rPh>
    <rPh sb="2" eb="4">
      <t>キカン</t>
    </rPh>
    <rPh sb="4" eb="6">
      <t>ヘンサイ</t>
    </rPh>
    <phoneticPr fontId="2"/>
  </si>
  <si>
    <t>役員返済</t>
    <rPh sb="0" eb="2">
      <t>ヤクイン</t>
    </rPh>
    <rPh sb="2" eb="4">
      <t>ヘンサイ</t>
    </rPh>
    <phoneticPr fontId="2"/>
  </si>
  <si>
    <t>FC保証金返却</t>
    <rPh sb="2" eb="5">
      <t>ホショウキン</t>
    </rPh>
    <rPh sb="5" eb="7">
      <t>ヘンキャク</t>
    </rPh>
    <phoneticPr fontId="2"/>
  </si>
  <si>
    <t>地区本部保証金返却</t>
    <rPh sb="0" eb="2">
      <t>チク</t>
    </rPh>
    <rPh sb="2" eb="4">
      <t>ホンブ</t>
    </rPh>
    <rPh sb="4" eb="7">
      <t>ホショウキン</t>
    </rPh>
    <rPh sb="7" eb="9">
      <t>ヘンキャク</t>
    </rPh>
    <phoneticPr fontId="2"/>
  </si>
  <si>
    <t>財務収支差額</t>
    <rPh sb="0" eb="2">
      <t>ザイム</t>
    </rPh>
    <rPh sb="2" eb="4">
      <t>シュウシ</t>
    </rPh>
    <rPh sb="4" eb="6">
      <t>サガク</t>
    </rPh>
    <phoneticPr fontId="2"/>
  </si>
  <si>
    <t>翌月繰越</t>
    <rPh sb="0" eb="2">
      <t>ヨクゲツ</t>
    </rPh>
    <rPh sb="2" eb="4">
      <t>クリコシ</t>
    </rPh>
    <phoneticPr fontId="2"/>
  </si>
  <si>
    <t>当月計上（80%）</t>
    <rPh sb="0" eb="2">
      <t>トウゲツ</t>
    </rPh>
    <rPh sb="2" eb="4">
      <t>ケイジョウ</t>
    </rPh>
    <phoneticPr fontId="2"/>
  </si>
  <si>
    <t>売上（20%）月末締め翌月末払い</t>
    <rPh sb="0" eb="2">
      <t>ウリアゲ</t>
    </rPh>
    <rPh sb="7" eb="9">
      <t>ゲツマツ</t>
    </rPh>
    <rPh sb="9" eb="10">
      <t>ジ</t>
    </rPh>
    <rPh sb="11" eb="14">
      <t>ヨクゲツマツ</t>
    </rPh>
    <rPh sb="14" eb="15">
      <t>ハラ</t>
    </rPh>
    <phoneticPr fontId="2"/>
  </si>
  <si>
    <t>H23年度 資金繰表</t>
    <rPh sb="3" eb="5">
      <t>ネンド</t>
    </rPh>
    <rPh sb="6" eb="8">
      <t>シキン</t>
    </rPh>
    <rPh sb="8" eb="9">
      <t>グ</t>
    </rPh>
    <rPh sb="9" eb="10">
      <t>ヒョウ</t>
    </rPh>
    <phoneticPr fontId="2"/>
  </si>
  <si>
    <t>H24年度</t>
    <rPh sb="3" eb="5">
      <t>ネンド</t>
    </rPh>
    <phoneticPr fontId="2"/>
  </si>
  <si>
    <t>都心型</t>
    <rPh sb="0" eb="2">
      <t>トシン</t>
    </rPh>
    <rPh sb="2" eb="3">
      <t>ガタ</t>
    </rPh>
    <phoneticPr fontId="2"/>
  </si>
  <si>
    <t>地方郊外型</t>
    <rPh sb="0" eb="2">
      <t>チホウ</t>
    </rPh>
    <rPh sb="2" eb="5">
      <t>コウガイガタ</t>
    </rPh>
    <phoneticPr fontId="2"/>
  </si>
  <si>
    <t>サテライト型</t>
    <rPh sb="5" eb="6">
      <t>ガタ</t>
    </rPh>
    <phoneticPr fontId="2"/>
  </si>
  <si>
    <t>SC併設型</t>
    <rPh sb="2" eb="5">
      <t>ヘイセツガタ</t>
    </rPh>
    <phoneticPr fontId="2"/>
  </si>
  <si>
    <t>減価償却</t>
    <rPh sb="0" eb="2">
      <t>ゲンカ</t>
    </rPh>
    <rPh sb="2" eb="4">
      <t>ショウキャク</t>
    </rPh>
    <phoneticPr fontId="2"/>
  </si>
  <si>
    <t>工場収入</t>
    <rPh sb="0" eb="2">
      <t>コウジョウ</t>
    </rPh>
    <rPh sb="2" eb="4">
      <t>シュウニュウ</t>
    </rPh>
    <phoneticPr fontId="2"/>
  </si>
  <si>
    <t>工場原価</t>
    <rPh sb="0" eb="2">
      <t>コウジョウ</t>
    </rPh>
    <rPh sb="2" eb="4">
      <t>ゲンカ</t>
    </rPh>
    <phoneticPr fontId="2"/>
  </si>
  <si>
    <t>H25年度</t>
    <rPh sb="3" eb="5">
      <t>ネンド</t>
    </rPh>
    <phoneticPr fontId="2"/>
  </si>
  <si>
    <t>H26年度</t>
    <rPh sb="3" eb="5">
      <t>ネンド</t>
    </rPh>
    <phoneticPr fontId="2"/>
  </si>
  <si>
    <t>H27年度</t>
    <rPh sb="3" eb="5">
      <t>ネンド</t>
    </rPh>
    <phoneticPr fontId="2"/>
  </si>
  <si>
    <t>3月</t>
  </si>
  <si>
    <t>4月</t>
  </si>
  <si>
    <t>当月計上（81%）</t>
    <rPh sb="0" eb="2">
      <t>トウゲツ</t>
    </rPh>
    <rPh sb="2" eb="4">
      <t>ケイジョウ</t>
    </rPh>
    <phoneticPr fontId="2"/>
  </si>
  <si>
    <t>当月計上（82%）</t>
    <rPh sb="0" eb="2">
      <t>トウゲツ</t>
    </rPh>
    <rPh sb="2" eb="4">
      <t>ケイジョウ</t>
    </rPh>
    <phoneticPr fontId="2"/>
  </si>
  <si>
    <t>売上（21%）月末締め翌月末払い</t>
    <rPh sb="0" eb="2">
      <t>ウリアゲ</t>
    </rPh>
    <rPh sb="7" eb="9">
      <t>ゲツマツ</t>
    </rPh>
    <rPh sb="9" eb="10">
      <t>ジ</t>
    </rPh>
    <rPh sb="11" eb="14">
      <t>ヨクゲツマツ</t>
    </rPh>
    <rPh sb="14" eb="15">
      <t>ハラ</t>
    </rPh>
    <phoneticPr fontId="2"/>
  </si>
  <si>
    <t>売上（22%）月末締め翌月末払い</t>
    <rPh sb="0" eb="2">
      <t>ウリアゲ</t>
    </rPh>
    <rPh sb="7" eb="9">
      <t>ゲツマツ</t>
    </rPh>
    <rPh sb="9" eb="10">
      <t>ジ</t>
    </rPh>
    <rPh sb="11" eb="14">
      <t>ヨクゲツマツ</t>
    </rPh>
    <rPh sb="14" eb="15">
      <t>ハラ</t>
    </rPh>
    <phoneticPr fontId="2"/>
  </si>
  <si>
    <t>販管費（ｻｲﾄ３）</t>
    <rPh sb="0" eb="3">
      <t>ハンカンヒ</t>
    </rPh>
    <phoneticPr fontId="2"/>
  </si>
  <si>
    <t>販管費（ｻｲﾄ４）</t>
    <rPh sb="0" eb="3">
      <t>ハンカンヒ</t>
    </rPh>
    <phoneticPr fontId="2"/>
  </si>
  <si>
    <t>H23年</t>
    <rPh sb="3" eb="4">
      <t>ネン</t>
    </rPh>
    <phoneticPr fontId="2"/>
  </si>
  <si>
    <t>H24年</t>
    <rPh sb="3" eb="4">
      <t>ネン</t>
    </rPh>
    <phoneticPr fontId="2"/>
  </si>
  <si>
    <t>H25年</t>
    <rPh sb="3" eb="4">
      <t>ネン</t>
    </rPh>
    <phoneticPr fontId="2"/>
  </si>
  <si>
    <t>H26年</t>
    <rPh sb="3" eb="4">
      <t>ネン</t>
    </rPh>
    <phoneticPr fontId="2"/>
  </si>
  <si>
    <t>H27年</t>
    <rPh sb="3" eb="4">
      <t>ネン</t>
    </rPh>
    <phoneticPr fontId="2"/>
  </si>
  <si>
    <t>CF</t>
    <phoneticPr fontId="2"/>
  </si>
  <si>
    <t>H23年度</t>
    <rPh sb="3" eb="4">
      <t>ネン</t>
    </rPh>
    <rPh sb="4" eb="5">
      <t>ド</t>
    </rPh>
    <phoneticPr fontId="2"/>
  </si>
  <si>
    <t>H24年度</t>
    <rPh sb="3" eb="4">
      <t>ネン</t>
    </rPh>
    <rPh sb="4" eb="5">
      <t>ド</t>
    </rPh>
    <phoneticPr fontId="2"/>
  </si>
  <si>
    <t>H25年度</t>
    <rPh sb="3" eb="4">
      <t>ネン</t>
    </rPh>
    <rPh sb="4" eb="5">
      <t>ド</t>
    </rPh>
    <phoneticPr fontId="2"/>
  </si>
  <si>
    <t>H26年度</t>
    <rPh sb="3" eb="4">
      <t>ネン</t>
    </rPh>
    <rPh sb="4" eb="5">
      <t>ド</t>
    </rPh>
    <phoneticPr fontId="2"/>
  </si>
  <si>
    <t>H27年度</t>
    <rPh sb="3" eb="4">
      <t>ネン</t>
    </rPh>
    <rPh sb="4" eb="5">
      <t>ド</t>
    </rPh>
    <phoneticPr fontId="2"/>
  </si>
  <si>
    <t>前年度繰越</t>
    <rPh sb="0" eb="3">
      <t>ゼンネンド</t>
    </rPh>
    <rPh sb="3" eb="5">
      <t>クリコシ</t>
    </rPh>
    <phoneticPr fontId="2"/>
  </si>
  <si>
    <t>翌年度繰越</t>
    <rPh sb="0" eb="3">
      <t>ヨクネンド</t>
    </rPh>
    <rPh sb="3" eb="5">
      <t>クリコシ</t>
    </rPh>
    <phoneticPr fontId="2"/>
  </si>
  <si>
    <t>店舗出店コスト</t>
    <rPh sb="0" eb="2">
      <t>テンポ</t>
    </rPh>
    <rPh sb="2" eb="4">
      <t>シュッテン</t>
    </rPh>
    <phoneticPr fontId="2"/>
  </si>
  <si>
    <t>FC本部（システム等）</t>
    <rPh sb="2" eb="4">
      <t>ホンブ</t>
    </rPh>
    <rPh sb="9" eb="10">
      <t>トウ</t>
    </rPh>
    <phoneticPr fontId="2"/>
  </si>
  <si>
    <t>H28年度</t>
    <rPh sb="3" eb="5">
      <t>ネンド</t>
    </rPh>
    <phoneticPr fontId="2"/>
  </si>
  <si>
    <t>H29年度</t>
    <rPh sb="3" eb="5">
      <t>ネンド</t>
    </rPh>
    <phoneticPr fontId="2"/>
  </si>
  <si>
    <t>当月計上（83%）</t>
    <rPh sb="0" eb="2">
      <t>トウゲツ</t>
    </rPh>
    <rPh sb="2" eb="4">
      <t>ケイジョウ</t>
    </rPh>
    <phoneticPr fontId="2"/>
  </si>
  <si>
    <t>売上（23%）月末締め翌月末払い</t>
    <rPh sb="0" eb="2">
      <t>ウリアゲ</t>
    </rPh>
    <rPh sb="7" eb="9">
      <t>ゲツマツ</t>
    </rPh>
    <rPh sb="9" eb="10">
      <t>ジ</t>
    </rPh>
    <rPh sb="11" eb="14">
      <t>ヨクゲツマツ</t>
    </rPh>
    <rPh sb="14" eb="15">
      <t>ハラ</t>
    </rPh>
    <phoneticPr fontId="2"/>
  </si>
  <si>
    <t>販管費（ｻｲﾄ５）</t>
    <rPh sb="0" eb="3">
      <t>ハンカンヒ</t>
    </rPh>
    <phoneticPr fontId="2"/>
  </si>
  <si>
    <t>H30年度</t>
    <rPh sb="3" eb="5">
      <t>ネンド</t>
    </rPh>
    <phoneticPr fontId="2"/>
  </si>
  <si>
    <t>H31年度</t>
    <rPh sb="3" eb="5">
      <t>ネンド</t>
    </rPh>
    <phoneticPr fontId="2"/>
  </si>
  <si>
    <t>H32年度</t>
    <rPh sb="3" eb="5">
      <t>ネンド</t>
    </rPh>
    <phoneticPr fontId="2"/>
  </si>
  <si>
    <t>当月計上（84%）</t>
    <rPh sb="0" eb="2">
      <t>トウゲツ</t>
    </rPh>
    <rPh sb="2" eb="4">
      <t>ケイジョウ</t>
    </rPh>
    <phoneticPr fontId="2"/>
  </si>
  <si>
    <t>当月計上（85%）</t>
    <rPh sb="0" eb="2">
      <t>トウゲツ</t>
    </rPh>
    <rPh sb="2" eb="4">
      <t>ケイジョウ</t>
    </rPh>
    <phoneticPr fontId="2"/>
  </si>
  <si>
    <t>当月計上（86%）</t>
    <rPh sb="0" eb="2">
      <t>トウゲツ</t>
    </rPh>
    <rPh sb="2" eb="4">
      <t>ケイジョウ</t>
    </rPh>
    <phoneticPr fontId="2"/>
  </si>
  <si>
    <t>売上（24%）月末締め翌月末払い</t>
    <rPh sb="0" eb="2">
      <t>ウリアゲ</t>
    </rPh>
    <rPh sb="7" eb="9">
      <t>ゲツマツ</t>
    </rPh>
    <rPh sb="9" eb="10">
      <t>ジ</t>
    </rPh>
    <rPh sb="11" eb="14">
      <t>ヨクゲツマツ</t>
    </rPh>
    <rPh sb="14" eb="15">
      <t>ハラ</t>
    </rPh>
    <phoneticPr fontId="2"/>
  </si>
  <si>
    <t>売上（25%）月末締め翌月末払い</t>
    <rPh sb="0" eb="2">
      <t>ウリアゲ</t>
    </rPh>
    <rPh sb="7" eb="9">
      <t>ゲツマツ</t>
    </rPh>
    <rPh sb="9" eb="10">
      <t>ジ</t>
    </rPh>
    <rPh sb="11" eb="14">
      <t>ヨクゲツマツ</t>
    </rPh>
    <rPh sb="14" eb="15">
      <t>ハラ</t>
    </rPh>
    <phoneticPr fontId="2"/>
  </si>
  <si>
    <t>売上（26%）月末締め翌月末払い</t>
    <rPh sb="0" eb="2">
      <t>ウリアゲ</t>
    </rPh>
    <rPh sb="7" eb="9">
      <t>ゲツマツ</t>
    </rPh>
    <rPh sb="9" eb="10">
      <t>ジ</t>
    </rPh>
    <rPh sb="11" eb="14">
      <t>ヨクゲツマツ</t>
    </rPh>
    <rPh sb="14" eb="15">
      <t>ハラ</t>
    </rPh>
    <phoneticPr fontId="2"/>
  </si>
  <si>
    <t>販管費（ｻｲﾄ６）</t>
    <rPh sb="0" eb="3">
      <t>ハンカンヒ</t>
    </rPh>
    <phoneticPr fontId="2"/>
  </si>
  <si>
    <t>販管費（ｻｲﾄ７）</t>
    <rPh sb="0" eb="3">
      <t>ハンカンヒ</t>
    </rPh>
    <phoneticPr fontId="2"/>
  </si>
  <si>
    <t>販管費（ｻｲﾄ８）</t>
    <rPh sb="0" eb="3">
      <t>ハンカンヒ</t>
    </rPh>
    <phoneticPr fontId="2"/>
  </si>
  <si>
    <t>H28年</t>
    <rPh sb="3" eb="4">
      <t>ネン</t>
    </rPh>
    <phoneticPr fontId="2"/>
  </si>
  <si>
    <t>H29年</t>
    <rPh sb="3" eb="4">
      <t>ネン</t>
    </rPh>
    <phoneticPr fontId="2"/>
  </si>
  <si>
    <t>H30年</t>
    <rPh sb="3" eb="4">
      <t>ネン</t>
    </rPh>
    <phoneticPr fontId="2"/>
  </si>
  <si>
    <t>H31年</t>
    <rPh sb="3" eb="4">
      <t>ネン</t>
    </rPh>
    <phoneticPr fontId="2"/>
  </si>
  <si>
    <t>H32年</t>
    <rPh sb="3" eb="4">
      <t>ネン</t>
    </rPh>
    <phoneticPr fontId="2"/>
  </si>
  <si>
    <t>H28年度</t>
    <rPh sb="3" eb="4">
      <t>ネン</t>
    </rPh>
    <rPh sb="4" eb="5">
      <t>ド</t>
    </rPh>
    <phoneticPr fontId="2"/>
  </si>
  <si>
    <t>H29年度</t>
    <rPh sb="3" eb="4">
      <t>ネン</t>
    </rPh>
    <rPh sb="4" eb="5">
      <t>ド</t>
    </rPh>
    <phoneticPr fontId="2"/>
  </si>
  <si>
    <t>H30年度</t>
    <rPh sb="3" eb="4">
      <t>ネン</t>
    </rPh>
    <rPh sb="4" eb="5">
      <t>ド</t>
    </rPh>
    <phoneticPr fontId="2"/>
  </si>
  <si>
    <t>H31年度</t>
    <rPh sb="3" eb="4">
      <t>ネン</t>
    </rPh>
    <rPh sb="4" eb="5">
      <t>ド</t>
    </rPh>
    <phoneticPr fontId="2"/>
  </si>
  <si>
    <t>H32年度</t>
    <rPh sb="3" eb="4">
      <t>ネン</t>
    </rPh>
    <rPh sb="4" eb="5">
      <t>ド</t>
    </rPh>
    <phoneticPr fontId="2"/>
  </si>
  <si>
    <t>税引後利益</t>
    <rPh sb="0" eb="2">
      <t>ゼイビ</t>
    </rPh>
    <rPh sb="2" eb="3">
      <t>ゴ</t>
    </rPh>
    <rPh sb="3" eb="5">
      <t>リエキ</t>
    </rPh>
    <phoneticPr fontId="2"/>
  </si>
  <si>
    <t>税金</t>
    <rPh sb="0" eb="2">
      <t>ゼイキン</t>
    </rPh>
    <phoneticPr fontId="2"/>
  </si>
  <si>
    <t>税引後CF</t>
    <rPh sb="0" eb="2">
      <t>ゼイビ</t>
    </rPh>
    <rPh sb="2" eb="3">
      <t>ゴ</t>
    </rPh>
    <phoneticPr fontId="2"/>
  </si>
  <si>
    <t>現在価値（税引前）【割引率1.5％】</t>
    <rPh sb="0" eb="2">
      <t>ゲンザイ</t>
    </rPh>
    <rPh sb="2" eb="4">
      <t>カチ</t>
    </rPh>
    <rPh sb="5" eb="7">
      <t>ゼイビ</t>
    </rPh>
    <rPh sb="7" eb="8">
      <t>マエ</t>
    </rPh>
    <rPh sb="10" eb="12">
      <t>ワリビキ</t>
    </rPh>
    <rPh sb="12" eb="13">
      <t>リツ</t>
    </rPh>
    <phoneticPr fontId="2"/>
  </si>
  <si>
    <t>現在価値（税引後）【割引率1.5％】</t>
    <rPh sb="0" eb="2">
      <t>ゲンザイ</t>
    </rPh>
    <rPh sb="2" eb="4">
      <t>カチ</t>
    </rPh>
    <rPh sb="5" eb="7">
      <t>ゼイビ</t>
    </rPh>
    <rPh sb="7" eb="8">
      <t>ゴ</t>
    </rPh>
    <phoneticPr fontId="2"/>
  </si>
  <si>
    <t>事業費算定</t>
    <rPh sb="0" eb="3">
      <t>ジギョウヒ</t>
    </rPh>
    <rPh sb="3" eb="5">
      <t>サンテイ</t>
    </rPh>
    <phoneticPr fontId="2"/>
  </si>
  <si>
    <t>ＤＣＦ方式の評価額（税引前当期利益ベース）</t>
    <rPh sb="3" eb="5">
      <t>ホウシキ</t>
    </rPh>
    <rPh sb="6" eb="9">
      <t>ヒョウカガク</t>
    </rPh>
    <rPh sb="10" eb="12">
      <t>ゼイビキ</t>
    </rPh>
    <rPh sb="12" eb="13">
      <t>マエ</t>
    </rPh>
    <rPh sb="13" eb="15">
      <t>トウキ</t>
    </rPh>
    <rPh sb="15" eb="17">
      <t>リエキ</t>
    </rPh>
    <phoneticPr fontId="10"/>
  </si>
  <si>
    <t>ＤＣＦ方式の評価額（税引後当期利益ベース）</t>
    <rPh sb="3" eb="5">
      <t>ホウシキ</t>
    </rPh>
    <rPh sb="6" eb="9">
      <t>ヒョウカガク</t>
    </rPh>
    <rPh sb="10" eb="12">
      <t>ゼイビキ</t>
    </rPh>
    <rPh sb="12" eb="13">
      <t>ゴ</t>
    </rPh>
    <rPh sb="13" eb="15">
      <t>トウキ</t>
    </rPh>
    <rPh sb="15" eb="17">
      <t>リエキ</t>
    </rPh>
    <phoneticPr fontId="10"/>
  </si>
  <si>
    <t>【千円】</t>
    <rPh sb="1" eb="3">
      <t>センエン</t>
    </rPh>
    <phoneticPr fontId="2"/>
  </si>
  <si>
    <t>ＤＣＦ方式による評価額（税引前当期利益ベース）</t>
    <rPh sb="3" eb="5">
      <t>ホウシキ</t>
    </rPh>
    <rPh sb="8" eb="11">
      <t>ヒョウカガク</t>
    </rPh>
    <rPh sb="12" eb="14">
      <t>ゼイビキ</t>
    </rPh>
    <rPh sb="14" eb="15">
      <t>マエ</t>
    </rPh>
    <rPh sb="15" eb="17">
      <t>トウキ</t>
    </rPh>
    <rPh sb="17" eb="19">
      <t>リエキ</t>
    </rPh>
    <phoneticPr fontId="10"/>
  </si>
  <si>
    <t>純資産方式による評価額</t>
    <rPh sb="0" eb="3">
      <t>ジュンシサン</t>
    </rPh>
    <rPh sb="3" eb="5">
      <t>ホウシキ</t>
    </rPh>
    <rPh sb="8" eb="11">
      <t>ヒョウカガク</t>
    </rPh>
    <phoneticPr fontId="10"/>
  </si>
  <si>
    <t>ＤＣＦ方式を２、純資産方式を１として加重平均で求めた修正評価額</t>
    <rPh sb="3" eb="5">
      <t>ホウシキ</t>
    </rPh>
    <rPh sb="8" eb="11">
      <t>ジュンシサン</t>
    </rPh>
    <rPh sb="11" eb="13">
      <t>ホウシキ</t>
    </rPh>
    <rPh sb="18" eb="20">
      <t>カジュウ</t>
    </rPh>
    <rPh sb="20" eb="22">
      <t>ヘイキン</t>
    </rPh>
    <rPh sb="23" eb="24">
      <t>モト</t>
    </rPh>
    <rPh sb="26" eb="28">
      <t>シュウセイ</t>
    </rPh>
    <rPh sb="28" eb="31">
      <t>ヒョウカガク</t>
    </rPh>
    <phoneticPr fontId="10"/>
  </si>
  <si>
    <t>事業価値の評価額</t>
    <rPh sb="0" eb="2">
      <t>ジギョウ</t>
    </rPh>
    <rPh sb="2" eb="4">
      <t>カチ</t>
    </rPh>
    <rPh sb="5" eb="8">
      <t>ヒョウカガク</t>
    </rPh>
    <phoneticPr fontId="2"/>
  </si>
  <si>
    <t>算入割合</t>
    <rPh sb="0" eb="2">
      <t>サンニュウ</t>
    </rPh>
    <rPh sb="2" eb="4">
      <t>ワリアイ</t>
    </rPh>
    <phoneticPr fontId="2"/>
  </si>
  <si>
    <t>事業価値の範囲（+10％）</t>
    <rPh sb="0" eb="2">
      <t>ジギョウ</t>
    </rPh>
    <rPh sb="2" eb="4">
      <t>カチ</t>
    </rPh>
    <rPh sb="5" eb="7">
      <t>ハンイ</t>
    </rPh>
    <phoneticPr fontId="10"/>
  </si>
  <si>
    <t>事業価値の範囲（-10％）</t>
    <rPh sb="0" eb="2">
      <t>ジギョウ</t>
    </rPh>
    <rPh sb="2" eb="4">
      <t>カチ</t>
    </rPh>
    <rPh sb="5" eb="7">
      <t>ハンイ</t>
    </rPh>
    <phoneticPr fontId="10"/>
  </si>
  <si>
    <t>総合PL</t>
    <rPh sb="0" eb="2">
      <t>ソウゴウ</t>
    </rPh>
    <phoneticPr fontId="2"/>
  </si>
  <si>
    <t>ＤＣＦ方式による評価額（税引後当期利益ベース）</t>
    <rPh sb="3" eb="5">
      <t>ホウシキ</t>
    </rPh>
    <rPh sb="8" eb="11">
      <t>ヒョウカガク</t>
    </rPh>
    <rPh sb="12" eb="14">
      <t>ゼイビキ</t>
    </rPh>
    <rPh sb="14" eb="15">
      <t>ゴ</t>
    </rPh>
    <rPh sb="15" eb="17">
      <t>トウキ</t>
    </rPh>
    <rPh sb="17" eb="19">
      <t>リエキ</t>
    </rPh>
    <phoneticPr fontId="10"/>
  </si>
  <si>
    <t>企業価値A案（税引後）</t>
    <rPh sb="0" eb="2">
      <t>キギョウ</t>
    </rPh>
    <rPh sb="2" eb="4">
      <t>カチ</t>
    </rPh>
    <rPh sb="5" eb="6">
      <t>アン</t>
    </rPh>
    <rPh sb="7" eb="9">
      <t>ゼイビ</t>
    </rPh>
    <rPh sb="9" eb="10">
      <t>ゴ</t>
    </rPh>
    <phoneticPr fontId="2"/>
  </si>
  <si>
    <t>企業価値A案（税引前）</t>
    <rPh sb="0" eb="2">
      <t>キギョウ</t>
    </rPh>
    <rPh sb="2" eb="4">
      <t>カチ</t>
    </rPh>
    <rPh sb="5" eb="6">
      <t>アン</t>
    </rPh>
    <rPh sb="7" eb="9">
      <t>ゼイビ</t>
    </rPh>
    <rPh sb="9" eb="10">
      <t>マエ</t>
    </rPh>
    <phoneticPr fontId="2"/>
  </si>
  <si>
    <t>給排水設備工事</t>
    <rPh sb="0" eb="3">
      <t>キュウハイスイ</t>
    </rPh>
    <rPh sb="3" eb="5">
      <t>セツビ</t>
    </rPh>
    <rPh sb="5" eb="7">
      <t>コウジ</t>
    </rPh>
    <phoneticPr fontId="2"/>
  </si>
  <si>
    <t>電気設備工事</t>
    <rPh sb="0" eb="2">
      <t>デンキ</t>
    </rPh>
    <rPh sb="2" eb="4">
      <t>セツビ</t>
    </rPh>
    <rPh sb="4" eb="6">
      <t>コウジ</t>
    </rPh>
    <phoneticPr fontId="2"/>
  </si>
  <si>
    <t>ガス設備工事</t>
    <rPh sb="2" eb="4">
      <t>セツビ</t>
    </rPh>
    <rPh sb="4" eb="6">
      <t>コウジ</t>
    </rPh>
    <phoneticPr fontId="2"/>
  </si>
  <si>
    <t>基礎設備</t>
    <rPh sb="0" eb="2">
      <t>キソ</t>
    </rPh>
    <rPh sb="2" eb="4">
      <t>セツビ</t>
    </rPh>
    <phoneticPr fontId="2"/>
  </si>
  <si>
    <t>改装工事</t>
    <rPh sb="0" eb="2">
      <t>カイソウ</t>
    </rPh>
    <rPh sb="2" eb="4">
      <t>コウジ</t>
    </rPh>
    <phoneticPr fontId="2"/>
  </si>
  <si>
    <t>屋内改装工事</t>
    <rPh sb="0" eb="2">
      <t>オクナイ</t>
    </rPh>
    <rPh sb="2" eb="4">
      <t>カイソウ</t>
    </rPh>
    <rPh sb="4" eb="6">
      <t>コウジ</t>
    </rPh>
    <phoneticPr fontId="2"/>
  </si>
  <si>
    <t>屋外改装工事</t>
    <rPh sb="0" eb="2">
      <t>オクガイ</t>
    </rPh>
    <rPh sb="2" eb="4">
      <t>カイソウ</t>
    </rPh>
    <rPh sb="4" eb="6">
      <t>コウジ</t>
    </rPh>
    <phoneticPr fontId="2"/>
  </si>
  <si>
    <t>厨房機器</t>
    <rPh sb="0" eb="2">
      <t>チュウボウ</t>
    </rPh>
    <rPh sb="2" eb="4">
      <t>キキ</t>
    </rPh>
    <phoneticPr fontId="2"/>
  </si>
  <si>
    <t>オーブン</t>
    <phoneticPr fontId="2"/>
  </si>
  <si>
    <t>ドゥコン</t>
    <phoneticPr fontId="2"/>
  </si>
  <si>
    <t>ミキサー</t>
    <phoneticPr fontId="2"/>
  </si>
  <si>
    <t>ミニモルダー</t>
    <phoneticPr fontId="2"/>
  </si>
  <si>
    <t>パイローラー</t>
    <phoneticPr fontId="2"/>
  </si>
  <si>
    <t>フリーザー</t>
    <phoneticPr fontId="2"/>
  </si>
  <si>
    <t>冷蔵庫</t>
    <rPh sb="0" eb="3">
      <t>レイゾウコ</t>
    </rPh>
    <phoneticPr fontId="2"/>
  </si>
  <si>
    <t>フライヤー</t>
    <phoneticPr fontId="2"/>
  </si>
  <si>
    <t>コールドテーブル</t>
    <phoneticPr fontId="2"/>
  </si>
  <si>
    <t>作業台</t>
    <rPh sb="0" eb="2">
      <t>サギョウ</t>
    </rPh>
    <rPh sb="2" eb="3">
      <t>ダイ</t>
    </rPh>
    <phoneticPr fontId="2"/>
  </si>
  <si>
    <t>2槽シンク</t>
    <rPh sb="1" eb="2">
      <t>ソウ</t>
    </rPh>
    <phoneticPr fontId="2"/>
  </si>
  <si>
    <t>ガステーブル</t>
    <phoneticPr fontId="2"/>
  </si>
  <si>
    <t>窯前作業台</t>
    <rPh sb="0" eb="1">
      <t>カマ</t>
    </rPh>
    <rPh sb="1" eb="2">
      <t>マエ</t>
    </rPh>
    <rPh sb="2" eb="4">
      <t>サギョウ</t>
    </rPh>
    <rPh sb="4" eb="5">
      <t>ダイ</t>
    </rPh>
    <phoneticPr fontId="2"/>
  </si>
  <si>
    <t>トンボラック</t>
    <phoneticPr fontId="2"/>
  </si>
  <si>
    <t>スーパーフリーザー</t>
    <phoneticPr fontId="2"/>
  </si>
  <si>
    <t>小道具</t>
    <rPh sb="0" eb="3">
      <t>コドウグ</t>
    </rPh>
    <phoneticPr fontId="2"/>
  </si>
  <si>
    <t>運搬等</t>
    <rPh sb="0" eb="2">
      <t>ウンパン</t>
    </rPh>
    <rPh sb="2" eb="3">
      <t>トウ</t>
    </rPh>
    <phoneticPr fontId="2"/>
  </si>
  <si>
    <t>調理道具等</t>
    <rPh sb="0" eb="2">
      <t>チョウリ</t>
    </rPh>
    <rPh sb="2" eb="4">
      <t>ドウグ</t>
    </rPh>
    <rPh sb="4" eb="5">
      <t>トウ</t>
    </rPh>
    <phoneticPr fontId="2"/>
  </si>
  <si>
    <t>ボール</t>
    <phoneticPr fontId="2"/>
  </si>
  <si>
    <t>包丁・まな板</t>
    <rPh sb="0" eb="2">
      <t>ホウチョウ</t>
    </rPh>
    <rPh sb="5" eb="6">
      <t>イタ</t>
    </rPh>
    <phoneticPr fontId="2"/>
  </si>
  <si>
    <t>ネカシ箱</t>
    <rPh sb="3" eb="4">
      <t>ハコ</t>
    </rPh>
    <phoneticPr fontId="2"/>
  </si>
  <si>
    <t>計量秤</t>
    <rPh sb="0" eb="2">
      <t>ケイリョウ</t>
    </rPh>
    <rPh sb="2" eb="3">
      <t>ハカリ</t>
    </rPh>
    <phoneticPr fontId="2"/>
  </si>
  <si>
    <t>天板</t>
    <rPh sb="0" eb="2">
      <t>テンバン</t>
    </rPh>
    <phoneticPr fontId="2"/>
  </si>
  <si>
    <t>食型</t>
    <rPh sb="0" eb="1">
      <t>ショク</t>
    </rPh>
    <rPh sb="1" eb="2">
      <t>ガタ</t>
    </rPh>
    <phoneticPr fontId="2"/>
  </si>
  <si>
    <t>麺棒等</t>
    <rPh sb="0" eb="2">
      <t>メンボウ</t>
    </rPh>
    <rPh sb="2" eb="3">
      <t>トウ</t>
    </rPh>
    <phoneticPr fontId="2"/>
  </si>
  <si>
    <t>販売用具等</t>
    <rPh sb="0" eb="2">
      <t>ハンバイ</t>
    </rPh>
    <rPh sb="2" eb="4">
      <t>ヨウグ</t>
    </rPh>
    <rPh sb="4" eb="5">
      <t>トウ</t>
    </rPh>
    <phoneticPr fontId="2"/>
  </si>
  <si>
    <t>レジ（POS)</t>
    <phoneticPr fontId="2"/>
  </si>
  <si>
    <t>セルフ皿</t>
    <rPh sb="3" eb="4">
      <t>ザラ</t>
    </rPh>
    <phoneticPr fontId="2"/>
  </si>
  <si>
    <t>トング</t>
    <phoneticPr fontId="2"/>
  </si>
  <si>
    <t>プライス等</t>
    <rPh sb="4" eb="5">
      <t>トウ</t>
    </rPh>
    <phoneticPr fontId="2"/>
  </si>
  <si>
    <t>ユニフォーム</t>
    <phoneticPr fontId="2"/>
  </si>
  <si>
    <t>店舗費用</t>
    <rPh sb="0" eb="2">
      <t>テンポ</t>
    </rPh>
    <rPh sb="2" eb="4">
      <t>ヒヨウ</t>
    </rPh>
    <phoneticPr fontId="2"/>
  </si>
  <si>
    <t>敷金【保証金】</t>
    <rPh sb="0" eb="2">
      <t>シキキン</t>
    </rPh>
    <rPh sb="3" eb="6">
      <t>ホショウキン</t>
    </rPh>
    <phoneticPr fontId="2"/>
  </si>
  <si>
    <t>仲介料等</t>
    <rPh sb="0" eb="2">
      <t>チュウカイ</t>
    </rPh>
    <rPh sb="2" eb="3">
      <t>リョウ</t>
    </rPh>
    <rPh sb="3" eb="4">
      <t>トウ</t>
    </rPh>
    <phoneticPr fontId="2"/>
  </si>
  <si>
    <t>前払家賃</t>
    <rPh sb="0" eb="2">
      <t>マエバラ</t>
    </rPh>
    <rPh sb="2" eb="4">
      <t>ヤチン</t>
    </rPh>
    <phoneticPr fontId="2"/>
  </si>
  <si>
    <t>日商</t>
    <rPh sb="0" eb="2">
      <t>ニッショウ</t>
    </rPh>
    <phoneticPr fontId="2"/>
  </si>
  <si>
    <t>顧客数（人/日）</t>
    <rPh sb="0" eb="3">
      <t>コキャクスウ</t>
    </rPh>
    <rPh sb="4" eb="5">
      <t>ニン</t>
    </rPh>
    <rPh sb="6" eb="7">
      <t>ニチ</t>
    </rPh>
    <phoneticPr fontId="2"/>
  </si>
  <si>
    <t>パン製造数（個/日）</t>
    <rPh sb="2" eb="4">
      <t>セイゾウ</t>
    </rPh>
    <rPh sb="4" eb="5">
      <t>スウ</t>
    </rPh>
    <rPh sb="6" eb="7">
      <t>コ</t>
    </rPh>
    <rPh sb="8" eb="9">
      <t>ニチ</t>
    </rPh>
    <phoneticPr fontId="2"/>
  </si>
  <si>
    <t>坪数</t>
    <rPh sb="0" eb="2">
      <t>ツボスウ</t>
    </rPh>
    <phoneticPr fontId="2"/>
  </si>
  <si>
    <t>業種・業態</t>
    <rPh sb="0" eb="2">
      <t>ギョウシュ</t>
    </rPh>
    <rPh sb="3" eb="5">
      <t>ギョウタイ</t>
    </rPh>
    <phoneticPr fontId="2"/>
  </si>
  <si>
    <t>チェーン総売上</t>
    <rPh sb="4" eb="5">
      <t>ソウ</t>
    </rPh>
    <rPh sb="5" eb="6">
      <t>ウ</t>
    </rPh>
    <rPh sb="6" eb="7">
      <t>ア</t>
    </rPh>
    <phoneticPr fontId="2"/>
  </si>
  <si>
    <t>FC店舗</t>
    <rPh sb="2" eb="4">
      <t>テンポ</t>
    </rPh>
    <phoneticPr fontId="2"/>
  </si>
  <si>
    <t>直営店舗</t>
    <rPh sb="0" eb="2">
      <t>チョクエイ</t>
    </rPh>
    <rPh sb="2" eb="4">
      <t>テンポ</t>
    </rPh>
    <phoneticPr fontId="2"/>
  </si>
  <si>
    <t>開業資金</t>
    <rPh sb="0" eb="2">
      <t>カイギョウ</t>
    </rPh>
    <rPh sb="2" eb="4">
      <t>シキン</t>
    </rPh>
    <phoneticPr fontId="2"/>
  </si>
  <si>
    <t>標準建坪</t>
    <rPh sb="0" eb="2">
      <t>ヒョウジュン</t>
    </rPh>
    <rPh sb="2" eb="4">
      <t>タテツボ</t>
    </rPh>
    <phoneticPr fontId="2"/>
  </si>
  <si>
    <t>敷地面積</t>
    <rPh sb="0" eb="2">
      <t>シキチ</t>
    </rPh>
    <rPh sb="2" eb="4">
      <t>メンセキ</t>
    </rPh>
    <phoneticPr fontId="2"/>
  </si>
  <si>
    <t>FC店舗募集要項</t>
    <rPh sb="2" eb="4">
      <t>テンポ</t>
    </rPh>
    <rPh sb="4" eb="6">
      <t>ボシュウ</t>
    </rPh>
    <rPh sb="6" eb="8">
      <t>ヨウコウ</t>
    </rPh>
    <phoneticPr fontId="2"/>
  </si>
  <si>
    <t>FC名</t>
    <rPh sb="2" eb="3">
      <t>テンメイ</t>
    </rPh>
    <phoneticPr fontId="2"/>
  </si>
  <si>
    <t>基礎情報</t>
    <rPh sb="0" eb="2">
      <t>キソ</t>
    </rPh>
    <rPh sb="2" eb="4">
      <t>ジョウホウ</t>
    </rPh>
    <phoneticPr fontId="2"/>
  </si>
  <si>
    <t>FC契約情報</t>
    <rPh sb="2" eb="4">
      <t>ケイヤク</t>
    </rPh>
    <rPh sb="4" eb="6">
      <t>ジョウホウ</t>
    </rPh>
    <phoneticPr fontId="2"/>
  </si>
  <si>
    <t>ロイヤリティ（総売）</t>
    <rPh sb="7" eb="8">
      <t>ソウ</t>
    </rPh>
    <rPh sb="8" eb="9">
      <t>ウ</t>
    </rPh>
    <phoneticPr fontId="2"/>
  </si>
  <si>
    <t>契約期間</t>
    <rPh sb="0" eb="2">
      <t>ケイヤク</t>
    </rPh>
    <rPh sb="2" eb="4">
      <t>キカン</t>
    </rPh>
    <phoneticPr fontId="2"/>
  </si>
  <si>
    <t>加盟モデル</t>
    <rPh sb="0" eb="2">
      <t>カメイ</t>
    </rPh>
    <phoneticPr fontId="2"/>
  </si>
  <si>
    <t>加盟金</t>
    <rPh sb="0" eb="2">
      <t>カメイ</t>
    </rPh>
    <rPh sb="2" eb="3">
      <t>キン</t>
    </rPh>
    <phoneticPr fontId="2"/>
  </si>
  <si>
    <t>保証金</t>
    <rPh sb="0" eb="3">
      <t>ホショウキン</t>
    </rPh>
    <phoneticPr fontId="2"/>
  </si>
  <si>
    <t>開業日数</t>
    <rPh sb="0" eb="2">
      <t>カイギョウ</t>
    </rPh>
    <rPh sb="2" eb="4">
      <t>ニッスウ</t>
    </rPh>
    <phoneticPr fontId="2"/>
  </si>
  <si>
    <t>収支モデル</t>
    <rPh sb="0" eb="2">
      <t>シュウシ</t>
    </rPh>
    <phoneticPr fontId="2"/>
  </si>
  <si>
    <t>売上（月）</t>
    <rPh sb="0" eb="2">
      <t>ウリアゲ</t>
    </rPh>
    <rPh sb="3" eb="4">
      <t>ゲツ</t>
    </rPh>
    <phoneticPr fontId="2"/>
  </si>
  <si>
    <t>原価（月）</t>
    <rPh sb="0" eb="2">
      <t>ゲンカ</t>
    </rPh>
    <rPh sb="3" eb="4">
      <t>ツキ</t>
    </rPh>
    <phoneticPr fontId="2"/>
  </si>
  <si>
    <t>原価率</t>
    <rPh sb="0" eb="2">
      <t>ゲンカ</t>
    </rPh>
    <rPh sb="2" eb="3">
      <t>リツ</t>
    </rPh>
    <phoneticPr fontId="2"/>
  </si>
  <si>
    <t>人件費率</t>
    <rPh sb="0" eb="3">
      <t>ジンケンヒ</t>
    </rPh>
    <rPh sb="3" eb="4">
      <t>リツ</t>
    </rPh>
    <phoneticPr fontId="2"/>
  </si>
  <si>
    <t>人件費（月）</t>
    <rPh sb="0" eb="3">
      <t>ジンケンヒ</t>
    </rPh>
    <rPh sb="4" eb="5">
      <t>ツキ</t>
    </rPh>
    <phoneticPr fontId="2"/>
  </si>
  <si>
    <t>賃料</t>
    <rPh sb="0" eb="2">
      <t>チンリョウ</t>
    </rPh>
    <phoneticPr fontId="2"/>
  </si>
  <si>
    <t>光熱費</t>
    <rPh sb="0" eb="3">
      <t>コウネツヒ</t>
    </rPh>
    <phoneticPr fontId="2"/>
  </si>
  <si>
    <t>その他経費</t>
    <rPh sb="2" eb="3">
      <t>ホカ</t>
    </rPh>
    <rPh sb="3" eb="5">
      <t>ケイヒ</t>
    </rPh>
    <phoneticPr fontId="2"/>
  </si>
  <si>
    <t>営業利益</t>
    <rPh sb="0" eb="2">
      <t>エイギョウ</t>
    </rPh>
    <rPh sb="2" eb="4">
      <t>リエキ</t>
    </rPh>
    <phoneticPr fontId="2"/>
  </si>
  <si>
    <t>経費率</t>
    <rPh sb="0" eb="2">
      <t>ケイヒ</t>
    </rPh>
    <rPh sb="2" eb="3">
      <t>リツ</t>
    </rPh>
    <phoneticPr fontId="2"/>
  </si>
  <si>
    <t>営業利益率</t>
    <rPh sb="0" eb="2">
      <t>エイギョウ</t>
    </rPh>
    <rPh sb="2" eb="4">
      <t>リエキ</t>
    </rPh>
    <rPh sb="4" eb="5">
      <t>リツ</t>
    </rPh>
    <phoneticPr fontId="2"/>
  </si>
  <si>
    <t>投資回収（年）</t>
    <rPh sb="0" eb="2">
      <t>トウシ</t>
    </rPh>
    <rPh sb="2" eb="4">
      <t>カイシュウ</t>
    </rPh>
    <rPh sb="5" eb="6">
      <t>ネン</t>
    </rPh>
    <phoneticPr fontId="2"/>
  </si>
  <si>
    <t>ベーカリーレストランサンマルク</t>
    <phoneticPr fontId="2"/>
  </si>
  <si>
    <t>サンマルクHD</t>
    <phoneticPr fontId="2"/>
  </si>
  <si>
    <t>3800億円</t>
    <rPh sb="4" eb="6">
      <t>オクエン</t>
    </rPh>
    <phoneticPr fontId="2"/>
  </si>
  <si>
    <t>8年</t>
    <rPh sb="1" eb="2">
      <t>ネン</t>
    </rPh>
    <phoneticPr fontId="2"/>
  </si>
  <si>
    <t>5年</t>
    <rPh sb="1" eb="2">
      <t>ネン</t>
    </rPh>
    <phoneticPr fontId="2"/>
  </si>
  <si>
    <t>-</t>
    <phoneticPr fontId="2"/>
  </si>
  <si>
    <t>込</t>
    <rPh sb="0" eb="1">
      <t>コミ</t>
    </rPh>
    <phoneticPr fontId="2"/>
  </si>
  <si>
    <t>PRONT</t>
    <phoneticPr fontId="2"/>
  </si>
  <si>
    <t>カフェ＆バー</t>
    <phoneticPr fontId="2"/>
  </si>
  <si>
    <t>167億円</t>
    <rPh sb="3" eb="5">
      <t>オクエン</t>
    </rPh>
    <phoneticPr fontId="2"/>
  </si>
  <si>
    <t>さかい珈琲</t>
    <rPh sb="3" eb="5">
      <t>コーヒー</t>
    </rPh>
    <phoneticPr fontId="2"/>
  </si>
  <si>
    <t>郊外型純喫茶店</t>
    <rPh sb="0" eb="3">
      <t>コウガイガタ</t>
    </rPh>
    <rPh sb="3" eb="4">
      <t>ジュン</t>
    </rPh>
    <rPh sb="4" eb="7">
      <t>キッサテン</t>
    </rPh>
    <phoneticPr fontId="2"/>
  </si>
  <si>
    <t>2.1億円</t>
    <rPh sb="3" eb="5">
      <t>オクエン</t>
    </rPh>
    <phoneticPr fontId="2"/>
  </si>
  <si>
    <t>席数×2,000円</t>
    <rPh sb="0" eb="2">
      <t>セキスウ</t>
    </rPh>
    <rPh sb="8" eb="9">
      <t>エン</t>
    </rPh>
    <phoneticPr fontId="2"/>
  </si>
  <si>
    <t>珈琲館</t>
    <rPh sb="0" eb="2">
      <t>コーヒー</t>
    </rPh>
    <rPh sb="2" eb="3">
      <t>カン</t>
    </rPh>
    <phoneticPr fontId="2"/>
  </si>
  <si>
    <t>フルサービス喫茶</t>
    <rPh sb="6" eb="8">
      <t>キッサ</t>
    </rPh>
    <phoneticPr fontId="2"/>
  </si>
  <si>
    <t>30,000円＋座席×200円</t>
    <rPh sb="6" eb="7">
      <t>エン</t>
    </rPh>
    <rPh sb="8" eb="10">
      <t>ザセキ</t>
    </rPh>
    <rPh sb="14" eb="15">
      <t>エン</t>
    </rPh>
    <phoneticPr fontId="2"/>
  </si>
  <si>
    <t>3年</t>
    <rPh sb="1" eb="2">
      <t>ネン</t>
    </rPh>
    <phoneticPr fontId="2"/>
  </si>
  <si>
    <t>イタリアントマト
カフェジュニア</t>
    <phoneticPr fontId="2"/>
  </si>
  <si>
    <t>イタリアンカフェ</t>
    <phoneticPr fontId="2"/>
  </si>
  <si>
    <t>店舗設備込</t>
    <rPh sb="0" eb="2">
      <t>テンポ</t>
    </rPh>
    <rPh sb="2" eb="4">
      <t>セツビ</t>
    </rPh>
    <rPh sb="4" eb="5">
      <t>コミ</t>
    </rPh>
    <phoneticPr fontId="2"/>
  </si>
  <si>
    <t>ピザーラ</t>
    <phoneticPr fontId="2"/>
  </si>
  <si>
    <t>ピザ</t>
    <phoneticPr fontId="2"/>
  </si>
  <si>
    <t>2％（15万円上限）</t>
    <rPh sb="5" eb="7">
      <t>マンエン</t>
    </rPh>
    <rPh sb="7" eb="9">
      <t>ジョウゲン</t>
    </rPh>
    <phoneticPr fontId="2"/>
  </si>
  <si>
    <t>フランチャイズWEBレポートhttp://fc.dai.co.jp/より</t>
    <phoneticPr fontId="2"/>
  </si>
  <si>
    <t>FC店舗　モデル数値</t>
    <rPh sb="2" eb="4">
      <t>テンポ</t>
    </rPh>
    <rPh sb="8" eb="10">
      <t>スウチ</t>
    </rPh>
    <phoneticPr fontId="2"/>
  </si>
  <si>
    <t>店舗型</t>
    <rPh sb="0" eb="2">
      <t>テンポ</t>
    </rPh>
    <rPh sb="2" eb="3">
      <t>ガタ</t>
    </rPh>
    <phoneticPr fontId="2"/>
  </si>
  <si>
    <t>郊外型</t>
    <rPh sb="0" eb="3">
      <t>コウガイガタ</t>
    </rPh>
    <phoneticPr fontId="2"/>
  </si>
  <si>
    <t>都市型</t>
    <rPh sb="0" eb="3">
      <t>トシガタ</t>
    </rPh>
    <phoneticPr fontId="2"/>
  </si>
  <si>
    <t>減価償却費</t>
    <rPh sb="0" eb="2">
      <t>ゲンカ</t>
    </rPh>
    <rPh sb="2" eb="4">
      <t>ショウキャク</t>
    </rPh>
    <rPh sb="4" eb="5">
      <t>ヒ</t>
    </rPh>
    <phoneticPr fontId="2"/>
  </si>
  <si>
    <t>減価償却費（8年償却）</t>
    <rPh sb="0" eb="2">
      <t>ゲンカ</t>
    </rPh>
    <rPh sb="2" eb="4">
      <t>ショウキャク</t>
    </rPh>
    <rPh sb="4" eb="5">
      <t>ヒ</t>
    </rPh>
    <rPh sb="7" eb="8">
      <t>ネン</t>
    </rPh>
    <rPh sb="8" eb="10">
      <t>ショウキャク</t>
    </rPh>
    <phoneticPr fontId="2"/>
  </si>
  <si>
    <t>FC店舗　モデル数値　参考数値</t>
    <rPh sb="2" eb="4">
      <t>テンポ</t>
    </rPh>
    <rPh sb="8" eb="10">
      <t>スウチ</t>
    </rPh>
    <rPh sb="11" eb="13">
      <t>サンコウ</t>
    </rPh>
    <rPh sb="13" eb="15">
      <t>スウチ</t>
    </rPh>
    <phoneticPr fontId="2"/>
  </si>
  <si>
    <t>店舗投資額</t>
    <rPh sb="0" eb="2">
      <t>テンポ</t>
    </rPh>
    <rPh sb="2" eb="4">
      <t>トウシ</t>
    </rPh>
    <rPh sb="4" eb="5">
      <t>ガク</t>
    </rPh>
    <phoneticPr fontId="2"/>
  </si>
  <si>
    <t>郊外型</t>
    <rPh sb="0" eb="3">
      <t>コウガイガタ</t>
    </rPh>
    <phoneticPr fontId="2"/>
  </si>
  <si>
    <t>都市型</t>
    <rPh sb="0" eb="3">
      <t>トシガタ</t>
    </rPh>
    <phoneticPr fontId="2"/>
  </si>
  <si>
    <t>サテライト型</t>
    <rPh sb="5" eb="6">
      <t>ガタ</t>
    </rPh>
    <phoneticPr fontId="2"/>
  </si>
  <si>
    <t>SC併設型</t>
    <rPh sb="2" eb="5">
      <t>ヘイセツガタ</t>
    </rPh>
    <phoneticPr fontId="2"/>
  </si>
  <si>
    <t>減価償却費</t>
    <rPh sb="0" eb="2">
      <t>ゲンカ</t>
    </rPh>
    <rPh sb="2" eb="4">
      <t>ショウキャク</t>
    </rPh>
    <rPh sb="4" eb="5">
      <t>ヒ</t>
    </rPh>
    <phoneticPr fontId="2"/>
  </si>
  <si>
    <t>店舗管理費</t>
    <rPh sb="0" eb="2">
      <t>テンポ</t>
    </rPh>
    <rPh sb="2" eb="5">
      <t>カンリヒ</t>
    </rPh>
    <phoneticPr fontId="2"/>
  </si>
  <si>
    <t>本部管理費</t>
    <rPh sb="0" eb="2">
      <t>ホンブ</t>
    </rPh>
    <rPh sb="2" eb="5">
      <t>カンリヒ</t>
    </rPh>
    <phoneticPr fontId="2"/>
  </si>
  <si>
    <t>初期</t>
    <rPh sb="0" eb="2">
      <t>ショキ</t>
    </rPh>
    <phoneticPr fontId="2"/>
  </si>
  <si>
    <t>家賃保証金</t>
    <rPh sb="0" eb="2">
      <t>ヤチン</t>
    </rPh>
    <rPh sb="2" eb="4">
      <t>ホショウ</t>
    </rPh>
    <rPh sb="4" eb="5">
      <t>キン</t>
    </rPh>
    <phoneticPr fontId="2"/>
  </si>
  <si>
    <t>家賃月額</t>
    <rPh sb="0" eb="2">
      <t>ヤチン</t>
    </rPh>
    <rPh sb="2" eb="4">
      <t>ゲツガク</t>
    </rPh>
    <phoneticPr fontId="2"/>
  </si>
  <si>
    <t>営業権買取等</t>
    <rPh sb="0" eb="3">
      <t>エイギョウケン</t>
    </rPh>
    <rPh sb="3" eb="4">
      <t>カ</t>
    </rPh>
    <rPh sb="4" eb="5">
      <t>ト</t>
    </rPh>
    <rPh sb="5" eb="6">
      <t>トウ</t>
    </rPh>
    <phoneticPr fontId="2"/>
  </si>
  <si>
    <t>直営</t>
    <rPh sb="0" eb="2">
      <t>チョクエイ</t>
    </rPh>
    <phoneticPr fontId="2"/>
  </si>
  <si>
    <t>FC</t>
    <phoneticPr fontId="2"/>
  </si>
  <si>
    <t>保証金</t>
    <rPh sb="0" eb="3">
      <t>ホショウキン</t>
    </rPh>
    <phoneticPr fontId="2"/>
  </si>
  <si>
    <t>投資等</t>
    <rPh sb="0" eb="2">
      <t>トウシ</t>
    </rPh>
    <rPh sb="2" eb="3">
      <t>トウ</t>
    </rPh>
    <phoneticPr fontId="2"/>
  </si>
  <si>
    <t>営業権買取</t>
    <rPh sb="0" eb="3">
      <t>エイギョウケン</t>
    </rPh>
    <rPh sb="3" eb="4">
      <t>カ</t>
    </rPh>
    <rPh sb="4" eb="5">
      <t>トリ</t>
    </rPh>
    <phoneticPr fontId="2"/>
  </si>
  <si>
    <t>　　毎月分返済額</t>
    <phoneticPr fontId="15"/>
  </si>
  <si>
    <t>回数</t>
  </si>
  <si>
    <t>返済日</t>
  </si>
  <si>
    <t>当月返済額</t>
  </si>
  <si>
    <t>元本　</t>
    <phoneticPr fontId="15"/>
  </si>
  <si>
    <t>利息　</t>
    <phoneticPr fontId="15"/>
  </si>
  <si>
    <t>日数</t>
    <rPh sb="0" eb="2">
      <t>ニッスウ</t>
    </rPh>
    <phoneticPr fontId="15"/>
  </si>
  <si>
    <t>合計　</t>
    <phoneticPr fontId="15"/>
  </si>
  <si>
    <t>残高　</t>
    <phoneticPr fontId="15"/>
  </si>
  <si>
    <t xml:space="preserve"> 合 計</t>
  </si>
  <si>
    <t>合計</t>
    <rPh sb="0" eb="2">
      <t>ゴウケイ</t>
    </rPh>
    <phoneticPr fontId="15"/>
  </si>
  <si>
    <t>　　毎月分返済額</t>
    <phoneticPr fontId="15"/>
  </si>
  <si>
    <t>利息　</t>
    <phoneticPr fontId="15"/>
  </si>
  <si>
    <t>合計　</t>
    <phoneticPr fontId="15"/>
  </si>
  <si>
    <t>残高　</t>
    <phoneticPr fontId="15"/>
  </si>
  <si>
    <t>元本　</t>
    <phoneticPr fontId="15"/>
  </si>
  <si>
    <t>回数</t>
    <phoneticPr fontId="15"/>
  </si>
  <si>
    <t>返済日</t>
    <phoneticPr fontId="15"/>
  </si>
  <si>
    <t>当月返済額</t>
    <phoneticPr fontId="15"/>
  </si>
  <si>
    <t>流動資産合計</t>
  </si>
  <si>
    <t>流動負債合計</t>
  </si>
  <si>
    <t>固定負債合計</t>
  </si>
  <si>
    <t>現預金</t>
    <rPh sb="0" eb="3">
      <t>ゲンヨキン</t>
    </rPh>
    <phoneticPr fontId="2"/>
  </si>
  <si>
    <t>売掛金</t>
    <rPh sb="0" eb="2">
      <t>ウリカケ</t>
    </rPh>
    <rPh sb="2" eb="3">
      <t>キン</t>
    </rPh>
    <phoneticPr fontId="2"/>
  </si>
  <si>
    <t>買掛金</t>
    <rPh sb="0" eb="3">
      <t>カイカケキン</t>
    </rPh>
    <phoneticPr fontId="2"/>
  </si>
  <si>
    <t>未払金</t>
    <rPh sb="0" eb="2">
      <t>ミハラ</t>
    </rPh>
    <rPh sb="2" eb="3">
      <t>キン</t>
    </rPh>
    <phoneticPr fontId="2"/>
  </si>
  <si>
    <t>家賃保証金</t>
    <rPh sb="0" eb="2">
      <t>ヤチン</t>
    </rPh>
    <rPh sb="2" eb="4">
      <t>ホショウ</t>
    </rPh>
    <rPh sb="4" eb="5">
      <t>キン</t>
    </rPh>
    <phoneticPr fontId="2"/>
  </si>
  <si>
    <t>新規店舗投資</t>
    <rPh sb="0" eb="2">
      <t>シンキ</t>
    </rPh>
    <rPh sb="2" eb="4">
      <t>テンポ</t>
    </rPh>
    <rPh sb="4" eb="6">
      <t>トウシ</t>
    </rPh>
    <phoneticPr fontId="2"/>
  </si>
  <si>
    <t>固定資産合計</t>
    <rPh sb="0" eb="2">
      <t>コテイ</t>
    </rPh>
    <rPh sb="2" eb="4">
      <t>シサン</t>
    </rPh>
    <rPh sb="4" eb="6">
      <t>ゴウケイ</t>
    </rPh>
    <phoneticPr fontId="2"/>
  </si>
  <si>
    <t>金融借入</t>
    <rPh sb="0" eb="2">
      <t>キンユウ</t>
    </rPh>
    <rPh sb="2" eb="4">
      <t>カリイレ</t>
    </rPh>
    <phoneticPr fontId="2"/>
  </si>
  <si>
    <t>資本金</t>
    <rPh sb="0" eb="3">
      <t>シホンキン</t>
    </rPh>
    <phoneticPr fontId="2"/>
  </si>
  <si>
    <t>投資等</t>
    <rPh sb="0" eb="2">
      <t>トウシ</t>
    </rPh>
    <rPh sb="2" eb="3">
      <t>トウ</t>
    </rPh>
    <phoneticPr fontId="2"/>
  </si>
  <si>
    <t>未処分利益</t>
    <rPh sb="0" eb="3">
      <t>ミショブン</t>
    </rPh>
    <rPh sb="3" eb="5">
      <t>リエキ</t>
    </rPh>
    <phoneticPr fontId="2"/>
  </si>
  <si>
    <t>借方</t>
    <rPh sb="0" eb="2">
      <t>カリカタ</t>
    </rPh>
    <phoneticPr fontId="2"/>
  </si>
  <si>
    <t>貸方</t>
    <rPh sb="0" eb="2">
      <t>カシカタ</t>
    </rPh>
    <phoneticPr fontId="2"/>
  </si>
  <si>
    <t>営業権</t>
    <rPh sb="0" eb="3">
      <t>エイギョウケン</t>
    </rPh>
    <phoneticPr fontId="2"/>
  </si>
  <si>
    <t>FC本部投資</t>
    <rPh sb="2" eb="4">
      <t>ホンブ</t>
    </rPh>
    <rPh sb="4" eb="6">
      <t>トウシ</t>
    </rPh>
    <phoneticPr fontId="2"/>
  </si>
  <si>
    <t>H23年度　B/S</t>
    <rPh sb="3" eb="4">
      <t>ネン</t>
    </rPh>
    <rPh sb="4" eb="5">
      <t>ド</t>
    </rPh>
    <phoneticPr fontId="2"/>
  </si>
  <si>
    <t>H24年度　B/S</t>
    <rPh sb="3" eb="4">
      <t>ネン</t>
    </rPh>
    <rPh sb="4" eb="5">
      <t>ド</t>
    </rPh>
    <phoneticPr fontId="2"/>
  </si>
  <si>
    <t>H25年度　B/S</t>
    <rPh sb="3" eb="4">
      <t>ネン</t>
    </rPh>
    <rPh sb="4" eb="5">
      <t>ド</t>
    </rPh>
    <phoneticPr fontId="2"/>
  </si>
  <si>
    <t>H26年度　B/S</t>
    <rPh sb="3" eb="4">
      <t>ネン</t>
    </rPh>
    <rPh sb="4" eb="5">
      <t>ド</t>
    </rPh>
    <phoneticPr fontId="2"/>
  </si>
  <si>
    <t>H27年度　B/S</t>
    <rPh sb="3" eb="4">
      <t>ネン</t>
    </rPh>
    <rPh sb="4" eb="5">
      <t>ド</t>
    </rPh>
    <phoneticPr fontId="2"/>
  </si>
  <si>
    <t>流動資産合計</t>
    <phoneticPr fontId="2"/>
  </si>
  <si>
    <t>流動負債合計</t>
    <phoneticPr fontId="2"/>
  </si>
  <si>
    <t>固定負債合計</t>
    <phoneticPr fontId="2"/>
  </si>
  <si>
    <t>H28年度　B/S</t>
    <rPh sb="3" eb="4">
      <t>ネン</t>
    </rPh>
    <rPh sb="4" eb="5">
      <t>ド</t>
    </rPh>
    <phoneticPr fontId="2"/>
  </si>
  <si>
    <t>H29年度　B/S</t>
    <rPh sb="3" eb="4">
      <t>ネン</t>
    </rPh>
    <rPh sb="4" eb="5">
      <t>ド</t>
    </rPh>
    <phoneticPr fontId="2"/>
  </si>
  <si>
    <t>H30年度　B/S</t>
    <rPh sb="3" eb="4">
      <t>ネン</t>
    </rPh>
    <rPh sb="4" eb="5">
      <t>ド</t>
    </rPh>
    <phoneticPr fontId="2"/>
  </si>
  <si>
    <t>H31年度　B/S</t>
    <rPh sb="3" eb="4">
      <t>ネン</t>
    </rPh>
    <rPh sb="4" eb="5">
      <t>ド</t>
    </rPh>
    <phoneticPr fontId="2"/>
  </si>
  <si>
    <t>H32年度　B/S</t>
    <rPh sb="3" eb="4">
      <t>ネン</t>
    </rPh>
    <rPh sb="4" eb="5">
      <t>ド</t>
    </rPh>
    <phoneticPr fontId="2"/>
  </si>
  <si>
    <t>営業権減累額</t>
    <rPh sb="0" eb="3">
      <t>エイギョウケン</t>
    </rPh>
    <rPh sb="3" eb="4">
      <t>ゲン</t>
    </rPh>
    <rPh sb="4" eb="5">
      <t>ルイ</t>
    </rPh>
    <rPh sb="5" eb="6">
      <t>ガク</t>
    </rPh>
    <phoneticPr fontId="2"/>
  </si>
  <si>
    <t>投資減償累</t>
    <rPh sb="0" eb="2">
      <t>トウシ</t>
    </rPh>
    <rPh sb="2" eb="3">
      <t>ゲン</t>
    </rPh>
    <rPh sb="3" eb="4">
      <t>ショウ</t>
    </rPh>
    <rPh sb="4" eb="5">
      <t>ルイ</t>
    </rPh>
    <phoneticPr fontId="2"/>
  </si>
  <si>
    <t>総売上(前年比）</t>
    <rPh sb="0" eb="1">
      <t>ソウ</t>
    </rPh>
    <rPh sb="1" eb="2">
      <t>ウ</t>
    </rPh>
    <rPh sb="2" eb="3">
      <t>ア</t>
    </rPh>
    <rPh sb="4" eb="7">
      <t>ゼンネンヒ</t>
    </rPh>
    <phoneticPr fontId="2"/>
  </si>
  <si>
    <t>Phase 1：基盤構築フェーズ</t>
    <rPh sb="8" eb="12">
      <t>キバンコウチクキ</t>
    </rPh>
    <phoneticPr fontId="2"/>
  </si>
  <si>
    <t>Phase 2：高成長フェーズ（目標は100%成長）</t>
    <rPh sb="8" eb="9">
      <t>タカ</t>
    </rPh>
    <rPh sb="9" eb="11">
      <t>セイチョウ</t>
    </rPh>
    <rPh sb="16" eb="18">
      <t>モクヒョウ</t>
    </rPh>
    <rPh sb="23" eb="25">
      <t>セイチョウ</t>
    </rPh>
    <phoneticPr fontId="2"/>
  </si>
  <si>
    <t>Phase3：安定成長フェーズ（目標は50%成長）</t>
    <rPh sb="7" eb="11">
      <t>アンテイセイチョウ</t>
    </rPh>
    <rPh sb="16" eb="18">
      <t>モクヒョウ</t>
    </rPh>
    <rPh sb="22" eb="24">
      <t>セイチョウ</t>
    </rPh>
    <phoneticPr fontId="2"/>
  </si>
  <si>
    <t>Phase4：海外進出基盤構築フェーズ</t>
    <rPh sb="7" eb="9">
      <t>カイガイジュンビ</t>
    </rPh>
    <rPh sb="9" eb="11">
      <t>シンシュツ</t>
    </rPh>
    <rPh sb="11" eb="13">
      <t>キバン</t>
    </rPh>
    <rPh sb="13" eb="15">
      <t>コウチク</t>
    </rPh>
    <phoneticPr fontId="2"/>
  </si>
  <si>
    <t>Phase5：海外成長フェーズ</t>
    <rPh sb="7" eb="9">
      <t>カイガイ</t>
    </rPh>
    <rPh sb="9" eb="11">
      <t>セイチョウ</t>
    </rPh>
    <phoneticPr fontId="2"/>
  </si>
  <si>
    <t>Phase6：海外安定成長フェーズ</t>
    <rPh sb="7" eb="9">
      <t>カイガイ</t>
    </rPh>
    <rPh sb="9" eb="11">
      <t>アンテイ</t>
    </rPh>
    <rPh sb="11" eb="13">
      <t>セイチョウ</t>
    </rPh>
    <phoneticPr fontId="2"/>
  </si>
  <si>
    <t>月平均売上</t>
    <rPh sb="0" eb="1">
      <t>ツキ</t>
    </rPh>
    <rPh sb="1" eb="5">
      <t>ヘイキンウリアゲ</t>
    </rPh>
    <phoneticPr fontId="2"/>
  </si>
  <si>
    <t>3-5</t>
    <phoneticPr fontId="2"/>
  </si>
  <si>
    <t>6-8</t>
    <phoneticPr fontId="2"/>
  </si>
  <si>
    <t>9-11</t>
    <phoneticPr fontId="2"/>
  </si>
  <si>
    <t>12-2</t>
    <phoneticPr fontId="2"/>
  </si>
  <si>
    <t>都市型</t>
    <rPh sb="0" eb="2">
      <t>トシ</t>
    </rPh>
    <rPh sb="2" eb="3">
      <t>カタ</t>
    </rPh>
    <phoneticPr fontId="2"/>
  </si>
  <si>
    <t>サテライト型</t>
    <rPh sb="5" eb="6">
      <t>カタ</t>
    </rPh>
    <phoneticPr fontId="2"/>
  </si>
  <si>
    <t>郊外型</t>
    <rPh sb="0" eb="2">
      <t>コウガイ</t>
    </rPh>
    <rPh sb="2" eb="3">
      <t>カタ</t>
    </rPh>
    <phoneticPr fontId="2"/>
  </si>
  <si>
    <t>SC内</t>
    <rPh sb="2" eb="3">
      <t>ナイ</t>
    </rPh>
    <phoneticPr fontId="2"/>
  </si>
  <si>
    <t>売上小計</t>
    <rPh sb="0" eb="2">
      <t>ウリアゲ</t>
    </rPh>
    <rPh sb="2" eb="4">
      <t>ショウケイ</t>
    </rPh>
    <phoneticPr fontId="2"/>
  </si>
  <si>
    <t>店舗数</t>
    <rPh sb="0" eb="2">
      <t>テンポ</t>
    </rPh>
    <rPh sb="2" eb="3">
      <t>スウ</t>
    </rPh>
    <phoneticPr fontId="2"/>
  </si>
  <si>
    <t>店舗売上小計</t>
    <rPh sb="0" eb="2">
      <t>テンポ</t>
    </rPh>
    <rPh sb="2" eb="4">
      <t>ウリアゲ</t>
    </rPh>
    <rPh sb="4" eb="6">
      <t>ショウケイ</t>
    </rPh>
    <phoneticPr fontId="2"/>
  </si>
  <si>
    <t>ロイヤルティ売上</t>
    <rPh sb="6" eb="8">
      <t>ウリアゲ</t>
    </rPh>
    <phoneticPr fontId="2"/>
  </si>
  <si>
    <t>店舗数</t>
    <rPh sb="0" eb="3">
      <t>テンポスウ</t>
    </rPh>
    <phoneticPr fontId="2"/>
  </si>
  <si>
    <t>全店舗数</t>
    <rPh sb="0" eb="1">
      <t>ゼン</t>
    </rPh>
    <rPh sb="1" eb="4">
      <t>テンポスウ</t>
    </rPh>
    <phoneticPr fontId="2"/>
  </si>
  <si>
    <t>直営FC合計売上</t>
    <rPh sb="0" eb="2">
      <t>チョクエイ</t>
    </rPh>
    <rPh sb="4" eb="6">
      <t>ゴウケイ</t>
    </rPh>
    <rPh sb="6" eb="8">
      <t>ウリアゲ</t>
    </rPh>
    <phoneticPr fontId="2"/>
  </si>
  <si>
    <t>年間売上</t>
    <rPh sb="0" eb="4">
      <t>ネンカンウリアゲ</t>
    </rPh>
    <phoneticPr fontId="2"/>
  </si>
  <si>
    <t>前年比</t>
    <rPh sb="0" eb="3">
      <t>ゼンネンヒ</t>
    </rPh>
    <phoneticPr fontId="2"/>
  </si>
  <si>
    <t>※２年目までに政令指定都市をカバー</t>
    <rPh sb="2" eb="4">
      <t>ネンメ</t>
    </rPh>
    <rPh sb="7" eb="11">
      <t>セイレイ</t>
    </rPh>
    <rPh sb="11" eb="13">
      <t>トシ</t>
    </rPh>
    <phoneticPr fontId="2"/>
  </si>
  <si>
    <t>※３年目までに中核市をカバー</t>
    <rPh sb="2" eb="4">
      <t>ネンメ</t>
    </rPh>
    <rPh sb="7" eb="10">
      <t>チュウカクシ</t>
    </rPh>
    <phoneticPr fontId="2"/>
  </si>
  <si>
    <t>※４年目終了で上場基準を満たして上場準備。海外進出準備</t>
    <rPh sb="2" eb="4">
      <t>ネンメ</t>
    </rPh>
    <rPh sb="4" eb="6">
      <t>シュウリョウ</t>
    </rPh>
    <rPh sb="7" eb="9">
      <t>ジョウジョウ</t>
    </rPh>
    <rPh sb="9" eb="11">
      <t>キジュン</t>
    </rPh>
    <rPh sb="12" eb="13">
      <t>ミ</t>
    </rPh>
    <rPh sb="16" eb="18">
      <t>ジョウジョウ</t>
    </rPh>
    <rPh sb="18" eb="20">
      <t>ジュンビ</t>
    </rPh>
    <rPh sb="21" eb="25">
      <t>カイガイシンシュツ</t>
    </rPh>
    <rPh sb="25" eb="27">
      <t>ジュンビ</t>
    </rPh>
    <phoneticPr fontId="2"/>
  </si>
  <si>
    <t>※５年間で展開して店舗数を３年間で達成し倍増する</t>
    <rPh sb="2" eb="4">
      <t>ネンカン</t>
    </rPh>
    <rPh sb="5" eb="7">
      <t>テンカイ</t>
    </rPh>
    <rPh sb="9" eb="11">
      <t>テンポ</t>
    </rPh>
    <rPh sb="11" eb="12">
      <t>スウ</t>
    </rPh>
    <rPh sb="14" eb="16">
      <t>ネンカン</t>
    </rPh>
    <rPh sb="17" eb="19">
      <t>タッセイ</t>
    </rPh>
    <rPh sb="20" eb="22">
      <t>バイゾウ</t>
    </rPh>
    <phoneticPr fontId="2"/>
  </si>
  <si>
    <t>※５年目終了で上場し、海外進出に向けて資金調達</t>
    <rPh sb="2" eb="4">
      <t>ネンメ</t>
    </rPh>
    <rPh sb="4" eb="6">
      <t>シュウリョウ</t>
    </rPh>
    <rPh sb="7" eb="9">
      <t>ジョウジョウ</t>
    </rPh>
    <rPh sb="11" eb="13">
      <t>カイガイ</t>
    </rPh>
    <rPh sb="13" eb="15">
      <t>シンシュツ</t>
    </rPh>
    <rPh sb="16" eb="17">
      <t>ム</t>
    </rPh>
    <rPh sb="19" eb="23">
      <t>シキンチョウタツ</t>
    </rPh>
    <phoneticPr fontId="2"/>
  </si>
  <si>
    <t>■海外展開分</t>
    <rPh sb="1" eb="3">
      <t>カイガイテン</t>
    </rPh>
    <rPh sb="3" eb="5">
      <t>テンカイ</t>
    </rPh>
    <rPh sb="5" eb="6">
      <t>ブン</t>
    </rPh>
    <phoneticPr fontId="2"/>
  </si>
  <si>
    <t>海外店舗数</t>
    <rPh sb="0" eb="2">
      <t>カイガイ</t>
    </rPh>
    <rPh sb="2" eb="5">
      <t>テンポスウ</t>
    </rPh>
    <phoneticPr fontId="2"/>
  </si>
  <si>
    <t>※米国、アジア２カ国で各国1店舗を展開</t>
    <rPh sb="1" eb="3">
      <t>ベイコク</t>
    </rPh>
    <rPh sb="9" eb="10">
      <t>コク</t>
    </rPh>
    <rPh sb="11" eb="13">
      <t>カッコク</t>
    </rPh>
    <rPh sb="14" eb="16">
      <t>テンポ</t>
    </rPh>
    <rPh sb="17" eb="19">
      <t>テンカイ</t>
    </rPh>
    <phoneticPr fontId="2"/>
  </si>
  <si>
    <t>※展開好調国で進出都市拡大</t>
    <rPh sb="1" eb="3">
      <t>テンカイ</t>
    </rPh>
    <rPh sb="3" eb="5">
      <t>コウチョウ</t>
    </rPh>
    <rPh sb="5" eb="6">
      <t>コク</t>
    </rPh>
    <rPh sb="7" eb="9">
      <t>シンシュツ</t>
    </rPh>
    <rPh sb="9" eb="11">
      <t>トシ</t>
    </rPh>
    <rPh sb="11" eb="13">
      <t>カクダイ</t>
    </rPh>
    <phoneticPr fontId="2"/>
  </si>
  <si>
    <t>※未進出国への進出</t>
    <rPh sb="1" eb="4">
      <t>ミシンシュツ</t>
    </rPh>
    <rPh sb="4" eb="5">
      <t>コク</t>
    </rPh>
    <rPh sb="7" eb="9">
      <t>シンシュツ</t>
    </rPh>
    <phoneticPr fontId="2"/>
  </si>
  <si>
    <t>※海外FC展開開始</t>
    <rPh sb="1" eb="3">
      <t>カイガイ</t>
    </rPh>
    <rPh sb="5" eb="7">
      <t>テンカイ</t>
    </rPh>
    <rPh sb="7" eb="9">
      <t>カイシ</t>
    </rPh>
    <phoneticPr fontId="2"/>
  </si>
  <si>
    <t>※各国でのFC本格展開</t>
    <rPh sb="1" eb="3">
      <t>カッコク</t>
    </rPh>
    <rPh sb="7" eb="9">
      <t>ホンカク</t>
    </rPh>
    <rPh sb="9" eb="11">
      <t>テンカイ</t>
    </rPh>
    <phoneticPr fontId="2"/>
  </si>
  <si>
    <t>H23年度</t>
    <rPh sb="3" eb="5">
      <t>ネンド</t>
    </rPh>
    <phoneticPr fontId="2"/>
  </si>
  <si>
    <t>和良</t>
    <rPh sb="0" eb="2">
      <t>ワラ</t>
    </rPh>
    <phoneticPr fontId="2"/>
  </si>
  <si>
    <t>金融（和良）</t>
    <rPh sb="0" eb="2">
      <t>キンユウ</t>
    </rPh>
    <rPh sb="3" eb="5">
      <t>ワラ</t>
    </rPh>
    <phoneticPr fontId="2"/>
  </si>
  <si>
    <t>資金使途（短期）</t>
    <rPh sb="0" eb="2">
      <t>シキン</t>
    </rPh>
    <rPh sb="2" eb="4">
      <t>シト</t>
    </rPh>
    <rPh sb="5" eb="7">
      <t>タンキ</t>
    </rPh>
    <phoneticPr fontId="2"/>
  </si>
  <si>
    <t>アド運転資金</t>
    <rPh sb="2" eb="4">
      <t>ウンテン</t>
    </rPh>
    <rPh sb="4" eb="6">
      <t>シキン</t>
    </rPh>
    <phoneticPr fontId="2"/>
  </si>
  <si>
    <t>和良運転資金(4月以前）</t>
    <rPh sb="0" eb="2">
      <t>ワラ</t>
    </rPh>
    <rPh sb="2" eb="4">
      <t>ウンテン</t>
    </rPh>
    <rPh sb="4" eb="6">
      <t>シキン</t>
    </rPh>
    <rPh sb="8" eb="9">
      <t>ガツ</t>
    </rPh>
    <rPh sb="9" eb="11">
      <t>イゼン</t>
    </rPh>
    <phoneticPr fontId="2"/>
  </si>
  <si>
    <t>総額</t>
    <rPh sb="0" eb="2">
      <t>ソウガク</t>
    </rPh>
    <phoneticPr fontId="2"/>
  </si>
  <si>
    <t>使途名称</t>
    <rPh sb="0" eb="2">
      <t>シト</t>
    </rPh>
    <rPh sb="2" eb="4">
      <t>メイショウ</t>
    </rPh>
    <phoneticPr fontId="2"/>
  </si>
  <si>
    <t>調達主体</t>
    <rPh sb="0" eb="2">
      <t>チョウタツ</t>
    </rPh>
    <rPh sb="2" eb="4">
      <t>シュタイ</t>
    </rPh>
    <phoneticPr fontId="2"/>
  </si>
  <si>
    <t>調達方法</t>
    <rPh sb="0" eb="2">
      <t>チョウタツ</t>
    </rPh>
    <rPh sb="2" eb="4">
      <t>ホウホウ</t>
    </rPh>
    <phoneticPr fontId="2"/>
  </si>
  <si>
    <t>金額</t>
    <rPh sb="0" eb="2">
      <t>キンガク</t>
    </rPh>
    <phoneticPr fontId="2"/>
  </si>
  <si>
    <t>主体者</t>
    <rPh sb="0" eb="3">
      <t>シュタイシャ</t>
    </rPh>
    <phoneticPr fontId="2"/>
  </si>
  <si>
    <t>資金調達（短期）</t>
    <rPh sb="0" eb="2">
      <t>シキン</t>
    </rPh>
    <rPh sb="2" eb="4">
      <t>チョウタツ</t>
    </rPh>
    <rPh sb="5" eb="7">
      <t>タンキ</t>
    </rPh>
    <phoneticPr fontId="2"/>
  </si>
  <si>
    <t>営業権譲渡金⇒</t>
    <rPh sb="0" eb="3">
      <t>エイギョウケン</t>
    </rPh>
    <rPh sb="3" eb="5">
      <t>ジョウト</t>
    </rPh>
    <rPh sb="5" eb="6">
      <t>キン</t>
    </rPh>
    <phoneticPr fontId="2"/>
  </si>
  <si>
    <t>社債</t>
    <rPh sb="0" eb="2">
      <t>シャサイ</t>
    </rPh>
    <phoneticPr fontId="2"/>
  </si>
  <si>
    <t>社債</t>
    <rPh sb="0" eb="2">
      <t>シャサイ</t>
    </rPh>
    <phoneticPr fontId="2"/>
  </si>
  <si>
    <t>融資金額：14,494,000円</t>
    <phoneticPr fontId="16"/>
  </si>
  <si>
    <t>利率：2.875 %</t>
    <phoneticPr fontId="15"/>
  </si>
  <si>
    <t>融資日：2011/05/01</t>
    <phoneticPr fontId="16"/>
  </si>
  <si>
    <t>融資期間：5年、返済：25日</t>
    <phoneticPr fontId="15"/>
  </si>
  <si>
    <t>融資金額：11,767,000円</t>
    <phoneticPr fontId="16"/>
  </si>
  <si>
    <t>利率：1.900 %</t>
    <phoneticPr fontId="15"/>
  </si>
  <si>
    <t>融資期間：7年、返済：25日</t>
    <phoneticPr fontId="15"/>
  </si>
  <si>
    <t>もみじ</t>
    <phoneticPr fontId="15"/>
  </si>
  <si>
    <t>融資金額：12,756,000円</t>
    <phoneticPr fontId="16"/>
  </si>
  <si>
    <t>利率：2.225 %</t>
    <phoneticPr fontId="15"/>
  </si>
  <si>
    <t>融資金額：70,000,000円</t>
    <phoneticPr fontId="16"/>
  </si>
  <si>
    <t>利率：1.150 %</t>
    <phoneticPr fontId="15"/>
  </si>
  <si>
    <t>融資日：2010/07/28</t>
    <phoneticPr fontId="16"/>
  </si>
  <si>
    <t>融資期間：13年、返済：10日</t>
    <phoneticPr fontId="15"/>
  </si>
  <si>
    <t>融資金額：13,230,000円</t>
    <phoneticPr fontId="16"/>
  </si>
  <si>
    <t>利率：1.850 %</t>
    <phoneticPr fontId="15"/>
  </si>
  <si>
    <t>融資日：2010/12/01</t>
    <phoneticPr fontId="16"/>
  </si>
  <si>
    <t>融資期間：5年、返済：31日</t>
    <phoneticPr fontId="15"/>
  </si>
  <si>
    <t>国金</t>
    <rPh sb="0" eb="1">
      <t>コク</t>
    </rPh>
    <rPh sb="1" eb="2">
      <t>キン</t>
    </rPh>
    <phoneticPr fontId="15"/>
  </si>
  <si>
    <t>千円</t>
    <rPh sb="0" eb="1">
      <t>セン</t>
    </rPh>
    <rPh sb="1" eb="2">
      <t>エン</t>
    </rPh>
    <phoneticPr fontId="2"/>
  </si>
  <si>
    <t>社債</t>
    <phoneticPr fontId="2"/>
  </si>
  <si>
    <t>個人借入（超）</t>
    <rPh sb="0" eb="2">
      <t>コジン</t>
    </rPh>
    <rPh sb="2" eb="4">
      <t>カリイレ</t>
    </rPh>
    <rPh sb="5" eb="6">
      <t>チョウ</t>
    </rPh>
    <phoneticPr fontId="2"/>
  </si>
  <si>
    <t>個人借入（中）</t>
    <rPh sb="0" eb="2">
      <t>コジン</t>
    </rPh>
    <rPh sb="2" eb="4">
      <t>カリイレ</t>
    </rPh>
    <rPh sb="5" eb="6">
      <t>チュウ</t>
    </rPh>
    <phoneticPr fontId="2"/>
  </si>
  <si>
    <t>譲渡スキーム</t>
    <rPh sb="0" eb="2">
      <t>ジョウト</t>
    </rPh>
    <phoneticPr fontId="2"/>
  </si>
  <si>
    <t>キャッシュフロー</t>
    <phoneticPr fontId="2"/>
  </si>
  <si>
    <t>社債</t>
    <rPh sb="0" eb="2">
      <t>シャサイ</t>
    </rPh>
    <phoneticPr fontId="15"/>
  </si>
  <si>
    <t>私募債等</t>
    <rPh sb="0" eb="3">
      <t>シボサイ</t>
    </rPh>
    <rPh sb="3" eb="4">
      <t>トウ</t>
    </rPh>
    <phoneticPr fontId="2"/>
  </si>
  <si>
    <t>BS</t>
    <phoneticPr fontId="2"/>
  </si>
  <si>
    <t>・営業権償却については会計処理は20年。</t>
    <rPh sb="1" eb="4">
      <t>エイギョウケン</t>
    </rPh>
    <rPh sb="4" eb="6">
      <t>ショウキャク</t>
    </rPh>
    <rPh sb="11" eb="13">
      <t>カイケイ</t>
    </rPh>
    <rPh sb="13" eb="15">
      <t>ショリ</t>
    </rPh>
    <rPh sb="18" eb="19">
      <t>ネン</t>
    </rPh>
    <phoneticPr fontId="2"/>
  </si>
  <si>
    <t>・営業権償却については税務処理は5年</t>
    <rPh sb="1" eb="4">
      <t>エイギョウケン</t>
    </rPh>
    <rPh sb="4" eb="6">
      <t>ショウキャク</t>
    </rPh>
    <rPh sb="11" eb="13">
      <t>ゼイム</t>
    </rPh>
    <rPh sb="13" eb="15">
      <t>ショリ</t>
    </rPh>
    <rPh sb="17" eb="18">
      <t>ネン</t>
    </rPh>
    <phoneticPr fontId="2"/>
  </si>
  <si>
    <t>・開業費償却については会計・税務処理は5年。</t>
    <rPh sb="1" eb="3">
      <t>カイギョウ</t>
    </rPh>
    <rPh sb="3" eb="4">
      <t>ヒ</t>
    </rPh>
    <rPh sb="4" eb="6">
      <t>ショウキャク</t>
    </rPh>
    <rPh sb="11" eb="13">
      <t>カイケイ</t>
    </rPh>
    <rPh sb="14" eb="16">
      <t>ゼイム</t>
    </rPh>
    <rPh sb="16" eb="18">
      <t>ショリ</t>
    </rPh>
    <rPh sb="20" eb="21">
      <t>ネン</t>
    </rPh>
    <phoneticPr fontId="2"/>
  </si>
  <si>
    <t>5</t>
    <phoneticPr fontId="2"/>
  </si>
  <si>
    <t>Mar</t>
    <phoneticPr fontId="2"/>
  </si>
  <si>
    <t>Apr</t>
    <phoneticPr fontId="2"/>
  </si>
  <si>
    <t>May</t>
    <phoneticPr fontId="2"/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</si>
  <si>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</si>
  <si>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</si>
  <si>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</si>
  <si>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</si>
  <si>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</si>
  <si>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</si>
  <si>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</si>
  <si>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</si>
  <si>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</si>
  <si>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r>
      <rPr>
        <sz val="10"/>
        <color theme="1"/>
        <rFont val="ＭＳ Ｐゴシック"/>
        <family val="3"/>
        <charset val="128"/>
        <scheme val="minor"/>
      </rPr>
      <t>総</t>
    </r>
    <r>
      <rPr>
        <sz val="10"/>
        <color theme="1"/>
        <rFont val="ＭＳ Ｐゴシック"/>
        <family val="3"/>
        <charset val="128"/>
        <scheme val="minor"/>
      </rPr>
      <t>売上</t>
    </r>
    <rPh sb="0" eb="1">
      <t>ソウ</t>
    </rPh>
    <rPh sb="1" eb="3">
      <t>ウリアゲ</t>
    </rPh>
    <phoneticPr fontId="2"/>
  </si>
  <si>
    <t>1H</t>
    <phoneticPr fontId="2"/>
  </si>
  <si>
    <t>2H</t>
    <phoneticPr fontId="2"/>
  </si>
  <si>
    <t>直営店</t>
    <rPh sb="0" eb="3">
      <t>チョクエイテン</t>
    </rPh>
    <phoneticPr fontId="2"/>
  </si>
  <si>
    <t>売上高</t>
    <rPh sb="0" eb="2">
      <t>ウリアゲ</t>
    </rPh>
    <rPh sb="2" eb="3">
      <t>ダカ</t>
    </rPh>
    <phoneticPr fontId="2"/>
  </si>
  <si>
    <t>FC店</t>
    <rPh sb="2" eb="3">
      <t>テン</t>
    </rPh>
    <phoneticPr fontId="2"/>
  </si>
  <si>
    <t>店舗数合計</t>
    <rPh sb="0" eb="3">
      <t>テンポスウ</t>
    </rPh>
    <rPh sb="3" eb="5">
      <t>ゴウケイ</t>
    </rPh>
    <phoneticPr fontId="2"/>
  </si>
  <si>
    <t>売上高成長率</t>
    <rPh sb="0" eb="3">
      <t>ウリアゲダカ</t>
    </rPh>
    <rPh sb="3" eb="6">
      <t>セイチョウリツ</t>
    </rPh>
    <phoneticPr fontId="2"/>
  </si>
  <si>
    <t>マイルストーン</t>
    <phoneticPr fontId="2"/>
  </si>
  <si>
    <t>※5期中で上場し、海外進出資金を得る</t>
    <rPh sb="2" eb="3">
      <t>キ</t>
    </rPh>
    <rPh sb="3" eb="4">
      <t>ナカ</t>
    </rPh>
    <rPh sb="5" eb="7">
      <t>ジョウジョウ</t>
    </rPh>
    <rPh sb="9" eb="13">
      <t>カイガイシンシュツ</t>
    </rPh>
    <rPh sb="13" eb="15">
      <t>シキン</t>
    </rPh>
    <rPh sb="16" eb="17">
      <t>エ</t>
    </rPh>
    <phoneticPr fontId="2"/>
  </si>
  <si>
    <r>
      <rPr>
        <sz val="11"/>
        <color theme="1"/>
        <rFont val="ＭＳ Ｐゴシック"/>
        <family val="3"/>
        <charset val="128"/>
      </rPr>
      <t>月平均売上</t>
    </r>
    <rPh sb="0" eb="1">
      <t>ツキ</t>
    </rPh>
    <rPh sb="1" eb="5">
      <t>ヘイキンウリアゲ</t>
    </rPh>
    <phoneticPr fontId="2"/>
  </si>
  <si>
    <t>Ph1：基盤構築フェーズ</t>
    <rPh sb="4" eb="8">
      <t>キバンコウチクキ</t>
    </rPh>
    <phoneticPr fontId="2"/>
  </si>
  <si>
    <t>Ph3：安定成長フェーズ（目標は20%成長）</t>
    <rPh sb="4" eb="8">
      <t>アンテイセイチョウ</t>
    </rPh>
    <rPh sb="13" eb="15">
      <t>モクヒョウ</t>
    </rPh>
    <rPh sb="19" eb="21">
      <t>セイチョウ</t>
    </rPh>
    <phoneticPr fontId="2"/>
  </si>
  <si>
    <t>Ph 2：高成長フェーズ（目標は50〜100%成長）</t>
    <rPh sb="5" eb="6">
      <t>タカ</t>
    </rPh>
    <rPh sb="6" eb="8">
      <t>セイチョウ</t>
    </rPh>
    <rPh sb="13" eb="15">
      <t>モクヒョウ</t>
    </rPh>
    <rPh sb="23" eb="25">
      <t>セイチョウ</t>
    </rPh>
    <phoneticPr fontId="2"/>
  </si>
  <si>
    <t>千田</t>
    <rPh sb="0" eb="2">
      <t>センダ</t>
    </rPh>
    <phoneticPr fontId="2"/>
  </si>
  <si>
    <t>赤坂</t>
    <rPh sb="0" eb="2">
      <t>アカサカ</t>
    </rPh>
    <phoneticPr fontId="2"/>
  </si>
  <si>
    <t>葛西</t>
    <rPh sb="0" eb="2">
      <t>カサイ</t>
    </rPh>
    <phoneticPr fontId="2"/>
  </si>
  <si>
    <t>鷺沼</t>
    <rPh sb="0" eb="2">
      <t>サギヌマ</t>
    </rPh>
    <phoneticPr fontId="2"/>
  </si>
  <si>
    <t>倉敷</t>
    <rPh sb="0" eb="2">
      <t>クラシキ</t>
    </rPh>
    <phoneticPr fontId="2"/>
  </si>
  <si>
    <t>大元</t>
    <rPh sb="0" eb="2">
      <t>オオモト</t>
    </rPh>
    <phoneticPr fontId="2"/>
  </si>
  <si>
    <t>自由が丘</t>
    <rPh sb="0" eb="2">
      <t>ジユウ</t>
    </rPh>
    <rPh sb="3" eb="4">
      <t>オカ</t>
    </rPh>
    <phoneticPr fontId="2"/>
  </si>
  <si>
    <t>都立大学</t>
    <rPh sb="0" eb="4">
      <t>トリツダイガク</t>
    </rPh>
    <phoneticPr fontId="2"/>
  </si>
  <si>
    <t>豊中緑丘</t>
    <rPh sb="0" eb="2">
      <t>トヨナカ</t>
    </rPh>
    <rPh sb="2" eb="4">
      <t>ミドリガオカ</t>
    </rPh>
    <phoneticPr fontId="2"/>
  </si>
  <si>
    <t>静岡</t>
    <rPh sb="0" eb="2">
      <t>シズオカ</t>
    </rPh>
    <phoneticPr fontId="2"/>
  </si>
  <si>
    <t>店舗計画</t>
    <rPh sb="0" eb="2">
      <t>テンポ</t>
    </rPh>
    <rPh sb="2" eb="4">
      <t>ケイカク</t>
    </rPh>
    <phoneticPr fontId="2"/>
  </si>
  <si>
    <t>単位：千円</t>
    <rPh sb="0" eb="2">
      <t>タンイ</t>
    </rPh>
    <rPh sb="3" eb="5">
      <t>センエン</t>
    </rPh>
    <phoneticPr fontId="2"/>
  </si>
  <si>
    <t>アドタッチ</t>
    <phoneticPr fontId="2"/>
  </si>
  <si>
    <t>カーブス</t>
    <phoneticPr fontId="2"/>
  </si>
  <si>
    <t>40,000～</t>
    <phoneticPr fontId="2"/>
  </si>
  <si>
    <t>⇒</t>
    <phoneticPr fontId="2"/>
  </si>
  <si>
    <t>9,000？</t>
    <phoneticPr fontId="2"/>
  </si>
  <si>
    <t>アドプロ債務</t>
    <rPh sb="4" eb="6">
      <t>サイム</t>
    </rPh>
    <phoneticPr fontId="2"/>
  </si>
  <si>
    <t>残</t>
    <rPh sb="0" eb="1">
      <t>ザン</t>
    </rPh>
    <phoneticPr fontId="2"/>
  </si>
  <si>
    <t>アドタッチ</t>
    <phoneticPr fontId="2"/>
  </si>
  <si>
    <t>資本＋私募債</t>
    <rPh sb="0" eb="2">
      <t>シホン</t>
    </rPh>
    <rPh sb="3" eb="6">
      <t>シボサイ</t>
    </rPh>
    <phoneticPr fontId="2"/>
  </si>
  <si>
    <t>アドタッチ</t>
    <phoneticPr fontId="2"/>
  </si>
  <si>
    <t>債務引受</t>
    <rPh sb="0" eb="2">
      <t>サイム</t>
    </rPh>
    <rPh sb="2" eb="4">
      <t>ヒキウケ</t>
    </rPh>
    <phoneticPr fontId="2"/>
  </si>
  <si>
    <t>リース残債</t>
    <rPh sb="3" eb="5">
      <t>ザンサイ</t>
    </rPh>
    <phoneticPr fontId="2"/>
  </si>
  <si>
    <t>　　　またリース債務等の額が想定額より大きい場合は減額調整。</t>
    <rPh sb="8" eb="10">
      <t>サイム</t>
    </rPh>
    <rPh sb="10" eb="11">
      <t>トウ</t>
    </rPh>
    <rPh sb="12" eb="13">
      <t>ガク</t>
    </rPh>
    <rPh sb="14" eb="16">
      <t>ソウテイ</t>
    </rPh>
    <rPh sb="16" eb="17">
      <t>ガク</t>
    </rPh>
    <rPh sb="19" eb="20">
      <t>オオ</t>
    </rPh>
    <rPh sb="22" eb="24">
      <t>バアイ</t>
    </rPh>
    <rPh sb="25" eb="27">
      <t>ゲンガク</t>
    </rPh>
    <rPh sb="27" eb="29">
      <t>チョウセイ</t>
    </rPh>
    <phoneticPr fontId="2"/>
  </si>
  <si>
    <t>営業権金額</t>
    <rPh sb="0" eb="3">
      <t>エイギョウケン</t>
    </rPh>
    <rPh sb="3" eb="5">
      <t>キンガク</t>
    </rPh>
    <phoneticPr fontId="2"/>
  </si>
  <si>
    <t>引受資産</t>
    <rPh sb="0" eb="2">
      <t>ヒキウケ</t>
    </rPh>
    <rPh sb="2" eb="4">
      <t>シサン</t>
    </rPh>
    <phoneticPr fontId="2"/>
  </si>
  <si>
    <t>上限：260,000</t>
    <rPh sb="0" eb="2">
      <t>ジョウゲン</t>
    </rPh>
    <phoneticPr fontId="2"/>
  </si>
  <si>
    <t>↑但し私募債等が100,000千円に満たない場合は差額分÷100万/月額で返済</t>
    <rPh sb="1" eb="2">
      <t>タダ</t>
    </rPh>
    <rPh sb="3" eb="6">
      <t>シボサイ</t>
    </rPh>
    <rPh sb="6" eb="7">
      <t>トウ</t>
    </rPh>
    <rPh sb="15" eb="17">
      <t>センエン</t>
    </rPh>
    <rPh sb="18" eb="19">
      <t>ミ</t>
    </rPh>
    <rPh sb="22" eb="24">
      <t>バアイ</t>
    </rPh>
    <rPh sb="25" eb="28">
      <t>サガクブン</t>
    </rPh>
    <rPh sb="32" eb="33">
      <t>マン</t>
    </rPh>
    <rPh sb="34" eb="36">
      <t>ゲツガク</t>
    </rPh>
    <rPh sb="37" eb="39">
      <t>ヘンサイ</t>
    </rPh>
    <phoneticPr fontId="2"/>
  </si>
  <si>
    <t>資産引受</t>
    <rPh sb="0" eb="2">
      <t>シサン</t>
    </rPh>
    <rPh sb="2" eb="4">
      <t>ヒキウケ</t>
    </rPh>
    <phoneticPr fontId="2"/>
  </si>
  <si>
    <t>ＦＣロイヤリティ(6%)</t>
    <phoneticPr fontId="2"/>
  </si>
  <si>
    <t>業務委託保証金</t>
    <rPh sb="0" eb="2">
      <t>ギョウム</t>
    </rPh>
    <rPh sb="2" eb="4">
      <t>イタク</t>
    </rPh>
    <rPh sb="4" eb="6">
      <t>ホショウ</t>
    </rPh>
    <rPh sb="6" eb="7">
      <t>キン</t>
    </rPh>
    <phoneticPr fontId="2"/>
  </si>
  <si>
    <t>10月31日</t>
    <rPh sb="3" eb="4">
      <t>ガツニチ</t>
    </rPh>
    <phoneticPr fontId="2"/>
  </si>
  <si>
    <t>自由が丘</t>
    <rPh sb="0" eb="2">
      <t>ジユウ</t>
    </rPh>
    <rPh sb="3" eb="4">
      <t>オカ</t>
    </rPh>
    <phoneticPr fontId="2"/>
  </si>
  <si>
    <t>都立大</t>
    <rPh sb="0" eb="3">
      <t>トリツダイ</t>
    </rPh>
    <phoneticPr fontId="2"/>
  </si>
  <si>
    <t>豊中</t>
    <rPh sb="0" eb="2">
      <t>トヨナカ</t>
    </rPh>
    <phoneticPr fontId="2"/>
  </si>
  <si>
    <t>業務委託保証金相殺</t>
    <rPh sb="0" eb="2">
      <t>ギョウム</t>
    </rPh>
    <rPh sb="2" eb="4">
      <t>イタク</t>
    </rPh>
    <rPh sb="4" eb="6">
      <t>ホショウ</t>
    </rPh>
    <rPh sb="6" eb="7">
      <t>キン</t>
    </rPh>
    <rPh sb="7" eb="9">
      <t>ソウサイ</t>
    </rPh>
    <phoneticPr fontId="2"/>
  </si>
  <si>
    <t>譲渡金分割</t>
    <rPh sb="0" eb="2">
      <t>ジョウト</t>
    </rPh>
    <rPh sb="2" eb="3">
      <t>キン</t>
    </rPh>
    <rPh sb="3" eb="5">
      <t>ブンカツ</t>
    </rPh>
    <phoneticPr fontId="2"/>
  </si>
  <si>
    <t>公金分割</t>
    <rPh sb="0" eb="2">
      <t>コウキン</t>
    </rPh>
    <rPh sb="2" eb="4">
      <t>ブンカツ</t>
    </rPh>
    <phoneticPr fontId="2"/>
  </si>
  <si>
    <t>合計</t>
    <rPh sb="0" eb="2">
      <t>ゴウケイ</t>
    </rPh>
    <phoneticPr fontId="2"/>
  </si>
  <si>
    <t>家賃保証金</t>
    <rPh sb="0" eb="2">
      <t>ヤチン</t>
    </rPh>
    <rPh sb="2" eb="5">
      <t>ホショウキン</t>
    </rPh>
    <phoneticPr fontId="2"/>
  </si>
  <si>
    <t>本部投資</t>
    <rPh sb="0" eb="2">
      <t>ホンブ</t>
    </rPh>
    <rPh sb="2" eb="4">
      <t>トウシ</t>
    </rPh>
    <phoneticPr fontId="2"/>
  </si>
  <si>
    <t>設備譲渡未払金</t>
    <rPh sb="0" eb="2">
      <t>セツビ</t>
    </rPh>
    <rPh sb="2" eb="4">
      <t>ジョウト</t>
    </rPh>
    <rPh sb="4" eb="6">
      <t>ミハラ</t>
    </rPh>
    <rPh sb="6" eb="7">
      <t>キン</t>
    </rPh>
    <phoneticPr fontId="2"/>
  </si>
  <si>
    <t>預り金</t>
    <rPh sb="0" eb="1">
      <t>アズカ</t>
    </rPh>
    <rPh sb="2" eb="3">
      <t>キン</t>
    </rPh>
    <phoneticPr fontId="2"/>
  </si>
  <si>
    <t>ネット販売</t>
    <rPh sb="3" eb="5">
      <t>ハンバイ</t>
    </rPh>
    <phoneticPr fontId="2"/>
  </si>
  <si>
    <t>役員借入</t>
    <rPh sb="0" eb="2">
      <t>ヤクイン</t>
    </rPh>
    <rPh sb="2" eb="4">
      <t>カリイレ</t>
    </rPh>
    <phoneticPr fontId="2"/>
  </si>
  <si>
    <t>飲食仕入</t>
    <rPh sb="0" eb="2">
      <t>インショク</t>
    </rPh>
    <rPh sb="2" eb="4">
      <t>シイレ</t>
    </rPh>
    <phoneticPr fontId="2"/>
  </si>
  <si>
    <t>人件費（</t>
    <rPh sb="0" eb="3">
      <t>ジンケンヒ</t>
    </rPh>
    <phoneticPr fontId="2"/>
  </si>
  <si>
    <t>障害福祉サービス</t>
    <rPh sb="0" eb="2">
      <t>ショウガイ</t>
    </rPh>
    <rPh sb="2" eb="4">
      <t>フクシ</t>
    </rPh>
    <phoneticPr fontId="2"/>
  </si>
  <si>
    <t>利用者数</t>
    <rPh sb="0" eb="3">
      <t>リヨウシャ</t>
    </rPh>
    <rPh sb="3" eb="4">
      <t>スウ</t>
    </rPh>
    <phoneticPr fontId="2"/>
  </si>
  <si>
    <t>訓練給付金等</t>
    <rPh sb="0" eb="2">
      <t>クンレン</t>
    </rPh>
    <rPh sb="2" eb="5">
      <t>キュウフキン</t>
    </rPh>
    <rPh sb="5" eb="6">
      <t>トウ</t>
    </rPh>
    <phoneticPr fontId="2"/>
  </si>
  <si>
    <t>福祉サービス原価</t>
    <rPh sb="0" eb="2">
      <t>フクシ</t>
    </rPh>
    <rPh sb="6" eb="8">
      <t>ゲンカ</t>
    </rPh>
    <phoneticPr fontId="2"/>
  </si>
  <si>
    <t>利用者作業収入</t>
    <rPh sb="0" eb="3">
      <t>リヨウシャ</t>
    </rPh>
    <rPh sb="3" eb="5">
      <t>サギョウ</t>
    </rPh>
    <rPh sb="5" eb="7">
      <t>シュウニュウ</t>
    </rPh>
    <phoneticPr fontId="2"/>
  </si>
  <si>
    <t>入会金・年会費</t>
    <rPh sb="0" eb="3">
      <t>ニュウカイキン</t>
    </rPh>
    <rPh sb="4" eb="7">
      <t>ネンカイヒ</t>
    </rPh>
    <phoneticPr fontId="2"/>
  </si>
  <si>
    <t>作業原価</t>
    <rPh sb="0" eb="2">
      <t>サギョウ</t>
    </rPh>
    <rPh sb="2" eb="4">
      <t>ゲンカ</t>
    </rPh>
    <phoneticPr fontId="2"/>
  </si>
  <si>
    <t>利用者工賃</t>
    <rPh sb="0" eb="3">
      <t>リヨウシャ</t>
    </rPh>
    <rPh sb="3" eb="5">
      <t>コウチン</t>
    </rPh>
    <phoneticPr fontId="2"/>
  </si>
  <si>
    <t>スタッフ給料</t>
    <rPh sb="4" eb="6">
      <t>キュウリョウ</t>
    </rPh>
    <phoneticPr fontId="2"/>
  </si>
  <si>
    <t>法定福利費</t>
    <rPh sb="0" eb="2">
      <t>ホウテイ</t>
    </rPh>
    <rPh sb="2" eb="4">
      <t>フクリ</t>
    </rPh>
    <rPh sb="4" eb="5">
      <t>ヒ</t>
    </rPh>
    <phoneticPr fontId="2"/>
  </si>
  <si>
    <t>家賃</t>
    <rPh sb="0" eb="2">
      <t>ヤチン</t>
    </rPh>
    <phoneticPr fontId="2"/>
  </si>
  <si>
    <t>燃料費</t>
    <rPh sb="0" eb="3">
      <t>ネンリョウヒ</t>
    </rPh>
    <phoneticPr fontId="2"/>
  </si>
  <si>
    <t>会費・保険料等</t>
    <rPh sb="0" eb="2">
      <t>カイヒ</t>
    </rPh>
    <rPh sb="3" eb="5">
      <t>ホケン</t>
    </rPh>
    <rPh sb="5" eb="6">
      <t>リョウ</t>
    </rPh>
    <rPh sb="6" eb="7">
      <t>トウ</t>
    </rPh>
    <phoneticPr fontId="2"/>
  </si>
  <si>
    <t>消耗品費</t>
    <rPh sb="0" eb="2">
      <t>ショウモウ</t>
    </rPh>
    <rPh sb="2" eb="3">
      <t>ヒン</t>
    </rPh>
    <rPh sb="3" eb="4">
      <t>ヒ</t>
    </rPh>
    <phoneticPr fontId="2"/>
  </si>
  <si>
    <t>雑費</t>
    <rPh sb="0" eb="2">
      <t>ザッピ</t>
    </rPh>
    <phoneticPr fontId="2"/>
  </si>
  <si>
    <t>事務管理費</t>
    <rPh sb="0" eb="2">
      <t>ジム</t>
    </rPh>
    <rPh sb="2" eb="4">
      <t>カンリ</t>
    </rPh>
    <rPh sb="4" eb="5">
      <t>ヒ</t>
    </rPh>
    <phoneticPr fontId="2"/>
  </si>
  <si>
    <t>（原価率）</t>
    <rPh sb="1" eb="3">
      <t>ゲンカ</t>
    </rPh>
    <rPh sb="3" eb="4">
      <t>リツ</t>
    </rPh>
    <phoneticPr fontId="2"/>
  </si>
  <si>
    <t>（事業収益）</t>
    <rPh sb="1" eb="3">
      <t>ジギョウ</t>
    </rPh>
    <rPh sb="3" eb="5">
      <t>シュウエキ</t>
    </rPh>
    <rPh sb="5" eb="6">
      <t>リエキ</t>
    </rPh>
    <phoneticPr fontId="2"/>
  </si>
  <si>
    <t>（経常収支）</t>
    <rPh sb="1" eb="3">
      <t>ケイジョウ</t>
    </rPh>
    <rPh sb="3" eb="5">
      <t>シュウシ</t>
    </rPh>
    <phoneticPr fontId="2"/>
  </si>
  <si>
    <t>（税引後収支）</t>
    <rPh sb="1" eb="3">
      <t>ゼイビ</t>
    </rPh>
    <rPh sb="3" eb="4">
      <t>ゴ</t>
    </rPh>
    <rPh sb="4" eb="6">
      <t>シュウシ</t>
    </rPh>
    <phoneticPr fontId="2"/>
  </si>
  <si>
    <t>訓練給付金等</t>
    <rPh sb="0" eb="2">
      <t>クンレン</t>
    </rPh>
    <rPh sb="2" eb="5">
      <t>キュウフキン</t>
    </rPh>
    <rPh sb="5" eb="6">
      <t>トウ</t>
    </rPh>
    <phoneticPr fontId="2"/>
  </si>
  <si>
    <t>作業収入</t>
    <rPh sb="0" eb="2">
      <t>サギョウ</t>
    </rPh>
    <rPh sb="2" eb="4">
      <t>シュウニュウ</t>
    </rPh>
    <phoneticPr fontId="2"/>
  </si>
  <si>
    <t>会費等収入</t>
    <rPh sb="0" eb="2">
      <t>カイヒ</t>
    </rPh>
    <rPh sb="2" eb="3">
      <t>トウ</t>
    </rPh>
    <rPh sb="3" eb="5">
      <t>シュウニュウ</t>
    </rPh>
    <phoneticPr fontId="2"/>
  </si>
  <si>
    <t>福祉サービス原価１</t>
    <rPh sb="0" eb="2">
      <t>フクシ</t>
    </rPh>
    <rPh sb="6" eb="8">
      <t>ゲンカ</t>
    </rPh>
    <phoneticPr fontId="2"/>
  </si>
  <si>
    <t>福祉サービス原価２</t>
    <rPh sb="0" eb="2">
      <t>フクシ</t>
    </rPh>
    <rPh sb="6" eb="8">
      <t>ゲンカ</t>
    </rPh>
    <phoneticPr fontId="2"/>
  </si>
  <si>
    <t>水道光熱費・通信費</t>
    <rPh sb="0" eb="2">
      <t>スイドウ</t>
    </rPh>
    <rPh sb="2" eb="5">
      <t>コウネツヒ</t>
    </rPh>
    <rPh sb="6" eb="9">
      <t>ツウシンヒ</t>
    </rPh>
    <phoneticPr fontId="2"/>
  </si>
  <si>
    <t>当月払い</t>
    <rPh sb="0" eb="2">
      <t>トウゲツ</t>
    </rPh>
    <rPh sb="2" eb="3">
      <t>バラ</t>
    </rPh>
    <phoneticPr fontId="2"/>
  </si>
  <si>
    <t>末〆翌末払い</t>
    <rPh sb="0" eb="1">
      <t>マツ</t>
    </rPh>
    <rPh sb="2" eb="3">
      <t>ヨク</t>
    </rPh>
    <rPh sb="3" eb="4">
      <t>マツ</t>
    </rPh>
    <rPh sb="4" eb="5">
      <t>バラ</t>
    </rPh>
    <phoneticPr fontId="2"/>
  </si>
  <si>
    <t>事務管理費</t>
    <rPh sb="0" eb="2">
      <t>ジム</t>
    </rPh>
    <rPh sb="2" eb="5">
      <t>カンリヒ</t>
    </rPh>
    <phoneticPr fontId="2"/>
  </si>
  <si>
    <t>運営管理費</t>
    <rPh sb="0" eb="2">
      <t>ウンエイ</t>
    </rPh>
    <rPh sb="2" eb="5">
      <t>カンリヒ</t>
    </rPh>
    <phoneticPr fontId="2"/>
  </si>
  <si>
    <t>減価償却</t>
    <rPh sb="0" eb="2">
      <t>ゲンカ</t>
    </rPh>
    <rPh sb="2" eb="4">
      <t>ショウキャク</t>
    </rPh>
    <phoneticPr fontId="2"/>
  </si>
  <si>
    <t>店舗設備等</t>
    <rPh sb="0" eb="2">
      <t>テンポ</t>
    </rPh>
    <rPh sb="2" eb="4">
      <t>セツビ</t>
    </rPh>
    <rPh sb="4" eb="5">
      <t>トウ</t>
    </rPh>
    <phoneticPr fontId="2"/>
  </si>
  <si>
    <t>家賃保証金等</t>
    <rPh sb="0" eb="2">
      <t>ヤチン</t>
    </rPh>
    <rPh sb="2" eb="5">
      <t>ホショウキン</t>
    </rPh>
    <rPh sb="5" eb="6">
      <t>トウ</t>
    </rPh>
    <phoneticPr fontId="2"/>
  </si>
  <si>
    <t>月末締め翌月末</t>
    <rPh sb="0" eb="2">
      <t>ゲツマツ</t>
    </rPh>
    <rPh sb="2" eb="3">
      <t>ジ</t>
    </rPh>
    <rPh sb="4" eb="7">
      <t>ヨクゲツマツ</t>
    </rPh>
    <phoneticPr fontId="2"/>
  </si>
  <si>
    <t>末〆翌々15日</t>
    <rPh sb="0" eb="1">
      <t>マツ</t>
    </rPh>
    <rPh sb="2" eb="4">
      <t>ヨクヨク</t>
    </rPh>
    <rPh sb="6" eb="7">
      <t>ニチ</t>
    </rPh>
    <phoneticPr fontId="2"/>
  </si>
  <si>
    <t>当月入金</t>
    <rPh sb="0" eb="2">
      <t>トウゲツ</t>
    </rPh>
    <rPh sb="2" eb="4">
      <t>ニュウキン</t>
    </rPh>
    <phoneticPr fontId="2"/>
  </si>
  <si>
    <t>月末締め翌月末</t>
    <rPh sb="0" eb="2">
      <t>ゲツマツ</t>
    </rPh>
    <rPh sb="2" eb="3">
      <t>ジ</t>
    </rPh>
    <rPh sb="4" eb="5">
      <t>ヨク</t>
    </rPh>
    <rPh sb="5" eb="7">
      <t>ゲツマツ</t>
    </rPh>
    <phoneticPr fontId="2"/>
  </si>
  <si>
    <t>管理者兼サビ管</t>
    <rPh sb="0" eb="3">
      <t>カンリシャ</t>
    </rPh>
    <rPh sb="3" eb="4">
      <t>ケン</t>
    </rPh>
    <rPh sb="6" eb="7">
      <t>カン</t>
    </rPh>
    <phoneticPr fontId="2"/>
  </si>
  <si>
    <t>職業指導員</t>
    <rPh sb="0" eb="2">
      <t>ショクギョウ</t>
    </rPh>
    <rPh sb="2" eb="5">
      <t>シドウイン</t>
    </rPh>
    <phoneticPr fontId="2"/>
  </si>
  <si>
    <t>生活支援員</t>
    <rPh sb="0" eb="2">
      <t>セイカツ</t>
    </rPh>
    <rPh sb="2" eb="4">
      <t>シエン</t>
    </rPh>
    <rPh sb="4" eb="5">
      <t>イン</t>
    </rPh>
    <phoneticPr fontId="2"/>
  </si>
  <si>
    <t>８００円/時間</t>
    <rPh sb="3" eb="4">
      <t>エン</t>
    </rPh>
    <phoneticPr fontId="2"/>
  </si>
  <si>
    <t>６．５時間</t>
    <rPh sb="3" eb="5">
      <t>ジカン</t>
    </rPh>
    <phoneticPr fontId="2"/>
  </si>
  <si>
    <t>３時間</t>
    <rPh sb="1" eb="3">
      <t>ジカン</t>
    </rPh>
    <phoneticPr fontId="2"/>
  </si>
  <si>
    <t>２２日</t>
    <rPh sb="2" eb="3">
      <t>ニチ</t>
    </rPh>
    <phoneticPr fontId="2"/>
  </si>
  <si>
    <t>雇用保険</t>
    <rPh sb="0" eb="2">
      <t>コヨウ</t>
    </rPh>
    <rPh sb="2" eb="4">
      <t>ホケン</t>
    </rPh>
    <phoneticPr fontId="2"/>
  </si>
  <si>
    <t>７／１０００</t>
    <phoneticPr fontId="2"/>
  </si>
  <si>
    <t>給料繰り延べ</t>
    <rPh sb="0" eb="2">
      <t>キュウリョウ</t>
    </rPh>
    <rPh sb="2" eb="3">
      <t>ク</t>
    </rPh>
    <rPh sb="4" eb="5">
      <t>ノ</t>
    </rPh>
    <phoneticPr fontId="2"/>
  </si>
  <si>
    <t>H28年度 P/L</t>
    <rPh sb="3" eb="5">
      <t>ネンド</t>
    </rPh>
    <phoneticPr fontId="2"/>
  </si>
  <si>
    <t>900円/時間</t>
    <rPh sb="3" eb="4">
      <t>エン</t>
    </rPh>
    <rPh sb="5" eb="7">
      <t>ジカン</t>
    </rPh>
    <phoneticPr fontId="2"/>
  </si>
  <si>
    <t>初期３ヶ月</t>
    <rPh sb="0" eb="2">
      <t>ショキ</t>
    </rPh>
    <rPh sb="4" eb="5">
      <t>ゲツ</t>
    </rPh>
    <phoneticPr fontId="2"/>
  </si>
  <si>
    <t>1200円/時間</t>
    <rPh sb="4" eb="5">
      <t>エン</t>
    </rPh>
    <rPh sb="6" eb="8">
      <t>ジカン</t>
    </rPh>
    <phoneticPr fontId="2"/>
  </si>
  <si>
    <t>9００円/時間</t>
    <rPh sb="3" eb="4">
      <t>エン</t>
    </rPh>
    <phoneticPr fontId="2"/>
  </si>
  <si>
    <t>900円/時間</t>
    <rPh sb="3" eb="4">
      <t>エン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</si>
</sst>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76" formatCode="#,##0;&quot;▲ &quot;#,##0"/>
    <numFmt numFmtId="177" formatCode="0.0%"/>
    <numFmt numFmtId="178" formatCode="#,##0.0;[Red]\-#,##0.0"/>
    <numFmt numFmtId="179" formatCode="yy/mm/dd"/>
    <numFmt numFmtId="180" formatCode="[$-411]ge\.m\.d;@"/>
    <numFmt numFmtId="181" formatCode="0_);[Red]\(0\)"/>
    <numFmt numFmtId="182" formatCode="#,##0_);[Red]\(#,##0\)"/>
    <numFmt numFmtId="183" formatCode="#,##0\)"/>
    <numFmt numFmtId="184" formatCode="0.000\ %"/>
    <numFmt numFmtId="185" formatCode="0\ &quot;年&quot;"/>
  </numFmts>
  <fonts count="33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9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8"/>
      <color theme="1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0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Century"/>
      <family val="1"/>
    </font>
    <font>
      <sz val="6"/>
      <name val="ＭＳ 明朝"/>
      <family val="1"/>
      <charset val="128"/>
    </font>
    <font>
      <b/>
      <sz val="10"/>
      <name val="ＭＳ Ｐゴシック"/>
      <family val="3"/>
      <charset val="128"/>
    </font>
    <font>
      <sz val="11"/>
      <color theme="0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0"/>
      <color theme="0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u/>
      <sz val="12"/>
      <color theme="10"/>
      <name val="ＭＳ Ｐゴシック"/>
      <family val="2"/>
      <charset val="128"/>
      <scheme val="minor"/>
    </font>
    <font>
      <u/>
      <sz val="12"/>
      <color theme="11"/>
      <name val="ＭＳ Ｐゴシック"/>
      <family val="2"/>
      <charset val="128"/>
      <scheme val="minor"/>
    </font>
    <font>
      <u/>
      <sz val="11"/>
      <color theme="11"/>
      <name val="ＭＳ Ｐゴシック"/>
      <family val="2"/>
      <charset val="128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33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1F1A1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C1E68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10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/>
      <top style="thin">
        <color auto="1"/>
      </top>
      <bottom style="thin">
        <color indexed="9"/>
      </bottom>
      <diagonal/>
    </border>
    <border>
      <left/>
      <right/>
      <top style="thin">
        <color auto="1"/>
      </top>
      <bottom style="thin">
        <color indexed="9"/>
      </bottom>
      <diagonal/>
    </border>
    <border>
      <left/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/>
      <bottom style="medium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  <diagonal/>
    </border>
    <border>
      <left style="thin">
        <color indexed="9"/>
      </left>
      <right/>
      <top style="thin">
        <color indexed="9"/>
      </top>
      <bottom style="thin">
        <color auto="1"/>
      </bottom>
      <diagonal/>
    </border>
    <border>
      <left/>
      <right/>
      <top style="thin">
        <color indexed="9"/>
      </top>
      <bottom style="thin">
        <color auto="1"/>
      </bottom>
      <diagonal/>
    </border>
    <border>
      <left/>
      <right style="thin">
        <color indexed="9"/>
      </right>
      <top style="thin">
        <color indexed="9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indexed="64"/>
      </bottom>
      <diagonal/>
    </border>
  </borders>
  <cellStyleXfs count="538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/>
    <xf numFmtId="38" fontId="4" fillId="0" borderId="0" applyFont="0" applyFill="0" applyBorder="0" applyAlignment="0" applyProtection="0"/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0" borderId="0"/>
    <xf numFmtId="0" fontId="19" fillId="0" borderId="0"/>
    <xf numFmtId="9" fontId="19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</cellStyleXfs>
  <cellXfs count="709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176" fontId="6" fillId="0" borderId="1" xfId="1" applyNumberFormat="1" applyFont="1" applyBorder="1" applyAlignment="1">
      <alignment vertical="center" shrinkToFit="1"/>
    </xf>
    <xf numFmtId="176" fontId="5" fillId="0" borderId="1" xfId="1" applyNumberFormat="1" applyFont="1" applyBorder="1" applyAlignment="1">
      <alignment vertical="center" shrinkToFit="1"/>
    </xf>
    <xf numFmtId="176" fontId="6" fillId="0" borderId="1" xfId="1" applyNumberFormat="1" applyFont="1" applyBorder="1" applyAlignment="1">
      <alignment horizontal="left" vertical="center" shrinkToFit="1"/>
    </xf>
    <xf numFmtId="38" fontId="0" fillId="0" borderId="1" xfId="1" applyFont="1" applyBorder="1" applyAlignment="1">
      <alignment horizontal="center" vertical="center" shrinkToFit="1"/>
    </xf>
    <xf numFmtId="38" fontId="8" fillId="4" borderId="1" xfId="1" applyFont="1" applyFill="1" applyBorder="1" applyAlignment="1">
      <alignment horizontal="right" vertical="center" shrinkToFit="1"/>
    </xf>
    <xf numFmtId="38" fontId="0" fillId="2" borderId="1" xfId="1" applyFont="1" applyFill="1" applyBorder="1" applyAlignment="1">
      <alignment vertical="center" shrinkToFit="1"/>
    </xf>
    <xf numFmtId="38" fontId="6" fillId="0" borderId="1" xfId="1" applyFont="1" applyBorder="1" applyAlignment="1">
      <alignment vertical="center" shrinkToFit="1"/>
    </xf>
    <xf numFmtId="38" fontId="0" fillId="3" borderId="1" xfId="1" applyFont="1" applyFill="1" applyBorder="1" applyAlignment="1">
      <alignment vertical="center" shrinkToFit="1"/>
    </xf>
    <xf numFmtId="38" fontId="8" fillId="4" borderId="1" xfId="1" applyFont="1" applyFill="1" applyBorder="1" applyAlignment="1">
      <alignment vertical="center" shrinkToFit="1"/>
    </xf>
    <xf numFmtId="0" fontId="6" fillId="0" borderId="1" xfId="0" applyFont="1" applyBorder="1" applyAlignment="1">
      <alignment horizontal="left" vertical="center" shrinkToFit="1"/>
    </xf>
    <xf numFmtId="0" fontId="5" fillId="0" borderId="1" xfId="0" applyFont="1" applyBorder="1" applyAlignment="1">
      <alignment vertical="center" shrinkToFit="1"/>
    </xf>
    <xf numFmtId="38" fontId="7" fillId="0" borderId="1" xfId="1" applyFont="1" applyBorder="1" applyAlignment="1">
      <alignment vertical="center" shrinkToFit="1"/>
    </xf>
    <xf numFmtId="38" fontId="0" fillId="0" borderId="1" xfId="1" applyFont="1" applyBorder="1" applyAlignment="1">
      <alignment vertical="center" shrinkToFit="1"/>
    </xf>
    <xf numFmtId="38" fontId="0" fillId="4" borderId="1" xfId="1" applyFont="1" applyFill="1" applyBorder="1" applyAlignment="1">
      <alignment vertical="center" shrinkToFit="1"/>
    </xf>
    <xf numFmtId="38" fontId="0" fillId="6" borderId="1" xfId="1" applyFont="1" applyFill="1" applyBorder="1" applyAlignment="1">
      <alignment vertical="center" shrinkToFit="1"/>
    </xf>
    <xf numFmtId="10" fontId="0" fillId="0" borderId="0" xfId="0" applyNumberFormat="1">
      <alignment vertical="center"/>
    </xf>
    <xf numFmtId="38" fontId="8" fillId="4" borderId="3" xfId="1" applyFont="1" applyFill="1" applyBorder="1" applyAlignment="1">
      <alignment vertical="center" shrinkToFit="1"/>
    </xf>
    <xf numFmtId="38" fontId="0" fillId="0" borderId="1" xfId="1" applyFont="1" applyBorder="1">
      <alignment vertical="center"/>
    </xf>
    <xf numFmtId="38" fontId="0" fillId="7" borderId="1" xfId="1" applyFont="1" applyFill="1" applyBorder="1" applyAlignment="1">
      <alignment vertical="center" shrinkToFit="1"/>
    </xf>
    <xf numFmtId="38" fontId="0" fillId="0" borderId="1" xfId="0" applyNumberFormat="1" applyBorder="1">
      <alignment vertical="center"/>
    </xf>
    <xf numFmtId="0" fontId="0" fillId="0" borderId="0" xfId="0" applyAlignment="1">
      <alignment horizontal="right" vertical="center"/>
    </xf>
    <xf numFmtId="38" fontId="0" fillId="0" borderId="2" xfId="1" applyFont="1" applyBorder="1" applyAlignment="1">
      <alignment vertical="center" shrinkToFit="1"/>
    </xf>
    <xf numFmtId="38" fontId="0" fillId="0" borderId="20" xfId="1" applyFont="1" applyBorder="1" applyAlignment="1">
      <alignment horizontal="center" vertical="center" shrinkToFit="1"/>
    </xf>
    <xf numFmtId="38" fontId="0" fillId="0" borderId="21" xfId="1" applyFont="1" applyBorder="1" applyAlignment="1">
      <alignment horizontal="center" vertical="center" shrinkToFit="1"/>
    </xf>
    <xf numFmtId="38" fontId="0" fillId="0" borderId="23" xfId="1" applyFont="1" applyBorder="1" applyAlignment="1">
      <alignment vertical="center" shrinkToFit="1"/>
    </xf>
    <xf numFmtId="38" fontId="0" fillId="2" borderId="25" xfId="1" applyFont="1" applyFill="1" applyBorder="1" applyAlignment="1">
      <alignment vertical="center" shrinkToFit="1"/>
    </xf>
    <xf numFmtId="38" fontId="7" fillId="0" borderId="25" xfId="1" applyFont="1" applyBorder="1" applyAlignment="1">
      <alignment vertical="center" shrinkToFit="1"/>
    </xf>
    <xf numFmtId="38" fontId="0" fillId="3" borderId="25" xfId="1" applyFont="1" applyFill="1" applyBorder="1" applyAlignment="1">
      <alignment vertical="center" shrinkToFit="1"/>
    </xf>
    <xf numFmtId="38" fontId="0" fillId="4" borderId="25" xfId="1" applyFont="1" applyFill="1" applyBorder="1" applyAlignment="1">
      <alignment vertical="center" shrinkToFit="1"/>
    </xf>
    <xf numFmtId="38" fontId="0" fillId="6" borderId="25" xfId="1" applyFont="1" applyFill="1" applyBorder="1" applyAlignment="1">
      <alignment vertical="center" shrinkToFit="1"/>
    </xf>
    <xf numFmtId="38" fontId="0" fillId="7" borderId="25" xfId="1" applyFont="1" applyFill="1" applyBorder="1" applyAlignment="1">
      <alignment vertical="center" shrinkToFit="1"/>
    </xf>
    <xf numFmtId="38" fontId="0" fillId="0" borderId="16" xfId="1" applyFont="1" applyBorder="1" applyAlignment="1">
      <alignment vertical="center" shrinkToFit="1"/>
    </xf>
    <xf numFmtId="38" fontId="0" fillId="0" borderId="17" xfId="1" applyFont="1" applyBorder="1" applyAlignment="1">
      <alignment vertical="center" shrinkToFit="1"/>
    </xf>
    <xf numFmtId="0" fontId="4" fillId="0" borderId="0" xfId="5">
      <alignment vertical="center"/>
    </xf>
    <xf numFmtId="0" fontId="0" fillId="0" borderId="1" xfId="0" applyBorder="1">
      <alignment vertical="center"/>
    </xf>
    <xf numFmtId="177" fontId="0" fillId="0" borderId="1" xfId="2" applyNumberFormat="1" applyFont="1" applyBorder="1">
      <alignment vertical="center"/>
    </xf>
    <xf numFmtId="177" fontId="0" fillId="0" borderId="25" xfId="2" applyNumberFormat="1" applyFont="1" applyBorder="1">
      <alignment vertical="center"/>
    </xf>
    <xf numFmtId="0" fontId="0" fillId="0" borderId="1" xfId="0" applyBorder="1" applyAlignment="1">
      <alignment vertical="center" shrinkToFi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38" fontId="0" fillId="0" borderId="0" xfId="1" applyFont="1">
      <alignment vertical="center"/>
    </xf>
    <xf numFmtId="0" fontId="0" fillId="0" borderId="0" xfId="0" applyAlignment="1">
      <alignment vertical="center" wrapText="1"/>
    </xf>
    <xf numFmtId="0" fontId="12" fillId="0" borderId="0" xfId="7">
      <alignment vertical="center"/>
    </xf>
    <xf numFmtId="0" fontId="0" fillId="0" borderId="1" xfId="0" applyBorder="1" applyAlignment="1">
      <alignment vertical="center" wrapText="1"/>
    </xf>
    <xf numFmtId="38" fontId="0" fillId="0" borderId="1" xfId="1" applyFont="1" applyBorder="1" applyAlignment="1">
      <alignment vertical="center" wrapText="1"/>
    </xf>
    <xf numFmtId="38" fontId="0" fillId="0" borderId="1" xfId="1" applyFon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38" fontId="0" fillId="0" borderId="1" xfId="1" applyFont="1" applyBorder="1" applyAlignment="1">
      <alignment horizontal="center" vertical="center"/>
    </xf>
    <xf numFmtId="9" fontId="0" fillId="0" borderId="1" xfId="2" applyFont="1" applyBorder="1">
      <alignment vertical="center"/>
    </xf>
    <xf numFmtId="9" fontId="0" fillId="0" borderId="1" xfId="0" applyNumberFormat="1" applyBorder="1" applyAlignment="1">
      <alignment horizontal="right" vertical="center"/>
    </xf>
    <xf numFmtId="9" fontId="0" fillId="0" borderId="1" xfId="0" applyNumberFormat="1" applyBorder="1">
      <alignment vertical="center"/>
    </xf>
    <xf numFmtId="38" fontId="0" fillId="0" borderId="1" xfId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5" xfId="0" applyBorder="1" applyAlignment="1">
      <alignment vertical="center" wrapText="1"/>
    </xf>
    <xf numFmtId="0" fontId="0" fillId="0" borderId="25" xfId="0" applyBorder="1">
      <alignment vertical="center"/>
    </xf>
    <xf numFmtId="38" fontId="0" fillId="0" borderId="25" xfId="1" applyFont="1" applyBorder="1">
      <alignment vertical="center"/>
    </xf>
    <xf numFmtId="0" fontId="0" fillId="0" borderId="25" xfId="0" applyBorder="1" applyAlignment="1">
      <alignment horizontal="center" vertical="center"/>
    </xf>
    <xf numFmtId="0" fontId="0" fillId="0" borderId="25" xfId="0" applyBorder="1" applyAlignment="1">
      <alignment horizontal="right" vertical="center"/>
    </xf>
    <xf numFmtId="0" fontId="0" fillId="0" borderId="16" xfId="0" applyBorder="1">
      <alignment vertical="center"/>
    </xf>
    <xf numFmtId="178" fontId="0" fillId="0" borderId="16" xfId="1" applyNumberFormat="1" applyFont="1" applyBorder="1">
      <alignment vertical="center"/>
    </xf>
    <xf numFmtId="178" fontId="0" fillId="0" borderId="17" xfId="1" applyNumberFormat="1" applyFont="1" applyBorder="1">
      <alignment vertical="center"/>
    </xf>
    <xf numFmtId="9" fontId="0" fillId="0" borderId="1" xfId="2" applyFont="1" applyBorder="1" applyAlignment="1">
      <alignment horizontal="right" vertical="center" shrinkToFit="1"/>
    </xf>
    <xf numFmtId="9" fontId="0" fillId="0" borderId="25" xfId="0" applyNumberFormat="1" applyBorder="1" applyAlignment="1">
      <alignment horizontal="right" vertical="center" shrinkToFit="1"/>
    </xf>
    <xf numFmtId="38" fontId="0" fillId="0" borderId="25" xfId="1" applyFont="1" applyBorder="1" applyAlignment="1">
      <alignment vertical="center" shrinkToFit="1"/>
    </xf>
    <xf numFmtId="9" fontId="0" fillId="0" borderId="1" xfId="2" applyFont="1" applyBorder="1" applyAlignment="1">
      <alignment vertical="center" shrinkToFit="1"/>
    </xf>
    <xf numFmtId="9" fontId="0" fillId="0" borderId="1" xfId="0" applyNumberFormat="1" applyBorder="1" applyAlignment="1">
      <alignment horizontal="right" vertical="center" shrinkToFit="1"/>
    </xf>
    <xf numFmtId="38" fontId="0" fillId="0" borderId="1" xfId="1" applyFont="1" applyBorder="1" applyAlignment="1">
      <alignment horizontal="right" vertical="center" shrinkToFit="1"/>
    </xf>
    <xf numFmtId="0" fontId="0" fillId="0" borderId="1" xfId="0" applyBorder="1" applyAlignment="1">
      <alignment horizontal="right" vertical="center" shrinkToFit="1"/>
    </xf>
    <xf numFmtId="0" fontId="0" fillId="0" borderId="25" xfId="0" applyBorder="1" applyAlignment="1">
      <alignment horizontal="right" vertical="center" shrinkToFit="1"/>
    </xf>
    <xf numFmtId="0" fontId="0" fillId="0" borderId="25" xfId="0" applyBorder="1" applyAlignment="1">
      <alignment vertical="center" shrinkToFit="1"/>
    </xf>
    <xf numFmtId="177" fontId="0" fillId="0" borderId="1" xfId="2" applyNumberFormat="1" applyFont="1" applyBorder="1" applyAlignment="1">
      <alignment vertical="center" shrinkToFit="1"/>
    </xf>
    <xf numFmtId="177" fontId="0" fillId="0" borderId="25" xfId="2" applyNumberFormat="1" applyFont="1" applyBorder="1" applyAlignment="1">
      <alignment vertical="center" shrinkToFit="1"/>
    </xf>
    <xf numFmtId="0" fontId="0" fillId="0" borderId="16" xfId="0" applyBorder="1" applyAlignment="1">
      <alignment vertical="center" shrinkToFit="1"/>
    </xf>
    <xf numFmtId="178" fontId="0" fillId="0" borderId="16" xfId="1" applyNumberFormat="1" applyFont="1" applyBorder="1" applyAlignment="1">
      <alignment vertical="center" shrinkToFit="1"/>
    </xf>
    <xf numFmtId="178" fontId="0" fillId="0" borderId="17" xfId="1" applyNumberFormat="1" applyFont="1" applyBorder="1" applyAlignment="1">
      <alignment vertical="center" shrinkToFit="1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14" fillId="9" borderId="48" xfId="8" applyFont="1" applyFill="1" applyBorder="1" applyAlignment="1">
      <alignment horizontal="center" vertical="center" shrinkToFit="1"/>
    </xf>
    <xf numFmtId="179" fontId="14" fillId="0" borderId="0" xfId="8" applyNumberFormat="1" applyFont="1" applyAlignment="1">
      <alignment horizontal="center" shrinkToFit="1"/>
    </xf>
    <xf numFmtId="3" fontId="14" fillId="0" borderId="0" xfId="1" applyNumberFormat="1" applyFont="1" applyAlignment="1">
      <alignment shrinkToFit="1"/>
    </xf>
    <xf numFmtId="3" fontId="14" fillId="0" borderId="0" xfId="8" applyNumberFormat="1" applyFont="1" applyAlignment="1">
      <alignment shrinkToFit="1"/>
    </xf>
    <xf numFmtId="0" fontId="14" fillId="0" borderId="51" xfId="8" applyFont="1" applyBorder="1" applyAlignment="1"/>
    <xf numFmtId="0" fontId="14" fillId="0" borderId="54" xfId="8" applyFont="1" applyBorder="1" applyAlignment="1">
      <alignment shrinkToFit="1"/>
    </xf>
    <xf numFmtId="0" fontId="14" fillId="0" borderId="57" xfId="8" applyFont="1" applyBorder="1" applyAlignment="1"/>
    <xf numFmtId="0" fontId="14" fillId="0" borderId="58" xfId="8" applyFont="1" applyBorder="1" applyAlignment="1">
      <alignment shrinkToFit="1"/>
    </xf>
    <xf numFmtId="0" fontId="14" fillId="9" borderId="60" xfId="8" applyFont="1" applyFill="1" applyBorder="1" applyAlignment="1">
      <alignment horizontal="center" vertical="center" shrinkToFit="1"/>
    </xf>
    <xf numFmtId="0" fontId="14" fillId="0" borderId="66" xfId="8" applyFont="1" applyBorder="1" applyAlignment="1">
      <alignment shrinkToFit="1"/>
    </xf>
    <xf numFmtId="179" fontId="14" fillId="0" borderId="0" xfId="8" applyNumberFormat="1" applyFont="1" applyBorder="1" applyAlignment="1">
      <alignment horizontal="center" shrinkToFit="1"/>
    </xf>
    <xf numFmtId="3" fontId="14" fillId="0" borderId="0" xfId="1" applyNumberFormat="1" applyFont="1" applyBorder="1" applyAlignment="1">
      <alignment shrinkToFit="1"/>
    </xf>
    <xf numFmtId="3" fontId="14" fillId="0" borderId="67" xfId="1" applyNumberFormat="1" applyFont="1" applyBorder="1" applyAlignment="1">
      <alignment shrinkToFit="1"/>
    </xf>
    <xf numFmtId="3" fontId="14" fillId="0" borderId="0" xfId="8" applyNumberFormat="1" applyFont="1" applyBorder="1" applyAlignment="1">
      <alignment shrinkToFit="1"/>
    </xf>
    <xf numFmtId="3" fontId="14" fillId="0" borderId="67" xfId="8" applyNumberFormat="1" applyFont="1" applyBorder="1" applyAlignment="1">
      <alignment shrinkToFit="1"/>
    </xf>
    <xf numFmtId="0" fontId="14" fillId="0" borderId="66" xfId="8" applyFont="1" applyBorder="1" applyAlignment="1">
      <alignment horizontal="left"/>
    </xf>
    <xf numFmtId="0" fontId="14" fillId="0" borderId="0" xfId="8" applyFont="1" applyBorder="1" applyAlignment="1">
      <alignment shrinkToFit="1"/>
    </xf>
    <xf numFmtId="0" fontId="0" fillId="0" borderId="66" xfId="0" applyBorder="1">
      <alignment vertical="center"/>
    </xf>
    <xf numFmtId="0" fontId="0" fillId="0" borderId="0" xfId="0" applyBorder="1">
      <alignment vertical="center"/>
    </xf>
    <xf numFmtId="0" fontId="0" fillId="0" borderId="67" xfId="0" applyBorder="1">
      <alignment vertical="center"/>
    </xf>
    <xf numFmtId="0" fontId="0" fillId="0" borderId="68" xfId="0" applyBorder="1">
      <alignment vertical="center"/>
    </xf>
    <xf numFmtId="0" fontId="0" fillId="0" borderId="37" xfId="0" applyBorder="1">
      <alignment vertical="center"/>
    </xf>
    <xf numFmtId="0" fontId="0" fillId="0" borderId="69" xfId="0" applyBorder="1">
      <alignment vertical="center"/>
    </xf>
    <xf numFmtId="0" fontId="0" fillId="0" borderId="0" xfId="0" applyAlignment="1">
      <alignment horizontal="center" vertical="center"/>
    </xf>
    <xf numFmtId="0" fontId="13" fillId="9" borderId="59" xfId="8" applyFont="1" applyFill="1" applyBorder="1" applyAlignment="1">
      <alignment horizontal="center" vertical="center" shrinkToFit="1"/>
    </xf>
    <xf numFmtId="0" fontId="14" fillId="9" borderId="61" xfId="8" applyFont="1" applyFill="1" applyBorder="1" applyAlignment="1">
      <alignment horizontal="center" vertical="center"/>
    </xf>
    <xf numFmtId="0" fontId="14" fillId="9" borderId="62" xfId="8" applyFont="1" applyFill="1" applyBorder="1" applyAlignment="1">
      <alignment horizontal="center" vertical="center"/>
    </xf>
    <xf numFmtId="0" fontId="14" fillId="9" borderId="63" xfId="8" applyFont="1" applyFill="1" applyBorder="1" applyAlignment="1">
      <alignment horizontal="center" vertical="center"/>
    </xf>
    <xf numFmtId="0" fontId="13" fillId="9" borderId="64" xfId="0" applyFont="1" applyFill="1" applyBorder="1" applyAlignment="1">
      <alignment horizontal="center" vertical="center" shrinkToFit="1"/>
    </xf>
    <xf numFmtId="0" fontId="14" fillId="9" borderId="49" xfId="8" applyFont="1" applyFill="1" applyBorder="1" applyAlignment="1">
      <alignment horizontal="center" vertical="center" shrinkToFit="1"/>
    </xf>
    <xf numFmtId="0" fontId="14" fillId="9" borderId="50" xfId="8" applyFont="1" applyFill="1" applyBorder="1" applyAlignment="1">
      <alignment horizontal="center" vertical="center" shrinkToFit="1"/>
    </xf>
    <xf numFmtId="0" fontId="14" fillId="9" borderId="65" xfId="8" applyFont="1" applyFill="1" applyBorder="1" applyAlignment="1">
      <alignment horizontal="center" vertical="center" shrinkToFit="1"/>
    </xf>
    <xf numFmtId="0" fontId="14" fillId="9" borderId="70" xfId="8" applyFont="1" applyFill="1" applyBorder="1" applyAlignment="1">
      <alignment horizontal="center" vertical="center" shrinkToFit="1"/>
    </xf>
    <xf numFmtId="38" fontId="14" fillId="0" borderId="0" xfId="1" applyFont="1" applyBorder="1" applyAlignment="1">
      <alignment shrinkToFit="1"/>
    </xf>
    <xf numFmtId="38" fontId="14" fillId="0" borderId="67" xfId="1" applyFont="1" applyBorder="1" applyAlignment="1">
      <alignment shrinkToFit="1"/>
    </xf>
    <xf numFmtId="38" fontId="0" fillId="0" borderId="0" xfId="1" applyFont="1" applyBorder="1">
      <alignment vertical="center"/>
    </xf>
    <xf numFmtId="38" fontId="0" fillId="0" borderId="67" xfId="1" applyFont="1" applyBorder="1">
      <alignment vertical="center"/>
    </xf>
    <xf numFmtId="0" fontId="14" fillId="9" borderId="73" xfId="8" applyFont="1" applyFill="1" applyBorder="1" applyAlignment="1">
      <alignment horizontal="center" vertical="center" shrinkToFit="1"/>
    </xf>
    <xf numFmtId="0" fontId="14" fillId="9" borderId="74" xfId="8" applyFont="1" applyFill="1" applyBorder="1" applyAlignment="1">
      <alignment horizontal="center" vertical="center" shrinkToFit="1"/>
    </xf>
    <xf numFmtId="3" fontId="14" fillId="0" borderId="1" xfId="8" applyNumberFormat="1" applyFont="1" applyBorder="1" applyAlignment="1">
      <alignment shrinkToFit="1"/>
    </xf>
    <xf numFmtId="38" fontId="14" fillId="0" borderId="1" xfId="1" applyFont="1" applyBorder="1" applyAlignment="1">
      <alignment shrinkToFit="1"/>
    </xf>
    <xf numFmtId="180" fontId="14" fillId="0" borderId="2" xfId="8" applyNumberFormat="1" applyFont="1" applyBorder="1" applyAlignment="1">
      <alignment horizontal="center" shrinkToFit="1"/>
    </xf>
    <xf numFmtId="180" fontId="14" fillId="0" borderId="1" xfId="8" applyNumberFormat="1" applyFont="1" applyBorder="1" applyAlignment="1">
      <alignment horizontal="center" shrinkToFit="1"/>
    </xf>
    <xf numFmtId="180" fontId="14" fillId="0" borderId="1" xfId="8" applyNumberFormat="1" applyFont="1" applyBorder="1" applyAlignment="1">
      <alignment shrinkToFit="1"/>
    </xf>
    <xf numFmtId="180" fontId="0" fillId="0" borderId="1" xfId="0" applyNumberFormat="1" applyBorder="1">
      <alignment vertical="center"/>
    </xf>
    <xf numFmtId="180" fontId="0" fillId="0" borderId="0" xfId="0" applyNumberFormat="1">
      <alignment vertical="center"/>
    </xf>
    <xf numFmtId="176" fontId="0" fillId="0" borderId="0" xfId="0" applyNumberFormat="1" applyAlignment="1">
      <alignment vertical="center" shrinkToFit="1"/>
    </xf>
    <xf numFmtId="176" fontId="0" fillId="0" borderId="0" xfId="0" applyNumberFormat="1" applyAlignment="1">
      <alignment horizontal="right" vertical="center" shrinkToFit="1"/>
    </xf>
    <xf numFmtId="176" fontId="0" fillId="0" borderId="20" xfId="1" applyNumberFormat="1" applyFont="1" applyBorder="1" applyAlignment="1">
      <alignment horizontal="center" vertical="center" shrinkToFit="1"/>
    </xf>
    <xf numFmtId="176" fontId="0" fillId="0" borderId="21" xfId="1" applyNumberFormat="1" applyFont="1" applyBorder="1" applyAlignment="1">
      <alignment horizontal="center" vertical="center" shrinkToFit="1"/>
    </xf>
    <xf numFmtId="176" fontId="0" fillId="0" borderId="2" xfId="1" applyNumberFormat="1" applyFont="1" applyBorder="1" applyAlignment="1">
      <alignment vertical="center" shrinkToFit="1"/>
    </xf>
    <xf numFmtId="176" fontId="0" fillId="0" borderId="23" xfId="1" applyNumberFormat="1" applyFont="1" applyBorder="1" applyAlignment="1">
      <alignment vertical="center" shrinkToFit="1"/>
    </xf>
    <xf numFmtId="176" fontId="0" fillId="2" borderId="1" xfId="1" applyNumberFormat="1" applyFont="1" applyFill="1" applyBorder="1" applyAlignment="1">
      <alignment vertical="center" shrinkToFit="1"/>
    </xf>
    <xf numFmtId="176" fontId="0" fillId="2" borderId="25" xfId="1" applyNumberFormat="1" applyFont="1" applyFill="1" applyBorder="1" applyAlignment="1">
      <alignment vertical="center" shrinkToFit="1"/>
    </xf>
    <xf numFmtId="176" fontId="5" fillId="0" borderId="1" xfId="0" applyNumberFormat="1" applyFont="1" applyBorder="1" applyAlignment="1">
      <alignment vertical="center" shrinkToFit="1"/>
    </xf>
    <xf numFmtId="176" fontId="7" fillId="0" borderId="1" xfId="1" applyNumberFormat="1" applyFont="1" applyBorder="1" applyAlignment="1">
      <alignment vertical="center" shrinkToFit="1"/>
    </xf>
    <xf numFmtId="176" fontId="7" fillId="0" borderId="25" xfId="1" applyNumberFormat="1" applyFont="1" applyBorder="1" applyAlignment="1">
      <alignment vertical="center" shrinkToFit="1"/>
    </xf>
    <xf numFmtId="176" fontId="0" fillId="3" borderId="1" xfId="1" applyNumberFormat="1" applyFont="1" applyFill="1" applyBorder="1" applyAlignment="1">
      <alignment vertical="center" shrinkToFit="1"/>
    </xf>
    <xf numFmtId="176" fontId="0" fillId="3" borderId="25" xfId="1" applyNumberFormat="1" applyFont="1" applyFill="1" applyBorder="1" applyAlignment="1">
      <alignment vertical="center" shrinkToFit="1"/>
    </xf>
    <xf numFmtId="176" fontId="0" fillId="4" borderId="1" xfId="1" applyNumberFormat="1" applyFont="1" applyFill="1" applyBorder="1" applyAlignment="1">
      <alignment vertical="center" shrinkToFit="1"/>
    </xf>
    <xf numFmtId="176" fontId="0" fillId="4" borderId="25" xfId="1" applyNumberFormat="1" applyFont="1" applyFill="1" applyBorder="1" applyAlignment="1">
      <alignment vertical="center" shrinkToFit="1"/>
    </xf>
    <xf numFmtId="176" fontId="0" fillId="6" borderId="1" xfId="1" applyNumberFormat="1" applyFont="1" applyFill="1" applyBorder="1" applyAlignment="1">
      <alignment vertical="center" shrinkToFit="1"/>
    </xf>
    <xf numFmtId="176" fontId="0" fillId="6" borderId="25" xfId="1" applyNumberFormat="1" applyFont="1" applyFill="1" applyBorder="1" applyAlignment="1">
      <alignment vertical="center" shrinkToFit="1"/>
    </xf>
    <xf numFmtId="176" fontId="0" fillId="7" borderId="1" xfId="1" applyNumberFormat="1" applyFont="1" applyFill="1" applyBorder="1" applyAlignment="1">
      <alignment vertical="center" shrinkToFit="1"/>
    </xf>
    <xf numFmtId="176" fontId="0" fillId="7" borderId="25" xfId="1" applyNumberFormat="1" applyFont="1" applyFill="1" applyBorder="1" applyAlignment="1">
      <alignment vertical="center" shrinkToFit="1"/>
    </xf>
    <xf numFmtId="176" fontId="0" fillId="0" borderId="16" xfId="1" applyNumberFormat="1" applyFont="1" applyBorder="1" applyAlignment="1">
      <alignment vertical="center" shrinkToFit="1"/>
    </xf>
    <xf numFmtId="176" fontId="0" fillId="0" borderId="17" xfId="1" applyNumberFormat="1" applyFont="1" applyBorder="1" applyAlignment="1">
      <alignment vertical="center" shrinkToFit="1"/>
    </xf>
    <xf numFmtId="176" fontId="0" fillId="0" borderId="1" xfId="0" applyNumberFormat="1" applyBorder="1" applyAlignment="1">
      <alignment vertical="center" shrinkToFit="1"/>
    </xf>
    <xf numFmtId="176" fontId="4" fillId="0" borderId="0" xfId="5" applyNumberFormat="1" applyAlignment="1">
      <alignment vertical="center" shrinkToFit="1"/>
    </xf>
    <xf numFmtId="176" fontId="0" fillId="0" borderId="0" xfId="0" applyNumberFormat="1" applyAlignment="1">
      <alignment horizontal="center" vertical="center" shrinkToFit="1"/>
    </xf>
    <xf numFmtId="176" fontId="0" fillId="0" borderId="1" xfId="1" applyNumberFormat="1" applyFont="1" applyBorder="1" applyAlignment="1">
      <alignment horizontal="center" vertical="center" shrinkToFit="1"/>
    </xf>
    <xf numFmtId="176" fontId="8" fillId="0" borderId="0" xfId="0" applyNumberFormat="1" applyFont="1" applyAlignment="1">
      <alignment horizontal="center" vertical="center" shrinkToFit="1"/>
    </xf>
    <xf numFmtId="176" fontId="8" fillId="4" borderId="1" xfId="1" applyNumberFormat="1" applyFont="1" applyFill="1" applyBorder="1" applyAlignment="1">
      <alignment horizontal="right" vertical="center" shrinkToFit="1"/>
    </xf>
    <xf numFmtId="176" fontId="5" fillId="0" borderId="0" xfId="0" applyNumberFormat="1" applyFont="1" applyAlignment="1">
      <alignment vertical="center" shrinkToFit="1"/>
    </xf>
    <xf numFmtId="176" fontId="6" fillId="0" borderId="1" xfId="0" applyNumberFormat="1" applyFont="1" applyBorder="1" applyAlignment="1">
      <alignment horizontal="left" vertical="center" shrinkToFit="1"/>
    </xf>
    <xf numFmtId="176" fontId="6" fillId="0" borderId="0" xfId="0" applyNumberFormat="1" applyFont="1" applyAlignment="1">
      <alignment vertical="center" shrinkToFit="1"/>
    </xf>
    <xf numFmtId="176" fontId="8" fillId="4" borderId="1" xfId="1" applyNumberFormat="1" applyFont="1" applyFill="1" applyBorder="1" applyAlignment="1">
      <alignment vertical="center" shrinkToFit="1"/>
    </xf>
    <xf numFmtId="176" fontId="8" fillId="0" borderId="0" xfId="0" applyNumberFormat="1" applyFont="1" applyAlignment="1">
      <alignment vertical="center" shrinkToFit="1"/>
    </xf>
    <xf numFmtId="176" fontId="0" fillId="0" borderId="1" xfId="1" applyNumberFormat="1" applyFont="1" applyBorder="1" applyAlignment="1">
      <alignment vertical="center" shrinkToFit="1"/>
    </xf>
    <xf numFmtId="176" fontId="7" fillId="0" borderId="0" xfId="0" applyNumberFormat="1" applyFont="1" applyAlignment="1">
      <alignment vertical="center" shrinkToFit="1"/>
    </xf>
    <xf numFmtId="176" fontId="0" fillId="8" borderId="1" xfId="1" applyNumberFormat="1" applyFont="1" applyFill="1" applyBorder="1" applyAlignment="1">
      <alignment vertical="center" shrinkToFit="1"/>
    </xf>
    <xf numFmtId="176" fontId="0" fillId="8" borderId="5" xfId="0" applyNumberFormat="1" applyFill="1" applyBorder="1" applyAlignment="1">
      <alignment vertical="center" shrinkToFit="1"/>
    </xf>
    <xf numFmtId="177" fontId="0" fillId="5" borderId="0" xfId="2" applyNumberFormat="1" applyFont="1" applyFill="1" applyAlignment="1">
      <alignment vertical="center" shrinkToFit="1"/>
    </xf>
    <xf numFmtId="177" fontId="0" fillId="5" borderId="1" xfId="2" applyNumberFormat="1" applyFont="1" applyFill="1" applyBorder="1" applyAlignment="1">
      <alignment horizontal="center" vertical="center" shrinkToFit="1"/>
    </xf>
    <xf numFmtId="177" fontId="8" fillId="4" borderId="1" xfId="2" applyNumberFormat="1" applyFont="1" applyFill="1" applyBorder="1" applyAlignment="1">
      <alignment horizontal="center" vertical="center" shrinkToFit="1"/>
    </xf>
    <xf numFmtId="177" fontId="0" fillId="2" borderId="1" xfId="2" applyNumberFormat="1" applyFont="1" applyFill="1" applyBorder="1" applyAlignment="1">
      <alignment vertical="center" shrinkToFit="1"/>
    </xf>
    <xf numFmtId="177" fontId="0" fillId="5" borderId="1" xfId="2" applyNumberFormat="1" applyFont="1" applyFill="1" applyBorder="1" applyAlignment="1">
      <alignment vertical="center" shrinkToFit="1"/>
    </xf>
    <xf numFmtId="177" fontId="0" fillId="3" borderId="1" xfId="2" applyNumberFormat="1" applyFont="1" applyFill="1" applyBorder="1" applyAlignment="1">
      <alignment vertical="center" shrinkToFit="1"/>
    </xf>
    <xf numFmtId="177" fontId="0" fillId="4" borderId="1" xfId="2" applyNumberFormat="1" applyFont="1" applyFill="1" applyBorder="1" applyAlignment="1">
      <alignment vertical="center" shrinkToFit="1"/>
    </xf>
    <xf numFmtId="177" fontId="0" fillId="8" borderId="6" xfId="2" applyNumberFormat="1" applyFont="1" applyFill="1" applyBorder="1" applyAlignment="1">
      <alignment vertical="center" shrinkToFit="1"/>
    </xf>
    <xf numFmtId="176" fontId="0" fillId="0" borderId="0" xfId="0" applyNumberFormat="1" applyAlignment="1">
      <alignment vertical="center" shrinkToFit="1"/>
    </xf>
    <xf numFmtId="176" fontId="0" fillId="0" borderId="2" xfId="1" applyNumberFormat="1" applyFont="1" applyBorder="1" applyAlignment="1">
      <alignment vertical="center" shrinkToFit="1"/>
    </xf>
    <xf numFmtId="176" fontId="0" fillId="0" borderId="1" xfId="0" applyNumberFormat="1" applyBorder="1" applyAlignment="1">
      <alignment vertical="center" shrinkToFit="1"/>
    </xf>
    <xf numFmtId="176" fontId="0" fillId="0" borderId="78" xfId="1" applyNumberFormat="1" applyFont="1" applyBorder="1" applyAlignment="1">
      <alignment vertical="center" shrinkToFit="1"/>
    </xf>
    <xf numFmtId="176" fontId="0" fillId="0" borderId="0" xfId="1" applyNumberFormat="1" applyFont="1" applyAlignment="1">
      <alignment vertical="center" shrinkToFit="1"/>
    </xf>
    <xf numFmtId="176" fontId="0" fillId="0" borderId="27" xfId="1" applyNumberFormat="1" applyFont="1" applyBorder="1" applyAlignment="1">
      <alignment vertical="center" shrinkToFit="1"/>
    </xf>
    <xf numFmtId="176" fontId="0" fillId="0" borderId="25" xfId="1" applyNumberFormat="1" applyFont="1" applyBorder="1" applyAlignment="1">
      <alignment vertical="center" shrinkToFit="1"/>
    </xf>
    <xf numFmtId="176" fontId="0" fillId="0" borderId="27" xfId="0" applyNumberFormat="1" applyBorder="1" applyAlignment="1">
      <alignment vertical="center" shrinkToFit="1"/>
    </xf>
    <xf numFmtId="176" fontId="0" fillId="0" borderId="79" xfId="1" applyNumberFormat="1" applyFont="1" applyBorder="1" applyAlignment="1">
      <alignment vertical="center" shrinkToFit="1"/>
    </xf>
    <xf numFmtId="176" fontId="0" fillId="0" borderId="80" xfId="1" applyNumberFormat="1" applyFont="1" applyBorder="1" applyAlignment="1">
      <alignment vertical="center" shrinkToFit="1"/>
    </xf>
    <xf numFmtId="176" fontId="0" fillId="0" borderId="44" xfId="1" applyNumberFormat="1" applyFont="1" applyBorder="1" applyAlignment="1">
      <alignment vertical="center" shrinkToFit="1"/>
    </xf>
    <xf numFmtId="176" fontId="0" fillId="0" borderId="81" xfId="1" applyNumberFormat="1" applyFont="1" applyBorder="1" applyAlignment="1">
      <alignment vertical="center" shrinkToFit="1"/>
    </xf>
    <xf numFmtId="176" fontId="0" fillId="0" borderId="82" xfId="1" applyNumberFormat="1" applyFont="1" applyBorder="1" applyAlignment="1">
      <alignment vertical="center" shrinkToFit="1"/>
    </xf>
    <xf numFmtId="176" fontId="0" fillId="0" borderId="26" xfId="1" applyNumberFormat="1" applyFont="1" applyBorder="1" applyAlignment="1">
      <alignment vertical="center" shrinkToFit="1"/>
    </xf>
    <xf numFmtId="176" fontId="0" fillId="4" borderId="26" xfId="1" applyNumberFormat="1" applyFont="1" applyFill="1" applyBorder="1" applyAlignment="1">
      <alignment vertical="center" shrinkToFit="1"/>
    </xf>
    <xf numFmtId="176" fontId="0" fillId="4" borderId="2" xfId="1" applyNumberFormat="1" applyFont="1" applyFill="1" applyBorder="1" applyAlignment="1">
      <alignment vertical="center" shrinkToFit="1"/>
    </xf>
    <xf numFmtId="176" fontId="0" fillId="4" borderId="23" xfId="1" applyNumberFormat="1" applyFont="1" applyFill="1" applyBorder="1" applyAlignment="1">
      <alignment vertical="center" shrinkToFit="1"/>
    </xf>
    <xf numFmtId="176" fontId="18" fillId="0" borderId="0" xfId="0" applyNumberFormat="1" applyFont="1" applyAlignment="1">
      <alignment vertical="center" shrinkToFit="1"/>
    </xf>
    <xf numFmtId="176" fontId="18" fillId="0" borderId="0" xfId="1" applyNumberFormat="1" applyFont="1" applyAlignment="1">
      <alignment vertical="center" shrinkToFit="1"/>
    </xf>
    <xf numFmtId="0" fontId="18" fillId="0" borderId="0" xfId="0" applyFont="1" applyAlignment="1">
      <alignment vertical="center" shrinkToFit="1"/>
    </xf>
    <xf numFmtId="0" fontId="0" fillId="4" borderId="1" xfId="0" applyFill="1" applyBorder="1" applyAlignment="1">
      <alignment vertical="center" shrinkToFit="1"/>
    </xf>
    <xf numFmtId="0" fontId="20" fillId="0" borderId="0" xfId="9" applyFont="1"/>
    <xf numFmtId="0" fontId="21" fillId="12" borderId="0" xfId="9" applyFont="1" applyFill="1"/>
    <xf numFmtId="0" fontId="21" fillId="13" borderId="0" xfId="9" applyFont="1" applyFill="1"/>
    <xf numFmtId="0" fontId="21" fillId="14" borderId="0" xfId="9" applyFont="1" applyFill="1"/>
    <xf numFmtId="0" fontId="20" fillId="14" borderId="0" xfId="9" applyFont="1" applyFill="1"/>
    <xf numFmtId="0" fontId="21" fillId="15" borderId="0" xfId="9" applyFont="1" applyFill="1"/>
    <xf numFmtId="0" fontId="21" fillId="16" borderId="0" xfId="9" applyFont="1" applyFill="1"/>
    <xf numFmtId="0" fontId="21" fillId="6" borderId="0" xfId="9" applyFont="1" applyFill="1"/>
    <xf numFmtId="0" fontId="20" fillId="6" borderId="0" xfId="9" applyFont="1" applyFill="1"/>
    <xf numFmtId="49" fontId="20" fillId="0" borderId="0" xfId="9" applyNumberFormat="1" applyFont="1"/>
    <xf numFmtId="49" fontId="20" fillId="17" borderId="0" xfId="9" applyNumberFormat="1" applyFont="1" applyFill="1" applyAlignment="1">
      <alignment horizontal="center"/>
    </xf>
    <xf numFmtId="49" fontId="20" fillId="18" borderId="0" xfId="9" applyNumberFormat="1" applyFont="1" applyFill="1" applyAlignment="1">
      <alignment horizontal="center"/>
    </xf>
    <xf numFmtId="49" fontId="20" fillId="19" borderId="0" xfId="9" applyNumberFormat="1" applyFont="1" applyFill="1" applyAlignment="1">
      <alignment horizontal="center"/>
    </xf>
    <xf numFmtId="49" fontId="20" fillId="18" borderId="0" xfId="9" applyNumberFormat="1" applyFont="1" applyFill="1" applyAlignment="1"/>
    <xf numFmtId="182" fontId="20" fillId="0" borderId="0" xfId="9" applyNumberFormat="1" applyFont="1"/>
    <xf numFmtId="182" fontId="20" fillId="3" borderId="0" xfId="9" applyNumberFormat="1" applyFont="1" applyFill="1"/>
    <xf numFmtId="182" fontId="20" fillId="20" borderId="0" xfId="9" applyNumberFormat="1" applyFont="1" applyFill="1"/>
    <xf numFmtId="182" fontId="20" fillId="10" borderId="0" xfId="9" applyNumberFormat="1" applyFont="1" applyFill="1"/>
    <xf numFmtId="0" fontId="20" fillId="20" borderId="0" xfId="9" applyFont="1" applyFill="1"/>
    <xf numFmtId="182" fontId="20" fillId="21" borderId="0" xfId="9" applyNumberFormat="1" applyFont="1" applyFill="1"/>
    <xf numFmtId="182" fontId="20" fillId="8" borderId="0" xfId="9" applyNumberFormat="1" applyFont="1" applyFill="1"/>
    <xf numFmtId="9" fontId="20" fillId="0" borderId="0" xfId="10" applyFont="1"/>
    <xf numFmtId="0" fontId="22" fillId="0" borderId="0" xfId="9" applyFont="1"/>
    <xf numFmtId="0" fontId="20" fillId="0" borderId="39" xfId="9" applyFont="1" applyBorder="1"/>
    <xf numFmtId="0" fontId="20" fillId="0" borderId="45" xfId="9" applyFont="1" applyBorder="1"/>
    <xf numFmtId="0" fontId="20" fillId="0" borderId="46" xfId="9" applyFont="1" applyBorder="1"/>
    <xf numFmtId="0" fontId="20" fillId="0" borderId="66" xfId="9" applyFont="1" applyBorder="1"/>
    <xf numFmtId="0" fontId="20" fillId="0" borderId="0" xfId="9" applyFont="1" applyBorder="1"/>
    <xf numFmtId="0" fontId="21" fillId="22" borderId="0" xfId="9" applyFont="1" applyFill="1" applyBorder="1"/>
    <xf numFmtId="0" fontId="21" fillId="23" borderId="0" xfId="9" applyFont="1" applyFill="1" applyBorder="1"/>
    <xf numFmtId="0" fontId="20" fillId="23" borderId="0" xfId="9" applyFont="1" applyFill="1" applyBorder="1"/>
    <xf numFmtId="0" fontId="20" fillId="0" borderId="67" xfId="9" applyFont="1" applyBorder="1"/>
    <xf numFmtId="49" fontId="20" fillId="0" borderId="66" xfId="9" applyNumberFormat="1" applyFont="1" applyBorder="1"/>
    <xf numFmtId="49" fontId="20" fillId="0" borderId="0" xfId="9" applyNumberFormat="1" applyFont="1" applyBorder="1"/>
    <xf numFmtId="49" fontId="20" fillId="24" borderId="0" xfId="9" applyNumberFormat="1" applyFont="1" applyFill="1" applyBorder="1" applyAlignment="1">
      <alignment horizontal="center"/>
    </xf>
    <xf numFmtId="49" fontId="20" fillId="25" borderId="0" xfId="9" applyNumberFormat="1" applyFont="1" applyFill="1" applyBorder="1" applyAlignment="1">
      <alignment horizontal="center"/>
    </xf>
    <xf numFmtId="49" fontId="20" fillId="26" borderId="0" xfId="9" applyNumberFormat="1" applyFont="1" applyFill="1" applyBorder="1" applyAlignment="1">
      <alignment horizontal="center"/>
    </xf>
    <xf numFmtId="49" fontId="20" fillId="26" borderId="0" xfId="9" applyNumberFormat="1" applyFont="1" applyFill="1" applyBorder="1" applyAlignment="1"/>
    <xf numFmtId="181" fontId="20" fillId="0" borderId="0" xfId="9" applyNumberFormat="1" applyFont="1" applyBorder="1"/>
    <xf numFmtId="182" fontId="20" fillId="0" borderId="66" xfId="9" applyNumberFormat="1" applyFont="1" applyBorder="1"/>
    <xf numFmtId="182" fontId="20" fillId="0" borderId="0" xfId="9" applyNumberFormat="1" applyFont="1" applyBorder="1"/>
    <xf numFmtId="182" fontId="20" fillId="2" borderId="0" xfId="9" applyNumberFormat="1" applyFont="1" applyFill="1" applyBorder="1"/>
    <xf numFmtId="182" fontId="20" fillId="27" borderId="0" xfId="9" applyNumberFormat="1" applyFont="1" applyFill="1" applyBorder="1"/>
    <xf numFmtId="0" fontId="20" fillId="27" borderId="0" xfId="9" applyFont="1" applyFill="1" applyBorder="1"/>
    <xf numFmtId="182" fontId="20" fillId="28" borderId="0" xfId="9" applyNumberFormat="1" applyFont="1" applyFill="1" applyBorder="1"/>
    <xf numFmtId="182" fontId="20" fillId="29" borderId="0" xfId="9" applyNumberFormat="1" applyFont="1" applyFill="1" applyBorder="1"/>
    <xf numFmtId="9" fontId="20" fillId="0" borderId="0" xfId="10" applyFont="1" applyBorder="1"/>
    <xf numFmtId="0" fontId="22" fillId="0" borderId="0" xfId="9" applyFont="1" applyBorder="1"/>
    <xf numFmtId="0" fontId="20" fillId="0" borderId="68" xfId="9" applyFont="1" applyBorder="1"/>
    <xf numFmtId="0" fontId="20" fillId="0" borderId="37" xfId="9" applyFont="1" applyBorder="1"/>
    <xf numFmtId="0" fontId="20" fillId="0" borderId="69" xfId="9" applyFont="1" applyBorder="1"/>
    <xf numFmtId="176" fontId="0" fillId="0" borderId="0" xfId="0" applyNumberFormat="1" applyAlignment="1">
      <alignment vertical="center" shrinkToFit="1"/>
    </xf>
    <xf numFmtId="0" fontId="14" fillId="0" borderId="0" xfId="8" applyFont="1" applyBorder="1" applyAlignment="1">
      <alignment shrinkToFit="1"/>
    </xf>
    <xf numFmtId="38" fontId="0" fillId="0" borderId="0" xfId="1" applyFont="1" applyAlignment="1">
      <alignment vertical="center" shrinkToFit="1"/>
    </xf>
    <xf numFmtId="38" fontId="0" fillId="0" borderId="83" xfId="1" applyFont="1" applyBorder="1" applyAlignment="1">
      <alignment vertical="center" shrinkToFit="1"/>
    </xf>
    <xf numFmtId="0" fontId="0" fillId="30" borderId="83" xfId="0" applyFill="1" applyBorder="1" applyAlignment="1">
      <alignment horizontal="center" vertical="center" shrinkToFit="1"/>
    </xf>
    <xf numFmtId="38" fontId="0" fillId="30" borderId="83" xfId="1" applyFont="1" applyFill="1" applyBorder="1" applyAlignment="1">
      <alignment vertical="center" shrinkToFit="1"/>
    </xf>
    <xf numFmtId="0" fontId="0" fillId="0" borderId="0" xfId="0" applyAlignment="1">
      <alignment horizontal="left" vertical="center" shrinkToFit="1"/>
    </xf>
    <xf numFmtId="0" fontId="13" fillId="0" borderId="51" xfId="8" applyFont="1" applyBorder="1" applyAlignment="1">
      <alignment horizontal="right"/>
    </xf>
    <xf numFmtId="0" fontId="13" fillId="0" borderId="89" xfId="8" applyFont="1" applyBorder="1" applyAlignment="1">
      <alignment horizontal="right"/>
    </xf>
    <xf numFmtId="0" fontId="14" fillId="0" borderId="89" xfId="8" applyFont="1" applyBorder="1" applyAlignment="1"/>
    <xf numFmtId="184" fontId="14" fillId="0" borderId="51" xfId="8" applyNumberFormat="1" applyFont="1" applyBorder="1" applyAlignment="1"/>
    <xf numFmtId="185" fontId="14" fillId="0" borderId="89" xfId="8" applyNumberFormat="1" applyFont="1" applyBorder="1" applyAlignment="1"/>
    <xf numFmtId="0" fontId="14" fillId="0" borderId="0" xfId="8" applyFont="1" applyAlignment="1">
      <alignment shrinkToFit="1"/>
    </xf>
    <xf numFmtId="38" fontId="0" fillId="0" borderId="25" xfId="1" applyFont="1" applyBorder="1" applyAlignment="1">
      <alignment horizontal="right" vertical="center" shrinkToFit="1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Border="1" applyAlignment="1">
      <alignment horizontal="left" vertical="center" shrinkToFit="1"/>
    </xf>
    <xf numFmtId="0" fontId="0" fillId="0" borderId="0" xfId="0" applyAlignment="1">
      <alignment vertical="center" shrinkToFit="1"/>
    </xf>
    <xf numFmtId="0" fontId="0" fillId="0" borderId="83" xfId="0" applyBorder="1" applyAlignment="1">
      <alignment horizontal="center" vertical="center" shrinkToFit="1"/>
    </xf>
    <xf numFmtId="0" fontId="20" fillId="0" borderId="0" xfId="0" applyFont="1" applyAlignment="1"/>
    <xf numFmtId="181" fontId="20" fillId="0" borderId="0" xfId="0" applyNumberFormat="1" applyFont="1" applyAlignment="1"/>
    <xf numFmtId="0" fontId="20" fillId="0" borderId="0" xfId="9" applyFont="1" applyFill="1"/>
    <xf numFmtId="0" fontId="20" fillId="0" borderId="0" xfId="9" applyFont="1" applyFill="1" applyBorder="1"/>
    <xf numFmtId="181" fontId="20" fillId="0" borderId="0" xfId="9" applyNumberFormat="1" applyFont="1" applyFill="1" applyBorder="1"/>
    <xf numFmtId="182" fontId="20" fillId="0" borderId="0" xfId="9" applyNumberFormat="1" applyFont="1" applyFill="1" applyBorder="1"/>
    <xf numFmtId="0" fontId="22" fillId="0" borderId="0" xfId="9" applyFont="1" applyFill="1" applyBorder="1"/>
    <xf numFmtId="49" fontId="20" fillId="0" borderId="0" xfId="9" applyNumberFormat="1" applyFont="1" applyAlignment="1">
      <alignment horizontal="center"/>
    </xf>
    <xf numFmtId="38" fontId="20" fillId="0" borderId="0" xfId="1" applyFont="1" applyAlignment="1"/>
    <xf numFmtId="38" fontId="20" fillId="0" borderId="0" xfId="1" applyFont="1" applyFill="1" applyBorder="1" applyAlignment="1"/>
    <xf numFmtId="38" fontId="20" fillId="0" borderId="0" xfId="1" applyFont="1" applyFill="1" applyAlignment="1"/>
    <xf numFmtId="38" fontId="3" fillId="0" borderId="0" xfId="1" applyFont="1" applyAlignment="1"/>
    <xf numFmtId="38" fontId="22" fillId="0" borderId="0" xfId="1" applyFont="1" applyFill="1" applyBorder="1" applyAlignment="1"/>
    <xf numFmtId="0" fontId="20" fillId="0" borderId="7" xfId="9" applyFont="1" applyBorder="1"/>
    <xf numFmtId="0" fontId="20" fillId="0" borderId="87" xfId="9" applyFont="1" applyBorder="1"/>
    <xf numFmtId="0" fontId="20" fillId="0" borderId="88" xfId="9" applyFont="1" applyBorder="1"/>
    <xf numFmtId="38" fontId="20" fillId="34" borderId="87" xfId="1" applyFont="1" applyFill="1" applyBorder="1" applyAlignment="1"/>
    <xf numFmtId="38" fontId="20" fillId="34" borderId="0" xfId="1" applyFont="1" applyFill="1" applyBorder="1" applyAlignment="1"/>
    <xf numFmtId="38" fontId="20" fillId="34" borderId="88" xfId="1" applyFont="1" applyFill="1" applyBorder="1" applyAlignment="1"/>
    <xf numFmtId="38" fontId="20" fillId="0" borderId="87" xfId="1" applyFont="1" applyBorder="1" applyAlignment="1"/>
    <xf numFmtId="38" fontId="20" fillId="0" borderId="0" xfId="1" applyFont="1" applyBorder="1" applyAlignment="1"/>
    <xf numFmtId="38" fontId="20" fillId="0" borderId="88" xfId="1" applyFont="1" applyBorder="1" applyAlignment="1"/>
    <xf numFmtId="38" fontId="20" fillId="0" borderId="9" xfId="1" applyFont="1" applyBorder="1" applyAlignment="1"/>
    <xf numFmtId="38" fontId="20" fillId="0" borderId="8" xfId="1" applyFont="1" applyBorder="1" applyAlignment="1"/>
    <xf numFmtId="38" fontId="20" fillId="0" borderId="18" xfId="1" applyFont="1" applyBorder="1" applyAlignment="1"/>
    <xf numFmtId="0" fontId="20" fillId="0" borderId="88" xfId="9" applyFont="1" applyFill="1" applyBorder="1"/>
    <xf numFmtId="182" fontId="20" fillId="0" borderId="88" xfId="9" applyNumberFormat="1" applyFont="1" applyFill="1" applyBorder="1"/>
    <xf numFmtId="38" fontId="20" fillId="34" borderId="9" xfId="1" applyFont="1" applyFill="1" applyBorder="1" applyAlignment="1"/>
    <xf numFmtId="38" fontId="20" fillId="34" borderId="8" xfId="1" applyFont="1" applyFill="1" applyBorder="1" applyAlignment="1"/>
    <xf numFmtId="38" fontId="20" fillId="34" borderId="18" xfId="1" applyFont="1" applyFill="1" applyBorder="1" applyAlignment="1"/>
    <xf numFmtId="181" fontId="20" fillId="0" borderId="87" xfId="9" applyNumberFormat="1" applyFont="1" applyFill="1" applyBorder="1"/>
    <xf numFmtId="182" fontId="20" fillId="0" borderId="87" xfId="9" applyNumberFormat="1" applyFont="1" applyFill="1" applyBorder="1"/>
    <xf numFmtId="0" fontId="20" fillId="0" borderId="87" xfId="9" applyFont="1" applyFill="1" applyBorder="1"/>
    <xf numFmtId="0" fontId="20" fillId="17" borderId="0" xfId="9" applyFont="1" applyFill="1"/>
    <xf numFmtId="0" fontId="20" fillId="0" borderId="83" xfId="9" applyFont="1" applyBorder="1"/>
    <xf numFmtId="38" fontId="20" fillId="0" borderId="83" xfId="9" applyNumberFormat="1" applyFont="1" applyBorder="1"/>
    <xf numFmtId="0" fontId="20" fillId="17" borderId="83" xfId="9" applyFont="1" applyFill="1" applyBorder="1"/>
    <xf numFmtId="0" fontId="3" fillId="0" borderId="83" xfId="9" applyFont="1" applyBorder="1" applyAlignment="1">
      <alignment horizontal="center"/>
    </xf>
    <xf numFmtId="0" fontId="20" fillId="0" borderId="83" xfId="0" applyFont="1" applyBorder="1" applyAlignment="1"/>
    <xf numFmtId="0" fontId="3" fillId="0" borderId="83" xfId="0" applyFont="1" applyBorder="1" applyAlignment="1"/>
    <xf numFmtId="0" fontId="3" fillId="17" borderId="83" xfId="0" applyFont="1" applyFill="1" applyBorder="1" applyAlignment="1"/>
    <xf numFmtId="0" fontId="20" fillId="0" borderId="94" xfId="9" applyFont="1" applyBorder="1"/>
    <xf numFmtId="0" fontId="20" fillId="0" borderId="93" xfId="9" applyFont="1" applyBorder="1"/>
    <xf numFmtId="38" fontId="3" fillId="17" borderId="93" xfId="1" applyFont="1" applyFill="1" applyBorder="1" applyAlignment="1"/>
    <xf numFmtId="182" fontId="20" fillId="17" borderId="2" xfId="9" applyNumberFormat="1" applyFont="1" applyFill="1" applyBorder="1"/>
    <xf numFmtId="0" fontId="3" fillId="0" borderId="94" xfId="9" applyFont="1" applyBorder="1"/>
    <xf numFmtId="0" fontId="20" fillId="0" borderId="2" xfId="9" applyFont="1" applyBorder="1"/>
    <xf numFmtId="49" fontId="20" fillId="0" borderId="83" xfId="9" applyNumberFormat="1" applyFont="1" applyBorder="1" applyAlignment="1">
      <alignment horizontal="center"/>
    </xf>
    <xf numFmtId="0" fontId="3" fillId="0" borderId="94" xfId="0" applyFont="1" applyBorder="1" applyAlignment="1"/>
    <xf numFmtId="0" fontId="3" fillId="0" borderId="83" xfId="9" applyFont="1" applyBorder="1"/>
    <xf numFmtId="38" fontId="3" fillId="0" borderId="93" xfId="1" applyFont="1" applyBorder="1" applyAlignment="1"/>
    <xf numFmtId="182" fontId="20" fillId="0" borderId="2" xfId="9" applyNumberFormat="1" applyFont="1" applyBorder="1"/>
    <xf numFmtId="49" fontId="20" fillId="0" borderId="2" xfId="9" applyNumberFormat="1" applyFont="1" applyBorder="1" applyAlignment="1">
      <alignment horizontal="center"/>
    </xf>
    <xf numFmtId="0" fontId="20" fillId="36" borderId="83" xfId="9" applyFont="1" applyFill="1" applyBorder="1"/>
    <xf numFmtId="38" fontId="20" fillId="36" borderId="83" xfId="9" applyNumberFormat="1" applyFont="1" applyFill="1" applyBorder="1"/>
    <xf numFmtId="38" fontId="26" fillId="17" borderId="83" xfId="9" applyNumberFormat="1" applyFont="1" applyFill="1" applyBorder="1"/>
    <xf numFmtId="0" fontId="26" fillId="17" borderId="84" xfId="9" applyFont="1" applyFill="1" applyBorder="1"/>
    <xf numFmtId="38" fontId="26" fillId="17" borderId="86" xfId="9" applyNumberFormat="1" applyFont="1" applyFill="1" applyBorder="1"/>
    <xf numFmtId="38" fontId="26" fillId="17" borderId="85" xfId="9" applyNumberFormat="1" applyFont="1" applyFill="1" applyBorder="1"/>
    <xf numFmtId="0" fontId="26" fillId="17" borderId="86" xfId="9" applyFont="1" applyFill="1" applyBorder="1"/>
    <xf numFmtId="0" fontId="8" fillId="26" borderId="83" xfId="9" applyFont="1" applyFill="1" applyBorder="1" applyAlignment="1">
      <alignment horizontal="center"/>
    </xf>
    <xf numFmtId="0" fontId="8" fillId="27" borderId="83" xfId="9" applyFont="1" applyFill="1" applyBorder="1" applyAlignment="1">
      <alignment horizontal="center"/>
    </xf>
    <xf numFmtId="0" fontId="8" fillId="25" borderId="83" xfId="9" applyFont="1" applyFill="1" applyBorder="1" applyAlignment="1">
      <alignment horizontal="center"/>
    </xf>
    <xf numFmtId="0" fontId="8" fillId="21" borderId="83" xfId="9" applyFont="1" applyFill="1" applyBorder="1" applyAlignment="1">
      <alignment horizontal="center"/>
    </xf>
    <xf numFmtId="0" fontId="8" fillId="31" borderId="83" xfId="9" applyFont="1" applyFill="1" applyBorder="1" applyAlignment="1">
      <alignment horizontal="center"/>
    </xf>
    <xf numFmtId="0" fontId="8" fillId="32" borderId="83" xfId="9" applyFont="1" applyFill="1" applyBorder="1" applyAlignment="1">
      <alignment horizontal="center"/>
    </xf>
    <xf numFmtId="0" fontId="8" fillId="11" borderId="83" xfId="9" applyFont="1" applyFill="1" applyBorder="1" applyAlignment="1">
      <alignment horizontal="center"/>
    </xf>
    <xf numFmtId="0" fontId="8" fillId="35" borderId="83" xfId="9" applyFont="1" applyFill="1" applyBorder="1" applyAlignment="1">
      <alignment horizontal="center"/>
    </xf>
    <xf numFmtId="0" fontId="8" fillId="26" borderId="84" xfId="9" applyFont="1" applyFill="1" applyBorder="1"/>
    <xf numFmtId="0" fontId="8" fillId="26" borderId="86" xfId="9" applyFont="1" applyFill="1" applyBorder="1"/>
    <xf numFmtId="0" fontId="8" fillId="27" borderId="84" xfId="9" applyFont="1" applyFill="1" applyBorder="1"/>
    <xf numFmtId="0" fontId="8" fillId="27" borderId="86" xfId="9" applyFont="1" applyFill="1" applyBorder="1"/>
    <xf numFmtId="0" fontId="8" fillId="25" borderId="84" xfId="9" applyFont="1" applyFill="1" applyBorder="1"/>
    <xf numFmtId="0" fontId="8" fillId="25" borderId="86" xfId="9" applyFont="1" applyFill="1" applyBorder="1"/>
    <xf numFmtId="0" fontId="8" fillId="21" borderId="84" xfId="9" applyFont="1" applyFill="1" applyBorder="1"/>
    <xf numFmtId="0" fontId="8" fillId="21" borderId="86" xfId="9" applyFont="1" applyFill="1" applyBorder="1"/>
    <xf numFmtId="0" fontId="8" fillId="31" borderId="84" xfId="9" applyFont="1" applyFill="1" applyBorder="1"/>
    <xf numFmtId="0" fontId="8" fillId="31" borderId="85" xfId="9" applyFont="1" applyFill="1" applyBorder="1"/>
    <xf numFmtId="0" fontId="8" fillId="32" borderId="86" xfId="9" applyFont="1" applyFill="1" applyBorder="1"/>
    <xf numFmtId="0" fontId="8" fillId="32" borderId="85" xfId="9" applyFont="1" applyFill="1" applyBorder="1"/>
    <xf numFmtId="0" fontId="8" fillId="11" borderId="86" xfId="9" applyFont="1" applyFill="1" applyBorder="1"/>
    <xf numFmtId="0" fontId="8" fillId="11" borderId="85" xfId="9" applyFont="1" applyFill="1" applyBorder="1"/>
    <xf numFmtId="0" fontId="8" fillId="35" borderId="86" xfId="9" applyFont="1" applyFill="1" applyBorder="1"/>
    <xf numFmtId="0" fontId="8" fillId="35" borderId="85" xfId="9" applyFont="1" applyFill="1" applyBorder="1"/>
    <xf numFmtId="9" fontId="20" fillId="0" borderId="83" xfId="2" applyFont="1" applyBorder="1" applyAlignment="1"/>
    <xf numFmtId="0" fontId="3" fillId="0" borderId="84" xfId="9" applyFont="1" applyBorder="1"/>
    <xf numFmtId="0" fontId="20" fillId="0" borderId="85" xfId="9" applyFont="1" applyBorder="1"/>
    <xf numFmtId="0" fontId="21" fillId="37" borderId="0" xfId="9" applyFont="1" applyFill="1"/>
    <xf numFmtId="0" fontId="20" fillId="37" borderId="0" xfId="9" applyFont="1" applyFill="1"/>
    <xf numFmtId="49" fontId="27" fillId="0" borderId="0" xfId="9" applyNumberFormat="1" applyFont="1" applyAlignment="1">
      <alignment horizontal="center"/>
    </xf>
    <xf numFmtId="0" fontId="27" fillId="0" borderId="0" xfId="9" applyFont="1" applyAlignment="1">
      <alignment horizontal="center"/>
    </xf>
    <xf numFmtId="0" fontId="27" fillId="26" borderId="87" xfId="9" applyFont="1" applyFill="1" applyBorder="1" applyAlignment="1">
      <alignment horizontal="center"/>
    </xf>
    <xf numFmtId="0" fontId="27" fillId="26" borderId="0" xfId="9" applyFont="1" applyFill="1" applyBorder="1" applyAlignment="1">
      <alignment horizontal="center"/>
    </xf>
    <xf numFmtId="0" fontId="27" fillId="26" borderId="88" xfId="9" applyFont="1" applyFill="1" applyBorder="1" applyAlignment="1">
      <alignment horizontal="center"/>
    </xf>
    <xf numFmtId="0" fontId="27" fillId="27" borderId="87" xfId="9" applyFont="1" applyFill="1" applyBorder="1" applyAlignment="1">
      <alignment horizontal="center"/>
    </xf>
    <xf numFmtId="0" fontId="27" fillId="27" borderId="0" xfId="9" applyFont="1" applyFill="1" applyBorder="1" applyAlignment="1">
      <alignment horizontal="center"/>
    </xf>
    <xf numFmtId="0" fontId="27" fillId="27" borderId="88" xfId="9" applyFont="1" applyFill="1" applyBorder="1" applyAlignment="1">
      <alignment horizontal="center"/>
    </xf>
    <xf numFmtId="0" fontId="27" fillId="25" borderId="87" xfId="9" applyFont="1" applyFill="1" applyBorder="1" applyAlignment="1">
      <alignment horizontal="center"/>
    </xf>
    <xf numFmtId="0" fontId="27" fillId="25" borderId="0" xfId="9" applyFont="1" applyFill="1" applyBorder="1" applyAlignment="1">
      <alignment horizontal="center"/>
    </xf>
    <xf numFmtId="0" fontId="27" fillId="25" borderId="88" xfId="9" applyFont="1" applyFill="1" applyBorder="1" applyAlignment="1">
      <alignment horizontal="center"/>
    </xf>
    <xf numFmtId="0" fontId="27" fillId="21" borderId="87" xfId="9" applyFont="1" applyFill="1" applyBorder="1" applyAlignment="1">
      <alignment horizontal="center"/>
    </xf>
    <xf numFmtId="0" fontId="27" fillId="21" borderId="0" xfId="9" applyFont="1" applyFill="1" applyBorder="1" applyAlignment="1">
      <alignment horizontal="center"/>
    </xf>
    <xf numFmtId="0" fontId="27" fillId="21" borderId="88" xfId="9" applyFont="1" applyFill="1" applyBorder="1" applyAlignment="1">
      <alignment horizontal="center"/>
    </xf>
    <xf numFmtId="0" fontId="27" fillId="31" borderId="87" xfId="9" applyFont="1" applyFill="1" applyBorder="1" applyAlignment="1">
      <alignment horizontal="center"/>
    </xf>
    <xf numFmtId="0" fontId="27" fillId="31" borderId="0" xfId="9" applyFont="1" applyFill="1" applyBorder="1" applyAlignment="1">
      <alignment horizontal="center"/>
    </xf>
    <xf numFmtId="0" fontId="27" fillId="31" borderId="88" xfId="9" applyFont="1" applyFill="1" applyBorder="1" applyAlignment="1">
      <alignment horizontal="center"/>
    </xf>
    <xf numFmtId="0" fontId="27" fillId="32" borderId="87" xfId="9" applyFont="1" applyFill="1" applyBorder="1" applyAlignment="1">
      <alignment horizontal="center"/>
    </xf>
    <xf numFmtId="0" fontId="27" fillId="32" borderId="0" xfId="9" applyFont="1" applyFill="1" applyBorder="1" applyAlignment="1">
      <alignment horizontal="center"/>
    </xf>
    <xf numFmtId="0" fontId="27" fillId="32" borderId="88" xfId="9" applyFont="1" applyFill="1" applyBorder="1" applyAlignment="1">
      <alignment horizontal="center"/>
    </xf>
    <xf numFmtId="0" fontId="27" fillId="11" borderId="87" xfId="9" applyFont="1" applyFill="1" applyBorder="1" applyAlignment="1">
      <alignment horizontal="center"/>
    </xf>
    <xf numFmtId="0" fontId="27" fillId="11" borderId="0" xfId="9" applyFont="1" applyFill="1" applyBorder="1" applyAlignment="1">
      <alignment horizontal="center"/>
    </xf>
    <xf numFmtId="0" fontId="27" fillId="11" borderId="88" xfId="9" applyFont="1" applyFill="1" applyBorder="1" applyAlignment="1">
      <alignment horizontal="center"/>
    </xf>
    <xf numFmtId="0" fontId="27" fillId="33" borderId="87" xfId="9" applyFont="1" applyFill="1" applyBorder="1" applyAlignment="1">
      <alignment horizontal="center"/>
    </xf>
    <xf numFmtId="0" fontId="27" fillId="33" borderId="0" xfId="9" applyFont="1" applyFill="1" applyBorder="1" applyAlignment="1">
      <alignment horizontal="center"/>
    </xf>
    <xf numFmtId="0" fontId="27" fillId="33" borderId="88" xfId="9" applyFont="1" applyFill="1" applyBorder="1" applyAlignment="1">
      <alignment horizontal="center"/>
    </xf>
    <xf numFmtId="0" fontId="28" fillId="0" borderId="0" xfId="9" applyFont="1"/>
    <xf numFmtId="0" fontId="28" fillId="0" borderId="7" xfId="9" applyFont="1" applyBorder="1"/>
    <xf numFmtId="0" fontId="28" fillId="0" borderId="95" xfId="9" applyFont="1" applyBorder="1"/>
    <xf numFmtId="0" fontId="28" fillId="0" borderId="11" xfId="9" applyFont="1" applyBorder="1"/>
    <xf numFmtId="0" fontId="28" fillId="0" borderId="7" xfId="9" applyFont="1" applyFill="1" applyBorder="1"/>
    <xf numFmtId="0" fontId="28" fillId="0" borderId="95" xfId="9" applyFont="1" applyFill="1" applyBorder="1"/>
    <xf numFmtId="181" fontId="28" fillId="0" borderId="95" xfId="9" applyNumberFormat="1" applyFont="1" applyFill="1" applyBorder="1"/>
    <xf numFmtId="181" fontId="28" fillId="0" borderId="11" xfId="9" applyNumberFormat="1" applyFont="1" applyFill="1" applyBorder="1"/>
    <xf numFmtId="181" fontId="28" fillId="0" borderId="7" xfId="9" applyNumberFormat="1" applyFont="1" applyFill="1" applyBorder="1"/>
    <xf numFmtId="0" fontId="28" fillId="0" borderId="11" xfId="9" applyFont="1" applyFill="1" applyBorder="1"/>
    <xf numFmtId="49" fontId="29" fillId="0" borderId="0" xfId="9" applyNumberFormat="1" applyFont="1" applyAlignment="1">
      <alignment horizontal="center"/>
    </xf>
    <xf numFmtId="182" fontId="20" fillId="0" borderId="9" xfId="9" applyNumberFormat="1" applyFont="1" applyBorder="1"/>
    <xf numFmtId="38" fontId="20" fillId="0" borderId="83" xfId="1" applyFont="1" applyBorder="1" applyAlignment="1"/>
    <xf numFmtId="182" fontId="20" fillId="0" borderId="83" xfId="9" applyNumberFormat="1" applyFont="1" applyBorder="1"/>
    <xf numFmtId="40" fontId="20" fillId="0" borderId="83" xfId="1" applyNumberFormat="1" applyFont="1" applyBorder="1" applyAlignment="1"/>
    <xf numFmtId="38" fontId="20" fillId="0" borderId="93" xfId="1" applyFont="1" applyBorder="1" applyAlignment="1"/>
    <xf numFmtId="38" fontId="1" fillId="17" borderId="84" xfId="1" applyFont="1" applyFill="1" applyBorder="1" applyAlignment="1"/>
    <xf numFmtId="38" fontId="1" fillId="17" borderId="86" xfId="1" applyFont="1" applyFill="1" applyBorder="1" applyAlignment="1"/>
    <xf numFmtId="38" fontId="1" fillId="17" borderId="85" xfId="1" applyFont="1" applyFill="1" applyBorder="1" applyAlignment="1"/>
    <xf numFmtId="0" fontId="20" fillId="0" borderId="84" xfId="9" applyFont="1" applyBorder="1"/>
    <xf numFmtId="38" fontId="3" fillId="0" borderId="84" xfId="1" applyFont="1" applyBorder="1" applyAlignment="1"/>
    <xf numFmtId="38" fontId="20" fillId="0" borderId="85" xfId="1" applyFont="1" applyBorder="1" applyAlignment="1"/>
    <xf numFmtId="38" fontId="20" fillId="0" borderId="84" xfId="1" applyFont="1" applyBorder="1" applyAlignment="1"/>
    <xf numFmtId="38" fontId="20" fillId="0" borderId="2" xfId="1" applyFont="1" applyBorder="1" applyAlignment="1"/>
    <xf numFmtId="38" fontId="20" fillId="0" borderId="7" xfId="1" applyFont="1" applyBorder="1" applyAlignment="1"/>
    <xf numFmtId="38" fontId="20" fillId="0" borderId="95" xfId="1" applyFont="1" applyBorder="1" applyAlignment="1"/>
    <xf numFmtId="38" fontId="20" fillId="0" borderId="95" xfId="1" applyFont="1" applyFill="1" applyBorder="1" applyAlignment="1"/>
    <xf numFmtId="38" fontId="22" fillId="0" borderId="95" xfId="1" applyFont="1" applyFill="1" applyBorder="1" applyAlignment="1"/>
    <xf numFmtId="0" fontId="22" fillId="0" borderId="95" xfId="9" applyFont="1" applyBorder="1"/>
    <xf numFmtId="38" fontId="3" fillId="0" borderId="95" xfId="1" applyFont="1" applyBorder="1" applyAlignment="1"/>
    <xf numFmtId="38" fontId="20" fillId="0" borderId="11" xfId="1" applyFont="1" applyBorder="1" applyAlignment="1"/>
    <xf numFmtId="38" fontId="3" fillId="0" borderId="8" xfId="1" applyFont="1" applyBorder="1" applyAlignment="1"/>
    <xf numFmtId="38" fontId="20" fillId="0" borderId="8" xfId="1" applyFont="1" applyFill="1" applyBorder="1" applyAlignment="1"/>
    <xf numFmtId="38" fontId="22" fillId="0" borderId="8" xfId="1" applyFont="1" applyFill="1" applyBorder="1" applyAlignment="1"/>
    <xf numFmtId="0" fontId="22" fillId="0" borderId="8" xfId="9" applyFont="1" applyBorder="1"/>
    <xf numFmtId="0" fontId="21" fillId="38" borderId="0" xfId="9" applyFont="1" applyFill="1"/>
    <xf numFmtId="0" fontId="8" fillId="0" borderId="0" xfId="0" applyFont="1" applyAlignment="1">
      <alignment horizontal="center" vertical="center" shrinkToFit="1"/>
    </xf>
    <xf numFmtId="38" fontId="0" fillId="0" borderId="87" xfId="1" applyFont="1" applyBorder="1" applyAlignment="1">
      <alignment horizontal="center" vertical="center" shrinkToFit="1"/>
    </xf>
    <xf numFmtId="38" fontId="0" fillId="0" borderId="88" xfId="1" applyFont="1" applyBorder="1" applyAlignment="1">
      <alignment horizontal="center" vertical="center" shrinkToFit="1"/>
    </xf>
    <xf numFmtId="38" fontId="0" fillId="0" borderId="83" xfId="1" applyFont="1" applyBorder="1" applyAlignment="1">
      <alignment horizontal="right" vertical="center" shrinkToFit="1"/>
    </xf>
    <xf numFmtId="38" fontId="31" fillId="0" borderId="83" xfId="1" applyFont="1" applyBorder="1" applyAlignment="1">
      <alignment vertical="center" shrinkToFit="1"/>
    </xf>
    <xf numFmtId="38" fontId="0" fillId="0" borderId="0" xfId="1" applyFont="1" applyBorder="1" applyAlignment="1">
      <alignment horizontal="center" vertical="center" shrinkToFit="1"/>
    </xf>
    <xf numFmtId="0" fontId="0" fillId="30" borderId="83" xfId="0" applyFill="1" applyBorder="1" applyAlignment="1">
      <alignment horizontal="right" vertical="center" shrinkToFit="1"/>
    </xf>
    <xf numFmtId="9" fontId="0" fillId="0" borderId="0" xfId="2" applyFont="1" applyAlignment="1">
      <alignment vertical="center" shrinkToFit="1"/>
    </xf>
    <xf numFmtId="177" fontId="0" fillId="11" borderId="1" xfId="2" applyNumberFormat="1" applyFont="1" applyFill="1" applyBorder="1" applyAlignment="1">
      <alignment vertical="center" shrinkToFit="1"/>
    </xf>
    <xf numFmtId="176" fontId="0" fillId="0" borderId="0" xfId="0" applyNumberFormat="1" applyAlignment="1">
      <alignment horizontal="center" vertical="center" shrinkToFit="1"/>
    </xf>
    <xf numFmtId="176" fontId="0" fillId="0" borderId="0" xfId="0" applyNumberFormat="1" applyAlignment="1">
      <alignment vertical="center" shrinkToFit="1"/>
    </xf>
    <xf numFmtId="176" fontId="32" fillId="0" borderId="0" xfId="1" applyNumberFormat="1" applyFont="1" applyAlignment="1">
      <alignment vertical="center" shrinkToFit="1"/>
    </xf>
    <xf numFmtId="176" fontId="0" fillId="0" borderId="0" xfId="0" quotePrefix="1" applyNumberFormat="1" applyAlignment="1">
      <alignment vertical="center" shrinkToFit="1"/>
    </xf>
    <xf numFmtId="38" fontId="0" fillId="5" borderId="0" xfId="1" applyFont="1" applyFill="1" applyAlignment="1">
      <alignment vertical="center" shrinkToFit="1"/>
    </xf>
    <xf numFmtId="176" fontId="6" fillId="0" borderId="83" xfId="1" applyNumberFormat="1" applyFont="1" applyBorder="1" applyAlignment="1">
      <alignment vertical="center" shrinkToFit="1"/>
    </xf>
    <xf numFmtId="177" fontId="0" fillId="5" borderId="83" xfId="2" applyNumberFormat="1" applyFont="1" applyFill="1" applyBorder="1" applyAlignment="1">
      <alignment vertical="center" shrinkToFit="1"/>
    </xf>
    <xf numFmtId="176" fontId="0" fillId="0" borderId="20" xfId="0" applyNumberFormat="1" applyBorder="1" applyAlignment="1">
      <alignment horizontal="center" vertical="center" shrinkToFit="1"/>
    </xf>
    <xf numFmtId="176" fontId="0" fillId="0" borderId="2" xfId="1" applyNumberFormat="1" applyFont="1" applyBorder="1" applyAlignment="1">
      <alignment vertical="center" shrinkToFit="1"/>
    </xf>
    <xf numFmtId="176" fontId="0" fillId="0" borderId="16" xfId="1" applyNumberFormat="1" applyFont="1" applyBorder="1" applyAlignment="1">
      <alignment vertical="center" shrinkToFit="1"/>
    </xf>
    <xf numFmtId="176" fontId="0" fillId="0" borderId="2" xfId="0" applyNumberFormat="1" applyBorder="1" applyAlignment="1">
      <alignment vertical="center" shrinkToFit="1"/>
    </xf>
    <xf numFmtId="176" fontId="8" fillId="0" borderId="35" xfId="1" applyNumberFormat="1" applyFont="1" applyBorder="1" applyAlignment="1">
      <alignment vertical="center" shrinkToFit="1"/>
    </xf>
    <xf numFmtId="176" fontId="0" fillId="0" borderId="83" xfId="0" applyNumberFormat="1" applyBorder="1" applyAlignment="1">
      <alignment vertical="center" shrinkToFit="1"/>
    </xf>
    <xf numFmtId="176" fontId="0" fillId="0" borderId="66" xfId="0" applyNumberFormat="1" applyBorder="1" applyAlignment="1">
      <alignment vertical="center" shrinkToFit="1"/>
    </xf>
    <xf numFmtId="176" fontId="0" fillId="3" borderId="84" xfId="1" applyNumberFormat="1" applyFont="1" applyFill="1" applyBorder="1" applyAlignment="1">
      <alignment vertical="center" shrinkToFit="1"/>
    </xf>
    <xf numFmtId="38" fontId="0" fillId="0" borderId="2" xfId="1" applyFont="1" applyBorder="1">
      <alignment vertical="center"/>
    </xf>
    <xf numFmtId="176" fontId="0" fillId="0" borderId="0" xfId="0" applyNumberFormat="1" applyAlignment="1">
      <alignment vertical="center" shrinkToFit="1"/>
    </xf>
    <xf numFmtId="176" fontId="0" fillId="0" borderId="0" xfId="0" applyNumberFormat="1" applyAlignment="1">
      <alignment horizontal="center" vertical="center" shrinkToFit="1"/>
    </xf>
    <xf numFmtId="38" fontId="0" fillId="0" borderId="2" xfId="1" applyFont="1" applyBorder="1">
      <alignment vertical="center"/>
    </xf>
    <xf numFmtId="176" fontId="5" fillId="32" borderId="1" xfId="1" applyNumberFormat="1" applyFont="1" applyFill="1" applyBorder="1" applyAlignment="1">
      <alignment vertical="center" shrinkToFit="1"/>
    </xf>
    <xf numFmtId="176" fontId="6" fillId="32" borderId="1" xfId="1" applyNumberFormat="1" applyFont="1" applyFill="1" applyBorder="1" applyAlignment="1">
      <alignment vertical="center" shrinkToFit="1"/>
    </xf>
    <xf numFmtId="177" fontId="0" fillId="32" borderId="1" xfId="2" applyNumberFormat="1" applyFont="1" applyFill="1" applyBorder="1" applyAlignment="1">
      <alignment vertical="center" shrinkToFit="1"/>
    </xf>
    <xf numFmtId="176" fontId="5" fillId="39" borderId="1" xfId="1" applyNumberFormat="1" applyFont="1" applyFill="1" applyBorder="1" applyAlignment="1">
      <alignment vertical="center" shrinkToFit="1"/>
    </xf>
    <xf numFmtId="176" fontId="6" fillId="39" borderId="1" xfId="1" applyNumberFormat="1" applyFont="1" applyFill="1" applyBorder="1" applyAlignment="1">
      <alignment vertical="center" shrinkToFit="1"/>
    </xf>
    <xf numFmtId="177" fontId="0" fillId="39" borderId="1" xfId="2" applyNumberFormat="1" applyFont="1" applyFill="1" applyBorder="1" applyAlignment="1">
      <alignment vertical="center" shrinkToFit="1"/>
    </xf>
    <xf numFmtId="0" fontId="0" fillId="0" borderId="83" xfId="0" applyBorder="1">
      <alignment vertical="center"/>
    </xf>
    <xf numFmtId="0" fontId="0" fillId="0" borderId="83" xfId="0" applyBorder="1" applyAlignment="1">
      <alignment horizontal="center" vertical="center"/>
    </xf>
    <xf numFmtId="38" fontId="0" fillId="0" borderId="83" xfId="1" applyFont="1" applyBorder="1">
      <alignment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78" xfId="0" applyBorder="1">
      <alignment vertical="center"/>
    </xf>
    <xf numFmtId="0" fontId="0" fillId="0" borderId="78" xfId="0" applyBorder="1" applyAlignment="1">
      <alignment horizontal="center" vertical="center"/>
    </xf>
    <xf numFmtId="38" fontId="0" fillId="0" borderId="78" xfId="1" applyFont="1" applyBorder="1">
      <alignment vertical="center"/>
    </xf>
    <xf numFmtId="0" fontId="0" fillId="0" borderId="101" xfId="0" applyBorder="1">
      <alignment vertical="center"/>
    </xf>
    <xf numFmtId="0" fontId="0" fillId="0" borderId="101" xfId="0" applyBorder="1" applyAlignment="1">
      <alignment horizontal="center" vertical="center"/>
    </xf>
    <xf numFmtId="38" fontId="0" fillId="0" borderId="101" xfId="1" applyFont="1" applyBorder="1">
      <alignment vertical="center"/>
    </xf>
    <xf numFmtId="38" fontId="0" fillId="0" borderId="0" xfId="0" applyNumberFormat="1">
      <alignment vertical="center"/>
    </xf>
    <xf numFmtId="0" fontId="7" fillId="3" borderId="26" xfId="0" applyFont="1" applyFill="1" applyBorder="1" applyAlignment="1">
      <alignment horizontal="center" vertical="center" shrinkToFit="1"/>
    </xf>
    <xf numFmtId="0" fontId="7" fillId="3" borderId="27" xfId="0" applyFont="1" applyFill="1" applyBorder="1" applyAlignment="1">
      <alignment horizontal="center" vertical="center" shrinkToFit="1"/>
    </xf>
    <xf numFmtId="0" fontId="0" fillId="0" borderId="19" xfId="0" applyBorder="1" applyAlignment="1">
      <alignment horizontal="center" vertical="center" shrinkToFit="1"/>
    </xf>
    <xf numFmtId="0" fontId="0" fillId="0" borderId="20" xfId="0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0" fillId="0" borderId="18" xfId="0" applyBorder="1" applyAlignment="1">
      <alignment horizontal="center" vertical="center" shrinkToFit="1"/>
    </xf>
    <xf numFmtId="0" fontId="0" fillId="2" borderId="24" xfId="0" applyFill="1" applyBorder="1" applyAlignment="1">
      <alignment horizontal="left" vertical="center" shrinkToFit="1"/>
    </xf>
    <xf numFmtId="0" fontId="0" fillId="2" borderId="1" xfId="0" applyFill="1" applyBorder="1" applyAlignment="1">
      <alignment horizontal="left" vertical="center" shrinkToFit="1"/>
    </xf>
    <xf numFmtId="0" fontId="7" fillId="2" borderId="26" xfId="0" applyFont="1" applyFill="1" applyBorder="1" applyAlignment="1">
      <alignment horizontal="center" vertical="center" shrinkToFit="1"/>
    </xf>
    <xf numFmtId="0" fontId="7" fillId="2" borderId="27" xfId="0" applyFont="1" applyFill="1" applyBorder="1" applyAlignment="1">
      <alignment horizontal="center" vertical="center" shrinkToFit="1"/>
    </xf>
    <xf numFmtId="0" fontId="0" fillId="3" borderId="24" xfId="0" applyFill="1" applyBorder="1" applyAlignment="1">
      <alignment horizontal="left" vertical="center" shrinkToFit="1"/>
    </xf>
    <xf numFmtId="0" fontId="0" fillId="3" borderId="1" xfId="0" applyFill="1" applyBorder="1" applyAlignment="1">
      <alignment horizontal="left" vertical="center" shrinkToFit="1"/>
    </xf>
    <xf numFmtId="0" fontId="0" fillId="0" borderId="1" xfId="0" applyBorder="1" applyAlignment="1">
      <alignment vertical="center" shrinkToFit="1"/>
    </xf>
    <xf numFmtId="0" fontId="0" fillId="4" borderId="27" xfId="0" applyFill="1" applyBorder="1" applyAlignment="1">
      <alignment horizontal="left" vertical="center" shrinkToFit="1"/>
    </xf>
    <xf numFmtId="0" fontId="0" fillId="4" borderId="1" xfId="0" applyFill="1" applyBorder="1" applyAlignment="1">
      <alignment horizontal="left" vertical="center" shrinkToFit="1"/>
    </xf>
    <xf numFmtId="0" fontId="7" fillId="2" borderId="28" xfId="0" applyFont="1" applyFill="1" applyBorder="1" applyAlignment="1">
      <alignment horizontal="center" vertical="center" shrinkToFit="1"/>
    </xf>
    <xf numFmtId="0" fontId="7" fillId="3" borderId="28" xfId="0" applyFont="1" applyFill="1" applyBorder="1" applyAlignment="1">
      <alignment horizontal="center" vertical="center" shrinkToFit="1"/>
    </xf>
    <xf numFmtId="0" fontId="0" fillId="4" borderId="27" xfId="0" applyFill="1" applyBorder="1" applyAlignment="1">
      <alignment horizontal="center" vertical="center" shrinkToFit="1"/>
    </xf>
    <xf numFmtId="0" fontId="0" fillId="4" borderId="1" xfId="0" applyFill="1" applyBorder="1" applyAlignment="1">
      <alignment horizontal="center" vertical="center" shrinkToFit="1"/>
    </xf>
    <xf numFmtId="0" fontId="0" fillId="6" borderId="29" xfId="0" applyFill="1" applyBorder="1" applyAlignment="1">
      <alignment horizontal="center" vertical="center" shrinkToFit="1"/>
    </xf>
    <xf numFmtId="0" fontId="0" fillId="6" borderId="6" xfId="0" applyFill="1" applyBorder="1" applyAlignment="1">
      <alignment horizontal="center" vertical="center" shrinkToFit="1"/>
    </xf>
    <xf numFmtId="0" fontId="0" fillId="7" borderId="29" xfId="0" applyFill="1" applyBorder="1" applyAlignment="1">
      <alignment horizontal="center" vertical="center" shrinkToFit="1"/>
    </xf>
    <xf numFmtId="0" fontId="0" fillId="7" borderId="6" xfId="0" applyFill="1" applyBorder="1" applyAlignment="1">
      <alignment horizontal="center" vertical="center" shrinkToFit="1"/>
    </xf>
    <xf numFmtId="0" fontId="0" fillId="0" borderId="15" xfId="0" applyBorder="1" applyAlignment="1">
      <alignment horizontal="center" vertical="center" shrinkToFit="1"/>
    </xf>
    <xf numFmtId="0" fontId="0" fillId="0" borderId="16" xfId="0" applyBorder="1" applyAlignment="1">
      <alignment horizontal="center" vertical="center" shrinkToFit="1"/>
    </xf>
    <xf numFmtId="177" fontId="0" fillId="0" borderId="3" xfId="2" applyNumberFormat="1" applyFont="1" applyBorder="1">
      <alignment vertical="center"/>
    </xf>
    <xf numFmtId="177" fontId="0" fillId="0" borderId="33" xfId="2" applyNumberFormat="1" applyFont="1" applyBorder="1">
      <alignment vertical="center"/>
    </xf>
    <xf numFmtId="0" fontId="4" fillId="0" borderId="1" xfId="5" applyBorder="1" applyAlignment="1">
      <alignment vertical="center" shrinkToFit="1"/>
    </xf>
    <xf numFmtId="38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4" fillId="0" borderId="15" xfId="5" applyBorder="1" applyAlignment="1">
      <alignment vertical="center" shrinkToFit="1"/>
    </xf>
    <xf numFmtId="0" fontId="4" fillId="0" borderId="16" xfId="5" applyBorder="1" applyAlignment="1">
      <alignment vertical="center" shrinkToFit="1"/>
    </xf>
    <xf numFmtId="38" fontId="0" fillId="0" borderId="16" xfId="1" applyFont="1" applyBorder="1">
      <alignment vertical="center"/>
    </xf>
    <xf numFmtId="9" fontId="0" fillId="0" borderId="16" xfId="0" applyNumberFormat="1" applyBorder="1">
      <alignment vertical="center"/>
    </xf>
    <xf numFmtId="0" fontId="0" fillId="0" borderId="17" xfId="0" applyBorder="1">
      <alignment vertical="center"/>
    </xf>
    <xf numFmtId="0" fontId="11" fillId="0" borderId="34" xfId="5" applyFont="1" applyBorder="1" applyAlignment="1">
      <alignment vertical="center" shrinkToFit="1"/>
    </xf>
    <xf numFmtId="0" fontId="11" fillId="0" borderId="35" xfId="5" applyFont="1" applyBorder="1" applyAlignment="1">
      <alignment vertical="center" shrinkToFit="1"/>
    </xf>
    <xf numFmtId="38" fontId="8" fillId="0" borderId="35" xfId="1" applyFont="1" applyBorder="1">
      <alignment vertical="center"/>
    </xf>
    <xf numFmtId="0" fontId="8" fillId="0" borderId="35" xfId="0" applyFont="1" applyBorder="1">
      <alignment vertical="center"/>
    </xf>
    <xf numFmtId="0" fontId="8" fillId="0" borderId="36" xfId="0" applyFont="1" applyBorder="1">
      <alignment vertical="center"/>
    </xf>
    <xf numFmtId="0" fontId="4" fillId="0" borderId="26" xfId="5" applyBorder="1" applyAlignment="1">
      <alignment vertical="center" shrinkToFit="1"/>
    </xf>
    <xf numFmtId="0" fontId="4" fillId="0" borderId="2" xfId="5" applyBorder="1" applyAlignment="1">
      <alignment vertical="center" shrinkToFit="1"/>
    </xf>
    <xf numFmtId="38" fontId="0" fillId="0" borderId="2" xfId="1" applyFont="1" applyBorder="1">
      <alignment vertical="center"/>
    </xf>
    <xf numFmtId="9" fontId="0" fillId="0" borderId="2" xfId="0" applyNumberFormat="1" applyBorder="1">
      <alignment vertical="center"/>
    </xf>
    <xf numFmtId="0" fontId="0" fillId="0" borderId="23" xfId="0" applyBorder="1">
      <alignment vertical="center"/>
    </xf>
    <xf numFmtId="0" fontId="0" fillId="0" borderId="14" xfId="0" applyBorder="1" applyAlignment="1">
      <alignment horizontal="center" vertical="center"/>
    </xf>
    <xf numFmtId="0" fontId="4" fillId="0" borderId="27" xfId="5" applyBorder="1" applyAlignment="1">
      <alignment vertical="center" shrinkToFit="1"/>
    </xf>
    <xf numFmtId="177" fontId="0" fillId="0" borderId="1" xfId="2" applyNumberFormat="1" applyFont="1" applyBorder="1">
      <alignment vertical="center"/>
    </xf>
    <xf numFmtId="177" fontId="0" fillId="0" borderId="25" xfId="2" applyNumberFormat="1" applyFont="1" applyBorder="1">
      <alignment vertical="center"/>
    </xf>
    <xf numFmtId="0" fontId="4" fillId="0" borderId="24" xfId="5" applyBorder="1" applyAlignment="1">
      <alignment vertical="center" shrinkToFit="1"/>
    </xf>
    <xf numFmtId="0" fontId="4" fillId="0" borderId="3" xfId="5" applyBorder="1" applyAlignment="1">
      <alignment vertical="center" shrinkToFit="1"/>
    </xf>
    <xf numFmtId="0" fontId="0" fillId="0" borderId="3" xfId="0" applyBorder="1">
      <alignment vertical="center"/>
    </xf>
    <xf numFmtId="0" fontId="0" fillId="30" borderId="83" xfId="0" applyFill="1" applyBorder="1" applyAlignment="1">
      <alignment horizontal="center" vertical="center" shrinkToFit="1"/>
    </xf>
    <xf numFmtId="38" fontId="0" fillId="0" borderId="0" xfId="1" applyFont="1" applyBorder="1" applyAlignment="1">
      <alignment horizontal="left" vertical="center" shrinkToFit="1"/>
    </xf>
    <xf numFmtId="0" fontId="8" fillId="0" borderId="0" xfId="0" applyFont="1" applyAlignment="1">
      <alignment horizontal="center" vertical="center" shrinkToFit="1"/>
    </xf>
    <xf numFmtId="0" fontId="0" fillId="0" borderId="84" xfId="0" applyBorder="1" applyAlignment="1">
      <alignment horizontal="center" vertical="center" shrinkToFit="1"/>
    </xf>
    <xf numFmtId="0" fontId="0" fillId="0" borderId="86" xfId="0" applyBorder="1" applyAlignment="1">
      <alignment horizontal="center" vertical="center" shrinkToFit="1"/>
    </xf>
    <xf numFmtId="0" fontId="0" fillId="0" borderId="85" xfId="0" applyBorder="1" applyAlignment="1">
      <alignment horizontal="center" vertical="center" shrinkToFit="1"/>
    </xf>
    <xf numFmtId="38" fontId="0" fillId="0" borderId="84" xfId="1" applyFont="1" applyBorder="1" applyAlignment="1">
      <alignment horizontal="center" vertical="center" shrinkToFit="1"/>
    </xf>
    <xf numFmtId="38" fontId="0" fillId="0" borderId="86" xfId="1" applyFont="1" applyBorder="1" applyAlignment="1">
      <alignment horizontal="center" vertical="center" shrinkToFit="1"/>
    </xf>
    <xf numFmtId="38" fontId="0" fillId="0" borderId="85" xfId="1" applyFont="1" applyBorder="1" applyAlignment="1">
      <alignment horizontal="center" vertical="center" shrinkToFit="1"/>
    </xf>
    <xf numFmtId="0" fontId="0" fillId="0" borderId="94" xfId="0" applyBorder="1" applyAlignment="1">
      <alignment horizontal="center" vertical="center" shrinkToFit="1"/>
    </xf>
    <xf numFmtId="0" fontId="0" fillId="0" borderId="93" xfId="0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38" fontId="0" fillId="0" borderId="94" xfId="1" applyFont="1" applyBorder="1" applyAlignment="1">
      <alignment horizontal="center" vertical="center" shrinkToFit="1"/>
    </xf>
    <xf numFmtId="38" fontId="0" fillId="0" borderId="93" xfId="1" applyFont="1" applyBorder="1" applyAlignment="1">
      <alignment horizontal="center" vertical="center" shrinkToFit="1"/>
    </xf>
    <xf numFmtId="38" fontId="0" fillId="0" borderId="2" xfId="1" applyFont="1" applyBorder="1" applyAlignment="1">
      <alignment horizontal="center" vertical="center" shrinkToFit="1"/>
    </xf>
    <xf numFmtId="38" fontId="0" fillId="0" borderId="87" xfId="1" applyFont="1" applyBorder="1" applyAlignment="1">
      <alignment horizontal="center" vertical="center" shrinkToFit="1"/>
    </xf>
    <xf numFmtId="38" fontId="0" fillId="0" borderId="88" xfId="1" applyFont="1" applyBorder="1" applyAlignment="1">
      <alignment horizontal="center" vertical="center" shrinkToFit="1"/>
    </xf>
    <xf numFmtId="38" fontId="0" fillId="0" borderId="0" xfId="1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 vertical="center" shrinkToFit="1"/>
    </xf>
    <xf numFmtId="176" fontId="0" fillId="4" borderId="1" xfId="0" applyNumberFormat="1" applyFill="1" applyBorder="1" applyAlignment="1">
      <alignment horizontal="center" vertical="center" shrinkToFit="1"/>
    </xf>
    <xf numFmtId="176" fontId="0" fillId="4" borderId="5" xfId="0" applyNumberFormat="1" applyFill="1" applyBorder="1" applyAlignment="1">
      <alignment vertical="center" shrinkToFit="1"/>
    </xf>
    <xf numFmtId="176" fontId="0" fillId="4" borderId="6" xfId="0" applyNumberFormat="1" applyFill="1" applyBorder="1" applyAlignment="1">
      <alignment vertical="center" shrinkToFit="1"/>
    </xf>
    <xf numFmtId="176" fontId="0" fillId="0" borderId="1" xfId="0" applyNumberFormat="1" applyBorder="1" applyAlignment="1">
      <alignment horizontal="center" vertical="center" shrinkToFit="1"/>
    </xf>
    <xf numFmtId="176" fontId="0" fillId="0" borderId="5" xfId="0" applyNumberFormat="1" applyBorder="1" applyAlignment="1">
      <alignment vertical="center" shrinkToFit="1"/>
    </xf>
    <xf numFmtId="176" fontId="0" fillId="0" borderId="6" xfId="0" applyNumberFormat="1" applyBorder="1" applyAlignment="1">
      <alignment vertical="center" shrinkToFit="1"/>
    </xf>
    <xf numFmtId="176" fontId="0" fillId="0" borderId="8" xfId="0" applyNumberFormat="1" applyBorder="1" applyAlignment="1">
      <alignment horizontal="center" vertical="center" shrinkToFit="1"/>
    </xf>
    <xf numFmtId="176" fontId="6" fillId="3" borderId="10" xfId="0" applyNumberFormat="1" applyFont="1" applyFill="1" applyBorder="1" applyAlignment="1">
      <alignment horizontal="center" vertical="center" shrinkToFit="1"/>
    </xf>
    <xf numFmtId="176" fontId="6" fillId="3" borderId="9" xfId="0" applyNumberFormat="1" applyFont="1" applyFill="1" applyBorder="1" applyAlignment="1">
      <alignment horizontal="center" vertical="center" shrinkToFit="1"/>
    </xf>
    <xf numFmtId="176" fontId="0" fillId="2" borderId="5" xfId="0" applyNumberFormat="1" applyFill="1" applyBorder="1" applyAlignment="1">
      <alignment horizontal="left" vertical="center" shrinkToFit="1"/>
    </xf>
    <xf numFmtId="176" fontId="0" fillId="2" borderId="6" xfId="0" applyNumberFormat="1" applyFill="1" applyBorder="1" applyAlignment="1">
      <alignment horizontal="left" vertical="center" shrinkToFit="1"/>
    </xf>
    <xf numFmtId="176" fontId="0" fillId="3" borderId="3" xfId="0" applyNumberFormat="1" applyFill="1" applyBorder="1" applyAlignment="1">
      <alignment horizontal="left" vertical="center" shrinkToFit="1"/>
    </xf>
    <xf numFmtId="176" fontId="0" fillId="3" borderId="1" xfId="0" applyNumberFormat="1" applyFill="1" applyBorder="1" applyAlignment="1">
      <alignment horizontal="left" vertical="center" shrinkToFit="1"/>
    </xf>
    <xf numFmtId="176" fontId="0" fillId="3" borderId="5" xfId="0" applyNumberFormat="1" applyFill="1" applyBorder="1" applyAlignment="1">
      <alignment vertical="center" shrinkToFit="1"/>
    </xf>
    <xf numFmtId="176" fontId="0" fillId="3" borderId="6" xfId="0" applyNumberFormat="1" applyFill="1" applyBorder="1" applyAlignment="1">
      <alignment vertical="center" shrinkToFit="1"/>
    </xf>
    <xf numFmtId="176" fontId="7" fillId="3" borderId="4" xfId="0" applyNumberFormat="1" applyFont="1" applyFill="1" applyBorder="1" applyAlignment="1">
      <alignment horizontal="center" vertical="center" shrinkToFit="1"/>
    </xf>
    <xf numFmtId="176" fontId="7" fillId="3" borderId="2" xfId="0" applyNumberFormat="1" applyFont="1" applyFill="1" applyBorder="1" applyAlignment="1">
      <alignment horizontal="center" vertical="center" shrinkToFit="1"/>
    </xf>
    <xf numFmtId="176" fontId="7" fillId="0" borderId="5" xfId="0" applyNumberFormat="1" applyFont="1" applyBorder="1" applyAlignment="1">
      <alignment vertical="center" shrinkToFit="1"/>
    </xf>
    <xf numFmtId="176" fontId="7" fillId="0" borderId="6" xfId="0" applyNumberFormat="1" applyFont="1" applyBorder="1" applyAlignment="1">
      <alignment vertical="center" shrinkToFit="1"/>
    </xf>
    <xf numFmtId="176" fontId="0" fillId="4" borderId="1" xfId="0" applyNumberFormat="1" applyFill="1" applyBorder="1" applyAlignment="1">
      <alignment horizontal="left" vertical="center" shrinkToFit="1"/>
    </xf>
    <xf numFmtId="176" fontId="0" fillId="2" borderId="3" xfId="0" applyNumberFormat="1" applyFill="1" applyBorder="1" applyAlignment="1">
      <alignment horizontal="left" vertical="center" shrinkToFit="1"/>
    </xf>
    <xf numFmtId="176" fontId="0" fillId="2" borderId="1" xfId="0" applyNumberFormat="1" applyFill="1" applyBorder="1" applyAlignment="1">
      <alignment horizontal="left" vertical="center" shrinkToFit="1"/>
    </xf>
    <xf numFmtId="176" fontId="0" fillId="2" borderId="5" xfId="0" applyNumberFormat="1" applyFill="1" applyBorder="1" applyAlignment="1">
      <alignment vertical="center" shrinkToFit="1"/>
    </xf>
    <xf numFmtId="176" fontId="0" fillId="2" borderId="6" xfId="0" applyNumberFormat="1" applyFill="1" applyBorder="1" applyAlignment="1">
      <alignment vertical="center" shrinkToFit="1"/>
    </xf>
    <xf numFmtId="176" fontId="7" fillId="2" borderId="4" xfId="0" applyNumberFormat="1" applyFont="1" applyFill="1" applyBorder="1" applyAlignment="1">
      <alignment horizontal="center" vertical="center" shrinkToFit="1"/>
    </xf>
    <xf numFmtId="176" fontId="7" fillId="3" borderId="1" xfId="0" applyNumberFormat="1" applyFont="1" applyFill="1" applyBorder="1" applyAlignment="1">
      <alignment horizontal="center" vertical="center" shrinkToFit="1"/>
    </xf>
    <xf numFmtId="176" fontId="0" fillId="0" borderId="5" xfId="0" applyNumberFormat="1" applyBorder="1" applyAlignment="1">
      <alignment horizontal="center" vertical="center" shrinkToFit="1"/>
    </xf>
    <xf numFmtId="176" fontId="0" fillId="0" borderId="6" xfId="0" applyNumberFormat="1" applyBorder="1" applyAlignment="1">
      <alignment horizontal="center" vertical="center" shrinkToFit="1"/>
    </xf>
    <xf numFmtId="176" fontId="7" fillId="2" borderId="2" xfId="0" applyNumberFormat="1" applyFont="1" applyFill="1" applyBorder="1" applyAlignment="1">
      <alignment horizontal="center" vertical="center" shrinkToFit="1"/>
    </xf>
    <xf numFmtId="176" fontId="7" fillId="2" borderId="1" xfId="0" applyNumberFormat="1" applyFont="1" applyFill="1" applyBorder="1" applyAlignment="1">
      <alignment horizontal="center" vertical="center" shrinkToFit="1"/>
    </xf>
    <xf numFmtId="176" fontId="3" fillId="2" borderId="7" xfId="1" applyNumberFormat="1" applyFont="1" applyFill="1" applyBorder="1" applyAlignment="1">
      <alignment horizontal="left" vertical="center" shrinkToFit="1"/>
    </xf>
    <xf numFmtId="176" fontId="3" fillId="2" borderId="6" xfId="1" applyNumberFormat="1" applyFont="1" applyFill="1" applyBorder="1" applyAlignment="1">
      <alignment horizontal="left" vertical="center" shrinkToFit="1"/>
    </xf>
    <xf numFmtId="176" fontId="6" fillId="2" borderId="4" xfId="0" applyNumberFormat="1" applyFont="1" applyFill="1" applyBorder="1" applyAlignment="1">
      <alignment horizontal="center" vertical="center" shrinkToFit="1"/>
    </xf>
    <xf numFmtId="176" fontId="6" fillId="2" borderId="2" xfId="0" applyNumberFormat="1" applyFont="1" applyFill="1" applyBorder="1" applyAlignment="1">
      <alignment horizontal="center" vertical="center" shrinkToFit="1"/>
    </xf>
    <xf numFmtId="176" fontId="9" fillId="4" borderId="5" xfId="1" applyNumberFormat="1" applyFont="1" applyFill="1" applyBorder="1" applyAlignment="1">
      <alignment horizontal="left" vertical="center" shrinkToFit="1"/>
    </xf>
    <xf numFmtId="176" fontId="9" fillId="4" borderId="6" xfId="1" applyNumberFormat="1" applyFont="1" applyFill="1" applyBorder="1" applyAlignment="1">
      <alignment horizontal="left" vertical="center" shrinkToFit="1"/>
    </xf>
    <xf numFmtId="176" fontId="0" fillId="0" borderId="5" xfId="1" applyNumberFormat="1" applyFont="1" applyBorder="1" applyAlignment="1">
      <alignment horizontal="center" vertical="center" shrinkToFit="1"/>
    </xf>
    <xf numFmtId="176" fontId="0" fillId="0" borderId="6" xfId="1" applyNumberFormat="1" applyFont="1" applyBorder="1" applyAlignment="1">
      <alignment horizontal="center" vertical="center" shrinkToFit="1"/>
    </xf>
    <xf numFmtId="176" fontId="9" fillId="4" borderId="1" xfId="1" applyNumberFormat="1" applyFont="1" applyFill="1" applyBorder="1" applyAlignment="1">
      <alignment horizontal="left" vertical="center" shrinkToFit="1"/>
    </xf>
    <xf numFmtId="176" fontId="3" fillId="3" borderId="3" xfId="1" applyNumberFormat="1" applyFont="1" applyFill="1" applyBorder="1" applyAlignment="1">
      <alignment horizontal="left" vertical="center" shrinkToFit="1"/>
    </xf>
    <xf numFmtId="176" fontId="3" fillId="3" borderId="1" xfId="1" applyNumberFormat="1" applyFont="1" applyFill="1" applyBorder="1" applyAlignment="1">
      <alignment horizontal="left" vertical="center" shrinkToFit="1"/>
    </xf>
    <xf numFmtId="176" fontId="3" fillId="3" borderId="5" xfId="1" applyNumberFormat="1" applyFont="1" applyFill="1" applyBorder="1" applyAlignment="1">
      <alignment horizontal="left" vertical="center" shrinkToFit="1"/>
    </xf>
    <xf numFmtId="176" fontId="3" fillId="3" borderId="6" xfId="1" applyNumberFormat="1" applyFont="1" applyFill="1" applyBorder="1" applyAlignment="1">
      <alignment horizontal="left" vertical="center" shrinkToFit="1"/>
    </xf>
    <xf numFmtId="176" fontId="5" fillId="2" borderId="2" xfId="0" applyNumberFormat="1" applyFont="1" applyFill="1" applyBorder="1" applyAlignment="1">
      <alignment horizontal="center" vertical="center" shrinkToFit="1"/>
    </xf>
    <xf numFmtId="176" fontId="6" fillId="2" borderId="1" xfId="0" applyNumberFormat="1" applyFont="1" applyFill="1" applyBorder="1" applyAlignment="1">
      <alignment horizontal="center" vertical="center" shrinkToFit="1"/>
    </xf>
    <xf numFmtId="176" fontId="6" fillId="3" borderId="4" xfId="0" applyNumberFormat="1" applyFont="1" applyFill="1" applyBorder="1" applyAlignment="1">
      <alignment horizontal="center" vertical="center" shrinkToFit="1"/>
    </xf>
    <xf numFmtId="176" fontId="6" fillId="3" borderId="93" xfId="0" applyNumberFormat="1" applyFont="1" applyFill="1" applyBorder="1" applyAlignment="1">
      <alignment horizontal="center" vertical="center" shrinkToFit="1"/>
    </xf>
    <xf numFmtId="176" fontId="6" fillId="3" borderId="2" xfId="0" applyNumberFormat="1" applyFont="1" applyFill="1" applyBorder="1" applyAlignment="1">
      <alignment horizontal="center" vertical="center" shrinkToFit="1"/>
    </xf>
    <xf numFmtId="176" fontId="8" fillId="4" borderId="1" xfId="0" applyNumberFormat="1" applyFont="1" applyFill="1" applyBorder="1" applyAlignment="1">
      <alignment horizontal="center" vertical="center" shrinkToFit="1"/>
    </xf>
    <xf numFmtId="176" fontId="3" fillId="2" borderId="3" xfId="1" applyNumberFormat="1" applyFont="1" applyFill="1" applyBorder="1" applyAlignment="1">
      <alignment horizontal="left" vertical="center" shrinkToFit="1"/>
    </xf>
    <xf numFmtId="176" fontId="3" fillId="2" borderId="1" xfId="1" applyNumberFormat="1" applyFont="1" applyFill="1" applyBorder="1" applyAlignment="1">
      <alignment horizontal="left" vertical="center" shrinkToFit="1"/>
    </xf>
    <xf numFmtId="176" fontId="8" fillId="0" borderId="0" xfId="0" applyNumberFormat="1" applyFont="1" applyBorder="1" applyAlignment="1">
      <alignment horizontal="left" vertical="center" shrinkToFit="1"/>
    </xf>
    <xf numFmtId="176" fontId="0" fillId="0" borderId="0" xfId="0" applyNumberFormat="1" applyAlignment="1">
      <alignment vertical="center" shrinkToFit="1"/>
    </xf>
    <xf numFmtId="176" fontId="0" fillId="8" borderId="5" xfId="0" applyNumberFormat="1" applyFill="1" applyBorder="1" applyAlignment="1">
      <alignment horizontal="center" vertical="center" shrinkToFit="1"/>
    </xf>
    <xf numFmtId="176" fontId="0" fillId="8" borderId="6" xfId="0" applyNumberFormat="1" applyFill="1" applyBorder="1" applyAlignment="1">
      <alignment horizontal="center" vertical="center" shrinkToFit="1"/>
    </xf>
    <xf numFmtId="0" fontId="0" fillId="0" borderId="5" xfId="0" applyBorder="1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  <xf numFmtId="0" fontId="8" fillId="4" borderId="1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 shrinkToFit="1"/>
    </xf>
    <xf numFmtId="0" fontId="6" fillId="2" borderId="83" xfId="0" applyFont="1" applyFill="1" applyBorder="1" applyAlignment="1">
      <alignment horizontal="center" vertical="center" shrinkToFit="1"/>
    </xf>
    <xf numFmtId="0" fontId="0" fillId="2" borderId="3" xfId="0" applyFill="1" applyBorder="1" applyAlignment="1">
      <alignment horizontal="left" vertical="center" shrinkToFit="1"/>
    </xf>
    <xf numFmtId="0" fontId="0" fillId="2" borderId="5" xfId="0" applyFill="1" applyBorder="1" applyAlignment="1">
      <alignment horizontal="left" vertical="center" shrinkToFit="1"/>
    </xf>
    <xf numFmtId="0" fontId="0" fillId="2" borderId="6" xfId="0" applyFill="1" applyBorder="1" applyAlignment="1">
      <alignment horizontal="left" vertical="center" shrinkToFit="1"/>
    </xf>
    <xf numFmtId="0" fontId="0" fillId="3" borderId="3" xfId="0" applyFill="1" applyBorder="1" applyAlignment="1">
      <alignment horizontal="left" vertical="center" shrinkToFit="1"/>
    </xf>
    <xf numFmtId="0" fontId="6" fillId="3" borderId="4" xfId="0" applyFont="1" applyFill="1" applyBorder="1" applyAlignment="1">
      <alignment horizontal="center" vertical="center" shrinkToFit="1"/>
    </xf>
    <xf numFmtId="0" fontId="6" fillId="3" borderId="2" xfId="0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176" fontId="9" fillId="4" borderId="7" xfId="1" applyNumberFormat="1" applyFont="1" applyFill="1" applyBorder="1" applyAlignment="1">
      <alignment horizontal="left" vertical="center" shrinkToFit="1"/>
    </xf>
    <xf numFmtId="176" fontId="9" fillId="4" borderId="11" xfId="1" applyNumberFormat="1" applyFont="1" applyFill="1" applyBorder="1" applyAlignment="1">
      <alignment horizontal="left" vertical="center" shrinkToFit="1"/>
    </xf>
    <xf numFmtId="0" fontId="6" fillId="3" borderId="10" xfId="0" applyFont="1" applyFill="1" applyBorder="1" applyAlignment="1">
      <alignment horizontal="center" vertical="center" shrinkToFit="1"/>
    </xf>
    <xf numFmtId="0" fontId="6" fillId="3" borderId="9" xfId="0" applyFont="1" applyFill="1" applyBorder="1" applyAlignment="1">
      <alignment horizontal="center" vertical="center" shrinkToFit="1"/>
    </xf>
    <xf numFmtId="0" fontId="6" fillId="2" borderId="4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0" fillId="11" borderId="1" xfId="0" applyFill="1" applyBorder="1" applyAlignment="1">
      <alignment horizontal="left" vertical="center" shrinkToFit="1"/>
    </xf>
    <xf numFmtId="176" fontId="7" fillId="3" borderId="26" xfId="0" applyNumberFormat="1" applyFont="1" applyFill="1" applyBorder="1" applyAlignment="1">
      <alignment horizontal="center" vertical="center" shrinkToFit="1"/>
    </xf>
    <xf numFmtId="176" fontId="7" fillId="3" borderId="27" xfId="0" applyNumberFormat="1" applyFont="1" applyFill="1" applyBorder="1" applyAlignment="1">
      <alignment horizontal="center" vertical="center" shrinkToFit="1"/>
    </xf>
    <xf numFmtId="176" fontId="0" fillId="4" borderId="27" xfId="0" applyNumberFormat="1" applyFill="1" applyBorder="1" applyAlignment="1">
      <alignment horizontal="left" vertical="center" shrinkToFit="1"/>
    </xf>
    <xf numFmtId="176" fontId="0" fillId="2" borderId="24" xfId="0" applyNumberFormat="1" applyFill="1" applyBorder="1" applyAlignment="1">
      <alignment horizontal="left" vertical="center" shrinkToFit="1"/>
    </xf>
    <xf numFmtId="176" fontId="7" fillId="2" borderId="28" xfId="0" applyNumberFormat="1" applyFont="1" applyFill="1" applyBorder="1" applyAlignment="1">
      <alignment horizontal="center" vertical="center" shrinkToFit="1"/>
    </xf>
    <xf numFmtId="176" fontId="7" fillId="2" borderId="26" xfId="0" applyNumberFormat="1" applyFont="1" applyFill="1" applyBorder="1" applyAlignment="1">
      <alignment horizontal="center" vertical="center" shrinkToFit="1"/>
    </xf>
    <xf numFmtId="176" fontId="0" fillId="3" borderId="24" xfId="0" applyNumberFormat="1" applyFill="1" applyBorder="1" applyAlignment="1">
      <alignment horizontal="left" vertical="center" shrinkToFit="1"/>
    </xf>
    <xf numFmtId="176" fontId="0" fillId="0" borderId="19" xfId="0" applyNumberFormat="1" applyBorder="1" applyAlignment="1">
      <alignment horizontal="center" vertical="center" shrinkToFit="1"/>
    </xf>
    <xf numFmtId="176" fontId="0" fillId="0" borderId="20" xfId="0" applyNumberFormat="1" applyBorder="1" applyAlignment="1">
      <alignment horizontal="center" vertical="center" shrinkToFit="1"/>
    </xf>
    <xf numFmtId="176" fontId="0" fillId="0" borderId="22" xfId="0" applyNumberFormat="1" applyBorder="1" applyAlignment="1">
      <alignment horizontal="center" vertical="center" shrinkToFit="1"/>
    </xf>
    <xf numFmtId="176" fontId="0" fillId="0" borderId="18" xfId="0" applyNumberFormat="1" applyBorder="1" applyAlignment="1">
      <alignment horizontal="center" vertical="center" shrinkToFit="1"/>
    </xf>
    <xf numFmtId="176" fontId="7" fillId="2" borderId="27" xfId="0" applyNumberFormat="1" applyFont="1" applyFill="1" applyBorder="1" applyAlignment="1">
      <alignment horizontal="center" vertical="center" shrinkToFit="1"/>
    </xf>
    <xf numFmtId="176" fontId="4" fillId="0" borderId="26" xfId="5" applyNumberFormat="1" applyBorder="1" applyAlignment="1">
      <alignment vertical="center" shrinkToFit="1"/>
    </xf>
    <xf numFmtId="176" fontId="4" fillId="0" borderId="2" xfId="5" applyNumberFormat="1" applyBorder="1" applyAlignment="1">
      <alignment vertical="center" shrinkToFit="1"/>
    </xf>
    <xf numFmtId="9" fontId="0" fillId="0" borderId="2" xfId="2" applyFont="1" applyBorder="1" applyAlignment="1">
      <alignment vertical="center" shrinkToFit="1"/>
    </xf>
    <xf numFmtId="9" fontId="0" fillId="0" borderId="98" xfId="2" applyFont="1" applyBorder="1" applyAlignment="1">
      <alignment vertical="center" shrinkToFit="1"/>
    </xf>
    <xf numFmtId="176" fontId="4" fillId="0" borderId="15" xfId="5" applyNumberFormat="1" applyBorder="1" applyAlignment="1">
      <alignment vertical="center" shrinkToFit="1"/>
    </xf>
    <xf numFmtId="176" fontId="4" fillId="0" borderId="16" xfId="5" applyNumberFormat="1" applyBorder="1" applyAlignment="1">
      <alignment vertical="center" shrinkToFit="1"/>
    </xf>
    <xf numFmtId="9" fontId="0" fillId="0" borderId="16" xfId="2" applyFont="1" applyBorder="1" applyAlignment="1">
      <alignment vertical="center" shrinkToFit="1"/>
    </xf>
    <xf numFmtId="9" fontId="0" fillId="0" borderId="100" xfId="2" applyFont="1" applyBorder="1" applyAlignment="1">
      <alignment vertical="center" shrinkToFit="1"/>
    </xf>
    <xf numFmtId="176" fontId="0" fillId="0" borderId="37" xfId="0" applyNumberFormat="1" applyBorder="1" applyAlignment="1">
      <alignment horizontal="left" vertical="center" shrinkToFit="1"/>
    </xf>
    <xf numFmtId="176" fontId="4" fillId="0" borderId="1" xfId="5" applyNumberFormat="1" applyBorder="1" applyAlignment="1">
      <alignment vertical="center" shrinkToFit="1"/>
    </xf>
    <xf numFmtId="176" fontId="7" fillId="3" borderId="28" xfId="0" applyNumberFormat="1" applyFont="1" applyFill="1" applyBorder="1" applyAlignment="1">
      <alignment horizontal="center" vertical="center" shrinkToFit="1"/>
    </xf>
    <xf numFmtId="176" fontId="0" fillId="7" borderId="29" xfId="0" applyNumberFormat="1" applyFill="1" applyBorder="1" applyAlignment="1">
      <alignment horizontal="center" vertical="center" shrinkToFit="1"/>
    </xf>
    <xf numFmtId="176" fontId="0" fillId="7" borderId="6" xfId="0" applyNumberFormat="1" applyFill="1" applyBorder="1" applyAlignment="1">
      <alignment horizontal="center" vertical="center" shrinkToFit="1"/>
    </xf>
    <xf numFmtId="176" fontId="0" fillId="6" borderId="29" xfId="0" applyNumberFormat="1" applyFill="1" applyBorder="1" applyAlignment="1">
      <alignment horizontal="center" vertical="center" shrinkToFit="1"/>
    </xf>
    <xf numFmtId="176" fontId="0" fillId="6" borderId="6" xfId="0" applyNumberFormat="1" applyFill="1" applyBorder="1" applyAlignment="1">
      <alignment horizontal="center" vertical="center" shrinkToFit="1"/>
    </xf>
    <xf numFmtId="176" fontId="0" fillId="0" borderId="1" xfId="0" applyNumberFormat="1" applyBorder="1" applyAlignment="1">
      <alignment vertical="center" shrinkToFit="1"/>
    </xf>
    <xf numFmtId="176" fontId="0" fillId="4" borderId="27" xfId="0" applyNumberFormat="1" applyFill="1" applyBorder="1" applyAlignment="1">
      <alignment horizontal="center" vertical="center" shrinkToFit="1"/>
    </xf>
    <xf numFmtId="176" fontId="0" fillId="0" borderId="15" xfId="0" applyNumberFormat="1" applyBorder="1" applyAlignment="1">
      <alignment horizontal="center" vertical="center" shrinkToFit="1"/>
    </xf>
    <xf numFmtId="176" fontId="0" fillId="0" borderId="16" xfId="0" applyNumberFormat="1" applyBorder="1" applyAlignment="1">
      <alignment horizontal="center" vertical="center" shrinkToFit="1"/>
    </xf>
    <xf numFmtId="176" fontId="0" fillId="0" borderId="8" xfId="0" applyNumberFormat="1" applyBorder="1" applyAlignment="1">
      <alignment horizontal="left" vertical="center" shrinkToFit="1"/>
    </xf>
    <xf numFmtId="9" fontId="0" fillId="0" borderId="83" xfId="2" applyFont="1" applyBorder="1" applyAlignment="1">
      <alignment vertical="center" shrinkToFit="1"/>
    </xf>
    <xf numFmtId="9" fontId="0" fillId="0" borderId="99" xfId="2" applyFont="1" applyBorder="1" applyAlignment="1">
      <alignment vertical="center" shrinkToFit="1"/>
    </xf>
    <xf numFmtId="9" fontId="8" fillId="0" borderId="35" xfId="2" applyFont="1" applyBorder="1" applyAlignment="1">
      <alignment vertical="center" shrinkToFit="1"/>
    </xf>
    <xf numFmtId="9" fontId="8" fillId="0" borderId="96" xfId="2" applyFont="1" applyBorder="1" applyAlignment="1">
      <alignment vertical="center" shrinkToFit="1"/>
    </xf>
    <xf numFmtId="176" fontId="0" fillId="0" borderId="97" xfId="0" applyNumberFormat="1" applyBorder="1" applyAlignment="1">
      <alignment horizontal="center" vertical="center" shrinkToFit="1"/>
    </xf>
    <xf numFmtId="176" fontId="4" fillId="0" borderId="27" xfId="5" applyNumberFormat="1" applyBorder="1" applyAlignment="1">
      <alignment vertical="center" shrinkToFit="1"/>
    </xf>
    <xf numFmtId="176" fontId="4" fillId="0" borderId="83" xfId="5" applyNumberFormat="1" applyBorder="1" applyAlignment="1">
      <alignment vertical="center" shrinkToFit="1"/>
    </xf>
    <xf numFmtId="176" fontId="11" fillId="0" borderId="34" xfId="5" applyNumberFormat="1" applyFont="1" applyBorder="1" applyAlignment="1">
      <alignment vertical="center" shrinkToFit="1"/>
    </xf>
    <xf numFmtId="176" fontId="11" fillId="0" borderId="35" xfId="5" applyNumberFormat="1" applyFont="1" applyBorder="1" applyAlignment="1">
      <alignment vertical="center" shrinkToFit="1"/>
    </xf>
    <xf numFmtId="176" fontId="0" fillId="0" borderId="30" xfId="0" applyNumberFormat="1" applyBorder="1" applyAlignment="1">
      <alignment horizontal="center" vertical="center" shrinkToFit="1"/>
    </xf>
    <xf numFmtId="176" fontId="0" fillId="0" borderId="31" xfId="0" applyNumberFormat="1" applyBorder="1" applyAlignment="1">
      <alignment horizontal="center" vertical="center" shrinkToFit="1"/>
    </xf>
    <xf numFmtId="176" fontId="0" fillId="0" borderId="32" xfId="0" applyNumberFormat="1" applyBorder="1" applyAlignment="1">
      <alignment horizontal="center" vertical="center" shrinkToFit="1"/>
    </xf>
    <xf numFmtId="176" fontId="8" fillId="0" borderId="19" xfId="1" applyNumberFormat="1" applyFont="1" applyBorder="1" applyAlignment="1">
      <alignment horizontal="center" vertical="center" shrinkToFit="1"/>
    </xf>
    <xf numFmtId="176" fontId="8" fillId="0" borderId="20" xfId="1" applyNumberFormat="1" applyFont="1" applyBorder="1" applyAlignment="1">
      <alignment horizontal="center" vertical="center" shrinkToFit="1"/>
    </xf>
    <xf numFmtId="176" fontId="8" fillId="0" borderId="21" xfId="1" applyNumberFormat="1" applyFont="1" applyBorder="1" applyAlignment="1">
      <alignment horizontal="center" vertical="center" shrinkToFit="1"/>
    </xf>
    <xf numFmtId="176" fontId="0" fillId="0" borderId="0" xfId="1" applyNumberFormat="1" applyFont="1" applyBorder="1" applyAlignment="1">
      <alignment horizontal="center" vertical="center" shrinkToFit="1"/>
    </xf>
    <xf numFmtId="176" fontId="0" fillId="0" borderId="37" xfId="1" applyNumberFormat="1" applyFont="1" applyBorder="1" applyAlignment="1">
      <alignment horizontal="center" vertical="center" shrinkToFit="1"/>
    </xf>
    <xf numFmtId="0" fontId="8" fillId="0" borderId="0" xfId="0" applyFont="1" applyAlignment="1">
      <alignment horizontal="left" vertical="center"/>
    </xf>
    <xf numFmtId="0" fontId="0" fillId="8" borderId="39" xfId="0" applyFill="1" applyBorder="1" applyAlignment="1">
      <alignment horizontal="left" vertical="center"/>
    </xf>
    <xf numFmtId="0" fontId="0" fillId="8" borderId="45" xfId="0" applyFill="1" applyBorder="1" applyAlignment="1">
      <alignment horizontal="left" vertical="center"/>
    </xf>
    <xf numFmtId="0" fontId="0" fillId="8" borderId="46" xfId="0" applyFill="1" applyBorder="1" applyAlignment="1">
      <alignment horizontal="left" vertical="center"/>
    </xf>
    <xf numFmtId="0" fontId="0" fillId="8" borderId="26" xfId="0" applyFill="1" applyBorder="1" applyAlignment="1">
      <alignment horizontal="center" vertical="center" wrapText="1"/>
    </xf>
    <xf numFmtId="0" fontId="0" fillId="8" borderId="27" xfId="0" applyFill="1" applyBorder="1" applyAlignment="1">
      <alignment horizontal="center" vertical="center" wrapText="1"/>
    </xf>
    <xf numFmtId="0" fontId="0" fillId="8" borderId="42" xfId="0" applyFill="1" applyBorder="1" applyAlignment="1">
      <alignment horizontal="left" vertical="center"/>
    </xf>
    <xf numFmtId="0" fontId="0" fillId="8" borderId="38" xfId="0" applyFill="1" applyBorder="1" applyAlignment="1">
      <alignment horizontal="left" vertical="center"/>
    </xf>
    <xf numFmtId="0" fontId="0" fillId="8" borderId="43" xfId="0" applyFill="1" applyBorder="1" applyAlignment="1">
      <alignment horizontal="left" vertical="center"/>
    </xf>
    <xf numFmtId="38" fontId="0" fillId="0" borderId="3" xfId="1" applyFont="1" applyBorder="1" applyAlignment="1">
      <alignment horizontal="center" vertical="center" wrapText="1"/>
    </xf>
    <xf numFmtId="38" fontId="0" fillId="0" borderId="4" xfId="1" applyFont="1" applyBorder="1" applyAlignment="1">
      <alignment horizontal="center" vertical="center" wrapText="1"/>
    </xf>
    <xf numFmtId="38" fontId="0" fillId="0" borderId="2" xfId="1" applyFont="1" applyBorder="1" applyAlignment="1">
      <alignment horizontal="center" vertical="center" wrapText="1"/>
    </xf>
    <xf numFmtId="38" fontId="0" fillId="0" borderId="33" xfId="1" applyFont="1" applyBorder="1" applyAlignment="1">
      <alignment horizontal="center" vertical="center" wrapText="1"/>
    </xf>
    <xf numFmtId="38" fontId="0" fillId="0" borderId="47" xfId="1" applyFont="1" applyBorder="1" applyAlignment="1">
      <alignment horizontal="center" vertical="center" wrapText="1"/>
    </xf>
    <xf numFmtId="38" fontId="0" fillId="0" borderId="23" xfId="1" applyFont="1" applyBorder="1" applyAlignment="1">
      <alignment horizontal="center" vertical="center" wrapText="1"/>
    </xf>
    <xf numFmtId="0" fontId="0" fillId="8" borderId="28" xfId="0" applyFill="1" applyBorder="1" applyAlignment="1">
      <alignment horizontal="center" vertical="center" shrinkToFit="1"/>
    </xf>
    <xf numFmtId="0" fontId="0" fillId="8" borderId="44" xfId="0" applyFill="1" applyBorder="1" applyAlignment="1">
      <alignment horizontal="center" vertical="center" shrinkToFit="1"/>
    </xf>
    <xf numFmtId="0" fontId="0" fillId="8" borderId="40" xfId="0" applyFill="1" applyBorder="1" applyAlignment="1">
      <alignment horizontal="left" vertical="center"/>
    </xf>
    <xf numFmtId="0" fontId="0" fillId="8" borderId="41" xfId="0" applyFill="1" applyBorder="1" applyAlignment="1">
      <alignment horizontal="left" vertical="center"/>
    </xf>
    <xf numFmtId="0" fontId="0" fillId="8" borderId="26" xfId="0" applyFill="1" applyBorder="1" applyAlignment="1">
      <alignment horizontal="center" vertical="center" shrinkToFit="1"/>
    </xf>
    <xf numFmtId="0" fontId="0" fillId="8" borderId="28" xfId="0" applyFill="1" applyBorder="1" applyAlignment="1">
      <alignment horizontal="center" vertical="center"/>
    </xf>
    <xf numFmtId="0" fontId="0" fillId="8" borderId="26" xfId="0" applyFill="1" applyBorder="1" applyAlignment="1">
      <alignment horizontal="center" vertical="center"/>
    </xf>
    <xf numFmtId="0" fontId="0" fillId="8" borderId="44" xfId="0" applyFill="1" applyBorder="1" applyAlignment="1">
      <alignment horizontal="center" vertical="center"/>
    </xf>
    <xf numFmtId="0" fontId="0" fillId="8" borderId="42" xfId="0" applyFill="1" applyBorder="1" applyAlignment="1">
      <alignment horizontal="left" vertical="center" shrinkToFit="1"/>
    </xf>
    <xf numFmtId="0" fontId="0" fillId="8" borderId="38" xfId="0" applyFill="1" applyBorder="1" applyAlignment="1">
      <alignment horizontal="left" vertical="center" shrinkToFit="1"/>
    </xf>
    <xf numFmtId="0" fontId="0" fillId="8" borderId="43" xfId="0" applyFill="1" applyBorder="1" applyAlignment="1">
      <alignment horizontal="left" vertical="center" shrinkToFi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4" fillId="0" borderId="51" xfId="8" applyFont="1" applyBorder="1" applyAlignment="1">
      <alignment shrinkToFit="1"/>
    </xf>
    <xf numFmtId="0" fontId="14" fillId="0" borderId="51" xfId="0" applyFont="1" applyBorder="1" applyAlignment="1">
      <alignment shrinkToFit="1"/>
    </xf>
    <xf numFmtId="183" fontId="14" fillId="0" borderId="52" xfId="8" applyNumberFormat="1" applyFont="1" applyBorder="1" applyAlignment="1">
      <alignment horizontal="left"/>
    </xf>
    <xf numFmtId="183" fontId="14" fillId="0" borderId="53" xfId="8" applyNumberFormat="1" applyFont="1" applyBorder="1" applyAlignment="1">
      <alignment horizontal="left"/>
    </xf>
    <xf numFmtId="0" fontId="14" fillId="0" borderId="54" xfId="0" applyFont="1" applyBorder="1" applyAlignment="1">
      <alignment horizontal="left"/>
    </xf>
    <xf numFmtId="0" fontId="14" fillId="0" borderId="89" xfId="8" applyFont="1" applyBorder="1" applyAlignment="1">
      <alignment shrinkToFit="1"/>
    </xf>
    <xf numFmtId="0" fontId="14" fillId="0" borderId="89" xfId="0" applyFont="1" applyBorder="1" applyAlignment="1">
      <alignment shrinkToFit="1"/>
    </xf>
    <xf numFmtId="183" fontId="14" fillId="0" borderId="90" xfId="8" applyNumberFormat="1" applyFont="1" applyBorder="1" applyAlignment="1">
      <alignment horizontal="left"/>
    </xf>
    <xf numFmtId="183" fontId="14" fillId="0" borderId="91" xfId="8" applyNumberFormat="1" applyFont="1" applyBorder="1" applyAlignment="1">
      <alignment horizontal="left"/>
    </xf>
    <xf numFmtId="0" fontId="14" fillId="0" borderId="92" xfId="0" applyFont="1" applyBorder="1" applyAlignment="1">
      <alignment horizontal="left"/>
    </xf>
    <xf numFmtId="0" fontId="17" fillId="0" borderId="71" xfId="8" applyFont="1" applyBorder="1" applyAlignment="1">
      <alignment horizontal="center" vertical="center" shrinkToFit="1"/>
    </xf>
    <xf numFmtId="0" fontId="17" fillId="0" borderId="0" xfId="8" applyFont="1" applyBorder="1" applyAlignment="1">
      <alignment horizontal="center" vertical="center" shrinkToFit="1"/>
    </xf>
    <xf numFmtId="0" fontId="17" fillId="0" borderId="72" xfId="8" applyFont="1" applyBorder="1" applyAlignment="1">
      <alignment horizontal="center" vertical="center" shrinkToFit="1"/>
    </xf>
    <xf numFmtId="0" fontId="17" fillId="0" borderId="37" xfId="8" applyFont="1" applyBorder="1" applyAlignment="1">
      <alignment horizontal="center" vertical="center" shrinkToFit="1"/>
    </xf>
    <xf numFmtId="0" fontId="14" fillId="0" borderId="52" xfId="8" applyFont="1" applyBorder="1" applyAlignment="1">
      <alignment shrinkToFit="1"/>
    </xf>
    <xf numFmtId="0" fontId="14" fillId="0" borderId="53" xfId="8" applyFont="1" applyBorder="1" applyAlignment="1">
      <alignment shrinkToFit="1"/>
    </xf>
    <xf numFmtId="0" fontId="14" fillId="0" borderId="55" xfId="8" applyFont="1" applyBorder="1" applyAlignment="1">
      <alignment shrinkToFit="1"/>
    </xf>
    <xf numFmtId="0" fontId="14" fillId="0" borderId="56" xfId="8" applyFont="1" applyBorder="1" applyAlignment="1">
      <alignment shrinkToFit="1"/>
    </xf>
    <xf numFmtId="0" fontId="0" fillId="10" borderId="75" xfId="0" applyFill="1" applyBorder="1" applyAlignment="1">
      <alignment horizontal="center" vertical="center"/>
    </xf>
    <xf numFmtId="0" fontId="0" fillId="10" borderId="76" xfId="0" applyFill="1" applyBorder="1" applyAlignment="1">
      <alignment horizontal="center" vertical="center"/>
    </xf>
    <xf numFmtId="0" fontId="0" fillId="10" borderId="77" xfId="0" applyFill="1" applyBorder="1" applyAlignment="1">
      <alignment horizontal="center" vertical="center"/>
    </xf>
    <xf numFmtId="0" fontId="0" fillId="2" borderId="75" xfId="0" applyFill="1" applyBorder="1" applyAlignment="1">
      <alignment horizontal="center" vertical="center"/>
    </xf>
    <xf numFmtId="0" fontId="0" fillId="2" borderId="76" xfId="0" applyFill="1" applyBorder="1" applyAlignment="1">
      <alignment horizontal="center" vertical="center"/>
    </xf>
    <xf numFmtId="0" fontId="0" fillId="2" borderId="77" xfId="0" applyFill="1" applyBorder="1" applyAlignment="1">
      <alignment horizontal="center" vertical="center"/>
    </xf>
  </cellXfs>
  <cellStyles count="538">
    <cellStyle name="パーセント" xfId="2" builtinId="5"/>
    <cellStyle name="パーセント 2" xfId="10"/>
    <cellStyle name="ハイパーリンク" xfId="7" builtinId="8"/>
    <cellStyle name="ハイパーリンク 10" xfId="27" hidden="1"/>
    <cellStyle name="ハイパーリンク 10" xfId="294"/>
    <cellStyle name="ハイパーリンク 11" xfId="29" hidden="1"/>
    <cellStyle name="ハイパーリンク 11" xfId="296"/>
    <cellStyle name="ハイパーリンク 12" xfId="31" hidden="1"/>
    <cellStyle name="ハイパーリンク 12" xfId="298"/>
    <cellStyle name="ハイパーリンク 13" xfId="33" hidden="1"/>
    <cellStyle name="ハイパーリンク 13" xfId="300"/>
    <cellStyle name="ハイパーリンク 14" xfId="35" hidden="1"/>
    <cellStyle name="ハイパーリンク 14" xfId="302"/>
    <cellStyle name="ハイパーリンク 15" xfId="37" hidden="1"/>
    <cellStyle name="ハイパーリンク 15" xfId="304"/>
    <cellStyle name="ハイパーリンク 16" xfId="39" hidden="1"/>
    <cellStyle name="ハイパーリンク 16" xfId="306"/>
    <cellStyle name="ハイパーリンク 17" xfId="41" hidden="1"/>
    <cellStyle name="ハイパーリンク 17" xfId="308"/>
    <cellStyle name="ハイパーリンク 18" xfId="43" hidden="1"/>
    <cellStyle name="ハイパーリンク 18" xfId="310"/>
    <cellStyle name="ハイパーリンク 19" xfId="45" hidden="1"/>
    <cellStyle name="ハイパーリンク 19" xfId="312"/>
    <cellStyle name="ハイパーリンク 2" xfId="11" hidden="1"/>
    <cellStyle name="ハイパーリンク 2" xfId="278"/>
    <cellStyle name="ハイパーリンク 20" xfId="47" hidden="1"/>
    <cellStyle name="ハイパーリンク 20" xfId="314"/>
    <cellStyle name="ハイパーリンク 21" xfId="49" hidden="1"/>
    <cellStyle name="ハイパーリンク 21" xfId="316"/>
    <cellStyle name="ハイパーリンク 22" xfId="51" hidden="1"/>
    <cellStyle name="ハイパーリンク 22" xfId="318"/>
    <cellStyle name="ハイパーリンク 23" xfId="53" hidden="1"/>
    <cellStyle name="ハイパーリンク 23" xfId="320"/>
    <cellStyle name="ハイパーリンク 24" xfId="55" hidden="1"/>
    <cellStyle name="ハイパーリンク 24" xfId="322"/>
    <cellStyle name="ハイパーリンク 25" xfId="57" hidden="1"/>
    <cellStyle name="ハイパーリンク 25" xfId="324"/>
    <cellStyle name="ハイパーリンク 26" xfId="59" hidden="1"/>
    <cellStyle name="ハイパーリンク 26" xfId="326"/>
    <cellStyle name="ハイパーリンク 27" xfId="61" hidden="1"/>
    <cellStyle name="ハイパーリンク 27" xfId="328"/>
    <cellStyle name="ハイパーリンク 28" xfId="63" hidden="1"/>
    <cellStyle name="ハイパーリンク 28" xfId="330"/>
    <cellStyle name="ハイパーリンク 29" xfId="65" hidden="1"/>
    <cellStyle name="ハイパーリンク 29" xfId="332"/>
    <cellStyle name="ハイパーリンク 3" xfId="13" hidden="1"/>
    <cellStyle name="ハイパーリンク 3" xfId="280"/>
    <cellStyle name="ハイパーリンク 30" xfId="67" hidden="1"/>
    <cellStyle name="ハイパーリンク 30" xfId="334"/>
    <cellStyle name="ハイパーリンク 31" xfId="69" hidden="1"/>
    <cellStyle name="ハイパーリンク 31" xfId="336"/>
    <cellStyle name="ハイパーリンク 32" xfId="71" hidden="1"/>
    <cellStyle name="ハイパーリンク 32" xfId="338"/>
    <cellStyle name="ハイパーリンク 33" xfId="73" hidden="1"/>
    <cellStyle name="ハイパーリンク 33" xfId="340"/>
    <cellStyle name="ハイパーリンク 34" xfId="75" hidden="1"/>
    <cellStyle name="ハイパーリンク 34" xfId="342"/>
    <cellStyle name="ハイパーリンク 35" xfId="77" hidden="1"/>
    <cellStyle name="ハイパーリンク 35" xfId="344"/>
    <cellStyle name="ハイパーリンク 36" xfId="79" hidden="1"/>
    <cellStyle name="ハイパーリンク 36" xfId="346"/>
    <cellStyle name="ハイパーリンク 37" xfId="81" hidden="1"/>
    <cellStyle name="ハイパーリンク 37" xfId="348"/>
    <cellStyle name="ハイパーリンク 38" xfId="83" hidden="1"/>
    <cellStyle name="ハイパーリンク 38" xfId="350"/>
    <cellStyle name="ハイパーリンク 39" xfId="85" hidden="1"/>
    <cellStyle name="ハイパーリンク 39" xfId="352"/>
    <cellStyle name="ハイパーリンク 4" xfId="15" hidden="1"/>
    <cellStyle name="ハイパーリンク 4" xfId="282"/>
    <cellStyle name="ハイパーリンク 40" xfId="87" hidden="1"/>
    <cellStyle name="ハイパーリンク 40" xfId="354"/>
    <cellStyle name="ハイパーリンク 41" xfId="89" hidden="1"/>
    <cellStyle name="ハイパーリンク 41" xfId="356"/>
    <cellStyle name="ハイパーリンク 42" xfId="91" hidden="1"/>
    <cellStyle name="ハイパーリンク 42" xfId="358"/>
    <cellStyle name="ハイパーリンク 43" xfId="93" hidden="1"/>
    <cellStyle name="ハイパーリンク 43" xfId="360"/>
    <cellStyle name="ハイパーリンク 44" xfId="95" hidden="1"/>
    <cellStyle name="ハイパーリンク 44" xfId="362"/>
    <cellStyle name="ハイパーリンク 45" xfId="97" hidden="1"/>
    <cellStyle name="ハイパーリンク 45" xfId="364"/>
    <cellStyle name="ハイパーリンク 46" xfId="99" hidden="1"/>
    <cellStyle name="ハイパーリンク 46" xfId="366"/>
    <cellStyle name="ハイパーリンク 47" xfId="101" hidden="1"/>
    <cellStyle name="ハイパーリンク 47" xfId="368"/>
    <cellStyle name="ハイパーリンク 48" xfId="103" hidden="1"/>
    <cellStyle name="ハイパーリンク 48" xfId="370"/>
    <cellStyle name="ハイパーリンク 49" xfId="105" hidden="1"/>
    <cellStyle name="ハイパーリンク 49" xfId="372"/>
    <cellStyle name="ハイパーリンク 5" xfId="17" hidden="1"/>
    <cellStyle name="ハイパーリンク 5" xfId="284"/>
    <cellStyle name="ハイパーリンク 50" xfId="107" hidden="1"/>
    <cellStyle name="ハイパーリンク 50" xfId="374"/>
    <cellStyle name="ハイパーリンク 51" xfId="109" hidden="1"/>
    <cellStyle name="ハイパーリンク 51" xfId="376"/>
    <cellStyle name="ハイパーリンク 52" xfId="111" hidden="1"/>
    <cellStyle name="ハイパーリンク 52" xfId="378"/>
    <cellStyle name="ハイパーリンク 53" xfId="113" hidden="1"/>
    <cellStyle name="ハイパーリンク 53" xfId="380"/>
    <cellStyle name="ハイパーリンク 54" xfId="115" hidden="1"/>
    <cellStyle name="ハイパーリンク 54" xfId="382"/>
    <cellStyle name="ハイパーリンク 55" xfId="117" hidden="1"/>
    <cellStyle name="ハイパーリンク 55" xfId="384"/>
    <cellStyle name="ハイパーリンク 56" xfId="119" hidden="1"/>
    <cellStyle name="ハイパーリンク 56" xfId="386"/>
    <cellStyle name="ハイパーリンク 57" xfId="121" hidden="1"/>
    <cellStyle name="ハイパーリンク 57" xfId="388"/>
    <cellStyle name="ハイパーリンク 58" xfId="123" hidden="1"/>
    <cellStyle name="ハイパーリンク 58" xfId="390"/>
    <cellStyle name="ハイパーリンク 59" xfId="125" hidden="1"/>
    <cellStyle name="ハイパーリンク 59" xfId="392"/>
    <cellStyle name="ハイパーリンク 6" xfId="19" hidden="1"/>
    <cellStyle name="ハイパーリンク 6" xfId="286"/>
    <cellStyle name="ハイパーリンク 60" xfId="127" hidden="1"/>
    <cellStyle name="ハイパーリンク 60" xfId="394"/>
    <cellStyle name="ハイパーリンク 61" xfId="129" hidden="1"/>
    <cellStyle name="ハイパーリンク 61" xfId="396"/>
    <cellStyle name="ハイパーリンク 62" xfId="131" hidden="1"/>
    <cellStyle name="ハイパーリンク 62" xfId="398"/>
    <cellStyle name="ハイパーリンク 63" xfId="133" hidden="1"/>
    <cellStyle name="ハイパーリンク 63" xfId="400"/>
    <cellStyle name="ハイパーリンク 64" xfId="135" hidden="1"/>
    <cellStyle name="ハイパーリンク 64" xfId="402"/>
    <cellStyle name="ハイパーリンク 65" xfId="137" hidden="1"/>
    <cellStyle name="ハイパーリンク 65" xfId="404"/>
    <cellStyle name="ハイパーリンク 66" xfId="139" hidden="1"/>
    <cellStyle name="ハイパーリンク 66" xfId="406"/>
    <cellStyle name="ハイパーリンク 67" xfId="141" hidden="1"/>
    <cellStyle name="ハイパーリンク 67" xfId="408"/>
    <cellStyle name="ハイパーリンク 68" xfId="143" hidden="1"/>
    <cellStyle name="ハイパーリンク 68" xfId="410"/>
    <cellStyle name="ハイパーリンク 69" xfId="145" hidden="1"/>
    <cellStyle name="ハイパーリンク 69" xfId="412"/>
    <cellStyle name="ハイパーリンク 7" xfId="21" hidden="1"/>
    <cellStyle name="ハイパーリンク 7" xfId="288"/>
    <cellStyle name="ハイパーリンク 70" xfId="147" hidden="1"/>
    <cellStyle name="ハイパーリンク 70" xfId="414"/>
    <cellStyle name="ハイパーリンク 71" xfId="149" hidden="1"/>
    <cellStyle name="ハイパーリンク 71" xfId="416"/>
    <cellStyle name="ハイパーリンク 72" xfId="151" hidden="1"/>
    <cellStyle name="ハイパーリンク 72" xfId="418"/>
    <cellStyle name="ハイパーリンク 73" xfId="153" hidden="1"/>
    <cellStyle name="ハイパーリンク 73" xfId="420"/>
    <cellStyle name="ハイパーリンク 74" xfId="155" hidden="1"/>
    <cellStyle name="ハイパーリンク 74" xfId="422"/>
    <cellStyle name="ハイパーリンク 75" xfId="157" hidden="1"/>
    <cellStyle name="ハイパーリンク 75" xfId="424"/>
    <cellStyle name="ハイパーリンク 76" xfId="159" hidden="1"/>
    <cellStyle name="ハイパーリンク 76" xfId="426"/>
    <cellStyle name="ハイパーリンク 77" xfId="161" hidden="1"/>
    <cellStyle name="ハイパーリンク 77" xfId="428"/>
    <cellStyle name="ハイパーリンク 78" xfId="163" hidden="1"/>
    <cellStyle name="ハイパーリンク 78" xfId="430"/>
    <cellStyle name="ハイパーリンク 79" xfId="165" hidden="1"/>
    <cellStyle name="ハイパーリンク 79" xfId="432"/>
    <cellStyle name="ハイパーリンク 8" xfId="23" hidden="1"/>
    <cellStyle name="ハイパーリンク 8" xfId="290"/>
    <cellStyle name="ハイパーリンク 80" xfId="167" hidden="1"/>
    <cellStyle name="ハイパーリンク 80" xfId="434"/>
    <cellStyle name="ハイパーリンク 81" xfId="169" hidden="1"/>
    <cellStyle name="ハイパーリンク 81" xfId="436"/>
    <cellStyle name="ハイパーリンク 82" xfId="171" hidden="1"/>
    <cellStyle name="ハイパーリンク 82" xfId="438"/>
    <cellStyle name="ハイパーリンク 83" xfId="173" hidden="1"/>
    <cellStyle name="ハイパーリンク 83" xfId="440"/>
    <cellStyle name="ハイパーリンク 84" xfId="175" hidden="1"/>
    <cellStyle name="ハイパーリンク 84" xfId="442"/>
    <cellStyle name="ハイパーリンク 85" xfId="177" hidden="1"/>
    <cellStyle name="ハイパーリンク 85" xfId="444"/>
    <cellStyle name="ハイパーリンク 86" xfId="179" hidden="1"/>
    <cellStyle name="ハイパーリンク 86" xfId="446"/>
    <cellStyle name="ハイパーリンク 87" xfId="181" hidden="1"/>
    <cellStyle name="ハイパーリンク 87" xfId="448"/>
    <cellStyle name="ハイパーリンク 88" xfId="183" hidden="1"/>
    <cellStyle name="ハイパーリンク 88" xfId="450"/>
    <cellStyle name="ハイパーリンク 89" xfId="185" hidden="1"/>
    <cellStyle name="ハイパーリンク 89" xfId="452"/>
    <cellStyle name="ハイパーリンク 9" xfId="25" hidden="1"/>
    <cellStyle name="ハイパーリンク 9" xfId="292"/>
    <cellStyle name="ハイパーリンク 90" xfId="187" hidden="1"/>
    <cellStyle name="ハイパーリンク 90" xfId="454"/>
    <cellStyle name="桁区切り" xfId="1" builtinId="6"/>
    <cellStyle name="桁区切り 2" xfId="4"/>
    <cellStyle name="桁区切り 3" xfId="6"/>
    <cellStyle name="標準" xfId="0" builtinId="0"/>
    <cellStyle name="標準 2" xfId="3"/>
    <cellStyle name="標準 3" xfId="5"/>
    <cellStyle name="標準 4" xfId="9"/>
    <cellStyle name="標準_Loan100" xfId="8"/>
    <cellStyle name="表示済みのハイパーリンク" xfId="12" builtinId="9" hidden="1"/>
    <cellStyle name="表示済みのハイパーリンク" xfId="14" builtinId="9" hidden="1"/>
    <cellStyle name="表示済みのハイパーリンク" xfId="16" builtinId="9" hidden="1"/>
    <cellStyle name="表示済みのハイパーリンク" xfId="18" builtinId="9" hidden="1"/>
    <cellStyle name="表示済みのハイパーリンク" xfId="20" builtinId="9" hidden="1"/>
    <cellStyle name="表示済みのハイパーリンク" xfId="22" builtinId="9" hidden="1"/>
    <cellStyle name="表示済みのハイパーリンク" xfId="24" builtinId="9" hidden="1"/>
    <cellStyle name="表示済みのハイパーリンク" xfId="26" builtinId="9" hidden="1"/>
    <cellStyle name="表示済みのハイパーリンク" xfId="28" builtinId="9" hidden="1"/>
    <cellStyle name="表示済みのハイパーリンク" xfId="30" builtinId="9" hidden="1"/>
    <cellStyle name="表示済みのハイパーリンク" xfId="32" builtinId="9" hidden="1"/>
    <cellStyle name="表示済みのハイパーリンク" xfId="34" builtinId="9" hidden="1"/>
    <cellStyle name="表示済みのハイパーリンク" xfId="36" builtinId="9" hidden="1"/>
    <cellStyle name="表示済みのハイパーリンク" xfId="38" builtinId="9" hidden="1"/>
    <cellStyle name="表示済みのハイパーリンク" xfId="40" builtinId="9" hidden="1"/>
    <cellStyle name="表示済みのハイパーリンク" xfId="42" builtinId="9" hidden="1"/>
    <cellStyle name="表示済みのハイパーリンク" xfId="44" builtinId="9" hidden="1"/>
    <cellStyle name="表示済みのハイパーリンク" xfId="46" builtinId="9" hidden="1"/>
    <cellStyle name="表示済みのハイパーリンク" xfId="48" builtinId="9" hidden="1"/>
    <cellStyle name="表示済みのハイパーリンク" xfId="50" builtinId="9" hidden="1"/>
    <cellStyle name="表示済みのハイパーリンク" xfId="52" builtinId="9" hidden="1"/>
    <cellStyle name="表示済みのハイパーリンク" xfId="54" builtinId="9" hidden="1"/>
    <cellStyle name="表示済みのハイパーリンク" xfId="56" builtinId="9" hidden="1"/>
    <cellStyle name="表示済みのハイパーリンク" xfId="58" builtinId="9" hidden="1"/>
    <cellStyle name="表示済みのハイパーリンク" xfId="60" builtinId="9" hidden="1"/>
    <cellStyle name="表示済みのハイパーリンク" xfId="62" builtinId="9" hidden="1"/>
    <cellStyle name="表示済みのハイパーリンク" xfId="64" builtinId="9" hidden="1"/>
    <cellStyle name="表示済みのハイパーリンク" xfId="66" builtinId="9" hidden="1"/>
    <cellStyle name="表示済みのハイパーリンク" xfId="68" builtinId="9" hidden="1"/>
    <cellStyle name="表示済みのハイパーリンク" xfId="70" builtinId="9" hidden="1"/>
    <cellStyle name="表示済みのハイパーリンク" xfId="72" builtinId="9" hidden="1"/>
    <cellStyle name="表示済みのハイパーリンク" xfId="74" builtinId="9" hidden="1"/>
    <cellStyle name="表示済みのハイパーリンク" xfId="76" builtinId="9" hidden="1"/>
    <cellStyle name="表示済みのハイパーリンク" xfId="78" builtinId="9" hidden="1"/>
    <cellStyle name="表示済みのハイパーリンク" xfId="80" builtinId="9" hidden="1"/>
    <cellStyle name="表示済みのハイパーリンク" xfId="82" builtinId="9" hidden="1"/>
    <cellStyle name="表示済みのハイパーリンク" xfId="84" builtinId="9" hidden="1"/>
    <cellStyle name="表示済みのハイパーリンク" xfId="86" builtinId="9" hidden="1"/>
    <cellStyle name="表示済みのハイパーリンク" xfId="88" builtinId="9" hidden="1"/>
    <cellStyle name="表示済みのハイパーリンク" xfId="90" builtinId="9" hidden="1"/>
    <cellStyle name="表示済みのハイパーリンク" xfId="92" builtinId="9" hidden="1"/>
    <cellStyle name="表示済みのハイパーリンク" xfId="94" builtinId="9" hidden="1"/>
    <cellStyle name="表示済みのハイパーリンク" xfId="96" builtinId="9" hidden="1"/>
    <cellStyle name="表示済みのハイパーリンク" xfId="98" builtinId="9" hidden="1"/>
    <cellStyle name="表示済みのハイパーリンク" xfId="100" builtinId="9" hidden="1"/>
    <cellStyle name="表示済みのハイパーリンク" xfId="102" builtinId="9" hidden="1"/>
    <cellStyle name="表示済みのハイパーリンク" xfId="104" builtinId="9" hidden="1"/>
    <cellStyle name="表示済みのハイパーリンク" xfId="106" builtinId="9" hidden="1"/>
    <cellStyle name="表示済みのハイパーリンク" xfId="108" builtinId="9" hidden="1"/>
    <cellStyle name="表示済みのハイパーリンク" xfId="110" builtinId="9" hidden="1"/>
    <cellStyle name="表示済みのハイパーリンク" xfId="112" builtinId="9" hidden="1"/>
    <cellStyle name="表示済みのハイパーリンク" xfId="114" builtinId="9" hidden="1"/>
    <cellStyle name="表示済みのハイパーリンク" xfId="116" builtinId="9" hidden="1"/>
    <cellStyle name="表示済みのハイパーリンク" xfId="118" builtinId="9" hidden="1"/>
    <cellStyle name="表示済みのハイパーリンク" xfId="120" builtinId="9" hidden="1"/>
    <cellStyle name="表示済みのハイパーリンク" xfId="122" builtinId="9" hidden="1"/>
    <cellStyle name="表示済みのハイパーリンク" xfId="124" builtinId="9" hidden="1"/>
    <cellStyle name="表示済みのハイパーリンク" xfId="126" builtinId="9" hidden="1"/>
    <cellStyle name="表示済みのハイパーリンク" xfId="128" builtinId="9" hidden="1"/>
    <cellStyle name="表示済みのハイパーリンク" xfId="130" builtinId="9" hidden="1"/>
    <cellStyle name="表示済みのハイパーリンク" xfId="132" builtinId="9" hidden="1"/>
    <cellStyle name="表示済みのハイパーリンク" xfId="134" builtinId="9" hidden="1"/>
    <cellStyle name="表示済みのハイパーリンク" xfId="136" builtinId="9" hidden="1"/>
    <cellStyle name="表示済みのハイパーリンク" xfId="138" builtinId="9" hidden="1"/>
    <cellStyle name="表示済みのハイパーリンク" xfId="140" builtinId="9" hidden="1"/>
    <cellStyle name="表示済みのハイパーリンク" xfId="142" builtinId="9" hidden="1"/>
    <cellStyle name="表示済みのハイパーリンク" xfId="144" builtinId="9" hidden="1"/>
    <cellStyle name="表示済みのハイパーリンク" xfId="146" builtinId="9" hidden="1"/>
    <cellStyle name="表示済みのハイパーリンク" xfId="148" builtinId="9" hidden="1"/>
    <cellStyle name="表示済みのハイパーリンク" xfId="150" builtinId="9" hidden="1"/>
    <cellStyle name="表示済みのハイパーリンク" xfId="152" builtinId="9" hidden="1"/>
    <cellStyle name="表示済みのハイパーリンク" xfId="154" builtinId="9" hidden="1"/>
    <cellStyle name="表示済みのハイパーリンク" xfId="156" builtinId="9" hidden="1"/>
    <cellStyle name="表示済みのハイパーリンク" xfId="158" builtinId="9" hidden="1"/>
    <cellStyle name="表示済みのハイパーリンク" xfId="160" builtinId="9" hidden="1"/>
    <cellStyle name="表示済みのハイパーリンク" xfId="162" builtinId="9" hidden="1"/>
    <cellStyle name="表示済みのハイパーリンク" xfId="164" builtinId="9" hidden="1"/>
    <cellStyle name="表示済みのハイパーリンク" xfId="166" builtinId="9" hidden="1"/>
    <cellStyle name="表示済みのハイパーリンク" xfId="168" builtinId="9" hidden="1"/>
    <cellStyle name="表示済みのハイパーリンク" xfId="170" builtinId="9" hidden="1"/>
    <cellStyle name="表示済みのハイパーリンク" xfId="172" builtinId="9" hidden="1"/>
    <cellStyle name="表示済みのハイパーリンク" xfId="174" builtinId="9" hidden="1"/>
    <cellStyle name="表示済みのハイパーリンク" xfId="176" builtinId="9" hidden="1"/>
    <cellStyle name="表示済みのハイパーリンク" xfId="178" builtinId="9" hidden="1"/>
    <cellStyle name="表示済みのハイパーリンク" xfId="180" builtinId="9" hidden="1"/>
    <cellStyle name="表示済みのハイパーリンク" xfId="182" builtinId="9" hidden="1"/>
    <cellStyle name="表示済みのハイパーリンク" xfId="184" builtinId="9" hidden="1"/>
    <cellStyle name="表示済みのハイパーリンク" xfId="186" builtinId="9" hidden="1"/>
    <cellStyle name="表示済みのハイパーリンク" xfId="188" builtinId="9" hidden="1"/>
    <cellStyle name="表示済みのハイパーリンク" xfId="189" builtinId="9" hidden="1"/>
    <cellStyle name="表示済みのハイパーリンク" xfId="190" builtinId="9" hidden="1"/>
    <cellStyle name="表示済みのハイパーリンク" xfId="191" builtinId="9" hidden="1"/>
    <cellStyle name="表示済みのハイパーリンク" xfId="192" builtinId="9" hidden="1"/>
    <cellStyle name="表示済みのハイパーリンク" xfId="193" builtinId="9" hidden="1"/>
    <cellStyle name="表示済みのハイパーリンク" xfId="194" builtinId="9" hidden="1"/>
    <cellStyle name="表示済みのハイパーリンク" xfId="195" builtinId="9" hidden="1"/>
    <cellStyle name="表示済みのハイパーリンク" xfId="196" builtinId="9" hidden="1"/>
    <cellStyle name="表示済みのハイパーリンク" xfId="197" builtinId="9" hidden="1"/>
    <cellStyle name="表示済みのハイパーリンク" xfId="198" builtinId="9" hidden="1"/>
    <cellStyle name="表示済みのハイパーリンク" xfId="199" builtinId="9" hidden="1"/>
    <cellStyle name="表示済みのハイパーリンク" xfId="200" builtinId="9" hidden="1"/>
    <cellStyle name="表示済みのハイパーリンク" xfId="201" builtinId="9" hidden="1"/>
    <cellStyle name="表示済みのハイパーリンク" xfId="202" builtinId="9" hidden="1"/>
    <cellStyle name="表示済みのハイパーリンク" xfId="203" builtinId="9" hidden="1"/>
    <cellStyle name="表示済みのハイパーリンク" xfId="204" builtinId="9" hidden="1"/>
    <cellStyle name="表示済みのハイパーリンク" xfId="205" builtinId="9" hidden="1"/>
    <cellStyle name="表示済みのハイパーリンク" xfId="206" builtinId="9" hidden="1"/>
    <cellStyle name="表示済みのハイパーリンク" xfId="207" builtinId="9" hidden="1"/>
    <cellStyle name="表示済みのハイパーリンク" xfId="208" builtinId="9" hidden="1"/>
    <cellStyle name="表示済みのハイパーリンク" xfId="209" builtinId="9" hidden="1"/>
    <cellStyle name="表示済みのハイパーリンク" xfId="210" builtinId="9" hidden="1"/>
    <cellStyle name="表示済みのハイパーリンク" xfId="211" builtinId="9" hidden="1"/>
    <cellStyle name="表示済みのハイパーリンク" xfId="212" builtinId="9" hidden="1"/>
    <cellStyle name="表示済みのハイパーリンク" xfId="213" builtinId="9" hidden="1"/>
    <cellStyle name="表示済みのハイパーリンク" xfId="214" builtinId="9" hidden="1"/>
    <cellStyle name="表示済みのハイパーリンク" xfId="215" builtinId="9" hidden="1"/>
    <cellStyle name="表示済みのハイパーリンク" xfId="216" builtinId="9" hidden="1"/>
    <cellStyle name="表示済みのハイパーリンク" xfId="217" builtinId="9" hidden="1"/>
    <cellStyle name="表示済みのハイパーリンク" xfId="218" builtinId="9" hidden="1"/>
    <cellStyle name="表示済みのハイパーリンク" xfId="219" builtinId="9" hidden="1"/>
    <cellStyle name="表示済みのハイパーリンク" xfId="220" builtinId="9" hidden="1"/>
    <cellStyle name="表示済みのハイパーリンク" xfId="221" builtinId="9" hidden="1"/>
    <cellStyle name="表示済みのハイパーリンク" xfId="222" builtinId="9" hidden="1"/>
    <cellStyle name="表示済みのハイパーリンク" xfId="223" builtinId="9" hidden="1"/>
    <cellStyle name="表示済みのハイパーリンク" xfId="224" builtinId="9" hidden="1"/>
    <cellStyle name="表示済みのハイパーリンク" xfId="225" builtinId="9" hidden="1"/>
    <cellStyle name="表示済みのハイパーリンク" xfId="226" builtinId="9" hidden="1"/>
    <cellStyle name="表示済みのハイパーリンク" xfId="227" builtinId="9" hidden="1"/>
    <cellStyle name="表示済みのハイパーリンク" xfId="228" builtinId="9" hidden="1"/>
    <cellStyle name="表示済みのハイパーリンク" xfId="229" builtinId="9" hidden="1"/>
    <cellStyle name="表示済みのハイパーリンク" xfId="230" builtinId="9" hidden="1"/>
    <cellStyle name="表示済みのハイパーリンク" xfId="231" builtinId="9" hidden="1"/>
    <cellStyle name="表示済みのハイパーリンク" xfId="232" builtinId="9" hidden="1"/>
    <cellStyle name="表示済みのハイパーリンク" xfId="233" builtinId="9" hidden="1"/>
    <cellStyle name="表示済みのハイパーリンク" xfId="234" builtinId="9" hidden="1"/>
    <cellStyle name="表示済みのハイパーリンク" xfId="235" builtinId="9" hidden="1"/>
    <cellStyle name="表示済みのハイパーリンク" xfId="236" builtinId="9" hidden="1"/>
    <cellStyle name="表示済みのハイパーリンク" xfId="237" builtinId="9" hidden="1"/>
    <cellStyle name="表示済みのハイパーリンク" xfId="238" builtinId="9" hidden="1"/>
    <cellStyle name="表示済みのハイパーリンク" xfId="239" builtinId="9" hidden="1"/>
    <cellStyle name="表示済みのハイパーリンク" xfId="240" builtinId="9" hidden="1"/>
    <cellStyle name="表示済みのハイパーリンク" xfId="241" builtinId="9" hidden="1"/>
    <cellStyle name="表示済みのハイパーリンク" xfId="242" builtinId="9" hidden="1"/>
    <cellStyle name="表示済みのハイパーリンク" xfId="243" builtinId="9" hidden="1"/>
    <cellStyle name="表示済みのハイパーリンク" xfId="244" builtinId="9" hidden="1"/>
    <cellStyle name="表示済みのハイパーリンク" xfId="245" builtinId="9" hidden="1"/>
    <cellStyle name="表示済みのハイパーリンク" xfId="246" builtinId="9" hidden="1"/>
    <cellStyle name="表示済みのハイパーリンク" xfId="247" builtinId="9" hidden="1"/>
    <cellStyle name="表示済みのハイパーリンク" xfId="248" builtinId="9" hidden="1"/>
    <cellStyle name="表示済みのハイパーリンク" xfId="249" builtinId="9" hidden="1"/>
    <cellStyle name="表示済みのハイパーリンク" xfId="250" builtinId="9" hidden="1"/>
    <cellStyle name="表示済みのハイパーリンク" xfId="251" builtinId="9" hidden="1"/>
    <cellStyle name="表示済みのハイパーリンク" xfId="252" builtinId="9" hidden="1"/>
    <cellStyle name="表示済みのハイパーリンク" xfId="253" builtinId="9" hidden="1"/>
    <cellStyle name="表示済みのハイパーリンク" xfId="254" builtinId="9" hidden="1"/>
    <cellStyle name="表示済みのハイパーリンク" xfId="255" builtinId="9" hidden="1"/>
    <cellStyle name="表示済みのハイパーリンク" xfId="256" builtinId="9" hidden="1"/>
    <cellStyle name="表示済みのハイパーリンク" xfId="257" builtinId="9" hidden="1"/>
    <cellStyle name="表示済みのハイパーリンク" xfId="258" builtinId="9" hidden="1"/>
    <cellStyle name="表示済みのハイパーリンク" xfId="259" builtinId="9" hidden="1"/>
    <cellStyle name="表示済みのハイパーリンク" xfId="260" builtinId="9" hidden="1"/>
    <cellStyle name="表示済みのハイパーリンク" xfId="261" builtinId="9" hidden="1"/>
    <cellStyle name="表示済みのハイパーリンク" xfId="262" builtinId="9" hidden="1"/>
    <cellStyle name="表示済みのハイパーリンク" xfId="263" builtinId="9" hidden="1"/>
    <cellStyle name="表示済みのハイパーリンク" xfId="264" builtinId="9" hidden="1"/>
    <cellStyle name="表示済みのハイパーリンク" xfId="265" builtinId="9" hidden="1"/>
    <cellStyle name="表示済みのハイパーリンク" xfId="266" builtinId="9" hidden="1"/>
    <cellStyle name="表示済みのハイパーリンク" xfId="267" builtinId="9" hidden="1"/>
    <cellStyle name="表示済みのハイパーリンク" xfId="268" builtinId="9" hidden="1"/>
    <cellStyle name="表示済みのハイパーリンク" xfId="269" builtinId="9" hidden="1"/>
    <cellStyle name="表示済みのハイパーリンク" xfId="270" builtinId="9" hidden="1"/>
    <cellStyle name="表示済みのハイパーリンク" xfId="271" builtinId="9" hidden="1"/>
    <cellStyle name="表示済みのハイパーリンク" xfId="272" builtinId="9" hidden="1"/>
    <cellStyle name="表示済みのハイパーリンク" xfId="273" builtinId="9" hidden="1"/>
    <cellStyle name="表示済みのハイパーリンク" xfId="274" builtinId="9" hidden="1"/>
    <cellStyle name="表示済みのハイパーリンク" xfId="275" builtinId="9" hidden="1"/>
    <cellStyle name="表示済みのハイパーリンク" xfId="276" builtinId="9" hidden="1"/>
    <cellStyle name="表示済みのハイパーリンク" xfId="277" builtinId="9" hidden="1"/>
    <cellStyle name="表示済みのハイパーリンク" xfId="279" builtinId="9" hidden="1"/>
    <cellStyle name="表示済みのハイパーリンク" xfId="281" builtinId="9" hidden="1"/>
    <cellStyle name="表示済みのハイパーリンク" xfId="283" builtinId="9" hidden="1"/>
    <cellStyle name="表示済みのハイパーリンク" xfId="285" builtinId="9" hidden="1"/>
    <cellStyle name="表示済みのハイパーリンク" xfId="287" builtinId="9" hidden="1"/>
    <cellStyle name="表示済みのハイパーリンク" xfId="289" builtinId="9" hidden="1"/>
    <cellStyle name="表示済みのハイパーリンク" xfId="291" builtinId="9" hidden="1"/>
    <cellStyle name="表示済みのハイパーリンク" xfId="293" builtinId="9" hidden="1"/>
    <cellStyle name="表示済みのハイパーリンク" xfId="295" builtinId="9" hidden="1"/>
    <cellStyle name="表示済みのハイパーリンク" xfId="297" builtinId="9" hidden="1"/>
    <cellStyle name="表示済みのハイパーリンク" xfId="299" builtinId="9" hidden="1"/>
    <cellStyle name="表示済みのハイパーリンク" xfId="301" builtinId="9" hidden="1"/>
    <cellStyle name="表示済みのハイパーリンク" xfId="303" builtinId="9" hidden="1"/>
    <cellStyle name="表示済みのハイパーリンク" xfId="305" builtinId="9" hidden="1"/>
    <cellStyle name="表示済みのハイパーリンク" xfId="307" builtinId="9" hidden="1"/>
    <cellStyle name="表示済みのハイパーリンク" xfId="309" builtinId="9" hidden="1"/>
    <cellStyle name="表示済みのハイパーリンク" xfId="311" builtinId="9" hidden="1"/>
    <cellStyle name="表示済みのハイパーリンク" xfId="313" builtinId="9" hidden="1"/>
    <cellStyle name="表示済みのハイパーリンク" xfId="315" builtinId="9" hidden="1"/>
    <cellStyle name="表示済みのハイパーリンク" xfId="317" builtinId="9" hidden="1"/>
    <cellStyle name="表示済みのハイパーリンク" xfId="319" builtinId="9" hidden="1"/>
    <cellStyle name="表示済みのハイパーリンク" xfId="321" builtinId="9" hidden="1"/>
    <cellStyle name="表示済みのハイパーリンク" xfId="323" builtinId="9" hidden="1"/>
    <cellStyle name="表示済みのハイパーリンク" xfId="325" builtinId="9" hidden="1"/>
    <cellStyle name="表示済みのハイパーリンク" xfId="327" builtinId="9" hidden="1"/>
    <cellStyle name="表示済みのハイパーリンク" xfId="329" builtinId="9" hidden="1"/>
    <cellStyle name="表示済みのハイパーリンク" xfId="331" builtinId="9" hidden="1"/>
    <cellStyle name="表示済みのハイパーリンク" xfId="333" builtinId="9" hidden="1"/>
    <cellStyle name="表示済みのハイパーリンク" xfId="335" builtinId="9" hidden="1"/>
    <cellStyle name="表示済みのハイパーリンク" xfId="337" builtinId="9" hidden="1"/>
    <cellStyle name="表示済みのハイパーリンク" xfId="339" builtinId="9" hidden="1"/>
    <cellStyle name="表示済みのハイパーリンク" xfId="341" builtinId="9" hidden="1"/>
    <cellStyle name="表示済みのハイパーリンク" xfId="343" builtinId="9" hidden="1"/>
    <cellStyle name="表示済みのハイパーリンク" xfId="345" builtinId="9" hidden="1"/>
    <cellStyle name="表示済みのハイパーリンク" xfId="347" builtinId="9" hidden="1"/>
    <cellStyle name="表示済みのハイパーリンク" xfId="349" builtinId="9" hidden="1"/>
    <cellStyle name="表示済みのハイパーリンク" xfId="351" builtinId="9" hidden="1"/>
    <cellStyle name="表示済みのハイパーリンク" xfId="353" builtinId="9" hidden="1"/>
    <cellStyle name="表示済みのハイパーリンク" xfId="355" builtinId="9" hidden="1"/>
    <cellStyle name="表示済みのハイパーリンク" xfId="357" builtinId="9" hidden="1"/>
    <cellStyle name="表示済みのハイパーリンク" xfId="359" builtinId="9" hidden="1"/>
    <cellStyle name="表示済みのハイパーリンク" xfId="361" builtinId="9" hidden="1"/>
    <cellStyle name="表示済みのハイパーリンク" xfId="363" builtinId="9" hidden="1"/>
    <cellStyle name="表示済みのハイパーリンク" xfId="365" builtinId="9" hidden="1"/>
    <cellStyle name="表示済みのハイパーリンク" xfId="367" builtinId="9" hidden="1"/>
    <cellStyle name="表示済みのハイパーリンク" xfId="369" builtinId="9" hidden="1"/>
    <cellStyle name="表示済みのハイパーリンク" xfId="371" builtinId="9" hidden="1"/>
    <cellStyle name="表示済みのハイパーリンク" xfId="373" builtinId="9" hidden="1"/>
    <cellStyle name="表示済みのハイパーリンク" xfId="375" builtinId="9" hidden="1"/>
    <cellStyle name="表示済みのハイパーリンク" xfId="377" builtinId="9" hidden="1"/>
    <cellStyle name="表示済みのハイパーリンク" xfId="379" builtinId="9" hidden="1"/>
    <cellStyle name="表示済みのハイパーリンク" xfId="381" builtinId="9" hidden="1"/>
    <cellStyle name="表示済みのハイパーリンク" xfId="383" builtinId="9" hidden="1"/>
    <cellStyle name="表示済みのハイパーリンク" xfId="385" builtinId="9" hidden="1"/>
    <cellStyle name="表示済みのハイパーリンク" xfId="387" builtinId="9" hidden="1"/>
    <cellStyle name="表示済みのハイパーリンク" xfId="389" builtinId="9" hidden="1"/>
    <cellStyle name="表示済みのハイパーリンク" xfId="391" builtinId="9" hidden="1"/>
    <cellStyle name="表示済みのハイパーリンク" xfId="393" builtinId="9" hidden="1"/>
    <cellStyle name="表示済みのハイパーリンク" xfId="395" builtinId="9" hidden="1"/>
    <cellStyle name="表示済みのハイパーリンク" xfId="397" builtinId="9" hidden="1"/>
    <cellStyle name="表示済みのハイパーリンク" xfId="399" builtinId="9" hidden="1"/>
    <cellStyle name="表示済みのハイパーリンク" xfId="401" builtinId="9" hidden="1"/>
    <cellStyle name="表示済みのハイパーリンク" xfId="403" builtinId="9" hidden="1"/>
    <cellStyle name="表示済みのハイパーリンク" xfId="405" builtinId="9" hidden="1"/>
    <cellStyle name="表示済みのハイパーリンク" xfId="407" builtinId="9" hidden="1"/>
    <cellStyle name="表示済みのハイパーリンク" xfId="409" builtinId="9" hidden="1"/>
    <cellStyle name="表示済みのハイパーリンク" xfId="411" builtinId="9" hidden="1"/>
    <cellStyle name="表示済みのハイパーリンク" xfId="413" builtinId="9" hidden="1"/>
    <cellStyle name="表示済みのハイパーリンク" xfId="415" builtinId="9" hidden="1"/>
    <cellStyle name="表示済みのハイパーリンク" xfId="417" builtinId="9" hidden="1"/>
    <cellStyle name="表示済みのハイパーリンク" xfId="419" builtinId="9" hidden="1"/>
    <cellStyle name="表示済みのハイパーリンク" xfId="421" builtinId="9" hidden="1"/>
    <cellStyle name="表示済みのハイパーリンク" xfId="423" builtinId="9" hidden="1"/>
    <cellStyle name="表示済みのハイパーリンク" xfId="425" builtinId="9" hidden="1"/>
    <cellStyle name="表示済みのハイパーリンク" xfId="427" builtinId="9" hidden="1"/>
    <cellStyle name="表示済みのハイパーリンク" xfId="429" builtinId="9" hidden="1"/>
    <cellStyle name="表示済みのハイパーリンク" xfId="431" builtinId="9" hidden="1"/>
    <cellStyle name="表示済みのハイパーリンク" xfId="433" builtinId="9" hidden="1"/>
    <cellStyle name="表示済みのハイパーリンク" xfId="435" builtinId="9" hidden="1"/>
    <cellStyle name="表示済みのハイパーリンク" xfId="437" builtinId="9" hidden="1"/>
    <cellStyle name="表示済みのハイパーリンク" xfId="439" builtinId="9" hidden="1"/>
    <cellStyle name="表示済みのハイパーリンク" xfId="441" builtinId="9" hidden="1"/>
    <cellStyle name="表示済みのハイパーリンク" xfId="443" builtinId="9" hidden="1"/>
    <cellStyle name="表示済みのハイパーリンク" xfId="445" builtinId="9" hidden="1"/>
    <cellStyle name="表示済みのハイパーリンク" xfId="447" builtinId="9" hidden="1"/>
    <cellStyle name="表示済みのハイパーリンク" xfId="449" builtinId="9" hidden="1"/>
    <cellStyle name="表示済みのハイパーリンク" xfId="451" builtinId="9" hidden="1"/>
    <cellStyle name="表示済みのハイパーリンク" xfId="453" builtinId="9" hidden="1"/>
    <cellStyle name="表示済みのハイパーリンク" xfId="455" builtinId="9" hidden="1"/>
    <cellStyle name="表示済みのハイパーリンク" xfId="456" builtinId="9" hidden="1"/>
    <cellStyle name="表示済みのハイパーリンク" xfId="457" builtinId="9" hidden="1"/>
    <cellStyle name="表示済みのハイパーリンク" xfId="458" builtinId="9" hidden="1"/>
    <cellStyle name="表示済みのハイパーリンク" xfId="459" builtinId="9" hidden="1"/>
    <cellStyle name="表示済みのハイパーリンク" xfId="460" builtinId="9" hidden="1"/>
    <cellStyle name="表示済みのハイパーリンク" xfId="461" builtinId="9" hidden="1"/>
    <cellStyle name="表示済みのハイパーリンク" xfId="462" builtinId="9" hidden="1"/>
    <cellStyle name="表示済みのハイパーリンク" xfId="463" builtinId="9" hidden="1"/>
    <cellStyle name="表示済みのハイパーリンク" xfId="464" builtinId="9" hidden="1"/>
    <cellStyle name="表示済みのハイパーリンク" xfId="465" builtinId="9" hidden="1"/>
    <cellStyle name="表示済みのハイパーリンク" xfId="466" builtinId="9" hidden="1"/>
    <cellStyle name="表示済みのハイパーリンク" xfId="467" builtinId="9" hidden="1"/>
    <cellStyle name="表示済みのハイパーリンク" xfId="468" builtinId="9" hidden="1"/>
    <cellStyle name="表示済みのハイパーリンク" xfId="469" builtinId="9" hidden="1"/>
    <cellStyle name="表示済みのハイパーリンク" xfId="470" builtinId="9" hidden="1"/>
    <cellStyle name="表示済みのハイパーリンク" xfId="471" builtinId="9" hidden="1"/>
    <cellStyle name="表示済みのハイパーリンク" xfId="472" builtinId="9" hidden="1"/>
    <cellStyle name="表示済みのハイパーリンク" xfId="473" builtinId="9" hidden="1"/>
    <cellStyle name="表示済みのハイパーリンク" xfId="474" builtinId="9" hidden="1"/>
    <cellStyle name="表示済みのハイパーリンク" xfId="475" builtinId="9" hidden="1"/>
    <cellStyle name="表示済みのハイパーリンク" xfId="476" builtinId="9" hidden="1"/>
    <cellStyle name="表示済みのハイパーリンク" xfId="477" builtinId="9" hidden="1"/>
    <cellStyle name="表示済みのハイパーリンク" xfId="478" builtinId="9" hidden="1"/>
    <cellStyle name="表示済みのハイパーリンク" xfId="479" builtinId="9" hidden="1"/>
    <cellStyle name="表示済みのハイパーリンク" xfId="480" builtinId="9" hidden="1"/>
    <cellStyle name="表示済みのハイパーリンク" xfId="481" builtinId="9" hidden="1"/>
    <cellStyle name="表示済みのハイパーリンク" xfId="482" builtinId="9" hidden="1"/>
    <cellStyle name="表示済みのハイパーリンク" xfId="483" builtinId="9" hidden="1"/>
    <cellStyle name="表示済みのハイパーリンク" xfId="484" builtinId="9" hidden="1"/>
    <cellStyle name="表示済みのハイパーリンク" xfId="485" builtinId="9" hidden="1"/>
    <cellStyle name="表示済みのハイパーリンク" xfId="486" builtinId="9" hidden="1"/>
    <cellStyle name="表示済みのハイパーリンク" xfId="487" builtinId="9" hidden="1"/>
    <cellStyle name="表示済みのハイパーリンク" xfId="488" builtinId="9" hidden="1"/>
    <cellStyle name="表示済みのハイパーリンク" xfId="489" builtinId="9" hidden="1"/>
    <cellStyle name="表示済みのハイパーリンク" xfId="490" builtinId="9" hidden="1"/>
    <cellStyle name="表示済みのハイパーリンク" xfId="491" builtinId="9" hidden="1"/>
    <cellStyle name="表示済みのハイパーリンク" xfId="492" builtinId="9" hidden="1"/>
    <cellStyle name="表示済みのハイパーリンク" xfId="493" builtinId="9" hidden="1"/>
    <cellStyle name="表示済みのハイパーリンク" xfId="494" builtinId="9" hidden="1"/>
    <cellStyle name="表示済みのハイパーリンク" xfId="495" builtinId="9" hidden="1"/>
    <cellStyle name="表示済みのハイパーリンク" xfId="496" builtinId="9" hidden="1"/>
    <cellStyle name="表示済みのハイパーリンク" xfId="497" builtinId="9" hidden="1"/>
    <cellStyle name="表示済みのハイパーリンク" xfId="498" builtinId="9" hidden="1"/>
    <cellStyle name="表示済みのハイパーリンク" xfId="499" builtinId="9" hidden="1"/>
    <cellStyle name="表示済みのハイパーリンク" xfId="500" builtinId="9" hidden="1"/>
    <cellStyle name="表示済みのハイパーリンク" xfId="501" builtinId="9" hidden="1"/>
    <cellStyle name="表示済みのハイパーリンク" xfId="502" builtinId="9" hidden="1"/>
    <cellStyle name="表示済みのハイパーリンク" xfId="503" builtinId="9" hidden="1"/>
    <cellStyle name="表示済みのハイパーリンク" xfId="504" builtinId="9" hidden="1"/>
    <cellStyle name="表示済みのハイパーリンク" xfId="505" builtinId="9" hidden="1"/>
    <cellStyle name="表示済みのハイパーリンク" xfId="506" builtinId="9" hidden="1"/>
    <cellStyle name="表示済みのハイパーリンク" xfId="507" builtinId="9" hidden="1"/>
    <cellStyle name="表示済みのハイパーリンク" xfId="508" builtinId="9" hidden="1"/>
    <cellStyle name="表示済みのハイパーリンク" xfId="509" builtinId="9" hidden="1"/>
    <cellStyle name="表示済みのハイパーリンク" xfId="510" builtinId="9" hidden="1"/>
    <cellStyle name="表示済みのハイパーリンク" xfId="511" builtinId="9" hidden="1"/>
    <cellStyle name="表示済みのハイパーリンク" xfId="512" builtinId="9" hidden="1"/>
    <cellStyle name="表示済みのハイパーリンク" xfId="513" builtinId="9" hidden="1"/>
    <cellStyle name="表示済みのハイパーリンク" xfId="514" builtinId="9" hidden="1"/>
    <cellStyle name="表示済みのハイパーリンク" xfId="515" builtinId="9" hidden="1"/>
    <cellStyle name="表示済みのハイパーリンク" xfId="516" builtinId="9" hidden="1"/>
    <cellStyle name="表示済みのハイパーリンク" xfId="517" builtinId="9" hidden="1"/>
    <cellStyle name="表示済みのハイパーリンク" xfId="518" builtinId="9" hidden="1"/>
    <cellStyle name="表示済みのハイパーリンク" xfId="519" builtinId="9" hidden="1"/>
    <cellStyle name="表示済みのハイパーリンク" xfId="520" builtinId="9" hidden="1"/>
    <cellStyle name="表示済みのハイパーリンク" xfId="521" builtinId="9" hidden="1"/>
    <cellStyle name="表示済みのハイパーリンク" xfId="522" builtinId="9" hidden="1"/>
    <cellStyle name="表示済みのハイパーリンク" xfId="523" builtinId="9" hidden="1"/>
    <cellStyle name="表示済みのハイパーリンク" xfId="524" builtinId="9" hidden="1"/>
    <cellStyle name="表示済みのハイパーリンク" xfId="525" builtinId="9" hidden="1"/>
    <cellStyle name="表示済みのハイパーリンク" xfId="526" builtinId="9" hidden="1"/>
    <cellStyle name="表示済みのハイパーリンク" xfId="527" builtinId="9" hidden="1"/>
    <cellStyle name="表示済みのハイパーリンク" xfId="528" builtinId="9" hidden="1"/>
    <cellStyle name="表示済みのハイパーリンク" xfId="529" builtinId="9" hidden="1"/>
    <cellStyle name="表示済みのハイパーリンク" xfId="530" builtinId="9" hidden="1"/>
    <cellStyle name="表示済みのハイパーリンク" xfId="531" builtinId="9" hidden="1"/>
    <cellStyle name="表示済みのハイパーリンク" xfId="532" builtinId="9" hidden="1"/>
    <cellStyle name="表示済みのハイパーリンク" xfId="533" builtinId="9" hidden="1"/>
    <cellStyle name="表示済みのハイパーリンク" xfId="534" builtinId="9" hidden="1"/>
    <cellStyle name="表示済みのハイパーリンク" xfId="535" builtinId="9" hidden="1"/>
    <cellStyle name="表示済みのハイパーリンク" xfId="536" builtinId="9" hidden="1"/>
    <cellStyle name="表示済みのハイパーリンク" xfId="537" builtinId="9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://fc.dai.co.j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N55"/>
  <sheetViews>
    <sheetView topLeftCell="A2" workbookViewId="0">
      <selection activeCell="F16" sqref="F16"/>
    </sheetView>
  </sheetViews>
  <sheetFormatPr defaultColWidth="8.875" defaultRowHeight="13.5"/>
  <cols>
    <col min="1" max="1" width="1.875" customWidth="1"/>
    <col min="2" max="2" width="3.875" customWidth="1"/>
    <col min="3" max="3" width="16.125" customWidth="1"/>
    <col min="4" max="13" width="7.875" customWidth="1"/>
    <col min="14" max="14" width="9" hidden="1" customWidth="1"/>
  </cols>
  <sheetData>
    <row r="1" spans="2:13" hidden="1"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</row>
    <row r="2" spans="2:13" ht="23.25" customHeight="1" thickBot="1">
      <c r="B2" s="490" t="s">
        <v>152</v>
      </c>
      <c r="C2" s="490"/>
      <c r="D2" s="490"/>
      <c r="E2" s="490"/>
      <c r="M2" s="22" t="s">
        <v>141</v>
      </c>
    </row>
    <row r="3" spans="2:13" ht="14.25" thickBot="1">
      <c r="B3" s="460"/>
      <c r="C3" s="461"/>
      <c r="D3" s="24" t="s">
        <v>97</v>
      </c>
      <c r="E3" s="24" t="s">
        <v>98</v>
      </c>
      <c r="F3" s="24" t="s">
        <v>99</v>
      </c>
      <c r="G3" s="24" t="s">
        <v>100</v>
      </c>
      <c r="H3" s="24" t="s">
        <v>101</v>
      </c>
      <c r="I3" s="24" t="s">
        <v>128</v>
      </c>
      <c r="J3" s="24" t="s">
        <v>129</v>
      </c>
      <c r="K3" s="24" t="s">
        <v>130</v>
      </c>
      <c r="L3" s="24" t="s">
        <v>131</v>
      </c>
      <c r="M3" s="25" t="s">
        <v>132</v>
      </c>
    </row>
    <row r="4" spans="2:13" ht="14.25" thickTop="1">
      <c r="B4" s="462" t="s">
        <v>102</v>
      </c>
      <c r="C4" s="463"/>
      <c r="D4" s="23">
        <v>0</v>
      </c>
      <c r="E4" s="23" t="e">
        <f t="shared" ref="E4:M4" si="0">D40</f>
        <v>#REF!</v>
      </c>
      <c r="F4" s="23" t="e">
        <f t="shared" si="0"/>
        <v>#REF!</v>
      </c>
      <c r="G4" s="23" t="e">
        <f t="shared" si="0"/>
        <v>#REF!</v>
      </c>
      <c r="H4" s="23" t="e">
        <f t="shared" si="0"/>
        <v>#REF!</v>
      </c>
      <c r="I4" s="23" t="e">
        <f t="shared" si="0"/>
        <v>#REF!</v>
      </c>
      <c r="J4" s="23" t="e">
        <f t="shared" si="0"/>
        <v>#REF!</v>
      </c>
      <c r="K4" s="23" t="e">
        <f t="shared" si="0"/>
        <v>#REF!</v>
      </c>
      <c r="L4" s="23" t="e">
        <f t="shared" si="0"/>
        <v>#REF!</v>
      </c>
      <c r="M4" s="26" t="e">
        <f t="shared" si="0"/>
        <v>#REF!</v>
      </c>
    </row>
    <row r="5" spans="2:13">
      <c r="B5" s="464" t="s">
        <v>42</v>
      </c>
      <c r="C5" s="465"/>
      <c r="D5" s="7">
        <f>SUM(基礎!D50:O50)</f>
        <v>100000</v>
      </c>
      <c r="E5" s="7">
        <f>SUM(基礎!U50:AF50)</f>
        <v>12207510.800000001</v>
      </c>
      <c r="F5" s="7">
        <f>SUM(基礎!AL50:AW50)</f>
        <v>15790054.800000001</v>
      </c>
      <c r="G5" s="7">
        <f>SUM(基礎!BC50:BN50)</f>
        <v>751036.8</v>
      </c>
      <c r="H5" s="7">
        <f>SUM(基礎!BT50:CE50)</f>
        <v>352000</v>
      </c>
      <c r="I5" s="7">
        <f>SUM(基礎!CK50:CV50)</f>
        <v>6000</v>
      </c>
      <c r="J5" s="7">
        <f>SUM(基礎!DB50:DM50)</f>
        <v>0</v>
      </c>
      <c r="K5" s="7">
        <f>SUM(基礎!DS50:ED50)</f>
        <v>0</v>
      </c>
      <c r="L5" s="7">
        <f>SUM(基礎!EJ50:EU50)</f>
        <v>0</v>
      </c>
      <c r="M5" s="27">
        <f>SUM(基礎!FA50:FL50)</f>
        <v>0</v>
      </c>
    </row>
    <row r="6" spans="2:13">
      <c r="B6" s="466"/>
      <c r="C6" s="12" t="s">
        <v>37</v>
      </c>
      <c r="D6" s="13">
        <f>SUM(基礎!D51:O51)</f>
        <v>0</v>
      </c>
      <c r="E6" s="13">
        <f>SUM(基礎!U51:AF51)</f>
        <v>11727510.800000001</v>
      </c>
      <c r="F6" s="13">
        <f>SUM(基礎!AL51:AW51)</f>
        <v>15070054.800000001</v>
      </c>
      <c r="G6" s="13">
        <f>SUM(基礎!BC51:BN51)</f>
        <v>281600</v>
      </c>
      <c r="H6" s="13">
        <f>SUM(基礎!BT51:CE51)</f>
        <v>281600</v>
      </c>
      <c r="I6" s="13">
        <f>SUM(基礎!CK51:CV51)</f>
        <v>0</v>
      </c>
      <c r="J6" s="13">
        <f>SUM(基礎!DB51:DM51)</f>
        <v>0</v>
      </c>
      <c r="K6" s="13">
        <f>SUM(基礎!DS51:ED51)</f>
        <v>0</v>
      </c>
      <c r="L6" s="13">
        <f>SUM(基礎!EJ51:EU51)</f>
        <v>0</v>
      </c>
      <c r="M6" s="28">
        <f>SUM(基礎!FA51:FL51)</f>
        <v>0</v>
      </c>
    </row>
    <row r="7" spans="2:13">
      <c r="B7" s="467"/>
      <c r="C7" s="12" t="s">
        <v>38</v>
      </c>
      <c r="D7" s="13">
        <f>SUM(基礎!D52:O52)</f>
        <v>0</v>
      </c>
      <c r="E7" s="13">
        <f>SUM(基礎!U52:AF52)</f>
        <v>480000</v>
      </c>
      <c r="F7" s="13">
        <f>SUM(基礎!AL52:AW52)</f>
        <v>720000</v>
      </c>
      <c r="G7" s="13">
        <f>SUM(基礎!BC52:BN52)</f>
        <v>409436.80000000005</v>
      </c>
      <c r="H7" s="13">
        <f>SUM(基礎!BT52:CE52)</f>
        <v>70400</v>
      </c>
      <c r="I7" s="13">
        <f>SUM(基礎!CK52:CV52)</f>
        <v>6000</v>
      </c>
      <c r="J7" s="13">
        <f>SUM(基礎!DB52:DM52)</f>
        <v>0</v>
      </c>
      <c r="K7" s="13">
        <f>SUM(基礎!DS52:ED52)</f>
        <v>0</v>
      </c>
      <c r="L7" s="13">
        <f>SUM(基礎!EJ52:EU52)</f>
        <v>0</v>
      </c>
      <c r="M7" s="28">
        <f>SUM(基礎!FA52:FL52)</f>
        <v>0</v>
      </c>
    </row>
    <row r="8" spans="2:13">
      <c r="B8" s="467"/>
      <c r="C8" s="12" t="s">
        <v>16</v>
      </c>
      <c r="D8" s="13">
        <f>SUM(基礎!D53:O53)</f>
        <v>100000</v>
      </c>
      <c r="E8" s="13">
        <f>SUM(基礎!U53:AF53)</f>
        <v>0</v>
      </c>
      <c r="F8" s="13">
        <f>SUM(基礎!AL53:AW53)</f>
        <v>0</v>
      </c>
      <c r="G8" s="13">
        <f>SUM(基礎!BC53:BN53)</f>
        <v>60000</v>
      </c>
      <c r="H8" s="13">
        <f>SUM(基礎!BT53:CE53)</f>
        <v>0</v>
      </c>
      <c r="I8" s="13">
        <f>SUM(基礎!CK53:CV53)</f>
        <v>0</v>
      </c>
      <c r="J8" s="13">
        <f>SUM(基礎!DB53:DM53)</f>
        <v>0</v>
      </c>
      <c r="K8" s="13">
        <f>SUM(基礎!DS53:ED53)</f>
        <v>0</v>
      </c>
      <c r="L8" s="13">
        <f>SUM(基礎!EJ53:EU53)</f>
        <v>0</v>
      </c>
      <c r="M8" s="28">
        <f>SUM(基礎!FA53:FL53)</f>
        <v>0</v>
      </c>
    </row>
    <row r="9" spans="2:13">
      <c r="B9" s="467"/>
      <c r="C9" s="12" t="s">
        <v>41</v>
      </c>
      <c r="D9" s="13">
        <f>SUM(基礎!D54:O54)</f>
        <v>0</v>
      </c>
      <c r="E9" s="13">
        <f>SUM(基礎!U54:AF54)</f>
        <v>0</v>
      </c>
      <c r="F9" s="13">
        <f>SUM(基礎!AL54:AW54)</f>
        <v>0</v>
      </c>
      <c r="G9" s="13">
        <f>SUM(基礎!BC54:BN54)</f>
        <v>0</v>
      </c>
      <c r="H9" s="13">
        <f>SUM(基礎!BT54:CE54)</f>
        <v>0</v>
      </c>
      <c r="I9" s="13">
        <f>SUM(基礎!CK54:CV54)</f>
        <v>0</v>
      </c>
      <c r="J9" s="13">
        <f>SUM(基礎!DB54:DM54)</f>
        <v>0</v>
      </c>
      <c r="K9" s="13">
        <f>SUM(基礎!DS54:ED54)</f>
        <v>0</v>
      </c>
      <c r="L9" s="13">
        <f>SUM(基礎!EJ54:EU54)</f>
        <v>0</v>
      </c>
      <c r="M9" s="28">
        <f>SUM(基礎!FA54:FL54)</f>
        <v>0</v>
      </c>
    </row>
    <row r="10" spans="2:13">
      <c r="B10" s="468" t="s">
        <v>43</v>
      </c>
      <c r="C10" s="469"/>
      <c r="D10" s="9">
        <f>SUM(基礎!D55:O55)</f>
        <v>0</v>
      </c>
      <c r="E10" s="9">
        <f>SUM(基礎!U55:AF55)</f>
        <v>9628066.6999999993</v>
      </c>
      <c r="F10" s="9">
        <f>SUM(基礎!AL55:AW55)</f>
        <v>11109825.600000001</v>
      </c>
      <c r="G10" s="9">
        <f>SUM(基礎!BC55:BN55)</f>
        <v>625120</v>
      </c>
      <c r="H10" s="9">
        <f>SUM(基礎!BT55:CE55)</f>
        <v>393160</v>
      </c>
      <c r="I10" s="9" t="e">
        <f>SUM(基礎!CK55:CV55)</f>
        <v>#REF!</v>
      </c>
      <c r="J10" s="9" t="e">
        <f>SUM(基礎!DB55:DM55)</f>
        <v>#REF!</v>
      </c>
      <c r="K10" s="9" t="e">
        <f>SUM(基礎!DS55:ED55)</f>
        <v>#REF!</v>
      </c>
      <c r="L10" s="9" t="e">
        <f>SUM(基礎!EJ55:EU55)</f>
        <v>#REF!</v>
      </c>
      <c r="M10" s="29" t="e">
        <f>SUM(基礎!FA55:FL55)</f>
        <v>#REF!</v>
      </c>
    </row>
    <row r="11" spans="2:13">
      <c r="B11" s="458"/>
      <c r="C11" s="12" t="s">
        <v>44</v>
      </c>
      <c r="D11" s="13">
        <f>SUM(基礎!D56:O56)</f>
        <v>0</v>
      </c>
      <c r="E11" s="13">
        <f>SUM(基礎!U56:AF56)</f>
        <v>1052000</v>
      </c>
      <c r="F11" s="13">
        <f>SUM(基礎!AL56:AW56)</f>
        <v>662000</v>
      </c>
      <c r="G11" s="13">
        <f>SUM(基礎!BC56:BN56)</f>
        <v>80500</v>
      </c>
      <c r="H11" s="13">
        <f>SUM(基礎!BT56:CE56)</f>
        <v>88000</v>
      </c>
      <c r="I11" s="13">
        <f>SUM(基礎!CK56:CV56)</f>
        <v>7500</v>
      </c>
      <c r="J11" s="13">
        <f>SUM(基礎!DB56:DM56)</f>
        <v>0</v>
      </c>
      <c r="K11" s="13">
        <f>SUM(基礎!DS56:ED56)</f>
        <v>0</v>
      </c>
      <c r="L11" s="13">
        <f>SUM(基礎!EJ56:EU56)</f>
        <v>0</v>
      </c>
      <c r="M11" s="28">
        <f>SUM(基礎!FA56:FL56)</f>
        <v>0</v>
      </c>
    </row>
    <row r="12" spans="2:13">
      <c r="B12" s="459"/>
      <c r="C12" s="12" t="s">
        <v>45</v>
      </c>
      <c r="D12" s="13">
        <f>SUM(基礎!D57:O57)</f>
        <v>0</v>
      </c>
      <c r="E12" s="13">
        <f>SUM(基礎!U57:AF57)</f>
        <v>8576066.6999999993</v>
      </c>
      <c r="F12" s="13">
        <f>SUM(基礎!AL57:AW57)</f>
        <v>10447825.600000001</v>
      </c>
      <c r="G12" s="13">
        <f>SUM(基礎!BC57:BN57)</f>
        <v>352600</v>
      </c>
      <c r="H12" s="13">
        <f>SUM(基礎!BT57:CE57)</f>
        <v>105600</v>
      </c>
      <c r="I12" s="13">
        <f>SUM(基礎!CK57:CV57)</f>
        <v>9000</v>
      </c>
      <c r="J12" s="13">
        <f>SUM(基礎!DB57:DM57)</f>
        <v>0</v>
      </c>
      <c r="K12" s="13">
        <f>SUM(基礎!DS57:ED57)</f>
        <v>0</v>
      </c>
      <c r="L12" s="13">
        <f>SUM(基礎!EJ57:EU57)</f>
        <v>0</v>
      </c>
      <c r="M12" s="28">
        <f>SUM(基礎!FA57:FL57)</f>
        <v>0</v>
      </c>
    </row>
    <row r="13" spans="2:13">
      <c r="B13" s="459"/>
      <c r="C13" s="12" t="s">
        <v>47</v>
      </c>
      <c r="D13" s="13">
        <f>SUM(基礎!D58:O58)</f>
        <v>0</v>
      </c>
      <c r="E13" s="13">
        <f>SUM(基礎!U58:AF58)</f>
        <v>0</v>
      </c>
      <c r="F13" s="13">
        <f>SUM(基礎!AL58:AW58)</f>
        <v>0</v>
      </c>
      <c r="G13" s="13">
        <f>SUM(基礎!BC58:BN58)</f>
        <v>192020</v>
      </c>
      <c r="H13" s="13">
        <f>SUM(基礎!BT58:CE58)</f>
        <v>199560</v>
      </c>
      <c r="I13" s="13">
        <f>SUM(基礎!CK58:CV58)</f>
        <v>335428</v>
      </c>
      <c r="J13" s="13" t="e">
        <f>SUM(基礎!DB58:DM58)</f>
        <v>#REF!</v>
      </c>
      <c r="K13" s="13" t="e">
        <f>SUM(基礎!DS58:ED58)</f>
        <v>#REF!</v>
      </c>
      <c r="L13" s="13" t="e">
        <f>SUM(基礎!EJ58:EU58)</f>
        <v>#REF!</v>
      </c>
      <c r="M13" s="28" t="e">
        <f>SUM(基礎!FA58:FL58)</f>
        <v>#REF!</v>
      </c>
    </row>
    <row r="14" spans="2:13">
      <c r="B14" s="459"/>
      <c r="C14" s="12" t="s">
        <v>48</v>
      </c>
      <c r="D14" s="13">
        <f>SUM(基礎!D59:O59)</f>
        <v>0</v>
      </c>
      <c r="E14" s="13">
        <f>SUM(基礎!U59:AF59)</f>
        <v>0</v>
      </c>
      <c r="F14" s="13">
        <f>SUM(基礎!AL59:AW59)</f>
        <v>0</v>
      </c>
      <c r="G14" s="13">
        <f>SUM(基礎!BC59:BN59)</f>
        <v>0</v>
      </c>
      <c r="H14" s="13">
        <f>SUM(基礎!BT59:CE59)</f>
        <v>0</v>
      </c>
      <c r="I14" s="13">
        <f>SUM(基礎!CK59:CV59)</f>
        <v>0</v>
      </c>
      <c r="J14" s="13">
        <f>SUM(基礎!DB59:DM59)</f>
        <v>0</v>
      </c>
      <c r="K14" s="13">
        <f>SUM(基礎!DS59:ED59)</f>
        <v>0</v>
      </c>
      <c r="L14" s="13">
        <f>SUM(基礎!EJ59:EU59)</f>
        <v>0</v>
      </c>
      <c r="M14" s="28">
        <f>SUM(基礎!FA59:FL59)</f>
        <v>0</v>
      </c>
    </row>
    <row r="15" spans="2:13">
      <c r="B15" s="459"/>
      <c r="C15" s="12" t="s">
        <v>12</v>
      </c>
      <c r="D15" s="13">
        <f>SUM(基礎!D60:O60)</f>
        <v>0</v>
      </c>
      <c r="E15" s="13">
        <f>SUM(基礎!U60:AF60)</f>
        <v>0</v>
      </c>
      <c r="F15" s="13">
        <f>SUM(基礎!AL60:AW60)</f>
        <v>0</v>
      </c>
      <c r="G15" s="13">
        <f>SUM(基礎!BC60:BN60)</f>
        <v>0</v>
      </c>
      <c r="H15" s="13">
        <f>SUM(基礎!BT60:CE60)</f>
        <v>0</v>
      </c>
      <c r="I15" s="13">
        <f>SUM(基礎!CK60:CV60)</f>
        <v>0</v>
      </c>
      <c r="J15" s="13">
        <f>SUM(基礎!DB60:DM60)</f>
        <v>0</v>
      </c>
      <c r="K15" s="13">
        <f>SUM(基礎!DS60:ED60)</f>
        <v>0</v>
      </c>
      <c r="L15" s="13">
        <f>SUM(基礎!EJ60:EU60)</f>
        <v>0</v>
      </c>
      <c r="M15" s="28">
        <f>SUM(基礎!FA60:FL60)</f>
        <v>0</v>
      </c>
    </row>
    <row r="16" spans="2:13">
      <c r="B16" s="459"/>
      <c r="C16" s="12" t="s">
        <v>52</v>
      </c>
      <c r="D16" s="13">
        <f>SUM(基礎!D61:O61)</f>
        <v>0</v>
      </c>
      <c r="E16" s="13">
        <f>SUM(基礎!U61:AF61)</f>
        <v>0</v>
      </c>
      <c r="F16" s="13">
        <f>SUM(基礎!AL61:AW61)</f>
        <v>0</v>
      </c>
      <c r="G16" s="13">
        <f>SUM(基礎!BC61:BN61)</f>
        <v>0</v>
      </c>
      <c r="H16" s="13">
        <f>SUM(基礎!BT61:CE61)</f>
        <v>0</v>
      </c>
      <c r="I16" s="13">
        <f>SUM(基礎!CK61:CV61)</f>
        <v>0</v>
      </c>
      <c r="J16" s="13">
        <f>SUM(基礎!DB61:DM61)</f>
        <v>0</v>
      </c>
      <c r="K16" s="13">
        <f>SUM(基礎!DS61:ED61)</f>
        <v>0</v>
      </c>
      <c r="L16" s="13">
        <f>SUM(基礎!EJ61:EU61)</f>
        <v>0</v>
      </c>
      <c r="M16" s="28">
        <f>SUM(基礎!FA61:FL61)</f>
        <v>0</v>
      </c>
    </row>
    <row r="17" spans="2:14">
      <c r="B17" s="459"/>
      <c r="C17" s="12" t="s">
        <v>51</v>
      </c>
      <c r="D17" s="13">
        <f>SUM(基礎!D62:O62)</f>
        <v>0</v>
      </c>
      <c r="E17" s="13">
        <f>SUM(基礎!U62:AF62)</f>
        <v>0</v>
      </c>
      <c r="F17" s="13">
        <f>SUM(基礎!AL62:AW62)</f>
        <v>0</v>
      </c>
      <c r="G17" s="13">
        <f>SUM(基礎!BC62:BN62)</f>
        <v>0</v>
      </c>
      <c r="H17" s="13">
        <f>SUM(基礎!BT62:CE62)</f>
        <v>0</v>
      </c>
      <c r="I17" s="13" t="e">
        <f>SUM(基礎!CK62:CV62)</f>
        <v>#REF!</v>
      </c>
      <c r="J17" s="13" t="e">
        <f>SUM(基礎!DB62:DM62)</f>
        <v>#REF!</v>
      </c>
      <c r="K17" s="13" t="e">
        <f>SUM(基礎!DS62:ED62)</f>
        <v>#REF!</v>
      </c>
      <c r="L17" s="13" t="e">
        <f>SUM(基礎!EJ62:EU62)</f>
        <v>#REF!</v>
      </c>
      <c r="M17" s="28" t="e">
        <f>SUM(基礎!FA62:FL62)</f>
        <v>#REF!</v>
      </c>
    </row>
    <row r="18" spans="2:14">
      <c r="B18" s="471" t="s">
        <v>53</v>
      </c>
      <c r="C18" s="472"/>
      <c r="D18" s="15">
        <f>SUM(基礎!D63:O63)</f>
        <v>100000</v>
      </c>
      <c r="E18" s="15">
        <f>SUM(基礎!U63:AF63)</f>
        <v>2579444.1000000006</v>
      </c>
      <c r="F18" s="15">
        <f>SUM(基礎!AL63:AW63)</f>
        <v>4680229.2</v>
      </c>
      <c r="G18" s="15">
        <f>SUM(基礎!BC63:BN63)</f>
        <v>125916.80000000005</v>
      </c>
      <c r="H18" s="15">
        <f>SUM(基礎!BT63:CE63)</f>
        <v>-41160</v>
      </c>
      <c r="I18" s="15" t="e">
        <f>SUM(基礎!CK63:CV63)</f>
        <v>#REF!</v>
      </c>
      <c r="J18" s="15" t="e">
        <f>SUM(基礎!DB63:DM63)</f>
        <v>#REF!</v>
      </c>
      <c r="K18" s="15" t="e">
        <f>SUM(基礎!DS63:ED63)</f>
        <v>#REF!</v>
      </c>
      <c r="L18" s="15" t="e">
        <f>SUM(基礎!EJ63:EU63)</f>
        <v>#REF!</v>
      </c>
      <c r="M18" s="30" t="e">
        <f>SUM(基礎!FA63:FL63)</f>
        <v>#REF!</v>
      </c>
    </row>
    <row r="19" spans="2:14">
      <c r="B19" s="464" t="s">
        <v>61</v>
      </c>
      <c r="C19" s="465"/>
      <c r="D19" s="7" t="e">
        <f>SUM(D20:D27)</f>
        <v>#REF!</v>
      </c>
      <c r="E19" s="7">
        <f>SUM(基礎!U64:AF64)</f>
        <v>0</v>
      </c>
      <c r="F19" s="7">
        <f>SUM(基礎!AL64:AW64)</f>
        <v>0</v>
      </c>
      <c r="G19" s="7">
        <f>SUM(基礎!BC64:BN64)</f>
        <v>-120000000</v>
      </c>
      <c r="H19" s="7">
        <f>SUM(基礎!BT64:CE64)</f>
        <v>0</v>
      </c>
      <c r="I19" s="7">
        <f>SUM(基礎!CK64:CV64)</f>
        <v>-26000</v>
      </c>
      <c r="J19" s="7">
        <f>SUM(基礎!DB64:DM64)</f>
        <v>0</v>
      </c>
      <c r="K19" s="7">
        <f>SUM(基礎!DS64:ED64)</f>
        <v>0</v>
      </c>
      <c r="L19" s="7">
        <f>SUM(基礎!EJ64:EU64)</f>
        <v>0</v>
      </c>
      <c r="M19" s="27">
        <f>SUM(基礎!FA64:FL64)</f>
        <v>0</v>
      </c>
    </row>
    <row r="20" spans="2:14">
      <c r="B20" s="473"/>
      <c r="C20" s="12" t="s">
        <v>54</v>
      </c>
      <c r="D20" s="13">
        <v>0</v>
      </c>
      <c r="E20" s="13">
        <f>SUM(基礎!U65:AF65)</f>
        <v>0</v>
      </c>
      <c r="F20" s="13">
        <f>SUM(基礎!AL65:AW65)</f>
        <v>0</v>
      </c>
      <c r="G20" s="13">
        <f>SUM(基礎!BC65:BN65)</f>
        <v>0</v>
      </c>
      <c r="H20" s="13">
        <f>SUM(基礎!BT65:CE65)</f>
        <v>0</v>
      </c>
      <c r="I20" s="13">
        <f>SUM(基礎!CK65:CV65)</f>
        <v>0</v>
      </c>
      <c r="J20" s="13">
        <f>SUM(基礎!DB65:DM65)</f>
        <v>0</v>
      </c>
      <c r="K20" s="13">
        <f>SUM(基礎!DS65:ED65)</f>
        <v>0</v>
      </c>
      <c r="L20" s="13">
        <f>SUM(基礎!EJ65:EU65)</f>
        <v>0</v>
      </c>
      <c r="M20" s="28">
        <f>SUM(基礎!FA65:FL65)</f>
        <v>0</v>
      </c>
    </row>
    <row r="21" spans="2:14">
      <c r="B21" s="473"/>
      <c r="C21" s="12" t="s">
        <v>55</v>
      </c>
      <c r="D21" s="13">
        <f>SUM(基礎!D66:O66)</f>
        <v>0</v>
      </c>
      <c r="E21" s="13">
        <f>SUM(基礎!U66:AF66)</f>
        <v>0</v>
      </c>
      <c r="F21" s="13">
        <f>SUM(基礎!AL66:AW66)</f>
        <v>0</v>
      </c>
      <c r="G21" s="13">
        <f>SUM(基礎!BC66:BN66)</f>
        <v>0</v>
      </c>
      <c r="H21" s="13">
        <f>SUM(基礎!BT66:CE66)</f>
        <v>0</v>
      </c>
      <c r="I21" s="13">
        <f>SUM(基礎!CK66:CV66)</f>
        <v>-26000</v>
      </c>
      <c r="J21" s="13">
        <f>SUM(基礎!DB66:DM66)</f>
        <v>0</v>
      </c>
      <c r="K21" s="13">
        <f>SUM(基礎!DS66:ED66)</f>
        <v>0</v>
      </c>
      <c r="L21" s="13">
        <f>SUM(基礎!EJ66:EU66)</f>
        <v>0</v>
      </c>
      <c r="M21" s="28">
        <f>SUM(基礎!FA66:FL66)</f>
        <v>0</v>
      </c>
    </row>
    <row r="22" spans="2:14">
      <c r="B22" s="473"/>
      <c r="C22" s="12" t="s">
        <v>60</v>
      </c>
      <c r="D22" s="13">
        <f>SUM(基礎!D67:O67)</f>
        <v>0</v>
      </c>
      <c r="E22" s="13">
        <f>SUM(基礎!U67:AF67)</f>
        <v>0</v>
      </c>
      <c r="F22" s="13">
        <f>SUM(基礎!AL67:AW67)</f>
        <v>0</v>
      </c>
      <c r="G22" s="13">
        <f>SUM(基礎!BC67:BN67)</f>
        <v>0</v>
      </c>
      <c r="H22" s="13">
        <f>SUM(基礎!BT67:CE67)</f>
        <v>0</v>
      </c>
      <c r="I22" s="13">
        <f>SUM(基礎!CK67:CV67)</f>
        <v>0</v>
      </c>
      <c r="J22" s="13">
        <f>SUM(基礎!DB67:DM67)</f>
        <v>0</v>
      </c>
      <c r="K22" s="13">
        <f>SUM(基礎!DS67:ED67)</f>
        <v>0</v>
      </c>
      <c r="L22" s="13">
        <f>SUM(基礎!EJ67:EU67)</f>
        <v>0</v>
      </c>
      <c r="M22" s="28">
        <f>SUM(基礎!FA67:FL67)</f>
        <v>0</v>
      </c>
    </row>
    <row r="23" spans="2:14">
      <c r="B23" s="473"/>
      <c r="C23" s="12" t="s">
        <v>56</v>
      </c>
      <c r="D23" s="13">
        <f>SUM(基礎!D68:O68)</f>
        <v>0</v>
      </c>
      <c r="E23" s="13">
        <f>SUM(基礎!U68:AF68)</f>
        <v>0</v>
      </c>
      <c r="F23" s="13">
        <f>SUM(基礎!AL68:AW68)</f>
        <v>0</v>
      </c>
      <c r="G23" s="13">
        <f>SUM(基礎!BC68:BN68)</f>
        <v>0</v>
      </c>
      <c r="H23" s="13">
        <f>SUM(基礎!BT68:CE68)</f>
        <v>0</v>
      </c>
      <c r="I23" s="13">
        <f>SUM(基礎!CK68:CV68)</f>
        <v>0</v>
      </c>
      <c r="J23" s="13">
        <f>SUM(基礎!DB68:DM68)</f>
        <v>0</v>
      </c>
      <c r="K23" s="13">
        <f>SUM(基礎!DS68:ED68)</f>
        <v>0</v>
      </c>
      <c r="L23" s="13">
        <f>SUM(基礎!EJ68:EU68)</f>
        <v>0</v>
      </c>
      <c r="M23" s="28">
        <f>SUM(基礎!FA68:FL68)</f>
        <v>0</v>
      </c>
    </row>
    <row r="24" spans="2:14">
      <c r="B24" s="473"/>
      <c r="C24" s="12" t="s">
        <v>57</v>
      </c>
      <c r="D24" s="13">
        <f>SUM(基礎!D69:O69)</f>
        <v>0</v>
      </c>
      <c r="E24" s="13">
        <f>SUM(基礎!U69:AF69)</f>
        <v>0</v>
      </c>
      <c r="F24" s="13">
        <f>SUM(基礎!AL69:AW69)</f>
        <v>0</v>
      </c>
      <c r="G24" s="13">
        <f>SUM(基礎!BC69:BN69)</f>
        <v>-120000000</v>
      </c>
      <c r="H24" s="13">
        <f>SUM(基礎!BT69:CE69)</f>
        <v>0</v>
      </c>
      <c r="I24" s="13">
        <f>SUM(基礎!CK69:CV69)</f>
        <v>0</v>
      </c>
      <c r="J24" s="13">
        <f>SUM(基礎!DB69:DM69)</f>
        <v>0</v>
      </c>
      <c r="K24" s="13">
        <f>SUM(基礎!DS69:ED69)</f>
        <v>0</v>
      </c>
      <c r="L24" s="13">
        <f>SUM(基礎!EJ69:EU69)</f>
        <v>0</v>
      </c>
      <c r="M24" s="28">
        <f>SUM(基礎!FA69:FL69)</f>
        <v>0</v>
      </c>
    </row>
    <row r="25" spans="2:14">
      <c r="B25" s="473"/>
      <c r="C25" s="12" t="s">
        <v>58</v>
      </c>
      <c r="D25" s="13" t="e">
        <f>SUM(基礎!#REF!)</f>
        <v>#REF!</v>
      </c>
      <c r="E25" s="13" t="e">
        <f>SUM(基礎!#REF!)</f>
        <v>#REF!</v>
      </c>
      <c r="F25" s="13" t="e">
        <f>SUM(基礎!#REF!)</f>
        <v>#REF!</v>
      </c>
      <c r="G25" s="13" t="e">
        <f>SUM(基礎!#REF!)</f>
        <v>#REF!</v>
      </c>
      <c r="H25" s="13" t="e">
        <f>SUM(基礎!#REF!)</f>
        <v>#REF!</v>
      </c>
      <c r="I25" s="13" t="e">
        <f>SUM(基礎!#REF!)</f>
        <v>#REF!</v>
      </c>
      <c r="J25" s="13" t="e">
        <f>SUM(基礎!#REF!)</f>
        <v>#REF!</v>
      </c>
      <c r="K25" s="13" t="e">
        <f>SUM(基礎!#REF!)</f>
        <v>#REF!</v>
      </c>
      <c r="L25" s="13" t="e">
        <f>SUM(基礎!#REF!)</f>
        <v>#REF!</v>
      </c>
      <c r="M25" s="28" t="e">
        <f>SUM(基礎!#REF!)</f>
        <v>#REF!</v>
      </c>
    </row>
    <row r="26" spans="2:14">
      <c r="B26" s="473"/>
      <c r="C26" s="12" t="s">
        <v>77</v>
      </c>
      <c r="D26" s="13" t="e">
        <f>SUM(基礎!#REF!)</f>
        <v>#REF!</v>
      </c>
      <c r="E26" s="13" t="e">
        <f>SUM(基礎!#REF!)</f>
        <v>#REF!</v>
      </c>
      <c r="F26" s="13" t="e">
        <f>SUM(基礎!#REF!)</f>
        <v>#REF!</v>
      </c>
      <c r="G26" s="13" t="e">
        <f>SUM(基礎!#REF!)</f>
        <v>#REF!</v>
      </c>
      <c r="H26" s="13" t="e">
        <f>SUM(基礎!#REF!)</f>
        <v>#REF!</v>
      </c>
      <c r="I26" s="13" t="e">
        <f>SUM(基礎!#REF!)</f>
        <v>#REF!</v>
      </c>
      <c r="J26" s="13" t="e">
        <f>SUM(基礎!#REF!)</f>
        <v>#REF!</v>
      </c>
      <c r="K26" s="13" t="e">
        <f>SUM(基礎!#REF!)</f>
        <v>#REF!</v>
      </c>
      <c r="L26" s="13" t="e">
        <f>SUM(基礎!#REF!)</f>
        <v>#REF!</v>
      </c>
      <c r="M26" s="28" t="e">
        <f>SUM(基礎!#REF!)</f>
        <v>#REF!</v>
      </c>
    </row>
    <row r="27" spans="2:14">
      <c r="B27" s="466"/>
      <c r="C27" s="12" t="s">
        <v>59</v>
      </c>
      <c r="D27" s="13" t="e">
        <f>SUM(基礎!#REF!)</f>
        <v>#REF!</v>
      </c>
      <c r="E27" s="13" t="e">
        <f>SUM(基礎!#REF!)</f>
        <v>#REF!</v>
      </c>
      <c r="F27" s="13" t="e">
        <f>SUM(基礎!#REF!)</f>
        <v>#REF!</v>
      </c>
      <c r="G27" s="13" t="e">
        <f>SUM(基礎!#REF!)</f>
        <v>#REF!</v>
      </c>
      <c r="H27" s="13" t="e">
        <f>SUM(基礎!#REF!)</f>
        <v>#REF!</v>
      </c>
      <c r="I27" s="13" t="e">
        <f>SUM(基礎!#REF!)</f>
        <v>#REF!</v>
      </c>
      <c r="J27" s="13" t="e">
        <f>SUM(基礎!#REF!)</f>
        <v>#REF!</v>
      </c>
      <c r="K27" s="13" t="e">
        <f>SUM(基礎!#REF!)</f>
        <v>#REF!</v>
      </c>
      <c r="L27" s="13" t="e">
        <f>SUM(基礎!#REF!)</f>
        <v>#REF!</v>
      </c>
      <c r="M27" s="28" t="e">
        <f>SUM(基礎!#REF!)</f>
        <v>#REF!</v>
      </c>
    </row>
    <row r="28" spans="2:14">
      <c r="B28" s="468" t="s">
        <v>62</v>
      </c>
      <c r="C28" s="469"/>
      <c r="D28" s="9" t="e">
        <f>SUM(D29:D35)</f>
        <v>#REF!</v>
      </c>
      <c r="E28" s="9" t="e">
        <f t="shared" ref="E28:N28" si="1">SUM(E29:E35)</f>
        <v>#REF!</v>
      </c>
      <c r="F28" s="9" t="e">
        <f t="shared" si="1"/>
        <v>#REF!</v>
      </c>
      <c r="G28" s="9" t="e">
        <f t="shared" si="1"/>
        <v>#REF!</v>
      </c>
      <c r="H28" s="9" t="e">
        <f t="shared" si="1"/>
        <v>#REF!</v>
      </c>
      <c r="I28" s="9" t="e">
        <f t="shared" si="1"/>
        <v>#REF!</v>
      </c>
      <c r="J28" s="9" t="e">
        <f t="shared" si="1"/>
        <v>#REF!</v>
      </c>
      <c r="K28" s="9" t="e">
        <f t="shared" si="1"/>
        <v>#REF!</v>
      </c>
      <c r="L28" s="9" t="e">
        <f t="shared" si="1"/>
        <v>#REF!</v>
      </c>
      <c r="M28" s="9" t="e">
        <f t="shared" si="1"/>
        <v>#REF!</v>
      </c>
      <c r="N28" s="9">
        <f t="shared" si="1"/>
        <v>0</v>
      </c>
    </row>
    <row r="29" spans="2:14">
      <c r="B29" s="474"/>
      <c r="C29" s="12" t="s">
        <v>64</v>
      </c>
      <c r="D29" s="13">
        <v>24000</v>
      </c>
      <c r="E29" s="13">
        <v>24000</v>
      </c>
      <c r="F29" s="13">
        <v>24000</v>
      </c>
      <c r="G29" s="13">
        <v>24000</v>
      </c>
      <c r="H29" s="13">
        <v>24000</v>
      </c>
      <c r="I29" s="13">
        <v>0</v>
      </c>
      <c r="J29" s="13">
        <v>0</v>
      </c>
      <c r="K29" s="13">
        <v>0</v>
      </c>
      <c r="L29" s="13">
        <v>0</v>
      </c>
      <c r="M29" s="28">
        <v>0</v>
      </c>
    </row>
    <row r="30" spans="2:14">
      <c r="B30" s="474"/>
      <c r="C30" s="12" t="s">
        <v>63</v>
      </c>
      <c r="D30" s="13">
        <f>SUM(基礎!D72:O72)</f>
        <v>0</v>
      </c>
      <c r="E30" s="13">
        <f>SUM(基礎!U72:AF72)</f>
        <v>0</v>
      </c>
      <c r="F30" s="13">
        <f>SUM(基礎!AL72:AW72)</f>
        <v>0</v>
      </c>
      <c r="G30" s="13">
        <f>SUM(基礎!BC72:BN72)</f>
        <v>0</v>
      </c>
      <c r="H30" s="13">
        <f>SUM(基礎!BT72:CE72)</f>
        <v>0</v>
      </c>
      <c r="I30" s="13">
        <f>SUM(基礎!CK72:CV72)</f>
        <v>1112</v>
      </c>
      <c r="J30" s="13">
        <f>SUM(基礎!DB72:DM72)</f>
        <v>0</v>
      </c>
      <c r="K30" s="13">
        <f>SUM(基礎!DS72:ED72)</f>
        <v>0</v>
      </c>
      <c r="L30" s="13">
        <f>SUM(基礎!EJ72:EU72)</f>
        <v>0</v>
      </c>
      <c r="M30" s="28">
        <f>SUM(基礎!FA72:FL72)</f>
        <v>0</v>
      </c>
    </row>
    <row r="31" spans="2:14">
      <c r="B31" s="474"/>
      <c r="C31" s="12" t="s">
        <v>65</v>
      </c>
      <c r="D31" s="13" t="e">
        <f>SUM(基礎!#REF!)</f>
        <v>#REF!</v>
      </c>
      <c r="E31" s="13" t="e">
        <f>SUM(基礎!#REF!)</f>
        <v>#REF!</v>
      </c>
      <c r="F31" s="13" t="e">
        <f>SUM(基礎!#REF!)</f>
        <v>#REF!</v>
      </c>
      <c r="G31" s="13" t="e">
        <f>SUM(基礎!#REF!)</f>
        <v>#REF!</v>
      </c>
      <c r="H31" s="13" t="e">
        <f>SUM(基礎!#REF!)</f>
        <v>#REF!</v>
      </c>
      <c r="I31" s="13" t="e">
        <f>SUM(基礎!#REF!)</f>
        <v>#REF!</v>
      </c>
      <c r="J31" s="13" t="e">
        <f>SUM(基礎!#REF!)</f>
        <v>#REF!</v>
      </c>
      <c r="K31" s="13" t="e">
        <f>SUM(基礎!#REF!)</f>
        <v>#REF!</v>
      </c>
      <c r="L31" s="13" t="e">
        <f>SUM(基礎!#REF!)</f>
        <v>#REF!</v>
      </c>
      <c r="M31" s="28" t="e">
        <f>SUM(基礎!#REF!)</f>
        <v>#REF!</v>
      </c>
    </row>
    <row r="32" spans="2:14">
      <c r="B32" s="474"/>
      <c r="C32" s="12" t="s">
        <v>66</v>
      </c>
      <c r="D32" s="13" t="e">
        <f>SUM(基礎!#REF!)</f>
        <v>#REF!</v>
      </c>
      <c r="E32" s="13" t="e">
        <f>SUM(基礎!#REF!)</f>
        <v>#REF!</v>
      </c>
      <c r="F32" s="13" t="e">
        <f>SUM(基礎!#REF!)</f>
        <v>#REF!</v>
      </c>
      <c r="G32" s="13" t="e">
        <f>SUM(基礎!#REF!)</f>
        <v>#REF!</v>
      </c>
      <c r="H32" s="13" t="e">
        <f>SUM(基礎!#REF!)</f>
        <v>#REF!</v>
      </c>
      <c r="I32" s="13" t="e">
        <f>SUM(基礎!#REF!)</f>
        <v>#REF!</v>
      </c>
      <c r="J32" s="13" t="e">
        <f>SUM(基礎!#REF!)</f>
        <v>#REF!</v>
      </c>
      <c r="K32" s="13" t="e">
        <f>SUM(基礎!#REF!)</f>
        <v>#REF!</v>
      </c>
      <c r="L32" s="13" t="e">
        <f>SUM(基礎!#REF!)</f>
        <v>#REF!</v>
      </c>
      <c r="M32" s="28" t="e">
        <f>SUM(基礎!#REF!)</f>
        <v>#REF!</v>
      </c>
    </row>
    <row r="33" spans="2:14">
      <c r="B33" s="474"/>
      <c r="C33" s="12" t="s">
        <v>105</v>
      </c>
      <c r="D33" s="13" t="e">
        <f>SUM(基礎!#REF!)</f>
        <v>#REF!</v>
      </c>
      <c r="E33" s="13" t="e">
        <f>SUM(基礎!#REF!)</f>
        <v>#REF!</v>
      </c>
      <c r="F33" s="13" t="e">
        <f>SUM(基礎!#REF!)</f>
        <v>#REF!</v>
      </c>
      <c r="G33" s="13" t="e">
        <f>SUM(基礎!#REF!)</f>
        <v>#REF!</v>
      </c>
      <c r="H33" s="13" t="e">
        <f>SUM(基礎!#REF!)</f>
        <v>#REF!</v>
      </c>
      <c r="I33" s="13" t="e">
        <f>SUM(基礎!#REF!)</f>
        <v>#REF!</v>
      </c>
      <c r="J33" s="13" t="e">
        <f>SUM(基礎!#REF!)</f>
        <v>#REF!</v>
      </c>
      <c r="K33" s="13" t="e">
        <f>SUM(基礎!#REF!)</f>
        <v>#REF!</v>
      </c>
      <c r="L33" s="13" t="e">
        <f>SUM(基礎!#REF!)</f>
        <v>#REF!</v>
      </c>
      <c r="M33" s="28" t="e">
        <f>SUM(基礎!#REF!)</f>
        <v>#REF!</v>
      </c>
    </row>
    <row r="34" spans="2:14">
      <c r="B34" s="474"/>
      <c r="C34" s="12" t="s">
        <v>104</v>
      </c>
      <c r="D34" s="13" t="e">
        <f>SUM(基礎!#REF!)</f>
        <v>#REF!</v>
      </c>
      <c r="E34" s="13" t="e">
        <f>SUM(基礎!#REF!)</f>
        <v>#REF!</v>
      </c>
      <c r="F34" s="13" t="e">
        <f>SUM(基礎!#REF!)</f>
        <v>#REF!</v>
      </c>
      <c r="G34" s="13" t="e">
        <f>SUM(基礎!#REF!)</f>
        <v>#REF!</v>
      </c>
      <c r="H34" s="13" t="e">
        <f>SUM(基礎!#REF!)</f>
        <v>#REF!</v>
      </c>
      <c r="I34" s="13" t="e">
        <f>SUM(基礎!#REF!)</f>
        <v>#REF!</v>
      </c>
      <c r="J34" s="13" t="e">
        <f>SUM(基礎!#REF!)</f>
        <v>#REF!</v>
      </c>
      <c r="K34" s="13" t="e">
        <f>SUM(基礎!#REF!)</f>
        <v>#REF!</v>
      </c>
      <c r="L34" s="13" t="e">
        <f>SUM(基礎!#REF!)</f>
        <v>#REF!</v>
      </c>
      <c r="M34" s="28" t="e">
        <f>SUM(基礎!#REF!)</f>
        <v>#REF!</v>
      </c>
    </row>
    <row r="35" spans="2:14">
      <c r="B35" s="458"/>
      <c r="C35" s="12" t="s">
        <v>59</v>
      </c>
      <c r="D35" s="13">
        <f>SUM(基礎!D73:O73)</f>
        <v>0</v>
      </c>
      <c r="E35" s="13">
        <f>SUM(基礎!U73:AF73)</f>
        <v>0</v>
      </c>
      <c r="F35" s="13">
        <f>SUM(基礎!AL73:AW73)</f>
        <v>0</v>
      </c>
      <c r="G35" s="13">
        <f>SUM(基礎!BC73:BN73)</f>
        <v>0</v>
      </c>
      <c r="H35" s="13">
        <f>SUM(基礎!BT73:CE73)</f>
        <v>0</v>
      </c>
      <c r="I35" s="13">
        <f>SUM(基礎!CK73:CV73)</f>
        <v>0</v>
      </c>
      <c r="J35" s="13">
        <f>SUM(基礎!DB73:DM73)</f>
        <v>0</v>
      </c>
      <c r="K35" s="13">
        <f>SUM(基礎!DS73:ED73)</f>
        <v>0</v>
      </c>
      <c r="L35" s="13">
        <f>SUM(基礎!EJ73:EU73)</f>
        <v>0</v>
      </c>
      <c r="M35" s="28">
        <f>SUM(基礎!FA73:FL73)</f>
        <v>0</v>
      </c>
    </row>
    <row r="36" spans="2:14">
      <c r="B36" s="475" t="s">
        <v>67</v>
      </c>
      <c r="C36" s="476"/>
      <c r="D36" s="15" t="e">
        <f>D19-D28</f>
        <v>#REF!</v>
      </c>
      <c r="E36" s="15" t="e">
        <f t="shared" ref="E36:M36" si="2">E19-E28</f>
        <v>#REF!</v>
      </c>
      <c r="F36" s="15" t="e">
        <f t="shared" si="2"/>
        <v>#REF!</v>
      </c>
      <c r="G36" s="15" t="e">
        <f t="shared" si="2"/>
        <v>#REF!</v>
      </c>
      <c r="H36" s="15" t="e">
        <f t="shared" si="2"/>
        <v>#REF!</v>
      </c>
      <c r="I36" s="15" t="e">
        <f t="shared" si="2"/>
        <v>#REF!</v>
      </c>
      <c r="J36" s="15" t="e">
        <f t="shared" si="2"/>
        <v>#REF!</v>
      </c>
      <c r="K36" s="15" t="e">
        <f t="shared" si="2"/>
        <v>#REF!</v>
      </c>
      <c r="L36" s="15" t="e">
        <f t="shared" si="2"/>
        <v>#REF!</v>
      </c>
      <c r="M36" s="30" t="e">
        <f t="shared" si="2"/>
        <v>#REF!</v>
      </c>
    </row>
    <row r="37" spans="2:14">
      <c r="B37" s="477" t="s">
        <v>96</v>
      </c>
      <c r="C37" s="478"/>
      <c r="D37" s="16" t="e">
        <f t="shared" ref="D37:M37" si="3">D18+D36</f>
        <v>#REF!</v>
      </c>
      <c r="E37" s="16" t="e">
        <f t="shared" si="3"/>
        <v>#REF!</v>
      </c>
      <c r="F37" s="16" t="e">
        <f t="shared" si="3"/>
        <v>#REF!</v>
      </c>
      <c r="G37" s="16" t="e">
        <f t="shared" si="3"/>
        <v>#REF!</v>
      </c>
      <c r="H37" s="16" t="e">
        <f t="shared" si="3"/>
        <v>#REF!</v>
      </c>
      <c r="I37" s="16" t="e">
        <f t="shared" si="3"/>
        <v>#REF!</v>
      </c>
      <c r="J37" s="16" t="e">
        <f t="shared" si="3"/>
        <v>#REF!</v>
      </c>
      <c r="K37" s="16" t="e">
        <f t="shared" si="3"/>
        <v>#REF!</v>
      </c>
      <c r="L37" s="16" t="e">
        <f t="shared" si="3"/>
        <v>#REF!</v>
      </c>
      <c r="M37" s="31" t="e">
        <f t="shared" si="3"/>
        <v>#REF!</v>
      </c>
    </row>
    <row r="38" spans="2:14">
      <c r="B38" s="479" t="s">
        <v>134</v>
      </c>
      <c r="C38" s="480"/>
      <c r="D38" s="20">
        <f>PL!D44</f>
        <v>40000</v>
      </c>
      <c r="E38" s="20">
        <f>PL!E44</f>
        <v>2707115.4000000004</v>
      </c>
      <c r="F38" s="20">
        <f>PL!F44</f>
        <v>2553539.3600000003</v>
      </c>
      <c r="G38" s="20">
        <f>PL!G44</f>
        <v>-20160</v>
      </c>
      <c r="H38" s="20">
        <f>PL!H44</f>
        <v>-25344</v>
      </c>
      <c r="I38" s="20" t="e">
        <f>PL!I44</f>
        <v>#REF!</v>
      </c>
      <c r="J38" s="20" t="e">
        <f>PL!J44</f>
        <v>#REF!</v>
      </c>
      <c r="K38" s="20" t="e">
        <f>PL!K44</f>
        <v>#REF!</v>
      </c>
      <c r="L38" s="20" t="e">
        <f>PL!L44</f>
        <v>#REF!</v>
      </c>
      <c r="M38" s="32" t="e">
        <f>PL!M44</f>
        <v>#REF!</v>
      </c>
    </row>
    <row r="39" spans="2:14">
      <c r="B39" s="477" t="s">
        <v>135</v>
      </c>
      <c r="C39" s="478"/>
      <c r="D39" s="16" t="e">
        <f>D37-D38</f>
        <v>#REF!</v>
      </c>
      <c r="E39" s="16" t="e">
        <f t="shared" ref="E39:M39" si="4">E37-E38</f>
        <v>#REF!</v>
      </c>
      <c r="F39" s="16" t="e">
        <f t="shared" si="4"/>
        <v>#REF!</v>
      </c>
      <c r="G39" s="16" t="e">
        <f t="shared" si="4"/>
        <v>#REF!</v>
      </c>
      <c r="H39" s="16" t="e">
        <f t="shared" si="4"/>
        <v>#REF!</v>
      </c>
      <c r="I39" s="16" t="e">
        <f t="shared" si="4"/>
        <v>#REF!</v>
      </c>
      <c r="J39" s="16" t="e">
        <f t="shared" si="4"/>
        <v>#REF!</v>
      </c>
      <c r="K39" s="16" t="e">
        <f t="shared" si="4"/>
        <v>#REF!</v>
      </c>
      <c r="L39" s="16" t="e">
        <f t="shared" si="4"/>
        <v>#REF!</v>
      </c>
      <c r="M39" s="31" t="e">
        <f t="shared" si="4"/>
        <v>#REF!</v>
      </c>
    </row>
    <row r="40" spans="2:14" ht="14.25" thickBot="1">
      <c r="B40" s="481" t="s">
        <v>103</v>
      </c>
      <c r="C40" s="482"/>
      <c r="D40" s="33" t="e">
        <f>D4+D39</f>
        <v>#REF!</v>
      </c>
      <c r="E40" s="33" t="e">
        <f>E4+E39</f>
        <v>#REF!</v>
      </c>
      <c r="F40" s="33" t="e">
        <f t="shared" ref="F40:M40" si="5">F4+F39</f>
        <v>#REF!</v>
      </c>
      <c r="G40" s="33" t="e">
        <f t="shared" si="5"/>
        <v>#REF!</v>
      </c>
      <c r="H40" s="33" t="e">
        <f t="shared" si="5"/>
        <v>#REF!</v>
      </c>
      <c r="I40" s="33" t="e">
        <f t="shared" si="5"/>
        <v>#REF!</v>
      </c>
      <c r="J40" s="33" t="e">
        <f t="shared" si="5"/>
        <v>#REF!</v>
      </c>
      <c r="K40" s="33" t="e">
        <f t="shared" si="5"/>
        <v>#REF!</v>
      </c>
      <c r="L40" s="33" t="e">
        <f t="shared" si="5"/>
        <v>#REF!</v>
      </c>
      <c r="M40" s="34" t="e">
        <f t="shared" si="5"/>
        <v>#REF!</v>
      </c>
    </row>
    <row r="42" spans="2:14">
      <c r="B42" s="470" t="s">
        <v>136</v>
      </c>
      <c r="C42" s="470"/>
      <c r="D42" s="21" t="e">
        <f>D37</f>
        <v>#REF!</v>
      </c>
      <c r="E42" s="21" t="e">
        <f>E37/(1+$N$42)^(E1-1)</f>
        <v>#REF!</v>
      </c>
      <c r="F42" s="21" t="e">
        <f t="shared" ref="F42:M42" si="6">F37/(1+$N$42)^(F1)</f>
        <v>#REF!</v>
      </c>
      <c r="G42" s="21" t="e">
        <f t="shared" si="6"/>
        <v>#REF!</v>
      </c>
      <c r="H42" s="21" t="e">
        <f t="shared" si="6"/>
        <v>#REF!</v>
      </c>
      <c r="I42" s="21" t="e">
        <f t="shared" si="6"/>
        <v>#REF!</v>
      </c>
      <c r="J42" s="21" t="e">
        <f t="shared" si="6"/>
        <v>#REF!</v>
      </c>
      <c r="K42" s="21" t="e">
        <f t="shared" si="6"/>
        <v>#REF!</v>
      </c>
      <c r="L42" s="21" t="e">
        <f t="shared" si="6"/>
        <v>#REF!</v>
      </c>
      <c r="M42" s="21" t="e">
        <f t="shared" si="6"/>
        <v>#REF!</v>
      </c>
      <c r="N42" s="17">
        <v>1.4999999999999999E-2</v>
      </c>
    </row>
    <row r="43" spans="2:14">
      <c r="B43" s="470" t="s">
        <v>137</v>
      </c>
      <c r="C43" s="470"/>
      <c r="D43" s="21" t="e">
        <f>D39/(1+$N$42)</f>
        <v>#REF!</v>
      </c>
      <c r="E43" s="21" t="e">
        <f>E39/(1+$N$42)^(E1)</f>
        <v>#REF!</v>
      </c>
      <c r="F43" s="21" t="e">
        <f t="shared" ref="F43:M43" si="7">F39/(1+$N$42)^(F1)</f>
        <v>#REF!</v>
      </c>
      <c r="G43" s="21" t="e">
        <f t="shared" si="7"/>
        <v>#REF!</v>
      </c>
      <c r="H43" s="21" t="e">
        <f t="shared" si="7"/>
        <v>#REF!</v>
      </c>
      <c r="I43" s="21" t="e">
        <f t="shared" si="7"/>
        <v>#REF!</v>
      </c>
      <c r="J43" s="21" t="e">
        <f t="shared" si="7"/>
        <v>#REF!</v>
      </c>
      <c r="K43" s="21" t="e">
        <f t="shared" si="7"/>
        <v>#REF!</v>
      </c>
      <c r="L43" s="21" t="e">
        <f t="shared" si="7"/>
        <v>#REF!</v>
      </c>
      <c r="M43" s="21" t="e">
        <f t="shared" si="7"/>
        <v>#REF!</v>
      </c>
      <c r="N43" s="17">
        <v>1.4999999999999999E-2</v>
      </c>
    </row>
    <row r="45" spans="2:14">
      <c r="B45" t="s">
        <v>138</v>
      </c>
    </row>
    <row r="46" spans="2:14">
      <c r="B46" s="485" t="s">
        <v>139</v>
      </c>
      <c r="C46" s="485"/>
      <c r="D46" s="485"/>
      <c r="E46" s="486" t="e">
        <f>SUM(D42:M42)</f>
        <v>#REF!</v>
      </c>
      <c r="F46" s="487"/>
    </row>
    <row r="47" spans="2:14">
      <c r="B47" s="485" t="s">
        <v>140</v>
      </c>
      <c r="C47" s="485"/>
      <c r="D47" s="485"/>
      <c r="E47" s="486" t="e">
        <f>SUM(D43:M43)</f>
        <v>#REF!</v>
      </c>
      <c r="F47" s="487"/>
    </row>
    <row r="48" spans="2:14" ht="14.25" thickBot="1"/>
    <row r="49" spans="2:10" ht="15.75" customHeight="1">
      <c r="B49" s="488"/>
      <c r="C49" s="489"/>
      <c r="D49" s="489"/>
      <c r="E49" s="489"/>
      <c r="F49" s="489"/>
      <c r="G49" s="489" t="s">
        <v>145</v>
      </c>
      <c r="H49" s="489"/>
      <c r="I49" s="489" t="s">
        <v>146</v>
      </c>
      <c r="J49" s="506"/>
    </row>
    <row r="50" spans="2:10" ht="15.75" customHeight="1">
      <c r="B50" s="507" t="s">
        <v>142</v>
      </c>
      <c r="C50" s="485"/>
      <c r="D50" s="485"/>
      <c r="E50" s="485"/>
      <c r="F50" s="485"/>
      <c r="G50" s="486" t="e">
        <f>E46</f>
        <v>#REF!</v>
      </c>
      <c r="H50" s="487"/>
      <c r="I50" s="508">
        <f>66.7%</f>
        <v>0.66700000000000004</v>
      </c>
      <c r="J50" s="509"/>
    </row>
    <row r="51" spans="2:10" ht="15.75" customHeight="1" thickBot="1">
      <c r="B51" s="510" t="s">
        <v>143</v>
      </c>
      <c r="C51" s="511"/>
      <c r="D51" s="511"/>
      <c r="E51" s="511"/>
      <c r="F51" s="511"/>
      <c r="G51" s="512">
        <v>0</v>
      </c>
      <c r="H51" s="512"/>
      <c r="I51" s="483">
        <v>0.33300000000000002</v>
      </c>
      <c r="J51" s="484"/>
    </row>
    <row r="52" spans="2:10" ht="19.5" customHeight="1" thickBot="1">
      <c r="B52" s="496" t="s">
        <v>144</v>
      </c>
      <c r="C52" s="497"/>
      <c r="D52" s="497"/>
      <c r="E52" s="497"/>
      <c r="F52" s="497"/>
      <c r="G52" s="498" t="e">
        <f>G50*I50+G51*I51</f>
        <v>#REF!</v>
      </c>
      <c r="H52" s="498"/>
      <c r="I52" s="499"/>
      <c r="J52" s="500"/>
    </row>
    <row r="53" spans="2:10" ht="15.75" customHeight="1">
      <c r="B53" s="501" t="s">
        <v>147</v>
      </c>
      <c r="C53" s="502"/>
      <c r="D53" s="502"/>
      <c r="E53" s="502"/>
      <c r="F53" s="502"/>
      <c r="G53" s="503" t="e">
        <f>G52*1.1</f>
        <v>#REF!</v>
      </c>
      <c r="H53" s="503"/>
      <c r="I53" s="504">
        <v>0.1</v>
      </c>
      <c r="J53" s="505"/>
    </row>
    <row r="54" spans="2:10" ht="15.75" customHeight="1" thickBot="1">
      <c r="B54" s="491" t="s">
        <v>148</v>
      </c>
      <c r="C54" s="492"/>
      <c r="D54" s="492"/>
      <c r="E54" s="492"/>
      <c r="F54" s="492"/>
      <c r="G54" s="493" t="e">
        <f>G52*0.9</f>
        <v>#REF!</v>
      </c>
      <c r="H54" s="493"/>
      <c r="I54" s="494">
        <v>-0.1</v>
      </c>
      <c r="J54" s="495"/>
    </row>
    <row r="55" spans="2:10">
      <c r="B55" s="35"/>
    </row>
  </sheetData>
  <mergeCells count="41">
    <mergeCell ref="B2:E2"/>
    <mergeCell ref="B54:F54"/>
    <mergeCell ref="G54:H54"/>
    <mergeCell ref="I54:J54"/>
    <mergeCell ref="B52:F52"/>
    <mergeCell ref="G52:H52"/>
    <mergeCell ref="I52:J52"/>
    <mergeCell ref="B53:F53"/>
    <mergeCell ref="G53:H53"/>
    <mergeCell ref="I53:J53"/>
    <mergeCell ref="I49:J49"/>
    <mergeCell ref="B50:F50"/>
    <mergeCell ref="G50:H50"/>
    <mergeCell ref="I50:J50"/>
    <mergeCell ref="B51:F51"/>
    <mergeCell ref="G51:H51"/>
    <mergeCell ref="I51:J51"/>
    <mergeCell ref="B46:D46"/>
    <mergeCell ref="E46:F46"/>
    <mergeCell ref="B47:D47"/>
    <mergeCell ref="E47:F47"/>
    <mergeCell ref="B49:F49"/>
    <mergeCell ref="G49:H49"/>
    <mergeCell ref="B43:C43"/>
    <mergeCell ref="B18:C18"/>
    <mergeCell ref="B19:C19"/>
    <mergeCell ref="B20:B27"/>
    <mergeCell ref="B28:C28"/>
    <mergeCell ref="B29:B35"/>
    <mergeCell ref="B36:C36"/>
    <mergeCell ref="B37:C37"/>
    <mergeCell ref="B38:C38"/>
    <mergeCell ref="B39:C39"/>
    <mergeCell ref="B40:C40"/>
    <mergeCell ref="B42:C42"/>
    <mergeCell ref="B11:B17"/>
    <mergeCell ref="B3:C3"/>
    <mergeCell ref="B4:C4"/>
    <mergeCell ref="B5:C5"/>
    <mergeCell ref="B6:B9"/>
    <mergeCell ref="B10:C10"/>
  </mergeCells>
  <phoneticPr fontId="2"/>
  <pageMargins left="0.25" right="0.25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N55"/>
  <sheetViews>
    <sheetView topLeftCell="A2" workbookViewId="0">
      <selection activeCell="B3" sqref="B3:C3"/>
    </sheetView>
  </sheetViews>
  <sheetFormatPr defaultColWidth="8.875" defaultRowHeight="13.5"/>
  <cols>
    <col min="1" max="1" width="1.875" customWidth="1"/>
    <col min="2" max="2" width="3.875" customWidth="1"/>
    <col min="3" max="3" width="16.125" customWidth="1"/>
    <col min="4" max="13" width="7.875" customWidth="1"/>
    <col min="14" max="14" width="9" hidden="1" customWidth="1"/>
  </cols>
  <sheetData>
    <row r="1" spans="2:13" hidden="1"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</row>
    <row r="2" spans="2:13" ht="23.25" customHeight="1" thickBot="1">
      <c r="B2" s="490" t="s">
        <v>151</v>
      </c>
      <c r="C2" s="490"/>
      <c r="D2" s="490"/>
      <c r="E2" s="490"/>
      <c r="M2" s="22" t="s">
        <v>141</v>
      </c>
    </row>
    <row r="3" spans="2:13" ht="14.25" thickBot="1">
      <c r="B3" s="460"/>
      <c r="C3" s="461"/>
      <c r="D3" s="24" t="s">
        <v>97</v>
      </c>
      <c r="E3" s="24" t="s">
        <v>98</v>
      </c>
      <c r="F3" s="24" t="s">
        <v>99</v>
      </c>
      <c r="G3" s="24" t="s">
        <v>100</v>
      </c>
      <c r="H3" s="24" t="s">
        <v>101</v>
      </c>
      <c r="I3" s="24" t="s">
        <v>128</v>
      </c>
      <c r="J3" s="24" t="s">
        <v>129</v>
      </c>
      <c r="K3" s="24" t="s">
        <v>130</v>
      </c>
      <c r="L3" s="24" t="s">
        <v>131</v>
      </c>
      <c r="M3" s="25" t="s">
        <v>132</v>
      </c>
    </row>
    <row r="4" spans="2:13" ht="14.25" thickTop="1">
      <c r="B4" s="462" t="s">
        <v>102</v>
      </c>
      <c r="C4" s="463"/>
      <c r="D4" s="23">
        <v>0</v>
      </c>
      <c r="E4" s="23" t="e">
        <f t="shared" ref="E4:M4" si="0">D40</f>
        <v>#REF!</v>
      </c>
      <c r="F4" s="23" t="e">
        <f t="shared" si="0"/>
        <v>#REF!</v>
      </c>
      <c r="G4" s="23" t="e">
        <f t="shared" si="0"/>
        <v>#REF!</v>
      </c>
      <c r="H4" s="23" t="e">
        <f t="shared" si="0"/>
        <v>#REF!</v>
      </c>
      <c r="I4" s="23" t="e">
        <f t="shared" si="0"/>
        <v>#REF!</v>
      </c>
      <c r="J4" s="23" t="e">
        <f t="shared" si="0"/>
        <v>#REF!</v>
      </c>
      <c r="K4" s="23" t="e">
        <f t="shared" si="0"/>
        <v>#REF!</v>
      </c>
      <c r="L4" s="23" t="e">
        <f t="shared" si="0"/>
        <v>#REF!</v>
      </c>
      <c r="M4" s="26" t="e">
        <f t="shared" si="0"/>
        <v>#REF!</v>
      </c>
    </row>
    <row r="5" spans="2:13">
      <c r="B5" s="464" t="s">
        <v>42</v>
      </c>
      <c r="C5" s="465"/>
      <c r="D5" s="7">
        <f>SUM(基礎!D50:O50)</f>
        <v>100000</v>
      </c>
      <c r="E5" s="7">
        <f>SUM(基礎!U50:AF50)</f>
        <v>12207510.800000001</v>
      </c>
      <c r="F5" s="7">
        <f>SUM(基礎!AL50:AW50)</f>
        <v>15790054.800000001</v>
      </c>
      <c r="G5" s="7">
        <f>SUM(基礎!BC50:BN50)</f>
        <v>751036.8</v>
      </c>
      <c r="H5" s="7">
        <f>SUM(基礎!BT50:CE50)</f>
        <v>352000</v>
      </c>
      <c r="I5" s="7">
        <f>SUM(基礎!CK50:CV50)</f>
        <v>6000</v>
      </c>
      <c r="J5" s="7">
        <f>SUM(基礎!DB50:DM50)</f>
        <v>0</v>
      </c>
      <c r="K5" s="7">
        <f>SUM(基礎!DS50:ED50)</f>
        <v>0</v>
      </c>
      <c r="L5" s="7">
        <f>SUM(基礎!EJ50:EU50)</f>
        <v>0</v>
      </c>
      <c r="M5" s="27">
        <f>SUM(基礎!FA50:FL50)</f>
        <v>0</v>
      </c>
    </row>
    <row r="6" spans="2:13">
      <c r="B6" s="466"/>
      <c r="C6" s="12" t="s">
        <v>37</v>
      </c>
      <c r="D6" s="13">
        <f>SUM(基礎!D51:O51)</f>
        <v>0</v>
      </c>
      <c r="E6" s="13">
        <f>SUM(基礎!U51:AF51)</f>
        <v>11727510.800000001</v>
      </c>
      <c r="F6" s="13">
        <f>SUM(基礎!AL51:AW51)</f>
        <v>15070054.800000001</v>
      </c>
      <c r="G6" s="13">
        <f>SUM(基礎!BC51:BN51)</f>
        <v>281600</v>
      </c>
      <c r="H6" s="13">
        <f>SUM(基礎!BT51:CE51)</f>
        <v>281600</v>
      </c>
      <c r="I6" s="13">
        <f>SUM(基礎!CK51:CV51)</f>
        <v>0</v>
      </c>
      <c r="J6" s="13">
        <f>SUM(基礎!DB51:DM51)</f>
        <v>0</v>
      </c>
      <c r="K6" s="13">
        <f>SUM(基礎!DS51:ED51)</f>
        <v>0</v>
      </c>
      <c r="L6" s="13">
        <f>SUM(基礎!EJ51:EU51)</f>
        <v>0</v>
      </c>
      <c r="M6" s="28">
        <f>SUM(基礎!FA51:FL51)</f>
        <v>0</v>
      </c>
    </row>
    <row r="7" spans="2:13">
      <c r="B7" s="467"/>
      <c r="C7" s="12" t="s">
        <v>38</v>
      </c>
      <c r="D7" s="13">
        <f>SUM(基礎!D52:O52)</f>
        <v>0</v>
      </c>
      <c r="E7" s="13">
        <f>SUM(基礎!U52:AF52)</f>
        <v>480000</v>
      </c>
      <c r="F7" s="13">
        <f>SUM(基礎!AL52:AW52)</f>
        <v>720000</v>
      </c>
      <c r="G7" s="13">
        <f>SUM(基礎!BC52:BN52)</f>
        <v>409436.80000000005</v>
      </c>
      <c r="H7" s="13">
        <f>SUM(基礎!BT52:CE52)</f>
        <v>70400</v>
      </c>
      <c r="I7" s="13">
        <f>SUM(基礎!CK52:CV52)</f>
        <v>6000</v>
      </c>
      <c r="J7" s="13">
        <f>SUM(基礎!DB52:DM52)</f>
        <v>0</v>
      </c>
      <c r="K7" s="13">
        <f>SUM(基礎!DS52:ED52)</f>
        <v>0</v>
      </c>
      <c r="L7" s="13">
        <f>SUM(基礎!EJ52:EU52)</f>
        <v>0</v>
      </c>
      <c r="M7" s="28">
        <f>SUM(基礎!FA52:FL52)</f>
        <v>0</v>
      </c>
    </row>
    <row r="8" spans="2:13">
      <c r="B8" s="467"/>
      <c r="C8" s="12" t="s">
        <v>16</v>
      </c>
      <c r="D8" s="13">
        <f>SUM(基礎!D53:O53)</f>
        <v>100000</v>
      </c>
      <c r="E8" s="13">
        <f>SUM(基礎!U53:AF53)</f>
        <v>0</v>
      </c>
      <c r="F8" s="13">
        <f>SUM(基礎!AL53:AW53)</f>
        <v>0</v>
      </c>
      <c r="G8" s="13">
        <f>SUM(基礎!BC53:BN53)</f>
        <v>60000</v>
      </c>
      <c r="H8" s="13">
        <f>SUM(基礎!BT53:CE53)</f>
        <v>0</v>
      </c>
      <c r="I8" s="13">
        <f>SUM(基礎!CK53:CV53)</f>
        <v>0</v>
      </c>
      <c r="J8" s="13">
        <f>SUM(基礎!DB53:DM53)</f>
        <v>0</v>
      </c>
      <c r="K8" s="13">
        <f>SUM(基礎!DS53:ED53)</f>
        <v>0</v>
      </c>
      <c r="L8" s="13">
        <f>SUM(基礎!EJ53:EU53)</f>
        <v>0</v>
      </c>
      <c r="M8" s="28">
        <f>SUM(基礎!FA53:FL53)</f>
        <v>0</v>
      </c>
    </row>
    <row r="9" spans="2:13">
      <c r="B9" s="467"/>
      <c r="C9" s="12" t="s">
        <v>41</v>
      </c>
      <c r="D9" s="13">
        <f>SUM(基礎!D54:O54)</f>
        <v>0</v>
      </c>
      <c r="E9" s="13">
        <f>SUM(基礎!U54:AF54)</f>
        <v>0</v>
      </c>
      <c r="F9" s="13">
        <f>SUM(基礎!AL54:AW54)</f>
        <v>0</v>
      </c>
      <c r="G9" s="13">
        <f>SUM(基礎!BC54:BN54)</f>
        <v>0</v>
      </c>
      <c r="H9" s="13">
        <f>SUM(基礎!BT54:CE54)</f>
        <v>0</v>
      </c>
      <c r="I9" s="13">
        <f>SUM(基礎!CK54:CV54)</f>
        <v>0</v>
      </c>
      <c r="J9" s="13">
        <f>SUM(基礎!DB54:DM54)</f>
        <v>0</v>
      </c>
      <c r="K9" s="13">
        <f>SUM(基礎!DS54:ED54)</f>
        <v>0</v>
      </c>
      <c r="L9" s="13">
        <f>SUM(基礎!EJ54:EU54)</f>
        <v>0</v>
      </c>
      <c r="M9" s="28">
        <f>SUM(基礎!FA54:FL54)</f>
        <v>0</v>
      </c>
    </row>
    <row r="10" spans="2:13">
      <c r="B10" s="468" t="s">
        <v>43</v>
      </c>
      <c r="C10" s="469"/>
      <c r="D10" s="9">
        <f>SUM(基礎!D55:O55)</f>
        <v>0</v>
      </c>
      <c r="E10" s="9">
        <f>SUM(基礎!U55:AF55)</f>
        <v>9628066.6999999993</v>
      </c>
      <c r="F10" s="9">
        <f>SUM(基礎!AL55:AW55)</f>
        <v>11109825.600000001</v>
      </c>
      <c r="G10" s="9">
        <f>SUM(基礎!BC55:BN55)</f>
        <v>625120</v>
      </c>
      <c r="H10" s="9">
        <f>SUM(基礎!BT55:CE55)</f>
        <v>393160</v>
      </c>
      <c r="I10" s="9" t="e">
        <f>SUM(基礎!CK55:CV55)</f>
        <v>#REF!</v>
      </c>
      <c r="J10" s="9" t="e">
        <f>SUM(基礎!DB55:DM55)</f>
        <v>#REF!</v>
      </c>
      <c r="K10" s="9" t="e">
        <f>SUM(基礎!DS55:ED55)</f>
        <v>#REF!</v>
      </c>
      <c r="L10" s="9" t="e">
        <f>SUM(基礎!EJ55:EU55)</f>
        <v>#REF!</v>
      </c>
      <c r="M10" s="29" t="e">
        <f>SUM(基礎!FA55:FL55)</f>
        <v>#REF!</v>
      </c>
    </row>
    <row r="11" spans="2:13">
      <c r="B11" s="458"/>
      <c r="C11" s="12" t="s">
        <v>44</v>
      </c>
      <c r="D11" s="13">
        <f>SUM(基礎!D56:O56)</f>
        <v>0</v>
      </c>
      <c r="E11" s="13">
        <f>SUM(基礎!U56:AF56)</f>
        <v>1052000</v>
      </c>
      <c r="F11" s="13">
        <f>SUM(基礎!AL56:AW56)</f>
        <v>662000</v>
      </c>
      <c r="G11" s="13">
        <f>SUM(基礎!BC56:BN56)</f>
        <v>80500</v>
      </c>
      <c r="H11" s="13">
        <f>SUM(基礎!BT56:CE56)</f>
        <v>88000</v>
      </c>
      <c r="I11" s="13">
        <f>SUM(基礎!CK56:CV56)</f>
        <v>7500</v>
      </c>
      <c r="J11" s="13">
        <f>SUM(基礎!DB56:DM56)</f>
        <v>0</v>
      </c>
      <c r="K11" s="13">
        <f>SUM(基礎!DS56:ED56)</f>
        <v>0</v>
      </c>
      <c r="L11" s="13">
        <f>SUM(基礎!EJ56:EU56)</f>
        <v>0</v>
      </c>
      <c r="M11" s="28">
        <f>SUM(基礎!FA56:FL56)</f>
        <v>0</v>
      </c>
    </row>
    <row r="12" spans="2:13">
      <c r="B12" s="459"/>
      <c r="C12" s="12" t="s">
        <v>45</v>
      </c>
      <c r="D12" s="13">
        <f>SUM(基礎!D57:O57)</f>
        <v>0</v>
      </c>
      <c r="E12" s="13">
        <f>SUM(基礎!U57:AF57)</f>
        <v>8576066.6999999993</v>
      </c>
      <c r="F12" s="13">
        <f>SUM(基礎!AL57:AW57)</f>
        <v>10447825.600000001</v>
      </c>
      <c r="G12" s="13">
        <f>SUM(基礎!BC57:BN57)</f>
        <v>352600</v>
      </c>
      <c r="H12" s="13">
        <f>SUM(基礎!BT57:CE57)</f>
        <v>105600</v>
      </c>
      <c r="I12" s="13">
        <f>SUM(基礎!CK57:CV57)</f>
        <v>9000</v>
      </c>
      <c r="J12" s="13">
        <f>SUM(基礎!DB57:DM57)</f>
        <v>0</v>
      </c>
      <c r="K12" s="13">
        <f>SUM(基礎!DS57:ED57)</f>
        <v>0</v>
      </c>
      <c r="L12" s="13">
        <f>SUM(基礎!EJ57:EU57)</f>
        <v>0</v>
      </c>
      <c r="M12" s="28">
        <f>SUM(基礎!FA57:FL57)</f>
        <v>0</v>
      </c>
    </row>
    <row r="13" spans="2:13">
      <c r="B13" s="459"/>
      <c r="C13" s="12" t="s">
        <v>47</v>
      </c>
      <c r="D13" s="13">
        <f>SUM(基礎!D58:O58)</f>
        <v>0</v>
      </c>
      <c r="E13" s="13">
        <f>SUM(基礎!U58:AF58)</f>
        <v>0</v>
      </c>
      <c r="F13" s="13">
        <f>SUM(基礎!AL58:AW58)</f>
        <v>0</v>
      </c>
      <c r="G13" s="13">
        <f>SUM(基礎!BC58:BN58)</f>
        <v>192020</v>
      </c>
      <c r="H13" s="13">
        <f>SUM(基礎!BT58:CE58)</f>
        <v>199560</v>
      </c>
      <c r="I13" s="13">
        <f>SUM(基礎!CK58:CV58)</f>
        <v>335428</v>
      </c>
      <c r="J13" s="13" t="e">
        <f>SUM(基礎!DB58:DM58)</f>
        <v>#REF!</v>
      </c>
      <c r="K13" s="13" t="e">
        <f>SUM(基礎!DS58:ED58)</f>
        <v>#REF!</v>
      </c>
      <c r="L13" s="13" t="e">
        <f>SUM(基礎!EJ58:EU58)</f>
        <v>#REF!</v>
      </c>
      <c r="M13" s="28" t="e">
        <f>SUM(基礎!FA58:FL58)</f>
        <v>#REF!</v>
      </c>
    </row>
    <row r="14" spans="2:13">
      <c r="B14" s="459"/>
      <c r="C14" s="12" t="s">
        <v>48</v>
      </c>
      <c r="D14" s="13">
        <f>SUM(基礎!D59:O59)</f>
        <v>0</v>
      </c>
      <c r="E14" s="13">
        <f>SUM(基礎!U59:AF59)</f>
        <v>0</v>
      </c>
      <c r="F14" s="13">
        <f>SUM(基礎!AL59:AW59)</f>
        <v>0</v>
      </c>
      <c r="G14" s="13">
        <f>SUM(基礎!BC59:BN59)</f>
        <v>0</v>
      </c>
      <c r="H14" s="13">
        <f>SUM(基礎!BT59:CE59)</f>
        <v>0</v>
      </c>
      <c r="I14" s="13">
        <f>SUM(基礎!CK59:CV59)</f>
        <v>0</v>
      </c>
      <c r="J14" s="13">
        <f>SUM(基礎!DB59:DM59)</f>
        <v>0</v>
      </c>
      <c r="K14" s="13">
        <f>SUM(基礎!DS59:ED59)</f>
        <v>0</v>
      </c>
      <c r="L14" s="13">
        <f>SUM(基礎!EJ59:EU59)</f>
        <v>0</v>
      </c>
      <c r="M14" s="28">
        <f>SUM(基礎!FA59:FL59)</f>
        <v>0</v>
      </c>
    </row>
    <row r="15" spans="2:13">
      <c r="B15" s="459"/>
      <c r="C15" s="12" t="s">
        <v>12</v>
      </c>
      <c r="D15" s="13">
        <f>SUM(基礎!D60:O60)</f>
        <v>0</v>
      </c>
      <c r="E15" s="13">
        <f>SUM(基礎!U60:AF60)</f>
        <v>0</v>
      </c>
      <c r="F15" s="13">
        <f>SUM(基礎!AL60:AW60)</f>
        <v>0</v>
      </c>
      <c r="G15" s="13">
        <f>SUM(基礎!BC60:BN60)</f>
        <v>0</v>
      </c>
      <c r="H15" s="13">
        <f>SUM(基礎!BT60:CE60)</f>
        <v>0</v>
      </c>
      <c r="I15" s="13">
        <f>SUM(基礎!CK60:CV60)</f>
        <v>0</v>
      </c>
      <c r="J15" s="13">
        <f>SUM(基礎!DB60:DM60)</f>
        <v>0</v>
      </c>
      <c r="K15" s="13">
        <f>SUM(基礎!DS60:ED60)</f>
        <v>0</v>
      </c>
      <c r="L15" s="13">
        <f>SUM(基礎!EJ60:EU60)</f>
        <v>0</v>
      </c>
      <c r="M15" s="28">
        <f>SUM(基礎!FA60:FL60)</f>
        <v>0</v>
      </c>
    </row>
    <row r="16" spans="2:13">
      <c r="B16" s="459"/>
      <c r="C16" s="12" t="s">
        <v>52</v>
      </c>
      <c r="D16" s="13">
        <f>SUM(基礎!D61:O61)</f>
        <v>0</v>
      </c>
      <c r="E16" s="13">
        <f>SUM(基礎!U61:AF61)</f>
        <v>0</v>
      </c>
      <c r="F16" s="13">
        <f>SUM(基礎!AL61:AW61)</f>
        <v>0</v>
      </c>
      <c r="G16" s="13">
        <f>SUM(基礎!BC61:BN61)</f>
        <v>0</v>
      </c>
      <c r="H16" s="13">
        <f>SUM(基礎!BT61:CE61)</f>
        <v>0</v>
      </c>
      <c r="I16" s="13">
        <f>SUM(基礎!CK61:CV61)</f>
        <v>0</v>
      </c>
      <c r="J16" s="13">
        <f>SUM(基礎!DB61:DM61)</f>
        <v>0</v>
      </c>
      <c r="K16" s="13">
        <f>SUM(基礎!DS61:ED61)</f>
        <v>0</v>
      </c>
      <c r="L16" s="13">
        <f>SUM(基礎!EJ61:EU61)</f>
        <v>0</v>
      </c>
      <c r="M16" s="28">
        <f>SUM(基礎!FA61:FL61)</f>
        <v>0</v>
      </c>
    </row>
    <row r="17" spans="2:14">
      <c r="B17" s="459"/>
      <c r="C17" s="12" t="s">
        <v>51</v>
      </c>
      <c r="D17" s="13">
        <f>SUM(基礎!D62:O62)</f>
        <v>0</v>
      </c>
      <c r="E17" s="13">
        <f>SUM(基礎!U62:AF62)</f>
        <v>0</v>
      </c>
      <c r="F17" s="13">
        <f>SUM(基礎!AL62:AW62)</f>
        <v>0</v>
      </c>
      <c r="G17" s="13">
        <f>SUM(基礎!BC62:BN62)</f>
        <v>0</v>
      </c>
      <c r="H17" s="13">
        <f>SUM(基礎!BT62:CE62)</f>
        <v>0</v>
      </c>
      <c r="I17" s="13" t="e">
        <f>SUM(基礎!CK62:CV62)</f>
        <v>#REF!</v>
      </c>
      <c r="J17" s="13" t="e">
        <f>SUM(基礎!DB62:DM62)</f>
        <v>#REF!</v>
      </c>
      <c r="K17" s="13" t="e">
        <f>SUM(基礎!DS62:ED62)</f>
        <v>#REF!</v>
      </c>
      <c r="L17" s="13" t="e">
        <f>SUM(基礎!EJ62:EU62)</f>
        <v>#REF!</v>
      </c>
      <c r="M17" s="28" t="e">
        <f>SUM(基礎!FA62:FL62)</f>
        <v>#REF!</v>
      </c>
    </row>
    <row r="18" spans="2:14">
      <c r="B18" s="471" t="s">
        <v>53</v>
      </c>
      <c r="C18" s="472"/>
      <c r="D18" s="15">
        <f>SUM(基礎!D63:O63)</f>
        <v>100000</v>
      </c>
      <c r="E18" s="15">
        <f>SUM(基礎!U63:AF63)</f>
        <v>2579444.1000000006</v>
      </c>
      <c r="F18" s="15">
        <f>SUM(基礎!AL63:AW63)</f>
        <v>4680229.2</v>
      </c>
      <c r="G18" s="15">
        <f>SUM(基礎!BC63:BN63)</f>
        <v>125916.80000000005</v>
      </c>
      <c r="H18" s="15">
        <f>SUM(基礎!BT63:CE63)</f>
        <v>-41160</v>
      </c>
      <c r="I18" s="15" t="e">
        <f>SUM(基礎!CK63:CV63)</f>
        <v>#REF!</v>
      </c>
      <c r="J18" s="15" t="e">
        <f>SUM(基礎!DB63:DM63)</f>
        <v>#REF!</v>
      </c>
      <c r="K18" s="15" t="e">
        <f>SUM(基礎!DS63:ED63)</f>
        <v>#REF!</v>
      </c>
      <c r="L18" s="15" t="e">
        <f>SUM(基礎!EJ63:EU63)</f>
        <v>#REF!</v>
      </c>
      <c r="M18" s="30" t="e">
        <f>SUM(基礎!FA63:FL63)</f>
        <v>#REF!</v>
      </c>
    </row>
    <row r="19" spans="2:14">
      <c r="B19" s="464" t="s">
        <v>61</v>
      </c>
      <c r="C19" s="465"/>
      <c r="D19" s="7" t="e">
        <f>SUM(D20:D27)</f>
        <v>#REF!</v>
      </c>
      <c r="E19" s="7">
        <f>SUM(基礎!U64:AF64)</f>
        <v>0</v>
      </c>
      <c r="F19" s="7">
        <f>SUM(基礎!AL64:AW64)</f>
        <v>0</v>
      </c>
      <c r="G19" s="7">
        <f>SUM(基礎!BC64:BN64)</f>
        <v>-120000000</v>
      </c>
      <c r="H19" s="7">
        <f>SUM(基礎!BT64:CE64)</f>
        <v>0</v>
      </c>
      <c r="I19" s="7">
        <f>SUM(基礎!CK64:CV64)</f>
        <v>-26000</v>
      </c>
      <c r="J19" s="7">
        <f>SUM(基礎!DB64:DM64)</f>
        <v>0</v>
      </c>
      <c r="K19" s="7">
        <f>SUM(基礎!DS64:ED64)</f>
        <v>0</v>
      </c>
      <c r="L19" s="7">
        <f>SUM(基礎!EJ64:EU64)</f>
        <v>0</v>
      </c>
      <c r="M19" s="27">
        <f>SUM(基礎!FA64:FL64)</f>
        <v>0</v>
      </c>
    </row>
    <row r="20" spans="2:14">
      <c r="B20" s="473"/>
      <c r="C20" s="12" t="s">
        <v>54</v>
      </c>
      <c r="D20" s="13">
        <v>0</v>
      </c>
      <c r="E20" s="13">
        <f>SUM(基礎!U65:AF65)</f>
        <v>0</v>
      </c>
      <c r="F20" s="13">
        <f>SUM(基礎!AL65:AW65)</f>
        <v>0</v>
      </c>
      <c r="G20" s="13">
        <f>SUM(基礎!BC65:BN65)</f>
        <v>0</v>
      </c>
      <c r="H20" s="13">
        <f>SUM(基礎!BT65:CE65)</f>
        <v>0</v>
      </c>
      <c r="I20" s="13">
        <f>SUM(基礎!CK65:CV65)</f>
        <v>0</v>
      </c>
      <c r="J20" s="13">
        <f>SUM(基礎!DB65:DM65)</f>
        <v>0</v>
      </c>
      <c r="K20" s="13">
        <f>SUM(基礎!DS65:ED65)</f>
        <v>0</v>
      </c>
      <c r="L20" s="13">
        <f>SUM(基礎!EJ65:EU65)</f>
        <v>0</v>
      </c>
      <c r="M20" s="28">
        <f>SUM(基礎!FA65:FL65)</f>
        <v>0</v>
      </c>
    </row>
    <row r="21" spans="2:14">
      <c r="B21" s="473"/>
      <c r="C21" s="12" t="s">
        <v>55</v>
      </c>
      <c r="D21" s="13">
        <f>SUM(基礎!D66:O66)</f>
        <v>0</v>
      </c>
      <c r="E21" s="13">
        <f>SUM(基礎!U66:AF66)</f>
        <v>0</v>
      </c>
      <c r="F21" s="13">
        <f>SUM(基礎!AL66:AW66)</f>
        <v>0</v>
      </c>
      <c r="G21" s="13">
        <f>SUM(基礎!BC66:BN66)</f>
        <v>0</v>
      </c>
      <c r="H21" s="13">
        <f>SUM(基礎!BT66:CE66)</f>
        <v>0</v>
      </c>
      <c r="I21" s="13">
        <f>SUM(基礎!CK66:CV66)</f>
        <v>-26000</v>
      </c>
      <c r="J21" s="13">
        <f>SUM(基礎!DB66:DM66)</f>
        <v>0</v>
      </c>
      <c r="K21" s="13">
        <f>SUM(基礎!DS66:ED66)</f>
        <v>0</v>
      </c>
      <c r="L21" s="13">
        <f>SUM(基礎!EJ66:EU66)</f>
        <v>0</v>
      </c>
      <c r="M21" s="28">
        <f>SUM(基礎!FA66:FL66)</f>
        <v>0</v>
      </c>
    </row>
    <row r="22" spans="2:14">
      <c r="B22" s="473"/>
      <c r="C22" s="12" t="s">
        <v>60</v>
      </c>
      <c r="D22" s="13">
        <f>SUM(基礎!D67:O67)</f>
        <v>0</v>
      </c>
      <c r="E22" s="13">
        <f>SUM(基礎!U67:AF67)</f>
        <v>0</v>
      </c>
      <c r="F22" s="13">
        <f>SUM(基礎!AL67:AW67)</f>
        <v>0</v>
      </c>
      <c r="G22" s="13">
        <f>SUM(基礎!BC67:BN67)</f>
        <v>0</v>
      </c>
      <c r="H22" s="13">
        <f>SUM(基礎!BT67:CE67)</f>
        <v>0</v>
      </c>
      <c r="I22" s="13">
        <f>SUM(基礎!CK67:CV67)</f>
        <v>0</v>
      </c>
      <c r="J22" s="13">
        <f>SUM(基礎!DB67:DM67)</f>
        <v>0</v>
      </c>
      <c r="K22" s="13">
        <f>SUM(基礎!DS67:ED67)</f>
        <v>0</v>
      </c>
      <c r="L22" s="13">
        <f>SUM(基礎!EJ67:EU67)</f>
        <v>0</v>
      </c>
      <c r="M22" s="28">
        <f>SUM(基礎!FA67:FL67)</f>
        <v>0</v>
      </c>
    </row>
    <row r="23" spans="2:14">
      <c r="B23" s="473"/>
      <c r="C23" s="12" t="s">
        <v>56</v>
      </c>
      <c r="D23" s="13">
        <f>SUM(基礎!D68:O68)</f>
        <v>0</v>
      </c>
      <c r="E23" s="13">
        <f>SUM(基礎!U68:AF68)</f>
        <v>0</v>
      </c>
      <c r="F23" s="13">
        <f>SUM(基礎!AL68:AW68)</f>
        <v>0</v>
      </c>
      <c r="G23" s="13">
        <f>SUM(基礎!BC68:BN68)</f>
        <v>0</v>
      </c>
      <c r="H23" s="13">
        <f>SUM(基礎!BT68:CE68)</f>
        <v>0</v>
      </c>
      <c r="I23" s="13">
        <f>SUM(基礎!CK68:CV68)</f>
        <v>0</v>
      </c>
      <c r="J23" s="13">
        <f>SUM(基礎!DB68:DM68)</f>
        <v>0</v>
      </c>
      <c r="K23" s="13">
        <f>SUM(基礎!DS68:ED68)</f>
        <v>0</v>
      </c>
      <c r="L23" s="13">
        <f>SUM(基礎!EJ68:EU68)</f>
        <v>0</v>
      </c>
      <c r="M23" s="28">
        <f>SUM(基礎!FA68:FL68)</f>
        <v>0</v>
      </c>
    </row>
    <row r="24" spans="2:14">
      <c r="B24" s="473"/>
      <c r="C24" s="12" t="s">
        <v>57</v>
      </c>
      <c r="D24" s="13">
        <f>SUM(基礎!D69:O69)</f>
        <v>0</v>
      </c>
      <c r="E24" s="13">
        <f>SUM(基礎!U69:AF69)</f>
        <v>0</v>
      </c>
      <c r="F24" s="13">
        <f>SUM(基礎!AL69:AW69)</f>
        <v>0</v>
      </c>
      <c r="G24" s="13">
        <f>SUM(基礎!BC69:BN69)</f>
        <v>-120000000</v>
      </c>
      <c r="H24" s="13">
        <f>SUM(基礎!BT69:CE69)</f>
        <v>0</v>
      </c>
      <c r="I24" s="13">
        <f>SUM(基礎!CK69:CV69)</f>
        <v>0</v>
      </c>
      <c r="J24" s="13">
        <f>SUM(基礎!DB69:DM69)</f>
        <v>0</v>
      </c>
      <c r="K24" s="13">
        <f>SUM(基礎!DS69:ED69)</f>
        <v>0</v>
      </c>
      <c r="L24" s="13">
        <f>SUM(基礎!EJ69:EU69)</f>
        <v>0</v>
      </c>
      <c r="M24" s="28">
        <f>SUM(基礎!FA69:FL69)</f>
        <v>0</v>
      </c>
    </row>
    <row r="25" spans="2:14">
      <c r="B25" s="473"/>
      <c r="C25" s="12" t="s">
        <v>58</v>
      </c>
      <c r="D25" s="13" t="e">
        <f>SUM(基礎!#REF!)</f>
        <v>#REF!</v>
      </c>
      <c r="E25" s="13" t="e">
        <f>SUM(基礎!#REF!)</f>
        <v>#REF!</v>
      </c>
      <c r="F25" s="13" t="e">
        <f>SUM(基礎!#REF!)</f>
        <v>#REF!</v>
      </c>
      <c r="G25" s="13" t="e">
        <f>SUM(基礎!#REF!)</f>
        <v>#REF!</v>
      </c>
      <c r="H25" s="13" t="e">
        <f>SUM(基礎!#REF!)</f>
        <v>#REF!</v>
      </c>
      <c r="I25" s="13" t="e">
        <f>SUM(基礎!#REF!)</f>
        <v>#REF!</v>
      </c>
      <c r="J25" s="13" t="e">
        <f>SUM(基礎!#REF!)</f>
        <v>#REF!</v>
      </c>
      <c r="K25" s="13" t="e">
        <f>SUM(基礎!#REF!)</f>
        <v>#REF!</v>
      </c>
      <c r="L25" s="13" t="e">
        <f>SUM(基礎!#REF!)</f>
        <v>#REF!</v>
      </c>
      <c r="M25" s="28" t="e">
        <f>SUM(基礎!#REF!)</f>
        <v>#REF!</v>
      </c>
    </row>
    <row r="26" spans="2:14">
      <c r="B26" s="473"/>
      <c r="C26" s="12" t="s">
        <v>77</v>
      </c>
      <c r="D26" s="13" t="e">
        <f>SUM(基礎!#REF!)</f>
        <v>#REF!</v>
      </c>
      <c r="E26" s="13" t="e">
        <f>SUM(基礎!#REF!)</f>
        <v>#REF!</v>
      </c>
      <c r="F26" s="13" t="e">
        <f>SUM(基礎!#REF!)</f>
        <v>#REF!</v>
      </c>
      <c r="G26" s="13" t="e">
        <f>SUM(基礎!#REF!)</f>
        <v>#REF!</v>
      </c>
      <c r="H26" s="13" t="e">
        <f>SUM(基礎!#REF!)</f>
        <v>#REF!</v>
      </c>
      <c r="I26" s="13" t="e">
        <f>SUM(基礎!#REF!)</f>
        <v>#REF!</v>
      </c>
      <c r="J26" s="13" t="e">
        <f>SUM(基礎!#REF!)</f>
        <v>#REF!</v>
      </c>
      <c r="K26" s="13" t="e">
        <f>SUM(基礎!#REF!)</f>
        <v>#REF!</v>
      </c>
      <c r="L26" s="13" t="e">
        <f>SUM(基礎!#REF!)</f>
        <v>#REF!</v>
      </c>
      <c r="M26" s="28" t="e">
        <f>SUM(基礎!#REF!)</f>
        <v>#REF!</v>
      </c>
    </row>
    <row r="27" spans="2:14">
      <c r="B27" s="466"/>
      <c r="C27" s="12" t="s">
        <v>59</v>
      </c>
      <c r="D27" s="13" t="e">
        <f>SUM(基礎!#REF!)</f>
        <v>#REF!</v>
      </c>
      <c r="E27" s="13" t="e">
        <f>SUM(基礎!#REF!)</f>
        <v>#REF!</v>
      </c>
      <c r="F27" s="13" t="e">
        <f>SUM(基礎!#REF!)</f>
        <v>#REF!</v>
      </c>
      <c r="G27" s="13" t="e">
        <f>SUM(基礎!#REF!)</f>
        <v>#REF!</v>
      </c>
      <c r="H27" s="13" t="e">
        <f>SUM(基礎!#REF!)</f>
        <v>#REF!</v>
      </c>
      <c r="I27" s="13" t="e">
        <f>SUM(基礎!#REF!)</f>
        <v>#REF!</v>
      </c>
      <c r="J27" s="13" t="e">
        <f>SUM(基礎!#REF!)</f>
        <v>#REF!</v>
      </c>
      <c r="K27" s="13" t="e">
        <f>SUM(基礎!#REF!)</f>
        <v>#REF!</v>
      </c>
      <c r="L27" s="13" t="e">
        <f>SUM(基礎!#REF!)</f>
        <v>#REF!</v>
      </c>
      <c r="M27" s="28" t="e">
        <f>SUM(基礎!#REF!)</f>
        <v>#REF!</v>
      </c>
    </row>
    <row r="28" spans="2:14">
      <c r="B28" s="468" t="s">
        <v>62</v>
      </c>
      <c r="C28" s="469"/>
      <c r="D28" s="9" t="e">
        <f>SUM(D29:D35)</f>
        <v>#REF!</v>
      </c>
      <c r="E28" s="9" t="e">
        <f t="shared" ref="E28:N28" si="1">SUM(E29:E35)</f>
        <v>#REF!</v>
      </c>
      <c r="F28" s="9" t="e">
        <f t="shared" si="1"/>
        <v>#REF!</v>
      </c>
      <c r="G28" s="9" t="e">
        <f t="shared" si="1"/>
        <v>#REF!</v>
      </c>
      <c r="H28" s="9" t="e">
        <f t="shared" si="1"/>
        <v>#REF!</v>
      </c>
      <c r="I28" s="9" t="e">
        <f t="shared" si="1"/>
        <v>#REF!</v>
      </c>
      <c r="J28" s="9" t="e">
        <f t="shared" si="1"/>
        <v>#REF!</v>
      </c>
      <c r="K28" s="9" t="e">
        <f t="shared" si="1"/>
        <v>#REF!</v>
      </c>
      <c r="L28" s="9" t="e">
        <f t="shared" si="1"/>
        <v>#REF!</v>
      </c>
      <c r="M28" s="9" t="e">
        <f t="shared" si="1"/>
        <v>#REF!</v>
      </c>
      <c r="N28" s="9">
        <f t="shared" si="1"/>
        <v>0</v>
      </c>
    </row>
    <row r="29" spans="2:14">
      <c r="B29" s="474"/>
      <c r="C29" s="12" t="s">
        <v>64</v>
      </c>
      <c r="D29" s="13">
        <v>24000</v>
      </c>
      <c r="E29" s="13">
        <v>24000</v>
      </c>
      <c r="F29" s="13">
        <v>24000</v>
      </c>
      <c r="G29" s="13">
        <v>24000</v>
      </c>
      <c r="H29" s="13">
        <v>24000</v>
      </c>
      <c r="I29" s="13">
        <v>0</v>
      </c>
      <c r="J29" s="13">
        <v>0</v>
      </c>
      <c r="K29" s="13">
        <v>0</v>
      </c>
      <c r="L29" s="13">
        <v>0</v>
      </c>
      <c r="M29" s="28">
        <v>0</v>
      </c>
    </row>
    <row r="30" spans="2:14">
      <c r="B30" s="474"/>
      <c r="C30" s="12" t="s">
        <v>63</v>
      </c>
      <c r="D30" s="13">
        <f>SUM(基礎!D72:O72)</f>
        <v>0</v>
      </c>
      <c r="E30" s="13">
        <f>SUM(基礎!U72:AF72)</f>
        <v>0</v>
      </c>
      <c r="F30" s="13">
        <f>SUM(基礎!AL72:AW72)</f>
        <v>0</v>
      </c>
      <c r="G30" s="13">
        <f>SUM(基礎!BC72:BN72)</f>
        <v>0</v>
      </c>
      <c r="H30" s="13">
        <f>SUM(基礎!BT72:CE72)</f>
        <v>0</v>
      </c>
      <c r="I30" s="13">
        <f>SUM(基礎!CK72:CV72)</f>
        <v>1112</v>
      </c>
      <c r="J30" s="13">
        <f>SUM(基礎!DB72:DM72)</f>
        <v>0</v>
      </c>
      <c r="K30" s="13">
        <f>SUM(基礎!DS72:ED72)</f>
        <v>0</v>
      </c>
      <c r="L30" s="13">
        <f>SUM(基礎!EJ72:EU72)</f>
        <v>0</v>
      </c>
      <c r="M30" s="28">
        <f>SUM(基礎!FA72:FL72)</f>
        <v>0</v>
      </c>
    </row>
    <row r="31" spans="2:14">
      <c r="B31" s="474"/>
      <c r="C31" s="12" t="s">
        <v>65</v>
      </c>
      <c r="D31" s="13" t="e">
        <f>SUM(基礎!#REF!)</f>
        <v>#REF!</v>
      </c>
      <c r="E31" s="13" t="e">
        <f>SUM(基礎!#REF!)</f>
        <v>#REF!</v>
      </c>
      <c r="F31" s="13" t="e">
        <f>SUM(基礎!#REF!)</f>
        <v>#REF!</v>
      </c>
      <c r="G31" s="13" t="e">
        <f>SUM(基礎!#REF!)</f>
        <v>#REF!</v>
      </c>
      <c r="H31" s="13" t="e">
        <f>SUM(基礎!#REF!)</f>
        <v>#REF!</v>
      </c>
      <c r="I31" s="13" t="e">
        <f>SUM(基礎!#REF!)</f>
        <v>#REF!</v>
      </c>
      <c r="J31" s="13" t="e">
        <f>SUM(基礎!#REF!)</f>
        <v>#REF!</v>
      </c>
      <c r="K31" s="13" t="e">
        <f>SUM(基礎!#REF!)</f>
        <v>#REF!</v>
      </c>
      <c r="L31" s="13" t="e">
        <f>SUM(基礎!#REF!)</f>
        <v>#REF!</v>
      </c>
      <c r="M31" s="28" t="e">
        <f>SUM(基礎!#REF!)</f>
        <v>#REF!</v>
      </c>
    </row>
    <row r="32" spans="2:14">
      <c r="B32" s="474"/>
      <c r="C32" s="12" t="s">
        <v>66</v>
      </c>
      <c r="D32" s="13" t="e">
        <f>SUM(基礎!#REF!)</f>
        <v>#REF!</v>
      </c>
      <c r="E32" s="13" t="e">
        <f>SUM(基礎!#REF!)</f>
        <v>#REF!</v>
      </c>
      <c r="F32" s="13" t="e">
        <f>SUM(基礎!#REF!)</f>
        <v>#REF!</v>
      </c>
      <c r="G32" s="13" t="e">
        <f>SUM(基礎!#REF!)</f>
        <v>#REF!</v>
      </c>
      <c r="H32" s="13" t="e">
        <f>SUM(基礎!#REF!)</f>
        <v>#REF!</v>
      </c>
      <c r="I32" s="13" t="e">
        <f>SUM(基礎!#REF!)</f>
        <v>#REF!</v>
      </c>
      <c r="J32" s="13" t="e">
        <f>SUM(基礎!#REF!)</f>
        <v>#REF!</v>
      </c>
      <c r="K32" s="13" t="e">
        <f>SUM(基礎!#REF!)</f>
        <v>#REF!</v>
      </c>
      <c r="L32" s="13" t="e">
        <f>SUM(基礎!#REF!)</f>
        <v>#REF!</v>
      </c>
      <c r="M32" s="28" t="e">
        <f>SUM(基礎!#REF!)</f>
        <v>#REF!</v>
      </c>
    </row>
    <row r="33" spans="2:14">
      <c r="B33" s="474"/>
      <c r="C33" s="12" t="s">
        <v>105</v>
      </c>
      <c r="D33" s="13" t="e">
        <f>SUM(基礎!#REF!)</f>
        <v>#REF!</v>
      </c>
      <c r="E33" s="13" t="e">
        <f>SUM(基礎!#REF!)</f>
        <v>#REF!</v>
      </c>
      <c r="F33" s="13" t="e">
        <f>SUM(基礎!#REF!)</f>
        <v>#REF!</v>
      </c>
      <c r="G33" s="13" t="e">
        <f>SUM(基礎!#REF!)</f>
        <v>#REF!</v>
      </c>
      <c r="H33" s="13" t="e">
        <f>SUM(基礎!#REF!)</f>
        <v>#REF!</v>
      </c>
      <c r="I33" s="13" t="e">
        <f>SUM(基礎!#REF!)</f>
        <v>#REF!</v>
      </c>
      <c r="J33" s="13" t="e">
        <f>SUM(基礎!#REF!)</f>
        <v>#REF!</v>
      </c>
      <c r="K33" s="13" t="e">
        <f>SUM(基礎!#REF!)</f>
        <v>#REF!</v>
      </c>
      <c r="L33" s="13" t="e">
        <f>SUM(基礎!#REF!)</f>
        <v>#REF!</v>
      </c>
      <c r="M33" s="28" t="e">
        <f>SUM(基礎!#REF!)</f>
        <v>#REF!</v>
      </c>
    </row>
    <row r="34" spans="2:14">
      <c r="B34" s="474"/>
      <c r="C34" s="12" t="s">
        <v>104</v>
      </c>
      <c r="D34" s="13" t="e">
        <f>SUM(基礎!#REF!)</f>
        <v>#REF!</v>
      </c>
      <c r="E34" s="13" t="e">
        <f>SUM(基礎!#REF!)</f>
        <v>#REF!</v>
      </c>
      <c r="F34" s="13" t="e">
        <f>SUM(基礎!#REF!)</f>
        <v>#REF!</v>
      </c>
      <c r="G34" s="13" t="e">
        <f>SUM(基礎!#REF!)</f>
        <v>#REF!</v>
      </c>
      <c r="H34" s="13" t="e">
        <f>SUM(基礎!#REF!)</f>
        <v>#REF!</v>
      </c>
      <c r="I34" s="13" t="e">
        <f>SUM(基礎!#REF!)</f>
        <v>#REF!</v>
      </c>
      <c r="J34" s="13" t="e">
        <f>SUM(基礎!#REF!)</f>
        <v>#REF!</v>
      </c>
      <c r="K34" s="13" t="e">
        <f>SUM(基礎!#REF!)</f>
        <v>#REF!</v>
      </c>
      <c r="L34" s="13" t="e">
        <f>SUM(基礎!#REF!)</f>
        <v>#REF!</v>
      </c>
      <c r="M34" s="28" t="e">
        <f>SUM(基礎!#REF!)</f>
        <v>#REF!</v>
      </c>
    </row>
    <row r="35" spans="2:14">
      <c r="B35" s="458"/>
      <c r="C35" s="12" t="s">
        <v>59</v>
      </c>
      <c r="D35" s="13">
        <f>SUM(基礎!D73:O73)</f>
        <v>0</v>
      </c>
      <c r="E35" s="13">
        <f>SUM(基礎!U73:AF73)</f>
        <v>0</v>
      </c>
      <c r="F35" s="13">
        <f>SUM(基礎!AL73:AW73)</f>
        <v>0</v>
      </c>
      <c r="G35" s="13">
        <f>SUM(基礎!BC73:BN73)</f>
        <v>0</v>
      </c>
      <c r="H35" s="13">
        <f>SUM(基礎!BT73:CE73)</f>
        <v>0</v>
      </c>
      <c r="I35" s="13">
        <f>SUM(基礎!CK73:CV73)</f>
        <v>0</v>
      </c>
      <c r="J35" s="13">
        <f>SUM(基礎!DB73:DM73)</f>
        <v>0</v>
      </c>
      <c r="K35" s="13">
        <f>SUM(基礎!DS73:ED73)</f>
        <v>0</v>
      </c>
      <c r="L35" s="13">
        <f>SUM(基礎!EJ73:EU73)</f>
        <v>0</v>
      </c>
      <c r="M35" s="28">
        <f>SUM(基礎!FA73:FL73)</f>
        <v>0</v>
      </c>
    </row>
    <row r="36" spans="2:14">
      <c r="B36" s="475" t="s">
        <v>67</v>
      </c>
      <c r="C36" s="476"/>
      <c r="D36" s="15" t="e">
        <f>D19-D28</f>
        <v>#REF!</v>
      </c>
      <c r="E36" s="15" t="e">
        <f t="shared" ref="E36:M36" si="2">E19-E28</f>
        <v>#REF!</v>
      </c>
      <c r="F36" s="15" t="e">
        <f t="shared" si="2"/>
        <v>#REF!</v>
      </c>
      <c r="G36" s="15" t="e">
        <f t="shared" si="2"/>
        <v>#REF!</v>
      </c>
      <c r="H36" s="15" t="e">
        <f t="shared" si="2"/>
        <v>#REF!</v>
      </c>
      <c r="I36" s="15" t="e">
        <f t="shared" si="2"/>
        <v>#REF!</v>
      </c>
      <c r="J36" s="15" t="e">
        <f t="shared" si="2"/>
        <v>#REF!</v>
      </c>
      <c r="K36" s="15" t="e">
        <f t="shared" si="2"/>
        <v>#REF!</v>
      </c>
      <c r="L36" s="15" t="e">
        <f t="shared" si="2"/>
        <v>#REF!</v>
      </c>
      <c r="M36" s="30" t="e">
        <f t="shared" si="2"/>
        <v>#REF!</v>
      </c>
    </row>
    <row r="37" spans="2:14">
      <c r="B37" s="477" t="s">
        <v>96</v>
      </c>
      <c r="C37" s="478"/>
      <c r="D37" s="16" t="e">
        <f t="shared" ref="D37:M37" si="3">D18+D36</f>
        <v>#REF!</v>
      </c>
      <c r="E37" s="16" t="e">
        <f t="shared" si="3"/>
        <v>#REF!</v>
      </c>
      <c r="F37" s="16" t="e">
        <f t="shared" si="3"/>
        <v>#REF!</v>
      </c>
      <c r="G37" s="16" t="e">
        <f t="shared" si="3"/>
        <v>#REF!</v>
      </c>
      <c r="H37" s="16" t="e">
        <f t="shared" si="3"/>
        <v>#REF!</v>
      </c>
      <c r="I37" s="16" t="e">
        <f t="shared" si="3"/>
        <v>#REF!</v>
      </c>
      <c r="J37" s="16" t="e">
        <f t="shared" si="3"/>
        <v>#REF!</v>
      </c>
      <c r="K37" s="16" t="e">
        <f t="shared" si="3"/>
        <v>#REF!</v>
      </c>
      <c r="L37" s="16" t="e">
        <f t="shared" si="3"/>
        <v>#REF!</v>
      </c>
      <c r="M37" s="31" t="e">
        <f t="shared" si="3"/>
        <v>#REF!</v>
      </c>
    </row>
    <row r="38" spans="2:14">
      <c r="B38" s="479" t="s">
        <v>134</v>
      </c>
      <c r="C38" s="480"/>
      <c r="D38" s="20">
        <f>PL!D44</f>
        <v>40000</v>
      </c>
      <c r="E38" s="20">
        <f>PL!E44</f>
        <v>2707115.4000000004</v>
      </c>
      <c r="F38" s="20">
        <f>PL!F44</f>
        <v>2553539.3600000003</v>
      </c>
      <c r="G38" s="20">
        <f>PL!G44</f>
        <v>-20160</v>
      </c>
      <c r="H38" s="20">
        <f>PL!H44</f>
        <v>-25344</v>
      </c>
      <c r="I38" s="20" t="e">
        <f>PL!I44</f>
        <v>#REF!</v>
      </c>
      <c r="J38" s="20" t="e">
        <f>PL!J44</f>
        <v>#REF!</v>
      </c>
      <c r="K38" s="20" t="e">
        <f>PL!K44</f>
        <v>#REF!</v>
      </c>
      <c r="L38" s="20" t="e">
        <f>PL!L44</f>
        <v>#REF!</v>
      </c>
      <c r="M38" s="32" t="e">
        <f>PL!M44</f>
        <v>#REF!</v>
      </c>
    </row>
    <row r="39" spans="2:14">
      <c r="B39" s="477" t="s">
        <v>135</v>
      </c>
      <c r="C39" s="478"/>
      <c r="D39" s="16" t="e">
        <f>D37-D38</f>
        <v>#REF!</v>
      </c>
      <c r="E39" s="16" t="e">
        <f t="shared" ref="E39:M39" si="4">E37-E38</f>
        <v>#REF!</v>
      </c>
      <c r="F39" s="16" t="e">
        <f t="shared" si="4"/>
        <v>#REF!</v>
      </c>
      <c r="G39" s="16" t="e">
        <f t="shared" si="4"/>
        <v>#REF!</v>
      </c>
      <c r="H39" s="16" t="e">
        <f t="shared" si="4"/>
        <v>#REF!</v>
      </c>
      <c r="I39" s="16" t="e">
        <f t="shared" si="4"/>
        <v>#REF!</v>
      </c>
      <c r="J39" s="16" t="e">
        <f t="shared" si="4"/>
        <v>#REF!</v>
      </c>
      <c r="K39" s="16" t="e">
        <f t="shared" si="4"/>
        <v>#REF!</v>
      </c>
      <c r="L39" s="16" t="e">
        <f t="shared" si="4"/>
        <v>#REF!</v>
      </c>
      <c r="M39" s="31" t="e">
        <f t="shared" si="4"/>
        <v>#REF!</v>
      </c>
    </row>
    <row r="40" spans="2:14" ht="14.25" thickBot="1">
      <c r="B40" s="481" t="s">
        <v>103</v>
      </c>
      <c r="C40" s="482"/>
      <c r="D40" s="33" t="e">
        <f>D4+D39</f>
        <v>#REF!</v>
      </c>
      <c r="E40" s="33" t="e">
        <f>E4+E39</f>
        <v>#REF!</v>
      </c>
      <c r="F40" s="33" t="e">
        <f t="shared" ref="F40:M40" si="5">F4+F39</f>
        <v>#REF!</v>
      </c>
      <c r="G40" s="33" t="e">
        <f t="shared" si="5"/>
        <v>#REF!</v>
      </c>
      <c r="H40" s="33" t="e">
        <f t="shared" si="5"/>
        <v>#REF!</v>
      </c>
      <c r="I40" s="33" t="e">
        <f t="shared" si="5"/>
        <v>#REF!</v>
      </c>
      <c r="J40" s="33" t="e">
        <f t="shared" si="5"/>
        <v>#REF!</v>
      </c>
      <c r="K40" s="33" t="e">
        <f t="shared" si="5"/>
        <v>#REF!</v>
      </c>
      <c r="L40" s="33" t="e">
        <f t="shared" si="5"/>
        <v>#REF!</v>
      </c>
      <c r="M40" s="34" t="e">
        <f t="shared" si="5"/>
        <v>#REF!</v>
      </c>
    </row>
    <row r="42" spans="2:14">
      <c r="B42" s="470" t="s">
        <v>136</v>
      </c>
      <c r="C42" s="470"/>
      <c r="D42" s="21" t="e">
        <f>D37</f>
        <v>#REF!</v>
      </c>
      <c r="E42" s="21" t="e">
        <f>E37/(1+$N$42)^(E1-1)</f>
        <v>#REF!</v>
      </c>
      <c r="F42" s="21" t="e">
        <f t="shared" ref="F42:M42" si="6">F37/(1+$N$42)^(F1)</f>
        <v>#REF!</v>
      </c>
      <c r="G42" s="21" t="e">
        <f t="shared" si="6"/>
        <v>#REF!</v>
      </c>
      <c r="H42" s="21" t="e">
        <f t="shared" si="6"/>
        <v>#REF!</v>
      </c>
      <c r="I42" s="21" t="e">
        <f t="shared" si="6"/>
        <v>#REF!</v>
      </c>
      <c r="J42" s="21" t="e">
        <f t="shared" si="6"/>
        <v>#REF!</v>
      </c>
      <c r="K42" s="21" t="e">
        <f t="shared" si="6"/>
        <v>#REF!</v>
      </c>
      <c r="L42" s="21" t="e">
        <f t="shared" si="6"/>
        <v>#REF!</v>
      </c>
      <c r="M42" s="21" t="e">
        <f t="shared" si="6"/>
        <v>#REF!</v>
      </c>
      <c r="N42" s="17">
        <v>1.4999999999999999E-2</v>
      </c>
    </row>
    <row r="43" spans="2:14">
      <c r="B43" s="470" t="s">
        <v>137</v>
      </c>
      <c r="C43" s="470"/>
      <c r="D43" s="21" t="e">
        <f>D39/(1+$N$42)</f>
        <v>#REF!</v>
      </c>
      <c r="E43" s="21" t="e">
        <f>E39/(1+$N$42)^(E1)</f>
        <v>#REF!</v>
      </c>
      <c r="F43" s="21" t="e">
        <f t="shared" ref="F43:M43" si="7">F39/(1+$N$42)^(F1)</f>
        <v>#REF!</v>
      </c>
      <c r="G43" s="21" t="e">
        <f t="shared" si="7"/>
        <v>#REF!</v>
      </c>
      <c r="H43" s="21" t="e">
        <f t="shared" si="7"/>
        <v>#REF!</v>
      </c>
      <c r="I43" s="21" t="e">
        <f t="shared" si="7"/>
        <v>#REF!</v>
      </c>
      <c r="J43" s="21" t="e">
        <f t="shared" si="7"/>
        <v>#REF!</v>
      </c>
      <c r="K43" s="21" t="e">
        <f t="shared" si="7"/>
        <v>#REF!</v>
      </c>
      <c r="L43" s="21" t="e">
        <f t="shared" si="7"/>
        <v>#REF!</v>
      </c>
      <c r="M43" s="21" t="e">
        <f t="shared" si="7"/>
        <v>#REF!</v>
      </c>
      <c r="N43" s="17">
        <v>1.4999999999999999E-2</v>
      </c>
    </row>
    <row r="45" spans="2:14">
      <c r="B45" t="s">
        <v>138</v>
      </c>
    </row>
    <row r="46" spans="2:14">
      <c r="B46" s="485" t="s">
        <v>139</v>
      </c>
      <c r="C46" s="485"/>
      <c r="D46" s="485"/>
      <c r="E46" s="486" t="e">
        <f>SUM(D42:M42)</f>
        <v>#REF!</v>
      </c>
      <c r="F46" s="487"/>
    </row>
    <row r="47" spans="2:14">
      <c r="B47" s="485" t="s">
        <v>140</v>
      </c>
      <c r="C47" s="485"/>
      <c r="D47" s="485"/>
      <c r="E47" s="486" t="e">
        <f>SUM(D43:M43)</f>
        <v>#REF!</v>
      </c>
      <c r="F47" s="487"/>
    </row>
    <row r="48" spans="2:14" ht="14.25" thickBot="1"/>
    <row r="49" spans="2:10" ht="15.75" customHeight="1">
      <c r="B49" s="488"/>
      <c r="C49" s="489"/>
      <c r="D49" s="489"/>
      <c r="E49" s="489"/>
      <c r="F49" s="489"/>
      <c r="G49" s="489" t="s">
        <v>145</v>
      </c>
      <c r="H49" s="489"/>
      <c r="I49" s="489" t="s">
        <v>146</v>
      </c>
      <c r="J49" s="506"/>
    </row>
    <row r="50" spans="2:10" ht="15.75" customHeight="1">
      <c r="B50" s="507" t="s">
        <v>150</v>
      </c>
      <c r="C50" s="485"/>
      <c r="D50" s="485"/>
      <c r="E50" s="485"/>
      <c r="F50" s="485"/>
      <c r="G50" s="486" t="e">
        <f>E47</f>
        <v>#REF!</v>
      </c>
      <c r="H50" s="487"/>
      <c r="I50" s="508">
        <f>66.7%</f>
        <v>0.66700000000000004</v>
      </c>
      <c r="J50" s="509"/>
    </row>
    <row r="51" spans="2:10" ht="15.75" customHeight="1" thickBot="1">
      <c r="B51" s="510" t="s">
        <v>143</v>
      </c>
      <c r="C51" s="511"/>
      <c r="D51" s="511"/>
      <c r="E51" s="511"/>
      <c r="F51" s="511"/>
      <c r="G51" s="512">
        <v>0</v>
      </c>
      <c r="H51" s="512"/>
      <c r="I51" s="483">
        <v>0.33300000000000002</v>
      </c>
      <c r="J51" s="484"/>
    </row>
    <row r="52" spans="2:10" ht="19.5" customHeight="1" thickBot="1">
      <c r="B52" s="496" t="s">
        <v>144</v>
      </c>
      <c r="C52" s="497"/>
      <c r="D52" s="497"/>
      <c r="E52" s="497"/>
      <c r="F52" s="497"/>
      <c r="G52" s="498" t="e">
        <f>G50*I50+G51*I51</f>
        <v>#REF!</v>
      </c>
      <c r="H52" s="498"/>
      <c r="I52" s="499"/>
      <c r="J52" s="500"/>
    </row>
    <row r="53" spans="2:10" ht="15.75" customHeight="1">
      <c r="B53" s="501" t="s">
        <v>147</v>
      </c>
      <c r="C53" s="502"/>
      <c r="D53" s="502"/>
      <c r="E53" s="502"/>
      <c r="F53" s="502"/>
      <c r="G53" s="503" t="e">
        <f>G52*1.1</f>
        <v>#REF!</v>
      </c>
      <c r="H53" s="503"/>
      <c r="I53" s="504">
        <v>0.1</v>
      </c>
      <c r="J53" s="505"/>
    </row>
    <row r="54" spans="2:10" ht="15.75" customHeight="1" thickBot="1">
      <c r="B54" s="491" t="s">
        <v>148</v>
      </c>
      <c r="C54" s="492"/>
      <c r="D54" s="492"/>
      <c r="E54" s="492"/>
      <c r="F54" s="492"/>
      <c r="G54" s="493" t="e">
        <f>G52*0.9</f>
        <v>#REF!</v>
      </c>
      <c r="H54" s="493"/>
      <c r="I54" s="494">
        <v>-0.1</v>
      </c>
      <c r="J54" s="495"/>
    </row>
    <row r="55" spans="2:10">
      <c r="B55" s="35"/>
    </row>
  </sheetData>
  <mergeCells count="41">
    <mergeCell ref="B54:F54"/>
    <mergeCell ref="G54:H54"/>
    <mergeCell ref="I54:J54"/>
    <mergeCell ref="B52:F52"/>
    <mergeCell ref="G52:H52"/>
    <mergeCell ref="I52:J52"/>
    <mergeCell ref="B53:F53"/>
    <mergeCell ref="G53:H53"/>
    <mergeCell ref="I53:J53"/>
    <mergeCell ref="B51:F51"/>
    <mergeCell ref="G51:H51"/>
    <mergeCell ref="I51:J51"/>
    <mergeCell ref="B43:C43"/>
    <mergeCell ref="B46:D46"/>
    <mergeCell ref="E46:F46"/>
    <mergeCell ref="B47:D47"/>
    <mergeCell ref="E47:F47"/>
    <mergeCell ref="B49:F49"/>
    <mergeCell ref="G49:H49"/>
    <mergeCell ref="I49:J49"/>
    <mergeCell ref="B50:F50"/>
    <mergeCell ref="G50:H50"/>
    <mergeCell ref="I50:J50"/>
    <mergeCell ref="B42:C42"/>
    <mergeCell ref="B11:B17"/>
    <mergeCell ref="B18:C18"/>
    <mergeCell ref="B19:C19"/>
    <mergeCell ref="B20:B27"/>
    <mergeCell ref="B28:C28"/>
    <mergeCell ref="B29:B35"/>
    <mergeCell ref="B36:C36"/>
    <mergeCell ref="B37:C37"/>
    <mergeCell ref="B38:C38"/>
    <mergeCell ref="B39:C39"/>
    <mergeCell ref="B40:C40"/>
    <mergeCell ref="B10:C10"/>
    <mergeCell ref="B2:E2"/>
    <mergeCell ref="B3:C3"/>
    <mergeCell ref="B4:C4"/>
    <mergeCell ref="B5:C5"/>
    <mergeCell ref="B6:B9"/>
  </mergeCells>
  <phoneticPr fontId="2"/>
  <pageMargins left="0.25" right="0.25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9"/>
  <sheetViews>
    <sheetView workbookViewId="0">
      <selection activeCell="F47" sqref="F47"/>
    </sheetView>
  </sheetViews>
  <sheetFormatPr defaultColWidth="8.875" defaultRowHeight="12"/>
  <cols>
    <col min="1" max="1" width="4.5" style="191" customWidth="1"/>
    <col min="2" max="2" width="13.5" style="191" customWidth="1"/>
    <col min="3" max="3" width="9.625" style="191" customWidth="1"/>
    <col min="4" max="35" width="8.125" style="191" customWidth="1"/>
    <col min="36" max="36" width="2" style="191" customWidth="1"/>
    <col min="37" max="16384" width="8.875" style="191"/>
  </cols>
  <sheetData>
    <row r="1" spans="1:35">
      <c r="D1" s="191" t="s">
        <v>368</v>
      </c>
      <c r="H1" s="191" t="s">
        <v>72</v>
      </c>
      <c r="L1" s="191" t="s">
        <v>80</v>
      </c>
      <c r="P1" s="191" t="s">
        <v>81</v>
      </c>
      <c r="T1" s="191" t="s">
        <v>82</v>
      </c>
      <c r="X1" s="191" t="s">
        <v>106</v>
      </c>
      <c r="AB1" s="191" t="s">
        <v>107</v>
      </c>
      <c r="AF1" s="191" t="s">
        <v>111</v>
      </c>
    </row>
    <row r="2" spans="1:35">
      <c r="D2" s="192" t="s">
        <v>332</v>
      </c>
      <c r="E2" s="192"/>
      <c r="F2" s="192"/>
      <c r="G2" s="192"/>
      <c r="H2" s="192"/>
      <c r="I2" s="193" t="s">
        <v>333</v>
      </c>
      <c r="J2" s="193"/>
      <c r="K2" s="193"/>
      <c r="L2" s="193"/>
      <c r="M2" s="193"/>
      <c r="N2" s="193"/>
      <c r="O2" s="193"/>
      <c r="P2" s="194" t="s">
        <v>334</v>
      </c>
      <c r="Q2" s="195"/>
      <c r="R2" s="195"/>
      <c r="S2" s="195"/>
      <c r="T2" s="195"/>
      <c r="U2" s="195"/>
      <c r="V2" s="195"/>
      <c r="W2" s="195"/>
      <c r="X2" s="196" t="s">
        <v>335</v>
      </c>
      <c r="Y2" s="196"/>
      <c r="Z2" s="196"/>
      <c r="AA2" s="196"/>
      <c r="AB2" s="197" t="s">
        <v>336</v>
      </c>
      <c r="AC2" s="197"/>
      <c r="AD2" s="197"/>
      <c r="AE2" s="197"/>
      <c r="AF2" s="198" t="s">
        <v>337</v>
      </c>
      <c r="AG2" s="199"/>
      <c r="AH2" s="199"/>
      <c r="AI2" s="199"/>
    </row>
    <row r="3" spans="1:35" s="200" customFormat="1">
      <c r="C3" s="200" t="s">
        <v>338</v>
      </c>
      <c r="D3" s="201" t="s">
        <v>415</v>
      </c>
      <c r="E3" s="201" t="s">
        <v>340</v>
      </c>
      <c r="F3" s="201" t="s">
        <v>341</v>
      </c>
      <c r="G3" s="201" t="s">
        <v>342</v>
      </c>
      <c r="H3" s="202" t="s">
        <v>339</v>
      </c>
      <c r="I3" s="202" t="s">
        <v>340</v>
      </c>
      <c r="J3" s="202" t="s">
        <v>341</v>
      </c>
      <c r="K3" s="202" t="s">
        <v>342</v>
      </c>
      <c r="L3" s="203" t="s">
        <v>339</v>
      </c>
      <c r="M3" s="203" t="s">
        <v>340</v>
      </c>
      <c r="N3" s="203" t="s">
        <v>341</v>
      </c>
      <c r="O3" s="203" t="s">
        <v>342</v>
      </c>
      <c r="P3" s="201" t="s">
        <v>339</v>
      </c>
      <c r="Q3" s="201" t="s">
        <v>340</v>
      </c>
      <c r="R3" s="201" t="s">
        <v>341</v>
      </c>
      <c r="S3" s="201" t="s">
        <v>342</v>
      </c>
      <c r="T3" s="202" t="s">
        <v>339</v>
      </c>
      <c r="U3" s="202" t="s">
        <v>340</v>
      </c>
      <c r="V3" s="202" t="s">
        <v>341</v>
      </c>
      <c r="W3" s="202" t="s">
        <v>342</v>
      </c>
      <c r="X3" s="203" t="s">
        <v>339</v>
      </c>
      <c r="Y3" s="203" t="s">
        <v>340</v>
      </c>
      <c r="Z3" s="203" t="s">
        <v>341</v>
      </c>
      <c r="AA3" s="203" t="s">
        <v>342</v>
      </c>
      <c r="AB3" s="201" t="s">
        <v>339</v>
      </c>
      <c r="AC3" s="201" t="s">
        <v>340</v>
      </c>
      <c r="AD3" s="201" t="s">
        <v>341</v>
      </c>
      <c r="AE3" s="201" t="s">
        <v>342</v>
      </c>
      <c r="AF3" s="202" t="s">
        <v>339</v>
      </c>
      <c r="AG3" s="202" t="s">
        <v>340</v>
      </c>
      <c r="AH3" s="202" t="s">
        <v>341</v>
      </c>
      <c r="AI3" s="204" t="s">
        <v>342</v>
      </c>
    </row>
    <row r="4" spans="1:35">
      <c r="A4" s="191" t="s">
        <v>274</v>
      </c>
      <c r="B4" s="191" t="s">
        <v>343</v>
      </c>
      <c r="C4" s="261">
        <v>9000</v>
      </c>
      <c r="D4" s="261">
        <v>1</v>
      </c>
      <c r="E4" s="261">
        <v>1</v>
      </c>
      <c r="F4" s="261">
        <v>1</v>
      </c>
      <c r="G4" s="261">
        <v>2</v>
      </c>
      <c r="H4" s="261">
        <v>3</v>
      </c>
      <c r="I4" s="262">
        <v>3</v>
      </c>
      <c r="J4" s="262">
        <v>3</v>
      </c>
      <c r="K4" s="262">
        <v>3</v>
      </c>
      <c r="L4" s="262">
        <v>3</v>
      </c>
      <c r="M4" s="262">
        <v>4</v>
      </c>
      <c r="N4" s="262">
        <v>5</v>
      </c>
      <c r="O4" s="262">
        <v>6</v>
      </c>
      <c r="P4" s="262">
        <v>6</v>
      </c>
      <c r="Q4" s="262">
        <v>6</v>
      </c>
      <c r="R4" s="262">
        <v>7</v>
      </c>
      <c r="S4" s="262">
        <v>7</v>
      </c>
      <c r="T4" s="262">
        <v>7</v>
      </c>
      <c r="U4" s="262">
        <v>9</v>
      </c>
      <c r="V4" s="262">
        <v>9</v>
      </c>
      <c r="W4" s="262">
        <v>10</v>
      </c>
      <c r="X4" s="262">
        <v>10</v>
      </c>
      <c r="Y4" s="262">
        <v>12</v>
      </c>
      <c r="Z4" s="262">
        <v>14</v>
      </c>
      <c r="AA4" s="262">
        <v>16</v>
      </c>
      <c r="AB4" s="262">
        <v>18</v>
      </c>
      <c r="AC4" s="262">
        <v>20</v>
      </c>
      <c r="AD4" s="262">
        <v>22</v>
      </c>
      <c r="AE4" s="262">
        <v>24</v>
      </c>
      <c r="AF4" s="262">
        <v>26</v>
      </c>
      <c r="AG4" s="262">
        <v>28</v>
      </c>
      <c r="AH4" s="262">
        <v>30</v>
      </c>
      <c r="AI4" s="262">
        <v>31</v>
      </c>
    </row>
    <row r="5" spans="1:35">
      <c r="B5" s="191" t="s">
        <v>344</v>
      </c>
      <c r="C5" s="261">
        <v>6000</v>
      </c>
      <c r="D5" s="261">
        <v>1</v>
      </c>
      <c r="E5" s="261">
        <v>1</v>
      </c>
      <c r="F5" s="261">
        <v>1</v>
      </c>
      <c r="G5" s="261">
        <v>2</v>
      </c>
      <c r="H5" s="261">
        <v>3</v>
      </c>
      <c r="I5" s="262">
        <v>3</v>
      </c>
      <c r="J5" s="262">
        <v>3</v>
      </c>
      <c r="K5" s="262">
        <v>3</v>
      </c>
      <c r="L5" s="262">
        <v>3</v>
      </c>
      <c r="M5" s="262">
        <v>4</v>
      </c>
      <c r="N5" s="262">
        <v>5</v>
      </c>
      <c r="O5" s="262">
        <v>6</v>
      </c>
      <c r="P5" s="262">
        <v>6</v>
      </c>
      <c r="Q5" s="262">
        <v>6</v>
      </c>
      <c r="R5" s="262">
        <v>6</v>
      </c>
      <c r="S5" s="262">
        <v>7</v>
      </c>
      <c r="T5" s="262">
        <v>7</v>
      </c>
      <c r="U5" s="262">
        <v>9</v>
      </c>
      <c r="V5" s="262">
        <v>9</v>
      </c>
      <c r="W5" s="262">
        <v>10</v>
      </c>
      <c r="X5" s="262">
        <v>11</v>
      </c>
      <c r="Y5" s="262">
        <v>12</v>
      </c>
      <c r="Z5" s="262">
        <v>13</v>
      </c>
      <c r="AA5" s="262">
        <v>14</v>
      </c>
      <c r="AB5" s="262">
        <v>14</v>
      </c>
      <c r="AC5" s="262">
        <v>15</v>
      </c>
      <c r="AD5" s="262">
        <v>16</v>
      </c>
      <c r="AE5" s="262">
        <v>18</v>
      </c>
      <c r="AF5" s="262">
        <v>18</v>
      </c>
      <c r="AG5" s="262">
        <v>19</v>
      </c>
      <c r="AH5" s="262">
        <v>20</v>
      </c>
      <c r="AI5" s="262">
        <v>20</v>
      </c>
    </row>
    <row r="6" spans="1:35">
      <c r="B6" s="191" t="s">
        <v>345</v>
      </c>
      <c r="C6" s="261">
        <v>7500</v>
      </c>
      <c r="D6" s="261">
        <v>1</v>
      </c>
      <c r="E6" s="261">
        <v>1</v>
      </c>
      <c r="F6" s="261">
        <v>1</v>
      </c>
      <c r="G6" s="261">
        <v>2</v>
      </c>
      <c r="H6" s="261">
        <v>2</v>
      </c>
      <c r="I6" s="262">
        <v>2</v>
      </c>
      <c r="J6" s="262">
        <v>3</v>
      </c>
      <c r="K6" s="262">
        <v>3</v>
      </c>
      <c r="L6" s="262">
        <v>3</v>
      </c>
      <c r="M6" s="262">
        <v>4</v>
      </c>
      <c r="N6" s="262">
        <v>4</v>
      </c>
      <c r="O6" s="262">
        <v>5</v>
      </c>
      <c r="P6" s="262">
        <v>6</v>
      </c>
      <c r="Q6" s="262">
        <v>6</v>
      </c>
      <c r="R6" s="262">
        <v>6</v>
      </c>
      <c r="S6" s="262">
        <v>7</v>
      </c>
      <c r="T6" s="262">
        <v>7</v>
      </c>
      <c r="U6" s="262">
        <v>9</v>
      </c>
      <c r="V6" s="262">
        <v>9</v>
      </c>
      <c r="W6" s="262">
        <v>10</v>
      </c>
      <c r="X6" s="262">
        <v>10</v>
      </c>
      <c r="Y6" s="262">
        <v>10</v>
      </c>
      <c r="Z6" s="262">
        <v>10</v>
      </c>
      <c r="AA6" s="262">
        <v>10</v>
      </c>
      <c r="AB6" s="262">
        <v>10</v>
      </c>
      <c r="AC6" s="262">
        <v>10</v>
      </c>
      <c r="AD6" s="262">
        <v>10</v>
      </c>
      <c r="AE6" s="262">
        <v>12</v>
      </c>
      <c r="AF6" s="262">
        <v>12</v>
      </c>
      <c r="AG6" s="262">
        <v>12</v>
      </c>
      <c r="AH6" s="262">
        <v>13</v>
      </c>
      <c r="AI6" s="262">
        <v>13</v>
      </c>
    </row>
    <row r="7" spans="1:35">
      <c r="B7" s="191" t="s">
        <v>346</v>
      </c>
      <c r="C7" s="261">
        <v>6000</v>
      </c>
      <c r="D7" s="261">
        <v>1</v>
      </c>
      <c r="E7" s="261">
        <v>1</v>
      </c>
      <c r="F7" s="261">
        <v>1</v>
      </c>
      <c r="G7" s="261">
        <v>2</v>
      </c>
      <c r="H7" s="261">
        <v>2</v>
      </c>
      <c r="I7" s="262">
        <v>2</v>
      </c>
      <c r="J7" s="262">
        <v>2</v>
      </c>
      <c r="K7" s="262">
        <v>2</v>
      </c>
      <c r="L7" s="262">
        <v>2</v>
      </c>
      <c r="M7" s="262">
        <v>2</v>
      </c>
      <c r="N7" s="262">
        <v>2</v>
      </c>
      <c r="O7" s="262">
        <v>3</v>
      </c>
      <c r="P7" s="262">
        <v>3</v>
      </c>
      <c r="Q7" s="262">
        <v>3</v>
      </c>
      <c r="R7" s="262">
        <v>3</v>
      </c>
      <c r="S7" s="262">
        <v>4</v>
      </c>
      <c r="T7" s="262">
        <v>4</v>
      </c>
      <c r="U7" s="262">
        <v>4</v>
      </c>
      <c r="V7" s="262">
        <v>4</v>
      </c>
      <c r="W7" s="262">
        <v>5</v>
      </c>
      <c r="X7" s="262">
        <v>5</v>
      </c>
      <c r="Y7" s="262">
        <v>5</v>
      </c>
      <c r="Z7" s="262">
        <v>5</v>
      </c>
      <c r="AA7" s="262">
        <v>5</v>
      </c>
      <c r="AB7" s="262">
        <v>5</v>
      </c>
      <c r="AC7" s="262">
        <v>5</v>
      </c>
      <c r="AD7" s="262">
        <v>5</v>
      </c>
      <c r="AE7" s="262">
        <v>6</v>
      </c>
      <c r="AF7" s="262">
        <v>6</v>
      </c>
      <c r="AG7" s="262">
        <v>6</v>
      </c>
      <c r="AH7" s="262">
        <v>6</v>
      </c>
      <c r="AI7" s="262">
        <v>6</v>
      </c>
    </row>
    <row r="8" spans="1:35" s="205" customFormat="1">
      <c r="B8" s="205" t="s">
        <v>347</v>
      </c>
      <c r="D8" s="206">
        <f>(($C4*D4)+($C5*D5)+($C6*D6)+($C7*D7))*1</f>
        <v>28500</v>
      </c>
      <c r="E8" s="206">
        <f>(($C4*E4)+($C5*E5)+($C6*E6)+($C7*E7))*3</f>
        <v>85500</v>
      </c>
      <c r="F8" s="206">
        <f t="shared" ref="F8:AI8" si="0">(($C4*F4)+($C5*F5)+($C6*F6)+($C7*F7))*3</f>
        <v>85500</v>
      </c>
      <c r="G8" s="206">
        <f t="shared" si="0"/>
        <v>171000</v>
      </c>
      <c r="H8" s="206">
        <f t="shared" si="0"/>
        <v>216000</v>
      </c>
      <c r="I8" s="206">
        <f t="shared" si="0"/>
        <v>216000</v>
      </c>
      <c r="J8" s="206">
        <f t="shared" si="0"/>
        <v>238500</v>
      </c>
      <c r="K8" s="206">
        <f t="shared" si="0"/>
        <v>238500</v>
      </c>
      <c r="L8" s="206">
        <f t="shared" si="0"/>
        <v>238500</v>
      </c>
      <c r="M8" s="206">
        <f t="shared" si="0"/>
        <v>306000</v>
      </c>
      <c r="N8" s="206">
        <f t="shared" si="0"/>
        <v>351000</v>
      </c>
      <c r="O8" s="206">
        <f t="shared" si="0"/>
        <v>436500</v>
      </c>
      <c r="P8" s="206">
        <f t="shared" si="0"/>
        <v>459000</v>
      </c>
      <c r="Q8" s="206">
        <f t="shared" si="0"/>
        <v>459000</v>
      </c>
      <c r="R8" s="206">
        <f t="shared" si="0"/>
        <v>486000</v>
      </c>
      <c r="S8" s="206">
        <f t="shared" si="0"/>
        <v>544500</v>
      </c>
      <c r="T8" s="206">
        <f t="shared" si="0"/>
        <v>544500</v>
      </c>
      <c r="U8" s="206">
        <f t="shared" si="0"/>
        <v>679500</v>
      </c>
      <c r="V8" s="206">
        <f t="shared" si="0"/>
        <v>679500</v>
      </c>
      <c r="W8" s="206">
        <f t="shared" si="0"/>
        <v>765000</v>
      </c>
      <c r="X8" s="206">
        <f t="shared" si="0"/>
        <v>783000</v>
      </c>
      <c r="Y8" s="206">
        <f t="shared" si="0"/>
        <v>855000</v>
      </c>
      <c r="Z8" s="206">
        <f t="shared" si="0"/>
        <v>927000</v>
      </c>
      <c r="AA8" s="206">
        <f t="shared" si="0"/>
        <v>999000</v>
      </c>
      <c r="AB8" s="206">
        <f t="shared" si="0"/>
        <v>1053000</v>
      </c>
      <c r="AC8" s="206">
        <f t="shared" si="0"/>
        <v>1125000</v>
      </c>
      <c r="AD8" s="206">
        <f t="shared" si="0"/>
        <v>1197000</v>
      </c>
      <c r="AE8" s="206">
        <f t="shared" si="0"/>
        <v>1350000</v>
      </c>
      <c r="AF8" s="206">
        <f t="shared" si="0"/>
        <v>1404000</v>
      </c>
      <c r="AG8" s="206">
        <f t="shared" si="0"/>
        <v>1476000</v>
      </c>
      <c r="AH8" s="206">
        <f t="shared" si="0"/>
        <v>1570500</v>
      </c>
      <c r="AI8" s="206">
        <f t="shared" si="0"/>
        <v>1597500</v>
      </c>
    </row>
    <row r="9" spans="1:35" s="205" customFormat="1">
      <c r="B9" s="205" t="s">
        <v>348</v>
      </c>
      <c r="D9" s="207">
        <f>SUM(D4:D7)</f>
        <v>4</v>
      </c>
      <c r="E9" s="207">
        <f t="shared" ref="E9:AI9" si="1">SUM(E4:E7)</f>
        <v>4</v>
      </c>
      <c r="F9" s="207">
        <f t="shared" si="1"/>
        <v>4</v>
      </c>
      <c r="G9" s="207">
        <f t="shared" si="1"/>
        <v>8</v>
      </c>
      <c r="H9" s="207">
        <f t="shared" si="1"/>
        <v>10</v>
      </c>
      <c r="I9" s="207">
        <f t="shared" si="1"/>
        <v>10</v>
      </c>
      <c r="J9" s="207">
        <f t="shared" si="1"/>
        <v>11</v>
      </c>
      <c r="K9" s="207">
        <f t="shared" si="1"/>
        <v>11</v>
      </c>
      <c r="L9" s="207">
        <f t="shared" si="1"/>
        <v>11</v>
      </c>
      <c r="M9" s="207">
        <f t="shared" si="1"/>
        <v>14</v>
      </c>
      <c r="N9" s="207">
        <f t="shared" si="1"/>
        <v>16</v>
      </c>
      <c r="O9" s="207">
        <f t="shared" si="1"/>
        <v>20</v>
      </c>
      <c r="P9" s="207">
        <f t="shared" si="1"/>
        <v>21</v>
      </c>
      <c r="Q9" s="207">
        <f t="shared" si="1"/>
        <v>21</v>
      </c>
      <c r="R9" s="207">
        <f t="shared" si="1"/>
        <v>22</v>
      </c>
      <c r="S9" s="207">
        <f t="shared" si="1"/>
        <v>25</v>
      </c>
      <c r="T9" s="207">
        <f t="shared" si="1"/>
        <v>25</v>
      </c>
      <c r="U9" s="207">
        <f t="shared" si="1"/>
        <v>31</v>
      </c>
      <c r="V9" s="207">
        <f t="shared" si="1"/>
        <v>31</v>
      </c>
      <c r="W9" s="207">
        <f t="shared" si="1"/>
        <v>35</v>
      </c>
      <c r="X9" s="207">
        <f t="shared" si="1"/>
        <v>36</v>
      </c>
      <c r="Y9" s="207">
        <f t="shared" si="1"/>
        <v>39</v>
      </c>
      <c r="Z9" s="207">
        <f t="shared" si="1"/>
        <v>42</v>
      </c>
      <c r="AA9" s="207">
        <f t="shared" si="1"/>
        <v>45</v>
      </c>
      <c r="AB9" s="207">
        <f t="shared" si="1"/>
        <v>47</v>
      </c>
      <c r="AC9" s="207">
        <f t="shared" si="1"/>
        <v>50</v>
      </c>
      <c r="AD9" s="207">
        <f t="shared" si="1"/>
        <v>53</v>
      </c>
      <c r="AE9" s="207">
        <f t="shared" si="1"/>
        <v>60</v>
      </c>
      <c r="AF9" s="207">
        <f t="shared" si="1"/>
        <v>62</v>
      </c>
      <c r="AG9" s="207">
        <f t="shared" si="1"/>
        <v>65</v>
      </c>
      <c r="AH9" s="207">
        <f t="shared" si="1"/>
        <v>69</v>
      </c>
      <c r="AI9" s="207">
        <f t="shared" si="1"/>
        <v>70</v>
      </c>
    </row>
    <row r="11" spans="1:35">
      <c r="A11" s="191" t="s">
        <v>275</v>
      </c>
      <c r="B11" s="191" t="s">
        <v>343</v>
      </c>
      <c r="C11" s="261">
        <f>9000</f>
        <v>9000</v>
      </c>
      <c r="D11" s="261"/>
      <c r="E11" s="261">
        <v>1</v>
      </c>
      <c r="F11" s="261">
        <v>2</v>
      </c>
      <c r="G11" s="261">
        <v>2</v>
      </c>
      <c r="H11" s="261">
        <v>3</v>
      </c>
      <c r="I11" s="261">
        <v>4</v>
      </c>
      <c r="J11" s="261">
        <v>4</v>
      </c>
      <c r="K11" s="261">
        <v>6</v>
      </c>
      <c r="L11" s="261">
        <v>6</v>
      </c>
      <c r="M11" s="261">
        <v>9</v>
      </c>
      <c r="N11" s="261">
        <v>9</v>
      </c>
      <c r="O11" s="261">
        <v>12</v>
      </c>
      <c r="P11" s="261">
        <v>14</v>
      </c>
      <c r="Q11" s="261">
        <v>16</v>
      </c>
      <c r="R11" s="261">
        <v>18</v>
      </c>
      <c r="S11" s="261">
        <v>20</v>
      </c>
      <c r="T11" s="261">
        <v>22</v>
      </c>
      <c r="U11" s="261">
        <v>24</v>
      </c>
      <c r="V11" s="261">
        <v>26</v>
      </c>
      <c r="W11" s="261">
        <v>28</v>
      </c>
      <c r="X11" s="261">
        <v>31</v>
      </c>
      <c r="Y11" s="261">
        <v>34</v>
      </c>
      <c r="Z11" s="261">
        <v>37</v>
      </c>
      <c r="AA11" s="261">
        <v>40</v>
      </c>
      <c r="AB11" s="261">
        <v>43</v>
      </c>
      <c r="AC11" s="261">
        <v>46</v>
      </c>
      <c r="AD11" s="261">
        <v>49</v>
      </c>
      <c r="AE11" s="261">
        <v>54</v>
      </c>
      <c r="AF11" s="261">
        <v>55</v>
      </c>
      <c r="AG11" s="261">
        <v>58</v>
      </c>
      <c r="AH11" s="261">
        <v>61</v>
      </c>
      <c r="AI11" s="261">
        <v>64</v>
      </c>
    </row>
    <row r="12" spans="1:35">
      <c r="B12" s="191" t="s">
        <v>344</v>
      </c>
      <c r="C12" s="261">
        <f>6000</f>
        <v>6000</v>
      </c>
      <c r="D12" s="261"/>
      <c r="E12" s="261">
        <v>1</v>
      </c>
      <c r="F12" s="261">
        <v>1</v>
      </c>
      <c r="G12" s="261">
        <v>2</v>
      </c>
      <c r="H12" s="261">
        <v>2</v>
      </c>
      <c r="I12" s="261">
        <v>4</v>
      </c>
      <c r="J12" s="261">
        <v>4</v>
      </c>
      <c r="K12" s="261">
        <v>6</v>
      </c>
      <c r="L12" s="261">
        <v>6</v>
      </c>
      <c r="M12" s="261">
        <v>9</v>
      </c>
      <c r="N12" s="261">
        <v>9</v>
      </c>
      <c r="O12" s="261">
        <v>12</v>
      </c>
      <c r="P12" s="261">
        <v>14</v>
      </c>
      <c r="Q12" s="261">
        <v>16</v>
      </c>
      <c r="R12" s="261">
        <v>18</v>
      </c>
      <c r="S12" s="261">
        <v>20</v>
      </c>
      <c r="T12" s="261">
        <v>22</v>
      </c>
      <c r="U12" s="261">
        <v>24</v>
      </c>
      <c r="V12" s="261">
        <v>26</v>
      </c>
      <c r="W12" s="261">
        <v>28</v>
      </c>
      <c r="X12" s="261">
        <v>31</v>
      </c>
      <c r="Y12" s="261">
        <v>34</v>
      </c>
      <c r="Z12" s="261">
        <v>37</v>
      </c>
      <c r="AA12" s="261">
        <v>42</v>
      </c>
      <c r="AB12" s="261">
        <v>43</v>
      </c>
      <c r="AC12" s="261">
        <v>46</v>
      </c>
      <c r="AD12" s="261">
        <v>49</v>
      </c>
      <c r="AE12" s="261">
        <v>54</v>
      </c>
      <c r="AF12" s="261">
        <v>55</v>
      </c>
      <c r="AG12" s="261">
        <v>58</v>
      </c>
      <c r="AH12" s="261">
        <v>61</v>
      </c>
      <c r="AI12" s="261">
        <v>64</v>
      </c>
    </row>
    <row r="13" spans="1:35">
      <c r="B13" s="191" t="s">
        <v>345</v>
      </c>
      <c r="C13" s="261">
        <f>7500</f>
        <v>7500</v>
      </c>
      <c r="D13" s="261"/>
      <c r="E13" s="261">
        <v>1</v>
      </c>
      <c r="F13" s="261">
        <v>1</v>
      </c>
      <c r="G13" s="261">
        <v>2</v>
      </c>
      <c r="H13" s="261">
        <v>2</v>
      </c>
      <c r="I13" s="261">
        <v>4</v>
      </c>
      <c r="J13" s="261">
        <v>4</v>
      </c>
      <c r="K13" s="261">
        <v>6</v>
      </c>
      <c r="L13" s="261">
        <v>6</v>
      </c>
      <c r="M13" s="261">
        <v>9</v>
      </c>
      <c r="N13" s="261">
        <v>9</v>
      </c>
      <c r="O13" s="261">
        <v>12</v>
      </c>
      <c r="P13" s="261">
        <v>14</v>
      </c>
      <c r="Q13" s="261">
        <v>16</v>
      </c>
      <c r="R13" s="261">
        <v>18</v>
      </c>
      <c r="S13" s="261">
        <v>20</v>
      </c>
      <c r="T13" s="261">
        <v>22</v>
      </c>
      <c r="U13" s="261">
        <v>24</v>
      </c>
      <c r="V13" s="261">
        <v>26</v>
      </c>
      <c r="W13" s="261">
        <v>28</v>
      </c>
      <c r="X13" s="261">
        <v>31</v>
      </c>
      <c r="Y13" s="261">
        <v>34</v>
      </c>
      <c r="Z13" s="261">
        <v>37</v>
      </c>
      <c r="AA13" s="261">
        <v>40</v>
      </c>
      <c r="AB13" s="261">
        <v>43</v>
      </c>
      <c r="AC13" s="261">
        <v>46</v>
      </c>
      <c r="AD13" s="261">
        <v>49</v>
      </c>
      <c r="AE13" s="261">
        <v>52</v>
      </c>
      <c r="AF13" s="261">
        <v>55</v>
      </c>
      <c r="AG13" s="261">
        <v>58</v>
      </c>
      <c r="AH13" s="261">
        <v>61</v>
      </c>
      <c r="AI13" s="261">
        <v>64</v>
      </c>
    </row>
    <row r="14" spans="1:35">
      <c r="B14" s="191" t="s">
        <v>346</v>
      </c>
      <c r="C14" s="261">
        <f>6000</f>
        <v>6000</v>
      </c>
      <c r="D14" s="261"/>
      <c r="E14" s="261">
        <v>1</v>
      </c>
      <c r="F14" s="261">
        <v>2</v>
      </c>
      <c r="G14" s="261">
        <v>2</v>
      </c>
      <c r="H14" s="261">
        <v>2</v>
      </c>
      <c r="I14" s="261">
        <v>2</v>
      </c>
      <c r="J14" s="261">
        <v>2</v>
      </c>
      <c r="K14" s="261">
        <v>3</v>
      </c>
      <c r="L14" s="261">
        <v>3</v>
      </c>
      <c r="M14" s="261">
        <v>3</v>
      </c>
      <c r="N14" s="261">
        <v>4</v>
      </c>
      <c r="O14" s="261">
        <v>4</v>
      </c>
      <c r="P14" s="261">
        <v>4</v>
      </c>
      <c r="Q14" s="261">
        <v>4</v>
      </c>
      <c r="R14" s="261">
        <v>4</v>
      </c>
      <c r="S14" s="261">
        <v>5</v>
      </c>
      <c r="T14" s="261">
        <v>5</v>
      </c>
      <c r="U14" s="261">
        <v>5</v>
      </c>
      <c r="V14" s="261">
        <v>5</v>
      </c>
      <c r="W14" s="261">
        <v>6</v>
      </c>
      <c r="X14" s="261">
        <v>6</v>
      </c>
      <c r="Y14" s="261">
        <v>6</v>
      </c>
      <c r="Z14" s="261">
        <v>6</v>
      </c>
      <c r="AA14" s="261">
        <v>8</v>
      </c>
      <c r="AB14" s="261">
        <v>8</v>
      </c>
      <c r="AC14" s="261">
        <v>10</v>
      </c>
      <c r="AD14" s="261">
        <v>10</v>
      </c>
      <c r="AE14" s="261">
        <v>10</v>
      </c>
      <c r="AF14" s="261">
        <v>12</v>
      </c>
      <c r="AG14" s="261">
        <v>12</v>
      </c>
      <c r="AH14" s="261">
        <v>12</v>
      </c>
      <c r="AI14" s="261">
        <v>13</v>
      </c>
    </row>
    <row r="15" spans="1:35" s="205" customFormat="1">
      <c r="B15" s="205" t="s">
        <v>349</v>
      </c>
      <c r="D15" s="205">
        <f>(($C11*D11)+($C12*D12)+($C13*D13)+($C14*D14))*3</f>
        <v>0</v>
      </c>
      <c r="E15" s="205">
        <f>(($C11*E11)+($C12*E12)+($C13*E13)+($C14*E14))*3</f>
        <v>85500</v>
      </c>
      <c r="F15" s="205">
        <f t="shared" ref="F15:AI15" si="2">(($C11*F11)+($C12*F12)+($C13*F13)+($C14*F14))*3</f>
        <v>130500</v>
      </c>
      <c r="G15" s="205">
        <f t="shared" si="2"/>
        <v>171000</v>
      </c>
      <c r="H15" s="205">
        <f t="shared" si="2"/>
        <v>198000</v>
      </c>
      <c r="I15" s="205">
        <f t="shared" si="2"/>
        <v>306000</v>
      </c>
      <c r="J15" s="205">
        <f t="shared" si="2"/>
        <v>306000</v>
      </c>
      <c r="K15" s="205">
        <f t="shared" si="2"/>
        <v>459000</v>
      </c>
      <c r="L15" s="205">
        <f t="shared" si="2"/>
        <v>459000</v>
      </c>
      <c r="M15" s="205">
        <f t="shared" si="2"/>
        <v>661500</v>
      </c>
      <c r="N15" s="205">
        <f t="shared" si="2"/>
        <v>679500</v>
      </c>
      <c r="O15" s="205">
        <f t="shared" si="2"/>
        <v>882000</v>
      </c>
      <c r="P15" s="205">
        <f t="shared" si="2"/>
        <v>1017000</v>
      </c>
      <c r="Q15" s="205">
        <f t="shared" si="2"/>
        <v>1152000</v>
      </c>
      <c r="R15" s="205">
        <f t="shared" si="2"/>
        <v>1287000</v>
      </c>
      <c r="S15" s="205">
        <f t="shared" si="2"/>
        <v>1440000</v>
      </c>
      <c r="T15" s="205">
        <f t="shared" si="2"/>
        <v>1575000</v>
      </c>
      <c r="U15" s="205">
        <f t="shared" si="2"/>
        <v>1710000</v>
      </c>
      <c r="V15" s="205">
        <f t="shared" si="2"/>
        <v>1845000</v>
      </c>
      <c r="W15" s="205">
        <f t="shared" si="2"/>
        <v>1998000</v>
      </c>
      <c r="X15" s="205">
        <f t="shared" si="2"/>
        <v>2200500</v>
      </c>
      <c r="Y15" s="205">
        <f t="shared" si="2"/>
        <v>2403000</v>
      </c>
      <c r="Z15" s="205">
        <f t="shared" si="2"/>
        <v>2605500</v>
      </c>
      <c r="AA15" s="205">
        <f t="shared" si="2"/>
        <v>2880000</v>
      </c>
      <c r="AB15" s="205">
        <f t="shared" si="2"/>
        <v>3046500</v>
      </c>
      <c r="AC15" s="205">
        <f t="shared" si="2"/>
        <v>3285000</v>
      </c>
      <c r="AD15" s="205">
        <f t="shared" si="2"/>
        <v>3487500</v>
      </c>
      <c r="AE15" s="205">
        <f t="shared" si="2"/>
        <v>3780000</v>
      </c>
      <c r="AF15" s="205">
        <f t="shared" si="2"/>
        <v>3928500</v>
      </c>
      <c r="AG15" s="205">
        <f t="shared" si="2"/>
        <v>4131000</v>
      </c>
      <c r="AH15" s="205">
        <f t="shared" si="2"/>
        <v>4333500</v>
      </c>
      <c r="AI15" s="205">
        <f t="shared" si="2"/>
        <v>4554000</v>
      </c>
    </row>
    <row r="16" spans="1:35" s="205" customFormat="1">
      <c r="B16" s="205" t="s">
        <v>350</v>
      </c>
      <c r="D16" s="208">
        <f>D15*0.06</f>
        <v>0</v>
      </c>
      <c r="E16" s="208">
        <f t="shared" ref="E16:AI16" si="3">E15*0.06</f>
        <v>5130</v>
      </c>
      <c r="F16" s="208">
        <f t="shared" si="3"/>
        <v>7830</v>
      </c>
      <c r="G16" s="208">
        <f t="shared" si="3"/>
        <v>10260</v>
      </c>
      <c r="H16" s="208">
        <f t="shared" si="3"/>
        <v>11880</v>
      </c>
      <c r="I16" s="208">
        <f t="shared" si="3"/>
        <v>18360</v>
      </c>
      <c r="J16" s="208">
        <f t="shared" si="3"/>
        <v>18360</v>
      </c>
      <c r="K16" s="208">
        <f t="shared" si="3"/>
        <v>27540</v>
      </c>
      <c r="L16" s="208">
        <f t="shared" si="3"/>
        <v>27540</v>
      </c>
      <c r="M16" s="208">
        <f t="shared" si="3"/>
        <v>39690</v>
      </c>
      <c r="N16" s="208">
        <f t="shared" si="3"/>
        <v>40770</v>
      </c>
      <c r="O16" s="208">
        <f t="shared" si="3"/>
        <v>52920</v>
      </c>
      <c r="P16" s="208">
        <f t="shared" si="3"/>
        <v>61020</v>
      </c>
      <c r="Q16" s="208">
        <f t="shared" si="3"/>
        <v>69120</v>
      </c>
      <c r="R16" s="208">
        <f t="shared" si="3"/>
        <v>77220</v>
      </c>
      <c r="S16" s="208">
        <f t="shared" si="3"/>
        <v>86400</v>
      </c>
      <c r="T16" s="208">
        <f t="shared" si="3"/>
        <v>94500</v>
      </c>
      <c r="U16" s="208">
        <f t="shared" si="3"/>
        <v>102600</v>
      </c>
      <c r="V16" s="208">
        <f t="shared" si="3"/>
        <v>110700</v>
      </c>
      <c r="W16" s="208">
        <f t="shared" si="3"/>
        <v>119880</v>
      </c>
      <c r="X16" s="208">
        <f t="shared" si="3"/>
        <v>132030</v>
      </c>
      <c r="Y16" s="208">
        <f t="shared" si="3"/>
        <v>144180</v>
      </c>
      <c r="Z16" s="208">
        <f t="shared" si="3"/>
        <v>156330</v>
      </c>
      <c r="AA16" s="208">
        <f t="shared" si="3"/>
        <v>172800</v>
      </c>
      <c r="AB16" s="208">
        <f t="shared" si="3"/>
        <v>182790</v>
      </c>
      <c r="AC16" s="208">
        <f t="shared" si="3"/>
        <v>197100</v>
      </c>
      <c r="AD16" s="208">
        <f t="shared" si="3"/>
        <v>209250</v>
      </c>
      <c r="AE16" s="208">
        <f t="shared" si="3"/>
        <v>226800</v>
      </c>
      <c r="AF16" s="208">
        <f t="shared" si="3"/>
        <v>235710</v>
      </c>
      <c r="AG16" s="208">
        <f t="shared" si="3"/>
        <v>247860</v>
      </c>
      <c r="AH16" s="208">
        <f t="shared" si="3"/>
        <v>260010</v>
      </c>
      <c r="AI16" s="208">
        <f t="shared" si="3"/>
        <v>273240</v>
      </c>
    </row>
    <row r="17" spans="2:36">
      <c r="B17" s="191" t="s">
        <v>351</v>
      </c>
      <c r="D17" s="209">
        <f>SUM(D11:D14)</f>
        <v>0</v>
      </c>
      <c r="E17" s="209">
        <f t="shared" ref="E17:AI17" si="4">SUM(E11:E14)</f>
        <v>4</v>
      </c>
      <c r="F17" s="209">
        <f t="shared" si="4"/>
        <v>6</v>
      </c>
      <c r="G17" s="209">
        <f t="shared" si="4"/>
        <v>8</v>
      </c>
      <c r="H17" s="209">
        <f t="shared" si="4"/>
        <v>9</v>
      </c>
      <c r="I17" s="209">
        <f t="shared" si="4"/>
        <v>14</v>
      </c>
      <c r="J17" s="209">
        <f t="shared" si="4"/>
        <v>14</v>
      </c>
      <c r="K17" s="209">
        <f t="shared" si="4"/>
        <v>21</v>
      </c>
      <c r="L17" s="209">
        <f t="shared" si="4"/>
        <v>21</v>
      </c>
      <c r="M17" s="209">
        <f t="shared" si="4"/>
        <v>30</v>
      </c>
      <c r="N17" s="209">
        <f t="shared" si="4"/>
        <v>31</v>
      </c>
      <c r="O17" s="209">
        <f t="shared" si="4"/>
        <v>40</v>
      </c>
      <c r="P17" s="209">
        <f t="shared" si="4"/>
        <v>46</v>
      </c>
      <c r="Q17" s="209">
        <f t="shared" si="4"/>
        <v>52</v>
      </c>
      <c r="R17" s="209">
        <f t="shared" si="4"/>
        <v>58</v>
      </c>
      <c r="S17" s="209">
        <f t="shared" si="4"/>
        <v>65</v>
      </c>
      <c r="T17" s="209">
        <f t="shared" si="4"/>
        <v>71</v>
      </c>
      <c r="U17" s="209">
        <f t="shared" si="4"/>
        <v>77</v>
      </c>
      <c r="V17" s="209">
        <f t="shared" si="4"/>
        <v>83</v>
      </c>
      <c r="W17" s="209">
        <f t="shared" si="4"/>
        <v>90</v>
      </c>
      <c r="X17" s="209">
        <f t="shared" si="4"/>
        <v>99</v>
      </c>
      <c r="Y17" s="209">
        <f t="shared" si="4"/>
        <v>108</v>
      </c>
      <c r="Z17" s="209">
        <f t="shared" si="4"/>
        <v>117</v>
      </c>
      <c r="AA17" s="209">
        <f t="shared" si="4"/>
        <v>130</v>
      </c>
      <c r="AB17" s="209">
        <f t="shared" si="4"/>
        <v>137</v>
      </c>
      <c r="AC17" s="209">
        <f t="shared" si="4"/>
        <v>148</v>
      </c>
      <c r="AD17" s="209">
        <f t="shared" si="4"/>
        <v>157</v>
      </c>
      <c r="AE17" s="209">
        <f t="shared" si="4"/>
        <v>170</v>
      </c>
      <c r="AF17" s="209">
        <f t="shared" si="4"/>
        <v>177</v>
      </c>
      <c r="AG17" s="209">
        <f t="shared" si="4"/>
        <v>186</v>
      </c>
      <c r="AH17" s="209">
        <f t="shared" si="4"/>
        <v>195</v>
      </c>
      <c r="AI17" s="209">
        <f t="shared" si="4"/>
        <v>205</v>
      </c>
    </row>
    <row r="19" spans="2:36">
      <c r="B19" s="191" t="s">
        <v>352</v>
      </c>
      <c r="D19" s="210">
        <f>D9+D17</f>
        <v>4</v>
      </c>
      <c r="E19" s="210">
        <f t="shared" ref="E19:AI19" si="5">E9+E17</f>
        <v>8</v>
      </c>
      <c r="F19" s="210">
        <f t="shared" si="5"/>
        <v>10</v>
      </c>
      <c r="G19" s="210">
        <f t="shared" si="5"/>
        <v>16</v>
      </c>
      <c r="H19" s="210">
        <f t="shared" si="5"/>
        <v>19</v>
      </c>
      <c r="I19" s="210">
        <f t="shared" si="5"/>
        <v>24</v>
      </c>
      <c r="J19" s="210">
        <f t="shared" si="5"/>
        <v>25</v>
      </c>
      <c r="K19" s="210">
        <f t="shared" si="5"/>
        <v>32</v>
      </c>
      <c r="L19" s="210">
        <f t="shared" si="5"/>
        <v>32</v>
      </c>
      <c r="M19" s="210">
        <f t="shared" si="5"/>
        <v>44</v>
      </c>
      <c r="N19" s="210">
        <f t="shared" si="5"/>
        <v>47</v>
      </c>
      <c r="O19" s="210">
        <f t="shared" si="5"/>
        <v>60</v>
      </c>
      <c r="P19" s="210">
        <f t="shared" si="5"/>
        <v>67</v>
      </c>
      <c r="Q19" s="210">
        <f t="shared" si="5"/>
        <v>73</v>
      </c>
      <c r="R19" s="210">
        <f t="shared" si="5"/>
        <v>80</v>
      </c>
      <c r="S19" s="210">
        <f t="shared" si="5"/>
        <v>90</v>
      </c>
      <c r="T19" s="210">
        <f t="shared" si="5"/>
        <v>96</v>
      </c>
      <c r="U19" s="210">
        <f t="shared" si="5"/>
        <v>108</v>
      </c>
      <c r="V19" s="210">
        <f t="shared" si="5"/>
        <v>114</v>
      </c>
      <c r="W19" s="210">
        <f t="shared" si="5"/>
        <v>125</v>
      </c>
      <c r="X19" s="210">
        <f t="shared" si="5"/>
        <v>135</v>
      </c>
      <c r="Y19" s="210">
        <f t="shared" si="5"/>
        <v>147</v>
      </c>
      <c r="Z19" s="210">
        <f t="shared" si="5"/>
        <v>159</v>
      </c>
      <c r="AA19" s="210">
        <f t="shared" si="5"/>
        <v>175</v>
      </c>
      <c r="AB19" s="210">
        <f t="shared" si="5"/>
        <v>184</v>
      </c>
      <c r="AC19" s="210">
        <f t="shared" si="5"/>
        <v>198</v>
      </c>
      <c r="AD19" s="210">
        <f t="shared" si="5"/>
        <v>210</v>
      </c>
      <c r="AE19" s="210">
        <f t="shared" si="5"/>
        <v>230</v>
      </c>
      <c r="AF19" s="210">
        <f t="shared" si="5"/>
        <v>239</v>
      </c>
      <c r="AG19" s="210">
        <f t="shared" si="5"/>
        <v>251</v>
      </c>
      <c r="AH19" s="210">
        <f t="shared" si="5"/>
        <v>264</v>
      </c>
      <c r="AI19" s="210">
        <f t="shared" si="5"/>
        <v>275</v>
      </c>
    </row>
    <row r="20" spans="2:36">
      <c r="B20" s="191" t="s">
        <v>353</v>
      </c>
      <c r="D20" s="211">
        <f>D8+D16</f>
        <v>28500</v>
      </c>
      <c r="E20" s="211">
        <f t="shared" ref="E20:AI20" si="6">E8+E16</f>
        <v>90630</v>
      </c>
      <c r="F20" s="211">
        <f t="shared" si="6"/>
        <v>93330</v>
      </c>
      <c r="G20" s="211">
        <f t="shared" si="6"/>
        <v>181260</v>
      </c>
      <c r="H20" s="211">
        <f t="shared" si="6"/>
        <v>227880</v>
      </c>
      <c r="I20" s="211">
        <f t="shared" si="6"/>
        <v>234360</v>
      </c>
      <c r="J20" s="211">
        <f t="shared" si="6"/>
        <v>256860</v>
      </c>
      <c r="K20" s="211">
        <f t="shared" si="6"/>
        <v>266040</v>
      </c>
      <c r="L20" s="211">
        <f t="shared" si="6"/>
        <v>266040</v>
      </c>
      <c r="M20" s="211">
        <f t="shared" si="6"/>
        <v>345690</v>
      </c>
      <c r="N20" s="211">
        <f t="shared" si="6"/>
        <v>391770</v>
      </c>
      <c r="O20" s="211">
        <f t="shared" si="6"/>
        <v>489420</v>
      </c>
      <c r="P20" s="211">
        <f t="shared" si="6"/>
        <v>520020</v>
      </c>
      <c r="Q20" s="211">
        <f t="shared" si="6"/>
        <v>528120</v>
      </c>
      <c r="R20" s="211">
        <f t="shared" si="6"/>
        <v>563220</v>
      </c>
      <c r="S20" s="211">
        <f t="shared" si="6"/>
        <v>630900</v>
      </c>
      <c r="T20" s="211">
        <f t="shared" si="6"/>
        <v>639000</v>
      </c>
      <c r="U20" s="211">
        <f t="shared" si="6"/>
        <v>782100</v>
      </c>
      <c r="V20" s="211">
        <f t="shared" si="6"/>
        <v>790200</v>
      </c>
      <c r="W20" s="211">
        <f t="shared" si="6"/>
        <v>884880</v>
      </c>
      <c r="X20" s="211">
        <f t="shared" si="6"/>
        <v>915030</v>
      </c>
      <c r="Y20" s="211">
        <f t="shared" si="6"/>
        <v>999180</v>
      </c>
      <c r="Z20" s="211">
        <f t="shared" si="6"/>
        <v>1083330</v>
      </c>
      <c r="AA20" s="211">
        <f t="shared" si="6"/>
        <v>1171800</v>
      </c>
      <c r="AB20" s="211">
        <f t="shared" si="6"/>
        <v>1235790</v>
      </c>
      <c r="AC20" s="211">
        <f t="shared" si="6"/>
        <v>1322100</v>
      </c>
      <c r="AD20" s="211">
        <f t="shared" si="6"/>
        <v>1406250</v>
      </c>
      <c r="AE20" s="211">
        <f t="shared" si="6"/>
        <v>1576800</v>
      </c>
      <c r="AF20" s="211">
        <f t="shared" si="6"/>
        <v>1639710</v>
      </c>
      <c r="AG20" s="211">
        <f t="shared" si="6"/>
        <v>1723860</v>
      </c>
      <c r="AH20" s="211">
        <f t="shared" si="6"/>
        <v>1830510</v>
      </c>
      <c r="AI20" s="211">
        <f t="shared" si="6"/>
        <v>1870740</v>
      </c>
    </row>
    <row r="21" spans="2:36">
      <c r="B21" s="191" t="s">
        <v>354</v>
      </c>
      <c r="G21" s="205">
        <f>SUM(D20:G20)</f>
        <v>393720</v>
      </c>
      <c r="K21" s="205">
        <f>SUM(H20:K20)</f>
        <v>985140</v>
      </c>
      <c r="O21" s="205">
        <f>SUM(L20:O20)</f>
        <v>1492920</v>
      </c>
      <c r="S21" s="205">
        <f>SUM(P20:S20)</f>
        <v>2242260</v>
      </c>
      <c r="W21" s="205">
        <f>SUM(T20:W20)</f>
        <v>3096180</v>
      </c>
      <c r="AA21" s="205">
        <f>SUM(X20:AA20)</f>
        <v>4169340</v>
      </c>
      <c r="AE21" s="205">
        <f>SUM(AB20:AE20)</f>
        <v>5540940</v>
      </c>
      <c r="AI21" s="205">
        <f>SUM(AF20:AI20)</f>
        <v>7064820</v>
      </c>
    </row>
    <row r="22" spans="2:36">
      <c r="B22" s="191" t="s">
        <v>355</v>
      </c>
      <c r="K22" s="212">
        <f>K21/G21</f>
        <v>2.5021334958854009</v>
      </c>
      <c r="O22" s="212">
        <f>O21/K21</f>
        <v>1.515439429928741</v>
      </c>
      <c r="S22" s="212">
        <f>S21/O21</f>
        <v>1.5019291053773813</v>
      </c>
      <c r="W22" s="212">
        <f>W21/S21</f>
        <v>1.3808300553905435</v>
      </c>
      <c r="AA22" s="212">
        <f>AA21/W21</f>
        <v>1.3466077553630602</v>
      </c>
      <c r="AE22" s="212">
        <f>AE21/AA21</f>
        <v>1.3289729309674914</v>
      </c>
      <c r="AI22" s="212">
        <f>AI21/AE21</f>
        <v>1.27502192768736</v>
      </c>
    </row>
    <row r="23" spans="2:36" s="213" customFormat="1" ht="11.25">
      <c r="K23" s="213" t="s">
        <v>356</v>
      </c>
      <c r="O23" s="213" t="s">
        <v>357</v>
      </c>
      <c r="S23" s="213" t="s">
        <v>358</v>
      </c>
      <c r="AI23" s="213" t="s">
        <v>359</v>
      </c>
    </row>
    <row r="24" spans="2:36" ht="12.75" thickBot="1">
      <c r="W24" s="213" t="s">
        <v>360</v>
      </c>
    </row>
    <row r="25" spans="2:36">
      <c r="U25" s="214" t="s">
        <v>361</v>
      </c>
      <c r="V25" s="215"/>
      <c r="W25" s="215"/>
      <c r="X25" s="215"/>
      <c r="Y25" s="215"/>
      <c r="Z25" s="215"/>
      <c r="AA25" s="215"/>
      <c r="AB25" s="215"/>
      <c r="AC25" s="215"/>
      <c r="AD25" s="215"/>
      <c r="AE25" s="215"/>
      <c r="AF25" s="215"/>
      <c r="AG25" s="215"/>
      <c r="AH25" s="215"/>
      <c r="AI25" s="215"/>
      <c r="AJ25" s="216"/>
    </row>
    <row r="26" spans="2:36">
      <c r="U26" s="217"/>
      <c r="V26" s="218"/>
      <c r="W26" s="218"/>
      <c r="X26" s="219" t="s">
        <v>335</v>
      </c>
      <c r="Y26" s="219"/>
      <c r="Z26" s="219"/>
      <c r="AA26" s="219"/>
      <c r="AB26" s="220" t="s">
        <v>336</v>
      </c>
      <c r="AC26" s="220"/>
      <c r="AD26" s="220"/>
      <c r="AE26" s="220"/>
      <c r="AF26" s="220"/>
      <c r="AG26" s="221"/>
      <c r="AH26" s="221"/>
      <c r="AI26" s="221"/>
      <c r="AJ26" s="222"/>
    </row>
    <row r="27" spans="2:36">
      <c r="U27" s="223"/>
      <c r="V27" s="224"/>
      <c r="W27" s="224" t="s">
        <v>338</v>
      </c>
      <c r="X27" s="225" t="s">
        <v>339</v>
      </c>
      <c r="Y27" s="225" t="s">
        <v>340</v>
      </c>
      <c r="Z27" s="225" t="s">
        <v>341</v>
      </c>
      <c r="AA27" s="225" t="s">
        <v>342</v>
      </c>
      <c r="AB27" s="226" t="s">
        <v>339</v>
      </c>
      <c r="AC27" s="226" t="s">
        <v>340</v>
      </c>
      <c r="AD27" s="226" t="s">
        <v>341</v>
      </c>
      <c r="AE27" s="226" t="s">
        <v>342</v>
      </c>
      <c r="AF27" s="227" t="s">
        <v>339</v>
      </c>
      <c r="AG27" s="227" t="s">
        <v>340</v>
      </c>
      <c r="AH27" s="227" t="s">
        <v>341</v>
      </c>
      <c r="AI27" s="228" t="s">
        <v>342</v>
      </c>
      <c r="AJ27" s="222"/>
    </row>
    <row r="28" spans="2:36">
      <c r="U28" s="217" t="s">
        <v>274</v>
      </c>
      <c r="V28" s="218" t="s">
        <v>343</v>
      </c>
      <c r="W28" s="218">
        <v>500</v>
      </c>
      <c r="X28" s="229">
        <v>3</v>
      </c>
      <c r="Y28" s="229">
        <v>3</v>
      </c>
      <c r="Z28" s="229">
        <v>3</v>
      </c>
      <c r="AA28" s="229">
        <v>5</v>
      </c>
      <c r="AB28" s="229">
        <v>6</v>
      </c>
      <c r="AC28" s="229">
        <v>9</v>
      </c>
      <c r="AD28" s="229">
        <v>12</v>
      </c>
      <c r="AE28" s="229">
        <v>15</v>
      </c>
      <c r="AF28" s="229">
        <v>17</v>
      </c>
      <c r="AG28" s="229">
        <v>19</v>
      </c>
      <c r="AH28" s="229">
        <v>21</v>
      </c>
      <c r="AI28" s="229">
        <v>23</v>
      </c>
      <c r="AJ28" s="222"/>
    </row>
    <row r="29" spans="2:36">
      <c r="U29" s="217"/>
      <c r="V29" s="218" t="s">
        <v>344</v>
      </c>
      <c r="W29" s="218">
        <v>200</v>
      </c>
      <c r="X29" s="229">
        <v>3</v>
      </c>
      <c r="Y29" s="229">
        <v>3</v>
      </c>
      <c r="Z29" s="229">
        <v>3</v>
      </c>
      <c r="AA29" s="229">
        <v>5</v>
      </c>
      <c r="AB29" s="229">
        <v>6</v>
      </c>
      <c r="AC29" s="229">
        <v>9</v>
      </c>
      <c r="AD29" s="229">
        <v>12</v>
      </c>
      <c r="AE29" s="229">
        <v>15</v>
      </c>
      <c r="AF29" s="229">
        <v>17</v>
      </c>
      <c r="AG29" s="229">
        <v>19</v>
      </c>
      <c r="AH29" s="229">
        <v>21</v>
      </c>
      <c r="AI29" s="229">
        <v>23</v>
      </c>
      <c r="AJ29" s="222"/>
    </row>
    <row r="30" spans="2:36">
      <c r="U30" s="217"/>
      <c r="V30" s="218" t="s">
        <v>345</v>
      </c>
      <c r="W30" s="218">
        <v>250</v>
      </c>
      <c r="X30" s="229">
        <v>3</v>
      </c>
      <c r="Y30" s="229">
        <v>3</v>
      </c>
      <c r="Z30" s="229">
        <v>3</v>
      </c>
      <c r="AA30" s="229">
        <v>5</v>
      </c>
      <c r="AB30" s="229">
        <v>6</v>
      </c>
      <c r="AC30" s="229">
        <v>9</v>
      </c>
      <c r="AD30" s="229">
        <v>12</v>
      </c>
      <c r="AE30" s="229">
        <v>15</v>
      </c>
      <c r="AF30" s="229">
        <v>17</v>
      </c>
      <c r="AG30" s="229">
        <v>19</v>
      </c>
      <c r="AH30" s="229">
        <v>21</v>
      </c>
      <c r="AI30" s="229">
        <v>23</v>
      </c>
      <c r="AJ30" s="222"/>
    </row>
    <row r="31" spans="2:36">
      <c r="U31" s="217"/>
      <c r="V31" s="218" t="s">
        <v>346</v>
      </c>
      <c r="W31" s="218">
        <v>100</v>
      </c>
      <c r="X31" s="229">
        <v>3</v>
      </c>
      <c r="Y31" s="229">
        <v>3</v>
      </c>
      <c r="Z31" s="229">
        <v>3</v>
      </c>
      <c r="AA31" s="229">
        <v>5</v>
      </c>
      <c r="AB31" s="229">
        <v>6</v>
      </c>
      <c r="AC31" s="229">
        <v>9</v>
      </c>
      <c r="AD31" s="229">
        <v>12</v>
      </c>
      <c r="AE31" s="229">
        <v>15</v>
      </c>
      <c r="AF31" s="229">
        <v>17</v>
      </c>
      <c r="AG31" s="229">
        <v>19</v>
      </c>
      <c r="AH31" s="229">
        <v>21</v>
      </c>
      <c r="AI31" s="229">
        <v>23</v>
      </c>
      <c r="AJ31" s="222"/>
    </row>
    <row r="32" spans="2:36">
      <c r="U32" s="230"/>
      <c r="V32" s="231" t="s">
        <v>347</v>
      </c>
      <c r="W32" s="231"/>
      <c r="X32" s="232">
        <f>(($W28*X28)+($W29*X29)+($W30*X30)+($W31*X31))*3</f>
        <v>9450</v>
      </c>
      <c r="Y32" s="232">
        <f t="shared" ref="Y32:AI32" si="7">(($W28*Y28)+($W29*Y29)+($W30*Y30)+($W31*Y31))*3</f>
        <v>9450</v>
      </c>
      <c r="Z32" s="232">
        <f t="shared" si="7"/>
        <v>9450</v>
      </c>
      <c r="AA32" s="232">
        <f t="shared" si="7"/>
        <v>15750</v>
      </c>
      <c r="AB32" s="232">
        <f t="shared" si="7"/>
        <v>18900</v>
      </c>
      <c r="AC32" s="232">
        <f t="shared" si="7"/>
        <v>28350</v>
      </c>
      <c r="AD32" s="232">
        <f t="shared" si="7"/>
        <v>37800</v>
      </c>
      <c r="AE32" s="232">
        <f t="shared" si="7"/>
        <v>47250</v>
      </c>
      <c r="AF32" s="232">
        <f t="shared" si="7"/>
        <v>53550</v>
      </c>
      <c r="AG32" s="232">
        <f t="shared" si="7"/>
        <v>59850</v>
      </c>
      <c r="AH32" s="232">
        <f t="shared" si="7"/>
        <v>66150</v>
      </c>
      <c r="AI32" s="232">
        <f t="shared" si="7"/>
        <v>72450</v>
      </c>
      <c r="AJ32" s="222"/>
    </row>
    <row r="33" spans="21:36">
      <c r="U33" s="230"/>
      <c r="V33" s="231" t="s">
        <v>348</v>
      </c>
      <c r="W33" s="231"/>
      <c r="X33" s="233">
        <f t="shared" ref="X33:AI33" si="8">SUM(X28:X31)</f>
        <v>12</v>
      </c>
      <c r="Y33" s="233">
        <f t="shared" si="8"/>
        <v>12</v>
      </c>
      <c r="Z33" s="233">
        <f t="shared" si="8"/>
        <v>12</v>
      </c>
      <c r="AA33" s="233">
        <f t="shared" si="8"/>
        <v>20</v>
      </c>
      <c r="AB33" s="233">
        <f t="shared" si="8"/>
        <v>24</v>
      </c>
      <c r="AC33" s="233">
        <f t="shared" si="8"/>
        <v>36</v>
      </c>
      <c r="AD33" s="233">
        <f t="shared" si="8"/>
        <v>48</v>
      </c>
      <c r="AE33" s="233">
        <f t="shared" si="8"/>
        <v>60</v>
      </c>
      <c r="AF33" s="233">
        <f t="shared" si="8"/>
        <v>68</v>
      </c>
      <c r="AG33" s="233">
        <f t="shared" si="8"/>
        <v>76</v>
      </c>
      <c r="AH33" s="233">
        <f t="shared" si="8"/>
        <v>84</v>
      </c>
      <c r="AI33" s="233">
        <f t="shared" si="8"/>
        <v>92</v>
      </c>
      <c r="AJ33" s="222"/>
    </row>
    <row r="34" spans="21:36">
      <c r="U34" s="217"/>
      <c r="V34" s="218"/>
      <c r="W34" s="218"/>
      <c r="X34" s="218"/>
      <c r="Y34" s="218"/>
      <c r="Z34" s="218"/>
      <c r="AA34" s="218"/>
      <c r="AB34" s="218"/>
      <c r="AC34" s="218"/>
      <c r="AD34" s="218"/>
      <c r="AE34" s="218"/>
      <c r="AF34" s="218"/>
      <c r="AG34" s="218"/>
      <c r="AH34" s="218"/>
      <c r="AI34" s="218"/>
      <c r="AJ34" s="222"/>
    </row>
    <row r="35" spans="21:36">
      <c r="U35" s="217" t="s">
        <v>275</v>
      </c>
      <c r="V35" s="218" t="s">
        <v>343</v>
      </c>
      <c r="W35" s="218">
        <v>500</v>
      </c>
      <c r="X35" s="218">
        <v>0</v>
      </c>
      <c r="Y35" s="218">
        <v>0</v>
      </c>
      <c r="Z35" s="218">
        <v>1</v>
      </c>
      <c r="AA35" s="218">
        <v>1</v>
      </c>
      <c r="AB35" s="229">
        <v>3</v>
      </c>
      <c r="AC35" s="229">
        <v>5</v>
      </c>
      <c r="AD35" s="218">
        <v>11</v>
      </c>
      <c r="AE35" s="218">
        <v>17</v>
      </c>
      <c r="AF35" s="218">
        <v>29</v>
      </c>
      <c r="AG35" s="218">
        <v>41</v>
      </c>
      <c r="AH35" s="218">
        <v>53</v>
      </c>
      <c r="AI35" s="218">
        <v>65</v>
      </c>
      <c r="AJ35" s="222"/>
    </row>
    <row r="36" spans="21:36">
      <c r="U36" s="217"/>
      <c r="V36" s="218" t="s">
        <v>344</v>
      </c>
      <c r="W36" s="218">
        <v>200</v>
      </c>
      <c r="X36" s="218">
        <v>0</v>
      </c>
      <c r="Y36" s="218">
        <v>0</v>
      </c>
      <c r="Z36" s="218">
        <v>1</v>
      </c>
      <c r="AA36" s="218">
        <v>1</v>
      </c>
      <c r="AB36" s="229">
        <v>3</v>
      </c>
      <c r="AC36" s="229">
        <v>5</v>
      </c>
      <c r="AD36" s="218">
        <v>11</v>
      </c>
      <c r="AE36" s="218">
        <v>17</v>
      </c>
      <c r="AF36" s="218">
        <v>29</v>
      </c>
      <c r="AG36" s="218">
        <v>41</v>
      </c>
      <c r="AH36" s="218">
        <v>53</v>
      </c>
      <c r="AI36" s="218">
        <v>65</v>
      </c>
      <c r="AJ36" s="222"/>
    </row>
    <row r="37" spans="21:36">
      <c r="U37" s="217"/>
      <c r="V37" s="218" t="s">
        <v>345</v>
      </c>
      <c r="W37" s="218">
        <v>250</v>
      </c>
      <c r="X37" s="218">
        <v>0</v>
      </c>
      <c r="Y37" s="218">
        <v>0</v>
      </c>
      <c r="Z37" s="218">
        <v>1</v>
      </c>
      <c r="AA37" s="218">
        <v>1</v>
      </c>
      <c r="AB37" s="229">
        <v>3</v>
      </c>
      <c r="AC37" s="229">
        <v>5</v>
      </c>
      <c r="AD37" s="218">
        <v>11</v>
      </c>
      <c r="AE37" s="218">
        <v>17</v>
      </c>
      <c r="AF37" s="218">
        <v>29</v>
      </c>
      <c r="AG37" s="218">
        <v>41</v>
      </c>
      <c r="AH37" s="218">
        <v>53</v>
      </c>
      <c r="AI37" s="218">
        <v>65</v>
      </c>
      <c r="AJ37" s="222"/>
    </row>
    <row r="38" spans="21:36">
      <c r="U38" s="217"/>
      <c r="V38" s="218" t="s">
        <v>346</v>
      </c>
      <c r="W38" s="218">
        <v>100</v>
      </c>
      <c r="X38" s="218">
        <v>0</v>
      </c>
      <c r="Y38" s="218">
        <v>0</v>
      </c>
      <c r="Z38" s="218">
        <v>1</v>
      </c>
      <c r="AA38" s="218">
        <v>1</v>
      </c>
      <c r="AB38" s="229">
        <v>3</v>
      </c>
      <c r="AC38" s="229">
        <v>5</v>
      </c>
      <c r="AD38" s="218">
        <v>11</v>
      </c>
      <c r="AE38" s="218">
        <v>17</v>
      </c>
      <c r="AF38" s="218">
        <v>29</v>
      </c>
      <c r="AG38" s="218">
        <v>41</v>
      </c>
      <c r="AH38" s="218">
        <v>53</v>
      </c>
      <c r="AI38" s="218">
        <v>65</v>
      </c>
      <c r="AJ38" s="222"/>
    </row>
    <row r="39" spans="21:36">
      <c r="U39" s="230"/>
      <c r="V39" s="231" t="s">
        <v>349</v>
      </c>
      <c r="W39" s="231"/>
      <c r="X39" s="231">
        <f>(($W35*X35)+($W36*X36)+($W37*X37)+($W38*X38))*3</f>
        <v>0</v>
      </c>
      <c r="Y39" s="231">
        <f t="shared" ref="Y39:AI39" si="9">(($W35*Y35)+($W36*Y36)+($W37*Y37)+($W38*Y38))*3</f>
        <v>0</v>
      </c>
      <c r="Z39" s="231">
        <f t="shared" si="9"/>
        <v>3150</v>
      </c>
      <c r="AA39" s="231">
        <f t="shared" si="9"/>
        <v>3150</v>
      </c>
      <c r="AB39" s="231">
        <f t="shared" si="9"/>
        <v>9450</v>
      </c>
      <c r="AC39" s="231">
        <f t="shared" si="9"/>
        <v>15750</v>
      </c>
      <c r="AD39" s="231">
        <f t="shared" si="9"/>
        <v>34650</v>
      </c>
      <c r="AE39" s="231">
        <f t="shared" si="9"/>
        <v>53550</v>
      </c>
      <c r="AF39" s="231">
        <f t="shared" si="9"/>
        <v>91350</v>
      </c>
      <c r="AG39" s="231">
        <f t="shared" si="9"/>
        <v>129150</v>
      </c>
      <c r="AH39" s="231">
        <f t="shared" si="9"/>
        <v>166950</v>
      </c>
      <c r="AI39" s="231">
        <f t="shared" si="9"/>
        <v>204750</v>
      </c>
      <c r="AJ39" s="222"/>
    </row>
    <row r="40" spans="21:36">
      <c r="U40" s="230"/>
      <c r="V40" s="231" t="s">
        <v>350</v>
      </c>
      <c r="W40" s="231"/>
      <c r="X40" s="232">
        <f t="shared" ref="X40:AI40" si="10">X39*0.06</f>
        <v>0</v>
      </c>
      <c r="Y40" s="232">
        <f t="shared" si="10"/>
        <v>0</v>
      </c>
      <c r="Z40" s="232">
        <f t="shared" si="10"/>
        <v>189</v>
      </c>
      <c r="AA40" s="232">
        <f t="shared" si="10"/>
        <v>189</v>
      </c>
      <c r="AB40" s="232">
        <f t="shared" si="10"/>
        <v>567</v>
      </c>
      <c r="AC40" s="232">
        <f t="shared" si="10"/>
        <v>945</v>
      </c>
      <c r="AD40" s="232">
        <f t="shared" si="10"/>
        <v>2079</v>
      </c>
      <c r="AE40" s="232">
        <f t="shared" si="10"/>
        <v>3213</v>
      </c>
      <c r="AF40" s="232">
        <f t="shared" si="10"/>
        <v>5481</v>
      </c>
      <c r="AG40" s="232">
        <f t="shared" si="10"/>
        <v>7749</v>
      </c>
      <c r="AH40" s="232">
        <f t="shared" si="10"/>
        <v>10017</v>
      </c>
      <c r="AI40" s="232">
        <f t="shared" si="10"/>
        <v>12285</v>
      </c>
      <c r="AJ40" s="222"/>
    </row>
    <row r="41" spans="21:36">
      <c r="U41" s="217"/>
      <c r="V41" s="218" t="s">
        <v>351</v>
      </c>
      <c r="W41" s="218"/>
      <c r="X41" s="234">
        <f t="shared" ref="X41:AI41" si="11">SUM(X35:X38)</f>
        <v>0</v>
      </c>
      <c r="Y41" s="234">
        <f t="shared" si="11"/>
        <v>0</v>
      </c>
      <c r="Z41" s="234">
        <f t="shared" si="11"/>
        <v>4</v>
      </c>
      <c r="AA41" s="234">
        <f t="shared" si="11"/>
        <v>4</v>
      </c>
      <c r="AB41" s="234">
        <f t="shared" si="11"/>
        <v>12</v>
      </c>
      <c r="AC41" s="234">
        <f t="shared" si="11"/>
        <v>20</v>
      </c>
      <c r="AD41" s="234">
        <f t="shared" si="11"/>
        <v>44</v>
      </c>
      <c r="AE41" s="234">
        <f t="shared" si="11"/>
        <v>68</v>
      </c>
      <c r="AF41" s="234">
        <f t="shared" si="11"/>
        <v>116</v>
      </c>
      <c r="AG41" s="234">
        <f t="shared" si="11"/>
        <v>164</v>
      </c>
      <c r="AH41" s="234">
        <f t="shared" si="11"/>
        <v>212</v>
      </c>
      <c r="AI41" s="234">
        <f t="shared" si="11"/>
        <v>260</v>
      </c>
      <c r="AJ41" s="222"/>
    </row>
    <row r="42" spans="21:36">
      <c r="U42" s="217"/>
      <c r="V42" s="218"/>
      <c r="W42" s="218"/>
      <c r="X42" s="218"/>
      <c r="Y42" s="218"/>
      <c r="Z42" s="218"/>
      <c r="AA42" s="218"/>
      <c r="AB42" s="218"/>
      <c r="AC42" s="218"/>
      <c r="AD42" s="218"/>
      <c r="AE42" s="218"/>
      <c r="AF42" s="218"/>
      <c r="AG42" s="218"/>
      <c r="AH42" s="218"/>
      <c r="AI42" s="218"/>
      <c r="AJ42" s="222"/>
    </row>
    <row r="43" spans="21:36">
      <c r="U43" s="217"/>
      <c r="V43" s="218" t="s">
        <v>362</v>
      </c>
      <c r="W43" s="218"/>
      <c r="X43" s="235">
        <f t="shared" ref="X43:AI43" si="12">X33+X41</f>
        <v>12</v>
      </c>
      <c r="Y43" s="235">
        <f t="shared" si="12"/>
        <v>12</v>
      </c>
      <c r="Z43" s="235">
        <f t="shared" si="12"/>
        <v>16</v>
      </c>
      <c r="AA43" s="235">
        <f t="shared" si="12"/>
        <v>24</v>
      </c>
      <c r="AB43" s="235">
        <f t="shared" si="12"/>
        <v>36</v>
      </c>
      <c r="AC43" s="235">
        <f t="shared" si="12"/>
        <v>56</v>
      </c>
      <c r="AD43" s="235">
        <f t="shared" si="12"/>
        <v>92</v>
      </c>
      <c r="AE43" s="235">
        <f t="shared" si="12"/>
        <v>128</v>
      </c>
      <c r="AF43" s="235">
        <f t="shared" si="12"/>
        <v>184</v>
      </c>
      <c r="AG43" s="235">
        <f t="shared" si="12"/>
        <v>240</v>
      </c>
      <c r="AH43" s="235">
        <f t="shared" si="12"/>
        <v>296</v>
      </c>
      <c r="AI43" s="235">
        <f t="shared" si="12"/>
        <v>352</v>
      </c>
      <c r="AJ43" s="222"/>
    </row>
    <row r="44" spans="21:36">
      <c r="U44" s="217"/>
      <c r="V44" s="218" t="s">
        <v>353</v>
      </c>
      <c r="W44" s="218"/>
      <c r="X44" s="236">
        <f t="shared" ref="X44:AI44" si="13">X32+X40</f>
        <v>9450</v>
      </c>
      <c r="Y44" s="236">
        <f t="shared" si="13"/>
        <v>9450</v>
      </c>
      <c r="Z44" s="236">
        <f t="shared" si="13"/>
        <v>9639</v>
      </c>
      <c r="AA44" s="236">
        <f t="shared" si="13"/>
        <v>15939</v>
      </c>
      <c r="AB44" s="236">
        <f t="shared" si="13"/>
        <v>19467</v>
      </c>
      <c r="AC44" s="236">
        <f t="shared" si="13"/>
        <v>29295</v>
      </c>
      <c r="AD44" s="236">
        <f t="shared" si="13"/>
        <v>39879</v>
      </c>
      <c r="AE44" s="236">
        <f t="shared" si="13"/>
        <v>50463</v>
      </c>
      <c r="AF44" s="236">
        <f t="shared" si="13"/>
        <v>59031</v>
      </c>
      <c r="AG44" s="236">
        <f t="shared" si="13"/>
        <v>67599</v>
      </c>
      <c r="AH44" s="236">
        <f t="shared" si="13"/>
        <v>76167</v>
      </c>
      <c r="AI44" s="236">
        <f t="shared" si="13"/>
        <v>84735</v>
      </c>
      <c r="AJ44" s="222"/>
    </row>
    <row r="45" spans="21:36">
      <c r="U45" s="217"/>
      <c r="V45" s="218" t="s">
        <v>354</v>
      </c>
      <c r="W45" s="218"/>
      <c r="X45" s="218"/>
      <c r="Y45" s="218"/>
      <c r="Z45" s="218"/>
      <c r="AA45" s="231">
        <f>SUM(X44:AA44)</f>
        <v>44478</v>
      </c>
      <c r="AB45" s="218"/>
      <c r="AC45" s="218"/>
      <c r="AD45" s="218"/>
      <c r="AE45" s="231">
        <f>SUM(AB44:AE44)</f>
        <v>139104</v>
      </c>
      <c r="AF45" s="218"/>
      <c r="AG45" s="218"/>
      <c r="AH45" s="218"/>
      <c r="AI45" s="231">
        <f>SUM(AF44:AI44)</f>
        <v>287532</v>
      </c>
      <c r="AJ45" s="222"/>
    </row>
    <row r="46" spans="21:36">
      <c r="U46" s="217"/>
      <c r="V46" s="218" t="s">
        <v>355</v>
      </c>
      <c r="W46" s="218"/>
      <c r="X46" s="218"/>
      <c r="Y46" s="218"/>
      <c r="Z46" s="218"/>
      <c r="AA46" s="237"/>
      <c r="AB46" s="218"/>
      <c r="AC46" s="218"/>
      <c r="AD46" s="218"/>
      <c r="AE46" s="237">
        <f>AE45/AA45</f>
        <v>3.1274787535410766</v>
      </c>
      <c r="AF46" s="218"/>
      <c r="AG46" s="218"/>
      <c r="AH46" s="218"/>
      <c r="AI46" s="237">
        <f>AI45/AE45</f>
        <v>2.0670289855072466</v>
      </c>
      <c r="AJ46" s="222"/>
    </row>
    <row r="47" spans="21:36">
      <c r="U47" s="217"/>
      <c r="V47" s="218"/>
      <c r="W47" s="218"/>
      <c r="X47" s="238" t="s">
        <v>363</v>
      </c>
      <c r="Y47" s="238"/>
      <c r="Z47" s="238"/>
      <c r="AA47" s="238" t="s">
        <v>364</v>
      </c>
      <c r="AB47" s="238"/>
      <c r="AC47" s="238"/>
      <c r="AD47" s="238" t="s">
        <v>365</v>
      </c>
      <c r="AE47" s="238"/>
      <c r="AF47" s="238" t="s">
        <v>364</v>
      </c>
      <c r="AG47" s="238"/>
      <c r="AH47" s="238"/>
      <c r="AI47" s="238"/>
      <c r="AJ47" s="222"/>
    </row>
    <row r="48" spans="21:36">
      <c r="U48" s="217"/>
      <c r="V48" s="218"/>
      <c r="W48" s="218"/>
      <c r="X48" s="238"/>
      <c r="Y48" s="238"/>
      <c r="Z48" s="238" t="s">
        <v>366</v>
      </c>
      <c r="AA48" s="238"/>
      <c r="AB48" s="238"/>
      <c r="AC48" s="238"/>
      <c r="AD48" s="238" t="s">
        <v>367</v>
      </c>
      <c r="AE48" s="238"/>
      <c r="AF48" s="238"/>
      <c r="AG48" s="238" t="s">
        <v>367</v>
      </c>
      <c r="AH48" s="238"/>
      <c r="AI48" s="238"/>
      <c r="AJ48" s="222"/>
    </row>
    <row r="49" spans="21:36" ht="12.75" thickBot="1">
      <c r="U49" s="239"/>
      <c r="V49" s="240"/>
      <c r="W49" s="240"/>
      <c r="X49" s="240"/>
      <c r="Y49" s="240"/>
      <c r="Z49" s="240"/>
      <c r="AA49" s="240"/>
      <c r="AB49" s="240"/>
      <c r="AC49" s="240"/>
      <c r="AD49" s="240"/>
      <c r="AE49" s="240"/>
      <c r="AF49" s="240"/>
      <c r="AG49" s="240"/>
      <c r="AH49" s="240"/>
      <c r="AI49" s="240"/>
      <c r="AJ49" s="241"/>
    </row>
  </sheetData>
  <phoneticPr fontId="2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46"/>
  <sheetViews>
    <sheetView workbookViewId="0">
      <pane xSplit="2" topLeftCell="C1" activePane="topRight" state="frozen"/>
      <selection activeCell="F26" sqref="F26"/>
      <selection pane="topRight" activeCell="E29" sqref="E29"/>
    </sheetView>
  </sheetViews>
  <sheetFormatPr defaultColWidth="8.875" defaultRowHeight="12"/>
  <cols>
    <col min="1" max="1" width="4.5" style="191" customWidth="1"/>
    <col min="2" max="2" width="13.5" style="191" customWidth="1"/>
    <col min="3" max="3" width="9.625" style="191" customWidth="1"/>
    <col min="4" max="4" width="2.5" style="191" customWidth="1"/>
    <col min="5" max="100" width="9" style="191" customWidth="1"/>
    <col min="101" max="16384" width="8.875" style="191"/>
  </cols>
  <sheetData>
    <row r="1" spans="1:100" s="213" customFormat="1" ht="11.25">
      <c r="AJ1" s="213" t="s">
        <v>359</v>
      </c>
    </row>
    <row r="2" spans="1:100" s="376" customFormat="1" ht="18">
      <c r="E2" s="377">
        <v>2011</v>
      </c>
      <c r="F2" s="378"/>
      <c r="G2" s="378"/>
      <c r="H2" s="378"/>
      <c r="I2" s="378"/>
      <c r="J2" s="378"/>
      <c r="K2" s="378"/>
      <c r="L2" s="378"/>
      <c r="M2" s="378"/>
      <c r="N2" s="378"/>
      <c r="O2" s="378"/>
      <c r="P2" s="379"/>
      <c r="Q2" s="380">
        <v>2012</v>
      </c>
      <c r="R2" s="381"/>
      <c r="S2" s="381"/>
      <c r="T2" s="381"/>
      <c r="U2" s="381"/>
      <c r="V2" s="381"/>
      <c r="W2" s="381"/>
      <c r="X2" s="381"/>
      <c r="Y2" s="382"/>
      <c r="Z2" s="382"/>
      <c r="AA2" s="382"/>
      <c r="AB2" s="383"/>
      <c r="AC2" s="384">
        <v>2013</v>
      </c>
      <c r="AD2" s="382"/>
      <c r="AE2" s="382"/>
      <c r="AF2" s="382"/>
      <c r="AG2" s="382"/>
      <c r="AH2" s="382"/>
      <c r="AI2" s="382"/>
      <c r="AJ2" s="382"/>
      <c r="AK2" s="381"/>
      <c r="AL2" s="381"/>
      <c r="AM2" s="381"/>
      <c r="AN2" s="385"/>
      <c r="AO2" s="380">
        <v>2014</v>
      </c>
      <c r="AP2" s="381"/>
      <c r="AQ2" s="378"/>
      <c r="AR2" s="378"/>
      <c r="AS2" s="378"/>
      <c r="AT2" s="378"/>
      <c r="AU2" s="378"/>
      <c r="AV2" s="378"/>
      <c r="AW2" s="378"/>
      <c r="AX2" s="378"/>
      <c r="AY2" s="378"/>
      <c r="AZ2" s="379"/>
      <c r="BA2" s="377">
        <v>2015</v>
      </c>
      <c r="BB2" s="378"/>
      <c r="BC2" s="378"/>
      <c r="BD2" s="378"/>
      <c r="BE2" s="378"/>
      <c r="BF2" s="378"/>
      <c r="BG2" s="378"/>
      <c r="BH2" s="378"/>
      <c r="BI2" s="378"/>
      <c r="BJ2" s="378"/>
      <c r="BK2" s="378"/>
      <c r="BL2" s="379"/>
      <c r="BM2" s="377">
        <v>2016</v>
      </c>
      <c r="BN2" s="378"/>
      <c r="BO2" s="378"/>
      <c r="BP2" s="378"/>
      <c r="BQ2" s="378"/>
      <c r="BR2" s="378"/>
      <c r="BS2" s="378"/>
      <c r="BT2" s="378"/>
      <c r="BU2" s="378"/>
      <c r="BV2" s="378"/>
      <c r="BW2" s="378"/>
      <c r="BX2" s="379"/>
      <c r="BY2" s="377">
        <v>2017</v>
      </c>
      <c r="BZ2" s="378"/>
      <c r="CA2" s="378"/>
      <c r="CB2" s="378"/>
      <c r="CC2" s="378"/>
      <c r="CD2" s="378"/>
      <c r="CE2" s="378"/>
      <c r="CF2" s="378"/>
      <c r="CG2" s="378"/>
      <c r="CH2" s="378"/>
      <c r="CI2" s="378"/>
      <c r="CJ2" s="379"/>
      <c r="CK2" s="377">
        <v>2018</v>
      </c>
      <c r="CL2" s="378"/>
      <c r="CM2" s="378"/>
      <c r="CN2" s="378"/>
      <c r="CO2" s="378"/>
      <c r="CP2" s="378"/>
      <c r="CQ2" s="378"/>
      <c r="CR2" s="378"/>
      <c r="CS2" s="378"/>
      <c r="CT2" s="378"/>
      <c r="CU2" s="378"/>
      <c r="CV2" s="379"/>
    </row>
    <row r="3" spans="1:100" s="351" customFormat="1" ht="15">
      <c r="A3" s="350"/>
      <c r="B3" s="350"/>
      <c r="C3" s="386" t="s">
        <v>438</v>
      </c>
      <c r="E3" s="352" t="s">
        <v>416</v>
      </c>
      <c r="F3" s="353" t="s">
        <v>417</v>
      </c>
      <c r="G3" s="353" t="s">
        <v>418</v>
      </c>
      <c r="H3" s="353" t="s">
        <v>419</v>
      </c>
      <c r="I3" s="353" t="s">
        <v>420</v>
      </c>
      <c r="J3" s="353" t="s">
        <v>421</v>
      </c>
      <c r="K3" s="353" t="s">
        <v>422</v>
      </c>
      <c r="L3" s="353" t="s">
        <v>423</v>
      </c>
      <c r="M3" s="353" t="s">
        <v>424</v>
      </c>
      <c r="N3" s="353" t="s">
        <v>425</v>
      </c>
      <c r="O3" s="353" t="s">
        <v>426</v>
      </c>
      <c r="P3" s="354" t="s">
        <v>427</v>
      </c>
      <c r="Q3" s="355" t="s">
        <v>416</v>
      </c>
      <c r="R3" s="356" t="s">
        <v>417</v>
      </c>
      <c r="S3" s="356" t="s">
        <v>418</v>
      </c>
      <c r="T3" s="356" t="s">
        <v>419</v>
      </c>
      <c r="U3" s="356" t="s">
        <v>420</v>
      </c>
      <c r="V3" s="356" t="s">
        <v>421</v>
      </c>
      <c r="W3" s="356" t="s">
        <v>422</v>
      </c>
      <c r="X3" s="356" t="s">
        <v>423</v>
      </c>
      <c r="Y3" s="356" t="s">
        <v>424</v>
      </c>
      <c r="Z3" s="356" t="s">
        <v>425</v>
      </c>
      <c r="AA3" s="356" t="s">
        <v>426</v>
      </c>
      <c r="AB3" s="357" t="s">
        <v>427</v>
      </c>
      <c r="AC3" s="358" t="s">
        <v>416</v>
      </c>
      <c r="AD3" s="359" t="s">
        <v>417</v>
      </c>
      <c r="AE3" s="359" t="s">
        <v>418</v>
      </c>
      <c r="AF3" s="359" t="s">
        <v>419</v>
      </c>
      <c r="AG3" s="359" t="s">
        <v>420</v>
      </c>
      <c r="AH3" s="359" t="s">
        <v>421</v>
      </c>
      <c r="AI3" s="359" t="s">
        <v>422</v>
      </c>
      <c r="AJ3" s="359" t="s">
        <v>423</v>
      </c>
      <c r="AK3" s="359" t="s">
        <v>424</v>
      </c>
      <c r="AL3" s="359" t="s">
        <v>425</v>
      </c>
      <c r="AM3" s="359" t="s">
        <v>426</v>
      </c>
      <c r="AN3" s="360" t="s">
        <v>427</v>
      </c>
      <c r="AO3" s="361" t="s">
        <v>416</v>
      </c>
      <c r="AP3" s="362" t="s">
        <v>417</v>
      </c>
      <c r="AQ3" s="362" t="s">
        <v>418</v>
      </c>
      <c r="AR3" s="362" t="s">
        <v>419</v>
      </c>
      <c r="AS3" s="362" t="s">
        <v>420</v>
      </c>
      <c r="AT3" s="362" t="s">
        <v>421</v>
      </c>
      <c r="AU3" s="362" t="s">
        <v>422</v>
      </c>
      <c r="AV3" s="362" t="s">
        <v>423</v>
      </c>
      <c r="AW3" s="362" t="s">
        <v>424</v>
      </c>
      <c r="AX3" s="362" t="s">
        <v>425</v>
      </c>
      <c r="AY3" s="362" t="s">
        <v>426</v>
      </c>
      <c r="AZ3" s="363" t="s">
        <v>427</v>
      </c>
      <c r="BA3" s="364" t="s">
        <v>416</v>
      </c>
      <c r="BB3" s="365" t="s">
        <v>417</v>
      </c>
      <c r="BC3" s="365" t="s">
        <v>418</v>
      </c>
      <c r="BD3" s="365" t="s">
        <v>419</v>
      </c>
      <c r="BE3" s="365" t="s">
        <v>420</v>
      </c>
      <c r="BF3" s="365" t="s">
        <v>421</v>
      </c>
      <c r="BG3" s="365" t="s">
        <v>422</v>
      </c>
      <c r="BH3" s="365" t="s">
        <v>423</v>
      </c>
      <c r="BI3" s="365" t="s">
        <v>424</v>
      </c>
      <c r="BJ3" s="365" t="s">
        <v>425</v>
      </c>
      <c r="BK3" s="365" t="s">
        <v>426</v>
      </c>
      <c r="BL3" s="366" t="s">
        <v>427</v>
      </c>
      <c r="BM3" s="367" t="s">
        <v>416</v>
      </c>
      <c r="BN3" s="368" t="s">
        <v>417</v>
      </c>
      <c r="BO3" s="368" t="s">
        <v>418</v>
      </c>
      <c r="BP3" s="368" t="s">
        <v>419</v>
      </c>
      <c r="BQ3" s="368" t="s">
        <v>420</v>
      </c>
      <c r="BR3" s="368" t="s">
        <v>421</v>
      </c>
      <c r="BS3" s="368" t="s">
        <v>422</v>
      </c>
      <c r="BT3" s="368" t="s">
        <v>423</v>
      </c>
      <c r="BU3" s="368" t="s">
        <v>424</v>
      </c>
      <c r="BV3" s="368" t="s">
        <v>425</v>
      </c>
      <c r="BW3" s="368" t="s">
        <v>426</v>
      </c>
      <c r="BX3" s="369" t="s">
        <v>427</v>
      </c>
      <c r="BY3" s="370" t="s">
        <v>416</v>
      </c>
      <c r="BZ3" s="371" t="s">
        <v>417</v>
      </c>
      <c r="CA3" s="371" t="s">
        <v>418</v>
      </c>
      <c r="CB3" s="371" t="s">
        <v>419</v>
      </c>
      <c r="CC3" s="371" t="s">
        <v>420</v>
      </c>
      <c r="CD3" s="371" t="s">
        <v>421</v>
      </c>
      <c r="CE3" s="371" t="s">
        <v>422</v>
      </c>
      <c r="CF3" s="371" t="s">
        <v>423</v>
      </c>
      <c r="CG3" s="371" t="s">
        <v>424</v>
      </c>
      <c r="CH3" s="371" t="s">
        <v>425</v>
      </c>
      <c r="CI3" s="371" t="s">
        <v>426</v>
      </c>
      <c r="CJ3" s="372" t="s">
        <v>427</v>
      </c>
      <c r="CK3" s="373" t="s">
        <v>416</v>
      </c>
      <c r="CL3" s="374" t="s">
        <v>417</v>
      </c>
      <c r="CM3" s="374" t="s">
        <v>418</v>
      </c>
      <c r="CN3" s="374" t="s">
        <v>419</v>
      </c>
      <c r="CO3" s="374" t="s">
        <v>420</v>
      </c>
      <c r="CP3" s="374" t="s">
        <v>421</v>
      </c>
      <c r="CQ3" s="374" t="s">
        <v>422</v>
      </c>
      <c r="CR3" s="374" t="s">
        <v>423</v>
      </c>
      <c r="CS3" s="374" t="s">
        <v>424</v>
      </c>
      <c r="CT3" s="374" t="s">
        <v>425</v>
      </c>
      <c r="CU3" s="374" t="s">
        <v>426</v>
      </c>
      <c r="CV3" s="375" t="s">
        <v>427</v>
      </c>
    </row>
    <row r="4" spans="1:100">
      <c r="A4" s="274" t="s">
        <v>274</v>
      </c>
      <c r="B4" s="295" t="s">
        <v>343</v>
      </c>
      <c r="C4" s="299">
        <v>7500</v>
      </c>
      <c r="E4" s="275"/>
      <c r="F4" s="218"/>
      <c r="G4" s="218">
        <v>1</v>
      </c>
      <c r="H4" s="218">
        <v>1</v>
      </c>
      <c r="I4" s="218">
        <v>1</v>
      </c>
      <c r="J4" s="218">
        <v>1</v>
      </c>
      <c r="K4" s="218">
        <v>1</v>
      </c>
      <c r="L4" s="218">
        <v>1</v>
      </c>
      <c r="M4" s="218">
        <v>1</v>
      </c>
      <c r="N4" s="218">
        <v>2</v>
      </c>
      <c r="O4" s="218">
        <v>2</v>
      </c>
      <c r="P4" s="276">
        <v>2</v>
      </c>
      <c r="Q4" s="275">
        <v>2</v>
      </c>
      <c r="R4" s="218">
        <v>2</v>
      </c>
      <c r="S4" s="218">
        <v>2</v>
      </c>
      <c r="T4" s="218">
        <v>3</v>
      </c>
      <c r="U4" s="218">
        <v>3</v>
      </c>
      <c r="V4" s="218">
        <v>3</v>
      </c>
      <c r="W4" s="218">
        <v>3</v>
      </c>
      <c r="X4" s="218">
        <v>3</v>
      </c>
      <c r="Y4" s="218">
        <v>4</v>
      </c>
      <c r="Z4" s="218">
        <v>4</v>
      </c>
      <c r="AA4" s="218">
        <v>4</v>
      </c>
      <c r="AB4" s="276">
        <v>4</v>
      </c>
      <c r="AC4" s="291">
        <v>6</v>
      </c>
      <c r="AD4" s="265">
        <v>6</v>
      </c>
      <c r="AE4" s="265">
        <v>6</v>
      </c>
      <c r="AF4" s="265">
        <v>7</v>
      </c>
      <c r="AG4" s="265">
        <v>7</v>
      </c>
      <c r="AH4" s="265">
        <v>7</v>
      </c>
      <c r="AI4" s="265">
        <v>8</v>
      </c>
      <c r="AJ4" s="265">
        <v>8</v>
      </c>
      <c r="AK4" s="264">
        <v>8</v>
      </c>
      <c r="AL4" s="265">
        <v>8</v>
      </c>
      <c r="AM4" s="265">
        <v>8</v>
      </c>
      <c r="AN4" s="286">
        <v>8</v>
      </c>
      <c r="AO4" s="275">
        <v>9</v>
      </c>
      <c r="AP4" s="218">
        <v>9</v>
      </c>
      <c r="AQ4" s="218">
        <v>9</v>
      </c>
      <c r="AR4" s="218">
        <v>10</v>
      </c>
      <c r="AS4" s="218">
        <v>10</v>
      </c>
      <c r="AT4" s="218">
        <v>10</v>
      </c>
      <c r="AU4" s="218">
        <v>11</v>
      </c>
      <c r="AV4" s="218">
        <v>11</v>
      </c>
      <c r="AW4" s="218">
        <v>11</v>
      </c>
      <c r="AX4" s="218">
        <v>12</v>
      </c>
      <c r="AY4" s="218">
        <v>12</v>
      </c>
      <c r="AZ4" s="276">
        <v>12</v>
      </c>
      <c r="BA4" s="275">
        <v>13</v>
      </c>
      <c r="BB4" s="218">
        <v>13</v>
      </c>
      <c r="BC4" s="218">
        <v>13</v>
      </c>
      <c r="BD4" s="218">
        <v>14</v>
      </c>
      <c r="BE4" s="218">
        <v>14</v>
      </c>
      <c r="BF4" s="218">
        <v>14</v>
      </c>
      <c r="BG4" s="218">
        <v>15</v>
      </c>
      <c r="BH4" s="218">
        <v>15</v>
      </c>
      <c r="BI4" s="218">
        <v>15</v>
      </c>
      <c r="BJ4" s="218">
        <v>16</v>
      </c>
      <c r="BK4" s="218">
        <v>16</v>
      </c>
      <c r="BL4" s="276">
        <v>16</v>
      </c>
      <c r="BM4" s="275">
        <v>17</v>
      </c>
      <c r="BN4" s="218">
        <v>17</v>
      </c>
      <c r="BO4" s="218">
        <v>17</v>
      </c>
      <c r="BP4" s="218">
        <v>18</v>
      </c>
      <c r="BQ4" s="218">
        <v>18</v>
      </c>
      <c r="BR4" s="218">
        <v>18</v>
      </c>
      <c r="BS4" s="218">
        <v>19</v>
      </c>
      <c r="BT4" s="218">
        <v>19</v>
      </c>
      <c r="BU4" s="218">
        <v>19</v>
      </c>
      <c r="BV4" s="218">
        <v>20</v>
      </c>
      <c r="BW4" s="218">
        <v>20</v>
      </c>
      <c r="BX4" s="276">
        <v>20</v>
      </c>
      <c r="BY4" s="275">
        <v>21</v>
      </c>
      <c r="BZ4" s="218">
        <v>21</v>
      </c>
      <c r="CA4" s="218">
        <v>21</v>
      </c>
      <c r="CB4" s="218">
        <v>22</v>
      </c>
      <c r="CC4" s="218">
        <v>22</v>
      </c>
      <c r="CD4" s="218">
        <v>22</v>
      </c>
      <c r="CE4" s="218">
        <v>23</v>
      </c>
      <c r="CF4" s="218">
        <v>23</v>
      </c>
      <c r="CG4" s="218">
        <v>23</v>
      </c>
      <c r="CH4" s="218">
        <v>24</v>
      </c>
      <c r="CI4" s="218">
        <v>24</v>
      </c>
      <c r="CJ4" s="276">
        <v>24</v>
      </c>
      <c r="CK4" s="275">
        <v>25</v>
      </c>
      <c r="CL4" s="218">
        <v>25</v>
      </c>
      <c r="CM4" s="218">
        <v>25</v>
      </c>
      <c r="CN4" s="218">
        <v>26</v>
      </c>
      <c r="CO4" s="218">
        <v>26</v>
      </c>
      <c r="CP4" s="218">
        <v>26</v>
      </c>
      <c r="CQ4" s="218">
        <v>27</v>
      </c>
      <c r="CR4" s="218">
        <v>27</v>
      </c>
      <c r="CS4" s="218">
        <v>27</v>
      </c>
      <c r="CT4" s="218">
        <v>28</v>
      </c>
      <c r="CU4" s="218">
        <v>28</v>
      </c>
      <c r="CV4" s="276">
        <v>28</v>
      </c>
    </row>
    <row r="5" spans="1:100">
      <c r="A5" s="275"/>
      <c r="B5" s="295" t="s">
        <v>344</v>
      </c>
      <c r="C5" s="299">
        <v>6000</v>
      </c>
      <c r="E5" s="275"/>
      <c r="F5" s="218"/>
      <c r="G5" s="218">
        <v>1</v>
      </c>
      <c r="H5" s="218">
        <v>1</v>
      </c>
      <c r="I5" s="218">
        <v>1</v>
      </c>
      <c r="J5" s="218">
        <v>1</v>
      </c>
      <c r="K5" s="218">
        <v>1</v>
      </c>
      <c r="L5" s="218">
        <v>1</v>
      </c>
      <c r="M5" s="218">
        <v>1</v>
      </c>
      <c r="N5" s="218">
        <v>2</v>
      </c>
      <c r="O5" s="218">
        <v>2</v>
      </c>
      <c r="P5" s="276">
        <v>2</v>
      </c>
      <c r="Q5" s="275">
        <v>2</v>
      </c>
      <c r="R5" s="218">
        <v>2</v>
      </c>
      <c r="S5" s="218">
        <v>2</v>
      </c>
      <c r="T5" s="218">
        <v>3</v>
      </c>
      <c r="U5" s="218">
        <v>3</v>
      </c>
      <c r="V5" s="218">
        <v>3</v>
      </c>
      <c r="W5" s="218">
        <v>3</v>
      </c>
      <c r="X5" s="218">
        <v>3</v>
      </c>
      <c r="Y5" s="218">
        <v>4</v>
      </c>
      <c r="Z5" s="218">
        <v>4</v>
      </c>
      <c r="AA5" s="218">
        <v>4</v>
      </c>
      <c r="AB5" s="276">
        <v>4</v>
      </c>
      <c r="AC5" s="291">
        <v>6</v>
      </c>
      <c r="AD5" s="265">
        <v>6</v>
      </c>
      <c r="AE5" s="265">
        <v>6</v>
      </c>
      <c r="AF5" s="265">
        <v>7</v>
      </c>
      <c r="AG5" s="265">
        <v>7</v>
      </c>
      <c r="AH5" s="265">
        <v>7</v>
      </c>
      <c r="AI5" s="265">
        <v>8</v>
      </c>
      <c r="AJ5" s="265">
        <v>8</v>
      </c>
      <c r="AK5" s="264">
        <v>8</v>
      </c>
      <c r="AL5" s="265">
        <v>8</v>
      </c>
      <c r="AM5" s="265">
        <v>8</v>
      </c>
      <c r="AN5" s="286">
        <v>8</v>
      </c>
      <c r="AO5" s="275">
        <v>9</v>
      </c>
      <c r="AP5" s="218">
        <v>9</v>
      </c>
      <c r="AQ5" s="218">
        <v>9</v>
      </c>
      <c r="AR5" s="218">
        <v>10</v>
      </c>
      <c r="AS5" s="218">
        <v>10</v>
      </c>
      <c r="AT5" s="218">
        <v>10</v>
      </c>
      <c r="AU5" s="218">
        <v>11</v>
      </c>
      <c r="AV5" s="218">
        <v>11</v>
      </c>
      <c r="AW5" s="218">
        <v>11</v>
      </c>
      <c r="AX5" s="218">
        <v>12</v>
      </c>
      <c r="AY5" s="218">
        <v>12</v>
      </c>
      <c r="AZ5" s="276">
        <v>12</v>
      </c>
      <c r="BA5" s="275">
        <v>13</v>
      </c>
      <c r="BB5" s="218">
        <v>13</v>
      </c>
      <c r="BC5" s="218">
        <v>13</v>
      </c>
      <c r="BD5" s="218">
        <v>14</v>
      </c>
      <c r="BE5" s="218">
        <v>14</v>
      </c>
      <c r="BF5" s="218">
        <v>14</v>
      </c>
      <c r="BG5" s="218">
        <v>15</v>
      </c>
      <c r="BH5" s="218">
        <v>15</v>
      </c>
      <c r="BI5" s="218">
        <v>15</v>
      </c>
      <c r="BJ5" s="218">
        <v>16</v>
      </c>
      <c r="BK5" s="218">
        <v>16</v>
      </c>
      <c r="BL5" s="276">
        <v>16</v>
      </c>
      <c r="BM5" s="275">
        <v>17</v>
      </c>
      <c r="BN5" s="218">
        <v>17</v>
      </c>
      <c r="BO5" s="218">
        <v>17</v>
      </c>
      <c r="BP5" s="218">
        <v>18</v>
      </c>
      <c r="BQ5" s="218">
        <v>18</v>
      </c>
      <c r="BR5" s="218">
        <v>18</v>
      </c>
      <c r="BS5" s="218">
        <v>19</v>
      </c>
      <c r="BT5" s="218">
        <v>19</v>
      </c>
      <c r="BU5" s="218">
        <v>19</v>
      </c>
      <c r="BV5" s="218">
        <v>20</v>
      </c>
      <c r="BW5" s="218">
        <v>20</v>
      </c>
      <c r="BX5" s="276">
        <v>20</v>
      </c>
      <c r="BY5" s="275">
        <v>21</v>
      </c>
      <c r="BZ5" s="218">
        <v>21</v>
      </c>
      <c r="CA5" s="218">
        <v>21</v>
      </c>
      <c r="CB5" s="218">
        <v>22</v>
      </c>
      <c r="CC5" s="218">
        <v>22</v>
      </c>
      <c r="CD5" s="218">
        <v>22</v>
      </c>
      <c r="CE5" s="218">
        <v>23</v>
      </c>
      <c r="CF5" s="218">
        <v>23</v>
      </c>
      <c r="CG5" s="218">
        <v>23</v>
      </c>
      <c r="CH5" s="218">
        <v>24</v>
      </c>
      <c r="CI5" s="218">
        <v>24</v>
      </c>
      <c r="CJ5" s="276">
        <v>24</v>
      </c>
      <c r="CK5" s="275">
        <v>25</v>
      </c>
      <c r="CL5" s="218">
        <v>25</v>
      </c>
      <c r="CM5" s="218">
        <v>25</v>
      </c>
      <c r="CN5" s="218">
        <v>26</v>
      </c>
      <c r="CO5" s="218">
        <v>26</v>
      </c>
      <c r="CP5" s="218">
        <v>26</v>
      </c>
      <c r="CQ5" s="218">
        <v>27</v>
      </c>
      <c r="CR5" s="218">
        <v>27</v>
      </c>
      <c r="CS5" s="218">
        <v>27</v>
      </c>
      <c r="CT5" s="218">
        <v>28</v>
      </c>
      <c r="CU5" s="218">
        <v>28</v>
      </c>
      <c r="CV5" s="276">
        <v>28</v>
      </c>
    </row>
    <row r="6" spans="1:100">
      <c r="A6" s="275"/>
      <c r="B6" s="295" t="s">
        <v>345</v>
      </c>
      <c r="C6" s="299">
        <v>6000</v>
      </c>
      <c r="E6" s="275"/>
      <c r="F6" s="218"/>
      <c r="G6" s="218">
        <v>1</v>
      </c>
      <c r="H6" s="218">
        <v>1</v>
      </c>
      <c r="I6" s="218">
        <v>1</v>
      </c>
      <c r="J6" s="218">
        <v>1</v>
      </c>
      <c r="K6" s="218">
        <v>1</v>
      </c>
      <c r="L6" s="218">
        <v>1</v>
      </c>
      <c r="M6" s="218">
        <v>1</v>
      </c>
      <c r="N6" s="218">
        <v>2</v>
      </c>
      <c r="O6" s="218">
        <v>2</v>
      </c>
      <c r="P6" s="276">
        <v>2</v>
      </c>
      <c r="Q6" s="275">
        <v>2</v>
      </c>
      <c r="R6" s="218">
        <v>2</v>
      </c>
      <c r="S6" s="218">
        <v>2</v>
      </c>
      <c r="T6" s="218">
        <v>3</v>
      </c>
      <c r="U6" s="218">
        <v>3</v>
      </c>
      <c r="V6" s="218">
        <v>3</v>
      </c>
      <c r="W6" s="218">
        <v>3</v>
      </c>
      <c r="X6" s="218">
        <v>3</v>
      </c>
      <c r="Y6" s="218">
        <v>4</v>
      </c>
      <c r="Z6" s="218">
        <v>4</v>
      </c>
      <c r="AA6" s="218">
        <v>4</v>
      </c>
      <c r="AB6" s="276">
        <v>4</v>
      </c>
      <c r="AC6" s="291">
        <v>6</v>
      </c>
      <c r="AD6" s="265">
        <v>6</v>
      </c>
      <c r="AE6" s="265">
        <v>6</v>
      </c>
      <c r="AF6" s="265">
        <v>7</v>
      </c>
      <c r="AG6" s="265">
        <v>7</v>
      </c>
      <c r="AH6" s="265">
        <v>7</v>
      </c>
      <c r="AI6" s="265">
        <v>8</v>
      </c>
      <c r="AJ6" s="265">
        <v>8</v>
      </c>
      <c r="AK6" s="264">
        <v>8</v>
      </c>
      <c r="AL6" s="265">
        <v>8</v>
      </c>
      <c r="AM6" s="265">
        <v>8</v>
      </c>
      <c r="AN6" s="286">
        <v>8</v>
      </c>
      <c r="AO6" s="275">
        <v>9</v>
      </c>
      <c r="AP6" s="218">
        <v>9</v>
      </c>
      <c r="AQ6" s="218">
        <v>9</v>
      </c>
      <c r="AR6" s="218">
        <v>10</v>
      </c>
      <c r="AS6" s="218">
        <v>10</v>
      </c>
      <c r="AT6" s="218">
        <v>10</v>
      </c>
      <c r="AU6" s="218">
        <v>11</v>
      </c>
      <c r="AV6" s="218">
        <v>11</v>
      </c>
      <c r="AW6" s="218">
        <v>11</v>
      </c>
      <c r="AX6" s="218">
        <v>12</v>
      </c>
      <c r="AY6" s="218">
        <v>12</v>
      </c>
      <c r="AZ6" s="276">
        <v>12</v>
      </c>
      <c r="BA6" s="275">
        <v>13</v>
      </c>
      <c r="BB6" s="218">
        <v>13</v>
      </c>
      <c r="BC6" s="218">
        <v>13</v>
      </c>
      <c r="BD6" s="218">
        <v>14</v>
      </c>
      <c r="BE6" s="218">
        <v>14</v>
      </c>
      <c r="BF6" s="218">
        <v>14</v>
      </c>
      <c r="BG6" s="218">
        <v>15</v>
      </c>
      <c r="BH6" s="218">
        <v>15</v>
      </c>
      <c r="BI6" s="218">
        <v>15</v>
      </c>
      <c r="BJ6" s="218">
        <v>16</v>
      </c>
      <c r="BK6" s="218">
        <v>16</v>
      </c>
      <c r="BL6" s="276">
        <v>16</v>
      </c>
      <c r="BM6" s="275">
        <v>17</v>
      </c>
      <c r="BN6" s="218">
        <v>17</v>
      </c>
      <c r="BO6" s="218">
        <v>17</v>
      </c>
      <c r="BP6" s="218">
        <v>18</v>
      </c>
      <c r="BQ6" s="218">
        <v>18</v>
      </c>
      <c r="BR6" s="218">
        <v>18</v>
      </c>
      <c r="BS6" s="218">
        <v>19</v>
      </c>
      <c r="BT6" s="218">
        <v>19</v>
      </c>
      <c r="BU6" s="218">
        <v>19</v>
      </c>
      <c r="BV6" s="218">
        <v>20</v>
      </c>
      <c r="BW6" s="218">
        <v>20</v>
      </c>
      <c r="BX6" s="276">
        <v>20</v>
      </c>
      <c r="BY6" s="275">
        <v>21</v>
      </c>
      <c r="BZ6" s="218">
        <v>21</v>
      </c>
      <c r="CA6" s="218">
        <v>21</v>
      </c>
      <c r="CB6" s="218">
        <v>22</v>
      </c>
      <c r="CC6" s="218">
        <v>22</v>
      </c>
      <c r="CD6" s="218">
        <v>22</v>
      </c>
      <c r="CE6" s="218">
        <v>23</v>
      </c>
      <c r="CF6" s="218">
        <v>23</v>
      </c>
      <c r="CG6" s="218">
        <v>23</v>
      </c>
      <c r="CH6" s="218">
        <v>24</v>
      </c>
      <c r="CI6" s="218">
        <v>24</v>
      </c>
      <c r="CJ6" s="276">
        <v>24</v>
      </c>
      <c r="CK6" s="275">
        <v>25</v>
      </c>
      <c r="CL6" s="218">
        <v>25</v>
      </c>
      <c r="CM6" s="218">
        <v>25</v>
      </c>
      <c r="CN6" s="218">
        <v>26</v>
      </c>
      <c r="CO6" s="218">
        <v>26</v>
      </c>
      <c r="CP6" s="218">
        <v>26</v>
      </c>
      <c r="CQ6" s="218">
        <v>27</v>
      </c>
      <c r="CR6" s="218">
        <v>27</v>
      </c>
      <c r="CS6" s="218">
        <v>27</v>
      </c>
      <c r="CT6" s="218">
        <v>28</v>
      </c>
      <c r="CU6" s="218">
        <v>28</v>
      </c>
      <c r="CV6" s="276">
        <v>28</v>
      </c>
    </row>
    <row r="7" spans="1:100">
      <c r="A7" s="275"/>
      <c r="B7" s="295" t="s">
        <v>346</v>
      </c>
      <c r="C7" s="299">
        <v>4500</v>
      </c>
      <c r="E7" s="275"/>
      <c r="F7" s="218"/>
      <c r="G7" s="218">
        <v>1</v>
      </c>
      <c r="H7" s="218">
        <v>1</v>
      </c>
      <c r="I7" s="218">
        <v>1</v>
      </c>
      <c r="J7" s="218">
        <v>1</v>
      </c>
      <c r="K7" s="218">
        <v>1</v>
      </c>
      <c r="L7" s="218">
        <v>1</v>
      </c>
      <c r="M7" s="218">
        <v>1</v>
      </c>
      <c r="N7" s="218">
        <v>2</v>
      </c>
      <c r="O7" s="218">
        <v>2</v>
      </c>
      <c r="P7" s="276">
        <v>2</v>
      </c>
      <c r="Q7" s="275">
        <v>2</v>
      </c>
      <c r="R7" s="218">
        <v>2</v>
      </c>
      <c r="S7" s="218">
        <v>2</v>
      </c>
      <c r="T7" s="218">
        <v>3</v>
      </c>
      <c r="U7" s="218">
        <v>3</v>
      </c>
      <c r="V7" s="218">
        <v>3</v>
      </c>
      <c r="W7" s="218">
        <v>3</v>
      </c>
      <c r="X7" s="218">
        <v>3</v>
      </c>
      <c r="Y7" s="218">
        <v>4</v>
      </c>
      <c r="Z7" s="218">
        <v>4</v>
      </c>
      <c r="AA7" s="218">
        <v>4</v>
      </c>
      <c r="AB7" s="276">
        <v>4</v>
      </c>
      <c r="AC7" s="291">
        <v>6</v>
      </c>
      <c r="AD7" s="265">
        <v>6</v>
      </c>
      <c r="AE7" s="265">
        <v>6</v>
      </c>
      <c r="AF7" s="265">
        <v>7</v>
      </c>
      <c r="AG7" s="265">
        <v>7</v>
      </c>
      <c r="AH7" s="265">
        <v>7</v>
      </c>
      <c r="AI7" s="265">
        <v>8</v>
      </c>
      <c r="AJ7" s="265">
        <v>8</v>
      </c>
      <c r="AK7" s="264">
        <v>8</v>
      </c>
      <c r="AL7" s="265">
        <v>8</v>
      </c>
      <c r="AM7" s="265">
        <v>8</v>
      </c>
      <c r="AN7" s="286">
        <v>8</v>
      </c>
      <c r="AO7" s="275">
        <v>9</v>
      </c>
      <c r="AP7" s="218">
        <v>9</v>
      </c>
      <c r="AQ7" s="218">
        <v>9</v>
      </c>
      <c r="AR7" s="218">
        <v>9</v>
      </c>
      <c r="AS7" s="218">
        <v>9</v>
      </c>
      <c r="AT7" s="218">
        <v>9</v>
      </c>
      <c r="AU7" s="218">
        <v>10</v>
      </c>
      <c r="AV7" s="218">
        <v>10</v>
      </c>
      <c r="AW7" s="218">
        <v>10</v>
      </c>
      <c r="AX7" s="218">
        <v>10</v>
      </c>
      <c r="AY7" s="218">
        <v>10</v>
      </c>
      <c r="AZ7" s="276">
        <v>10</v>
      </c>
      <c r="BA7" s="275">
        <v>11</v>
      </c>
      <c r="BB7" s="218">
        <v>11</v>
      </c>
      <c r="BC7" s="218">
        <v>11</v>
      </c>
      <c r="BD7" s="218">
        <v>11</v>
      </c>
      <c r="BE7" s="218">
        <v>11</v>
      </c>
      <c r="BF7" s="218">
        <v>11</v>
      </c>
      <c r="BG7" s="218">
        <v>11</v>
      </c>
      <c r="BH7" s="218">
        <v>11</v>
      </c>
      <c r="BI7" s="218">
        <v>11</v>
      </c>
      <c r="BJ7" s="218">
        <v>11</v>
      </c>
      <c r="BK7" s="218">
        <v>11</v>
      </c>
      <c r="BL7" s="276">
        <v>11</v>
      </c>
      <c r="BM7" s="275">
        <v>12</v>
      </c>
      <c r="BN7" s="218">
        <v>12</v>
      </c>
      <c r="BO7" s="218">
        <v>12</v>
      </c>
      <c r="BP7" s="218">
        <v>12</v>
      </c>
      <c r="BQ7" s="218">
        <v>12</v>
      </c>
      <c r="BR7" s="218">
        <v>12</v>
      </c>
      <c r="BS7" s="218">
        <v>13</v>
      </c>
      <c r="BT7" s="218">
        <v>13</v>
      </c>
      <c r="BU7" s="218">
        <v>13</v>
      </c>
      <c r="BV7" s="218">
        <v>13</v>
      </c>
      <c r="BW7" s="218">
        <v>13</v>
      </c>
      <c r="BX7" s="276">
        <v>13</v>
      </c>
      <c r="BY7" s="275">
        <v>14</v>
      </c>
      <c r="BZ7" s="218">
        <v>14</v>
      </c>
      <c r="CA7" s="218">
        <v>14</v>
      </c>
      <c r="CB7" s="218">
        <v>14</v>
      </c>
      <c r="CC7" s="218">
        <v>14</v>
      </c>
      <c r="CD7" s="218">
        <v>14</v>
      </c>
      <c r="CE7" s="218">
        <v>15</v>
      </c>
      <c r="CF7" s="218">
        <v>15</v>
      </c>
      <c r="CG7" s="218">
        <v>15</v>
      </c>
      <c r="CH7" s="218">
        <v>15</v>
      </c>
      <c r="CI7" s="218">
        <v>15</v>
      </c>
      <c r="CJ7" s="276">
        <v>15</v>
      </c>
      <c r="CK7" s="275">
        <v>16</v>
      </c>
      <c r="CL7" s="218">
        <v>16</v>
      </c>
      <c r="CM7" s="218">
        <v>16</v>
      </c>
      <c r="CN7" s="218">
        <v>16</v>
      </c>
      <c r="CO7" s="218">
        <v>16</v>
      </c>
      <c r="CP7" s="218">
        <v>16</v>
      </c>
      <c r="CQ7" s="218">
        <v>17</v>
      </c>
      <c r="CR7" s="218">
        <v>17</v>
      </c>
      <c r="CS7" s="218">
        <v>17</v>
      </c>
      <c r="CT7" s="218">
        <v>17</v>
      </c>
      <c r="CU7" s="218">
        <v>17</v>
      </c>
      <c r="CV7" s="276">
        <v>17</v>
      </c>
    </row>
    <row r="8" spans="1:100" s="269" customFormat="1">
      <c r="A8" s="280"/>
      <c r="B8" s="388" t="s">
        <v>347</v>
      </c>
      <c r="C8" s="388"/>
      <c r="E8" s="277">
        <f>$C4*E4+$C5*E5+$C6*E6+$C7*E7</f>
        <v>0</v>
      </c>
      <c r="F8" s="278">
        <f>$C4*F4+$C5*F5+$C6*F6+$C7*F7</f>
        <v>0</v>
      </c>
      <c r="G8" s="278">
        <f t="shared" ref="G8:P8" si="0">$C4*G4+$C5*G5+$C6*G6+$C7*G7</f>
        <v>24000</v>
      </c>
      <c r="H8" s="278">
        <f t="shared" si="0"/>
        <v>24000</v>
      </c>
      <c r="I8" s="278">
        <f t="shared" si="0"/>
        <v>24000</v>
      </c>
      <c r="J8" s="278">
        <f t="shared" si="0"/>
        <v>24000</v>
      </c>
      <c r="K8" s="278">
        <f t="shared" si="0"/>
        <v>24000</v>
      </c>
      <c r="L8" s="278">
        <f t="shared" si="0"/>
        <v>24000</v>
      </c>
      <c r="M8" s="278">
        <f t="shared" si="0"/>
        <v>24000</v>
      </c>
      <c r="N8" s="278">
        <f t="shared" si="0"/>
        <v>48000</v>
      </c>
      <c r="O8" s="278">
        <f t="shared" si="0"/>
        <v>48000</v>
      </c>
      <c r="P8" s="279">
        <f t="shared" si="0"/>
        <v>48000</v>
      </c>
      <c r="Q8" s="277">
        <f t="shared" ref="Q8:AV8" si="1">$C4*Q4+$C5*Q5+$C6*Q6+$C7*Q7</f>
        <v>48000</v>
      </c>
      <c r="R8" s="278">
        <f t="shared" si="1"/>
        <v>48000</v>
      </c>
      <c r="S8" s="278">
        <f t="shared" si="1"/>
        <v>48000</v>
      </c>
      <c r="T8" s="278">
        <f t="shared" si="1"/>
        <v>72000</v>
      </c>
      <c r="U8" s="278">
        <f t="shared" si="1"/>
        <v>72000</v>
      </c>
      <c r="V8" s="278">
        <f t="shared" si="1"/>
        <v>72000</v>
      </c>
      <c r="W8" s="278">
        <f t="shared" si="1"/>
        <v>72000</v>
      </c>
      <c r="X8" s="278">
        <f t="shared" si="1"/>
        <v>72000</v>
      </c>
      <c r="Y8" s="278">
        <f t="shared" si="1"/>
        <v>96000</v>
      </c>
      <c r="Z8" s="278">
        <f t="shared" si="1"/>
        <v>96000</v>
      </c>
      <c r="AA8" s="278">
        <f t="shared" si="1"/>
        <v>96000</v>
      </c>
      <c r="AB8" s="279">
        <f t="shared" si="1"/>
        <v>96000</v>
      </c>
      <c r="AC8" s="277">
        <f t="shared" si="1"/>
        <v>144000</v>
      </c>
      <c r="AD8" s="278">
        <f t="shared" si="1"/>
        <v>144000</v>
      </c>
      <c r="AE8" s="278">
        <f t="shared" si="1"/>
        <v>144000</v>
      </c>
      <c r="AF8" s="278">
        <f t="shared" si="1"/>
        <v>168000</v>
      </c>
      <c r="AG8" s="278">
        <f t="shared" si="1"/>
        <v>168000</v>
      </c>
      <c r="AH8" s="278">
        <f t="shared" si="1"/>
        <v>168000</v>
      </c>
      <c r="AI8" s="278">
        <f t="shared" si="1"/>
        <v>192000</v>
      </c>
      <c r="AJ8" s="278">
        <f t="shared" si="1"/>
        <v>192000</v>
      </c>
      <c r="AK8" s="278">
        <f t="shared" si="1"/>
        <v>192000</v>
      </c>
      <c r="AL8" s="278">
        <f t="shared" si="1"/>
        <v>192000</v>
      </c>
      <c r="AM8" s="278">
        <f t="shared" si="1"/>
        <v>192000</v>
      </c>
      <c r="AN8" s="279">
        <f t="shared" si="1"/>
        <v>192000</v>
      </c>
      <c r="AO8" s="277">
        <f t="shared" si="1"/>
        <v>216000</v>
      </c>
      <c r="AP8" s="278">
        <f t="shared" si="1"/>
        <v>216000</v>
      </c>
      <c r="AQ8" s="278">
        <f t="shared" si="1"/>
        <v>216000</v>
      </c>
      <c r="AR8" s="278">
        <f t="shared" si="1"/>
        <v>235500</v>
      </c>
      <c r="AS8" s="278">
        <f t="shared" si="1"/>
        <v>235500</v>
      </c>
      <c r="AT8" s="278">
        <f t="shared" si="1"/>
        <v>235500</v>
      </c>
      <c r="AU8" s="278">
        <f t="shared" si="1"/>
        <v>259500</v>
      </c>
      <c r="AV8" s="278">
        <f t="shared" si="1"/>
        <v>259500</v>
      </c>
      <c r="AW8" s="278">
        <f t="shared" ref="AW8:CB8" si="2">$C4*AW4+$C5*AW5+$C6*AW6+$C7*AW7</f>
        <v>259500</v>
      </c>
      <c r="AX8" s="278">
        <f t="shared" si="2"/>
        <v>279000</v>
      </c>
      <c r="AY8" s="278">
        <f t="shared" si="2"/>
        <v>279000</v>
      </c>
      <c r="AZ8" s="279">
        <f t="shared" si="2"/>
        <v>279000</v>
      </c>
      <c r="BA8" s="277">
        <f t="shared" si="2"/>
        <v>303000</v>
      </c>
      <c r="BB8" s="278">
        <f t="shared" si="2"/>
        <v>303000</v>
      </c>
      <c r="BC8" s="278">
        <f t="shared" si="2"/>
        <v>303000</v>
      </c>
      <c r="BD8" s="278">
        <f t="shared" si="2"/>
        <v>322500</v>
      </c>
      <c r="BE8" s="278">
        <f t="shared" si="2"/>
        <v>322500</v>
      </c>
      <c r="BF8" s="278">
        <f t="shared" si="2"/>
        <v>322500</v>
      </c>
      <c r="BG8" s="278">
        <f t="shared" si="2"/>
        <v>342000</v>
      </c>
      <c r="BH8" s="278">
        <f t="shared" si="2"/>
        <v>342000</v>
      </c>
      <c r="BI8" s="278">
        <f t="shared" si="2"/>
        <v>342000</v>
      </c>
      <c r="BJ8" s="278">
        <f t="shared" si="2"/>
        <v>361500</v>
      </c>
      <c r="BK8" s="278">
        <f t="shared" si="2"/>
        <v>361500</v>
      </c>
      <c r="BL8" s="279">
        <f t="shared" si="2"/>
        <v>361500</v>
      </c>
      <c r="BM8" s="277">
        <f t="shared" si="2"/>
        <v>385500</v>
      </c>
      <c r="BN8" s="278">
        <f t="shared" si="2"/>
        <v>385500</v>
      </c>
      <c r="BO8" s="278">
        <f t="shared" si="2"/>
        <v>385500</v>
      </c>
      <c r="BP8" s="278">
        <f t="shared" si="2"/>
        <v>405000</v>
      </c>
      <c r="BQ8" s="278">
        <f t="shared" si="2"/>
        <v>405000</v>
      </c>
      <c r="BR8" s="278">
        <f t="shared" si="2"/>
        <v>405000</v>
      </c>
      <c r="BS8" s="278">
        <f t="shared" si="2"/>
        <v>429000</v>
      </c>
      <c r="BT8" s="278">
        <f t="shared" si="2"/>
        <v>429000</v>
      </c>
      <c r="BU8" s="278">
        <f t="shared" si="2"/>
        <v>429000</v>
      </c>
      <c r="BV8" s="278">
        <f t="shared" si="2"/>
        <v>448500</v>
      </c>
      <c r="BW8" s="278">
        <f t="shared" si="2"/>
        <v>448500</v>
      </c>
      <c r="BX8" s="279">
        <f t="shared" si="2"/>
        <v>448500</v>
      </c>
      <c r="BY8" s="277">
        <f t="shared" si="2"/>
        <v>472500</v>
      </c>
      <c r="BZ8" s="278">
        <f t="shared" si="2"/>
        <v>472500</v>
      </c>
      <c r="CA8" s="278">
        <f t="shared" si="2"/>
        <v>472500</v>
      </c>
      <c r="CB8" s="278">
        <f t="shared" si="2"/>
        <v>492000</v>
      </c>
      <c r="CC8" s="278">
        <f t="shared" ref="CC8:CV8" si="3">$C4*CC4+$C5*CC5+$C6*CC6+$C7*CC7</f>
        <v>492000</v>
      </c>
      <c r="CD8" s="278">
        <f t="shared" si="3"/>
        <v>492000</v>
      </c>
      <c r="CE8" s="278">
        <f t="shared" si="3"/>
        <v>516000</v>
      </c>
      <c r="CF8" s="278">
        <f t="shared" si="3"/>
        <v>516000</v>
      </c>
      <c r="CG8" s="278">
        <f t="shared" si="3"/>
        <v>516000</v>
      </c>
      <c r="CH8" s="278">
        <f t="shared" si="3"/>
        <v>535500</v>
      </c>
      <c r="CI8" s="278">
        <f t="shared" si="3"/>
        <v>535500</v>
      </c>
      <c r="CJ8" s="279">
        <f t="shared" si="3"/>
        <v>535500</v>
      </c>
      <c r="CK8" s="277">
        <f t="shared" si="3"/>
        <v>559500</v>
      </c>
      <c r="CL8" s="278">
        <f t="shared" si="3"/>
        <v>559500</v>
      </c>
      <c r="CM8" s="278">
        <f t="shared" si="3"/>
        <v>559500</v>
      </c>
      <c r="CN8" s="278">
        <f t="shared" si="3"/>
        <v>579000</v>
      </c>
      <c r="CO8" s="278">
        <f t="shared" si="3"/>
        <v>579000</v>
      </c>
      <c r="CP8" s="278">
        <f t="shared" si="3"/>
        <v>579000</v>
      </c>
      <c r="CQ8" s="278">
        <f t="shared" si="3"/>
        <v>603000</v>
      </c>
      <c r="CR8" s="278">
        <f t="shared" si="3"/>
        <v>603000</v>
      </c>
      <c r="CS8" s="278">
        <f t="shared" si="3"/>
        <v>603000</v>
      </c>
      <c r="CT8" s="278">
        <f t="shared" si="3"/>
        <v>622500</v>
      </c>
      <c r="CU8" s="278">
        <f t="shared" si="3"/>
        <v>622500</v>
      </c>
      <c r="CV8" s="279">
        <f t="shared" si="3"/>
        <v>622500</v>
      </c>
    </row>
    <row r="9" spans="1:100">
      <c r="A9" s="387"/>
      <c r="B9" s="389" t="s">
        <v>348</v>
      </c>
      <c r="C9" s="389"/>
      <c r="E9" s="275">
        <f>SUM(E4:E7)</f>
        <v>0</v>
      </c>
      <c r="F9" s="218">
        <f>SUM(F4:F7)</f>
        <v>0</v>
      </c>
      <c r="G9" s="218">
        <f t="shared" ref="G9:P9" si="4">SUM(G4:G7)</f>
        <v>4</v>
      </c>
      <c r="H9" s="218">
        <f t="shared" si="4"/>
        <v>4</v>
      </c>
      <c r="I9" s="218">
        <f t="shared" si="4"/>
        <v>4</v>
      </c>
      <c r="J9" s="218">
        <f t="shared" si="4"/>
        <v>4</v>
      </c>
      <c r="K9" s="218">
        <f t="shared" si="4"/>
        <v>4</v>
      </c>
      <c r="L9" s="218">
        <f t="shared" si="4"/>
        <v>4</v>
      </c>
      <c r="M9" s="218">
        <f t="shared" si="4"/>
        <v>4</v>
      </c>
      <c r="N9" s="218">
        <f t="shared" si="4"/>
        <v>8</v>
      </c>
      <c r="O9" s="218">
        <f t="shared" si="4"/>
        <v>8</v>
      </c>
      <c r="P9" s="276">
        <f t="shared" si="4"/>
        <v>8</v>
      </c>
      <c r="Q9" s="275">
        <f t="shared" ref="Q9:AB9" si="5">SUM(Q4:Q7)</f>
        <v>8</v>
      </c>
      <c r="R9" s="218">
        <f t="shared" si="5"/>
        <v>8</v>
      </c>
      <c r="S9" s="218">
        <f t="shared" si="5"/>
        <v>8</v>
      </c>
      <c r="T9" s="218">
        <f t="shared" si="5"/>
        <v>12</v>
      </c>
      <c r="U9" s="218">
        <f t="shared" si="5"/>
        <v>12</v>
      </c>
      <c r="V9" s="218">
        <f t="shared" si="5"/>
        <v>12</v>
      </c>
      <c r="W9" s="218">
        <f t="shared" si="5"/>
        <v>12</v>
      </c>
      <c r="X9" s="218">
        <f t="shared" si="5"/>
        <v>12</v>
      </c>
      <c r="Y9" s="218">
        <f t="shared" si="5"/>
        <v>16</v>
      </c>
      <c r="Z9" s="218">
        <f t="shared" si="5"/>
        <v>16</v>
      </c>
      <c r="AA9" s="218">
        <f t="shared" si="5"/>
        <v>16</v>
      </c>
      <c r="AB9" s="276">
        <f t="shared" si="5"/>
        <v>16</v>
      </c>
      <c r="AC9" s="275">
        <f t="shared" ref="AC9:AN9" si="6">SUM(AC4:AC7)</f>
        <v>24</v>
      </c>
      <c r="AD9" s="218">
        <f t="shared" si="6"/>
        <v>24</v>
      </c>
      <c r="AE9" s="218">
        <f t="shared" si="6"/>
        <v>24</v>
      </c>
      <c r="AF9" s="218">
        <f t="shared" si="6"/>
        <v>28</v>
      </c>
      <c r="AG9" s="218">
        <f t="shared" si="6"/>
        <v>28</v>
      </c>
      <c r="AH9" s="218">
        <f t="shared" si="6"/>
        <v>28</v>
      </c>
      <c r="AI9" s="218">
        <f t="shared" si="6"/>
        <v>32</v>
      </c>
      <c r="AJ9" s="218">
        <f t="shared" si="6"/>
        <v>32</v>
      </c>
      <c r="AK9" s="218">
        <f t="shared" si="6"/>
        <v>32</v>
      </c>
      <c r="AL9" s="218">
        <f t="shared" si="6"/>
        <v>32</v>
      </c>
      <c r="AM9" s="218">
        <f t="shared" si="6"/>
        <v>32</v>
      </c>
      <c r="AN9" s="276">
        <f t="shared" si="6"/>
        <v>32</v>
      </c>
      <c r="AO9" s="275">
        <f t="shared" ref="AO9:AZ9" si="7">SUM(AO4:AO7)</f>
        <v>36</v>
      </c>
      <c r="AP9" s="218">
        <f t="shared" si="7"/>
        <v>36</v>
      </c>
      <c r="AQ9" s="218">
        <f t="shared" si="7"/>
        <v>36</v>
      </c>
      <c r="AR9" s="218">
        <f t="shared" si="7"/>
        <v>39</v>
      </c>
      <c r="AS9" s="218">
        <f t="shared" si="7"/>
        <v>39</v>
      </c>
      <c r="AT9" s="218">
        <f t="shared" si="7"/>
        <v>39</v>
      </c>
      <c r="AU9" s="218">
        <f t="shared" si="7"/>
        <v>43</v>
      </c>
      <c r="AV9" s="218">
        <f t="shared" si="7"/>
        <v>43</v>
      </c>
      <c r="AW9" s="218">
        <f t="shared" si="7"/>
        <v>43</v>
      </c>
      <c r="AX9" s="218">
        <f t="shared" si="7"/>
        <v>46</v>
      </c>
      <c r="AY9" s="218">
        <f t="shared" si="7"/>
        <v>46</v>
      </c>
      <c r="AZ9" s="276">
        <f t="shared" si="7"/>
        <v>46</v>
      </c>
      <c r="BA9" s="275">
        <f t="shared" ref="BA9:CV9" si="8">SUM(BA4:BA7)</f>
        <v>50</v>
      </c>
      <c r="BB9" s="218">
        <f t="shared" si="8"/>
        <v>50</v>
      </c>
      <c r="BC9" s="218">
        <f t="shared" si="8"/>
        <v>50</v>
      </c>
      <c r="BD9" s="218">
        <f t="shared" si="8"/>
        <v>53</v>
      </c>
      <c r="BE9" s="218">
        <f t="shared" si="8"/>
        <v>53</v>
      </c>
      <c r="BF9" s="218">
        <f t="shared" si="8"/>
        <v>53</v>
      </c>
      <c r="BG9" s="218">
        <f t="shared" si="8"/>
        <v>56</v>
      </c>
      <c r="BH9" s="218">
        <f t="shared" si="8"/>
        <v>56</v>
      </c>
      <c r="BI9" s="218">
        <f t="shared" si="8"/>
        <v>56</v>
      </c>
      <c r="BJ9" s="218">
        <f t="shared" si="8"/>
        <v>59</v>
      </c>
      <c r="BK9" s="218">
        <f t="shared" si="8"/>
        <v>59</v>
      </c>
      <c r="BL9" s="276">
        <f t="shared" si="8"/>
        <v>59</v>
      </c>
      <c r="BM9" s="275">
        <f t="shared" si="8"/>
        <v>63</v>
      </c>
      <c r="BN9" s="218">
        <f t="shared" si="8"/>
        <v>63</v>
      </c>
      <c r="BO9" s="218">
        <f t="shared" si="8"/>
        <v>63</v>
      </c>
      <c r="BP9" s="218">
        <f t="shared" si="8"/>
        <v>66</v>
      </c>
      <c r="BQ9" s="218">
        <f t="shared" si="8"/>
        <v>66</v>
      </c>
      <c r="BR9" s="218">
        <f t="shared" si="8"/>
        <v>66</v>
      </c>
      <c r="BS9" s="218">
        <f t="shared" si="8"/>
        <v>70</v>
      </c>
      <c r="BT9" s="218">
        <f t="shared" si="8"/>
        <v>70</v>
      </c>
      <c r="BU9" s="218">
        <f t="shared" si="8"/>
        <v>70</v>
      </c>
      <c r="BV9" s="218">
        <f t="shared" si="8"/>
        <v>73</v>
      </c>
      <c r="BW9" s="218">
        <f t="shared" si="8"/>
        <v>73</v>
      </c>
      <c r="BX9" s="276">
        <f t="shared" si="8"/>
        <v>73</v>
      </c>
      <c r="BY9" s="275">
        <f t="shared" si="8"/>
        <v>77</v>
      </c>
      <c r="BZ9" s="218">
        <f t="shared" si="8"/>
        <v>77</v>
      </c>
      <c r="CA9" s="218">
        <f t="shared" si="8"/>
        <v>77</v>
      </c>
      <c r="CB9" s="218">
        <f t="shared" si="8"/>
        <v>80</v>
      </c>
      <c r="CC9" s="218">
        <f t="shared" si="8"/>
        <v>80</v>
      </c>
      <c r="CD9" s="218">
        <f t="shared" si="8"/>
        <v>80</v>
      </c>
      <c r="CE9" s="218">
        <f t="shared" si="8"/>
        <v>84</v>
      </c>
      <c r="CF9" s="218">
        <f t="shared" si="8"/>
        <v>84</v>
      </c>
      <c r="CG9" s="218">
        <f t="shared" si="8"/>
        <v>84</v>
      </c>
      <c r="CH9" s="218">
        <f t="shared" si="8"/>
        <v>87</v>
      </c>
      <c r="CI9" s="218">
        <f t="shared" si="8"/>
        <v>87</v>
      </c>
      <c r="CJ9" s="276">
        <f t="shared" si="8"/>
        <v>87</v>
      </c>
      <c r="CK9" s="275">
        <f t="shared" si="8"/>
        <v>91</v>
      </c>
      <c r="CL9" s="218">
        <f t="shared" si="8"/>
        <v>91</v>
      </c>
      <c r="CM9" s="218">
        <f t="shared" si="8"/>
        <v>91</v>
      </c>
      <c r="CN9" s="218">
        <f t="shared" si="8"/>
        <v>94</v>
      </c>
      <c r="CO9" s="218">
        <f t="shared" si="8"/>
        <v>94</v>
      </c>
      <c r="CP9" s="218">
        <f t="shared" si="8"/>
        <v>94</v>
      </c>
      <c r="CQ9" s="218">
        <f t="shared" si="8"/>
        <v>98</v>
      </c>
      <c r="CR9" s="218">
        <f t="shared" si="8"/>
        <v>98</v>
      </c>
      <c r="CS9" s="218">
        <f t="shared" si="8"/>
        <v>98</v>
      </c>
      <c r="CT9" s="218">
        <f t="shared" si="8"/>
        <v>101</v>
      </c>
      <c r="CU9" s="218">
        <f t="shared" si="8"/>
        <v>101</v>
      </c>
      <c r="CV9" s="276">
        <f t="shared" si="8"/>
        <v>101</v>
      </c>
    </row>
    <row r="10" spans="1:100">
      <c r="E10" s="275"/>
      <c r="F10" s="218"/>
      <c r="G10" s="218"/>
      <c r="H10" s="218"/>
      <c r="I10" s="218"/>
      <c r="J10" s="218"/>
      <c r="K10" s="218"/>
      <c r="L10" s="218"/>
      <c r="M10" s="218"/>
      <c r="N10" s="218"/>
      <c r="O10" s="218"/>
      <c r="P10" s="276"/>
      <c r="Q10" s="275"/>
      <c r="R10" s="218"/>
      <c r="S10" s="218"/>
      <c r="T10" s="218"/>
      <c r="U10" s="264"/>
      <c r="V10" s="264"/>
      <c r="W10" s="264"/>
      <c r="X10" s="264"/>
      <c r="Y10" s="264"/>
      <c r="Z10" s="264"/>
      <c r="AA10" s="264"/>
      <c r="AB10" s="286"/>
      <c r="AC10" s="291"/>
      <c r="AD10" s="265"/>
      <c r="AE10" s="264"/>
      <c r="AF10" s="264"/>
      <c r="AG10" s="264"/>
      <c r="AH10" s="264"/>
      <c r="AI10" s="264"/>
      <c r="AJ10" s="264"/>
      <c r="AK10" s="264"/>
      <c r="AL10" s="264"/>
      <c r="AM10" s="264"/>
      <c r="AN10" s="286"/>
      <c r="AO10" s="293"/>
      <c r="AP10" s="264"/>
      <c r="AQ10" s="264"/>
      <c r="AR10" s="264"/>
      <c r="AS10" s="264"/>
      <c r="AT10" s="264"/>
      <c r="AU10" s="264"/>
      <c r="AV10" s="264"/>
      <c r="AW10" s="264"/>
      <c r="AX10" s="264"/>
      <c r="AY10" s="264"/>
      <c r="AZ10" s="286"/>
      <c r="BA10" s="275"/>
      <c r="BB10" s="218"/>
      <c r="BC10" s="218"/>
      <c r="BD10" s="218"/>
      <c r="BE10" s="218"/>
      <c r="BF10" s="218"/>
      <c r="BG10" s="218"/>
      <c r="BH10" s="218"/>
      <c r="BI10" s="218"/>
      <c r="BJ10" s="218"/>
      <c r="BK10" s="218"/>
      <c r="BL10" s="276"/>
      <c r="BM10" s="275"/>
      <c r="BN10" s="218"/>
      <c r="BO10" s="218"/>
      <c r="BP10" s="218"/>
      <c r="BQ10" s="218"/>
      <c r="BR10" s="218"/>
      <c r="BS10" s="218"/>
      <c r="BT10" s="218"/>
      <c r="BU10" s="218"/>
      <c r="BV10" s="218"/>
      <c r="BW10" s="218"/>
      <c r="BX10" s="276"/>
      <c r="BY10" s="275"/>
      <c r="BZ10" s="218"/>
      <c r="CA10" s="218"/>
      <c r="CB10" s="218"/>
      <c r="CC10" s="218"/>
      <c r="CD10" s="218"/>
      <c r="CE10" s="218"/>
      <c r="CF10" s="218"/>
      <c r="CG10" s="218"/>
      <c r="CH10" s="218"/>
      <c r="CI10" s="218"/>
      <c r="CJ10" s="276"/>
      <c r="CK10" s="275"/>
      <c r="CL10" s="218"/>
      <c r="CM10" s="218"/>
      <c r="CN10" s="218"/>
      <c r="CO10" s="218"/>
      <c r="CP10" s="218"/>
      <c r="CQ10" s="218"/>
      <c r="CR10" s="218"/>
      <c r="CS10" s="218"/>
      <c r="CT10" s="218"/>
      <c r="CU10" s="218"/>
      <c r="CV10" s="276"/>
    </row>
    <row r="11" spans="1:100">
      <c r="A11" s="302" t="s">
        <v>275</v>
      </c>
      <c r="B11" s="295" t="s">
        <v>343</v>
      </c>
      <c r="C11" s="299">
        <v>7500</v>
      </c>
      <c r="E11" s="275">
        <v>0</v>
      </c>
      <c r="F11" s="218">
        <v>0</v>
      </c>
      <c r="G11" s="218">
        <v>1</v>
      </c>
      <c r="H11" s="218">
        <v>1</v>
      </c>
      <c r="I11" s="218">
        <v>1</v>
      </c>
      <c r="J11" s="218">
        <v>1</v>
      </c>
      <c r="K11" s="218">
        <v>1</v>
      </c>
      <c r="L11" s="218">
        <v>1</v>
      </c>
      <c r="M11" s="218">
        <v>1</v>
      </c>
      <c r="N11" s="218">
        <v>2</v>
      </c>
      <c r="O11" s="218">
        <v>2</v>
      </c>
      <c r="P11" s="276">
        <v>2</v>
      </c>
      <c r="Q11" s="275">
        <v>3</v>
      </c>
      <c r="R11" s="218">
        <v>3</v>
      </c>
      <c r="S11" s="218">
        <v>3</v>
      </c>
      <c r="T11" s="218">
        <v>4</v>
      </c>
      <c r="U11" s="218">
        <v>4</v>
      </c>
      <c r="V11" s="218">
        <v>4</v>
      </c>
      <c r="W11" s="218">
        <v>4</v>
      </c>
      <c r="X11" s="218">
        <v>4</v>
      </c>
      <c r="Y11" s="218">
        <v>5</v>
      </c>
      <c r="Z11" s="218">
        <v>5</v>
      </c>
      <c r="AA11" s="218">
        <v>5</v>
      </c>
      <c r="AB11" s="276">
        <v>5</v>
      </c>
      <c r="AC11" s="291">
        <v>7</v>
      </c>
      <c r="AD11" s="265">
        <v>7</v>
      </c>
      <c r="AE11" s="264">
        <v>7</v>
      </c>
      <c r="AF11" s="264">
        <v>8</v>
      </c>
      <c r="AG11" s="264">
        <v>8</v>
      </c>
      <c r="AH11" s="264">
        <v>8</v>
      </c>
      <c r="AI11" s="264">
        <v>9</v>
      </c>
      <c r="AJ11" s="264">
        <v>9</v>
      </c>
      <c r="AK11" s="264">
        <v>9</v>
      </c>
      <c r="AL11" s="264">
        <v>10</v>
      </c>
      <c r="AM11" s="264">
        <v>10</v>
      </c>
      <c r="AN11" s="286">
        <v>10</v>
      </c>
      <c r="AO11" s="293">
        <v>11</v>
      </c>
      <c r="AP11" s="264">
        <v>11</v>
      </c>
      <c r="AQ11" s="264">
        <v>11</v>
      </c>
      <c r="AR11" s="264">
        <v>13</v>
      </c>
      <c r="AS11" s="264">
        <v>13</v>
      </c>
      <c r="AT11" s="264">
        <v>13</v>
      </c>
      <c r="AU11" s="264">
        <v>15</v>
      </c>
      <c r="AV11" s="264">
        <v>15</v>
      </c>
      <c r="AW11" s="264">
        <v>15</v>
      </c>
      <c r="AX11" s="264">
        <v>17</v>
      </c>
      <c r="AY11" s="264">
        <v>17</v>
      </c>
      <c r="AZ11" s="286">
        <v>17</v>
      </c>
      <c r="BA11" s="275">
        <v>19</v>
      </c>
      <c r="BB11" s="218">
        <v>19</v>
      </c>
      <c r="BC11" s="218">
        <v>19</v>
      </c>
      <c r="BD11" s="218">
        <v>21</v>
      </c>
      <c r="BE11" s="218">
        <v>21</v>
      </c>
      <c r="BF11" s="218">
        <v>21</v>
      </c>
      <c r="BG11" s="218">
        <v>23</v>
      </c>
      <c r="BH11" s="218">
        <v>23</v>
      </c>
      <c r="BI11" s="218">
        <v>23</v>
      </c>
      <c r="BJ11" s="218">
        <v>25</v>
      </c>
      <c r="BK11" s="218">
        <v>25</v>
      </c>
      <c r="BL11" s="276">
        <v>25</v>
      </c>
      <c r="BM11" s="275">
        <v>27</v>
      </c>
      <c r="BN11" s="218">
        <v>27</v>
      </c>
      <c r="BO11" s="218">
        <v>27</v>
      </c>
      <c r="BP11" s="218">
        <v>29</v>
      </c>
      <c r="BQ11" s="218">
        <v>29</v>
      </c>
      <c r="BR11" s="218">
        <v>29</v>
      </c>
      <c r="BS11" s="218">
        <v>31</v>
      </c>
      <c r="BT11" s="218">
        <v>31</v>
      </c>
      <c r="BU11" s="218">
        <v>31</v>
      </c>
      <c r="BV11" s="218">
        <v>33</v>
      </c>
      <c r="BW11" s="218">
        <v>33</v>
      </c>
      <c r="BX11" s="276">
        <v>33</v>
      </c>
      <c r="BY11" s="275">
        <v>35</v>
      </c>
      <c r="BZ11" s="218">
        <v>35</v>
      </c>
      <c r="CA11" s="218">
        <v>35</v>
      </c>
      <c r="CB11" s="218">
        <v>37</v>
      </c>
      <c r="CC11" s="218">
        <v>37</v>
      </c>
      <c r="CD11" s="218">
        <v>37</v>
      </c>
      <c r="CE11" s="218">
        <v>39</v>
      </c>
      <c r="CF11" s="218">
        <v>39</v>
      </c>
      <c r="CG11" s="218">
        <v>39</v>
      </c>
      <c r="CH11" s="218">
        <v>41</v>
      </c>
      <c r="CI11" s="218">
        <v>41</v>
      </c>
      <c r="CJ11" s="276">
        <v>41</v>
      </c>
      <c r="CK11" s="275">
        <v>43</v>
      </c>
      <c r="CL11" s="218">
        <v>43</v>
      </c>
      <c r="CM11" s="218">
        <v>43</v>
      </c>
      <c r="CN11" s="218">
        <v>45</v>
      </c>
      <c r="CO11" s="218">
        <v>45</v>
      </c>
      <c r="CP11" s="218">
        <v>45</v>
      </c>
      <c r="CQ11" s="218">
        <v>47</v>
      </c>
      <c r="CR11" s="218">
        <v>47</v>
      </c>
      <c r="CS11" s="218">
        <v>47</v>
      </c>
      <c r="CT11" s="218">
        <v>49</v>
      </c>
      <c r="CU11" s="218">
        <v>49</v>
      </c>
      <c r="CV11" s="276">
        <v>49</v>
      </c>
    </row>
    <row r="12" spans="1:100">
      <c r="A12" s="303"/>
      <c r="B12" s="295" t="s">
        <v>344</v>
      </c>
      <c r="C12" s="299">
        <v>6000</v>
      </c>
      <c r="E12" s="275">
        <v>0</v>
      </c>
      <c r="F12" s="218">
        <v>0</v>
      </c>
      <c r="G12" s="218">
        <v>0</v>
      </c>
      <c r="H12" s="218">
        <v>0</v>
      </c>
      <c r="I12" s="218">
        <v>0</v>
      </c>
      <c r="J12" s="218">
        <v>0</v>
      </c>
      <c r="K12" s="218">
        <v>0</v>
      </c>
      <c r="L12" s="218">
        <v>0</v>
      </c>
      <c r="M12" s="218">
        <v>0</v>
      </c>
      <c r="N12" s="218">
        <v>1</v>
      </c>
      <c r="O12" s="218">
        <v>1</v>
      </c>
      <c r="P12" s="276">
        <v>1</v>
      </c>
      <c r="Q12" s="275">
        <v>2</v>
      </c>
      <c r="R12" s="218">
        <v>2</v>
      </c>
      <c r="S12" s="218">
        <v>2</v>
      </c>
      <c r="T12" s="218">
        <v>3</v>
      </c>
      <c r="U12" s="218">
        <v>3</v>
      </c>
      <c r="V12" s="218">
        <v>3</v>
      </c>
      <c r="W12" s="218">
        <v>3</v>
      </c>
      <c r="X12" s="218">
        <v>3</v>
      </c>
      <c r="Y12" s="218">
        <v>4</v>
      </c>
      <c r="Z12" s="218">
        <v>4</v>
      </c>
      <c r="AA12" s="218">
        <v>4</v>
      </c>
      <c r="AB12" s="276">
        <v>4</v>
      </c>
      <c r="AC12" s="291">
        <v>6</v>
      </c>
      <c r="AD12" s="265">
        <v>6</v>
      </c>
      <c r="AE12" s="264">
        <v>6</v>
      </c>
      <c r="AF12" s="265">
        <v>7</v>
      </c>
      <c r="AG12" s="265">
        <v>7</v>
      </c>
      <c r="AH12" s="264">
        <v>7</v>
      </c>
      <c r="AI12" s="264">
        <v>8</v>
      </c>
      <c r="AJ12" s="264">
        <v>8</v>
      </c>
      <c r="AK12" s="264">
        <v>8</v>
      </c>
      <c r="AL12" s="264">
        <v>9</v>
      </c>
      <c r="AM12" s="264">
        <v>9</v>
      </c>
      <c r="AN12" s="286">
        <v>9</v>
      </c>
      <c r="AO12" s="293">
        <v>10</v>
      </c>
      <c r="AP12" s="264">
        <v>10</v>
      </c>
      <c r="AQ12" s="264">
        <v>10</v>
      </c>
      <c r="AR12" s="264">
        <v>12</v>
      </c>
      <c r="AS12" s="264">
        <v>12</v>
      </c>
      <c r="AT12" s="264">
        <v>12</v>
      </c>
      <c r="AU12" s="264">
        <v>15</v>
      </c>
      <c r="AV12" s="264">
        <v>15</v>
      </c>
      <c r="AW12" s="264">
        <v>15</v>
      </c>
      <c r="AX12" s="264">
        <v>17</v>
      </c>
      <c r="AY12" s="264">
        <v>17</v>
      </c>
      <c r="AZ12" s="286">
        <v>17</v>
      </c>
      <c r="BA12" s="275">
        <v>19</v>
      </c>
      <c r="BB12" s="218">
        <v>19</v>
      </c>
      <c r="BC12" s="218">
        <v>19</v>
      </c>
      <c r="BD12" s="218">
        <v>21</v>
      </c>
      <c r="BE12" s="218">
        <v>21</v>
      </c>
      <c r="BF12" s="218">
        <v>21</v>
      </c>
      <c r="BG12" s="218">
        <v>23</v>
      </c>
      <c r="BH12" s="218">
        <v>23</v>
      </c>
      <c r="BI12" s="218">
        <v>23</v>
      </c>
      <c r="BJ12" s="218">
        <v>25</v>
      </c>
      <c r="BK12" s="218">
        <v>25</v>
      </c>
      <c r="BL12" s="276">
        <v>25</v>
      </c>
      <c r="BM12" s="275">
        <v>27</v>
      </c>
      <c r="BN12" s="218">
        <v>27</v>
      </c>
      <c r="BO12" s="218">
        <v>27</v>
      </c>
      <c r="BP12" s="218">
        <v>29</v>
      </c>
      <c r="BQ12" s="218">
        <v>29</v>
      </c>
      <c r="BR12" s="218">
        <v>29</v>
      </c>
      <c r="BS12" s="218">
        <v>31</v>
      </c>
      <c r="BT12" s="218">
        <v>31</v>
      </c>
      <c r="BU12" s="218">
        <v>31</v>
      </c>
      <c r="BV12" s="218">
        <v>33</v>
      </c>
      <c r="BW12" s="218">
        <v>33</v>
      </c>
      <c r="BX12" s="276">
        <v>33</v>
      </c>
      <c r="BY12" s="275">
        <v>35</v>
      </c>
      <c r="BZ12" s="218">
        <v>35</v>
      </c>
      <c r="CA12" s="218">
        <v>35</v>
      </c>
      <c r="CB12" s="218">
        <v>37</v>
      </c>
      <c r="CC12" s="218">
        <v>37</v>
      </c>
      <c r="CD12" s="218">
        <v>37</v>
      </c>
      <c r="CE12" s="218">
        <v>39</v>
      </c>
      <c r="CF12" s="218">
        <v>39</v>
      </c>
      <c r="CG12" s="218">
        <v>39</v>
      </c>
      <c r="CH12" s="218">
        <v>41</v>
      </c>
      <c r="CI12" s="218">
        <v>41</v>
      </c>
      <c r="CJ12" s="276">
        <v>41</v>
      </c>
      <c r="CK12" s="275">
        <v>43</v>
      </c>
      <c r="CL12" s="218">
        <v>43</v>
      </c>
      <c r="CM12" s="218">
        <v>43</v>
      </c>
      <c r="CN12" s="218">
        <v>45</v>
      </c>
      <c r="CO12" s="218">
        <v>45</v>
      </c>
      <c r="CP12" s="218">
        <v>45</v>
      </c>
      <c r="CQ12" s="218">
        <v>47</v>
      </c>
      <c r="CR12" s="218">
        <v>47</v>
      </c>
      <c r="CS12" s="218">
        <v>47</v>
      </c>
      <c r="CT12" s="218">
        <v>49</v>
      </c>
      <c r="CU12" s="218">
        <v>49</v>
      </c>
      <c r="CV12" s="276">
        <v>49</v>
      </c>
    </row>
    <row r="13" spans="1:100">
      <c r="A13" s="303"/>
      <c r="B13" s="295" t="s">
        <v>345</v>
      </c>
      <c r="C13" s="299">
        <v>6000</v>
      </c>
      <c r="E13" s="275"/>
      <c r="F13" s="218"/>
      <c r="G13" s="218">
        <v>2</v>
      </c>
      <c r="H13" s="218">
        <v>3</v>
      </c>
      <c r="I13" s="218">
        <v>3</v>
      </c>
      <c r="J13" s="218">
        <v>3</v>
      </c>
      <c r="K13" s="218">
        <v>3</v>
      </c>
      <c r="L13" s="218">
        <v>3</v>
      </c>
      <c r="M13" s="218">
        <v>3</v>
      </c>
      <c r="N13" s="218">
        <v>4</v>
      </c>
      <c r="O13" s="218">
        <v>4</v>
      </c>
      <c r="P13" s="276">
        <v>4</v>
      </c>
      <c r="Q13" s="275">
        <v>4</v>
      </c>
      <c r="R13" s="218">
        <v>4</v>
      </c>
      <c r="S13" s="218">
        <v>4</v>
      </c>
      <c r="T13" s="218">
        <v>5</v>
      </c>
      <c r="U13" s="218">
        <v>5</v>
      </c>
      <c r="V13" s="218">
        <v>5</v>
      </c>
      <c r="W13" s="218">
        <v>5</v>
      </c>
      <c r="X13" s="218">
        <v>5</v>
      </c>
      <c r="Y13" s="218">
        <v>6</v>
      </c>
      <c r="Z13" s="218">
        <v>6</v>
      </c>
      <c r="AA13" s="218">
        <v>6</v>
      </c>
      <c r="AB13" s="276">
        <v>6</v>
      </c>
      <c r="AC13" s="292">
        <v>8</v>
      </c>
      <c r="AD13" s="266">
        <v>8</v>
      </c>
      <c r="AE13" s="266">
        <v>8</v>
      </c>
      <c r="AF13" s="266">
        <v>9</v>
      </c>
      <c r="AG13" s="266">
        <v>9</v>
      </c>
      <c r="AH13" s="266">
        <v>9</v>
      </c>
      <c r="AI13" s="266">
        <v>10</v>
      </c>
      <c r="AJ13" s="266">
        <v>10</v>
      </c>
      <c r="AK13" s="264">
        <v>10</v>
      </c>
      <c r="AL13" s="264">
        <v>11</v>
      </c>
      <c r="AM13" s="264">
        <v>11</v>
      </c>
      <c r="AN13" s="286">
        <v>11</v>
      </c>
      <c r="AO13" s="293">
        <v>12</v>
      </c>
      <c r="AP13" s="264">
        <v>12</v>
      </c>
      <c r="AQ13" s="264">
        <v>12</v>
      </c>
      <c r="AR13" s="264">
        <v>14</v>
      </c>
      <c r="AS13" s="264">
        <v>14</v>
      </c>
      <c r="AT13" s="264">
        <v>14</v>
      </c>
      <c r="AU13" s="264">
        <v>15</v>
      </c>
      <c r="AV13" s="264">
        <v>15</v>
      </c>
      <c r="AW13" s="264">
        <v>15</v>
      </c>
      <c r="AX13" s="264">
        <v>16</v>
      </c>
      <c r="AY13" s="264">
        <v>16</v>
      </c>
      <c r="AZ13" s="286">
        <v>16</v>
      </c>
      <c r="BA13" s="275">
        <v>17</v>
      </c>
      <c r="BB13" s="218">
        <v>17</v>
      </c>
      <c r="BC13" s="218">
        <v>17</v>
      </c>
      <c r="BD13" s="218">
        <v>18</v>
      </c>
      <c r="BE13" s="218">
        <v>18</v>
      </c>
      <c r="BF13" s="218">
        <v>18</v>
      </c>
      <c r="BG13" s="218">
        <v>19</v>
      </c>
      <c r="BH13" s="218">
        <v>19</v>
      </c>
      <c r="BI13" s="218">
        <v>19</v>
      </c>
      <c r="BJ13" s="218">
        <v>20</v>
      </c>
      <c r="BK13" s="218">
        <v>20</v>
      </c>
      <c r="BL13" s="276">
        <v>20</v>
      </c>
      <c r="BM13" s="275">
        <v>21</v>
      </c>
      <c r="BN13" s="218">
        <v>21</v>
      </c>
      <c r="BO13" s="218">
        <v>21</v>
      </c>
      <c r="BP13" s="218">
        <v>22</v>
      </c>
      <c r="BQ13" s="218">
        <v>22</v>
      </c>
      <c r="BR13" s="218">
        <v>22</v>
      </c>
      <c r="BS13" s="218">
        <v>23</v>
      </c>
      <c r="BT13" s="218">
        <v>23</v>
      </c>
      <c r="BU13" s="218">
        <v>23</v>
      </c>
      <c r="BV13" s="218">
        <v>24</v>
      </c>
      <c r="BW13" s="218">
        <v>24</v>
      </c>
      <c r="BX13" s="276">
        <v>24</v>
      </c>
      <c r="BY13" s="275">
        <v>25</v>
      </c>
      <c r="BZ13" s="218">
        <v>25</v>
      </c>
      <c r="CA13" s="218">
        <v>25</v>
      </c>
      <c r="CB13" s="218">
        <v>26</v>
      </c>
      <c r="CC13" s="218">
        <v>26</v>
      </c>
      <c r="CD13" s="218">
        <v>26</v>
      </c>
      <c r="CE13" s="218">
        <v>27</v>
      </c>
      <c r="CF13" s="218">
        <v>27</v>
      </c>
      <c r="CG13" s="218">
        <v>27</v>
      </c>
      <c r="CH13" s="218">
        <v>28</v>
      </c>
      <c r="CI13" s="218">
        <v>28</v>
      </c>
      <c r="CJ13" s="276">
        <v>28</v>
      </c>
      <c r="CK13" s="275">
        <v>29</v>
      </c>
      <c r="CL13" s="218">
        <v>29</v>
      </c>
      <c r="CM13" s="218">
        <v>29</v>
      </c>
      <c r="CN13" s="218">
        <v>30</v>
      </c>
      <c r="CO13" s="218">
        <v>30</v>
      </c>
      <c r="CP13" s="218">
        <v>30</v>
      </c>
      <c r="CQ13" s="218">
        <v>31</v>
      </c>
      <c r="CR13" s="218">
        <v>31</v>
      </c>
      <c r="CS13" s="218">
        <v>31</v>
      </c>
      <c r="CT13" s="218">
        <v>32</v>
      </c>
      <c r="CU13" s="218">
        <v>32</v>
      </c>
      <c r="CV13" s="276">
        <v>32</v>
      </c>
    </row>
    <row r="14" spans="1:100">
      <c r="A14" s="303"/>
      <c r="B14" s="295" t="s">
        <v>346</v>
      </c>
      <c r="C14" s="299">
        <v>4500</v>
      </c>
      <c r="E14" s="275">
        <v>0</v>
      </c>
      <c r="F14" s="218">
        <v>0</v>
      </c>
      <c r="G14" s="218">
        <v>0</v>
      </c>
      <c r="H14" s="218">
        <v>1</v>
      </c>
      <c r="I14" s="218">
        <v>1</v>
      </c>
      <c r="J14" s="218">
        <v>1</v>
      </c>
      <c r="K14" s="218">
        <v>1</v>
      </c>
      <c r="L14" s="218">
        <v>1</v>
      </c>
      <c r="M14" s="218">
        <v>2</v>
      </c>
      <c r="N14" s="218">
        <v>2</v>
      </c>
      <c r="O14" s="218">
        <v>3</v>
      </c>
      <c r="P14" s="276">
        <v>3</v>
      </c>
      <c r="Q14" s="275">
        <v>3</v>
      </c>
      <c r="R14" s="218">
        <v>3</v>
      </c>
      <c r="S14" s="218">
        <v>3</v>
      </c>
      <c r="T14" s="218">
        <v>4</v>
      </c>
      <c r="U14" s="218">
        <v>4</v>
      </c>
      <c r="V14" s="218">
        <v>4</v>
      </c>
      <c r="W14" s="218">
        <v>4</v>
      </c>
      <c r="X14" s="218">
        <v>4</v>
      </c>
      <c r="Y14" s="218">
        <v>5</v>
      </c>
      <c r="Z14" s="218">
        <v>5</v>
      </c>
      <c r="AA14" s="218">
        <v>5</v>
      </c>
      <c r="AB14" s="276">
        <v>5</v>
      </c>
      <c r="AC14" s="291">
        <v>7</v>
      </c>
      <c r="AD14" s="265">
        <v>7</v>
      </c>
      <c r="AE14" s="264">
        <v>7</v>
      </c>
      <c r="AF14" s="264">
        <v>8</v>
      </c>
      <c r="AG14" s="264">
        <v>8</v>
      </c>
      <c r="AH14" s="264">
        <v>8</v>
      </c>
      <c r="AI14" s="264">
        <v>9</v>
      </c>
      <c r="AJ14" s="264">
        <v>9</v>
      </c>
      <c r="AK14" s="264">
        <v>9</v>
      </c>
      <c r="AL14" s="264">
        <v>10</v>
      </c>
      <c r="AM14" s="264">
        <v>10</v>
      </c>
      <c r="AN14" s="286">
        <v>10</v>
      </c>
      <c r="AO14" s="293">
        <v>10</v>
      </c>
      <c r="AP14" s="264">
        <v>10</v>
      </c>
      <c r="AQ14" s="264">
        <v>10</v>
      </c>
      <c r="AR14" s="264">
        <v>10</v>
      </c>
      <c r="AS14" s="264">
        <v>10</v>
      </c>
      <c r="AT14" s="264">
        <v>10</v>
      </c>
      <c r="AU14" s="264">
        <v>10</v>
      </c>
      <c r="AV14" s="264">
        <v>10</v>
      </c>
      <c r="AW14" s="264">
        <v>10</v>
      </c>
      <c r="AX14" s="264">
        <v>10</v>
      </c>
      <c r="AY14" s="264">
        <v>10</v>
      </c>
      <c r="AZ14" s="286">
        <v>10</v>
      </c>
      <c r="BA14" s="275">
        <v>11</v>
      </c>
      <c r="BB14" s="218">
        <v>11</v>
      </c>
      <c r="BC14" s="218">
        <v>11</v>
      </c>
      <c r="BD14" s="218">
        <v>11</v>
      </c>
      <c r="BE14" s="218">
        <v>11</v>
      </c>
      <c r="BF14" s="218">
        <v>11</v>
      </c>
      <c r="BG14" s="218">
        <v>12</v>
      </c>
      <c r="BH14" s="218">
        <v>12</v>
      </c>
      <c r="BI14" s="218">
        <v>12</v>
      </c>
      <c r="BJ14" s="218">
        <v>12</v>
      </c>
      <c r="BK14" s="218">
        <v>12</v>
      </c>
      <c r="BL14" s="276">
        <v>12</v>
      </c>
      <c r="BM14" s="275">
        <v>13</v>
      </c>
      <c r="BN14" s="218">
        <v>13</v>
      </c>
      <c r="BO14" s="218">
        <v>13</v>
      </c>
      <c r="BP14" s="218">
        <v>13</v>
      </c>
      <c r="BQ14" s="218">
        <v>13</v>
      </c>
      <c r="BR14" s="218">
        <v>13</v>
      </c>
      <c r="BS14" s="218">
        <v>14</v>
      </c>
      <c r="BT14" s="218">
        <v>14</v>
      </c>
      <c r="BU14" s="218">
        <v>14</v>
      </c>
      <c r="BV14" s="218">
        <v>14</v>
      </c>
      <c r="BW14" s="218">
        <v>14</v>
      </c>
      <c r="BX14" s="276">
        <v>14</v>
      </c>
      <c r="BY14" s="275">
        <v>15</v>
      </c>
      <c r="BZ14" s="218">
        <v>15</v>
      </c>
      <c r="CA14" s="218">
        <v>15</v>
      </c>
      <c r="CB14" s="218">
        <v>15</v>
      </c>
      <c r="CC14" s="218">
        <v>15</v>
      </c>
      <c r="CD14" s="218">
        <v>15</v>
      </c>
      <c r="CE14" s="218">
        <v>16</v>
      </c>
      <c r="CF14" s="218">
        <v>16</v>
      </c>
      <c r="CG14" s="218">
        <v>16</v>
      </c>
      <c r="CH14" s="218">
        <v>16</v>
      </c>
      <c r="CI14" s="218">
        <v>16</v>
      </c>
      <c r="CJ14" s="276">
        <v>16</v>
      </c>
      <c r="CK14" s="275">
        <v>17</v>
      </c>
      <c r="CL14" s="218">
        <v>17</v>
      </c>
      <c r="CM14" s="218">
        <v>17</v>
      </c>
      <c r="CN14" s="218">
        <v>17</v>
      </c>
      <c r="CO14" s="218">
        <v>17</v>
      </c>
      <c r="CP14" s="218">
        <v>17</v>
      </c>
      <c r="CQ14" s="218">
        <v>18</v>
      </c>
      <c r="CR14" s="218">
        <v>18</v>
      </c>
      <c r="CS14" s="218">
        <v>18</v>
      </c>
      <c r="CT14" s="218">
        <v>18</v>
      </c>
      <c r="CU14" s="218">
        <v>18</v>
      </c>
      <c r="CV14" s="276">
        <v>18</v>
      </c>
    </row>
    <row r="15" spans="1:100" s="269" customFormat="1">
      <c r="A15" s="391"/>
      <c r="B15" s="388" t="s">
        <v>349</v>
      </c>
      <c r="C15" s="388"/>
      <c r="E15" s="280">
        <f>$C11*E11+$C12*E12+$C13*E13+$C14*E14</f>
        <v>0</v>
      </c>
      <c r="F15" s="281">
        <f t="shared" ref="F15:P15" si="9">$C11*F11+$C12*F12+$C13*F13+$C14*F14</f>
        <v>0</v>
      </c>
      <c r="G15" s="281">
        <f t="shared" si="9"/>
        <v>19500</v>
      </c>
      <c r="H15" s="281">
        <f t="shared" si="9"/>
        <v>30000</v>
      </c>
      <c r="I15" s="281">
        <f t="shared" si="9"/>
        <v>30000</v>
      </c>
      <c r="J15" s="281">
        <f t="shared" si="9"/>
        <v>30000</v>
      </c>
      <c r="K15" s="281">
        <f t="shared" si="9"/>
        <v>30000</v>
      </c>
      <c r="L15" s="281">
        <f t="shared" si="9"/>
        <v>30000</v>
      </c>
      <c r="M15" s="281">
        <f t="shared" si="9"/>
        <v>34500</v>
      </c>
      <c r="N15" s="281">
        <f t="shared" si="9"/>
        <v>54000</v>
      </c>
      <c r="O15" s="281">
        <f t="shared" si="9"/>
        <v>58500</v>
      </c>
      <c r="P15" s="282">
        <f t="shared" si="9"/>
        <v>58500</v>
      </c>
      <c r="Q15" s="280">
        <f t="shared" ref="Q15:AV15" si="10">$C11*Q11+$C12*Q12+$C13*Q13+$C14*Q14</f>
        <v>72000</v>
      </c>
      <c r="R15" s="281">
        <f t="shared" si="10"/>
        <v>72000</v>
      </c>
      <c r="S15" s="281">
        <f t="shared" si="10"/>
        <v>72000</v>
      </c>
      <c r="T15" s="281">
        <f t="shared" si="10"/>
        <v>96000</v>
      </c>
      <c r="U15" s="281">
        <f t="shared" si="10"/>
        <v>96000</v>
      </c>
      <c r="V15" s="281">
        <f t="shared" si="10"/>
        <v>96000</v>
      </c>
      <c r="W15" s="281">
        <f t="shared" si="10"/>
        <v>96000</v>
      </c>
      <c r="X15" s="281">
        <f t="shared" si="10"/>
        <v>96000</v>
      </c>
      <c r="Y15" s="281">
        <f t="shared" si="10"/>
        <v>120000</v>
      </c>
      <c r="Z15" s="281">
        <f t="shared" si="10"/>
        <v>120000</v>
      </c>
      <c r="AA15" s="281">
        <f t="shared" si="10"/>
        <v>120000</v>
      </c>
      <c r="AB15" s="282">
        <f t="shared" si="10"/>
        <v>120000</v>
      </c>
      <c r="AC15" s="280">
        <f t="shared" si="10"/>
        <v>168000</v>
      </c>
      <c r="AD15" s="281">
        <f t="shared" si="10"/>
        <v>168000</v>
      </c>
      <c r="AE15" s="281">
        <f t="shared" si="10"/>
        <v>168000</v>
      </c>
      <c r="AF15" s="281">
        <f t="shared" si="10"/>
        <v>192000</v>
      </c>
      <c r="AG15" s="281">
        <f t="shared" si="10"/>
        <v>192000</v>
      </c>
      <c r="AH15" s="281">
        <f t="shared" si="10"/>
        <v>192000</v>
      </c>
      <c r="AI15" s="281">
        <f t="shared" si="10"/>
        <v>216000</v>
      </c>
      <c r="AJ15" s="281">
        <f t="shared" si="10"/>
        <v>216000</v>
      </c>
      <c r="AK15" s="281">
        <f t="shared" si="10"/>
        <v>216000</v>
      </c>
      <c r="AL15" s="281">
        <f t="shared" si="10"/>
        <v>240000</v>
      </c>
      <c r="AM15" s="281">
        <f t="shared" si="10"/>
        <v>240000</v>
      </c>
      <c r="AN15" s="282">
        <f t="shared" si="10"/>
        <v>240000</v>
      </c>
      <c r="AO15" s="280">
        <f t="shared" si="10"/>
        <v>259500</v>
      </c>
      <c r="AP15" s="281">
        <f t="shared" si="10"/>
        <v>259500</v>
      </c>
      <c r="AQ15" s="281">
        <f t="shared" si="10"/>
        <v>259500</v>
      </c>
      <c r="AR15" s="281">
        <f t="shared" si="10"/>
        <v>298500</v>
      </c>
      <c r="AS15" s="281">
        <f t="shared" si="10"/>
        <v>298500</v>
      </c>
      <c r="AT15" s="281">
        <f t="shared" si="10"/>
        <v>298500</v>
      </c>
      <c r="AU15" s="281">
        <f t="shared" si="10"/>
        <v>337500</v>
      </c>
      <c r="AV15" s="281">
        <f t="shared" si="10"/>
        <v>337500</v>
      </c>
      <c r="AW15" s="281">
        <f t="shared" ref="AW15:CB15" si="11">$C11*AW11+$C12*AW12+$C13*AW13+$C14*AW14</f>
        <v>337500</v>
      </c>
      <c r="AX15" s="281">
        <f t="shared" si="11"/>
        <v>370500</v>
      </c>
      <c r="AY15" s="281">
        <f t="shared" si="11"/>
        <v>370500</v>
      </c>
      <c r="AZ15" s="282">
        <f t="shared" si="11"/>
        <v>370500</v>
      </c>
      <c r="BA15" s="280">
        <f t="shared" si="11"/>
        <v>408000</v>
      </c>
      <c r="BB15" s="281">
        <f t="shared" si="11"/>
        <v>408000</v>
      </c>
      <c r="BC15" s="281">
        <f t="shared" si="11"/>
        <v>408000</v>
      </c>
      <c r="BD15" s="281">
        <f t="shared" si="11"/>
        <v>441000</v>
      </c>
      <c r="BE15" s="281">
        <f t="shared" si="11"/>
        <v>441000</v>
      </c>
      <c r="BF15" s="281">
        <f t="shared" si="11"/>
        <v>441000</v>
      </c>
      <c r="BG15" s="281">
        <f t="shared" si="11"/>
        <v>478500</v>
      </c>
      <c r="BH15" s="281">
        <f t="shared" si="11"/>
        <v>478500</v>
      </c>
      <c r="BI15" s="281">
        <f t="shared" si="11"/>
        <v>478500</v>
      </c>
      <c r="BJ15" s="281">
        <f t="shared" si="11"/>
        <v>511500</v>
      </c>
      <c r="BK15" s="281">
        <f t="shared" si="11"/>
        <v>511500</v>
      </c>
      <c r="BL15" s="282">
        <f t="shared" si="11"/>
        <v>511500</v>
      </c>
      <c r="BM15" s="280">
        <f t="shared" si="11"/>
        <v>549000</v>
      </c>
      <c r="BN15" s="281">
        <f t="shared" si="11"/>
        <v>549000</v>
      </c>
      <c r="BO15" s="281">
        <f t="shared" si="11"/>
        <v>549000</v>
      </c>
      <c r="BP15" s="281">
        <f t="shared" si="11"/>
        <v>582000</v>
      </c>
      <c r="BQ15" s="281">
        <f t="shared" si="11"/>
        <v>582000</v>
      </c>
      <c r="BR15" s="281">
        <f t="shared" si="11"/>
        <v>582000</v>
      </c>
      <c r="BS15" s="281">
        <f t="shared" si="11"/>
        <v>619500</v>
      </c>
      <c r="BT15" s="281">
        <f t="shared" si="11"/>
        <v>619500</v>
      </c>
      <c r="BU15" s="281">
        <f t="shared" si="11"/>
        <v>619500</v>
      </c>
      <c r="BV15" s="281">
        <f t="shared" si="11"/>
        <v>652500</v>
      </c>
      <c r="BW15" s="281">
        <f t="shared" si="11"/>
        <v>652500</v>
      </c>
      <c r="BX15" s="282">
        <f t="shared" si="11"/>
        <v>652500</v>
      </c>
      <c r="BY15" s="280">
        <f t="shared" si="11"/>
        <v>690000</v>
      </c>
      <c r="BZ15" s="281">
        <f t="shared" si="11"/>
        <v>690000</v>
      </c>
      <c r="CA15" s="281">
        <f t="shared" si="11"/>
        <v>690000</v>
      </c>
      <c r="CB15" s="281">
        <f t="shared" si="11"/>
        <v>723000</v>
      </c>
      <c r="CC15" s="281">
        <f t="shared" ref="CC15:CV15" si="12">$C11*CC11+$C12*CC12+$C13*CC13+$C14*CC14</f>
        <v>723000</v>
      </c>
      <c r="CD15" s="281">
        <f t="shared" si="12"/>
        <v>723000</v>
      </c>
      <c r="CE15" s="281">
        <f t="shared" si="12"/>
        <v>760500</v>
      </c>
      <c r="CF15" s="281">
        <f t="shared" si="12"/>
        <v>760500</v>
      </c>
      <c r="CG15" s="281">
        <f t="shared" si="12"/>
        <v>760500</v>
      </c>
      <c r="CH15" s="281">
        <f t="shared" si="12"/>
        <v>793500</v>
      </c>
      <c r="CI15" s="281">
        <f t="shared" si="12"/>
        <v>793500</v>
      </c>
      <c r="CJ15" s="282">
        <f t="shared" si="12"/>
        <v>793500</v>
      </c>
      <c r="CK15" s="280">
        <f t="shared" si="12"/>
        <v>831000</v>
      </c>
      <c r="CL15" s="281">
        <f t="shared" si="12"/>
        <v>831000</v>
      </c>
      <c r="CM15" s="281">
        <f t="shared" si="12"/>
        <v>831000</v>
      </c>
      <c r="CN15" s="281">
        <f t="shared" si="12"/>
        <v>864000</v>
      </c>
      <c r="CO15" s="281">
        <f t="shared" si="12"/>
        <v>864000</v>
      </c>
      <c r="CP15" s="281">
        <f t="shared" si="12"/>
        <v>864000</v>
      </c>
      <c r="CQ15" s="281">
        <f t="shared" si="12"/>
        <v>901500</v>
      </c>
      <c r="CR15" s="281">
        <f t="shared" si="12"/>
        <v>901500</v>
      </c>
      <c r="CS15" s="281">
        <f t="shared" si="12"/>
        <v>901500</v>
      </c>
      <c r="CT15" s="281">
        <f t="shared" si="12"/>
        <v>934500</v>
      </c>
      <c r="CU15" s="281">
        <f t="shared" si="12"/>
        <v>934500</v>
      </c>
      <c r="CV15" s="282">
        <f t="shared" si="12"/>
        <v>934500</v>
      </c>
    </row>
    <row r="16" spans="1:100" s="269" customFormat="1">
      <c r="A16" s="391"/>
      <c r="B16" s="388" t="s">
        <v>350</v>
      </c>
      <c r="C16" s="390">
        <v>0.06</v>
      </c>
      <c r="E16" s="277">
        <f>$C16*E15</f>
        <v>0</v>
      </c>
      <c r="F16" s="278">
        <f t="shared" ref="F16:P16" si="13">$C16*F15</f>
        <v>0</v>
      </c>
      <c r="G16" s="278">
        <f t="shared" si="13"/>
        <v>1170</v>
      </c>
      <c r="H16" s="278">
        <f t="shared" si="13"/>
        <v>1800</v>
      </c>
      <c r="I16" s="278">
        <f t="shared" si="13"/>
        <v>1800</v>
      </c>
      <c r="J16" s="278">
        <f t="shared" si="13"/>
        <v>1800</v>
      </c>
      <c r="K16" s="278">
        <f t="shared" si="13"/>
        <v>1800</v>
      </c>
      <c r="L16" s="278">
        <f t="shared" si="13"/>
        <v>1800</v>
      </c>
      <c r="M16" s="278">
        <f t="shared" si="13"/>
        <v>2070</v>
      </c>
      <c r="N16" s="278">
        <f t="shared" si="13"/>
        <v>3240</v>
      </c>
      <c r="O16" s="278">
        <f t="shared" si="13"/>
        <v>3510</v>
      </c>
      <c r="P16" s="279">
        <f t="shared" si="13"/>
        <v>3510</v>
      </c>
      <c r="Q16" s="277">
        <f t="shared" ref="Q16:AV16" si="14">$C16*Q15</f>
        <v>4320</v>
      </c>
      <c r="R16" s="278">
        <f t="shared" si="14"/>
        <v>4320</v>
      </c>
      <c r="S16" s="278">
        <f t="shared" si="14"/>
        <v>4320</v>
      </c>
      <c r="T16" s="278">
        <f t="shared" si="14"/>
        <v>5760</v>
      </c>
      <c r="U16" s="278">
        <f t="shared" si="14"/>
        <v>5760</v>
      </c>
      <c r="V16" s="278">
        <f t="shared" si="14"/>
        <v>5760</v>
      </c>
      <c r="W16" s="278">
        <f t="shared" si="14"/>
        <v>5760</v>
      </c>
      <c r="X16" s="278">
        <f t="shared" si="14"/>
        <v>5760</v>
      </c>
      <c r="Y16" s="278">
        <f t="shared" si="14"/>
        <v>7200</v>
      </c>
      <c r="Z16" s="278">
        <f t="shared" si="14"/>
        <v>7200</v>
      </c>
      <c r="AA16" s="278">
        <f t="shared" si="14"/>
        <v>7200</v>
      </c>
      <c r="AB16" s="279">
        <f t="shared" si="14"/>
        <v>7200</v>
      </c>
      <c r="AC16" s="277">
        <f t="shared" si="14"/>
        <v>10080</v>
      </c>
      <c r="AD16" s="278">
        <f t="shared" si="14"/>
        <v>10080</v>
      </c>
      <c r="AE16" s="278">
        <f t="shared" si="14"/>
        <v>10080</v>
      </c>
      <c r="AF16" s="278">
        <f t="shared" si="14"/>
        <v>11520</v>
      </c>
      <c r="AG16" s="278">
        <f t="shared" si="14"/>
        <v>11520</v>
      </c>
      <c r="AH16" s="278">
        <f t="shared" si="14"/>
        <v>11520</v>
      </c>
      <c r="AI16" s="278">
        <f t="shared" si="14"/>
        <v>12960</v>
      </c>
      <c r="AJ16" s="278">
        <f t="shared" si="14"/>
        <v>12960</v>
      </c>
      <c r="AK16" s="278">
        <f t="shared" si="14"/>
        <v>12960</v>
      </c>
      <c r="AL16" s="278">
        <f t="shared" si="14"/>
        <v>14400</v>
      </c>
      <c r="AM16" s="278">
        <f t="shared" si="14"/>
        <v>14400</v>
      </c>
      <c r="AN16" s="279">
        <f t="shared" si="14"/>
        <v>14400</v>
      </c>
      <c r="AO16" s="277">
        <f t="shared" si="14"/>
        <v>15570</v>
      </c>
      <c r="AP16" s="278">
        <f t="shared" si="14"/>
        <v>15570</v>
      </c>
      <c r="AQ16" s="278">
        <f t="shared" si="14"/>
        <v>15570</v>
      </c>
      <c r="AR16" s="278">
        <f t="shared" si="14"/>
        <v>17910</v>
      </c>
      <c r="AS16" s="278">
        <f t="shared" si="14"/>
        <v>17910</v>
      </c>
      <c r="AT16" s="278">
        <f t="shared" si="14"/>
        <v>17910</v>
      </c>
      <c r="AU16" s="278">
        <f t="shared" si="14"/>
        <v>20250</v>
      </c>
      <c r="AV16" s="278">
        <f t="shared" si="14"/>
        <v>20250</v>
      </c>
      <c r="AW16" s="278">
        <f t="shared" ref="AW16:CB16" si="15">$C16*AW15</f>
        <v>20250</v>
      </c>
      <c r="AX16" s="278">
        <f t="shared" si="15"/>
        <v>22230</v>
      </c>
      <c r="AY16" s="278">
        <f t="shared" si="15"/>
        <v>22230</v>
      </c>
      <c r="AZ16" s="279">
        <f t="shared" si="15"/>
        <v>22230</v>
      </c>
      <c r="BA16" s="277">
        <f t="shared" si="15"/>
        <v>24480</v>
      </c>
      <c r="BB16" s="278">
        <f t="shared" si="15"/>
        <v>24480</v>
      </c>
      <c r="BC16" s="278">
        <f t="shared" si="15"/>
        <v>24480</v>
      </c>
      <c r="BD16" s="278">
        <f t="shared" si="15"/>
        <v>26460</v>
      </c>
      <c r="BE16" s="278">
        <f t="shared" si="15"/>
        <v>26460</v>
      </c>
      <c r="BF16" s="278">
        <f t="shared" si="15"/>
        <v>26460</v>
      </c>
      <c r="BG16" s="278">
        <f t="shared" si="15"/>
        <v>28710</v>
      </c>
      <c r="BH16" s="278">
        <f t="shared" si="15"/>
        <v>28710</v>
      </c>
      <c r="BI16" s="278">
        <f t="shared" si="15"/>
        <v>28710</v>
      </c>
      <c r="BJ16" s="278">
        <f t="shared" si="15"/>
        <v>30690</v>
      </c>
      <c r="BK16" s="278">
        <f t="shared" si="15"/>
        <v>30690</v>
      </c>
      <c r="BL16" s="279">
        <f t="shared" si="15"/>
        <v>30690</v>
      </c>
      <c r="BM16" s="277">
        <f t="shared" si="15"/>
        <v>32940</v>
      </c>
      <c r="BN16" s="278">
        <f t="shared" si="15"/>
        <v>32940</v>
      </c>
      <c r="BO16" s="278">
        <f t="shared" si="15"/>
        <v>32940</v>
      </c>
      <c r="BP16" s="278">
        <f t="shared" si="15"/>
        <v>34920</v>
      </c>
      <c r="BQ16" s="278">
        <f t="shared" si="15"/>
        <v>34920</v>
      </c>
      <c r="BR16" s="278">
        <f t="shared" si="15"/>
        <v>34920</v>
      </c>
      <c r="BS16" s="278">
        <f t="shared" si="15"/>
        <v>37170</v>
      </c>
      <c r="BT16" s="278">
        <f t="shared" si="15"/>
        <v>37170</v>
      </c>
      <c r="BU16" s="278">
        <f t="shared" si="15"/>
        <v>37170</v>
      </c>
      <c r="BV16" s="278">
        <f t="shared" si="15"/>
        <v>39150</v>
      </c>
      <c r="BW16" s="278">
        <f t="shared" si="15"/>
        <v>39150</v>
      </c>
      <c r="BX16" s="279">
        <f t="shared" si="15"/>
        <v>39150</v>
      </c>
      <c r="BY16" s="277">
        <f t="shared" si="15"/>
        <v>41400</v>
      </c>
      <c r="BZ16" s="278">
        <f t="shared" si="15"/>
        <v>41400</v>
      </c>
      <c r="CA16" s="278">
        <f t="shared" si="15"/>
        <v>41400</v>
      </c>
      <c r="CB16" s="278">
        <f t="shared" si="15"/>
        <v>43380</v>
      </c>
      <c r="CC16" s="278">
        <f t="shared" ref="CC16:CV16" si="16">$C16*CC15</f>
        <v>43380</v>
      </c>
      <c r="CD16" s="278">
        <f t="shared" si="16"/>
        <v>43380</v>
      </c>
      <c r="CE16" s="278">
        <f t="shared" si="16"/>
        <v>45630</v>
      </c>
      <c r="CF16" s="278">
        <f t="shared" si="16"/>
        <v>45630</v>
      </c>
      <c r="CG16" s="278">
        <f t="shared" si="16"/>
        <v>45630</v>
      </c>
      <c r="CH16" s="278">
        <f t="shared" si="16"/>
        <v>47610</v>
      </c>
      <c r="CI16" s="278">
        <f t="shared" si="16"/>
        <v>47610</v>
      </c>
      <c r="CJ16" s="279">
        <f t="shared" si="16"/>
        <v>47610</v>
      </c>
      <c r="CK16" s="277">
        <f t="shared" si="16"/>
        <v>49860</v>
      </c>
      <c r="CL16" s="278">
        <f t="shared" si="16"/>
        <v>49860</v>
      </c>
      <c r="CM16" s="278">
        <f t="shared" si="16"/>
        <v>49860</v>
      </c>
      <c r="CN16" s="278">
        <f t="shared" si="16"/>
        <v>51840</v>
      </c>
      <c r="CO16" s="278">
        <f t="shared" si="16"/>
        <v>51840</v>
      </c>
      <c r="CP16" s="278">
        <f t="shared" si="16"/>
        <v>51840</v>
      </c>
      <c r="CQ16" s="278">
        <f t="shared" si="16"/>
        <v>54090</v>
      </c>
      <c r="CR16" s="278">
        <f t="shared" si="16"/>
        <v>54090</v>
      </c>
      <c r="CS16" s="278">
        <f t="shared" si="16"/>
        <v>54090</v>
      </c>
      <c r="CT16" s="278">
        <f t="shared" si="16"/>
        <v>56070</v>
      </c>
      <c r="CU16" s="278">
        <f t="shared" si="16"/>
        <v>56070</v>
      </c>
      <c r="CV16" s="279">
        <f t="shared" si="16"/>
        <v>56070</v>
      </c>
    </row>
    <row r="17" spans="1:100">
      <c r="A17" s="307"/>
      <c r="B17" s="295" t="s">
        <v>351</v>
      </c>
      <c r="C17" s="295"/>
      <c r="E17" s="275">
        <f>SUM(E11:E14)</f>
        <v>0</v>
      </c>
      <c r="F17" s="218">
        <f t="shared" ref="F17:AB17" si="17">SUM(F11:F14)</f>
        <v>0</v>
      </c>
      <c r="G17" s="218">
        <f t="shared" si="17"/>
        <v>3</v>
      </c>
      <c r="H17" s="218">
        <f t="shared" si="17"/>
        <v>5</v>
      </c>
      <c r="I17" s="218">
        <f t="shared" si="17"/>
        <v>5</v>
      </c>
      <c r="J17" s="218">
        <f t="shared" si="17"/>
        <v>5</v>
      </c>
      <c r="K17" s="218">
        <f t="shared" si="17"/>
        <v>5</v>
      </c>
      <c r="L17" s="218">
        <f t="shared" si="17"/>
        <v>5</v>
      </c>
      <c r="M17" s="218">
        <f t="shared" si="17"/>
        <v>6</v>
      </c>
      <c r="N17" s="218">
        <f t="shared" si="17"/>
        <v>9</v>
      </c>
      <c r="O17" s="218">
        <f t="shared" si="17"/>
        <v>10</v>
      </c>
      <c r="P17" s="276">
        <f t="shared" si="17"/>
        <v>10</v>
      </c>
      <c r="Q17" s="275">
        <f t="shared" si="17"/>
        <v>12</v>
      </c>
      <c r="R17" s="218">
        <f t="shared" si="17"/>
        <v>12</v>
      </c>
      <c r="S17" s="218">
        <f t="shared" si="17"/>
        <v>12</v>
      </c>
      <c r="T17" s="218">
        <f t="shared" si="17"/>
        <v>16</v>
      </c>
      <c r="U17" s="218">
        <f t="shared" si="17"/>
        <v>16</v>
      </c>
      <c r="V17" s="218">
        <f t="shared" si="17"/>
        <v>16</v>
      </c>
      <c r="W17" s="218">
        <f t="shared" si="17"/>
        <v>16</v>
      </c>
      <c r="X17" s="218">
        <f t="shared" si="17"/>
        <v>16</v>
      </c>
      <c r="Y17" s="218">
        <f t="shared" si="17"/>
        <v>20</v>
      </c>
      <c r="Z17" s="218">
        <f t="shared" si="17"/>
        <v>20</v>
      </c>
      <c r="AA17" s="218">
        <f t="shared" si="17"/>
        <v>20</v>
      </c>
      <c r="AB17" s="276">
        <f t="shared" si="17"/>
        <v>20</v>
      </c>
      <c r="AC17" s="275">
        <f t="shared" ref="AC17:AN17" si="18">SUM(AC11:AC14)</f>
        <v>28</v>
      </c>
      <c r="AD17" s="218">
        <f t="shared" si="18"/>
        <v>28</v>
      </c>
      <c r="AE17" s="218">
        <f t="shared" si="18"/>
        <v>28</v>
      </c>
      <c r="AF17" s="218">
        <f t="shared" si="18"/>
        <v>32</v>
      </c>
      <c r="AG17" s="218">
        <f t="shared" si="18"/>
        <v>32</v>
      </c>
      <c r="AH17" s="218">
        <f t="shared" si="18"/>
        <v>32</v>
      </c>
      <c r="AI17" s="218">
        <f t="shared" si="18"/>
        <v>36</v>
      </c>
      <c r="AJ17" s="218">
        <f t="shared" si="18"/>
        <v>36</v>
      </c>
      <c r="AK17" s="218">
        <f t="shared" si="18"/>
        <v>36</v>
      </c>
      <c r="AL17" s="218">
        <f t="shared" si="18"/>
        <v>40</v>
      </c>
      <c r="AM17" s="218">
        <f t="shared" si="18"/>
        <v>40</v>
      </c>
      <c r="AN17" s="276">
        <f t="shared" si="18"/>
        <v>40</v>
      </c>
      <c r="AO17" s="275">
        <f t="shared" ref="AO17:AZ17" si="19">SUM(AO11:AO14)</f>
        <v>43</v>
      </c>
      <c r="AP17" s="218">
        <f t="shared" si="19"/>
        <v>43</v>
      </c>
      <c r="AQ17" s="218">
        <f t="shared" si="19"/>
        <v>43</v>
      </c>
      <c r="AR17" s="218">
        <f t="shared" si="19"/>
        <v>49</v>
      </c>
      <c r="AS17" s="218">
        <f t="shared" si="19"/>
        <v>49</v>
      </c>
      <c r="AT17" s="218">
        <f t="shared" si="19"/>
        <v>49</v>
      </c>
      <c r="AU17" s="218">
        <f t="shared" si="19"/>
        <v>55</v>
      </c>
      <c r="AV17" s="218">
        <f t="shared" si="19"/>
        <v>55</v>
      </c>
      <c r="AW17" s="218">
        <f t="shared" si="19"/>
        <v>55</v>
      </c>
      <c r="AX17" s="218">
        <f t="shared" si="19"/>
        <v>60</v>
      </c>
      <c r="AY17" s="218">
        <f t="shared" si="19"/>
        <v>60</v>
      </c>
      <c r="AZ17" s="276">
        <f t="shared" si="19"/>
        <v>60</v>
      </c>
      <c r="BA17" s="275">
        <f t="shared" ref="BA17:CV17" si="20">SUM(BA11:BA14)</f>
        <v>66</v>
      </c>
      <c r="BB17" s="218">
        <f t="shared" si="20"/>
        <v>66</v>
      </c>
      <c r="BC17" s="218">
        <f t="shared" si="20"/>
        <v>66</v>
      </c>
      <c r="BD17" s="218">
        <f t="shared" si="20"/>
        <v>71</v>
      </c>
      <c r="BE17" s="218">
        <f t="shared" si="20"/>
        <v>71</v>
      </c>
      <c r="BF17" s="218">
        <f t="shared" si="20"/>
        <v>71</v>
      </c>
      <c r="BG17" s="218">
        <f t="shared" si="20"/>
        <v>77</v>
      </c>
      <c r="BH17" s="218">
        <f t="shared" si="20"/>
        <v>77</v>
      </c>
      <c r="BI17" s="218">
        <f t="shared" si="20"/>
        <v>77</v>
      </c>
      <c r="BJ17" s="218">
        <f t="shared" si="20"/>
        <v>82</v>
      </c>
      <c r="BK17" s="218">
        <f t="shared" si="20"/>
        <v>82</v>
      </c>
      <c r="BL17" s="276">
        <f t="shared" si="20"/>
        <v>82</v>
      </c>
      <c r="BM17" s="275">
        <f t="shared" si="20"/>
        <v>88</v>
      </c>
      <c r="BN17" s="218">
        <f t="shared" si="20"/>
        <v>88</v>
      </c>
      <c r="BO17" s="218">
        <f t="shared" si="20"/>
        <v>88</v>
      </c>
      <c r="BP17" s="218">
        <f t="shared" si="20"/>
        <v>93</v>
      </c>
      <c r="BQ17" s="218">
        <f t="shared" si="20"/>
        <v>93</v>
      </c>
      <c r="BR17" s="218">
        <f t="shared" si="20"/>
        <v>93</v>
      </c>
      <c r="BS17" s="218">
        <f t="shared" si="20"/>
        <v>99</v>
      </c>
      <c r="BT17" s="218">
        <f t="shared" si="20"/>
        <v>99</v>
      </c>
      <c r="BU17" s="218">
        <f t="shared" si="20"/>
        <v>99</v>
      </c>
      <c r="BV17" s="218">
        <f t="shared" si="20"/>
        <v>104</v>
      </c>
      <c r="BW17" s="218">
        <f t="shared" si="20"/>
        <v>104</v>
      </c>
      <c r="BX17" s="276">
        <f t="shared" si="20"/>
        <v>104</v>
      </c>
      <c r="BY17" s="275">
        <f t="shared" si="20"/>
        <v>110</v>
      </c>
      <c r="BZ17" s="218">
        <f t="shared" si="20"/>
        <v>110</v>
      </c>
      <c r="CA17" s="218">
        <f t="shared" si="20"/>
        <v>110</v>
      </c>
      <c r="CB17" s="218">
        <f t="shared" si="20"/>
        <v>115</v>
      </c>
      <c r="CC17" s="218">
        <f t="shared" si="20"/>
        <v>115</v>
      </c>
      <c r="CD17" s="218">
        <f t="shared" si="20"/>
        <v>115</v>
      </c>
      <c r="CE17" s="218">
        <f t="shared" si="20"/>
        <v>121</v>
      </c>
      <c r="CF17" s="218">
        <f t="shared" si="20"/>
        <v>121</v>
      </c>
      <c r="CG17" s="218">
        <f t="shared" si="20"/>
        <v>121</v>
      </c>
      <c r="CH17" s="218">
        <f t="shared" si="20"/>
        <v>126</v>
      </c>
      <c r="CI17" s="218">
        <f t="shared" si="20"/>
        <v>126</v>
      </c>
      <c r="CJ17" s="276">
        <f t="shared" si="20"/>
        <v>126</v>
      </c>
      <c r="CK17" s="275">
        <f t="shared" si="20"/>
        <v>132</v>
      </c>
      <c r="CL17" s="218">
        <f t="shared" si="20"/>
        <v>132</v>
      </c>
      <c r="CM17" s="218">
        <f t="shared" si="20"/>
        <v>132</v>
      </c>
      <c r="CN17" s="218">
        <f t="shared" si="20"/>
        <v>137</v>
      </c>
      <c r="CO17" s="218">
        <f t="shared" si="20"/>
        <v>137</v>
      </c>
      <c r="CP17" s="218">
        <f t="shared" si="20"/>
        <v>137</v>
      </c>
      <c r="CQ17" s="218">
        <f t="shared" si="20"/>
        <v>143</v>
      </c>
      <c r="CR17" s="218">
        <f t="shared" si="20"/>
        <v>143</v>
      </c>
      <c r="CS17" s="218">
        <f t="shared" si="20"/>
        <v>143</v>
      </c>
      <c r="CT17" s="218">
        <f t="shared" si="20"/>
        <v>148</v>
      </c>
      <c r="CU17" s="218">
        <f t="shared" si="20"/>
        <v>148</v>
      </c>
      <c r="CV17" s="276">
        <f t="shared" si="20"/>
        <v>148</v>
      </c>
    </row>
    <row r="18" spans="1:100">
      <c r="E18" s="275"/>
      <c r="F18" s="218"/>
      <c r="G18" s="218"/>
      <c r="H18" s="218"/>
      <c r="I18" s="218"/>
      <c r="J18" s="218"/>
      <c r="K18" s="218"/>
      <c r="L18" s="218"/>
      <c r="M18" s="218"/>
      <c r="N18" s="218"/>
      <c r="O18" s="218"/>
      <c r="P18" s="276"/>
      <c r="Q18" s="275"/>
      <c r="R18" s="218"/>
      <c r="S18" s="218"/>
      <c r="T18" s="218"/>
      <c r="U18" s="264"/>
      <c r="V18" s="264"/>
      <c r="W18" s="264"/>
      <c r="X18" s="264"/>
      <c r="Y18" s="266"/>
      <c r="Z18" s="266"/>
      <c r="AA18" s="266"/>
      <c r="AB18" s="287"/>
      <c r="AC18" s="292"/>
      <c r="AD18" s="266"/>
      <c r="AE18" s="266"/>
      <c r="AF18" s="266"/>
      <c r="AG18" s="266"/>
      <c r="AH18" s="266"/>
      <c r="AI18" s="266"/>
      <c r="AJ18" s="266"/>
      <c r="AK18" s="266"/>
      <c r="AL18" s="266"/>
      <c r="AM18" s="266"/>
      <c r="AN18" s="287"/>
      <c r="AO18" s="292"/>
      <c r="AP18" s="266"/>
      <c r="AQ18" s="266"/>
      <c r="AR18" s="266"/>
      <c r="AS18" s="266"/>
      <c r="AT18" s="266"/>
      <c r="AU18" s="266"/>
      <c r="AV18" s="266"/>
      <c r="AW18" s="266"/>
      <c r="AX18" s="266"/>
      <c r="AY18" s="266"/>
      <c r="AZ18" s="287"/>
      <c r="BA18" s="292"/>
      <c r="BB18" s="266"/>
      <c r="BC18" s="266"/>
      <c r="BD18" s="266"/>
      <c r="BE18" s="266"/>
      <c r="BF18" s="266"/>
      <c r="BG18" s="266"/>
      <c r="BH18" s="266"/>
      <c r="BI18" s="266"/>
      <c r="BJ18" s="266"/>
      <c r="BK18" s="266"/>
      <c r="BL18" s="287"/>
      <c r="BM18" s="292"/>
      <c r="BN18" s="266"/>
      <c r="BO18" s="266"/>
      <c r="BP18" s="266"/>
      <c r="BQ18" s="266"/>
      <c r="BR18" s="266"/>
      <c r="BS18" s="266"/>
      <c r="BT18" s="266"/>
      <c r="BU18" s="266"/>
      <c r="BV18" s="266"/>
      <c r="BW18" s="266"/>
      <c r="BX18" s="287"/>
      <c r="BY18" s="292"/>
      <c r="BZ18" s="266"/>
      <c r="CA18" s="266"/>
      <c r="CB18" s="266"/>
      <c r="CC18" s="266"/>
      <c r="CD18" s="266"/>
      <c r="CE18" s="266"/>
      <c r="CF18" s="266"/>
      <c r="CG18" s="266"/>
      <c r="CH18" s="266"/>
      <c r="CI18" s="266"/>
      <c r="CJ18" s="287"/>
      <c r="CK18" s="292"/>
      <c r="CL18" s="266"/>
      <c r="CM18" s="266"/>
      <c r="CN18" s="266"/>
      <c r="CO18" s="266"/>
      <c r="CP18" s="266"/>
      <c r="CQ18" s="266"/>
      <c r="CR18" s="266"/>
      <c r="CS18" s="266"/>
      <c r="CT18" s="266"/>
      <c r="CU18" s="266"/>
      <c r="CV18" s="287"/>
    </row>
    <row r="19" spans="1:100">
      <c r="A19" s="302"/>
      <c r="B19" s="395" t="s">
        <v>352</v>
      </c>
      <c r="C19" s="347"/>
      <c r="E19" s="275">
        <f>E9+E17</f>
        <v>0</v>
      </c>
      <c r="F19" s="218">
        <f t="shared" ref="F19:P19" si="21">F9+F17</f>
        <v>0</v>
      </c>
      <c r="G19" s="218">
        <f t="shared" si="21"/>
        <v>7</v>
      </c>
      <c r="H19" s="218">
        <f t="shared" si="21"/>
        <v>9</v>
      </c>
      <c r="I19" s="218">
        <f t="shared" si="21"/>
        <v>9</v>
      </c>
      <c r="J19" s="218">
        <f t="shared" si="21"/>
        <v>9</v>
      </c>
      <c r="K19" s="218">
        <f t="shared" si="21"/>
        <v>9</v>
      </c>
      <c r="L19" s="218">
        <f t="shared" si="21"/>
        <v>9</v>
      </c>
      <c r="M19" s="218">
        <f t="shared" si="21"/>
        <v>10</v>
      </c>
      <c r="N19" s="218">
        <f t="shared" si="21"/>
        <v>17</v>
      </c>
      <c r="O19" s="218">
        <f t="shared" si="21"/>
        <v>18</v>
      </c>
      <c r="P19" s="276">
        <f t="shared" si="21"/>
        <v>18</v>
      </c>
      <c r="Q19" s="275">
        <f t="shared" ref="Q19:AB19" si="22">Q9+Q17</f>
        <v>20</v>
      </c>
      <c r="R19" s="218">
        <f t="shared" si="22"/>
        <v>20</v>
      </c>
      <c r="S19" s="218">
        <f t="shared" si="22"/>
        <v>20</v>
      </c>
      <c r="T19" s="218">
        <f t="shared" si="22"/>
        <v>28</v>
      </c>
      <c r="U19" s="218">
        <f t="shared" si="22"/>
        <v>28</v>
      </c>
      <c r="V19" s="218">
        <f t="shared" si="22"/>
        <v>28</v>
      </c>
      <c r="W19" s="218">
        <f t="shared" si="22"/>
        <v>28</v>
      </c>
      <c r="X19" s="218">
        <f t="shared" si="22"/>
        <v>28</v>
      </c>
      <c r="Y19" s="218">
        <f t="shared" si="22"/>
        <v>36</v>
      </c>
      <c r="Z19" s="218">
        <f t="shared" si="22"/>
        <v>36</v>
      </c>
      <c r="AA19" s="218">
        <f t="shared" si="22"/>
        <v>36</v>
      </c>
      <c r="AB19" s="276">
        <f t="shared" si="22"/>
        <v>36</v>
      </c>
      <c r="AC19" s="275">
        <f t="shared" ref="AC19:AN19" si="23">AC9+AC17</f>
        <v>52</v>
      </c>
      <c r="AD19" s="218">
        <f t="shared" si="23"/>
        <v>52</v>
      </c>
      <c r="AE19" s="218">
        <f t="shared" si="23"/>
        <v>52</v>
      </c>
      <c r="AF19" s="218">
        <f t="shared" si="23"/>
        <v>60</v>
      </c>
      <c r="AG19" s="218">
        <f t="shared" si="23"/>
        <v>60</v>
      </c>
      <c r="AH19" s="218">
        <f t="shared" si="23"/>
        <v>60</v>
      </c>
      <c r="AI19" s="218">
        <f t="shared" si="23"/>
        <v>68</v>
      </c>
      <c r="AJ19" s="218">
        <f t="shared" si="23"/>
        <v>68</v>
      </c>
      <c r="AK19" s="218">
        <f t="shared" si="23"/>
        <v>68</v>
      </c>
      <c r="AL19" s="218">
        <f t="shared" si="23"/>
        <v>72</v>
      </c>
      <c r="AM19" s="218">
        <f t="shared" si="23"/>
        <v>72</v>
      </c>
      <c r="AN19" s="276">
        <f t="shared" si="23"/>
        <v>72</v>
      </c>
      <c r="AO19" s="275">
        <f t="shared" ref="AO19:AZ19" si="24">AO9+AO17</f>
        <v>79</v>
      </c>
      <c r="AP19" s="218">
        <f t="shared" si="24"/>
        <v>79</v>
      </c>
      <c r="AQ19" s="218">
        <f t="shared" si="24"/>
        <v>79</v>
      </c>
      <c r="AR19" s="218">
        <f t="shared" si="24"/>
        <v>88</v>
      </c>
      <c r="AS19" s="218">
        <f t="shared" si="24"/>
        <v>88</v>
      </c>
      <c r="AT19" s="218">
        <f t="shared" si="24"/>
        <v>88</v>
      </c>
      <c r="AU19" s="218">
        <f t="shared" si="24"/>
        <v>98</v>
      </c>
      <c r="AV19" s="218">
        <f t="shared" si="24"/>
        <v>98</v>
      </c>
      <c r="AW19" s="218">
        <f t="shared" si="24"/>
        <v>98</v>
      </c>
      <c r="AX19" s="218">
        <f t="shared" si="24"/>
        <v>106</v>
      </c>
      <c r="AY19" s="218">
        <f t="shared" si="24"/>
        <v>106</v>
      </c>
      <c r="AZ19" s="276">
        <f t="shared" si="24"/>
        <v>106</v>
      </c>
      <c r="BA19" s="275">
        <f t="shared" ref="BA19:CV19" si="25">BA9+BA17</f>
        <v>116</v>
      </c>
      <c r="BB19" s="218">
        <f t="shared" si="25"/>
        <v>116</v>
      </c>
      <c r="BC19" s="218">
        <f t="shared" si="25"/>
        <v>116</v>
      </c>
      <c r="BD19" s="218">
        <f t="shared" si="25"/>
        <v>124</v>
      </c>
      <c r="BE19" s="218">
        <f t="shared" si="25"/>
        <v>124</v>
      </c>
      <c r="BF19" s="218">
        <f t="shared" si="25"/>
        <v>124</v>
      </c>
      <c r="BG19" s="218">
        <f t="shared" si="25"/>
        <v>133</v>
      </c>
      <c r="BH19" s="218">
        <f t="shared" si="25"/>
        <v>133</v>
      </c>
      <c r="BI19" s="218">
        <f t="shared" si="25"/>
        <v>133</v>
      </c>
      <c r="BJ19" s="218">
        <f t="shared" si="25"/>
        <v>141</v>
      </c>
      <c r="BK19" s="218">
        <f t="shared" si="25"/>
        <v>141</v>
      </c>
      <c r="BL19" s="276">
        <f t="shared" si="25"/>
        <v>141</v>
      </c>
      <c r="BM19" s="275">
        <f t="shared" si="25"/>
        <v>151</v>
      </c>
      <c r="BN19" s="218">
        <f t="shared" si="25"/>
        <v>151</v>
      </c>
      <c r="BO19" s="218">
        <f t="shared" si="25"/>
        <v>151</v>
      </c>
      <c r="BP19" s="218">
        <f t="shared" si="25"/>
        <v>159</v>
      </c>
      <c r="BQ19" s="218">
        <f t="shared" si="25"/>
        <v>159</v>
      </c>
      <c r="BR19" s="218">
        <f t="shared" si="25"/>
        <v>159</v>
      </c>
      <c r="BS19" s="218">
        <f t="shared" si="25"/>
        <v>169</v>
      </c>
      <c r="BT19" s="218">
        <f t="shared" si="25"/>
        <v>169</v>
      </c>
      <c r="BU19" s="218">
        <f t="shared" si="25"/>
        <v>169</v>
      </c>
      <c r="BV19" s="218">
        <f t="shared" si="25"/>
        <v>177</v>
      </c>
      <c r="BW19" s="218">
        <f t="shared" si="25"/>
        <v>177</v>
      </c>
      <c r="BX19" s="276">
        <f t="shared" si="25"/>
        <v>177</v>
      </c>
      <c r="BY19" s="275">
        <f t="shared" si="25"/>
        <v>187</v>
      </c>
      <c r="BZ19" s="218">
        <f t="shared" si="25"/>
        <v>187</v>
      </c>
      <c r="CA19" s="218">
        <f t="shared" si="25"/>
        <v>187</v>
      </c>
      <c r="CB19" s="218">
        <f t="shared" si="25"/>
        <v>195</v>
      </c>
      <c r="CC19" s="218">
        <f t="shared" si="25"/>
        <v>195</v>
      </c>
      <c r="CD19" s="218">
        <f t="shared" si="25"/>
        <v>195</v>
      </c>
      <c r="CE19" s="218">
        <f t="shared" si="25"/>
        <v>205</v>
      </c>
      <c r="CF19" s="218">
        <f t="shared" si="25"/>
        <v>205</v>
      </c>
      <c r="CG19" s="218">
        <f t="shared" si="25"/>
        <v>205</v>
      </c>
      <c r="CH19" s="218">
        <f t="shared" si="25"/>
        <v>213</v>
      </c>
      <c r="CI19" s="218">
        <f t="shared" si="25"/>
        <v>213</v>
      </c>
      <c r="CJ19" s="276">
        <f t="shared" si="25"/>
        <v>213</v>
      </c>
      <c r="CK19" s="275">
        <f t="shared" si="25"/>
        <v>223</v>
      </c>
      <c r="CL19" s="218">
        <f t="shared" si="25"/>
        <v>223</v>
      </c>
      <c r="CM19" s="218">
        <f t="shared" si="25"/>
        <v>223</v>
      </c>
      <c r="CN19" s="218">
        <f t="shared" si="25"/>
        <v>231</v>
      </c>
      <c r="CO19" s="218">
        <f t="shared" si="25"/>
        <v>231</v>
      </c>
      <c r="CP19" s="218">
        <f t="shared" si="25"/>
        <v>231</v>
      </c>
      <c r="CQ19" s="218">
        <f t="shared" si="25"/>
        <v>241</v>
      </c>
      <c r="CR19" s="218">
        <f t="shared" si="25"/>
        <v>241</v>
      </c>
      <c r="CS19" s="218">
        <f t="shared" si="25"/>
        <v>241</v>
      </c>
      <c r="CT19" s="218">
        <f t="shared" si="25"/>
        <v>249</v>
      </c>
      <c r="CU19" s="218">
        <f t="shared" si="25"/>
        <v>249</v>
      </c>
      <c r="CV19" s="276">
        <f t="shared" si="25"/>
        <v>249</v>
      </c>
    </row>
    <row r="20" spans="1:100" s="269" customFormat="1">
      <c r="A20" s="391"/>
      <c r="B20" s="396" t="s">
        <v>428</v>
      </c>
      <c r="C20" s="397"/>
      <c r="E20" s="288">
        <f>E8+E16</f>
        <v>0</v>
      </c>
      <c r="F20" s="289">
        <f t="shared" ref="F20:P20" si="26">F8+F16</f>
        <v>0</v>
      </c>
      <c r="G20" s="289">
        <f t="shared" si="26"/>
        <v>25170</v>
      </c>
      <c r="H20" s="289">
        <f t="shared" si="26"/>
        <v>25800</v>
      </c>
      <c r="I20" s="289">
        <f t="shared" si="26"/>
        <v>25800</v>
      </c>
      <c r="J20" s="289">
        <f t="shared" si="26"/>
        <v>25800</v>
      </c>
      <c r="K20" s="289">
        <f t="shared" si="26"/>
        <v>25800</v>
      </c>
      <c r="L20" s="289">
        <f t="shared" si="26"/>
        <v>25800</v>
      </c>
      <c r="M20" s="289">
        <f t="shared" si="26"/>
        <v>26070</v>
      </c>
      <c r="N20" s="289">
        <f t="shared" si="26"/>
        <v>51240</v>
      </c>
      <c r="O20" s="289">
        <f t="shared" si="26"/>
        <v>51510</v>
      </c>
      <c r="P20" s="290">
        <f t="shared" si="26"/>
        <v>51510</v>
      </c>
      <c r="Q20" s="288">
        <f t="shared" ref="Q20:AB20" si="27">Q8+Q16</f>
        <v>52320</v>
      </c>
      <c r="R20" s="289">
        <f t="shared" si="27"/>
        <v>52320</v>
      </c>
      <c r="S20" s="289">
        <f t="shared" si="27"/>
        <v>52320</v>
      </c>
      <c r="T20" s="289">
        <f t="shared" si="27"/>
        <v>77760</v>
      </c>
      <c r="U20" s="289">
        <f t="shared" si="27"/>
        <v>77760</v>
      </c>
      <c r="V20" s="289">
        <f t="shared" si="27"/>
        <v>77760</v>
      </c>
      <c r="W20" s="289">
        <f t="shared" si="27"/>
        <v>77760</v>
      </c>
      <c r="X20" s="289">
        <f t="shared" si="27"/>
        <v>77760</v>
      </c>
      <c r="Y20" s="289">
        <f t="shared" si="27"/>
        <v>103200</v>
      </c>
      <c r="Z20" s="289">
        <f t="shared" si="27"/>
        <v>103200</v>
      </c>
      <c r="AA20" s="289">
        <f t="shared" si="27"/>
        <v>103200</v>
      </c>
      <c r="AB20" s="290">
        <f t="shared" si="27"/>
        <v>103200</v>
      </c>
      <c r="AC20" s="288">
        <f t="shared" ref="AC20:AN20" si="28">AC8+AC16</f>
        <v>154080</v>
      </c>
      <c r="AD20" s="289">
        <f t="shared" si="28"/>
        <v>154080</v>
      </c>
      <c r="AE20" s="289">
        <f t="shared" si="28"/>
        <v>154080</v>
      </c>
      <c r="AF20" s="289">
        <f t="shared" si="28"/>
        <v>179520</v>
      </c>
      <c r="AG20" s="289">
        <f t="shared" si="28"/>
        <v>179520</v>
      </c>
      <c r="AH20" s="289">
        <f t="shared" si="28"/>
        <v>179520</v>
      </c>
      <c r="AI20" s="289">
        <f t="shared" si="28"/>
        <v>204960</v>
      </c>
      <c r="AJ20" s="289">
        <f t="shared" si="28"/>
        <v>204960</v>
      </c>
      <c r="AK20" s="289">
        <f t="shared" si="28"/>
        <v>204960</v>
      </c>
      <c r="AL20" s="289">
        <f t="shared" si="28"/>
        <v>206400</v>
      </c>
      <c r="AM20" s="289">
        <f t="shared" si="28"/>
        <v>206400</v>
      </c>
      <c r="AN20" s="290">
        <f t="shared" si="28"/>
        <v>206400</v>
      </c>
      <c r="AO20" s="288">
        <f t="shared" ref="AO20:AZ20" si="29">AO8+AO16</f>
        <v>231570</v>
      </c>
      <c r="AP20" s="289">
        <f t="shared" si="29"/>
        <v>231570</v>
      </c>
      <c r="AQ20" s="289">
        <f t="shared" si="29"/>
        <v>231570</v>
      </c>
      <c r="AR20" s="289">
        <f t="shared" si="29"/>
        <v>253410</v>
      </c>
      <c r="AS20" s="289">
        <f t="shared" si="29"/>
        <v>253410</v>
      </c>
      <c r="AT20" s="289">
        <f t="shared" si="29"/>
        <v>253410</v>
      </c>
      <c r="AU20" s="289">
        <f t="shared" si="29"/>
        <v>279750</v>
      </c>
      <c r="AV20" s="289">
        <f t="shared" si="29"/>
        <v>279750</v>
      </c>
      <c r="AW20" s="289">
        <f t="shared" si="29"/>
        <v>279750</v>
      </c>
      <c r="AX20" s="289">
        <f t="shared" si="29"/>
        <v>301230</v>
      </c>
      <c r="AY20" s="289">
        <f t="shared" si="29"/>
        <v>301230</v>
      </c>
      <c r="AZ20" s="290">
        <f t="shared" si="29"/>
        <v>301230</v>
      </c>
      <c r="BA20" s="288">
        <f t="shared" ref="BA20:CV20" si="30">BA8+BA16</f>
        <v>327480</v>
      </c>
      <c r="BB20" s="289">
        <f t="shared" si="30"/>
        <v>327480</v>
      </c>
      <c r="BC20" s="289">
        <f t="shared" si="30"/>
        <v>327480</v>
      </c>
      <c r="BD20" s="289">
        <f t="shared" si="30"/>
        <v>348960</v>
      </c>
      <c r="BE20" s="289">
        <f t="shared" si="30"/>
        <v>348960</v>
      </c>
      <c r="BF20" s="289">
        <f t="shared" si="30"/>
        <v>348960</v>
      </c>
      <c r="BG20" s="289">
        <f t="shared" si="30"/>
        <v>370710</v>
      </c>
      <c r="BH20" s="289">
        <f t="shared" si="30"/>
        <v>370710</v>
      </c>
      <c r="BI20" s="289">
        <f t="shared" si="30"/>
        <v>370710</v>
      </c>
      <c r="BJ20" s="289">
        <f t="shared" si="30"/>
        <v>392190</v>
      </c>
      <c r="BK20" s="289">
        <f t="shared" si="30"/>
        <v>392190</v>
      </c>
      <c r="BL20" s="290">
        <f t="shared" si="30"/>
        <v>392190</v>
      </c>
      <c r="BM20" s="288">
        <f t="shared" si="30"/>
        <v>418440</v>
      </c>
      <c r="BN20" s="289">
        <f t="shared" si="30"/>
        <v>418440</v>
      </c>
      <c r="BO20" s="289">
        <f t="shared" si="30"/>
        <v>418440</v>
      </c>
      <c r="BP20" s="289">
        <f t="shared" si="30"/>
        <v>439920</v>
      </c>
      <c r="BQ20" s="289">
        <f t="shared" si="30"/>
        <v>439920</v>
      </c>
      <c r="BR20" s="289">
        <f t="shared" si="30"/>
        <v>439920</v>
      </c>
      <c r="BS20" s="289">
        <f t="shared" si="30"/>
        <v>466170</v>
      </c>
      <c r="BT20" s="289">
        <f t="shared" si="30"/>
        <v>466170</v>
      </c>
      <c r="BU20" s="289">
        <f t="shared" si="30"/>
        <v>466170</v>
      </c>
      <c r="BV20" s="289">
        <f t="shared" si="30"/>
        <v>487650</v>
      </c>
      <c r="BW20" s="289">
        <f t="shared" si="30"/>
        <v>487650</v>
      </c>
      <c r="BX20" s="290">
        <f t="shared" si="30"/>
        <v>487650</v>
      </c>
      <c r="BY20" s="288">
        <f t="shared" si="30"/>
        <v>513900</v>
      </c>
      <c r="BZ20" s="289">
        <f t="shared" si="30"/>
        <v>513900</v>
      </c>
      <c r="CA20" s="289">
        <f t="shared" si="30"/>
        <v>513900</v>
      </c>
      <c r="CB20" s="289">
        <f t="shared" si="30"/>
        <v>535380</v>
      </c>
      <c r="CC20" s="289">
        <f t="shared" si="30"/>
        <v>535380</v>
      </c>
      <c r="CD20" s="289">
        <f t="shared" si="30"/>
        <v>535380</v>
      </c>
      <c r="CE20" s="289">
        <f t="shared" si="30"/>
        <v>561630</v>
      </c>
      <c r="CF20" s="289">
        <f t="shared" si="30"/>
        <v>561630</v>
      </c>
      <c r="CG20" s="289">
        <f t="shared" si="30"/>
        <v>561630</v>
      </c>
      <c r="CH20" s="289">
        <f t="shared" si="30"/>
        <v>583110</v>
      </c>
      <c r="CI20" s="289">
        <f t="shared" si="30"/>
        <v>583110</v>
      </c>
      <c r="CJ20" s="290">
        <f t="shared" si="30"/>
        <v>583110</v>
      </c>
      <c r="CK20" s="288">
        <f t="shared" si="30"/>
        <v>609360</v>
      </c>
      <c r="CL20" s="289">
        <f t="shared" si="30"/>
        <v>609360</v>
      </c>
      <c r="CM20" s="289">
        <f t="shared" si="30"/>
        <v>609360</v>
      </c>
      <c r="CN20" s="289">
        <f t="shared" si="30"/>
        <v>630840</v>
      </c>
      <c r="CO20" s="289">
        <f t="shared" si="30"/>
        <v>630840</v>
      </c>
      <c r="CP20" s="289">
        <f t="shared" si="30"/>
        <v>630840</v>
      </c>
      <c r="CQ20" s="289">
        <f t="shared" si="30"/>
        <v>657090</v>
      </c>
      <c r="CR20" s="289">
        <f t="shared" si="30"/>
        <v>657090</v>
      </c>
      <c r="CS20" s="289">
        <f t="shared" si="30"/>
        <v>657090</v>
      </c>
      <c r="CT20" s="289">
        <f t="shared" si="30"/>
        <v>678570</v>
      </c>
      <c r="CU20" s="289">
        <f t="shared" si="30"/>
        <v>678570</v>
      </c>
      <c r="CV20" s="290">
        <f t="shared" si="30"/>
        <v>678570</v>
      </c>
    </row>
    <row r="21" spans="1:100" s="269" customFormat="1" ht="13.5">
      <c r="A21" s="399"/>
      <c r="B21" s="398" t="s">
        <v>354</v>
      </c>
      <c r="C21" s="397"/>
      <c r="E21" s="392"/>
      <c r="F21" s="393"/>
      <c r="G21" s="393"/>
      <c r="H21" s="393"/>
      <c r="I21" s="393"/>
      <c r="J21" s="393"/>
      <c r="K21" s="393"/>
      <c r="L21" s="393"/>
      <c r="M21" s="393"/>
      <c r="N21" s="393"/>
      <c r="O21" s="393"/>
      <c r="P21" s="393">
        <f>SUM(E20:P20)</f>
        <v>334500</v>
      </c>
      <c r="Q21" s="393"/>
      <c r="R21" s="393"/>
      <c r="S21" s="393"/>
      <c r="T21" s="393"/>
      <c r="U21" s="393"/>
      <c r="V21" s="393"/>
      <c r="W21" s="393"/>
      <c r="X21" s="393"/>
      <c r="Y21" s="393"/>
      <c r="Z21" s="393"/>
      <c r="AA21" s="393"/>
      <c r="AB21" s="393">
        <f>SUM(Q20:AB20)</f>
        <v>958560</v>
      </c>
      <c r="AC21" s="393"/>
      <c r="AD21" s="393"/>
      <c r="AE21" s="393"/>
      <c r="AF21" s="393"/>
      <c r="AG21" s="393"/>
      <c r="AH21" s="393"/>
      <c r="AI21" s="393"/>
      <c r="AJ21" s="393"/>
      <c r="AK21" s="393"/>
      <c r="AL21" s="393"/>
      <c r="AM21" s="393"/>
      <c r="AN21" s="393">
        <f>SUM(AC20:AN20)</f>
        <v>2234880</v>
      </c>
      <c r="AO21" s="393"/>
      <c r="AP21" s="393"/>
      <c r="AQ21" s="393"/>
      <c r="AR21" s="393"/>
      <c r="AS21" s="393"/>
      <c r="AT21" s="393"/>
      <c r="AU21" s="393"/>
      <c r="AV21" s="393"/>
      <c r="AW21" s="393"/>
      <c r="AX21" s="393"/>
      <c r="AY21" s="393"/>
      <c r="AZ21" s="393">
        <f>SUM(AO20:AZ20)</f>
        <v>3197880</v>
      </c>
      <c r="BA21" s="393"/>
      <c r="BB21" s="393"/>
      <c r="BC21" s="393"/>
      <c r="BD21" s="393"/>
      <c r="BE21" s="393"/>
      <c r="BF21" s="393"/>
      <c r="BG21" s="393"/>
      <c r="BH21" s="393"/>
      <c r="BI21" s="393"/>
      <c r="BJ21" s="393"/>
      <c r="BK21" s="393"/>
      <c r="BL21" s="393">
        <f>SUM(BA20:BL20)</f>
        <v>4318020</v>
      </c>
      <c r="BM21" s="393"/>
      <c r="BN21" s="393"/>
      <c r="BO21" s="393"/>
      <c r="BP21" s="393"/>
      <c r="BQ21" s="393"/>
      <c r="BR21" s="393"/>
      <c r="BS21" s="393"/>
      <c r="BT21" s="393"/>
      <c r="BU21" s="393"/>
      <c r="BV21" s="393"/>
      <c r="BW21" s="393"/>
      <c r="BX21" s="393">
        <f>SUM(BM20:BX20)</f>
        <v>5436540</v>
      </c>
      <c r="BY21" s="393"/>
      <c r="BZ21" s="393"/>
      <c r="CA21" s="393"/>
      <c r="CB21" s="393"/>
      <c r="CC21" s="393"/>
      <c r="CD21" s="393"/>
      <c r="CE21" s="393"/>
      <c r="CF21" s="393"/>
      <c r="CG21" s="393"/>
      <c r="CH21" s="393"/>
      <c r="CI21" s="393"/>
      <c r="CJ21" s="393">
        <f>SUM(BY20:CJ20)</f>
        <v>6582060</v>
      </c>
      <c r="CK21" s="393"/>
      <c r="CL21" s="393"/>
      <c r="CM21" s="393"/>
      <c r="CN21" s="393"/>
      <c r="CO21" s="393"/>
      <c r="CP21" s="393"/>
      <c r="CQ21" s="393"/>
      <c r="CR21" s="393"/>
      <c r="CS21" s="393"/>
      <c r="CT21" s="393"/>
      <c r="CU21" s="393"/>
      <c r="CV21" s="394">
        <f>SUM(CK20:CV20)</f>
        <v>7727580</v>
      </c>
    </row>
    <row r="22" spans="1:100" s="269" customFormat="1">
      <c r="U22" s="270"/>
      <c r="V22" s="270"/>
      <c r="W22" s="270"/>
      <c r="X22" s="270"/>
      <c r="Y22" s="273"/>
      <c r="Z22" s="273"/>
      <c r="AA22" s="273"/>
      <c r="AC22" s="273"/>
      <c r="AD22" s="273"/>
      <c r="AE22" s="273"/>
      <c r="AF22" s="273"/>
      <c r="AG22" s="273"/>
      <c r="AH22" s="273"/>
      <c r="AI22" s="273"/>
      <c r="AJ22" s="273"/>
      <c r="AK22" s="270"/>
      <c r="AL22" s="270"/>
      <c r="AM22" s="271"/>
    </row>
    <row r="23" spans="1:100" s="269" customFormat="1">
      <c r="A23" s="400"/>
      <c r="B23" s="405" t="s">
        <v>436</v>
      </c>
      <c r="C23" s="406"/>
      <c r="E23" s="400"/>
      <c r="F23" s="401"/>
      <c r="G23" s="401"/>
      <c r="H23" s="401"/>
      <c r="I23" s="401"/>
      <c r="J23" s="401"/>
      <c r="K23" s="401"/>
      <c r="L23" s="401"/>
      <c r="M23" s="401"/>
      <c r="N23" s="401"/>
      <c r="O23" s="401"/>
      <c r="P23" s="401"/>
      <c r="Q23" s="401"/>
      <c r="R23" s="401"/>
      <c r="S23" s="401"/>
      <c r="T23" s="401"/>
      <c r="U23" s="402"/>
      <c r="V23" s="402"/>
      <c r="W23" s="402"/>
      <c r="X23" s="402"/>
      <c r="Y23" s="403"/>
      <c r="Z23" s="403"/>
      <c r="AA23" s="403"/>
      <c r="AB23" s="404" t="s">
        <v>356</v>
      </c>
      <c r="AC23" s="403"/>
      <c r="AD23" s="403"/>
      <c r="AE23" s="403"/>
      <c r="AF23" s="403"/>
      <c r="AG23" s="403"/>
      <c r="AH23" s="403"/>
      <c r="AI23" s="403"/>
      <c r="AJ23" s="403"/>
      <c r="AK23" s="402"/>
      <c r="AL23" s="402"/>
      <c r="AM23" s="402"/>
      <c r="AN23" s="404" t="s">
        <v>357</v>
      </c>
      <c r="AO23" s="401"/>
      <c r="AP23" s="401"/>
      <c r="AQ23" s="401"/>
      <c r="AR23" s="401"/>
      <c r="AS23" s="401"/>
      <c r="AT23" s="401"/>
      <c r="AU23" s="401"/>
      <c r="AV23" s="401"/>
      <c r="AW23" s="401"/>
      <c r="AX23" s="401"/>
      <c r="AY23" s="401"/>
      <c r="AZ23" s="404" t="s">
        <v>358</v>
      </c>
      <c r="BA23" s="401"/>
      <c r="BB23" s="401"/>
      <c r="BC23" s="401"/>
      <c r="BD23" s="401"/>
      <c r="BE23" s="401"/>
      <c r="BF23" s="401"/>
      <c r="BG23" s="401"/>
      <c r="BH23" s="401"/>
      <c r="BI23" s="401"/>
      <c r="BJ23" s="401"/>
      <c r="BK23" s="401"/>
      <c r="BL23" s="405" t="s">
        <v>437</v>
      </c>
      <c r="BM23" s="401"/>
      <c r="BN23" s="401"/>
      <c r="BO23" s="401"/>
      <c r="BP23" s="401"/>
      <c r="BQ23" s="401"/>
      <c r="BR23" s="401"/>
      <c r="BS23" s="401"/>
      <c r="BT23" s="401"/>
      <c r="BU23" s="401"/>
      <c r="BV23" s="401"/>
      <c r="BW23" s="401"/>
      <c r="BX23" s="401"/>
      <c r="BY23" s="401"/>
      <c r="BZ23" s="401"/>
      <c r="CA23" s="401"/>
      <c r="CB23" s="401"/>
      <c r="CC23" s="401"/>
      <c r="CD23" s="401"/>
      <c r="CE23" s="401"/>
      <c r="CF23" s="401"/>
      <c r="CG23" s="401"/>
      <c r="CH23" s="401"/>
      <c r="CI23" s="401"/>
      <c r="CJ23" s="401"/>
      <c r="CK23" s="401"/>
      <c r="CL23" s="401"/>
      <c r="CM23" s="401"/>
      <c r="CN23" s="401"/>
      <c r="CO23" s="401"/>
      <c r="CP23" s="401"/>
      <c r="CQ23" s="401"/>
      <c r="CR23" s="401"/>
      <c r="CS23" s="401"/>
      <c r="CT23" s="401"/>
      <c r="CU23" s="401"/>
      <c r="CV23" s="406"/>
    </row>
    <row r="24" spans="1:100" s="269" customFormat="1">
      <c r="A24" s="283"/>
      <c r="B24" s="407"/>
      <c r="C24" s="285"/>
      <c r="E24" s="283"/>
      <c r="F24" s="284"/>
      <c r="G24" s="284"/>
      <c r="H24" s="284"/>
      <c r="I24" s="284"/>
      <c r="J24" s="284"/>
      <c r="K24" s="284"/>
      <c r="L24" s="284"/>
      <c r="M24" s="284"/>
      <c r="N24" s="284"/>
      <c r="O24" s="284"/>
      <c r="P24" s="284"/>
      <c r="Q24" s="284"/>
      <c r="R24" s="284"/>
      <c r="S24" s="284"/>
      <c r="T24" s="284"/>
      <c r="U24" s="408"/>
      <c r="V24" s="408"/>
      <c r="W24" s="408"/>
      <c r="X24" s="408"/>
      <c r="Y24" s="409"/>
      <c r="Z24" s="409"/>
      <c r="AA24" s="409"/>
      <c r="AB24" s="410"/>
      <c r="AC24" s="409"/>
      <c r="AD24" s="409"/>
      <c r="AE24" s="409"/>
      <c r="AF24" s="409"/>
      <c r="AG24" s="409"/>
      <c r="AH24" s="409"/>
      <c r="AI24" s="409"/>
      <c r="AJ24" s="409"/>
      <c r="AK24" s="408"/>
      <c r="AL24" s="408"/>
      <c r="AM24" s="408"/>
      <c r="AN24" s="410"/>
      <c r="AO24" s="284"/>
      <c r="AP24" s="284"/>
      <c r="AQ24" s="284"/>
      <c r="AR24" s="284"/>
      <c r="AS24" s="284"/>
      <c r="AT24" s="284"/>
      <c r="AU24" s="284"/>
      <c r="AV24" s="284"/>
      <c r="AW24" s="284"/>
      <c r="AX24" s="284"/>
      <c r="AY24" s="284"/>
      <c r="AZ24" s="410"/>
      <c r="BA24" s="284"/>
      <c r="BB24" s="284"/>
      <c r="BC24" s="284"/>
      <c r="BD24" s="284"/>
      <c r="BE24" s="284"/>
      <c r="BF24" s="284"/>
      <c r="BG24" s="284"/>
      <c r="BH24" s="284"/>
      <c r="BI24" s="284"/>
      <c r="BJ24" s="284"/>
      <c r="BK24" s="284"/>
      <c r="BL24" s="407"/>
      <c r="BM24" s="284"/>
      <c r="BN24" s="284"/>
      <c r="BO24" s="284"/>
      <c r="BP24" s="284"/>
      <c r="BQ24" s="284"/>
      <c r="BR24" s="284"/>
      <c r="BS24" s="284"/>
      <c r="BT24" s="284"/>
      <c r="BU24" s="284"/>
      <c r="BV24" s="284"/>
      <c r="BW24" s="284"/>
      <c r="BX24" s="284"/>
      <c r="BY24" s="284"/>
      <c r="BZ24" s="284"/>
      <c r="CA24" s="284"/>
      <c r="CB24" s="284"/>
      <c r="CC24" s="284"/>
      <c r="CD24" s="284"/>
      <c r="CE24" s="284"/>
      <c r="CF24" s="284"/>
      <c r="CG24" s="284"/>
      <c r="CH24" s="284"/>
      <c r="CI24" s="284"/>
      <c r="CJ24" s="284"/>
      <c r="CK24" s="284"/>
      <c r="CL24" s="284"/>
      <c r="CM24" s="284"/>
      <c r="CN24" s="284"/>
      <c r="CO24" s="284"/>
      <c r="CP24" s="284"/>
      <c r="CQ24" s="284"/>
      <c r="CR24" s="284"/>
      <c r="CS24" s="284"/>
      <c r="CT24" s="284"/>
      <c r="CU24" s="284"/>
      <c r="CV24" s="285"/>
    </row>
    <row r="25" spans="1:100">
      <c r="E25" s="218"/>
      <c r="F25" s="218"/>
      <c r="G25" s="218"/>
      <c r="H25" s="218"/>
      <c r="I25" s="218"/>
      <c r="J25" s="218"/>
      <c r="K25" s="218"/>
      <c r="L25" s="218"/>
      <c r="M25" s="218"/>
      <c r="N25" s="218"/>
      <c r="O25" s="218"/>
      <c r="P25" s="218"/>
      <c r="Q25" s="218"/>
      <c r="R25" s="218"/>
      <c r="S25" s="218"/>
      <c r="T25" s="218"/>
      <c r="U25" s="264"/>
      <c r="V25" s="264"/>
      <c r="W25" s="264"/>
      <c r="X25" s="264"/>
      <c r="Y25" s="267"/>
      <c r="Z25" s="267"/>
      <c r="AA25" s="267"/>
      <c r="AB25" s="267"/>
      <c r="AC25" s="267"/>
      <c r="AD25" s="267"/>
      <c r="AE25" s="267"/>
      <c r="AF25" s="267"/>
      <c r="AG25" s="267"/>
      <c r="AH25" s="267"/>
      <c r="AI25" s="267"/>
      <c r="AJ25" s="267"/>
      <c r="AK25" s="264"/>
      <c r="AL25" s="264"/>
      <c r="AM25" s="264"/>
      <c r="AN25" s="264"/>
      <c r="AO25" s="218"/>
      <c r="AP25" s="218"/>
      <c r="AQ25" s="218"/>
      <c r="AR25" s="218"/>
      <c r="AS25" s="218"/>
      <c r="AT25" s="218"/>
      <c r="AU25" s="218"/>
      <c r="AV25" s="218"/>
      <c r="AW25" s="218"/>
      <c r="AX25" s="218"/>
      <c r="AY25" s="218"/>
      <c r="AZ25" s="218"/>
      <c r="BA25" s="218"/>
      <c r="BB25" s="218"/>
      <c r="BC25" s="218"/>
      <c r="BD25" s="218"/>
      <c r="BE25" s="218"/>
      <c r="BF25" s="218"/>
      <c r="BG25" s="218"/>
      <c r="BH25" s="218"/>
      <c r="BI25" s="218"/>
      <c r="BJ25" s="218"/>
      <c r="BK25" s="218"/>
      <c r="BL25" s="218"/>
      <c r="BM25" s="218"/>
      <c r="BN25" s="218"/>
      <c r="BO25" s="218"/>
      <c r="BP25" s="218"/>
      <c r="BQ25" s="218"/>
      <c r="BR25" s="218"/>
      <c r="BS25" s="218"/>
      <c r="BT25" s="218"/>
      <c r="BU25" s="218"/>
      <c r="BV25" s="218"/>
      <c r="BW25" s="218"/>
      <c r="BX25" s="218"/>
      <c r="BY25" s="218"/>
      <c r="BZ25" s="218"/>
      <c r="CA25" s="218"/>
      <c r="CB25" s="218"/>
      <c r="CC25" s="218"/>
      <c r="CD25" s="218"/>
      <c r="CE25" s="218"/>
      <c r="CF25" s="218"/>
      <c r="CG25" s="218"/>
      <c r="CH25" s="218"/>
      <c r="CI25" s="218"/>
      <c r="CJ25" s="218"/>
      <c r="CK25" s="218"/>
      <c r="CL25" s="218"/>
      <c r="CM25" s="218"/>
      <c r="CN25" s="218"/>
      <c r="CO25" s="218"/>
      <c r="CP25" s="218"/>
      <c r="CQ25" s="218"/>
      <c r="CR25" s="218"/>
      <c r="CS25" s="218"/>
      <c r="CT25" s="218"/>
      <c r="CU25" s="218"/>
      <c r="CV25" s="218"/>
    </row>
    <row r="26" spans="1:100">
      <c r="E26" s="411" t="s">
        <v>439</v>
      </c>
      <c r="F26" s="411"/>
      <c r="G26" s="197" t="s">
        <v>441</v>
      </c>
      <c r="H26" s="197"/>
      <c r="I26" s="197"/>
      <c r="J26" s="197"/>
      <c r="K26" s="197"/>
      <c r="L26" s="197"/>
      <c r="M26" s="348" t="s">
        <v>440</v>
      </c>
      <c r="N26" s="348"/>
      <c r="O26" s="349"/>
      <c r="P26" s="349"/>
      <c r="Q26" s="349"/>
      <c r="R26" s="349"/>
      <c r="S26" s="349"/>
      <c r="T26" s="349"/>
      <c r="U26" s="264"/>
      <c r="V26" s="264"/>
      <c r="W26" s="264"/>
      <c r="X26" s="264"/>
      <c r="Y26" s="264"/>
      <c r="Z26" s="264"/>
      <c r="AA26" s="264"/>
      <c r="AB26" s="264"/>
      <c r="AC26" s="264"/>
      <c r="AD26" s="264"/>
      <c r="AE26" s="264"/>
      <c r="AF26" s="264"/>
      <c r="AG26" s="264"/>
      <c r="AH26" s="264"/>
      <c r="AI26" s="264"/>
      <c r="AJ26" s="264"/>
      <c r="AK26" s="264"/>
      <c r="AL26" s="264"/>
      <c r="AM26" s="263"/>
      <c r="AN26" s="263"/>
    </row>
    <row r="27" spans="1:100" ht="13.5">
      <c r="B27" s="302"/>
      <c r="C27" s="295"/>
      <c r="E27" s="329">
        <v>2011</v>
      </c>
      <c r="F27" s="330"/>
      <c r="G27" s="331">
        <v>2012</v>
      </c>
      <c r="H27" s="332"/>
      <c r="I27" s="333">
        <v>2013</v>
      </c>
      <c r="J27" s="334"/>
      <c r="K27" s="335">
        <v>2014</v>
      </c>
      <c r="L27" s="336"/>
      <c r="M27" s="337">
        <v>2015</v>
      </c>
      <c r="N27" s="338"/>
      <c r="O27" s="339">
        <v>2016</v>
      </c>
      <c r="P27" s="340"/>
      <c r="Q27" s="341">
        <v>2017</v>
      </c>
      <c r="R27" s="342"/>
      <c r="S27" s="343">
        <v>2018</v>
      </c>
      <c r="T27" s="344"/>
      <c r="U27" s="264"/>
      <c r="V27" s="264"/>
      <c r="W27" s="264"/>
      <c r="X27" s="264"/>
      <c r="Y27" s="264"/>
      <c r="Z27" s="264"/>
      <c r="AA27" s="264"/>
      <c r="AB27" s="264"/>
      <c r="AC27" s="264"/>
      <c r="AD27" s="264"/>
      <c r="AE27" s="264"/>
      <c r="AF27" s="264"/>
      <c r="AG27" s="264"/>
      <c r="AH27" s="264"/>
      <c r="AI27" s="264"/>
      <c r="AJ27" s="264"/>
      <c r="AK27" s="264"/>
      <c r="AL27" s="264"/>
      <c r="AM27" s="263"/>
      <c r="AN27" s="263"/>
    </row>
    <row r="28" spans="1:100">
      <c r="A28" s="268"/>
      <c r="B28" s="313"/>
      <c r="C28" s="308"/>
      <c r="E28" s="298" t="s">
        <v>429</v>
      </c>
      <c r="F28" s="298" t="s">
        <v>430</v>
      </c>
      <c r="G28" s="298" t="s">
        <v>429</v>
      </c>
      <c r="H28" s="298" t="s">
        <v>430</v>
      </c>
      <c r="I28" s="298" t="s">
        <v>429</v>
      </c>
      <c r="J28" s="298" t="s">
        <v>430</v>
      </c>
      <c r="K28" s="298" t="s">
        <v>429</v>
      </c>
      <c r="L28" s="298" t="s">
        <v>430</v>
      </c>
      <c r="M28" s="298" t="s">
        <v>429</v>
      </c>
      <c r="N28" s="298" t="s">
        <v>430</v>
      </c>
      <c r="O28" s="298" t="s">
        <v>429</v>
      </c>
      <c r="P28" s="298" t="s">
        <v>430</v>
      </c>
      <c r="Q28" s="298" t="s">
        <v>429</v>
      </c>
      <c r="R28" s="298" t="s">
        <v>430</v>
      </c>
      <c r="S28" s="298" t="s">
        <v>429</v>
      </c>
      <c r="T28" s="298" t="s">
        <v>430</v>
      </c>
      <c r="U28" s="264"/>
      <c r="V28" s="264"/>
      <c r="W28" s="264"/>
      <c r="X28" s="264"/>
      <c r="Y28" s="264"/>
      <c r="Z28" s="264"/>
      <c r="AA28" s="264"/>
      <c r="AB28" s="264"/>
      <c r="AC28" s="264"/>
      <c r="AD28" s="264"/>
      <c r="AE28" s="264"/>
      <c r="AF28" s="264"/>
      <c r="AG28" s="264"/>
      <c r="AH28" s="264"/>
      <c r="AI28" s="264"/>
      <c r="AJ28" s="264"/>
      <c r="AK28" s="264"/>
      <c r="AL28" s="264"/>
      <c r="AM28" s="263"/>
      <c r="AN28" s="263"/>
    </row>
    <row r="29" spans="1:100">
      <c r="B29" s="306" t="s">
        <v>431</v>
      </c>
      <c r="C29" s="300" t="s">
        <v>434</v>
      </c>
      <c r="E29" s="295">
        <f>SUM(E9:J9)</f>
        <v>16</v>
      </c>
      <c r="F29" s="295">
        <f>SUM(K9:P9)</f>
        <v>36</v>
      </c>
      <c r="G29" s="295">
        <f>SUM(Q9:V9)</f>
        <v>60</v>
      </c>
      <c r="H29" s="295">
        <f>SUM(W9:AB9)</f>
        <v>88</v>
      </c>
      <c r="I29" s="295">
        <f>SUM(AC9:AH9)</f>
        <v>156</v>
      </c>
      <c r="J29" s="295">
        <f>SUM(AI9:AN9)</f>
        <v>192</v>
      </c>
      <c r="K29" s="295">
        <f>SUM(AO9:AT9)</f>
        <v>225</v>
      </c>
      <c r="L29" s="295">
        <f>SUM(AU9:AZ9)</f>
        <v>267</v>
      </c>
      <c r="M29" s="295">
        <f>SUM(BA9:BF9)</f>
        <v>309</v>
      </c>
      <c r="N29" s="295">
        <f>SUM(BG9:BL9)</f>
        <v>345</v>
      </c>
      <c r="O29" s="295">
        <f>SUM(BM9:BR9)</f>
        <v>387</v>
      </c>
      <c r="P29" s="295">
        <f>SUM(BS9:BX9)</f>
        <v>429</v>
      </c>
      <c r="Q29" s="295">
        <f>SUM(BY9:CD9)</f>
        <v>471</v>
      </c>
      <c r="R29" s="295">
        <f>SUM(CE9:CJ9)</f>
        <v>513</v>
      </c>
      <c r="S29" s="295">
        <f>SUM(CK9:CP9)</f>
        <v>555</v>
      </c>
      <c r="T29" s="295">
        <f>SUM(CQ9:CV9)</f>
        <v>597</v>
      </c>
    </row>
    <row r="30" spans="1:100">
      <c r="B30" s="303"/>
      <c r="C30" s="300" t="s">
        <v>432</v>
      </c>
      <c r="E30" s="296">
        <f>SUM(E8:J8)</f>
        <v>96000</v>
      </c>
      <c r="F30" s="296">
        <f>SUM(K8:P8)</f>
        <v>216000</v>
      </c>
      <c r="G30" s="296">
        <f>SUM(Q8:V8)</f>
        <v>360000</v>
      </c>
      <c r="H30" s="296">
        <f>SUM(W8:AB8)</f>
        <v>528000</v>
      </c>
      <c r="I30" s="296">
        <f>SUM(AC8:AH8)</f>
        <v>936000</v>
      </c>
      <c r="J30" s="296">
        <f>SUM(AI8:AN8)</f>
        <v>1152000</v>
      </c>
      <c r="K30" s="296">
        <f>SUM(AO8:AT8)</f>
        <v>1354500</v>
      </c>
      <c r="L30" s="296">
        <f>SUM(AU8:AZ8)</f>
        <v>1615500</v>
      </c>
      <c r="M30" s="296">
        <f>SUM(BA8:BF8)</f>
        <v>1876500</v>
      </c>
      <c r="N30" s="296">
        <f>SUM(BG8:BL8)</f>
        <v>2110500</v>
      </c>
      <c r="O30" s="296">
        <f>SUM(BM8:BR8)</f>
        <v>2371500</v>
      </c>
      <c r="P30" s="296">
        <f>SUM(BS8:BX8)</f>
        <v>2632500</v>
      </c>
      <c r="Q30" s="296">
        <f>SUM(BY8:CD8)</f>
        <v>2893500</v>
      </c>
      <c r="R30" s="296">
        <f>SUM(CE8:CJ8)</f>
        <v>3154500</v>
      </c>
      <c r="S30" s="296">
        <f>SUM(CK8:CP8)</f>
        <v>3415500</v>
      </c>
      <c r="T30" s="296">
        <f>SUM(CQ8:CV8)</f>
        <v>3676500</v>
      </c>
    </row>
    <row r="31" spans="1:100">
      <c r="B31" s="306" t="s">
        <v>433</v>
      </c>
      <c r="C31" s="300" t="s">
        <v>434</v>
      </c>
      <c r="E31" s="295">
        <f>SUM(E17:J17)</f>
        <v>18</v>
      </c>
      <c r="F31" s="295">
        <f>SUM(K17:P17)</f>
        <v>45</v>
      </c>
      <c r="G31" s="295">
        <f>SUM(Q17:V17)</f>
        <v>84</v>
      </c>
      <c r="H31" s="295">
        <f>SUM(W17:AB17)</f>
        <v>112</v>
      </c>
      <c r="I31" s="295">
        <f>SUM(AC17:AH17)</f>
        <v>180</v>
      </c>
      <c r="J31" s="295">
        <f>SUM(AI17:AN17)</f>
        <v>228</v>
      </c>
      <c r="K31" s="295">
        <f>SUM(AO17:AT17)</f>
        <v>276</v>
      </c>
      <c r="L31" s="295">
        <f>SUM(AU17:AZ17)</f>
        <v>345</v>
      </c>
      <c r="M31" s="295">
        <f>SUM(BA17:BF17)</f>
        <v>411</v>
      </c>
      <c r="N31" s="296">
        <f>SUM(BG17:BL17)</f>
        <v>477</v>
      </c>
      <c r="O31" s="295">
        <f>SUM(BM17:BR17)</f>
        <v>543</v>
      </c>
      <c r="P31" s="295">
        <f>SUM(BS17:BX17)</f>
        <v>609</v>
      </c>
      <c r="Q31" s="295">
        <f>SUM(BY17:CD17)</f>
        <v>675</v>
      </c>
      <c r="R31" s="295">
        <f>SUM(CE17:CJ17)</f>
        <v>741</v>
      </c>
      <c r="S31" s="295">
        <f>SUM(CK17:CP17)</f>
        <v>807</v>
      </c>
      <c r="T31" s="295">
        <f>SUM(CQ17:CV17)</f>
        <v>873</v>
      </c>
    </row>
    <row r="32" spans="1:100">
      <c r="B32" s="307"/>
      <c r="C32" s="300" t="s">
        <v>432</v>
      </c>
      <c r="E32" s="296">
        <f>SUM(E16:J16)</f>
        <v>6570</v>
      </c>
      <c r="F32" s="296">
        <f>SUM(K16:P16)</f>
        <v>15930</v>
      </c>
      <c r="G32" s="296">
        <f>SUM(Q16:V16)</f>
        <v>30240</v>
      </c>
      <c r="H32" s="296">
        <f>SUM(W16:AB16)</f>
        <v>40320</v>
      </c>
      <c r="I32" s="296">
        <f>SUM(AC16:AH16)</f>
        <v>64800</v>
      </c>
      <c r="J32" s="296">
        <f>SUM(AI16:AN16)</f>
        <v>82080</v>
      </c>
      <c r="K32" s="296">
        <f>SUM(AO16:AT16)</f>
        <v>100440</v>
      </c>
      <c r="L32" s="296">
        <f>SUM(AU16:AZ16)</f>
        <v>127440</v>
      </c>
      <c r="M32" s="296">
        <f>SUM(BA16:BF16)</f>
        <v>152820</v>
      </c>
      <c r="N32" s="296">
        <f>SUM(BG16:BL16)</f>
        <v>178200</v>
      </c>
      <c r="O32" s="296">
        <f>SUM(BM16:BR16)</f>
        <v>203580</v>
      </c>
      <c r="P32" s="296">
        <f>SUM(BS16:BX16)</f>
        <v>228960</v>
      </c>
      <c r="Q32" s="296">
        <f>SUM(BY16:CD16)</f>
        <v>254340</v>
      </c>
      <c r="R32" s="296">
        <f>SUM(CE16:CJ16)</f>
        <v>279720</v>
      </c>
      <c r="S32" s="296">
        <f>SUM(CK16:CP16)</f>
        <v>305100</v>
      </c>
      <c r="T32" s="296">
        <f>SUM(CQ16:CV16)</f>
        <v>330480</v>
      </c>
    </row>
    <row r="33" spans="1:22">
      <c r="A33" s="269"/>
      <c r="B33" s="311" t="s">
        <v>29</v>
      </c>
      <c r="C33" s="300" t="s">
        <v>434</v>
      </c>
      <c r="E33" s="314">
        <f t="shared" ref="E33:T33" si="31">E29+E31</f>
        <v>34</v>
      </c>
      <c r="F33" s="314">
        <f t="shared" si="31"/>
        <v>81</v>
      </c>
      <c r="G33" s="314">
        <f t="shared" si="31"/>
        <v>144</v>
      </c>
      <c r="H33" s="314">
        <f t="shared" si="31"/>
        <v>200</v>
      </c>
      <c r="I33" s="314">
        <f t="shared" si="31"/>
        <v>336</v>
      </c>
      <c r="J33" s="314">
        <f t="shared" si="31"/>
        <v>420</v>
      </c>
      <c r="K33" s="314">
        <f t="shared" si="31"/>
        <v>501</v>
      </c>
      <c r="L33" s="314">
        <f t="shared" si="31"/>
        <v>612</v>
      </c>
      <c r="M33" s="314">
        <f t="shared" si="31"/>
        <v>720</v>
      </c>
      <c r="N33" s="314">
        <f t="shared" si="31"/>
        <v>822</v>
      </c>
      <c r="O33" s="314">
        <f t="shared" si="31"/>
        <v>930</v>
      </c>
      <c r="P33" s="314">
        <f t="shared" si="31"/>
        <v>1038</v>
      </c>
      <c r="Q33" s="314">
        <f t="shared" si="31"/>
        <v>1146</v>
      </c>
      <c r="R33" s="314">
        <f t="shared" si="31"/>
        <v>1254</v>
      </c>
      <c r="S33" s="314">
        <f t="shared" si="31"/>
        <v>1362</v>
      </c>
      <c r="T33" s="314">
        <f t="shared" si="31"/>
        <v>1470</v>
      </c>
    </row>
    <row r="34" spans="1:22">
      <c r="A34" s="205"/>
      <c r="B34" s="312"/>
      <c r="C34" s="309" t="s">
        <v>432</v>
      </c>
      <c r="E34" s="315">
        <f t="shared" ref="E34:T34" si="32">E30+E32</f>
        <v>102570</v>
      </c>
      <c r="F34" s="315">
        <f t="shared" si="32"/>
        <v>231930</v>
      </c>
      <c r="G34" s="315">
        <f t="shared" si="32"/>
        <v>390240</v>
      </c>
      <c r="H34" s="315">
        <f t="shared" si="32"/>
        <v>568320</v>
      </c>
      <c r="I34" s="315">
        <f t="shared" si="32"/>
        <v>1000800</v>
      </c>
      <c r="J34" s="315">
        <f t="shared" si="32"/>
        <v>1234080</v>
      </c>
      <c r="K34" s="315">
        <f t="shared" si="32"/>
        <v>1454940</v>
      </c>
      <c r="L34" s="315">
        <f t="shared" si="32"/>
        <v>1742940</v>
      </c>
      <c r="M34" s="315">
        <f t="shared" si="32"/>
        <v>2029320</v>
      </c>
      <c r="N34" s="315">
        <f t="shared" si="32"/>
        <v>2288700</v>
      </c>
      <c r="O34" s="315">
        <f t="shared" si="32"/>
        <v>2575080</v>
      </c>
      <c r="P34" s="315">
        <f t="shared" si="32"/>
        <v>2861460</v>
      </c>
      <c r="Q34" s="315">
        <f t="shared" si="32"/>
        <v>3147840</v>
      </c>
      <c r="R34" s="315">
        <f t="shared" si="32"/>
        <v>3434220</v>
      </c>
      <c r="S34" s="315">
        <f t="shared" si="32"/>
        <v>3720600</v>
      </c>
      <c r="T34" s="315">
        <f t="shared" si="32"/>
        <v>4006980</v>
      </c>
    </row>
    <row r="35" spans="1:22" ht="12.75">
      <c r="B35" s="310" t="s">
        <v>354</v>
      </c>
      <c r="C35" s="295"/>
      <c r="E35" s="317"/>
      <c r="F35" s="318">
        <f>E34+F34</f>
        <v>334500</v>
      </c>
      <c r="G35" s="317"/>
      <c r="H35" s="318">
        <f>G34+H34</f>
        <v>958560</v>
      </c>
      <c r="I35" s="317"/>
      <c r="J35" s="318">
        <f>I34+J34</f>
        <v>2234880</v>
      </c>
      <c r="K35" s="317"/>
      <c r="L35" s="318">
        <f>K34+L34</f>
        <v>3197880</v>
      </c>
      <c r="M35" s="317"/>
      <c r="N35" s="319">
        <f>M34+N34</f>
        <v>4318020</v>
      </c>
      <c r="O35" s="320"/>
      <c r="P35" s="319">
        <f>O34+P34</f>
        <v>5436540</v>
      </c>
      <c r="Q35" s="320"/>
      <c r="R35" s="319">
        <f>Q34+R34</f>
        <v>6582060</v>
      </c>
      <c r="S35" s="320"/>
      <c r="T35" s="319">
        <f>S34+T34</f>
        <v>7727580</v>
      </c>
    </row>
    <row r="36" spans="1:22">
      <c r="C36" s="261"/>
    </row>
    <row r="37" spans="1:22" ht="13.5">
      <c r="B37" s="302"/>
      <c r="C37" s="299"/>
      <c r="E37" s="321">
        <v>2011</v>
      </c>
      <c r="F37" s="322">
        <v>2012</v>
      </c>
      <c r="G37" s="323">
        <v>2013</v>
      </c>
      <c r="H37" s="324">
        <v>2014</v>
      </c>
      <c r="I37" s="325">
        <v>2015</v>
      </c>
      <c r="J37" s="326">
        <v>2016</v>
      </c>
      <c r="K37" s="327">
        <v>2017</v>
      </c>
      <c r="L37" s="328">
        <v>2018</v>
      </c>
      <c r="N37" s="310" t="s">
        <v>452</v>
      </c>
      <c r="O37" s="321">
        <v>2011</v>
      </c>
      <c r="P37" s="322">
        <v>2012</v>
      </c>
      <c r="Q37" s="323">
        <v>2013</v>
      </c>
      <c r="R37" s="324">
        <v>2014</v>
      </c>
      <c r="S37" s="325">
        <v>2015</v>
      </c>
      <c r="T37" s="326">
        <v>2016</v>
      </c>
      <c r="U37" s="327">
        <v>2017</v>
      </c>
      <c r="V37" s="328">
        <v>2018</v>
      </c>
    </row>
    <row r="38" spans="1:22">
      <c r="B38" s="306" t="s">
        <v>431</v>
      </c>
      <c r="C38" s="300" t="s">
        <v>434</v>
      </c>
      <c r="E38" s="295">
        <f>SUM(E29:F29)</f>
        <v>52</v>
      </c>
      <c r="F38" s="295">
        <f>SUM(G29:H29)</f>
        <v>148</v>
      </c>
      <c r="G38" s="295">
        <f>SUM(I29:J29)</f>
        <v>348</v>
      </c>
      <c r="H38" s="295">
        <f>SUM(K29:L29)</f>
        <v>492</v>
      </c>
      <c r="I38" s="295">
        <f>SUM(M29:N29)</f>
        <v>654</v>
      </c>
      <c r="J38" s="295">
        <f>SUM(O29:P29)</f>
        <v>816</v>
      </c>
      <c r="K38" s="295">
        <f>SUM(Q29:R29)</f>
        <v>984</v>
      </c>
      <c r="L38" s="295">
        <f>SUM(S29:T29)</f>
        <v>1152</v>
      </c>
      <c r="N38" s="295">
        <v>5</v>
      </c>
      <c r="O38" s="295">
        <v>13</v>
      </c>
      <c r="P38" s="295">
        <v>18</v>
      </c>
      <c r="Q38" s="295">
        <v>36</v>
      </c>
      <c r="R38" s="295">
        <v>34</v>
      </c>
      <c r="S38" s="295">
        <v>35</v>
      </c>
      <c r="T38" s="295">
        <v>36</v>
      </c>
      <c r="U38" s="295">
        <v>36</v>
      </c>
      <c r="V38" s="295">
        <v>36</v>
      </c>
    </row>
    <row r="39" spans="1:22">
      <c r="B39" s="307"/>
      <c r="C39" s="300" t="s">
        <v>432</v>
      </c>
      <c r="E39" s="296">
        <f>SUM(E30:F30)</f>
        <v>312000</v>
      </c>
      <c r="F39" s="296">
        <f>SUM(G30:H30)</f>
        <v>888000</v>
      </c>
      <c r="G39" s="296">
        <f>SUM(I30:J30)</f>
        <v>2088000</v>
      </c>
      <c r="H39" s="296">
        <f>SUM(K30:L30)</f>
        <v>2970000</v>
      </c>
      <c r="I39" s="296">
        <f>SUM(M30:N30)</f>
        <v>3987000</v>
      </c>
      <c r="J39" s="296">
        <f>SUM(O30:P30)</f>
        <v>5004000</v>
      </c>
      <c r="K39" s="296">
        <f>SUM(Q30:R30)</f>
        <v>6048000</v>
      </c>
      <c r="L39" s="296">
        <f>SUM(S30:T30)</f>
        <v>7092000</v>
      </c>
      <c r="N39" s="310" t="s">
        <v>447</v>
      </c>
      <c r="O39" s="310" t="s">
        <v>442</v>
      </c>
      <c r="P39" s="295"/>
      <c r="Q39" s="295"/>
      <c r="R39" s="295"/>
      <c r="S39" s="295"/>
      <c r="T39" s="295"/>
      <c r="U39" s="295"/>
      <c r="V39" s="295"/>
    </row>
    <row r="40" spans="1:22">
      <c r="A40" s="269"/>
      <c r="B40" s="306" t="s">
        <v>433</v>
      </c>
      <c r="C40" s="300" t="s">
        <v>434</v>
      </c>
      <c r="E40" s="295">
        <f>SUM(E33:F33)</f>
        <v>115</v>
      </c>
      <c r="F40" s="295">
        <f>SUM(G31:H31)</f>
        <v>196</v>
      </c>
      <c r="G40" s="295">
        <f>SUM(I31:J31)</f>
        <v>408</v>
      </c>
      <c r="H40" s="295">
        <f>SUM(K31:L31)</f>
        <v>621</v>
      </c>
      <c r="I40" s="295">
        <f>SUM(M31:N31)</f>
        <v>888</v>
      </c>
      <c r="J40" s="295">
        <f>SUM(O31:P31)</f>
        <v>1152</v>
      </c>
      <c r="K40" s="295">
        <f>SUM(Q31:R31)</f>
        <v>1416</v>
      </c>
      <c r="L40" s="295">
        <f>SUM(S31:T31)</f>
        <v>1680</v>
      </c>
      <c r="N40" s="310" t="s">
        <v>448</v>
      </c>
      <c r="O40" s="310" t="s">
        <v>443</v>
      </c>
      <c r="P40" s="295"/>
      <c r="Q40" s="295"/>
      <c r="R40" s="295"/>
      <c r="S40" s="295"/>
      <c r="T40" s="295"/>
      <c r="U40" s="295"/>
      <c r="V40" s="295"/>
    </row>
    <row r="41" spans="1:22">
      <c r="A41" s="269"/>
      <c r="B41" s="307"/>
      <c r="C41" s="300" t="s">
        <v>432</v>
      </c>
      <c r="E41" s="296">
        <f>SUM(E32:F32)</f>
        <v>22500</v>
      </c>
      <c r="F41" s="296">
        <f>SUM(G32:H32)</f>
        <v>70560</v>
      </c>
      <c r="G41" s="296">
        <f>SUM(I32:J32)</f>
        <v>146880</v>
      </c>
      <c r="H41" s="296">
        <f>SUM(K32:L32)</f>
        <v>227880</v>
      </c>
      <c r="I41" s="296">
        <f>SUM(M32:N32)</f>
        <v>331020</v>
      </c>
      <c r="J41" s="296">
        <f>SUM(O32:P32)</f>
        <v>432540</v>
      </c>
      <c r="K41" s="296">
        <f>SUM(Q32:R32)</f>
        <v>534060</v>
      </c>
      <c r="L41" s="296">
        <f>SUM(S32:T32)</f>
        <v>635580</v>
      </c>
      <c r="N41" s="310" t="s">
        <v>449</v>
      </c>
      <c r="O41" s="310" t="s">
        <v>444</v>
      </c>
      <c r="P41" s="295"/>
      <c r="Q41" s="295"/>
      <c r="R41" s="295"/>
      <c r="S41" s="295"/>
      <c r="T41" s="295"/>
      <c r="U41" s="295"/>
      <c r="V41" s="295"/>
    </row>
    <row r="42" spans="1:22">
      <c r="B42" s="304" t="s">
        <v>29</v>
      </c>
      <c r="C42" s="301" t="s">
        <v>434</v>
      </c>
      <c r="D42" s="294"/>
      <c r="E42" s="297">
        <f>E38+E40</f>
        <v>167</v>
      </c>
      <c r="F42" s="297">
        <f t="shared" ref="F42:L42" si="33">F38+F40</f>
        <v>344</v>
      </c>
      <c r="G42" s="297">
        <f t="shared" si="33"/>
        <v>756</v>
      </c>
      <c r="H42" s="297">
        <f t="shared" si="33"/>
        <v>1113</v>
      </c>
      <c r="I42" s="297">
        <f t="shared" si="33"/>
        <v>1542</v>
      </c>
      <c r="J42" s="297">
        <f t="shared" si="33"/>
        <v>1968</v>
      </c>
      <c r="K42" s="297">
        <f t="shared" si="33"/>
        <v>2400</v>
      </c>
      <c r="L42" s="297">
        <f t="shared" si="33"/>
        <v>2832</v>
      </c>
      <c r="N42" s="310" t="s">
        <v>450</v>
      </c>
      <c r="O42" s="310" t="s">
        <v>445</v>
      </c>
      <c r="P42" s="295"/>
      <c r="Q42" s="295"/>
      <c r="R42" s="295"/>
      <c r="S42" s="295"/>
      <c r="T42" s="295"/>
      <c r="U42" s="295"/>
      <c r="V42" s="295"/>
    </row>
    <row r="43" spans="1:22" ht="12.75">
      <c r="B43" s="305"/>
      <c r="C43" s="301" t="s">
        <v>432</v>
      </c>
      <c r="D43" s="294"/>
      <c r="E43" s="316">
        <f>E39+E41</f>
        <v>334500</v>
      </c>
      <c r="F43" s="316">
        <f t="shared" ref="F43:L43" si="34">F39+F41</f>
        <v>958560</v>
      </c>
      <c r="G43" s="316">
        <f t="shared" si="34"/>
        <v>2234880</v>
      </c>
      <c r="H43" s="316">
        <f t="shared" si="34"/>
        <v>3197880</v>
      </c>
      <c r="I43" s="316">
        <f t="shared" si="34"/>
        <v>4318020</v>
      </c>
      <c r="J43" s="316">
        <f t="shared" si="34"/>
        <v>5436540</v>
      </c>
      <c r="K43" s="316">
        <f t="shared" si="34"/>
        <v>6582060</v>
      </c>
      <c r="L43" s="316">
        <f t="shared" si="34"/>
        <v>7727580</v>
      </c>
      <c r="N43" s="310" t="s">
        <v>451</v>
      </c>
      <c r="O43" s="310" t="s">
        <v>446</v>
      </c>
      <c r="P43" s="295"/>
      <c r="Q43" s="295"/>
      <c r="R43" s="295"/>
      <c r="S43" s="295"/>
      <c r="T43" s="295"/>
      <c r="U43" s="295"/>
      <c r="V43" s="295"/>
    </row>
    <row r="44" spans="1:22">
      <c r="B44" s="346" t="s">
        <v>435</v>
      </c>
      <c r="C44" s="347"/>
      <c r="E44" s="295"/>
      <c r="F44" s="345">
        <f>F43/E43</f>
        <v>2.8656502242152468</v>
      </c>
      <c r="G44" s="345">
        <f t="shared" ref="G44:L44" si="35">G43/F43</f>
        <v>2.3314972458688032</v>
      </c>
      <c r="H44" s="345">
        <f t="shared" si="35"/>
        <v>1.430895618556701</v>
      </c>
      <c r="I44" s="345">
        <f t="shared" si="35"/>
        <v>1.3502758077226162</v>
      </c>
      <c r="J44" s="345">
        <f t="shared" si="35"/>
        <v>1.2590353912209762</v>
      </c>
      <c r="K44" s="345">
        <f t="shared" si="35"/>
        <v>1.2107075456080523</v>
      </c>
      <c r="L44" s="345">
        <f t="shared" si="35"/>
        <v>1.1740366997566112</v>
      </c>
      <c r="N44" s="295"/>
      <c r="O44" s="295"/>
      <c r="P44" s="295"/>
      <c r="Q44" s="295"/>
      <c r="R44" s="295"/>
      <c r="S44" s="295"/>
      <c r="T44" s="295"/>
      <c r="U44" s="295"/>
      <c r="V44" s="295"/>
    </row>
    <row r="45" spans="1:22">
      <c r="A45" s="269"/>
      <c r="B45" s="272"/>
      <c r="C45" s="269"/>
    </row>
    <row r="46" spans="1:22">
      <c r="A46" s="269"/>
      <c r="B46" s="269"/>
      <c r="C46" s="269"/>
    </row>
  </sheetData>
  <phoneticPr fontId="2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showGridLines="0" workbookViewId="0">
      <selection activeCell="F26" sqref="F26"/>
    </sheetView>
  </sheetViews>
  <sheetFormatPr defaultRowHeight="18" customHeight="1"/>
  <cols>
    <col min="1" max="1" width="1.625" style="259" customWidth="1"/>
    <col min="2" max="4" width="9.625" style="259" customWidth="1"/>
    <col min="5" max="6" width="9.625" style="244" customWidth="1"/>
    <col min="7" max="9" width="9.625" style="259" customWidth="1"/>
    <col min="10" max="10" width="1.125" style="259" customWidth="1"/>
    <col min="11" max="16384" width="9" style="259"/>
  </cols>
  <sheetData>
    <row r="1" spans="1:13" ht="18" customHeight="1">
      <c r="B1" s="515" t="s">
        <v>407</v>
      </c>
      <c r="C1" s="515"/>
      <c r="D1" s="515"/>
      <c r="E1" s="515"/>
      <c r="F1" s="515"/>
      <c r="G1" s="515"/>
      <c r="H1" s="515"/>
      <c r="I1" s="515"/>
      <c r="J1" s="412"/>
      <c r="K1" s="257"/>
    </row>
    <row r="2" spans="1:13" ht="18" customHeight="1">
      <c r="B2" s="412"/>
      <c r="C2" s="412"/>
      <c r="D2" s="412"/>
      <c r="E2" s="412"/>
      <c r="F2" s="412"/>
      <c r="G2" s="412"/>
      <c r="H2" s="412"/>
      <c r="I2" s="412" t="s">
        <v>453</v>
      </c>
      <c r="J2" s="412"/>
      <c r="K2" s="257"/>
    </row>
    <row r="3" spans="1:13" ht="15.75" customHeight="1">
      <c r="B3" s="516" t="s">
        <v>380</v>
      </c>
      <c r="C3" s="517"/>
      <c r="D3" s="518"/>
      <c r="G3" s="519" t="s">
        <v>371</v>
      </c>
      <c r="H3" s="520"/>
      <c r="I3" s="521"/>
    </row>
    <row r="4" spans="1:13" ht="15.75" customHeight="1">
      <c r="B4" s="260" t="s">
        <v>376</v>
      </c>
      <c r="C4" s="260" t="s">
        <v>377</v>
      </c>
      <c r="D4" s="260" t="s">
        <v>378</v>
      </c>
      <c r="G4" s="260" t="s">
        <v>374</v>
      </c>
      <c r="H4" s="260" t="s">
        <v>375</v>
      </c>
      <c r="I4" s="260" t="s">
        <v>379</v>
      </c>
    </row>
    <row r="5" spans="1:13" ht="15.75" customHeight="1">
      <c r="B5" s="522" t="s">
        <v>454</v>
      </c>
      <c r="C5" s="522" t="s">
        <v>455</v>
      </c>
      <c r="D5" s="525" t="s">
        <v>456</v>
      </c>
      <c r="E5" s="528" t="s">
        <v>457</v>
      </c>
      <c r="F5" s="529"/>
      <c r="G5" s="245">
        <v>30000</v>
      </c>
      <c r="H5" s="260" t="s">
        <v>405</v>
      </c>
      <c r="I5" s="260" t="s">
        <v>454</v>
      </c>
    </row>
    <row r="6" spans="1:13" ht="15.75" customHeight="1">
      <c r="B6" s="523"/>
      <c r="C6" s="523"/>
      <c r="D6" s="526"/>
      <c r="E6" s="528"/>
      <c r="F6" s="529"/>
      <c r="G6" s="415" t="s">
        <v>458</v>
      </c>
      <c r="H6" s="260" t="s">
        <v>459</v>
      </c>
      <c r="I6" s="260" t="s">
        <v>454</v>
      </c>
    </row>
    <row r="7" spans="1:13" ht="15.75" customHeight="1">
      <c r="B7" s="524"/>
      <c r="C7" s="524"/>
      <c r="D7" s="527"/>
      <c r="E7" s="413"/>
      <c r="F7" s="414"/>
      <c r="G7" s="415" t="s">
        <v>460</v>
      </c>
      <c r="H7" s="260" t="s">
        <v>372</v>
      </c>
      <c r="I7" s="260" t="s">
        <v>461</v>
      </c>
    </row>
    <row r="8" spans="1:13" ht="15.75" customHeight="1">
      <c r="B8" s="246" t="s">
        <v>369</v>
      </c>
      <c r="C8" s="246" t="s">
        <v>462</v>
      </c>
      <c r="D8" s="247">
        <v>30000</v>
      </c>
      <c r="E8" s="528" t="s">
        <v>381</v>
      </c>
      <c r="F8" s="529"/>
      <c r="G8" s="245">
        <v>30000</v>
      </c>
      <c r="H8" s="260" t="s">
        <v>373</v>
      </c>
      <c r="I8" s="260" t="s">
        <v>463</v>
      </c>
      <c r="K8" s="258"/>
      <c r="L8" s="248"/>
      <c r="M8" s="248"/>
    </row>
    <row r="9" spans="1:13" ht="15.75" customHeight="1">
      <c r="B9" s="246" t="s">
        <v>369</v>
      </c>
      <c r="C9" s="246" t="s">
        <v>464</v>
      </c>
      <c r="D9" s="247">
        <v>110000</v>
      </c>
      <c r="E9" s="528" t="s">
        <v>381</v>
      </c>
      <c r="F9" s="529"/>
      <c r="G9" s="245">
        <v>110000</v>
      </c>
      <c r="H9" s="260" t="s">
        <v>370</v>
      </c>
      <c r="I9" s="260" t="s">
        <v>463</v>
      </c>
      <c r="K9" s="258"/>
      <c r="L9" s="258"/>
      <c r="M9" s="258"/>
    </row>
    <row r="10" spans="1:13" ht="15.75" customHeight="1">
      <c r="B10" s="246" t="s">
        <v>369</v>
      </c>
      <c r="C10" s="246" t="s">
        <v>464</v>
      </c>
      <c r="D10" s="247">
        <v>20000</v>
      </c>
      <c r="E10" s="528" t="s">
        <v>381</v>
      </c>
      <c r="F10" s="529"/>
      <c r="G10" s="245">
        <v>20000</v>
      </c>
      <c r="H10" s="260" t="s">
        <v>465</v>
      </c>
      <c r="I10" s="260" t="s">
        <v>463</v>
      </c>
      <c r="K10" s="258"/>
      <c r="L10" s="258"/>
      <c r="M10" s="258"/>
    </row>
    <row r="11" spans="1:13" ht="15.75" customHeight="1">
      <c r="B11" s="246" t="s">
        <v>369</v>
      </c>
      <c r="C11" s="246" t="s">
        <v>410</v>
      </c>
      <c r="D11" s="247">
        <f>260000-D8-D9-D10</f>
        <v>100000</v>
      </c>
      <c r="E11" s="528" t="s">
        <v>381</v>
      </c>
      <c r="F11" s="529"/>
      <c r="G11" s="416">
        <v>112000</v>
      </c>
      <c r="H11" s="260" t="s">
        <v>406</v>
      </c>
      <c r="I11" s="260" t="s">
        <v>463</v>
      </c>
    </row>
    <row r="12" spans="1:13" ht="15.75" customHeight="1">
      <c r="A12" s="417"/>
      <c r="B12" s="417"/>
      <c r="C12" s="417"/>
      <c r="D12" s="530" t="s">
        <v>470</v>
      </c>
      <c r="E12" s="530"/>
      <c r="F12" s="530"/>
      <c r="G12" s="530"/>
      <c r="H12" s="530"/>
      <c r="I12" s="530"/>
    </row>
    <row r="13" spans="1:13" ht="15.75" customHeight="1">
      <c r="A13" s="417"/>
      <c r="B13" s="417"/>
      <c r="C13" s="417"/>
      <c r="D13" s="514" t="s">
        <v>466</v>
      </c>
      <c r="E13" s="514"/>
      <c r="F13" s="514"/>
      <c r="G13" s="514"/>
      <c r="H13" s="514"/>
      <c r="I13" s="514"/>
    </row>
    <row r="14" spans="1:13" ht="18" customHeight="1">
      <c r="G14" s="244"/>
    </row>
    <row r="15" spans="1:13" ht="18" customHeight="1">
      <c r="B15" s="513" t="s">
        <v>467</v>
      </c>
      <c r="C15" s="513"/>
      <c r="D15" s="418" t="s">
        <v>469</v>
      </c>
      <c r="G15" s="244"/>
    </row>
    <row r="16" spans="1:13" ht="18" customHeight="1">
      <c r="G16" s="244"/>
    </row>
    <row r="17" spans="7:7" ht="18" customHeight="1">
      <c r="G17" s="244"/>
    </row>
    <row r="18" spans="7:7" ht="18" customHeight="1">
      <c r="G18" s="244"/>
    </row>
  </sheetData>
  <mergeCells count="14">
    <mergeCell ref="B15:C15"/>
    <mergeCell ref="D13:I13"/>
    <mergeCell ref="B1:I1"/>
    <mergeCell ref="B3:D3"/>
    <mergeCell ref="G3:I3"/>
    <mergeCell ref="B5:B7"/>
    <mergeCell ref="C5:C7"/>
    <mergeCell ref="D5:D7"/>
    <mergeCell ref="E5:F6"/>
    <mergeCell ref="E8:F8"/>
    <mergeCell ref="E9:F9"/>
    <mergeCell ref="E10:F10"/>
    <mergeCell ref="E11:F11"/>
    <mergeCell ref="D12:I12"/>
  </mergeCells>
  <phoneticPr fontId="2"/>
  <pageMargins left="0.25" right="0.25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0"/>
  <sheetViews>
    <sheetView tabSelected="1" zoomScale="115" zoomScaleNormal="115" workbookViewId="0">
      <selection activeCell="D7" sqref="D7"/>
    </sheetView>
  </sheetViews>
  <sheetFormatPr defaultRowHeight="13.5"/>
  <cols>
    <col min="1" max="1" width="4" customWidth="1"/>
    <col min="2" max="2" width="14.875" bestFit="1" customWidth="1"/>
    <col min="3" max="3" width="12.375" customWidth="1"/>
    <col min="4" max="5" width="9" style="103"/>
  </cols>
  <sheetData>
    <row r="2" spans="2:7">
      <c r="B2" t="s">
        <v>539</v>
      </c>
    </row>
    <row r="3" spans="2:7">
      <c r="B3" s="446" t="s">
        <v>527</v>
      </c>
      <c r="C3" s="446" t="s">
        <v>538</v>
      </c>
      <c r="D3" s="447" t="s">
        <v>531</v>
      </c>
      <c r="E3" s="447" t="s">
        <v>533</v>
      </c>
      <c r="F3" s="448">
        <f>900*6.5*22</f>
        <v>128700</v>
      </c>
    </row>
    <row r="4" spans="2:7">
      <c r="B4" s="446" t="s">
        <v>528</v>
      </c>
      <c r="C4" s="446" t="s">
        <v>530</v>
      </c>
      <c r="D4" s="447" t="s">
        <v>531</v>
      </c>
      <c r="E4" s="447" t="s">
        <v>533</v>
      </c>
      <c r="F4" s="448">
        <f>800*6.5*22</f>
        <v>114400</v>
      </c>
    </row>
    <row r="5" spans="2:7">
      <c r="B5" s="446" t="s">
        <v>529</v>
      </c>
      <c r="C5" s="446" t="s">
        <v>530</v>
      </c>
      <c r="D5" s="447" t="s">
        <v>531</v>
      </c>
      <c r="E5" s="447" t="s">
        <v>533</v>
      </c>
      <c r="F5" s="448">
        <f>800*6.5*22</f>
        <v>114400</v>
      </c>
    </row>
    <row r="6" spans="2:7">
      <c r="B6" s="446" t="s">
        <v>529</v>
      </c>
      <c r="C6" s="446" t="s">
        <v>530</v>
      </c>
      <c r="D6" s="447" t="s">
        <v>532</v>
      </c>
      <c r="E6" s="447" t="s">
        <v>533</v>
      </c>
      <c r="F6" s="448">
        <f>800*3*22</f>
        <v>52800</v>
      </c>
    </row>
    <row r="7" spans="2:7">
      <c r="B7" s="446"/>
      <c r="C7" s="446"/>
      <c r="D7" s="447"/>
      <c r="E7" s="447"/>
      <c r="F7" s="448"/>
    </row>
    <row r="8" spans="2:7" ht="14.25" thickBot="1">
      <c r="B8" s="451"/>
      <c r="C8" s="451"/>
      <c r="D8" s="452"/>
      <c r="E8" s="452"/>
      <c r="F8" s="453"/>
    </row>
    <row r="9" spans="2:7" ht="15" thickTop="1" thickBot="1">
      <c r="B9" s="454"/>
      <c r="C9" s="454"/>
      <c r="D9" s="455"/>
      <c r="E9" s="455"/>
      <c r="F9" s="456">
        <f>SUM(F3:F6)</f>
        <v>410300</v>
      </c>
      <c r="G9" s="457">
        <f>F4+F5+F6</f>
        <v>281600</v>
      </c>
    </row>
    <row r="10" spans="2:7" ht="14.25" thickTop="1">
      <c r="B10" s="449"/>
      <c r="C10" s="449" t="s">
        <v>534</v>
      </c>
      <c r="D10" s="450" t="s">
        <v>535</v>
      </c>
      <c r="E10" s="450"/>
      <c r="F10" s="436">
        <f>F9/1000*7</f>
        <v>2872.1</v>
      </c>
    </row>
    <row r="12" spans="2:7">
      <c r="B12" t="s">
        <v>539</v>
      </c>
    </row>
    <row r="13" spans="2:7">
      <c r="B13" s="446" t="s">
        <v>527</v>
      </c>
      <c r="C13" s="446" t="s">
        <v>540</v>
      </c>
      <c r="D13" s="447" t="s">
        <v>531</v>
      </c>
      <c r="E13" s="447" t="s">
        <v>533</v>
      </c>
      <c r="F13" s="448">
        <f>1200*6.5*22</f>
        <v>171600</v>
      </c>
    </row>
    <row r="14" spans="2:7">
      <c r="B14" s="446" t="s">
        <v>528</v>
      </c>
      <c r="C14" s="446" t="s">
        <v>541</v>
      </c>
      <c r="D14" s="447" t="s">
        <v>531</v>
      </c>
      <c r="E14" s="447" t="s">
        <v>533</v>
      </c>
      <c r="F14" s="448">
        <f>900*6.5*22</f>
        <v>128700</v>
      </c>
    </row>
    <row r="15" spans="2:7">
      <c r="B15" s="446" t="s">
        <v>529</v>
      </c>
      <c r="C15" s="446" t="s">
        <v>542</v>
      </c>
      <c r="D15" s="447" t="s">
        <v>531</v>
      </c>
      <c r="E15" s="447" t="s">
        <v>533</v>
      </c>
      <c r="F15" s="448">
        <f>900*6.5*22</f>
        <v>128700</v>
      </c>
    </row>
    <row r="16" spans="2:7">
      <c r="B16" s="446" t="s">
        <v>529</v>
      </c>
      <c r="C16" s="446" t="s">
        <v>542</v>
      </c>
      <c r="D16" s="447" t="s">
        <v>532</v>
      </c>
      <c r="E16" s="447" t="s">
        <v>533</v>
      </c>
      <c r="F16" s="448">
        <f>900*3*22</f>
        <v>59400</v>
      </c>
    </row>
    <row r="17" spans="2:7">
      <c r="B17" s="446"/>
      <c r="C17" s="446"/>
      <c r="D17" s="447"/>
      <c r="E17" s="447"/>
      <c r="F17" s="448"/>
    </row>
    <row r="18" spans="2:7" ht="14.25" thickBot="1">
      <c r="B18" s="451"/>
      <c r="C18" s="451"/>
      <c r="D18" s="452"/>
      <c r="E18" s="452"/>
      <c r="F18" s="453"/>
    </row>
    <row r="19" spans="2:7" ht="15" thickTop="1" thickBot="1">
      <c r="B19" s="454"/>
      <c r="C19" s="454"/>
      <c r="D19" s="455"/>
      <c r="E19" s="455"/>
      <c r="F19" s="456">
        <f>SUM(F13:F16)</f>
        <v>488400</v>
      </c>
      <c r="G19" s="457">
        <f>F14+F15+F16</f>
        <v>316800</v>
      </c>
    </row>
    <row r="20" spans="2:7" ht="14.25" thickTop="1">
      <c r="B20" s="449"/>
      <c r="C20" s="449" t="s">
        <v>534</v>
      </c>
      <c r="D20" s="450" t="s">
        <v>535</v>
      </c>
      <c r="E20" s="450"/>
      <c r="F20" s="439">
        <f>F19/1000*7</f>
        <v>3418.7999999999997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FU88"/>
  <sheetViews>
    <sheetView view="pageBreakPreview" zoomScale="115" zoomScaleSheetLayoutView="115" workbookViewId="0">
      <pane xSplit="3" ySplit="2" topLeftCell="D31" activePane="bottomRight" state="frozen"/>
      <selection activeCell="E38" sqref="E38"/>
      <selection pane="topRight" activeCell="E38" sqref="E38"/>
      <selection pane="bottomLeft" activeCell="E38" sqref="E38"/>
      <selection pane="bottomRight" activeCell="A31" sqref="A31"/>
    </sheetView>
  </sheetViews>
  <sheetFormatPr defaultColWidth="9" defaultRowHeight="13.5" outlineLevelCol="1"/>
  <cols>
    <col min="1" max="1" width="1" style="126" customWidth="1"/>
    <col min="2" max="2" width="2.875" style="126" customWidth="1"/>
    <col min="3" max="3" width="14.375" style="126" customWidth="1"/>
    <col min="4" max="15" width="5.125" style="126" customWidth="1" outlineLevel="1"/>
    <col min="16" max="16" width="7.5" style="126" customWidth="1"/>
    <col min="17" max="17" width="9.125" style="162" customWidth="1"/>
    <col min="18" max="18" width="1.125" style="126" customWidth="1"/>
    <col min="19" max="19" width="2.875" style="126" customWidth="1"/>
    <col min="20" max="20" width="14.375" style="126" customWidth="1"/>
    <col min="21" max="32" width="5.375" style="126" customWidth="1"/>
    <col min="33" max="33" width="7.5" style="126" customWidth="1"/>
    <col min="34" max="34" width="9.125" style="162" customWidth="1"/>
    <col min="35" max="35" width="1.625" style="126" customWidth="1"/>
    <col min="36" max="36" width="2.875" style="437" customWidth="1"/>
    <col min="37" max="37" width="14.375" style="437" customWidth="1"/>
    <col min="38" max="49" width="5.375" style="437" customWidth="1"/>
    <col min="50" max="50" width="7.5" style="437" customWidth="1"/>
    <col min="51" max="51" width="9.125" style="162" customWidth="1"/>
    <col min="52" max="52" width="1.625" style="126" customWidth="1"/>
    <col min="53" max="53" width="2.875" style="126" customWidth="1"/>
    <col min="54" max="54" width="14.375" style="126" customWidth="1"/>
    <col min="55" max="66" width="5.375" style="126" customWidth="1"/>
    <col min="67" max="67" width="7.5" style="126" customWidth="1"/>
    <col min="68" max="68" width="9.125" style="162" customWidth="1"/>
    <col min="69" max="69" width="1.625" style="126" customWidth="1"/>
    <col min="70" max="70" width="2.875" style="126" customWidth="1"/>
    <col min="71" max="71" width="14.375" style="126" customWidth="1"/>
    <col min="72" max="83" width="5.25" style="126" customWidth="1"/>
    <col min="84" max="84" width="7.5" style="126" customWidth="1"/>
    <col min="85" max="85" width="9.125" style="162" customWidth="1"/>
    <col min="86" max="86" width="1.625" style="126" customWidth="1"/>
    <col min="87" max="87" width="2.875" style="126" hidden="1" customWidth="1"/>
    <col min="88" max="88" width="14.375" style="126" hidden="1" customWidth="1"/>
    <col min="89" max="100" width="5.375" style="126" hidden="1" customWidth="1"/>
    <col min="101" max="101" width="7.5" style="126" hidden="1" customWidth="1"/>
    <col min="102" max="102" width="9.125" style="162" hidden="1" customWidth="1"/>
    <col min="103" max="103" width="1.625" style="126" hidden="1" customWidth="1"/>
    <col min="104" max="104" width="2.875" style="126" hidden="1" customWidth="1"/>
    <col min="105" max="105" width="14.5" style="126" hidden="1" customWidth="1"/>
    <col min="106" max="117" width="5.375" style="126" hidden="1" customWidth="1"/>
    <col min="118" max="118" width="7.5" style="126" hidden="1" customWidth="1"/>
    <col min="119" max="119" width="9.125" style="162" hidden="1" customWidth="1"/>
    <col min="120" max="120" width="1.625" style="126" hidden="1" customWidth="1"/>
    <col min="121" max="121" width="2.875" style="126" hidden="1" customWidth="1"/>
    <col min="122" max="122" width="14.375" style="126" hidden="1" customWidth="1"/>
    <col min="123" max="134" width="5.25" style="126" hidden="1" customWidth="1"/>
    <col min="135" max="135" width="7.5" style="126" hidden="1" customWidth="1"/>
    <col min="136" max="136" width="9.125" style="162" hidden="1" customWidth="1"/>
    <col min="137" max="137" width="1.625" style="126" hidden="1" customWidth="1"/>
    <col min="138" max="138" width="2.875" style="126" hidden="1" customWidth="1"/>
    <col min="139" max="139" width="14.375" style="126" hidden="1" customWidth="1"/>
    <col min="140" max="151" width="5.375" style="126" hidden="1" customWidth="1"/>
    <col min="152" max="152" width="7.5" style="126" hidden="1" customWidth="1"/>
    <col min="153" max="153" width="9.125" style="162" hidden="1" customWidth="1"/>
    <col min="154" max="154" width="1.625" style="126" hidden="1" customWidth="1"/>
    <col min="155" max="155" width="2.875" style="126" hidden="1" customWidth="1"/>
    <col min="156" max="156" width="14.375" style="126" hidden="1" customWidth="1"/>
    <col min="157" max="168" width="5.375" style="126" hidden="1" customWidth="1"/>
    <col min="169" max="169" width="7.5" style="126" hidden="1" customWidth="1"/>
    <col min="170" max="170" width="9.125" style="162" hidden="1" customWidth="1"/>
    <col min="171" max="175" width="0" style="126" hidden="1" customWidth="1"/>
    <col min="176" max="177" width="9" style="126" hidden="1" customWidth="1"/>
    <col min="178" max="183" width="0" style="126" hidden="1" customWidth="1"/>
    <col min="184" max="16384" width="9" style="126"/>
  </cols>
  <sheetData>
    <row r="1" spans="1:170">
      <c r="A1" s="583" t="s">
        <v>537</v>
      </c>
      <c r="B1" s="583"/>
      <c r="C1" s="583"/>
      <c r="E1" s="419"/>
      <c r="R1" s="531"/>
      <c r="S1" s="538" t="s">
        <v>107</v>
      </c>
      <c r="T1" s="538"/>
      <c r="AJ1" s="538" t="s">
        <v>72</v>
      </c>
      <c r="AK1" s="538"/>
      <c r="BA1" s="538" t="s">
        <v>81</v>
      </c>
      <c r="BB1" s="538"/>
      <c r="BR1" s="538" t="s">
        <v>82</v>
      </c>
      <c r="BS1" s="538"/>
      <c r="CI1" s="538" t="s">
        <v>106</v>
      </c>
      <c r="CJ1" s="538"/>
      <c r="CZ1" s="538" t="s">
        <v>107</v>
      </c>
      <c r="DA1" s="538"/>
      <c r="DQ1" s="538" t="s">
        <v>111</v>
      </c>
      <c r="DR1" s="538"/>
      <c r="EH1" s="538" t="s">
        <v>112</v>
      </c>
      <c r="EI1" s="538"/>
      <c r="EY1" s="538" t="s">
        <v>113</v>
      </c>
      <c r="EZ1" s="538"/>
    </row>
    <row r="2" spans="1:170" s="149" customFormat="1" ht="11.25" customHeight="1">
      <c r="B2" s="558"/>
      <c r="C2" s="559"/>
      <c r="D2" s="150" t="s">
        <v>18</v>
      </c>
      <c r="E2" s="150" t="s">
        <v>19</v>
      </c>
      <c r="F2" s="150" t="s">
        <v>20</v>
      </c>
      <c r="G2" s="150" t="s">
        <v>21</v>
      </c>
      <c r="H2" s="150" t="s">
        <v>22</v>
      </c>
      <c r="I2" s="150" t="s">
        <v>23</v>
      </c>
      <c r="J2" s="150" t="s">
        <v>24</v>
      </c>
      <c r="K2" s="150" t="s">
        <v>25</v>
      </c>
      <c r="L2" s="150" t="s">
        <v>26</v>
      </c>
      <c r="M2" s="150" t="s">
        <v>27</v>
      </c>
      <c r="N2" s="150" t="s">
        <v>28</v>
      </c>
      <c r="O2" s="150" t="s">
        <v>83</v>
      </c>
      <c r="P2" s="150" t="s">
        <v>29</v>
      </c>
      <c r="Q2" s="163" t="s">
        <v>35</v>
      </c>
      <c r="R2" s="531"/>
      <c r="S2" s="558"/>
      <c r="T2" s="559"/>
      <c r="U2" s="150" t="s">
        <v>18</v>
      </c>
      <c r="V2" s="150" t="s">
        <v>19</v>
      </c>
      <c r="W2" s="150" t="s">
        <v>20</v>
      </c>
      <c r="X2" s="150" t="s">
        <v>21</v>
      </c>
      <c r="Y2" s="150" t="s">
        <v>22</v>
      </c>
      <c r="Z2" s="150" t="s">
        <v>23</v>
      </c>
      <c r="AA2" s="150" t="s">
        <v>24</v>
      </c>
      <c r="AB2" s="150" t="s">
        <v>25</v>
      </c>
      <c r="AC2" s="150" t="s">
        <v>26</v>
      </c>
      <c r="AD2" s="150" t="s">
        <v>27</v>
      </c>
      <c r="AE2" s="150" t="s">
        <v>28</v>
      </c>
      <c r="AF2" s="150" t="s">
        <v>83</v>
      </c>
      <c r="AG2" s="150" t="s">
        <v>29</v>
      </c>
      <c r="AH2" s="163" t="s">
        <v>35</v>
      </c>
      <c r="AJ2" s="558"/>
      <c r="AK2" s="559"/>
      <c r="AL2" s="150" t="s">
        <v>18</v>
      </c>
      <c r="AM2" s="150" t="s">
        <v>19</v>
      </c>
      <c r="AN2" s="150" t="s">
        <v>20</v>
      </c>
      <c r="AO2" s="150" t="s">
        <v>21</v>
      </c>
      <c r="AP2" s="150" t="s">
        <v>22</v>
      </c>
      <c r="AQ2" s="150" t="s">
        <v>23</v>
      </c>
      <c r="AR2" s="150" t="s">
        <v>24</v>
      </c>
      <c r="AS2" s="150" t="s">
        <v>25</v>
      </c>
      <c r="AT2" s="150" t="s">
        <v>26</v>
      </c>
      <c r="AU2" s="150" t="s">
        <v>27</v>
      </c>
      <c r="AV2" s="150" t="s">
        <v>28</v>
      </c>
      <c r="AW2" s="150" t="s">
        <v>83</v>
      </c>
      <c r="AX2" s="150" t="s">
        <v>29</v>
      </c>
      <c r="AY2" s="163" t="s">
        <v>35</v>
      </c>
      <c r="BA2" s="558"/>
      <c r="BB2" s="559"/>
      <c r="BC2" s="150" t="s">
        <v>83</v>
      </c>
      <c r="BD2" s="150" t="s">
        <v>84</v>
      </c>
      <c r="BE2" s="150" t="s">
        <v>19</v>
      </c>
      <c r="BF2" s="150" t="s">
        <v>20</v>
      </c>
      <c r="BG2" s="150" t="s">
        <v>21</v>
      </c>
      <c r="BH2" s="150" t="s">
        <v>22</v>
      </c>
      <c r="BI2" s="150" t="s">
        <v>23</v>
      </c>
      <c r="BJ2" s="150" t="s">
        <v>24</v>
      </c>
      <c r="BK2" s="150" t="s">
        <v>25</v>
      </c>
      <c r="BL2" s="150" t="s">
        <v>26</v>
      </c>
      <c r="BM2" s="150" t="s">
        <v>27</v>
      </c>
      <c r="BN2" s="150" t="s">
        <v>28</v>
      </c>
      <c r="BO2" s="150" t="s">
        <v>29</v>
      </c>
      <c r="BP2" s="163" t="s">
        <v>35</v>
      </c>
      <c r="BR2" s="558"/>
      <c r="BS2" s="559"/>
      <c r="BT2" s="150" t="s">
        <v>83</v>
      </c>
      <c r="BU2" s="150" t="s">
        <v>84</v>
      </c>
      <c r="BV2" s="150" t="s">
        <v>19</v>
      </c>
      <c r="BW2" s="150" t="s">
        <v>20</v>
      </c>
      <c r="BX2" s="150" t="s">
        <v>21</v>
      </c>
      <c r="BY2" s="150" t="s">
        <v>22</v>
      </c>
      <c r="BZ2" s="150" t="s">
        <v>23</v>
      </c>
      <c r="CA2" s="150" t="s">
        <v>24</v>
      </c>
      <c r="CB2" s="150" t="s">
        <v>25</v>
      </c>
      <c r="CC2" s="150" t="s">
        <v>26</v>
      </c>
      <c r="CD2" s="150" t="s">
        <v>27</v>
      </c>
      <c r="CE2" s="150" t="s">
        <v>28</v>
      </c>
      <c r="CF2" s="150" t="s">
        <v>29</v>
      </c>
      <c r="CG2" s="163" t="s">
        <v>35</v>
      </c>
      <c r="CI2" s="558"/>
      <c r="CJ2" s="559"/>
      <c r="CK2" s="150" t="s">
        <v>83</v>
      </c>
      <c r="CL2" s="150" t="s">
        <v>84</v>
      </c>
      <c r="CM2" s="150" t="s">
        <v>19</v>
      </c>
      <c r="CN2" s="150" t="s">
        <v>20</v>
      </c>
      <c r="CO2" s="150" t="s">
        <v>21</v>
      </c>
      <c r="CP2" s="150" t="s">
        <v>22</v>
      </c>
      <c r="CQ2" s="150" t="s">
        <v>23</v>
      </c>
      <c r="CR2" s="150" t="s">
        <v>24</v>
      </c>
      <c r="CS2" s="150" t="s">
        <v>25</v>
      </c>
      <c r="CT2" s="150" t="s">
        <v>26</v>
      </c>
      <c r="CU2" s="150" t="s">
        <v>27</v>
      </c>
      <c r="CV2" s="150" t="s">
        <v>28</v>
      </c>
      <c r="CW2" s="150" t="s">
        <v>29</v>
      </c>
      <c r="CX2" s="163" t="s">
        <v>35</v>
      </c>
      <c r="CZ2" s="558"/>
      <c r="DA2" s="559"/>
      <c r="DB2" s="150" t="s">
        <v>83</v>
      </c>
      <c r="DC2" s="150" t="s">
        <v>84</v>
      </c>
      <c r="DD2" s="150" t="s">
        <v>19</v>
      </c>
      <c r="DE2" s="150" t="s">
        <v>20</v>
      </c>
      <c r="DF2" s="150" t="s">
        <v>21</v>
      </c>
      <c r="DG2" s="150" t="s">
        <v>22</v>
      </c>
      <c r="DH2" s="150" t="s">
        <v>23</v>
      </c>
      <c r="DI2" s="150" t="s">
        <v>24</v>
      </c>
      <c r="DJ2" s="150" t="s">
        <v>25</v>
      </c>
      <c r="DK2" s="150" t="s">
        <v>26</v>
      </c>
      <c r="DL2" s="150" t="s">
        <v>27</v>
      </c>
      <c r="DM2" s="150" t="s">
        <v>28</v>
      </c>
      <c r="DN2" s="150" t="s">
        <v>29</v>
      </c>
      <c r="DO2" s="163" t="s">
        <v>35</v>
      </c>
      <c r="DQ2" s="558"/>
      <c r="DR2" s="559"/>
      <c r="DS2" s="150" t="s">
        <v>83</v>
      </c>
      <c r="DT2" s="150" t="s">
        <v>84</v>
      </c>
      <c r="DU2" s="150" t="s">
        <v>19</v>
      </c>
      <c r="DV2" s="150" t="s">
        <v>20</v>
      </c>
      <c r="DW2" s="150" t="s">
        <v>21</v>
      </c>
      <c r="DX2" s="150" t="s">
        <v>22</v>
      </c>
      <c r="DY2" s="150" t="s">
        <v>23</v>
      </c>
      <c r="DZ2" s="150" t="s">
        <v>24</v>
      </c>
      <c r="EA2" s="150" t="s">
        <v>25</v>
      </c>
      <c r="EB2" s="150" t="s">
        <v>26</v>
      </c>
      <c r="EC2" s="150" t="s">
        <v>27</v>
      </c>
      <c r="ED2" s="150" t="s">
        <v>28</v>
      </c>
      <c r="EE2" s="150" t="s">
        <v>29</v>
      </c>
      <c r="EF2" s="163" t="s">
        <v>35</v>
      </c>
      <c r="EH2" s="558"/>
      <c r="EI2" s="559"/>
      <c r="EJ2" s="150" t="s">
        <v>83</v>
      </c>
      <c r="EK2" s="150" t="s">
        <v>84</v>
      </c>
      <c r="EL2" s="150" t="s">
        <v>19</v>
      </c>
      <c r="EM2" s="150" t="s">
        <v>20</v>
      </c>
      <c r="EN2" s="150" t="s">
        <v>21</v>
      </c>
      <c r="EO2" s="150" t="s">
        <v>22</v>
      </c>
      <c r="EP2" s="150" t="s">
        <v>23</v>
      </c>
      <c r="EQ2" s="150" t="s">
        <v>24</v>
      </c>
      <c r="ER2" s="150" t="s">
        <v>25</v>
      </c>
      <c r="ES2" s="150" t="s">
        <v>26</v>
      </c>
      <c r="ET2" s="150" t="s">
        <v>27</v>
      </c>
      <c r="EU2" s="150" t="s">
        <v>28</v>
      </c>
      <c r="EV2" s="150" t="s">
        <v>29</v>
      </c>
      <c r="EW2" s="163" t="s">
        <v>35</v>
      </c>
      <c r="EY2" s="558"/>
      <c r="EZ2" s="559"/>
      <c r="FA2" s="150" t="s">
        <v>83</v>
      </c>
      <c r="FB2" s="150" t="s">
        <v>84</v>
      </c>
      <c r="FC2" s="150" t="s">
        <v>19</v>
      </c>
      <c r="FD2" s="150" t="s">
        <v>20</v>
      </c>
      <c r="FE2" s="150" t="s">
        <v>21</v>
      </c>
      <c r="FF2" s="150" t="s">
        <v>22</v>
      </c>
      <c r="FG2" s="150" t="s">
        <v>23</v>
      </c>
      <c r="FH2" s="150" t="s">
        <v>24</v>
      </c>
      <c r="FI2" s="150" t="s">
        <v>25</v>
      </c>
      <c r="FJ2" s="150" t="s">
        <v>26</v>
      </c>
      <c r="FK2" s="150" t="s">
        <v>27</v>
      </c>
      <c r="FL2" s="150" t="s">
        <v>28</v>
      </c>
      <c r="FM2" s="150" t="s">
        <v>29</v>
      </c>
      <c r="FN2" s="163" t="s">
        <v>35</v>
      </c>
    </row>
    <row r="3" spans="1:170" s="151" customFormat="1" ht="11.25" customHeight="1">
      <c r="B3" s="580" t="s">
        <v>30</v>
      </c>
      <c r="C3" s="580"/>
      <c r="D3" s="152">
        <f t="shared" ref="D3:O3" si="0">D4+D9+D15+D17+D16</f>
        <v>0</v>
      </c>
      <c r="E3" s="152">
        <f t="shared" si="0"/>
        <v>0</v>
      </c>
      <c r="F3" s="152">
        <f t="shared" si="0"/>
        <v>0</v>
      </c>
      <c r="G3" s="152">
        <f t="shared" si="0"/>
        <v>0</v>
      </c>
      <c r="H3" s="152">
        <f t="shared" si="0"/>
        <v>0</v>
      </c>
      <c r="I3" s="152">
        <f t="shared" si="0"/>
        <v>0</v>
      </c>
      <c r="J3" s="152">
        <f t="shared" si="0"/>
        <v>0</v>
      </c>
      <c r="K3" s="152">
        <f t="shared" si="0"/>
        <v>0</v>
      </c>
      <c r="L3" s="152">
        <f t="shared" si="0"/>
        <v>0</v>
      </c>
      <c r="M3" s="152">
        <f t="shared" si="0"/>
        <v>0</v>
      </c>
      <c r="N3" s="152">
        <f t="shared" si="0"/>
        <v>100000</v>
      </c>
      <c r="O3" s="152">
        <f t="shared" si="0"/>
        <v>0</v>
      </c>
      <c r="P3" s="152">
        <f>SUM(D3:O3)</f>
        <v>100000</v>
      </c>
      <c r="Q3" s="164">
        <f>P3/P3</f>
        <v>1</v>
      </c>
      <c r="R3" s="531"/>
      <c r="S3" s="580" t="s">
        <v>30</v>
      </c>
      <c r="T3" s="580"/>
      <c r="U3" s="152">
        <f t="shared" ref="U3:AF3" si="1">U4+U9+U15+U17+U16</f>
        <v>1031370</v>
      </c>
      <c r="V3" s="152">
        <f t="shared" si="1"/>
        <v>1186064</v>
      </c>
      <c r="W3" s="152">
        <f t="shared" si="1"/>
        <v>1186064</v>
      </c>
      <c r="X3" s="152">
        <f t="shared" si="1"/>
        <v>1353888</v>
      </c>
      <c r="Y3" s="152">
        <f t="shared" si="1"/>
        <v>1353888</v>
      </c>
      <c r="Z3" s="152">
        <f t="shared" si="1"/>
        <v>1461712</v>
      </c>
      <c r="AA3" s="152">
        <f t="shared" si="1"/>
        <v>1461712</v>
      </c>
      <c r="AB3" s="152">
        <f t="shared" si="1"/>
        <v>1569536</v>
      </c>
      <c r="AC3" s="152">
        <f t="shared" si="1"/>
        <v>1569536</v>
      </c>
      <c r="AD3" s="152">
        <f t="shared" si="1"/>
        <v>1677360</v>
      </c>
      <c r="AE3" s="152">
        <f t="shared" si="1"/>
        <v>1677360</v>
      </c>
      <c r="AF3" s="152">
        <f t="shared" si="1"/>
        <v>1785184</v>
      </c>
      <c r="AG3" s="152">
        <f>SUM(U3:AF3)</f>
        <v>17313674</v>
      </c>
      <c r="AH3" s="164">
        <f>AG3/P3</f>
        <v>173.13674</v>
      </c>
      <c r="AJ3" s="580" t="s">
        <v>30</v>
      </c>
      <c r="AK3" s="580"/>
      <c r="AL3" s="152">
        <f t="shared" ref="AL3:AW3" si="2">AL4+AL9+AL15+AL17+AL16</f>
        <v>1091370</v>
      </c>
      <c r="AM3" s="152">
        <f t="shared" si="2"/>
        <v>1246064</v>
      </c>
      <c r="AN3" s="152">
        <f t="shared" si="2"/>
        <v>1246064</v>
      </c>
      <c r="AO3" s="152">
        <f t="shared" si="2"/>
        <v>1353888</v>
      </c>
      <c r="AP3" s="152">
        <f t="shared" si="2"/>
        <v>1353888</v>
      </c>
      <c r="AQ3" s="152">
        <f t="shared" si="2"/>
        <v>1461712</v>
      </c>
      <c r="AR3" s="152">
        <f t="shared" si="2"/>
        <v>1461712</v>
      </c>
      <c r="AS3" s="152">
        <f t="shared" si="2"/>
        <v>1569536</v>
      </c>
      <c r="AT3" s="152">
        <f t="shared" si="2"/>
        <v>1569536</v>
      </c>
      <c r="AU3" s="152">
        <f t="shared" si="2"/>
        <v>1677360</v>
      </c>
      <c r="AV3" s="152">
        <f t="shared" si="2"/>
        <v>1677360</v>
      </c>
      <c r="AW3" s="152">
        <f t="shared" si="2"/>
        <v>1785184</v>
      </c>
      <c r="AX3" s="152">
        <f>SUM(AL3:AW3)</f>
        <v>17493674</v>
      </c>
      <c r="AY3" s="164">
        <f>AX3/AG3</f>
        <v>1.0103964069093596</v>
      </c>
      <c r="BA3" s="580" t="s">
        <v>30</v>
      </c>
      <c r="BB3" s="580"/>
      <c r="BC3" s="152">
        <f t="shared" ref="BC3:BN3" si="3">BC4+BC9+BC15+BC17+BC16</f>
        <v>29000</v>
      </c>
      <c r="BD3" s="152">
        <f t="shared" si="3"/>
        <v>29000</v>
      </c>
      <c r="BE3" s="152">
        <f t="shared" si="3"/>
        <v>29000</v>
      </c>
      <c r="BF3" s="152">
        <f t="shared" si="3"/>
        <v>29000</v>
      </c>
      <c r="BG3" s="152">
        <f t="shared" si="3"/>
        <v>29000</v>
      </c>
      <c r="BH3" s="152">
        <f t="shared" si="3"/>
        <v>28000</v>
      </c>
      <c r="BI3" s="152">
        <f t="shared" si="3"/>
        <v>29000</v>
      </c>
      <c r="BJ3" s="152">
        <f t="shared" si="3"/>
        <v>30000</v>
      </c>
      <c r="BK3" s="152">
        <f t="shared" si="3"/>
        <v>30000</v>
      </c>
      <c r="BL3" s="152">
        <f t="shared" si="3"/>
        <v>30000</v>
      </c>
      <c r="BM3" s="152">
        <f t="shared" si="3"/>
        <v>30000</v>
      </c>
      <c r="BN3" s="152">
        <f t="shared" si="3"/>
        <v>30000</v>
      </c>
      <c r="BO3" s="152">
        <f>SUM(BC3:BN3)</f>
        <v>352000</v>
      </c>
      <c r="BP3" s="164">
        <f>BO3/AX3</f>
        <v>2.0121559370547319E-2</v>
      </c>
      <c r="BR3" s="580" t="s">
        <v>30</v>
      </c>
      <c r="BS3" s="580"/>
      <c r="BT3" s="152">
        <f t="shared" ref="BT3:CE3" si="4">BT4+BT9+BT15+BT17+BT16</f>
        <v>29000</v>
      </c>
      <c r="BU3" s="152">
        <f t="shared" si="4"/>
        <v>29000</v>
      </c>
      <c r="BV3" s="152">
        <f t="shared" si="4"/>
        <v>29000</v>
      </c>
      <c r="BW3" s="152">
        <f t="shared" si="4"/>
        <v>29000</v>
      </c>
      <c r="BX3" s="152">
        <f t="shared" si="4"/>
        <v>29000</v>
      </c>
      <c r="BY3" s="152">
        <f t="shared" si="4"/>
        <v>28000</v>
      </c>
      <c r="BZ3" s="152">
        <f t="shared" si="4"/>
        <v>29000</v>
      </c>
      <c r="CA3" s="152">
        <f t="shared" si="4"/>
        <v>30000</v>
      </c>
      <c r="CB3" s="152">
        <f t="shared" si="4"/>
        <v>30000</v>
      </c>
      <c r="CC3" s="152">
        <f t="shared" si="4"/>
        <v>30000</v>
      </c>
      <c r="CD3" s="152">
        <f t="shared" si="4"/>
        <v>30000</v>
      </c>
      <c r="CE3" s="152">
        <f t="shared" si="4"/>
        <v>30000</v>
      </c>
      <c r="CF3" s="152">
        <f>SUM(BT3:CE3)</f>
        <v>352000</v>
      </c>
      <c r="CG3" s="164">
        <f>CF3/BO3</f>
        <v>1</v>
      </c>
      <c r="CI3" s="580" t="s">
        <v>30</v>
      </c>
      <c r="CJ3" s="580"/>
      <c r="CK3" s="152">
        <f t="shared" ref="CK3:CV3" si="5">CK4+CK9+CK15+CK17+CK16</f>
        <v>0</v>
      </c>
      <c r="CL3" s="152">
        <f t="shared" si="5"/>
        <v>0</v>
      </c>
      <c r="CM3" s="152">
        <f t="shared" si="5"/>
        <v>0</v>
      </c>
      <c r="CN3" s="152">
        <f t="shared" si="5"/>
        <v>0</v>
      </c>
      <c r="CO3" s="152">
        <f t="shared" si="5"/>
        <v>0</v>
      </c>
      <c r="CP3" s="152">
        <f t="shared" si="5"/>
        <v>0</v>
      </c>
      <c r="CQ3" s="152">
        <f t="shared" si="5"/>
        <v>0</v>
      </c>
      <c r="CR3" s="152">
        <f t="shared" si="5"/>
        <v>0</v>
      </c>
      <c r="CS3" s="152">
        <f t="shared" si="5"/>
        <v>0</v>
      </c>
      <c r="CT3" s="152">
        <f t="shared" si="5"/>
        <v>0</v>
      </c>
      <c r="CU3" s="152">
        <f t="shared" si="5"/>
        <v>0</v>
      </c>
      <c r="CV3" s="152">
        <f t="shared" si="5"/>
        <v>0</v>
      </c>
      <c r="CW3" s="152">
        <f>SUM(CK3:CV3)</f>
        <v>0</v>
      </c>
      <c r="CX3" s="164">
        <f>CW3/CF3</f>
        <v>0</v>
      </c>
      <c r="CZ3" s="580" t="s">
        <v>30</v>
      </c>
      <c r="DA3" s="580"/>
      <c r="DB3" s="152">
        <f t="shared" ref="DB3:DM3" si="6">DB4+DB9+DB15+DB17+DB16</f>
        <v>0</v>
      </c>
      <c r="DC3" s="152">
        <f t="shared" si="6"/>
        <v>0</v>
      </c>
      <c r="DD3" s="152">
        <f t="shared" si="6"/>
        <v>0</v>
      </c>
      <c r="DE3" s="152">
        <f t="shared" si="6"/>
        <v>0</v>
      </c>
      <c r="DF3" s="152">
        <f t="shared" si="6"/>
        <v>0</v>
      </c>
      <c r="DG3" s="152">
        <f t="shared" si="6"/>
        <v>0</v>
      </c>
      <c r="DH3" s="152">
        <f t="shared" si="6"/>
        <v>0</v>
      </c>
      <c r="DI3" s="152">
        <f t="shared" si="6"/>
        <v>0</v>
      </c>
      <c r="DJ3" s="152">
        <f t="shared" si="6"/>
        <v>0</v>
      </c>
      <c r="DK3" s="152">
        <f t="shared" si="6"/>
        <v>0</v>
      </c>
      <c r="DL3" s="152">
        <f t="shared" si="6"/>
        <v>0</v>
      </c>
      <c r="DM3" s="152">
        <f t="shared" si="6"/>
        <v>0</v>
      </c>
      <c r="DN3" s="152">
        <f>SUM(DB3:DM3)</f>
        <v>0</v>
      </c>
      <c r="DO3" s="164" t="e">
        <f>DN3/CW3</f>
        <v>#DIV/0!</v>
      </c>
      <c r="DQ3" s="580" t="s">
        <v>30</v>
      </c>
      <c r="DR3" s="580"/>
      <c r="DS3" s="152">
        <f t="shared" ref="DS3:ED3" si="7">DS4+DS9+DS15+DS17+DS16</f>
        <v>0</v>
      </c>
      <c r="DT3" s="152">
        <f t="shared" si="7"/>
        <v>0</v>
      </c>
      <c r="DU3" s="152">
        <f t="shared" si="7"/>
        <v>0</v>
      </c>
      <c r="DV3" s="152">
        <f t="shared" si="7"/>
        <v>0</v>
      </c>
      <c r="DW3" s="152">
        <f t="shared" si="7"/>
        <v>0</v>
      </c>
      <c r="DX3" s="152">
        <f t="shared" si="7"/>
        <v>0</v>
      </c>
      <c r="DY3" s="152">
        <f t="shared" si="7"/>
        <v>0</v>
      </c>
      <c r="DZ3" s="152">
        <f t="shared" si="7"/>
        <v>0</v>
      </c>
      <c r="EA3" s="152">
        <f t="shared" si="7"/>
        <v>0</v>
      </c>
      <c r="EB3" s="152">
        <f t="shared" si="7"/>
        <v>0</v>
      </c>
      <c r="EC3" s="152">
        <f t="shared" si="7"/>
        <v>0</v>
      </c>
      <c r="ED3" s="152">
        <f t="shared" si="7"/>
        <v>0</v>
      </c>
      <c r="EE3" s="152">
        <f>SUM(DS3:ED3)</f>
        <v>0</v>
      </c>
      <c r="EF3" s="164" t="e">
        <f>EE3/DN3</f>
        <v>#DIV/0!</v>
      </c>
      <c r="EH3" s="580" t="s">
        <v>30</v>
      </c>
      <c r="EI3" s="580"/>
      <c r="EJ3" s="152">
        <f t="shared" ref="EJ3:EU3" si="8">EJ4+EJ9+EJ15+EJ17+EJ16</f>
        <v>0</v>
      </c>
      <c r="EK3" s="152">
        <f t="shared" si="8"/>
        <v>0</v>
      </c>
      <c r="EL3" s="152">
        <f t="shared" si="8"/>
        <v>0</v>
      </c>
      <c r="EM3" s="152">
        <f t="shared" si="8"/>
        <v>0</v>
      </c>
      <c r="EN3" s="152">
        <f t="shared" si="8"/>
        <v>0</v>
      </c>
      <c r="EO3" s="152">
        <f t="shared" si="8"/>
        <v>0</v>
      </c>
      <c r="EP3" s="152">
        <f t="shared" si="8"/>
        <v>0</v>
      </c>
      <c r="EQ3" s="152">
        <f t="shared" si="8"/>
        <v>0</v>
      </c>
      <c r="ER3" s="152">
        <f t="shared" si="8"/>
        <v>0</v>
      </c>
      <c r="ES3" s="152">
        <f t="shared" si="8"/>
        <v>0</v>
      </c>
      <c r="ET3" s="152">
        <f t="shared" si="8"/>
        <v>0</v>
      </c>
      <c r="EU3" s="152">
        <f t="shared" si="8"/>
        <v>0</v>
      </c>
      <c r="EV3" s="152">
        <f>SUM(EJ3:EU3)</f>
        <v>0</v>
      </c>
      <c r="EW3" s="164" t="e">
        <f>EV3/EE3</f>
        <v>#DIV/0!</v>
      </c>
      <c r="EY3" s="580" t="s">
        <v>30</v>
      </c>
      <c r="EZ3" s="580"/>
      <c r="FA3" s="152">
        <f t="shared" ref="FA3:FL3" si="9">FA4+FA9+FA15+FA17+FA16</f>
        <v>0</v>
      </c>
      <c r="FB3" s="152">
        <f t="shared" si="9"/>
        <v>0</v>
      </c>
      <c r="FC3" s="152">
        <f t="shared" si="9"/>
        <v>0</v>
      </c>
      <c r="FD3" s="152">
        <f t="shared" si="9"/>
        <v>0</v>
      </c>
      <c r="FE3" s="152">
        <f t="shared" si="9"/>
        <v>0</v>
      </c>
      <c r="FF3" s="152">
        <f t="shared" si="9"/>
        <v>0</v>
      </c>
      <c r="FG3" s="152">
        <f t="shared" si="9"/>
        <v>0</v>
      </c>
      <c r="FH3" s="152">
        <f t="shared" si="9"/>
        <v>0</v>
      </c>
      <c r="FI3" s="152">
        <f t="shared" si="9"/>
        <v>0</v>
      </c>
      <c r="FJ3" s="152">
        <f t="shared" si="9"/>
        <v>0</v>
      </c>
      <c r="FK3" s="152">
        <f t="shared" si="9"/>
        <v>0</v>
      </c>
      <c r="FL3" s="152">
        <f t="shared" si="9"/>
        <v>0</v>
      </c>
      <c r="FM3" s="152">
        <f>SUM(FA3:FL3)</f>
        <v>0</v>
      </c>
      <c r="FN3" s="164" t="e">
        <f>FM3/EV3</f>
        <v>#DIV/0!</v>
      </c>
    </row>
    <row r="4" spans="1:170" ht="14.25" customHeight="1">
      <c r="B4" s="581" t="s">
        <v>490</v>
      </c>
      <c r="C4" s="582"/>
      <c r="D4" s="132">
        <f>SUM(D5:D8)</f>
        <v>0</v>
      </c>
      <c r="E4" s="132">
        <f>E6+E8</f>
        <v>0</v>
      </c>
      <c r="F4" s="132">
        <f t="shared" ref="F4:O4" si="10">F6+F8</f>
        <v>0</v>
      </c>
      <c r="G4" s="132">
        <f t="shared" si="10"/>
        <v>0</v>
      </c>
      <c r="H4" s="132">
        <f t="shared" si="10"/>
        <v>0</v>
      </c>
      <c r="I4" s="132">
        <f t="shared" si="10"/>
        <v>0</v>
      </c>
      <c r="J4" s="132">
        <f t="shared" si="10"/>
        <v>0</v>
      </c>
      <c r="K4" s="132">
        <f t="shared" si="10"/>
        <v>0</v>
      </c>
      <c r="L4" s="132">
        <f t="shared" si="10"/>
        <v>0</v>
      </c>
      <c r="M4" s="132">
        <f t="shared" si="10"/>
        <v>0</v>
      </c>
      <c r="N4" s="132">
        <f t="shared" si="10"/>
        <v>0</v>
      </c>
      <c r="O4" s="132">
        <f t="shared" si="10"/>
        <v>0</v>
      </c>
      <c r="P4" s="132">
        <f t="shared" ref="P4:P45" si="11">SUM(D4:O4)</f>
        <v>0</v>
      </c>
      <c r="Q4" s="165" t="str">
        <f>IF(P4=0,"",P4/$P$3)</f>
        <v/>
      </c>
      <c r="R4" s="531"/>
      <c r="S4" s="581" t="str">
        <f>IF(B4="","",B4)</f>
        <v>障害福祉サービス</v>
      </c>
      <c r="T4" s="582"/>
      <c r="U4" s="132">
        <f>SUM(U5:U8)</f>
        <v>1031370</v>
      </c>
      <c r="V4" s="132">
        <f>V6+V8</f>
        <v>1186064</v>
      </c>
      <c r="W4" s="132">
        <f t="shared" ref="W4:AF4" si="12">W6+W8</f>
        <v>1186064</v>
      </c>
      <c r="X4" s="132">
        <f t="shared" si="12"/>
        <v>1293888</v>
      </c>
      <c r="Y4" s="132">
        <f t="shared" si="12"/>
        <v>1293888</v>
      </c>
      <c r="Z4" s="132">
        <f t="shared" si="12"/>
        <v>1401712</v>
      </c>
      <c r="AA4" s="132">
        <f t="shared" si="12"/>
        <v>1401712</v>
      </c>
      <c r="AB4" s="132">
        <f t="shared" si="12"/>
        <v>1509536</v>
      </c>
      <c r="AC4" s="132">
        <f t="shared" si="12"/>
        <v>1509536</v>
      </c>
      <c r="AD4" s="132">
        <f t="shared" si="12"/>
        <v>1617360</v>
      </c>
      <c r="AE4" s="132">
        <f t="shared" si="12"/>
        <v>1617360</v>
      </c>
      <c r="AF4" s="132">
        <f t="shared" si="12"/>
        <v>1725184</v>
      </c>
      <c r="AG4" s="132">
        <f>SUM(U4:AF4)</f>
        <v>16773674</v>
      </c>
      <c r="AH4" s="165">
        <f>IF(AG4=0,"",AG4/AG$3)</f>
        <v>0.96881077927192116</v>
      </c>
      <c r="AJ4" s="581" t="str">
        <f>IF(S4="","",S4)</f>
        <v>障害福祉サービス</v>
      </c>
      <c r="AK4" s="582"/>
      <c r="AL4" s="132">
        <f>SUM(AL5:AL8)</f>
        <v>1031370</v>
      </c>
      <c r="AM4" s="132">
        <f>AM6+AM8</f>
        <v>1186064</v>
      </c>
      <c r="AN4" s="132">
        <f t="shared" ref="AN4:AW4" si="13">AN6+AN8</f>
        <v>1186064</v>
      </c>
      <c r="AO4" s="132">
        <f t="shared" si="13"/>
        <v>1293888</v>
      </c>
      <c r="AP4" s="132">
        <f t="shared" si="13"/>
        <v>1293888</v>
      </c>
      <c r="AQ4" s="132">
        <f t="shared" si="13"/>
        <v>1401712</v>
      </c>
      <c r="AR4" s="132">
        <f t="shared" si="13"/>
        <v>1401712</v>
      </c>
      <c r="AS4" s="132">
        <f t="shared" si="13"/>
        <v>1509536</v>
      </c>
      <c r="AT4" s="132">
        <f t="shared" si="13"/>
        <v>1509536</v>
      </c>
      <c r="AU4" s="132">
        <f t="shared" si="13"/>
        <v>1617360</v>
      </c>
      <c r="AV4" s="132">
        <f t="shared" si="13"/>
        <v>1617360</v>
      </c>
      <c r="AW4" s="132">
        <f t="shared" si="13"/>
        <v>1725184</v>
      </c>
      <c r="AX4" s="132">
        <f>SUM(AL4:AW4)</f>
        <v>16773674</v>
      </c>
      <c r="AY4" s="165">
        <f>IF(AX4=0,"",AX4/AX$3)</f>
        <v>0.95884226492388047</v>
      </c>
      <c r="BA4" s="581" t="s">
        <v>0</v>
      </c>
      <c r="BB4" s="582"/>
      <c r="BC4" s="132">
        <f t="shared" ref="BC4:BN4" si="14">SUM(BC5:BC15)</f>
        <v>29000</v>
      </c>
      <c r="BD4" s="132">
        <f t="shared" si="14"/>
        <v>29000</v>
      </c>
      <c r="BE4" s="132">
        <f t="shared" si="14"/>
        <v>29000</v>
      </c>
      <c r="BF4" s="132">
        <f t="shared" si="14"/>
        <v>29000</v>
      </c>
      <c r="BG4" s="132">
        <f t="shared" si="14"/>
        <v>29000</v>
      </c>
      <c r="BH4" s="132">
        <f t="shared" si="14"/>
        <v>28000</v>
      </c>
      <c r="BI4" s="132">
        <f t="shared" si="14"/>
        <v>29000</v>
      </c>
      <c r="BJ4" s="132">
        <f t="shared" si="14"/>
        <v>30000</v>
      </c>
      <c r="BK4" s="132">
        <f t="shared" si="14"/>
        <v>30000</v>
      </c>
      <c r="BL4" s="132">
        <f t="shared" si="14"/>
        <v>30000</v>
      </c>
      <c r="BM4" s="132">
        <f t="shared" si="14"/>
        <v>30000</v>
      </c>
      <c r="BN4" s="132">
        <f t="shared" si="14"/>
        <v>30000</v>
      </c>
      <c r="BO4" s="132">
        <f>SUM(BC4:BN4)</f>
        <v>352000</v>
      </c>
      <c r="BP4" s="165">
        <f>IF(BO4=0,"",BO4/BO$3)</f>
        <v>1</v>
      </c>
      <c r="BR4" s="581" t="s">
        <v>0</v>
      </c>
      <c r="BS4" s="582"/>
      <c r="BT4" s="132">
        <f t="shared" ref="BT4:CE4" si="15">SUM(BT5:BT8)</f>
        <v>29000</v>
      </c>
      <c r="BU4" s="132">
        <f t="shared" si="15"/>
        <v>29000</v>
      </c>
      <c r="BV4" s="132">
        <f t="shared" si="15"/>
        <v>29000</v>
      </c>
      <c r="BW4" s="132">
        <f t="shared" si="15"/>
        <v>29000</v>
      </c>
      <c r="BX4" s="132">
        <f t="shared" si="15"/>
        <v>29000</v>
      </c>
      <c r="BY4" s="132">
        <f t="shared" si="15"/>
        <v>28000</v>
      </c>
      <c r="BZ4" s="132">
        <f t="shared" si="15"/>
        <v>29000</v>
      </c>
      <c r="CA4" s="132">
        <f t="shared" si="15"/>
        <v>30000</v>
      </c>
      <c r="CB4" s="132">
        <f t="shared" si="15"/>
        <v>30000</v>
      </c>
      <c r="CC4" s="132">
        <f t="shared" si="15"/>
        <v>30000</v>
      </c>
      <c r="CD4" s="132">
        <f t="shared" si="15"/>
        <v>30000</v>
      </c>
      <c r="CE4" s="132">
        <f t="shared" si="15"/>
        <v>30000</v>
      </c>
      <c r="CF4" s="132">
        <f>SUM(BT4:CE4)</f>
        <v>352000</v>
      </c>
      <c r="CG4" s="165">
        <f>IF(CF4=0,"",CF4/CF$3)</f>
        <v>1</v>
      </c>
      <c r="CI4" s="581" t="s">
        <v>0</v>
      </c>
      <c r="CJ4" s="582"/>
      <c r="CK4" s="132">
        <f>((CK5*'売上計画 '!$C$4)+(CK6*'売上計画 '!$C$5)+(CK7*'売上計画 '!$C$6)+(CK8*'売上計画 '!$C$7))*$E$1</f>
        <v>0</v>
      </c>
      <c r="CL4" s="132">
        <f>((CL5*'売上計画 '!$C$4)+(CL6*'売上計画 '!$C$5)+(CL7*'売上計画 '!$C$6)+(CL8*'売上計画 '!$C$7))*$E$1</f>
        <v>0</v>
      </c>
      <c r="CM4" s="132">
        <f>((CM5*'売上計画 '!$C$4)+(CM6*'売上計画 '!$C$5)+(CM7*'売上計画 '!$C$6)+(CM8*'売上計画 '!$C$7))*$E$1</f>
        <v>0</v>
      </c>
      <c r="CN4" s="132">
        <f>((CN5*'売上計画 '!$C$4)+(CN6*'売上計画 '!$C$5)+(CN7*'売上計画 '!$C$6)+(CN8*'売上計画 '!$C$7))*$E$1</f>
        <v>0</v>
      </c>
      <c r="CO4" s="132">
        <f>((CO5*'売上計画 '!$C$4)+(CO6*'売上計画 '!$C$5)+(CO7*'売上計画 '!$C$6)+(CO8*'売上計画 '!$C$7))*$E$1</f>
        <v>0</v>
      </c>
      <c r="CP4" s="132">
        <f>((CP5*'売上計画 '!$C$4)+(CP6*'売上計画 '!$C$5)+(CP7*'売上計画 '!$C$6)+(CP8*'売上計画 '!$C$7))*$E$1</f>
        <v>0</v>
      </c>
      <c r="CQ4" s="132">
        <f>((CQ5*'売上計画 '!$C$4)+(CQ6*'売上計画 '!$C$5)+(CQ7*'売上計画 '!$C$6)+(CQ8*'売上計画 '!$C$7))*$E$1</f>
        <v>0</v>
      </c>
      <c r="CR4" s="132">
        <f>((CR5*'売上計画 '!$C$4)+(CR6*'売上計画 '!$C$5)+(CR7*'売上計画 '!$C$6)+(CR8*'売上計画 '!$C$7))*$E$1</f>
        <v>0</v>
      </c>
      <c r="CS4" s="132">
        <f>((CS5*'売上計画 '!$C$4)+(CS6*'売上計画 '!$C$5)+(CS7*'売上計画 '!$C$6)+(CS8*'売上計画 '!$C$7))*$E$1</f>
        <v>0</v>
      </c>
      <c r="CT4" s="132">
        <f>((CT5*'売上計画 '!$C$4)+(CT6*'売上計画 '!$C$5)+(CT7*'売上計画 '!$C$6)+(CT8*'売上計画 '!$C$7))*$E$1</f>
        <v>0</v>
      </c>
      <c r="CU4" s="132">
        <f>((CU5*'売上計画 '!$C$4)+(CU6*'売上計画 '!$C$5)+(CU7*'売上計画 '!$C$6)+(CU8*'売上計画 '!$C$7))*$E$1</f>
        <v>0</v>
      </c>
      <c r="CV4" s="132">
        <f>((CV5*'売上計画 '!$C$4)+(CV6*'売上計画 '!$C$5)+(CV7*'売上計画 '!$C$6)+(CV8*'売上計画 '!$C$7))*$E$1</f>
        <v>0</v>
      </c>
      <c r="CW4" s="132">
        <f>SUM(CK4:CV4)</f>
        <v>0</v>
      </c>
      <c r="CX4" s="165" t="str">
        <f>IF(CW4=0,"",CW4/CW$3)</f>
        <v/>
      </c>
      <c r="CZ4" s="581" t="s">
        <v>0</v>
      </c>
      <c r="DA4" s="582"/>
      <c r="DB4" s="132">
        <f>((DB5*'売上計画 '!$C$4)+(DB6*'売上計画 '!$C$5)+(DB7*'売上計画 '!$C$6)+(DB8*'売上計画 '!$C$7))*$E$1</f>
        <v>0</v>
      </c>
      <c r="DC4" s="132">
        <f>((DC5*'売上計画 '!$C$4)+(DC6*'売上計画 '!$C$5)+(DC7*'売上計画 '!$C$6)+(DC8*'売上計画 '!$C$7))*$E$1</f>
        <v>0</v>
      </c>
      <c r="DD4" s="132">
        <f>((DD5*'売上計画 '!$C$4)+(DD6*'売上計画 '!$C$5)+(DD7*'売上計画 '!$C$6)+(DD8*'売上計画 '!$C$7))*$E$1</f>
        <v>0</v>
      </c>
      <c r="DE4" s="132">
        <f>((DE5*'売上計画 '!$C$4)+(DE6*'売上計画 '!$C$5)+(DE7*'売上計画 '!$C$6)+(DE8*'売上計画 '!$C$7))*$E$1</f>
        <v>0</v>
      </c>
      <c r="DF4" s="132">
        <f>((DF5*'売上計画 '!$C$4)+(DF6*'売上計画 '!$C$5)+(DF7*'売上計画 '!$C$6)+(DF8*'売上計画 '!$C$7))*$E$1</f>
        <v>0</v>
      </c>
      <c r="DG4" s="132">
        <f>((DG5*'売上計画 '!$C$4)+(DG6*'売上計画 '!$C$5)+(DG7*'売上計画 '!$C$6)+(DG8*'売上計画 '!$C$7))*$E$1</f>
        <v>0</v>
      </c>
      <c r="DH4" s="132">
        <f>((DH5*'売上計画 '!$C$4)+(DH6*'売上計画 '!$C$5)+(DH7*'売上計画 '!$C$6)+(DH8*'売上計画 '!$C$7))*$E$1</f>
        <v>0</v>
      </c>
      <c r="DI4" s="132">
        <f>((DI5*'売上計画 '!$C$4)+(DI6*'売上計画 '!$C$5)+(DI7*'売上計画 '!$C$6)+(DI8*'売上計画 '!$C$7))*$E$1</f>
        <v>0</v>
      </c>
      <c r="DJ4" s="132">
        <f>((DJ5*'売上計画 '!$C$4)+(DJ6*'売上計画 '!$C$5)+(DJ7*'売上計画 '!$C$6)+(DJ8*'売上計画 '!$C$7))*$E$1</f>
        <v>0</v>
      </c>
      <c r="DK4" s="132">
        <f>((DK5*'売上計画 '!$C$4)+(DK6*'売上計画 '!$C$5)+(DK7*'売上計画 '!$C$6)+(DK8*'売上計画 '!$C$7))*$E$1</f>
        <v>0</v>
      </c>
      <c r="DL4" s="132">
        <f>((DL5*'売上計画 '!$C$4)+(DL6*'売上計画 '!$C$5)+(DL7*'売上計画 '!$C$6)+(DL8*'売上計画 '!$C$7))*$E$1</f>
        <v>0</v>
      </c>
      <c r="DM4" s="132">
        <f>((DM5*'売上計画 '!$C$4)+(DM6*'売上計画 '!$C$5)+(DM7*'売上計画 '!$C$6)+(DM8*'売上計画 '!$C$7))*$E$1</f>
        <v>0</v>
      </c>
      <c r="DN4" s="132">
        <f>SUM(DB4:DM4)</f>
        <v>0</v>
      </c>
      <c r="DO4" s="165" t="str">
        <f>IF(DN4=0,"",DN4/DN$3)</f>
        <v/>
      </c>
      <c r="DQ4" s="581" t="s">
        <v>0</v>
      </c>
      <c r="DR4" s="582"/>
      <c r="DS4" s="132">
        <f>((DS5*'売上計画 '!$C$4)+(DS6*'売上計画 '!$C$5)+(DS7*'売上計画 '!$C$6)+(DS8*'売上計画 '!$C$7))*$E$1</f>
        <v>0</v>
      </c>
      <c r="DT4" s="132">
        <f>((DT5*'売上計画 '!$C$4)+(DT6*'売上計画 '!$C$5)+(DT7*'売上計画 '!$C$6)+(DT8*'売上計画 '!$C$7))*$E$1</f>
        <v>0</v>
      </c>
      <c r="DU4" s="132">
        <f>((DU5*'売上計画 '!$C$4)+(DU6*'売上計画 '!$C$5)+(DU7*'売上計画 '!$C$6)+(DU8*'売上計画 '!$C$7))*$E$1</f>
        <v>0</v>
      </c>
      <c r="DV4" s="132">
        <f>((DV5*'売上計画 '!$C$4)+(DV6*'売上計画 '!$C$5)+(DV7*'売上計画 '!$C$6)+(DV8*'売上計画 '!$C$7))*$E$1</f>
        <v>0</v>
      </c>
      <c r="DW4" s="132">
        <f>((DW5*'売上計画 '!$C$4)+(DW6*'売上計画 '!$C$5)+(DW7*'売上計画 '!$C$6)+(DW8*'売上計画 '!$C$7))*$E$1</f>
        <v>0</v>
      </c>
      <c r="DX4" s="132">
        <f>((DX5*'売上計画 '!$C$4)+(DX6*'売上計画 '!$C$5)+(DX7*'売上計画 '!$C$6)+(DX8*'売上計画 '!$C$7))*$E$1</f>
        <v>0</v>
      </c>
      <c r="DY4" s="132">
        <f>((DY5*'売上計画 '!$C$4)+(DY6*'売上計画 '!$C$5)+(DY7*'売上計画 '!$C$6)+(DY8*'売上計画 '!$C$7))*$E$1</f>
        <v>0</v>
      </c>
      <c r="DZ4" s="132">
        <f>((DZ5*'売上計画 '!$C$4)+(DZ6*'売上計画 '!$C$5)+(DZ7*'売上計画 '!$C$6)+(DZ8*'売上計画 '!$C$7))*$E$1</f>
        <v>0</v>
      </c>
      <c r="EA4" s="132">
        <f>((EA5*'売上計画 '!$C$4)+(EA6*'売上計画 '!$C$5)+(EA7*'売上計画 '!$C$6)+(EA8*'売上計画 '!$C$7))*$E$1</f>
        <v>0</v>
      </c>
      <c r="EB4" s="132">
        <f>((EB5*'売上計画 '!$C$4)+(EB6*'売上計画 '!$C$5)+(EB7*'売上計画 '!$C$6)+(EB8*'売上計画 '!$C$7))*$E$1</f>
        <v>0</v>
      </c>
      <c r="EC4" s="132">
        <f>((EC5*'売上計画 '!$C$4)+(EC6*'売上計画 '!$C$5)+(EC7*'売上計画 '!$C$6)+(EC8*'売上計画 '!$C$7))*$E$1</f>
        <v>0</v>
      </c>
      <c r="ED4" s="132">
        <f>((ED5*'売上計画 '!$C$4)+(ED6*'売上計画 '!$C$5)+(ED7*'売上計画 '!$C$6)+(ED8*'売上計画 '!$C$7))*$E$1</f>
        <v>0</v>
      </c>
      <c r="EE4" s="132">
        <f>SUM(DS4:ED4)</f>
        <v>0</v>
      </c>
      <c r="EF4" s="165" t="str">
        <f>IF(EE4=0,"",EE4/EE$3)</f>
        <v/>
      </c>
      <c r="EH4" s="581" t="s">
        <v>0</v>
      </c>
      <c r="EI4" s="582"/>
      <c r="EJ4" s="132">
        <f>((EJ5*'売上計画 '!$C$4)+(EJ6*'売上計画 '!$C$5)+(EJ7*'売上計画 '!$C$6)+(EJ8*'売上計画 '!$C$7))*$E$1</f>
        <v>0</v>
      </c>
      <c r="EK4" s="132">
        <f>((EK5*'売上計画 '!$C$4)+(EK6*'売上計画 '!$C$5)+(EK7*'売上計画 '!$C$6)+(EK8*'売上計画 '!$C$7))*$E$1</f>
        <v>0</v>
      </c>
      <c r="EL4" s="132">
        <f>((EL5*'売上計画 '!$C$4)+(EL6*'売上計画 '!$C$5)+(EL7*'売上計画 '!$C$6)+(EL8*'売上計画 '!$C$7))*$E$1</f>
        <v>0</v>
      </c>
      <c r="EM4" s="132">
        <f>((EM5*'売上計画 '!$C$4)+(EM6*'売上計画 '!$C$5)+(EM7*'売上計画 '!$C$6)+(EM8*'売上計画 '!$C$7))*$E$1</f>
        <v>0</v>
      </c>
      <c r="EN4" s="132">
        <f>((EN5*'売上計画 '!$C$4)+(EN6*'売上計画 '!$C$5)+(EN7*'売上計画 '!$C$6)+(EN8*'売上計画 '!$C$7))*$E$1</f>
        <v>0</v>
      </c>
      <c r="EO4" s="132">
        <f>((EO5*'売上計画 '!$C$4)+(EO6*'売上計画 '!$C$5)+(EO7*'売上計画 '!$C$6)+(EO8*'売上計画 '!$C$7))*$E$1</f>
        <v>0</v>
      </c>
      <c r="EP4" s="132">
        <f>((EP5*'売上計画 '!$C$4)+(EP6*'売上計画 '!$C$5)+(EP7*'売上計画 '!$C$6)+(EP8*'売上計画 '!$C$7))*$E$1</f>
        <v>0</v>
      </c>
      <c r="EQ4" s="132">
        <f>((EQ5*'売上計画 '!$C$4)+(EQ6*'売上計画 '!$C$5)+(EQ7*'売上計画 '!$C$6)+(EQ8*'売上計画 '!$C$7))*$E$1</f>
        <v>0</v>
      </c>
      <c r="ER4" s="132">
        <f>((ER5*'売上計画 '!$C$4)+(ER6*'売上計画 '!$C$5)+(ER7*'売上計画 '!$C$6)+(ER8*'売上計画 '!$C$7))*$E$1</f>
        <v>0</v>
      </c>
      <c r="ES4" s="132">
        <f>((ES5*'売上計画 '!$C$4)+(ES6*'売上計画 '!$C$5)+(ES7*'売上計画 '!$C$6)+(ES8*'売上計画 '!$C$7))*$E$1</f>
        <v>0</v>
      </c>
      <c r="ET4" s="132">
        <f>((ET5*'売上計画 '!$C$4)+(ET6*'売上計画 '!$C$5)+(ET7*'売上計画 '!$C$6)+(ET8*'売上計画 '!$C$7))*$E$1</f>
        <v>0</v>
      </c>
      <c r="EU4" s="132">
        <f>((EU5*'売上計画 '!$C$4)+(EU6*'売上計画 '!$C$5)+(EU7*'売上計画 '!$C$6)+(EU8*'売上計画 '!$C$7))*$E$1</f>
        <v>0</v>
      </c>
      <c r="EV4" s="132">
        <f>SUM(EJ4:EU4)</f>
        <v>0</v>
      </c>
      <c r="EW4" s="165" t="str">
        <f>IF(EV4=0,"",EV4/EV$3)</f>
        <v/>
      </c>
      <c r="EY4" s="581" t="s">
        <v>0</v>
      </c>
      <c r="EZ4" s="582"/>
      <c r="FA4" s="132">
        <f>((FA5*'売上計画 '!$C$4)+(FA6*'売上計画 '!$C$5)+(FA7*'売上計画 '!$C$6)+(FA8*'売上計画 '!$C$7))*$E$1</f>
        <v>0</v>
      </c>
      <c r="FB4" s="132">
        <f>((FB5*'売上計画 '!$C$4)+(FB6*'売上計画 '!$C$5)+(FB7*'売上計画 '!$C$6)+(FB8*'売上計画 '!$C$7))*$E$1</f>
        <v>0</v>
      </c>
      <c r="FC4" s="132">
        <f>((FC5*'売上計画 '!$C$4)+(FC6*'売上計画 '!$C$5)+(FC7*'売上計画 '!$C$6)+(FC8*'売上計画 '!$C$7))*$E$1</f>
        <v>0</v>
      </c>
      <c r="FD4" s="132">
        <f>((FD5*'売上計画 '!$C$4)+(FD6*'売上計画 '!$C$5)+(FD7*'売上計画 '!$C$6)+(FD8*'売上計画 '!$C$7))*$E$1</f>
        <v>0</v>
      </c>
      <c r="FE4" s="132">
        <f>((FE5*'売上計画 '!$C$4)+(FE6*'売上計画 '!$C$5)+(FE7*'売上計画 '!$C$6)+(FE8*'売上計画 '!$C$7))*$E$1</f>
        <v>0</v>
      </c>
      <c r="FF4" s="132">
        <f>((FF5*'売上計画 '!$C$4)+(FF6*'売上計画 '!$C$5)+(FF7*'売上計画 '!$C$6)+(FF8*'売上計画 '!$C$7))*$E$1</f>
        <v>0</v>
      </c>
      <c r="FG4" s="132">
        <f>((FG5*'売上計画 '!$C$4)+(FG6*'売上計画 '!$C$5)+(FG7*'売上計画 '!$C$6)+(FG8*'売上計画 '!$C$7))*$E$1</f>
        <v>0</v>
      </c>
      <c r="FH4" s="132">
        <f>((FH5*'売上計画 '!$C$4)+(FH6*'売上計画 '!$C$5)+(FH7*'売上計画 '!$C$6)+(FH8*'売上計画 '!$C$7))*$E$1</f>
        <v>0</v>
      </c>
      <c r="FI4" s="132">
        <f>((FI5*'売上計画 '!$C$4)+(FI6*'売上計画 '!$C$5)+(FI7*'売上計画 '!$C$6)+(FI8*'売上計画 '!$C$7))*$E$1</f>
        <v>0</v>
      </c>
      <c r="FJ4" s="132">
        <f>((FJ5*'売上計画 '!$C$4)+(FJ6*'売上計画 '!$C$5)+(FJ7*'売上計画 '!$C$6)+(FJ8*'売上計画 '!$C$7))*$E$1</f>
        <v>0</v>
      </c>
      <c r="FK4" s="132">
        <f>((FK5*'売上計画 '!$C$4)+(FK6*'売上計画 '!$C$5)+(FK7*'売上計画 '!$C$6)+(FK8*'売上計画 '!$C$7))*$E$1</f>
        <v>0</v>
      </c>
      <c r="FL4" s="132">
        <f>((FL5*'売上計画 '!$C$4)+(FL6*'売上計画 '!$C$5)+(FL7*'売上計画 '!$C$6)+(FL8*'売上計画 '!$C$7))*$E$1</f>
        <v>0</v>
      </c>
      <c r="FM4" s="132">
        <f>SUM(FA4:FL4)</f>
        <v>0</v>
      </c>
      <c r="FN4" s="165" t="str">
        <f>IF(FM4=0,"",FM4/FM$3)</f>
        <v/>
      </c>
    </row>
    <row r="5" spans="1:170" s="153" customFormat="1" ht="14.25" customHeight="1">
      <c r="B5" s="575"/>
      <c r="C5" s="443" t="s">
        <v>491</v>
      </c>
      <c r="D5" s="444"/>
      <c r="E5" s="444"/>
      <c r="F5" s="444"/>
      <c r="G5" s="444"/>
      <c r="H5" s="444"/>
      <c r="I5" s="444"/>
      <c r="J5" s="444"/>
      <c r="K5" s="444"/>
      <c r="L5" s="444"/>
      <c r="M5" s="444"/>
      <c r="N5" s="444"/>
      <c r="O5" s="444"/>
      <c r="P5" s="444">
        <f>SUM(D5:O5)</f>
        <v>0</v>
      </c>
      <c r="Q5" s="445" t="str">
        <f t="shared" ref="Q5:Q45" si="16">IF(P5=0,"",P5/$P$3)</f>
        <v/>
      </c>
      <c r="R5" s="531"/>
      <c r="S5" s="575"/>
      <c r="T5" s="443" t="str">
        <f>IF(C5="","",C5)</f>
        <v>利用者数</v>
      </c>
      <c r="U5" s="444">
        <v>10</v>
      </c>
      <c r="V5" s="444">
        <v>11</v>
      </c>
      <c r="W5" s="444">
        <v>11</v>
      </c>
      <c r="X5" s="444">
        <v>12</v>
      </c>
      <c r="Y5" s="444">
        <v>12</v>
      </c>
      <c r="Z5" s="444">
        <v>13</v>
      </c>
      <c r="AA5" s="444">
        <v>13</v>
      </c>
      <c r="AB5" s="444">
        <v>14</v>
      </c>
      <c r="AC5" s="444">
        <v>14</v>
      </c>
      <c r="AD5" s="444">
        <v>15</v>
      </c>
      <c r="AE5" s="444">
        <v>15</v>
      </c>
      <c r="AF5" s="444">
        <v>16</v>
      </c>
      <c r="AG5" s="444">
        <f>SUM(U5:AF5)</f>
        <v>156</v>
      </c>
      <c r="AH5" s="445">
        <f t="shared" ref="AH5:AH6" si="17">IF(AG5=0,"",AG5/$P$3)</f>
        <v>1.56E-3</v>
      </c>
      <c r="AJ5" s="575"/>
      <c r="AK5" s="443" t="str">
        <f>IF(T5="","",T5)</f>
        <v>利用者数</v>
      </c>
      <c r="AL5" s="444">
        <v>10</v>
      </c>
      <c r="AM5" s="444">
        <v>11</v>
      </c>
      <c r="AN5" s="444">
        <v>11</v>
      </c>
      <c r="AO5" s="444">
        <v>12</v>
      </c>
      <c r="AP5" s="444">
        <v>12</v>
      </c>
      <c r="AQ5" s="444">
        <v>13</v>
      </c>
      <c r="AR5" s="444">
        <v>13</v>
      </c>
      <c r="AS5" s="444">
        <v>14</v>
      </c>
      <c r="AT5" s="444">
        <v>14</v>
      </c>
      <c r="AU5" s="444">
        <v>15</v>
      </c>
      <c r="AV5" s="444">
        <v>15</v>
      </c>
      <c r="AW5" s="444">
        <v>16</v>
      </c>
      <c r="AX5" s="444">
        <f>SUM(AL5:AW5)</f>
        <v>156</v>
      </c>
      <c r="AY5" s="445">
        <f t="shared" ref="AY5:AY6" si="18">IF(AX5=0,"",AX5/$P$3)</f>
        <v>1.56E-3</v>
      </c>
      <c r="BA5" s="575"/>
      <c r="BB5" s="3" t="str">
        <f>AK5</f>
        <v>利用者数</v>
      </c>
      <c r="BC5" s="2">
        <v>12000</v>
      </c>
      <c r="BD5" s="2">
        <v>12000</v>
      </c>
      <c r="BE5" s="2">
        <v>12000</v>
      </c>
      <c r="BF5" s="2">
        <v>12000</v>
      </c>
      <c r="BG5" s="2">
        <v>12000</v>
      </c>
      <c r="BH5" s="2">
        <v>11000</v>
      </c>
      <c r="BI5" s="2">
        <v>12000</v>
      </c>
      <c r="BJ5" s="2">
        <v>13000</v>
      </c>
      <c r="BK5" s="2">
        <v>13000</v>
      </c>
      <c r="BL5" s="2">
        <v>13000</v>
      </c>
      <c r="BM5" s="2">
        <v>13000</v>
      </c>
      <c r="BN5" s="2">
        <v>13000</v>
      </c>
      <c r="BO5" s="2">
        <f t="shared" ref="BO5:BO8" si="19">SUM(BC5:BN5)</f>
        <v>148000</v>
      </c>
      <c r="BP5" s="166">
        <f t="shared" ref="BP5:BP45" si="20">IF(BO5=0,"",BO5/BO$3)</f>
        <v>0.42045454545454547</v>
      </c>
      <c r="BR5" s="575"/>
      <c r="BS5" s="3" t="str">
        <f>BB5</f>
        <v>利用者数</v>
      </c>
      <c r="BT5" s="2">
        <v>12000</v>
      </c>
      <c r="BU5" s="2">
        <v>12000</v>
      </c>
      <c r="BV5" s="2">
        <v>12000</v>
      </c>
      <c r="BW5" s="2">
        <v>12000</v>
      </c>
      <c r="BX5" s="2">
        <v>12000</v>
      </c>
      <c r="BY5" s="2">
        <v>11000</v>
      </c>
      <c r="BZ5" s="2">
        <v>12000</v>
      </c>
      <c r="CA5" s="2">
        <v>13000</v>
      </c>
      <c r="CB5" s="2">
        <v>13000</v>
      </c>
      <c r="CC5" s="2">
        <v>13000</v>
      </c>
      <c r="CD5" s="2">
        <v>13000</v>
      </c>
      <c r="CE5" s="2">
        <v>13000</v>
      </c>
      <c r="CF5" s="2">
        <f t="shared" ref="CF5:CF8" si="21">SUM(BT5:CE5)</f>
        <v>148000</v>
      </c>
      <c r="CG5" s="166">
        <f t="shared" ref="CG5:CG45" si="22">IF(CF5=0,"",CF5/CF$3)</f>
        <v>0.42045454545454547</v>
      </c>
      <c r="CI5" s="575"/>
      <c r="CJ5" s="3" t="str">
        <f>BS5</f>
        <v>利用者数</v>
      </c>
      <c r="CK5" s="2">
        <v>5</v>
      </c>
      <c r="CL5" s="2">
        <v>5</v>
      </c>
      <c r="CM5" s="2">
        <v>5</v>
      </c>
      <c r="CN5" s="2">
        <v>5</v>
      </c>
      <c r="CO5" s="2">
        <v>5</v>
      </c>
      <c r="CP5" s="2">
        <v>5</v>
      </c>
      <c r="CQ5" s="2">
        <v>6</v>
      </c>
      <c r="CR5" s="2">
        <v>6</v>
      </c>
      <c r="CS5" s="2">
        <v>6</v>
      </c>
      <c r="CT5" s="2">
        <v>6</v>
      </c>
      <c r="CU5" s="2">
        <v>6</v>
      </c>
      <c r="CV5" s="2">
        <v>6</v>
      </c>
      <c r="CW5" s="2">
        <f>SUM(CK5:CV5)*5000</f>
        <v>330000</v>
      </c>
      <c r="CX5" s="166" t="e">
        <f t="shared" ref="CX5:CX45" si="23">IF(CW5=0,"",CW5/CW$3)</f>
        <v>#DIV/0!</v>
      </c>
      <c r="CZ5" s="575"/>
      <c r="DA5" s="3" t="str">
        <f>CJ5</f>
        <v>利用者数</v>
      </c>
      <c r="DB5" s="2">
        <v>6</v>
      </c>
      <c r="DC5" s="2">
        <v>6</v>
      </c>
      <c r="DD5" s="2">
        <v>6</v>
      </c>
      <c r="DE5" s="2">
        <v>6</v>
      </c>
      <c r="DF5" s="2">
        <v>6</v>
      </c>
      <c r="DG5" s="2">
        <v>6</v>
      </c>
      <c r="DH5" s="2">
        <v>7</v>
      </c>
      <c r="DI5" s="2">
        <v>7</v>
      </c>
      <c r="DJ5" s="2">
        <v>7</v>
      </c>
      <c r="DK5" s="2">
        <v>7</v>
      </c>
      <c r="DL5" s="2">
        <v>7</v>
      </c>
      <c r="DM5" s="2">
        <v>7</v>
      </c>
      <c r="DN5" s="2">
        <f>SUM(DB5:DM5)*5000</f>
        <v>390000</v>
      </c>
      <c r="DO5" s="166" t="e">
        <f t="shared" ref="DO5:DO45" si="24">IF(DN5=0,"",DN5/DN$3)</f>
        <v>#DIV/0!</v>
      </c>
      <c r="DQ5" s="575"/>
      <c r="DR5" s="3" t="str">
        <f>DA5</f>
        <v>利用者数</v>
      </c>
      <c r="DS5" s="2">
        <v>7</v>
      </c>
      <c r="DT5" s="2">
        <v>7</v>
      </c>
      <c r="DU5" s="2">
        <v>7</v>
      </c>
      <c r="DV5" s="2">
        <v>7</v>
      </c>
      <c r="DW5" s="2">
        <v>8</v>
      </c>
      <c r="DX5" s="2">
        <v>8</v>
      </c>
      <c r="DY5" s="2">
        <v>8</v>
      </c>
      <c r="DZ5" s="2">
        <v>8</v>
      </c>
      <c r="EA5" s="2">
        <v>8</v>
      </c>
      <c r="EB5" s="2">
        <v>8</v>
      </c>
      <c r="EC5" s="2">
        <v>8</v>
      </c>
      <c r="ED5" s="2">
        <v>8</v>
      </c>
      <c r="EE5" s="2">
        <f>SUM(DS5:ED5)*5000</f>
        <v>460000</v>
      </c>
      <c r="EF5" s="166" t="e">
        <f t="shared" ref="EF5:EF45" si="25">IF(EE5=0,"",EE5/EE$3)</f>
        <v>#DIV/0!</v>
      </c>
      <c r="EH5" s="575"/>
      <c r="EI5" s="3" t="str">
        <f>DR5</f>
        <v>利用者数</v>
      </c>
      <c r="EJ5" s="2">
        <f>ED5</f>
        <v>8</v>
      </c>
      <c r="EK5" s="2">
        <f>EJ5</f>
        <v>8</v>
      </c>
      <c r="EL5" s="2">
        <f t="shared" ref="EL5:EU5" si="26">EK5</f>
        <v>8</v>
      </c>
      <c r="EM5" s="2">
        <f t="shared" si="26"/>
        <v>8</v>
      </c>
      <c r="EN5" s="2">
        <f t="shared" si="26"/>
        <v>8</v>
      </c>
      <c r="EO5" s="2">
        <v>9</v>
      </c>
      <c r="EP5" s="2">
        <f t="shared" si="26"/>
        <v>9</v>
      </c>
      <c r="EQ5" s="2">
        <f t="shared" si="26"/>
        <v>9</v>
      </c>
      <c r="ER5" s="2">
        <f t="shared" si="26"/>
        <v>9</v>
      </c>
      <c r="ES5" s="2">
        <f t="shared" si="26"/>
        <v>9</v>
      </c>
      <c r="ET5" s="2">
        <f t="shared" si="26"/>
        <v>9</v>
      </c>
      <c r="EU5" s="2">
        <f t="shared" si="26"/>
        <v>9</v>
      </c>
      <c r="EV5" s="2">
        <f>SUM(EJ5:EU5)*5000</f>
        <v>515000</v>
      </c>
      <c r="EW5" s="166" t="e">
        <f t="shared" ref="EW5:EW45" si="27">IF(EV5=0,"",EV5/EV$3)</f>
        <v>#DIV/0!</v>
      </c>
      <c r="EY5" s="575"/>
      <c r="EZ5" s="3" t="str">
        <f>EI5</f>
        <v>利用者数</v>
      </c>
      <c r="FA5" s="2">
        <v>10</v>
      </c>
      <c r="FB5" s="2">
        <f>FA5</f>
        <v>10</v>
      </c>
      <c r="FC5" s="2">
        <f t="shared" ref="FC5:FL5" si="28">FB5</f>
        <v>10</v>
      </c>
      <c r="FD5" s="2">
        <f t="shared" si="28"/>
        <v>10</v>
      </c>
      <c r="FE5" s="2">
        <f t="shared" si="28"/>
        <v>10</v>
      </c>
      <c r="FF5" s="2">
        <f t="shared" si="28"/>
        <v>10</v>
      </c>
      <c r="FG5" s="2">
        <f t="shared" si="28"/>
        <v>10</v>
      </c>
      <c r="FH5" s="2">
        <f t="shared" si="28"/>
        <v>10</v>
      </c>
      <c r="FI5" s="2">
        <f t="shared" si="28"/>
        <v>10</v>
      </c>
      <c r="FJ5" s="2">
        <f t="shared" si="28"/>
        <v>10</v>
      </c>
      <c r="FK5" s="2">
        <f t="shared" si="28"/>
        <v>10</v>
      </c>
      <c r="FL5" s="2">
        <f t="shared" si="28"/>
        <v>10</v>
      </c>
      <c r="FM5" s="2">
        <f>SUM(FA5:FL5)*5000</f>
        <v>600000</v>
      </c>
      <c r="FN5" s="166" t="e">
        <f t="shared" ref="FN5:FN45" si="29">IF(FM5=0,"",FM5/FM$3)</f>
        <v>#DIV/0!</v>
      </c>
    </row>
    <row r="6" spans="1:170" s="153" customFormat="1" ht="14.25" customHeight="1">
      <c r="B6" s="576"/>
      <c r="C6" s="440" t="s">
        <v>492</v>
      </c>
      <c r="D6" s="441"/>
      <c r="E6" s="441">
        <f>5860*23*E5*0.8</f>
        <v>0</v>
      </c>
      <c r="F6" s="441">
        <f>5860*23*F5*0.8</f>
        <v>0</v>
      </c>
      <c r="G6" s="441">
        <f>5860*23*G5*0.8</f>
        <v>0</v>
      </c>
      <c r="H6" s="441">
        <f t="shared" ref="H6:O6" si="30">5860*23*H5*0.8</f>
        <v>0</v>
      </c>
      <c r="I6" s="441">
        <f t="shared" si="30"/>
        <v>0</v>
      </c>
      <c r="J6" s="441">
        <f t="shared" si="30"/>
        <v>0</v>
      </c>
      <c r="K6" s="441">
        <f t="shared" si="30"/>
        <v>0</v>
      </c>
      <c r="L6" s="441">
        <f t="shared" si="30"/>
        <v>0</v>
      </c>
      <c r="M6" s="441">
        <f t="shared" si="30"/>
        <v>0</v>
      </c>
      <c r="N6" s="441">
        <f t="shared" si="30"/>
        <v>0</v>
      </c>
      <c r="O6" s="441">
        <f t="shared" si="30"/>
        <v>0</v>
      </c>
      <c r="P6" s="441">
        <f t="shared" ref="P6" si="31">SUM(D6:O6)</f>
        <v>0</v>
      </c>
      <c r="Q6" s="442" t="str">
        <f t="shared" si="16"/>
        <v/>
      </c>
      <c r="R6" s="531"/>
      <c r="S6" s="576"/>
      <c r="T6" s="440" t="str">
        <f t="shared" ref="T6:T12" si="32">IF(C6="","",C6)</f>
        <v>訓練給付金等</v>
      </c>
      <c r="U6" s="441">
        <f>5860*22*U5*0.8</f>
        <v>1031360</v>
      </c>
      <c r="V6" s="441">
        <f>5860*23*V5*0.8</f>
        <v>1186064</v>
      </c>
      <c r="W6" s="441">
        <f>5860*23*W5*0.8</f>
        <v>1186064</v>
      </c>
      <c r="X6" s="441">
        <f>5860*23*X5*0.8</f>
        <v>1293888</v>
      </c>
      <c r="Y6" s="441">
        <f t="shared" ref="Y6" si="33">5860*23*Y5*0.8</f>
        <v>1293888</v>
      </c>
      <c r="Z6" s="441">
        <f t="shared" ref="Z6" si="34">5860*23*Z5*0.8</f>
        <v>1401712</v>
      </c>
      <c r="AA6" s="441">
        <f t="shared" ref="AA6" si="35">5860*23*AA5*0.8</f>
        <v>1401712</v>
      </c>
      <c r="AB6" s="441">
        <f t="shared" ref="AB6" si="36">5860*23*AB5*0.8</f>
        <v>1509536</v>
      </c>
      <c r="AC6" s="441">
        <f t="shared" ref="AC6" si="37">5860*23*AC5*0.8</f>
        <v>1509536</v>
      </c>
      <c r="AD6" s="441">
        <f t="shared" ref="AD6" si="38">5860*23*AD5*0.8</f>
        <v>1617360</v>
      </c>
      <c r="AE6" s="441">
        <f t="shared" ref="AE6" si="39">5860*23*AE5*0.8</f>
        <v>1617360</v>
      </c>
      <c r="AF6" s="441">
        <f t="shared" ref="AF6" si="40">5860*23*AF5*0.8</f>
        <v>1725184</v>
      </c>
      <c r="AG6" s="444">
        <f t="shared" ref="AG6" si="41">SUM(U6:AF6)</f>
        <v>16773664</v>
      </c>
      <c r="AH6" s="442">
        <f t="shared" si="17"/>
        <v>167.73663999999999</v>
      </c>
      <c r="AJ6" s="576"/>
      <c r="AK6" s="440" t="str">
        <f t="shared" ref="AK6:AK8" si="42">IF(T6="","",T6)</f>
        <v>訓練給付金等</v>
      </c>
      <c r="AL6" s="441">
        <f>5860*22*AL5*0.8</f>
        <v>1031360</v>
      </c>
      <c r="AM6" s="441">
        <f>5860*23*AM5*0.8</f>
        <v>1186064</v>
      </c>
      <c r="AN6" s="441">
        <f>5860*23*AN5*0.8</f>
        <v>1186064</v>
      </c>
      <c r="AO6" s="441">
        <f>5860*23*AO5*0.8</f>
        <v>1293888</v>
      </c>
      <c r="AP6" s="441">
        <f t="shared" ref="AP6" si="43">5860*23*AP5*0.8</f>
        <v>1293888</v>
      </c>
      <c r="AQ6" s="441">
        <f t="shared" ref="AQ6" si="44">5860*23*AQ5*0.8</f>
        <v>1401712</v>
      </c>
      <c r="AR6" s="441">
        <f t="shared" ref="AR6" si="45">5860*23*AR5*0.8</f>
        <v>1401712</v>
      </c>
      <c r="AS6" s="441">
        <f t="shared" ref="AS6" si="46">5860*23*AS5*0.8</f>
        <v>1509536</v>
      </c>
      <c r="AT6" s="441">
        <f t="shared" ref="AT6" si="47">5860*23*AT5*0.8</f>
        <v>1509536</v>
      </c>
      <c r="AU6" s="441">
        <f t="shared" ref="AU6" si="48">5860*23*AU5*0.8</f>
        <v>1617360</v>
      </c>
      <c r="AV6" s="441">
        <f t="shared" ref="AV6" si="49">5860*23*AV5*0.8</f>
        <v>1617360</v>
      </c>
      <c r="AW6" s="441">
        <f t="shared" ref="AW6" si="50">5860*23*AW5*0.8</f>
        <v>1725184</v>
      </c>
      <c r="AX6" s="444">
        <f t="shared" ref="AX6:AX8" si="51">SUM(AL6:AW6)</f>
        <v>16773664</v>
      </c>
      <c r="AY6" s="442">
        <f t="shared" si="18"/>
        <v>167.73663999999999</v>
      </c>
      <c r="BA6" s="576"/>
      <c r="BB6" s="3" t="str">
        <f>AK6</f>
        <v>訓練給付金等</v>
      </c>
      <c r="BC6" s="2">
        <v>6000</v>
      </c>
      <c r="BD6" s="2">
        <v>6000</v>
      </c>
      <c r="BE6" s="2">
        <v>6000</v>
      </c>
      <c r="BF6" s="2">
        <v>6000</v>
      </c>
      <c r="BG6" s="2">
        <v>6000</v>
      </c>
      <c r="BH6" s="2">
        <v>6000</v>
      </c>
      <c r="BI6" s="2">
        <v>6000</v>
      </c>
      <c r="BJ6" s="2">
        <v>6000</v>
      </c>
      <c r="BK6" s="2">
        <v>6000</v>
      </c>
      <c r="BL6" s="2">
        <v>6000</v>
      </c>
      <c r="BM6" s="2">
        <v>6000</v>
      </c>
      <c r="BN6" s="2">
        <v>6000</v>
      </c>
      <c r="BO6" s="2">
        <f t="shared" si="19"/>
        <v>72000</v>
      </c>
      <c r="BP6" s="166">
        <f t="shared" si="20"/>
        <v>0.20454545454545456</v>
      </c>
      <c r="BR6" s="576"/>
      <c r="BS6" s="3" t="str">
        <f>BB6</f>
        <v>訓練給付金等</v>
      </c>
      <c r="BT6" s="2">
        <v>6000</v>
      </c>
      <c r="BU6" s="2">
        <v>6000</v>
      </c>
      <c r="BV6" s="2">
        <v>6000</v>
      </c>
      <c r="BW6" s="2">
        <v>6000</v>
      </c>
      <c r="BX6" s="2">
        <v>6000</v>
      </c>
      <c r="BY6" s="2">
        <v>6000</v>
      </c>
      <c r="BZ6" s="2">
        <v>6000</v>
      </c>
      <c r="CA6" s="2">
        <v>6000</v>
      </c>
      <c r="CB6" s="2">
        <v>6000</v>
      </c>
      <c r="CC6" s="2">
        <v>6000</v>
      </c>
      <c r="CD6" s="2">
        <v>6000</v>
      </c>
      <c r="CE6" s="2">
        <v>6000</v>
      </c>
      <c r="CF6" s="2">
        <f t="shared" si="21"/>
        <v>72000</v>
      </c>
      <c r="CG6" s="166">
        <f t="shared" si="22"/>
        <v>0.20454545454545456</v>
      </c>
      <c r="CI6" s="576"/>
      <c r="CJ6" s="3" t="str">
        <f>BS6</f>
        <v>訓練給付金等</v>
      </c>
      <c r="CK6" s="2">
        <v>4</v>
      </c>
      <c r="CL6" s="2">
        <v>4</v>
      </c>
      <c r="CM6" s="2">
        <v>4</v>
      </c>
      <c r="CN6" s="2">
        <v>4</v>
      </c>
      <c r="CO6" s="2">
        <v>4</v>
      </c>
      <c r="CP6" s="2">
        <v>4</v>
      </c>
      <c r="CQ6" s="2">
        <v>5</v>
      </c>
      <c r="CR6" s="2">
        <v>5</v>
      </c>
      <c r="CS6" s="2">
        <v>5</v>
      </c>
      <c r="CT6" s="2">
        <v>5</v>
      </c>
      <c r="CU6" s="2">
        <v>5</v>
      </c>
      <c r="CV6" s="2">
        <v>5</v>
      </c>
      <c r="CW6" s="2">
        <f>SUM(CK6:CV6)*10000</f>
        <v>540000</v>
      </c>
      <c r="CX6" s="166" t="e">
        <f t="shared" si="23"/>
        <v>#DIV/0!</v>
      </c>
      <c r="CZ6" s="576"/>
      <c r="DA6" s="3" t="str">
        <f>CJ6</f>
        <v>訓練給付金等</v>
      </c>
      <c r="DB6" s="2">
        <v>5</v>
      </c>
      <c r="DC6" s="2">
        <v>5</v>
      </c>
      <c r="DD6" s="2">
        <v>5</v>
      </c>
      <c r="DE6" s="2">
        <v>5</v>
      </c>
      <c r="DF6" s="2">
        <v>5</v>
      </c>
      <c r="DG6" s="2">
        <v>5</v>
      </c>
      <c r="DH6" s="2">
        <v>6</v>
      </c>
      <c r="DI6" s="2">
        <v>6</v>
      </c>
      <c r="DJ6" s="2">
        <v>6</v>
      </c>
      <c r="DK6" s="2">
        <v>6</v>
      </c>
      <c r="DL6" s="2">
        <v>6</v>
      </c>
      <c r="DM6" s="2">
        <v>6</v>
      </c>
      <c r="DN6" s="2">
        <f>SUM(DB6:DM6)*10000</f>
        <v>660000</v>
      </c>
      <c r="DO6" s="166" t="e">
        <f t="shared" si="24"/>
        <v>#DIV/0!</v>
      </c>
      <c r="DQ6" s="576"/>
      <c r="DR6" s="3" t="str">
        <f>DA6</f>
        <v>訓練給付金等</v>
      </c>
      <c r="DS6" s="2">
        <v>6</v>
      </c>
      <c r="DT6" s="2">
        <v>6</v>
      </c>
      <c r="DU6" s="2">
        <v>6</v>
      </c>
      <c r="DV6" s="2">
        <v>6</v>
      </c>
      <c r="DW6" s="2">
        <v>7</v>
      </c>
      <c r="DX6" s="2">
        <v>8</v>
      </c>
      <c r="DY6" s="2">
        <v>8</v>
      </c>
      <c r="DZ6" s="2">
        <v>8</v>
      </c>
      <c r="EA6" s="2">
        <v>8</v>
      </c>
      <c r="EB6" s="2">
        <v>8</v>
      </c>
      <c r="EC6" s="2">
        <v>8</v>
      </c>
      <c r="ED6" s="2">
        <v>8</v>
      </c>
      <c r="EE6" s="2">
        <f>SUM(DS6:ED6)*10000</f>
        <v>870000</v>
      </c>
      <c r="EF6" s="166" t="e">
        <f t="shared" si="25"/>
        <v>#DIV/0!</v>
      </c>
      <c r="EH6" s="576"/>
      <c r="EI6" s="3" t="str">
        <f>DR6</f>
        <v>訓練給付金等</v>
      </c>
      <c r="EJ6" s="2">
        <f t="shared" ref="EJ6:EJ8" si="52">ED6</f>
        <v>8</v>
      </c>
      <c r="EK6" s="2">
        <f t="shared" ref="EK6:EU8" si="53">EJ6</f>
        <v>8</v>
      </c>
      <c r="EL6" s="2">
        <f t="shared" si="53"/>
        <v>8</v>
      </c>
      <c r="EM6" s="2">
        <f t="shared" si="53"/>
        <v>8</v>
      </c>
      <c r="EN6" s="2">
        <f t="shared" si="53"/>
        <v>8</v>
      </c>
      <c r="EO6" s="2">
        <v>9</v>
      </c>
      <c r="EP6" s="2">
        <f t="shared" si="53"/>
        <v>9</v>
      </c>
      <c r="EQ6" s="2">
        <f t="shared" si="53"/>
        <v>9</v>
      </c>
      <c r="ER6" s="2">
        <f t="shared" si="53"/>
        <v>9</v>
      </c>
      <c r="ES6" s="2">
        <f t="shared" si="53"/>
        <v>9</v>
      </c>
      <c r="ET6" s="2">
        <f t="shared" si="53"/>
        <v>9</v>
      </c>
      <c r="EU6" s="2">
        <f t="shared" si="53"/>
        <v>9</v>
      </c>
      <c r="EV6" s="2">
        <f>SUM(EJ6:EU6)*10000</f>
        <v>1030000</v>
      </c>
      <c r="EW6" s="166" t="e">
        <f t="shared" si="27"/>
        <v>#DIV/0!</v>
      </c>
      <c r="EY6" s="576"/>
      <c r="EZ6" s="3" t="str">
        <f>EI6</f>
        <v>訓練給付金等</v>
      </c>
      <c r="FA6" s="2">
        <v>10</v>
      </c>
      <c r="FB6" s="2">
        <f t="shared" ref="FB6:FL6" si="54">FA6</f>
        <v>10</v>
      </c>
      <c r="FC6" s="2">
        <f t="shared" si="54"/>
        <v>10</v>
      </c>
      <c r="FD6" s="2">
        <f t="shared" si="54"/>
        <v>10</v>
      </c>
      <c r="FE6" s="2">
        <f t="shared" si="54"/>
        <v>10</v>
      </c>
      <c r="FF6" s="2">
        <f t="shared" si="54"/>
        <v>10</v>
      </c>
      <c r="FG6" s="2">
        <f t="shared" si="54"/>
        <v>10</v>
      </c>
      <c r="FH6" s="2">
        <f t="shared" si="54"/>
        <v>10</v>
      </c>
      <c r="FI6" s="2">
        <f t="shared" si="54"/>
        <v>10</v>
      </c>
      <c r="FJ6" s="2">
        <f t="shared" si="54"/>
        <v>10</v>
      </c>
      <c r="FK6" s="2">
        <f t="shared" si="54"/>
        <v>10</v>
      </c>
      <c r="FL6" s="2">
        <f t="shared" si="54"/>
        <v>10</v>
      </c>
      <c r="FM6" s="2">
        <f>SUM(FA6:FL6)*10000</f>
        <v>1200000</v>
      </c>
      <c r="FN6" s="166" t="e">
        <f t="shared" si="29"/>
        <v>#DIV/0!</v>
      </c>
    </row>
    <row r="7" spans="1:170" s="153" customFormat="1" ht="14.25" customHeight="1">
      <c r="B7" s="576"/>
      <c r="C7" s="443" t="s">
        <v>491</v>
      </c>
      <c r="D7" s="444"/>
      <c r="E7" s="444"/>
      <c r="F7" s="444"/>
      <c r="G7" s="444"/>
      <c r="H7" s="444"/>
      <c r="I7" s="444"/>
      <c r="J7" s="444"/>
      <c r="K7" s="444"/>
      <c r="L7" s="444"/>
      <c r="M7" s="444"/>
      <c r="N7" s="444"/>
      <c r="O7" s="444"/>
      <c r="P7" s="444">
        <f>SUM(D7:O7)</f>
        <v>0</v>
      </c>
      <c r="Q7" s="445" t="str">
        <f t="shared" ref="Q7:Q8" si="55">IF(P7=0,"",P7/$P$3)</f>
        <v/>
      </c>
      <c r="R7" s="531"/>
      <c r="S7" s="576"/>
      <c r="T7" s="443" t="str">
        <f t="shared" si="32"/>
        <v>利用者数</v>
      </c>
      <c r="U7" s="444"/>
      <c r="V7" s="444"/>
      <c r="W7" s="444"/>
      <c r="X7" s="444"/>
      <c r="Y7" s="444"/>
      <c r="Z7" s="444"/>
      <c r="AA7" s="444"/>
      <c r="AB7" s="444"/>
      <c r="AC7" s="444"/>
      <c r="AD7" s="444"/>
      <c r="AE7" s="444"/>
      <c r="AF7" s="444"/>
      <c r="AG7" s="444">
        <f t="shared" ref="AG7:AG8" si="56">SUM(U7:AF7)</f>
        <v>0</v>
      </c>
      <c r="AH7" s="166" t="str">
        <f t="shared" ref="AH7:AH45" si="57">IF(AG7=0,"",AG7/AG$3)</f>
        <v/>
      </c>
      <c r="AJ7" s="576"/>
      <c r="AK7" s="443" t="str">
        <f t="shared" si="42"/>
        <v>利用者数</v>
      </c>
      <c r="AL7" s="444"/>
      <c r="AM7" s="444"/>
      <c r="AN7" s="444"/>
      <c r="AO7" s="444"/>
      <c r="AP7" s="444"/>
      <c r="AQ7" s="444"/>
      <c r="AR7" s="444"/>
      <c r="AS7" s="444"/>
      <c r="AT7" s="444"/>
      <c r="AU7" s="444"/>
      <c r="AV7" s="444"/>
      <c r="AW7" s="444"/>
      <c r="AX7" s="444">
        <f t="shared" si="51"/>
        <v>0</v>
      </c>
      <c r="AY7" s="166" t="str">
        <f t="shared" ref="AY7:AY18" si="58">IF(AX7=0,"",AX7/AX$3)</f>
        <v/>
      </c>
      <c r="BA7" s="576"/>
      <c r="BB7" s="3" t="str">
        <f>AK7</f>
        <v>利用者数</v>
      </c>
      <c r="BC7" s="2">
        <v>6000</v>
      </c>
      <c r="BD7" s="2">
        <v>6000</v>
      </c>
      <c r="BE7" s="2">
        <v>6000</v>
      </c>
      <c r="BF7" s="2">
        <v>6000</v>
      </c>
      <c r="BG7" s="2">
        <v>6000</v>
      </c>
      <c r="BH7" s="2">
        <v>6000</v>
      </c>
      <c r="BI7" s="2">
        <v>6000</v>
      </c>
      <c r="BJ7" s="2">
        <v>6000</v>
      </c>
      <c r="BK7" s="2">
        <v>6000</v>
      </c>
      <c r="BL7" s="2">
        <v>6000</v>
      </c>
      <c r="BM7" s="2">
        <v>6000</v>
      </c>
      <c r="BN7" s="2">
        <v>6000</v>
      </c>
      <c r="BO7" s="2">
        <f t="shared" si="19"/>
        <v>72000</v>
      </c>
      <c r="BP7" s="166">
        <f t="shared" si="20"/>
        <v>0.20454545454545456</v>
      </c>
      <c r="BR7" s="576"/>
      <c r="BS7" s="3" t="str">
        <f>BB7</f>
        <v>利用者数</v>
      </c>
      <c r="BT7" s="2">
        <v>6000</v>
      </c>
      <c r="BU7" s="2">
        <v>6000</v>
      </c>
      <c r="BV7" s="2">
        <v>6000</v>
      </c>
      <c r="BW7" s="2">
        <v>6000</v>
      </c>
      <c r="BX7" s="2">
        <v>6000</v>
      </c>
      <c r="BY7" s="2">
        <v>6000</v>
      </c>
      <c r="BZ7" s="2">
        <v>6000</v>
      </c>
      <c r="CA7" s="2">
        <v>6000</v>
      </c>
      <c r="CB7" s="2">
        <v>6000</v>
      </c>
      <c r="CC7" s="2">
        <v>6000</v>
      </c>
      <c r="CD7" s="2">
        <v>6000</v>
      </c>
      <c r="CE7" s="2">
        <v>6000</v>
      </c>
      <c r="CF7" s="2">
        <f t="shared" si="21"/>
        <v>72000</v>
      </c>
      <c r="CG7" s="166">
        <f t="shared" si="22"/>
        <v>0.20454545454545456</v>
      </c>
      <c r="CI7" s="576"/>
      <c r="CJ7" s="3" t="str">
        <f>BS7</f>
        <v>利用者数</v>
      </c>
      <c r="CK7" s="2">
        <v>5</v>
      </c>
      <c r="CL7" s="2">
        <v>5</v>
      </c>
      <c r="CM7" s="2">
        <v>5</v>
      </c>
      <c r="CN7" s="2">
        <v>5</v>
      </c>
      <c r="CO7" s="2">
        <v>5</v>
      </c>
      <c r="CP7" s="2">
        <v>5</v>
      </c>
      <c r="CQ7" s="2">
        <v>5</v>
      </c>
      <c r="CR7" s="2">
        <v>5</v>
      </c>
      <c r="CS7" s="2">
        <v>5</v>
      </c>
      <c r="CT7" s="2">
        <v>5</v>
      </c>
      <c r="CU7" s="2">
        <v>5</v>
      </c>
      <c r="CV7" s="2">
        <v>5</v>
      </c>
      <c r="CW7" s="2">
        <f>SUM(CK7:CV7)*3000</f>
        <v>180000</v>
      </c>
      <c r="CX7" s="166" t="e">
        <f t="shared" si="23"/>
        <v>#DIV/0!</v>
      </c>
      <c r="CZ7" s="576"/>
      <c r="DA7" s="3" t="str">
        <f>CJ7</f>
        <v>利用者数</v>
      </c>
      <c r="DB7" s="2">
        <v>6</v>
      </c>
      <c r="DC7" s="2">
        <v>6</v>
      </c>
      <c r="DD7" s="2">
        <v>6</v>
      </c>
      <c r="DE7" s="2">
        <v>6</v>
      </c>
      <c r="DF7" s="2">
        <v>6</v>
      </c>
      <c r="DG7" s="2">
        <v>6</v>
      </c>
      <c r="DH7" s="2">
        <v>5</v>
      </c>
      <c r="DI7" s="2">
        <v>5</v>
      </c>
      <c r="DJ7" s="2">
        <v>5</v>
      </c>
      <c r="DK7" s="2">
        <v>5</v>
      </c>
      <c r="DL7" s="2">
        <v>5</v>
      </c>
      <c r="DM7" s="2">
        <v>5</v>
      </c>
      <c r="DN7" s="2">
        <f>SUM(DB7:DM7)*3000</f>
        <v>198000</v>
      </c>
      <c r="DO7" s="166" t="e">
        <f t="shared" si="24"/>
        <v>#DIV/0!</v>
      </c>
      <c r="DQ7" s="576"/>
      <c r="DR7" s="3" t="str">
        <f>DA7</f>
        <v>利用者数</v>
      </c>
      <c r="DS7" s="2">
        <v>6</v>
      </c>
      <c r="DT7" s="2">
        <v>6</v>
      </c>
      <c r="DU7" s="2">
        <v>6</v>
      </c>
      <c r="DV7" s="2">
        <v>6</v>
      </c>
      <c r="DW7" s="2">
        <v>6</v>
      </c>
      <c r="DX7" s="2">
        <v>6</v>
      </c>
      <c r="DY7" s="2">
        <v>6</v>
      </c>
      <c r="DZ7" s="2">
        <v>6</v>
      </c>
      <c r="EA7" s="2">
        <v>6</v>
      </c>
      <c r="EB7" s="2">
        <v>6</v>
      </c>
      <c r="EC7" s="2">
        <v>6</v>
      </c>
      <c r="ED7" s="2">
        <v>6</v>
      </c>
      <c r="EE7" s="2">
        <f>SUM(DS7:ED7)*3000</f>
        <v>216000</v>
      </c>
      <c r="EF7" s="166" t="e">
        <f t="shared" si="25"/>
        <v>#DIV/0!</v>
      </c>
      <c r="EH7" s="576"/>
      <c r="EI7" s="3" t="str">
        <f>DR7</f>
        <v>利用者数</v>
      </c>
      <c r="EJ7" s="2">
        <f t="shared" si="52"/>
        <v>6</v>
      </c>
      <c r="EK7" s="2">
        <f t="shared" si="53"/>
        <v>6</v>
      </c>
      <c r="EL7" s="2">
        <f t="shared" si="53"/>
        <v>6</v>
      </c>
      <c r="EM7" s="2">
        <f t="shared" si="53"/>
        <v>6</v>
      </c>
      <c r="EN7" s="2">
        <f t="shared" si="53"/>
        <v>6</v>
      </c>
      <c r="EO7" s="2">
        <f t="shared" si="53"/>
        <v>6</v>
      </c>
      <c r="EP7" s="2">
        <f t="shared" si="53"/>
        <v>6</v>
      </c>
      <c r="EQ7" s="2">
        <f t="shared" si="53"/>
        <v>6</v>
      </c>
      <c r="ER7" s="2">
        <f t="shared" si="53"/>
        <v>6</v>
      </c>
      <c r="ES7" s="2">
        <f t="shared" si="53"/>
        <v>6</v>
      </c>
      <c r="ET7" s="2">
        <f t="shared" si="53"/>
        <v>6</v>
      </c>
      <c r="EU7" s="2">
        <v>7</v>
      </c>
      <c r="EV7" s="2">
        <f>SUM(EJ7:EU7)*3000</f>
        <v>219000</v>
      </c>
      <c r="EW7" s="166" t="e">
        <f t="shared" si="27"/>
        <v>#DIV/0!</v>
      </c>
      <c r="EY7" s="576"/>
      <c r="EZ7" s="3" t="str">
        <f>EI7</f>
        <v>利用者数</v>
      </c>
      <c r="FA7" s="2">
        <v>10</v>
      </c>
      <c r="FB7" s="2">
        <f t="shared" ref="FB7:FL7" si="59">FA7</f>
        <v>10</v>
      </c>
      <c r="FC7" s="2">
        <f t="shared" si="59"/>
        <v>10</v>
      </c>
      <c r="FD7" s="2">
        <f t="shared" si="59"/>
        <v>10</v>
      </c>
      <c r="FE7" s="2">
        <f t="shared" si="59"/>
        <v>10</v>
      </c>
      <c r="FF7" s="2">
        <f t="shared" si="59"/>
        <v>10</v>
      </c>
      <c r="FG7" s="2">
        <f t="shared" si="59"/>
        <v>10</v>
      </c>
      <c r="FH7" s="2">
        <f t="shared" si="59"/>
        <v>10</v>
      </c>
      <c r="FI7" s="2">
        <f t="shared" si="59"/>
        <v>10</v>
      </c>
      <c r="FJ7" s="2">
        <f t="shared" si="59"/>
        <v>10</v>
      </c>
      <c r="FK7" s="2">
        <f t="shared" si="59"/>
        <v>10</v>
      </c>
      <c r="FL7" s="2">
        <f t="shared" si="59"/>
        <v>10</v>
      </c>
      <c r="FM7" s="2">
        <f>SUM(FA7:FL7)*3000</f>
        <v>360000</v>
      </c>
      <c r="FN7" s="166" t="e">
        <f t="shared" si="29"/>
        <v>#DIV/0!</v>
      </c>
    </row>
    <row r="8" spans="1:170" s="153" customFormat="1" ht="16.5" customHeight="1">
      <c r="B8" s="576"/>
      <c r="C8" s="440" t="s">
        <v>492</v>
      </c>
      <c r="D8" s="441"/>
      <c r="E8" s="441">
        <f>5860*23*E7*0.8</f>
        <v>0</v>
      </c>
      <c r="F8" s="441">
        <f>5860*23*F7*0.8</f>
        <v>0</v>
      </c>
      <c r="G8" s="441">
        <f>5860*23*G7*0.8</f>
        <v>0</v>
      </c>
      <c r="H8" s="441">
        <f t="shared" ref="H8" si="60">5860*23*H7*0.8</f>
        <v>0</v>
      </c>
      <c r="I8" s="441">
        <f t="shared" ref="I8" si="61">5860*23*I7*0.8</f>
        <v>0</v>
      </c>
      <c r="J8" s="441">
        <f t="shared" ref="J8" si="62">5860*23*J7*0.8</f>
        <v>0</v>
      </c>
      <c r="K8" s="441">
        <f t="shared" ref="K8" si="63">5860*23*K7*0.8</f>
        <v>0</v>
      </c>
      <c r="L8" s="441">
        <f t="shared" ref="L8" si="64">5860*23*L7*0.8</f>
        <v>0</v>
      </c>
      <c r="M8" s="441">
        <f t="shared" ref="M8" si="65">5860*23*M7*0.8</f>
        <v>0</v>
      </c>
      <c r="N8" s="441">
        <f t="shared" ref="N8" si="66">5860*23*N7*0.8</f>
        <v>0</v>
      </c>
      <c r="O8" s="441">
        <f t="shared" ref="O8" si="67">5860*23*O7*0.8</f>
        <v>0</v>
      </c>
      <c r="P8" s="441">
        <f t="shared" ref="P8" si="68">SUM(D8:O8)</f>
        <v>0</v>
      </c>
      <c r="Q8" s="442" t="str">
        <f t="shared" si="55"/>
        <v/>
      </c>
      <c r="R8" s="531"/>
      <c r="S8" s="576"/>
      <c r="T8" s="440" t="str">
        <f t="shared" si="32"/>
        <v>訓練給付金等</v>
      </c>
      <c r="U8" s="441"/>
      <c r="V8" s="441">
        <f>5860*23*V7*0.8</f>
        <v>0</v>
      </c>
      <c r="W8" s="441">
        <f>5860*23*W7*0.8</f>
        <v>0</v>
      </c>
      <c r="X8" s="441">
        <f>5860*23*X7*0.8</f>
        <v>0</v>
      </c>
      <c r="Y8" s="441">
        <f t="shared" ref="Y8" si="69">5860*23*Y7*0.8</f>
        <v>0</v>
      </c>
      <c r="Z8" s="441">
        <f t="shared" ref="Z8" si="70">5860*23*Z7*0.8</f>
        <v>0</v>
      </c>
      <c r="AA8" s="441">
        <f t="shared" ref="AA8" si="71">5860*23*AA7*0.8</f>
        <v>0</v>
      </c>
      <c r="AB8" s="441">
        <f t="shared" ref="AB8" si="72">5860*23*AB7*0.8</f>
        <v>0</v>
      </c>
      <c r="AC8" s="441">
        <f t="shared" ref="AC8" si="73">5860*23*AC7*0.8</f>
        <v>0</v>
      </c>
      <c r="AD8" s="441">
        <f t="shared" ref="AD8" si="74">5860*23*AD7*0.8</f>
        <v>0</v>
      </c>
      <c r="AE8" s="441">
        <f t="shared" ref="AE8" si="75">5860*23*AE7*0.8</f>
        <v>0</v>
      </c>
      <c r="AF8" s="441">
        <f t="shared" ref="AF8" si="76">5860*23*AF7*0.8</f>
        <v>0</v>
      </c>
      <c r="AG8" s="444">
        <f t="shared" si="56"/>
        <v>0</v>
      </c>
      <c r="AH8" s="166" t="str">
        <f t="shared" si="57"/>
        <v/>
      </c>
      <c r="AJ8" s="576"/>
      <c r="AK8" s="440" t="str">
        <f t="shared" si="42"/>
        <v>訓練給付金等</v>
      </c>
      <c r="AL8" s="441"/>
      <c r="AM8" s="441">
        <f>5860*23*AM7*0.8</f>
        <v>0</v>
      </c>
      <c r="AN8" s="441">
        <f>5860*23*AN7*0.8</f>
        <v>0</v>
      </c>
      <c r="AO8" s="441">
        <f>5860*23*AO7*0.8</f>
        <v>0</v>
      </c>
      <c r="AP8" s="441">
        <f t="shared" ref="AP8" si="77">5860*23*AP7*0.8</f>
        <v>0</v>
      </c>
      <c r="AQ8" s="441">
        <f t="shared" ref="AQ8" si="78">5860*23*AQ7*0.8</f>
        <v>0</v>
      </c>
      <c r="AR8" s="441">
        <f t="shared" ref="AR8" si="79">5860*23*AR7*0.8</f>
        <v>0</v>
      </c>
      <c r="AS8" s="441">
        <f t="shared" ref="AS8" si="80">5860*23*AS7*0.8</f>
        <v>0</v>
      </c>
      <c r="AT8" s="441">
        <f t="shared" ref="AT8" si="81">5860*23*AT7*0.8</f>
        <v>0</v>
      </c>
      <c r="AU8" s="441">
        <f t="shared" ref="AU8" si="82">5860*23*AU7*0.8</f>
        <v>0</v>
      </c>
      <c r="AV8" s="441">
        <f t="shared" ref="AV8" si="83">5860*23*AV7*0.8</f>
        <v>0</v>
      </c>
      <c r="AW8" s="441">
        <f t="shared" ref="AW8" si="84">5860*23*AW7*0.8</f>
        <v>0</v>
      </c>
      <c r="AX8" s="444">
        <f t="shared" si="51"/>
        <v>0</v>
      </c>
      <c r="AY8" s="166" t="str">
        <f t="shared" si="58"/>
        <v/>
      </c>
      <c r="BA8" s="576"/>
      <c r="BB8" s="3" t="str">
        <f>AK8</f>
        <v>訓練給付金等</v>
      </c>
      <c r="BC8" s="2">
        <v>5000</v>
      </c>
      <c r="BD8" s="2">
        <v>5000</v>
      </c>
      <c r="BE8" s="2">
        <v>5000</v>
      </c>
      <c r="BF8" s="2">
        <v>5000</v>
      </c>
      <c r="BG8" s="2">
        <v>5000</v>
      </c>
      <c r="BH8" s="2">
        <v>5000</v>
      </c>
      <c r="BI8" s="2">
        <v>5000</v>
      </c>
      <c r="BJ8" s="2">
        <v>5000</v>
      </c>
      <c r="BK8" s="2">
        <v>5000</v>
      </c>
      <c r="BL8" s="2">
        <v>5000</v>
      </c>
      <c r="BM8" s="2">
        <v>5000</v>
      </c>
      <c r="BN8" s="2">
        <v>5000</v>
      </c>
      <c r="BO8" s="2">
        <f t="shared" si="19"/>
        <v>60000</v>
      </c>
      <c r="BP8" s="166">
        <f t="shared" si="20"/>
        <v>0.17045454545454544</v>
      </c>
      <c r="BR8" s="576"/>
      <c r="BS8" s="3" t="str">
        <f>BB8</f>
        <v>訓練給付金等</v>
      </c>
      <c r="BT8" s="2">
        <v>5000</v>
      </c>
      <c r="BU8" s="2">
        <v>5000</v>
      </c>
      <c r="BV8" s="2">
        <v>5000</v>
      </c>
      <c r="BW8" s="2">
        <v>5000</v>
      </c>
      <c r="BX8" s="2">
        <v>5000</v>
      </c>
      <c r="BY8" s="2">
        <v>5000</v>
      </c>
      <c r="BZ8" s="2">
        <v>5000</v>
      </c>
      <c r="CA8" s="2">
        <v>5000</v>
      </c>
      <c r="CB8" s="2">
        <v>5000</v>
      </c>
      <c r="CC8" s="2">
        <v>5000</v>
      </c>
      <c r="CD8" s="2">
        <v>5000</v>
      </c>
      <c r="CE8" s="2">
        <v>5000</v>
      </c>
      <c r="CF8" s="2">
        <f t="shared" si="21"/>
        <v>60000</v>
      </c>
      <c r="CG8" s="166">
        <f t="shared" si="22"/>
        <v>0.17045454545454544</v>
      </c>
      <c r="CI8" s="576"/>
      <c r="CJ8" s="3" t="str">
        <f>BS8</f>
        <v>訓練給付金等</v>
      </c>
      <c r="CK8" s="2">
        <v>4</v>
      </c>
      <c r="CL8" s="2">
        <v>4</v>
      </c>
      <c r="CM8" s="2">
        <v>4</v>
      </c>
      <c r="CN8" s="2">
        <v>4</v>
      </c>
      <c r="CO8" s="2">
        <v>4</v>
      </c>
      <c r="CP8" s="2">
        <v>4</v>
      </c>
      <c r="CQ8" s="2">
        <v>4</v>
      </c>
      <c r="CR8" s="2">
        <v>4</v>
      </c>
      <c r="CS8" s="2">
        <v>4</v>
      </c>
      <c r="CT8" s="2">
        <v>4</v>
      </c>
      <c r="CU8" s="2">
        <v>4</v>
      </c>
      <c r="CV8" s="2">
        <v>4</v>
      </c>
      <c r="CW8" s="2">
        <f>SUM(CK8:CV8)*2500</f>
        <v>120000</v>
      </c>
      <c r="CX8" s="166" t="e">
        <f t="shared" si="23"/>
        <v>#DIV/0!</v>
      </c>
      <c r="CZ8" s="576"/>
      <c r="DA8" s="3" t="str">
        <f>CJ8</f>
        <v>訓練給付金等</v>
      </c>
      <c r="DB8" s="2">
        <v>4</v>
      </c>
      <c r="DC8" s="2">
        <v>4</v>
      </c>
      <c r="DD8" s="2">
        <v>4</v>
      </c>
      <c r="DE8" s="2">
        <v>4</v>
      </c>
      <c r="DF8" s="2">
        <v>4</v>
      </c>
      <c r="DG8" s="2">
        <v>4</v>
      </c>
      <c r="DH8" s="2">
        <v>4</v>
      </c>
      <c r="DI8" s="2">
        <v>4</v>
      </c>
      <c r="DJ8" s="2">
        <v>4</v>
      </c>
      <c r="DK8" s="2">
        <v>4</v>
      </c>
      <c r="DL8" s="2">
        <v>4</v>
      </c>
      <c r="DM8" s="2">
        <v>4</v>
      </c>
      <c r="DN8" s="2">
        <f>SUM(DB8:DM8)*2500</f>
        <v>120000</v>
      </c>
      <c r="DO8" s="166" t="e">
        <f t="shared" si="24"/>
        <v>#DIV/0!</v>
      </c>
      <c r="DQ8" s="576"/>
      <c r="DR8" s="3" t="str">
        <f>DA8</f>
        <v>訓練給付金等</v>
      </c>
      <c r="DS8" s="2">
        <v>4</v>
      </c>
      <c r="DT8" s="2">
        <v>4</v>
      </c>
      <c r="DU8" s="2">
        <v>4</v>
      </c>
      <c r="DV8" s="2">
        <v>4</v>
      </c>
      <c r="DW8" s="2">
        <v>4</v>
      </c>
      <c r="DX8" s="2">
        <v>4</v>
      </c>
      <c r="DY8" s="2">
        <v>4</v>
      </c>
      <c r="DZ8" s="2">
        <v>4</v>
      </c>
      <c r="EA8" s="2">
        <v>4</v>
      </c>
      <c r="EB8" s="2">
        <v>4</v>
      </c>
      <c r="EC8" s="2">
        <v>4</v>
      </c>
      <c r="ED8" s="2">
        <v>4</v>
      </c>
      <c r="EE8" s="2">
        <f>SUM(DS8:ED8)*2500</f>
        <v>120000</v>
      </c>
      <c r="EF8" s="166" t="e">
        <f t="shared" si="25"/>
        <v>#DIV/0!</v>
      </c>
      <c r="EH8" s="576"/>
      <c r="EI8" s="3" t="str">
        <f>DR8</f>
        <v>訓練給付金等</v>
      </c>
      <c r="EJ8" s="2">
        <f t="shared" si="52"/>
        <v>4</v>
      </c>
      <c r="EK8" s="2">
        <f t="shared" si="53"/>
        <v>4</v>
      </c>
      <c r="EL8" s="2">
        <f t="shared" si="53"/>
        <v>4</v>
      </c>
      <c r="EM8" s="2">
        <f t="shared" si="53"/>
        <v>4</v>
      </c>
      <c r="EN8" s="2">
        <f t="shared" si="53"/>
        <v>4</v>
      </c>
      <c r="EO8" s="2">
        <f t="shared" si="53"/>
        <v>4</v>
      </c>
      <c r="EP8" s="2">
        <f t="shared" si="53"/>
        <v>4</v>
      </c>
      <c r="EQ8" s="2">
        <f t="shared" si="53"/>
        <v>4</v>
      </c>
      <c r="ER8" s="2">
        <f t="shared" si="53"/>
        <v>4</v>
      </c>
      <c r="ES8" s="2">
        <f t="shared" si="53"/>
        <v>4</v>
      </c>
      <c r="ET8" s="2">
        <f t="shared" si="53"/>
        <v>4</v>
      </c>
      <c r="EU8" s="2">
        <v>5</v>
      </c>
      <c r="EV8" s="2">
        <f>SUM(EJ8:EU8)*2500</f>
        <v>122500</v>
      </c>
      <c r="EW8" s="166" t="e">
        <f t="shared" si="27"/>
        <v>#DIV/0!</v>
      </c>
      <c r="EY8" s="576"/>
      <c r="EZ8" s="3" t="str">
        <f>EI8</f>
        <v>訓練給付金等</v>
      </c>
      <c r="FA8" s="2">
        <f t="shared" ref="FA8" si="85">EU8</f>
        <v>5</v>
      </c>
      <c r="FB8" s="2">
        <f t="shared" ref="FB8:FL8" si="86">FA8</f>
        <v>5</v>
      </c>
      <c r="FC8" s="2">
        <f t="shared" si="86"/>
        <v>5</v>
      </c>
      <c r="FD8" s="2">
        <f t="shared" si="86"/>
        <v>5</v>
      </c>
      <c r="FE8" s="2">
        <f t="shared" si="86"/>
        <v>5</v>
      </c>
      <c r="FF8" s="2">
        <f t="shared" si="86"/>
        <v>5</v>
      </c>
      <c r="FG8" s="2">
        <f t="shared" si="86"/>
        <v>5</v>
      </c>
      <c r="FH8" s="2">
        <f t="shared" si="86"/>
        <v>5</v>
      </c>
      <c r="FI8" s="2">
        <f t="shared" si="86"/>
        <v>5</v>
      </c>
      <c r="FJ8" s="2">
        <f t="shared" si="86"/>
        <v>5</v>
      </c>
      <c r="FK8" s="2">
        <f t="shared" si="86"/>
        <v>5</v>
      </c>
      <c r="FL8" s="2">
        <f t="shared" si="86"/>
        <v>5</v>
      </c>
      <c r="FM8" s="2">
        <f>SUM(FA8:FL8)*2500</f>
        <v>150000</v>
      </c>
      <c r="FN8" s="166" t="e">
        <f t="shared" si="29"/>
        <v>#DIV/0!</v>
      </c>
    </row>
    <row r="9" spans="1:170" ht="16.5" customHeight="1">
      <c r="B9" s="552" t="s">
        <v>494</v>
      </c>
      <c r="C9" s="553"/>
      <c r="D9" s="132">
        <f t="shared" ref="D9" si="87">SUM(D10:D12)</f>
        <v>0</v>
      </c>
      <c r="E9" s="132">
        <f t="shared" ref="E9" si="88">SUM(E10:E12)</f>
        <v>0</v>
      </c>
      <c r="F9" s="132">
        <f t="shared" ref="F9" si="89">SUM(F10:F12)</f>
        <v>0</v>
      </c>
      <c r="G9" s="132">
        <f>SUM(G10:G12)</f>
        <v>0</v>
      </c>
      <c r="H9" s="132">
        <f t="shared" ref="H9:O9" si="90">SUM(H10:H12)</f>
        <v>0</v>
      </c>
      <c r="I9" s="132">
        <f t="shared" si="90"/>
        <v>0</v>
      </c>
      <c r="J9" s="132">
        <f t="shared" si="90"/>
        <v>0</v>
      </c>
      <c r="K9" s="132">
        <f t="shared" si="90"/>
        <v>0</v>
      </c>
      <c r="L9" s="132">
        <f t="shared" si="90"/>
        <v>0</v>
      </c>
      <c r="M9" s="132">
        <f t="shared" si="90"/>
        <v>0</v>
      </c>
      <c r="N9" s="132">
        <f t="shared" si="90"/>
        <v>0</v>
      </c>
      <c r="O9" s="132">
        <f t="shared" si="90"/>
        <v>0</v>
      </c>
      <c r="P9" s="132">
        <f t="shared" si="11"/>
        <v>0</v>
      </c>
      <c r="Q9" s="165" t="str">
        <f t="shared" si="16"/>
        <v/>
      </c>
      <c r="R9" s="531"/>
      <c r="S9" s="552" t="str">
        <f>IF(B9="","",B9)</f>
        <v>利用者作業収入</v>
      </c>
      <c r="T9" s="553"/>
      <c r="U9" s="132">
        <f t="shared" ref="U9" si="91">SUM(U10:U12)</f>
        <v>0</v>
      </c>
      <c r="V9" s="132">
        <f t="shared" ref="V9" si="92">SUM(V10:V12)</f>
        <v>0</v>
      </c>
      <c r="W9" s="132">
        <f t="shared" ref="W9" si="93">SUM(W10:W12)</f>
        <v>0</v>
      </c>
      <c r="X9" s="132">
        <f>SUM(X10:X12)</f>
        <v>60000</v>
      </c>
      <c r="Y9" s="132">
        <f t="shared" ref="Y9" si="94">SUM(Y10:Y12)</f>
        <v>60000</v>
      </c>
      <c r="Z9" s="132">
        <f t="shared" ref="Z9" si="95">SUM(Z10:Z12)</f>
        <v>60000</v>
      </c>
      <c r="AA9" s="132">
        <f t="shared" ref="AA9" si="96">SUM(AA10:AA12)</f>
        <v>60000</v>
      </c>
      <c r="AB9" s="132">
        <f t="shared" ref="AB9" si="97">SUM(AB10:AB12)</f>
        <v>60000</v>
      </c>
      <c r="AC9" s="132">
        <f t="shared" ref="AC9" si="98">SUM(AC10:AC12)</f>
        <v>60000</v>
      </c>
      <c r="AD9" s="132">
        <f t="shared" ref="AD9" si="99">SUM(AD10:AD12)</f>
        <v>60000</v>
      </c>
      <c r="AE9" s="132">
        <f t="shared" ref="AE9" si="100">SUM(AE10:AE12)</f>
        <v>60000</v>
      </c>
      <c r="AF9" s="132">
        <f t="shared" ref="AF9" si="101">SUM(AF10:AF12)</f>
        <v>60000</v>
      </c>
      <c r="AG9" s="132">
        <f>SUM(U9:AF9)</f>
        <v>540000</v>
      </c>
      <c r="AH9" s="165">
        <f t="shared" si="57"/>
        <v>3.1189220728078858E-2</v>
      </c>
      <c r="AJ9" s="552" t="str">
        <f>IF(S9="","",S9)</f>
        <v>利用者作業収入</v>
      </c>
      <c r="AK9" s="553"/>
      <c r="AL9" s="132">
        <f t="shared" ref="AL9" si="102">SUM(AL10:AL12)</f>
        <v>60000</v>
      </c>
      <c r="AM9" s="132">
        <f t="shared" ref="AM9" si="103">SUM(AM10:AM12)</f>
        <v>60000</v>
      </c>
      <c r="AN9" s="132">
        <f t="shared" ref="AN9" si="104">SUM(AN10:AN12)</f>
        <v>60000</v>
      </c>
      <c r="AO9" s="132">
        <f>SUM(AO10:AO12)</f>
        <v>60000</v>
      </c>
      <c r="AP9" s="132">
        <f t="shared" ref="AP9" si="105">SUM(AP10:AP12)</f>
        <v>60000</v>
      </c>
      <c r="AQ9" s="132">
        <f t="shared" ref="AQ9" si="106">SUM(AQ10:AQ12)</f>
        <v>60000</v>
      </c>
      <c r="AR9" s="132">
        <f t="shared" ref="AR9" si="107">SUM(AR10:AR12)</f>
        <v>60000</v>
      </c>
      <c r="AS9" s="132">
        <f t="shared" ref="AS9" si="108">SUM(AS10:AS12)</f>
        <v>60000</v>
      </c>
      <c r="AT9" s="132">
        <f t="shared" ref="AT9" si="109">SUM(AT10:AT12)</f>
        <v>60000</v>
      </c>
      <c r="AU9" s="132">
        <f t="shared" ref="AU9" si="110">SUM(AU10:AU12)</f>
        <v>60000</v>
      </c>
      <c r="AV9" s="132">
        <f t="shared" ref="AV9" si="111">SUM(AV10:AV12)</f>
        <v>60000</v>
      </c>
      <c r="AW9" s="132">
        <f t="shared" ref="AW9" si="112">SUM(AW10:AW12)</f>
        <v>60000</v>
      </c>
      <c r="AX9" s="132">
        <f>SUM(AL9:AW9)</f>
        <v>720000</v>
      </c>
      <c r="AY9" s="165">
        <f t="shared" si="58"/>
        <v>4.1157735076119514E-2</v>
      </c>
      <c r="BA9" s="552" t="s">
        <v>16</v>
      </c>
      <c r="BB9" s="553"/>
      <c r="BC9" s="132">
        <f>(((BC10*'売上計画 '!$C$11)+(BC11*'売上計画 '!$C$12)+(BC12*'売上計画 '!$C$13)+(BC13*'売上計画 '!$C$14))*0.06)*$E$1</f>
        <v>0</v>
      </c>
      <c r="BD9" s="132">
        <f>(((BD10*'売上計画 '!$C$11)+(BD11*'売上計画 '!$C$12)+(BD12*'売上計画 '!$C$13)+(BD13*'売上計画 '!$C$14))*0.06)*$E$1</f>
        <v>0</v>
      </c>
      <c r="BE9" s="132">
        <f>(((BE10*'売上計画 '!$C$11)+(BE11*'売上計画 '!$C$12)+(BE12*'売上計画 '!$C$13)+(BE13*'売上計画 '!$C$14))*0.06)*$E$1</f>
        <v>0</v>
      </c>
      <c r="BF9" s="132">
        <f>(((BF10*'売上計画 '!$C$11)+(BF11*'売上計画 '!$C$12)+(BF12*'売上計画 '!$C$13)+(BF13*'売上計画 '!$C$14))*0.06)*$E$1</f>
        <v>0</v>
      </c>
      <c r="BG9" s="132">
        <f>(((BG10*'売上計画 '!$C$11)+(BG11*'売上計画 '!$C$12)+(BG12*'売上計画 '!$C$13)+(BG13*'売上計画 '!$C$14))*0.06)*$E$1</f>
        <v>0</v>
      </c>
      <c r="BH9" s="132">
        <f>(((BH10*'売上計画 '!$C$11)+(BH11*'売上計画 '!$C$12)+(BH12*'売上計画 '!$C$13)+(BH13*'売上計画 '!$C$14))*0.06)*$E$1</f>
        <v>0</v>
      </c>
      <c r="BI9" s="132">
        <f>(((BI10*'売上計画 '!$C$11)+(BI11*'売上計画 '!$C$12)+(BI12*'売上計画 '!$C$13)+(BI13*'売上計画 '!$C$14))*0.06)*$E$1</f>
        <v>0</v>
      </c>
      <c r="BJ9" s="132">
        <f>(((BJ10*'売上計画 '!$C$11)+(BJ11*'売上計画 '!$C$12)+(BJ12*'売上計画 '!$C$13)+(BJ13*'売上計画 '!$C$14))*0.06)*$E$1</f>
        <v>0</v>
      </c>
      <c r="BK9" s="132">
        <f>(((BK10*'売上計画 '!$C$11)+(BK11*'売上計画 '!$C$12)+(BK12*'売上計画 '!$C$13)+(BK13*'売上計画 '!$C$14))*0.06)*$E$1</f>
        <v>0</v>
      </c>
      <c r="BL9" s="132">
        <f>(((BL10*'売上計画 '!$C$11)+(BL11*'売上計画 '!$C$12)+(BL12*'売上計画 '!$C$13)+(BL13*'売上計画 '!$C$14))*0.06)*$E$1</f>
        <v>0</v>
      </c>
      <c r="BM9" s="132">
        <f>(((BM10*'売上計画 '!$C$11)+(BM11*'売上計画 '!$C$12)+(BM12*'売上計画 '!$C$13)+(BM13*'売上計画 '!$C$14))*0.06)*$E$1</f>
        <v>0</v>
      </c>
      <c r="BN9" s="132">
        <f>(((BN10*'売上計画 '!$C$11)+(BN11*'売上計画 '!$C$12)+(BN12*'売上計画 '!$C$13)+(BN13*'売上計画 '!$C$14))*0.06)*$E$1</f>
        <v>0</v>
      </c>
      <c r="BO9" s="132">
        <f>SUM(BC9:BN9)</f>
        <v>0</v>
      </c>
      <c r="BP9" s="165" t="str">
        <f t="shared" si="20"/>
        <v/>
      </c>
      <c r="BR9" s="552" t="s">
        <v>16</v>
      </c>
      <c r="BS9" s="553"/>
      <c r="BT9" s="132">
        <f>(((BT10*'売上計画 '!$C$11)+(BT11*'売上計画 '!$C$12)+(BT12*'売上計画 '!$C$13)+(BT13*'売上計画 '!$C$14))*0.06)*$E$1</f>
        <v>0</v>
      </c>
      <c r="BU9" s="132">
        <f>(((BU10*'売上計画 '!$C$11)+(BU11*'売上計画 '!$C$12)+(BU12*'売上計画 '!$C$13)+(BU13*'売上計画 '!$C$14))*0.06)*$E$1</f>
        <v>0</v>
      </c>
      <c r="BV9" s="132">
        <f>(((BV10*'売上計画 '!$C$11)+(BV11*'売上計画 '!$C$12)+(BV12*'売上計画 '!$C$13)+(BV13*'売上計画 '!$C$14))*0.06)*$E$1</f>
        <v>0</v>
      </c>
      <c r="BW9" s="132">
        <f>(((BW10*'売上計画 '!$C$11)+(BW11*'売上計画 '!$C$12)+(BW12*'売上計画 '!$C$13)+(BW13*'売上計画 '!$C$14))*0.06)*$E$1</f>
        <v>0</v>
      </c>
      <c r="BX9" s="132">
        <f>(((BX10*'売上計画 '!$C$11)+(BX11*'売上計画 '!$C$12)+(BX12*'売上計画 '!$C$13)+(BX13*'売上計画 '!$C$14))*0.06)*$E$1</f>
        <v>0</v>
      </c>
      <c r="BY9" s="132">
        <f>(((BY10*'売上計画 '!$C$11)+(BY11*'売上計画 '!$C$12)+(BY12*'売上計画 '!$C$13)+(BY13*'売上計画 '!$C$14))*0.06)*$E$1</f>
        <v>0</v>
      </c>
      <c r="BZ9" s="132">
        <f>(((BZ10*'売上計画 '!$C$11)+(BZ11*'売上計画 '!$C$12)+(BZ12*'売上計画 '!$C$13)+(BZ13*'売上計画 '!$C$14))*0.06)*$E$1</f>
        <v>0</v>
      </c>
      <c r="CA9" s="132">
        <f>(((CA10*'売上計画 '!$C$11)+(CA11*'売上計画 '!$C$12)+(CA12*'売上計画 '!$C$13)+(CA13*'売上計画 '!$C$14))*0.06)*$E$1</f>
        <v>0</v>
      </c>
      <c r="CB9" s="132">
        <f>(((CB10*'売上計画 '!$C$11)+(CB11*'売上計画 '!$C$12)+(CB12*'売上計画 '!$C$13)+(CB13*'売上計画 '!$C$14))*0.06)*$E$1</f>
        <v>0</v>
      </c>
      <c r="CC9" s="132">
        <f>(((CC10*'売上計画 '!$C$11)+(CC11*'売上計画 '!$C$12)+(CC12*'売上計画 '!$C$13)+(CC13*'売上計画 '!$C$14))*0.06)*$E$1</f>
        <v>0</v>
      </c>
      <c r="CD9" s="132">
        <f>(((CD10*'売上計画 '!$C$11)+(CD11*'売上計画 '!$C$12)+(CD12*'売上計画 '!$C$13)+(CD13*'売上計画 '!$C$14))*0.06)*$E$1</f>
        <v>0</v>
      </c>
      <c r="CE9" s="132">
        <f>(((CE10*'売上計画 '!$C$11)+(CE11*'売上計画 '!$C$12)+(CE12*'売上計画 '!$C$13)+(CE13*'売上計画 '!$C$14))*0.06)*$E$1</f>
        <v>0</v>
      </c>
      <c r="CF9" s="132">
        <f>SUM(BT9:CE9)</f>
        <v>0</v>
      </c>
      <c r="CG9" s="165" t="str">
        <f t="shared" si="22"/>
        <v/>
      </c>
      <c r="CI9" s="552" t="s">
        <v>16</v>
      </c>
      <c r="CJ9" s="553"/>
      <c r="CK9" s="132">
        <f>(((CK10*'売上計画 '!$C$11)+(CK11*'売上計画 '!$C$12)+(CK12*'売上計画 '!$C$13)+(CK13*'売上計画 '!$C$14))*0.06)*$E$1</f>
        <v>0</v>
      </c>
      <c r="CL9" s="132">
        <f>(((CL10*'売上計画 '!$C$11)+(CL11*'売上計画 '!$C$12)+(CL12*'売上計画 '!$C$13)+(CL13*'売上計画 '!$C$14))*0.06)*$E$1</f>
        <v>0</v>
      </c>
      <c r="CM9" s="132">
        <f>(((CM10*'売上計画 '!$C$11)+(CM11*'売上計画 '!$C$12)+(CM12*'売上計画 '!$C$13)+(CM13*'売上計画 '!$C$14))*0.06)*$E$1</f>
        <v>0</v>
      </c>
      <c r="CN9" s="132">
        <f>(((CN10*'売上計画 '!$C$11)+(CN11*'売上計画 '!$C$12)+(CN12*'売上計画 '!$C$13)+(CN13*'売上計画 '!$C$14))*0.06)*$E$1</f>
        <v>0</v>
      </c>
      <c r="CO9" s="132">
        <f>(((CO10*'売上計画 '!$C$11)+(CO11*'売上計画 '!$C$12)+(CO12*'売上計画 '!$C$13)+(CO13*'売上計画 '!$C$14))*0.06)*$E$1</f>
        <v>0</v>
      </c>
      <c r="CP9" s="132">
        <f>(((CP10*'売上計画 '!$C$11)+(CP11*'売上計画 '!$C$12)+(CP12*'売上計画 '!$C$13)+(CP13*'売上計画 '!$C$14))*0.06)*$E$1</f>
        <v>0</v>
      </c>
      <c r="CQ9" s="132">
        <f>(((CQ10*'売上計画 '!$C$11)+(CQ11*'売上計画 '!$C$12)+(CQ12*'売上計画 '!$C$13)+(CQ13*'売上計画 '!$C$14))*0.06)*$E$1</f>
        <v>0</v>
      </c>
      <c r="CR9" s="132">
        <f>(((CR10*'売上計画 '!$C$11)+(CR11*'売上計画 '!$C$12)+(CR12*'売上計画 '!$C$13)+(CR13*'売上計画 '!$C$14))*0.06)*$E$1</f>
        <v>0</v>
      </c>
      <c r="CS9" s="132">
        <f>(((CS10*'売上計画 '!$C$11)+(CS11*'売上計画 '!$C$12)+(CS12*'売上計画 '!$C$13)+(CS13*'売上計画 '!$C$14))*0.06)*$E$1</f>
        <v>0</v>
      </c>
      <c r="CT9" s="132">
        <f>(((CT10*'売上計画 '!$C$11)+(CT11*'売上計画 '!$C$12)+(CT12*'売上計画 '!$C$13)+(CT13*'売上計画 '!$C$14))*0.06)*$E$1</f>
        <v>0</v>
      </c>
      <c r="CU9" s="132">
        <f>(((CU10*'売上計画 '!$C$11)+(CU11*'売上計画 '!$C$12)+(CU12*'売上計画 '!$C$13)+(CU13*'売上計画 '!$C$14))*0.06)*$E$1</f>
        <v>0</v>
      </c>
      <c r="CV9" s="132">
        <f>(((CV10*'売上計画 '!$C$11)+(CV11*'売上計画 '!$C$12)+(CV12*'売上計画 '!$C$13)+(CV13*'売上計画 '!$C$14))*0.06)*$E$1</f>
        <v>0</v>
      </c>
      <c r="CW9" s="132">
        <f>SUM(CK9:CV9)</f>
        <v>0</v>
      </c>
      <c r="CX9" s="165" t="str">
        <f t="shared" si="23"/>
        <v/>
      </c>
      <c r="CZ9" s="552" t="s">
        <v>16</v>
      </c>
      <c r="DA9" s="553"/>
      <c r="DB9" s="132">
        <f>(((DB10*'売上計画 '!$C$11)+(DB11*'売上計画 '!$C$12)+(DB12*'売上計画 '!$C$13)+(DB13*'売上計画 '!$C$14))*0.06)*$E$1</f>
        <v>0</v>
      </c>
      <c r="DC9" s="132">
        <f>(((DC10*'売上計画 '!$C$11)+(DC11*'売上計画 '!$C$12)+(DC12*'売上計画 '!$C$13)+(DC13*'売上計画 '!$C$14))*0.06)*$E$1</f>
        <v>0</v>
      </c>
      <c r="DD9" s="132">
        <f>(((DD10*'売上計画 '!$C$11)+(DD11*'売上計画 '!$C$12)+(DD12*'売上計画 '!$C$13)+(DD13*'売上計画 '!$C$14))*0.06)*$E$1</f>
        <v>0</v>
      </c>
      <c r="DE9" s="132">
        <f>(((DE10*'売上計画 '!$C$11)+(DE11*'売上計画 '!$C$12)+(DE12*'売上計画 '!$C$13)+(DE13*'売上計画 '!$C$14))*0.06)*$E$1</f>
        <v>0</v>
      </c>
      <c r="DF9" s="132">
        <f>(((DF10*'売上計画 '!$C$11)+(DF11*'売上計画 '!$C$12)+(DF12*'売上計画 '!$C$13)+(DF13*'売上計画 '!$C$14))*0.06)*$E$1</f>
        <v>0</v>
      </c>
      <c r="DG9" s="132">
        <f>(((DG10*'売上計画 '!$C$11)+(DG11*'売上計画 '!$C$12)+(DG12*'売上計画 '!$C$13)+(DG13*'売上計画 '!$C$14))*0.06)*$E$1</f>
        <v>0</v>
      </c>
      <c r="DH9" s="132">
        <f>(((DH10*'売上計画 '!$C$11)+(DH11*'売上計画 '!$C$12)+(DH12*'売上計画 '!$C$13)+(DH13*'売上計画 '!$C$14))*0.06)*$E$1</f>
        <v>0</v>
      </c>
      <c r="DI9" s="132">
        <f>(((DI10*'売上計画 '!$C$11)+(DI11*'売上計画 '!$C$12)+(DI12*'売上計画 '!$C$13)+(DI13*'売上計画 '!$C$14))*0.06)*$E$1</f>
        <v>0</v>
      </c>
      <c r="DJ9" s="132">
        <f>(((DJ10*'売上計画 '!$C$11)+(DJ11*'売上計画 '!$C$12)+(DJ12*'売上計画 '!$C$13)+(DJ13*'売上計画 '!$C$14))*0.06)*$E$1</f>
        <v>0</v>
      </c>
      <c r="DK9" s="132">
        <f>(((DK10*'売上計画 '!$C$11)+(DK11*'売上計画 '!$C$12)+(DK12*'売上計画 '!$C$13)+(DK13*'売上計画 '!$C$14))*0.06)*$E$1</f>
        <v>0</v>
      </c>
      <c r="DL9" s="132">
        <f>(((DL10*'売上計画 '!$C$11)+(DL11*'売上計画 '!$C$12)+(DL12*'売上計画 '!$C$13)+(DL13*'売上計画 '!$C$14))*0.06)*$E$1</f>
        <v>0</v>
      </c>
      <c r="DM9" s="132">
        <f>(((DM10*'売上計画 '!$C$11)+(DM11*'売上計画 '!$C$12)+(DM12*'売上計画 '!$C$13)+(DM13*'売上計画 '!$C$14))*0.06)*$E$1</f>
        <v>0</v>
      </c>
      <c r="DN9" s="132">
        <f>SUM(DB9:DM9)</f>
        <v>0</v>
      </c>
      <c r="DO9" s="165" t="str">
        <f t="shared" si="24"/>
        <v/>
      </c>
      <c r="DQ9" s="552" t="s">
        <v>16</v>
      </c>
      <c r="DR9" s="553"/>
      <c r="DS9" s="132">
        <f>(((DS10*'売上計画 '!$C$11)+(DS11*'売上計画 '!$C$12)+(DS12*'売上計画 '!$C$13)+(DS13*'売上計画 '!$C$14))*0.06)*$E$1</f>
        <v>0</v>
      </c>
      <c r="DT9" s="132">
        <f>(((DT10*'売上計画 '!$C$11)+(DT11*'売上計画 '!$C$12)+(DT12*'売上計画 '!$C$13)+(DT13*'売上計画 '!$C$14))*0.06)*$E$1</f>
        <v>0</v>
      </c>
      <c r="DU9" s="132">
        <f>(((DU10*'売上計画 '!$C$11)+(DU11*'売上計画 '!$C$12)+(DU12*'売上計画 '!$C$13)+(DU13*'売上計画 '!$C$14))*0.06)*$E$1</f>
        <v>0</v>
      </c>
      <c r="DV9" s="132">
        <f>(((DV10*'売上計画 '!$C$11)+(DV11*'売上計画 '!$C$12)+(DV12*'売上計画 '!$C$13)+(DV13*'売上計画 '!$C$14))*0.06)*$E$1</f>
        <v>0</v>
      </c>
      <c r="DW9" s="132">
        <f>(((DW10*'売上計画 '!$C$11)+(DW11*'売上計画 '!$C$12)+(DW12*'売上計画 '!$C$13)+(DW13*'売上計画 '!$C$14))*0.06)*$E$1</f>
        <v>0</v>
      </c>
      <c r="DX9" s="132">
        <f>(((DX10*'売上計画 '!$C$11)+(DX11*'売上計画 '!$C$12)+(DX12*'売上計画 '!$C$13)+(DX13*'売上計画 '!$C$14))*0.06)*$E$1</f>
        <v>0</v>
      </c>
      <c r="DY9" s="132">
        <f>(((DY10*'売上計画 '!$C$11)+(DY11*'売上計画 '!$C$12)+(DY12*'売上計画 '!$C$13)+(DY13*'売上計画 '!$C$14))*0.06)*$E$1</f>
        <v>0</v>
      </c>
      <c r="DZ9" s="132">
        <f>(((DZ10*'売上計画 '!$C$11)+(DZ11*'売上計画 '!$C$12)+(DZ12*'売上計画 '!$C$13)+(DZ13*'売上計画 '!$C$14))*0.06)*$E$1</f>
        <v>0</v>
      </c>
      <c r="EA9" s="132">
        <f>(((EA10*'売上計画 '!$C$11)+(EA11*'売上計画 '!$C$12)+(EA12*'売上計画 '!$C$13)+(EA13*'売上計画 '!$C$14))*0.06)*$E$1</f>
        <v>0</v>
      </c>
      <c r="EB9" s="132">
        <f>(((EB10*'売上計画 '!$C$11)+(EB11*'売上計画 '!$C$12)+(EB12*'売上計画 '!$C$13)+(EB13*'売上計画 '!$C$14))*0.06)*$E$1</f>
        <v>0</v>
      </c>
      <c r="EC9" s="132">
        <f>(((EC10*'売上計画 '!$C$11)+(EC11*'売上計画 '!$C$12)+(EC12*'売上計画 '!$C$13)+(EC13*'売上計画 '!$C$14))*0.06)*$E$1</f>
        <v>0</v>
      </c>
      <c r="ED9" s="132">
        <f>(((ED10*'売上計画 '!$C$11)+(ED11*'売上計画 '!$C$12)+(ED12*'売上計画 '!$C$13)+(ED13*'売上計画 '!$C$14))*0.06)*$E$1</f>
        <v>0</v>
      </c>
      <c r="EE9" s="132">
        <f>SUM(DS9:ED9)</f>
        <v>0</v>
      </c>
      <c r="EF9" s="165" t="str">
        <f t="shared" si="25"/>
        <v/>
      </c>
      <c r="EH9" s="552" t="s">
        <v>16</v>
      </c>
      <c r="EI9" s="553"/>
      <c r="EJ9" s="132">
        <f>(((EJ10*'売上計画 '!$C$11)+(EJ11*'売上計画 '!$C$12)+(EJ12*'売上計画 '!$C$13)+(EJ13*'売上計画 '!$C$14))*0.06)*$E$1</f>
        <v>0</v>
      </c>
      <c r="EK9" s="132">
        <f>(((EK10*'売上計画 '!$C$11)+(EK11*'売上計画 '!$C$12)+(EK12*'売上計画 '!$C$13)+(EK13*'売上計画 '!$C$14))*0.06)*$E$1</f>
        <v>0</v>
      </c>
      <c r="EL9" s="132">
        <f>(((EL10*'売上計画 '!$C$11)+(EL11*'売上計画 '!$C$12)+(EL12*'売上計画 '!$C$13)+(EL13*'売上計画 '!$C$14))*0.06)*$E$1</f>
        <v>0</v>
      </c>
      <c r="EM9" s="132">
        <f>(((EM10*'売上計画 '!$C$11)+(EM11*'売上計画 '!$C$12)+(EM12*'売上計画 '!$C$13)+(EM13*'売上計画 '!$C$14))*0.06)*$E$1</f>
        <v>0</v>
      </c>
      <c r="EN9" s="132">
        <f>(((EN10*'売上計画 '!$C$11)+(EN11*'売上計画 '!$C$12)+(EN12*'売上計画 '!$C$13)+(EN13*'売上計画 '!$C$14))*0.06)*$E$1</f>
        <v>0</v>
      </c>
      <c r="EO9" s="132">
        <f>(((EO10*'売上計画 '!$C$11)+(EO11*'売上計画 '!$C$12)+(EO12*'売上計画 '!$C$13)+(EO13*'売上計画 '!$C$14))*0.06)*$E$1</f>
        <v>0</v>
      </c>
      <c r="EP9" s="132">
        <f>(((EP10*'売上計画 '!$C$11)+(EP11*'売上計画 '!$C$12)+(EP12*'売上計画 '!$C$13)+(EP13*'売上計画 '!$C$14))*0.06)*$E$1</f>
        <v>0</v>
      </c>
      <c r="EQ9" s="132">
        <f>(((EQ10*'売上計画 '!$C$11)+(EQ11*'売上計画 '!$C$12)+(EQ12*'売上計画 '!$C$13)+(EQ13*'売上計画 '!$C$14))*0.06)*$E$1</f>
        <v>0</v>
      </c>
      <c r="ER9" s="132">
        <f>(((ER10*'売上計画 '!$C$11)+(ER11*'売上計画 '!$C$12)+(ER12*'売上計画 '!$C$13)+(ER13*'売上計画 '!$C$14))*0.06)*$E$1</f>
        <v>0</v>
      </c>
      <c r="ES9" s="132">
        <f>(((ES10*'売上計画 '!$C$11)+(ES11*'売上計画 '!$C$12)+(ES12*'売上計画 '!$C$13)+(ES13*'売上計画 '!$C$14))*0.06)*$E$1</f>
        <v>0</v>
      </c>
      <c r="ET9" s="132">
        <f>(((ET10*'売上計画 '!$C$11)+(ET11*'売上計画 '!$C$12)+(ET12*'売上計画 '!$C$13)+(ET13*'売上計画 '!$C$14))*0.06)*$E$1</f>
        <v>0</v>
      </c>
      <c r="EU9" s="132">
        <f>(((EU10*'売上計画 '!$C$11)+(EU11*'売上計画 '!$C$12)+(EU12*'売上計画 '!$C$13)+(EU13*'売上計画 '!$C$14))*0.06)*$E$1</f>
        <v>0</v>
      </c>
      <c r="EV9" s="132">
        <f>SUM(EJ9:EU9)</f>
        <v>0</v>
      </c>
      <c r="EW9" s="165" t="str">
        <f t="shared" si="27"/>
        <v/>
      </c>
      <c r="EY9" s="552" t="s">
        <v>16</v>
      </c>
      <c r="EZ9" s="553"/>
      <c r="FA9" s="132">
        <f>(((FA10*'売上計画 '!$C$11)+(FA11*'売上計画 '!$C$12)+(FA12*'売上計画 '!$C$13)+(FA13*'売上計画 '!$C$14))*0.06)*$E$1</f>
        <v>0</v>
      </c>
      <c r="FB9" s="132">
        <f>(((FB10*'売上計画 '!$C$11)+(FB11*'売上計画 '!$C$12)+(FB12*'売上計画 '!$C$13)+(FB13*'売上計画 '!$C$14))*0.06)*$E$1</f>
        <v>0</v>
      </c>
      <c r="FC9" s="132">
        <f>(((FC10*'売上計画 '!$C$11)+(FC11*'売上計画 '!$C$12)+(FC12*'売上計画 '!$C$13)+(FC13*'売上計画 '!$C$14))*0.06)*$E$1</f>
        <v>0</v>
      </c>
      <c r="FD9" s="132">
        <f>(((FD10*'売上計画 '!$C$11)+(FD11*'売上計画 '!$C$12)+(FD12*'売上計画 '!$C$13)+(FD13*'売上計画 '!$C$14))*0.06)*$E$1</f>
        <v>0</v>
      </c>
      <c r="FE9" s="132">
        <f>(((FE10*'売上計画 '!$C$11)+(FE11*'売上計画 '!$C$12)+(FE12*'売上計画 '!$C$13)+(FE13*'売上計画 '!$C$14))*0.06)*$E$1</f>
        <v>0</v>
      </c>
      <c r="FF9" s="132">
        <f>(((FF10*'売上計画 '!$C$11)+(FF11*'売上計画 '!$C$12)+(FF12*'売上計画 '!$C$13)+(FF13*'売上計画 '!$C$14))*0.06)*$E$1</f>
        <v>0</v>
      </c>
      <c r="FG9" s="132">
        <f>(((FG10*'売上計画 '!$C$11)+(FG11*'売上計画 '!$C$12)+(FG12*'売上計画 '!$C$13)+(FG13*'売上計画 '!$C$14))*0.06)*$E$1</f>
        <v>0</v>
      </c>
      <c r="FH9" s="132">
        <f>(((FH10*'売上計画 '!$C$11)+(FH11*'売上計画 '!$C$12)+(FH12*'売上計画 '!$C$13)+(FH13*'売上計画 '!$C$14))*0.06)*$E$1</f>
        <v>0</v>
      </c>
      <c r="FI9" s="132">
        <f>(((FI10*'売上計画 '!$C$11)+(FI11*'売上計画 '!$C$12)+(FI12*'売上計画 '!$C$13)+(FI13*'売上計画 '!$C$14))*0.06)*$E$1</f>
        <v>0</v>
      </c>
      <c r="FJ9" s="132">
        <f>(((FJ10*'売上計画 '!$C$11)+(FJ11*'売上計画 '!$C$12)+(FJ12*'売上計画 '!$C$13)+(FJ13*'売上計画 '!$C$14))*0.06)*$E$1</f>
        <v>0</v>
      </c>
      <c r="FK9" s="132">
        <f>(((FK10*'売上計画 '!$C$11)+(FK11*'売上計画 '!$C$12)+(FK12*'売上計画 '!$C$13)+(FK13*'売上計画 '!$C$14))*0.06)*$E$1</f>
        <v>0</v>
      </c>
      <c r="FL9" s="132">
        <f>(((FL10*'売上計画 '!$C$11)+(FL11*'売上計画 '!$C$12)+(FL12*'売上計画 '!$C$13)+(FL13*'売上計画 '!$C$14))*0.06)*$E$1</f>
        <v>0</v>
      </c>
      <c r="FM9" s="132">
        <f>SUM(FA9:FL9)</f>
        <v>0</v>
      </c>
      <c r="FN9" s="165" t="str">
        <f t="shared" si="29"/>
        <v/>
      </c>
    </row>
    <row r="10" spans="1:170" s="153" customFormat="1" ht="13.5" customHeight="1">
      <c r="B10" s="575"/>
      <c r="C10" s="3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>
        <f>SUM(D10:O10)</f>
        <v>0</v>
      </c>
      <c r="Q10" s="166" t="str">
        <f t="shared" si="16"/>
        <v/>
      </c>
      <c r="R10" s="531"/>
      <c r="S10" s="575"/>
      <c r="T10" s="3" t="str">
        <f t="shared" si="32"/>
        <v/>
      </c>
      <c r="U10" s="2"/>
      <c r="V10" s="2"/>
      <c r="W10" s="2"/>
      <c r="X10" s="2">
        <v>60000</v>
      </c>
      <c r="Y10" s="2">
        <v>60000</v>
      </c>
      <c r="Z10" s="2">
        <v>60000</v>
      </c>
      <c r="AA10" s="2">
        <v>60000</v>
      </c>
      <c r="AB10" s="2">
        <v>60000</v>
      </c>
      <c r="AC10" s="2">
        <v>60000</v>
      </c>
      <c r="AD10" s="2">
        <v>60000</v>
      </c>
      <c r="AE10" s="2">
        <v>60000</v>
      </c>
      <c r="AF10" s="2">
        <v>60000</v>
      </c>
      <c r="AG10" s="2">
        <f>SUM(U10:AF10)</f>
        <v>540000</v>
      </c>
      <c r="AH10" s="166">
        <f t="shared" si="57"/>
        <v>3.1189220728078858E-2</v>
      </c>
      <c r="AJ10" s="575"/>
      <c r="AK10" s="3" t="str">
        <f t="shared" ref="AK10:AK12" si="113">IF(T10="","",T10)</f>
        <v/>
      </c>
      <c r="AL10" s="2">
        <v>60000</v>
      </c>
      <c r="AM10" s="2">
        <v>60000</v>
      </c>
      <c r="AN10" s="2">
        <v>60000</v>
      </c>
      <c r="AO10" s="2">
        <v>60000</v>
      </c>
      <c r="AP10" s="2">
        <v>60000</v>
      </c>
      <c r="AQ10" s="2">
        <v>60000</v>
      </c>
      <c r="AR10" s="2">
        <v>60000</v>
      </c>
      <c r="AS10" s="2">
        <v>60000</v>
      </c>
      <c r="AT10" s="2">
        <v>60000</v>
      </c>
      <c r="AU10" s="2">
        <v>60000</v>
      </c>
      <c r="AV10" s="2">
        <v>60000</v>
      </c>
      <c r="AW10" s="2">
        <v>60000</v>
      </c>
      <c r="AX10" s="2">
        <f>SUM(AL10:AW10)</f>
        <v>720000</v>
      </c>
      <c r="AY10" s="166">
        <f t="shared" si="58"/>
        <v>4.1157735076119514E-2</v>
      </c>
      <c r="BA10" s="575"/>
      <c r="BB10" s="3" t="s">
        <v>74</v>
      </c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>
        <f>SUM(BC10:BN10)*予備!$C$13</f>
        <v>0</v>
      </c>
      <c r="BP10" s="166" t="str">
        <f t="shared" si="20"/>
        <v/>
      </c>
      <c r="BR10" s="575"/>
      <c r="BS10" s="3" t="s">
        <v>74</v>
      </c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>
        <f>SUM(BT10:CE10)*予備!$C$13</f>
        <v>0</v>
      </c>
      <c r="CG10" s="166" t="str">
        <f t="shared" si="22"/>
        <v/>
      </c>
      <c r="CI10" s="575"/>
      <c r="CJ10" s="3" t="s">
        <v>74</v>
      </c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>
        <f>SUM(CK10:CV10)*予備!$C$13</f>
        <v>0</v>
      </c>
      <c r="CX10" s="166" t="str">
        <f t="shared" si="23"/>
        <v/>
      </c>
      <c r="CZ10" s="575"/>
      <c r="DA10" s="3" t="s">
        <v>74</v>
      </c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>
        <f>SUM(DB10:DM10)*予備!$C$13</f>
        <v>0</v>
      </c>
      <c r="DO10" s="166" t="str">
        <f t="shared" si="24"/>
        <v/>
      </c>
      <c r="DQ10" s="575"/>
      <c r="DR10" s="3" t="s">
        <v>74</v>
      </c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>
        <f>SUM(DS10:ED10)*予備!$C$13</f>
        <v>0</v>
      </c>
      <c r="EF10" s="166" t="str">
        <f t="shared" si="25"/>
        <v/>
      </c>
      <c r="EH10" s="575"/>
      <c r="EI10" s="3" t="s">
        <v>74</v>
      </c>
      <c r="EJ10" s="2">
        <f>ED10</f>
        <v>0</v>
      </c>
      <c r="EK10" s="2">
        <f>EJ10</f>
        <v>0</v>
      </c>
      <c r="EL10" s="2">
        <f t="shared" ref="EL10:EU10" si="114">EK10</f>
        <v>0</v>
      </c>
      <c r="EM10" s="2">
        <f t="shared" si="114"/>
        <v>0</v>
      </c>
      <c r="EN10" s="2">
        <f t="shared" si="114"/>
        <v>0</v>
      </c>
      <c r="EO10" s="2">
        <f t="shared" si="114"/>
        <v>0</v>
      </c>
      <c r="EP10" s="2">
        <f t="shared" si="114"/>
        <v>0</v>
      </c>
      <c r="EQ10" s="2">
        <f t="shared" si="114"/>
        <v>0</v>
      </c>
      <c r="ER10" s="2">
        <f t="shared" si="114"/>
        <v>0</v>
      </c>
      <c r="ES10" s="2">
        <f t="shared" si="114"/>
        <v>0</v>
      </c>
      <c r="ET10" s="2">
        <f t="shared" si="114"/>
        <v>0</v>
      </c>
      <c r="EU10" s="2">
        <f t="shared" si="114"/>
        <v>0</v>
      </c>
      <c r="EV10" s="2">
        <f>SUM(EJ10:EU10)*予備!$C$13</f>
        <v>0</v>
      </c>
      <c r="EW10" s="166" t="str">
        <f t="shared" si="27"/>
        <v/>
      </c>
      <c r="EY10" s="575"/>
      <c r="EZ10" s="3" t="s">
        <v>74</v>
      </c>
      <c r="FA10" s="2">
        <f>EU10</f>
        <v>0</v>
      </c>
      <c r="FB10" s="2">
        <f>FA10</f>
        <v>0</v>
      </c>
      <c r="FC10" s="2">
        <f t="shared" ref="FC10:FL10" si="115">FB10</f>
        <v>0</v>
      </c>
      <c r="FD10" s="2">
        <f t="shared" si="115"/>
        <v>0</v>
      </c>
      <c r="FE10" s="2">
        <f t="shared" si="115"/>
        <v>0</v>
      </c>
      <c r="FF10" s="2">
        <f t="shared" si="115"/>
        <v>0</v>
      </c>
      <c r="FG10" s="2">
        <f t="shared" si="115"/>
        <v>0</v>
      </c>
      <c r="FH10" s="2">
        <f t="shared" si="115"/>
        <v>0</v>
      </c>
      <c r="FI10" s="2">
        <f t="shared" si="115"/>
        <v>0</v>
      </c>
      <c r="FJ10" s="2">
        <f t="shared" si="115"/>
        <v>0</v>
      </c>
      <c r="FK10" s="2">
        <f t="shared" si="115"/>
        <v>0</v>
      </c>
      <c r="FL10" s="2">
        <f t="shared" si="115"/>
        <v>0</v>
      </c>
      <c r="FM10" s="2">
        <f>SUM(FA10:FL10)*予備!$C$13</f>
        <v>0</v>
      </c>
      <c r="FN10" s="166" t="str">
        <f t="shared" si="29"/>
        <v/>
      </c>
    </row>
    <row r="11" spans="1:170" s="153" customFormat="1" ht="13.5" customHeight="1">
      <c r="B11" s="576"/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>
        <f>SUM(D11:O11)*予備!$C$11</f>
        <v>0</v>
      </c>
      <c r="Q11" s="166" t="str">
        <f t="shared" si="16"/>
        <v/>
      </c>
      <c r="R11" s="531"/>
      <c r="S11" s="576"/>
      <c r="T11" s="3" t="str">
        <f t="shared" si="32"/>
        <v/>
      </c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>
        <f>SUM(U11:AF11)*予備!$C$11</f>
        <v>0</v>
      </c>
      <c r="AH11" s="166" t="str">
        <f t="shared" si="57"/>
        <v/>
      </c>
      <c r="AJ11" s="576"/>
      <c r="AK11" s="3" t="str">
        <f t="shared" si="113"/>
        <v/>
      </c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>
        <f>SUM(AL11:AW11)*予備!$C$11</f>
        <v>0</v>
      </c>
      <c r="AY11" s="166" t="str">
        <f t="shared" si="58"/>
        <v/>
      </c>
      <c r="BA11" s="576"/>
      <c r="BB11" s="3" t="s">
        <v>73</v>
      </c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>
        <f>SUM(BC11:BN11)*予備!$C$11</f>
        <v>0</v>
      </c>
      <c r="BP11" s="166" t="str">
        <f t="shared" si="20"/>
        <v/>
      </c>
      <c r="BR11" s="576"/>
      <c r="BS11" s="3" t="s">
        <v>73</v>
      </c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>
        <f>SUM(BT11:CE11)*予備!$C$11</f>
        <v>0</v>
      </c>
      <c r="CG11" s="166" t="str">
        <f t="shared" si="22"/>
        <v/>
      </c>
      <c r="CI11" s="576"/>
      <c r="CJ11" s="3" t="s">
        <v>73</v>
      </c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>
        <f>SUM(CK11:CV11)*予備!$C$11</f>
        <v>0</v>
      </c>
      <c r="CX11" s="166" t="str">
        <f t="shared" si="23"/>
        <v/>
      </c>
      <c r="CZ11" s="576"/>
      <c r="DA11" s="3" t="s">
        <v>73</v>
      </c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>
        <f>SUM(DB11:DM11)*予備!$C$11</f>
        <v>0</v>
      </c>
      <c r="DO11" s="166" t="str">
        <f t="shared" si="24"/>
        <v/>
      </c>
      <c r="DQ11" s="576"/>
      <c r="DR11" s="3" t="s">
        <v>73</v>
      </c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>
        <f>SUM(DS11:ED11)*予備!$C$11</f>
        <v>0</v>
      </c>
      <c r="EF11" s="166" t="str">
        <f t="shared" si="25"/>
        <v/>
      </c>
      <c r="EH11" s="576"/>
      <c r="EI11" s="3" t="s">
        <v>73</v>
      </c>
      <c r="EJ11" s="2">
        <f t="shared" ref="EJ11:EJ13" si="116">ED11</f>
        <v>0</v>
      </c>
      <c r="EK11" s="2">
        <f t="shared" ref="EK11:EU13" si="117">EJ11</f>
        <v>0</v>
      </c>
      <c r="EL11" s="2">
        <f t="shared" si="117"/>
        <v>0</v>
      </c>
      <c r="EM11" s="2">
        <f t="shared" si="117"/>
        <v>0</v>
      </c>
      <c r="EN11" s="2">
        <f t="shared" si="117"/>
        <v>0</v>
      </c>
      <c r="EO11" s="2">
        <f t="shared" si="117"/>
        <v>0</v>
      </c>
      <c r="EP11" s="2">
        <f t="shared" si="117"/>
        <v>0</v>
      </c>
      <c r="EQ11" s="2">
        <f t="shared" si="117"/>
        <v>0</v>
      </c>
      <c r="ER11" s="2">
        <f t="shared" si="117"/>
        <v>0</v>
      </c>
      <c r="ES11" s="2">
        <f t="shared" si="117"/>
        <v>0</v>
      </c>
      <c r="ET11" s="2">
        <f t="shared" si="117"/>
        <v>0</v>
      </c>
      <c r="EU11" s="2">
        <f t="shared" si="117"/>
        <v>0</v>
      </c>
      <c r="EV11" s="2">
        <f>SUM(EJ11:EU11)*予備!$C$11</f>
        <v>0</v>
      </c>
      <c r="EW11" s="166" t="str">
        <f t="shared" si="27"/>
        <v/>
      </c>
      <c r="EY11" s="576"/>
      <c r="EZ11" s="3" t="s">
        <v>73</v>
      </c>
      <c r="FA11" s="2">
        <f t="shared" ref="FA11:FA13" si="118">EU11</f>
        <v>0</v>
      </c>
      <c r="FB11" s="2">
        <f t="shared" ref="FB11:FL11" si="119">FA11</f>
        <v>0</v>
      </c>
      <c r="FC11" s="2">
        <f t="shared" si="119"/>
        <v>0</v>
      </c>
      <c r="FD11" s="2">
        <f t="shared" si="119"/>
        <v>0</v>
      </c>
      <c r="FE11" s="2">
        <f t="shared" si="119"/>
        <v>0</v>
      </c>
      <c r="FF11" s="2">
        <f t="shared" si="119"/>
        <v>0</v>
      </c>
      <c r="FG11" s="2">
        <f t="shared" si="119"/>
        <v>0</v>
      </c>
      <c r="FH11" s="2">
        <f t="shared" si="119"/>
        <v>0</v>
      </c>
      <c r="FI11" s="2">
        <f t="shared" si="119"/>
        <v>0</v>
      </c>
      <c r="FJ11" s="2">
        <f t="shared" si="119"/>
        <v>0</v>
      </c>
      <c r="FK11" s="2">
        <f t="shared" si="119"/>
        <v>0</v>
      </c>
      <c r="FL11" s="2">
        <f t="shared" si="119"/>
        <v>0</v>
      </c>
      <c r="FM11" s="2">
        <f>SUM(FA11:FL11)*予備!$C$11</f>
        <v>0</v>
      </c>
      <c r="FN11" s="166" t="str">
        <f t="shared" si="29"/>
        <v/>
      </c>
    </row>
    <row r="12" spans="1:170" s="153" customFormat="1" ht="13.5" customHeight="1">
      <c r="B12" s="576"/>
      <c r="C12" s="3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>
        <f>SUM(D12:O12)*予備!$C$12</f>
        <v>0</v>
      </c>
      <c r="Q12" s="166" t="str">
        <f t="shared" si="16"/>
        <v/>
      </c>
      <c r="R12" s="531"/>
      <c r="S12" s="576"/>
      <c r="T12" s="3" t="str">
        <f t="shared" si="32"/>
        <v/>
      </c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>
        <f>SUM(U12:AF12)*予備!$C$12</f>
        <v>0</v>
      </c>
      <c r="AH12" s="166" t="str">
        <f t="shared" si="57"/>
        <v/>
      </c>
      <c r="AJ12" s="576"/>
      <c r="AK12" s="3" t="str">
        <f t="shared" si="113"/>
        <v/>
      </c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>
        <f>SUM(AL12:AW12)*予備!$C$12</f>
        <v>0</v>
      </c>
      <c r="AY12" s="166" t="str">
        <f t="shared" si="58"/>
        <v/>
      </c>
      <c r="BA12" s="576"/>
      <c r="BB12" s="3" t="s">
        <v>75</v>
      </c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>
        <f>SUM(BC12:BN12)*予備!$C$12</f>
        <v>0</v>
      </c>
      <c r="BP12" s="166" t="str">
        <f t="shared" si="20"/>
        <v/>
      </c>
      <c r="BR12" s="576"/>
      <c r="BS12" s="3" t="s">
        <v>75</v>
      </c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>
        <f>SUM(BT12:CE12)*予備!$C$12</f>
        <v>0</v>
      </c>
      <c r="CG12" s="166" t="str">
        <f t="shared" si="22"/>
        <v/>
      </c>
      <c r="CI12" s="576"/>
      <c r="CJ12" s="3" t="s">
        <v>75</v>
      </c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>
        <f>SUM(CK12:CV12)*予備!$C$12</f>
        <v>0</v>
      </c>
      <c r="CX12" s="166" t="str">
        <f t="shared" si="23"/>
        <v/>
      </c>
      <c r="CZ12" s="576"/>
      <c r="DA12" s="3" t="s">
        <v>75</v>
      </c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>
        <f>SUM(DB12:DM12)*予備!$C$12</f>
        <v>0</v>
      </c>
      <c r="DO12" s="166" t="str">
        <f t="shared" si="24"/>
        <v/>
      </c>
      <c r="DQ12" s="576"/>
      <c r="DR12" s="3" t="s">
        <v>75</v>
      </c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>
        <f>SUM(DS12:ED12)*予備!$C$12</f>
        <v>0</v>
      </c>
      <c r="EF12" s="166" t="str">
        <f t="shared" si="25"/>
        <v/>
      </c>
      <c r="EH12" s="576"/>
      <c r="EI12" s="3" t="s">
        <v>75</v>
      </c>
      <c r="EJ12" s="2">
        <f t="shared" si="116"/>
        <v>0</v>
      </c>
      <c r="EK12" s="2">
        <f t="shared" si="117"/>
        <v>0</v>
      </c>
      <c r="EL12" s="2">
        <f t="shared" si="117"/>
        <v>0</v>
      </c>
      <c r="EM12" s="2">
        <f t="shared" si="117"/>
        <v>0</v>
      </c>
      <c r="EN12" s="2">
        <f t="shared" si="117"/>
        <v>0</v>
      </c>
      <c r="EO12" s="2">
        <f t="shared" si="117"/>
        <v>0</v>
      </c>
      <c r="EP12" s="2">
        <f t="shared" si="117"/>
        <v>0</v>
      </c>
      <c r="EQ12" s="2">
        <f t="shared" si="117"/>
        <v>0</v>
      </c>
      <c r="ER12" s="2">
        <f t="shared" si="117"/>
        <v>0</v>
      </c>
      <c r="ES12" s="2">
        <f t="shared" si="117"/>
        <v>0</v>
      </c>
      <c r="ET12" s="2">
        <f t="shared" si="117"/>
        <v>0</v>
      </c>
      <c r="EU12" s="2">
        <f t="shared" si="117"/>
        <v>0</v>
      </c>
      <c r="EV12" s="2">
        <f>SUM(EJ12:EU12)*予備!$C$12</f>
        <v>0</v>
      </c>
      <c r="EW12" s="166" t="str">
        <f t="shared" si="27"/>
        <v/>
      </c>
      <c r="EY12" s="576"/>
      <c r="EZ12" s="3" t="s">
        <v>75</v>
      </c>
      <c r="FA12" s="2">
        <f t="shared" si="118"/>
        <v>0</v>
      </c>
      <c r="FB12" s="2">
        <f t="shared" ref="FB12:FL12" si="120">FA12</f>
        <v>0</v>
      </c>
      <c r="FC12" s="2">
        <f t="shared" si="120"/>
        <v>0</v>
      </c>
      <c r="FD12" s="2">
        <f t="shared" si="120"/>
        <v>0</v>
      </c>
      <c r="FE12" s="2">
        <f t="shared" si="120"/>
        <v>0</v>
      </c>
      <c r="FF12" s="2">
        <f t="shared" si="120"/>
        <v>0</v>
      </c>
      <c r="FG12" s="2">
        <f t="shared" si="120"/>
        <v>0</v>
      </c>
      <c r="FH12" s="2">
        <f t="shared" si="120"/>
        <v>0</v>
      </c>
      <c r="FI12" s="2">
        <f t="shared" si="120"/>
        <v>0</v>
      </c>
      <c r="FJ12" s="2">
        <f t="shared" si="120"/>
        <v>0</v>
      </c>
      <c r="FK12" s="2">
        <f t="shared" si="120"/>
        <v>0</v>
      </c>
      <c r="FL12" s="2">
        <f t="shared" si="120"/>
        <v>0</v>
      </c>
      <c r="FM12" s="2">
        <f>SUM(FA12:FL12)*予備!$C$12</f>
        <v>0</v>
      </c>
      <c r="FN12" s="166" t="str">
        <f t="shared" si="29"/>
        <v/>
      </c>
    </row>
    <row r="13" spans="1:170" s="153" customFormat="1" ht="16.5" hidden="1" customHeight="1">
      <c r="B13" s="576"/>
      <c r="C13" s="3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>
        <f>SUM(D13:O13)*予備!$C$14</f>
        <v>0</v>
      </c>
      <c r="Q13" s="166" t="str">
        <f t="shared" si="16"/>
        <v/>
      </c>
      <c r="R13" s="531"/>
      <c r="S13" s="576"/>
      <c r="T13" s="3" t="s">
        <v>76</v>
      </c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>
        <f>SUM(U13:AF13)*予備!$C$14</f>
        <v>0</v>
      </c>
      <c r="AH13" s="166" t="str">
        <f t="shared" si="57"/>
        <v/>
      </c>
      <c r="AJ13" s="576"/>
      <c r="AK13" s="3" t="s">
        <v>76</v>
      </c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>
        <f>SUM(AL13:AW13)*予備!$C$14</f>
        <v>0</v>
      </c>
      <c r="AY13" s="166" t="str">
        <f t="shared" si="58"/>
        <v/>
      </c>
      <c r="BA13" s="576"/>
      <c r="BB13" s="3" t="s">
        <v>76</v>
      </c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>
        <f>SUM(BC13:BN13)*予備!$C$14</f>
        <v>0</v>
      </c>
      <c r="BP13" s="166" t="str">
        <f t="shared" si="20"/>
        <v/>
      </c>
      <c r="BR13" s="576"/>
      <c r="BS13" s="3" t="s">
        <v>76</v>
      </c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>
        <f>SUM(BT13:CE13)*予備!$C$14</f>
        <v>0</v>
      </c>
      <c r="CG13" s="166" t="str">
        <f t="shared" si="22"/>
        <v/>
      </c>
      <c r="CI13" s="576"/>
      <c r="CJ13" s="3" t="s">
        <v>76</v>
      </c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>
        <f>SUM(CK13:CV13)*予備!$C$14</f>
        <v>0</v>
      </c>
      <c r="CX13" s="166" t="str">
        <f t="shared" si="23"/>
        <v/>
      </c>
      <c r="CZ13" s="576"/>
      <c r="DA13" s="3" t="s">
        <v>76</v>
      </c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>
        <f>SUM(DB13:DM13)*予備!$C$14</f>
        <v>0</v>
      </c>
      <c r="DO13" s="166" t="str">
        <f t="shared" si="24"/>
        <v/>
      </c>
      <c r="DQ13" s="576"/>
      <c r="DR13" s="3" t="s">
        <v>76</v>
      </c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>
        <f>SUM(DS13:ED13)*予備!$C$14</f>
        <v>0</v>
      </c>
      <c r="EF13" s="166" t="str">
        <f t="shared" si="25"/>
        <v/>
      </c>
      <c r="EH13" s="576"/>
      <c r="EI13" s="3" t="s">
        <v>76</v>
      </c>
      <c r="EJ13" s="2">
        <f t="shared" si="116"/>
        <v>0</v>
      </c>
      <c r="EK13" s="2">
        <f t="shared" si="117"/>
        <v>0</v>
      </c>
      <c r="EL13" s="2">
        <f t="shared" si="117"/>
        <v>0</v>
      </c>
      <c r="EM13" s="2">
        <f t="shared" si="117"/>
        <v>0</v>
      </c>
      <c r="EN13" s="2">
        <f t="shared" si="117"/>
        <v>0</v>
      </c>
      <c r="EO13" s="2">
        <f t="shared" si="117"/>
        <v>0</v>
      </c>
      <c r="EP13" s="2">
        <f t="shared" si="117"/>
        <v>0</v>
      </c>
      <c r="EQ13" s="2">
        <f t="shared" si="117"/>
        <v>0</v>
      </c>
      <c r="ER13" s="2">
        <f t="shared" si="117"/>
        <v>0</v>
      </c>
      <c r="ES13" s="2">
        <f t="shared" si="117"/>
        <v>0</v>
      </c>
      <c r="ET13" s="2">
        <f t="shared" si="117"/>
        <v>0</v>
      </c>
      <c r="EU13" s="2">
        <f t="shared" si="117"/>
        <v>0</v>
      </c>
      <c r="EV13" s="2">
        <f>SUM(EJ13:EU13)*予備!$C$14</f>
        <v>0</v>
      </c>
      <c r="EW13" s="166" t="str">
        <f t="shared" si="27"/>
        <v/>
      </c>
      <c r="EY13" s="576"/>
      <c r="EZ13" s="3" t="s">
        <v>76</v>
      </c>
      <c r="FA13" s="2">
        <f t="shared" si="118"/>
        <v>0</v>
      </c>
      <c r="FB13" s="2">
        <f t="shared" ref="FB13:FL13" si="121">FA13</f>
        <v>0</v>
      </c>
      <c r="FC13" s="2">
        <f t="shared" si="121"/>
        <v>0</v>
      </c>
      <c r="FD13" s="2">
        <f t="shared" si="121"/>
        <v>0</v>
      </c>
      <c r="FE13" s="2">
        <f t="shared" si="121"/>
        <v>0</v>
      </c>
      <c r="FF13" s="2">
        <f t="shared" si="121"/>
        <v>0</v>
      </c>
      <c r="FG13" s="2">
        <f t="shared" si="121"/>
        <v>0</v>
      </c>
      <c r="FH13" s="2">
        <f t="shared" si="121"/>
        <v>0</v>
      </c>
      <c r="FI13" s="2">
        <f t="shared" si="121"/>
        <v>0</v>
      </c>
      <c r="FJ13" s="2">
        <f t="shared" si="121"/>
        <v>0</v>
      </c>
      <c r="FK13" s="2">
        <f t="shared" si="121"/>
        <v>0</v>
      </c>
      <c r="FL13" s="2">
        <f t="shared" si="121"/>
        <v>0</v>
      </c>
      <c r="FM13" s="2">
        <f>SUM(FA13:FL13)*予備!$C$14</f>
        <v>0</v>
      </c>
      <c r="FN13" s="166" t="str">
        <f t="shared" si="29"/>
        <v/>
      </c>
    </row>
    <row r="14" spans="1:170" s="153" customFormat="1" ht="16.5" hidden="1" customHeight="1">
      <c r="B14" s="576"/>
      <c r="C14" s="154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>
        <f>SUM(D14:O14)</f>
        <v>0</v>
      </c>
      <c r="Q14" s="166" t="str">
        <f t="shared" si="16"/>
        <v/>
      </c>
      <c r="R14" s="531"/>
      <c r="S14" s="576"/>
      <c r="T14" s="154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>
        <f>SUM(U14:AF14)</f>
        <v>0</v>
      </c>
      <c r="AH14" s="166" t="str">
        <f t="shared" si="57"/>
        <v/>
      </c>
      <c r="AJ14" s="576"/>
      <c r="AK14" s="154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>
        <f>SUM(AL14:AW14)</f>
        <v>0</v>
      </c>
      <c r="AY14" s="166" t="str">
        <f t="shared" si="58"/>
        <v/>
      </c>
      <c r="BA14" s="576"/>
      <c r="BB14" s="154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>
        <f>SUM(BC14:BN14)</f>
        <v>0</v>
      </c>
      <c r="BP14" s="166" t="str">
        <f t="shared" si="20"/>
        <v/>
      </c>
      <c r="BR14" s="576"/>
      <c r="BS14" s="154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>
        <f>SUM(BT14:CE14)</f>
        <v>0</v>
      </c>
      <c r="CG14" s="166" t="str">
        <f t="shared" si="22"/>
        <v/>
      </c>
      <c r="CI14" s="576"/>
      <c r="CJ14" s="154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>
        <f>SUM(CK14:CV14)</f>
        <v>0</v>
      </c>
      <c r="CX14" s="166" t="str">
        <f t="shared" si="23"/>
        <v/>
      </c>
      <c r="CZ14" s="576"/>
      <c r="DA14" s="154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>
        <f>SUM(DB14:DM14)</f>
        <v>0</v>
      </c>
      <c r="DO14" s="166" t="str">
        <f t="shared" si="24"/>
        <v/>
      </c>
      <c r="DQ14" s="576"/>
      <c r="DR14" s="154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>
        <f>SUM(DS14:ED14)</f>
        <v>0</v>
      </c>
      <c r="EF14" s="166" t="str">
        <f t="shared" si="25"/>
        <v/>
      </c>
      <c r="EH14" s="576"/>
      <c r="EI14" s="154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>
        <f>SUM(EJ14:EU14)</f>
        <v>0</v>
      </c>
      <c r="EW14" s="166" t="str">
        <f t="shared" si="27"/>
        <v/>
      </c>
      <c r="EY14" s="576"/>
      <c r="EZ14" s="154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>
        <f>SUM(FA14:FL14)</f>
        <v>0</v>
      </c>
      <c r="FN14" s="166" t="str">
        <f t="shared" si="29"/>
        <v/>
      </c>
    </row>
    <row r="15" spans="1:170" ht="12" customHeight="1">
      <c r="B15" s="553" t="s">
        <v>495</v>
      </c>
      <c r="C15" s="553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>
        <v>100000</v>
      </c>
      <c r="O15" s="132"/>
      <c r="P15" s="132">
        <f t="shared" si="11"/>
        <v>100000</v>
      </c>
      <c r="Q15" s="165">
        <f t="shared" si="16"/>
        <v>1</v>
      </c>
      <c r="R15" s="531"/>
      <c r="S15" s="553" t="str">
        <f>IF(B15="","",B15)</f>
        <v>入会金・年会費</v>
      </c>
      <c r="T15" s="553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  <c r="AG15" s="132">
        <f>SUM(U15:AF15)</f>
        <v>0</v>
      </c>
      <c r="AH15" s="165" t="str">
        <f t="shared" si="57"/>
        <v/>
      </c>
      <c r="AJ15" s="553" t="str">
        <f>IF(S15="","",S15)</f>
        <v>入会金・年会費</v>
      </c>
      <c r="AK15" s="553"/>
      <c r="AL15" s="132"/>
      <c r="AM15" s="132"/>
      <c r="AN15" s="132"/>
      <c r="AO15" s="132"/>
      <c r="AP15" s="132"/>
      <c r="AQ15" s="132"/>
      <c r="AR15" s="132"/>
      <c r="AS15" s="132"/>
      <c r="AT15" s="132"/>
      <c r="AU15" s="132"/>
      <c r="AV15" s="132"/>
      <c r="AW15" s="132"/>
      <c r="AX15" s="132">
        <f>SUM(AL15:AW15)</f>
        <v>0</v>
      </c>
      <c r="AY15" s="165" t="str">
        <f t="shared" si="58"/>
        <v/>
      </c>
      <c r="BA15" s="553" t="s">
        <v>17</v>
      </c>
      <c r="BB15" s="553"/>
      <c r="BC15" s="132"/>
      <c r="BD15" s="132"/>
      <c r="BE15" s="132"/>
      <c r="BF15" s="132"/>
      <c r="BG15" s="132"/>
      <c r="BH15" s="132"/>
      <c r="BI15" s="132"/>
      <c r="BJ15" s="132"/>
      <c r="BK15" s="132"/>
      <c r="BL15" s="132"/>
      <c r="BM15" s="132"/>
      <c r="BN15" s="132"/>
      <c r="BO15" s="132">
        <f>SUM(BC15:BN15)</f>
        <v>0</v>
      </c>
      <c r="BP15" s="165" t="str">
        <f t="shared" si="20"/>
        <v/>
      </c>
      <c r="BR15" s="553" t="s">
        <v>17</v>
      </c>
      <c r="BS15" s="553"/>
      <c r="BT15" s="132"/>
      <c r="BU15" s="132"/>
      <c r="BV15" s="132"/>
      <c r="BW15" s="132"/>
      <c r="BX15" s="132"/>
      <c r="BY15" s="132"/>
      <c r="BZ15" s="132"/>
      <c r="CA15" s="132"/>
      <c r="CB15" s="132"/>
      <c r="CC15" s="132"/>
      <c r="CD15" s="132"/>
      <c r="CE15" s="132"/>
      <c r="CF15" s="132">
        <f>SUM(BT15:CE15)</f>
        <v>0</v>
      </c>
      <c r="CG15" s="165" t="str">
        <f t="shared" si="22"/>
        <v/>
      </c>
      <c r="CI15" s="553" t="s">
        <v>17</v>
      </c>
      <c r="CJ15" s="553"/>
      <c r="CK15" s="132"/>
      <c r="CL15" s="132"/>
      <c r="CM15" s="132"/>
      <c r="CN15" s="132"/>
      <c r="CO15" s="132"/>
      <c r="CP15" s="132"/>
      <c r="CQ15" s="132"/>
      <c r="CR15" s="132"/>
      <c r="CS15" s="132"/>
      <c r="CT15" s="132"/>
      <c r="CU15" s="132"/>
      <c r="CV15" s="132"/>
      <c r="CW15" s="132">
        <f>SUM(CK15:CV15)</f>
        <v>0</v>
      </c>
      <c r="CX15" s="165" t="str">
        <f t="shared" si="23"/>
        <v/>
      </c>
      <c r="CZ15" s="553" t="s">
        <v>17</v>
      </c>
      <c r="DA15" s="553"/>
      <c r="DB15" s="132"/>
      <c r="DC15" s="132"/>
      <c r="DD15" s="132"/>
      <c r="DE15" s="132"/>
      <c r="DF15" s="132"/>
      <c r="DG15" s="132"/>
      <c r="DH15" s="132"/>
      <c r="DI15" s="132"/>
      <c r="DJ15" s="132"/>
      <c r="DK15" s="132"/>
      <c r="DL15" s="132"/>
      <c r="DM15" s="132"/>
      <c r="DN15" s="132">
        <f>SUM(DB15:DM15)</f>
        <v>0</v>
      </c>
      <c r="DO15" s="165" t="str">
        <f t="shared" si="24"/>
        <v/>
      </c>
      <c r="DQ15" s="553" t="s">
        <v>17</v>
      </c>
      <c r="DR15" s="553"/>
      <c r="DS15" s="132"/>
      <c r="DT15" s="132"/>
      <c r="DU15" s="132"/>
      <c r="DV15" s="132"/>
      <c r="DW15" s="132"/>
      <c r="DX15" s="132"/>
      <c r="DY15" s="132"/>
      <c r="DZ15" s="132"/>
      <c r="EA15" s="132"/>
      <c r="EB15" s="132"/>
      <c r="EC15" s="132"/>
      <c r="ED15" s="132"/>
      <c r="EE15" s="132">
        <f>SUM(DS15:ED15)</f>
        <v>0</v>
      </c>
      <c r="EF15" s="165" t="str">
        <f t="shared" si="25"/>
        <v/>
      </c>
      <c r="EH15" s="553" t="s">
        <v>17</v>
      </c>
      <c r="EI15" s="553"/>
      <c r="EJ15" s="132"/>
      <c r="EK15" s="132"/>
      <c r="EL15" s="132"/>
      <c r="EM15" s="132"/>
      <c r="EN15" s="132"/>
      <c r="EO15" s="132"/>
      <c r="EP15" s="132"/>
      <c r="EQ15" s="132"/>
      <c r="ER15" s="132"/>
      <c r="ES15" s="132"/>
      <c r="ET15" s="132"/>
      <c r="EU15" s="132"/>
      <c r="EV15" s="132">
        <f>SUM(EJ15:EU15)</f>
        <v>0</v>
      </c>
      <c r="EW15" s="165" t="str">
        <f t="shared" si="27"/>
        <v/>
      </c>
      <c r="EY15" s="553" t="s">
        <v>17</v>
      </c>
      <c r="EZ15" s="553"/>
      <c r="FA15" s="132"/>
      <c r="FB15" s="132"/>
      <c r="FC15" s="132"/>
      <c r="FD15" s="132"/>
      <c r="FE15" s="132"/>
      <c r="FF15" s="132"/>
      <c r="FG15" s="132"/>
      <c r="FH15" s="132"/>
      <c r="FI15" s="132"/>
      <c r="FJ15" s="132"/>
      <c r="FK15" s="132"/>
      <c r="FL15" s="132"/>
      <c r="FM15" s="132">
        <f>SUM(FA15:FL15)</f>
        <v>0</v>
      </c>
      <c r="FN15" s="165" t="str">
        <f t="shared" si="29"/>
        <v/>
      </c>
    </row>
    <row r="16" spans="1:170" ht="13.5" hidden="1" customHeight="1">
      <c r="B16" s="541" t="s">
        <v>486</v>
      </c>
      <c r="C16" s="542"/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>
        <f t="shared" si="11"/>
        <v>0</v>
      </c>
      <c r="Q16" s="165"/>
      <c r="R16" s="531"/>
      <c r="S16" s="541" t="s">
        <v>486</v>
      </c>
      <c r="T16" s="54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65" t="str">
        <f t="shared" si="57"/>
        <v/>
      </c>
      <c r="AJ16" s="541" t="s">
        <v>486</v>
      </c>
      <c r="AK16" s="542"/>
      <c r="AL16" s="132"/>
      <c r="AM16" s="132"/>
      <c r="AN16" s="132"/>
      <c r="AO16" s="132"/>
      <c r="AP16" s="132"/>
      <c r="AQ16" s="132"/>
      <c r="AR16" s="132"/>
      <c r="AS16" s="132"/>
      <c r="AT16" s="132"/>
      <c r="AU16" s="132"/>
      <c r="AV16" s="132"/>
      <c r="AW16" s="132"/>
      <c r="AX16" s="132"/>
      <c r="AY16" s="165" t="str">
        <f t="shared" si="58"/>
        <v/>
      </c>
      <c r="BA16" s="541" t="s">
        <v>78</v>
      </c>
      <c r="BB16" s="542"/>
      <c r="BC16" s="132"/>
      <c r="BD16" s="132"/>
      <c r="BE16" s="132"/>
      <c r="BF16" s="132"/>
      <c r="BG16" s="132"/>
      <c r="BH16" s="132"/>
      <c r="BI16" s="132"/>
      <c r="BJ16" s="132"/>
      <c r="BK16" s="132"/>
      <c r="BL16" s="132"/>
      <c r="BM16" s="132"/>
      <c r="BN16" s="132"/>
      <c r="BO16" s="132"/>
      <c r="BP16" s="165" t="str">
        <f t="shared" si="20"/>
        <v/>
      </c>
      <c r="BR16" s="541" t="s">
        <v>78</v>
      </c>
      <c r="BS16" s="542"/>
      <c r="BT16" s="132"/>
      <c r="BU16" s="132"/>
      <c r="BV16" s="132"/>
      <c r="BW16" s="132"/>
      <c r="BX16" s="132"/>
      <c r="BY16" s="132"/>
      <c r="BZ16" s="132"/>
      <c r="CA16" s="132"/>
      <c r="CB16" s="132"/>
      <c r="CC16" s="132"/>
      <c r="CD16" s="132"/>
      <c r="CE16" s="132"/>
      <c r="CF16" s="132"/>
      <c r="CG16" s="165" t="str">
        <f t="shared" si="22"/>
        <v/>
      </c>
      <c r="CI16" s="541" t="s">
        <v>78</v>
      </c>
      <c r="CJ16" s="542"/>
      <c r="CK16" s="132"/>
      <c r="CL16" s="132"/>
      <c r="CM16" s="132"/>
      <c r="CN16" s="132"/>
      <c r="CO16" s="132"/>
      <c r="CP16" s="132"/>
      <c r="CQ16" s="132"/>
      <c r="CR16" s="132"/>
      <c r="CS16" s="132"/>
      <c r="CT16" s="132"/>
      <c r="CU16" s="132"/>
      <c r="CV16" s="132"/>
      <c r="CW16" s="132"/>
      <c r="CX16" s="165" t="str">
        <f t="shared" si="23"/>
        <v/>
      </c>
      <c r="CZ16" s="541" t="s">
        <v>78</v>
      </c>
      <c r="DA16" s="542"/>
      <c r="DB16" s="132"/>
      <c r="DC16" s="132"/>
      <c r="DD16" s="132"/>
      <c r="DE16" s="132"/>
      <c r="DF16" s="132"/>
      <c r="DG16" s="132"/>
      <c r="DH16" s="132"/>
      <c r="DI16" s="132"/>
      <c r="DJ16" s="132"/>
      <c r="DK16" s="132"/>
      <c r="DL16" s="132"/>
      <c r="DM16" s="132"/>
      <c r="DN16" s="132"/>
      <c r="DO16" s="165" t="str">
        <f t="shared" si="24"/>
        <v/>
      </c>
      <c r="DQ16" s="541" t="s">
        <v>78</v>
      </c>
      <c r="DR16" s="542"/>
      <c r="DS16" s="132"/>
      <c r="DT16" s="132"/>
      <c r="DU16" s="132"/>
      <c r="DV16" s="132"/>
      <c r="DW16" s="132"/>
      <c r="DX16" s="132"/>
      <c r="DY16" s="132"/>
      <c r="DZ16" s="132"/>
      <c r="EA16" s="132"/>
      <c r="EB16" s="132"/>
      <c r="EC16" s="132"/>
      <c r="ED16" s="132"/>
      <c r="EE16" s="132"/>
      <c r="EF16" s="165" t="str">
        <f t="shared" si="25"/>
        <v/>
      </c>
      <c r="EH16" s="541" t="s">
        <v>78</v>
      </c>
      <c r="EI16" s="542"/>
      <c r="EJ16" s="132"/>
      <c r="EK16" s="132"/>
      <c r="EL16" s="132"/>
      <c r="EM16" s="132"/>
      <c r="EN16" s="132"/>
      <c r="EO16" s="132"/>
      <c r="EP16" s="132"/>
      <c r="EQ16" s="132"/>
      <c r="ER16" s="132"/>
      <c r="ES16" s="132"/>
      <c r="ET16" s="132"/>
      <c r="EU16" s="132"/>
      <c r="EV16" s="132"/>
      <c r="EW16" s="165" t="str">
        <f t="shared" si="27"/>
        <v/>
      </c>
      <c r="EY16" s="541" t="s">
        <v>78</v>
      </c>
      <c r="EZ16" s="542"/>
      <c r="FA16" s="132"/>
      <c r="FB16" s="132"/>
      <c r="FC16" s="132"/>
      <c r="FD16" s="132"/>
      <c r="FE16" s="132"/>
      <c r="FF16" s="132"/>
      <c r="FG16" s="132"/>
      <c r="FH16" s="132"/>
      <c r="FI16" s="132"/>
      <c r="FJ16" s="132"/>
      <c r="FK16" s="132"/>
      <c r="FL16" s="132"/>
      <c r="FM16" s="132"/>
      <c r="FN16" s="165" t="str">
        <f t="shared" si="29"/>
        <v/>
      </c>
    </row>
    <row r="17" spans="2:170" ht="13.5" customHeight="1">
      <c r="B17" s="553" t="s">
        <v>1</v>
      </c>
      <c r="C17" s="553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>
        <f t="shared" si="11"/>
        <v>0</v>
      </c>
      <c r="Q17" s="165" t="str">
        <f t="shared" si="16"/>
        <v/>
      </c>
      <c r="R17" s="531"/>
      <c r="S17" s="553" t="str">
        <f>IF(B17="","",B17)</f>
        <v>その他収入</v>
      </c>
      <c r="T17" s="553"/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  <c r="AE17" s="132"/>
      <c r="AF17" s="132"/>
      <c r="AG17" s="132">
        <f>SUM(U17:AF17)</f>
        <v>0</v>
      </c>
      <c r="AH17" s="165" t="str">
        <f t="shared" si="57"/>
        <v/>
      </c>
      <c r="AJ17" s="553" t="str">
        <f>IF(S17="","",S17)</f>
        <v>その他収入</v>
      </c>
      <c r="AK17" s="553"/>
      <c r="AL17" s="132"/>
      <c r="AM17" s="132"/>
      <c r="AN17" s="132"/>
      <c r="AO17" s="132"/>
      <c r="AP17" s="132"/>
      <c r="AQ17" s="132"/>
      <c r="AR17" s="132"/>
      <c r="AS17" s="132"/>
      <c r="AT17" s="132"/>
      <c r="AU17" s="132"/>
      <c r="AV17" s="132"/>
      <c r="AW17" s="132"/>
      <c r="AX17" s="132">
        <f>SUM(AL17:AW17)</f>
        <v>0</v>
      </c>
      <c r="AY17" s="165" t="str">
        <f t="shared" si="58"/>
        <v/>
      </c>
      <c r="BA17" s="553" t="s">
        <v>1</v>
      </c>
      <c r="BB17" s="553"/>
      <c r="BC17" s="132"/>
      <c r="BD17" s="132"/>
      <c r="BE17" s="132"/>
      <c r="BF17" s="132"/>
      <c r="BG17" s="132"/>
      <c r="BH17" s="132"/>
      <c r="BI17" s="132"/>
      <c r="BJ17" s="132"/>
      <c r="BK17" s="132"/>
      <c r="BL17" s="132"/>
      <c r="BM17" s="132"/>
      <c r="BN17" s="132"/>
      <c r="BO17" s="132">
        <f t="shared" ref="BO17:BO30" si="122">SUM(BC17:BN17)</f>
        <v>0</v>
      </c>
      <c r="BP17" s="165" t="str">
        <f t="shared" si="20"/>
        <v/>
      </c>
      <c r="BR17" s="553" t="s">
        <v>1</v>
      </c>
      <c r="BS17" s="553"/>
      <c r="BT17" s="132"/>
      <c r="BU17" s="132"/>
      <c r="BV17" s="132"/>
      <c r="BW17" s="132"/>
      <c r="BX17" s="132"/>
      <c r="BY17" s="132"/>
      <c r="BZ17" s="132"/>
      <c r="CA17" s="132"/>
      <c r="CB17" s="132"/>
      <c r="CC17" s="132"/>
      <c r="CD17" s="132"/>
      <c r="CE17" s="132"/>
      <c r="CF17" s="132">
        <f t="shared" ref="CF17:CF30" si="123">SUM(BT17:CE17)</f>
        <v>0</v>
      </c>
      <c r="CG17" s="165" t="str">
        <f t="shared" si="22"/>
        <v/>
      </c>
      <c r="CI17" s="553" t="s">
        <v>1</v>
      </c>
      <c r="CJ17" s="553"/>
      <c r="CK17" s="132"/>
      <c r="CL17" s="132"/>
      <c r="CM17" s="132"/>
      <c r="CN17" s="132"/>
      <c r="CO17" s="132"/>
      <c r="CP17" s="132"/>
      <c r="CQ17" s="132"/>
      <c r="CR17" s="132"/>
      <c r="CS17" s="132"/>
      <c r="CT17" s="132"/>
      <c r="CU17" s="132"/>
      <c r="CV17" s="132"/>
      <c r="CW17" s="132">
        <f t="shared" ref="CW17:CW30" si="124">SUM(CK17:CV17)</f>
        <v>0</v>
      </c>
      <c r="CX17" s="165" t="str">
        <f t="shared" si="23"/>
        <v/>
      </c>
      <c r="CZ17" s="553" t="s">
        <v>1</v>
      </c>
      <c r="DA17" s="553"/>
      <c r="DB17" s="132"/>
      <c r="DC17" s="132"/>
      <c r="DD17" s="132"/>
      <c r="DE17" s="132"/>
      <c r="DF17" s="132"/>
      <c r="DG17" s="132"/>
      <c r="DH17" s="132"/>
      <c r="DI17" s="132"/>
      <c r="DJ17" s="132"/>
      <c r="DK17" s="132"/>
      <c r="DL17" s="132"/>
      <c r="DM17" s="132"/>
      <c r="DN17" s="132">
        <f>SUM(DB17:DM17)</f>
        <v>0</v>
      </c>
      <c r="DO17" s="165" t="str">
        <f t="shared" si="24"/>
        <v/>
      </c>
      <c r="DQ17" s="553" t="s">
        <v>1</v>
      </c>
      <c r="DR17" s="553"/>
      <c r="DS17" s="132"/>
      <c r="DT17" s="132"/>
      <c r="DU17" s="132"/>
      <c r="DV17" s="132"/>
      <c r="DW17" s="132"/>
      <c r="DX17" s="132"/>
      <c r="DY17" s="132"/>
      <c r="DZ17" s="132"/>
      <c r="EA17" s="132"/>
      <c r="EB17" s="132"/>
      <c r="EC17" s="132"/>
      <c r="ED17" s="132"/>
      <c r="EE17" s="132">
        <f>SUM(DS17:ED17)</f>
        <v>0</v>
      </c>
      <c r="EF17" s="165" t="str">
        <f t="shared" si="25"/>
        <v/>
      </c>
      <c r="EH17" s="553" t="s">
        <v>1</v>
      </c>
      <c r="EI17" s="553"/>
      <c r="EJ17" s="132"/>
      <c r="EK17" s="132"/>
      <c r="EL17" s="132"/>
      <c r="EM17" s="132"/>
      <c r="EN17" s="132"/>
      <c r="EO17" s="132"/>
      <c r="EP17" s="132"/>
      <c r="EQ17" s="132"/>
      <c r="ER17" s="132"/>
      <c r="ES17" s="132"/>
      <c r="ET17" s="132"/>
      <c r="EU17" s="132"/>
      <c r="EV17" s="132">
        <f>SUM(EJ17:EU17)</f>
        <v>0</v>
      </c>
      <c r="EW17" s="165" t="str">
        <f t="shared" si="27"/>
        <v/>
      </c>
      <c r="EY17" s="553" t="s">
        <v>1</v>
      </c>
      <c r="EZ17" s="553"/>
      <c r="FA17" s="132"/>
      <c r="FB17" s="132"/>
      <c r="FC17" s="132"/>
      <c r="FD17" s="132"/>
      <c r="FE17" s="132"/>
      <c r="FF17" s="132"/>
      <c r="FG17" s="132"/>
      <c r="FH17" s="132"/>
      <c r="FI17" s="132"/>
      <c r="FJ17" s="132"/>
      <c r="FK17" s="132"/>
      <c r="FL17" s="132"/>
      <c r="FM17" s="132">
        <f>SUM(FA17:FL17)</f>
        <v>0</v>
      </c>
      <c r="FN17" s="165" t="str">
        <f t="shared" si="29"/>
        <v/>
      </c>
    </row>
    <row r="18" spans="2:170" ht="11.25" customHeight="1">
      <c r="B18" s="543" t="s">
        <v>493</v>
      </c>
      <c r="C18" s="544"/>
      <c r="D18" s="137">
        <f>SUM(D19:D29)</f>
        <v>0</v>
      </c>
      <c r="E18" s="137">
        <f t="shared" ref="E18:O18" si="125">SUM(E19:E29)</f>
        <v>0</v>
      </c>
      <c r="F18" s="137">
        <f t="shared" si="125"/>
        <v>0</v>
      </c>
      <c r="G18" s="137">
        <f t="shared" si="125"/>
        <v>0</v>
      </c>
      <c r="H18" s="137">
        <f t="shared" si="125"/>
        <v>0</v>
      </c>
      <c r="I18" s="137">
        <f t="shared" si="125"/>
        <v>0</v>
      </c>
      <c r="J18" s="137">
        <f t="shared" si="125"/>
        <v>0</v>
      </c>
      <c r="K18" s="137">
        <f t="shared" si="125"/>
        <v>0</v>
      </c>
      <c r="L18" s="137">
        <f t="shared" si="125"/>
        <v>0</v>
      </c>
      <c r="M18" s="137">
        <f t="shared" si="125"/>
        <v>0</v>
      </c>
      <c r="N18" s="137">
        <f t="shared" si="125"/>
        <v>0</v>
      </c>
      <c r="O18" s="137">
        <f t="shared" si="125"/>
        <v>0</v>
      </c>
      <c r="P18" s="137">
        <f t="shared" si="11"/>
        <v>0</v>
      </c>
      <c r="Q18" s="167" t="str">
        <f t="shared" si="16"/>
        <v/>
      </c>
      <c r="R18" s="531"/>
      <c r="S18" s="543" t="str">
        <f>IF(B18="","",B18)</f>
        <v>福祉サービス原価</v>
      </c>
      <c r="T18" s="544"/>
      <c r="U18" s="137">
        <f>SUM(U19:U29)</f>
        <v>578172.1</v>
      </c>
      <c r="V18" s="137">
        <f t="shared" ref="V18:AF18" si="126">SUM(V19:V29)</f>
        <v>578172.1</v>
      </c>
      <c r="W18" s="137">
        <f t="shared" si="126"/>
        <v>671172.1</v>
      </c>
      <c r="X18" s="137">
        <f t="shared" si="126"/>
        <v>897818.8</v>
      </c>
      <c r="Y18" s="137">
        <f t="shared" si="126"/>
        <v>897818.8</v>
      </c>
      <c r="Z18" s="137">
        <f t="shared" si="126"/>
        <v>965818.8</v>
      </c>
      <c r="AA18" s="137">
        <f t="shared" si="126"/>
        <v>965818.8</v>
      </c>
      <c r="AB18" s="137">
        <f t="shared" si="126"/>
        <v>983818.8</v>
      </c>
      <c r="AC18" s="137">
        <f t="shared" si="126"/>
        <v>983818.8</v>
      </c>
      <c r="AD18" s="137">
        <f t="shared" si="126"/>
        <v>1001818.8</v>
      </c>
      <c r="AE18" s="137">
        <f t="shared" si="126"/>
        <v>1001818.8</v>
      </c>
      <c r="AF18" s="137">
        <f t="shared" si="126"/>
        <v>1019818.8</v>
      </c>
      <c r="AG18" s="137">
        <f>SUM(U18:AF18)</f>
        <v>10545885.5</v>
      </c>
      <c r="AH18" s="167">
        <f t="shared" si="57"/>
        <v>0.60910731598619683</v>
      </c>
      <c r="AJ18" s="543" t="str">
        <f>IF(S18="","",S18)</f>
        <v>福祉サービス原価</v>
      </c>
      <c r="AK18" s="544"/>
      <c r="AL18" s="137">
        <f>SUM(AL19:AL29)</f>
        <v>876818.8</v>
      </c>
      <c r="AM18" s="137">
        <f t="shared" ref="AM18:AW18" si="127">SUM(AM19:AM29)</f>
        <v>884818.8</v>
      </c>
      <c r="AN18" s="137">
        <f t="shared" si="127"/>
        <v>889818.8</v>
      </c>
      <c r="AO18" s="137">
        <f t="shared" si="127"/>
        <v>907818.8</v>
      </c>
      <c r="AP18" s="137">
        <f t="shared" si="127"/>
        <v>907818.8</v>
      </c>
      <c r="AQ18" s="137">
        <f t="shared" si="127"/>
        <v>925818.8</v>
      </c>
      <c r="AR18" s="137">
        <f t="shared" si="127"/>
        <v>925818.8</v>
      </c>
      <c r="AS18" s="137">
        <f t="shared" si="127"/>
        <v>943818.8</v>
      </c>
      <c r="AT18" s="137">
        <f t="shared" si="127"/>
        <v>943818.8</v>
      </c>
      <c r="AU18" s="137">
        <f t="shared" si="127"/>
        <v>961818.8</v>
      </c>
      <c r="AV18" s="137">
        <f t="shared" si="127"/>
        <v>961818.8</v>
      </c>
      <c r="AW18" s="137">
        <f t="shared" si="127"/>
        <v>979818.8</v>
      </c>
      <c r="AX18" s="137">
        <f>SUM(AL18:AW18)</f>
        <v>11109825.600000001</v>
      </c>
      <c r="AY18" s="167">
        <f t="shared" si="58"/>
        <v>0.63507674831484806</v>
      </c>
      <c r="BA18" s="543" t="s">
        <v>31</v>
      </c>
      <c r="BB18" s="544"/>
      <c r="BC18" s="137">
        <f t="shared" ref="BC18:BN18" si="128">SUM(BC19:BC29)</f>
        <v>18560</v>
      </c>
      <c r="BD18" s="137">
        <f t="shared" si="128"/>
        <v>18560</v>
      </c>
      <c r="BE18" s="137">
        <f t="shared" si="128"/>
        <v>18560</v>
      </c>
      <c r="BF18" s="137">
        <f t="shared" si="128"/>
        <v>18560</v>
      </c>
      <c r="BG18" s="137">
        <f t="shared" si="128"/>
        <v>18560</v>
      </c>
      <c r="BH18" s="137">
        <f t="shared" si="128"/>
        <v>17920</v>
      </c>
      <c r="BI18" s="137">
        <f t="shared" si="128"/>
        <v>18560</v>
      </c>
      <c r="BJ18" s="137">
        <f t="shared" si="128"/>
        <v>19200</v>
      </c>
      <c r="BK18" s="137">
        <f t="shared" si="128"/>
        <v>19200</v>
      </c>
      <c r="BL18" s="137">
        <f t="shared" si="128"/>
        <v>19200</v>
      </c>
      <c r="BM18" s="137">
        <f t="shared" si="128"/>
        <v>19200</v>
      </c>
      <c r="BN18" s="137">
        <f t="shared" si="128"/>
        <v>19200</v>
      </c>
      <c r="BO18" s="137">
        <f t="shared" si="122"/>
        <v>225280</v>
      </c>
      <c r="BP18" s="167">
        <f t="shared" si="20"/>
        <v>0.64</v>
      </c>
      <c r="BR18" s="543" t="s">
        <v>31</v>
      </c>
      <c r="BS18" s="544"/>
      <c r="BT18" s="137">
        <f t="shared" ref="BT18:CE18" si="129">SUM(BT19:BT29)</f>
        <v>18560</v>
      </c>
      <c r="BU18" s="137">
        <f t="shared" si="129"/>
        <v>18560</v>
      </c>
      <c r="BV18" s="137">
        <f t="shared" si="129"/>
        <v>18560</v>
      </c>
      <c r="BW18" s="137">
        <f t="shared" si="129"/>
        <v>18560</v>
      </c>
      <c r="BX18" s="137">
        <f t="shared" si="129"/>
        <v>18560</v>
      </c>
      <c r="BY18" s="137">
        <f t="shared" si="129"/>
        <v>17920</v>
      </c>
      <c r="BZ18" s="137">
        <f t="shared" si="129"/>
        <v>18560</v>
      </c>
      <c r="CA18" s="137">
        <f t="shared" si="129"/>
        <v>19200</v>
      </c>
      <c r="CB18" s="137">
        <f t="shared" si="129"/>
        <v>19200</v>
      </c>
      <c r="CC18" s="137">
        <f t="shared" si="129"/>
        <v>19200</v>
      </c>
      <c r="CD18" s="137">
        <f t="shared" si="129"/>
        <v>19200</v>
      </c>
      <c r="CE18" s="137">
        <f t="shared" si="129"/>
        <v>19200</v>
      </c>
      <c r="CF18" s="137">
        <f t="shared" si="123"/>
        <v>225280</v>
      </c>
      <c r="CG18" s="167">
        <f t="shared" si="22"/>
        <v>0.64</v>
      </c>
      <c r="CI18" s="543" t="s">
        <v>31</v>
      </c>
      <c r="CJ18" s="544"/>
      <c r="CK18" s="137">
        <f t="shared" ref="CK18:CV18" si="130">SUM(CK19:CK29)</f>
        <v>0</v>
      </c>
      <c r="CL18" s="137">
        <f t="shared" si="130"/>
        <v>0</v>
      </c>
      <c r="CM18" s="137">
        <f t="shared" si="130"/>
        <v>0</v>
      </c>
      <c r="CN18" s="137">
        <f t="shared" si="130"/>
        <v>0</v>
      </c>
      <c r="CO18" s="137">
        <f t="shared" si="130"/>
        <v>0</v>
      </c>
      <c r="CP18" s="137">
        <f t="shared" si="130"/>
        <v>0</v>
      </c>
      <c r="CQ18" s="137">
        <f t="shared" si="130"/>
        <v>0</v>
      </c>
      <c r="CR18" s="137">
        <f t="shared" si="130"/>
        <v>0</v>
      </c>
      <c r="CS18" s="137">
        <f t="shared" si="130"/>
        <v>0</v>
      </c>
      <c r="CT18" s="137">
        <f t="shared" si="130"/>
        <v>0</v>
      </c>
      <c r="CU18" s="137">
        <f t="shared" si="130"/>
        <v>0</v>
      </c>
      <c r="CV18" s="137">
        <f t="shared" si="130"/>
        <v>0</v>
      </c>
      <c r="CW18" s="137">
        <f t="shared" si="124"/>
        <v>0</v>
      </c>
      <c r="CX18" s="167" t="str">
        <f t="shared" si="23"/>
        <v/>
      </c>
      <c r="CZ18" s="543" t="s">
        <v>31</v>
      </c>
      <c r="DA18" s="544"/>
      <c r="DB18" s="137">
        <f t="shared" ref="DB18:DM18" si="131">SUM(DB19:DB29)</f>
        <v>0</v>
      </c>
      <c r="DC18" s="137">
        <f t="shared" si="131"/>
        <v>0</v>
      </c>
      <c r="DD18" s="137">
        <f t="shared" si="131"/>
        <v>0</v>
      </c>
      <c r="DE18" s="137">
        <f t="shared" si="131"/>
        <v>0</v>
      </c>
      <c r="DF18" s="137">
        <f t="shared" si="131"/>
        <v>0</v>
      </c>
      <c r="DG18" s="137">
        <f t="shared" si="131"/>
        <v>0</v>
      </c>
      <c r="DH18" s="137">
        <f t="shared" si="131"/>
        <v>0</v>
      </c>
      <c r="DI18" s="137">
        <f t="shared" si="131"/>
        <v>0</v>
      </c>
      <c r="DJ18" s="137">
        <f t="shared" si="131"/>
        <v>0</v>
      </c>
      <c r="DK18" s="137">
        <f t="shared" si="131"/>
        <v>0</v>
      </c>
      <c r="DL18" s="137">
        <f t="shared" si="131"/>
        <v>0</v>
      </c>
      <c r="DM18" s="137">
        <f t="shared" si="131"/>
        <v>0</v>
      </c>
      <c r="DN18" s="137">
        <f>SUM(DB18:DM18)</f>
        <v>0</v>
      </c>
      <c r="DO18" s="167" t="str">
        <f t="shared" si="24"/>
        <v/>
      </c>
      <c r="DQ18" s="543" t="s">
        <v>31</v>
      </c>
      <c r="DR18" s="544"/>
      <c r="DS18" s="137">
        <f t="shared" ref="DS18:ED18" si="132">SUM(DS19:DS29)</f>
        <v>0</v>
      </c>
      <c r="DT18" s="137">
        <f t="shared" si="132"/>
        <v>0</v>
      </c>
      <c r="DU18" s="137">
        <f t="shared" si="132"/>
        <v>0</v>
      </c>
      <c r="DV18" s="137">
        <f t="shared" si="132"/>
        <v>0</v>
      </c>
      <c r="DW18" s="137">
        <f t="shared" si="132"/>
        <v>0</v>
      </c>
      <c r="DX18" s="137">
        <f t="shared" si="132"/>
        <v>0</v>
      </c>
      <c r="DY18" s="137">
        <f t="shared" si="132"/>
        <v>0</v>
      </c>
      <c r="DZ18" s="137">
        <f t="shared" si="132"/>
        <v>0</v>
      </c>
      <c r="EA18" s="137">
        <f t="shared" si="132"/>
        <v>0</v>
      </c>
      <c r="EB18" s="137">
        <f t="shared" si="132"/>
        <v>0</v>
      </c>
      <c r="EC18" s="137">
        <f t="shared" si="132"/>
        <v>0</v>
      </c>
      <c r="ED18" s="137">
        <f t="shared" si="132"/>
        <v>0</v>
      </c>
      <c r="EE18" s="137">
        <f>SUM(DS18:ED18)</f>
        <v>0</v>
      </c>
      <c r="EF18" s="167" t="str">
        <f t="shared" si="25"/>
        <v/>
      </c>
      <c r="EH18" s="543" t="s">
        <v>31</v>
      </c>
      <c r="EI18" s="544"/>
      <c r="EJ18" s="137">
        <f t="shared" ref="EJ18:EU18" si="133">SUM(EJ19:EJ29)</f>
        <v>0</v>
      </c>
      <c r="EK18" s="137">
        <f t="shared" si="133"/>
        <v>0</v>
      </c>
      <c r="EL18" s="137">
        <f t="shared" si="133"/>
        <v>0</v>
      </c>
      <c r="EM18" s="137">
        <f t="shared" si="133"/>
        <v>0</v>
      </c>
      <c r="EN18" s="137">
        <f t="shared" si="133"/>
        <v>0</v>
      </c>
      <c r="EO18" s="137">
        <f t="shared" si="133"/>
        <v>0</v>
      </c>
      <c r="EP18" s="137">
        <f t="shared" si="133"/>
        <v>0</v>
      </c>
      <c r="EQ18" s="137">
        <f t="shared" si="133"/>
        <v>0</v>
      </c>
      <c r="ER18" s="137">
        <f t="shared" si="133"/>
        <v>0</v>
      </c>
      <c r="ES18" s="137">
        <f t="shared" si="133"/>
        <v>0</v>
      </c>
      <c r="ET18" s="137">
        <f t="shared" si="133"/>
        <v>0</v>
      </c>
      <c r="EU18" s="137">
        <f t="shared" si="133"/>
        <v>0</v>
      </c>
      <c r="EV18" s="137">
        <f>SUM(EJ18:EU18)</f>
        <v>0</v>
      </c>
      <c r="EW18" s="167" t="str">
        <f t="shared" si="27"/>
        <v/>
      </c>
      <c r="EY18" s="543" t="s">
        <v>31</v>
      </c>
      <c r="EZ18" s="544"/>
      <c r="FA18" s="137">
        <f t="shared" ref="FA18:FL18" si="134">SUM(FA19:FA29)</f>
        <v>0</v>
      </c>
      <c r="FB18" s="137">
        <f t="shared" si="134"/>
        <v>0</v>
      </c>
      <c r="FC18" s="137">
        <f t="shared" si="134"/>
        <v>0</v>
      </c>
      <c r="FD18" s="137">
        <f t="shared" si="134"/>
        <v>0</v>
      </c>
      <c r="FE18" s="137">
        <f t="shared" si="134"/>
        <v>0</v>
      </c>
      <c r="FF18" s="137">
        <f t="shared" si="134"/>
        <v>0</v>
      </c>
      <c r="FG18" s="137">
        <f t="shared" si="134"/>
        <v>0</v>
      </c>
      <c r="FH18" s="137">
        <f t="shared" si="134"/>
        <v>0</v>
      </c>
      <c r="FI18" s="137">
        <f t="shared" si="134"/>
        <v>0</v>
      </c>
      <c r="FJ18" s="137">
        <f t="shared" si="134"/>
        <v>0</v>
      </c>
      <c r="FK18" s="137">
        <f t="shared" si="134"/>
        <v>0</v>
      </c>
      <c r="FL18" s="137">
        <f t="shared" si="134"/>
        <v>0</v>
      </c>
      <c r="FM18" s="137">
        <f>SUM(FA18:FL18)</f>
        <v>0</v>
      </c>
      <c r="FN18" s="167" t="str">
        <f t="shared" si="29"/>
        <v/>
      </c>
    </row>
    <row r="19" spans="2:170" s="155" customFormat="1" ht="10.5" customHeight="1">
      <c r="B19" s="577"/>
      <c r="C19" s="2" t="s">
        <v>496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>
        <f t="shared" si="11"/>
        <v>0</v>
      </c>
      <c r="Q19" s="166"/>
      <c r="R19" s="531"/>
      <c r="S19" s="577"/>
      <c r="T19" s="2" t="str">
        <f t="shared" ref="T19:T29" si="135">IF(C19="","",C19)</f>
        <v>作業原価</v>
      </c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>
        <f t="shared" ref="AG19:AG29" si="136">SUM(U19:AF19)</f>
        <v>0</v>
      </c>
      <c r="AH19" s="166">
        <v>0.27</v>
      </c>
      <c r="AJ19" s="577"/>
      <c r="AK19" s="2" t="str">
        <f t="shared" ref="AK19:AK29" si="137">IF(T19="","",T19)</f>
        <v>作業原価</v>
      </c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>
        <f t="shared" ref="AX19:AX29" si="138">SUM(AL19:AW19)</f>
        <v>0</v>
      </c>
      <c r="AY19" s="166">
        <v>0.27</v>
      </c>
      <c r="BA19" s="577"/>
      <c r="BB19" s="2" t="str">
        <f>AK19</f>
        <v>作業原価</v>
      </c>
      <c r="BC19" s="2">
        <f t="shared" ref="BC19:BN19" si="139">BC4*0.25</f>
        <v>7250</v>
      </c>
      <c r="BD19" s="2">
        <f t="shared" si="139"/>
        <v>7250</v>
      </c>
      <c r="BE19" s="2">
        <f t="shared" si="139"/>
        <v>7250</v>
      </c>
      <c r="BF19" s="2">
        <f t="shared" si="139"/>
        <v>7250</v>
      </c>
      <c r="BG19" s="2">
        <f t="shared" si="139"/>
        <v>7250</v>
      </c>
      <c r="BH19" s="2">
        <f t="shared" si="139"/>
        <v>7000</v>
      </c>
      <c r="BI19" s="2">
        <f t="shared" si="139"/>
        <v>7250</v>
      </c>
      <c r="BJ19" s="2">
        <f t="shared" si="139"/>
        <v>7500</v>
      </c>
      <c r="BK19" s="2">
        <f t="shared" si="139"/>
        <v>7500</v>
      </c>
      <c r="BL19" s="2">
        <f t="shared" si="139"/>
        <v>7500</v>
      </c>
      <c r="BM19" s="2">
        <f t="shared" si="139"/>
        <v>7500</v>
      </c>
      <c r="BN19" s="2">
        <f t="shared" si="139"/>
        <v>7500</v>
      </c>
      <c r="BO19" s="2">
        <f t="shared" si="122"/>
        <v>88000</v>
      </c>
      <c r="BP19" s="166">
        <f t="shared" si="20"/>
        <v>0.25</v>
      </c>
      <c r="BR19" s="577"/>
      <c r="BS19" s="2" t="str">
        <f>BB19</f>
        <v>作業原価</v>
      </c>
      <c r="BT19" s="2">
        <f t="shared" ref="BT19:CE19" si="140">BT4*0.25</f>
        <v>7250</v>
      </c>
      <c r="BU19" s="2">
        <f t="shared" si="140"/>
        <v>7250</v>
      </c>
      <c r="BV19" s="2">
        <f t="shared" si="140"/>
        <v>7250</v>
      </c>
      <c r="BW19" s="2">
        <f t="shared" si="140"/>
        <v>7250</v>
      </c>
      <c r="BX19" s="2">
        <f t="shared" si="140"/>
        <v>7250</v>
      </c>
      <c r="BY19" s="2">
        <f t="shared" si="140"/>
        <v>7000</v>
      </c>
      <c r="BZ19" s="2">
        <f t="shared" si="140"/>
        <v>7250</v>
      </c>
      <c r="CA19" s="2">
        <f t="shared" si="140"/>
        <v>7500</v>
      </c>
      <c r="CB19" s="2">
        <f t="shared" si="140"/>
        <v>7500</v>
      </c>
      <c r="CC19" s="2">
        <f t="shared" si="140"/>
        <v>7500</v>
      </c>
      <c r="CD19" s="2">
        <f t="shared" si="140"/>
        <v>7500</v>
      </c>
      <c r="CE19" s="2">
        <f t="shared" si="140"/>
        <v>7500</v>
      </c>
      <c r="CF19" s="2">
        <f t="shared" si="123"/>
        <v>88000</v>
      </c>
      <c r="CG19" s="166">
        <f t="shared" si="22"/>
        <v>0.25</v>
      </c>
      <c r="CI19" s="577"/>
      <c r="CJ19" s="2" t="str">
        <f>BS19</f>
        <v>作業原価</v>
      </c>
      <c r="CK19" s="2">
        <f t="shared" ref="CK19:CV19" si="141">CK4*0.25</f>
        <v>0</v>
      </c>
      <c r="CL19" s="2">
        <f t="shared" si="141"/>
        <v>0</v>
      </c>
      <c r="CM19" s="2">
        <f t="shared" si="141"/>
        <v>0</v>
      </c>
      <c r="CN19" s="2">
        <f t="shared" si="141"/>
        <v>0</v>
      </c>
      <c r="CO19" s="2">
        <f t="shared" si="141"/>
        <v>0</v>
      </c>
      <c r="CP19" s="2">
        <f t="shared" si="141"/>
        <v>0</v>
      </c>
      <c r="CQ19" s="2">
        <f t="shared" si="141"/>
        <v>0</v>
      </c>
      <c r="CR19" s="2">
        <f t="shared" si="141"/>
        <v>0</v>
      </c>
      <c r="CS19" s="2">
        <f t="shared" si="141"/>
        <v>0</v>
      </c>
      <c r="CT19" s="2">
        <f t="shared" si="141"/>
        <v>0</v>
      </c>
      <c r="CU19" s="2">
        <f t="shared" si="141"/>
        <v>0</v>
      </c>
      <c r="CV19" s="2">
        <f t="shared" si="141"/>
        <v>0</v>
      </c>
      <c r="CW19" s="2">
        <f t="shared" si="124"/>
        <v>0</v>
      </c>
      <c r="CX19" s="166" t="str">
        <f t="shared" si="23"/>
        <v/>
      </c>
      <c r="CZ19" s="577"/>
      <c r="DA19" s="2" t="str">
        <f>CJ19</f>
        <v>作業原価</v>
      </c>
      <c r="DB19" s="2">
        <f t="shared" ref="DB19:DM19" si="142">DB4*0.25</f>
        <v>0</v>
      </c>
      <c r="DC19" s="2">
        <f t="shared" si="142"/>
        <v>0</v>
      </c>
      <c r="DD19" s="2">
        <f t="shared" si="142"/>
        <v>0</v>
      </c>
      <c r="DE19" s="2">
        <f t="shared" si="142"/>
        <v>0</v>
      </c>
      <c r="DF19" s="2">
        <f t="shared" si="142"/>
        <v>0</v>
      </c>
      <c r="DG19" s="2">
        <f t="shared" si="142"/>
        <v>0</v>
      </c>
      <c r="DH19" s="2">
        <f t="shared" si="142"/>
        <v>0</v>
      </c>
      <c r="DI19" s="2">
        <f t="shared" si="142"/>
        <v>0</v>
      </c>
      <c r="DJ19" s="2">
        <f t="shared" si="142"/>
        <v>0</v>
      </c>
      <c r="DK19" s="2">
        <f t="shared" si="142"/>
        <v>0</v>
      </c>
      <c r="DL19" s="2">
        <f t="shared" si="142"/>
        <v>0</v>
      </c>
      <c r="DM19" s="2">
        <f t="shared" si="142"/>
        <v>0</v>
      </c>
      <c r="DN19" s="2">
        <f>SUM(DB19:DM19)</f>
        <v>0</v>
      </c>
      <c r="DO19" s="166" t="str">
        <f t="shared" si="24"/>
        <v/>
      </c>
      <c r="DQ19" s="577"/>
      <c r="DR19" s="2" t="str">
        <f>DA19</f>
        <v>作業原価</v>
      </c>
      <c r="DS19" s="2">
        <f t="shared" ref="DS19:ED19" si="143">DS4*0.25</f>
        <v>0</v>
      </c>
      <c r="DT19" s="2">
        <f t="shared" si="143"/>
        <v>0</v>
      </c>
      <c r="DU19" s="2">
        <f t="shared" si="143"/>
        <v>0</v>
      </c>
      <c r="DV19" s="2">
        <f t="shared" si="143"/>
        <v>0</v>
      </c>
      <c r="DW19" s="2">
        <f t="shared" si="143"/>
        <v>0</v>
      </c>
      <c r="DX19" s="2">
        <f t="shared" si="143"/>
        <v>0</v>
      </c>
      <c r="DY19" s="2">
        <f t="shared" si="143"/>
        <v>0</v>
      </c>
      <c r="DZ19" s="2">
        <f t="shared" si="143"/>
        <v>0</v>
      </c>
      <c r="EA19" s="2">
        <f t="shared" si="143"/>
        <v>0</v>
      </c>
      <c r="EB19" s="2">
        <f t="shared" si="143"/>
        <v>0</v>
      </c>
      <c r="EC19" s="2">
        <f t="shared" si="143"/>
        <v>0</v>
      </c>
      <c r="ED19" s="2">
        <f t="shared" si="143"/>
        <v>0</v>
      </c>
      <c r="EE19" s="2">
        <f>SUM(DS19:ED19)</f>
        <v>0</v>
      </c>
      <c r="EF19" s="166" t="str">
        <f t="shared" si="25"/>
        <v/>
      </c>
      <c r="EH19" s="577"/>
      <c r="EI19" s="2" t="str">
        <f>DR19</f>
        <v>作業原価</v>
      </c>
      <c r="EJ19" s="2">
        <f t="shared" ref="EJ19:EU19" si="144">EJ4*0.25</f>
        <v>0</v>
      </c>
      <c r="EK19" s="2">
        <f t="shared" si="144"/>
        <v>0</v>
      </c>
      <c r="EL19" s="2">
        <f t="shared" si="144"/>
        <v>0</v>
      </c>
      <c r="EM19" s="2">
        <f t="shared" si="144"/>
        <v>0</v>
      </c>
      <c r="EN19" s="2">
        <f t="shared" si="144"/>
        <v>0</v>
      </c>
      <c r="EO19" s="2">
        <f t="shared" si="144"/>
        <v>0</v>
      </c>
      <c r="EP19" s="2">
        <f t="shared" si="144"/>
        <v>0</v>
      </c>
      <c r="EQ19" s="2">
        <f t="shared" si="144"/>
        <v>0</v>
      </c>
      <c r="ER19" s="2">
        <f t="shared" si="144"/>
        <v>0</v>
      </c>
      <c r="ES19" s="2">
        <f t="shared" si="144"/>
        <v>0</v>
      </c>
      <c r="ET19" s="2">
        <f t="shared" si="144"/>
        <v>0</v>
      </c>
      <c r="EU19" s="2">
        <f t="shared" si="144"/>
        <v>0</v>
      </c>
      <c r="EV19" s="2">
        <f>SUM(EJ19:EU19)</f>
        <v>0</v>
      </c>
      <c r="EW19" s="166" t="str">
        <f t="shared" si="27"/>
        <v/>
      </c>
      <c r="EY19" s="577"/>
      <c r="EZ19" s="2" t="str">
        <f>EI19</f>
        <v>作業原価</v>
      </c>
      <c r="FA19" s="2">
        <f t="shared" ref="FA19:FL19" si="145">FA4*0.25</f>
        <v>0</v>
      </c>
      <c r="FB19" s="2">
        <f t="shared" si="145"/>
        <v>0</v>
      </c>
      <c r="FC19" s="2">
        <f t="shared" si="145"/>
        <v>0</v>
      </c>
      <c r="FD19" s="2">
        <f t="shared" si="145"/>
        <v>0</v>
      </c>
      <c r="FE19" s="2">
        <f t="shared" si="145"/>
        <v>0</v>
      </c>
      <c r="FF19" s="2">
        <f t="shared" si="145"/>
        <v>0</v>
      </c>
      <c r="FG19" s="2">
        <f t="shared" si="145"/>
        <v>0</v>
      </c>
      <c r="FH19" s="2">
        <f t="shared" si="145"/>
        <v>0</v>
      </c>
      <c r="FI19" s="2">
        <f t="shared" si="145"/>
        <v>0</v>
      </c>
      <c r="FJ19" s="2">
        <f t="shared" si="145"/>
        <v>0</v>
      </c>
      <c r="FK19" s="2">
        <f t="shared" si="145"/>
        <v>0</v>
      </c>
      <c r="FL19" s="2">
        <f t="shared" si="145"/>
        <v>0</v>
      </c>
      <c r="FM19" s="2">
        <f>SUM(FA19:FL19)</f>
        <v>0</v>
      </c>
      <c r="FN19" s="166" t="str">
        <f t="shared" si="29"/>
        <v/>
      </c>
    </row>
    <row r="20" spans="2:170" s="155" customFormat="1" ht="10.5" customHeight="1">
      <c r="B20" s="577"/>
      <c r="C20" s="2" t="s">
        <v>497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>
        <f t="shared" si="11"/>
        <v>0</v>
      </c>
      <c r="Q20" s="166"/>
      <c r="R20" s="531"/>
      <c r="S20" s="577"/>
      <c r="T20" s="2" t="str">
        <f t="shared" si="135"/>
        <v>利用者工賃</v>
      </c>
      <c r="U20" s="2">
        <f>U5*10000*0.8</f>
        <v>80000</v>
      </c>
      <c r="V20" s="2">
        <f>V5*10000*0.8</f>
        <v>88000</v>
      </c>
      <c r="W20" s="2">
        <f t="shared" ref="W20:AF20" si="146">W5*20000*0.8</f>
        <v>176000</v>
      </c>
      <c r="X20" s="2">
        <f t="shared" si="146"/>
        <v>192000</v>
      </c>
      <c r="Y20" s="2">
        <f t="shared" si="146"/>
        <v>192000</v>
      </c>
      <c r="Z20" s="2">
        <f t="shared" si="146"/>
        <v>208000</v>
      </c>
      <c r="AA20" s="2">
        <f t="shared" si="146"/>
        <v>208000</v>
      </c>
      <c r="AB20" s="2">
        <f t="shared" si="146"/>
        <v>224000</v>
      </c>
      <c r="AC20" s="2">
        <f t="shared" si="146"/>
        <v>224000</v>
      </c>
      <c r="AD20" s="2">
        <f t="shared" si="146"/>
        <v>240000</v>
      </c>
      <c r="AE20" s="2">
        <f t="shared" si="146"/>
        <v>240000</v>
      </c>
      <c r="AF20" s="2">
        <f t="shared" si="146"/>
        <v>256000</v>
      </c>
      <c r="AG20" s="2">
        <f t="shared" si="136"/>
        <v>2328000</v>
      </c>
      <c r="AH20" s="166">
        <v>0.31</v>
      </c>
      <c r="AJ20" s="577"/>
      <c r="AK20" s="2" t="str">
        <f t="shared" si="137"/>
        <v>利用者工賃</v>
      </c>
      <c r="AL20" s="2">
        <f>AL5*20000*0.8</f>
        <v>160000</v>
      </c>
      <c r="AM20" s="2">
        <f t="shared" ref="AM20:AW20" si="147">AM5*20000*0.8</f>
        <v>176000</v>
      </c>
      <c r="AN20" s="2">
        <f t="shared" si="147"/>
        <v>176000</v>
      </c>
      <c r="AO20" s="2">
        <f t="shared" si="147"/>
        <v>192000</v>
      </c>
      <c r="AP20" s="2">
        <f t="shared" si="147"/>
        <v>192000</v>
      </c>
      <c r="AQ20" s="2">
        <f t="shared" si="147"/>
        <v>208000</v>
      </c>
      <c r="AR20" s="2">
        <f t="shared" si="147"/>
        <v>208000</v>
      </c>
      <c r="AS20" s="2">
        <f t="shared" si="147"/>
        <v>224000</v>
      </c>
      <c r="AT20" s="2">
        <f t="shared" si="147"/>
        <v>224000</v>
      </c>
      <c r="AU20" s="2">
        <f t="shared" si="147"/>
        <v>240000</v>
      </c>
      <c r="AV20" s="2">
        <f t="shared" si="147"/>
        <v>240000</v>
      </c>
      <c r="AW20" s="2">
        <f t="shared" si="147"/>
        <v>256000</v>
      </c>
      <c r="AX20" s="2">
        <f t="shared" si="138"/>
        <v>2496000</v>
      </c>
      <c r="AY20" s="166">
        <v>0.31</v>
      </c>
      <c r="BA20" s="577"/>
      <c r="BB20" s="2" t="str">
        <f>AK20</f>
        <v>利用者工賃</v>
      </c>
      <c r="BC20" s="2">
        <f t="shared" ref="BC20:BN20" si="148">BC4*0.3</f>
        <v>8700</v>
      </c>
      <c r="BD20" s="2">
        <f t="shared" si="148"/>
        <v>8700</v>
      </c>
      <c r="BE20" s="2">
        <f t="shared" si="148"/>
        <v>8700</v>
      </c>
      <c r="BF20" s="2">
        <f t="shared" si="148"/>
        <v>8700</v>
      </c>
      <c r="BG20" s="2">
        <f t="shared" si="148"/>
        <v>8700</v>
      </c>
      <c r="BH20" s="2">
        <f t="shared" si="148"/>
        <v>8400</v>
      </c>
      <c r="BI20" s="2">
        <f t="shared" si="148"/>
        <v>8700</v>
      </c>
      <c r="BJ20" s="2">
        <f t="shared" si="148"/>
        <v>9000</v>
      </c>
      <c r="BK20" s="2">
        <f t="shared" si="148"/>
        <v>9000</v>
      </c>
      <c r="BL20" s="2">
        <f t="shared" si="148"/>
        <v>9000</v>
      </c>
      <c r="BM20" s="2">
        <f t="shared" si="148"/>
        <v>9000</v>
      </c>
      <c r="BN20" s="2">
        <f t="shared" si="148"/>
        <v>9000</v>
      </c>
      <c r="BO20" s="2">
        <f t="shared" si="122"/>
        <v>105600</v>
      </c>
      <c r="BP20" s="166">
        <f t="shared" si="20"/>
        <v>0.3</v>
      </c>
      <c r="BR20" s="577"/>
      <c r="BS20" s="2" t="str">
        <f>BB20</f>
        <v>利用者工賃</v>
      </c>
      <c r="BT20" s="2">
        <f t="shared" ref="BT20:CE20" si="149">BT4*0.3</f>
        <v>8700</v>
      </c>
      <c r="BU20" s="2">
        <f t="shared" si="149"/>
        <v>8700</v>
      </c>
      <c r="BV20" s="2">
        <f t="shared" si="149"/>
        <v>8700</v>
      </c>
      <c r="BW20" s="2">
        <f t="shared" si="149"/>
        <v>8700</v>
      </c>
      <c r="BX20" s="2">
        <f t="shared" si="149"/>
        <v>8700</v>
      </c>
      <c r="BY20" s="2">
        <f t="shared" si="149"/>
        <v>8400</v>
      </c>
      <c r="BZ20" s="2">
        <f t="shared" si="149"/>
        <v>8700</v>
      </c>
      <c r="CA20" s="2">
        <f t="shared" si="149"/>
        <v>9000</v>
      </c>
      <c r="CB20" s="2">
        <f t="shared" si="149"/>
        <v>9000</v>
      </c>
      <c r="CC20" s="2">
        <f t="shared" si="149"/>
        <v>9000</v>
      </c>
      <c r="CD20" s="2">
        <f t="shared" si="149"/>
        <v>9000</v>
      </c>
      <c r="CE20" s="2">
        <f t="shared" si="149"/>
        <v>9000</v>
      </c>
      <c r="CF20" s="2">
        <f t="shared" si="123"/>
        <v>105600</v>
      </c>
      <c r="CG20" s="166">
        <f t="shared" si="22"/>
        <v>0.3</v>
      </c>
      <c r="CI20" s="577"/>
      <c r="CJ20" s="2" t="str">
        <f>BS20</f>
        <v>利用者工賃</v>
      </c>
      <c r="CK20" s="2">
        <f t="shared" ref="CK20:CV20" si="150">CK4*0.3</f>
        <v>0</v>
      </c>
      <c r="CL20" s="2">
        <f t="shared" si="150"/>
        <v>0</v>
      </c>
      <c r="CM20" s="2">
        <f t="shared" si="150"/>
        <v>0</v>
      </c>
      <c r="CN20" s="2">
        <f t="shared" si="150"/>
        <v>0</v>
      </c>
      <c r="CO20" s="2">
        <f t="shared" si="150"/>
        <v>0</v>
      </c>
      <c r="CP20" s="2">
        <f t="shared" si="150"/>
        <v>0</v>
      </c>
      <c r="CQ20" s="2">
        <f t="shared" si="150"/>
        <v>0</v>
      </c>
      <c r="CR20" s="2">
        <f t="shared" si="150"/>
        <v>0</v>
      </c>
      <c r="CS20" s="2">
        <f t="shared" si="150"/>
        <v>0</v>
      </c>
      <c r="CT20" s="2">
        <f t="shared" si="150"/>
        <v>0</v>
      </c>
      <c r="CU20" s="2">
        <f t="shared" si="150"/>
        <v>0</v>
      </c>
      <c r="CV20" s="2">
        <f t="shared" si="150"/>
        <v>0</v>
      </c>
      <c r="CW20" s="2">
        <f t="shared" si="124"/>
        <v>0</v>
      </c>
      <c r="CX20" s="166" t="str">
        <f t="shared" si="23"/>
        <v/>
      </c>
      <c r="CZ20" s="577"/>
      <c r="DA20" s="2" t="str">
        <f>CJ20</f>
        <v>利用者工賃</v>
      </c>
      <c r="DB20" s="2">
        <f t="shared" ref="DB20:DM20" si="151">DB4*0.3</f>
        <v>0</v>
      </c>
      <c r="DC20" s="2">
        <f t="shared" si="151"/>
        <v>0</v>
      </c>
      <c r="DD20" s="2">
        <f t="shared" si="151"/>
        <v>0</v>
      </c>
      <c r="DE20" s="2">
        <f t="shared" si="151"/>
        <v>0</v>
      </c>
      <c r="DF20" s="2">
        <f t="shared" si="151"/>
        <v>0</v>
      </c>
      <c r="DG20" s="2">
        <f t="shared" si="151"/>
        <v>0</v>
      </c>
      <c r="DH20" s="2">
        <f t="shared" si="151"/>
        <v>0</v>
      </c>
      <c r="DI20" s="2">
        <f t="shared" si="151"/>
        <v>0</v>
      </c>
      <c r="DJ20" s="2">
        <f t="shared" si="151"/>
        <v>0</v>
      </c>
      <c r="DK20" s="2">
        <f t="shared" si="151"/>
        <v>0</v>
      </c>
      <c r="DL20" s="2">
        <f t="shared" si="151"/>
        <v>0</v>
      </c>
      <c r="DM20" s="2">
        <f t="shared" si="151"/>
        <v>0</v>
      </c>
      <c r="DN20" s="2">
        <f>SUM(DB20:DM20)</f>
        <v>0</v>
      </c>
      <c r="DO20" s="166" t="str">
        <f t="shared" si="24"/>
        <v/>
      </c>
      <c r="DQ20" s="577"/>
      <c r="DR20" s="2" t="str">
        <f>DA20</f>
        <v>利用者工賃</v>
      </c>
      <c r="DS20" s="2">
        <f t="shared" ref="DS20:ED20" si="152">DS4*0.3</f>
        <v>0</v>
      </c>
      <c r="DT20" s="2">
        <f t="shared" si="152"/>
        <v>0</v>
      </c>
      <c r="DU20" s="2">
        <f t="shared" si="152"/>
        <v>0</v>
      </c>
      <c r="DV20" s="2">
        <f t="shared" si="152"/>
        <v>0</v>
      </c>
      <c r="DW20" s="2">
        <f t="shared" si="152"/>
        <v>0</v>
      </c>
      <c r="DX20" s="2">
        <f t="shared" si="152"/>
        <v>0</v>
      </c>
      <c r="DY20" s="2">
        <f t="shared" si="152"/>
        <v>0</v>
      </c>
      <c r="DZ20" s="2">
        <f t="shared" si="152"/>
        <v>0</v>
      </c>
      <c r="EA20" s="2">
        <f t="shared" si="152"/>
        <v>0</v>
      </c>
      <c r="EB20" s="2">
        <f t="shared" si="152"/>
        <v>0</v>
      </c>
      <c r="EC20" s="2">
        <f t="shared" si="152"/>
        <v>0</v>
      </c>
      <c r="ED20" s="2">
        <f t="shared" si="152"/>
        <v>0</v>
      </c>
      <c r="EE20" s="2">
        <f>SUM(DS20:ED20)</f>
        <v>0</v>
      </c>
      <c r="EF20" s="166" t="str">
        <f t="shared" si="25"/>
        <v/>
      </c>
      <c r="EH20" s="577"/>
      <c r="EI20" s="2" t="str">
        <f>DR20</f>
        <v>利用者工賃</v>
      </c>
      <c r="EJ20" s="2">
        <f t="shared" ref="EJ20:EU20" si="153">EJ4*0.3</f>
        <v>0</v>
      </c>
      <c r="EK20" s="2">
        <f t="shared" si="153"/>
        <v>0</v>
      </c>
      <c r="EL20" s="2">
        <f t="shared" si="153"/>
        <v>0</v>
      </c>
      <c r="EM20" s="2">
        <f t="shared" si="153"/>
        <v>0</v>
      </c>
      <c r="EN20" s="2">
        <f t="shared" si="153"/>
        <v>0</v>
      </c>
      <c r="EO20" s="2">
        <f t="shared" si="153"/>
        <v>0</v>
      </c>
      <c r="EP20" s="2">
        <f t="shared" si="153"/>
        <v>0</v>
      </c>
      <c r="EQ20" s="2">
        <f t="shared" si="153"/>
        <v>0</v>
      </c>
      <c r="ER20" s="2">
        <f t="shared" si="153"/>
        <v>0</v>
      </c>
      <c r="ES20" s="2">
        <f t="shared" si="153"/>
        <v>0</v>
      </c>
      <c r="ET20" s="2">
        <f t="shared" si="153"/>
        <v>0</v>
      </c>
      <c r="EU20" s="2">
        <f t="shared" si="153"/>
        <v>0</v>
      </c>
      <c r="EV20" s="2">
        <f>SUM(EJ20:EU20)</f>
        <v>0</v>
      </c>
      <c r="EW20" s="166" t="str">
        <f t="shared" si="27"/>
        <v/>
      </c>
      <c r="EY20" s="577"/>
      <c r="EZ20" s="2" t="str">
        <f>EI20</f>
        <v>利用者工賃</v>
      </c>
      <c r="FA20" s="2">
        <f t="shared" ref="FA20:FL20" si="154">FA4*0.3</f>
        <v>0</v>
      </c>
      <c r="FB20" s="2">
        <f t="shared" si="154"/>
        <v>0</v>
      </c>
      <c r="FC20" s="2">
        <f t="shared" si="154"/>
        <v>0</v>
      </c>
      <c r="FD20" s="2">
        <f t="shared" si="154"/>
        <v>0</v>
      </c>
      <c r="FE20" s="2">
        <f t="shared" si="154"/>
        <v>0</v>
      </c>
      <c r="FF20" s="2">
        <f t="shared" si="154"/>
        <v>0</v>
      </c>
      <c r="FG20" s="2">
        <f t="shared" si="154"/>
        <v>0</v>
      </c>
      <c r="FH20" s="2">
        <f t="shared" si="154"/>
        <v>0</v>
      </c>
      <c r="FI20" s="2">
        <f t="shared" si="154"/>
        <v>0</v>
      </c>
      <c r="FJ20" s="2">
        <f t="shared" si="154"/>
        <v>0</v>
      </c>
      <c r="FK20" s="2">
        <f t="shared" si="154"/>
        <v>0</v>
      </c>
      <c r="FL20" s="2">
        <f t="shared" si="154"/>
        <v>0</v>
      </c>
      <c r="FM20" s="2">
        <f>SUM(FA20:FL20)</f>
        <v>0</v>
      </c>
      <c r="FN20" s="166" t="str">
        <f t="shared" si="29"/>
        <v/>
      </c>
    </row>
    <row r="21" spans="2:170" s="155" customFormat="1" ht="10.5" customHeight="1">
      <c r="B21" s="578"/>
      <c r="C21" s="426" t="s">
        <v>498</v>
      </c>
      <c r="D21" s="426"/>
      <c r="E21" s="426"/>
      <c r="F21" s="426"/>
      <c r="G21" s="426"/>
      <c r="H21" s="426"/>
      <c r="I21" s="426"/>
      <c r="J21" s="426"/>
      <c r="K21" s="426"/>
      <c r="L21" s="426"/>
      <c r="M21" s="426"/>
      <c r="N21" s="426"/>
      <c r="O21" s="426"/>
      <c r="P21" s="426"/>
      <c r="Q21" s="427"/>
      <c r="R21" s="531"/>
      <c r="S21" s="578"/>
      <c r="T21" s="426" t="str">
        <f t="shared" si="135"/>
        <v>スタッフ給料</v>
      </c>
      <c r="U21" s="426">
        <f>Sheet2!F9</f>
        <v>410300</v>
      </c>
      <c r="V21" s="426">
        <f>U21</f>
        <v>410300</v>
      </c>
      <c r="W21" s="426">
        <f t="shared" ref="W21:AF21" si="155">V21</f>
        <v>410300</v>
      </c>
      <c r="X21" s="426">
        <f>Sheet2!F19</f>
        <v>488400</v>
      </c>
      <c r="Y21" s="426">
        <f t="shared" si="155"/>
        <v>488400</v>
      </c>
      <c r="Z21" s="426">
        <f t="shared" si="155"/>
        <v>488400</v>
      </c>
      <c r="AA21" s="426">
        <f t="shared" si="155"/>
        <v>488400</v>
      </c>
      <c r="AB21" s="426">
        <f t="shared" si="155"/>
        <v>488400</v>
      </c>
      <c r="AC21" s="426">
        <f t="shared" si="155"/>
        <v>488400</v>
      </c>
      <c r="AD21" s="426">
        <f t="shared" si="155"/>
        <v>488400</v>
      </c>
      <c r="AE21" s="426">
        <f t="shared" si="155"/>
        <v>488400</v>
      </c>
      <c r="AF21" s="426">
        <f t="shared" si="155"/>
        <v>488400</v>
      </c>
      <c r="AG21" s="2">
        <f t="shared" si="136"/>
        <v>5626500</v>
      </c>
      <c r="AH21" s="427"/>
      <c r="AJ21" s="578"/>
      <c r="AK21" s="426" t="str">
        <f t="shared" si="137"/>
        <v>スタッフ給料</v>
      </c>
      <c r="AL21" s="426">
        <f>AF21</f>
        <v>488400</v>
      </c>
      <c r="AM21" s="426">
        <f>AL21</f>
        <v>488400</v>
      </c>
      <c r="AN21" s="426">
        <f t="shared" ref="AN21:AW21" si="156">AM21</f>
        <v>488400</v>
      </c>
      <c r="AO21" s="426">
        <f t="shared" si="156"/>
        <v>488400</v>
      </c>
      <c r="AP21" s="426">
        <f t="shared" si="156"/>
        <v>488400</v>
      </c>
      <c r="AQ21" s="426">
        <f t="shared" si="156"/>
        <v>488400</v>
      </c>
      <c r="AR21" s="426">
        <f t="shared" si="156"/>
        <v>488400</v>
      </c>
      <c r="AS21" s="426">
        <f t="shared" si="156"/>
        <v>488400</v>
      </c>
      <c r="AT21" s="426">
        <f t="shared" si="156"/>
        <v>488400</v>
      </c>
      <c r="AU21" s="426">
        <f t="shared" si="156"/>
        <v>488400</v>
      </c>
      <c r="AV21" s="426">
        <f t="shared" si="156"/>
        <v>488400</v>
      </c>
      <c r="AW21" s="426">
        <f t="shared" si="156"/>
        <v>488400</v>
      </c>
      <c r="AX21" s="2">
        <f t="shared" si="138"/>
        <v>5860800</v>
      </c>
      <c r="AY21" s="427"/>
      <c r="BA21" s="578"/>
      <c r="BB21" s="426"/>
      <c r="BC21" s="426"/>
      <c r="BD21" s="426"/>
      <c r="BE21" s="426"/>
      <c r="BF21" s="426"/>
      <c r="BG21" s="426"/>
      <c r="BH21" s="426"/>
      <c r="BI21" s="426"/>
      <c r="BJ21" s="426"/>
      <c r="BK21" s="426"/>
      <c r="BL21" s="426"/>
      <c r="BM21" s="426"/>
      <c r="BN21" s="426"/>
      <c r="BO21" s="426"/>
      <c r="BP21" s="427"/>
      <c r="BR21" s="578"/>
      <c r="BS21" s="426"/>
      <c r="BT21" s="426"/>
      <c r="BU21" s="426"/>
      <c r="BV21" s="426"/>
      <c r="BW21" s="426"/>
      <c r="BX21" s="426"/>
      <c r="BY21" s="426"/>
      <c r="BZ21" s="426"/>
      <c r="CA21" s="426"/>
      <c r="CB21" s="426"/>
      <c r="CC21" s="426"/>
      <c r="CD21" s="426"/>
      <c r="CE21" s="426"/>
      <c r="CF21" s="426"/>
      <c r="CG21" s="427"/>
      <c r="CI21" s="578"/>
      <c r="CJ21" s="426"/>
      <c r="CK21" s="426"/>
      <c r="CL21" s="426"/>
      <c r="CM21" s="426"/>
      <c r="CN21" s="426"/>
      <c r="CO21" s="426"/>
      <c r="CP21" s="426"/>
      <c r="CQ21" s="426"/>
      <c r="CR21" s="426"/>
      <c r="CS21" s="426"/>
      <c r="CT21" s="426"/>
      <c r="CU21" s="426"/>
      <c r="CV21" s="426"/>
      <c r="CW21" s="426"/>
      <c r="CX21" s="427"/>
      <c r="CZ21" s="578"/>
      <c r="DA21" s="426"/>
      <c r="DB21" s="426"/>
      <c r="DC21" s="426"/>
      <c r="DD21" s="426"/>
      <c r="DE21" s="426"/>
      <c r="DF21" s="426"/>
      <c r="DG21" s="426"/>
      <c r="DH21" s="426"/>
      <c r="DI21" s="426"/>
      <c r="DJ21" s="426"/>
      <c r="DK21" s="426"/>
      <c r="DL21" s="426"/>
      <c r="DM21" s="426"/>
      <c r="DN21" s="426"/>
      <c r="DO21" s="427"/>
      <c r="DQ21" s="578"/>
      <c r="DR21" s="426"/>
      <c r="DS21" s="426"/>
      <c r="DT21" s="426"/>
      <c r="DU21" s="426"/>
      <c r="DV21" s="426"/>
      <c r="DW21" s="426"/>
      <c r="DX21" s="426"/>
      <c r="DY21" s="426"/>
      <c r="DZ21" s="426"/>
      <c r="EA21" s="426"/>
      <c r="EB21" s="426"/>
      <c r="EC21" s="426"/>
      <c r="ED21" s="426"/>
      <c r="EE21" s="426"/>
      <c r="EF21" s="427"/>
      <c r="EH21" s="578"/>
      <c r="EI21" s="426"/>
      <c r="EJ21" s="426"/>
      <c r="EK21" s="426"/>
      <c r="EL21" s="426"/>
      <c r="EM21" s="426"/>
      <c r="EN21" s="426"/>
      <c r="EO21" s="426"/>
      <c r="EP21" s="426"/>
      <c r="EQ21" s="426"/>
      <c r="ER21" s="426"/>
      <c r="ES21" s="426"/>
      <c r="ET21" s="426"/>
      <c r="EU21" s="426"/>
      <c r="EV21" s="426"/>
      <c r="EW21" s="427"/>
      <c r="EY21" s="578"/>
      <c r="EZ21" s="426"/>
      <c r="FA21" s="426"/>
      <c r="FB21" s="426"/>
      <c r="FC21" s="426"/>
      <c r="FD21" s="426"/>
      <c r="FE21" s="426"/>
      <c r="FF21" s="426"/>
      <c r="FG21" s="426"/>
      <c r="FH21" s="426"/>
      <c r="FI21" s="426"/>
      <c r="FJ21" s="426"/>
      <c r="FK21" s="426"/>
      <c r="FL21" s="426"/>
      <c r="FM21" s="426"/>
      <c r="FN21" s="427"/>
    </row>
    <row r="22" spans="2:170" s="155" customFormat="1" ht="10.5" customHeight="1">
      <c r="B22" s="578"/>
      <c r="C22" s="426" t="s">
        <v>499</v>
      </c>
      <c r="D22" s="426"/>
      <c r="E22" s="426"/>
      <c r="F22" s="426"/>
      <c r="G22" s="426"/>
      <c r="H22" s="426"/>
      <c r="I22" s="426"/>
      <c r="J22" s="426"/>
      <c r="K22" s="426"/>
      <c r="L22" s="426"/>
      <c r="M22" s="426"/>
      <c r="N22" s="426"/>
      <c r="O22" s="426"/>
      <c r="P22" s="426"/>
      <c r="Q22" s="427"/>
      <c r="R22" s="531"/>
      <c r="S22" s="578"/>
      <c r="T22" s="426" t="str">
        <f t="shared" si="135"/>
        <v>法定福利費</v>
      </c>
      <c r="U22" s="426">
        <f>Sheet2!F10</f>
        <v>2872.1</v>
      </c>
      <c r="V22" s="426">
        <f>U22</f>
        <v>2872.1</v>
      </c>
      <c r="W22" s="426">
        <f t="shared" ref="W22:AF22" si="157">V22</f>
        <v>2872.1</v>
      </c>
      <c r="X22" s="426">
        <f>Sheet2!F20</f>
        <v>3418.7999999999997</v>
      </c>
      <c r="Y22" s="426">
        <f t="shared" si="157"/>
        <v>3418.7999999999997</v>
      </c>
      <c r="Z22" s="426">
        <f t="shared" si="157"/>
        <v>3418.7999999999997</v>
      </c>
      <c r="AA22" s="426">
        <f t="shared" si="157"/>
        <v>3418.7999999999997</v>
      </c>
      <c r="AB22" s="426">
        <f t="shared" si="157"/>
        <v>3418.7999999999997</v>
      </c>
      <c r="AC22" s="426">
        <f t="shared" si="157"/>
        <v>3418.7999999999997</v>
      </c>
      <c r="AD22" s="426">
        <f t="shared" si="157"/>
        <v>3418.7999999999997</v>
      </c>
      <c r="AE22" s="426">
        <f t="shared" si="157"/>
        <v>3418.7999999999997</v>
      </c>
      <c r="AF22" s="426">
        <f t="shared" si="157"/>
        <v>3418.7999999999997</v>
      </c>
      <c r="AG22" s="2">
        <f t="shared" si="136"/>
        <v>39385.5</v>
      </c>
      <c r="AH22" s="427"/>
      <c r="AJ22" s="578"/>
      <c r="AK22" s="426" t="str">
        <f t="shared" si="137"/>
        <v>法定福利費</v>
      </c>
      <c r="AL22" s="426">
        <f>AF22</f>
        <v>3418.7999999999997</v>
      </c>
      <c r="AM22" s="426">
        <f>AL22</f>
        <v>3418.7999999999997</v>
      </c>
      <c r="AN22" s="426">
        <f t="shared" ref="AN22:AW22" si="158">AM22</f>
        <v>3418.7999999999997</v>
      </c>
      <c r="AO22" s="426">
        <f t="shared" si="158"/>
        <v>3418.7999999999997</v>
      </c>
      <c r="AP22" s="426">
        <f t="shared" si="158"/>
        <v>3418.7999999999997</v>
      </c>
      <c r="AQ22" s="426">
        <f t="shared" si="158"/>
        <v>3418.7999999999997</v>
      </c>
      <c r="AR22" s="426">
        <f t="shared" si="158"/>
        <v>3418.7999999999997</v>
      </c>
      <c r="AS22" s="426">
        <f t="shared" si="158"/>
        <v>3418.7999999999997</v>
      </c>
      <c r="AT22" s="426">
        <f t="shared" si="158"/>
        <v>3418.7999999999997</v>
      </c>
      <c r="AU22" s="426">
        <f t="shared" si="158"/>
        <v>3418.7999999999997</v>
      </c>
      <c r="AV22" s="426">
        <f t="shared" si="158"/>
        <v>3418.7999999999997</v>
      </c>
      <c r="AW22" s="426">
        <f t="shared" si="158"/>
        <v>3418.7999999999997</v>
      </c>
      <c r="AX22" s="2">
        <f t="shared" si="138"/>
        <v>41025.600000000006</v>
      </c>
      <c r="AY22" s="427"/>
      <c r="BA22" s="578"/>
      <c r="BB22" s="426"/>
      <c r="BC22" s="426"/>
      <c r="BD22" s="426"/>
      <c r="BE22" s="426"/>
      <c r="BF22" s="426"/>
      <c r="BG22" s="426"/>
      <c r="BH22" s="426"/>
      <c r="BI22" s="426"/>
      <c r="BJ22" s="426"/>
      <c r="BK22" s="426"/>
      <c r="BL22" s="426"/>
      <c r="BM22" s="426"/>
      <c r="BN22" s="426"/>
      <c r="BO22" s="426"/>
      <c r="BP22" s="427"/>
      <c r="BR22" s="578"/>
      <c r="BS22" s="426"/>
      <c r="BT22" s="426"/>
      <c r="BU22" s="426"/>
      <c r="BV22" s="426"/>
      <c r="BW22" s="426"/>
      <c r="BX22" s="426"/>
      <c r="BY22" s="426"/>
      <c r="BZ22" s="426"/>
      <c r="CA22" s="426"/>
      <c r="CB22" s="426"/>
      <c r="CC22" s="426"/>
      <c r="CD22" s="426"/>
      <c r="CE22" s="426"/>
      <c r="CF22" s="426"/>
      <c r="CG22" s="427"/>
      <c r="CI22" s="578"/>
      <c r="CJ22" s="426"/>
      <c r="CK22" s="426"/>
      <c r="CL22" s="426"/>
      <c r="CM22" s="426"/>
      <c r="CN22" s="426"/>
      <c r="CO22" s="426"/>
      <c r="CP22" s="426"/>
      <c r="CQ22" s="426"/>
      <c r="CR22" s="426"/>
      <c r="CS22" s="426"/>
      <c r="CT22" s="426"/>
      <c r="CU22" s="426"/>
      <c r="CV22" s="426"/>
      <c r="CW22" s="426"/>
      <c r="CX22" s="427"/>
      <c r="CZ22" s="578"/>
      <c r="DA22" s="426"/>
      <c r="DB22" s="426"/>
      <c r="DC22" s="426"/>
      <c r="DD22" s="426"/>
      <c r="DE22" s="426"/>
      <c r="DF22" s="426"/>
      <c r="DG22" s="426"/>
      <c r="DH22" s="426"/>
      <c r="DI22" s="426"/>
      <c r="DJ22" s="426"/>
      <c r="DK22" s="426"/>
      <c r="DL22" s="426"/>
      <c r="DM22" s="426"/>
      <c r="DN22" s="426"/>
      <c r="DO22" s="427"/>
      <c r="DQ22" s="578"/>
      <c r="DR22" s="426"/>
      <c r="DS22" s="426"/>
      <c r="DT22" s="426"/>
      <c r="DU22" s="426"/>
      <c r="DV22" s="426"/>
      <c r="DW22" s="426"/>
      <c r="DX22" s="426"/>
      <c r="DY22" s="426"/>
      <c r="DZ22" s="426"/>
      <c r="EA22" s="426"/>
      <c r="EB22" s="426"/>
      <c r="EC22" s="426"/>
      <c r="ED22" s="426"/>
      <c r="EE22" s="426"/>
      <c r="EF22" s="427"/>
      <c r="EH22" s="578"/>
      <c r="EI22" s="426"/>
      <c r="EJ22" s="426"/>
      <c r="EK22" s="426"/>
      <c r="EL22" s="426"/>
      <c r="EM22" s="426"/>
      <c r="EN22" s="426"/>
      <c r="EO22" s="426"/>
      <c r="EP22" s="426"/>
      <c r="EQ22" s="426"/>
      <c r="ER22" s="426"/>
      <c r="ES22" s="426"/>
      <c r="ET22" s="426"/>
      <c r="EU22" s="426"/>
      <c r="EV22" s="426"/>
      <c r="EW22" s="427"/>
      <c r="EY22" s="578"/>
      <c r="EZ22" s="426"/>
      <c r="FA22" s="426"/>
      <c r="FB22" s="426"/>
      <c r="FC22" s="426"/>
      <c r="FD22" s="426"/>
      <c r="FE22" s="426"/>
      <c r="FF22" s="426"/>
      <c r="FG22" s="426"/>
      <c r="FH22" s="426"/>
      <c r="FI22" s="426"/>
      <c r="FJ22" s="426"/>
      <c r="FK22" s="426"/>
      <c r="FL22" s="426"/>
      <c r="FM22" s="426"/>
      <c r="FN22" s="427"/>
    </row>
    <row r="23" spans="2:170" s="155" customFormat="1" ht="10.5" customHeight="1">
      <c r="B23" s="578"/>
      <c r="C23" s="426" t="s">
        <v>500</v>
      </c>
      <c r="D23" s="426"/>
      <c r="E23" s="426"/>
      <c r="F23" s="426"/>
      <c r="G23" s="426"/>
      <c r="H23" s="426"/>
      <c r="I23" s="426"/>
      <c r="J23" s="426"/>
      <c r="K23" s="426"/>
      <c r="L23" s="426"/>
      <c r="M23" s="426"/>
      <c r="N23" s="426"/>
      <c r="O23" s="426"/>
      <c r="P23" s="426"/>
      <c r="Q23" s="427"/>
      <c r="R23" s="531"/>
      <c r="S23" s="578"/>
      <c r="T23" s="426" t="str">
        <f t="shared" si="135"/>
        <v>家賃</v>
      </c>
      <c r="U23" s="426"/>
      <c r="V23" s="426"/>
      <c r="W23" s="426"/>
      <c r="X23" s="426"/>
      <c r="Y23" s="426"/>
      <c r="Z23" s="426">
        <v>50000</v>
      </c>
      <c r="AA23" s="426">
        <v>50000</v>
      </c>
      <c r="AB23" s="426">
        <v>50000</v>
      </c>
      <c r="AC23" s="426">
        <v>50000</v>
      </c>
      <c r="AD23" s="426">
        <v>50000</v>
      </c>
      <c r="AE23" s="426">
        <v>50000</v>
      </c>
      <c r="AF23" s="426">
        <v>50000</v>
      </c>
      <c r="AG23" s="2">
        <f t="shared" si="136"/>
        <v>350000</v>
      </c>
      <c r="AH23" s="427"/>
      <c r="AJ23" s="578"/>
      <c r="AK23" s="426" t="str">
        <f t="shared" si="137"/>
        <v>家賃</v>
      </c>
      <c r="AL23" s="426">
        <v>50000</v>
      </c>
      <c r="AM23" s="426">
        <v>50000</v>
      </c>
      <c r="AN23" s="426">
        <v>50000</v>
      </c>
      <c r="AO23" s="426">
        <v>50000</v>
      </c>
      <c r="AP23" s="426">
        <v>50000</v>
      </c>
      <c r="AQ23" s="426">
        <v>50000</v>
      </c>
      <c r="AR23" s="426">
        <v>50000</v>
      </c>
      <c r="AS23" s="426">
        <v>50000</v>
      </c>
      <c r="AT23" s="426">
        <v>50000</v>
      </c>
      <c r="AU23" s="426">
        <v>50000</v>
      </c>
      <c r="AV23" s="426">
        <v>50000</v>
      </c>
      <c r="AW23" s="426">
        <v>50000</v>
      </c>
      <c r="AX23" s="2">
        <f t="shared" si="138"/>
        <v>600000</v>
      </c>
      <c r="AY23" s="427"/>
      <c r="BA23" s="578"/>
      <c r="BB23" s="426"/>
      <c r="BC23" s="426"/>
      <c r="BD23" s="426"/>
      <c r="BE23" s="426"/>
      <c r="BF23" s="426"/>
      <c r="BG23" s="426"/>
      <c r="BH23" s="426"/>
      <c r="BI23" s="426"/>
      <c r="BJ23" s="426"/>
      <c r="BK23" s="426"/>
      <c r="BL23" s="426"/>
      <c r="BM23" s="426"/>
      <c r="BN23" s="426"/>
      <c r="BO23" s="426"/>
      <c r="BP23" s="427"/>
      <c r="BR23" s="578"/>
      <c r="BS23" s="426"/>
      <c r="BT23" s="426"/>
      <c r="BU23" s="426"/>
      <c r="BV23" s="426"/>
      <c r="BW23" s="426"/>
      <c r="BX23" s="426"/>
      <c r="BY23" s="426"/>
      <c r="BZ23" s="426"/>
      <c r="CA23" s="426"/>
      <c r="CB23" s="426"/>
      <c r="CC23" s="426"/>
      <c r="CD23" s="426"/>
      <c r="CE23" s="426"/>
      <c r="CF23" s="426"/>
      <c r="CG23" s="427"/>
      <c r="CI23" s="578"/>
      <c r="CJ23" s="426"/>
      <c r="CK23" s="426"/>
      <c r="CL23" s="426"/>
      <c r="CM23" s="426"/>
      <c r="CN23" s="426"/>
      <c r="CO23" s="426"/>
      <c r="CP23" s="426"/>
      <c r="CQ23" s="426"/>
      <c r="CR23" s="426"/>
      <c r="CS23" s="426"/>
      <c r="CT23" s="426"/>
      <c r="CU23" s="426"/>
      <c r="CV23" s="426"/>
      <c r="CW23" s="426"/>
      <c r="CX23" s="427"/>
      <c r="CZ23" s="578"/>
      <c r="DA23" s="426"/>
      <c r="DB23" s="426"/>
      <c r="DC23" s="426"/>
      <c r="DD23" s="426"/>
      <c r="DE23" s="426"/>
      <c r="DF23" s="426"/>
      <c r="DG23" s="426"/>
      <c r="DH23" s="426"/>
      <c r="DI23" s="426"/>
      <c r="DJ23" s="426"/>
      <c r="DK23" s="426"/>
      <c r="DL23" s="426"/>
      <c r="DM23" s="426"/>
      <c r="DN23" s="426"/>
      <c r="DO23" s="427"/>
      <c r="DQ23" s="578"/>
      <c r="DR23" s="426"/>
      <c r="DS23" s="426"/>
      <c r="DT23" s="426"/>
      <c r="DU23" s="426"/>
      <c r="DV23" s="426"/>
      <c r="DW23" s="426"/>
      <c r="DX23" s="426"/>
      <c r="DY23" s="426"/>
      <c r="DZ23" s="426"/>
      <c r="EA23" s="426"/>
      <c r="EB23" s="426"/>
      <c r="EC23" s="426"/>
      <c r="ED23" s="426"/>
      <c r="EE23" s="426"/>
      <c r="EF23" s="427"/>
      <c r="EH23" s="578"/>
      <c r="EI23" s="426"/>
      <c r="EJ23" s="426"/>
      <c r="EK23" s="426"/>
      <c r="EL23" s="426"/>
      <c r="EM23" s="426"/>
      <c r="EN23" s="426"/>
      <c r="EO23" s="426"/>
      <c r="EP23" s="426"/>
      <c r="EQ23" s="426"/>
      <c r="ER23" s="426"/>
      <c r="ES23" s="426"/>
      <c r="ET23" s="426"/>
      <c r="EU23" s="426"/>
      <c r="EV23" s="426"/>
      <c r="EW23" s="427"/>
      <c r="EY23" s="578"/>
      <c r="EZ23" s="426"/>
      <c r="FA23" s="426"/>
      <c r="FB23" s="426"/>
      <c r="FC23" s="426"/>
      <c r="FD23" s="426"/>
      <c r="FE23" s="426"/>
      <c r="FF23" s="426"/>
      <c r="FG23" s="426"/>
      <c r="FH23" s="426"/>
      <c r="FI23" s="426"/>
      <c r="FJ23" s="426"/>
      <c r="FK23" s="426"/>
      <c r="FL23" s="426"/>
      <c r="FM23" s="426"/>
      <c r="FN23" s="427"/>
    </row>
    <row r="24" spans="2:170" s="155" customFormat="1" ht="10.5" customHeight="1">
      <c r="B24" s="578"/>
      <c r="C24" s="426" t="s">
        <v>515</v>
      </c>
      <c r="D24" s="426"/>
      <c r="E24" s="426"/>
      <c r="F24" s="426"/>
      <c r="G24" s="426"/>
      <c r="H24" s="426"/>
      <c r="I24" s="426"/>
      <c r="J24" s="426"/>
      <c r="K24" s="426"/>
      <c r="L24" s="426"/>
      <c r="M24" s="426"/>
      <c r="N24" s="426"/>
      <c r="O24" s="426"/>
      <c r="P24" s="426"/>
      <c r="Q24" s="427"/>
      <c r="R24" s="531"/>
      <c r="S24" s="578"/>
      <c r="T24" s="426" t="str">
        <f t="shared" si="135"/>
        <v>水道光熱費・通信費</v>
      </c>
      <c r="U24" s="426">
        <v>20000</v>
      </c>
      <c r="V24" s="426">
        <f>U24</f>
        <v>20000</v>
      </c>
      <c r="W24" s="426">
        <f t="shared" ref="W24:AF24" si="159">V24</f>
        <v>20000</v>
      </c>
      <c r="X24" s="426">
        <f t="shared" si="159"/>
        <v>20000</v>
      </c>
      <c r="Y24" s="426">
        <f t="shared" si="159"/>
        <v>20000</v>
      </c>
      <c r="Z24" s="426">
        <f t="shared" si="159"/>
        <v>20000</v>
      </c>
      <c r="AA24" s="426">
        <f t="shared" si="159"/>
        <v>20000</v>
      </c>
      <c r="AB24" s="426">
        <f t="shared" si="159"/>
        <v>20000</v>
      </c>
      <c r="AC24" s="426">
        <f t="shared" si="159"/>
        <v>20000</v>
      </c>
      <c r="AD24" s="426">
        <f t="shared" si="159"/>
        <v>20000</v>
      </c>
      <c r="AE24" s="426">
        <f t="shared" si="159"/>
        <v>20000</v>
      </c>
      <c r="AF24" s="426">
        <f t="shared" si="159"/>
        <v>20000</v>
      </c>
      <c r="AG24" s="2">
        <f t="shared" si="136"/>
        <v>240000</v>
      </c>
      <c r="AH24" s="427"/>
      <c r="AJ24" s="578"/>
      <c r="AK24" s="426" t="str">
        <f t="shared" si="137"/>
        <v>水道光熱費・通信費</v>
      </c>
      <c r="AL24" s="426">
        <v>20000</v>
      </c>
      <c r="AM24" s="426">
        <f>AL24</f>
        <v>20000</v>
      </c>
      <c r="AN24" s="426">
        <f t="shared" ref="AN24:AW24" si="160">AM24</f>
        <v>20000</v>
      </c>
      <c r="AO24" s="426">
        <f t="shared" si="160"/>
        <v>20000</v>
      </c>
      <c r="AP24" s="426">
        <f t="shared" si="160"/>
        <v>20000</v>
      </c>
      <c r="AQ24" s="426">
        <f t="shared" si="160"/>
        <v>20000</v>
      </c>
      <c r="AR24" s="426">
        <f t="shared" si="160"/>
        <v>20000</v>
      </c>
      <c r="AS24" s="426">
        <f t="shared" si="160"/>
        <v>20000</v>
      </c>
      <c r="AT24" s="426">
        <f t="shared" si="160"/>
        <v>20000</v>
      </c>
      <c r="AU24" s="426">
        <f t="shared" si="160"/>
        <v>20000</v>
      </c>
      <c r="AV24" s="426">
        <f t="shared" si="160"/>
        <v>20000</v>
      </c>
      <c r="AW24" s="426">
        <f t="shared" si="160"/>
        <v>20000</v>
      </c>
      <c r="AX24" s="2">
        <f t="shared" si="138"/>
        <v>240000</v>
      </c>
      <c r="AY24" s="427"/>
      <c r="BA24" s="578"/>
      <c r="BB24" s="426"/>
      <c r="BC24" s="426"/>
      <c r="BD24" s="426"/>
      <c r="BE24" s="426"/>
      <c r="BF24" s="426"/>
      <c r="BG24" s="426"/>
      <c r="BH24" s="426"/>
      <c r="BI24" s="426"/>
      <c r="BJ24" s="426"/>
      <c r="BK24" s="426"/>
      <c r="BL24" s="426"/>
      <c r="BM24" s="426"/>
      <c r="BN24" s="426"/>
      <c r="BO24" s="426"/>
      <c r="BP24" s="427"/>
      <c r="BR24" s="578"/>
      <c r="BS24" s="426"/>
      <c r="BT24" s="426"/>
      <c r="BU24" s="426"/>
      <c r="BV24" s="426"/>
      <c r="BW24" s="426"/>
      <c r="BX24" s="426"/>
      <c r="BY24" s="426"/>
      <c r="BZ24" s="426"/>
      <c r="CA24" s="426"/>
      <c r="CB24" s="426"/>
      <c r="CC24" s="426"/>
      <c r="CD24" s="426"/>
      <c r="CE24" s="426"/>
      <c r="CF24" s="426"/>
      <c r="CG24" s="427"/>
      <c r="CI24" s="578"/>
      <c r="CJ24" s="426"/>
      <c r="CK24" s="426"/>
      <c r="CL24" s="426"/>
      <c r="CM24" s="426"/>
      <c r="CN24" s="426"/>
      <c r="CO24" s="426"/>
      <c r="CP24" s="426"/>
      <c r="CQ24" s="426"/>
      <c r="CR24" s="426"/>
      <c r="CS24" s="426"/>
      <c r="CT24" s="426"/>
      <c r="CU24" s="426"/>
      <c r="CV24" s="426"/>
      <c r="CW24" s="426"/>
      <c r="CX24" s="427"/>
      <c r="CZ24" s="578"/>
      <c r="DA24" s="426"/>
      <c r="DB24" s="426"/>
      <c r="DC24" s="426"/>
      <c r="DD24" s="426"/>
      <c r="DE24" s="426"/>
      <c r="DF24" s="426"/>
      <c r="DG24" s="426"/>
      <c r="DH24" s="426"/>
      <c r="DI24" s="426"/>
      <c r="DJ24" s="426"/>
      <c r="DK24" s="426"/>
      <c r="DL24" s="426"/>
      <c r="DM24" s="426"/>
      <c r="DN24" s="426"/>
      <c r="DO24" s="427"/>
      <c r="DQ24" s="578"/>
      <c r="DR24" s="426"/>
      <c r="DS24" s="426"/>
      <c r="DT24" s="426"/>
      <c r="DU24" s="426"/>
      <c r="DV24" s="426"/>
      <c r="DW24" s="426"/>
      <c r="DX24" s="426"/>
      <c r="DY24" s="426"/>
      <c r="DZ24" s="426"/>
      <c r="EA24" s="426"/>
      <c r="EB24" s="426"/>
      <c r="EC24" s="426"/>
      <c r="ED24" s="426"/>
      <c r="EE24" s="426"/>
      <c r="EF24" s="427"/>
      <c r="EH24" s="578"/>
      <c r="EI24" s="426"/>
      <c r="EJ24" s="426"/>
      <c r="EK24" s="426"/>
      <c r="EL24" s="426"/>
      <c r="EM24" s="426"/>
      <c r="EN24" s="426"/>
      <c r="EO24" s="426"/>
      <c r="EP24" s="426"/>
      <c r="EQ24" s="426"/>
      <c r="ER24" s="426"/>
      <c r="ES24" s="426"/>
      <c r="ET24" s="426"/>
      <c r="EU24" s="426"/>
      <c r="EV24" s="426"/>
      <c r="EW24" s="427"/>
      <c r="EY24" s="578"/>
      <c r="EZ24" s="426"/>
      <c r="FA24" s="426"/>
      <c r="FB24" s="426"/>
      <c r="FC24" s="426"/>
      <c r="FD24" s="426"/>
      <c r="FE24" s="426"/>
      <c r="FF24" s="426"/>
      <c r="FG24" s="426"/>
      <c r="FH24" s="426"/>
      <c r="FI24" s="426"/>
      <c r="FJ24" s="426"/>
      <c r="FK24" s="426"/>
      <c r="FL24" s="426"/>
      <c r="FM24" s="426"/>
      <c r="FN24" s="427"/>
    </row>
    <row r="25" spans="2:170" s="155" customFormat="1" ht="10.5" customHeight="1">
      <c r="B25" s="577"/>
      <c r="C25" s="2" t="s">
        <v>501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>
        <f t="shared" si="11"/>
        <v>0</v>
      </c>
      <c r="Q25" s="166"/>
      <c r="R25" s="531"/>
      <c r="S25" s="577"/>
      <c r="T25" s="2" t="str">
        <f t="shared" si="135"/>
        <v>燃料費</v>
      </c>
      <c r="U25" s="2">
        <v>30000</v>
      </c>
      <c r="V25" s="2">
        <f t="shared" ref="V25:AF27" si="161">U25</f>
        <v>30000</v>
      </c>
      <c r="W25" s="2">
        <f t="shared" si="161"/>
        <v>30000</v>
      </c>
      <c r="X25" s="2">
        <v>60000</v>
      </c>
      <c r="Y25" s="2">
        <f t="shared" si="161"/>
        <v>60000</v>
      </c>
      <c r="Z25" s="2">
        <f t="shared" si="161"/>
        <v>60000</v>
      </c>
      <c r="AA25" s="2">
        <f t="shared" si="161"/>
        <v>60000</v>
      </c>
      <c r="AB25" s="2">
        <f t="shared" si="161"/>
        <v>60000</v>
      </c>
      <c r="AC25" s="2">
        <f t="shared" si="161"/>
        <v>60000</v>
      </c>
      <c r="AD25" s="2">
        <f t="shared" si="161"/>
        <v>60000</v>
      </c>
      <c r="AE25" s="2">
        <f t="shared" si="161"/>
        <v>60000</v>
      </c>
      <c r="AF25" s="2">
        <f t="shared" si="161"/>
        <v>60000</v>
      </c>
      <c r="AG25" s="2">
        <f t="shared" si="136"/>
        <v>630000</v>
      </c>
      <c r="AH25" s="166">
        <v>0.03</v>
      </c>
      <c r="AJ25" s="577"/>
      <c r="AK25" s="2" t="str">
        <f t="shared" si="137"/>
        <v>燃料費</v>
      </c>
      <c r="AL25" s="2">
        <v>20000</v>
      </c>
      <c r="AM25" s="2">
        <f t="shared" ref="AM25:AW25" si="162">AL25</f>
        <v>20000</v>
      </c>
      <c r="AN25" s="2">
        <f t="shared" si="162"/>
        <v>20000</v>
      </c>
      <c r="AO25" s="2">
        <f t="shared" si="162"/>
        <v>20000</v>
      </c>
      <c r="AP25" s="2">
        <f t="shared" si="162"/>
        <v>20000</v>
      </c>
      <c r="AQ25" s="2">
        <f t="shared" si="162"/>
        <v>20000</v>
      </c>
      <c r="AR25" s="2">
        <f t="shared" si="162"/>
        <v>20000</v>
      </c>
      <c r="AS25" s="2">
        <f t="shared" si="162"/>
        <v>20000</v>
      </c>
      <c r="AT25" s="2">
        <f t="shared" si="162"/>
        <v>20000</v>
      </c>
      <c r="AU25" s="2">
        <f t="shared" si="162"/>
        <v>20000</v>
      </c>
      <c r="AV25" s="2">
        <f t="shared" si="162"/>
        <v>20000</v>
      </c>
      <c r="AW25" s="2">
        <f t="shared" si="162"/>
        <v>20000</v>
      </c>
      <c r="AX25" s="2">
        <f t="shared" si="138"/>
        <v>240000</v>
      </c>
      <c r="AY25" s="166">
        <v>0.03</v>
      </c>
      <c r="BA25" s="577"/>
      <c r="BB25" s="2" t="str">
        <f>AK25</f>
        <v>燃料費</v>
      </c>
      <c r="BC25" s="2">
        <f t="shared" ref="BC25:BN25" si="163">BC4*0.03</f>
        <v>870</v>
      </c>
      <c r="BD25" s="2">
        <f t="shared" si="163"/>
        <v>870</v>
      </c>
      <c r="BE25" s="2">
        <f t="shared" si="163"/>
        <v>870</v>
      </c>
      <c r="BF25" s="2">
        <f t="shared" si="163"/>
        <v>870</v>
      </c>
      <c r="BG25" s="2">
        <f t="shared" si="163"/>
        <v>870</v>
      </c>
      <c r="BH25" s="2">
        <f t="shared" si="163"/>
        <v>840</v>
      </c>
      <c r="BI25" s="2">
        <f t="shared" si="163"/>
        <v>870</v>
      </c>
      <c r="BJ25" s="2">
        <f t="shared" si="163"/>
        <v>900</v>
      </c>
      <c r="BK25" s="2">
        <f t="shared" si="163"/>
        <v>900</v>
      </c>
      <c r="BL25" s="2">
        <f t="shared" si="163"/>
        <v>900</v>
      </c>
      <c r="BM25" s="2">
        <f t="shared" si="163"/>
        <v>900</v>
      </c>
      <c r="BN25" s="2">
        <f t="shared" si="163"/>
        <v>900</v>
      </c>
      <c r="BO25" s="2">
        <f t="shared" si="122"/>
        <v>10560</v>
      </c>
      <c r="BP25" s="166">
        <f t="shared" si="20"/>
        <v>0.03</v>
      </c>
      <c r="BR25" s="577"/>
      <c r="BS25" s="2" t="str">
        <f>BB25</f>
        <v>燃料費</v>
      </c>
      <c r="BT25" s="2">
        <f t="shared" ref="BT25:CE25" si="164">BT4*0.03</f>
        <v>870</v>
      </c>
      <c r="BU25" s="2">
        <f t="shared" si="164"/>
        <v>870</v>
      </c>
      <c r="BV25" s="2">
        <f t="shared" si="164"/>
        <v>870</v>
      </c>
      <c r="BW25" s="2">
        <f t="shared" si="164"/>
        <v>870</v>
      </c>
      <c r="BX25" s="2">
        <f t="shared" si="164"/>
        <v>870</v>
      </c>
      <c r="BY25" s="2">
        <f t="shared" si="164"/>
        <v>840</v>
      </c>
      <c r="BZ25" s="2">
        <f t="shared" si="164"/>
        <v>870</v>
      </c>
      <c r="CA25" s="2">
        <f t="shared" si="164"/>
        <v>900</v>
      </c>
      <c r="CB25" s="2">
        <f t="shared" si="164"/>
        <v>900</v>
      </c>
      <c r="CC25" s="2">
        <f t="shared" si="164"/>
        <v>900</v>
      </c>
      <c r="CD25" s="2">
        <f t="shared" si="164"/>
        <v>900</v>
      </c>
      <c r="CE25" s="2">
        <f t="shared" si="164"/>
        <v>900</v>
      </c>
      <c r="CF25" s="2">
        <f t="shared" si="123"/>
        <v>10560</v>
      </c>
      <c r="CG25" s="166">
        <f t="shared" si="22"/>
        <v>0.03</v>
      </c>
      <c r="CI25" s="577"/>
      <c r="CJ25" s="2" t="str">
        <f>BS25</f>
        <v>燃料費</v>
      </c>
      <c r="CK25" s="2">
        <f t="shared" ref="CK25:CV25" si="165">CK4*0.03</f>
        <v>0</v>
      </c>
      <c r="CL25" s="2">
        <f t="shared" si="165"/>
        <v>0</v>
      </c>
      <c r="CM25" s="2">
        <f t="shared" si="165"/>
        <v>0</v>
      </c>
      <c r="CN25" s="2">
        <f t="shared" si="165"/>
        <v>0</v>
      </c>
      <c r="CO25" s="2">
        <f t="shared" si="165"/>
        <v>0</v>
      </c>
      <c r="CP25" s="2">
        <f t="shared" si="165"/>
        <v>0</v>
      </c>
      <c r="CQ25" s="2">
        <f t="shared" si="165"/>
        <v>0</v>
      </c>
      <c r="CR25" s="2">
        <f t="shared" si="165"/>
        <v>0</v>
      </c>
      <c r="CS25" s="2">
        <f t="shared" si="165"/>
        <v>0</v>
      </c>
      <c r="CT25" s="2">
        <f t="shared" si="165"/>
        <v>0</v>
      </c>
      <c r="CU25" s="2">
        <f t="shared" si="165"/>
        <v>0</v>
      </c>
      <c r="CV25" s="2">
        <f t="shared" si="165"/>
        <v>0</v>
      </c>
      <c r="CW25" s="2">
        <f t="shared" si="124"/>
        <v>0</v>
      </c>
      <c r="CX25" s="166" t="str">
        <f t="shared" si="23"/>
        <v/>
      </c>
      <c r="CZ25" s="577"/>
      <c r="DA25" s="2" t="str">
        <f>CJ25</f>
        <v>燃料費</v>
      </c>
      <c r="DB25" s="2">
        <f t="shared" ref="DB25:DM25" si="166">DB4*0.03</f>
        <v>0</v>
      </c>
      <c r="DC25" s="2">
        <f t="shared" si="166"/>
        <v>0</v>
      </c>
      <c r="DD25" s="2">
        <f t="shared" si="166"/>
        <v>0</v>
      </c>
      <c r="DE25" s="2">
        <f t="shared" si="166"/>
        <v>0</v>
      </c>
      <c r="DF25" s="2">
        <f t="shared" si="166"/>
        <v>0</v>
      </c>
      <c r="DG25" s="2">
        <f t="shared" si="166"/>
        <v>0</v>
      </c>
      <c r="DH25" s="2">
        <f t="shared" si="166"/>
        <v>0</v>
      </c>
      <c r="DI25" s="2">
        <f t="shared" si="166"/>
        <v>0</v>
      </c>
      <c r="DJ25" s="2">
        <f t="shared" si="166"/>
        <v>0</v>
      </c>
      <c r="DK25" s="2">
        <f t="shared" si="166"/>
        <v>0</v>
      </c>
      <c r="DL25" s="2">
        <f t="shared" si="166"/>
        <v>0</v>
      </c>
      <c r="DM25" s="2">
        <f t="shared" si="166"/>
        <v>0</v>
      </c>
      <c r="DN25" s="2">
        <f>SUM(DB25:DM25)</f>
        <v>0</v>
      </c>
      <c r="DO25" s="166" t="str">
        <f t="shared" si="24"/>
        <v/>
      </c>
      <c r="DQ25" s="577"/>
      <c r="DR25" s="2" t="str">
        <f>DA25</f>
        <v>燃料費</v>
      </c>
      <c r="DS25" s="2">
        <f t="shared" ref="DS25:ED25" si="167">DS4*0.03</f>
        <v>0</v>
      </c>
      <c r="DT25" s="2">
        <f t="shared" si="167"/>
        <v>0</v>
      </c>
      <c r="DU25" s="2">
        <f t="shared" si="167"/>
        <v>0</v>
      </c>
      <c r="DV25" s="2">
        <f t="shared" si="167"/>
        <v>0</v>
      </c>
      <c r="DW25" s="2">
        <f t="shared" si="167"/>
        <v>0</v>
      </c>
      <c r="DX25" s="2">
        <f t="shared" si="167"/>
        <v>0</v>
      </c>
      <c r="DY25" s="2">
        <f t="shared" si="167"/>
        <v>0</v>
      </c>
      <c r="DZ25" s="2">
        <f t="shared" si="167"/>
        <v>0</v>
      </c>
      <c r="EA25" s="2">
        <f t="shared" si="167"/>
        <v>0</v>
      </c>
      <c r="EB25" s="2">
        <f t="shared" si="167"/>
        <v>0</v>
      </c>
      <c r="EC25" s="2">
        <f t="shared" si="167"/>
        <v>0</v>
      </c>
      <c r="ED25" s="2">
        <f t="shared" si="167"/>
        <v>0</v>
      </c>
      <c r="EE25" s="2">
        <f>SUM(DS25:ED25)</f>
        <v>0</v>
      </c>
      <c r="EF25" s="166" t="str">
        <f t="shared" si="25"/>
        <v/>
      </c>
      <c r="EH25" s="577"/>
      <c r="EI25" s="2" t="str">
        <f>DR25</f>
        <v>燃料費</v>
      </c>
      <c r="EJ25" s="2">
        <f t="shared" ref="EJ25:EU25" si="168">EJ4*0.03</f>
        <v>0</v>
      </c>
      <c r="EK25" s="2">
        <f t="shared" si="168"/>
        <v>0</v>
      </c>
      <c r="EL25" s="2">
        <f t="shared" si="168"/>
        <v>0</v>
      </c>
      <c r="EM25" s="2">
        <f t="shared" si="168"/>
        <v>0</v>
      </c>
      <c r="EN25" s="2">
        <f t="shared" si="168"/>
        <v>0</v>
      </c>
      <c r="EO25" s="2">
        <f t="shared" si="168"/>
        <v>0</v>
      </c>
      <c r="EP25" s="2">
        <f t="shared" si="168"/>
        <v>0</v>
      </c>
      <c r="EQ25" s="2">
        <f t="shared" si="168"/>
        <v>0</v>
      </c>
      <c r="ER25" s="2">
        <f t="shared" si="168"/>
        <v>0</v>
      </c>
      <c r="ES25" s="2">
        <f t="shared" si="168"/>
        <v>0</v>
      </c>
      <c r="ET25" s="2">
        <f t="shared" si="168"/>
        <v>0</v>
      </c>
      <c r="EU25" s="2">
        <f t="shared" si="168"/>
        <v>0</v>
      </c>
      <c r="EV25" s="2">
        <f>SUM(EJ25:EU25)</f>
        <v>0</v>
      </c>
      <c r="EW25" s="166" t="str">
        <f t="shared" si="27"/>
        <v/>
      </c>
      <c r="EY25" s="577"/>
      <c r="EZ25" s="2" t="str">
        <f>EI25</f>
        <v>燃料費</v>
      </c>
      <c r="FA25" s="2">
        <f t="shared" ref="FA25:FL25" si="169">FA4*0.03</f>
        <v>0</v>
      </c>
      <c r="FB25" s="2">
        <f t="shared" si="169"/>
        <v>0</v>
      </c>
      <c r="FC25" s="2">
        <f t="shared" si="169"/>
        <v>0</v>
      </c>
      <c r="FD25" s="2">
        <f t="shared" si="169"/>
        <v>0</v>
      </c>
      <c r="FE25" s="2">
        <f t="shared" si="169"/>
        <v>0</v>
      </c>
      <c r="FF25" s="2">
        <f t="shared" si="169"/>
        <v>0</v>
      </c>
      <c r="FG25" s="2">
        <f t="shared" si="169"/>
        <v>0</v>
      </c>
      <c r="FH25" s="2">
        <f t="shared" si="169"/>
        <v>0</v>
      </c>
      <c r="FI25" s="2">
        <f t="shared" si="169"/>
        <v>0</v>
      </c>
      <c r="FJ25" s="2">
        <f t="shared" si="169"/>
        <v>0</v>
      </c>
      <c r="FK25" s="2">
        <f t="shared" si="169"/>
        <v>0</v>
      </c>
      <c r="FL25" s="2">
        <f t="shared" si="169"/>
        <v>0</v>
      </c>
      <c r="FM25" s="2">
        <f>SUM(FA25:FL25)</f>
        <v>0</v>
      </c>
      <c r="FN25" s="166" t="str">
        <f t="shared" si="29"/>
        <v/>
      </c>
    </row>
    <row r="26" spans="2:170" s="155" customFormat="1" ht="10.5" customHeight="1">
      <c r="B26" s="578"/>
      <c r="C26" s="426" t="s">
        <v>502</v>
      </c>
      <c r="D26" s="426"/>
      <c r="E26" s="426"/>
      <c r="F26" s="426"/>
      <c r="G26" s="426"/>
      <c r="H26" s="426"/>
      <c r="I26" s="426"/>
      <c r="J26" s="426"/>
      <c r="K26" s="426"/>
      <c r="L26" s="426"/>
      <c r="M26" s="426"/>
      <c r="N26" s="426"/>
      <c r="O26" s="426"/>
      <c r="P26" s="426"/>
      <c r="Q26" s="427"/>
      <c r="R26" s="531"/>
      <c r="S26" s="578"/>
      <c r="T26" s="426" t="str">
        <f t="shared" si="135"/>
        <v>会費・保険料等</v>
      </c>
      <c r="U26" s="426">
        <v>10000</v>
      </c>
      <c r="V26" s="426"/>
      <c r="W26" s="426"/>
      <c r="X26" s="426"/>
      <c r="Y26" s="426"/>
      <c r="Z26" s="426"/>
      <c r="AA26" s="426"/>
      <c r="AB26" s="426"/>
      <c r="AC26" s="426"/>
      <c r="AD26" s="426"/>
      <c r="AE26" s="426"/>
      <c r="AF26" s="426"/>
      <c r="AG26" s="2">
        <f t="shared" si="136"/>
        <v>10000</v>
      </c>
      <c r="AH26" s="427"/>
      <c r="AJ26" s="578"/>
      <c r="AK26" s="426" t="str">
        <f t="shared" si="137"/>
        <v>会費・保険料等</v>
      </c>
      <c r="AL26" s="426">
        <v>10000</v>
      </c>
      <c r="AM26" s="426"/>
      <c r="AN26" s="426"/>
      <c r="AO26" s="426"/>
      <c r="AP26" s="426"/>
      <c r="AQ26" s="426"/>
      <c r="AR26" s="426"/>
      <c r="AS26" s="426"/>
      <c r="AT26" s="426"/>
      <c r="AU26" s="426"/>
      <c r="AV26" s="426"/>
      <c r="AW26" s="426"/>
      <c r="AX26" s="2">
        <f t="shared" si="138"/>
        <v>10000</v>
      </c>
      <c r="AY26" s="427"/>
      <c r="BA26" s="578"/>
      <c r="BB26" s="426"/>
      <c r="BC26" s="426"/>
      <c r="BD26" s="426"/>
      <c r="BE26" s="426"/>
      <c r="BF26" s="426"/>
      <c r="BG26" s="426"/>
      <c r="BH26" s="426"/>
      <c r="BI26" s="426"/>
      <c r="BJ26" s="426"/>
      <c r="BK26" s="426"/>
      <c r="BL26" s="426"/>
      <c r="BM26" s="426"/>
      <c r="BN26" s="426"/>
      <c r="BO26" s="426"/>
      <c r="BP26" s="427"/>
      <c r="BR26" s="578"/>
      <c r="BS26" s="426"/>
      <c r="BT26" s="426"/>
      <c r="BU26" s="426"/>
      <c r="BV26" s="426"/>
      <c r="BW26" s="426"/>
      <c r="BX26" s="426"/>
      <c r="BY26" s="426"/>
      <c r="BZ26" s="426"/>
      <c r="CA26" s="426"/>
      <c r="CB26" s="426"/>
      <c r="CC26" s="426"/>
      <c r="CD26" s="426"/>
      <c r="CE26" s="426"/>
      <c r="CF26" s="426"/>
      <c r="CG26" s="427"/>
      <c r="CI26" s="578"/>
      <c r="CJ26" s="426"/>
      <c r="CK26" s="426"/>
      <c r="CL26" s="426"/>
      <c r="CM26" s="426"/>
      <c r="CN26" s="426"/>
      <c r="CO26" s="426"/>
      <c r="CP26" s="426"/>
      <c r="CQ26" s="426"/>
      <c r="CR26" s="426"/>
      <c r="CS26" s="426"/>
      <c r="CT26" s="426"/>
      <c r="CU26" s="426"/>
      <c r="CV26" s="426"/>
      <c r="CW26" s="426"/>
      <c r="CX26" s="427"/>
      <c r="CZ26" s="578"/>
      <c r="DA26" s="426"/>
      <c r="DB26" s="426"/>
      <c r="DC26" s="426"/>
      <c r="DD26" s="426"/>
      <c r="DE26" s="426"/>
      <c r="DF26" s="426"/>
      <c r="DG26" s="426"/>
      <c r="DH26" s="426"/>
      <c r="DI26" s="426"/>
      <c r="DJ26" s="426"/>
      <c r="DK26" s="426"/>
      <c r="DL26" s="426"/>
      <c r="DM26" s="426"/>
      <c r="DN26" s="426"/>
      <c r="DO26" s="427"/>
      <c r="DQ26" s="578"/>
      <c r="DR26" s="426"/>
      <c r="DS26" s="426"/>
      <c r="DT26" s="426"/>
      <c r="DU26" s="426"/>
      <c r="DV26" s="426"/>
      <c r="DW26" s="426"/>
      <c r="DX26" s="426"/>
      <c r="DY26" s="426"/>
      <c r="DZ26" s="426"/>
      <c r="EA26" s="426"/>
      <c r="EB26" s="426"/>
      <c r="EC26" s="426"/>
      <c r="ED26" s="426"/>
      <c r="EE26" s="426"/>
      <c r="EF26" s="427"/>
      <c r="EH26" s="578"/>
      <c r="EI26" s="426"/>
      <c r="EJ26" s="426"/>
      <c r="EK26" s="426"/>
      <c r="EL26" s="426"/>
      <c r="EM26" s="426"/>
      <c r="EN26" s="426"/>
      <c r="EO26" s="426"/>
      <c r="EP26" s="426"/>
      <c r="EQ26" s="426"/>
      <c r="ER26" s="426"/>
      <c r="ES26" s="426"/>
      <c r="ET26" s="426"/>
      <c r="EU26" s="426"/>
      <c r="EV26" s="426"/>
      <c r="EW26" s="427"/>
      <c r="EY26" s="578"/>
      <c r="EZ26" s="426"/>
      <c r="FA26" s="426"/>
      <c r="FB26" s="426"/>
      <c r="FC26" s="426"/>
      <c r="FD26" s="426"/>
      <c r="FE26" s="426"/>
      <c r="FF26" s="426"/>
      <c r="FG26" s="426"/>
      <c r="FH26" s="426"/>
      <c r="FI26" s="426"/>
      <c r="FJ26" s="426"/>
      <c r="FK26" s="426"/>
      <c r="FL26" s="426"/>
      <c r="FM26" s="426"/>
      <c r="FN26" s="427"/>
    </row>
    <row r="27" spans="2:170" s="155" customFormat="1" ht="10.5" customHeight="1">
      <c r="B27" s="578"/>
      <c r="C27" s="426" t="s">
        <v>505</v>
      </c>
      <c r="D27" s="426"/>
      <c r="E27" s="426"/>
      <c r="F27" s="426"/>
      <c r="G27" s="426"/>
      <c r="H27" s="426"/>
      <c r="I27" s="426"/>
      <c r="J27" s="426"/>
      <c r="K27" s="426"/>
      <c r="L27" s="426"/>
      <c r="M27" s="426"/>
      <c r="N27" s="426"/>
      <c r="O27" s="426"/>
      <c r="P27" s="426"/>
      <c r="Q27" s="427"/>
      <c r="R27" s="531"/>
      <c r="S27" s="578"/>
      <c r="T27" s="426" t="str">
        <f t="shared" si="135"/>
        <v>事務管理費</v>
      </c>
      <c r="U27" s="426"/>
      <c r="V27" s="426"/>
      <c r="W27" s="426"/>
      <c r="X27" s="426">
        <v>100000</v>
      </c>
      <c r="Y27" s="426">
        <f t="shared" si="161"/>
        <v>100000</v>
      </c>
      <c r="Z27" s="426">
        <f t="shared" si="161"/>
        <v>100000</v>
      </c>
      <c r="AA27" s="426">
        <f t="shared" si="161"/>
        <v>100000</v>
      </c>
      <c r="AB27" s="426">
        <f t="shared" si="161"/>
        <v>100000</v>
      </c>
      <c r="AC27" s="426">
        <f t="shared" si="161"/>
        <v>100000</v>
      </c>
      <c r="AD27" s="426">
        <f t="shared" si="161"/>
        <v>100000</v>
      </c>
      <c r="AE27" s="426">
        <f t="shared" si="161"/>
        <v>100000</v>
      </c>
      <c r="AF27" s="426">
        <f t="shared" si="161"/>
        <v>100000</v>
      </c>
      <c r="AG27" s="2">
        <f t="shared" si="136"/>
        <v>900000</v>
      </c>
      <c r="AH27" s="427"/>
      <c r="AJ27" s="578"/>
      <c r="AK27" s="426" t="str">
        <f t="shared" si="137"/>
        <v>事務管理費</v>
      </c>
      <c r="AL27" s="426">
        <v>100000</v>
      </c>
      <c r="AM27" s="426">
        <f t="shared" ref="AM27:AN27" si="170">AL27</f>
        <v>100000</v>
      </c>
      <c r="AN27" s="426">
        <f t="shared" si="170"/>
        <v>100000</v>
      </c>
      <c r="AO27" s="426">
        <v>100000</v>
      </c>
      <c r="AP27" s="426">
        <f t="shared" ref="AP27:AW27" si="171">AO27</f>
        <v>100000</v>
      </c>
      <c r="AQ27" s="426">
        <f t="shared" si="171"/>
        <v>100000</v>
      </c>
      <c r="AR27" s="426">
        <f t="shared" si="171"/>
        <v>100000</v>
      </c>
      <c r="AS27" s="426">
        <f t="shared" si="171"/>
        <v>100000</v>
      </c>
      <c r="AT27" s="426">
        <f t="shared" si="171"/>
        <v>100000</v>
      </c>
      <c r="AU27" s="426">
        <f t="shared" si="171"/>
        <v>100000</v>
      </c>
      <c r="AV27" s="426">
        <f t="shared" si="171"/>
        <v>100000</v>
      </c>
      <c r="AW27" s="426">
        <f t="shared" si="171"/>
        <v>100000</v>
      </c>
      <c r="AX27" s="2">
        <f t="shared" si="138"/>
        <v>1200000</v>
      </c>
      <c r="AY27" s="427"/>
      <c r="BA27" s="578"/>
      <c r="BB27" s="426"/>
      <c r="BC27" s="426"/>
      <c r="BD27" s="426"/>
      <c r="BE27" s="426"/>
      <c r="BF27" s="426"/>
      <c r="BG27" s="426"/>
      <c r="BH27" s="426"/>
      <c r="BI27" s="426"/>
      <c r="BJ27" s="426"/>
      <c r="BK27" s="426"/>
      <c r="BL27" s="426"/>
      <c r="BM27" s="426"/>
      <c r="BN27" s="426"/>
      <c r="BO27" s="426"/>
      <c r="BP27" s="427"/>
      <c r="BR27" s="578"/>
      <c r="BS27" s="426"/>
      <c r="BT27" s="426"/>
      <c r="BU27" s="426"/>
      <c r="BV27" s="426"/>
      <c r="BW27" s="426"/>
      <c r="BX27" s="426"/>
      <c r="BY27" s="426"/>
      <c r="BZ27" s="426"/>
      <c r="CA27" s="426"/>
      <c r="CB27" s="426"/>
      <c r="CC27" s="426"/>
      <c r="CD27" s="426"/>
      <c r="CE27" s="426"/>
      <c r="CF27" s="426"/>
      <c r="CG27" s="427"/>
      <c r="CI27" s="578"/>
      <c r="CJ27" s="426"/>
      <c r="CK27" s="426"/>
      <c r="CL27" s="426"/>
      <c r="CM27" s="426"/>
      <c r="CN27" s="426"/>
      <c r="CO27" s="426"/>
      <c r="CP27" s="426"/>
      <c r="CQ27" s="426"/>
      <c r="CR27" s="426"/>
      <c r="CS27" s="426"/>
      <c r="CT27" s="426"/>
      <c r="CU27" s="426"/>
      <c r="CV27" s="426"/>
      <c r="CW27" s="426"/>
      <c r="CX27" s="427"/>
      <c r="CZ27" s="578"/>
      <c r="DA27" s="426"/>
      <c r="DB27" s="426"/>
      <c r="DC27" s="426"/>
      <c r="DD27" s="426"/>
      <c r="DE27" s="426"/>
      <c r="DF27" s="426"/>
      <c r="DG27" s="426"/>
      <c r="DH27" s="426"/>
      <c r="DI27" s="426"/>
      <c r="DJ27" s="426"/>
      <c r="DK27" s="426"/>
      <c r="DL27" s="426"/>
      <c r="DM27" s="426"/>
      <c r="DN27" s="426"/>
      <c r="DO27" s="427"/>
      <c r="DQ27" s="578"/>
      <c r="DR27" s="426"/>
      <c r="DS27" s="426"/>
      <c r="DT27" s="426"/>
      <c r="DU27" s="426"/>
      <c r="DV27" s="426"/>
      <c r="DW27" s="426"/>
      <c r="DX27" s="426"/>
      <c r="DY27" s="426"/>
      <c r="DZ27" s="426"/>
      <c r="EA27" s="426"/>
      <c r="EB27" s="426"/>
      <c r="EC27" s="426"/>
      <c r="ED27" s="426"/>
      <c r="EE27" s="426"/>
      <c r="EF27" s="427"/>
      <c r="EH27" s="578"/>
      <c r="EI27" s="426"/>
      <c r="EJ27" s="426"/>
      <c r="EK27" s="426"/>
      <c r="EL27" s="426"/>
      <c r="EM27" s="426"/>
      <c r="EN27" s="426"/>
      <c r="EO27" s="426"/>
      <c r="EP27" s="426"/>
      <c r="EQ27" s="426"/>
      <c r="ER27" s="426"/>
      <c r="ES27" s="426"/>
      <c r="ET27" s="426"/>
      <c r="EU27" s="426"/>
      <c r="EV27" s="426"/>
      <c r="EW27" s="427"/>
      <c r="EY27" s="578"/>
      <c r="EZ27" s="426"/>
      <c r="FA27" s="426"/>
      <c r="FB27" s="426"/>
      <c r="FC27" s="426"/>
      <c r="FD27" s="426"/>
      <c r="FE27" s="426"/>
      <c r="FF27" s="426"/>
      <c r="FG27" s="426"/>
      <c r="FH27" s="426"/>
      <c r="FI27" s="426"/>
      <c r="FJ27" s="426"/>
      <c r="FK27" s="426"/>
      <c r="FL27" s="426"/>
      <c r="FM27" s="426"/>
      <c r="FN27" s="427"/>
    </row>
    <row r="28" spans="2:170" s="155" customFormat="1" ht="10.5" customHeight="1">
      <c r="B28" s="577"/>
      <c r="C28" s="2" t="s">
        <v>503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>
        <f t="shared" si="11"/>
        <v>0</v>
      </c>
      <c r="Q28" s="166"/>
      <c r="R28" s="531"/>
      <c r="S28" s="577"/>
      <c r="T28" s="2" t="str">
        <f t="shared" si="135"/>
        <v>消耗品費</v>
      </c>
      <c r="U28" s="2">
        <v>20000</v>
      </c>
      <c r="V28" s="2">
        <f>V5*2000</f>
        <v>22000</v>
      </c>
      <c r="W28" s="2">
        <f t="shared" ref="W28:AF28" si="172">W5*2000</f>
        <v>22000</v>
      </c>
      <c r="X28" s="2">
        <f t="shared" si="172"/>
        <v>24000</v>
      </c>
      <c r="Y28" s="2">
        <f t="shared" si="172"/>
        <v>24000</v>
      </c>
      <c r="Z28" s="2">
        <f t="shared" si="172"/>
        <v>26000</v>
      </c>
      <c r="AA28" s="2">
        <f t="shared" si="172"/>
        <v>26000</v>
      </c>
      <c r="AB28" s="2">
        <f t="shared" si="172"/>
        <v>28000</v>
      </c>
      <c r="AC28" s="2">
        <f t="shared" si="172"/>
        <v>28000</v>
      </c>
      <c r="AD28" s="2">
        <f t="shared" si="172"/>
        <v>30000</v>
      </c>
      <c r="AE28" s="2">
        <f t="shared" si="172"/>
        <v>30000</v>
      </c>
      <c r="AF28" s="2">
        <f t="shared" si="172"/>
        <v>32000</v>
      </c>
      <c r="AG28" s="2">
        <f t="shared" si="136"/>
        <v>312000</v>
      </c>
      <c r="AH28" s="166">
        <v>0.06</v>
      </c>
      <c r="AJ28" s="577"/>
      <c r="AK28" s="2" t="str">
        <f t="shared" si="137"/>
        <v>消耗品費</v>
      </c>
      <c r="AL28" s="2">
        <v>20000</v>
      </c>
      <c r="AM28" s="2">
        <f>AM5*2000</f>
        <v>22000</v>
      </c>
      <c r="AN28" s="2">
        <f t="shared" ref="AN28:AW28" si="173">AN5*2000</f>
        <v>22000</v>
      </c>
      <c r="AO28" s="2">
        <f t="shared" si="173"/>
        <v>24000</v>
      </c>
      <c r="AP28" s="2">
        <f t="shared" si="173"/>
        <v>24000</v>
      </c>
      <c r="AQ28" s="2">
        <f t="shared" si="173"/>
        <v>26000</v>
      </c>
      <c r="AR28" s="2">
        <f t="shared" si="173"/>
        <v>26000</v>
      </c>
      <c r="AS28" s="2">
        <f t="shared" si="173"/>
        <v>28000</v>
      </c>
      <c r="AT28" s="2">
        <f t="shared" si="173"/>
        <v>28000</v>
      </c>
      <c r="AU28" s="2">
        <f t="shared" si="173"/>
        <v>30000</v>
      </c>
      <c r="AV28" s="2">
        <f t="shared" si="173"/>
        <v>30000</v>
      </c>
      <c r="AW28" s="2">
        <f t="shared" si="173"/>
        <v>32000</v>
      </c>
      <c r="AX28" s="2">
        <f t="shared" si="138"/>
        <v>312000</v>
      </c>
      <c r="AY28" s="166">
        <v>0.06</v>
      </c>
      <c r="BA28" s="577"/>
      <c r="BB28" s="2" t="s">
        <v>472</v>
      </c>
      <c r="BC28" s="2">
        <f t="shared" ref="BC28:BN28" si="174">BC4*0.06</f>
        <v>1740</v>
      </c>
      <c r="BD28" s="2">
        <f t="shared" si="174"/>
        <v>1740</v>
      </c>
      <c r="BE28" s="2">
        <f t="shared" si="174"/>
        <v>1740</v>
      </c>
      <c r="BF28" s="2">
        <f t="shared" si="174"/>
        <v>1740</v>
      </c>
      <c r="BG28" s="2">
        <f t="shared" si="174"/>
        <v>1740</v>
      </c>
      <c r="BH28" s="2">
        <f t="shared" si="174"/>
        <v>1680</v>
      </c>
      <c r="BI28" s="2">
        <f t="shared" si="174"/>
        <v>1740</v>
      </c>
      <c r="BJ28" s="2">
        <f t="shared" si="174"/>
        <v>1800</v>
      </c>
      <c r="BK28" s="2">
        <f t="shared" si="174"/>
        <v>1800</v>
      </c>
      <c r="BL28" s="2">
        <f t="shared" si="174"/>
        <v>1800</v>
      </c>
      <c r="BM28" s="2">
        <f t="shared" si="174"/>
        <v>1800</v>
      </c>
      <c r="BN28" s="2">
        <f t="shared" si="174"/>
        <v>1800</v>
      </c>
      <c r="BO28" s="2">
        <f t="shared" si="122"/>
        <v>21120</v>
      </c>
      <c r="BP28" s="166">
        <f t="shared" si="20"/>
        <v>0.06</v>
      </c>
      <c r="BR28" s="577"/>
      <c r="BS28" s="2" t="s">
        <v>472</v>
      </c>
      <c r="BT28" s="2">
        <f t="shared" ref="BT28:CE28" si="175">BT4*0.06</f>
        <v>1740</v>
      </c>
      <c r="BU28" s="2">
        <f t="shared" si="175"/>
        <v>1740</v>
      </c>
      <c r="BV28" s="2">
        <f t="shared" si="175"/>
        <v>1740</v>
      </c>
      <c r="BW28" s="2">
        <f t="shared" si="175"/>
        <v>1740</v>
      </c>
      <c r="BX28" s="2">
        <f t="shared" si="175"/>
        <v>1740</v>
      </c>
      <c r="BY28" s="2">
        <f t="shared" si="175"/>
        <v>1680</v>
      </c>
      <c r="BZ28" s="2">
        <f t="shared" si="175"/>
        <v>1740</v>
      </c>
      <c r="CA28" s="2">
        <f t="shared" si="175"/>
        <v>1800</v>
      </c>
      <c r="CB28" s="2">
        <f t="shared" si="175"/>
        <v>1800</v>
      </c>
      <c r="CC28" s="2">
        <f t="shared" si="175"/>
        <v>1800</v>
      </c>
      <c r="CD28" s="2">
        <f t="shared" si="175"/>
        <v>1800</v>
      </c>
      <c r="CE28" s="2">
        <f t="shared" si="175"/>
        <v>1800</v>
      </c>
      <c r="CF28" s="2">
        <f t="shared" si="123"/>
        <v>21120</v>
      </c>
      <c r="CG28" s="166">
        <f t="shared" si="22"/>
        <v>0.06</v>
      </c>
      <c r="CI28" s="577"/>
      <c r="CJ28" s="2" t="s">
        <v>472</v>
      </c>
      <c r="CK28" s="2">
        <f t="shared" ref="CK28:CV28" si="176">CK4*0.06</f>
        <v>0</v>
      </c>
      <c r="CL28" s="2">
        <f t="shared" si="176"/>
        <v>0</v>
      </c>
      <c r="CM28" s="2">
        <f t="shared" si="176"/>
        <v>0</v>
      </c>
      <c r="CN28" s="2">
        <f t="shared" si="176"/>
        <v>0</v>
      </c>
      <c r="CO28" s="2">
        <f t="shared" si="176"/>
        <v>0</v>
      </c>
      <c r="CP28" s="2">
        <f t="shared" si="176"/>
        <v>0</v>
      </c>
      <c r="CQ28" s="2">
        <f t="shared" si="176"/>
        <v>0</v>
      </c>
      <c r="CR28" s="2">
        <f t="shared" si="176"/>
        <v>0</v>
      </c>
      <c r="CS28" s="2">
        <f t="shared" si="176"/>
        <v>0</v>
      </c>
      <c r="CT28" s="2">
        <f t="shared" si="176"/>
        <v>0</v>
      </c>
      <c r="CU28" s="2">
        <f t="shared" si="176"/>
        <v>0</v>
      </c>
      <c r="CV28" s="2">
        <f t="shared" si="176"/>
        <v>0</v>
      </c>
      <c r="CW28" s="2">
        <f t="shared" si="124"/>
        <v>0</v>
      </c>
      <c r="CX28" s="166" t="str">
        <f t="shared" si="23"/>
        <v/>
      </c>
      <c r="CZ28" s="577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166" t="str">
        <f t="shared" si="24"/>
        <v/>
      </c>
      <c r="DQ28" s="577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166" t="str">
        <f t="shared" si="25"/>
        <v/>
      </c>
      <c r="EH28" s="577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166" t="str">
        <f t="shared" si="27"/>
        <v/>
      </c>
      <c r="EY28" s="577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166" t="str">
        <f t="shared" si="29"/>
        <v/>
      </c>
    </row>
    <row r="29" spans="2:170" s="155" customFormat="1" ht="10.5" customHeight="1">
      <c r="B29" s="579"/>
      <c r="C29" s="2" t="s">
        <v>504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>
        <f t="shared" si="11"/>
        <v>0</v>
      </c>
      <c r="Q29" s="166"/>
      <c r="R29" s="531"/>
      <c r="S29" s="579"/>
      <c r="T29" s="2" t="str">
        <f t="shared" si="135"/>
        <v>雑費</v>
      </c>
      <c r="U29" s="2">
        <v>5000</v>
      </c>
      <c r="V29" s="2">
        <v>5000</v>
      </c>
      <c r="W29" s="2">
        <v>10000</v>
      </c>
      <c r="X29" s="2">
        <v>10000</v>
      </c>
      <c r="Y29" s="2">
        <v>10000</v>
      </c>
      <c r="Z29" s="2">
        <v>10000</v>
      </c>
      <c r="AA29" s="2">
        <v>10000</v>
      </c>
      <c r="AB29" s="2">
        <v>10000</v>
      </c>
      <c r="AC29" s="2">
        <v>10000</v>
      </c>
      <c r="AD29" s="2">
        <v>10000</v>
      </c>
      <c r="AE29" s="2">
        <v>10000</v>
      </c>
      <c r="AF29" s="2">
        <v>10000</v>
      </c>
      <c r="AG29" s="2">
        <f t="shared" si="136"/>
        <v>110000</v>
      </c>
      <c r="AH29" s="166">
        <f t="shared" ref="AH29" si="177">IF(AG29=0,"",AG29/$P$3)</f>
        <v>1.1000000000000001</v>
      </c>
      <c r="AJ29" s="579"/>
      <c r="AK29" s="2" t="str">
        <f t="shared" si="137"/>
        <v>雑費</v>
      </c>
      <c r="AL29" s="2">
        <v>5000</v>
      </c>
      <c r="AM29" s="2">
        <v>5000</v>
      </c>
      <c r="AN29" s="2">
        <v>10000</v>
      </c>
      <c r="AO29" s="2">
        <v>10000</v>
      </c>
      <c r="AP29" s="2">
        <v>10000</v>
      </c>
      <c r="AQ29" s="2">
        <v>10000</v>
      </c>
      <c r="AR29" s="2">
        <v>10000</v>
      </c>
      <c r="AS29" s="2">
        <v>10000</v>
      </c>
      <c r="AT29" s="2">
        <v>10000</v>
      </c>
      <c r="AU29" s="2">
        <v>10000</v>
      </c>
      <c r="AV29" s="2">
        <v>10000</v>
      </c>
      <c r="AW29" s="2">
        <v>10000</v>
      </c>
      <c r="AX29" s="2">
        <f t="shared" si="138"/>
        <v>110000</v>
      </c>
      <c r="AY29" s="166">
        <f t="shared" ref="AY29" si="178">IF(AX29=0,"",AX29/$P$3)</f>
        <v>1.1000000000000001</v>
      </c>
      <c r="BA29" s="579"/>
      <c r="BB29" s="2" t="str">
        <f>AK29</f>
        <v>雑費</v>
      </c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>
        <f t="shared" si="122"/>
        <v>0</v>
      </c>
      <c r="BP29" s="166" t="str">
        <f t="shared" si="20"/>
        <v/>
      </c>
      <c r="BR29" s="579"/>
      <c r="BS29" s="2" t="str">
        <f>BB29</f>
        <v>雑費</v>
      </c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>
        <f t="shared" si="123"/>
        <v>0</v>
      </c>
      <c r="CG29" s="166" t="str">
        <f t="shared" si="22"/>
        <v/>
      </c>
      <c r="CI29" s="579"/>
      <c r="CJ29" s="2" t="str">
        <f>BS29</f>
        <v>雑費</v>
      </c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>
        <f t="shared" si="124"/>
        <v>0</v>
      </c>
      <c r="CX29" s="166" t="str">
        <f t="shared" si="23"/>
        <v/>
      </c>
      <c r="CZ29" s="579"/>
      <c r="DA29" s="2" t="str">
        <f>CJ29</f>
        <v>雑費</v>
      </c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>
        <f>SUM(DB29:DM29)</f>
        <v>0</v>
      </c>
      <c r="DO29" s="166" t="str">
        <f t="shared" si="24"/>
        <v/>
      </c>
      <c r="DQ29" s="579"/>
      <c r="DR29" s="2" t="str">
        <f>DA29</f>
        <v>雑費</v>
      </c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>
        <f>SUM(DS29:ED29)</f>
        <v>0</v>
      </c>
      <c r="EF29" s="166" t="str">
        <f t="shared" si="25"/>
        <v/>
      </c>
      <c r="EH29" s="579"/>
      <c r="EI29" s="2" t="str">
        <f>DR29</f>
        <v>雑費</v>
      </c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>
        <f>SUM(EJ29:EU29)</f>
        <v>0</v>
      </c>
      <c r="EW29" s="166" t="str">
        <f t="shared" si="27"/>
        <v/>
      </c>
      <c r="EY29" s="579"/>
      <c r="EZ29" s="2" t="str">
        <f>EI29</f>
        <v>雑費</v>
      </c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>
        <f>SUM(FA29:FL29)</f>
        <v>0</v>
      </c>
      <c r="FN29" s="166" t="str">
        <f t="shared" si="29"/>
        <v/>
      </c>
    </row>
    <row r="30" spans="2:170" s="157" customFormat="1" ht="11.25" customHeight="1">
      <c r="B30" s="570" t="s">
        <v>506</v>
      </c>
      <c r="C30" s="570"/>
      <c r="D30" s="156">
        <f t="shared" ref="D30:O30" si="179">D3-D18</f>
        <v>0</v>
      </c>
      <c r="E30" s="156">
        <f t="shared" si="179"/>
        <v>0</v>
      </c>
      <c r="F30" s="156">
        <f t="shared" si="179"/>
        <v>0</v>
      </c>
      <c r="G30" s="156">
        <f t="shared" si="179"/>
        <v>0</v>
      </c>
      <c r="H30" s="156">
        <f t="shared" si="179"/>
        <v>0</v>
      </c>
      <c r="I30" s="156">
        <f t="shared" si="179"/>
        <v>0</v>
      </c>
      <c r="J30" s="156">
        <f t="shared" si="179"/>
        <v>0</v>
      </c>
      <c r="K30" s="156">
        <f t="shared" si="179"/>
        <v>0</v>
      </c>
      <c r="L30" s="156">
        <f t="shared" si="179"/>
        <v>0</v>
      </c>
      <c r="M30" s="156">
        <f t="shared" si="179"/>
        <v>0</v>
      </c>
      <c r="N30" s="156">
        <f t="shared" si="179"/>
        <v>100000</v>
      </c>
      <c r="O30" s="156">
        <f t="shared" si="179"/>
        <v>0</v>
      </c>
      <c r="P30" s="156">
        <f t="shared" si="11"/>
        <v>100000</v>
      </c>
      <c r="Q30" s="168">
        <f t="shared" si="16"/>
        <v>1</v>
      </c>
      <c r="R30" s="531"/>
      <c r="S30" s="570" t="str">
        <f>IF(B30="","",B30)</f>
        <v>（原価率）</v>
      </c>
      <c r="T30" s="570"/>
      <c r="U30" s="156">
        <f t="shared" ref="U30:AF30" si="180">U3-U18</f>
        <v>453197.9</v>
      </c>
      <c r="V30" s="156">
        <f t="shared" si="180"/>
        <v>607891.9</v>
      </c>
      <c r="W30" s="156">
        <f t="shared" si="180"/>
        <v>514891.9</v>
      </c>
      <c r="X30" s="156">
        <f t="shared" si="180"/>
        <v>456069.19999999995</v>
      </c>
      <c r="Y30" s="156">
        <f t="shared" si="180"/>
        <v>456069.19999999995</v>
      </c>
      <c r="Z30" s="156">
        <f t="shared" si="180"/>
        <v>495893.19999999995</v>
      </c>
      <c r="AA30" s="156">
        <f t="shared" si="180"/>
        <v>495893.19999999995</v>
      </c>
      <c r="AB30" s="156">
        <f t="shared" si="180"/>
        <v>585717.19999999995</v>
      </c>
      <c r="AC30" s="156">
        <f t="shared" si="180"/>
        <v>585717.19999999995</v>
      </c>
      <c r="AD30" s="156">
        <f t="shared" si="180"/>
        <v>675541.2</v>
      </c>
      <c r="AE30" s="156">
        <f t="shared" si="180"/>
        <v>675541.2</v>
      </c>
      <c r="AF30" s="156">
        <f t="shared" si="180"/>
        <v>765365.2</v>
      </c>
      <c r="AG30" s="156">
        <f>SUM(U30:AF30)</f>
        <v>6767788.5000000009</v>
      </c>
      <c r="AH30" s="168">
        <f t="shared" si="57"/>
        <v>0.39089268401380323</v>
      </c>
      <c r="AJ30" s="570" t="str">
        <f>IF(S30="","",S30)</f>
        <v>（原価率）</v>
      </c>
      <c r="AK30" s="570"/>
      <c r="AL30" s="156">
        <f t="shared" ref="AL30:AW30" si="181">AL3-AL18</f>
        <v>214551.19999999995</v>
      </c>
      <c r="AM30" s="156">
        <f t="shared" si="181"/>
        <v>361245.19999999995</v>
      </c>
      <c r="AN30" s="156">
        <f t="shared" si="181"/>
        <v>356245.19999999995</v>
      </c>
      <c r="AO30" s="156">
        <f t="shared" si="181"/>
        <v>446069.19999999995</v>
      </c>
      <c r="AP30" s="156">
        <f t="shared" si="181"/>
        <v>446069.19999999995</v>
      </c>
      <c r="AQ30" s="156">
        <f t="shared" si="181"/>
        <v>535893.19999999995</v>
      </c>
      <c r="AR30" s="156">
        <f t="shared" si="181"/>
        <v>535893.19999999995</v>
      </c>
      <c r="AS30" s="156">
        <f t="shared" si="181"/>
        <v>625717.19999999995</v>
      </c>
      <c r="AT30" s="156">
        <f t="shared" si="181"/>
        <v>625717.19999999995</v>
      </c>
      <c r="AU30" s="156">
        <f t="shared" si="181"/>
        <v>715541.2</v>
      </c>
      <c r="AV30" s="156">
        <f t="shared" si="181"/>
        <v>715541.2</v>
      </c>
      <c r="AW30" s="156">
        <f t="shared" si="181"/>
        <v>805365.2</v>
      </c>
      <c r="AX30" s="156">
        <f>SUM(AL30:AW30)</f>
        <v>6383848.4000000004</v>
      </c>
      <c r="AY30" s="168">
        <f t="shared" ref="AY30:AY45" si="182">IF(AX30=0,"",AX30/AX$3)</f>
        <v>0.36492325168515205</v>
      </c>
      <c r="BA30" s="570" t="s">
        <v>2</v>
      </c>
      <c r="BB30" s="570"/>
      <c r="BC30" s="156">
        <f t="shared" ref="BC30:BN30" si="183">BC3-BC18</f>
        <v>10440</v>
      </c>
      <c r="BD30" s="156">
        <f t="shared" si="183"/>
        <v>10440</v>
      </c>
      <c r="BE30" s="156">
        <f t="shared" si="183"/>
        <v>10440</v>
      </c>
      <c r="BF30" s="156">
        <f t="shared" si="183"/>
        <v>10440</v>
      </c>
      <c r="BG30" s="156">
        <f t="shared" si="183"/>
        <v>10440</v>
      </c>
      <c r="BH30" s="156">
        <f t="shared" si="183"/>
        <v>10080</v>
      </c>
      <c r="BI30" s="156">
        <f t="shared" si="183"/>
        <v>10440</v>
      </c>
      <c r="BJ30" s="156">
        <f t="shared" si="183"/>
        <v>10800</v>
      </c>
      <c r="BK30" s="156">
        <f t="shared" si="183"/>
        <v>10800</v>
      </c>
      <c r="BL30" s="156">
        <f t="shared" si="183"/>
        <v>10800</v>
      </c>
      <c r="BM30" s="156">
        <f t="shared" si="183"/>
        <v>10800</v>
      </c>
      <c r="BN30" s="156">
        <f t="shared" si="183"/>
        <v>10800</v>
      </c>
      <c r="BO30" s="156">
        <f t="shared" si="122"/>
        <v>126720</v>
      </c>
      <c r="BP30" s="168">
        <f t="shared" si="20"/>
        <v>0.36</v>
      </c>
      <c r="BR30" s="570" t="s">
        <v>2</v>
      </c>
      <c r="BS30" s="570"/>
      <c r="BT30" s="156">
        <f t="shared" ref="BT30:CE30" si="184">BT3-BT18</f>
        <v>10440</v>
      </c>
      <c r="BU30" s="156">
        <f t="shared" si="184"/>
        <v>10440</v>
      </c>
      <c r="BV30" s="156">
        <f t="shared" si="184"/>
        <v>10440</v>
      </c>
      <c r="BW30" s="156">
        <f t="shared" si="184"/>
        <v>10440</v>
      </c>
      <c r="BX30" s="156">
        <f t="shared" si="184"/>
        <v>10440</v>
      </c>
      <c r="BY30" s="156">
        <f t="shared" si="184"/>
        <v>10080</v>
      </c>
      <c r="BZ30" s="156">
        <f t="shared" si="184"/>
        <v>10440</v>
      </c>
      <c r="CA30" s="156">
        <f t="shared" si="184"/>
        <v>10800</v>
      </c>
      <c r="CB30" s="156">
        <f t="shared" si="184"/>
        <v>10800</v>
      </c>
      <c r="CC30" s="156">
        <f t="shared" si="184"/>
        <v>10800</v>
      </c>
      <c r="CD30" s="156">
        <f t="shared" si="184"/>
        <v>10800</v>
      </c>
      <c r="CE30" s="156">
        <f t="shared" si="184"/>
        <v>10800</v>
      </c>
      <c r="CF30" s="156">
        <f t="shared" si="123"/>
        <v>126720</v>
      </c>
      <c r="CG30" s="168">
        <f t="shared" si="22"/>
        <v>0.36</v>
      </c>
      <c r="CI30" s="570" t="s">
        <v>2</v>
      </c>
      <c r="CJ30" s="570"/>
      <c r="CK30" s="156">
        <f t="shared" ref="CK30:CV30" si="185">CK3-CK18</f>
        <v>0</v>
      </c>
      <c r="CL30" s="156">
        <f t="shared" si="185"/>
        <v>0</v>
      </c>
      <c r="CM30" s="156">
        <f t="shared" si="185"/>
        <v>0</v>
      </c>
      <c r="CN30" s="156">
        <f t="shared" si="185"/>
        <v>0</v>
      </c>
      <c r="CO30" s="156">
        <f t="shared" si="185"/>
        <v>0</v>
      </c>
      <c r="CP30" s="156">
        <f t="shared" si="185"/>
        <v>0</v>
      </c>
      <c r="CQ30" s="156">
        <f t="shared" si="185"/>
        <v>0</v>
      </c>
      <c r="CR30" s="156">
        <f t="shared" si="185"/>
        <v>0</v>
      </c>
      <c r="CS30" s="156">
        <f t="shared" si="185"/>
        <v>0</v>
      </c>
      <c r="CT30" s="156">
        <f t="shared" si="185"/>
        <v>0</v>
      </c>
      <c r="CU30" s="156">
        <f t="shared" si="185"/>
        <v>0</v>
      </c>
      <c r="CV30" s="156">
        <f t="shared" si="185"/>
        <v>0</v>
      </c>
      <c r="CW30" s="156">
        <f t="shared" si="124"/>
        <v>0</v>
      </c>
      <c r="CX30" s="168" t="str">
        <f t="shared" si="23"/>
        <v/>
      </c>
      <c r="CZ30" s="570" t="s">
        <v>2</v>
      </c>
      <c r="DA30" s="570"/>
      <c r="DB30" s="156">
        <f t="shared" ref="DB30:DM30" si="186">DB3-DB18</f>
        <v>0</v>
      </c>
      <c r="DC30" s="156">
        <f t="shared" si="186"/>
        <v>0</v>
      </c>
      <c r="DD30" s="156">
        <f t="shared" si="186"/>
        <v>0</v>
      </c>
      <c r="DE30" s="156">
        <f t="shared" si="186"/>
        <v>0</v>
      </c>
      <c r="DF30" s="156">
        <f t="shared" si="186"/>
        <v>0</v>
      </c>
      <c r="DG30" s="156">
        <f t="shared" si="186"/>
        <v>0</v>
      </c>
      <c r="DH30" s="156">
        <f t="shared" si="186"/>
        <v>0</v>
      </c>
      <c r="DI30" s="156">
        <f t="shared" si="186"/>
        <v>0</v>
      </c>
      <c r="DJ30" s="156">
        <f t="shared" si="186"/>
        <v>0</v>
      </c>
      <c r="DK30" s="156">
        <f t="shared" si="186"/>
        <v>0</v>
      </c>
      <c r="DL30" s="156">
        <f t="shared" si="186"/>
        <v>0</v>
      </c>
      <c r="DM30" s="156">
        <f t="shared" si="186"/>
        <v>0</v>
      </c>
      <c r="DN30" s="156">
        <f>SUM(DB30:DM30)</f>
        <v>0</v>
      </c>
      <c r="DO30" s="168" t="str">
        <f t="shared" si="24"/>
        <v/>
      </c>
      <c r="DQ30" s="570" t="s">
        <v>2</v>
      </c>
      <c r="DR30" s="570"/>
      <c r="DS30" s="156">
        <f t="shared" ref="DS30:ED30" si="187">DS3-DS18</f>
        <v>0</v>
      </c>
      <c r="DT30" s="156">
        <f t="shared" si="187"/>
        <v>0</v>
      </c>
      <c r="DU30" s="156">
        <f t="shared" si="187"/>
        <v>0</v>
      </c>
      <c r="DV30" s="156">
        <f t="shared" si="187"/>
        <v>0</v>
      </c>
      <c r="DW30" s="156">
        <f t="shared" si="187"/>
        <v>0</v>
      </c>
      <c r="DX30" s="156">
        <f t="shared" si="187"/>
        <v>0</v>
      </c>
      <c r="DY30" s="156">
        <f t="shared" si="187"/>
        <v>0</v>
      </c>
      <c r="DZ30" s="156">
        <f t="shared" si="187"/>
        <v>0</v>
      </c>
      <c r="EA30" s="156">
        <f t="shared" si="187"/>
        <v>0</v>
      </c>
      <c r="EB30" s="156">
        <f t="shared" si="187"/>
        <v>0</v>
      </c>
      <c r="EC30" s="156">
        <f t="shared" si="187"/>
        <v>0</v>
      </c>
      <c r="ED30" s="156">
        <f t="shared" si="187"/>
        <v>0</v>
      </c>
      <c r="EE30" s="156">
        <f>SUM(DS30:ED30)</f>
        <v>0</v>
      </c>
      <c r="EF30" s="168" t="str">
        <f t="shared" si="25"/>
        <v/>
      </c>
      <c r="EH30" s="570" t="s">
        <v>2</v>
      </c>
      <c r="EI30" s="570"/>
      <c r="EJ30" s="156">
        <f t="shared" ref="EJ30:EU30" si="188">EJ3-EJ18</f>
        <v>0</v>
      </c>
      <c r="EK30" s="156">
        <f t="shared" si="188"/>
        <v>0</v>
      </c>
      <c r="EL30" s="156">
        <f t="shared" si="188"/>
        <v>0</v>
      </c>
      <c r="EM30" s="156">
        <f t="shared" si="188"/>
        <v>0</v>
      </c>
      <c r="EN30" s="156">
        <f t="shared" si="188"/>
        <v>0</v>
      </c>
      <c r="EO30" s="156">
        <f t="shared" si="188"/>
        <v>0</v>
      </c>
      <c r="EP30" s="156">
        <f t="shared" si="188"/>
        <v>0</v>
      </c>
      <c r="EQ30" s="156">
        <f t="shared" si="188"/>
        <v>0</v>
      </c>
      <c r="ER30" s="156">
        <f t="shared" si="188"/>
        <v>0</v>
      </c>
      <c r="ES30" s="156">
        <f t="shared" si="188"/>
        <v>0</v>
      </c>
      <c r="ET30" s="156">
        <f t="shared" si="188"/>
        <v>0</v>
      </c>
      <c r="EU30" s="156">
        <f t="shared" si="188"/>
        <v>0</v>
      </c>
      <c r="EV30" s="156">
        <f>SUM(EJ30:EU30)</f>
        <v>0</v>
      </c>
      <c r="EW30" s="168" t="str">
        <f t="shared" si="27"/>
        <v/>
      </c>
      <c r="EY30" s="570" t="s">
        <v>2</v>
      </c>
      <c r="EZ30" s="570"/>
      <c r="FA30" s="156">
        <f t="shared" ref="FA30:FL30" si="189">FA3-FA18</f>
        <v>0</v>
      </c>
      <c r="FB30" s="156">
        <f t="shared" si="189"/>
        <v>0</v>
      </c>
      <c r="FC30" s="156">
        <f t="shared" si="189"/>
        <v>0</v>
      </c>
      <c r="FD30" s="156">
        <f t="shared" si="189"/>
        <v>0</v>
      </c>
      <c r="FE30" s="156">
        <f t="shared" si="189"/>
        <v>0</v>
      </c>
      <c r="FF30" s="156">
        <f t="shared" si="189"/>
        <v>0</v>
      </c>
      <c r="FG30" s="156">
        <f t="shared" si="189"/>
        <v>0</v>
      </c>
      <c r="FH30" s="156">
        <f t="shared" si="189"/>
        <v>0</v>
      </c>
      <c r="FI30" s="156">
        <f t="shared" si="189"/>
        <v>0</v>
      </c>
      <c r="FJ30" s="156">
        <f t="shared" si="189"/>
        <v>0</v>
      </c>
      <c r="FK30" s="156">
        <f t="shared" si="189"/>
        <v>0</v>
      </c>
      <c r="FL30" s="156">
        <f t="shared" si="189"/>
        <v>0</v>
      </c>
      <c r="FM30" s="156">
        <f>SUM(FA30:FL30)</f>
        <v>0</v>
      </c>
      <c r="FN30" s="168" t="str">
        <f t="shared" si="29"/>
        <v/>
      </c>
    </row>
    <row r="31" spans="2:170" ht="11.25" customHeight="1">
      <c r="B31" s="571" t="s">
        <v>9</v>
      </c>
      <c r="C31" s="572"/>
      <c r="D31" s="137">
        <f t="shared" ref="D31:N31" si="190">SUM(D32:D39)</f>
        <v>0</v>
      </c>
      <c r="E31" s="137">
        <f t="shared" si="190"/>
        <v>0</v>
      </c>
      <c r="F31" s="137">
        <f t="shared" si="190"/>
        <v>0</v>
      </c>
      <c r="G31" s="137">
        <f t="shared" si="190"/>
        <v>0</v>
      </c>
      <c r="H31" s="137">
        <f t="shared" si="190"/>
        <v>0</v>
      </c>
      <c r="I31" s="137">
        <f t="shared" si="190"/>
        <v>0</v>
      </c>
      <c r="J31" s="137">
        <f t="shared" si="190"/>
        <v>0</v>
      </c>
      <c r="K31" s="137">
        <f t="shared" si="190"/>
        <v>0</v>
      </c>
      <c r="L31" s="137">
        <f t="shared" si="190"/>
        <v>0</v>
      </c>
      <c r="M31" s="137">
        <f t="shared" si="190"/>
        <v>0</v>
      </c>
      <c r="N31" s="137">
        <f t="shared" si="190"/>
        <v>0</v>
      </c>
      <c r="O31" s="137">
        <f>SUM(O32:O39)</f>
        <v>0</v>
      </c>
      <c r="P31" s="137">
        <f>SUM(P32:P39)</f>
        <v>0</v>
      </c>
      <c r="Q31" s="167" t="str">
        <f t="shared" si="16"/>
        <v/>
      </c>
      <c r="R31" s="531"/>
      <c r="S31" s="571" t="s">
        <v>9</v>
      </c>
      <c r="T31" s="572"/>
      <c r="U31" s="137">
        <f t="shared" ref="U31:AE31" si="191">SUM(U32:U39)</f>
        <v>0</v>
      </c>
      <c r="V31" s="137">
        <f t="shared" si="191"/>
        <v>0</v>
      </c>
      <c r="W31" s="137">
        <f t="shared" si="191"/>
        <v>0</v>
      </c>
      <c r="X31" s="137">
        <f t="shared" si="191"/>
        <v>0</v>
      </c>
      <c r="Y31" s="137">
        <f t="shared" si="191"/>
        <v>0</v>
      </c>
      <c r="Z31" s="137">
        <f t="shared" si="191"/>
        <v>0</v>
      </c>
      <c r="AA31" s="137">
        <f t="shared" si="191"/>
        <v>0</v>
      </c>
      <c r="AB31" s="137">
        <f t="shared" si="191"/>
        <v>0</v>
      </c>
      <c r="AC31" s="137">
        <f t="shared" si="191"/>
        <v>0</v>
      </c>
      <c r="AD31" s="137">
        <f t="shared" si="191"/>
        <v>0</v>
      </c>
      <c r="AE31" s="137">
        <f t="shared" si="191"/>
        <v>0</v>
      </c>
      <c r="AF31" s="137">
        <f>SUM(AF32:AF39)</f>
        <v>0</v>
      </c>
      <c r="AG31" s="137">
        <f t="shared" ref="AG31" si="192">SUM(AG32:AG39)</f>
        <v>0</v>
      </c>
      <c r="AH31" s="167" t="str">
        <f t="shared" si="57"/>
        <v/>
      </c>
      <c r="AJ31" s="571" t="s">
        <v>9</v>
      </c>
      <c r="AK31" s="572"/>
      <c r="AL31" s="137">
        <f t="shared" ref="AL31:AV31" si="193">SUM(AL32:AL39)</f>
        <v>0</v>
      </c>
      <c r="AM31" s="137">
        <f t="shared" si="193"/>
        <v>0</v>
      </c>
      <c r="AN31" s="137">
        <f t="shared" si="193"/>
        <v>0</v>
      </c>
      <c r="AO31" s="137">
        <f t="shared" si="193"/>
        <v>0</v>
      </c>
      <c r="AP31" s="137">
        <f t="shared" si="193"/>
        <v>0</v>
      </c>
      <c r="AQ31" s="137">
        <f t="shared" si="193"/>
        <v>0</v>
      </c>
      <c r="AR31" s="137">
        <f t="shared" si="193"/>
        <v>0</v>
      </c>
      <c r="AS31" s="137">
        <f t="shared" si="193"/>
        <v>0</v>
      </c>
      <c r="AT31" s="137">
        <f t="shared" si="193"/>
        <v>0</v>
      </c>
      <c r="AU31" s="137">
        <f t="shared" si="193"/>
        <v>0</v>
      </c>
      <c r="AV31" s="137">
        <f t="shared" si="193"/>
        <v>0</v>
      </c>
      <c r="AW31" s="137">
        <f>SUM(AW32:AW39)</f>
        <v>0</v>
      </c>
      <c r="AX31" s="137">
        <f t="shared" ref="AX31" si="194">SUM(AX32:AX39)</f>
        <v>0</v>
      </c>
      <c r="AY31" s="167" t="str">
        <f t="shared" si="182"/>
        <v/>
      </c>
      <c r="BA31" s="571" t="s">
        <v>9</v>
      </c>
      <c r="BB31" s="572"/>
      <c r="BC31" s="137">
        <f>SUM(BC32:BC39)</f>
        <v>14760</v>
      </c>
      <c r="BD31" s="137">
        <f t="shared" ref="BD31:BO31" si="195">SUM(BD32:BD39)</f>
        <v>14760</v>
      </c>
      <c r="BE31" s="137">
        <f t="shared" si="195"/>
        <v>14760</v>
      </c>
      <c r="BF31" s="137">
        <f t="shared" si="195"/>
        <v>14760</v>
      </c>
      <c r="BG31" s="137">
        <f t="shared" si="195"/>
        <v>14760</v>
      </c>
      <c r="BH31" s="137">
        <f t="shared" si="195"/>
        <v>14760</v>
      </c>
      <c r="BI31" s="137">
        <f t="shared" si="195"/>
        <v>14760</v>
      </c>
      <c r="BJ31" s="137">
        <f t="shared" si="195"/>
        <v>14760</v>
      </c>
      <c r="BK31" s="137">
        <f t="shared" si="195"/>
        <v>14760</v>
      </c>
      <c r="BL31" s="137">
        <f t="shared" si="195"/>
        <v>14760</v>
      </c>
      <c r="BM31" s="137">
        <f t="shared" si="195"/>
        <v>14760</v>
      </c>
      <c r="BN31" s="137">
        <f t="shared" si="195"/>
        <v>14760</v>
      </c>
      <c r="BO31" s="137">
        <f t="shared" si="195"/>
        <v>177120</v>
      </c>
      <c r="BP31" s="167">
        <f t="shared" si="20"/>
        <v>0.50318181818181817</v>
      </c>
      <c r="BR31" s="571" t="s">
        <v>9</v>
      </c>
      <c r="BS31" s="572"/>
      <c r="BT31" s="137">
        <f>SUM(BT32:BT39)</f>
        <v>15840</v>
      </c>
      <c r="BU31" s="137">
        <f t="shared" ref="BU31:CF31" si="196">SUM(BU32:BU39)</f>
        <v>15840</v>
      </c>
      <c r="BV31" s="137">
        <f t="shared" si="196"/>
        <v>15840</v>
      </c>
      <c r="BW31" s="137">
        <f t="shared" si="196"/>
        <v>15840</v>
      </c>
      <c r="BX31" s="137">
        <f t="shared" si="196"/>
        <v>15840</v>
      </c>
      <c r="BY31" s="137">
        <f t="shared" si="196"/>
        <v>15840</v>
      </c>
      <c r="BZ31" s="137">
        <f t="shared" si="196"/>
        <v>15840</v>
      </c>
      <c r="CA31" s="137">
        <f t="shared" si="196"/>
        <v>15840</v>
      </c>
      <c r="CB31" s="137">
        <f t="shared" si="196"/>
        <v>15840</v>
      </c>
      <c r="CC31" s="137">
        <f t="shared" si="196"/>
        <v>15840</v>
      </c>
      <c r="CD31" s="137">
        <f t="shared" si="196"/>
        <v>15840</v>
      </c>
      <c r="CE31" s="137">
        <f t="shared" si="196"/>
        <v>15840</v>
      </c>
      <c r="CF31" s="137">
        <f t="shared" si="196"/>
        <v>190080</v>
      </c>
      <c r="CG31" s="167">
        <f t="shared" si="22"/>
        <v>0.54</v>
      </c>
      <c r="CI31" s="571" t="s">
        <v>9</v>
      </c>
      <c r="CJ31" s="572"/>
      <c r="CK31" s="137">
        <f t="shared" ref="CK31:CW31" si="197">SUM(CK32:CK39)</f>
        <v>27548</v>
      </c>
      <c r="CL31" s="137">
        <f t="shared" si="197"/>
        <v>27548</v>
      </c>
      <c r="CM31" s="137">
        <f t="shared" si="197"/>
        <v>27548</v>
      </c>
      <c r="CN31" s="137">
        <f t="shared" si="197"/>
        <v>27548</v>
      </c>
      <c r="CO31" s="137">
        <f t="shared" si="197"/>
        <v>27548</v>
      </c>
      <c r="CP31" s="137">
        <f t="shared" si="197"/>
        <v>27548</v>
      </c>
      <c r="CQ31" s="137">
        <f t="shared" si="197"/>
        <v>30680</v>
      </c>
      <c r="CR31" s="137">
        <f t="shared" si="197"/>
        <v>30680</v>
      </c>
      <c r="CS31" s="137">
        <f t="shared" si="197"/>
        <v>30680</v>
      </c>
      <c r="CT31" s="137">
        <f t="shared" si="197"/>
        <v>30680</v>
      </c>
      <c r="CU31" s="137">
        <f t="shared" si="197"/>
        <v>30680</v>
      </c>
      <c r="CV31" s="137" t="e">
        <f t="shared" si="197"/>
        <v>#REF!</v>
      </c>
      <c r="CW31" s="137" t="e">
        <f t="shared" si="197"/>
        <v>#REF!</v>
      </c>
      <c r="CX31" s="167" t="e">
        <f t="shared" si="23"/>
        <v>#REF!</v>
      </c>
      <c r="CZ31" s="571" t="s">
        <v>9</v>
      </c>
      <c r="DA31" s="572"/>
      <c r="DB31" s="137">
        <f t="shared" ref="DB31:DN31" si="198">SUM(DB32:DB39)</f>
        <v>32826</v>
      </c>
      <c r="DC31" s="137">
        <f t="shared" si="198"/>
        <v>32826</v>
      </c>
      <c r="DD31" s="137">
        <f t="shared" si="198"/>
        <v>32826</v>
      </c>
      <c r="DE31" s="137">
        <f t="shared" si="198"/>
        <v>32826</v>
      </c>
      <c r="DF31" s="137">
        <f t="shared" si="198"/>
        <v>32826</v>
      </c>
      <c r="DG31" s="137">
        <f t="shared" si="198"/>
        <v>32826</v>
      </c>
      <c r="DH31" s="137">
        <f t="shared" si="198"/>
        <v>34892</v>
      </c>
      <c r="DI31" s="137">
        <f t="shared" si="198"/>
        <v>34892</v>
      </c>
      <c r="DJ31" s="137">
        <f t="shared" si="198"/>
        <v>34892</v>
      </c>
      <c r="DK31" s="137">
        <f t="shared" si="198"/>
        <v>34892</v>
      </c>
      <c r="DL31" s="137">
        <f t="shared" si="198"/>
        <v>34892</v>
      </c>
      <c r="DM31" s="137" t="e">
        <f t="shared" si="198"/>
        <v>#REF!</v>
      </c>
      <c r="DN31" s="137" t="e">
        <f t="shared" si="198"/>
        <v>#REF!</v>
      </c>
      <c r="DO31" s="167" t="e">
        <f t="shared" si="24"/>
        <v>#REF!</v>
      </c>
      <c r="DQ31" s="571" t="s">
        <v>9</v>
      </c>
      <c r="DR31" s="572"/>
      <c r="DS31" s="137">
        <f t="shared" ref="DS31:EE31" si="199">SUM(DS32:DS39)</f>
        <v>37038</v>
      </c>
      <c r="DT31" s="137">
        <f t="shared" si="199"/>
        <v>37038</v>
      </c>
      <c r="DU31" s="137">
        <f t="shared" si="199"/>
        <v>37038</v>
      </c>
      <c r="DV31" s="137">
        <f t="shared" si="199"/>
        <v>37038</v>
      </c>
      <c r="DW31" s="137">
        <f t="shared" si="199"/>
        <v>40170</v>
      </c>
      <c r="DX31" s="137">
        <f t="shared" si="199"/>
        <v>42236</v>
      </c>
      <c r="DY31" s="137">
        <f t="shared" si="199"/>
        <v>42236</v>
      </c>
      <c r="DZ31" s="137">
        <f t="shared" si="199"/>
        <v>42236</v>
      </c>
      <c r="EA31" s="137">
        <f t="shared" si="199"/>
        <v>42236</v>
      </c>
      <c r="EB31" s="137">
        <f t="shared" si="199"/>
        <v>42236</v>
      </c>
      <c r="EC31" s="137">
        <f t="shared" si="199"/>
        <v>42236</v>
      </c>
      <c r="ED31" s="137" t="e">
        <f t="shared" si="199"/>
        <v>#REF!</v>
      </c>
      <c r="EE31" s="137" t="e">
        <f t="shared" si="199"/>
        <v>#REF!</v>
      </c>
      <c r="EF31" s="167" t="e">
        <f t="shared" si="25"/>
        <v>#REF!</v>
      </c>
      <c r="EH31" s="571" t="s">
        <v>9</v>
      </c>
      <c r="EI31" s="572"/>
      <c r="EJ31" s="137">
        <f t="shared" ref="EJ31:EV31" si="200">SUM(EJ32:EJ39)</f>
        <v>43316</v>
      </c>
      <c r="EK31" s="137">
        <f t="shared" si="200"/>
        <v>43316</v>
      </c>
      <c r="EL31" s="137">
        <f t="shared" si="200"/>
        <v>43316</v>
      </c>
      <c r="EM31" s="137">
        <f t="shared" si="200"/>
        <v>43316</v>
      </c>
      <c r="EN31" s="137">
        <f t="shared" si="200"/>
        <v>43316</v>
      </c>
      <c r="EO31" s="137">
        <f t="shared" si="200"/>
        <v>46448</v>
      </c>
      <c r="EP31" s="137">
        <f t="shared" si="200"/>
        <v>46448</v>
      </c>
      <c r="EQ31" s="137">
        <f t="shared" si="200"/>
        <v>46448</v>
      </c>
      <c r="ER31" s="137">
        <f t="shared" si="200"/>
        <v>46448</v>
      </c>
      <c r="ES31" s="137">
        <f t="shared" si="200"/>
        <v>46448</v>
      </c>
      <c r="ET31" s="137">
        <f t="shared" si="200"/>
        <v>46448</v>
      </c>
      <c r="EU31" s="137" t="e">
        <f t="shared" si="200"/>
        <v>#REF!</v>
      </c>
      <c r="EV31" s="137" t="e">
        <f t="shared" si="200"/>
        <v>#REF!</v>
      </c>
      <c r="EW31" s="167" t="e">
        <f t="shared" si="27"/>
        <v>#REF!</v>
      </c>
      <c r="EY31" s="571" t="s">
        <v>9</v>
      </c>
      <c r="EZ31" s="572"/>
      <c r="FA31" s="137">
        <f t="shared" ref="FA31:FM31" si="201">SUM(FA32:FA39)</f>
        <v>54560</v>
      </c>
      <c r="FB31" s="137">
        <f t="shared" si="201"/>
        <v>54560</v>
      </c>
      <c r="FC31" s="137">
        <f t="shared" si="201"/>
        <v>54560</v>
      </c>
      <c r="FD31" s="137">
        <f t="shared" si="201"/>
        <v>54560</v>
      </c>
      <c r="FE31" s="137">
        <f t="shared" si="201"/>
        <v>54560</v>
      </c>
      <c r="FF31" s="137">
        <f t="shared" si="201"/>
        <v>54560</v>
      </c>
      <c r="FG31" s="137">
        <f t="shared" si="201"/>
        <v>54560</v>
      </c>
      <c r="FH31" s="137">
        <f t="shared" si="201"/>
        <v>54560</v>
      </c>
      <c r="FI31" s="137">
        <f t="shared" si="201"/>
        <v>54560</v>
      </c>
      <c r="FJ31" s="137">
        <f t="shared" si="201"/>
        <v>54560</v>
      </c>
      <c r="FK31" s="137">
        <f t="shared" si="201"/>
        <v>54560</v>
      </c>
      <c r="FL31" s="137" t="e">
        <f t="shared" si="201"/>
        <v>#REF!</v>
      </c>
      <c r="FM31" s="137">
        <f t="shared" si="201"/>
        <v>654720</v>
      </c>
      <c r="FN31" s="167" t="e">
        <f t="shared" si="29"/>
        <v>#DIV/0!</v>
      </c>
    </row>
    <row r="32" spans="2:170" s="155" customFormat="1" ht="8.25" customHeight="1">
      <c r="B32" s="539"/>
      <c r="C32" s="4" t="s">
        <v>3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>
        <f t="shared" si="11"/>
        <v>0</v>
      </c>
      <c r="Q32" s="166" t="str">
        <f t="shared" si="16"/>
        <v/>
      </c>
      <c r="R32" s="531"/>
      <c r="S32" s="539"/>
      <c r="T32" s="4" t="str">
        <f t="shared" ref="T32:T39" si="202">IF(C32="","",C32)</f>
        <v>役員報酬</v>
      </c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>
        <f t="shared" ref="AG32:AG39" si="203">SUM(U32:AF32)</f>
        <v>0</v>
      </c>
      <c r="AH32" s="166" t="str">
        <f t="shared" si="57"/>
        <v/>
      </c>
      <c r="AJ32" s="539"/>
      <c r="AK32" s="4" t="str">
        <f t="shared" ref="AK32:AK39" si="204">IF(T32="","",T32)</f>
        <v>役員報酬</v>
      </c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>
        <f t="shared" ref="AX32:AX39" si="205">SUM(AL32:AW32)</f>
        <v>0</v>
      </c>
      <c r="AY32" s="166" t="str">
        <f t="shared" si="182"/>
        <v/>
      </c>
      <c r="BA32" s="539"/>
      <c r="BB32" s="4" t="s">
        <v>3</v>
      </c>
      <c r="BC32" s="2">
        <v>3000</v>
      </c>
      <c r="BD32" s="2">
        <v>3000</v>
      </c>
      <c r="BE32" s="2">
        <v>3000</v>
      </c>
      <c r="BF32" s="2">
        <v>3000</v>
      </c>
      <c r="BG32" s="2">
        <v>3000</v>
      </c>
      <c r="BH32" s="2">
        <v>3000</v>
      </c>
      <c r="BI32" s="2">
        <v>3000</v>
      </c>
      <c r="BJ32" s="2">
        <v>3000</v>
      </c>
      <c r="BK32" s="2">
        <v>3000</v>
      </c>
      <c r="BL32" s="2">
        <v>3000</v>
      </c>
      <c r="BM32" s="2">
        <v>3000</v>
      </c>
      <c r="BN32" s="2">
        <v>3000</v>
      </c>
      <c r="BO32" s="2">
        <f t="shared" ref="BO32:BO39" si="206">SUM(BC32:BN32)</f>
        <v>36000</v>
      </c>
      <c r="BP32" s="166">
        <f t="shared" si="20"/>
        <v>0.10227272727272728</v>
      </c>
      <c r="BR32" s="539"/>
      <c r="BS32" s="4" t="s">
        <v>3</v>
      </c>
      <c r="BT32" s="2">
        <v>4000</v>
      </c>
      <c r="BU32" s="2">
        <v>4000</v>
      </c>
      <c r="BV32" s="2">
        <v>4000</v>
      </c>
      <c r="BW32" s="2">
        <v>4000</v>
      </c>
      <c r="BX32" s="2">
        <v>4000</v>
      </c>
      <c r="BY32" s="2">
        <v>4000</v>
      </c>
      <c r="BZ32" s="2">
        <v>4000</v>
      </c>
      <c r="CA32" s="2">
        <v>4000</v>
      </c>
      <c r="CB32" s="2">
        <v>4000</v>
      </c>
      <c r="CC32" s="2">
        <v>4000</v>
      </c>
      <c r="CD32" s="2">
        <v>4000</v>
      </c>
      <c r="CE32" s="2">
        <v>4000</v>
      </c>
      <c r="CF32" s="2">
        <f t="shared" ref="CF32:CF39" si="207">SUM(BT32:CE32)</f>
        <v>48000</v>
      </c>
      <c r="CG32" s="166">
        <f t="shared" si="22"/>
        <v>0.13636363636363635</v>
      </c>
      <c r="CI32" s="539"/>
      <c r="CJ32" s="4" t="s">
        <v>3</v>
      </c>
      <c r="CK32" s="2">
        <v>5000</v>
      </c>
      <c r="CL32" s="2">
        <v>5000</v>
      </c>
      <c r="CM32" s="2">
        <v>5000</v>
      </c>
      <c r="CN32" s="2">
        <v>5000</v>
      </c>
      <c r="CO32" s="2">
        <v>5000</v>
      </c>
      <c r="CP32" s="2">
        <v>5000</v>
      </c>
      <c r="CQ32" s="2">
        <v>5000</v>
      </c>
      <c r="CR32" s="2">
        <v>5000</v>
      </c>
      <c r="CS32" s="2">
        <v>5000</v>
      </c>
      <c r="CT32" s="2">
        <v>5000</v>
      </c>
      <c r="CU32" s="2">
        <v>5000</v>
      </c>
      <c r="CV32" s="2">
        <v>5000</v>
      </c>
      <c r="CW32" s="2">
        <f t="shared" ref="CW32:CW39" si="208">SUM(CK32:CV32)</f>
        <v>60000</v>
      </c>
      <c r="CX32" s="166" t="e">
        <f t="shared" si="23"/>
        <v>#DIV/0!</v>
      </c>
      <c r="CZ32" s="539"/>
      <c r="DA32" s="4" t="s">
        <v>3</v>
      </c>
      <c r="DB32" s="2">
        <v>6000</v>
      </c>
      <c r="DC32" s="2">
        <v>6000</v>
      </c>
      <c r="DD32" s="2">
        <v>6000</v>
      </c>
      <c r="DE32" s="2">
        <v>6000</v>
      </c>
      <c r="DF32" s="2">
        <v>6000</v>
      </c>
      <c r="DG32" s="2">
        <v>6000</v>
      </c>
      <c r="DH32" s="2">
        <v>6000</v>
      </c>
      <c r="DI32" s="2">
        <v>6000</v>
      </c>
      <c r="DJ32" s="2">
        <v>6000</v>
      </c>
      <c r="DK32" s="2">
        <v>6000</v>
      </c>
      <c r="DL32" s="2">
        <v>6000</v>
      </c>
      <c r="DM32" s="2">
        <v>6000</v>
      </c>
      <c r="DN32" s="2">
        <f t="shared" ref="DN32:DN39" si="209">SUM(DB32:DM32)</f>
        <v>72000</v>
      </c>
      <c r="DO32" s="166" t="e">
        <f t="shared" si="24"/>
        <v>#DIV/0!</v>
      </c>
      <c r="DQ32" s="539"/>
      <c r="DR32" s="4" t="s">
        <v>3</v>
      </c>
      <c r="DS32" s="2">
        <v>7000</v>
      </c>
      <c r="DT32" s="2">
        <v>7000</v>
      </c>
      <c r="DU32" s="2">
        <v>7000</v>
      </c>
      <c r="DV32" s="2">
        <v>7000</v>
      </c>
      <c r="DW32" s="2">
        <v>7000</v>
      </c>
      <c r="DX32" s="2">
        <v>7000</v>
      </c>
      <c r="DY32" s="2">
        <v>7000</v>
      </c>
      <c r="DZ32" s="2">
        <v>7000</v>
      </c>
      <c r="EA32" s="2">
        <v>7000</v>
      </c>
      <c r="EB32" s="2">
        <v>7000</v>
      </c>
      <c r="EC32" s="2">
        <v>7000</v>
      </c>
      <c r="ED32" s="2">
        <v>7000</v>
      </c>
      <c r="EE32" s="2">
        <f t="shared" ref="EE32:EE39" si="210">SUM(DS32:ED32)</f>
        <v>84000</v>
      </c>
      <c r="EF32" s="166" t="e">
        <f t="shared" si="25"/>
        <v>#DIV/0!</v>
      </c>
      <c r="EH32" s="539"/>
      <c r="EI32" s="4" t="s">
        <v>3</v>
      </c>
      <c r="EJ32" s="2">
        <v>8000</v>
      </c>
      <c r="EK32" s="2">
        <v>8000</v>
      </c>
      <c r="EL32" s="2">
        <v>8000</v>
      </c>
      <c r="EM32" s="2">
        <v>8000</v>
      </c>
      <c r="EN32" s="2">
        <v>8000</v>
      </c>
      <c r="EO32" s="2">
        <v>8000</v>
      </c>
      <c r="EP32" s="2">
        <v>8000</v>
      </c>
      <c r="EQ32" s="2">
        <v>8000</v>
      </c>
      <c r="ER32" s="2">
        <v>8000</v>
      </c>
      <c r="ES32" s="2">
        <v>8000</v>
      </c>
      <c r="ET32" s="2">
        <v>8000</v>
      </c>
      <c r="EU32" s="2">
        <v>8000</v>
      </c>
      <c r="EV32" s="2">
        <f t="shared" ref="EV32:EV39" si="211">SUM(EJ32:EU32)</f>
        <v>96000</v>
      </c>
      <c r="EW32" s="166" t="e">
        <f t="shared" si="27"/>
        <v>#DIV/0!</v>
      </c>
      <c r="EY32" s="539"/>
      <c r="EZ32" s="4" t="s">
        <v>3</v>
      </c>
      <c r="FA32" s="2">
        <v>8000</v>
      </c>
      <c r="FB32" s="2">
        <v>8000</v>
      </c>
      <c r="FC32" s="2">
        <v>8000</v>
      </c>
      <c r="FD32" s="2">
        <v>8000</v>
      </c>
      <c r="FE32" s="2">
        <v>8000</v>
      </c>
      <c r="FF32" s="2">
        <v>8000</v>
      </c>
      <c r="FG32" s="2">
        <v>8000</v>
      </c>
      <c r="FH32" s="2">
        <v>8000</v>
      </c>
      <c r="FI32" s="2">
        <v>8000</v>
      </c>
      <c r="FJ32" s="2">
        <v>8000</v>
      </c>
      <c r="FK32" s="2">
        <v>8000</v>
      </c>
      <c r="FL32" s="2">
        <v>8000</v>
      </c>
      <c r="FM32" s="2">
        <f t="shared" ref="FM32:FM38" si="212">SUM(FA32:FL32)</f>
        <v>96000</v>
      </c>
      <c r="FN32" s="166" t="e">
        <f t="shared" si="29"/>
        <v>#DIV/0!</v>
      </c>
    </row>
    <row r="33" spans="1:170" s="155" customFormat="1" ht="8.25" customHeight="1">
      <c r="B33" s="539"/>
      <c r="C33" s="4" t="s">
        <v>4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>
        <f t="shared" si="11"/>
        <v>0</v>
      </c>
      <c r="Q33" s="166" t="str">
        <f t="shared" si="16"/>
        <v/>
      </c>
      <c r="R33" s="531"/>
      <c r="S33" s="539"/>
      <c r="T33" s="4" t="str">
        <f t="shared" si="202"/>
        <v>給料手当</v>
      </c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>
        <f t="shared" si="203"/>
        <v>0</v>
      </c>
      <c r="AH33" s="166" t="str">
        <f t="shared" si="57"/>
        <v/>
      </c>
      <c r="AJ33" s="539"/>
      <c r="AK33" s="4" t="str">
        <f t="shared" si="204"/>
        <v>給料手当</v>
      </c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>
        <f t="shared" si="205"/>
        <v>0</v>
      </c>
      <c r="AY33" s="166" t="str">
        <f t="shared" si="182"/>
        <v/>
      </c>
      <c r="BA33" s="539"/>
      <c r="BB33" s="4" t="s">
        <v>4</v>
      </c>
      <c r="BC33" s="2">
        <v>2000</v>
      </c>
      <c r="BD33" s="2">
        <v>2000</v>
      </c>
      <c r="BE33" s="2">
        <v>2000</v>
      </c>
      <c r="BF33" s="2">
        <v>2000</v>
      </c>
      <c r="BG33" s="2">
        <v>2000</v>
      </c>
      <c r="BH33" s="2">
        <v>2000</v>
      </c>
      <c r="BI33" s="2">
        <v>2000</v>
      </c>
      <c r="BJ33" s="2">
        <v>2000</v>
      </c>
      <c r="BK33" s="2">
        <v>2000</v>
      </c>
      <c r="BL33" s="2">
        <v>2000</v>
      </c>
      <c r="BM33" s="2">
        <v>2000</v>
      </c>
      <c r="BN33" s="2">
        <v>2000</v>
      </c>
      <c r="BO33" s="2">
        <f t="shared" si="206"/>
        <v>24000</v>
      </c>
      <c r="BP33" s="166">
        <f t="shared" si="20"/>
        <v>6.8181818181818177E-2</v>
      </c>
      <c r="BR33" s="539"/>
      <c r="BS33" s="4" t="s">
        <v>4</v>
      </c>
      <c r="BT33" s="2">
        <v>2000</v>
      </c>
      <c r="BU33" s="2">
        <v>2000</v>
      </c>
      <c r="BV33" s="2">
        <v>2000</v>
      </c>
      <c r="BW33" s="2">
        <v>2000</v>
      </c>
      <c r="BX33" s="2">
        <v>2000</v>
      </c>
      <c r="BY33" s="2">
        <v>2000</v>
      </c>
      <c r="BZ33" s="2">
        <v>2000</v>
      </c>
      <c r="CA33" s="2">
        <v>2000</v>
      </c>
      <c r="CB33" s="2">
        <v>2000</v>
      </c>
      <c r="CC33" s="2">
        <v>2000</v>
      </c>
      <c r="CD33" s="2">
        <v>2000</v>
      </c>
      <c r="CE33" s="2">
        <v>2000</v>
      </c>
      <c r="CF33" s="2">
        <f t="shared" si="207"/>
        <v>24000</v>
      </c>
      <c r="CG33" s="166">
        <f t="shared" si="22"/>
        <v>6.8181818181818177E-2</v>
      </c>
      <c r="CI33" s="539"/>
      <c r="CJ33" s="4" t="s">
        <v>4</v>
      </c>
      <c r="CK33" s="2">
        <f t="shared" ref="CK33:CV33" si="213">SUM(CK5:CK8)*400/2+SUM(CK10:CK13)/4*400</f>
        <v>3600</v>
      </c>
      <c r="CL33" s="2">
        <f t="shared" si="213"/>
        <v>3600</v>
      </c>
      <c r="CM33" s="2">
        <f t="shared" si="213"/>
        <v>3600</v>
      </c>
      <c r="CN33" s="2">
        <f t="shared" si="213"/>
        <v>3600</v>
      </c>
      <c r="CO33" s="2">
        <f t="shared" si="213"/>
        <v>3600</v>
      </c>
      <c r="CP33" s="2">
        <f t="shared" si="213"/>
        <v>3600</v>
      </c>
      <c r="CQ33" s="2">
        <f t="shared" si="213"/>
        <v>4000</v>
      </c>
      <c r="CR33" s="2">
        <f t="shared" si="213"/>
        <v>4000</v>
      </c>
      <c r="CS33" s="2">
        <f t="shared" si="213"/>
        <v>4000</v>
      </c>
      <c r="CT33" s="2">
        <f t="shared" si="213"/>
        <v>4000</v>
      </c>
      <c r="CU33" s="2">
        <f t="shared" si="213"/>
        <v>4000</v>
      </c>
      <c r="CV33" s="2">
        <f t="shared" si="213"/>
        <v>4000</v>
      </c>
      <c r="CW33" s="2">
        <f t="shared" si="208"/>
        <v>45600</v>
      </c>
      <c r="CX33" s="166" t="e">
        <f t="shared" si="23"/>
        <v>#DIV/0!</v>
      </c>
      <c r="CZ33" s="539"/>
      <c r="DA33" s="4" t="s">
        <v>4</v>
      </c>
      <c r="DB33" s="2">
        <f t="shared" ref="DB33:DM33" si="214">SUM(DB5:DB8)*400/2+SUM(DB10:DB13)/4*400</f>
        <v>4200</v>
      </c>
      <c r="DC33" s="2">
        <f t="shared" si="214"/>
        <v>4200</v>
      </c>
      <c r="DD33" s="2">
        <f t="shared" si="214"/>
        <v>4200</v>
      </c>
      <c r="DE33" s="2">
        <f t="shared" si="214"/>
        <v>4200</v>
      </c>
      <c r="DF33" s="2">
        <f t="shared" si="214"/>
        <v>4200</v>
      </c>
      <c r="DG33" s="2">
        <f t="shared" si="214"/>
        <v>4200</v>
      </c>
      <c r="DH33" s="2">
        <f t="shared" si="214"/>
        <v>4400</v>
      </c>
      <c r="DI33" s="2">
        <f t="shared" si="214"/>
        <v>4400</v>
      </c>
      <c r="DJ33" s="2">
        <f t="shared" si="214"/>
        <v>4400</v>
      </c>
      <c r="DK33" s="2">
        <f t="shared" si="214"/>
        <v>4400</v>
      </c>
      <c r="DL33" s="2">
        <f t="shared" si="214"/>
        <v>4400</v>
      </c>
      <c r="DM33" s="2">
        <f t="shared" si="214"/>
        <v>4400</v>
      </c>
      <c r="DN33" s="2">
        <f t="shared" si="209"/>
        <v>51600</v>
      </c>
      <c r="DO33" s="166" t="e">
        <f t="shared" si="24"/>
        <v>#DIV/0!</v>
      </c>
      <c r="DQ33" s="539"/>
      <c r="DR33" s="4" t="s">
        <v>4</v>
      </c>
      <c r="DS33" s="2">
        <f t="shared" ref="DS33:ED33" si="215">SUM(DS5:DS8)*400/2+SUM(DS10:DS13)/4*400</f>
        <v>4600</v>
      </c>
      <c r="DT33" s="2">
        <f t="shared" si="215"/>
        <v>4600</v>
      </c>
      <c r="DU33" s="2">
        <f t="shared" si="215"/>
        <v>4600</v>
      </c>
      <c r="DV33" s="2">
        <f t="shared" si="215"/>
        <v>4600</v>
      </c>
      <c r="DW33" s="2">
        <f t="shared" si="215"/>
        <v>5000</v>
      </c>
      <c r="DX33" s="2">
        <f t="shared" si="215"/>
        <v>5200</v>
      </c>
      <c r="DY33" s="2">
        <f t="shared" si="215"/>
        <v>5200</v>
      </c>
      <c r="DZ33" s="2">
        <f t="shared" si="215"/>
        <v>5200</v>
      </c>
      <c r="EA33" s="2">
        <f t="shared" si="215"/>
        <v>5200</v>
      </c>
      <c r="EB33" s="2">
        <f t="shared" si="215"/>
        <v>5200</v>
      </c>
      <c r="EC33" s="2">
        <f t="shared" si="215"/>
        <v>5200</v>
      </c>
      <c r="ED33" s="2">
        <f t="shared" si="215"/>
        <v>5200</v>
      </c>
      <c r="EE33" s="2">
        <f t="shared" si="210"/>
        <v>59800</v>
      </c>
      <c r="EF33" s="166" t="e">
        <f t="shared" si="25"/>
        <v>#DIV/0!</v>
      </c>
      <c r="EH33" s="539"/>
      <c r="EI33" s="4" t="s">
        <v>4</v>
      </c>
      <c r="EJ33" s="2">
        <f t="shared" ref="EJ33:EU33" si="216">SUM(EJ5:EJ8)*400/2+SUM(EJ10:EJ13)/4*400</f>
        <v>5200</v>
      </c>
      <c r="EK33" s="2">
        <f t="shared" si="216"/>
        <v>5200</v>
      </c>
      <c r="EL33" s="2">
        <f t="shared" si="216"/>
        <v>5200</v>
      </c>
      <c r="EM33" s="2">
        <f t="shared" si="216"/>
        <v>5200</v>
      </c>
      <c r="EN33" s="2">
        <f t="shared" si="216"/>
        <v>5200</v>
      </c>
      <c r="EO33" s="2">
        <f t="shared" si="216"/>
        <v>5600</v>
      </c>
      <c r="EP33" s="2">
        <f t="shared" si="216"/>
        <v>5600</v>
      </c>
      <c r="EQ33" s="2">
        <f t="shared" si="216"/>
        <v>5600</v>
      </c>
      <c r="ER33" s="2">
        <f t="shared" si="216"/>
        <v>5600</v>
      </c>
      <c r="ES33" s="2">
        <f t="shared" si="216"/>
        <v>5600</v>
      </c>
      <c r="ET33" s="2">
        <f t="shared" si="216"/>
        <v>5600</v>
      </c>
      <c r="EU33" s="2">
        <f t="shared" si="216"/>
        <v>6000</v>
      </c>
      <c r="EV33" s="2">
        <f t="shared" si="211"/>
        <v>65600</v>
      </c>
      <c r="EW33" s="166" t="e">
        <f t="shared" si="27"/>
        <v>#DIV/0!</v>
      </c>
      <c r="EY33" s="539"/>
      <c r="EZ33" s="4" t="s">
        <v>4</v>
      </c>
      <c r="FA33" s="2">
        <f t="shared" ref="FA33:FL33" si="217">SUM(FA5:FA8)*400/2+SUM(FA10:FA13)/4*400</f>
        <v>7000</v>
      </c>
      <c r="FB33" s="2">
        <f t="shared" si="217"/>
        <v>7000</v>
      </c>
      <c r="FC33" s="2">
        <f t="shared" si="217"/>
        <v>7000</v>
      </c>
      <c r="FD33" s="2">
        <f t="shared" si="217"/>
        <v>7000</v>
      </c>
      <c r="FE33" s="2">
        <f t="shared" si="217"/>
        <v>7000</v>
      </c>
      <c r="FF33" s="2">
        <f t="shared" si="217"/>
        <v>7000</v>
      </c>
      <c r="FG33" s="2">
        <f t="shared" si="217"/>
        <v>7000</v>
      </c>
      <c r="FH33" s="2">
        <f t="shared" si="217"/>
        <v>7000</v>
      </c>
      <c r="FI33" s="2">
        <f t="shared" si="217"/>
        <v>7000</v>
      </c>
      <c r="FJ33" s="2">
        <f t="shared" si="217"/>
        <v>7000</v>
      </c>
      <c r="FK33" s="2">
        <f t="shared" si="217"/>
        <v>7000</v>
      </c>
      <c r="FL33" s="2">
        <f t="shared" si="217"/>
        <v>7000</v>
      </c>
      <c r="FM33" s="2">
        <f t="shared" si="212"/>
        <v>84000</v>
      </c>
      <c r="FN33" s="166" t="e">
        <f t="shared" si="29"/>
        <v>#DIV/0!</v>
      </c>
    </row>
    <row r="34" spans="1:170" s="155" customFormat="1" ht="8.25" customHeight="1">
      <c r="B34" s="539"/>
      <c r="C34" s="4" t="s">
        <v>5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>
        <f t="shared" si="11"/>
        <v>0</v>
      </c>
      <c r="Q34" s="166" t="str">
        <f t="shared" si="16"/>
        <v/>
      </c>
      <c r="R34" s="531"/>
      <c r="S34" s="539"/>
      <c r="T34" s="4" t="str">
        <f t="shared" si="202"/>
        <v>法定福利費</v>
      </c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>
        <f t="shared" si="203"/>
        <v>0</v>
      </c>
      <c r="AH34" s="166" t="str">
        <f t="shared" si="57"/>
        <v/>
      </c>
      <c r="AJ34" s="539"/>
      <c r="AK34" s="4" t="str">
        <f t="shared" si="204"/>
        <v>法定福利費</v>
      </c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>
        <f t="shared" si="205"/>
        <v>0</v>
      </c>
      <c r="AY34" s="166" t="str">
        <f t="shared" si="182"/>
        <v/>
      </c>
      <c r="BA34" s="539"/>
      <c r="BB34" s="4" t="s">
        <v>5</v>
      </c>
      <c r="BC34" s="2">
        <f t="shared" ref="BC34:BN34" si="218">(BC32+BC33)*0.08</f>
        <v>400</v>
      </c>
      <c r="BD34" s="2">
        <f t="shared" si="218"/>
        <v>400</v>
      </c>
      <c r="BE34" s="2">
        <f t="shared" si="218"/>
        <v>400</v>
      </c>
      <c r="BF34" s="2">
        <f t="shared" si="218"/>
        <v>400</v>
      </c>
      <c r="BG34" s="2">
        <f t="shared" si="218"/>
        <v>400</v>
      </c>
      <c r="BH34" s="2">
        <f t="shared" si="218"/>
        <v>400</v>
      </c>
      <c r="BI34" s="2">
        <f t="shared" si="218"/>
        <v>400</v>
      </c>
      <c r="BJ34" s="2">
        <f t="shared" si="218"/>
        <v>400</v>
      </c>
      <c r="BK34" s="2">
        <f t="shared" si="218"/>
        <v>400</v>
      </c>
      <c r="BL34" s="2">
        <f t="shared" si="218"/>
        <v>400</v>
      </c>
      <c r="BM34" s="2">
        <f t="shared" si="218"/>
        <v>400</v>
      </c>
      <c r="BN34" s="2">
        <f t="shared" si="218"/>
        <v>400</v>
      </c>
      <c r="BO34" s="2">
        <f t="shared" si="206"/>
        <v>4800</v>
      </c>
      <c r="BP34" s="166">
        <f t="shared" si="20"/>
        <v>1.3636363636363636E-2</v>
      </c>
      <c r="BR34" s="539"/>
      <c r="BS34" s="4" t="s">
        <v>5</v>
      </c>
      <c r="BT34" s="2">
        <f t="shared" ref="BT34:CE34" si="219">(BT32+BT33)*0.08</f>
        <v>480</v>
      </c>
      <c r="BU34" s="2">
        <f t="shared" si="219"/>
        <v>480</v>
      </c>
      <c r="BV34" s="2">
        <f t="shared" si="219"/>
        <v>480</v>
      </c>
      <c r="BW34" s="2">
        <f t="shared" si="219"/>
        <v>480</v>
      </c>
      <c r="BX34" s="2">
        <f t="shared" si="219"/>
        <v>480</v>
      </c>
      <c r="BY34" s="2">
        <f t="shared" si="219"/>
        <v>480</v>
      </c>
      <c r="BZ34" s="2">
        <f t="shared" si="219"/>
        <v>480</v>
      </c>
      <c r="CA34" s="2">
        <f t="shared" si="219"/>
        <v>480</v>
      </c>
      <c r="CB34" s="2">
        <f t="shared" si="219"/>
        <v>480</v>
      </c>
      <c r="CC34" s="2">
        <f t="shared" si="219"/>
        <v>480</v>
      </c>
      <c r="CD34" s="2">
        <f t="shared" si="219"/>
        <v>480</v>
      </c>
      <c r="CE34" s="2">
        <f t="shared" si="219"/>
        <v>480</v>
      </c>
      <c r="CF34" s="2">
        <f t="shared" si="207"/>
        <v>5760</v>
      </c>
      <c r="CG34" s="166">
        <f t="shared" si="22"/>
        <v>1.6363636363636365E-2</v>
      </c>
      <c r="CI34" s="539"/>
      <c r="CJ34" s="4" t="s">
        <v>5</v>
      </c>
      <c r="CK34" s="2">
        <f t="shared" ref="CK34:CV34" si="220">(CK32+CK33)*0.08</f>
        <v>688</v>
      </c>
      <c r="CL34" s="2">
        <f t="shared" si="220"/>
        <v>688</v>
      </c>
      <c r="CM34" s="2">
        <f t="shared" si="220"/>
        <v>688</v>
      </c>
      <c r="CN34" s="2">
        <f t="shared" si="220"/>
        <v>688</v>
      </c>
      <c r="CO34" s="2">
        <f t="shared" si="220"/>
        <v>688</v>
      </c>
      <c r="CP34" s="2">
        <f t="shared" si="220"/>
        <v>688</v>
      </c>
      <c r="CQ34" s="2">
        <f t="shared" si="220"/>
        <v>720</v>
      </c>
      <c r="CR34" s="2">
        <f t="shared" si="220"/>
        <v>720</v>
      </c>
      <c r="CS34" s="2">
        <f t="shared" si="220"/>
        <v>720</v>
      </c>
      <c r="CT34" s="2">
        <f t="shared" si="220"/>
        <v>720</v>
      </c>
      <c r="CU34" s="2">
        <f t="shared" si="220"/>
        <v>720</v>
      </c>
      <c r="CV34" s="2">
        <f t="shared" si="220"/>
        <v>720</v>
      </c>
      <c r="CW34" s="2">
        <f t="shared" si="208"/>
        <v>8448</v>
      </c>
      <c r="CX34" s="166" t="e">
        <f t="shared" si="23"/>
        <v>#DIV/0!</v>
      </c>
      <c r="CZ34" s="539"/>
      <c r="DA34" s="4" t="s">
        <v>5</v>
      </c>
      <c r="DB34" s="2">
        <f t="shared" ref="DB34:DM34" si="221">(DB32+DB33)*0.08</f>
        <v>816</v>
      </c>
      <c r="DC34" s="2">
        <f t="shared" si="221"/>
        <v>816</v>
      </c>
      <c r="DD34" s="2">
        <f t="shared" si="221"/>
        <v>816</v>
      </c>
      <c r="DE34" s="2">
        <f t="shared" si="221"/>
        <v>816</v>
      </c>
      <c r="DF34" s="2">
        <f t="shared" si="221"/>
        <v>816</v>
      </c>
      <c r="DG34" s="2">
        <f t="shared" si="221"/>
        <v>816</v>
      </c>
      <c r="DH34" s="2">
        <f t="shared" si="221"/>
        <v>832</v>
      </c>
      <c r="DI34" s="2">
        <f t="shared" si="221"/>
        <v>832</v>
      </c>
      <c r="DJ34" s="2">
        <f t="shared" si="221"/>
        <v>832</v>
      </c>
      <c r="DK34" s="2">
        <f t="shared" si="221"/>
        <v>832</v>
      </c>
      <c r="DL34" s="2">
        <f t="shared" si="221"/>
        <v>832</v>
      </c>
      <c r="DM34" s="2">
        <f t="shared" si="221"/>
        <v>832</v>
      </c>
      <c r="DN34" s="2">
        <f t="shared" si="209"/>
        <v>9888</v>
      </c>
      <c r="DO34" s="166" t="e">
        <f t="shared" si="24"/>
        <v>#DIV/0!</v>
      </c>
      <c r="DQ34" s="539"/>
      <c r="DR34" s="4" t="s">
        <v>5</v>
      </c>
      <c r="DS34" s="2">
        <f t="shared" ref="DS34:ED34" si="222">(DS32+DS33)*0.08</f>
        <v>928</v>
      </c>
      <c r="DT34" s="2">
        <f t="shared" si="222"/>
        <v>928</v>
      </c>
      <c r="DU34" s="2">
        <f t="shared" si="222"/>
        <v>928</v>
      </c>
      <c r="DV34" s="2">
        <f t="shared" si="222"/>
        <v>928</v>
      </c>
      <c r="DW34" s="2">
        <f t="shared" si="222"/>
        <v>960</v>
      </c>
      <c r="DX34" s="2">
        <f t="shared" si="222"/>
        <v>976</v>
      </c>
      <c r="DY34" s="2">
        <f t="shared" si="222"/>
        <v>976</v>
      </c>
      <c r="DZ34" s="2">
        <f t="shared" si="222"/>
        <v>976</v>
      </c>
      <c r="EA34" s="2">
        <f t="shared" si="222"/>
        <v>976</v>
      </c>
      <c r="EB34" s="2">
        <f t="shared" si="222"/>
        <v>976</v>
      </c>
      <c r="EC34" s="2">
        <f t="shared" si="222"/>
        <v>976</v>
      </c>
      <c r="ED34" s="2">
        <f t="shared" si="222"/>
        <v>976</v>
      </c>
      <c r="EE34" s="2">
        <f t="shared" si="210"/>
        <v>11504</v>
      </c>
      <c r="EF34" s="166" t="e">
        <f t="shared" si="25"/>
        <v>#DIV/0!</v>
      </c>
      <c r="EH34" s="539"/>
      <c r="EI34" s="4" t="s">
        <v>5</v>
      </c>
      <c r="EJ34" s="2">
        <f t="shared" ref="EJ34:EU34" si="223">(EJ32+EJ33)*0.08</f>
        <v>1056</v>
      </c>
      <c r="EK34" s="2">
        <f t="shared" si="223"/>
        <v>1056</v>
      </c>
      <c r="EL34" s="2">
        <f t="shared" si="223"/>
        <v>1056</v>
      </c>
      <c r="EM34" s="2">
        <f t="shared" si="223"/>
        <v>1056</v>
      </c>
      <c r="EN34" s="2">
        <f t="shared" si="223"/>
        <v>1056</v>
      </c>
      <c r="EO34" s="2">
        <f t="shared" si="223"/>
        <v>1088</v>
      </c>
      <c r="EP34" s="2">
        <f t="shared" si="223"/>
        <v>1088</v>
      </c>
      <c r="EQ34" s="2">
        <f t="shared" si="223"/>
        <v>1088</v>
      </c>
      <c r="ER34" s="2">
        <f t="shared" si="223"/>
        <v>1088</v>
      </c>
      <c r="ES34" s="2">
        <f t="shared" si="223"/>
        <v>1088</v>
      </c>
      <c r="ET34" s="2">
        <f t="shared" si="223"/>
        <v>1088</v>
      </c>
      <c r="EU34" s="2">
        <f t="shared" si="223"/>
        <v>1120</v>
      </c>
      <c r="EV34" s="2">
        <f t="shared" si="211"/>
        <v>12928</v>
      </c>
      <c r="EW34" s="166" t="e">
        <f t="shared" si="27"/>
        <v>#DIV/0!</v>
      </c>
      <c r="EY34" s="539"/>
      <c r="EZ34" s="4" t="s">
        <v>5</v>
      </c>
      <c r="FA34" s="2">
        <f t="shared" ref="FA34:FL34" si="224">(FA32+FA33)*0.08</f>
        <v>1200</v>
      </c>
      <c r="FB34" s="2">
        <f t="shared" si="224"/>
        <v>1200</v>
      </c>
      <c r="FC34" s="2">
        <f t="shared" si="224"/>
        <v>1200</v>
      </c>
      <c r="FD34" s="2">
        <f t="shared" si="224"/>
        <v>1200</v>
      </c>
      <c r="FE34" s="2">
        <f t="shared" si="224"/>
        <v>1200</v>
      </c>
      <c r="FF34" s="2">
        <f t="shared" si="224"/>
        <v>1200</v>
      </c>
      <c r="FG34" s="2">
        <f t="shared" si="224"/>
        <v>1200</v>
      </c>
      <c r="FH34" s="2">
        <f t="shared" si="224"/>
        <v>1200</v>
      </c>
      <c r="FI34" s="2">
        <f t="shared" si="224"/>
        <v>1200</v>
      </c>
      <c r="FJ34" s="2">
        <f t="shared" si="224"/>
        <v>1200</v>
      </c>
      <c r="FK34" s="2">
        <f t="shared" si="224"/>
        <v>1200</v>
      </c>
      <c r="FL34" s="2">
        <f t="shared" si="224"/>
        <v>1200</v>
      </c>
      <c r="FM34" s="2">
        <f t="shared" si="212"/>
        <v>14400</v>
      </c>
      <c r="FN34" s="166" t="e">
        <f t="shared" si="29"/>
        <v>#DIV/0!</v>
      </c>
    </row>
    <row r="35" spans="1:170" s="155" customFormat="1" ht="8.25" customHeight="1">
      <c r="B35" s="539"/>
      <c r="C35" s="4" t="s">
        <v>518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>
        <f t="shared" si="11"/>
        <v>0</v>
      </c>
      <c r="Q35" s="166" t="str">
        <f t="shared" si="16"/>
        <v/>
      </c>
      <c r="R35" s="531"/>
      <c r="S35" s="539"/>
      <c r="T35" s="4" t="str">
        <f t="shared" si="202"/>
        <v>事務管理費</v>
      </c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>
        <f t="shared" si="203"/>
        <v>0</v>
      </c>
      <c r="AH35" s="166" t="str">
        <f t="shared" si="57"/>
        <v/>
      </c>
      <c r="AJ35" s="539"/>
      <c r="AK35" s="4" t="str">
        <f t="shared" si="204"/>
        <v>事務管理費</v>
      </c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>
        <f t="shared" si="205"/>
        <v>0</v>
      </c>
      <c r="AY35" s="166" t="str">
        <f t="shared" si="182"/>
        <v/>
      </c>
      <c r="BA35" s="539"/>
      <c r="BB35" s="4" t="s">
        <v>268</v>
      </c>
      <c r="BC35" s="2">
        <v>2000</v>
      </c>
      <c r="BD35" s="2">
        <v>2000</v>
      </c>
      <c r="BE35" s="2">
        <v>2000</v>
      </c>
      <c r="BF35" s="2">
        <v>2000</v>
      </c>
      <c r="BG35" s="2">
        <v>2000</v>
      </c>
      <c r="BH35" s="2">
        <v>2000</v>
      </c>
      <c r="BI35" s="2">
        <v>2000</v>
      </c>
      <c r="BJ35" s="2">
        <v>2000</v>
      </c>
      <c r="BK35" s="2">
        <v>2000</v>
      </c>
      <c r="BL35" s="2">
        <v>2000</v>
      </c>
      <c r="BM35" s="2">
        <v>2000</v>
      </c>
      <c r="BN35" s="2">
        <v>2000</v>
      </c>
      <c r="BO35" s="2">
        <f t="shared" si="206"/>
        <v>24000</v>
      </c>
      <c r="BP35" s="166">
        <f t="shared" si="20"/>
        <v>6.8181818181818177E-2</v>
      </c>
      <c r="BR35" s="539"/>
      <c r="BS35" s="4" t="s">
        <v>268</v>
      </c>
      <c r="BT35" s="2">
        <v>2000</v>
      </c>
      <c r="BU35" s="2">
        <v>2000</v>
      </c>
      <c r="BV35" s="2">
        <v>2000</v>
      </c>
      <c r="BW35" s="2">
        <v>2000</v>
      </c>
      <c r="BX35" s="2">
        <v>2000</v>
      </c>
      <c r="BY35" s="2">
        <v>2000</v>
      </c>
      <c r="BZ35" s="2">
        <v>2000</v>
      </c>
      <c r="CA35" s="2">
        <v>2000</v>
      </c>
      <c r="CB35" s="2">
        <v>2000</v>
      </c>
      <c r="CC35" s="2">
        <v>2000</v>
      </c>
      <c r="CD35" s="2">
        <v>2000</v>
      </c>
      <c r="CE35" s="2">
        <v>2000</v>
      </c>
      <c r="CF35" s="2">
        <f t="shared" si="207"/>
        <v>24000</v>
      </c>
      <c r="CG35" s="166">
        <f t="shared" si="22"/>
        <v>6.8181818181818177E-2</v>
      </c>
      <c r="CI35" s="539"/>
      <c r="CJ35" s="4" t="s">
        <v>268</v>
      </c>
      <c r="CK35" s="2">
        <f t="shared" ref="CK35:CV35" si="225">(CK5+CK6+CK7+CK8)*200</f>
        <v>3600</v>
      </c>
      <c r="CL35" s="2">
        <f t="shared" si="225"/>
        <v>3600</v>
      </c>
      <c r="CM35" s="2">
        <f t="shared" si="225"/>
        <v>3600</v>
      </c>
      <c r="CN35" s="2">
        <f t="shared" si="225"/>
        <v>3600</v>
      </c>
      <c r="CO35" s="2">
        <f t="shared" si="225"/>
        <v>3600</v>
      </c>
      <c r="CP35" s="2">
        <f t="shared" si="225"/>
        <v>3600</v>
      </c>
      <c r="CQ35" s="2">
        <f t="shared" si="225"/>
        <v>4000</v>
      </c>
      <c r="CR35" s="2">
        <f t="shared" si="225"/>
        <v>4000</v>
      </c>
      <c r="CS35" s="2">
        <f t="shared" si="225"/>
        <v>4000</v>
      </c>
      <c r="CT35" s="2">
        <f t="shared" si="225"/>
        <v>4000</v>
      </c>
      <c r="CU35" s="2">
        <f t="shared" si="225"/>
        <v>4000</v>
      </c>
      <c r="CV35" s="2">
        <f t="shared" si="225"/>
        <v>4000</v>
      </c>
      <c r="CW35" s="2">
        <f t="shared" si="208"/>
        <v>45600</v>
      </c>
      <c r="CX35" s="166" t="e">
        <f t="shared" si="23"/>
        <v>#DIV/0!</v>
      </c>
      <c r="CZ35" s="539"/>
      <c r="DA35" s="4" t="s">
        <v>268</v>
      </c>
      <c r="DB35" s="2">
        <f t="shared" ref="DB35:DM35" si="226">(DB5+DB6+DB7+DB8)*200</f>
        <v>4200</v>
      </c>
      <c r="DC35" s="2">
        <f t="shared" si="226"/>
        <v>4200</v>
      </c>
      <c r="DD35" s="2">
        <f t="shared" si="226"/>
        <v>4200</v>
      </c>
      <c r="DE35" s="2">
        <f t="shared" si="226"/>
        <v>4200</v>
      </c>
      <c r="DF35" s="2">
        <f t="shared" si="226"/>
        <v>4200</v>
      </c>
      <c r="DG35" s="2">
        <f t="shared" si="226"/>
        <v>4200</v>
      </c>
      <c r="DH35" s="2">
        <f t="shared" si="226"/>
        <v>4400</v>
      </c>
      <c r="DI35" s="2">
        <f t="shared" si="226"/>
        <v>4400</v>
      </c>
      <c r="DJ35" s="2">
        <f t="shared" si="226"/>
        <v>4400</v>
      </c>
      <c r="DK35" s="2">
        <f t="shared" si="226"/>
        <v>4400</v>
      </c>
      <c r="DL35" s="2">
        <f t="shared" si="226"/>
        <v>4400</v>
      </c>
      <c r="DM35" s="2">
        <f t="shared" si="226"/>
        <v>4400</v>
      </c>
      <c r="DN35" s="2">
        <f t="shared" si="209"/>
        <v>51600</v>
      </c>
      <c r="DO35" s="166" t="e">
        <f t="shared" si="24"/>
        <v>#DIV/0!</v>
      </c>
      <c r="DQ35" s="539"/>
      <c r="DR35" s="4" t="s">
        <v>268</v>
      </c>
      <c r="DS35" s="2">
        <f t="shared" ref="DS35:ED35" si="227">(DS5+DS6+DS7+DS8)*200</f>
        <v>4600</v>
      </c>
      <c r="DT35" s="2">
        <f t="shared" si="227"/>
        <v>4600</v>
      </c>
      <c r="DU35" s="2">
        <f t="shared" si="227"/>
        <v>4600</v>
      </c>
      <c r="DV35" s="2">
        <f t="shared" si="227"/>
        <v>4600</v>
      </c>
      <c r="DW35" s="2">
        <f t="shared" si="227"/>
        <v>5000</v>
      </c>
      <c r="DX35" s="2">
        <f t="shared" si="227"/>
        <v>5200</v>
      </c>
      <c r="DY35" s="2">
        <f t="shared" si="227"/>
        <v>5200</v>
      </c>
      <c r="DZ35" s="2">
        <f t="shared" si="227"/>
        <v>5200</v>
      </c>
      <c r="EA35" s="2">
        <f t="shared" si="227"/>
        <v>5200</v>
      </c>
      <c r="EB35" s="2">
        <f t="shared" si="227"/>
        <v>5200</v>
      </c>
      <c r="EC35" s="2">
        <f t="shared" si="227"/>
        <v>5200</v>
      </c>
      <c r="ED35" s="2">
        <f t="shared" si="227"/>
        <v>5200</v>
      </c>
      <c r="EE35" s="2">
        <f t="shared" si="210"/>
        <v>59800</v>
      </c>
      <c r="EF35" s="166" t="e">
        <f t="shared" si="25"/>
        <v>#DIV/0!</v>
      </c>
      <c r="EH35" s="539"/>
      <c r="EI35" s="4" t="s">
        <v>268</v>
      </c>
      <c r="EJ35" s="2">
        <f t="shared" ref="EJ35:EU35" si="228">(EJ5+EJ6+EJ7+EJ8)*200</f>
        <v>5200</v>
      </c>
      <c r="EK35" s="2">
        <f t="shared" si="228"/>
        <v>5200</v>
      </c>
      <c r="EL35" s="2">
        <f t="shared" si="228"/>
        <v>5200</v>
      </c>
      <c r="EM35" s="2">
        <f t="shared" si="228"/>
        <v>5200</v>
      </c>
      <c r="EN35" s="2">
        <f t="shared" si="228"/>
        <v>5200</v>
      </c>
      <c r="EO35" s="2">
        <f t="shared" si="228"/>
        <v>5600</v>
      </c>
      <c r="EP35" s="2">
        <f t="shared" si="228"/>
        <v>5600</v>
      </c>
      <c r="EQ35" s="2">
        <f t="shared" si="228"/>
        <v>5600</v>
      </c>
      <c r="ER35" s="2">
        <f t="shared" si="228"/>
        <v>5600</v>
      </c>
      <c r="ES35" s="2">
        <f t="shared" si="228"/>
        <v>5600</v>
      </c>
      <c r="ET35" s="2">
        <f t="shared" si="228"/>
        <v>5600</v>
      </c>
      <c r="EU35" s="2">
        <f t="shared" si="228"/>
        <v>6000</v>
      </c>
      <c r="EV35" s="2">
        <f t="shared" si="211"/>
        <v>65600</v>
      </c>
      <c r="EW35" s="166" t="e">
        <f t="shared" si="27"/>
        <v>#DIV/0!</v>
      </c>
      <c r="EY35" s="539"/>
      <c r="EZ35" s="4" t="s">
        <v>268</v>
      </c>
      <c r="FA35" s="2">
        <f t="shared" ref="FA35:FL35" si="229">(FA5+FA6+FA7+FA8)*200</f>
        <v>7000</v>
      </c>
      <c r="FB35" s="2">
        <f t="shared" si="229"/>
        <v>7000</v>
      </c>
      <c r="FC35" s="2">
        <f t="shared" si="229"/>
        <v>7000</v>
      </c>
      <c r="FD35" s="2">
        <f t="shared" si="229"/>
        <v>7000</v>
      </c>
      <c r="FE35" s="2">
        <f t="shared" si="229"/>
        <v>7000</v>
      </c>
      <c r="FF35" s="2">
        <f t="shared" si="229"/>
        <v>7000</v>
      </c>
      <c r="FG35" s="2">
        <f t="shared" si="229"/>
        <v>7000</v>
      </c>
      <c r="FH35" s="2">
        <f t="shared" si="229"/>
        <v>7000</v>
      </c>
      <c r="FI35" s="2">
        <f t="shared" si="229"/>
        <v>7000</v>
      </c>
      <c r="FJ35" s="2">
        <f t="shared" si="229"/>
        <v>7000</v>
      </c>
      <c r="FK35" s="2">
        <f t="shared" si="229"/>
        <v>7000</v>
      </c>
      <c r="FL35" s="2">
        <f t="shared" si="229"/>
        <v>7000</v>
      </c>
      <c r="FM35" s="2">
        <f t="shared" si="212"/>
        <v>84000</v>
      </c>
      <c r="FN35" s="166" t="e">
        <f t="shared" si="29"/>
        <v>#DIV/0!</v>
      </c>
    </row>
    <row r="36" spans="1:170" s="155" customFormat="1" ht="8.25" customHeight="1">
      <c r="B36" s="539"/>
      <c r="C36" s="4" t="s">
        <v>519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>
        <f t="shared" si="11"/>
        <v>0</v>
      </c>
      <c r="Q36" s="166" t="str">
        <f t="shared" si="16"/>
        <v/>
      </c>
      <c r="R36" s="531"/>
      <c r="S36" s="539"/>
      <c r="T36" s="4" t="str">
        <f t="shared" si="202"/>
        <v>運営管理費</v>
      </c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>
        <f t="shared" si="203"/>
        <v>0</v>
      </c>
      <c r="AH36" s="166" t="str">
        <f t="shared" si="57"/>
        <v/>
      </c>
      <c r="AJ36" s="539"/>
      <c r="AK36" s="4" t="str">
        <f t="shared" si="204"/>
        <v>運営管理費</v>
      </c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>
        <f t="shared" si="205"/>
        <v>0</v>
      </c>
      <c r="AY36" s="166" t="str">
        <f t="shared" si="182"/>
        <v/>
      </c>
      <c r="BA36" s="539"/>
      <c r="BB36" s="4" t="s">
        <v>269</v>
      </c>
      <c r="BC36" s="2">
        <v>1000</v>
      </c>
      <c r="BD36" s="2">
        <v>1000</v>
      </c>
      <c r="BE36" s="2">
        <v>1000</v>
      </c>
      <c r="BF36" s="2">
        <v>1000</v>
      </c>
      <c r="BG36" s="2">
        <v>1000</v>
      </c>
      <c r="BH36" s="2">
        <v>1000</v>
      </c>
      <c r="BI36" s="2">
        <v>1000</v>
      </c>
      <c r="BJ36" s="2">
        <v>1000</v>
      </c>
      <c r="BK36" s="2">
        <v>1000</v>
      </c>
      <c r="BL36" s="2">
        <v>1000</v>
      </c>
      <c r="BM36" s="2">
        <v>1000</v>
      </c>
      <c r="BN36" s="2">
        <v>1000</v>
      </c>
      <c r="BO36" s="2">
        <f t="shared" si="206"/>
        <v>12000</v>
      </c>
      <c r="BP36" s="166">
        <f t="shared" si="20"/>
        <v>3.4090909090909088E-2</v>
      </c>
      <c r="BR36" s="539"/>
      <c r="BS36" s="4" t="s">
        <v>269</v>
      </c>
      <c r="BT36" s="2">
        <v>1000</v>
      </c>
      <c r="BU36" s="2">
        <v>1000</v>
      </c>
      <c r="BV36" s="2">
        <v>1000</v>
      </c>
      <c r="BW36" s="2">
        <v>1000</v>
      </c>
      <c r="BX36" s="2">
        <v>1000</v>
      </c>
      <c r="BY36" s="2">
        <v>1000</v>
      </c>
      <c r="BZ36" s="2">
        <v>1000</v>
      </c>
      <c r="CA36" s="2">
        <v>1000</v>
      </c>
      <c r="CB36" s="2">
        <v>1000</v>
      </c>
      <c r="CC36" s="2">
        <v>1000</v>
      </c>
      <c r="CD36" s="2">
        <v>1000</v>
      </c>
      <c r="CE36" s="2">
        <v>1000</v>
      </c>
      <c r="CF36" s="2">
        <f t="shared" si="207"/>
        <v>12000</v>
      </c>
      <c r="CG36" s="166">
        <f t="shared" si="22"/>
        <v>3.4090909090909088E-2</v>
      </c>
      <c r="CI36" s="539"/>
      <c r="CJ36" s="4" t="s">
        <v>269</v>
      </c>
      <c r="CK36" s="2">
        <f>(CK10+CK11+CK12+CK13)*100</f>
        <v>0</v>
      </c>
      <c r="CL36" s="2">
        <f t="shared" ref="CL36:CV36" si="230">(CL10+CL11+CL12+CL13)*100</f>
        <v>0</v>
      </c>
      <c r="CM36" s="2">
        <f t="shared" si="230"/>
        <v>0</v>
      </c>
      <c r="CN36" s="2">
        <f t="shared" si="230"/>
        <v>0</v>
      </c>
      <c r="CO36" s="2">
        <f t="shared" si="230"/>
        <v>0</v>
      </c>
      <c r="CP36" s="2">
        <f t="shared" si="230"/>
        <v>0</v>
      </c>
      <c r="CQ36" s="2">
        <f t="shared" si="230"/>
        <v>0</v>
      </c>
      <c r="CR36" s="2">
        <f t="shared" si="230"/>
        <v>0</v>
      </c>
      <c r="CS36" s="2">
        <f t="shared" si="230"/>
        <v>0</v>
      </c>
      <c r="CT36" s="2">
        <f t="shared" si="230"/>
        <v>0</v>
      </c>
      <c r="CU36" s="2">
        <f t="shared" si="230"/>
        <v>0</v>
      </c>
      <c r="CV36" s="2">
        <f t="shared" si="230"/>
        <v>0</v>
      </c>
      <c r="CW36" s="2">
        <f t="shared" si="208"/>
        <v>0</v>
      </c>
      <c r="CX36" s="166" t="str">
        <f t="shared" si="23"/>
        <v/>
      </c>
      <c r="CZ36" s="539"/>
      <c r="DA36" s="4" t="s">
        <v>269</v>
      </c>
      <c r="DB36" s="2">
        <f>(DB10+DB11+DB12+DB13)*100</f>
        <v>0</v>
      </c>
      <c r="DC36" s="2">
        <f t="shared" ref="DC36:DM36" si="231">(DC10+DC11+DC12+DC13)*100</f>
        <v>0</v>
      </c>
      <c r="DD36" s="2">
        <f t="shared" si="231"/>
        <v>0</v>
      </c>
      <c r="DE36" s="2">
        <f t="shared" si="231"/>
        <v>0</v>
      </c>
      <c r="DF36" s="2">
        <f t="shared" si="231"/>
        <v>0</v>
      </c>
      <c r="DG36" s="2">
        <f t="shared" si="231"/>
        <v>0</v>
      </c>
      <c r="DH36" s="2">
        <f t="shared" si="231"/>
        <v>0</v>
      </c>
      <c r="DI36" s="2">
        <f t="shared" si="231"/>
        <v>0</v>
      </c>
      <c r="DJ36" s="2">
        <f t="shared" si="231"/>
        <v>0</v>
      </c>
      <c r="DK36" s="2">
        <f t="shared" si="231"/>
        <v>0</v>
      </c>
      <c r="DL36" s="2">
        <f t="shared" si="231"/>
        <v>0</v>
      </c>
      <c r="DM36" s="2">
        <f t="shared" si="231"/>
        <v>0</v>
      </c>
      <c r="DN36" s="2">
        <f t="shared" si="209"/>
        <v>0</v>
      </c>
      <c r="DO36" s="166" t="str">
        <f t="shared" si="24"/>
        <v/>
      </c>
      <c r="DQ36" s="539"/>
      <c r="DR36" s="4" t="s">
        <v>269</v>
      </c>
      <c r="DS36" s="2">
        <f>(DS10+DS11+DS12+DS13)*100</f>
        <v>0</v>
      </c>
      <c r="DT36" s="2">
        <f t="shared" ref="DT36:ED36" si="232">(DT10+DT11+DT12+DT13)*100</f>
        <v>0</v>
      </c>
      <c r="DU36" s="2">
        <f t="shared" si="232"/>
        <v>0</v>
      </c>
      <c r="DV36" s="2">
        <f t="shared" si="232"/>
        <v>0</v>
      </c>
      <c r="DW36" s="2">
        <f t="shared" si="232"/>
        <v>0</v>
      </c>
      <c r="DX36" s="2">
        <f t="shared" si="232"/>
        <v>0</v>
      </c>
      <c r="DY36" s="2">
        <f t="shared" si="232"/>
        <v>0</v>
      </c>
      <c r="DZ36" s="2">
        <f t="shared" si="232"/>
        <v>0</v>
      </c>
      <c r="EA36" s="2">
        <f t="shared" si="232"/>
        <v>0</v>
      </c>
      <c r="EB36" s="2">
        <f t="shared" si="232"/>
        <v>0</v>
      </c>
      <c r="EC36" s="2">
        <f t="shared" si="232"/>
        <v>0</v>
      </c>
      <c r="ED36" s="2">
        <f t="shared" si="232"/>
        <v>0</v>
      </c>
      <c r="EE36" s="2">
        <f t="shared" si="210"/>
        <v>0</v>
      </c>
      <c r="EF36" s="166" t="str">
        <f t="shared" si="25"/>
        <v/>
      </c>
      <c r="EH36" s="539"/>
      <c r="EI36" s="4" t="s">
        <v>269</v>
      </c>
      <c r="EJ36" s="2">
        <f>(EJ10+EJ11+EJ12+EJ13)*100</f>
        <v>0</v>
      </c>
      <c r="EK36" s="2">
        <f t="shared" ref="EK36:EU36" si="233">(EK10+EK11+EK12+EK13)*100</f>
        <v>0</v>
      </c>
      <c r="EL36" s="2">
        <f t="shared" si="233"/>
        <v>0</v>
      </c>
      <c r="EM36" s="2">
        <f t="shared" si="233"/>
        <v>0</v>
      </c>
      <c r="EN36" s="2">
        <f t="shared" si="233"/>
        <v>0</v>
      </c>
      <c r="EO36" s="2">
        <f t="shared" si="233"/>
        <v>0</v>
      </c>
      <c r="EP36" s="2">
        <f t="shared" si="233"/>
        <v>0</v>
      </c>
      <c r="EQ36" s="2">
        <f t="shared" si="233"/>
        <v>0</v>
      </c>
      <c r="ER36" s="2">
        <f t="shared" si="233"/>
        <v>0</v>
      </c>
      <c r="ES36" s="2">
        <f t="shared" si="233"/>
        <v>0</v>
      </c>
      <c r="ET36" s="2">
        <f t="shared" si="233"/>
        <v>0</v>
      </c>
      <c r="EU36" s="2">
        <f t="shared" si="233"/>
        <v>0</v>
      </c>
      <c r="EV36" s="2">
        <f t="shared" si="211"/>
        <v>0</v>
      </c>
      <c r="EW36" s="166" t="str">
        <f t="shared" si="27"/>
        <v/>
      </c>
      <c r="EY36" s="539"/>
      <c r="EZ36" s="4" t="s">
        <v>269</v>
      </c>
      <c r="FA36" s="2">
        <f>(FA10+FA11+FA12+FA13)*100</f>
        <v>0</v>
      </c>
      <c r="FB36" s="2">
        <f t="shared" ref="FB36:FL36" si="234">(FB10+FB11+FB12+FB13)*100</f>
        <v>0</v>
      </c>
      <c r="FC36" s="2">
        <f t="shared" si="234"/>
        <v>0</v>
      </c>
      <c r="FD36" s="2">
        <f t="shared" si="234"/>
        <v>0</v>
      </c>
      <c r="FE36" s="2">
        <f t="shared" si="234"/>
        <v>0</v>
      </c>
      <c r="FF36" s="2">
        <f t="shared" si="234"/>
        <v>0</v>
      </c>
      <c r="FG36" s="2">
        <f t="shared" si="234"/>
        <v>0</v>
      </c>
      <c r="FH36" s="2">
        <f t="shared" si="234"/>
        <v>0</v>
      </c>
      <c r="FI36" s="2">
        <f t="shared" si="234"/>
        <v>0</v>
      </c>
      <c r="FJ36" s="2">
        <f t="shared" si="234"/>
        <v>0</v>
      </c>
      <c r="FK36" s="2">
        <f t="shared" si="234"/>
        <v>0</v>
      </c>
      <c r="FL36" s="2">
        <f t="shared" si="234"/>
        <v>0</v>
      </c>
      <c r="FM36" s="2">
        <f t="shared" si="212"/>
        <v>0</v>
      </c>
      <c r="FN36" s="166" t="str">
        <f t="shared" si="29"/>
        <v/>
      </c>
    </row>
    <row r="37" spans="1:170" s="155" customFormat="1" ht="8.25" customHeight="1">
      <c r="B37" s="539"/>
      <c r="C37" s="4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>
        <f t="shared" si="11"/>
        <v>0</v>
      </c>
      <c r="Q37" s="166" t="str">
        <f t="shared" si="16"/>
        <v/>
      </c>
      <c r="R37" s="531"/>
      <c r="S37" s="539"/>
      <c r="T37" s="4" t="str">
        <f t="shared" si="202"/>
        <v/>
      </c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>
        <f t="shared" si="203"/>
        <v>0</v>
      </c>
      <c r="AH37" s="166" t="str">
        <f t="shared" si="57"/>
        <v/>
      </c>
      <c r="AJ37" s="539"/>
      <c r="AK37" s="4" t="str">
        <f t="shared" si="204"/>
        <v/>
      </c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>
        <f t="shared" si="205"/>
        <v>0</v>
      </c>
      <c r="AY37" s="166" t="str">
        <f t="shared" si="182"/>
        <v/>
      </c>
      <c r="BA37" s="539"/>
      <c r="BB37" s="4" t="s">
        <v>7</v>
      </c>
      <c r="BC37" s="2">
        <v>360</v>
      </c>
      <c r="BD37" s="2">
        <v>360</v>
      </c>
      <c r="BE37" s="2">
        <v>360</v>
      </c>
      <c r="BF37" s="2">
        <v>360</v>
      </c>
      <c r="BG37" s="2">
        <v>360</v>
      </c>
      <c r="BH37" s="2">
        <v>360</v>
      </c>
      <c r="BI37" s="2">
        <v>360</v>
      </c>
      <c r="BJ37" s="2">
        <v>360</v>
      </c>
      <c r="BK37" s="2">
        <v>360</v>
      </c>
      <c r="BL37" s="2">
        <v>360</v>
      </c>
      <c r="BM37" s="2">
        <v>360</v>
      </c>
      <c r="BN37" s="2">
        <v>360</v>
      </c>
      <c r="BO37" s="2">
        <f t="shared" si="206"/>
        <v>4320</v>
      </c>
      <c r="BP37" s="166">
        <f t="shared" si="20"/>
        <v>1.2272727272727272E-2</v>
      </c>
      <c r="BR37" s="539"/>
      <c r="BS37" s="4" t="s">
        <v>7</v>
      </c>
      <c r="BT37" s="2">
        <v>360</v>
      </c>
      <c r="BU37" s="2">
        <v>360</v>
      </c>
      <c r="BV37" s="2">
        <v>360</v>
      </c>
      <c r="BW37" s="2">
        <v>360</v>
      </c>
      <c r="BX37" s="2">
        <v>360</v>
      </c>
      <c r="BY37" s="2">
        <v>360</v>
      </c>
      <c r="BZ37" s="2">
        <v>360</v>
      </c>
      <c r="CA37" s="2">
        <v>360</v>
      </c>
      <c r="CB37" s="2">
        <v>360</v>
      </c>
      <c r="CC37" s="2">
        <v>360</v>
      </c>
      <c r="CD37" s="2">
        <v>360</v>
      </c>
      <c r="CE37" s="2">
        <v>360</v>
      </c>
      <c r="CF37" s="2">
        <f t="shared" si="207"/>
        <v>4320</v>
      </c>
      <c r="CG37" s="166">
        <f t="shared" si="22"/>
        <v>1.2272727272727272E-2</v>
      </c>
      <c r="CI37" s="539"/>
      <c r="CJ37" s="4" t="s">
        <v>7</v>
      </c>
      <c r="CK37" s="2">
        <v>360</v>
      </c>
      <c r="CL37" s="2">
        <v>360</v>
      </c>
      <c r="CM37" s="2">
        <v>360</v>
      </c>
      <c r="CN37" s="2">
        <v>360</v>
      </c>
      <c r="CO37" s="2">
        <v>360</v>
      </c>
      <c r="CP37" s="2">
        <v>360</v>
      </c>
      <c r="CQ37" s="2">
        <v>360</v>
      </c>
      <c r="CR37" s="2">
        <v>360</v>
      </c>
      <c r="CS37" s="2">
        <v>360</v>
      </c>
      <c r="CT37" s="2">
        <v>360</v>
      </c>
      <c r="CU37" s="2">
        <v>360</v>
      </c>
      <c r="CV37" s="2">
        <v>360</v>
      </c>
      <c r="CW37" s="2">
        <f t="shared" si="208"/>
        <v>4320</v>
      </c>
      <c r="CX37" s="166" t="e">
        <f t="shared" si="23"/>
        <v>#DIV/0!</v>
      </c>
      <c r="CZ37" s="539"/>
      <c r="DA37" s="4" t="s">
        <v>7</v>
      </c>
      <c r="DB37" s="2">
        <v>360</v>
      </c>
      <c r="DC37" s="2">
        <v>360</v>
      </c>
      <c r="DD37" s="2">
        <v>360</v>
      </c>
      <c r="DE37" s="2">
        <v>360</v>
      </c>
      <c r="DF37" s="2">
        <v>360</v>
      </c>
      <c r="DG37" s="2">
        <v>360</v>
      </c>
      <c r="DH37" s="2">
        <v>360</v>
      </c>
      <c r="DI37" s="2">
        <v>360</v>
      </c>
      <c r="DJ37" s="2">
        <v>360</v>
      </c>
      <c r="DK37" s="2">
        <v>360</v>
      </c>
      <c r="DL37" s="2">
        <v>360</v>
      </c>
      <c r="DM37" s="2">
        <v>360</v>
      </c>
      <c r="DN37" s="2">
        <f t="shared" si="209"/>
        <v>4320</v>
      </c>
      <c r="DO37" s="166" t="e">
        <f t="shared" si="24"/>
        <v>#DIV/0!</v>
      </c>
      <c r="DQ37" s="539"/>
      <c r="DR37" s="4" t="s">
        <v>7</v>
      </c>
      <c r="DS37" s="2">
        <v>360</v>
      </c>
      <c r="DT37" s="2">
        <v>360</v>
      </c>
      <c r="DU37" s="2">
        <v>360</v>
      </c>
      <c r="DV37" s="2">
        <v>360</v>
      </c>
      <c r="DW37" s="2">
        <v>360</v>
      </c>
      <c r="DX37" s="2">
        <v>360</v>
      </c>
      <c r="DY37" s="2">
        <v>360</v>
      </c>
      <c r="DZ37" s="2">
        <v>360</v>
      </c>
      <c r="EA37" s="2">
        <v>360</v>
      </c>
      <c r="EB37" s="2">
        <v>360</v>
      </c>
      <c r="EC37" s="2">
        <v>360</v>
      </c>
      <c r="ED37" s="2">
        <v>360</v>
      </c>
      <c r="EE37" s="2">
        <f t="shared" si="210"/>
        <v>4320</v>
      </c>
      <c r="EF37" s="166" t="e">
        <f t="shared" si="25"/>
        <v>#DIV/0!</v>
      </c>
      <c r="EH37" s="539"/>
      <c r="EI37" s="4" t="s">
        <v>7</v>
      </c>
      <c r="EJ37" s="2">
        <v>360</v>
      </c>
      <c r="EK37" s="2">
        <v>360</v>
      </c>
      <c r="EL37" s="2">
        <v>360</v>
      </c>
      <c r="EM37" s="2">
        <v>360</v>
      </c>
      <c r="EN37" s="2">
        <v>360</v>
      </c>
      <c r="EO37" s="2">
        <v>360</v>
      </c>
      <c r="EP37" s="2">
        <v>360</v>
      </c>
      <c r="EQ37" s="2">
        <v>360</v>
      </c>
      <c r="ER37" s="2">
        <v>360</v>
      </c>
      <c r="ES37" s="2">
        <v>360</v>
      </c>
      <c r="ET37" s="2">
        <v>360</v>
      </c>
      <c r="EU37" s="2">
        <v>360</v>
      </c>
      <c r="EV37" s="2">
        <f t="shared" si="211"/>
        <v>4320</v>
      </c>
      <c r="EW37" s="166" t="e">
        <f t="shared" si="27"/>
        <v>#DIV/0!</v>
      </c>
      <c r="EY37" s="539"/>
      <c r="EZ37" s="4" t="s">
        <v>7</v>
      </c>
      <c r="FA37" s="2">
        <v>360</v>
      </c>
      <c r="FB37" s="2">
        <v>360</v>
      </c>
      <c r="FC37" s="2">
        <v>360</v>
      </c>
      <c r="FD37" s="2">
        <v>360</v>
      </c>
      <c r="FE37" s="2">
        <v>360</v>
      </c>
      <c r="FF37" s="2">
        <v>360</v>
      </c>
      <c r="FG37" s="2">
        <v>360</v>
      </c>
      <c r="FH37" s="2">
        <v>360</v>
      </c>
      <c r="FI37" s="2">
        <v>360</v>
      </c>
      <c r="FJ37" s="2">
        <v>360</v>
      </c>
      <c r="FK37" s="2">
        <v>360</v>
      </c>
      <c r="FL37" s="2">
        <v>360</v>
      </c>
      <c r="FM37" s="2">
        <f t="shared" si="212"/>
        <v>4320</v>
      </c>
      <c r="FN37" s="166" t="e">
        <f t="shared" si="29"/>
        <v>#DIV/0!</v>
      </c>
    </row>
    <row r="38" spans="1:170" s="155" customFormat="1" ht="8.25" customHeight="1">
      <c r="B38" s="539"/>
      <c r="C38" s="4" t="s">
        <v>8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>
        <f t="shared" si="11"/>
        <v>0</v>
      </c>
      <c r="Q38" s="166" t="str">
        <f t="shared" si="16"/>
        <v/>
      </c>
      <c r="R38" s="531"/>
      <c r="S38" s="539"/>
      <c r="T38" s="4" t="str">
        <f t="shared" si="202"/>
        <v>地代家賃</v>
      </c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>
        <f t="shared" si="203"/>
        <v>0</v>
      </c>
      <c r="AH38" s="166" t="str">
        <f t="shared" si="57"/>
        <v/>
      </c>
      <c r="AJ38" s="539"/>
      <c r="AK38" s="4" t="str">
        <f t="shared" si="204"/>
        <v>地代家賃</v>
      </c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>
        <f t="shared" si="205"/>
        <v>0</v>
      </c>
      <c r="AY38" s="166" t="str">
        <f t="shared" si="182"/>
        <v/>
      </c>
      <c r="BA38" s="539"/>
      <c r="BB38" s="4" t="s">
        <v>8</v>
      </c>
      <c r="BC38" s="2">
        <v>6000</v>
      </c>
      <c r="BD38" s="2">
        <v>6000</v>
      </c>
      <c r="BE38" s="2">
        <v>6000</v>
      </c>
      <c r="BF38" s="2">
        <v>6000</v>
      </c>
      <c r="BG38" s="2">
        <v>6000</v>
      </c>
      <c r="BH38" s="2">
        <v>6000</v>
      </c>
      <c r="BI38" s="2">
        <v>6000</v>
      </c>
      <c r="BJ38" s="2">
        <v>6000</v>
      </c>
      <c r="BK38" s="2">
        <v>6000</v>
      </c>
      <c r="BL38" s="2">
        <v>6000</v>
      </c>
      <c r="BM38" s="2">
        <v>6000</v>
      </c>
      <c r="BN38" s="2">
        <v>6000</v>
      </c>
      <c r="BO38" s="2">
        <f t="shared" si="206"/>
        <v>72000</v>
      </c>
      <c r="BP38" s="166">
        <f t="shared" si="20"/>
        <v>0.20454545454545456</v>
      </c>
      <c r="BR38" s="539"/>
      <c r="BS38" s="4" t="s">
        <v>8</v>
      </c>
      <c r="BT38" s="2">
        <v>6000</v>
      </c>
      <c r="BU38" s="2">
        <v>6000</v>
      </c>
      <c r="BV38" s="2">
        <v>6000</v>
      </c>
      <c r="BW38" s="2">
        <v>6000</v>
      </c>
      <c r="BX38" s="2">
        <v>6000</v>
      </c>
      <c r="BY38" s="2">
        <v>6000</v>
      </c>
      <c r="BZ38" s="2">
        <v>6000</v>
      </c>
      <c r="CA38" s="2">
        <v>6000</v>
      </c>
      <c r="CB38" s="2">
        <v>6000</v>
      </c>
      <c r="CC38" s="2">
        <v>6000</v>
      </c>
      <c r="CD38" s="2">
        <v>6000</v>
      </c>
      <c r="CE38" s="2">
        <v>6000</v>
      </c>
      <c r="CF38" s="2">
        <f t="shared" si="207"/>
        <v>72000</v>
      </c>
      <c r="CG38" s="166">
        <f t="shared" si="22"/>
        <v>0.20454545454545456</v>
      </c>
      <c r="CI38" s="539"/>
      <c r="CJ38" s="4" t="s">
        <v>8</v>
      </c>
      <c r="CK38" s="2">
        <f t="shared" ref="CK38:CV38" si="235">CK5*$F$82+CK6*$F$83+CK7*$F$84+CK8*$F$85</f>
        <v>14300</v>
      </c>
      <c r="CL38" s="2">
        <f t="shared" si="235"/>
        <v>14300</v>
      </c>
      <c r="CM38" s="2">
        <f t="shared" si="235"/>
        <v>14300</v>
      </c>
      <c r="CN38" s="2">
        <f t="shared" si="235"/>
        <v>14300</v>
      </c>
      <c r="CO38" s="2">
        <f t="shared" si="235"/>
        <v>14300</v>
      </c>
      <c r="CP38" s="2">
        <f t="shared" si="235"/>
        <v>14300</v>
      </c>
      <c r="CQ38" s="2">
        <f t="shared" si="235"/>
        <v>16600</v>
      </c>
      <c r="CR38" s="2">
        <f t="shared" si="235"/>
        <v>16600</v>
      </c>
      <c r="CS38" s="2">
        <f t="shared" si="235"/>
        <v>16600</v>
      </c>
      <c r="CT38" s="2">
        <f t="shared" si="235"/>
        <v>16600</v>
      </c>
      <c r="CU38" s="2">
        <f t="shared" si="235"/>
        <v>16600</v>
      </c>
      <c r="CV38" s="2">
        <f t="shared" si="235"/>
        <v>16600</v>
      </c>
      <c r="CW38" s="2">
        <f t="shared" si="208"/>
        <v>185400</v>
      </c>
      <c r="CX38" s="166" t="e">
        <f t="shared" si="23"/>
        <v>#DIV/0!</v>
      </c>
      <c r="CZ38" s="539"/>
      <c r="DA38" s="4" t="s">
        <v>8</v>
      </c>
      <c r="DB38" s="2">
        <f t="shared" ref="DB38:DM38" si="236">DB5*$F$82+DB6*$F$83+DB7*$F$84+DB8*$F$85</f>
        <v>17250</v>
      </c>
      <c r="DC38" s="2">
        <f t="shared" si="236"/>
        <v>17250</v>
      </c>
      <c r="DD38" s="2">
        <f t="shared" si="236"/>
        <v>17250</v>
      </c>
      <c r="DE38" s="2">
        <f t="shared" si="236"/>
        <v>17250</v>
      </c>
      <c r="DF38" s="2">
        <f t="shared" si="236"/>
        <v>17250</v>
      </c>
      <c r="DG38" s="2">
        <f t="shared" si="236"/>
        <v>17250</v>
      </c>
      <c r="DH38" s="2">
        <f t="shared" si="236"/>
        <v>18900</v>
      </c>
      <c r="DI38" s="2">
        <f t="shared" si="236"/>
        <v>18900</v>
      </c>
      <c r="DJ38" s="2">
        <f t="shared" si="236"/>
        <v>18900</v>
      </c>
      <c r="DK38" s="2">
        <f t="shared" si="236"/>
        <v>18900</v>
      </c>
      <c r="DL38" s="2">
        <f t="shared" si="236"/>
        <v>18900</v>
      </c>
      <c r="DM38" s="2">
        <f t="shared" si="236"/>
        <v>18900</v>
      </c>
      <c r="DN38" s="2">
        <f t="shared" si="209"/>
        <v>216900</v>
      </c>
      <c r="DO38" s="166" t="e">
        <f t="shared" si="24"/>
        <v>#DIV/0!</v>
      </c>
      <c r="DQ38" s="539"/>
      <c r="DR38" s="4" t="s">
        <v>8</v>
      </c>
      <c r="DS38" s="2">
        <f t="shared" ref="DS38:ED38" si="237">DS5*$F$82+DS6*$F$83+DS7*$F$84+DS8*$F$85</f>
        <v>19550</v>
      </c>
      <c r="DT38" s="2">
        <f t="shared" si="237"/>
        <v>19550</v>
      </c>
      <c r="DU38" s="2">
        <f t="shared" si="237"/>
        <v>19550</v>
      </c>
      <c r="DV38" s="2">
        <f t="shared" si="237"/>
        <v>19550</v>
      </c>
      <c r="DW38" s="2">
        <f t="shared" si="237"/>
        <v>21850</v>
      </c>
      <c r="DX38" s="2">
        <f t="shared" si="237"/>
        <v>23500</v>
      </c>
      <c r="DY38" s="2">
        <f t="shared" si="237"/>
        <v>23500</v>
      </c>
      <c r="DZ38" s="2">
        <f t="shared" si="237"/>
        <v>23500</v>
      </c>
      <c r="EA38" s="2">
        <f t="shared" si="237"/>
        <v>23500</v>
      </c>
      <c r="EB38" s="2">
        <f t="shared" si="237"/>
        <v>23500</v>
      </c>
      <c r="EC38" s="2">
        <f t="shared" si="237"/>
        <v>23500</v>
      </c>
      <c r="ED38" s="2">
        <f t="shared" si="237"/>
        <v>23500</v>
      </c>
      <c r="EE38" s="2">
        <f t="shared" si="210"/>
        <v>264550</v>
      </c>
      <c r="EF38" s="166" t="e">
        <f t="shared" si="25"/>
        <v>#DIV/0!</v>
      </c>
      <c r="EH38" s="539"/>
      <c r="EI38" s="4" t="s">
        <v>8</v>
      </c>
      <c r="EJ38" s="2">
        <f t="shared" ref="EJ38:EU38" si="238">EJ5*$F$82+EJ6*$F$83+EJ7*$F$84+EJ8*$F$85</f>
        <v>23500</v>
      </c>
      <c r="EK38" s="2">
        <f t="shared" si="238"/>
        <v>23500</v>
      </c>
      <c r="EL38" s="2">
        <f t="shared" si="238"/>
        <v>23500</v>
      </c>
      <c r="EM38" s="2">
        <f t="shared" si="238"/>
        <v>23500</v>
      </c>
      <c r="EN38" s="2">
        <f t="shared" si="238"/>
        <v>23500</v>
      </c>
      <c r="EO38" s="2">
        <f t="shared" si="238"/>
        <v>25800</v>
      </c>
      <c r="EP38" s="2">
        <f t="shared" si="238"/>
        <v>25800</v>
      </c>
      <c r="EQ38" s="2">
        <f t="shared" si="238"/>
        <v>25800</v>
      </c>
      <c r="ER38" s="2">
        <f t="shared" si="238"/>
        <v>25800</v>
      </c>
      <c r="ES38" s="2">
        <f t="shared" si="238"/>
        <v>25800</v>
      </c>
      <c r="ET38" s="2">
        <f t="shared" si="238"/>
        <v>25800</v>
      </c>
      <c r="EU38" s="2">
        <f t="shared" si="238"/>
        <v>26750</v>
      </c>
      <c r="EV38" s="2">
        <f t="shared" si="211"/>
        <v>299050</v>
      </c>
      <c r="EW38" s="166" t="e">
        <f t="shared" si="27"/>
        <v>#DIV/0!</v>
      </c>
      <c r="EY38" s="539"/>
      <c r="EZ38" s="4" t="s">
        <v>8</v>
      </c>
      <c r="FA38" s="2">
        <f t="shared" ref="FA38:FL38" si="239">FA5*$F$82+FA6*$F$83+FA7*$F$84+FA8*$F$85</f>
        <v>31000</v>
      </c>
      <c r="FB38" s="2">
        <f t="shared" si="239"/>
        <v>31000</v>
      </c>
      <c r="FC38" s="2">
        <f t="shared" si="239"/>
        <v>31000</v>
      </c>
      <c r="FD38" s="2">
        <f t="shared" si="239"/>
        <v>31000</v>
      </c>
      <c r="FE38" s="2">
        <f t="shared" si="239"/>
        <v>31000</v>
      </c>
      <c r="FF38" s="2">
        <f t="shared" si="239"/>
        <v>31000</v>
      </c>
      <c r="FG38" s="2">
        <f t="shared" si="239"/>
        <v>31000</v>
      </c>
      <c r="FH38" s="2">
        <f t="shared" si="239"/>
        <v>31000</v>
      </c>
      <c r="FI38" s="2">
        <f t="shared" si="239"/>
        <v>31000</v>
      </c>
      <c r="FJ38" s="2">
        <f t="shared" si="239"/>
        <v>31000</v>
      </c>
      <c r="FK38" s="2">
        <f t="shared" si="239"/>
        <v>31000</v>
      </c>
      <c r="FL38" s="2">
        <f t="shared" si="239"/>
        <v>31000</v>
      </c>
      <c r="FM38" s="2">
        <f t="shared" si="212"/>
        <v>372000</v>
      </c>
      <c r="FN38" s="166" t="e">
        <f t="shared" si="29"/>
        <v>#DIV/0!</v>
      </c>
    </row>
    <row r="39" spans="1:170" s="155" customFormat="1" ht="8.25" customHeight="1">
      <c r="B39" s="540"/>
      <c r="C39" s="4" t="s">
        <v>77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166" t="str">
        <f t="shared" si="16"/>
        <v/>
      </c>
      <c r="R39" s="531"/>
      <c r="S39" s="540"/>
      <c r="T39" s="4" t="str">
        <f t="shared" si="202"/>
        <v>減価償却</v>
      </c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>
        <f t="shared" si="203"/>
        <v>0</v>
      </c>
      <c r="AH39" s="166" t="str">
        <f t="shared" si="57"/>
        <v/>
      </c>
      <c r="AJ39" s="540"/>
      <c r="AK39" s="4" t="str">
        <f t="shared" si="204"/>
        <v>減価償却</v>
      </c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>
        <f t="shared" si="205"/>
        <v>0</v>
      </c>
      <c r="AY39" s="166" t="str">
        <f t="shared" si="182"/>
        <v/>
      </c>
      <c r="BA39" s="540"/>
      <c r="BB39" s="4" t="s">
        <v>77</v>
      </c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>
        <f t="shared" si="206"/>
        <v>0</v>
      </c>
      <c r="BP39" s="166" t="str">
        <f t="shared" si="20"/>
        <v/>
      </c>
      <c r="BR39" s="540"/>
      <c r="BS39" s="4" t="s">
        <v>77</v>
      </c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>
        <f t="shared" si="207"/>
        <v>0</v>
      </c>
      <c r="CG39" s="166" t="str">
        <f t="shared" si="22"/>
        <v/>
      </c>
      <c r="CI39" s="540"/>
      <c r="CJ39" s="4" t="s">
        <v>77</v>
      </c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 t="e">
        <f>BS!C38</f>
        <v>#REF!</v>
      </c>
      <c r="CW39" s="2" t="e">
        <f t="shared" si="208"/>
        <v>#REF!</v>
      </c>
      <c r="CX39" s="166" t="e">
        <f t="shared" si="23"/>
        <v>#REF!</v>
      </c>
      <c r="CZ39" s="540"/>
      <c r="DA39" s="4" t="s">
        <v>77</v>
      </c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 t="e">
        <f>BS!G38</f>
        <v>#REF!</v>
      </c>
      <c r="DN39" s="2" t="e">
        <f t="shared" si="209"/>
        <v>#REF!</v>
      </c>
      <c r="DO39" s="166" t="e">
        <f t="shared" si="24"/>
        <v>#REF!</v>
      </c>
      <c r="DQ39" s="540"/>
      <c r="DR39" s="4" t="s">
        <v>77</v>
      </c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 t="e">
        <f>BS!K38</f>
        <v>#REF!</v>
      </c>
      <c r="EE39" s="2" t="e">
        <f t="shared" si="210"/>
        <v>#REF!</v>
      </c>
      <c r="EF39" s="166" t="e">
        <f t="shared" si="25"/>
        <v>#REF!</v>
      </c>
      <c r="EH39" s="540"/>
      <c r="EI39" s="4" t="s">
        <v>77</v>
      </c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 t="e">
        <f>BS!O38</f>
        <v>#REF!</v>
      </c>
      <c r="EV39" s="2" t="e">
        <f t="shared" si="211"/>
        <v>#REF!</v>
      </c>
      <c r="EW39" s="166" t="e">
        <f t="shared" si="27"/>
        <v>#REF!</v>
      </c>
      <c r="EY39" s="540"/>
      <c r="EZ39" s="4" t="s">
        <v>77</v>
      </c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 t="e">
        <f>BS!S38</f>
        <v>#REF!</v>
      </c>
      <c r="FM39" s="2"/>
      <c r="FN39" s="166" t="str">
        <f t="shared" si="29"/>
        <v/>
      </c>
    </row>
    <row r="40" spans="1:170" s="157" customFormat="1" ht="11.25" customHeight="1">
      <c r="B40" s="566" t="s">
        <v>507</v>
      </c>
      <c r="C40" s="567"/>
      <c r="D40" s="156">
        <f>D30-D31</f>
        <v>0</v>
      </c>
      <c r="E40" s="156">
        <f t="shared" ref="E40:O40" si="240">E30-E31</f>
        <v>0</v>
      </c>
      <c r="F40" s="156">
        <f t="shared" si="240"/>
        <v>0</v>
      </c>
      <c r="G40" s="156">
        <f t="shared" si="240"/>
        <v>0</v>
      </c>
      <c r="H40" s="156">
        <f t="shared" si="240"/>
        <v>0</v>
      </c>
      <c r="I40" s="156">
        <f t="shared" si="240"/>
        <v>0</v>
      </c>
      <c r="J40" s="156">
        <f t="shared" si="240"/>
        <v>0</v>
      </c>
      <c r="K40" s="156">
        <f t="shared" si="240"/>
        <v>0</v>
      </c>
      <c r="L40" s="156">
        <f t="shared" si="240"/>
        <v>0</v>
      </c>
      <c r="M40" s="156">
        <f t="shared" si="240"/>
        <v>0</v>
      </c>
      <c r="N40" s="156">
        <f t="shared" si="240"/>
        <v>100000</v>
      </c>
      <c r="O40" s="156">
        <f t="shared" si="240"/>
        <v>0</v>
      </c>
      <c r="P40" s="156">
        <f t="shared" si="11"/>
        <v>100000</v>
      </c>
      <c r="Q40" s="168">
        <f t="shared" si="16"/>
        <v>1</v>
      </c>
      <c r="R40" s="531"/>
      <c r="S40" s="566" t="s">
        <v>10</v>
      </c>
      <c r="T40" s="567"/>
      <c r="U40" s="156">
        <f>U30-U31</f>
        <v>453197.9</v>
      </c>
      <c r="V40" s="156">
        <f t="shared" ref="V40:AF40" si="241">V30-V31</f>
        <v>607891.9</v>
      </c>
      <c r="W40" s="156">
        <f t="shared" si="241"/>
        <v>514891.9</v>
      </c>
      <c r="X40" s="156">
        <f t="shared" si="241"/>
        <v>456069.19999999995</v>
      </c>
      <c r="Y40" s="156">
        <f t="shared" si="241"/>
        <v>456069.19999999995</v>
      </c>
      <c r="Z40" s="156">
        <f t="shared" si="241"/>
        <v>495893.19999999995</v>
      </c>
      <c r="AA40" s="156">
        <f t="shared" si="241"/>
        <v>495893.19999999995</v>
      </c>
      <c r="AB40" s="156">
        <f t="shared" si="241"/>
        <v>585717.19999999995</v>
      </c>
      <c r="AC40" s="156">
        <f t="shared" si="241"/>
        <v>585717.19999999995</v>
      </c>
      <c r="AD40" s="156">
        <f t="shared" si="241"/>
        <v>675541.2</v>
      </c>
      <c r="AE40" s="156">
        <f t="shared" si="241"/>
        <v>675541.2</v>
      </c>
      <c r="AF40" s="156">
        <f t="shared" si="241"/>
        <v>765365.2</v>
      </c>
      <c r="AG40" s="156">
        <f t="shared" ref="AG40:AG45" si="242">SUM(U40:AF40)</f>
        <v>6767788.5000000009</v>
      </c>
      <c r="AH40" s="168">
        <f t="shared" si="57"/>
        <v>0.39089268401380323</v>
      </c>
      <c r="AJ40" s="566" t="s">
        <v>10</v>
      </c>
      <c r="AK40" s="567"/>
      <c r="AL40" s="156">
        <f>AL30-AL31</f>
        <v>214551.19999999995</v>
      </c>
      <c r="AM40" s="156">
        <f t="shared" ref="AM40:AW40" si="243">AM30-AM31</f>
        <v>361245.19999999995</v>
      </c>
      <c r="AN40" s="156">
        <f t="shared" si="243"/>
        <v>356245.19999999995</v>
      </c>
      <c r="AO40" s="156">
        <f t="shared" si="243"/>
        <v>446069.19999999995</v>
      </c>
      <c r="AP40" s="156">
        <f t="shared" si="243"/>
        <v>446069.19999999995</v>
      </c>
      <c r="AQ40" s="156">
        <f t="shared" si="243"/>
        <v>535893.19999999995</v>
      </c>
      <c r="AR40" s="156">
        <f t="shared" si="243"/>
        <v>535893.19999999995</v>
      </c>
      <c r="AS40" s="156">
        <f t="shared" si="243"/>
        <v>625717.19999999995</v>
      </c>
      <c r="AT40" s="156">
        <f t="shared" si="243"/>
        <v>625717.19999999995</v>
      </c>
      <c r="AU40" s="156">
        <f t="shared" si="243"/>
        <v>715541.2</v>
      </c>
      <c r="AV40" s="156">
        <f t="shared" si="243"/>
        <v>715541.2</v>
      </c>
      <c r="AW40" s="156">
        <f t="shared" si="243"/>
        <v>805365.2</v>
      </c>
      <c r="AX40" s="156">
        <f t="shared" ref="AX40:AX45" si="244">SUM(AL40:AW40)</f>
        <v>6383848.4000000004</v>
      </c>
      <c r="AY40" s="168">
        <f t="shared" si="182"/>
        <v>0.36492325168515205</v>
      </c>
      <c r="BA40" s="566" t="s">
        <v>10</v>
      </c>
      <c r="BB40" s="567"/>
      <c r="BC40" s="156">
        <f t="shared" ref="BC40:BN40" si="245">BC30-BC31</f>
        <v>-4320</v>
      </c>
      <c r="BD40" s="156">
        <f t="shared" si="245"/>
        <v>-4320</v>
      </c>
      <c r="BE40" s="156">
        <f t="shared" si="245"/>
        <v>-4320</v>
      </c>
      <c r="BF40" s="156">
        <f t="shared" si="245"/>
        <v>-4320</v>
      </c>
      <c r="BG40" s="156">
        <f t="shared" si="245"/>
        <v>-4320</v>
      </c>
      <c r="BH40" s="156">
        <f t="shared" si="245"/>
        <v>-4680</v>
      </c>
      <c r="BI40" s="156">
        <f t="shared" si="245"/>
        <v>-4320</v>
      </c>
      <c r="BJ40" s="156">
        <f t="shared" si="245"/>
        <v>-3960</v>
      </c>
      <c r="BK40" s="156">
        <f t="shared" si="245"/>
        <v>-3960</v>
      </c>
      <c r="BL40" s="156">
        <f t="shared" si="245"/>
        <v>-3960</v>
      </c>
      <c r="BM40" s="156">
        <f t="shared" si="245"/>
        <v>-3960</v>
      </c>
      <c r="BN40" s="156">
        <f t="shared" si="245"/>
        <v>-3960</v>
      </c>
      <c r="BO40" s="156">
        <f t="shared" ref="BO40:BO45" si="246">SUM(BC40:BN40)</f>
        <v>-50400</v>
      </c>
      <c r="BP40" s="168">
        <f t="shared" si="20"/>
        <v>-0.14318181818181819</v>
      </c>
      <c r="BR40" s="566" t="s">
        <v>10</v>
      </c>
      <c r="BS40" s="567"/>
      <c r="BT40" s="156">
        <f>BT30-BT31</f>
        <v>-5400</v>
      </c>
      <c r="BU40" s="156">
        <f t="shared" ref="BU40:CE40" si="247">BU30-BU31</f>
        <v>-5400</v>
      </c>
      <c r="BV40" s="156">
        <f t="shared" si="247"/>
        <v>-5400</v>
      </c>
      <c r="BW40" s="156">
        <f t="shared" si="247"/>
        <v>-5400</v>
      </c>
      <c r="BX40" s="156">
        <f t="shared" si="247"/>
        <v>-5400</v>
      </c>
      <c r="BY40" s="156">
        <f t="shared" si="247"/>
        <v>-5760</v>
      </c>
      <c r="BZ40" s="156">
        <f t="shared" si="247"/>
        <v>-5400</v>
      </c>
      <c r="CA40" s="156">
        <f t="shared" si="247"/>
        <v>-5040</v>
      </c>
      <c r="CB40" s="156">
        <f t="shared" si="247"/>
        <v>-5040</v>
      </c>
      <c r="CC40" s="156">
        <f t="shared" si="247"/>
        <v>-5040</v>
      </c>
      <c r="CD40" s="156">
        <f t="shared" si="247"/>
        <v>-5040</v>
      </c>
      <c r="CE40" s="156">
        <f t="shared" si="247"/>
        <v>-5040</v>
      </c>
      <c r="CF40" s="156">
        <f t="shared" ref="CF40:CF45" si="248">SUM(BT40:CE40)</f>
        <v>-63360</v>
      </c>
      <c r="CG40" s="168">
        <f t="shared" si="22"/>
        <v>-0.18</v>
      </c>
      <c r="CI40" s="566" t="s">
        <v>10</v>
      </c>
      <c r="CJ40" s="567"/>
      <c r="CK40" s="156">
        <f t="shared" ref="CK40:CV40" si="249">CK30-CK31</f>
        <v>-27548</v>
      </c>
      <c r="CL40" s="156">
        <f t="shared" si="249"/>
        <v>-27548</v>
      </c>
      <c r="CM40" s="156">
        <f t="shared" si="249"/>
        <v>-27548</v>
      </c>
      <c r="CN40" s="156">
        <f t="shared" si="249"/>
        <v>-27548</v>
      </c>
      <c r="CO40" s="156">
        <f t="shared" si="249"/>
        <v>-27548</v>
      </c>
      <c r="CP40" s="156">
        <f t="shared" si="249"/>
        <v>-27548</v>
      </c>
      <c r="CQ40" s="156">
        <f t="shared" si="249"/>
        <v>-30680</v>
      </c>
      <c r="CR40" s="156">
        <f t="shared" si="249"/>
        <v>-30680</v>
      </c>
      <c r="CS40" s="156">
        <f t="shared" si="249"/>
        <v>-30680</v>
      </c>
      <c r="CT40" s="156">
        <f t="shared" si="249"/>
        <v>-30680</v>
      </c>
      <c r="CU40" s="156">
        <f t="shared" si="249"/>
        <v>-30680</v>
      </c>
      <c r="CV40" s="156" t="e">
        <f t="shared" si="249"/>
        <v>#REF!</v>
      </c>
      <c r="CW40" s="156" t="e">
        <f t="shared" ref="CW40:CW45" si="250">SUM(CK40:CV40)</f>
        <v>#REF!</v>
      </c>
      <c r="CX40" s="168" t="e">
        <f t="shared" si="23"/>
        <v>#REF!</v>
      </c>
      <c r="CZ40" s="566" t="s">
        <v>10</v>
      </c>
      <c r="DA40" s="567"/>
      <c r="DB40" s="156">
        <f t="shared" ref="DB40:DM40" si="251">DB30-DB31</f>
        <v>-32826</v>
      </c>
      <c r="DC40" s="156">
        <f t="shared" si="251"/>
        <v>-32826</v>
      </c>
      <c r="DD40" s="156">
        <f t="shared" si="251"/>
        <v>-32826</v>
      </c>
      <c r="DE40" s="156">
        <f t="shared" si="251"/>
        <v>-32826</v>
      </c>
      <c r="DF40" s="156">
        <f t="shared" si="251"/>
        <v>-32826</v>
      </c>
      <c r="DG40" s="156">
        <f t="shared" si="251"/>
        <v>-32826</v>
      </c>
      <c r="DH40" s="156">
        <f t="shared" si="251"/>
        <v>-34892</v>
      </c>
      <c r="DI40" s="156">
        <f t="shared" si="251"/>
        <v>-34892</v>
      </c>
      <c r="DJ40" s="156">
        <f t="shared" si="251"/>
        <v>-34892</v>
      </c>
      <c r="DK40" s="156">
        <f t="shared" si="251"/>
        <v>-34892</v>
      </c>
      <c r="DL40" s="156">
        <f t="shared" si="251"/>
        <v>-34892</v>
      </c>
      <c r="DM40" s="156" t="e">
        <f t="shared" si="251"/>
        <v>#REF!</v>
      </c>
      <c r="DN40" s="156" t="e">
        <f t="shared" ref="DN40:DN45" si="252">SUM(DB40:DM40)</f>
        <v>#REF!</v>
      </c>
      <c r="DO40" s="168" t="e">
        <f t="shared" si="24"/>
        <v>#REF!</v>
      </c>
      <c r="DQ40" s="566" t="s">
        <v>10</v>
      </c>
      <c r="DR40" s="567"/>
      <c r="DS40" s="156">
        <f t="shared" ref="DS40:ED40" si="253">DS30-DS31</f>
        <v>-37038</v>
      </c>
      <c r="DT40" s="156">
        <f t="shared" si="253"/>
        <v>-37038</v>
      </c>
      <c r="DU40" s="156">
        <f t="shared" si="253"/>
        <v>-37038</v>
      </c>
      <c r="DV40" s="156">
        <f t="shared" si="253"/>
        <v>-37038</v>
      </c>
      <c r="DW40" s="156">
        <f t="shared" si="253"/>
        <v>-40170</v>
      </c>
      <c r="DX40" s="156">
        <f t="shared" si="253"/>
        <v>-42236</v>
      </c>
      <c r="DY40" s="156">
        <f t="shared" si="253"/>
        <v>-42236</v>
      </c>
      <c r="DZ40" s="156">
        <f t="shared" si="253"/>
        <v>-42236</v>
      </c>
      <c r="EA40" s="156">
        <f t="shared" si="253"/>
        <v>-42236</v>
      </c>
      <c r="EB40" s="156">
        <f t="shared" si="253"/>
        <v>-42236</v>
      </c>
      <c r="EC40" s="156">
        <f t="shared" si="253"/>
        <v>-42236</v>
      </c>
      <c r="ED40" s="156" t="e">
        <f t="shared" si="253"/>
        <v>#REF!</v>
      </c>
      <c r="EE40" s="156" t="e">
        <f t="shared" ref="EE40:EE45" si="254">SUM(DS40:ED40)</f>
        <v>#REF!</v>
      </c>
      <c r="EF40" s="168" t="e">
        <f t="shared" si="25"/>
        <v>#REF!</v>
      </c>
      <c r="EH40" s="566" t="s">
        <v>10</v>
      </c>
      <c r="EI40" s="567"/>
      <c r="EJ40" s="156">
        <f t="shared" ref="EJ40:EU40" si="255">EJ30-EJ31</f>
        <v>-43316</v>
      </c>
      <c r="EK40" s="156">
        <f t="shared" si="255"/>
        <v>-43316</v>
      </c>
      <c r="EL40" s="156">
        <f t="shared" si="255"/>
        <v>-43316</v>
      </c>
      <c r="EM40" s="156">
        <f t="shared" si="255"/>
        <v>-43316</v>
      </c>
      <c r="EN40" s="156">
        <f t="shared" si="255"/>
        <v>-43316</v>
      </c>
      <c r="EO40" s="156">
        <f t="shared" si="255"/>
        <v>-46448</v>
      </c>
      <c r="EP40" s="156">
        <f t="shared" si="255"/>
        <v>-46448</v>
      </c>
      <c r="EQ40" s="156">
        <f t="shared" si="255"/>
        <v>-46448</v>
      </c>
      <c r="ER40" s="156">
        <f t="shared" si="255"/>
        <v>-46448</v>
      </c>
      <c r="ES40" s="156">
        <f t="shared" si="255"/>
        <v>-46448</v>
      </c>
      <c r="ET40" s="156">
        <f t="shared" si="255"/>
        <v>-46448</v>
      </c>
      <c r="EU40" s="156" t="e">
        <f t="shared" si="255"/>
        <v>#REF!</v>
      </c>
      <c r="EV40" s="156" t="e">
        <f t="shared" ref="EV40:EV45" si="256">SUM(EJ40:EU40)</f>
        <v>#REF!</v>
      </c>
      <c r="EW40" s="168" t="e">
        <f t="shared" si="27"/>
        <v>#REF!</v>
      </c>
      <c r="EY40" s="566" t="s">
        <v>10</v>
      </c>
      <c r="EZ40" s="567"/>
      <c r="FA40" s="156">
        <f t="shared" ref="FA40:FL40" si="257">FA30-FA31</f>
        <v>-54560</v>
      </c>
      <c r="FB40" s="156">
        <f t="shared" si="257"/>
        <v>-54560</v>
      </c>
      <c r="FC40" s="156">
        <f t="shared" si="257"/>
        <v>-54560</v>
      </c>
      <c r="FD40" s="156">
        <f t="shared" si="257"/>
        <v>-54560</v>
      </c>
      <c r="FE40" s="156">
        <f t="shared" si="257"/>
        <v>-54560</v>
      </c>
      <c r="FF40" s="156">
        <f t="shared" si="257"/>
        <v>-54560</v>
      </c>
      <c r="FG40" s="156">
        <f t="shared" si="257"/>
        <v>-54560</v>
      </c>
      <c r="FH40" s="156">
        <f t="shared" si="257"/>
        <v>-54560</v>
      </c>
      <c r="FI40" s="156">
        <f t="shared" si="257"/>
        <v>-54560</v>
      </c>
      <c r="FJ40" s="156">
        <f t="shared" si="257"/>
        <v>-54560</v>
      </c>
      <c r="FK40" s="156">
        <f t="shared" si="257"/>
        <v>-54560</v>
      </c>
      <c r="FL40" s="156" t="e">
        <f t="shared" si="257"/>
        <v>#REF!</v>
      </c>
      <c r="FM40" s="156" t="e">
        <f t="shared" ref="FM40:FM45" si="258">SUM(FA40:FL40)</f>
        <v>#REF!</v>
      </c>
      <c r="FN40" s="168" t="e">
        <f t="shared" si="29"/>
        <v>#REF!</v>
      </c>
    </row>
    <row r="41" spans="1:170" ht="11.25" customHeight="1">
      <c r="B41" s="573" t="s">
        <v>11</v>
      </c>
      <c r="C41" s="574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>
        <f t="shared" si="11"/>
        <v>0</v>
      </c>
      <c r="Q41" s="167" t="str">
        <f t="shared" si="16"/>
        <v/>
      </c>
      <c r="R41" s="531"/>
      <c r="S41" s="573" t="s">
        <v>11</v>
      </c>
      <c r="T41" s="574"/>
      <c r="U41" s="137"/>
      <c r="V41" s="137"/>
      <c r="W41" s="137"/>
      <c r="X41" s="137"/>
      <c r="Y41" s="137"/>
      <c r="Z41" s="137"/>
      <c r="AA41" s="137"/>
      <c r="AB41" s="137"/>
      <c r="AC41" s="137"/>
      <c r="AD41" s="137"/>
      <c r="AE41" s="137"/>
      <c r="AF41" s="137"/>
      <c r="AG41" s="137">
        <f t="shared" si="242"/>
        <v>0</v>
      </c>
      <c r="AH41" s="167" t="str">
        <f t="shared" si="57"/>
        <v/>
      </c>
      <c r="AJ41" s="573" t="s">
        <v>11</v>
      </c>
      <c r="AK41" s="574"/>
      <c r="AL41" s="137"/>
      <c r="AM41" s="137"/>
      <c r="AN41" s="137"/>
      <c r="AO41" s="137"/>
      <c r="AP41" s="137"/>
      <c r="AQ41" s="137"/>
      <c r="AR41" s="137"/>
      <c r="AS41" s="137"/>
      <c r="AT41" s="137"/>
      <c r="AU41" s="137"/>
      <c r="AV41" s="137"/>
      <c r="AW41" s="137"/>
      <c r="AX41" s="137">
        <f t="shared" si="244"/>
        <v>0</v>
      </c>
      <c r="AY41" s="167" t="str">
        <f t="shared" si="182"/>
        <v/>
      </c>
      <c r="BA41" s="573" t="s">
        <v>11</v>
      </c>
      <c r="BB41" s="574"/>
      <c r="BC41" s="137"/>
      <c r="BD41" s="137"/>
      <c r="BE41" s="137"/>
      <c r="BF41" s="137"/>
      <c r="BG41" s="137"/>
      <c r="BH41" s="137"/>
      <c r="BI41" s="137"/>
      <c r="BJ41" s="137"/>
      <c r="BK41" s="137"/>
      <c r="BL41" s="137"/>
      <c r="BM41" s="137"/>
      <c r="BN41" s="137"/>
      <c r="BO41" s="137">
        <f t="shared" si="246"/>
        <v>0</v>
      </c>
      <c r="BP41" s="167" t="str">
        <f t="shared" si="20"/>
        <v/>
      </c>
      <c r="BR41" s="573" t="s">
        <v>11</v>
      </c>
      <c r="BS41" s="574"/>
      <c r="BT41" s="137"/>
      <c r="BU41" s="137"/>
      <c r="BV41" s="137"/>
      <c r="BW41" s="137"/>
      <c r="BX41" s="137"/>
      <c r="BY41" s="137"/>
      <c r="BZ41" s="137"/>
      <c r="CA41" s="137"/>
      <c r="CB41" s="137"/>
      <c r="CC41" s="137"/>
      <c r="CD41" s="137"/>
      <c r="CE41" s="137"/>
      <c r="CF41" s="137">
        <f t="shared" si="248"/>
        <v>0</v>
      </c>
      <c r="CG41" s="167" t="str">
        <f t="shared" si="22"/>
        <v/>
      </c>
      <c r="CI41" s="573" t="s">
        <v>11</v>
      </c>
      <c r="CJ41" s="574"/>
      <c r="CK41" s="137"/>
      <c r="CL41" s="137"/>
      <c r="CM41" s="137"/>
      <c r="CN41" s="137"/>
      <c r="CO41" s="137"/>
      <c r="CP41" s="137"/>
      <c r="CQ41" s="137"/>
      <c r="CR41" s="137"/>
      <c r="CS41" s="137"/>
      <c r="CT41" s="137"/>
      <c r="CU41" s="137"/>
      <c r="CV41" s="137"/>
      <c r="CW41" s="137">
        <f t="shared" si="250"/>
        <v>0</v>
      </c>
      <c r="CX41" s="167" t="str">
        <f t="shared" si="23"/>
        <v/>
      </c>
      <c r="CZ41" s="573" t="s">
        <v>11</v>
      </c>
      <c r="DA41" s="574"/>
      <c r="DB41" s="137"/>
      <c r="DC41" s="137"/>
      <c r="DD41" s="137"/>
      <c r="DE41" s="137"/>
      <c r="DF41" s="137"/>
      <c r="DG41" s="137"/>
      <c r="DH41" s="137"/>
      <c r="DI41" s="137"/>
      <c r="DJ41" s="137"/>
      <c r="DK41" s="137"/>
      <c r="DL41" s="137"/>
      <c r="DM41" s="137"/>
      <c r="DN41" s="137">
        <f t="shared" si="252"/>
        <v>0</v>
      </c>
      <c r="DO41" s="167" t="str">
        <f t="shared" si="24"/>
        <v/>
      </c>
      <c r="DQ41" s="573" t="s">
        <v>11</v>
      </c>
      <c r="DR41" s="574"/>
      <c r="DS41" s="137"/>
      <c r="DT41" s="137"/>
      <c r="DU41" s="137"/>
      <c r="DV41" s="137"/>
      <c r="DW41" s="137"/>
      <c r="DX41" s="137"/>
      <c r="DY41" s="137"/>
      <c r="DZ41" s="137"/>
      <c r="EA41" s="137"/>
      <c r="EB41" s="137"/>
      <c r="EC41" s="137"/>
      <c r="ED41" s="137"/>
      <c r="EE41" s="137">
        <f t="shared" si="254"/>
        <v>0</v>
      </c>
      <c r="EF41" s="167" t="str">
        <f t="shared" si="25"/>
        <v/>
      </c>
      <c r="EH41" s="573" t="s">
        <v>11</v>
      </c>
      <c r="EI41" s="574"/>
      <c r="EJ41" s="137"/>
      <c r="EK41" s="137"/>
      <c r="EL41" s="137"/>
      <c r="EM41" s="137"/>
      <c r="EN41" s="137"/>
      <c r="EO41" s="137"/>
      <c r="EP41" s="137"/>
      <c r="EQ41" s="137"/>
      <c r="ER41" s="137"/>
      <c r="ES41" s="137"/>
      <c r="ET41" s="137"/>
      <c r="EU41" s="137"/>
      <c r="EV41" s="137">
        <f t="shared" si="256"/>
        <v>0</v>
      </c>
      <c r="EW41" s="167" t="str">
        <f t="shared" si="27"/>
        <v/>
      </c>
      <c r="EY41" s="573" t="s">
        <v>11</v>
      </c>
      <c r="EZ41" s="574"/>
      <c r="FA41" s="137"/>
      <c r="FB41" s="137"/>
      <c r="FC41" s="137"/>
      <c r="FD41" s="137"/>
      <c r="FE41" s="137"/>
      <c r="FF41" s="137"/>
      <c r="FG41" s="137"/>
      <c r="FH41" s="137"/>
      <c r="FI41" s="137"/>
      <c r="FJ41" s="137"/>
      <c r="FK41" s="137"/>
      <c r="FL41" s="137"/>
      <c r="FM41" s="137">
        <f t="shared" si="258"/>
        <v>0</v>
      </c>
      <c r="FN41" s="167" t="str">
        <f t="shared" si="29"/>
        <v/>
      </c>
    </row>
    <row r="42" spans="1:170" ht="11.25" customHeight="1">
      <c r="B42" s="562" t="s">
        <v>14</v>
      </c>
      <c r="C42" s="563"/>
      <c r="D42" s="132">
        <f>SUM(D43:D44)</f>
        <v>0</v>
      </c>
      <c r="E42" s="132">
        <f t="shared" ref="E42:O42" si="259">SUM(E43:E44)</f>
        <v>0</v>
      </c>
      <c r="F42" s="132">
        <f t="shared" si="259"/>
        <v>0</v>
      </c>
      <c r="G42" s="132">
        <f t="shared" si="259"/>
        <v>0</v>
      </c>
      <c r="H42" s="132">
        <f t="shared" si="259"/>
        <v>0</v>
      </c>
      <c r="I42" s="132">
        <f t="shared" si="259"/>
        <v>0</v>
      </c>
      <c r="J42" s="132">
        <f t="shared" si="259"/>
        <v>0</v>
      </c>
      <c r="K42" s="132">
        <f t="shared" si="259"/>
        <v>0</v>
      </c>
      <c r="L42" s="132">
        <f t="shared" si="259"/>
        <v>0</v>
      </c>
      <c r="M42" s="132">
        <f t="shared" si="259"/>
        <v>0</v>
      </c>
      <c r="N42" s="132">
        <f t="shared" si="259"/>
        <v>0</v>
      </c>
      <c r="O42" s="132">
        <f t="shared" si="259"/>
        <v>0</v>
      </c>
      <c r="P42" s="132">
        <f t="shared" si="11"/>
        <v>0</v>
      </c>
      <c r="Q42" s="165" t="str">
        <f t="shared" si="16"/>
        <v/>
      </c>
      <c r="R42" s="531"/>
      <c r="S42" s="562" t="s">
        <v>14</v>
      </c>
      <c r="T42" s="563"/>
      <c r="U42" s="132">
        <f>SUM(U43:U44)</f>
        <v>0</v>
      </c>
      <c r="V42" s="132">
        <f t="shared" ref="V42:AF42" si="260">SUM(V43:V44)</f>
        <v>0</v>
      </c>
      <c r="W42" s="132">
        <f t="shared" si="260"/>
        <v>0</v>
      </c>
      <c r="X42" s="132">
        <f t="shared" si="260"/>
        <v>0</v>
      </c>
      <c r="Y42" s="132">
        <f t="shared" si="260"/>
        <v>0</v>
      </c>
      <c r="Z42" s="132">
        <f t="shared" si="260"/>
        <v>0</v>
      </c>
      <c r="AA42" s="132">
        <f t="shared" si="260"/>
        <v>0</v>
      </c>
      <c r="AB42" s="132">
        <f t="shared" si="260"/>
        <v>0</v>
      </c>
      <c r="AC42" s="132">
        <f t="shared" si="260"/>
        <v>0</v>
      </c>
      <c r="AD42" s="132">
        <f t="shared" si="260"/>
        <v>0</v>
      </c>
      <c r="AE42" s="132">
        <f t="shared" si="260"/>
        <v>0</v>
      </c>
      <c r="AF42" s="132">
        <f t="shared" si="260"/>
        <v>0</v>
      </c>
      <c r="AG42" s="132">
        <f t="shared" si="242"/>
        <v>0</v>
      </c>
      <c r="AH42" s="165" t="str">
        <f t="shared" si="57"/>
        <v/>
      </c>
      <c r="AJ42" s="562" t="s">
        <v>14</v>
      </c>
      <c r="AK42" s="563"/>
      <c r="AL42" s="132">
        <f>SUM(AL43:AL44)</f>
        <v>0</v>
      </c>
      <c r="AM42" s="132">
        <f t="shared" ref="AM42:AW42" si="261">SUM(AM43:AM44)</f>
        <v>0</v>
      </c>
      <c r="AN42" s="132">
        <f t="shared" si="261"/>
        <v>0</v>
      </c>
      <c r="AO42" s="132">
        <f t="shared" si="261"/>
        <v>0</v>
      </c>
      <c r="AP42" s="132">
        <f t="shared" si="261"/>
        <v>0</v>
      </c>
      <c r="AQ42" s="132">
        <f t="shared" si="261"/>
        <v>0</v>
      </c>
      <c r="AR42" s="132">
        <f t="shared" si="261"/>
        <v>0</v>
      </c>
      <c r="AS42" s="132">
        <f t="shared" si="261"/>
        <v>0</v>
      </c>
      <c r="AT42" s="132">
        <f t="shared" si="261"/>
        <v>0</v>
      </c>
      <c r="AU42" s="132">
        <f t="shared" si="261"/>
        <v>0</v>
      </c>
      <c r="AV42" s="132">
        <f t="shared" si="261"/>
        <v>0</v>
      </c>
      <c r="AW42" s="132">
        <f t="shared" si="261"/>
        <v>0</v>
      </c>
      <c r="AX42" s="132">
        <f t="shared" si="244"/>
        <v>0</v>
      </c>
      <c r="AY42" s="165" t="str">
        <f t="shared" si="182"/>
        <v/>
      </c>
      <c r="BA42" s="562" t="s">
        <v>14</v>
      </c>
      <c r="BB42" s="563"/>
      <c r="BC42" s="132">
        <f>SUM(BC43:BC44)</f>
        <v>0</v>
      </c>
      <c r="BD42" s="132">
        <f t="shared" ref="BD42:BN42" si="262">SUM(BD43:BD44)</f>
        <v>0</v>
      </c>
      <c r="BE42" s="132">
        <f t="shared" si="262"/>
        <v>0</v>
      </c>
      <c r="BF42" s="132">
        <f t="shared" si="262"/>
        <v>0</v>
      </c>
      <c r="BG42" s="132">
        <f t="shared" si="262"/>
        <v>0</v>
      </c>
      <c r="BH42" s="132">
        <f t="shared" si="262"/>
        <v>0</v>
      </c>
      <c r="BI42" s="132">
        <f t="shared" si="262"/>
        <v>0</v>
      </c>
      <c r="BJ42" s="132">
        <f t="shared" si="262"/>
        <v>0</v>
      </c>
      <c r="BK42" s="132">
        <f t="shared" si="262"/>
        <v>0</v>
      </c>
      <c r="BL42" s="132">
        <f t="shared" si="262"/>
        <v>0</v>
      </c>
      <c r="BM42" s="132">
        <f t="shared" si="262"/>
        <v>0</v>
      </c>
      <c r="BN42" s="132">
        <f t="shared" si="262"/>
        <v>0</v>
      </c>
      <c r="BO42" s="132">
        <f t="shared" si="246"/>
        <v>0</v>
      </c>
      <c r="BP42" s="165" t="str">
        <f t="shared" si="20"/>
        <v/>
      </c>
      <c r="BR42" s="562" t="s">
        <v>14</v>
      </c>
      <c r="BS42" s="563"/>
      <c r="BT42" s="132">
        <f>SUM(BT43:BT44)</f>
        <v>0</v>
      </c>
      <c r="BU42" s="132">
        <f t="shared" ref="BU42:CE42" si="263">SUM(BU43:BU44)</f>
        <v>0</v>
      </c>
      <c r="BV42" s="132">
        <f t="shared" si="263"/>
        <v>0</v>
      </c>
      <c r="BW42" s="132">
        <f t="shared" si="263"/>
        <v>0</v>
      </c>
      <c r="BX42" s="132">
        <f t="shared" si="263"/>
        <v>0</v>
      </c>
      <c r="BY42" s="132">
        <f t="shared" si="263"/>
        <v>0</v>
      </c>
      <c r="BZ42" s="132">
        <f t="shared" si="263"/>
        <v>0</v>
      </c>
      <c r="CA42" s="132">
        <f t="shared" si="263"/>
        <v>0</v>
      </c>
      <c r="CB42" s="132">
        <f t="shared" si="263"/>
        <v>0</v>
      </c>
      <c r="CC42" s="132">
        <f t="shared" si="263"/>
        <v>0</v>
      </c>
      <c r="CD42" s="132">
        <f t="shared" si="263"/>
        <v>0</v>
      </c>
      <c r="CE42" s="132">
        <f t="shared" si="263"/>
        <v>0</v>
      </c>
      <c r="CF42" s="132">
        <f t="shared" si="248"/>
        <v>0</v>
      </c>
      <c r="CG42" s="165" t="str">
        <f t="shared" si="22"/>
        <v/>
      </c>
      <c r="CI42" s="562" t="s">
        <v>14</v>
      </c>
      <c r="CJ42" s="563"/>
      <c r="CK42" s="132">
        <f>SUM(CK43:CK44)</f>
        <v>0</v>
      </c>
      <c r="CL42" s="132">
        <f t="shared" ref="CL42:CV42" si="264">SUM(CL43:CL44)</f>
        <v>0</v>
      </c>
      <c r="CM42" s="132">
        <f t="shared" si="264"/>
        <v>0</v>
      </c>
      <c r="CN42" s="132">
        <f t="shared" si="264"/>
        <v>0</v>
      </c>
      <c r="CO42" s="132">
        <f t="shared" si="264"/>
        <v>0</v>
      </c>
      <c r="CP42" s="132">
        <f t="shared" si="264"/>
        <v>0</v>
      </c>
      <c r="CQ42" s="132">
        <f t="shared" si="264"/>
        <v>0</v>
      </c>
      <c r="CR42" s="132">
        <f t="shared" si="264"/>
        <v>0</v>
      </c>
      <c r="CS42" s="132">
        <f t="shared" si="264"/>
        <v>0</v>
      </c>
      <c r="CT42" s="132">
        <f t="shared" si="264"/>
        <v>0</v>
      </c>
      <c r="CU42" s="132">
        <f t="shared" si="264"/>
        <v>0</v>
      </c>
      <c r="CV42" s="132">
        <f t="shared" si="264"/>
        <v>0</v>
      </c>
      <c r="CW42" s="132">
        <f t="shared" si="250"/>
        <v>0</v>
      </c>
      <c r="CX42" s="165" t="str">
        <f t="shared" si="23"/>
        <v/>
      </c>
      <c r="CZ42" s="562" t="s">
        <v>14</v>
      </c>
      <c r="DA42" s="563"/>
      <c r="DB42" s="132">
        <f>SUM(DB43:DB44)</f>
        <v>0</v>
      </c>
      <c r="DC42" s="132">
        <f t="shared" ref="DC42:DM42" si="265">SUM(DC43:DC44)</f>
        <v>0</v>
      </c>
      <c r="DD42" s="132">
        <f t="shared" si="265"/>
        <v>0</v>
      </c>
      <c r="DE42" s="132">
        <f t="shared" si="265"/>
        <v>0</v>
      </c>
      <c r="DF42" s="132">
        <f t="shared" si="265"/>
        <v>0</v>
      </c>
      <c r="DG42" s="132">
        <f t="shared" si="265"/>
        <v>0</v>
      </c>
      <c r="DH42" s="132">
        <f t="shared" si="265"/>
        <v>0</v>
      </c>
      <c r="DI42" s="132">
        <f t="shared" si="265"/>
        <v>0</v>
      </c>
      <c r="DJ42" s="132">
        <f t="shared" si="265"/>
        <v>0</v>
      </c>
      <c r="DK42" s="132">
        <f t="shared" si="265"/>
        <v>0</v>
      </c>
      <c r="DL42" s="132">
        <f t="shared" si="265"/>
        <v>0</v>
      </c>
      <c r="DM42" s="132">
        <f t="shared" si="265"/>
        <v>0</v>
      </c>
      <c r="DN42" s="132">
        <f t="shared" si="252"/>
        <v>0</v>
      </c>
      <c r="DO42" s="165" t="str">
        <f t="shared" si="24"/>
        <v/>
      </c>
      <c r="DQ42" s="562" t="s">
        <v>14</v>
      </c>
      <c r="DR42" s="563"/>
      <c r="DS42" s="132">
        <f>SUM(DS43:DS44)</f>
        <v>0</v>
      </c>
      <c r="DT42" s="132">
        <f t="shared" ref="DT42:ED42" si="266">SUM(DT43:DT44)</f>
        <v>0</v>
      </c>
      <c r="DU42" s="132">
        <f t="shared" si="266"/>
        <v>0</v>
      </c>
      <c r="DV42" s="132">
        <f t="shared" si="266"/>
        <v>0</v>
      </c>
      <c r="DW42" s="132">
        <f t="shared" si="266"/>
        <v>0</v>
      </c>
      <c r="DX42" s="132">
        <f t="shared" si="266"/>
        <v>0</v>
      </c>
      <c r="DY42" s="132">
        <f t="shared" si="266"/>
        <v>0</v>
      </c>
      <c r="DZ42" s="132">
        <f t="shared" si="266"/>
        <v>0</v>
      </c>
      <c r="EA42" s="132">
        <f t="shared" si="266"/>
        <v>0</v>
      </c>
      <c r="EB42" s="132">
        <f t="shared" si="266"/>
        <v>0</v>
      </c>
      <c r="EC42" s="132">
        <f t="shared" si="266"/>
        <v>0</v>
      </c>
      <c r="ED42" s="132">
        <f t="shared" si="266"/>
        <v>0</v>
      </c>
      <c r="EE42" s="132">
        <f t="shared" si="254"/>
        <v>0</v>
      </c>
      <c r="EF42" s="165" t="str">
        <f t="shared" si="25"/>
        <v/>
      </c>
      <c r="EH42" s="562" t="s">
        <v>14</v>
      </c>
      <c r="EI42" s="563"/>
      <c r="EJ42" s="132">
        <f>SUM(EJ43:EJ44)</f>
        <v>0</v>
      </c>
      <c r="EK42" s="132">
        <f t="shared" ref="EK42:EU42" si="267">SUM(EK43:EK44)</f>
        <v>0</v>
      </c>
      <c r="EL42" s="132">
        <f t="shared" si="267"/>
        <v>0</v>
      </c>
      <c r="EM42" s="132">
        <f t="shared" si="267"/>
        <v>0</v>
      </c>
      <c r="EN42" s="132">
        <f t="shared" si="267"/>
        <v>0</v>
      </c>
      <c r="EO42" s="132">
        <f t="shared" si="267"/>
        <v>0</v>
      </c>
      <c r="EP42" s="132">
        <f t="shared" si="267"/>
        <v>0</v>
      </c>
      <c r="EQ42" s="132">
        <f t="shared" si="267"/>
        <v>0</v>
      </c>
      <c r="ER42" s="132">
        <f t="shared" si="267"/>
        <v>0</v>
      </c>
      <c r="ES42" s="132">
        <f t="shared" si="267"/>
        <v>0</v>
      </c>
      <c r="ET42" s="132">
        <f t="shared" si="267"/>
        <v>0</v>
      </c>
      <c r="EU42" s="132">
        <f t="shared" si="267"/>
        <v>0</v>
      </c>
      <c r="EV42" s="132">
        <f t="shared" si="256"/>
        <v>0</v>
      </c>
      <c r="EW42" s="165" t="str">
        <f t="shared" si="27"/>
        <v/>
      </c>
      <c r="EY42" s="562" t="s">
        <v>14</v>
      </c>
      <c r="EZ42" s="563"/>
      <c r="FA42" s="132">
        <f>SUM(FA43:FA44)</f>
        <v>0</v>
      </c>
      <c r="FB42" s="132">
        <f t="shared" ref="FB42:FL42" si="268">SUM(FB43:FB44)</f>
        <v>0</v>
      </c>
      <c r="FC42" s="132">
        <f t="shared" si="268"/>
        <v>0</v>
      </c>
      <c r="FD42" s="132">
        <f t="shared" si="268"/>
        <v>0</v>
      </c>
      <c r="FE42" s="132">
        <f t="shared" si="268"/>
        <v>0</v>
      </c>
      <c r="FF42" s="132">
        <f t="shared" si="268"/>
        <v>0</v>
      </c>
      <c r="FG42" s="132">
        <f t="shared" si="268"/>
        <v>0</v>
      </c>
      <c r="FH42" s="132">
        <f t="shared" si="268"/>
        <v>0</v>
      </c>
      <c r="FI42" s="132">
        <f t="shared" si="268"/>
        <v>0</v>
      </c>
      <c r="FJ42" s="132">
        <f t="shared" si="268"/>
        <v>0</v>
      </c>
      <c r="FK42" s="132">
        <f t="shared" si="268"/>
        <v>0</v>
      </c>
      <c r="FL42" s="132">
        <f t="shared" si="268"/>
        <v>0</v>
      </c>
      <c r="FM42" s="132">
        <f t="shared" si="258"/>
        <v>0</v>
      </c>
      <c r="FN42" s="165" t="str">
        <f t="shared" si="29"/>
        <v/>
      </c>
    </row>
    <row r="43" spans="1:170" s="155" customFormat="1" ht="8.25" customHeight="1">
      <c r="B43" s="564"/>
      <c r="C43" s="4" t="s">
        <v>12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>
        <f t="shared" si="11"/>
        <v>0</v>
      </c>
      <c r="Q43" s="166" t="str">
        <f t="shared" si="16"/>
        <v/>
      </c>
      <c r="R43" s="531"/>
      <c r="S43" s="564"/>
      <c r="T43" s="4" t="s">
        <v>12</v>
      </c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>
        <f t="shared" si="242"/>
        <v>0</v>
      </c>
      <c r="AH43" s="166" t="str">
        <f t="shared" si="57"/>
        <v/>
      </c>
      <c r="AJ43" s="564"/>
      <c r="AK43" s="4" t="s">
        <v>12</v>
      </c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>
        <f t="shared" si="244"/>
        <v>0</v>
      </c>
      <c r="AY43" s="166" t="str">
        <f t="shared" si="182"/>
        <v/>
      </c>
      <c r="BA43" s="564"/>
      <c r="BB43" s="4" t="s">
        <v>12</v>
      </c>
      <c r="BC43" s="2">
        <f>'金融借入（移行計算）'!AL6/1000</f>
        <v>0</v>
      </c>
      <c r="BD43" s="2">
        <f>'金融借入（移行計算）'!AM6/1000</f>
        <v>0</v>
      </c>
      <c r="BE43" s="2">
        <f>'金融借入（移行計算）'!AN6/1000</f>
        <v>0</v>
      </c>
      <c r="BF43" s="2">
        <f>'金融借入（移行計算）'!AO6/1000</f>
        <v>0</v>
      </c>
      <c r="BG43" s="2">
        <f>'金融借入（移行計算）'!AP6/1000</f>
        <v>0</v>
      </c>
      <c r="BH43" s="2">
        <f>'金融借入（移行計算）'!AQ6/1000</f>
        <v>0</v>
      </c>
      <c r="BI43" s="2">
        <f>'金融借入（移行計算）'!AR6/1000</f>
        <v>0</v>
      </c>
      <c r="BJ43" s="2">
        <f>'金融借入（移行計算）'!AS6/1000</f>
        <v>0</v>
      </c>
      <c r="BK43" s="2">
        <f>'金融借入（移行計算）'!AT6/1000</f>
        <v>0</v>
      </c>
      <c r="BL43" s="2">
        <f>'金融借入（移行計算）'!AU6/1000</f>
        <v>0</v>
      </c>
      <c r="BM43" s="2">
        <f>'金融借入（移行計算）'!AV6/1000</f>
        <v>0</v>
      </c>
      <c r="BN43" s="2">
        <f>'金融借入（移行計算）'!AW6/1000</f>
        <v>0</v>
      </c>
      <c r="BO43" s="2">
        <f t="shared" si="246"/>
        <v>0</v>
      </c>
      <c r="BP43" s="166" t="str">
        <f t="shared" si="20"/>
        <v/>
      </c>
      <c r="BR43" s="564"/>
      <c r="BS43" s="4" t="s">
        <v>12</v>
      </c>
      <c r="BT43" s="2">
        <f>'金融借入（移行計算）'!AW6/1000</f>
        <v>0</v>
      </c>
      <c r="BU43" s="2">
        <f>'金融借入（移行計算）'!AX6/1000</f>
        <v>0</v>
      </c>
      <c r="BV43" s="2">
        <f>'金融借入（移行計算）'!AY6/1000</f>
        <v>0</v>
      </c>
      <c r="BW43" s="2">
        <f>'金融借入（移行計算）'!AZ6/1000</f>
        <v>0</v>
      </c>
      <c r="BX43" s="2">
        <f>'金融借入（移行計算）'!BA6/1000</f>
        <v>0</v>
      </c>
      <c r="BY43" s="2">
        <f>'金融借入（移行計算）'!BB6/1000</f>
        <v>0</v>
      </c>
      <c r="BZ43" s="2">
        <f>'金融借入（移行計算）'!BC6/1000</f>
        <v>0</v>
      </c>
      <c r="CA43" s="2">
        <f>'金融借入（移行計算）'!BD6/1000</f>
        <v>0</v>
      </c>
      <c r="CB43" s="2">
        <f>'金融借入（移行計算）'!BE6/1000</f>
        <v>0</v>
      </c>
      <c r="CC43" s="2">
        <f>'金融借入（移行計算）'!BF6/1000</f>
        <v>0</v>
      </c>
      <c r="CD43" s="2">
        <f>'金融借入（移行計算）'!BG6/1000</f>
        <v>0</v>
      </c>
      <c r="CE43" s="2">
        <f>'金融借入（移行計算）'!BH6/1000</f>
        <v>0</v>
      </c>
      <c r="CF43" s="2">
        <f t="shared" si="248"/>
        <v>0</v>
      </c>
      <c r="CG43" s="166" t="str">
        <f t="shared" si="22"/>
        <v/>
      </c>
      <c r="CI43" s="564"/>
      <c r="CJ43" s="4" t="s">
        <v>12</v>
      </c>
      <c r="CK43" s="2">
        <f>'金融借入（移行計算）'!BI6/1000</f>
        <v>0</v>
      </c>
      <c r="CL43" s="2">
        <f>'金融借入（移行計算）'!BJ6/1000</f>
        <v>0</v>
      </c>
      <c r="CM43" s="2">
        <f>'金融借入（移行計算）'!BK6/1000</f>
        <v>0</v>
      </c>
      <c r="CN43" s="2">
        <f>'金融借入（移行計算）'!BL6/1000</f>
        <v>0</v>
      </c>
      <c r="CO43" s="2">
        <f>'金融借入（移行計算）'!BM6/1000</f>
        <v>0</v>
      </c>
      <c r="CP43" s="2">
        <f>'金融借入（移行計算）'!BN6/1000</f>
        <v>0</v>
      </c>
      <c r="CQ43" s="2">
        <f>'金融借入（移行計算）'!BO6/1000</f>
        <v>0</v>
      </c>
      <c r="CR43" s="2">
        <f>'金融借入（移行計算）'!BP6/1000</f>
        <v>0</v>
      </c>
      <c r="CS43" s="2">
        <f>'金融借入（移行計算）'!BQ6/1000</f>
        <v>0</v>
      </c>
      <c r="CT43" s="2">
        <f>'金融借入（移行計算）'!BR6/1000</f>
        <v>0</v>
      </c>
      <c r="CU43" s="2">
        <f>'金融借入（移行計算）'!BS6/1000</f>
        <v>0</v>
      </c>
      <c r="CV43" s="2">
        <f>'金融借入（移行計算）'!BT6/1000</f>
        <v>0</v>
      </c>
      <c r="CW43" s="2">
        <f t="shared" si="250"/>
        <v>0</v>
      </c>
      <c r="CX43" s="166" t="str">
        <f t="shared" si="23"/>
        <v/>
      </c>
      <c r="CZ43" s="564"/>
      <c r="DA43" s="4" t="s">
        <v>12</v>
      </c>
      <c r="DB43" s="2">
        <f>'金融借入（移行計算）'!BU6/1000</f>
        <v>0</v>
      </c>
      <c r="DC43" s="2">
        <f>'金融借入（移行計算）'!BV6/1000</f>
        <v>0</v>
      </c>
      <c r="DD43" s="2">
        <f>'金融借入（移行計算）'!BW6/1000</f>
        <v>0</v>
      </c>
      <c r="DE43" s="2">
        <f>'金融借入（移行計算）'!BX6/1000</f>
        <v>0</v>
      </c>
      <c r="DF43" s="2">
        <f>'金融借入（移行計算）'!BY6/1000</f>
        <v>0</v>
      </c>
      <c r="DG43" s="2">
        <f>'金融借入（移行計算）'!BZ6/1000</f>
        <v>0</v>
      </c>
      <c r="DH43" s="2">
        <f>'金融借入（移行計算）'!CA6/1000</f>
        <v>0</v>
      </c>
      <c r="DI43" s="2">
        <f>'金融借入（移行計算）'!CB6/1000</f>
        <v>0</v>
      </c>
      <c r="DJ43" s="2">
        <f>'金融借入（移行計算）'!CC6/1000</f>
        <v>0</v>
      </c>
      <c r="DK43" s="2">
        <f>'金融借入（移行計算）'!CD6/1000</f>
        <v>0</v>
      </c>
      <c r="DL43" s="2">
        <f>'金融借入（移行計算）'!CE6/1000</f>
        <v>0</v>
      </c>
      <c r="DM43" s="2">
        <f>'金融借入（移行計算）'!CF6/1000</f>
        <v>0</v>
      </c>
      <c r="DN43" s="2">
        <f t="shared" si="252"/>
        <v>0</v>
      </c>
      <c r="DO43" s="166" t="str">
        <f t="shared" si="24"/>
        <v/>
      </c>
      <c r="DQ43" s="564"/>
      <c r="DR43" s="4" t="s">
        <v>12</v>
      </c>
      <c r="DS43" s="2">
        <f>'金融借入（移行計算）'!CG6/1000</f>
        <v>0</v>
      </c>
      <c r="DT43" s="2">
        <f>'金融借入（移行計算）'!CH6/1000</f>
        <v>0</v>
      </c>
      <c r="DU43" s="2">
        <f>'金融借入（移行計算）'!CI6/1000</f>
        <v>0</v>
      </c>
      <c r="DV43" s="2">
        <f>'金融借入（移行計算）'!CJ6/1000</f>
        <v>0</v>
      </c>
      <c r="DW43" s="2">
        <f>'金融借入（移行計算）'!CK6/1000</f>
        <v>0</v>
      </c>
      <c r="DX43" s="2">
        <f>'金融借入（移行計算）'!CL6/1000</f>
        <v>0</v>
      </c>
      <c r="DY43" s="2">
        <f>'金融借入（移行計算）'!CM6/1000</f>
        <v>0</v>
      </c>
      <c r="DZ43" s="2">
        <f>'金融借入（移行計算）'!CN6/1000</f>
        <v>0</v>
      </c>
      <c r="EA43" s="2">
        <f>'金融借入（移行計算）'!CO6/1000</f>
        <v>0</v>
      </c>
      <c r="EB43" s="2">
        <f>'金融借入（移行計算）'!CP6/1000</f>
        <v>0</v>
      </c>
      <c r="EC43" s="2">
        <f>'金融借入（移行計算）'!CQ6/1000</f>
        <v>0</v>
      </c>
      <c r="ED43" s="2">
        <f>'金融借入（移行計算）'!CR6/1000</f>
        <v>0</v>
      </c>
      <c r="EE43" s="2">
        <f t="shared" si="254"/>
        <v>0</v>
      </c>
      <c r="EF43" s="166" t="str">
        <f t="shared" si="25"/>
        <v/>
      </c>
      <c r="EH43" s="564"/>
      <c r="EI43" s="4" t="s">
        <v>12</v>
      </c>
      <c r="EJ43" s="2">
        <f>'金融借入（移行計算）'!CS6/1000</f>
        <v>0</v>
      </c>
      <c r="EK43" s="2">
        <f>'金融借入（移行計算）'!CT6/1000</f>
        <v>0</v>
      </c>
      <c r="EL43" s="2">
        <f>'金融借入（移行計算）'!CU6/1000</f>
        <v>0</v>
      </c>
      <c r="EM43" s="2">
        <f>'金融借入（移行計算）'!CV6/1000</f>
        <v>0</v>
      </c>
      <c r="EN43" s="2">
        <f>'金融借入（移行計算）'!CW6/1000</f>
        <v>0</v>
      </c>
      <c r="EO43" s="2">
        <f>'金融借入（移行計算）'!CX6/1000</f>
        <v>0</v>
      </c>
      <c r="EP43" s="2">
        <f>'金融借入（移行計算）'!CY6/1000</f>
        <v>0</v>
      </c>
      <c r="EQ43" s="2">
        <f>'金融借入（移行計算）'!CZ6/1000</f>
        <v>0</v>
      </c>
      <c r="ER43" s="2">
        <f>'金融借入（移行計算）'!DA6/1000</f>
        <v>0</v>
      </c>
      <c r="ES43" s="2">
        <f>'金融借入（移行計算）'!DB6/1000</f>
        <v>0</v>
      </c>
      <c r="ET43" s="2">
        <f>'金融借入（移行計算）'!DC6/1000</f>
        <v>0</v>
      </c>
      <c r="EU43" s="2">
        <f>'金融借入（移行計算）'!DD6/1000</f>
        <v>0</v>
      </c>
      <c r="EV43" s="2">
        <f t="shared" si="256"/>
        <v>0</v>
      </c>
      <c r="EW43" s="166" t="str">
        <f t="shared" si="27"/>
        <v/>
      </c>
      <c r="EY43" s="564"/>
      <c r="EZ43" s="4" t="s">
        <v>12</v>
      </c>
      <c r="FA43" s="2">
        <f>'金融借入（移行計算）'!DE6/1000</f>
        <v>0</v>
      </c>
      <c r="FB43" s="2">
        <f>'金融借入（移行計算）'!DF6/1000</f>
        <v>0</v>
      </c>
      <c r="FC43" s="2">
        <f>'金融借入（移行計算）'!DG6/1000</f>
        <v>0</v>
      </c>
      <c r="FD43" s="2">
        <f>'金融借入（移行計算）'!DH6/1000</f>
        <v>0</v>
      </c>
      <c r="FE43" s="2">
        <f>'金融借入（移行計算）'!DI6/1000</f>
        <v>0</v>
      </c>
      <c r="FF43" s="2">
        <f>'金融借入（移行計算）'!DJ6/1000</f>
        <v>0</v>
      </c>
      <c r="FG43" s="2">
        <f>'金融借入（移行計算）'!DK6/1000</f>
        <v>0</v>
      </c>
      <c r="FH43" s="2">
        <f>'金融借入（移行計算）'!DL6/1000</f>
        <v>0</v>
      </c>
      <c r="FI43" s="2">
        <f>'金融借入（移行計算）'!DM6/1000</f>
        <v>0</v>
      </c>
      <c r="FJ43" s="2">
        <f>'金融借入（移行計算）'!DN6/1000</f>
        <v>0</v>
      </c>
      <c r="FK43" s="2">
        <f>'金融借入（移行計算）'!DO6/1000</f>
        <v>0</v>
      </c>
      <c r="FL43" s="2">
        <f>'金融借入（移行計算）'!DP6/1000</f>
        <v>0</v>
      </c>
      <c r="FM43" s="2">
        <f t="shared" si="258"/>
        <v>0</v>
      </c>
      <c r="FN43" s="166" t="str">
        <f t="shared" si="29"/>
        <v/>
      </c>
    </row>
    <row r="44" spans="1:170" s="155" customFormat="1" ht="8.25" customHeight="1">
      <c r="B44" s="565"/>
      <c r="C44" s="4" t="s">
        <v>13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>
        <f t="shared" si="11"/>
        <v>0</v>
      </c>
      <c r="Q44" s="166" t="str">
        <f t="shared" si="16"/>
        <v/>
      </c>
      <c r="R44" s="531"/>
      <c r="S44" s="565"/>
      <c r="T44" s="4" t="s">
        <v>13</v>
      </c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>
        <f t="shared" si="242"/>
        <v>0</v>
      </c>
      <c r="AH44" s="166" t="str">
        <f t="shared" si="57"/>
        <v/>
      </c>
      <c r="AJ44" s="565"/>
      <c r="AK44" s="4" t="s">
        <v>13</v>
      </c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>
        <f t="shared" si="244"/>
        <v>0</v>
      </c>
      <c r="AY44" s="166" t="str">
        <f t="shared" si="182"/>
        <v/>
      </c>
      <c r="BA44" s="565"/>
      <c r="BB44" s="4" t="s">
        <v>13</v>
      </c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>
        <f t="shared" si="246"/>
        <v>0</v>
      </c>
      <c r="BP44" s="166" t="str">
        <f t="shared" si="20"/>
        <v/>
      </c>
      <c r="BR44" s="565"/>
      <c r="BS44" s="4" t="s">
        <v>13</v>
      </c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>
        <f t="shared" si="248"/>
        <v>0</v>
      </c>
      <c r="CG44" s="166" t="str">
        <f t="shared" si="22"/>
        <v/>
      </c>
      <c r="CI44" s="565"/>
      <c r="CJ44" s="4" t="s">
        <v>13</v>
      </c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>
        <f t="shared" si="250"/>
        <v>0</v>
      </c>
      <c r="CX44" s="166" t="str">
        <f t="shared" si="23"/>
        <v/>
      </c>
      <c r="CZ44" s="565"/>
      <c r="DA44" s="4" t="s">
        <v>13</v>
      </c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>
        <f t="shared" si="252"/>
        <v>0</v>
      </c>
      <c r="DO44" s="166" t="str">
        <f t="shared" si="24"/>
        <v/>
      </c>
      <c r="DQ44" s="565"/>
      <c r="DR44" s="4" t="s">
        <v>13</v>
      </c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>
        <f t="shared" si="254"/>
        <v>0</v>
      </c>
      <c r="EF44" s="166" t="str">
        <f t="shared" si="25"/>
        <v/>
      </c>
      <c r="EH44" s="565"/>
      <c r="EI44" s="4" t="s">
        <v>13</v>
      </c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>
        <f t="shared" si="256"/>
        <v>0</v>
      </c>
      <c r="EW44" s="166" t="str">
        <f t="shared" si="27"/>
        <v/>
      </c>
      <c r="EY44" s="565"/>
      <c r="EZ44" s="4" t="s">
        <v>13</v>
      </c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>
        <f t="shared" si="258"/>
        <v>0</v>
      </c>
      <c r="FN44" s="166" t="str">
        <f t="shared" si="29"/>
        <v/>
      </c>
    </row>
    <row r="45" spans="1:170" s="157" customFormat="1" ht="12.75" customHeight="1">
      <c r="B45" s="566" t="s">
        <v>508</v>
      </c>
      <c r="C45" s="567"/>
      <c r="D45" s="156"/>
      <c r="E45" s="156"/>
      <c r="F45" s="156">
        <f>F40+F41-F42</f>
        <v>0</v>
      </c>
      <c r="G45" s="156">
        <f t="shared" ref="G45:O45" si="269">G40+G41-G42</f>
        <v>0</v>
      </c>
      <c r="H45" s="156">
        <f t="shared" si="269"/>
        <v>0</v>
      </c>
      <c r="I45" s="156">
        <f t="shared" si="269"/>
        <v>0</v>
      </c>
      <c r="J45" s="156">
        <f t="shared" si="269"/>
        <v>0</v>
      </c>
      <c r="K45" s="156">
        <f t="shared" si="269"/>
        <v>0</v>
      </c>
      <c r="L45" s="156">
        <f t="shared" si="269"/>
        <v>0</v>
      </c>
      <c r="M45" s="156">
        <f t="shared" si="269"/>
        <v>0</v>
      </c>
      <c r="N45" s="156">
        <f t="shared" si="269"/>
        <v>100000</v>
      </c>
      <c r="O45" s="156">
        <f t="shared" si="269"/>
        <v>0</v>
      </c>
      <c r="P45" s="156">
        <f t="shared" si="11"/>
        <v>100000</v>
      </c>
      <c r="Q45" s="168">
        <f t="shared" si="16"/>
        <v>1</v>
      </c>
      <c r="R45" s="531"/>
      <c r="S45" s="566" t="s">
        <v>15</v>
      </c>
      <c r="T45" s="567"/>
      <c r="U45" s="156">
        <f t="shared" ref="U45:V45" si="270">U40+U41-U42</f>
        <v>453197.9</v>
      </c>
      <c r="V45" s="156">
        <f t="shared" si="270"/>
        <v>607891.9</v>
      </c>
      <c r="W45" s="156">
        <f>W40+W41-W42</f>
        <v>514891.9</v>
      </c>
      <c r="X45" s="156">
        <f t="shared" ref="X45:AF45" si="271">X40+X41-X42</f>
        <v>456069.19999999995</v>
      </c>
      <c r="Y45" s="156">
        <f t="shared" si="271"/>
        <v>456069.19999999995</v>
      </c>
      <c r="Z45" s="156">
        <f t="shared" si="271"/>
        <v>495893.19999999995</v>
      </c>
      <c r="AA45" s="156">
        <f t="shared" si="271"/>
        <v>495893.19999999995</v>
      </c>
      <c r="AB45" s="156">
        <f t="shared" si="271"/>
        <v>585717.19999999995</v>
      </c>
      <c r="AC45" s="156">
        <f t="shared" si="271"/>
        <v>585717.19999999995</v>
      </c>
      <c r="AD45" s="156">
        <f t="shared" si="271"/>
        <v>675541.2</v>
      </c>
      <c r="AE45" s="156">
        <f t="shared" si="271"/>
        <v>675541.2</v>
      </c>
      <c r="AF45" s="156">
        <f t="shared" si="271"/>
        <v>765365.2</v>
      </c>
      <c r="AG45" s="156">
        <f t="shared" si="242"/>
        <v>6767788.5000000009</v>
      </c>
      <c r="AH45" s="168">
        <f t="shared" si="57"/>
        <v>0.39089268401380323</v>
      </c>
      <c r="AJ45" s="566" t="s">
        <v>15</v>
      </c>
      <c r="AK45" s="567"/>
      <c r="AL45" s="156">
        <f t="shared" ref="AL45:AM45" si="272">AL40+AL41-AL42</f>
        <v>214551.19999999995</v>
      </c>
      <c r="AM45" s="156">
        <f t="shared" si="272"/>
        <v>361245.19999999995</v>
      </c>
      <c r="AN45" s="156">
        <f>AN40+AN41-AN42</f>
        <v>356245.19999999995</v>
      </c>
      <c r="AO45" s="156">
        <f t="shared" ref="AO45:AW45" si="273">AO40+AO41-AO42</f>
        <v>446069.19999999995</v>
      </c>
      <c r="AP45" s="156">
        <f t="shared" si="273"/>
        <v>446069.19999999995</v>
      </c>
      <c r="AQ45" s="156">
        <f t="shared" si="273"/>
        <v>535893.19999999995</v>
      </c>
      <c r="AR45" s="156">
        <f t="shared" si="273"/>
        <v>535893.19999999995</v>
      </c>
      <c r="AS45" s="156">
        <f t="shared" si="273"/>
        <v>625717.19999999995</v>
      </c>
      <c r="AT45" s="156">
        <f t="shared" si="273"/>
        <v>625717.19999999995</v>
      </c>
      <c r="AU45" s="156">
        <f t="shared" si="273"/>
        <v>715541.2</v>
      </c>
      <c r="AV45" s="156">
        <f t="shared" si="273"/>
        <v>715541.2</v>
      </c>
      <c r="AW45" s="156">
        <f t="shared" si="273"/>
        <v>805365.2</v>
      </c>
      <c r="AX45" s="156">
        <f t="shared" si="244"/>
        <v>6383848.4000000004</v>
      </c>
      <c r="AY45" s="168">
        <f t="shared" si="182"/>
        <v>0.36492325168515205</v>
      </c>
      <c r="BA45" s="566" t="s">
        <v>15</v>
      </c>
      <c r="BB45" s="567"/>
      <c r="BC45" s="156">
        <f t="shared" ref="BC45:BN45" si="274">BC40+BC41-BC42</f>
        <v>-4320</v>
      </c>
      <c r="BD45" s="156">
        <f t="shared" si="274"/>
        <v>-4320</v>
      </c>
      <c r="BE45" s="156">
        <f t="shared" si="274"/>
        <v>-4320</v>
      </c>
      <c r="BF45" s="156">
        <f t="shared" si="274"/>
        <v>-4320</v>
      </c>
      <c r="BG45" s="156">
        <f t="shared" si="274"/>
        <v>-4320</v>
      </c>
      <c r="BH45" s="156">
        <f t="shared" si="274"/>
        <v>-4680</v>
      </c>
      <c r="BI45" s="156">
        <f t="shared" si="274"/>
        <v>-4320</v>
      </c>
      <c r="BJ45" s="156">
        <f t="shared" si="274"/>
        <v>-3960</v>
      </c>
      <c r="BK45" s="156">
        <f t="shared" si="274"/>
        <v>-3960</v>
      </c>
      <c r="BL45" s="156">
        <f t="shared" si="274"/>
        <v>-3960</v>
      </c>
      <c r="BM45" s="156">
        <f t="shared" si="274"/>
        <v>-3960</v>
      </c>
      <c r="BN45" s="156">
        <f t="shared" si="274"/>
        <v>-3960</v>
      </c>
      <c r="BO45" s="156">
        <f t="shared" si="246"/>
        <v>-50400</v>
      </c>
      <c r="BP45" s="168">
        <f t="shared" si="20"/>
        <v>-0.14318181818181819</v>
      </c>
      <c r="BR45" s="566" t="s">
        <v>15</v>
      </c>
      <c r="BS45" s="567"/>
      <c r="BT45" s="156">
        <f>BT40+BT41-BT42</f>
        <v>-5400</v>
      </c>
      <c r="BU45" s="156">
        <f>BU40+BU41-BU42</f>
        <v>-5400</v>
      </c>
      <c r="BV45" s="156">
        <f>BV40+BV41-BV42</f>
        <v>-5400</v>
      </c>
      <c r="BW45" s="156">
        <f t="shared" ref="BW45:CE45" si="275">BW40+BW41-BW42</f>
        <v>-5400</v>
      </c>
      <c r="BX45" s="156">
        <f t="shared" si="275"/>
        <v>-5400</v>
      </c>
      <c r="BY45" s="156">
        <f t="shared" si="275"/>
        <v>-5760</v>
      </c>
      <c r="BZ45" s="156">
        <f t="shared" si="275"/>
        <v>-5400</v>
      </c>
      <c r="CA45" s="156">
        <f t="shared" si="275"/>
        <v>-5040</v>
      </c>
      <c r="CB45" s="156">
        <f t="shared" si="275"/>
        <v>-5040</v>
      </c>
      <c r="CC45" s="156">
        <f t="shared" si="275"/>
        <v>-5040</v>
      </c>
      <c r="CD45" s="156">
        <f t="shared" si="275"/>
        <v>-5040</v>
      </c>
      <c r="CE45" s="156">
        <f t="shared" si="275"/>
        <v>-5040</v>
      </c>
      <c r="CF45" s="156">
        <f t="shared" si="248"/>
        <v>-63360</v>
      </c>
      <c r="CG45" s="168">
        <f t="shared" si="22"/>
        <v>-0.18</v>
      </c>
      <c r="CI45" s="566" t="s">
        <v>15</v>
      </c>
      <c r="CJ45" s="567"/>
      <c r="CK45" s="156">
        <f t="shared" ref="CK45:CV45" si="276">CK40+CK41-CK42</f>
        <v>-27548</v>
      </c>
      <c r="CL45" s="156">
        <f t="shared" si="276"/>
        <v>-27548</v>
      </c>
      <c r="CM45" s="156">
        <f t="shared" si="276"/>
        <v>-27548</v>
      </c>
      <c r="CN45" s="156">
        <f t="shared" si="276"/>
        <v>-27548</v>
      </c>
      <c r="CO45" s="156">
        <f t="shared" si="276"/>
        <v>-27548</v>
      </c>
      <c r="CP45" s="156">
        <f t="shared" si="276"/>
        <v>-27548</v>
      </c>
      <c r="CQ45" s="156">
        <f t="shared" si="276"/>
        <v>-30680</v>
      </c>
      <c r="CR45" s="156">
        <f t="shared" si="276"/>
        <v>-30680</v>
      </c>
      <c r="CS45" s="156">
        <f t="shared" si="276"/>
        <v>-30680</v>
      </c>
      <c r="CT45" s="156">
        <f t="shared" si="276"/>
        <v>-30680</v>
      </c>
      <c r="CU45" s="156">
        <f t="shared" si="276"/>
        <v>-30680</v>
      </c>
      <c r="CV45" s="156" t="e">
        <f t="shared" si="276"/>
        <v>#REF!</v>
      </c>
      <c r="CW45" s="156" t="e">
        <f t="shared" si="250"/>
        <v>#REF!</v>
      </c>
      <c r="CX45" s="168" t="e">
        <f t="shared" si="23"/>
        <v>#REF!</v>
      </c>
      <c r="CZ45" s="566" t="s">
        <v>15</v>
      </c>
      <c r="DA45" s="567"/>
      <c r="DB45" s="156">
        <f t="shared" ref="DB45:DM45" si="277">DB40+DB41-DB42</f>
        <v>-32826</v>
      </c>
      <c r="DC45" s="156">
        <f t="shared" si="277"/>
        <v>-32826</v>
      </c>
      <c r="DD45" s="156">
        <f t="shared" si="277"/>
        <v>-32826</v>
      </c>
      <c r="DE45" s="156">
        <f t="shared" si="277"/>
        <v>-32826</v>
      </c>
      <c r="DF45" s="156">
        <f t="shared" si="277"/>
        <v>-32826</v>
      </c>
      <c r="DG45" s="156">
        <f t="shared" si="277"/>
        <v>-32826</v>
      </c>
      <c r="DH45" s="156">
        <f t="shared" si="277"/>
        <v>-34892</v>
      </c>
      <c r="DI45" s="156">
        <f t="shared" si="277"/>
        <v>-34892</v>
      </c>
      <c r="DJ45" s="156">
        <f t="shared" si="277"/>
        <v>-34892</v>
      </c>
      <c r="DK45" s="156">
        <f t="shared" si="277"/>
        <v>-34892</v>
      </c>
      <c r="DL45" s="156">
        <f t="shared" si="277"/>
        <v>-34892</v>
      </c>
      <c r="DM45" s="156" t="e">
        <f t="shared" si="277"/>
        <v>#REF!</v>
      </c>
      <c r="DN45" s="156" t="e">
        <f t="shared" si="252"/>
        <v>#REF!</v>
      </c>
      <c r="DO45" s="168" t="e">
        <f t="shared" si="24"/>
        <v>#REF!</v>
      </c>
      <c r="DQ45" s="566" t="s">
        <v>15</v>
      </c>
      <c r="DR45" s="567"/>
      <c r="DS45" s="156">
        <f t="shared" ref="DS45:ED45" si="278">DS40+DS41-DS42</f>
        <v>-37038</v>
      </c>
      <c r="DT45" s="156">
        <f t="shared" si="278"/>
        <v>-37038</v>
      </c>
      <c r="DU45" s="156">
        <f t="shared" si="278"/>
        <v>-37038</v>
      </c>
      <c r="DV45" s="156">
        <f t="shared" si="278"/>
        <v>-37038</v>
      </c>
      <c r="DW45" s="156">
        <f t="shared" si="278"/>
        <v>-40170</v>
      </c>
      <c r="DX45" s="156">
        <f t="shared" si="278"/>
        <v>-42236</v>
      </c>
      <c r="DY45" s="156">
        <f t="shared" si="278"/>
        <v>-42236</v>
      </c>
      <c r="DZ45" s="156">
        <f t="shared" si="278"/>
        <v>-42236</v>
      </c>
      <c r="EA45" s="156">
        <f t="shared" si="278"/>
        <v>-42236</v>
      </c>
      <c r="EB45" s="156">
        <f t="shared" si="278"/>
        <v>-42236</v>
      </c>
      <c r="EC45" s="156">
        <f t="shared" si="278"/>
        <v>-42236</v>
      </c>
      <c r="ED45" s="156" t="e">
        <f t="shared" si="278"/>
        <v>#REF!</v>
      </c>
      <c r="EE45" s="156" t="e">
        <f t="shared" si="254"/>
        <v>#REF!</v>
      </c>
      <c r="EF45" s="168" t="e">
        <f t="shared" si="25"/>
        <v>#REF!</v>
      </c>
      <c r="EH45" s="566" t="s">
        <v>15</v>
      </c>
      <c r="EI45" s="567"/>
      <c r="EJ45" s="156">
        <f t="shared" ref="EJ45:EU45" si="279">EJ40+EJ41-EJ42</f>
        <v>-43316</v>
      </c>
      <c r="EK45" s="156">
        <f t="shared" si="279"/>
        <v>-43316</v>
      </c>
      <c r="EL45" s="156">
        <f t="shared" si="279"/>
        <v>-43316</v>
      </c>
      <c r="EM45" s="156">
        <f t="shared" si="279"/>
        <v>-43316</v>
      </c>
      <c r="EN45" s="156">
        <f t="shared" si="279"/>
        <v>-43316</v>
      </c>
      <c r="EO45" s="156">
        <f t="shared" si="279"/>
        <v>-46448</v>
      </c>
      <c r="EP45" s="156">
        <f t="shared" si="279"/>
        <v>-46448</v>
      </c>
      <c r="EQ45" s="156">
        <f t="shared" si="279"/>
        <v>-46448</v>
      </c>
      <c r="ER45" s="156">
        <f t="shared" si="279"/>
        <v>-46448</v>
      </c>
      <c r="ES45" s="156">
        <f t="shared" si="279"/>
        <v>-46448</v>
      </c>
      <c r="ET45" s="156">
        <f t="shared" si="279"/>
        <v>-46448</v>
      </c>
      <c r="EU45" s="156" t="e">
        <f t="shared" si="279"/>
        <v>#REF!</v>
      </c>
      <c r="EV45" s="156" t="e">
        <f t="shared" si="256"/>
        <v>#REF!</v>
      </c>
      <c r="EW45" s="168" t="e">
        <f t="shared" si="27"/>
        <v>#REF!</v>
      </c>
      <c r="EY45" s="566" t="s">
        <v>15</v>
      </c>
      <c r="EZ45" s="567"/>
      <c r="FA45" s="156">
        <f t="shared" ref="FA45:FL45" si="280">FA40+FA41-FA42</f>
        <v>-54560</v>
      </c>
      <c r="FB45" s="156">
        <f t="shared" si="280"/>
        <v>-54560</v>
      </c>
      <c r="FC45" s="156">
        <f t="shared" si="280"/>
        <v>-54560</v>
      </c>
      <c r="FD45" s="156">
        <f t="shared" si="280"/>
        <v>-54560</v>
      </c>
      <c r="FE45" s="156">
        <f t="shared" si="280"/>
        <v>-54560</v>
      </c>
      <c r="FF45" s="156">
        <f t="shared" si="280"/>
        <v>-54560</v>
      </c>
      <c r="FG45" s="156">
        <f t="shared" si="280"/>
        <v>-54560</v>
      </c>
      <c r="FH45" s="156">
        <f t="shared" si="280"/>
        <v>-54560</v>
      </c>
      <c r="FI45" s="156">
        <f t="shared" si="280"/>
        <v>-54560</v>
      </c>
      <c r="FJ45" s="156">
        <f t="shared" si="280"/>
        <v>-54560</v>
      </c>
      <c r="FK45" s="156">
        <f t="shared" si="280"/>
        <v>-54560</v>
      </c>
      <c r="FL45" s="156" t="e">
        <f t="shared" si="280"/>
        <v>#REF!</v>
      </c>
      <c r="FM45" s="156" t="e">
        <f t="shared" si="258"/>
        <v>#REF!</v>
      </c>
      <c r="FN45" s="168" t="e">
        <f t="shared" si="29"/>
        <v>#REF!</v>
      </c>
    </row>
    <row r="46" spans="1:170" s="157" customFormat="1" ht="12.75" customHeight="1">
      <c r="B46" s="566" t="s">
        <v>509</v>
      </c>
      <c r="C46" s="567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>
        <f>P45*0</f>
        <v>0</v>
      </c>
      <c r="Q46" s="168"/>
      <c r="R46" s="531"/>
      <c r="S46" s="566"/>
      <c r="T46" s="567"/>
      <c r="U46" s="156"/>
      <c r="V46" s="156"/>
      <c r="W46" s="156"/>
      <c r="X46" s="156"/>
      <c r="Y46" s="156"/>
      <c r="Z46" s="156"/>
      <c r="AA46" s="156"/>
      <c r="AB46" s="156"/>
      <c r="AC46" s="156"/>
      <c r="AD46" s="156"/>
      <c r="AE46" s="156"/>
      <c r="AF46" s="156"/>
      <c r="AG46" s="156">
        <f>AG45*1</f>
        <v>6767788.5000000009</v>
      </c>
      <c r="AH46" s="168"/>
      <c r="AJ46" s="566"/>
      <c r="AK46" s="567"/>
      <c r="AL46" s="156"/>
      <c r="AM46" s="156"/>
      <c r="AN46" s="156"/>
      <c r="AO46" s="156"/>
      <c r="AP46" s="156"/>
      <c r="AQ46" s="156"/>
      <c r="AR46" s="156"/>
      <c r="AS46" s="156"/>
      <c r="AT46" s="156"/>
      <c r="AU46" s="156"/>
      <c r="AV46" s="156"/>
      <c r="AW46" s="156"/>
      <c r="AX46" s="156">
        <f>AX45*1</f>
        <v>6383848.4000000004</v>
      </c>
      <c r="AY46" s="168"/>
      <c r="BA46" s="566"/>
      <c r="BB46" s="567"/>
      <c r="BC46" s="156"/>
      <c r="BD46" s="156"/>
      <c r="BE46" s="156"/>
      <c r="BF46" s="156"/>
      <c r="BG46" s="156"/>
      <c r="BH46" s="156"/>
      <c r="BI46" s="156"/>
      <c r="BJ46" s="156"/>
      <c r="BK46" s="156"/>
      <c r="BL46" s="156"/>
      <c r="BM46" s="156"/>
      <c r="BN46" s="156"/>
      <c r="BO46" s="156">
        <f>BO45*0.6</f>
        <v>-30240</v>
      </c>
      <c r="BP46" s="168"/>
      <c r="BR46" s="566"/>
      <c r="BS46" s="567"/>
      <c r="BT46" s="156"/>
      <c r="BU46" s="156"/>
      <c r="BV46" s="156"/>
      <c r="BW46" s="156"/>
      <c r="BX46" s="156"/>
      <c r="BY46" s="156"/>
      <c r="BZ46" s="156"/>
      <c r="CA46" s="156"/>
      <c r="CB46" s="156"/>
      <c r="CC46" s="156"/>
      <c r="CD46" s="156"/>
      <c r="CE46" s="156"/>
      <c r="CF46" s="156">
        <f>CF45*0.6</f>
        <v>-38016</v>
      </c>
      <c r="CG46" s="168"/>
      <c r="CI46" s="566"/>
      <c r="CJ46" s="567"/>
      <c r="CK46" s="156"/>
      <c r="CL46" s="156"/>
      <c r="CM46" s="156"/>
      <c r="CN46" s="156"/>
      <c r="CO46" s="156"/>
      <c r="CP46" s="156"/>
      <c r="CQ46" s="156"/>
      <c r="CR46" s="156"/>
      <c r="CS46" s="156"/>
      <c r="CT46" s="156"/>
      <c r="CU46" s="156"/>
      <c r="CV46" s="156"/>
      <c r="CW46" s="156" t="e">
        <f>CW45*0.6</f>
        <v>#REF!</v>
      </c>
      <c r="CX46" s="168"/>
      <c r="CZ46" s="566"/>
      <c r="DA46" s="567"/>
      <c r="DB46" s="156"/>
      <c r="DC46" s="156"/>
      <c r="DD46" s="156"/>
      <c r="DE46" s="156"/>
      <c r="DF46" s="156"/>
      <c r="DG46" s="156"/>
      <c r="DH46" s="156"/>
      <c r="DI46" s="156"/>
      <c r="DJ46" s="156"/>
      <c r="DK46" s="156"/>
      <c r="DL46" s="156"/>
      <c r="DM46" s="156"/>
      <c r="DN46" s="156" t="e">
        <f>DN45*0.6</f>
        <v>#REF!</v>
      </c>
      <c r="DO46" s="168"/>
      <c r="DQ46" s="566"/>
      <c r="DR46" s="567"/>
      <c r="DS46" s="156"/>
      <c r="DT46" s="156"/>
      <c r="DU46" s="156"/>
      <c r="DV46" s="156"/>
      <c r="DW46" s="156"/>
      <c r="DX46" s="156"/>
      <c r="DY46" s="156"/>
      <c r="DZ46" s="156"/>
      <c r="EA46" s="156"/>
      <c r="EB46" s="156"/>
      <c r="EC46" s="156"/>
      <c r="ED46" s="156"/>
      <c r="EE46" s="156" t="e">
        <f>EE45*0.6</f>
        <v>#REF!</v>
      </c>
      <c r="EF46" s="168"/>
      <c r="EH46" s="566"/>
      <c r="EI46" s="567"/>
      <c r="EJ46" s="156"/>
      <c r="EK46" s="156"/>
      <c r="EL46" s="156"/>
      <c r="EM46" s="156"/>
      <c r="EN46" s="156"/>
      <c r="EO46" s="156"/>
      <c r="EP46" s="156"/>
      <c r="EQ46" s="156"/>
      <c r="ER46" s="156"/>
      <c r="ES46" s="156"/>
      <c r="ET46" s="156"/>
      <c r="EU46" s="156"/>
      <c r="EV46" s="156" t="e">
        <f>EV45*0.6</f>
        <v>#REF!</v>
      </c>
      <c r="EW46" s="168"/>
      <c r="EY46" s="566"/>
      <c r="EZ46" s="567"/>
      <c r="FA46" s="156"/>
      <c r="FB46" s="156"/>
      <c r="FC46" s="156"/>
      <c r="FD46" s="156"/>
      <c r="FE46" s="156"/>
      <c r="FF46" s="156"/>
      <c r="FG46" s="156"/>
      <c r="FH46" s="156"/>
      <c r="FI46" s="156"/>
      <c r="FJ46" s="156"/>
      <c r="FK46" s="156"/>
      <c r="FL46" s="156"/>
      <c r="FM46" s="156" t="e">
        <f>FM45*0.6</f>
        <v>#REF!</v>
      </c>
      <c r="FN46" s="168"/>
    </row>
    <row r="47" spans="1:170" ht="11.25" customHeight="1">
      <c r="A47" s="583" t="s">
        <v>71</v>
      </c>
      <c r="B47" s="583"/>
      <c r="C47" s="583"/>
      <c r="D47" s="583"/>
      <c r="R47" s="531"/>
      <c r="AH47" s="425"/>
      <c r="AY47" s="425"/>
      <c r="BP47" s="425"/>
    </row>
    <row r="48" spans="1:170" s="149" customFormat="1" ht="11.25" customHeight="1">
      <c r="B48" s="535"/>
      <c r="C48" s="535"/>
      <c r="D48" s="150" t="s">
        <v>18</v>
      </c>
      <c r="E48" s="150" t="s">
        <v>19</v>
      </c>
      <c r="F48" s="150" t="s">
        <v>20</v>
      </c>
      <c r="G48" s="150" t="s">
        <v>21</v>
      </c>
      <c r="H48" s="150" t="s">
        <v>22</v>
      </c>
      <c r="I48" s="150" t="s">
        <v>23</v>
      </c>
      <c r="J48" s="150" t="s">
        <v>24</v>
      </c>
      <c r="K48" s="150" t="s">
        <v>25</v>
      </c>
      <c r="L48" s="150" t="s">
        <v>26</v>
      </c>
      <c r="M48" s="150" t="s">
        <v>27</v>
      </c>
      <c r="N48" s="150" t="s">
        <v>28</v>
      </c>
      <c r="O48" s="150" t="s">
        <v>83</v>
      </c>
      <c r="P48" s="568" t="s">
        <v>40</v>
      </c>
      <c r="Q48" s="569"/>
      <c r="R48" s="531"/>
      <c r="S48" s="535"/>
      <c r="T48" s="535"/>
      <c r="U48" s="150" t="s">
        <v>18</v>
      </c>
      <c r="V48" s="150" t="s">
        <v>19</v>
      </c>
      <c r="W48" s="150" t="s">
        <v>20</v>
      </c>
      <c r="X48" s="150" t="s">
        <v>21</v>
      </c>
      <c r="Y48" s="150" t="s">
        <v>22</v>
      </c>
      <c r="Z48" s="150" t="s">
        <v>23</v>
      </c>
      <c r="AA48" s="150" t="s">
        <v>24</v>
      </c>
      <c r="AB48" s="150" t="s">
        <v>25</v>
      </c>
      <c r="AC48" s="150" t="s">
        <v>26</v>
      </c>
      <c r="AD48" s="150" t="s">
        <v>27</v>
      </c>
      <c r="AE48" s="150" t="s">
        <v>28</v>
      </c>
      <c r="AF48" s="150" t="s">
        <v>83</v>
      </c>
      <c r="AG48" s="568"/>
      <c r="AH48" s="569"/>
      <c r="AJ48" s="535"/>
      <c r="AK48" s="535"/>
      <c r="AL48" s="150" t="s">
        <v>18</v>
      </c>
      <c r="AM48" s="150" t="s">
        <v>19</v>
      </c>
      <c r="AN48" s="150" t="s">
        <v>20</v>
      </c>
      <c r="AO48" s="150" t="s">
        <v>21</v>
      </c>
      <c r="AP48" s="150" t="s">
        <v>22</v>
      </c>
      <c r="AQ48" s="150" t="s">
        <v>23</v>
      </c>
      <c r="AR48" s="150" t="s">
        <v>24</v>
      </c>
      <c r="AS48" s="150" t="s">
        <v>25</v>
      </c>
      <c r="AT48" s="150" t="s">
        <v>26</v>
      </c>
      <c r="AU48" s="150" t="s">
        <v>27</v>
      </c>
      <c r="AV48" s="150" t="s">
        <v>28</v>
      </c>
      <c r="AW48" s="150" t="s">
        <v>83</v>
      </c>
      <c r="AX48" s="568"/>
      <c r="AY48" s="569"/>
      <c r="BA48" s="535"/>
      <c r="BB48" s="535"/>
      <c r="BC48" s="150" t="s">
        <v>83</v>
      </c>
      <c r="BD48" s="150" t="s">
        <v>84</v>
      </c>
      <c r="BE48" s="150" t="s">
        <v>19</v>
      </c>
      <c r="BF48" s="150" t="s">
        <v>20</v>
      </c>
      <c r="BG48" s="150" t="s">
        <v>21</v>
      </c>
      <c r="BH48" s="150" t="s">
        <v>22</v>
      </c>
      <c r="BI48" s="150" t="s">
        <v>23</v>
      </c>
      <c r="BJ48" s="150" t="s">
        <v>24</v>
      </c>
      <c r="BK48" s="150" t="s">
        <v>25</v>
      </c>
      <c r="BL48" s="150" t="s">
        <v>26</v>
      </c>
      <c r="BM48" s="150" t="s">
        <v>27</v>
      </c>
      <c r="BN48" s="150" t="s">
        <v>28</v>
      </c>
      <c r="BO48" s="568" t="s">
        <v>40</v>
      </c>
      <c r="BP48" s="569"/>
      <c r="BR48" s="535"/>
      <c r="BS48" s="535"/>
      <c r="BT48" s="150" t="s">
        <v>83</v>
      </c>
      <c r="BU48" s="150" t="s">
        <v>84</v>
      </c>
      <c r="BV48" s="150" t="s">
        <v>19</v>
      </c>
      <c r="BW48" s="150" t="s">
        <v>20</v>
      </c>
      <c r="BX48" s="150" t="s">
        <v>21</v>
      </c>
      <c r="BY48" s="150" t="s">
        <v>22</v>
      </c>
      <c r="BZ48" s="150" t="s">
        <v>23</v>
      </c>
      <c r="CA48" s="150" t="s">
        <v>24</v>
      </c>
      <c r="CB48" s="150" t="s">
        <v>25</v>
      </c>
      <c r="CC48" s="150" t="s">
        <v>26</v>
      </c>
      <c r="CD48" s="150" t="s">
        <v>27</v>
      </c>
      <c r="CE48" s="150" t="s">
        <v>28</v>
      </c>
      <c r="CF48" s="568" t="s">
        <v>40</v>
      </c>
      <c r="CG48" s="569"/>
      <c r="CI48" s="535"/>
      <c r="CJ48" s="535"/>
      <c r="CK48" s="150" t="s">
        <v>83</v>
      </c>
      <c r="CL48" s="150" t="s">
        <v>84</v>
      </c>
      <c r="CM48" s="150" t="s">
        <v>19</v>
      </c>
      <c r="CN48" s="150" t="s">
        <v>20</v>
      </c>
      <c r="CO48" s="150" t="s">
        <v>21</v>
      </c>
      <c r="CP48" s="150" t="s">
        <v>22</v>
      </c>
      <c r="CQ48" s="150" t="s">
        <v>23</v>
      </c>
      <c r="CR48" s="150" t="s">
        <v>24</v>
      </c>
      <c r="CS48" s="150" t="s">
        <v>25</v>
      </c>
      <c r="CT48" s="150" t="s">
        <v>26</v>
      </c>
      <c r="CU48" s="150" t="s">
        <v>27</v>
      </c>
      <c r="CV48" s="150" t="s">
        <v>28</v>
      </c>
      <c r="CW48" s="568" t="s">
        <v>40</v>
      </c>
      <c r="CX48" s="569"/>
      <c r="CZ48" s="535"/>
      <c r="DA48" s="535"/>
      <c r="DB48" s="150" t="s">
        <v>83</v>
      </c>
      <c r="DC48" s="150" t="s">
        <v>84</v>
      </c>
      <c r="DD48" s="150" t="s">
        <v>19</v>
      </c>
      <c r="DE48" s="150" t="s">
        <v>20</v>
      </c>
      <c r="DF48" s="150" t="s">
        <v>21</v>
      </c>
      <c r="DG48" s="150" t="s">
        <v>22</v>
      </c>
      <c r="DH48" s="150" t="s">
        <v>23</v>
      </c>
      <c r="DI48" s="150" t="s">
        <v>24</v>
      </c>
      <c r="DJ48" s="150" t="s">
        <v>25</v>
      </c>
      <c r="DK48" s="150" t="s">
        <v>26</v>
      </c>
      <c r="DL48" s="150" t="s">
        <v>27</v>
      </c>
      <c r="DM48" s="150" t="s">
        <v>28</v>
      </c>
      <c r="DN48" s="568" t="s">
        <v>40</v>
      </c>
      <c r="DO48" s="569"/>
      <c r="DQ48" s="535"/>
      <c r="DR48" s="535"/>
      <c r="DS48" s="150" t="s">
        <v>83</v>
      </c>
      <c r="DT48" s="150" t="s">
        <v>84</v>
      </c>
      <c r="DU48" s="150" t="s">
        <v>19</v>
      </c>
      <c r="DV48" s="150" t="s">
        <v>20</v>
      </c>
      <c r="DW48" s="150" t="s">
        <v>21</v>
      </c>
      <c r="DX48" s="150" t="s">
        <v>22</v>
      </c>
      <c r="DY48" s="150" t="s">
        <v>23</v>
      </c>
      <c r="DZ48" s="150" t="s">
        <v>24</v>
      </c>
      <c r="EA48" s="150" t="s">
        <v>25</v>
      </c>
      <c r="EB48" s="150" t="s">
        <v>26</v>
      </c>
      <c r="EC48" s="150" t="s">
        <v>27</v>
      </c>
      <c r="ED48" s="150" t="s">
        <v>28</v>
      </c>
      <c r="EE48" s="568" t="s">
        <v>40</v>
      </c>
      <c r="EF48" s="569"/>
      <c r="EH48" s="535"/>
      <c r="EI48" s="535"/>
      <c r="EJ48" s="150" t="s">
        <v>83</v>
      </c>
      <c r="EK48" s="150" t="s">
        <v>84</v>
      </c>
      <c r="EL48" s="150" t="s">
        <v>19</v>
      </c>
      <c r="EM48" s="150" t="s">
        <v>20</v>
      </c>
      <c r="EN48" s="150" t="s">
        <v>21</v>
      </c>
      <c r="EO48" s="150" t="s">
        <v>22</v>
      </c>
      <c r="EP48" s="150" t="s">
        <v>23</v>
      </c>
      <c r="EQ48" s="150" t="s">
        <v>24</v>
      </c>
      <c r="ER48" s="150" t="s">
        <v>25</v>
      </c>
      <c r="ES48" s="150" t="s">
        <v>26</v>
      </c>
      <c r="ET48" s="150" t="s">
        <v>27</v>
      </c>
      <c r="EU48" s="150" t="s">
        <v>28</v>
      </c>
      <c r="EV48" s="568" t="s">
        <v>40</v>
      </c>
      <c r="EW48" s="569"/>
      <c r="EY48" s="535"/>
      <c r="EZ48" s="535"/>
      <c r="FA48" s="150" t="s">
        <v>83</v>
      </c>
      <c r="FB48" s="150" t="s">
        <v>84</v>
      </c>
      <c r="FC48" s="150" t="s">
        <v>19</v>
      </c>
      <c r="FD48" s="150" t="s">
        <v>20</v>
      </c>
      <c r="FE48" s="150" t="s">
        <v>21</v>
      </c>
      <c r="FF48" s="150" t="s">
        <v>22</v>
      </c>
      <c r="FG48" s="150" t="s">
        <v>23</v>
      </c>
      <c r="FH48" s="150" t="s">
        <v>24</v>
      </c>
      <c r="FI48" s="150" t="s">
        <v>25</v>
      </c>
      <c r="FJ48" s="150" t="s">
        <v>26</v>
      </c>
      <c r="FK48" s="150" t="s">
        <v>27</v>
      </c>
      <c r="FL48" s="150" t="s">
        <v>28</v>
      </c>
      <c r="FM48" s="568" t="s">
        <v>40</v>
      </c>
      <c r="FN48" s="569"/>
    </row>
    <row r="49" spans="2:170" ht="12.75" customHeight="1">
      <c r="B49" s="558" t="s">
        <v>36</v>
      </c>
      <c r="C49" s="559"/>
      <c r="D49" s="158"/>
      <c r="E49" s="158">
        <f>D76</f>
        <v>0</v>
      </c>
      <c r="F49" s="158">
        <f t="shared" ref="F49:O49" si="281">E76</f>
        <v>0</v>
      </c>
      <c r="G49" s="158">
        <f t="shared" si="281"/>
        <v>0</v>
      </c>
      <c r="H49" s="158">
        <f t="shared" si="281"/>
        <v>0</v>
      </c>
      <c r="I49" s="158">
        <f t="shared" si="281"/>
        <v>0</v>
      </c>
      <c r="J49" s="158">
        <f t="shared" si="281"/>
        <v>0</v>
      </c>
      <c r="K49" s="158">
        <f t="shared" si="281"/>
        <v>0</v>
      </c>
      <c r="L49" s="158">
        <f t="shared" si="281"/>
        <v>0</v>
      </c>
      <c r="M49" s="158">
        <f t="shared" si="281"/>
        <v>0</v>
      </c>
      <c r="N49" s="158">
        <f t="shared" si="281"/>
        <v>0</v>
      </c>
      <c r="O49" s="158">
        <f t="shared" si="281"/>
        <v>100000</v>
      </c>
      <c r="P49" s="536"/>
      <c r="Q49" s="537"/>
      <c r="R49" s="531"/>
      <c r="S49" s="558" t="s">
        <v>36</v>
      </c>
      <c r="T49" s="559"/>
      <c r="U49" s="158">
        <f>O76</f>
        <v>0</v>
      </c>
      <c r="V49" s="158">
        <f t="shared" ref="V49:AF49" si="282">U76</f>
        <v>345000</v>
      </c>
      <c r="W49" s="158">
        <f t="shared" si="282"/>
        <v>46427.900000000023</v>
      </c>
      <c r="X49" s="158">
        <f t="shared" si="282"/>
        <v>213025.80000000005</v>
      </c>
      <c r="Y49" s="158">
        <f t="shared" si="282"/>
        <v>144964.10000000009</v>
      </c>
      <c r="Z49" s="158">
        <f t="shared" si="282"/>
        <v>342255.69999999995</v>
      </c>
      <c r="AA49" s="158">
        <f t="shared" si="282"/>
        <v>623806.5</v>
      </c>
      <c r="AB49" s="158">
        <f t="shared" si="282"/>
        <v>839357.3</v>
      </c>
      <c r="AC49" s="158">
        <f t="shared" si="282"/>
        <v>1139167.3</v>
      </c>
      <c r="AD49" s="158">
        <f t="shared" si="282"/>
        <v>1422977.3</v>
      </c>
      <c r="AE49" s="158">
        <f t="shared" si="282"/>
        <v>1791046.5</v>
      </c>
      <c r="AF49" s="158">
        <f t="shared" si="282"/>
        <v>2143115.7000000002</v>
      </c>
      <c r="AG49" s="536"/>
      <c r="AH49" s="537"/>
      <c r="AJ49" s="558" t="s">
        <v>36</v>
      </c>
      <c r="AK49" s="559"/>
      <c r="AL49" s="158">
        <f>AF76</f>
        <v>2579444.1000000006</v>
      </c>
      <c r="AM49" s="158">
        <f t="shared" ref="AM49" si="283">AL76</f>
        <v>3293985.3000000007</v>
      </c>
      <c r="AN49" s="158">
        <f t="shared" ref="AN49" si="284">AM76</f>
        <v>4200350.5000000009</v>
      </c>
      <c r="AO49" s="158">
        <f t="shared" ref="AO49" si="285">AN76</f>
        <v>4401901.7000000011</v>
      </c>
      <c r="AP49" s="158">
        <f t="shared" ref="AP49" si="286">AO76</f>
        <v>4605193.3000000007</v>
      </c>
      <c r="AQ49" s="158">
        <f t="shared" ref="AQ49" si="287">AP76</f>
        <v>4792484.9000000004</v>
      </c>
      <c r="AR49" s="158">
        <f t="shared" ref="AR49" si="288">AQ76</f>
        <v>5064035.7</v>
      </c>
      <c r="AS49" s="158">
        <f t="shared" ref="AS49" si="289">AR76</f>
        <v>5319586.5</v>
      </c>
      <c r="AT49" s="158">
        <f t="shared" ref="AT49" si="290">AS76</f>
        <v>5659396.5</v>
      </c>
      <c r="AU49" s="158">
        <f t="shared" ref="AU49" si="291">AT76</f>
        <v>5983206.5</v>
      </c>
      <c r="AV49" s="158">
        <f t="shared" ref="AV49" si="292">AU76</f>
        <v>6391275.7000000002</v>
      </c>
      <c r="AW49" s="158">
        <f t="shared" ref="AW49" si="293">AV76</f>
        <v>6783344.9000000004</v>
      </c>
      <c r="AX49" s="536"/>
      <c r="AY49" s="537"/>
      <c r="BA49" s="558" t="s">
        <v>36</v>
      </c>
      <c r="BB49" s="559"/>
      <c r="BC49" s="158">
        <f>AW76</f>
        <v>7259673.3000000007</v>
      </c>
      <c r="BD49" s="158">
        <f t="shared" ref="BD49:BN49" si="294">BC76</f>
        <v>-112588089.90000001</v>
      </c>
      <c r="BE49" s="158">
        <f t="shared" si="294"/>
        <v>-112590669.90000001</v>
      </c>
      <c r="BF49" s="158">
        <f t="shared" si="294"/>
        <v>-112593249.90000001</v>
      </c>
      <c r="BG49" s="158">
        <f t="shared" si="294"/>
        <v>-112595829.90000001</v>
      </c>
      <c r="BH49" s="158">
        <f t="shared" si="294"/>
        <v>-112598409.90000001</v>
      </c>
      <c r="BI49" s="158">
        <f t="shared" si="294"/>
        <v>-112601789.90000001</v>
      </c>
      <c r="BJ49" s="158">
        <f t="shared" si="294"/>
        <v>-112603989.90000001</v>
      </c>
      <c r="BK49" s="158">
        <f t="shared" si="294"/>
        <v>-112605769.90000001</v>
      </c>
      <c r="BL49" s="158">
        <f t="shared" si="294"/>
        <v>-112607929.90000001</v>
      </c>
      <c r="BM49" s="158">
        <f t="shared" si="294"/>
        <v>-112610089.90000001</v>
      </c>
      <c r="BN49" s="158">
        <f t="shared" si="294"/>
        <v>-112612249.90000001</v>
      </c>
      <c r="BO49" s="536"/>
      <c r="BP49" s="537"/>
      <c r="BR49" s="558" t="s">
        <v>36</v>
      </c>
      <c r="BS49" s="559"/>
      <c r="BT49" s="158">
        <f>BN76</f>
        <v>-112594249.90000001</v>
      </c>
      <c r="BU49" s="158">
        <f t="shared" ref="BU49:CE49" si="295">BT76</f>
        <v>-112597209.90000001</v>
      </c>
      <c r="BV49" s="158">
        <f t="shared" si="295"/>
        <v>-112600869.90000001</v>
      </c>
      <c r="BW49" s="158">
        <f t="shared" si="295"/>
        <v>-112604529.90000001</v>
      </c>
      <c r="BX49" s="158">
        <f t="shared" si="295"/>
        <v>-112608189.90000001</v>
      </c>
      <c r="BY49" s="158">
        <f t="shared" si="295"/>
        <v>-112611849.90000001</v>
      </c>
      <c r="BZ49" s="158">
        <f t="shared" si="295"/>
        <v>-112616309.90000001</v>
      </c>
      <c r="CA49" s="158">
        <f t="shared" si="295"/>
        <v>-112619589.90000001</v>
      </c>
      <c r="CB49" s="158">
        <f t="shared" si="295"/>
        <v>-112622449.90000001</v>
      </c>
      <c r="CC49" s="158">
        <f t="shared" si="295"/>
        <v>-112625689.90000001</v>
      </c>
      <c r="CD49" s="158">
        <f t="shared" si="295"/>
        <v>-112628929.90000001</v>
      </c>
      <c r="CE49" s="158">
        <f t="shared" si="295"/>
        <v>-112632169.90000001</v>
      </c>
      <c r="CF49" s="536"/>
      <c r="CG49" s="537"/>
      <c r="CI49" s="558" t="s">
        <v>36</v>
      </c>
      <c r="CJ49" s="559"/>
      <c r="CK49" s="158">
        <f>CE76</f>
        <v>-112610065.90000001</v>
      </c>
      <c r="CL49" s="158">
        <f t="shared" ref="CL49:CV49" si="296">CK76</f>
        <v>-112637305.90000001</v>
      </c>
      <c r="CM49" s="158">
        <f t="shared" si="296"/>
        <v>-112664853.90000001</v>
      </c>
      <c r="CN49" s="158">
        <f t="shared" si="296"/>
        <v>-112693513.90000001</v>
      </c>
      <c r="CO49" s="158">
        <f t="shared" si="296"/>
        <v>-112747061.90000001</v>
      </c>
      <c r="CP49" s="158">
        <f t="shared" si="296"/>
        <v>-112774609.90000001</v>
      </c>
      <c r="CQ49" s="158">
        <f t="shared" si="296"/>
        <v>-112802157.90000001</v>
      </c>
      <c r="CR49" s="158">
        <f t="shared" si="296"/>
        <v>-112829705.90000001</v>
      </c>
      <c r="CS49" s="158">
        <f t="shared" si="296"/>
        <v>-112860385.90000001</v>
      </c>
      <c r="CT49" s="158">
        <f t="shared" si="296"/>
        <v>-112891065.90000001</v>
      </c>
      <c r="CU49" s="158">
        <f t="shared" si="296"/>
        <v>-112921745.90000001</v>
      </c>
      <c r="CV49" s="158">
        <f t="shared" si="296"/>
        <v>-112952425.90000001</v>
      </c>
      <c r="CW49" s="536"/>
      <c r="CX49" s="537"/>
      <c r="CZ49" s="558" t="s">
        <v>36</v>
      </c>
      <c r="DA49" s="559"/>
      <c r="DB49" s="158" t="e">
        <f>CV76</f>
        <v>#REF!</v>
      </c>
      <c r="DC49" s="158" t="e">
        <f t="shared" ref="DC49:DM49" si="297">DB76</f>
        <v>#REF!</v>
      </c>
      <c r="DD49" s="158" t="e">
        <f t="shared" si="297"/>
        <v>#REF!</v>
      </c>
      <c r="DE49" s="158" t="e">
        <f t="shared" si="297"/>
        <v>#REF!</v>
      </c>
      <c r="DF49" s="158" t="e">
        <f t="shared" si="297"/>
        <v>#REF!</v>
      </c>
      <c r="DG49" s="158" t="e">
        <f t="shared" si="297"/>
        <v>#REF!</v>
      </c>
      <c r="DH49" s="158" t="e">
        <f t="shared" si="297"/>
        <v>#REF!</v>
      </c>
      <c r="DI49" s="158" t="e">
        <f t="shared" si="297"/>
        <v>#REF!</v>
      </c>
      <c r="DJ49" s="158" t="e">
        <f t="shared" si="297"/>
        <v>#REF!</v>
      </c>
      <c r="DK49" s="158" t="e">
        <f t="shared" si="297"/>
        <v>#REF!</v>
      </c>
      <c r="DL49" s="158" t="e">
        <f t="shared" si="297"/>
        <v>#REF!</v>
      </c>
      <c r="DM49" s="158" t="e">
        <f t="shared" si="297"/>
        <v>#REF!</v>
      </c>
      <c r="DN49" s="536"/>
      <c r="DO49" s="537"/>
      <c r="DQ49" s="558" t="s">
        <v>36</v>
      </c>
      <c r="DR49" s="559"/>
      <c r="DS49" s="158" t="e">
        <f>DM76</f>
        <v>#REF!</v>
      </c>
      <c r="DT49" s="158" t="e">
        <f t="shared" ref="DT49:ED49" si="298">DS76</f>
        <v>#REF!</v>
      </c>
      <c r="DU49" s="158" t="e">
        <f t="shared" si="298"/>
        <v>#REF!</v>
      </c>
      <c r="DV49" s="158" t="e">
        <f t="shared" si="298"/>
        <v>#REF!</v>
      </c>
      <c r="DW49" s="158" t="e">
        <f t="shared" si="298"/>
        <v>#REF!</v>
      </c>
      <c r="DX49" s="158" t="e">
        <f t="shared" si="298"/>
        <v>#REF!</v>
      </c>
      <c r="DY49" s="158" t="e">
        <f t="shared" si="298"/>
        <v>#REF!</v>
      </c>
      <c r="DZ49" s="158" t="e">
        <f t="shared" si="298"/>
        <v>#REF!</v>
      </c>
      <c r="EA49" s="158" t="e">
        <f t="shared" si="298"/>
        <v>#REF!</v>
      </c>
      <c r="EB49" s="158" t="e">
        <f t="shared" si="298"/>
        <v>#REF!</v>
      </c>
      <c r="EC49" s="158" t="e">
        <f t="shared" si="298"/>
        <v>#REF!</v>
      </c>
      <c r="ED49" s="158" t="e">
        <f t="shared" si="298"/>
        <v>#REF!</v>
      </c>
      <c r="EE49" s="536"/>
      <c r="EF49" s="537"/>
      <c r="EH49" s="558" t="s">
        <v>36</v>
      </c>
      <c r="EI49" s="559"/>
      <c r="EJ49" s="158" t="e">
        <f>ED76</f>
        <v>#REF!</v>
      </c>
      <c r="EK49" s="158" t="e">
        <f t="shared" ref="EK49:EU49" si="299">EJ76</f>
        <v>#REF!</v>
      </c>
      <c r="EL49" s="158" t="e">
        <f t="shared" si="299"/>
        <v>#REF!</v>
      </c>
      <c r="EM49" s="158" t="e">
        <f t="shared" si="299"/>
        <v>#REF!</v>
      </c>
      <c r="EN49" s="158" t="e">
        <f t="shared" si="299"/>
        <v>#REF!</v>
      </c>
      <c r="EO49" s="158" t="e">
        <f t="shared" si="299"/>
        <v>#REF!</v>
      </c>
      <c r="EP49" s="158" t="e">
        <f t="shared" si="299"/>
        <v>#REF!</v>
      </c>
      <c r="EQ49" s="158" t="e">
        <f t="shared" si="299"/>
        <v>#REF!</v>
      </c>
      <c r="ER49" s="158" t="e">
        <f t="shared" si="299"/>
        <v>#REF!</v>
      </c>
      <c r="ES49" s="158" t="e">
        <f t="shared" si="299"/>
        <v>#REF!</v>
      </c>
      <c r="ET49" s="158" t="e">
        <f t="shared" si="299"/>
        <v>#REF!</v>
      </c>
      <c r="EU49" s="158" t="e">
        <f t="shared" si="299"/>
        <v>#REF!</v>
      </c>
      <c r="EV49" s="536"/>
      <c r="EW49" s="537"/>
      <c r="EY49" s="558" t="s">
        <v>36</v>
      </c>
      <c r="EZ49" s="559"/>
      <c r="FA49" s="158" t="e">
        <f>EU76</f>
        <v>#REF!</v>
      </c>
      <c r="FB49" s="158" t="e">
        <f t="shared" ref="FB49:FL49" si="300">FA76</f>
        <v>#REF!</v>
      </c>
      <c r="FC49" s="158" t="e">
        <f t="shared" si="300"/>
        <v>#REF!</v>
      </c>
      <c r="FD49" s="158" t="e">
        <f t="shared" si="300"/>
        <v>#REF!</v>
      </c>
      <c r="FE49" s="158" t="e">
        <f t="shared" si="300"/>
        <v>#REF!</v>
      </c>
      <c r="FF49" s="158" t="e">
        <f t="shared" si="300"/>
        <v>#REF!</v>
      </c>
      <c r="FG49" s="158" t="e">
        <f t="shared" si="300"/>
        <v>#REF!</v>
      </c>
      <c r="FH49" s="158" t="e">
        <f t="shared" si="300"/>
        <v>#REF!</v>
      </c>
      <c r="FI49" s="158" t="e">
        <f t="shared" si="300"/>
        <v>#REF!</v>
      </c>
      <c r="FJ49" s="158" t="e">
        <f t="shared" si="300"/>
        <v>#REF!</v>
      </c>
      <c r="FK49" s="158" t="e">
        <f t="shared" si="300"/>
        <v>#REF!</v>
      </c>
      <c r="FL49" s="158" t="e">
        <f t="shared" si="300"/>
        <v>#REF!</v>
      </c>
      <c r="FM49" s="536"/>
      <c r="FN49" s="537"/>
    </row>
    <row r="50" spans="2:170" ht="11.25" customHeight="1">
      <c r="B50" s="552" t="s">
        <v>42</v>
      </c>
      <c r="C50" s="553"/>
      <c r="D50" s="132">
        <f t="shared" ref="D50:O50" si="301">SUM(D51:D54)</f>
        <v>0</v>
      </c>
      <c r="E50" s="132">
        <f t="shared" si="301"/>
        <v>0</v>
      </c>
      <c r="F50" s="132">
        <f t="shared" si="301"/>
        <v>0</v>
      </c>
      <c r="G50" s="132">
        <f t="shared" si="301"/>
        <v>0</v>
      </c>
      <c r="H50" s="132">
        <f t="shared" si="301"/>
        <v>0</v>
      </c>
      <c r="I50" s="132">
        <f t="shared" si="301"/>
        <v>0</v>
      </c>
      <c r="J50" s="132">
        <f t="shared" si="301"/>
        <v>0</v>
      </c>
      <c r="K50" s="132">
        <f t="shared" si="301"/>
        <v>0</v>
      </c>
      <c r="L50" s="132">
        <f t="shared" si="301"/>
        <v>0</v>
      </c>
      <c r="M50" s="132">
        <f t="shared" si="301"/>
        <v>0</v>
      </c>
      <c r="N50" s="132">
        <f t="shared" si="301"/>
        <v>100000</v>
      </c>
      <c r="O50" s="132">
        <f t="shared" si="301"/>
        <v>0</v>
      </c>
      <c r="P50" s="554"/>
      <c r="Q50" s="555"/>
      <c r="R50" s="531"/>
      <c r="S50" s="552" t="s">
        <v>42</v>
      </c>
      <c r="T50" s="553"/>
      <c r="U50" s="132">
        <f t="shared" ref="U50:AF50" si="302">SUM(U51:U54)</f>
        <v>0</v>
      </c>
      <c r="V50" s="132">
        <f t="shared" si="302"/>
        <v>0</v>
      </c>
      <c r="W50" s="132">
        <f t="shared" si="302"/>
        <v>1031370</v>
      </c>
      <c r="X50" s="132">
        <f t="shared" si="302"/>
        <v>1035110.4</v>
      </c>
      <c r="Y50" s="132">
        <f t="shared" si="302"/>
        <v>1095110.3999999999</v>
      </c>
      <c r="Z50" s="132">
        <f t="shared" si="302"/>
        <v>1181369.6000000001</v>
      </c>
      <c r="AA50" s="132">
        <f t="shared" si="302"/>
        <v>1181369.6000000001</v>
      </c>
      <c r="AB50" s="132">
        <f t="shared" si="302"/>
        <v>1267628.8</v>
      </c>
      <c r="AC50" s="132">
        <f t="shared" si="302"/>
        <v>1267628.8</v>
      </c>
      <c r="AD50" s="132">
        <f t="shared" si="302"/>
        <v>1353888</v>
      </c>
      <c r="AE50" s="132">
        <f t="shared" si="302"/>
        <v>1353888</v>
      </c>
      <c r="AF50" s="132">
        <f t="shared" si="302"/>
        <v>1440147.2000000002</v>
      </c>
      <c r="AG50" s="554"/>
      <c r="AH50" s="555"/>
      <c r="AJ50" s="552" t="s">
        <v>42</v>
      </c>
      <c r="AK50" s="553"/>
      <c r="AL50" s="132">
        <f t="shared" ref="AL50:AW50" si="303">SUM(AL51:AL54)</f>
        <v>1677360</v>
      </c>
      <c r="AM50" s="132">
        <f t="shared" si="303"/>
        <v>1785184</v>
      </c>
      <c r="AN50" s="132">
        <f t="shared" si="303"/>
        <v>1091370</v>
      </c>
      <c r="AO50" s="132">
        <f t="shared" si="303"/>
        <v>1095110.3999999999</v>
      </c>
      <c r="AP50" s="132">
        <f t="shared" si="303"/>
        <v>1095110.3999999999</v>
      </c>
      <c r="AQ50" s="132">
        <f t="shared" si="303"/>
        <v>1181369.6000000001</v>
      </c>
      <c r="AR50" s="132">
        <f t="shared" si="303"/>
        <v>1181369.6000000001</v>
      </c>
      <c r="AS50" s="132">
        <f t="shared" si="303"/>
        <v>1267628.8</v>
      </c>
      <c r="AT50" s="132">
        <f t="shared" si="303"/>
        <v>1267628.8</v>
      </c>
      <c r="AU50" s="132">
        <f t="shared" si="303"/>
        <v>1353888</v>
      </c>
      <c r="AV50" s="132">
        <f t="shared" si="303"/>
        <v>1353888</v>
      </c>
      <c r="AW50" s="132">
        <f t="shared" si="303"/>
        <v>1440147.2000000002</v>
      </c>
      <c r="AX50" s="554"/>
      <c r="AY50" s="555"/>
      <c r="BA50" s="552" t="s">
        <v>42</v>
      </c>
      <c r="BB50" s="553"/>
      <c r="BC50" s="132">
        <f t="shared" ref="BC50:BN50" si="304">SUM(BC51:BC54)</f>
        <v>428236.80000000005</v>
      </c>
      <c r="BD50" s="132">
        <f t="shared" si="304"/>
        <v>29000</v>
      </c>
      <c r="BE50" s="132">
        <f t="shared" si="304"/>
        <v>29000</v>
      </c>
      <c r="BF50" s="132">
        <f t="shared" si="304"/>
        <v>29000</v>
      </c>
      <c r="BG50" s="132">
        <f t="shared" si="304"/>
        <v>29000</v>
      </c>
      <c r="BH50" s="132">
        <f t="shared" si="304"/>
        <v>28200</v>
      </c>
      <c r="BI50" s="132">
        <f t="shared" si="304"/>
        <v>28800</v>
      </c>
      <c r="BJ50" s="132">
        <f t="shared" si="304"/>
        <v>29800</v>
      </c>
      <c r="BK50" s="132">
        <f t="shared" si="304"/>
        <v>30000</v>
      </c>
      <c r="BL50" s="132">
        <f t="shared" si="304"/>
        <v>30000</v>
      </c>
      <c r="BM50" s="132">
        <f t="shared" si="304"/>
        <v>30000</v>
      </c>
      <c r="BN50" s="132">
        <f t="shared" si="304"/>
        <v>30000</v>
      </c>
      <c r="BO50" s="554"/>
      <c r="BP50" s="555"/>
      <c r="BR50" s="552" t="s">
        <v>42</v>
      </c>
      <c r="BS50" s="553"/>
      <c r="BT50" s="132">
        <f t="shared" ref="BT50:CE50" si="305">SUM(BT51:BT54)</f>
        <v>29200</v>
      </c>
      <c r="BU50" s="132">
        <f t="shared" si="305"/>
        <v>29000</v>
      </c>
      <c r="BV50" s="132">
        <f t="shared" si="305"/>
        <v>29000</v>
      </c>
      <c r="BW50" s="132">
        <f t="shared" si="305"/>
        <v>29000</v>
      </c>
      <c r="BX50" s="132">
        <f t="shared" si="305"/>
        <v>29000</v>
      </c>
      <c r="BY50" s="132">
        <f t="shared" si="305"/>
        <v>28200</v>
      </c>
      <c r="BZ50" s="132">
        <f t="shared" si="305"/>
        <v>28800</v>
      </c>
      <c r="CA50" s="132">
        <f t="shared" si="305"/>
        <v>29800</v>
      </c>
      <c r="CB50" s="132">
        <f t="shared" si="305"/>
        <v>30000</v>
      </c>
      <c r="CC50" s="132">
        <f t="shared" si="305"/>
        <v>30000</v>
      </c>
      <c r="CD50" s="132">
        <f t="shared" si="305"/>
        <v>30000</v>
      </c>
      <c r="CE50" s="132">
        <f t="shared" si="305"/>
        <v>30000</v>
      </c>
      <c r="CF50" s="554"/>
      <c r="CG50" s="555"/>
      <c r="CI50" s="552" t="s">
        <v>42</v>
      </c>
      <c r="CJ50" s="553"/>
      <c r="CK50" s="132">
        <f t="shared" ref="CK50:DM50" si="306">SUM(CK51:CK54)</f>
        <v>6000</v>
      </c>
      <c r="CL50" s="132">
        <f t="shared" si="306"/>
        <v>0</v>
      </c>
      <c r="CM50" s="132">
        <f t="shared" si="306"/>
        <v>0</v>
      </c>
      <c r="CN50" s="132">
        <f t="shared" si="306"/>
        <v>0</v>
      </c>
      <c r="CO50" s="132">
        <f t="shared" si="306"/>
        <v>0</v>
      </c>
      <c r="CP50" s="132">
        <f t="shared" si="306"/>
        <v>0</v>
      </c>
      <c r="CQ50" s="132">
        <f t="shared" si="306"/>
        <v>0</v>
      </c>
      <c r="CR50" s="132">
        <f t="shared" si="306"/>
        <v>0</v>
      </c>
      <c r="CS50" s="132">
        <f t="shared" si="306"/>
        <v>0</v>
      </c>
      <c r="CT50" s="132">
        <f t="shared" si="306"/>
        <v>0</v>
      </c>
      <c r="CU50" s="132">
        <f t="shared" si="306"/>
        <v>0</v>
      </c>
      <c r="CV50" s="132">
        <f t="shared" si="306"/>
        <v>0</v>
      </c>
      <c r="CW50" s="554"/>
      <c r="CX50" s="555"/>
      <c r="CZ50" s="552" t="s">
        <v>42</v>
      </c>
      <c r="DA50" s="553"/>
      <c r="DB50" s="132">
        <f t="shared" si="306"/>
        <v>0</v>
      </c>
      <c r="DC50" s="132">
        <f t="shared" si="306"/>
        <v>0</v>
      </c>
      <c r="DD50" s="132">
        <f t="shared" si="306"/>
        <v>0</v>
      </c>
      <c r="DE50" s="132">
        <f t="shared" si="306"/>
        <v>0</v>
      </c>
      <c r="DF50" s="132">
        <f t="shared" si="306"/>
        <v>0</v>
      </c>
      <c r="DG50" s="132">
        <f t="shared" si="306"/>
        <v>0</v>
      </c>
      <c r="DH50" s="132">
        <f t="shared" si="306"/>
        <v>0</v>
      </c>
      <c r="DI50" s="132">
        <f t="shared" si="306"/>
        <v>0</v>
      </c>
      <c r="DJ50" s="132">
        <f t="shared" si="306"/>
        <v>0</v>
      </c>
      <c r="DK50" s="132">
        <f t="shared" si="306"/>
        <v>0</v>
      </c>
      <c r="DL50" s="132">
        <f t="shared" si="306"/>
        <v>0</v>
      </c>
      <c r="DM50" s="132">
        <f t="shared" si="306"/>
        <v>0</v>
      </c>
      <c r="DN50" s="554"/>
      <c r="DO50" s="555"/>
      <c r="DQ50" s="552" t="s">
        <v>42</v>
      </c>
      <c r="DR50" s="553"/>
      <c r="DS50" s="132">
        <f t="shared" ref="DS50:ED50" si="307">SUM(DS51:DS54)</f>
        <v>0</v>
      </c>
      <c r="DT50" s="132">
        <f t="shared" si="307"/>
        <v>0</v>
      </c>
      <c r="DU50" s="132">
        <f t="shared" si="307"/>
        <v>0</v>
      </c>
      <c r="DV50" s="132">
        <f t="shared" si="307"/>
        <v>0</v>
      </c>
      <c r="DW50" s="132">
        <f t="shared" si="307"/>
        <v>0</v>
      </c>
      <c r="DX50" s="132">
        <f t="shared" si="307"/>
        <v>0</v>
      </c>
      <c r="DY50" s="132">
        <f t="shared" si="307"/>
        <v>0</v>
      </c>
      <c r="DZ50" s="132">
        <f t="shared" si="307"/>
        <v>0</v>
      </c>
      <c r="EA50" s="132">
        <f t="shared" si="307"/>
        <v>0</v>
      </c>
      <c r="EB50" s="132">
        <f t="shared" si="307"/>
        <v>0</v>
      </c>
      <c r="EC50" s="132">
        <f t="shared" si="307"/>
        <v>0</v>
      </c>
      <c r="ED50" s="132">
        <f t="shared" si="307"/>
        <v>0</v>
      </c>
      <c r="EE50" s="554"/>
      <c r="EF50" s="555"/>
      <c r="EH50" s="552" t="s">
        <v>42</v>
      </c>
      <c r="EI50" s="553"/>
      <c r="EJ50" s="132">
        <f t="shared" ref="EJ50:EU50" si="308">SUM(EJ51:EJ54)</f>
        <v>0</v>
      </c>
      <c r="EK50" s="132">
        <f t="shared" si="308"/>
        <v>0</v>
      </c>
      <c r="EL50" s="132">
        <f t="shared" si="308"/>
        <v>0</v>
      </c>
      <c r="EM50" s="132">
        <f t="shared" si="308"/>
        <v>0</v>
      </c>
      <c r="EN50" s="132">
        <f t="shared" si="308"/>
        <v>0</v>
      </c>
      <c r="EO50" s="132">
        <f t="shared" si="308"/>
        <v>0</v>
      </c>
      <c r="EP50" s="132">
        <f t="shared" si="308"/>
        <v>0</v>
      </c>
      <c r="EQ50" s="132">
        <f t="shared" si="308"/>
        <v>0</v>
      </c>
      <c r="ER50" s="132">
        <f t="shared" si="308"/>
        <v>0</v>
      </c>
      <c r="ES50" s="132">
        <f t="shared" si="308"/>
        <v>0</v>
      </c>
      <c r="ET50" s="132">
        <f t="shared" si="308"/>
        <v>0</v>
      </c>
      <c r="EU50" s="132">
        <f t="shared" si="308"/>
        <v>0</v>
      </c>
      <c r="EV50" s="554"/>
      <c r="EW50" s="555"/>
      <c r="EY50" s="552" t="s">
        <v>42</v>
      </c>
      <c r="EZ50" s="553"/>
      <c r="FA50" s="132">
        <f t="shared" ref="FA50:FL50" si="309">SUM(FA51:FA54)</f>
        <v>0</v>
      </c>
      <c r="FB50" s="132">
        <f t="shared" si="309"/>
        <v>0</v>
      </c>
      <c r="FC50" s="132">
        <f t="shared" si="309"/>
        <v>0</v>
      </c>
      <c r="FD50" s="132">
        <f t="shared" si="309"/>
        <v>0</v>
      </c>
      <c r="FE50" s="132">
        <f t="shared" si="309"/>
        <v>0</v>
      </c>
      <c r="FF50" s="132">
        <f t="shared" si="309"/>
        <v>0</v>
      </c>
      <c r="FG50" s="132">
        <f t="shared" si="309"/>
        <v>0</v>
      </c>
      <c r="FH50" s="132">
        <f t="shared" si="309"/>
        <v>0</v>
      </c>
      <c r="FI50" s="132">
        <f t="shared" si="309"/>
        <v>0</v>
      </c>
      <c r="FJ50" s="132">
        <f t="shared" si="309"/>
        <v>0</v>
      </c>
      <c r="FK50" s="132">
        <f t="shared" si="309"/>
        <v>0</v>
      </c>
      <c r="FL50" s="132">
        <f t="shared" si="309"/>
        <v>0</v>
      </c>
      <c r="FM50" s="554"/>
      <c r="FN50" s="555"/>
    </row>
    <row r="51" spans="2:170" s="159" customFormat="1" ht="8.25" customHeight="1">
      <c r="B51" s="560"/>
      <c r="C51" s="134" t="s">
        <v>510</v>
      </c>
      <c r="D51" s="135"/>
      <c r="E51" s="135"/>
      <c r="F51" s="135">
        <f>D4</f>
        <v>0</v>
      </c>
      <c r="G51" s="135">
        <f t="shared" ref="G51:O51" si="310">E4</f>
        <v>0</v>
      </c>
      <c r="H51" s="135">
        <f t="shared" si="310"/>
        <v>0</v>
      </c>
      <c r="I51" s="135">
        <f t="shared" si="310"/>
        <v>0</v>
      </c>
      <c r="J51" s="135">
        <f t="shared" si="310"/>
        <v>0</v>
      </c>
      <c r="K51" s="135">
        <f t="shared" si="310"/>
        <v>0</v>
      </c>
      <c r="L51" s="135">
        <f t="shared" si="310"/>
        <v>0</v>
      </c>
      <c r="M51" s="135">
        <f t="shared" si="310"/>
        <v>0</v>
      </c>
      <c r="N51" s="135">
        <f t="shared" si="310"/>
        <v>0</v>
      </c>
      <c r="O51" s="135">
        <f t="shared" si="310"/>
        <v>0</v>
      </c>
      <c r="P51" s="549" t="s">
        <v>524</v>
      </c>
      <c r="Q51" s="550"/>
      <c r="R51" s="531"/>
      <c r="S51" s="560"/>
      <c r="T51" s="134" t="str">
        <f t="shared" ref="T51:T54" si="311">IF(C51="","",C51)</f>
        <v>訓練給付金等</v>
      </c>
      <c r="U51" s="135">
        <f>N4</f>
        <v>0</v>
      </c>
      <c r="V51" s="135">
        <f>O4</f>
        <v>0</v>
      </c>
      <c r="W51" s="135">
        <f t="shared" ref="W51" si="312">U4</f>
        <v>1031370</v>
      </c>
      <c r="X51" s="135">
        <f t="shared" ref="X51:AF51" si="313">X4*0.8</f>
        <v>1035110.4</v>
      </c>
      <c r="Y51" s="135">
        <f t="shared" si="313"/>
        <v>1035110.4</v>
      </c>
      <c r="Z51" s="135">
        <f t="shared" si="313"/>
        <v>1121369.6000000001</v>
      </c>
      <c r="AA51" s="135">
        <f t="shared" si="313"/>
        <v>1121369.6000000001</v>
      </c>
      <c r="AB51" s="135">
        <f t="shared" si="313"/>
        <v>1207628.8</v>
      </c>
      <c r="AC51" s="135">
        <f t="shared" si="313"/>
        <v>1207628.8</v>
      </c>
      <c r="AD51" s="135">
        <f t="shared" si="313"/>
        <v>1293888</v>
      </c>
      <c r="AE51" s="135">
        <f t="shared" si="313"/>
        <v>1293888</v>
      </c>
      <c r="AF51" s="135">
        <f t="shared" si="313"/>
        <v>1380147.2000000002</v>
      </c>
      <c r="AG51" s="549" t="s">
        <v>69</v>
      </c>
      <c r="AH51" s="550"/>
      <c r="AJ51" s="560"/>
      <c r="AK51" s="134" t="str">
        <f t="shared" ref="AK51:AK54" si="314">IF(T51="","",T51)</f>
        <v>訓練給付金等</v>
      </c>
      <c r="AL51" s="135">
        <f>AE4</f>
        <v>1617360</v>
      </c>
      <c r="AM51" s="135">
        <f>AF4</f>
        <v>1725184</v>
      </c>
      <c r="AN51" s="135">
        <f t="shared" ref="AN51" si="315">AL4</f>
        <v>1031370</v>
      </c>
      <c r="AO51" s="135">
        <f t="shared" ref="AO51:AW51" si="316">AO4*0.8</f>
        <v>1035110.4</v>
      </c>
      <c r="AP51" s="135">
        <f t="shared" si="316"/>
        <v>1035110.4</v>
      </c>
      <c r="AQ51" s="135">
        <f t="shared" si="316"/>
        <v>1121369.6000000001</v>
      </c>
      <c r="AR51" s="135">
        <f t="shared" si="316"/>
        <v>1121369.6000000001</v>
      </c>
      <c r="AS51" s="135">
        <f t="shared" si="316"/>
        <v>1207628.8</v>
      </c>
      <c r="AT51" s="135">
        <f t="shared" si="316"/>
        <v>1207628.8</v>
      </c>
      <c r="AU51" s="135">
        <f t="shared" si="316"/>
        <v>1293888</v>
      </c>
      <c r="AV51" s="135">
        <f t="shared" si="316"/>
        <v>1293888</v>
      </c>
      <c r="AW51" s="135">
        <f t="shared" si="316"/>
        <v>1380147.2000000002</v>
      </c>
      <c r="AX51" s="549" t="s">
        <v>69</v>
      </c>
      <c r="AY51" s="550"/>
      <c r="BA51" s="560"/>
      <c r="BB51" s="134" t="s">
        <v>37</v>
      </c>
      <c r="BC51" s="135">
        <f t="shared" ref="BC51:BN51" si="317">BC4*0.8</f>
        <v>23200</v>
      </c>
      <c r="BD51" s="135">
        <f t="shared" si="317"/>
        <v>23200</v>
      </c>
      <c r="BE51" s="135">
        <f t="shared" si="317"/>
        <v>23200</v>
      </c>
      <c r="BF51" s="135">
        <f t="shared" si="317"/>
        <v>23200</v>
      </c>
      <c r="BG51" s="135">
        <f t="shared" si="317"/>
        <v>23200</v>
      </c>
      <c r="BH51" s="135">
        <f t="shared" si="317"/>
        <v>22400</v>
      </c>
      <c r="BI51" s="135">
        <f t="shared" si="317"/>
        <v>23200</v>
      </c>
      <c r="BJ51" s="135">
        <f t="shared" si="317"/>
        <v>24000</v>
      </c>
      <c r="BK51" s="135">
        <f t="shared" si="317"/>
        <v>24000</v>
      </c>
      <c r="BL51" s="135">
        <f t="shared" si="317"/>
        <v>24000</v>
      </c>
      <c r="BM51" s="135">
        <f t="shared" si="317"/>
        <v>24000</v>
      </c>
      <c r="BN51" s="135">
        <f t="shared" si="317"/>
        <v>24000</v>
      </c>
      <c r="BO51" s="549" t="s">
        <v>86</v>
      </c>
      <c r="BP51" s="550"/>
      <c r="BR51" s="560"/>
      <c r="BS51" s="134" t="s">
        <v>37</v>
      </c>
      <c r="BT51" s="135">
        <f t="shared" ref="BT51:CE51" si="318">BT4*0.8</f>
        <v>23200</v>
      </c>
      <c r="BU51" s="135">
        <f t="shared" si="318"/>
        <v>23200</v>
      </c>
      <c r="BV51" s="135">
        <f t="shared" si="318"/>
        <v>23200</v>
      </c>
      <c r="BW51" s="135">
        <f t="shared" si="318"/>
        <v>23200</v>
      </c>
      <c r="BX51" s="135">
        <f t="shared" si="318"/>
        <v>23200</v>
      </c>
      <c r="BY51" s="135">
        <f t="shared" si="318"/>
        <v>22400</v>
      </c>
      <c r="BZ51" s="135">
        <f t="shared" si="318"/>
        <v>23200</v>
      </c>
      <c r="CA51" s="135">
        <f t="shared" si="318"/>
        <v>24000</v>
      </c>
      <c r="CB51" s="135">
        <f t="shared" si="318"/>
        <v>24000</v>
      </c>
      <c r="CC51" s="135">
        <f t="shared" si="318"/>
        <v>24000</v>
      </c>
      <c r="CD51" s="135">
        <f t="shared" si="318"/>
        <v>24000</v>
      </c>
      <c r="CE51" s="135">
        <f t="shared" si="318"/>
        <v>24000</v>
      </c>
      <c r="CF51" s="549" t="s">
        <v>85</v>
      </c>
      <c r="CG51" s="550"/>
      <c r="CI51" s="560"/>
      <c r="CJ51" s="134" t="s">
        <v>37</v>
      </c>
      <c r="CK51" s="135">
        <f t="shared" ref="CK51:CV51" si="319">CK4*0.8</f>
        <v>0</v>
      </c>
      <c r="CL51" s="135">
        <f t="shared" si="319"/>
        <v>0</v>
      </c>
      <c r="CM51" s="135">
        <f t="shared" si="319"/>
        <v>0</v>
      </c>
      <c r="CN51" s="135">
        <f t="shared" si="319"/>
        <v>0</v>
      </c>
      <c r="CO51" s="135">
        <f t="shared" si="319"/>
        <v>0</v>
      </c>
      <c r="CP51" s="135">
        <f t="shared" si="319"/>
        <v>0</v>
      </c>
      <c r="CQ51" s="135">
        <f t="shared" si="319"/>
        <v>0</v>
      </c>
      <c r="CR51" s="135">
        <f t="shared" si="319"/>
        <v>0</v>
      </c>
      <c r="CS51" s="135">
        <f t="shared" si="319"/>
        <v>0</v>
      </c>
      <c r="CT51" s="135">
        <f t="shared" si="319"/>
        <v>0</v>
      </c>
      <c r="CU51" s="135">
        <f t="shared" si="319"/>
        <v>0</v>
      </c>
      <c r="CV51" s="135">
        <f t="shared" si="319"/>
        <v>0</v>
      </c>
      <c r="CW51" s="549" t="s">
        <v>86</v>
      </c>
      <c r="CX51" s="550"/>
      <c r="CZ51" s="560"/>
      <c r="DA51" s="134" t="s">
        <v>37</v>
      </c>
      <c r="DB51" s="135">
        <f t="shared" ref="DB51:DM51" si="320">DB4*0.8</f>
        <v>0</v>
      </c>
      <c r="DC51" s="135">
        <f t="shared" si="320"/>
        <v>0</v>
      </c>
      <c r="DD51" s="135">
        <f t="shared" si="320"/>
        <v>0</v>
      </c>
      <c r="DE51" s="135">
        <f t="shared" si="320"/>
        <v>0</v>
      </c>
      <c r="DF51" s="135">
        <f t="shared" si="320"/>
        <v>0</v>
      </c>
      <c r="DG51" s="135">
        <f t="shared" si="320"/>
        <v>0</v>
      </c>
      <c r="DH51" s="135">
        <f t="shared" si="320"/>
        <v>0</v>
      </c>
      <c r="DI51" s="135">
        <f t="shared" si="320"/>
        <v>0</v>
      </c>
      <c r="DJ51" s="135">
        <f t="shared" si="320"/>
        <v>0</v>
      </c>
      <c r="DK51" s="135">
        <f t="shared" si="320"/>
        <v>0</v>
      </c>
      <c r="DL51" s="135">
        <f t="shared" si="320"/>
        <v>0</v>
      </c>
      <c r="DM51" s="135">
        <f t="shared" si="320"/>
        <v>0</v>
      </c>
      <c r="DN51" s="549" t="s">
        <v>108</v>
      </c>
      <c r="DO51" s="550"/>
      <c r="DQ51" s="560"/>
      <c r="DR51" s="134" t="s">
        <v>37</v>
      </c>
      <c r="DS51" s="135">
        <f t="shared" ref="DS51:ED51" si="321">DS4*0.8</f>
        <v>0</v>
      </c>
      <c r="DT51" s="135">
        <f t="shared" si="321"/>
        <v>0</v>
      </c>
      <c r="DU51" s="135">
        <f t="shared" si="321"/>
        <v>0</v>
      </c>
      <c r="DV51" s="135">
        <f t="shared" si="321"/>
        <v>0</v>
      </c>
      <c r="DW51" s="135">
        <f t="shared" si="321"/>
        <v>0</v>
      </c>
      <c r="DX51" s="135">
        <f t="shared" si="321"/>
        <v>0</v>
      </c>
      <c r="DY51" s="135">
        <f t="shared" si="321"/>
        <v>0</v>
      </c>
      <c r="DZ51" s="135">
        <f t="shared" si="321"/>
        <v>0</v>
      </c>
      <c r="EA51" s="135">
        <f t="shared" si="321"/>
        <v>0</v>
      </c>
      <c r="EB51" s="135">
        <f t="shared" si="321"/>
        <v>0</v>
      </c>
      <c r="EC51" s="135">
        <f t="shared" si="321"/>
        <v>0</v>
      </c>
      <c r="ED51" s="135">
        <f t="shared" si="321"/>
        <v>0</v>
      </c>
      <c r="EE51" s="549" t="s">
        <v>114</v>
      </c>
      <c r="EF51" s="550"/>
      <c r="EH51" s="560"/>
      <c r="EI51" s="134" t="s">
        <v>37</v>
      </c>
      <c r="EJ51" s="135">
        <f t="shared" ref="EJ51:EU51" si="322">EJ4*0.8</f>
        <v>0</v>
      </c>
      <c r="EK51" s="135">
        <f t="shared" si="322"/>
        <v>0</v>
      </c>
      <c r="EL51" s="135">
        <f t="shared" si="322"/>
        <v>0</v>
      </c>
      <c r="EM51" s="135">
        <f t="shared" si="322"/>
        <v>0</v>
      </c>
      <c r="EN51" s="135">
        <f t="shared" si="322"/>
        <v>0</v>
      </c>
      <c r="EO51" s="135">
        <f t="shared" si="322"/>
        <v>0</v>
      </c>
      <c r="EP51" s="135">
        <f t="shared" si="322"/>
        <v>0</v>
      </c>
      <c r="EQ51" s="135">
        <f t="shared" si="322"/>
        <v>0</v>
      </c>
      <c r="ER51" s="135">
        <f t="shared" si="322"/>
        <v>0</v>
      </c>
      <c r="ES51" s="135">
        <f t="shared" si="322"/>
        <v>0</v>
      </c>
      <c r="ET51" s="135">
        <f t="shared" si="322"/>
        <v>0</v>
      </c>
      <c r="EU51" s="135">
        <f t="shared" si="322"/>
        <v>0</v>
      </c>
      <c r="EV51" s="549" t="s">
        <v>115</v>
      </c>
      <c r="EW51" s="550"/>
      <c r="EY51" s="560"/>
      <c r="EZ51" s="134" t="s">
        <v>37</v>
      </c>
      <c r="FA51" s="135">
        <f t="shared" ref="FA51:FL51" si="323">FA4*0.8</f>
        <v>0</v>
      </c>
      <c r="FB51" s="135">
        <f t="shared" si="323"/>
        <v>0</v>
      </c>
      <c r="FC51" s="135">
        <f t="shared" si="323"/>
        <v>0</v>
      </c>
      <c r="FD51" s="135">
        <f t="shared" si="323"/>
        <v>0</v>
      </c>
      <c r="FE51" s="135">
        <f t="shared" si="323"/>
        <v>0</v>
      </c>
      <c r="FF51" s="135">
        <f t="shared" si="323"/>
        <v>0</v>
      </c>
      <c r="FG51" s="135">
        <f t="shared" si="323"/>
        <v>0</v>
      </c>
      <c r="FH51" s="135">
        <f t="shared" si="323"/>
        <v>0</v>
      </c>
      <c r="FI51" s="135">
        <f t="shared" si="323"/>
        <v>0</v>
      </c>
      <c r="FJ51" s="135">
        <f t="shared" si="323"/>
        <v>0</v>
      </c>
      <c r="FK51" s="135">
        <f t="shared" si="323"/>
        <v>0</v>
      </c>
      <c r="FL51" s="135">
        <f t="shared" si="323"/>
        <v>0</v>
      </c>
      <c r="FM51" s="549" t="s">
        <v>116</v>
      </c>
      <c r="FN51" s="550"/>
    </row>
    <row r="52" spans="2:170" s="159" customFormat="1" ht="8.25" customHeight="1">
      <c r="B52" s="561"/>
      <c r="C52" s="134" t="s">
        <v>511</v>
      </c>
      <c r="D52" s="135"/>
      <c r="E52" s="135">
        <f>D9</f>
        <v>0</v>
      </c>
      <c r="F52" s="135">
        <f t="shared" ref="F52:O52" si="324">E9</f>
        <v>0</v>
      </c>
      <c r="G52" s="135">
        <f t="shared" si="324"/>
        <v>0</v>
      </c>
      <c r="H52" s="135">
        <f t="shared" si="324"/>
        <v>0</v>
      </c>
      <c r="I52" s="135">
        <f t="shared" si="324"/>
        <v>0</v>
      </c>
      <c r="J52" s="135">
        <f t="shared" si="324"/>
        <v>0</v>
      </c>
      <c r="K52" s="135">
        <f t="shared" si="324"/>
        <v>0</v>
      </c>
      <c r="L52" s="135">
        <f t="shared" si="324"/>
        <v>0</v>
      </c>
      <c r="M52" s="135">
        <f t="shared" si="324"/>
        <v>0</v>
      </c>
      <c r="N52" s="135">
        <f t="shared" si="324"/>
        <v>0</v>
      </c>
      <c r="O52" s="135">
        <f t="shared" si="324"/>
        <v>0</v>
      </c>
      <c r="P52" s="549" t="s">
        <v>523</v>
      </c>
      <c r="Q52" s="550"/>
      <c r="R52" s="531"/>
      <c r="S52" s="561"/>
      <c r="T52" s="134" t="str">
        <f t="shared" si="311"/>
        <v>作業収入</v>
      </c>
      <c r="U52" s="135">
        <f>O9</f>
        <v>0</v>
      </c>
      <c r="V52" s="135">
        <f t="shared" ref="V52:AF52" si="325">U9</f>
        <v>0</v>
      </c>
      <c r="W52" s="135">
        <f t="shared" si="325"/>
        <v>0</v>
      </c>
      <c r="X52" s="135">
        <f t="shared" si="325"/>
        <v>0</v>
      </c>
      <c r="Y52" s="135">
        <f t="shared" si="325"/>
        <v>60000</v>
      </c>
      <c r="Z52" s="135">
        <f t="shared" si="325"/>
        <v>60000</v>
      </c>
      <c r="AA52" s="135">
        <f t="shared" si="325"/>
        <v>60000</v>
      </c>
      <c r="AB52" s="135">
        <f t="shared" si="325"/>
        <v>60000</v>
      </c>
      <c r="AC52" s="135">
        <f t="shared" si="325"/>
        <v>60000</v>
      </c>
      <c r="AD52" s="135">
        <f t="shared" si="325"/>
        <v>60000</v>
      </c>
      <c r="AE52" s="135">
        <f t="shared" si="325"/>
        <v>60000</v>
      </c>
      <c r="AF52" s="135">
        <f t="shared" si="325"/>
        <v>60000</v>
      </c>
      <c r="AG52" s="549" t="s">
        <v>70</v>
      </c>
      <c r="AH52" s="550"/>
      <c r="AJ52" s="561"/>
      <c r="AK52" s="134" t="str">
        <f t="shared" si="314"/>
        <v>作業収入</v>
      </c>
      <c r="AL52" s="135">
        <f>AF9</f>
        <v>60000</v>
      </c>
      <c r="AM52" s="135">
        <f t="shared" ref="AM52:AW52" si="326">AL9</f>
        <v>60000</v>
      </c>
      <c r="AN52" s="135">
        <f t="shared" si="326"/>
        <v>60000</v>
      </c>
      <c r="AO52" s="135">
        <f t="shared" si="326"/>
        <v>60000</v>
      </c>
      <c r="AP52" s="135">
        <f t="shared" si="326"/>
        <v>60000</v>
      </c>
      <c r="AQ52" s="135">
        <f t="shared" si="326"/>
        <v>60000</v>
      </c>
      <c r="AR52" s="135">
        <f t="shared" si="326"/>
        <v>60000</v>
      </c>
      <c r="AS52" s="135">
        <f t="shared" si="326"/>
        <v>60000</v>
      </c>
      <c r="AT52" s="135">
        <f t="shared" si="326"/>
        <v>60000</v>
      </c>
      <c r="AU52" s="135">
        <f t="shared" si="326"/>
        <v>60000</v>
      </c>
      <c r="AV52" s="135">
        <f t="shared" si="326"/>
        <v>60000</v>
      </c>
      <c r="AW52" s="135">
        <f t="shared" si="326"/>
        <v>60000</v>
      </c>
      <c r="AX52" s="549" t="s">
        <v>70</v>
      </c>
      <c r="AY52" s="550"/>
      <c r="BA52" s="561"/>
      <c r="BB52" s="134" t="s">
        <v>38</v>
      </c>
      <c r="BC52" s="135">
        <f>AW4*0.2</f>
        <v>345036.80000000005</v>
      </c>
      <c r="BD52" s="135">
        <f t="shared" ref="BD52:BN52" si="327">BC4*0.2</f>
        <v>5800</v>
      </c>
      <c r="BE52" s="135">
        <f t="shared" si="327"/>
        <v>5800</v>
      </c>
      <c r="BF52" s="135">
        <f t="shared" si="327"/>
        <v>5800</v>
      </c>
      <c r="BG52" s="135">
        <f t="shared" si="327"/>
        <v>5800</v>
      </c>
      <c r="BH52" s="135">
        <f t="shared" si="327"/>
        <v>5800</v>
      </c>
      <c r="BI52" s="135">
        <f t="shared" si="327"/>
        <v>5600</v>
      </c>
      <c r="BJ52" s="135">
        <f t="shared" si="327"/>
        <v>5800</v>
      </c>
      <c r="BK52" s="135">
        <f t="shared" si="327"/>
        <v>6000</v>
      </c>
      <c r="BL52" s="135">
        <f t="shared" si="327"/>
        <v>6000</v>
      </c>
      <c r="BM52" s="135">
        <f t="shared" si="327"/>
        <v>6000</v>
      </c>
      <c r="BN52" s="135">
        <f t="shared" si="327"/>
        <v>6000</v>
      </c>
      <c r="BO52" s="549" t="s">
        <v>88</v>
      </c>
      <c r="BP52" s="550"/>
      <c r="BR52" s="561"/>
      <c r="BS52" s="134" t="s">
        <v>38</v>
      </c>
      <c r="BT52" s="135">
        <f>BN4*0.2</f>
        <v>6000</v>
      </c>
      <c r="BU52" s="135">
        <f t="shared" ref="BU52:CE52" si="328">BT4*0.2</f>
        <v>5800</v>
      </c>
      <c r="BV52" s="135">
        <f t="shared" si="328"/>
        <v>5800</v>
      </c>
      <c r="BW52" s="135">
        <f t="shared" si="328"/>
        <v>5800</v>
      </c>
      <c r="BX52" s="135">
        <f t="shared" si="328"/>
        <v>5800</v>
      </c>
      <c r="BY52" s="135">
        <f t="shared" si="328"/>
        <v>5800</v>
      </c>
      <c r="BZ52" s="135">
        <f t="shared" si="328"/>
        <v>5600</v>
      </c>
      <c r="CA52" s="135">
        <f t="shared" si="328"/>
        <v>5800</v>
      </c>
      <c r="CB52" s="135">
        <f t="shared" si="328"/>
        <v>6000</v>
      </c>
      <c r="CC52" s="135">
        <f t="shared" si="328"/>
        <v>6000</v>
      </c>
      <c r="CD52" s="135">
        <f t="shared" si="328"/>
        <v>6000</v>
      </c>
      <c r="CE52" s="135">
        <f t="shared" si="328"/>
        <v>6000</v>
      </c>
      <c r="CF52" s="549" t="s">
        <v>87</v>
      </c>
      <c r="CG52" s="550"/>
      <c r="CI52" s="561"/>
      <c r="CJ52" s="134" t="s">
        <v>38</v>
      </c>
      <c r="CK52" s="135">
        <f>CE4*0.2</f>
        <v>6000</v>
      </c>
      <c r="CL52" s="135">
        <f t="shared" ref="CL52:CV52" si="329">CK4*0.2</f>
        <v>0</v>
      </c>
      <c r="CM52" s="135">
        <f t="shared" si="329"/>
        <v>0</v>
      </c>
      <c r="CN52" s="135">
        <f t="shared" si="329"/>
        <v>0</v>
      </c>
      <c r="CO52" s="135">
        <f t="shared" si="329"/>
        <v>0</v>
      </c>
      <c r="CP52" s="135">
        <f t="shared" si="329"/>
        <v>0</v>
      </c>
      <c r="CQ52" s="135">
        <f t="shared" si="329"/>
        <v>0</v>
      </c>
      <c r="CR52" s="135">
        <f t="shared" si="329"/>
        <v>0</v>
      </c>
      <c r="CS52" s="135">
        <f t="shared" si="329"/>
        <v>0</v>
      </c>
      <c r="CT52" s="135">
        <f t="shared" si="329"/>
        <v>0</v>
      </c>
      <c r="CU52" s="135">
        <f t="shared" si="329"/>
        <v>0</v>
      </c>
      <c r="CV52" s="135">
        <f t="shared" si="329"/>
        <v>0</v>
      </c>
      <c r="CW52" s="549" t="s">
        <v>88</v>
      </c>
      <c r="CX52" s="550"/>
      <c r="CZ52" s="561"/>
      <c r="DA52" s="134" t="s">
        <v>38</v>
      </c>
      <c r="DB52" s="135">
        <f>CV4*0.2</f>
        <v>0</v>
      </c>
      <c r="DC52" s="135">
        <f t="shared" ref="DC52:DM52" si="330">DB4*0.2</f>
        <v>0</v>
      </c>
      <c r="DD52" s="135">
        <f t="shared" si="330"/>
        <v>0</v>
      </c>
      <c r="DE52" s="135">
        <f t="shared" si="330"/>
        <v>0</v>
      </c>
      <c r="DF52" s="135">
        <f t="shared" si="330"/>
        <v>0</v>
      </c>
      <c r="DG52" s="135">
        <f t="shared" si="330"/>
        <v>0</v>
      </c>
      <c r="DH52" s="135">
        <f t="shared" si="330"/>
        <v>0</v>
      </c>
      <c r="DI52" s="135">
        <f t="shared" si="330"/>
        <v>0</v>
      </c>
      <c r="DJ52" s="135">
        <f t="shared" si="330"/>
        <v>0</v>
      </c>
      <c r="DK52" s="135">
        <f t="shared" si="330"/>
        <v>0</v>
      </c>
      <c r="DL52" s="135">
        <f t="shared" si="330"/>
        <v>0</v>
      </c>
      <c r="DM52" s="135">
        <f t="shared" si="330"/>
        <v>0</v>
      </c>
      <c r="DN52" s="549" t="s">
        <v>109</v>
      </c>
      <c r="DO52" s="550"/>
      <c r="DQ52" s="561"/>
      <c r="DR52" s="134" t="s">
        <v>38</v>
      </c>
      <c r="DS52" s="135">
        <f>DM4*0.2</f>
        <v>0</v>
      </c>
      <c r="DT52" s="135">
        <f t="shared" ref="DT52:ED52" si="331">DS4*0.2</f>
        <v>0</v>
      </c>
      <c r="DU52" s="135">
        <f t="shared" si="331"/>
        <v>0</v>
      </c>
      <c r="DV52" s="135">
        <f t="shared" si="331"/>
        <v>0</v>
      </c>
      <c r="DW52" s="135">
        <f t="shared" si="331"/>
        <v>0</v>
      </c>
      <c r="DX52" s="135">
        <f t="shared" si="331"/>
        <v>0</v>
      </c>
      <c r="DY52" s="135">
        <f t="shared" si="331"/>
        <v>0</v>
      </c>
      <c r="DZ52" s="135">
        <f t="shared" si="331"/>
        <v>0</v>
      </c>
      <c r="EA52" s="135">
        <f t="shared" si="331"/>
        <v>0</v>
      </c>
      <c r="EB52" s="135">
        <f t="shared" si="331"/>
        <v>0</v>
      </c>
      <c r="EC52" s="135">
        <f t="shared" si="331"/>
        <v>0</v>
      </c>
      <c r="ED52" s="135">
        <f t="shared" si="331"/>
        <v>0</v>
      </c>
      <c r="EE52" s="549" t="s">
        <v>117</v>
      </c>
      <c r="EF52" s="550"/>
      <c r="EH52" s="561"/>
      <c r="EI52" s="134" t="s">
        <v>38</v>
      </c>
      <c r="EJ52" s="135">
        <f>ED4*0.2</f>
        <v>0</v>
      </c>
      <c r="EK52" s="135">
        <f t="shared" ref="EK52:EU52" si="332">EJ4*0.2</f>
        <v>0</v>
      </c>
      <c r="EL52" s="135">
        <f t="shared" si="332"/>
        <v>0</v>
      </c>
      <c r="EM52" s="135">
        <f t="shared" si="332"/>
        <v>0</v>
      </c>
      <c r="EN52" s="135">
        <f t="shared" si="332"/>
        <v>0</v>
      </c>
      <c r="EO52" s="135">
        <f t="shared" si="332"/>
        <v>0</v>
      </c>
      <c r="EP52" s="135">
        <f t="shared" si="332"/>
        <v>0</v>
      </c>
      <c r="EQ52" s="135">
        <f t="shared" si="332"/>
        <v>0</v>
      </c>
      <c r="ER52" s="135">
        <f t="shared" si="332"/>
        <v>0</v>
      </c>
      <c r="ES52" s="135">
        <f t="shared" si="332"/>
        <v>0</v>
      </c>
      <c r="ET52" s="135">
        <f t="shared" si="332"/>
        <v>0</v>
      </c>
      <c r="EU52" s="135">
        <f t="shared" si="332"/>
        <v>0</v>
      </c>
      <c r="EV52" s="549" t="s">
        <v>118</v>
      </c>
      <c r="EW52" s="550"/>
      <c r="EY52" s="561"/>
      <c r="EZ52" s="134" t="s">
        <v>38</v>
      </c>
      <c r="FA52" s="135">
        <f>EU4*0.2</f>
        <v>0</v>
      </c>
      <c r="FB52" s="135">
        <f t="shared" ref="FB52:FL52" si="333">FA4*0.2</f>
        <v>0</v>
      </c>
      <c r="FC52" s="135">
        <f t="shared" si="333"/>
        <v>0</v>
      </c>
      <c r="FD52" s="135">
        <f t="shared" si="333"/>
        <v>0</v>
      </c>
      <c r="FE52" s="135">
        <f t="shared" si="333"/>
        <v>0</v>
      </c>
      <c r="FF52" s="135">
        <f t="shared" si="333"/>
        <v>0</v>
      </c>
      <c r="FG52" s="135">
        <f t="shared" si="333"/>
        <v>0</v>
      </c>
      <c r="FH52" s="135">
        <f t="shared" si="333"/>
        <v>0</v>
      </c>
      <c r="FI52" s="135">
        <f t="shared" si="333"/>
        <v>0</v>
      </c>
      <c r="FJ52" s="135">
        <f t="shared" si="333"/>
        <v>0</v>
      </c>
      <c r="FK52" s="135">
        <f t="shared" si="333"/>
        <v>0</v>
      </c>
      <c r="FL52" s="135">
        <f t="shared" si="333"/>
        <v>0</v>
      </c>
      <c r="FM52" s="549" t="s">
        <v>119</v>
      </c>
      <c r="FN52" s="550"/>
    </row>
    <row r="53" spans="2:170" s="159" customFormat="1" ht="8.25" customHeight="1">
      <c r="B53" s="561"/>
      <c r="C53" s="134" t="s">
        <v>512</v>
      </c>
      <c r="D53" s="135"/>
      <c r="E53" s="135">
        <f>E15</f>
        <v>0</v>
      </c>
      <c r="F53" s="135">
        <f t="shared" ref="F53:O53" si="334">F15</f>
        <v>0</v>
      </c>
      <c r="G53" s="135">
        <f t="shared" si="334"/>
        <v>0</v>
      </c>
      <c r="H53" s="135">
        <f t="shared" si="334"/>
        <v>0</v>
      </c>
      <c r="I53" s="135">
        <f t="shared" si="334"/>
        <v>0</v>
      </c>
      <c r="J53" s="135">
        <f t="shared" si="334"/>
        <v>0</v>
      </c>
      <c r="K53" s="135">
        <f t="shared" si="334"/>
        <v>0</v>
      </c>
      <c r="L53" s="135">
        <f t="shared" si="334"/>
        <v>0</v>
      </c>
      <c r="M53" s="135">
        <f t="shared" si="334"/>
        <v>0</v>
      </c>
      <c r="N53" s="135">
        <f t="shared" si="334"/>
        <v>100000</v>
      </c>
      <c r="O53" s="135">
        <f t="shared" si="334"/>
        <v>0</v>
      </c>
      <c r="P53" s="549" t="s">
        <v>525</v>
      </c>
      <c r="Q53" s="550"/>
      <c r="R53" s="531"/>
      <c r="S53" s="561"/>
      <c r="T53" s="134" t="str">
        <f t="shared" si="311"/>
        <v>会費等収入</v>
      </c>
      <c r="U53" s="135">
        <f>U15</f>
        <v>0</v>
      </c>
      <c r="V53" s="135">
        <f t="shared" ref="V53:AF53" si="335">V15</f>
        <v>0</v>
      </c>
      <c r="W53" s="135">
        <f t="shared" si="335"/>
        <v>0</v>
      </c>
      <c r="X53" s="135">
        <f t="shared" si="335"/>
        <v>0</v>
      </c>
      <c r="Y53" s="135">
        <f t="shared" si="335"/>
        <v>0</v>
      </c>
      <c r="Z53" s="135">
        <f t="shared" si="335"/>
        <v>0</v>
      </c>
      <c r="AA53" s="135">
        <f t="shared" si="335"/>
        <v>0</v>
      </c>
      <c r="AB53" s="135">
        <f t="shared" si="335"/>
        <v>0</v>
      </c>
      <c r="AC53" s="135">
        <f t="shared" si="335"/>
        <v>0</v>
      </c>
      <c r="AD53" s="135">
        <f t="shared" si="335"/>
        <v>0</v>
      </c>
      <c r="AE53" s="135">
        <f t="shared" si="335"/>
        <v>0</v>
      </c>
      <c r="AF53" s="135">
        <f t="shared" si="335"/>
        <v>0</v>
      </c>
      <c r="AG53" s="549" t="s">
        <v>39</v>
      </c>
      <c r="AH53" s="550"/>
      <c r="AJ53" s="561"/>
      <c r="AK53" s="134" t="str">
        <f t="shared" si="314"/>
        <v>会費等収入</v>
      </c>
      <c r="AL53" s="135">
        <f>AL15</f>
        <v>0</v>
      </c>
      <c r="AM53" s="135">
        <f t="shared" ref="AM53:AW53" si="336">AM15</f>
        <v>0</v>
      </c>
      <c r="AN53" s="135">
        <f t="shared" si="336"/>
        <v>0</v>
      </c>
      <c r="AO53" s="135">
        <f t="shared" si="336"/>
        <v>0</v>
      </c>
      <c r="AP53" s="135">
        <f t="shared" si="336"/>
        <v>0</v>
      </c>
      <c r="AQ53" s="135">
        <f t="shared" si="336"/>
        <v>0</v>
      </c>
      <c r="AR53" s="135">
        <f t="shared" si="336"/>
        <v>0</v>
      </c>
      <c r="AS53" s="135">
        <f t="shared" si="336"/>
        <v>0</v>
      </c>
      <c r="AT53" s="135">
        <f t="shared" si="336"/>
        <v>0</v>
      </c>
      <c r="AU53" s="135">
        <f t="shared" si="336"/>
        <v>0</v>
      </c>
      <c r="AV53" s="135">
        <f t="shared" si="336"/>
        <v>0</v>
      </c>
      <c r="AW53" s="135">
        <f t="shared" si="336"/>
        <v>0</v>
      </c>
      <c r="AX53" s="549" t="s">
        <v>39</v>
      </c>
      <c r="AY53" s="550"/>
      <c r="BA53" s="561"/>
      <c r="BB53" s="134" t="s">
        <v>16</v>
      </c>
      <c r="BC53" s="135">
        <f>AW9</f>
        <v>60000</v>
      </c>
      <c r="BD53" s="135">
        <f t="shared" ref="BD53:BN53" si="337">BC9</f>
        <v>0</v>
      </c>
      <c r="BE53" s="135">
        <f t="shared" si="337"/>
        <v>0</v>
      </c>
      <c r="BF53" s="135">
        <f t="shared" si="337"/>
        <v>0</v>
      </c>
      <c r="BG53" s="135">
        <f t="shared" si="337"/>
        <v>0</v>
      </c>
      <c r="BH53" s="135">
        <f t="shared" si="337"/>
        <v>0</v>
      </c>
      <c r="BI53" s="135">
        <f t="shared" si="337"/>
        <v>0</v>
      </c>
      <c r="BJ53" s="135">
        <f t="shared" si="337"/>
        <v>0</v>
      </c>
      <c r="BK53" s="135">
        <f t="shared" si="337"/>
        <v>0</v>
      </c>
      <c r="BL53" s="135">
        <f t="shared" si="337"/>
        <v>0</v>
      </c>
      <c r="BM53" s="135">
        <f t="shared" si="337"/>
        <v>0</v>
      </c>
      <c r="BN53" s="135">
        <f t="shared" si="337"/>
        <v>0</v>
      </c>
      <c r="BO53" s="549" t="s">
        <v>39</v>
      </c>
      <c r="BP53" s="550"/>
      <c r="BR53" s="561"/>
      <c r="BS53" s="134" t="s">
        <v>16</v>
      </c>
      <c r="BT53" s="135">
        <f>BN9</f>
        <v>0</v>
      </c>
      <c r="BU53" s="135">
        <f t="shared" ref="BU53:CE53" si="338">BT9</f>
        <v>0</v>
      </c>
      <c r="BV53" s="135">
        <f t="shared" si="338"/>
        <v>0</v>
      </c>
      <c r="BW53" s="135">
        <f t="shared" si="338"/>
        <v>0</v>
      </c>
      <c r="BX53" s="135">
        <f t="shared" si="338"/>
        <v>0</v>
      </c>
      <c r="BY53" s="135">
        <f t="shared" si="338"/>
        <v>0</v>
      </c>
      <c r="BZ53" s="135">
        <f t="shared" si="338"/>
        <v>0</v>
      </c>
      <c r="CA53" s="135">
        <f t="shared" si="338"/>
        <v>0</v>
      </c>
      <c r="CB53" s="135">
        <f t="shared" si="338"/>
        <v>0</v>
      </c>
      <c r="CC53" s="135">
        <f t="shared" si="338"/>
        <v>0</v>
      </c>
      <c r="CD53" s="135">
        <f t="shared" si="338"/>
        <v>0</v>
      </c>
      <c r="CE53" s="135">
        <f t="shared" si="338"/>
        <v>0</v>
      </c>
      <c r="CF53" s="549" t="s">
        <v>39</v>
      </c>
      <c r="CG53" s="550"/>
      <c r="CI53" s="561"/>
      <c r="CJ53" s="134" t="s">
        <v>16</v>
      </c>
      <c r="CK53" s="135">
        <f>CE9</f>
        <v>0</v>
      </c>
      <c r="CL53" s="135">
        <f t="shared" ref="CL53:CV53" si="339">CK9</f>
        <v>0</v>
      </c>
      <c r="CM53" s="135">
        <f t="shared" si="339"/>
        <v>0</v>
      </c>
      <c r="CN53" s="135">
        <f t="shared" si="339"/>
        <v>0</v>
      </c>
      <c r="CO53" s="135">
        <f t="shared" si="339"/>
        <v>0</v>
      </c>
      <c r="CP53" s="135">
        <f t="shared" si="339"/>
        <v>0</v>
      </c>
      <c r="CQ53" s="135">
        <f t="shared" si="339"/>
        <v>0</v>
      </c>
      <c r="CR53" s="135">
        <f t="shared" si="339"/>
        <v>0</v>
      </c>
      <c r="CS53" s="135">
        <f t="shared" si="339"/>
        <v>0</v>
      </c>
      <c r="CT53" s="135">
        <f t="shared" si="339"/>
        <v>0</v>
      </c>
      <c r="CU53" s="135">
        <f t="shared" si="339"/>
        <v>0</v>
      </c>
      <c r="CV53" s="135">
        <f t="shared" si="339"/>
        <v>0</v>
      </c>
      <c r="CW53" s="549" t="s">
        <v>39</v>
      </c>
      <c r="CX53" s="550"/>
      <c r="CZ53" s="561"/>
      <c r="DA53" s="134" t="s">
        <v>16</v>
      </c>
      <c r="DB53" s="135">
        <f>CV9</f>
        <v>0</v>
      </c>
      <c r="DC53" s="135">
        <f t="shared" ref="DC53:DM53" si="340">DB9</f>
        <v>0</v>
      </c>
      <c r="DD53" s="135">
        <f t="shared" si="340"/>
        <v>0</v>
      </c>
      <c r="DE53" s="135">
        <f t="shared" si="340"/>
        <v>0</v>
      </c>
      <c r="DF53" s="135">
        <f t="shared" si="340"/>
        <v>0</v>
      </c>
      <c r="DG53" s="135">
        <f t="shared" si="340"/>
        <v>0</v>
      </c>
      <c r="DH53" s="135">
        <f t="shared" si="340"/>
        <v>0</v>
      </c>
      <c r="DI53" s="135">
        <f t="shared" si="340"/>
        <v>0</v>
      </c>
      <c r="DJ53" s="135">
        <f t="shared" si="340"/>
        <v>0</v>
      </c>
      <c r="DK53" s="135">
        <f t="shared" si="340"/>
        <v>0</v>
      </c>
      <c r="DL53" s="135">
        <f t="shared" si="340"/>
        <v>0</v>
      </c>
      <c r="DM53" s="135">
        <f t="shared" si="340"/>
        <v>0</v>
      </c>
      <c r="DN53" s="549" t="s">
        <v>39</v>
      </c>
      <c r="DO53" s="550"/>
      <c r="DQ53" s="561"/>
      <c r="DR53" s="134" t="s">
        <v>16</v>
      </c>
      <c r="DS53" s="135">
        <f>DM9</f>
        <v>0</v>
      </c>
      <c r="DT53" s="135">
        <f t="shared" ref="DT53:ED53" si="341">DS9</f>
        <v>0</v>
      </c>
      <c r="DU53" s="135">
        <f t="shared" si="341"/>
        <v>0</v>
      </c>
      <c r="DV53" s="135">
        <f t="shared" si="341"/>
        <v>0</v>
      </c>
      <c r="DW53" s="135">
        <f t="shared" si="341"/>
        <v>0</v>
      </c>
      <c r="DX53" s="135">
        <f t="shared" si="341"/>
        <v>0</v>
      </c>
      <c r="DY53" s="135">
        <f t="shared" si="341"/>
        <v>0</v>
      </c>
      <c r="DZ53" s="135">
        <f t="shared" si="341"/>
        <v>0</v>
      </c>
      <c r="EA53" s="135">
        <f t="shared" si="341"/>
        <v>0</v>
      </c>
      <c r="EB53" s="135">
        <f t="shared" si="341"/>
        <v>0</v>
      </c>
      <c r="EC53" s="135">
        <f t="shared" si="341"/>
        <v>0</v>
      </c>
      <c r="ED53" s="135">
        <f t="shared" si="341"/>
        <v>0</v>
      </c>
      <c r="EE53" s="549" t="s">
        <v>39</v>
      </c>
      <c r="EF53" s="550"/>
      <c r="EH53" s="561"/>
      <c r="EI53" s="134" t="s">
        <v>16</v>
      </c>
      <c r="EJ53" s="135">
        <f>ED9</f>
        <v>0</v>
      </c>
      <c r="EK53" s="135">
        <f t="shared" ref="EK53:EU53" si="342">EJ9</f>
        <v>0</v>
      </c>
      <c r="EL53" s="135">
        <f t="shared" si="342"/>
        <v>0</v>
      </c>
      <c r="EM53" s="135">
        <f t="shared" si="342"/>
        <v>0</v>
      </c>
      <c r="EN53" s="135">
        <f t="shared" si="342"/>
        <v>0</v>
      </c>
      <c r="EO53" s="135">
        <f t="shared" si="342"/>
        <v>0</v>
      </c>
      <c r="EP53" s="135">
        <f t="shared" si="342"/>
        <v>0</v>
      </c>
      <c r="EQ53" s="135">
        <f t="shared" si="342"/>
        <v>0</v>
      </c>
      <c r="ER53" s="135">
        <f t="shared" si="342"/>
        <v>0</v>
      </c>
      <c r="ES53" s="135">
        <f t="shared" si="342"/>
        <v>0</v>
      </c>
      <c r="ET53" s="135">
        <f t="shared" si="342"/>
        <v>0</v>
      </c>
      <c r="EU53" s="135">
        <f t="shared" si="342"/>
        <v>0</v>
      </c>
      <c r="EV53" s="549" t="s">
        <v>39</v>
      </c>
      <c r="EW53" s="550"/>
      <c r="EY53" s="561"/>
      <c r="EZ53" s="134" t="s">
        <v>16</v>
      </c>
      <c r="FA53" s="135">
        <f>EU9</f>
        <v>0</v>
      </c>
      <c r="FB53" s="135">
        <f t="shared" ref="FB53:FL53" si="343">FA9</f>
        <v>0</v>
      </c>
      <c r="FC53" s="135">
        <f t="shared" si="343"/>
        <v>0</v>
      </c>
      <c r="FD53" s="135">
        <f t="shared" si="343"/>
        <v>0</v>
      </c>
      <c r="FE53" s="135">
        <f t="shared" si="343"/>
        <v>0</v>
      </c>
      <c r="FF53" s="135">
        <f t="shared" si="343"/>
        <v>0</v>
      </c>
      <c r="FG53" s="135">
        <f t="shared" si="343"/>
        <v>0</v>
      </c>
      <c r="FH53" s="135">
        <f t="shared" si="343"/>
        <v>0</v>
      </c>
      <c r="FI53" s="135">
        <f t="shared" si="343"/>
        <v>0</v>
      </c>
      <c r="FJ53" s="135">
        <f t="shared" si="343"/>
        <v>0</v>
      </c>
      <c r="FK53" s="135">
        <f t="shared" si="343"/>
        <v>0</v>
      </c>
      <c r="FL53" s="135">
        <f t="shared" si="343"/>
        <v>0</v>
      </c>
      <c r="FM53" s="549" t="s">
        <v>39</v>
      </c>
      <c r="FN53" s="550"/>
    </row>
    <row r="54" spans="2:170" s="159" customFormat="1" ht="8.25" customHeight="1">
      <c r="B54" s="561"/>
      <c r="C54" s="134" t="s">
        <v>1</v>
      </c>
      <c r="D54" s="135"/>
      <c r="E54" s="135">
        <f>D17</f>
        <v>0</v>
      </c>
      <c r="F54" s="135">
        <f t="shared" ref="F54:O54" si="344">E17</f>
        <v>0</v>
      </c>
      <c r="G54" s="135">
        <f t="shared" si="344"/>
        <v>0</v>
      </c>
      <c r="H54" s="135">
        <f t="shared" si="344"/>
        <v>0</v>
      </c>
      <c r="I54" s="135">
        <f t="shared" si="344"/>
        <v>0</v>
      </c>
      <c r="J54" s="135">
        <f t="shared" si="344"/>
        <v>0</v>
      </c>
      <c r="K54" s="135">
        <f t="shared" si="344"/>
        <v>0</v>
      </c>
      <c r="L54" s="135">
        <f t="shared" si="344"/>
        <v>0</v>
      </c>
      <c r="M54" s="135">
        <f t="shared" si="344"/>
        <v>0</v>
      </c>
      <c r="N54" s="135">
        <f t="shared" si="344"/>
        <v>0</v>
      </c>
      <c r="O54" s="135">
        <f t="shared" si="344"/>
        <v>0</v>
      </c>
      <c r="P54" s="549" t="s">
        <v>526</v>
      </c>
      <c r="Q54" s="550"/>
      <c r="R54" s="531"/>
      <c r="S54" s="561"/>
      <c r="T54" s="134" t="str">
        <f t="shared" si="311"/>
        <v>その他収入</v>
      </c>
      <c r="U54" s="135">
        <f>O17</f>
        <v>0</v>
      </c>
      <c r="V54" s="135">
        <f t="shared" ref="V54:W54" si="345">U17</f>
        <v>0</v>
      </c>
      <c r="W54" s="135">
        <f t="shared" si="345"/>
        <v>0</v>
      </c>
      <c r="X54" s="135"/>
      <c r="Y54" s="135"/>
      <c r="Z54" s="135"/>
      <c r="AA54" s="135"/>
      <c r="AB54" s="135"/>
      <c r="AC54" s="135"/>
      <c r="AD54" s="135"/>
      <c r="AE54" s="135"/>
      <c r="AF54" s="135"/>
      <c r="AG54" s="549" t="s">
        <v>39</v>
      </c>
      <c r="AH54" s="550"/>
      <c r="AJ54" s="561"/>
      <c r="AK54" s="134" t="str">
        <f t="shared" si="314"/>
        <v>その他収入</v>
      </c>
      <c r="AL54" s="135">
        <f>AF17</f>
        <v>0</v>
      </c>
      <c r="AM54" s="135">
        <f t="shared" ref="AM54:AN54" si="346">AL17</f>
        <v>0</v>
      </c>
      <c r="AN54" s="135">
        <f t="shared" si="346"/>
        <v>0</v>
      </c>
      <c r="AO54" s="135"/>
      <c r="AP54" s="135"/>
      <c r="AQ54" s="135"/>
      <c r="AR54" s="135"/>
      <c r="AS54" s="135"/>
      <c r="AT54" s="135"/>
      <c r="AU54" s="135"/>
      <c r="AV54" s="135"/>
      <c r="AW54" s="135"/>
      <c r="AX54" s="549" t="s">
        <v>39</v>
      </c>
      <c r="AY54" s="550"/>
      <c r="BA54" s="561"/>
      <c r="BB54" s="134" t="s">
        <v>41</v>
      </c>
      <c r="BC54" s="135"/>
      <c r="BD54" s="135"/>
      <c r="BE54" s="135"/>
      <c r="BF54" s="135"/>
      <c r="BG54" s="135"/>
      <c r="BH54" s="135"/>
      <c r="BI54" s="135"/>
      <c r="BJ54" s="135"/>
      <c r="BK54" s="135"/>
      <c r="BL54" s="135"/>
      <c r="BM54" s="135"/>
      <c r="BN54" s="135"/>
      <c r="BO54" s="549" t="s">
        <v>39</v>
      </c>
      <c r="BP54" s="550"/>
      <c r="BR54" s="561"/>
      <c r="BS54" s="134" t="s">
        <v>41</v>
      </c>
      <c r="BT54" s="135"/>
      <c r="BU54" s="135"/>
      <c r="BV54" s="135"/>
      <c r="BW54" s="135"/>
      <c r="BX54" s="135"/>
      <c r="BY54" s="135"/>
      <c r="BZ54" s="135"/>
      <c r="CA54" s="135"/>
      <c r="CB54" s="135"/>
      <c r="CC54" s="135"/>
      <c r="CD54" s="135"/>
      <c r="CE54" s="135"/>
      <c r="CF54" s="549" t="s">
        <v>39</v>
      </c>
      <c r="CG54" s="550"/>
      <c r="CI54" s="561"/>
      <c r="CJ54" s="134" t="s">
        <v>41</v>
      </c>
      <c r="CK54" s="135"/>
      <c r="CL54" s="135"/>
      <c r="CM54" s="135"/>
      <c r="CN54" s="135"/>
      <c r="CO54" s="135"/>
      <c r="CP54" s="135"/>
      <c r="CQ54" s="135"/>
      <c r="CR54" s="135"/>
      <c r="CS54" s="135"/>
      <c r="CT54" s="135"/>
      <c r="CU54" s="135"/>
      <c r="CV54" s="135"/>
      <c r="CW54" s="549" t="s">
        <v>39</v>
      </c>
      <c r="CX54" s="550"/>
      <c r="CZ54" s="561"/>
      <c r="DA54" s="134" t="s">
        <v>41</v>
      </c>
      <c r="DB54" s="135"/>
      <c r="DC54" s="135"/>
      <c r="DD54" s="135"/>
      <c r="DE54" s="135"/>
      <c r="DF54" s="135"/>
      <c r="DG54" s="135"/>
      <c r="DH54" s="135"/>
      <c r="DI54" s="135"/>
      <c r="DJ54" s="135"/>
      <c r="DK54" s="135"/>
      <c r="DL54" s="135"/>
      <c r="DM54" s="135"/>
      <c r="DN54" s="549" t="s">
        <v>39</v>
      </c>
      <c r="DO54" s="550"/>
      <c r="DQ54" s="561"/>
      <c r="DR54" s="134" t="s">
        <v>41</v>
      </c>
      <c r="DS54" s="135"/>
      <c r="DT54" s="135"/>
      <c r="DU54" s="135"/>
      <c r="DV54" s="135"/>
      <c r="DW54" s="135"/>
      <c r="DX54" s="135"/>
      <c r="DY54" s="135"/>
      <c r="DZ54" s="135"/>
      <c r="EA54" s="135"/>
      <c r="EB54" s="135"/>
      <c r="EC54" s="135"/>
      <c r="ED54" s="135"/>
      <c r="EE54" s="549" t="s">
        <v>39</v>
      </c>
      <c r="EF54" s="550"/>
      <c r="EH54" s="561"/>
      <c r="EI54" s="134" t="s">
        <v>41</v>
      </c>
      <c r="EJ54" s="135"/>
      <c r="EK54" s="135"/>
      <c r="EL54" s="135"/>
      <c r="EM54" s="135"/>
      <c r="EN54" s="135"/>
      <c r="EO54" s="135"/>
      <c r="EP54" s="135"/>
      <c r="EQ54" s="135"/>
      <c r="ER54" s="135"/>
      <c r="ES54" s="135"/>
      <c r="ET54" s="135"/>
      <c r="EU54" s="135"/>
      <c r="EV54" s="549" t="s">
        <v>39</v>
      </c>
      <c r="EW54" s="550"/>
      <c r="EY54" s="561"/>
      <c r="EZ54" s="134" t="s">
        <v>41</v>
      </c>
      <c r="FA54" s="135"/>
      <c r="FB54" s="135"/>
      <c r="FC54" s="135"/>
      <c r="FD54" s="135"/>
      <c r="FE54" s="135"/>
      <c r="FF54" s="135"/>
      <c r="FG54" s="135"/>
      <c r="FH54" s="135"/>
      <c r="FI54" s="135"/>
      <c r="FJ54" s="135"/>
      <c r="FK54" s="135"/>
      <c r="FL54" s="135"/>
      <c r="FM54" s="549" t="s">
        <v>39</v>
      </c>
      <c r="FN54" s="550"/>
    </row>
    <row r="55" spans="2:170" ht="11.25" customHeight="1">
      <c r="B55" s="543" t="s">
        <v>43</v>
      </c>
      <c r="C55" s="544"/>
      <c r="D55" s="137">
        <f>SUM(D56:D62)</f>
        <v>0</v>
      </c>
      <c r="E55" s="137">
        <f t="shared" ref="E55:O55" si="347">SUM(E56:E62)</f>
        <v>0</v>
      </c>
      <c r="F55" s="137">
        <f t="shared" si="347"/>
        <v>0</v>
      </c>
      <c r="G55" s="137">
        <f t="shared" si="347"/>
        <v>0</v>
      </c>
      <c r="H55" s="137">
        <f t="shared" si="347"/>
        <v>0</v>
      </c>
      <c r="I55" s="137">
        <f t="shared" si="347"/>
        <v>0</v>
      </c>
      <c r="J55" s="137">
        <f t="shared" si="347"/>
        <v>0</v>
      </c>
      <c r="K55" s="137">
        <f t="shared" si="347"/>
        <v>0</v>
      </c>
      <c r="L55" s="137">
        <f t="shared" si="347"/>
        <v>0</v>
      </c>
      <c r="M55" s="137">
        <f t="shared" si="347"/>
        <v>0</v>
      </c>
      <c r="N55" s="137">
        <f t="shared" si="347"/>
        <v>0</v>
      </c>
      <c r="O55" s="137">
        <f t="shared" si="347"/>
        <v>0</v>
      </c>
      <c r="P55" s="545"/>
      <c r="Q55" s="546"/>
      <c r="R55" s="531"/>
      <c r="S55" s="543" t="s">
        <v>43</v>
      </c>
      <c r="T55" s="544"/>
      <c r="U55" s="137">
        <f>SUM(U56:U62)</f>
        <v>55000</v>
      </c>
      <c r="V55" s="137">
        <f t="shared" ref="V55:AF55" si="348">SUM(V56:V62)</f>
        <v>580172.1</v>
      </c>
      <c r="W55" s="137">
        <f t="shared" si="348"/>
        <v>583172.1</v>
      </c>
      <c r="X55" s="137">
        <f t="shared" si="348"/>
        <v>703172.1</v>
      </c>
      <c r="Y55" s="137">
        <f t="shared" si="348"/>
        <v>897818.8</v>
      </c>
      <c r="Z55" s="137">
        <f t="shared" si="348"/>
        <v>899818.8</v>
      </c>
      <c r="AA55" s="137">
        <f t="shared" si="348"/>
        <v>965818.8</v>
      </c>
      <c r="AB55" s="137">
        <f t="shared" si="348"/>
        <v>967818.8</v>
      </c>
      <c r="AC55" s="137">
        <f t="shared" si="348"/>
        <v>983818.8</v>
      </c>
      <c r="AD55" s="137">
        <f t="shared" si="348"/>
        <v>985818.8</v>
      </c>
      <c r="AE55" s="137">
        <f t="shared" si="348"/>
        <v>1001818.8</v>
      </c>
      <c r="AF55" s="137">
        <f t="shared" si="348"/>
        <v>1003818.8</v>
      </c>
      <c r="AG55" s="545"/>
      <c r="AH55" s="546"/>
      <c r="AJ55" s="543" t="s">
        <v>43</v>
      </c>
      <c r="AK55" s="544"/>
      <c r="AL55" s="137">
        <f>SUM(AL56:AL62)</f>
        <v>962818.8</v>
      </c>
      <c r="AM55" s="137">
        <f t="shared" ref="AM55:AW55" si="349">SUM(AM56:AM62)</f>
        <v>878818.8</v>
      </c>
      <c r="AN55" s="137">
        <f t="shared" si="349"/>
        <v>889818.8</v>
      </c>
      <c r="AO55" s="137">
        <f t="shared" si="349"/>
        <v>891818.8</v>
      </c>
      <c r="AP55" s="137">
        <f t="shared" si="349"/>
        <v>907818.8</v>
      </c>
      <c r="AQ55" s="137">
        <f t="shared" si="349"/>
        <v>909818.8</v>
      </c>
      <c r="AR55" s="137">
        <f t="shared" si="349"/>
        <v>925818.8</v>
      </c>
      <c r="AS55" s="137">
        <f t="shared" si="349"/>
        <v>927818.8</v>
      </c>
      <c r="AT55" s="137">
        <f t="shared" si="349"/>
        <v>943818.8</v>
      </c>
      <c r="AU55" s="137">
        <f t="shared" si="349"/>
        <v>945818.8</v>
      </c>
      <c r="AV55" s="137">
        <f t="shared" si="349"/>
        <v>961818.8</v>
      </c>
      <c r="AW55" s="137">
        <f t="shared" si="349"/>
        <v>963818.8</v>
      </c>
      <c r="AX55" s="545"/>
      <c r="AY55" s="546"/>
      <c r="BA55" s="543" t="s">
        <v>43</v>
      </c>
      <c r="BB55" s="544"/>
      <c r="BC55" s="137">
        <f t="shared" ref="BC55:BN55" si="350">SUM(BC56:BC62)</f>
        <v>276000</v>
      </c>
      <c r="BD55" s="137">
        <f t="shared" si="350"/>
        <v>31580</v>
      </c>
      <c r="BE55" s="137">
        <f t="shared" si="350"/>
        <v>31580</v>
      </c>
      <c r="BF55" s="137">
        <f t="shared" si="350"/>
        <v>31580</v>
      </c>
      <c r="BG55" s="137">
        <f t="shared" si="350"/>
        <v>31580</v>
      </c>
      <c r="BH55" s="137">
        <f t="shared" si="350"/>
        <v>31580</v>
      </c>
      <c r="BI55" s="137">
        <f t="shared" si="350"/>
        <v>31000</v>
      </c>
      <c r="BJ55" s="137">
        <f t="shared" si="350"/>
        <v>31580</v>
      </c>
      <c r="BK55" s="137">
        <f t="shared" si="350"/>
        <v>32160</v>
      </c>
      <c r="BL55" s="137">
        <f t="shared" si="350"/>
        <v>32160</v>
      </c>
      <c r="BM55" s="137">
        <f t="shared" si="350"/>
        <v>32160</v>
      </c>
      <c r="BN55" s="137">
        <f t="shared" si="350"/>
        <v>32160</v>
      </c>
      <c r="BO55" s="545"/>
      <c r="BP55" s="546"/>
      <c r="BR55" s="543" t="s">
        <v>43</v>
      </c>
      <c r="BS55" s="544"/>
      <c r="BT55" s="137">
        <f>SUM(BT56:BT62)</f>
        <v>32160</v>
      </c>
      <c r="BU55" s="137">
        <f t="shared" ref="BU55:CE55" si="351">SUM(BU56:BU62)</f>
        <v>32660</v>
      </c>
      <c r="BV55" s="137">
        <f t="shared" si="351"/>
        <v>32660</v>
      </c>
      <c r="BW55" s="137">
        <f t="shared" si="351"/>
        <v>32660</v>
      </c>
      <c r="BX55" s="137">
        <f t="shared" si="351"/>
        <v>32660</v>
      </c>
      <c r="BY55" s="137">
        <f t="shared" si="351"/>
        <v>32660</v>
      </c>
      <c r="BZ55" s="137">
        <f t="shared" si="351"/>
        <v>32080</v>
      </c>
      <c r="CA55" s="137">
        <f t="shared" si="351"/>
        <v>32660</v>
      </c>
      <c r="CB55" s="137">
        <f t="shared" si="351"/>
        <v>33240</v>
      </c>
      <c r="CC55" s="137">
        <f t="shared" si="351"/>
        <v>33240</v>
      </c>
      <c r="CD55" s="137">
        <f t="shared" si="351"/>
        <v>33240</v>
      </c>
      <c r="CE55" s="137">
        <f t="shared" si="351"/>
        <v>33240</v>
      </c>
      <c r="CF55" s="545"/>
      <c r="CG55" s="546"/>
      <c r="CI55" s="543" t="s">
        <v>43</v>
      </c>
      <c r="CJ55" s="544"/>
      <c r="CK55" s="137">
        <f t="shared" ref="CK55:CV55" si="352">SUM(CK56:CK62)</f>
        <v>33240</v>
      </c>
      <c r="CL55" s="137">
        <f t="shared" si="352"/>
        <v>27548</v>
      </c>
      <c r="CM55" s="137">
        <f t="shared" si="352"/>
        <v>27548</v>
      </c>
      <c r="CN55" s="137">
        <f t="shared" si="352"/>
        <v>27548</v>
      </c>
      <c r="CO55" s="137">
        <f t="shared" si="352"/>
        <v>27548</v>
      </c>
      <c r="CP55" s="137">
        <f t="shared" si="352"/>
        <v>27548</v>
      </c>
      <c r="CQ55" s="137">
        <f t="shared" si="352"/>
        <v>27548</v>
      </c>
      <c r="CR55" s="137">
        <f t="shared" si="352"/>
        <v>30680</v>
      </c>
      <c r="CS55" s="137">
        <f t="shared" si="352"/>
        <v>30680</v>
      </c>
      <c r="CT55" s="137">
        <f t="shared" si="352"/>
        <v>30680</v>
      </c>
      <c r="CU55" s="137">
        <f t="shared" si="352"/>
        <v>30680</v>
      </c>
      <c r="CV55" s="137" t="e">
        <f t="shared" si="352"/>
        <v>#REF!</v>
      </c>
      <c r="CW55" s="545"/>
      <c r="CX55" s="546"/>
      <c r="CZ55" s="543" t="s">
        <v>43</v>
      </c>
      <c r="DA55" s="544"/>
      <c r="DB55" s="137" t="e">
        <f t="shared" ref="DB55:DM55" si="353">SUM(DB56:DB62)</f>
        <v>#REF!</v>
      </c>
      <c r="DC55" s="137">
        <f t="shared" si="353"/>
        <v>32826</v>
      </c>
      <c r="DD55" s="137">
        <f t="shared" si="353"/>
        <v>32826</v>
      </c>
      <c r="DE55" s="137">
        <f t="shared" si="353"/>
        <v>32826</v>
      </c>
      <c r="DF55" s="137">
        <f t="shared" si="353"/>
        <v>32826</v>
      </c>
      <c r="DG55" s="137">
        <f t="shared" si="353"/>
        <v>32826</v>
      </c>
      <c r="DH55" s="137">
        <f t="shared" si="353"/>
        <v>32826</v>
      </c>
      <c r="DI55" s="137">
        <f t="shared" si="353"/>
        <v>34892</v>
      </c>
      <c r="DJ55" s="137">
        <f t="shared" si="353"/>
        <v>34892</v>
      </c>
      <c r="DK55" s="137">
        <f t="shared" si="353"/>
        <v>34892</v>
      </c>
      <c r="DL55" s="137">
        <f t="shared" si="353"/>
        <v>34892</v>
      </c>
      <c r="DM55" s="137" t="e">
        <f t="shared" si="353"/>
        <v>#REF!</v>
      </c>
      <c r="DN55" s="545"/>
      <c r="DO55" s="546"/>
      <c r="DQ55" s="543" t="s">
        <v>43</v>
      </c>
      <c r="DR55" s="544"/>
      <c r="DS55" s="137" t="e">
        <f t="shared" ref="DS55:ED55" si="354">SUM(DS56:DS62)</f>
        <v>#REF!</v>
      </c>
      <c r="DT55" s="137">
        <f t="shared" si="354"/>
        <v>37038</v>
      </c>
      <c r="DU55" s="137">
        <f t="shared" si="354"/>
        <v>37038</v>
      </c>
      <c r="DV55" s="137">
        <f t="shared" si="354"/>
        <v>37038</v>
      </c>
      <c r="DW55" s="137">
        <f t="shared" si="354"/>
        <v>37038</v>
      </c>
      <c r="DX55" s="137">
        <f t="shared" si="354"/>
        <v>40170</v>
      </c>
      <c r="DY55" s="137">
        <f t="shared" si="354"/>
        <v>42236</v>
      </c>
      <c r="DZ55" s="137">
        <f t="shared" si="354"/>
        <v>42236</v>
      </c>
      <c r="EA55" s="137">
        <f t="shared" si="354"/>
        <v>42236</v>
      </c>
      <c r="EB55" s="137">
        <f t="shared" si="354"/>
        <v>42236</v>
      </c>
      <c r="EC55" s="137">
        <f t="shared" si="354"/>
        <v>42236</v>
      </c>
      <c r="ED55" s="137" t="e">
        <f t="shared" si="354"/>
        <v>#REF!</v>
      </c>
      <c r="EE55" s="545"/>
      <c r="EF55" s="546"/>
      <c r="EH55" s="543" t="s">
        <v>43</v>
      </c>
      <c r="EI55" s="544"/>
      <c r="EJ55" s="137" t="e">
        <f t="shared" ref="EJ55:EU55" si="355">SUM(EJ56:EJ62)</f>
        <v>#REF!</v>
      </c>
      <c r="EK55" s="137">
        <f t="shared" si="355"/>
        <v>43316</v>
      </c>
      <c r="EL55" s="137">
        <f t="shared" si="355"/>
        <v>43316</v>
      </c>
      <c r="EM55" s="137">
        <f t="shared" si="355"/>
        <v>43316</v>
      </c>
      <c r="EN55" s="137">
        <f t="shared" si="355"/>
        <v>43316</v>
      </c>
      <c r="EO55" s="137">
        <f t="shared" si="355"/>
        <v>43316</v>
      </c>
      <c r="EP55" s="137">
        <f t="shared" si="355"/>
        <v>46448</v>
      </c>
      <c r="EQ55" s="137">
        <f t="shared" si="355"/>
        <v>46448</v>
      </c>
      <c r="ER55" s="137">
        <f t="shared" si="355"/>
        <v>46448</v>
      </c>
      <c r="ES55" s="137">
        <f t="shared" si="355"/>
        <v>46448</v>
      </c>
      <c r="ET55" s="137">
        <f t="shared" si="355"/>
        <v>46448</v>
      </c>
      <c r="EU55" s="137" t="e">
        <f t="shared" si="355"/>
        <v>#REF!</v>
      </c>
      <c r="EV55" s="545"/>
      <c r="EW55" s="546"/>
      <c r="EY55" s="543" t="s">
        <v>43</v>
      </c>
      <c r="EZ55" s="544"/>
      <c r="FA55" s="137" t="e">
        <f t="shared" ref="FA55:FL55" si="356">SUM(FA56:FA62)</f>
        <v>#REF!</v>
      </c>
      <c r="FB55" s="137">
        <f t="shared" si="356"/>
        <v>54560</v>
      </c>
      <c r="FC55" s="137">
        <f t="shared" si="356"/>
        <v>54560</v>
      </c>
      <c r="FD55" s="137">
        <f t="shared" si="356"/>
        <v>54560</v>
      </c>
      <c r="FE55" s="137">
        <f t="shared" si="356"/>
        <v>54560</v>
      </c>
      <c r="FF55" s="137">
        <f t="shared" si="356"/>
        <v>54560</v>
      </c>
      <c r="FG55" s="137">
        <f t="shared" si="356"/>
        <v>54560</v>
      </c>
      <c r="FH55" s="137">
        <f t="shared" si="356"/>
        <v>54560</v>
      </c>
      <c r="FI55" s="137">
        <f t="shared" si="356"/>
        <v>54560</v>
      </c>
      <c r="FJ55" s="137">
        <f t="shared" si="356"/>
        <v>54560</v>
      </c>
      <c r="FK55" s="137">
        <f t="shared" si="356"/>
        <v>54560</v>
      </c>
      <c r="FL55" s="137" t="e">
        <f t="shared" si="356"/>
        <v>#REF!</v>
      </c>
      <c r="FM55" s="545"/>
      <c r="FN55" s="546"/>
    </row>
    <row r="56" spans="2:170" s="159" customFormat="1" ht="8.25" customHeight="1">
      <c r="B56" s="548"/>
      <c r="C56" s="134" t="s">
        <v>513</v>
      </c>
      <c r="D56" s="135">
        <f>D25+D28+D29</f>
        <v>0</v>
      </c>
      <c r="E56" s="135">
        <f t="shared" ref="E56:O56" si="357">E25+E28+E29</f>
        <v>0</v>
      </c>
      <c r="F56" s="135">
        <f t="shared" si="357"/>
        <v>0</v>
      </c>
      <c r="G56" s="135">
        <f t="shared" si="357"/>
        <v>0</v>
      </c>
      <c r="H56" s="135">
        <f t="shared" si="357"/>
        <v>0</v>
      </c>
      <c r="I56" s="135">
        <f t="shared" si="357"/>
        <v>0</v>
      </c>
      <c r="J56" s="135">
        <f t="shared" si="357"/>
        <v>0</v>
      </c>
      <c r="K56" s="135">
        <f t="shared" si="357"/>
        <v>0</v>
      </c>
      <c r="L56" s="135">
        <f t="shared" si="357"/>
        <v>0</v>
      </c>
      <c r="M56" s="135">
        <f t="shared" si="357"/>
        <v>0</v>
      </c>
      <c r="N56" s="135">
        <f t="shared" si="357"/>
        <v>0</v>
      </c>
      <c r="O56" s="135">
        <f t="shared" si="357"/>
        <v>0</v>
      </c>
      <c r="P56" s="549" t="s">
        <v>516</v>
      </c>
      <c r="Q56" s="550"/>
      <c r="R56" s="531"/>
      <c r="S56" s="548"/>
      <c r="T56" s="134" t="str">
        <f t="shared" ref="T56:T62" si="358">IF(C56="","",C56)</f>
        <v>福祉サービス原価１</v>
      </c>
      <c r="U56" s="135">
        <f>U25+U28+U29</f>
        <v>55000</v>
      </c>
      <c r="V56" s="135">
        <f t="shared" ref="V56:AF56" si="359">V25+V28+V29</f>
        <v>57000</v>
      </c>
      <c r="W56" s="135">
        <f t="shared" si="359"/>
        <v>62000</v>
      </c>
      <c r="X56" s="135">
        <f t="shared" si="359"/>
        <v>94000</v>
      </c>
      <c r="Y56" s="135">
        <f t="shared" si="359"/>
        <v>94000</v>
      </c>
      <c r="Z56" s="135">
        <f t="shared" si="359"/>
        <v>96000</v>
      </c>
      <c r="AA56" s="135">
        <f t="shared" si="359"/>
        <v>96000</v>
      </c>
      <c r="AB56" s="135">
        <f t="shared" si="359"/>
        <v>98000</v>
      </c>
      <c r="AC56" s="135">
        <f t="shared" si="359"/>
        <v>98000</v>
      </c>
      <c r="AD56" s="135">
        <f t="shared" si="359"/>
        <v>100000</v>
      </c>
      <c r="AE56" s="135">
        <f t="shared" si="359"/>
        <v>100000</v>
      </c>
      <c r="AF56" s="135">
        <f t="shared" si="359"/>
        <v>102000</v>
      </c>
      <c r="AG56" s="549" t="s">
        <v>39</v>
      </c>
      <c r="AH56" s="550"/>
      <c r="AJ56" s="548"/>
      <c r="AK56" s="134" t="str">
        <f t="shared" ref="AK56:AK62" si="360">IF(T56="","",T56)</f>
        <v>福祉サービス原価１</v>
      </c>
      <c r="AL56" s="135">
        <f>AL25+AL28+AL29</f>
        <v>45000</v>
      </c>
      <c r="AM56" s="135">
        <f t="shared" ref="AM56:AW56" si="361">AM25+AM28+AM29</f>
        <v>47000</v>
      </c>
      <c r="AN56" s="135">
        <f t="shared" si="361"/>
        <v>52000</v>
      </c>
      <c r="AO56" s="135">
        <f t="shared" si="361"/>
        <v>54000</v>
      </c>
      <c r="AP56" s="135">
        <f t="shared" si="361"/>
        <v>54000</v>
      </c>
      <c r="AQ56" s="135">
        <f t="shared" si="361"/>
        <v>56000</v>
      </c>
      <c r="AR56" s="135">
        <f t="shared" si="361"/>
        <v>56000</v>
      </c>
      <c r="AS56" s="135">
        <f t="shared" si="361"/>
        <v>58000</v>
      </c>
      <c r="AT56" s="135">
        <f t="shared" si="361"/>
        <v>58000</v>
      </c>
      <c r="AU56" s="135">
        <f t="shared" si="361"/>
        <v>60000</v>
      </c>
      <c r="AV56" s="135">
        <f t="shared" si="361"/>
        <v>60000</v>
      </c>
      <c r="AW56" s="135">
        <f t="shared" si="361"/>
        <v>62000</v>
      </c>
      <c r="AX56" s="549" t="s">
        <v>39</v>
      </c>
      <c r="AY56" s="550"/>
      <c r="BA56" s="548"/>
      <c r="BB56" s="134" t="s">
        <v>44</v>
      </c>
      <c r="BC56" s="135">
        <f>AW19</f>
        <v>0</v>
      </c>
      <c r="BD56" s="135">
        <f t="shared" ref="BD56:BN56" si="362">BC19</f>
        <v>7250</v>
      </c>
      <c r="BE56" s="135">
        <f t="shared" si="362"/>
        <v>7250</v>
      </c>
      <c r="BF56" s="135">
        <f t="shared" si="362"/>
        <v>7250</v>
      </c>
      <c r="BG56" s="135">
        <f t="shared" si="362"/>
        <v>7250</v>
      </c>
      <c r="BH56" s="135">
        <f t="shared" si="362"/>
        <v>7250</v>
      </c>
      <c r="BI56" s="135">
        <f t="shared" si="362"/>
        <v>7000</v>
      </c>
      <c r="BJ56" s="135">
        <f t="shared" si="362"/>
        <v>7250</v>
      </c>
      <c r="BK56" s="135">
        <f t="shared" si="362"/>
        <v>7500</v>
      </c>
      <c r="BL56" s="135">
        <f t="shared" si="362"/>
        <v>7500</v>
      </c>
      <c r="BM56" s="135">
        <f t="shared" si="362"/>
        <v>7500</v>
      </c>
      <c r="BN56" s="135">
        <f t="shared" si="362"/>
        <v>7500</v>
      </c>
      <c r="BO56" s="549" t="s">
        <v>39</v>
      </c>
      <c r="BP56" s="550"/>
      <c r="BR56" s="548"/>
      <c r="BS56" s="134" t="s">
        <v>44</v>
      </c>
      <c r="BT56" s="135">
        <f>BN19</f>
        <v>7500</v>
      </c>
      <c r="BU56" s="135">
        <f t="shared" ref="BU56:CE56" si="363">BT19</f>
        <v>7250</v>
      </c>
      <c r="BV56" s="135">
        <f t="shared" si="363"/>
        <v>7250</v>
      </c>
      <c r="BW56" s="135">
        <f t="shared" si="363"/>
        <v>7250</v>
      </c>
      <c r="BX56" s="135">
        <f t="shared" si="363"/>
        <v>7250</v>
      </c>
      <c r="BY56" s="135">
        <f t="shared" si="363"/>
        <v>7250</v>
      </c>
      <c r="BZ56" s="135">
        <f t="shared" si="363"/>
        <v>7000</v>
      </c>
      <c r="CA56" s="135">
        <f t="shared" si="363"/>
        <v>7250</v>
      </c>
      <c r="CB56" s="135">
        <f t="shared" si="363"/>
        <v>7500</v>
      </c>
      <c r="CC56" s="135">
        <f t="shared" si="363"/>
        <v>7500</v>
      </c>
      <c r="CD56" s="135">
        <f t="shared" si="363"/>
        <v>7500</v>
      </c>
      <c r="CE56" s="135">
        <f t="shared" si="363"/>
        <v>7500</v>
      </c>
      <c r="CF56" s="549" t="s">
        <v>39</v>
      </c>
      <c r="CG56" s="550"/>
      <c r="CI56" s="548"/>
      <c r="CJ56" s="134" t="s">
        <v>44</v>
      </c>
      <c r="CK56" s="135">
        <f>CE19</f>
        <v>7500</v>
      </c>
      <c r="CL56" s="135">
        <f t="shared" ref="CL56:CV56" si="364">CK19</f>
        <v>0</v>
      </c>
      <c r="CM56" s="135">
        <f t="shared" si="364"/>
        <v>0</v>
      </c>
      <c r="CN56" s="135">
        <f t="shared" si="364"/>
        <v>0</v>
      </c>
      <c r="CO56" s="135">
        <f t="shared" si="364"/>
        <v>0</v>
      </c>
      <c r="CP56" s="135">
        <f t="shared" si="364"/>
        <v>0</v>
      </c>
      <c r="CQ56" s="135">
        <f t="shared" si="364"/>
        <v>0</v>
      </c>
      <c r="CR56" s="135">
        <f t="shared" si="364"/>
        <v>0</v>
      </c>
      <c r="CS56" s="135">
        <f t="shared" si="364"/>
        <v>0</v>
      </c>
      <c r="CT56" s="135">
        <f t="shared" si="364"/>
        <v>0</v>
      </c>
      <c r="CU56" s="135">
        <f t="shared" si="364"/>
        <v>0</v>
      </c>
      <c r="CV56" s="135">
        <f t="shared" si="364"/>
        <v>0</v>
      </c>
      <c r="CW56" s="549" t="s">
        <v>39</v>
      </c>
      <c r="CX56" s="550"/>
      <c r="CZ56" s="548"/>
      <c r="DA56" s="134" t="s">
        <v>44</v>
      </c>
      <c r="DB56" s="135">
        <f>CV19</f>
        <v>0</v>
      </c>
      <c r="DC56" s="135">
        <f t="shared" ref="DC56:DM56" si="365">DB19</f>
        <v>0</v>
      </c>
      <c r="DD56" s="135">
        <f t="shared" si="365"/>
        <v>0</v>
      </c>
      <c r="DE56" s="135">
        <f t="shared" si="365"/>
        <v>0</v>
      </c>
      <c r="DF56" s="135">
        <f t="shared" si="365"/>
        <v>0</v>
      </c>
      <c r="DG56" s="135">
        <f t="shared" si="365"/>
        <v>0</v>
      </c>
      <c r="DH56" s="135">
        <f t="shared" si="365"/>
        <v>0</v>
      </c>
      <c r="DI56" s="135">
        <f t="shared" si="365"/>
        <v>0</v>
      </c>
      <c r="DJ56" s="135">
        <f t="shared" si="365"/>
        <v>0</v>
      </c>
      <c r="DK56" s="135">
        <f t="shared" si="365"/>
        <v>0</v>
      </c>
      <c r="DL56" s="135">
        <f t="shared" si="365"/>
        <v>0</v>
      </c>
      <c r="DM56" s="135">
        <f t="shared" si="365"/>
        <v>0</v>
      </c>
      <c r="DN56" s="549" t="s">
        <v>39</v>
      </c>
      <c r="DO56" s="550"/>
      <c r="DQ56" s="548"/>
      <c r="DR56" s="134" t="s">
        <v>44</v>
      </c>
      <c r="DS56" s="135">
        <f>DM19</f>
        <v>0</v>
      </c>
      <c r="DT56" s="135">
        <f t="shared" ref="DT56:ED56" si="366">DS19</f>
        <v>0</v>
      </c>
      <c r="DU56" s="135">
        <f t="shared" si="366"/>
        <v>0</v>
      </c>
      <c r="DV56" s="135">
        <f t="shared" si="366"/>
        <v>0</v>
      </c>
      <c r="DW56" s="135">
        <f t="shared" si="366"/>
        <v>0</v>
      </c>
      <c r="DX56" s="135">
        <f t="shared" si="366"/>
        <v>0</v>
      </c>
      <c r="DY56" s="135">
        <f t="shared" si="366"/>
        <v>0</v>
      </c>
      <c r="DZ56" s="135">
        <f t="shared" si="366"/>
        <v>0</v>
      </c>
      <c r="EA56" s="135">
        <f t="shared" si="366"/>
        <v>0</v>
      </c>
      <c r="EB56" s="135">
        <f t="shared" si="366"/>
        <v>0</v>
      </c>
      <c r="EC56" s="135">
        <f t="shared" si="366"/>
        <v>0</v>
      </c>
      <c r="ED56" s="135">
        <f t="shared" si="366"/>
        <v>0</v>
      </c>
      <c r="EE56" s="549" t="s">
        <v>39</v>
      </c>
      <c r="EF56" s="550"/>
      <c r="EH56" s="548"/>
      <c r="EI56" s="134" t="s">
        <v>44</v>
      </c>
      <c r="EJ56" s="135">
        <f>ED19</f>
        <v>0</v>
      </c>
      <c r="EK56" s="135">
        <f t="shared" ref="EK56:EU56" si="367">EJ19</f>
        <v>0</v>
      </c>
      <c r="EL56" s="135">
        <f t="shared" si="367"/>
        <v>0</v>
      </c>
      <c r="EM56" s="135">
        <f t="shared" si="367"/>
        <v>0</v>
      </c>
      <c r="EN56" s="135">
        <f t="shared" si="367"/>
        <v>0</v>
      </c>
      <c r="EO56" s="135">
        <f t="shared" si="367"/>
        <v>0</v>
      </c>
      <c r="EP56" s="135">
        <f t="shared" si="367"/>
        <v>0</v>
      </c>
      <c r="EQ56" s="135">
        <f t="shared" si="367"/>
        <v>0</v>
      </c>
      <c r="ER56" s="135">
        <f t="shared" si="367"/>
        <v>0</v>
      </c>
      <c r="ES56" s="135">
        <f t="shared" si="367"/>
        <v>0</v>
      </c>
      <c r="ET56" s="135">
        <f t="shared" si="367"/>
        <v>0</v>
      </c>
      <c r="EU56" s="135">
        <f t="shared" si="367"/>
        <v>0</v>
      </c>
      <c r="EV56" s="549" t="s">
        <v>39</v>
      </c>
      <c r="EW56" s="550"/>
      <c r="EY56" s="548"/>
      <c r="EZ56" s="134" t="s">
        <v>44</v>
      </c>
      <c r="FA56" s="135">
        <f>EU19</f>
        <v>0</v>
      </c>
      <c r="FB56" s="135">
        <f t="shared" ref="FB56:FL56" si="368">FA19</f>
        <v>0</v>
      </c>
      <c r="FC56" s="135">
        <f t="shared" si="368"/>
        <v>0</v>
      </c>
      <c r="FD56" s="135">
        <f t="shared" si="368"/>
        <v>0</v>
      </c>
      <c r="FE56" s="135">
        <f t="shared" si="368"/>
        <v>0</v>
      </c>
      <c r="FF56" s="135">
        <f t="shared" si="368"/>
        <v>0</v>
      </c>
      <c r="FG56" s="135">
        <f t="shared" si="368"/>
        <v>0</v>
      </c>
      <c r="FH56" s="135">
        <f t="shared" si="368"/>
        <v>0</v>
      </c>
      <c r="FI56" s="135">
        <f t="shared" si="368"/>
        <v>0</v>
      </c>
      <c r="FJ56" s="135">
        <f t="shared" si="368"/>
        <v>0</v>
      </c>
      <c r="FK56" s="135">
        <f t="shared" si="368"/>
        <v>0</v>
      </c>
      <c r="FL56" s="135">
        <f t="shared" si="368"/>
        <v>0</v>
      </c>
      <c r="FM56" s="549" t="s">
        <v>39</v>
      </c>
      <c r="FN56" s="550"/>
    </row>
    <row r="57" spans="2:170" s="159" customFormat="1" ht="8.25" customHeight="1">
      <c r="B57" s="557"/>
      <c r="C57" s="134" t="s">
        <v>514</v>
      </c>
      <c r="D57" s="135"/>
      <c r="E57" s="135">
        <f>D18-D28-D29-D25</f>
        <v>0</v>
      </c>
      <c r="F57" s="135">
        <f t="shared" ref="F57:O57" si="369">E18-E28-E29-E25</f>
        <v>0</v>
      </c>
      <c r="G57" s="135">
        <f t="shared" si="369"/>
        <v>0</v>
      </c>
      <c r="H57" s="135">
        <f t="shared" si="369"/>
        <v>0</v>
      </c>
      <c r="I57" s="135">
        <f t="shared" si="369"/>
        <v>0</v>
      </c>
      <c r="J57" s="135">
        <f t="shared" si="369"/>
        <v>0</v>
      </c>
      <c r="K57" s="135">
        <f t="shared" si="369"/>
        <v>0</v>
      </c>
      <c r="L57" s="135">
        <f t="shared" si="369"/>
        <v>0</v>
      </c>
      <c r="M57" s="135">
        <f t="shared" si="369"/>
        <v>0</v>
      </c>
      <c r="N57" s="135">
        <f t="shared" si="369"/>
        <v>0</v>
      </c>
      <c r="O57" s="135">
        <f t="shared" si="369"/>
        <v>0</v>
      </c>
      <c r="P57" s="549" t="s">
        <v>517</v>
      </c>
      <c r="Q57" s="550"/>
      <c r="R57" s="531"/>
      <c r="S57" s="557"/>
      <c r="T57" s="134" t="str">
        <f t="shared" si="358"/>
        <v>福祉サービス原価２</v>
      </c>
      <c r="U57" s="135">
        <f>O18-O25-O28-O29</f>
        <v>0</v>
      </c>
      <c r="V57" s="135">
        <f>U18-U28-U29-U25</f>
        <v>523172.1</v>
      </c>
      <c r="W57" s="135">
        <f t="shared" ref="W57:AF57" si="370">V18-V28-V29-V25</f>
        <v>521172.1</v>
      </c>
      <c r="X57" s="135">
        <f t="shared" si="370"/>
        <v>609172.1</v>
      </c>
      <c r="Y57" s="135">
        <f t="shared" si="370"/>
        <v>803818.8</v>
      </c>
      <c r="Z57" s="135">
        <f t="shared" si="370"/>
        <v>803818.8</v>
      </c>
      <c r="AA57" s="135">
        <f t="shared" si="370"/>
        <v>869818.8</v>
      </c>
      <c r="AB57" s="135">
        <f t="shared" si="370"/>
        <v>869818.8</v>
      </c>
      <c r="AC57" s="135">
        <f t="shared" si="370"/>
        <v>885818.8</v>
      </c>
      <c r="AD57" s="135">
        <f t="shared" si="370"/>
        <v>885818.8</v>
      </c>
      <c r="AE57" s="135">
        <f t="shared" si="370"/>
        <v>901818.8</v>
      </c>
      <c r="AF57" s="135">
        <f t="shared" si="370"/>
        <v>901818.8</v>
      </c>
      <c r="AG57" s="549" t="s">
        <v>46</v>
      </c>
      <c r="AH57" s="550"/>
      <c r="AJ57" s="557"/>
      <c r="AK57" s="134" t="str">
        <f t="shared" si="360"/>
        <v>福祉サービス原価２</v>
      </c>
      <c r="AL57" s="135">
        <f>AF18-AF25-AF28-AF29</f>
        <v>917818.8</v>
      </c>
      <c r="AM57" s="135">
        <f>AL18-AL28-AL29-AL25</f>
        <v>831818.8</v>
      </c>
      <c r="AN57" s="135">
        <f t="shared" ref="AN57:AW57" si="371">AM18-AM28-AM29-AM25</f>
        <v>837818.8</v>
      </c>
      <c r="AO57" s="135">
        <f t="shared" si="371"/>
        <v>837818.8</v>
      </c>
      <c r="AP57" s="135">
        <f t="shared" si="371"/>
        <v>853818.8</v>
      </c>
      <c r="AQ57" s="135">
        <f t="shared" si="371"/>
        <v>853818.8</v>
      </c>
      <c r="AR57" s="135">
        <f t="shared" si="371"/>
        <v>869818.8</v>
      </c>
      <c r="AS57" s="135">
        <f t="shared" si="371"/>
        <v>869818.8</v>
      </c>
      <c r="AT57" s="135">
        <f t="shared" si="371"/>
        <v>885818.8</v>
      </c>
      <c r="AU57" s="135">
        <f t="shared" si="371"/>
        <v>885818.8</v>
      </c>
      <c r="AV57" s="135">
        <f t="shared" si="371"/>
        <v>901818.8</v>
      </c>
      <c r="AW57" s="135">
        <f t="shared" si="371"/>
        <v>901818.8</v>
      </c>
      <c r="AX57" s="549" t="s">
        <v>46</v>
      </c>
      <c r="AY57" s="550"/>
      <c r="BA57" s="557"/>
      <c r="BB57" s="134" t="s">
        <v>45</v>
      </c>
      <c r="BC57" s="135">
        <f>AW20</f>
        <v>256000</v>
      </c>
      <c r="BD57" s="135">
        <f t="shared" ref="BD57:BN57" si="372">BC20</f>
        <v>8700</v>
      </c>
      <c r="BE57" s="135">
        <f t="shared" si="372"/>
        <v>8700</v>
      </c>
      <c r="BF57" s="135">
        <f t="shared" si="372"/>
        <v>8700</v>
      </c>
      <c r="BG57" s="135">
        <f t="shared" si="372"/>
        <v>8700</v>
      </c>
      <c r="BH57" s="135">
        <f t="shared" si="372"/>
        <v>8700</v>
      </c>
      <c r="BI57" s="135">
        <f t="shared" si="372"/>
        <v>8400</v>
      </c>
      <c r="BJ57" s="135">
        <f t="shared" si="372"/>
        <v>8700</v>
      </c>
      <c r="BK57" s="135">
        <f t="shared" si="372"/>
        <v>9000</v>
      </c>
      <c r="BL57" s="135">
        <f t="shared" si="372"/>
        <v>9000</v>
      </c>
      <c r="BM57" s="135">
        <f t="shared" si="372"/>
        <v>9000</v>
      </c>
      <c r="BN57" s="135">
        <f t="shared" si="372"/>
        <v>9000</v>
      </c>
      <c r="BO57" s="549" t="s">
        <v>46</v>
      </c>
      <c r="BP57" s="550"/>
      <c r="BR57" s="557"/>
      <c r="BS57" s="134" t="s">
        <v>45</v>
      </c>
      <c r="BT57" s="135">
        <f>BN20</f>
        <v>9000</v>
      </c>
      <c r="BU57" s="135">
        <f t="shared" ref="BU57:CE57" si="373">BT20</f>
        <v>8700</v>
      </c>
      <c r="BV57" s="135">
        <f t="shared" si="373"/>
        <v>8700</v>
      </c>
      <c r="BW57" s="135">
        <f t="shared" si="373"/>
        <v>8700</v>
      </c>
      <c r="BX57" s="135">
        <f t="shared" si="373"/>
        <v>8700</v>
      </c>
      <c r="BY57" s="135">
        <f t="shared" si="373"/>
        <v>8700</v>
      </c>
      <c r="BZ57" s="135">
        <f t="shared" si="373"/>
        <v>8400</v>
      </c>
      <c r="CA57" s="135">
        <f t="shared" si="373"/>
        <v>8700</v>
      </c>
      <c r="CB57" s="135">
        <f t="shared" si="373"/>
        <v>9000</v>
      </c>
      <c r="CC57" s="135">
        <f t="shared" si="373"/>
        <v>9000</v>
      </c>
      <c r="CD57" s="135">
        <f t="shared" si="373"/>
        <v>9000</v>
      </c>
      <c r="CE57" s="135">
        <f t="shared" si="373"/>
        <v>9000</v>
      </c>
      <c r="CF57" s="549" t="s">
        <v>46</v>
      </c>
      <c r="CG57" s="550"/>
      <c r="CI57" s="557"/>
      <c r="CJ57" s="134" t="s">
        <v>45</v>
      </c>
      <c r="CK57" s="135">
        <f>CE20</f>
        <v>9000</v>
      </c>
      <c r="CL57" s="135">
        <f t="shared" ref="CL57:CV57" si="374">CK20</f>
        <v>0</v>
      </c>
      <c r="CM57" s="135">
        <f t="shared" si="374"/>
        <v>0</v>
      </c>
      <c r="CN57" s="135">
        <f t="shared" si="374"/>
        <v>0</v>
      </c>
      <c r="CO57" s="135">
        <f t="shared" si="374"/>
        <v>0</v>
      </c>
      <c r="CP57" s="135">
        <f t="shared" si="374"/>
        <v>0</v>
      </c>
      <c r="CQ57" s="135">
        <f t="shared" si="374"/>
        <v>0</v>
      </c>
      <c r="CR57" s="135">
        <f t="shared" si="374"/>
        <v>0</v>
      </c>
      <c r="CS57" s="135">
        <f t="shared" si="374"/>
        <v>0</v>
      </c>
      <c r="CT57" s="135">
        <f t="shared" si="374"/>
        <v>0</v>
      </c>
      <c r="CU57" s="135">
        <f t="shared" si="374"/>
        <v>0</v>
      </c>
      <c r="CV57" s="135">
        <f t="shared" si="374"/>
        <v>0</v>
      </c>
      <c r="CW57" s="549" t="s">
        <v>46</v>
      </c>
      <c r="CX57" s="550"/>
      <c r="CZ57" s="557"/>
      <c r="DA57" s="134" t="s">
        <v>45</v>
      </c>
      <c r="DB57" s="135">
        <f>CV20</f>
        <v>0</v>
      </c>
      <c r="DC57" s="135">
        <f t="shared" ref="DC57:DM57" si="375">DB20</f>
        <v>0</v>
      </c>
      <c r="DD57" s="135">
        <f t="shared" si="375"/>
        <v>0</v>
      </c>
      <c r="DE57" s="135">
        <f t="shared" si="375"/>
        <v>0</v>
      </c>
      <c r="DF57" s="135">
        <f t="shared" si="375"/>
        <v>0</v>
      </c>
      <c r="DG57" s="135">
        <f t="shared" si="375"/>
        <v>0</v>
      </c>
      <c r="DH57" s="135">
        <f t="shared" si="375"/>
        <v>0</v>
      </c>
      <c r="DI57" s="135">
        <f t="shared" si="375"/>
        <v>0</v>
      </c>
      <c r="DJ57" s="135">
        <f t="shared" si="375"/>
        <v>0</v>
      </c>
      <c r="DK57" s="135">
        <f t="shared" si="375"/>
        <v>0</v>
      </c>
      <c r="DL57" s="135">
        <f t="shared" si="375"/>
        <v>0</v>
      </c>
      <c r="DM57" s="135">
        <f t="shared" si="375"/>
        <v>0</v>
      </c>
      <c r="DN57" s="549" t="s">
        <v>46</v>
      </c>
      <c r="DO57" s="550"/>
      <c r="DQ57" s="557"/>
      <c r="DR57" s="134" t="s">
        <v>45</v>
      </c>
      <c r="DS57" s="135">
        <f>DM20</f>
        <v>0</v>
      </c>
      <c r="DT57" s="135">
        <f t="shared" ref="DT57:ED57" si="376">DS20</f>
        <v>0</v>
      </c>
      <c r="DU57" s="135">
        <f t="shared" si="376"/>
        <v>0</v>
      </c>
      <c r="DV57" s="135">
        <f t="shared" si="376"/>
        <v>0</v>
      </c>
      <c r="DW57" s="135">
        <f t="shared" si="376"/>
        <v>0</v>
      </c>
      <c r="DX57" s="135">
        <f t="shared" si="376"/>
        <v>0</v>
      </c>
      <c r="DY57" s="135">
        <f t="shared" si="376"/>
        <v>0</v>
      </c>
      <c r="DZ57" s="135">
        <f t="shared" si="376"/>
        <v>0</v>
      </c>
      <c r="EA57" s="135">
        <f t="shared" si="376"/>
        <v>0</v>
      </c>
      <c r="EB57" s="135">
        <f t="shared" si="376"/>
        <v>0</v>
      </c>
      <c r="EC57" s="135">
        <f t="shared" si="376"/>
        <v>0</v>
      </c>
      <c r="ED57" s="135">
        <f t="shared" si="376"/>
        <v>0</v>
      </c>
      <c r="EE57" s="549" t="s">
        <v>46</v>
      </c>
      <c r="EF57" s="550"/>
      <c r="EH57" s="557"/>
      <c r="EI57" s="134" t="s">
        <v>45</v>
      </c>
      <c r="EJ57" s="135">
        <f>ED20</f>
        <v>0</v>
      </c>
      <c r="EK57" s="135">
        <f t="shared" ref="EK57:EU57" si="377">EJ20</f>
        <v>0</v>
      </c>
      <c r="EL57" s="135">
        <f t="shared" si="377"/>
        <v>0</v>
      </c>
      <c r="EM57" s="135">
        <f t="shared" si="377"/>
        <v>0</v>
      </c>
      <c r="EN57" s="135">
        <f t="shared" si="377"/>
        <v>0</v>
      </c>
      <c r="EO57" s="135">
        <f t="shared" si="377"/>
        <v>0</v>
      </c>
      <c r="EP57" s="135">
        <f t="shared" si="377"/>
        <v>0</v>
      </c>
      <c r="EQ57" s="135">
        <f t="shared" si="377"/>
        <v>0</v>
      </c>
      <c r="ER57" s="135">
        <f t="shared" si="377"/>
        <v>0</v>
      </c>
      <c r="ES57" s="135">
        <f t="shared" si="377"/>
        <v>0</v>
      </c>
      <c r="ET57" s="135">
        <f t="shared" si="377"/>
        <v>0</v>
      </c>
      <c r="EU57" s="135">
        <f t="shared" si="377"/>
        <v>0</v>
      </c>
      <c r="EV57" s="549" t="s">
        <v>46</v>
      </c>
      <c r="EW57" s="550"/>
      <c r="EY57" s="557"/>
      <c r="EZ57" s="134" t="s">
        <v>45</v>
      </c>
      <c r="FA57" s="135">
        <f>EU20</f>
        <v>0</v>
      </c>
      <c r="FB57" s="135">
        <f t="shared" ref="FB57:FL57" si="378">FA20</f>
        <v>0</v>
      </c>
      <c r="FC57" s="135">
        <f t="shared" si="378"/>
        <v>0</v>
      </c>
      <c r="FD57" s="135">
        <f t="shared" si="378"/>
        <v>0</v>
      </c>
      <c r="FE57" s="135">
        <f t="shared" si="378"/>
        <v>0</v>
      </c>
      <c r="FF57" s="135">
        <f t="shared" si="378"/>
        <v>0</v>
      </c>
      <c r="FG57" s="135">
        <f t="shared" si="378"/>
        <v>0</v>
      </c>
      <c r="FH57" s="135">
        <f t="shared" si="378"/>
        <v>0</v>
      </c>
      <c r="FI57" s="135">
        <f t="shared" si="378"/>
        <v>0</v>
      </c>
      <c r="FJ57" s="135">
        <f t="shared" si="378"/>
        <v>0</v>
      </c>
      <c r="FK57" s="135">
        <f t="shared" si="378"/>
        <v>0</v>
      </c>
      <c r="FL57" s="135">
        <f t="shared" si="378"/>
        <v>0</v>
      </c>
      <c r="FM57" s="549" t="s">
        <v>46</v>
      </c>
      <c r="FN57" s="550"/>
    </row>
    <row r="58" spans="2:170" s="159" customFormat="1" ht="8.25" customHeight="1">
      <c r="B58" s="557"/>
      <c r="C58" s="134" t="s">
        <v>47</v>
      </c>
      <c r="D58" s="135"/>
      <c r="E58" s="135">
        <f>D31</f>
        <v>0</v>
      </c>
      <c r="F58" s="135">
        <f t="shared" ref="F58:O58" si="379">E31</f>
        <v>0</v>
      </c>
      <c r="G58" s="135">
        <f t="shared" si="379"/>
        <v>0</v>
      </c>
      <c r="H58" s="135">
        <f t="shared" si="379"/>
        <v>0</v>
      </c>
      <c r="I58" s="135">
        <f t="shared" si="379"/>
        <v>0</v>
      </c>
      <c r="J58" s="135">
        <f t="shared" si="379"/>
        <v>0</v>
      </c>
      <c r="K58" s="135">
        <f t="shared" si="379"/>
        <v>0</v>
      </c>
      <c r="L58" s="135">
        <f t="shared" si="379"/>
        <v>0</v>
      </c>
      <c r="M58" s="135">
        <f t="shared" si="379"/>
        <v>0</v>
      </c>
      <c r="N58" s="135">
        <f t="shared" si="379"/>
        <v>0</v>
      </c>
      <c r="O58" s="135">
        <f t="shared" si="379"/>
        <v>0</v>
      </c>
      <c r="P58" s="549" t="s">
        <v>49</v>
      </c>
      <c r="Q58" s="550"/>
      <c r="R58" s="531"/>
      <c r="S58" s="557"/>
      <c r="T58" s="134" t="str">
        <f t="shared" si="358"/>
        <v>販管費（ｻｲﾄ１）</v>
      </c>
      <c r="U58" s="135">
        <f>O31</f>
        <v>0</v>
      </c>
      <c r="V58" s="135">
        <f>U31</f>
        <v>0</v>
      </c>
      <c r="W58" s="135">
        <f t="shared" ref="W58:AF58" si="380">V31</f>
        <v>0</v>
      </c>
      <c r="X58" s="135">
        <f t="shared" si="380"/>
        <v>0</v>
      </c>
      <c r="Y58" s="135">
        <f t="shared" si="380"/>
        <v>0</v>
      </c>
      <c r="Z58" s="135">
        <f t="shared" si="380"/>
        <v>0</v>
      </c>
      <c r="AA58" s="135">
        <f t="shared" si="380"/>
        <v>0</v>
      </c>
      <c r="AB58" s="135">
        <f t="shared" si="380"/>
        <v>0</v>
      </c>
      <c r="AC58" s="135">
        <f t="shared" si="380"/>
        <v>0</v>
      </c>
      <c r="AD58" s="135">
        <f t="shared" si="380"/>
        <v>0</v>
      </c>
      <c r="AE58" s="135">
        <f t="shared" si="380"/>
        <v>0</v>
      </c>
      <c r="AF58" s="135">
        <f t="shared" si="380"/>
        <v>0</v>
      </c>
      <c r="AG58" s="549" t="s">
        <v>49</v>
      </c>
      <c r="AH58" s="550"/>
      <c r="AJ58" s="557"/>
      <c r="AK58" s="134" t="str">
        <f t="shared" si="360"/>
        <v>販管費（ｻｲﾄ１）</v>
      </c>
      <c r="AL58" s="135">
        <f>AF31</f>
        <v>0</v>
      </c>
      <c r="AM58" s="135">
        <f>AL31</f>
        <v>0</v>
      </c>
      <c r="AN58" s="135">
        <f t="shared" ref="AN58:AW58" si="381">AM31</f>
        <v>0</v>
      </c>
      <c r="AO58" s="135">
        <f t="shared" si="381"/>
        <v>0</v>
      </c>
      <c r="AP58" s="135">
        <f t="shared" si="381"/>
        <v>0</v>
      </c>
      <c r="AQ58" s="135">
        <f t="shared" si="381"/>
        <v>0</v>
      </c>
      <c r="AR58" s="135">
        <f t="shared" si="381"/>
        <v>0</v>
      </c>
      <c r="AS58" s="135">
        <f t="shared" si="381"/>
        <v>0</v>
      </c>
      <c r="AT58" s="135">
        <f t="shared" si="381"/>
        <v>0</v>
      </c>
      <c r="AU58" s="135">
        <f t="shared" si="381"/>
        <v>0</v>
      </c>
      <c r="AV58" s="135">
        <f t="shared" si="381"/>
        <v>0</v>
      </c>
      <c r="AW58" s="135">
        <f t="shared" si="381"/>
        <v>0</v>
      </c>
      <c r="AX58" s="549" t="s">
        <v>49</v>
      </c>
      <c r="AY58" s="550"/>
      <c r="BA58" s="557"/>
      <c r="BB58" s="134" t="s">
        <v>89</v>
      </c>
      <c r="BC58" s="135">
        <f>AW31+AW25-AW39</f>
        <v>20000</v>
      </c>
      <c r="BD58" s="135">
        <f t="shared" ref="BD58:BN58" si="382">BC25+BC29+BC31</f>
        <v>15630</v>
      </c>
      <c r="BE58" s="135">
        <f t="shared" si="382"/>
        <v>15630</v>
      </c>
      <c r="BF58" s="135">
        <f t="shared" si="382"/>
        <v>15630</v>
      </c>
      <c r="BG58" s="135">
        <f t="shared" si="382"/>
        <v>15630</v>
      </c>
      <c r="BH58" s="135">
        <f t="shared" si="382"/>
        <v>15630</v>
      </c>
      <c r="BI58" s="135">
        <f t="shared" si="382"/>
        <v>15600</v>
      </c>
      <c r="BJ58" s="135">
        <f t="shared" si="382"/>
        <v>15630</v>
      </c>
      <c r="BK58" s="135">
        <f t="shared" si="382"/>
        <v>15660</v>
      </c>
      <c r="BL58" s="135">
        <f t="shared" si="382"/>
        <v>15660</v>
      </c>
      <c r="BM58" s="135">
        <f t="shared" si="382"/>
        <v>15660</v>
      </c>
      <c r="BN58" s="135">
        <f t="shared" si="382"/>
        <v>15660</v>
      </c>
      <c r="BO58" s="549" t="s">
        <v>49</v>
      </c>
      <c r="BP58" s="550"/>
      <c r="BR58" s="557"/>
      <c r="BS58" s="134" t="s">
        <v>48</v>
      </c>
      <c r="BT58" s="135">
        <f>BN31+BN25-BN39</f>
        <v>15660</v>
      </c>
      <c r="BU58" s="135">
        <f t="shared" ref="BU58:CE58" si="383">BT25+BT29+BT31</f>
        <v>16710</v>
      </c>
      <c r="BV58" s="135">
        <f t="shared" si="383"/>
        <v>16710</v>
      </c>
      <c r="BW58" s="135">
        <f t="shared" si="383"/>
        <v>16710</v>
      </c>
      <c r="BX58" s="135">
        <f t="shared" si="383"/>
        <v>16710</v>
      </c>
      <c r="BY58" s="135">
        <f t="shared" si="383"/>
        <v>16710</v>
      </c>
      <c r="BZ58" s="135">
        <f t="shared" si="383"/>
        <v>16680</v>
      </c>
      <c r="CA58" s="135">
        <f t="shared" si="383"/>
        <v>16710</v>
      </c>
      <c r="CB58" s="135">
        <f t="shared" si="383"/>
        <v>16740</v>
      </c>
      <c r="CC58" s="135">
        <f t="shared" si="383"/>
        <v>16740</v>
      </c>
      <c r="CD58" s="135">
        <f t="shared" si="383"/>
        <v>16740</v>
      </c>
      <c r="CE58" s="135">
        <f t="shared" si="383"/>
        <v>16740</v>
      </c>
      <c r="CF58" s="549" t="s">
        <v>49</v>
      </c>
      <c r="CG58" s="550"/>
      <c r="CI58" s="557"/>
      <c r="CJ58" s="134" t="s">
        <v>89</v>
      </c>
      <c r="CK58" s="135">
        <f>CE31+CE25-CE39</f>
        <v>16740</v>
      </c>
      <c r="CL58" s="135">
        <f t="shared" ref="CL58:CV58" si="384">CK25+CK29+CK31</f>
        <v>27548</v>
      </c>
      <c r="CM58" s="135">
        <f t="shared" si="384"/>
        <v>27548</v>
      </c>
      <c r="CN58" s="135">
        <f t="shared" si="384"/>
        <v>27548</v>
      </c>
      <c r="CO58" s="135">
        <f t="shared" si="384"/>
        <v>27548</v>
      </c>
      <c r="CP58" s="135">
        <f t="shared" si="384"/>
        <v>27548</v>
      </c>
      <c r="CQ58" s="135">
        <f t="shared" si="384"/>
        <v>27548</v>
      </c>
      <c r="CR58" s="135">
        <f t="shared" si="384"/>
        <v>30680</v>
      </c>
      <c r="CS58" s="135">
        <f t="shared" si="384"/>
        <v>30680</v>
      </c>
      <c r="CT58" s="135">
        <f t="shared" si="384"/>
        <v>30680</v>
      </c>
      <c r="CU58" s="135">
        <f t="shared" si="384"/>
        <v>30680</v>
      </c>
      <c r="CV58" s="135">
        <f t="shared" si="384"/>
        <v>30680</v>
      </c>
      <c r="CW58" s="549" t="s">
        <v>49</v>
      </c>
      <c r="CX58" s="550"/>
      <c r="CZ58" s="557"/>
      <c r="DA58" s="134" t="s">
        <v>90</v>
      </c>
      <c r="DB58" s="135" t="e">
        <f>CV31+CV25-CV62</f>
        <v>#REF!</v>
      </c>
      <c r="DC58" s="135">
        <f t="shared" ref="DC58:DM58" si="385">DB25+DB29+DB31</f>
        <v>32826</v>
      </c>
      <c r="DD58" s="135">
        <f t="shared" si="385"/>
        <v>32826</v>
      </c>
      <c r="DE58" s="135">
        <f t="shared" si="385"/>
        <v>32826</v>
      </c>
      <c r="DF58" s="135">
        <f t="shared" si="385"/>
        <v>32826</v>
      </c>
      <c r="DG58" s="135">
        <f t="shared" si="385"/>
        <v>32826</v>
      </c>
      <c r="DH58" s="135">
        <f t="shared" si="385"/>
        <v>32826</v>
      </c>
      <c r="DI58" s="135">
        <f t="shared" si="385"/>
        <v>34892</v>
      </c>
      <c r="DJ58" s="135">
        <f t="shared" si="385"/>
        <v>34892</v>
      </c>
      <c r="DK58" s="135">
        <f t="shared" si="385"/>
        <v>34892</v>
      </c>
      <c r="DL58" s="135">
        <f t="shared" si="385"/>
        <v>34892</v>
      </c>
      <c r="DM58" s="135">
        <f t="shared" si="385"/>
        <v>34892</v>
      </c>
      <c r="DN58" s="549" t="s">
        <v>49</v>
      </c>
      <c r="DO58" s="550"/>
      <c r="DQ58" s="557"/>
      <c r="DR58" s="134" t="s">
        <v>110</v>
      </c>
      <c r="DS58" s="135" t="e">
        <f>DM31+DM25-DM62</f>
        <v>#REF!</v>
      </c>
      <c r="DT58" s="135">
        <f t="shared" ref="DT58:ED58" si="386">DS25+DS29+DS31</f>
        <v>37038</v>
      </c>
      <c r="DU58" s="135">
        <f t="shared" si="386"/>
        <v>37038</v>
      </c>
      <c r="DV58" s="135">
        <f t="shared" si="386"/>
        <v>37038</v>
      </c>
      <c r="DW58" s="135">
        <f t="shared" si="386"/>
        <v>37038</v>
      </c>
      <c r="DX58" s="135">
        <f t="shared" si="386"/>
        <v>40170</v>
      </c>
      <c r="DY58" s="135">
        <f t="shared" si="386"/>
        <v>42236</v>
      </c>
      <c r="DZ58" s="135">
        <f t="shared" si="386"/>
        <v>42236</v>
      </c>
      <c r="EA58" s="135">
        <f t="shared" si="386"/>
        <v>42236</v>
      </c>
      <c r="EB58" s="135">
        <f t="shared" si="386"/>
        <v>42236</v>
      </c>
      <c r="EC58" s="135">
        <f t="shared" si="386"/>
        <v>42236</v>
      </c>
      <c r="ED58" s="135">
        <f t="shared" si="386"/>
        <v>42236</v>
      </c>
      <c r="EE58" s="549" t="s">
        <v>49</v>
      </c>
      <c r="EF58" s="550"/>
      <c r="EH58" s="557"/>
      <c r="EI58" s="134" t="s">
        <v>120</v>
      </c>
      <c r="EJ58" s="135" t="e">
        <f>ED31+ED25-ED62</f>
        <v>#REF!</v>
      </c>
      <c r="EK58" s="135">
        <f t="shared" ref="EK58:EU58" si="387">EJ25+EJ29+EJ31</f>
        <v>43316</v>
      </c>
      <c r="EL58" s="135">
        <f t="shared" si="387"/>
        <v>43316</v>
      </c>
      <c r="EM58" s="135">
        <f t="shared" si="387"/>
        <v>43316</v>
      </c>
      <c r="EN58" s="135">
        <f t="shared" si="387"/>
        <v>43316</v>
      </c>
      <c r="EO58" s="135">
        <f t="shared" si="387"/>
        <v>43316</v>
      </c>
      <c r="EP58" s="135">
        <f t="shared" si="387"/>
        <v>46448</v>
      </c>
      <c r="EQ58" s="135">
        <f t="shared" si="387"/>
        <v>46448</v>
      </c>
      <c r="ER58" s="135">
        <f t="shared" si="387"/>
        <v>46448</v>
      </c>
      <c r="ES58" s="135">
        <f t="shared" si="387"/>
        <v>46448</v>
      </c>
      <c r="ET58" s="135">
        <f t="shared" si="387"/>
        <v>46448</v>
      </c>
      <c r="EU58" s="135">
        <f t="shared" si="387"/>
        <v>46448</v>
      </c>
      <c r="EV58" s="549" t="s">
        <v>49</v>
      </c>
      <c r="EW58" s="550"/>
      <c r="EY58" s="557"/>
      <c r="EZ58" s="134" t="s">
        <v>121</v>
      </c>
      <c r="FA58" s="135" t="e">
        <f>EU31+EU25-EU62</f>
        <v>#REF!</v>
      </c>
      <c r="FB58" s="135">
        <f t="shared" ref="FB58:FL58" si="388">FA25+FA29+FA31</f>
        <v>54560</v>
      </c>
      <c r="FC58" s="135">
        <f t="shared" si="388"/>
        <v>54560</v>
      </c>
      <c r="FD58" s="135">
        <f t="shared" si="388"/>
        <v>54560</v>
      </c>
      <c r="FE58" s="135">
        <f t="shared" si="388"/>
        <v>54560</v>
      </c>
      <c r="FF58" s="135">
        <f t="shared" si="388"/>
        <v>54560</v>
      </c>
      <c r="FG58" s="135">
        <f t="shared" si="388"/>
        <v>54560</v>
      </c>
      <c r="FH58" s="135">
        <f t="shared" si="388"/>
        <v>54560</v>
      </c>
      <c r="FI58" s="135">
        <f t="shared" si="388"/>
        <v>54560</v>
      </c>
      <c r="FJ58" s="135">
        <f t="shared" si="388"/>
        <v>54560</v>
      </c>
      <c r="FK58" s="135">
        <f t="shared" si="388"/>
        <v>54560</v>
      </c>
      <c r="FL58" s="135">
        <f t="shared" si="388"/>
        <v>54560</v>
      </c>
      <c r="FM58" s="549" t="s">
        <v>49</v>
      </c>
      <c r="FN58" s="550"/>
    </row>
    <row r="59" spans="2:170" s="159" customFormat="1" ht="8.25" customHeight="1">
      <c r="B59" s="557"/>
      <c r="C59" s="134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549"/>
      <c r="Q59" s="550"/>
      <c r="R59" s="531"/>
      <c r="S59" s="557"/>
      <c r="T59" s="134" t="str">
        <f t="shared" si="358"/>
        <v/>
      </c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549" t="s">
        <v>50</v>
      </c>
      <c r="AH59" s="550"/>
      <c r="AJ59" s="557"/>
      <c r="AK59" s="134" t="str">
        <f t="shared" si="360"/>
        <v/>
      </c>
      <c r="AL59" s="135"/>
      <c r="AM59" s="135"/>
      <c r="AN59" s="135"/>
      <c r="AO59" s="135"/>
      <c r="AP59" s="135"/>
      <c r="AQ59" s="135"/>
      <c r="AR59" s="135"/>
      <c r="AS59" s="135"/>
      <c r="AT59" s="135"/>
      <c r="AU59" s="135"/>
      <c r="AV59" s="135"/>
      <c r="AW59" s="135"/>
      <c r="AX59" s="549" t="s">
        <v>50</v>
      </c>
      <c r="AY59" s="550"/>
      <c r="BA59" s="557"/>
      <c r="BB59" s="134" t="s">
        <v>90</v>
      </c>
      <c r="BC59" s="135"/>
      <c r="BD59" s="135"/>
      <c r="BE59" s="135"/>
      <c r="BF59" s="135"/>
      <c r="BG59" s="135"/>
      <c r="BH59" s="135"/>
      <c r="BI59" s="135"/>
      <c r="BJ59" s="135"/>
      <c r="BK59" s="135"/>
      <c r="BL59" s="135"/>
      <c r="BM59" s="135"/>
      <c r="BN59" s="135"/>
      <c r="BO59" s="549" t="s">
        <v>50</v>
      </c>
      <c r="BP59" s="550"/>
      <c r="BR59" s="557"/>
      <c r="BS59" s="134" t="s">
        <v>89</v>
      </c>
      <c r="BT59" s="135"/>
      <c r="BU59" s="135"/>
      <c r="BV59" s="135"/>
      <c r="BW59" s="135"/>
      <c r="BX59" s="135"/>
      <c r="BY59" s="135"/>
      <c r="BZ59" s="135"/>
      <c r="CA59" s="135"/>
      <c r="CB59" s="135"/>
      <c r="CC59" s="135"/>
      <c r="CD59" s="135"/>
      <c r="CE59" s="135"/>
      <c r="CF59" s="549" t="s">
        <v>50</v>
      </c>
      <c r="CG59" s="550"/>
      <c r="CI59" s="557"/>
      <c r="CJ59" s="134" t="s">
        <v>90</v>
      </c>
      <c r="CK59" s="135"/>
      <c r="CL59" s="135"/>
      <c r="CM59" s="135"/>
      <c r="CN59" s="135"/>
      <c r="CO59" s="135"/>
      <c r="CP59" s="135"/>
      <c r="CQ59" s="135"/>
      <c r="CR59" s="135"/>
      <c r="CS59" s="135"/>
      <c r="CT59" s="135"/>
      <c r="CU59" s="135"/>
      <c r="CV59" s="135"/>
      <c r="CW59" s="549" t="s">
        <v>50</v>
      </c>
      <c r="CX59" s="550"/>
      <c r="CZ59" s="557"/>
      <c r="DA59" s="134" t="s">
        <v>110</v>
      </c>
      <c r="DB59" s="135"/>
      <c r="DC59" s="135"/>
      <c r="DD59" s="135"/>
      <c r="DE59" s="135"/>
      <c r="DF59" s="135"/>
      <c r="DG59" s="135"/>
      <c r="DH59" s="135"/>
      <c r="DI59" s="135"/>
      <c r="DJ59" s="135"/>
      <c r="DK59" s="135"/>
      <c r="DL59" s="135"/>
      <c r="DM59" s="135"/>
      <c r="DN59" s="549" t="s">
        <v>50</v>
      </c>
      <c r="DO59" s="550"/>
      <c r="DQ59" s="557"/>
      <c r="DR59" s="134" t="s">
        <v>120</v>
      </c>
      <c r="DS59" s="135"/>
      <c r="DT59" s="135"/>
      <c r="DU59" s="135"/>
      <c r="DV59" s="135"/>
      <c r="DW59" s="135"/>
      <c r="DX59" s="135"/>
      <c r="DY59" s="135"/>
      <c r="DZ59" s="135"/>
      <c r="EA59" s="135"/>
      <c r="EB59" s="135"/>
      <c r="EC59" s="135"/>
      <c r="ED59" s="135"/>
      <c r="EE59" s="549" t="s">
        <v>50</v>
      </c>
      <c r="EF59" s="550"/>
      <c r="EH59" s="557"/>
      <c r="EI59" s="134" t="s">
        <v>121</v>
      </c>
      <c r="EJ59" s="135"/>
      <c r="EK59" s="135"/>
      <c r="EL59" s="135"/>
      <c r="EM59" s="135"/>
      <c r="EN59" s="135"/>
      <c r="EO59" s="135"/>
      <c r="EP59" s="135"/>
      <c r="EQ59" s="135"/>
      <c r="ER59" s="135"/>
      <c r="ES59" s="135"/>
      <c r="ET59" s="135"/>
      <c r="EU59" s="135"/>
      <c r="EV59" s="549" t="s">
        <v>50</v>
      </c>
      <c r="EW59" s="550"/>
      <c r="EY59" s="557"/>
      <c r="EZ59" s="134" t="s">
        <v>122</v>
      </c>
      <c r="FA59" s="135"/>
      <c r="FB59" s="135"/>
      <c r="FC59" s="135"/>
      <c r="FD59" s="135"/>
      <c r="FE59" s="135"/>
      <c r="FF59" s="135"/>
      <c r="FG59" s="135"/>
      <c r="FH59" s="135"/>
      <c r="FI59" s="135"/>
      <c r="FJ59" s="135"/>
      <c r="FK59" s="135"/>
      <c r="FL59" s="135"/>
      <c r="FM59" s="549" t="s">
        <v>50</v>
      </c>
      <c r="FN59" s="550"/>
    </row>
    <row r="60" spans="2:170" s="159" customFormat="1" ht="8.25" customHeight="1">
      <c r="B60" s="557"/>
      <c r="C60" s="134" t="s">
        <v>12</v>
      </c>
      <c r="D60" s="135">
        <f t="shared" ref="D60:O60" si="389">D43</f>
        <v>0</v>
      </c>
      <c r="E60" s="135">
        <f t="shared" si="389"/>
        <v>0</v>
      </c>
      <c r="F60" s="135">
        <f t="shared" si="389"/>
        <v>0</v>
      </c>
      <c r="G60" s="135">
        <f t="shared" si="389"/>
        <v>0</v>
      </c>
      <c r="H60" s="135">
        <f t="shared" si="389"/>
        <v>0</v>
      </c>
      <c r="I60" s="135">
        <f t="shared" si="389"/>
        <v>0</v>
      </c>
      <c r="J60" s="135">
        <f t="shared" si="389"/>
        <v>0</v>
      </c>
      <c r="K60" s="135">
        <f t="shared" si="389"/>
        <v>0</v>
      </c>
      <c r="L60" s="135">
        <f t="shared" si="389"/>
        <v>0</v>
      </c>
      <c r="M60" s="135">
        <f t="shared" si="389"/>
        <v>0</v>
      </c>
      <c r="N60" s="135">
        <f t="shared" si="389"/>
        <v>0</v>
      </c>
      <c r="O60" s="135">
        <f t="shared" si="389"/>
        <v>0</v>
      </c>
      <c r="P60" s="549"/>
      <c r="Q60" s="550"/>
      <c r="R60" s="531"/>
      <c r="S60" s="557"/>
      <c r="T60" s="134" t="str">
        <f t="shared" si="358"/>
        <v>支払利息</v>
      </c>
      <c r="U60" s="135">
        <f t="shared" ref="U60:AF60" si="390">U43</f>
        <v>0</v>
      </c>
      <c r="V60" s="135">
        <f t="shared" si="390"/>
        <v>0</v>
      </c>
      <c r="W60" s="135">
        <f t="shared" si="390"/>
        <v>0</v>
      </c>
      <c r="X60" s="135">
        <f t="shared" si="390"/>
        <v>0</v>
      </c>
      <c r="Y60" s="135">
        <f t="shared" si="390"/>
        <v>0</v>
      </c>
      <c r="Z60" s="135">
        <f t="shared" si="390"/>
        <v>0</v>
      </c>
      <c r="AA60" s="135">
        <f t="shared" si="390"/>
        <v>0</v>
      </c>
      <c r="AB60" s="135">
        <f t="shared" si="390"/>
        <v>0</v>
      </c>
      <c r="AC60" s="135">
        <f t="shared" si="390"/>
        <v>0</v>
      </c>
      <c r="AD60" s="135">
        <f t="shared" si="390"/>
        <v>0</v>
      </c>
      <c r="AE60" s="135">
        <f t="shared" si="390"/>
        <v>0</v>
      </c>
      <c r="AF60" s="135">
        <f t="shared" si="390"/>
        <v>0</v>
      </c>
      <c r="AG60" s="549"/>
      <c r="AH60" s="550"/>
      <c r="AJ60" s="557"/>
      <c r="AK60" s="134" t="str">
        <f t="shared" si="360"/>
        <v>支払利息</v>
      </c>
      <c r="AL60" s="135">
        <f t="shared" ref="AL60:AW60" si="391">AL43</f>
        <v>0</v>
      </c>
      <c r="AM60" s="135">
        <f t="shared" si="391"/>
        <v>0</v>
      </c>
      <c r="AN60" s="135">
        <f t="shared" si="391"/>
        <v>0</v>
      </c>
      <c r="AO60" s="135">
        <f t="shared" si="391"/>
        <v>0</v>
      </c>
      <c r="AP60" s="135">
        <f t="shared" si="391"/>
        <v>0</v>
      </c>
      <c r="AQ60" s="135">
        <f t="shared" si="391"/>
        <v>0</v>
      </c>
      <c r="AR60" s="135">
        <f t="shared" si="391"/>
        <v>0</v>
      </c>
      <c r="AS60" s="135">
        <f t="shared" si="391"/>
        <v>0</v>
      </c>
      <c r="AT60" s="135">
        <f t="shared" si="391"/>
        <v>0</v>
      </c>
      <c r="AU60" s="135">
        <f t="shared" si="391"/>
        <v>0</v>
      </c>
      <c r="AV60" s="135">
        <f t="shared" si="391"/>
        <v>0</v>
      </c>
      <c r="AW60" s="135">
        <f t="shared" si="391"/>
        <v>0</v>
      </c>
      <c r="AX60" s="549"/>
      <c r="AY60" s="550"/>
      <c r="BA60" s="557"/>
      <c r="BB60" s="134" t="s">
        <v>12</v>
      </c>
      <c r="BC60" s="135">
        <f t="shared" ref="BC60:BN60" si="392">BC43</f>
        <v>0</v>
      </c>
      <c r="BD60" s="135">
        <f t="shared" si="392"/>
        <v>0</v>
      </c>
      <c r="BE60" s="135">
        <f t="shared" si="392"/>
        <v>0</v>
      </c>
      <c r="BF60" s="135">
        <f t="shared" si="392"/>
        <v>0</v>
      </c>
      <c r="BG60" s="135">
        <f t="shared" si="392"/>
        <v>0</v>
      </c>
      <c r="BH60" s="135">
        <f t="shared" si="392"/>
        <v>0</v>
      </c>
      <c r="BI60" s="135">
        <f t="shared" si="392"/>
        <v>0</v>
      </c>
      <c r="BJ60" s="135">
        <f t="shared" si="392"/>
        <v>0</v>
      </c>
      <c r="BK60" s="135">
        <f t="shared" si="392"/>
        <v>0</v>
      </c>
      <c r="BL60" s="135">
        <f t="shared" si="392"/>
        <v>0</v>
      </c>
      <c r="BM60" s="135">
        <f t="shared" si="392"/>
        <v>0</v>
      </c>
      <c r="BN60" s="135">
        <f t="shared" si="392"/>
        <v>0</v>
      </c>
      <c r="BO60" s="549"/>
      <c r="BP60" s="550"/>
      <c r="BR60" s="557"/>
      <c r="BS60" s="134" t="s">
        <v>12</v>
      </c>
      <c r="BT60" s="135">
        <f t="shared" ref="BT60:CE60" si="393">BT43</f>
        <v>0</v>
      </c>
      <c r="BU60" s="135">
        <f t="shared" si="393"/>
        <v>0</v>
      </c>
      <c r="BV60" s="135">
        <f t="shared" si="393"/>
        <v>0</v>
      </c>
      <c r="BW60" s="135">
        <f t="shared" si="393"/>
        <v>0</v>
      </c>
      <c r="BX60" s="135">
        <f t="shared" si="393"/>
        <v>0</v>
      </c>
      <c r="BY60" s="135">
        <f t="shared" si="393"/>
        <v>0</v>
      </c>
      <c r="BZ60" s="135">
        <f t="shared" si="393"/>
        <v>0</v>
      </c>
      <c r="CA60" s="135">
        <f t="shared" si="393"/>
        <v>0</v>
      </c>
      <c r="CB60" s="135">
        <f t="shared" si="393"/>
        <v>0</v>
      </c>
      <c r="CC60" s="135">
        <f t="shared" si="393"/>
        <v>0</v>
      </c>
      <c r="CD60" s="135">
        <f t="shared" si="393"/>
        <v>0</v>
      </c>
      <c r="CE60" s="135">
        <f t="shared" si="393"/>
        <v>0</v>
      </c>
      <c r="CF60" s="549"/>
      <c r="CG60" s="550"/>
      <c r="CI60" s="557"/>
      <c r="CJ60" s="134" t="s">
        <v>12</v>
      </c>
      <c r="CK60" s="135">
        <f t="shared" ref="CK60:CV60" si="394">CK43</f>
        <v>0</v>
      </c>
      <c r="CL60" s="135">
        <f t="shared" si="394"/>
        <v>0</v>
      </c>
      <c r="CM60" s="135">
        <f t="shared" si="394"/>
        <v>0</v>
      </c>
      <c r="CN60" s="135">
        <f t="shared" si="394"/>
        <v>0</v>
      </c>
      <c r="CO60" s="135">
        <f t="shared" si="394"/>
        <v>0</v>
      </c>
      <c r="CP60" s="135">
        <f t="shared" si="394"/>
        <v>0</v>
      </c>
      <c r="CQ60" s="135">
        <f t="shared" si="394"/>
        <v>0</v>
      </c>
      <c r="CR60" s="135">
        <f t="shared" si="394"/>
        <v>0</v>
      </c>
      <c r="CS60" s="135">
        <f t="shared" si="394"/>
        <v>0</v>
      </c>
      <c r="CT60" s="135">
        <f t="shared" si="394"/>
        <v>0</v>
      </c>
      <c r="CU60" s="135">
        <f t="shared" si="394"/>
        <v>0</v>
      </c>
      <c r="CV60" s="135">
        <f t="shared" si="394"/>
        <v>0</v>
      </c>
      <c r="CW60" s="549"/>
      <c r="CX60" s="550"/>
      <c r="CZ60" s="557"/>
      <c r="DA60" s="134" t="s">
        <v>12</v>
      </c>
      <c r="DB60" s="135">
        <f t="shared" ref="DB60:DM60" si="395">DB43</f>
        <v>0</v>
      </c>
      <c r="DC60" s="135">
        <f t="shared" si="395"/>
        <v>0</v>
      </c>
      <c r="DD60" s="135">
        <f t="shared" si="395"/>
        <v>0</v>
      </c>
      <c r="DE60" s="135">
        <f t="shared" si="395"/>
        <v>0</v>
      </c>
      <c r="DF60" s="135">
        <f t="shared" si="395"/>
        <v>0</v>
      </c>
      <c r="DG60" s="135">
        <f t="shared" si="395"/>
        <v>0</v>
      </c>
      <c r="DH60" s="135">
        <f t="shared" si="395"/>
        <v>0</v>
      </c>
      <c r="DI60" s="135">
        <f t="shared" si="395"/>
        <v>0</v>
      </c>
      <c r="DJ60" s="135">
        <f t="shared" si="395"/>
        <v>0</v>
      </c>
      <c r="DK60" s="135">
        <f t="shared" si="395"/>
        <v>0</v>
      </c>
      <c r="DL60" s="135">
        <f t="shared" si="395"/>
        <v>0</v>
      </c>
      <c r="DM60" s="135">
        <f t="shared" si="395"/>
        <v>0</v>
      </c>
      <c r="DN60" s="549"/>
      <c r="DO60" s="550"/>
      <c r="DQ60" s="557"/>
      <c r="DR60" s="134" t="s">
        <v>12</v>
      </c>
      <c r="DS60" s="135">
        <f t="shared" ref="DS60:ED60" si="396">DS43</f>
        <v>0</v>
      </c>
      <c r="DT60" s="135">
        <f t="shared" si="396"/>
        <v>0</v>
      </c>
      <c r="DU60" s="135">
        <f t="shared" si="396"/>
        <v>0</v>
      </c>
      <c r="DV60" s="135">
        <f t="shared" si="396"/>
        <v>0</v>
      </c>
      <c r="DW60" s="135">
        <f t="shared" si="396"/>
        <v>0</v>
      </c>
      <c r="DX60" s="135">
        <f t="shared" si="396"/>
        <v>0</v>
      </c>
      <c r="DY60" s="135">
        <f t="shared" si="396"/>
        <v>0</v>
      </c>
      <c r="DZ60" s="135">
        <f t="shared" si="396"/>
        <v>0</v>
      </c>
      <c r="EA60" s="135">
        <f t="shared" si="396"/>
        <v>0</v>
      </c>
      <c r="EB60" s="135">
        <f t="shared" si="396"/>
        <v>0</v>
      </c>
      <c r="EC60" s="135">
        <f t="shared" si="396"/>
        <v>0</v>
      </c>
      <c r="ED60" s="135">
        <f t="shared" si="396"/>
        <v>0</v>
      </c>
      <c r="EE60" s="549"/>
      <c r="EF60" s="550"/>
      <c r="EH60" s="557"/>
      <c r="EI60" s="134" t="s">
        <v>12</v>
      </c>
      <c r="EJ60" s="135">
        <f t="shared" ref="EJ60:EU60" si="397">EJ43</f>
        <v>0</v>
      </c>
      <c r="EK60" s="135">
        <f t="shared" si="397"/>
        <v>0</v>
      </c>
      <c r="EL60" s="135">
        <f t="shared" si="397"/>
        <v>0</v>
      </c>
      <c r="EM60" s="135">
        <f t="shared" si="397"/>
        <v>0</v>
      </c>
      <c r="EN60" s="135">
        <f t="shared" si="397"/>
        <v>0</v>
      </c>
      <c r="EO60" s="135">
        <f t="shared" si="397"/>
        <v>0</v>
      </c>
      <c r="EP60" s="135">
        <f t="shared" si="397"/>
        <v>0</v>
      </c>
      <c r="EQ60" s="135">
        <f t="shared" si="397"/>
        <v>0</v>
      </c>
      <c r="ER60" s="135">
        <f t="shared" si="397"/>
        <v>0</v>
      </c>
      <c r="ES60" s="135">
        <f t="shared" si="397"/>
        <v>0</v>
      </c>
      <c r="ET60" s="135">
        <f t="shared" si="397"/>
        <v>0</v>
      </c>
      <c r="EU60" s="135">
        <f t="shared" si="397"/>
        <v>0</v>
      </c>
      <c r="EV60" s="549"/>
      <c r="EW60" s="550"/>
      <c r="EY60" s="557"/>
      <c r="EZ60" s="134" t="s">
        <v>12</v>
      </c>
      <c r="FA60" s="135">
        <f t="shared" ref="FA60:FL60" si="398">FA43</f>
        <v>0</v>
      </c>
      <c r="FB60" s="135">
        <f t="shared" si="398"/>
        <v>0</v>
      </c>
      <c r="FC60" s="135">
        <f t="shared" si="398"/>
        <v>0</v>
      </c>
      <c r="FD60" s="135">
        <f t="shared" si="398"/>
        <v>0</v>
      </c>
      <c r="FE60" s="135">
        <f t="shared" si="398"/>
        <v>0</v>
      </c>
      <c r="FF60" s="135">
        <f t="shared" si="398"/>
        <v>0</v>
      </c>
      <c r="FG60" s="135">
        <f t="shared" si="398"/>
        <v>0</v>
      </c>
      <c r="FH60" s="135">
        <f t="shared" si="398"/>
        <v>0</v>
      </c>
      <c r="FI60" s="135">
        <f t="shared" si="398"/>
        <v>0</v>
      </c>
      <c r="FJ60" s="135">
        <f t="shared" si="398"/>
        <v>0</v>
      </c>
      <c r="FK60" s="135">
        <f t="shared" si="398"/>
        <v>0</v>
      </c>
      <c r="FL60" s="135">
        <f t="shared" si="398"/>
        <v>0</v>
      </c>
      <c r="FM60" s="549"/>
      <c r="FN60" s="550"/>
    </row>
    <row r="61" spans="2:170" s="159" customFormat="1" ht="8.25" customHeight="1">
      <c r="B61" s="557"/>
      <c r="C61" s="134" t="s">
        <v>52</v>
      </c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549"/>
      <c r="Q61" s="550"/>
      <c r="R61" s="531"/>
      <c r="S61" s="557"/>
      <c r="T61" s="134" t="str">
        <f t="shared" si="358"/>
        <v>固定資産購入等</v>
      </c>
      <c r="U61" s="135"/>
      <c r="V61" s="135"/>
      <c r="W61" s="135"/>
      <c r="X61" s="135"/>
      <c r="Y61" s="135"/>
      <c r="Z61" s="135"/>
      <c r="AA61" s="135"/>
      <c r="AB61" s="135"/>
      <c r="AC61" s="135"/>
      <c r="AD61" s="135"/>
      <c r="AE61" s="135"/>
      <c r="AF61" s="135"/>
      <c r="AG61" s="549"/>
      <c r="AH61" s="550"/>
      <c r="AJ61" s="557"/>
      <c r="AK61" s="134" t="str">
        <f t="shared" si="360"/>
        <v>固定資産購入等</v>
      </c>
      <c r="AL61" s="135"/>
      <c r="AM61" s="135"/>
      <c r="AN61" s="135"/>
      <c r="AO61" s="135"/>
      <c r="AP61" s="135"/>
      <c r="AQ61" s="135"/>
      <c r="AR61" s="135"/>
      <c r="AS61" s="135"/>
      <c r="AT61" s="135"/>
      <c r="AU61" s="135"/>
      <c r="AV61" s="135"/>
      <c r="AW61" s="135"/>
      <c r="AX61" s="549"/>
      <c r="AY61" s="550"/>
      <c r="BA61" s="557"/>
      <c r="BB61" s="134" t="s">
        <v>52</v>
      </c>
      <c r="BC61" s="135"/>
      <c r="BD61" s="135"/>
      <c r="BE61" s="135"/>
      <c r="BF61" s="135"/>
      <c r="BG61" s="135"/>
      <c r="BH61" s="135"/>
      <c r="BI61" s="135"/>
      <c r="BJ61" s="135"/>
      <c r="BK61" s="135"/>
      <c r="BL61" s="135"/>
      <c r="BM61" s="135"/>
      <c r="BN61" s="135"/>
      <c r="BO61" s="549"/>
      <c r="BP61" s="550"/>
      <c r="BR61" s="557"/>
      <c r="BS61" s="134" t="s">
        <v>52</v>
      </c>
      <c r="BT61" s="135"/>
      <c r="BU61" s="135"/>
      <c r="BV61" s="135"/>
      <c r="BW61" s="135"/>
      <c r="BX61" s="135"/>
      <c r="BY61" s="135"/>
      <c r="BZ61" s="135"/>
      <c r="CA61" s="135"/>
      <c r="CB61" s="135"/>
      <c r="CC61" s="135"/>
      <c r="CD61" s="135"/>
      <c r="CE61" s="135"/>
      <c r="CF61" s="549"/>
      <c r="CG61" s="550"/>
      <c r="CI61" s="557"/>
      <c r="CJ61" s="134" t="s">
        <v>52</v>
      </c>
      <c r="CK61" s="135"/>
      <c r="CL61" s="135"/>
      <c r="CM61" s="135"/>
      <c r="CN61" s="135"/>
      <c r="CO61" s="135"/>
      <c r="CP61" s="135"/>
      <c r="CQ61" s="135"/>
      <c r="CR61" s="135"/>
      <c r="CS61" s="135"/>
      <c r="CT61" s="135"/>
      <c r="CU61" s="135"/>
      <c r="CV61" s="135"/>
      <c r="CW61" s="549"/>
      <c r="CX61" s="550"/>
      <c r="CZ61" s="557"/>
      <c r="DA61" s="134" t="s">
        <v>52</v>
      </c>
      <c r="DB61" s="135"/>
      <c r="DC61" s="135"/>
      <c r="DD61" s="135"/>
      <c r="DE61" s="135"/>
      <c r="DF61" s="135"/>
      <c r="DG61" s="135"/>
      <c r="DH61" s="135"/>
      <c r="DI61" s="135"/>
      <c r="DJ61" s="135"/>
      <c r="DK61" s="135"/>
      <c r="DL61" s="135"/>
      <c r="DM61" s="135"/>
      <c r="DN61" s="549"/>
      <c r="DO61" s="550"/>
      <c r="DQ61" s="557"/>
      <c r="DR61" s="134" t="s">
        <v>52</v>
      </c>
      <c r="DS61" s="135"/>
      <c r="DT61" s="135"/>
      <c r="DU61" s="135"/>
      <c r="DV61" s="135"/>
      <c r="DW61" s="135"/>
      <c r="DX61" s="135"/>
      <c r="DY61" s="135"/>
      <c r="DZ61" s="135"/>
      <c r="EA61" s="135"/>
      <c r="EB61" s="135"/>
      <c r="EC61" s="135"/>
      <c r="ED61" s="135"/>
      <c r="EE61" s="549"/>
      <c r="EF61" s="550"/>
      <c r="EH61" s="557"/>
      <c r="EI61" s="134" t="s">
        <v>52</v>
      </c>
      <c r="EJ61" s="135"/>
      <c r="EK61" s="135"/>
      <c r="EL61" s="135"/>
      <c r="EM61" s="135"/>
      <c r="EN61" s="135"/>
      <c r="EO61" s="135"/>
      <c r="EP61" s="135"/>
      <c r="EQ61" s="135"/>
      <c r="ER61" s="135"/>
      <c r="ES61" s="135"/>
      <c r="ET61" s="135"/>
      <c r="EU61" s="135"/>
      <c r="EV61" s="549"/>
      <c r="EW61" s="550"/>
      <c r="EY61" s="557"/>
      <c r="EZ61" s="134" t="s">
        <v>52</v>
      </c>
      <c r="FA61" s="135"/>
      <c r="FB61" s="135"/>
      <c r="FC61" s="135"/>
      <c r="FD61" s="135"/>
      <c r="FE61" s="135"/>
      <c r="FF61" s="135"/>
      <c r="FG61" s="135"/>
      <c r="FH61" s="135"/>
      <c r="FI61" s="135"/>
      <c r="FJ61" s="135"/>
      <c r="FK61" s="135"/>
      <c r="FL61" s="135"/>
      <c r="FM61" s="549"/>
      <c r="FN61" s="550"/>
    </row>
    <row r="62" spans="2:170" s="159" customFormat="1" ht="8.25" customHeight="1">
      <c r="B62" s="557"/>
      <c r="C62" s="134" t="s">
        <v>51</v>
      </c>
      <c r="D62" s="135">
        <f t="shared" ref="D62:N62" si="399">D39</f>
        <v>0</v>
      </c>
      <c r="E62" s="135">
        <f t="shared" si="399"/>
        <v>0</v>
      </c>
      <c r="F62" s="135">
        <f t="shared" si="399"/>
        <v>0</v>
      </c>
      <c r="G62" s="135">
        <f t="shared" si="399"/>
        <v>0</v>
      </c>
      <c r="H62" s="135">
        <f t="shared" si="399"/>
        <v>0</v>
      </c>
      <c r="I62" s="135">
        <f t="shared" si="399"/>
        <v>0</v>
      </c>
      <c r="J62" s="135">
        <f t="shared" si="399"/>
        <v>0</v>
      </c>
      <c r="K62" s="135">
        <f t="shared" si="399"/>
        <v>0</v>
      </c>
      <c r="L62" s="135">
        <f t="shared" si="399"/>
        <v>0</v>
      </c>
      <c r="M62" s="135">
        <f t="shared" si="399"/>
        <v>0</v>
      </c>
      <c r="N62" s="135">
        <f t="shared" si="399"/>
        <v>0</v>
      </c>
      <c r="O62" s="135">
        <f>O39</f>
        <v>0</v>
      </c>
      <c r="P62" s="549"/>
      <c r="Q62" s="550"/>
      <c r="R62" s="531"/>
      <c r="S62" s="557"/>
      <c r="T62" s="134" t="str">
        <f t="shared" si="358"/>
        <v>他支出</v>
      </c>
      <c r="U62" s="135">
        <f t="shared" ref="U62:AE62" si="400">U39</f>
        <v>0</v>
      </c>
      <c r="V62" s="135">
        <f t="shared" si="400"/>
        <v>0</v>
      </c>
      <c r="W62" s="135">
        <f t="shared" si="400"/>
        <v>0</v>
      </c>
      <c r="X62" s="135">
        <f t="shared" si="400"/>
        <v>0</v>
      </c>
      <c r="Y62" s="135">
        <f t="shared" si="400"/>
        <v>0</v>
      </c>
      <c r="Z62" s="135">
        <f t="shared" si="400"/>
        <v>0</v>
      </c>
      <c r="AA62" s="135">
        <f t="shared" si="400"/>
        <v>0</v>
      </c>
      <c r="AB62" s="135">
        <f t="shared" si="400"/>
        <v>0</v>
      </c>
      <c r="AC62" s="135">
        <f t="shared" si="400"/>
        <v>0</v>
      </c>
      <c r="AD62" s="135">
        <f t="shared" si="400"/>
        <v>0</v>
      </c>
      <c r="AE62" s="135">
        <f t="shared" si="400"/>
        <v>0</v>
      </c>
      <c r="AF62" s="135">
        <f>AF39</f>
        <v>0</v>
      </c>
      <c r="AG62" s="549"/>
      <c r="AH62" s="550"/>
      <c r="AJ62" s="557"/>
      <c r="AK62" s="134" t="str">
        <f t="shared" si="360"/>
        <v>他支出</v>
      </c>
      <c r="AL62" s="135">
        <f t="shared" ref="AL62:AV62" si="401">AL39</f>
        <v>0</v>
      </c>
      <c r="AM62" s="135">
        <f t="shared" si="401"/>
        <v>0</v>
      </c>
      <c r="AN62" s="135">
        <f t="shared" si="401"/>
        <v>0</v>
      </c>
      <c r="AO62" s="135">
        <f t="shared" si="401"/>
        <v>0</v>
      </c>
      <c r="AP62" s="135">
        <f t="shared" si="401"/>
        <v>0</v>
      </c>
      <c r="AQ62" s="135">
        <f t="shared" si="401"/>
        <v>0</v>
      </c>
      <c r="AR62" s="135">
        <f t="shared" si="401"/>
        <v>0</v>
      </c>
      <c r="AS62" s="135">
        <f t="shared" si="401"/>
        <v>0</v>
      </c>
      <c r="AT62" s="135">
        <f t="shared" si="401"/>
        <v>0</v>
      </c>
      <c r="AU62" s="135">
        <f t="shared" si="401"/>
        <v>0</v>
      </c>
      <c r="AV62" s="135">
        <f t="shared" si="401"/>
        <v>0</v>
      </c>
      <c r="AW62" s="135">
        <f>AW39</f>
        <v>0</v>
      </c>
      <c r="AX62" s="549"/>
      <c r="AY62" s="550"/>
      <c r="BA62" s="557"/>
      <c r="BB62" s="134" t="s">
        <v>51</v>
      </c>
      <c r="BC62" s="135"/>
      <c r="BD62" s="135"/>
      <c r="BE62" s="135"/>
      <c r="BF62" s="135"/>
      <c r="BG62" s="135"/>
      <c r="BH62" s="135"/>
      <c r="BI62" s="135"/>
      <c r="BJ62" s="135"/>
      <c r="BK62" s="135"/>
      <c r="BL62" s="135"/>
      <c r="BM62" s="135"/>
      <c r="BN62" s="135">
        <f>BN39</f>
        <v>0</v>
      </c>
      <c r="BO62" s="549"/>
      <c r="BP62" s="550"/>
      <c r="BR62" s="557"/>
      <c r="BS62" s="134" t="s">
        <v>51</v>
      </c>
      <c r="BT62" s="135"/>
      <c r="BU62" s="135"/>
      <c r="BV62" s="135"/>
      <c r="BW62" s="135"/>
      <c r="BX62" s="135"/>
      <c r="BY62" s="135"/>
      <c r="BZ62" s="135"/>
      <c r="CA62" s="135"/>
      <c r="CB62" s="135"/>
      <c r="CC62" s="135"/>
      <c r="CD62" s="135"/>
      <c r="CE62" s="135">
        <f>CE39</f>
        <v>0</v>
      </c>
      <c r="CF62" s="549"/>
      <c r="CG62" s="550"/>
      <c r="CI62" s="557"/>
      <c r="CJ62" s="134" t="s">
        <v>51</v>
      </c>
      <c r="CK62" s="135"/>
      <c r="CL62" s="135"/>
      <c r="CM62" s="135"/>
      <c r="CN62" s="135"/>
      <c r="CO62" s="135"/>
      <c r="CP62" s="135"/>
      <c r="CQ62" s="135"/>
      <c r="CR62" s="135"/>
      <c r="CS62" s="135"/>
      <c r="CT62" s="135"/>
      <c r="CU62" s="135"/>
      <c r="CV62" s="135" t="e">
        <f>CV39</f>
        <v>#REF!</v>
      </c>
      <c r="CW62" s="549"/>
      <c r="CX62" s="550"/>
      <c r="CZ62" s="557"/>
      <c r="DA62" s="134" t="s">
        <v>51</v>
      </c>
      <c r="DB62" s="135"/>
      <c r="DC62" s="135"/>
      <c r="DD62" s="135"/>
      <c r="DE62" s="135"/>
      <c r="DF62" s="135"/>
      <c r="DG62" s="135"/>
      <c r="DH62" s="135"/>
      <c r="DI62" s="135"/>
      <c r="DJ62" s="135"/>
      <c r="DK62" s="135"/>
      <c r="DL62" s="135"/>
      <c r="DM62" s="135" t="e">
        <f>DM39</f>
        <v>#REF!</v>
      </c>
      <c r="DN62" s="549"/>
      <c r="DO62" s="550"/>
      <c r="DQ62" s="557"/>
      <c r="DR62" s="134" t="s">
        <v>51</v>
      </c>
      <c r="DS62" s="135"/>
      <c r="DT62" s="135"/>
      <c r="DU62" s="135"/>
      <c r="DV62" s="135"/>
      <c r="DW62" s="135"/>
      <c r="DX62" s="135"/>
      <c r="DY62" s="135"/>
      <c r="DZ62" s="135"/>
      <c r="EA62" s="135"/>
      <c r="EB62" s="135"/>
      <c r="EC62" s="135"/>
      <c r="ED62" s="135" t="e">
        <f>ED39</f>
        <v>#REF!</v>
      </c>
      <c r="EE62" s="549"/>
      <c r="EF62" s="550"/>
      <c r="EH62" s="557"/>
      <c r="EI62" s="134" t="s">
        <v>51</v>
      </c>
      <c r="EJ62" s="135"/>
      <c r="EK62" s="135"/>
      <c r="EL62" s="135"/>
      <c r="EM62" s="135"/>
      <c r="EN62" s="135"/>
      <c r="EO62" s="135"/>
      <c r="EP62" s="135"/>
      <c r="EQ62" s="135"/>
      <c r="ER62" s="135"/>
      <c r="ES62" s="135"/>
      <c r="ET62" s="135"/>
      <c r="EU62" s="135" t="e">
        <f>EU39</f>
        <v>#REF!</v>
      </c>
      <c r="EV62" s="549"/>
      <c r="EW62" s="550"/>
      <c r="EY62" s="557"/>
      <c r="EZ62" s="134" t="s">
        <v>51</v>
      </c>
      <c r="FA62" s="135"/>
      <c r="FB62" s="135"/>
      <c r="FC62" s="135"/>
      <c r="FD62" s="135"/>
      <c r="FE62" s="135"/>
      <c r="FF62" s="135"/>
      <c r="FG62" s="135"/>
      <c r="FH62" s="135"/>
      <c r="FI62" s="135"/>
      <c r="FJ62" s="135"/>
      <c r="FK62" s="135"/>
      <c r="FL62" s="135" t="e">
        <f>FL39</f>
        <v>#REF!</v>
      </c>
      <c r="FM62" s="549"/>
      <c r="FN62" s="550"/>
    </row>
    <row r="63" spans="2:170" ht="11.25" customHeight="1">
      <c r="B63" s="551" t="s">
        <v>53</v>
      </c>
      <c r="C63" s="551"/>
      <c r="D63" s="139">
        <f t="shared" ref="D63:O63" si="402">D50-D55</f>
        <v>0</v>
      </c>
      <c r="E63" s="139">
        <f t="shared" si="402"/>
        <v>0</v>
      </c>
      <c r="F63" s="139">
        <f t="shared" si="402"/>
        <v>0</v>
      </c>
      <c r="G63" s="139">
        <f t="shared" si="402"/>
        <v>0</v>
      </c>
      <c r="H63" s="139">
        <f t="shared" si="402"/>
        <v>0</v>
      </c>
      <c r="I63" s="139">
        <f t="shared" si="402"/>
        <v>0</v>
      </c>
      <c r="J63" s="139">
        <f t="shared" si="402"/>
        <v>0</v>
      </c>
      <c r="K63" s="139">
        <f t="shared" si="402"/>
        <v>0</v>
      </c>
      <c r="L63" s="139">
        <f t="shared" si="402"/>
        <v>0</v>
      </c>
      <c r="M63" s="139">
        <f t="shared" si="402"/>
        <v>0</v>
      </c>
      <c r="N63" s="139">
        <f t="shared" si="402"/>
        <v>100000</v>
      </c>
      <c r="O63" s="139">
        <f t="shared" si="402"/>
        <v>0</v>
      </c>
      <c r="P63" s="533"/>
      <c r="Q63" s="534"/>
      <c r="R63" s="531"/>
      <c r="S63" s="551" t="s">
        <v>53</v>
      </c>
      <c r="T63" s="551"/>
      <c r="U63" s="139">
        <f t="shared" ref="U63:AF63" si="403">U50-U55</f>
        <v>-55000</v>
      </c>
      <c r="V63" s="139">
        <f t="shared" si="403"/>
        <v>-580172.1</v>
      </c>
      <c r="W63" s="139">
        <f t="shared" si="403"/>
        <v>448197.9</v>
      </c>
      <c r="X63" s="139">
        <f t="shared" si="403"/>
        <v>331938.30000000005</v>
      </c>
      <c r="Y63" s="139">
        <f t="shared" si="403"/>
        <v>197291.59999999986</v>
      </c>
      <c r="Z63" s="139">
        <f t="shared" si="403"/>
        <v>281550.80000000005</v>
      </c>
      <c r="AA63" s="139">
        <f t="shared" si="403"/>
        <v>215550.80000000005</v>
      </c>
      <c r="AB63" s="139">
        <f t="shared" si="403"/>
        <v>299810</v>
      </c>
      <c r="AC63" s="139">
        <f t="shared" si="403"/>
        <v>283810</v>
      </c>
      <c r="AD63" s="139">
        <f t="shared" si="403"/>
        <v>368069.19999999995</v>
      </c>
      <c r="AE63" s="139">
        <f t="shared" si="403"/>
        <v>352069.19999999995</v>
      </c>
      <c r="AF63" s="139">
        <f t="shared" si="403"/>
        <v>436328.40000000014</v>
      </c>
      <c r="AG63" s="533"/>
      <c r="AH63" s="534"/>
      <c r="AJ63" s="551" t="s">
        <v>53</v>
      </c>
      <c r="AK63" s="551"/>
      <c r="AL63" s="139">
        <f t="shared" ref="AL63:AW63" si="404">AL50-AL55</f>
        <v>714541.2</v>
      </c>
      <c r="AM63" s="139">
        <f t="shared" si="404"/>
        <v>906365.2</v>
      </c>
      <c r="AN63" s="139">
        <f t="shared" si="404"/>
        <v>201551.19999999995</v>
      </c>
      <c r="AO63" s="139">
        <f t="shared" si="404"/>
        <v>203291.59999999986</v>
      </c>
      <c r="AP63" s="139">
        <f t="shared" si="404"/>
        <v>187291.59999999986</v>
      </c>
      <c r="AQ63" s="139">
        <f t="shared" si="404"/>
        <v>271550.80000000005</v>
      </c>
      <c r="AR63" s="139">
        <f t="shared" si="404"/>
        <v>255550.80000000005</v>
      </c>
      <c r="AS63" s="139">
        <f t="shared" si="404"/>
        <v>339810</v>
      </c>
      <c r="AT63" s="139">
        <f t="shared" si="404"/>
        <v>323810</v>
      </c>
      <c r="AU63" s="139">
        <f t="shared" si="404"/>
        <v>408069.19999999995</v>
      </c>
      <c r="AV63" s="139">
        <f t="shared" si="404"/>
        <v>392069.19999999995</v>
      </c>
      <c r="AW63" s="139">
        <f t="shared" si="404"/>
        <v>476328.40000000014</v>
      </c>
      <c r="AX63" s="533"/>
      <c r="AY63" s="534"/>
      <c r="BA63" s="551" t="s">
        <v>53</v>
      </c>
      <c r="BB63" s="551"/>
      <c r="BC63" s="139">
        <f t="shared" ref="BC63:BN63" si="405">BC50-BC55</f>
        <v>152236.80000000005</v>
      </c>
      <c r="BD63" s="139">
        <f t="shared" si="405"/>
        <v>-2580</v>
      </c>
      <c r="BE63" s="139">
        <f t="shared" si="405"/>
        <v>-2580</v>
      </c>
      <c r="BF63" s="139">
        <f t="shared" si="405"/>
        <v>-2580</v>
      </c>
      <c r="BG63" s="139">
        <f t="shared" si="405"/>
        <v>-2580</v>
      </c>
      <c r="BH63" s="139">
        <f t="shared" si="405"/>
        <v>-3380</v>
      </c>
      <c r="BI63" s="139">
        <f t="shared" si="405"/>
        <v>-2200</v>
      </c>
      <c r="BJ63" s="139">
        <f t="shared" si="405"/>
        <v>-1780</v>
      </c>
      <c r="BK63" s="139">
        <f t="shared" si="405"/>
        <v>-2160</v>
      </c>
      <c r="BL63" s="139">
        <f t="shared" si="405"/>
        <v>-2160</v>
      </c>
      <c r="BM63" s="139">
        <f t="shared" si="405"/>
        <v>-2160</v>
      </c>
      <c r="BN63" s="139">
        <f t="shared" si="405"/>
        <v>-2160</v>
      </c>
      <c r="BO63" s="533"/>
      <c r="BP63" s="534"/>
      <c r="BR63" s="551" t="s">
        <v>53</v>
      </c>
      <c r="BS63" s="551"/>
      <c r="BT63" s="139">
        <f t="shared" ref="BT63:CE63" si="406">BT50-BT55</f>
        <v>-2960</v>
      </c>
      <c r="BU63" s="139">
        <f t="shared" si="406"/>
        <v>-3660</v>
      </c>
      <c r="BV63" s="139">
        <f t="shared" si="406"/>
        <v>-3660</v>
      </c>
      <c r="BW63" s="139">
        <f t="shared" si="406"/>
        <v>-3660</v>
      </c>
      <c r="BX63" s="139">
        <f t="shared" si="406"/>
        <v>-3660</v>
      </c>
      <c r="BY63" s="139">
        <f t="shared" si="406"/>
        <v>-4460</v>
      </c>
      <c r="BZ63" s="139">
        <f t="shared" si="406"/>
        <v>-3280</v>
      </c>
      <c r="CA63" s="139">
        <f t="shared" si="406"/>
        <v>-2860</v>
      </c>
      <c r="CB63" s="139">
        <f t="shared" si="406"/>
        <v>-3240</v>
      </c>
      <c r="CC63" s="139">
        <f t="shared" si="406"/>
        <v>-3240</v>
      </c>
      <c r="CD63" s="139">
        <f t="shared" si="406"/>
        <v>-3240</v>
      </c>
      <c r="CE63" s="139">
        <f t="shared" si="406"/>
        <v>-3240</v>
      </c>
      <c r="CF63" s="533"/>
      <c r="CG63" s="534"/>
      <c r="CI63" s="551" t="s">
        <v>53</v>
      </c>
      <c r="CJ63" s="551"/>
      <c r="CK63" s="139">
        <f t="shared" ref="CK63:CV63" si="407">CK50-CK55</f>
        <v>-27240</v>
      </c>
      <c r="CL63" s="139">
        <f t="shared" si="407"/>
        <v>-27548</v>
      </c>
      <c r="CM63" s="139">
        <f t="shared" si="407"/>
        <v>-27548</v>
      </c>
      <c r="CN63" s="139">
        <f t="shared" si="407"/>
        <v>-27548</v>
      </c>
      <c r="CO63" s="139">
        <f t="shared" si="407"/>
        <v>-27548</v>
      </c>
      <c r="CP63" s="139">
        <f t="shared" si="407"/>
        <v>-27548</v>
      </c>
      <c r="CQ63" s="139">
        <f t="shared" si="407"/>
        <v>-27548</v>
      </c>
      <c r="CR63" s="139">
        <f t="shared" si="407"/>
        <v>-30680</v>
      </c>
      <c r="CS63" s="139">
        <f t="shared" si="407"/>
        <v>-30680</v>
      </c>
      <c r="CT63" s="139">
        <f t="shared" si="407"/>
        <v>-30680</v>
      </c>
      <c r="CU63" s="139">
        <f t="shared" si="407"/>
        <v>-30680</v>
      </c>
      <c r="CV63" s="139" t="e">
        <f t="shared" si="407"/>
        <v>#REF!</v>
      </c>
      <c r="CW63" s="533"/>
      <c r="CX63" s="534"/>
      <c r="CZ63" s="551" t="s">
        <v>53</v>
      </c>
      <c r="DA63" s="551"/>
      <c r="DB63" s="139" t="e">
        <f t="shared" ref="DB63:DM63" si="408">DB50-DB55</f>
        <v>#REF!</v>
      </c>
      <c r="DC63" s="139">
        <f t="shared" si="408"/>
        <v>-32826</v>
      </c>
      <c r="DD63" s="139">
        <f t="shared" si="408"/>
        <v>-32826</v>
      </c>
      <c r="DE63" s="139">
        <f t="shared" si="408"/>
        <v>-32826</v>
      </c>
      <c r="DF63" s="139">
        <f t="shared" si="408"/>
        <v>-32826</v>
      </c>
      <c r="DG63" s="139">
        <f t="shared" si="408"/>
        <v>-32826</v>
      </c>
      <c r="DH63" s="139">
        <f t="shared" si="408"/>
        <v>-32826</v>
      </c>
      <c r="DI63" s="139">
        <f t="shared" si="408"/>
        <v>-34892</v>
      </c>
      <c r="DJ63" s="139">
        <f t="shared" si="408"/>
        <v>-34892</v>
      </c>
      <c r="DK63" s="139">
        <f t="shared" si="408"/>
        <v>-34892</v>
      </c>
      <c r="DL63" s="139">
        <f t="shared" si="408"/>
        <v>-34892</v>
      </c>
      <c r="DM63" s="139" t="e">
        <f t="shared" si="408"/>
        <v>#REF!</v>
      </c>
      <c r="DN63" s="533"/>
      <c r="DO63" s="534"/>
      <c r="DQ63" s="551" t="s">
        <v>53</v>
      </c>
      <c r="DR63" s="551"/>
      <c r="DS63" s="139" t="e">
        <f t="shared" ref="DS63:ED63" si="409">DS50-DS55</f>
        <v>#REF!</v>
      </c>
      <c r="DT63" s="139">
        <f t="shared" si="409"/>
        <v>-37038</v>
      </c>
      <c r="DU63" s="139">
        <f t="shared" si="409"/>
        <v>-37038</v>
      </c>
      <c r="DV63" s="139">
        <f t="shared" si="409"/>
        <v>-37038</v>
      </c>
      <c r="DW63" s="139">
        <f t="shared" si="409"/>
        <v>-37038</v>
      </c>
      <c r="DX63" s="139">
        <f t="shared" si="409"/>
        <v>-40170</v>
      </c>
      <c r="DY63" s="139">
        <f t="shared" si="409"/>
        <v>-42236</v>
      </c>
      <c r="DZ63" s="139">
        <f t="shared" si="409"/>
        <v>-42236</v>
      </c>
      <c r="EA63" s="139">
        <f t="shared" si="409"/>
        <v>-42236</v>
      </c>
      <c r="EB63" s="139">
        <f t="shared" si="409"/>
        <v>-42236</v>
      </c>
      <c r="EC63" s="139">
        <f t="shared" si="409"/>
        <v>-42236</v>
      </c>
      <c r="ED63" s="139" t="e">
        <f t="shared" si="409"/>
        <v>#REF!</v>
      </c>
      <c r="EE63" s="533"/>
      <c r="EF63" s="534"/>
      <c r="EH63" s="551" t="s">
        <v>53</v>
      </c>
      <c r="EI63" s="551"/>
      <c r="EJ63" s="139" t="e">
        <f t="shared" ref="EJ63:EU63" si="410">EJ50-EJ55</f>
        <v>#REF!</v>
      </c>
      <c r="EK63" s="139">
        <f t="shared" si="410"/>
        <v>-43316</v>
      </c>
      <c r="EL63" s="139">
        <f t="shared" si="410"/>
        <v>-43316</v>
      </c>
      <c r="EM63" s="139">
        <f t="shared" si="410"/>
        <v>-43316</v>
      </c>
      <c r="EN63" s="139">
        <f t="shared" si="410"/>
        <v>-43316</v>
      </c>
      <c r="EO63" s="139">
        <f t="shared" si="410"/>
        <v>-43316</v>
      </c>
      <c r="EP63" s="139">
        <f t="shared" si="410"/>
        <v>-46448</v>
      </c>
      <c r="EQ63" s="139">
        <f t="shared" si="410"/>
        <v>-46448</v>
      </c>
      <c r="ER63" s="139">
        <f t="shared" si="410"/>
        <v>-46448</v>
      </c>
      <c r="ES63" s="139">
        <f t="shared" si="410"/>
        <v>-46448</v>
      </c>
      <c r="ET63" s="139">
        <f t="shared" si="410"/>
        <v>-46448</v>
      </c>
      <c r="EU63" s="139" t="e">
        <f t="shared" si="410"/>
        <v>#REF!</v>
      </c>
      <c r="EV63" s="533"/>
      <c r="EW63" s="534"/>
      <c r="EY63" s="551" t="s">
        <v>53</v>
      </c>
      <c r="EZ63" s="551"/>
      <c r="FA63" s="139" t="e">
        <f t="shared" ref="FA63:FL63" si="411">FA50-FA55</f>
        <v>#REF!</v>
      </c>
      <c r="FB63" s="139">
        <f t="shared" si="411"/>
        <v>-54560</v>
      </c>
      <c r="FC63" s="139">
        <f t="shared" si="411"/>
        <v>-54560</v>
      </c>
      <c r="FD63" s="139">
        <f t="shared" si="411"/>
        <v>-54560</v>
      </c>
      <c r="FE63" s="139">
        <f t="shared" si="411"/>
        <v>-54560</v>
      </c>
      <c r="FF63" s="139">
        <f t="shared" si="411"/>
        <v>-54560</v>
      </c>
      <c r="FG63" s="139">
        <f t="shared" si="411"/>
        <v>-54560</v>
      </c>
      <c r="FH63" s="139">
        <f t="shared" si="411"/>
        <v>-54560</v>
      </c>
      <c r="FI63" s="139">
        <f t="shared" si="411"/>
        <v>-54560</v>
      </c>
      <c r="FJ63" s="139">
        <f t="shared" si="411"/>
        <v>-54560</v>
      </c>
      <c r="FK63" s="139">
        <f t="shared" si="411"/>
        <v>-54560</v>
      </c>
      <c r="FL63" s="139" t="e">
        <f t="shared" si="411"/>
        <v>#REF!</v>
      </c>
      <c r="FM63" s="533"/>
      <c r="FN63" s="534"/>
    </row>
    <row r="64" spans="2:170" ht="11.25" customHeight="1">
      <c r="B64" s="552" t="s">
        <v>61</v>
      </c>
      <c r="C64" s="553"/>
      <c r="D64" s="132">
        <f t="shared" ref="D64:O64" si="412">SUM(D65:D69)</f>
        <v>0</v>
      </c>
      <c r="E64" s="132">
        <f t="shared" si="412"/>
        <v>0</v>
      </c>
      <c r="F64" s="132">
        <f t="shared" si="412"/>
        <v>0</v>
      </c>
      <c r="G64" s="132">
        <f t="shared" si="412"/>
        <v>0</v>
      </c>
      <c r="H64" s="132">
        <f t="shared" si="412"/>
        <v>0</v>
      </c>
      <c r="I64" s="132">
        <f t="shared" si="412"/>
        <v>0</v>
      </c>
      <c r="J64" s="132">
        <f t="shared" si="412"/>
        <v>0</v>
      </c>
      <c r="K64" s="132">
        <f t="shared" si="412"/>
        <v>0</v>
      </c>
      <c r="L64" s="132">
        <f t="shared" si="412"/>
        <v>0</v>
      </c>
      <c r="M64" s="132">
        <f t="shared" si="412"/>
        <v>0</v>
      </c>
      <c r="N64" s="132">
        <f t="shared" si="412"/>
        <v>0</v>
      </c>
      <c r="O64" s="132">
        <f t="shared" si="412"/>
        <v>0</v>
      </c>
      <c r="P64" s="554"/>
      <c r="Q64" s="555"/>
      <c r="R64" s="531"/>
      <c r="S64" s="552" t="s">
        <v>61</v>
      </c>
      <c r="T64" s="553"/>
      <c r="U64" s="132">
        <f t="shared" ref="U64:AF64" si="413">SUM(U65:U69)</f>
        <v>400000</v>
      </c>
      <c r="V64" s="132">
        <f t="shared" si="413"/>
        <v>281600</v>
      </c>
      <c r="W64" s="132">
        <f t="shared" si="413"/>
        <v>-281600</v>
      </c>
      <c r="X64" s="132">
        <f t="shared" si="413"/>
        <v>-400000</v>
      </c>
      <c r="Y64" s="132">
        <f t="shared" si="413"/>
        <v>0</v>
      </c>
      <c r="Z64" s="132">
        <f t="shared" si="413"/>
        <v>0</v>
      </c>
      <c r="AA64" s="132">
        <f t="shared" si="413"/>
        <v>0</v>
      </c>
      <c r="AB64" s="132">
        <f t="shared" si="413"/>
        <v>0</v>
      </c>
      <c r="AC64" s="132">
        <f t="shared" si="413"/>
        <v>0</v>
      </c>
      <c r="AD64" s="132">
        <f t="shared" si="413"/>
        <v>0</v>
      </c>
      <c r="AE64" s="132">
        <f t="shared" si="413"/>
        <v>0</v>
      </c>
      <c r="AF64" s="132">
        <f t="shared" si="413"/>
        <v>0</v>
      </c>
      <c r="AG64" s="554"/>
      <c r="AH64" s="555"/>
      <c r="AJ64" s="552" t="s">
        <v>61</v>
      </c>
      <c r="AK64" s="553"/>
      <c r="AL64" s="132">
        <f t="shared" ref="AL64:AW64" si="414">SUM(AL65:AL69)</f>
        <v>0</v>
      </c>
      <c r="AM64" s="132">
        <f t="shared" si="414"/>
        <v>0</v>
      </c>
      <c r="AN64" s="132">
        <f t="shared" si="414"/>
        <v>0</v>
      </c>
      <c r="AO64" s="132">
        <f t="shared" si="414"/>
        <v>0</v>
      </c>
      <c r="AP64" s="132">
        <f t="shared" si="414"/>
        <v>0</v>
      </c>
      <c r="AQ64" s="132">
        <f t="shared" si="414"/>
        <v>0</v>
      </c>
      <c r="AR64" s="132">
        <f t="shared" si="414"/>
        <v>0</v>
      </c>
      <c r="AS64" s="132">
        <f t="shared" si="414"/>
        <v>0</v>
      </c>
      <c r="AT64" s="132">
        <f t="shared" si="414"/>
        <v>0</v>
      </c>
      <c r="AU64" s="132">
        <f t="shared" si="414"/>
        <v>0</v>
      </c>
      <c r="AV64" s="132">
        <f t="shared" si="414"/>
        <v>0</v>
      </c>
      <c r="AW64" s="132">
        <f t="shared" si="414"/>
        <v>0</v>
      </c>
      <c r="AX64" s="554"/>
      <c r="AY64" s="555"/>
      <c r="BA64" s="552" t="s">
        <v>61</v>
      </c>
      <c r="BB64" s="553"/>
      <c r="BC64" s="132">
        <f t="shared" ref="BC64:BN64" si="415">SUM(BC65:BC69)</f>
        <v>-120000000</v>
      </c>
      <c r="BD64" s="132">
        <f t="shared" si="415"/>
        <v>0</v>
      </c>
      <c r="BE64" s="132">
        <f t="shared" si="415"/>
        <v>0</v>
      </c>
      <c r="BF64" s="132">
        <f t="shared" si="415"/>
        <v>0</v>
      </c>
      <c r="BG64" s="132">
        <f t="shared" si="415"/>
        <v>0</v>
      </c>
      <c r="BH64" s="132">
        <f t="shared" si="415"/>
        <v>0</v>
      </c>
      <c r="BI64" s="132">
        <f t="shared" si="415"/>
        <v>0</v>
      </c>
      <c r="BJ64" s="132">
        <f t="shared" si="415"/>
        <v>0</v>
      </c>
      <c r="BK64" s="132">
        <f t="shared" si="415"/>
        <v>0</v>
      </c>
      <c r="BL64" s="132">
        <f t="shared" si="415"/>
        <v>0</v>
      </c>
      <c r="BM64" s="132">
        <f t="shared" si="415"/>
        <v>0</v>
      </c>
      <c r="BN64" s="132">
        <f t="shared" si="415"/>
        <v>0</v>
      </c>
      <c r="BO64" s="554"/>
      <c r="BP64" s="555"/>
      <c r="BR64" s="552" t="s">
        <v>61</v>
      </c>
      <c r="BS64" s="553"/>
      <c r="BT64" s="132">
        <f t="shared" ref="BT64:CE64" si="416">SUM(BT65:BT69)</f>
        <v>0</v>
      </c>
      <c r="BU64" s="132">
        <f t="shared" si="416"/>
        <v>0</v>
      </c>
      <c r="BV64" s="132">
        <f t="shared" si="416"/>
        <v>0</v>
      </c>
      <c r="BW64" s="132">
        <f t="shared" si="416"/>
        <v>0</v>
      </c>
      <c r="BX64" s="132">
        <f t="shared" si="416"/>
        <v>0</v>
      </c>
      <c r="BY64" s="132">
        <f t="shared" si="416"/>
        <v>0</v>
      </c>
      <c r="BZ64" s="132">
        <f t="shared" si="416"/>
        <v>0</v>
      </c>
      <c r="CA64" s="132">
        <f t="shared" si="416"/>
        <v>0</v>
      </c>
      <c r="CB64" s="132">
        <f t="shared" si="416"/>
        <v>0</v>
      </c>
      <c r="CC64" s="132">
        <f t="shared" si="416"/>
        <v>0</v>
      </c>
      <c r="CD64" s="132">
        <f t="shared" si="416"/>
        <v>0</v>
      </c>
      <c r="CE64" s="132">
        <f t="shared" si="416"/>
        <v>0</v>
      </c>
      <c r="CF64" s="554"/>
      <c r="CG64" s="555"/>
      <c r="CI64" s="552" t="s">
        <v>61</v>
      </c>
      <c r="CJ64" s="553"/>
      <c r="CK64" s="132">
        <f t="shared" ref="CK64:CV64" si="417">SUM(CK65:CK69)</f>
        <v>0</v>
      </c>
      <c r="CL64" s="132">
        <f t="shared" si="417"/>
        <v>0</v>
      </c>
      <c r="CM64" s="132">
        <f t="shared" si="417"/>
        <v>0</v>
      </c>
      <c r="CN64" s="132">
        <f t="shared" si="417"/>
        <v>-26000</v>
      </c>
      <c r="CO64" s="132">
        <f t="shared" si="417"/>
        <v>0</v>
      </c>
      <c r="CP64" s="132">
        <f t="shared" si="417"/>
        <v>0</v>
      </c>
      <c r="CQ64" s="132">
        <f t="shared" si="417"/>
        <v>0</v>
      </c>
      <c r="CR64" s="132">
        <f t="shared" si="417"/>
        <v>0</v>
      </c>
      <c r="CS64" s="132">
        <f t="shared" si="417"/>
        <v>0</v>
      </c>
      <c r="CT64" s="132">
        <f t="shared" si="417"/>
        <v>0</v>
      </c>
      <c r="CU64" s="132">
        <f t="shared" si="417"/>
        <v>0</v>
      </c>
      <c r="CV64" s="132">
        <f t="shared" si="417"/>
        <v>0</v>
      </c>
      <c r="CW64" s="554"/>
      <c r="CX64" s="555"/>
      <c r="CZ64" s="552" t="s">
        <v>61</v>
      </c>
      <c r="DA64" s="553"/>
      <c r="DB64" s="132">
        <f t="shared" ref="DB64:DM64" si="418">SUM(DB65:DB69)</f>
        <v>0</v>
      </c>
      <c r="DC64" s="132">
        <f t="shared" si="418"/>
        <v>0</v>
      </c>
      <c r="DD64" s="132">
        <f t="shared" si="418"/>
        <v>0</v>
      </c>
      <c r="DE64" s="132">
        <f t="shared" si="418"/>
        <v>0</v>
      </c>
      <c r="DF64" s="132">
        <f t="shared" si="418"/>
        <v>0</v>
      </c>
      <c r="DG64" s="132">
        <f t="shared" si="418"/>
        <v>0</v>
      </c>
      <c r="DH64" s="132">
        <f t="shared" si="418"/>
        <v>0</v>
      </c>
      <c r="DI64" s="132">
        <f t="shared" si="418"/>
        <v>0</v>
      </c>
      <c r="DJ64" s="132">
        <f t="shared" si="418"/>
        <v>0</v>
      </c>
      <c r="DK64" s="132">
        <f t="shared" si="418"/>
        <v>0</v>
      </c>
      <c r="DL64" s="132">
        <f t="shared" si="418"/>
        <v>0</v>
      </c>
      <c r="DM64" s="132">
        <f t="shared" si="418"/>
        <v>0</v>
      </c>
      <c r="DN64" s="554"/>
      <c r="DO64" s="555"/>
      <c r="DQ64" s="552" t="s">
        <v>61</v>
      </c>
      <c r="DR64" s="553"/>
      <c r="DS64" s="132">
        <f t="shared" ref="DS64:ED64" si="419">SUM(DS65:DS69)</f>
        <v>0</v>
      </c>
      <c r="DT64" s="132">
        <f t="shared" si="419"/>
        <v>0</v>
      </c>
      <c r="DU64" s="132">
        <f t="shared" si="419"/>
        <v>0</v>
      </c>
      <c r="DV64" s="132">
        <f t="shared" si="419"/>
        <v>0</v>
      </c>
      <c r="DW64" s="132">
        <f t="shared" si="419"/>
        <v>0</v>
      </c>
      <c r="DX64" s="132">
        <f t="shared" si="419"/>
        <v>0</v>
      </c>
      <c r="DY64" s="132">
        <f t="shared" si="419"/>
        <v>0</v>
      </c>
      <c r="DZ64" s="132">
        <f t="shared" si="419"/>
        <v>0</v>
      </c>
      <c r="EA64" s="132">
        <f t="shared" si="419"/>
        <v>0</v>
      </c>
      <c r="EB64" s="132">
        <f t="shared" si="419"/>
        <v>0</v>
      </c>
      <c r="EC64" s="132">
        <f t="shared" si="419"/>
        <v>0</v>
      </c>
      <c r="ED64" s="132">
        <f t="shared" si="419"/>
        <v>0</v>
      </c>
      <c r="EE64" s="554"/>
      <c r="EF64" s="555"/>
      <c r="EH64" s="552" t="s">
        <v>61</v>
      </c>
      <c r="EI64" s="553"/>
      <c r="EJ64" s="132">
        <f t="shared" ref="EJ64:EU64" si="420">SUM(EJ65:EJ69)</f>
        <v>0</v>
      </c>
      <c r="EK64" s="132">
        <f t="shared" si="420"/>
        <v>0</v>
      </c>
      <c r="EL64" s="132">
        <f t="shared" si="420"/>
        <v>0</v>
      </c>
      <c r="EM64" s="132">
        <f t="shared" si="420"/>
        <v>0</v>
      </c>
      <c r="EN64" s="132">
        <f t="shared" si="420"/>
        <v>0</v>
      </c>
      <c r="EO64" s="132">
        <f t="shared" si="420"/>
        <v>0</v>
      </c>
      <c r="EP64" s="132">
        <f t="shared" si="420"/>
        <v>0</v>
      </c>
      <c r="EQ64" s="132">
        <f t="shared" si="420"/>
        <v>0</v>
      </c>
      <c r="ER64" s="132">
        <f t="shared" si="420"/>
        <v>0</v>
      </c>
      <c r="ES64" s="132">
        <f t="shared" si="420"/>
        <v>0</v>
      </c>
      <c r="ET64" s="132">
        <f t="shared" si="420"/>
        <v>0</v>
      </c>
      <c r="EU64" s="132">
        <f t="shared" si="420"/>
        <v>0</v>
      </c>
      <c r="EV64" s="554"/>
      <c r="EW64" s="555"/>
      <c r="EY64" s="552" t="s">
        <v>61</v>
      </c>
      <c r="EZ64" s="553"/>
      <c r="FA64" s="132">
        <f t="shared" ref="FA64:FL64" si="421">SUM(FA65:FA69)</f>
        <v>0</v>
      </c>
      <c r="FB64" s="132">
        <f t="shared" si="421"/>
        <v>0</v>
      </c>
      <c r="FC64" s="132">
        <f t="shared" si="421"/>
        <v>0</v>
      </c>
      <c r="FD64" s="132">
        <f t="shared" si="421"/>
        <v>0</v>
      </c>
      <c r="FE64" s="132">
        <f t="shared" si="421"/>
        <v>0</v>
      </c>
      <c r="FF64" s="132">
        <f t="shared" si="421"/>
        <v>0</v>
      </c>
      <c r="FG64" s="132">
        <f t="shared" si="421"/>
        <v>0</v>
      </c>
      <c r="FH64" s="132">
        <f t="shared" si="421"/>
        <v>0</v>
      </c>
      <c r="FI64" s="132">
        <f t="shared" si="421"/>
        <v>0</v>
      </c>
      <c r="FJ64" s="132">
        <f t="shared" si="421"/>
        <v>0</v>
      </c>
      <c r="FK64" s="132">
        <f t="shared" si="421"/>
        <v>0</v>
      </c>
      <c r="FL64" s="132">
        <f t="shared" si="421"/>
        <v>0</v>
      </c>
      <c r="FM64" s="554"/>
      <c r="FN64" s="555"/>
    </row>
    <row r="65" spans="2:170" s="159" customFormat="1" ht="8.25" customHeight="1">
      <c r="B65" s="556"/>
      <c r="C65" s="134" t="s">
        <v>55</v>
      </c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549"/>
      <c r="Q65" s="550"/>
      <c r="R65" s="531"/>
      <c r="S65" s="556"/>
      <c r="T65" s="134" t="str">
        <f t="shared" ref="T65:T68" si="422">IF(C65="","",C65)</f>
        <v>役員借入</v>
      </c>
      <c r="U65" s="135">
        <v>400000</v>
      </c>
      <c r="V65" s="135"/>
      <c r="W65" s="135"/>
      <c r="X65" s="135">
        <v>-400000</v>
      </c>
      <c r="Y65" s="135"/>
      <c r="Z65" s="135"/>
      <c r="AA65" s="135"/>
      <c r="AB65" s="135"/>
      <c r="AC65" s="135"/>
      <c r="AD65" s="135"/>
      <c r="AE65" s="135"/>
      <c r="AF65" s="135"/>
      <c r="AG65" s="549"/>
      <c r="AH65" s="550"/>
      <c r="AJ65" s="556"/>
      <c r="AK65" s="134" t="str">
        <f t="shared" ref="AK65:AK68" si="423">IF(T65="","",T65)</f>
        <v>役員借入</v>
      </c>
      <c r="AL65" s="135"/>
      <c r="AM65" s="135"/>
      <c r="AN65" s="135"/>
      <c r="AO65" s="135"/>
      <c r="AP65" s="135"/>
      <c r="AQ65" s="135"/>
      <c r="AR65" s="135"/>
      <c r="AS65" s="135"/>
      <c r="AT65" s="135"/>
      <c r="AU65" s="135"/>
      <c r="AV65" s="135"/>
      <c r="AW65" s="135"/>
      <c r="AX65" s="549"/>
      <c r="AY65" s="550"/>
      <c r="BA65" s="556"/>
      <c r="BB65" s="134" t="s">
        <v>54</v>
      </c>
      <c r="BC65" s="135"/>
      <c r="BD65" s="135"/>
      <c r="BE65" s="135"/>
      <c r="BF65" s="135"/>
      <c r="BG65" s="135"/>
      <c r="BH65" s="135"/>
      <c r="BI65" s="135"/>
      <c r="BJ65" s="135"/>
      <c r="BK65" s="135"/>
      <c r="BL65" s="135"/>
      <c r="BM65" s="135"/>
      <c r="BN65" s="135"/>
      <c r="BO65" s="549"/>
      <c r="BP65" s="550"/>
      <c r="BR65" s="556"/>
      <c r="BS65" s="134" t="s">
        <v>54</v>
      </c>
      <c r="BT65" s="135"/>
      <c r="BU65" s="135"/>
      <c r="BV65" s="135"/>
      <c r="BW65" s="135"/>
      <c r="BX65" s="135"/>
      <c r="BY65" s="135"/>
      <c r="BZ65" s="135"/>
      <c r="CA65" s="135"/>
      <c r="CB65" s="135"/>
      <c r="CC65" s="135"/>
      <c r="CD65" s="135"/>
      <c r="CE65" s="135"/>
      <c r="CF65" s="549"/>
      <c r="CG65" s="550"/>
      <c r="CI65" s="556"/>
      <c r="CJ65" s="134" t="s">
        <v>54</v>
      </c>
      <c r="CK65" s="135"/>
      <c r="CL65" s="135"/>
      <c r="CM65" s="135"/>
      <c r="CN65" s="135"/>
      <c r="CO65" s="135"/>
      <c r="CP65" s="135"/>
      <c r="CQ65" s="135"/>
      <c r="CR65" s="135"/>
      <c r="CS65" s="135"/>
      <c r="CT65" s="135"/>
      <c r="CU65" s="135"/>
      <c r="CV65" s="135"/>
      <c r="CW65" s="549"/>
      <c r="CX65" s="550"/>
      <c r="CZ65" s="556"/>
      <c r="DA65" s="134" t="s">
        <v>54</v>
      </c>
      <c r="DB65" s="135"/>
      <c r="DC65" s="135"/>
      <c r="DD65" s="135"/>
      <c r="DE65" s="135"/>
      <c r="DF65" s="135"/>
      <c r="DG65" s="135"/>
      <c r="DH65" s="135"/>
      <c r="DI65" s="135"/>
      <c r="DJ65" s="135"/>
      <c r="DK65" s="135"/>
      <c r="DL65" s="135"/>
      <c r="DM65" s="135"/>
      <c r="DN65" s="549"/>
      <c r="DO65" s="550"/>
      <c r="DQ65" s="556"/>
      <c r="DR65" s="134" t="s">
        <v>54</v>
      </c>
      <c r="DS65" s="135"/>
      <c r="DT65" s="135"/>
      <c r="DU65" s="135"/>
      <c r="DV65" s="135"/>
      <c r="DW65" s="135"/>
      <c r="DX65" s="135"/>
      <c r="DY65" s="135"/>
      <c r="DZ65" s="135"/>
      <c r="EA65" s="135"/>
      <c r="EB65" s="135"/>
      <c r="EC65" s="135"/>
      <c r="ED65" s="135"/>
      <c r="EE65" s="549"/>
      <c r="EF65" s="550"/>
      <c r="EH65" s="556"/>
      <c r="EI65" s="134" t="s">
        <v>54</v>
      </c>
      <c r="EJ65" s="135"/>
      <c r="EK65" s="135"/>
      <c r="EL65" s="135"/>
      <c r="EM65" s="135"/>
      <c r="EN65" s="135"/>
      <c r="EO65" s="135"/>
      <c r="EP65" s="135"/>
      <c r="EQ65" s="135"/>
      <c r="ER65" s="135"/>
      <c r="ES65" s="135"/>
      <c r="ET65" s="135"/>
      <c r="EU65" s="135"/>
      <c r="EV65" s="549"/>
      <c r="EW65" s="550"/>
      <c r="EY65" s="556"/>
      <c r="EZ65" s="134" t="s">
        <v>54</v>
      </c>
      <c r="FA65" s="135"/>
      <c r="FB65" s="135"/>
      <c r="FC65" s="135"/>
      <c r="FD65" s="135"/>
      <c r="FE65" s="135"/>
      <c r="FF65" s="135"/>
      <c r="FG65" s="135"/>
      <c r="FH65" s="135"/>
      <c r="FI65" s="135"/>
      <c r="FJ65" s="135"/>
      <c r="FK65" s="135"/>
      <c r="FL65" s="135"/>
      <c r="FM65" s="549"/>
      <c r="FN65" s="550"/>
    </row>
    <row r="66" spans="2:170" s="159" customFormat="1" ht="8.25" customHeight="1">
      <c r="B66" s="556"/>
      <c r="C66" s="134" t="s">
        <v>520</v>
      </c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549"/>
      <c r="Q66" s="550"/>
      <c r="R66" s="531"/>
      <c r="S66" s="556"/>
      <c r="T66" s="134" t="str">
        <f t="shared" si="422"/>
        <v>減価償却</v>
      </c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  <c r="AG66" s="549"/>
      <c r="AH66" s="550"/>
      <c r="AJ66" s="556"/>
      <c r="AK66" s="134" t="str">
        <f t="shared" si="423"/>
        <v>減価償却</v>
      </c>
      <c r="AL66" s="135"/>
      <c r="AM66" s="135"/>
      <c r="AN66" s="135"/>
      <c r="AO66" s="135"/>
      <c r="AP66" s="135"/>
      <c r="AQ66" s="135"/>
      <c r="AR66" s="135"/>
      <c r="AS66" s="135"/>
      <c r="AT66" s="135"/>
      <c r="AU66" s="135"/>
      <c r="AV66" s="135"/>
      <c r="AW66" s="135"/>
      <c r="AX66" s="549"/>
      <c r="AY66" s="550"/>
      <c r="BA66" s="556"/>
      <c r="BB66" s="134" t="s">
        <v>404</v>
      </c>
      <c r="BC66" s="135"/>
      <c r="BD66" s="135"/>
      <c r="BE66" s="135"/>
      <c r="BF66" s="135"/>
      <c r="BG66" s="135"/>
      <c r="BH66" s="135"/>
      <c r="BI66" s="135"/>
      <c r="BJ66" s="135"/>
      <c r="BK66" s="135"/>
      <c r="BL66" s="135"/>
      <c r="BM66" s="135"/>
      <c r="BN66" s="135"/>
      <c r="BO66" s="549"/>
      <c r="BP66" s="550"/>
      <c r="BR66" s="556"/>
      <c r="BS66" s="134" t="s">
        <v>404</v>
      </c>
      <c r="BT66" s="135"/>
      <c r="BU66" s="135"/>
      <c r="BV66" s="135"/>
      <c r="BW66" s="135"/>
      <c r="BX66" s="135"/>
      <c r="BY66" s="135"/>
      <c r="BZ66" s="135"/>
      <c r="CA66" s="135"/>
      <c r="CB66" s="135"/>
      <c r="CC66" s="135"/>
      <c r="CD66" s="135"/>
      <c r="CE66" s="135"/>
      <c r="CF66" s="549"/>
      <c r="CG66" s="550"/>
      <c r="CI66" s="556"/>
      <c r="CJ66" s="134" t="s">
        <v>404</v>
      </c>
      <c r="CK66" s="135"/>
      <c r="CL66" s="135"/>
      <c r="CM66" s="135"/>
      <c r="CN66" s="135">
        <v>-26000</v>
      </c>
      <c r="CO66" s="135"/>
      <c r="CP66" s="135"/>
      <c r="CQ66" s="135"/>
      <c r="CR66" s="135"/>
      <c r="CS66" s="135"/>
      <c r="CT66" s="135"/>
      <c r="CU66" s="135"/>
      <c r="CV66" s="135"/>
      <c r="CW66" s="549"/>
      <c r="CX66" s="550"/>
      <c r="CZ66" s="556"/>
      <c r="DA66" s="134" t="s">
        <v>404</v>
      </c>
      <c r="DB66" s="135"/>
      <c r="DC66" s="135"/>
      <c r="DD66" s="135"/>
      <c r="DE66" s="135"/>
      <c r="DF66" s="135"/>
      <c r="DG66" s="135"/>
      <c r="DH66" s="135"/>
      <c r="DI66" s="135"/>
      <c r="DJ66" s="135"/>
      <c r="DK66" s="135"/>
      <c r="DL66" s="135"/>
      <c r="DM66" s="135"/>
      <c r="DN66" s="549"/>
      <c r="DO66" s="550"/>
      <c r="DQ66" s="556"/>
      <c r="DR66" s="134" t="s">
        <v>404</v>
      </c>
      <c r="DS66" s="135"/>
      <c r="DT66" s="135"/>
      <c r="DU66" s="135"/>
      <c r="DV66" s="135"/>
      <c r="DW66" s="135"/>
      <c r="DX66" s="135"/>
      <c r="DY66" s="135"/>
      <c r="DZ66" s="135"/>
      <c r="EA66" s="135"/>
      <c r="EB66" s="135"/>
      <c r="EC66" s="135"/>
      <c r="ED66" s="135"/>
      <c r="EE66" s="549"/>
      <c r="EF66" s="550"/>
      <c r="EH66" s="556"/>
      <c r="EI66" s="134" t="s">
        <v>404</v>
      </c>
      <c r="EJ66" s="135"/>
      <c r="EK66" s="135"/>
      <c r="EL66" s="135"/>
      <c r="EM66" s="135"/>
      <c r="EN66" s="135"/>
      <c r="EO66" s="135"/>
      <c r="EP66" s="135"/>
      <c r="EQ66" s="135"/>
      <c r="ER66" s="135"/>
      <c r="ES66" s="135"/>
      <c r="ET66" s="135"/>
      <c r="EU66" s="135"/>
      <c r="EV66" s="549"/>
      <c r="EW66" s="550"/>
      <c r="EY66" s="556"/>
      <c r="EZ66" s="134" t="s">
        <v>404</v>
      </c>
      <c r="FA66" s="135"/>
      <c r="FB66" s="135"/>
      <c r="FC66" s="135"/>
      <c r="FD66" s="135"/>
      <c r="FE66" s="135"/>
      <c r="FF66" s="135"/>
      <c r="FG66" s="135"/>
      <c r="FH66" s="135"/>
      <c r="FI66" s="135"/>
      <c r="FJ66" s="135"/>
      <c r="FK66" s="135"/>
      <c r="FL66" s="135"/>
      <c r="FM66" s="549"/>
      <c r="FN66" s="550"/>
    </row>
    <row r="67" spans="2:170" s="159" customFormat="1" ht="8.25" customHeight="1">
      <c r="B67" s="556"/>
      <c r="C67" s="134" t="s">
        <v>56</v>
      </c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549"/>
      <c r="Q67" s="550"/>
      <c r="R67" s="531"/>
      <c r="S67" s="556"/>
      <c r="T67" s="134" t="str">
        <f t="shared" si="422"/>
        <v>固定資産売却</v>
      </c>
      <c r="U67" s="135"/>
      <c r="V67" s="135"/>
      <c r="W67" s="135"/>
      <c r="X67" s="135"/>
      <c r="Y67" s="135"/>
      <c r="Z67" s="135"/>
      <c r="AA67" s="135"/>
      <c r="AB67" s="135"/>
      <c r="AC67" s="135"/>
      <c r="AD67" s="135"/>
      <c r="AE67" s="135"/>
      <c r="AF67" s="135"/>
      <c r="AG67" s="549"/>
      <c r="AH67" s="550"/>
      <c r="AJ67" s="556"/>
      <c r="AK67" s="134" t="str">
        <f t="shared" si="423"/>
        <v>固定資産売却</v>
      </c>
      <c r="AL67" s="135"/>
      <c r="AM67" s="135"/>
      <c r="AN67" s="135"/>
      <c r="AO67" s="135"/>
      <c r="AP67" s="135"/>
      <c r="AQ67" s="135"/>
      <c r="AR67" s="135"/>
      <c r="AS67" s="135"/>
      <c r="AT67" s="135"/>
      <c r="AU67" s="135"/>
      <c r="AV67" s="135"/>
      <c r="AW67" s="135"/>
      <c r="AX67" s="549"/>
      <c r="AY67" s="550"/>
      <c r="BA67" s="556"/>
      <c r="BB67" s="134" t="s">
        <v>60</v>
      </c>
      <c r="BC67" s="135"/>
      <c r="BD67" s="135"/>
      <c r="BE67" s="135"/>
      <c r="BF67" s="135"/>
      <c r="BG67" s="135"/>
      <c r="BH67" s="135"/>
      <c r="BI67" s="135"/>
      <c r="BJ67" s="135"/>
      <c r="BK67" s="135"/>
      <c r="BL67" s="135"/>
      <c r="BM67" s="135"/>
      <c r="BN67" s="135"/>
      <c r="BO67" s="549"/>
      <c r="BP67" s="550"/>
      <c r="BR67" s="556"/>
      <c r="BS67" s="134" t="s">
        <v>60</v>
      </c>
      <c r="BT67" s="135"/>
      <c r="BU67" s="135"/>
      <c r="BV67" s="135"/>
      <c r="BW67" s="135"/>
      <c r="BX67" s="135"/>
      <c r="BY67" s="135"/>
      <c r="BZ67" s="135"/>
      <c r="CA67" s="135"/>
      <c r="CB67" s="135"/>
      <c r="CC67" s="135"/>
      <c r="CD67" s="135"/>
      <c r="CE67" s="135"/>
      <c r="CF67" s="549"/>
      <c r="CG67" s="550"/>
      <c r="CI67" s="556"/>
      <c r="CJ67" s="134" t="s">
        <v>60</v>
      </c>
      <c r="CK67" s="135"/>
      <c r="CL67" s="135"/>
      <c r="CM67" s="135"/>
      <c r="CN67" s="135"/>
      <c r="CO67" s="135"/>
      <c r="CP67" s="135"/>
      <c r="CQ67" s="135"/>
      <c r="CR67" s="135"/>
      <c r="CS67" s="135"/>
      <c r="CT67" s="135"/>
      <c r="CU67" s="135"/>
      <c r="CV67" s="135"/>
      <c r="CW67" s="549"/>
      <c r="CX67" s="550"/>
      <c r="CZ67" s="556"/>
      <c r="DA67" s="134" t="s">
        <v>60</v>
      </c>
      <c r="DB67" s="135"/>
      <c r="DC67" s="135"/>
      <c r="DD67" s="135"/>
      <c r="DE67" s="135"/>
      <c r="DF67" s="135"/>
      <c r="DG67" s="135"/>
      <c r="DH67" s="135"/>
      <c r="DI67" s="135"/>
      <c r="DJ67" s="135"/>
      <c r="DK67" s="135"/>
      <c r="DL67" s="135"/>
      <c r="DM67" s="135"/>
      <c r="DN67" s="549"/>
      <c r="DO67" s="550"/>
      <c r="DQ67" s="556"/>
      <c r="DR67" s="134" t="s">
        <v>60</v>
      </c>
      <c r="DS67" s="135"/>
      <c r="DT67" s="135"/>
      <c r="DU67" s="135"/>
      <c r="DV67" s="135"/>
      <c r="DW67" s="135"/>
      <c r="DX67" s="135"/>
      <c r="DY67" s="135"/>
      <c r="DZ67" s="135"/>
      <c r="EA67" s="135"/>
      <c r="EB67" s="135"/>
      <c r="EC67" s="135"/>
      <c r="ED67" s="135"/>
      <c r="EE67" s="549"/>
      <c r="EF67" s="550"/>
      <c r="EH67" s="556"/>
      <c r="EI67" s="134" t="s">
        <v>60</v>
      </c>
      <c r="EJ67" s="135"/>
      <c r="EK67" s="135"/>
      <c r="EL67" s="135"/>
      <c r="EM67" s="135"/>
      <c r="EN67" s="135"/>
      <c r="EO67" s="135"/>
      <c r="EP67" s="135"/>
      <c r="EQ67" s="135"/>
      <c r="ER67" s="135"/>
      <c r="ES67" s="135"/>
      <c r="ET67" s="135"/>
      <c r="EU67" s="135"/>
      <c r="EV67" s="549"/>
      <c r="EW67" s="550"/>
      <c r="EY67" s="556"/>
      <c r="EZ67" s="134" t="s">
        <v>60</v>
      </c>
      <c r="FA67" s="135"/>
      <c r="FB67" s="135"/>
      <c r="FC67" s="135"/>
      <c r="FD67" s="135"/>
      <c r="FE67" s="135"/>
      <c r="FF67" s="135"/>
      <c r="FG67" s="135"/>
      <c r="FH67" s="135"/>
      <c r="FI67" s="135"/>
      <c r="FJ67" s="135"/>
      <c r="FK67" s="135"/>
      <c r="FL67" s="135"/>
      <c r="FM67" s="549"/>
      <c r="FN67" s="550"/>
    </row>
    <row r="68" spans="2:170" s="159" customFormat="1" ht="8.25" customHeight="1">
      <c r="B68" s="556"/>
      <c r="C68" s="134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549"/>
      <c r="Q68" s="550"/>
      <c r="R68" s="531"/>
      <c r="S68" s="556"/>
      <c r="T68" s="134" t="str">
        <f t="shared" si="422"/>
        <v/>
      </c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549"/>
      <c r="AH68" s="550"/>
      <c r="AJ68" s="556"/>
      <c r="AK68" s="134" t="str">
        <f t="shared" si="423"/>
        <v/>
      </c>
      <c r="AL68" s="135"/>
      <c r="AM68" s="135"/>
      <c r="AN68" s="135"/>
      <c r="AO68" s="135"/>
      <c r="AP68" s="135"/>
      <c r="AQ68" s="135"/>
      <c r="AR68" s="135"/>
      <c r="AS68" s="135"/>
      <c r="AT68" s="135"/>
      <c r="AU68" s="135"/>
      <c r="AV68" s="135"/>
      <c r="AW68" s="135"/>
      <c r="AX68" s="549"/>
      <c r="AY68" s="550"/>
      <c r="BA68" s="556"/>
      <c r="BB68" s="134" t="s">
        <v>56</v>
      </c>
      <c r="BC68" s="135"/>
      <c r="BD68" s="135"/>
      <c r="BE68" s="135"/>
      <c r="BF68" s="135"/>
      <c r="BG68" s="135"/>
      <c r="BH68" s="135"/>
      <c r="BI68" s="135"/>
      <c r="BJ68" s="135"/>
      <c r="BK68" s="135"/>
      <c r="BL68" s="135"/>
      <c r="BM68" s="135"/>
      <c r="BN68" s="135"/>
      <c r="BO68" s="549"/>
      <c r="BP68" s="550"/>
      <c r="BR68" s="556"/>
      <c r="BS68" s="134" t="s">
        <v>56</v>
      </c>
      <c r="BT68" s="135"/>
      <c r="BU68" s="135"/>
      <c r="BV68" s="135"/>
      <c r="BW68" s="135"/>
      <c r="BX68" s="135"/>
      <c r="BY68" s="135"/>
      <c r="BZ68" s="135"/>
      <c r="CA68" s="135"/>
      <c r="CB68" s="135"/>
      <c r="CC68" s="135"/>
      <c r="CD68" s="135"/>
      <c r="CE68" s="135"/>
      <c r="CF68" s="549"/>
      <c r="CG68" s="550"/>
      <c r="CI68" s="556"/>
      <c r="CJ68" s="134" t="s">
        <v>56</v>
      </c>
      <c r="CK68" s="135"/>
      <c r="CL68" s="135"/>
      <c r="CM68" s="135"/>
      <c r="CN68" s="135"/>
      <c r="CO68" s="135"/>
      <c r="CP68" s="135"/>
      <c r="CQ68" s="135"/>
      <c r="CR68" s="135"/>
      <c r="CS68" s="135"/>
      <c r="CT68" s="135"/>
      <c r="CU68" s="135"/>
      <c r="CV68" s="135"/>
      <c r="CW68" s="549"/>
      <c r="CX68" s="550"/>
      <c r="CZ68" s="556"/>
      <c r="DA68" s="134" t="s">
        <v>56</v>
      </c>
      <c r="DB68" s="135"/>
      <c r="DC68" s="135"/>
      <c r="DD68" s="135"/>
      <c r="DE68" s="135"/>
      <c r="DF68" s="135"/>
      <c r="DG68" s="135"/>
      <c r="DH68" s="135"/>
      <c r="DI68" s="135"/>
      <c r="DJ68" s="135"/>
      <c r="DK68" s="135"/>
      <c r="DL68" s="135"/>
      <c r="DM68" s="135"/>
      <c r="DN68" s="549"/>
      <c r="DO68" s="550"/>
      <c r="DQ68" s="556"/>
      <c r="DR68" s="134" t="s">
        <v>56</v>
      </c>
      <c r="DS68" s="135"/>
      <c r="DT68" s="135"/>
      <c r="DU68" s="135"/>
      <c r="DV68" s="135"/>
      <c r="DW68" s="135"/>
      <c r="DX68" s="135"/>
      <c r="DY68" s="135"/>
      <c r="DZ68" s="135"/>
      <c r="EA68" s="135"/>
      <c r="EB68" s="135"/>
      <c r="EC68" s="135"/>
      <c r="ED68" s="135"/>
      <c r="EE68" s="549"/>
      <c r="EF68" s="550"/>
      <c r="EH68" s="556"/>
      <c r="EI68" s="134" t="s">
        <v>56</v>
      </c>
      <c r="EJ68" s="135"/>
      <c r="EK68" s="135"/>
      <c r="EL68" s="135"/>
      <c r="EM68" s="135"/>
      <c r="EN68" s="135"/>
      <c r="EO68" s="135"/>
      <c r="EP68" s="135"/>
      <c r="EQ68" s="135"/>
      <c r="ER68" s="135"/>
      <c r="ES68" s="135"/>
      <c r="ET68" s="135"/>
      <c r="EU68" s="135"/>
      <c r="EV68" s="549"/>
      <c r="EW68" s="550"/>
      <c r="EY68" s="556"/>
      <c r="EZ68" s="134" t="s">
        <v>56</v>
      </c>
      <c r="FA68" s="135"/>
      <c r="FB68" s="135"/>
      <c r="FC68" s="135"/>
      <c r="FD68" s="135"/>
      <c r="FE68" s="135"/>
      <c r="FF68" s="135"/>
      <c r="FG68" s="135"/>
      <c r="FH68" s="135"/>
      <c r="FI68" s="135"/>
      <c r="FJ68" s="135"/>
      <c r="FK68" s="135"/>
      <c r="FL68" s="135"/>
      <c r="FM68" s="549"/>
      <c r="FN68" s="550"/>
    </row>
    <row r="69" spans="2:170" s="159" customFormat="1" ht="8.25" customHeight="1">
      <c r="B69" s="556"/>
      <c r="C69" s="134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549"/>
      <c r="Q69" s="550"/>
      <c r="R69" s="531"/>
      <c r="S69" s="556"/>
      <c r="T69" s="134" t="s">
        <v>536</v>
      </c>
      <c r="U69" s="135"/>
      <c r="V69" s="135">
        <f>Sheet2!G9</f>
        <v>281600</v>
      </c>
      <c r="W69" s="135">
        <v>-281600</v>
      </c>
      <c r="X69" s="135"/>
      <c r="Y69" s="135"/>
      <c r="Z69" s="135"/>
      <c r="AA69" s="135"/>
      <c r="AB69" s="135"/>
      <c r="AC69" s="135"/>
      <c r="AD69" s="135"/>
      <c r="AE69" s="135"/>
      <c r="AF69" s="135"/>
      <c r="AG69" s="549"/>
      <c r="AH69" s="550"/>
      <c r="AJ69" s="556"/>
      <c r="AK69" s="134" t="s">
        <v>536</v>
      </c>
      <c r="AL69" s="135"/>
      <c r="AM69" s="135">
        <f>Sheet2!X9</f>
        <v>0</v>
      </c>
      <c r="AN69" s="135"/>
      <c r="AO69" s="135"/>
      <c r="AP69" s="135"/>
      <c r="AQ69" s="135"/>
      <c r="AR69" s="135"/>
      <c r="AS69" s="135"/>
      <c r="AT69" s="135"/>
      <c r="AU69" s="135"/>
      <c r="AV69" s="135"/>
      <c r="AW69" s="135"/>
      <c r="AX69" s="549"/>
      <c r="AY69" s="550"/>
      <c r="BA69" s="556"/>
      <c r="BB69" s="134" t="s">
        <v>57</v>
      </c>
      <c r="BC69" s="135">
        <f>(BC10-AW10)*$K$82+(BC11-AW11)*$K$83+(BC12-AW12)*AS84+(BC13-AW13)*$K$85</f>
        <v>-120000000</v>
      </c>
      <c r="BD69" s="135">
        <f t="shared" ref="BD69:BN69" si="424">(BD10-BC10)*$K$82+(BD11-BC11)*$K$83+(BD12-BC12)*$K$84+(BD13-BC13)*$K$85</f>
        <v>0</v>
      </c>
      <c r="BE69" s="135">
        <f t="shared" si="424"/>
        <v>0</v>
      </c>
      <c r="BF69" s="135">
        <f t="shared" si="424"/>
        <v>0</v>
      </c>
      <c r="BG69" s="135">
        <f t="shared" si="424"/>
        <v>0</v>
      </c>
      <c r="BH69" s="135">
        <f t="shared" si="424"/>
        <v>0</v>
      </c>
      <c r="BI69" s="135">
        <f t="shared" si="424"/>
        <v>0</v>
      </c>
      <c r="BJ69" s="135">
        <f t="shared" si="424"/>
        <v>0</v>
      </c>
      <c r="BK69" s="135">
        <f t="shared" si="424"/>
        <v>0</v>
      </c>
      <c r="BL69" s="135">
        <f t="shared" si="424"/>
        <v>0</v>
      </c>
      <c r="BM69" s="135">
        <f t="shared" si="424"/>
        <v>0</v>
      </c>
      <c r="BN69" s="135">
        <f t="shared" si="424"/>
        <v>0</v>
      </c>
      <c r="BO69" s="549"/>
      <c r="BP69" s="550"/>
      <c r="BR69" s="556"/>
      <c r="BS69" s="134" t="s">
        <v>57</v>
      </c>
      <c r="BT69" s="135">
        <f>(BT10-BN10)*$K$82+(BT11-BN11)*$K$83+(BT12-BN12)*BJ84+(BT13-BN13)*$K$85</f>
        <v>0</v>
      </c>
      <c r="BU69" s="135">
        <f t="shared" ref="BU69:CE69" si="425">(BU10-BT10)*$K$82+(BU11-BT11)*$K$83+(BU12-BT12)*$K$84+(BU13-BT13)*$K$85</f>
        <v>0</v>
      </c>
      <c r="BV69" s="135">
        <f t="shared" si="425"/>
        <v>0</v>
      </c>
      <c r="BW69" s="135">
        <f t="shared" si="425"/>
        <v>0</v>
      </c>
      <c r="BX69" s="135">
        <f t="shared" si="425"/>
        <v>0</v>
      </c>
      <c r="BY69" s="135">
        <f t="shared" si="425"/>
        <v>0</v>
      </c>
      <c r="BZ69" s="135">
        <f t="shared" si="425"/>
        <v>0</v>
      </c>
      <c r="CA69" s="135">
        <f t="shared" si="425"/>
        <v>0</v>
      </c>
      <c r="CB69" s="135">
        <f t="shared" si="425"/>
        <v>0</v>
      </c>
      <c r="CC69" s="135">
        <f t="shared" si="425"/>
        <v>0</v>
      </c>
      <c r="CD69" s="135">
        <f t="shared" si="425"/>
        <v>0</v>
      </c>
      <c r="CE69" s="135">
        <f t="shared" si="425"/>
        <v>0</v>
      </c>
      <c r="CF69" s="549"/>
      <c r="CG69" s="550"/>
      <c r="CI69" s="556"/>
      <c r="CJ69" s="134" t="s">
        <v>57</v>
      </c>
      <c r="CK69" s="135">
        <f>(CK10-CE10)*$K$82+(CK11-CE11)*$K$83+(CK12-CE12)*CA84+(CK13-CE13)*$K$85</f>
        <v>0</v>
      </c>
      <c r="CL69" s="135">
        <f t="shared" ref="CL69:CV69" si="426">(CL10-CK10)*$K$82+(CL11-CK11)*$K$83+(CL12-CK12)*$K$84+(CL13-CK13)*$K$85</f>
        <v>0</v>
      </c>
      <c r="CM69" s="135">
        <f t="shared" si="426"/>
        <v>0</v>
      </c>
      <c r="CN69" s="135">
        <f t="shared" si="426"/>
        <v>0</v>
      </c>
      <c r="CO69" s="135">
        <f t="shared" si="426"/>
        <v>0</v>
      </c>
      <c r="CP69" s="135">
        <f t="shared" si="426"/>
        <v>0</v>
      </c>
      <c r="CQ69" s="135">
        <f t="shared" si="426"/>
        <v>0</v>
      </c>
      <c r="CR69" s="135">
        <f t="shared" si="426"/>
        <v>0</v>
      </c>
      <c r="CS69" s="135">
        <f t="shared" si="426"/>
        <v>0</v>
      </c>
      <c r="CT69" s="135">
        <f t="shared" si="426"/>
        <v>0</v>
      </c>
      <c r="CU69" s="135">
        <f t="shared" si="426"/>
        <v>0</v>
      </c>
      <c r="CV69" s="135">
        <f t="shared" si="426"/>
        <v>0</v>
      </c>
      <c r="CW69" s="549"/>
      <c r="CX69" s="550"/>
      <c r="CZ69" s="556"/>
      <c r="DA69" s="134" t="s">
        <v>57</v>
      </c>
      <c r="DB69" s="135">
        <f>(DB10-CV10)*$K$82+(DB11-CV11)*$K$83+(DB12-CV12)*CR84+(DB13-CV13)*$K$85</f>
        <v>0</v>
      </c>
      <c r="DC69" s="135">
        <f t="shared" ref="DC69:DM69" si="427">(DC10-DB10)*$K$82+(DC11-DB11)*$K$83+(DC12-DB12)*$K$84+(DC13-DB13)*$K$85</f>
        <v>0</v>
      </c>
      <c r="DD69" s="135">
        <f t="shared" si="427"/>
        <v>0</v>
      </c>
      <c r="DE69" s="135">
        <f t="shared" si="427"/>
        <v>0</v>
      </c>
      <c r="DF69" s="135">
        <f t="shared" si="427"/>
        <v>0</v>
      </c>
      <c r="DG69" s="135">
        <f t="shared" si="427"/>
        <v>0</v>
      </c>
      <c r="DH69" s="135">
        <f t="shared" si="427"/>
        <v>0</v>
      </c>
      <c r="DI69" s="135">
        <f t="shared" si="427"/>
        <v>0</v>
      </c>
      <c r="DJ69" s="135">
        <f t="shared" si="427"/>
        <v>0</v>
      </c>
      <c r="DK69" s="135">
        <f t="shared" si="427"/>
        <v>0</v>
      </c>
      <c r="DL69" s="135">
        <f t="shared" si="427"/>
        <v>0</v>
      </c>
      <c r="DM69" s="135">
        <f t="shared" si="427"/>
        <v>0</v>
      </c>
      <c r="DN69" s="549"/>
      <c r="DO69" s="550"/>
      <c r="DQ69" s="556"/>
      <c r="DR69" s="134" t="s">
        <v>57</v>
      </c>
      <c r="DS69" s="135">
        <f>(DS10-DM10)*$K$82+(DS11-DM11)*$K$83+(DS12-DM12)*DI84+(DS13-DM13)*$K$85</f>
        <v>0</v>
      </c>
      <c r="DT69" s="135">
        <f t="shared" ref="DT69:ED69" si="428">(DT10-DS10)*$K$82+(DT11-DS11)*$K$83+(DT12-DS12)*$K$84+(DT13-DS13)*$K$85</f>
        <v>0</v>
      </c>
      <c r="DU69" s="135">
        <f t="shared" si="428"/>
        <v>0</v>
      </c>
      <c r="DV69" s="135">
        <f t="shared" si="428"/>
        <v>0</v>
      </c>
      <c r="DW69" s="135">
        <f t="shared" si="428"/>
        <v>0</v>
      </c>
      <c r="DX69" s="135">
        <f t="shared" si="428"/>
        <v>0</v>
      </c>
      <c r="DY69" s="135">
        <f t="shared" si="428"/>
        <v>0</v>
      </c>
      <c r="DZ69" s="135">
        <f t="shared" si="428"/>
        <v>0</v>
      </c>
      <c r="EA69" s="135">
        <f t="shared" si="428"/>
        <v>0</v>
      </c>
      <c r="EB69" s="135">
        <f t="shared" si="428"/>
        <v>0</v>
      </c>
      <c r="EC69" s="135">
        <f t="shared" si="428"/>
        <v>0</v>
      </c>
      <c r="ED69" s="135">
        <f t="shared" si="428"/>
        <v>0</v>
      </c>
      <c r="EE69" s="549"/>
      <c r="EF69" s="550"/>
      <c r="EH69" s="556"/>
      <c r="EI69" s="134" t="s">
        <v>57</v>
      </c>
      <c r="EJ69" s="135">
        <f>(EJ10-ED10)*$K$82+(EJ11-ED11)*$K$83+(EJ12-ED12)*DZ84+(EJ13-ED13)*$K$85</f>
        <v>0</v>
      </c>
      <c r="EK69" s="135">
        <f t="shared" ref="EK69:EU69" si="429">(EK10-EJ10)*$K$82+(EK11-EJ11)*$K$83+(EK12-EJ12)*$K$84+(EK13-EJ13)*$K$85</f>
        <v>0</v>
      </c>
      <c r="EL69" s="135">
        <f t="shared" si="429"/>
        <v>0</v>
      </c>
      <c r="EM69" s="135">
        <f t="shared" si="429"/>
        <v>0</v>
      </c>
      <c r="EN69" s="135">
        <f t="shared" si="429"/>
        <v>0</v>
      </c>
      <c r="EO69" s="135">
        <f t="shared" si="429"/>
        <v>0</v>
      </c>
      <c r="EP69" s="135">
        <f t="shared" si="429"/>
        <v>0</v>
      </c>
      <c r="EQ69" s="135">
        <f t="shared" si="429"/>
        <v>0</v>
      </c>
      <c r="ER69" s="135">
        <f t="shared" si="429"/>
        <v>0</v>
      </c>
      <c r="ES69" s="135">
        <f t="shared" si="429"/>
        <v>0</v>
      </c>
      <c r="ET69" s="135">
        <f t="shared" si="429"/>
        <v>0</v>
      </c>
      <c r="EU69" s="135">
        <f t="shared" si="429"/>
        <v>0</v>
      </c>
      <c r="EV69" s="549"/>
      <c r="EW69" s="550"/>
      <c r="EY69" s="556"/>
      <c r="EZ69" s="134" t="s">
        <v>57</v>
      </c>
      <c r="FA69" s="135">
        <f>(FA10-EU10)*$K$82+(FA11-EU11)*$K$83+(FA12-EU12)*EQ84+(FA13-EU13)*$K$85</f>
        <v>0</v>
      </c>
      <c r="FB69" s="135">
        <f t="shared" ref="FB69:FL69" si="430">(FB10-FA10)*$K$82+(FB11-FA11)*$K$83+(FB12-FA12)*$K$84+(FB13-FA13)*$K$85</f>
        <v>0</v>
      </c>
      <c r="FC69" s="135">
        <f t="shared" si="430"/>
        <v>0</v>
      </c>
      <c r="FD69" s="135">
        <f t="shared" si="430"/>
        <v>0</v>
      </c>
      <c r="FE69" s="135">
        <f t="shared" si="430"/>
        <v>0</v>
      </c>
      <c r="FF69" s="135">
        <f t="shared" si="430"/>
        <v>0</v>
      </c>
      <c r="FG69" s="135">
        <f t="shared" si="430"/>
        <v>0</v>
      </c>
      <c r="FH69" s="135">
        <f t="shared" si="430"/>
        <v>0</v>
      </c>
      <c r="FI69" s="135">
        <f t="shared" si="430"/>
        <v>0</v>
      </c>
      <c r="FJ69" s="135">
        <f t="shared" si="430"/>
        <v>0</v>
      </c>
      <c r="FK69" s="135">
        <f t="shared" si="430"/>
        <v>0</v>
      </c>
      <c r="FL69" s="135">
        <f t="shared" si="430"/>
        <v>0</v>
      </c>
      <c r="FM69" s="549"/>
      <c r="FN69" s="550"/>
    </row>
    <row r="70" spans="2:170" ht="11.25" customHeight="1">
      <c r="B70" s="543" t="s">
        <v>62</v>
      </c>
      <c r="C70" s="544"/>
      <c r="D70" s="137">
        <f t="shared" ref="D70:O70" si="431">SUM(D71:D73)</f>
        <v>0</v>
      </c>
      <c r="E70" s="137">
        <f t="shared" si="431"/>
        <v>0</v>
      </c>
      <c r="F70" s="137">
        <f t="shared" si="431"/>
        <v>0</v>
      </c>
      <c r="G70" s="137">
        <f t="shared" si="431"/>
        <v>0</v>
      </c>
      <c r="H70" s="137">
        <f t="shared" si="431"/>
        <v>0</v>
      </c>
      <c r="I70" s="137">
        <f t="shared" si="431"/>
        <v>0</v>
      </c>
      <c r="J70" s="137">
        <f t="shared" si="431"/>
        <v>0</v>
      </c>
      <c r="K70" s="137">
        <f t="shared" si="431"/>
        <v>0</v>
      </c>
      <c r="L70" s="137">
        <f t="shared" si="431"/>
        <v>0</v>
      </c>
      <c r="M70" s="137">
        <f t="shared" si="431"/>
        <v>0</v>
      </c>
      <c r="N70" s="137">
        <f t="shared" si="431"/>
        <v>0</v>
      </c>
      <c r="O70" s="137">
        <f t="shared" si="431"/>
        <v>0</v>
      </c>
      <c r="P70" s="545"/>
      <c r="Q70" s="546"/>
      <c r="R70" s="531"/>
      <c r="S70" s="543" t="s">
        <v>62</v>
      </c>
      <c r="T70" s="544"/>
      <c r="U70" s="137">
        <f t="shared" ref="U70:AF70" si="432">SUM(U71:U73)</f>
        <v>0</v>
      </c>
      <c r="V70" s="137">
        <f t="shared" si="432"/>
        <v>0</v>
      </c>
      <c r="W70" s="137">
        <f t="shared" si="432"/>
        <v>0</v>
      </c>
      <c r="X70" s="137">
        <f t="shared" si="432"/>
        <v>0</v>
      </c>
      <c r="Y70" s="137">
        <f t="shared" si="432"/>
        <v>0</v>
      </c>
      <c r="Z70" s="137">
        <f t="shared" si="432"/>
        <v>0</v>
      </c>
      <c r="AA70" s="137">
        <f t="shared" si="432"/>
        <v>0</v>
      </c>
      <c r="AB70" s="137">
        <f t="shared" si="432"/>
        <v>0</v>
      </c>
      <c r="AC70" s="137">
        <f t="shared" si="432"/>
        <v>0</v>
      </c>
      <c r="AD70" s="137">
        <f t="shared" si="432"/>
        <v>0</v>
      </c>
      <c r="AE70" s="137">
        <f t="shared" si="432"/>
        <v>0</v>
      </c>
      <c r="AF70" s="137">
        <f t="shared" si="432"/>
        <v>0</v>
      </c>
      <c r="AG70" s="545"/>
      <c r="AH70" s="546"/>
      <c r="AJ70" s="543" t="s">
        <v>62</v>
      </c>
      <c r="AK70" s="544"/>
      <c r="AL70" s="137">
        <f t="shared" ref="AL70:AW70" si="433">SUM(AL71:AL73)</f>
        <v>0</v>
      </c>
      <c r="AM70" s="137">
        <f t="shared" si="433"/>
        <v>0</v>
      </c>
      <c r="AN70" s="137">
        <f t="shared" si="433"/>
        <v>0</v>
      </c>
      <c r="AO70" s="137">
        <f t="shared" si="433"/>
        <v>0</v>
      </c>
      <c r="AP70" s="137">
        <f t="shared" si="433"/>
        <v>0</v>
      </c>
      <c r="AQ70" s="137">
        <f t="shared" si="433"/>
        <v>0</v>
      </c>
      <c r="AR70" s="137">
        <f t="shared" si="433"/>
        <v>0</v>
      </c>
      <c r="AS70" s="137">
        <f t="shared" si="433"/>
        <v>0</v>
      </c>
      <c r="AT70" s="137">
        <f t="shared" si="433"/>
        <v>0</v>
      </c>
      <c r="AU70" s="137">
        <f t="shared" si="433"/>
        <v>0</v>
      </c>
      <c r="AV70" s="137">
        <f t="shared" si="433"/>
        <v>0</v>
      </c>
      <c r="AW70" s="137">
        <f t="shared" si="433"/>
        <v>0</v>
      </c>
      <c r="AX70" s="545"/>
      <c r="AY70" s="546"/>
      <c r="BA70" s="543" t="s">
        <v>62</v>
      </c>
      <c r="BB70" s="544"/>
      <c r="BC70" s="137">
        <f t="shared" ref="BC70:BN70" si="434">SUM(BC71:BC73)</f>
        <v>0</v>
      </c>
      <c r="BD70" s="137">
        <f t="shared" si="434"/>
        <v>0</v>
      </c>
      <c r="BE70" s="137">
        <f t="shared" si="434"/>
        <v>0</v>
      </c>
      <c r="BF70" s="137">
        <f t="shared" si="434"/>
        <v>0</v>
      </c>
      <c r="BG70" s="137">
        <f t="shared" si="434"/>
        <v>0</v>
      </c>
      <c r="BH70" s="137">
        <f t="shared" si="434"/>
        <v>0</v>
      </c>
      <c r="BI70" s="137">
        <f t="shared" si="434"/>
        <v>0</v>
      </c>
      <c r="BJ70" s="137">
        <f t="shared" si="434"/>
        <v>0</v>
      </c>
      <c r="BK70" s="137">
        <f t="shared" si="434"/>
        <v>0</v>
      </c>
      <c r="BL70" s="137">
        <f t="shared" si="434"/>
        <v>0</v>
      </c>
      <c r="BM70" s="137">
        <f t="shared" si="434"/>
        <v>0</v>
      </c>
      <c r="BN70" s="137">
        <f t="shared" si="434"/>
        <v>0</v>
      </c>
      <c r="BO70" s="545"/>
      <c r="BP70" s="546"/>
      <c r="BR70" s="543" t="s">
        <v>62</v>
      </c>
      <c r="BS70" s="544"/>
      <c r="BT70" s="137">
        <f t="shared" ref="BT70:CE70" si="435">SUM(BT71:BT73)</f>
        <v>0</v>
      </c>
      <c r="BU70" s="137">
        <f t="shared" si="435"/>
        <v>0</v>
      </c>
      <c r="BV70" s="137">
        <f t="shared" si="435"/>
        <v>0</v>
      </c>
      <c r="BW70" s="137">
        <f t="shared" si="435"/>
        <v>0</v>
      </c>
      <c r="BX70" s="137">
        <f t="shared" si="435"/>
        <v>0</v>
      </c>
      <c r="BY70" s="137">
        <f t="shared" si="435"/>
        <v>0</v>
      </c>
      <c r="BZ70" s="137">
        <f t="shared" si="435"/>
        <v>0</v>
      </c>
      <c r="CA70" s="137">
        <f t="shared" si="435"/>
        <v>0</v>
      </c>
      <c r="CB70" s="137">
        <f t="shared" si="435"/>
        <v>0</v>
      </c>
      <c r="CC70" s="137">
        <f t="shared" si="435"/>
        <v>0</v>
      </c>
      <c r="CD70" s="137">
        <f t="shared" si="435"/>
        <v>0</v>
      </c>
      <c r="CE70" s="137">
        <f t="shared" si="435"/>
        <v>0</v>
      </c>
      <c r="CF70" s="545"/>
      <c r="CG70" s="546"/>
      <c r="CI70" s="543" t="s">
        <v>62</v>
      </c>
      <c r="CJ70" s="544"/>
      <c r="CK70" s="137">
        <f t="shared" ref="CK70:CV70" si="436">SUM(CK71:CK73)</f>
        <v>0</v>
      </c>
      <c r="CL70" s="137">
        <f t="shared" si="436"/>
        <v>0</v>
      </c>
      <c r="CM70" s="137">
        <f t="shared" si="436"/>
        <v>1112</v>
      </c>
      <c r="CN70" s="137">
        <f t="shared" si="436"/>
        <v>0</v>
      </c>
      <c r="CO70" s="137">
        <f t="shared" si="436"/>
        <v>0</v>
      </c>
      <c r="CP70" s="137">
        <f t="shared" si="436"/>
        <v>0</v>
      </c>
      <c r="CQ70" s="137">
        <f t="shared" si="436"/>
        <v>0</v>
      </c>
      <c r="CR70" s="137">
        <f t="shared" si="436"/>
        <v>0</v>
      </c>
      <c r="CS70" s="137">
        <f t="shared" si="436"/>
        <v>0</v>
      </c>
      <c r="CT70" s="137">
        <f t="shared" si="436"/>
        <v>0</v>
      </c>
      <c r="CU70" s="137">
        <f t="shared" si="436"/>
        <v>0</v>
      </c>
      <c r="CV70" s="137">
        <f t="shared" si="436"/>
        <v>0</v>
      </c>
      <c r="CW70" s="545"/>
      <c r="CX70" s="546"/>
      <c r="CZ70" s="543" t="s">
        <v>62</v>
      </c>
      <c r="DA70" s="544"/>
      <c r="DB70" s="137">
        <f t="shared" ref="DB70:DM70" si="437">SUM(DB71:DB73)</f>
        <v>0</v>
      </c>
      <c r="DC70" s="137">
        <f t="shared" si="437"/>
        <v>0</v>
      </c>
      <c r="DD70" s="137">
        <f t="shared" si="437"/>
        <v>0</v>
      </c>
      <c r="DE70" s="137">
        <f t="shared" si="437"/>
        <v>0</v>
      </c>
      <c r="DF70" s="137">
        <f t="shared" si="437"/>
        <v>0</v>
      </c>
      <c r="DG70" s="137">
        <f t="shared" si="437"/>
        <v>0</v>
      </c>
      <c r="DH70" s="137">
        <f t="shared" si="437"/>
        <v>0</v>
      </c>
      <c r="DI70" s="137">
        <f t="shared" si="437"/>
        <v>0</v>
      </c>
      <c r="DJ70" s="137">
        <f t="shared" si="437"/>
        <v>0</v>
      </c>
      <c r="DK70" s="137">
        <f t="shared" si="437"/>
        <v>0</v>
      </c>
      <c r="DL70" s="137">
        <f t="shared" si="437"/>
        <v>0</v>
      </c>
      <c r="DM70" s="137">
        <f t="shared" si="437"/>
        <v>0</v>
      </c>
      <c r="DN70" s="545"/>
      <c r="DO70" s="546"/>
      <c r="DQ70" s="543" t="s">
        <v>62</v>
      </c>
      <c r="DR70" s="544"/>
      <c r="DS70" s="137">
        <f t="shared" ref="DS70:ED70" si="438">SUM(DS71:DS73)</f>
        <v>0</v>
      </c>
      <c r="DT70" s="137">
        <f t="shared" si="438"/>
        <v>0</v>
      </c>
      <c r="DU70" s="137">
        <f t="shared" si="438"/>
        <v>0</v>
      </c>
      <c r="DV70" s="137">
        <f t="shared" si="438"/>
        <v>0</v>
      </c>
      <c r="DW70" s="137">
        <f t="shared" si="438"/>
        <v>0</v>
      </c>
      <c r="DX70" s="137">
        <f t="shared" si="438"/>
        <v>0</v>
      </c>
      <c r="DY70" s="137">
        <f t="shared" si="438"/>
        <v>0</v>
      </c>
      <c r="DZ70" s="137">
        <f t="shared" si="438"/>
        <v>0</v>
      </c>
      <c r="EA70" s="137">
        <f t="shared" si="438"/>
        <v>0</v>
      </c>
      <c r="EB70" s="137">
        <f t="shared" si="438"/>
        <v>0</v>
      </c>
      <c r="EC70" s="137">
        <f t="shared" si="438"/>
        <v>0</v>
      </c>
      <c r="ED70" s="137">
        <f t="shared" si="438"/>
        <v>0</v>
      </c>
      <c r="EE70" s="545"/>
      <c r="EF70" s="546"/>
      <c r="EH70" s="543" t="s">
        <v>62</v>
      </c>
      <c r="EI70" s="544"/>
      <c r="EJ70" s="137">
        <f t="shared" ref="EJ70:EU70" si="439">SUM(EJ71:EJ73)</f>
        <v>0</v>
      </c>
      <c r="EK70" s="137">
        <f t="shared" si="439"/>
        <v>0</v>
      </c>
      <c r="EL70" s="137">
        <f t="shared" si="439"/>
        <v>0</v>
      </c>
      <c r="EM70" s="137">
        <f t="shared" si="439"/>
        <v>0</v>
      </c>
      <c r="EN70" s="137">
        <f t="shared" si="439"/>
        <v>0</v>
      </c>
      <c r="EO70" s="137">
        <f t="shared" si="439"/>
        <v>0</v>
      </c>
      <c r="EP70" s="137">
        <f t="shared" si="439"/>
        <v>0</v>
      </c>
      <c r="EQ70" s="137">
        <f t="shared" si="439"/>
        <v>0</v>
      </c>
      <c r="ER70" s="137">
        <f t="shared" si="439"/>
        <v>0</v>
      </c>
      <c r="ES70" s="137">
        <f t="shared" si="439"/>
        <v>0</v>
      </c>
      <c r="ET70" s="137">
        <f t="shared" si="439"/>
        <v>0</v>
      </c>
      <c r="EU70" s="137">
        <f t="shared" si="439"/>
        <v>0</v>
      </c>
      <c r="EV70" s="545"/>
      <c r="EW70" s="546"/>
      <c r="EY70" s="543" t="s">
        <v>62</v>
      </c>
      <c r="EZ70" s="544"/>
      <c r="FA70" s="137">
        <f t="shared" ref="FA70:FL70" si="440">SUM(FA71:FA73)</f>
        <v>0</v>
      </c>
      <c r="FB70" s="137">
        <f t="shared" si="440"/>
        <v>0</v>
      </c>
      <c r="FC70" s="137">
        <f t="shared" si="440"/>
        <v>0</v>
      </c>
      <c r="FD70" s="137">
        <f t="shared" si="440"/>
        <v>0</v>
      </c>
      <c r="FE70" s="137">
        <f t="shared" si="440"/>
        <v>0</v>
      </c>
      <c r="FF70" s="137">
        <f t="shared" si="440"/>
        <v>0</v>
      </c>
      <c r="FG70" s="137">
        <f t="shared" si="440"/>
        <v>0</v>
      </c>
      <c r="FH70" s="137">
        <f t="shared" si="440"/>
        <v>0</v>
      </c>
      <c r="FI70" s="137">
        <f t="shared" si="440"/>
        <v>0</v>
      </c>
      <c r="FJ70" s="137">
        <f t="shared" si="440"/>
        <v>0</v>
      </c>
      <c r="FK70" s="137">
        <f t="shared" si="440"/>
        <v>0</v>
      </c>
      <c r="FL70" s="137">
        <f t="shared" si="440"/>
        <v>0</v>
      </c>
      <c r="FM70" s="545"/>
      <c r="FN70" s="546"/>
    </row>
    <row r="71" spans="2:170" s="159" customFormat="1" ht="8.25" customHeight="1">
      <c r="B71" s="547"/>
      <c r="C71" s="134" t="s">
        <v>521</v>
      </c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549"/>
      <c r="Q71" s="550"/>
      <c r="R71" s="531"/>
      <c r="S71" s="547"/>
      <c r="T71" s="134" t="str">
        <f t="shared" ref="T71:T73" si="441">IF(C71="","",C71)</f>
        <v>店舗設備等</v>
      </c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  <c r="AE71" s="135"/>
      <c r="AF71" s="135"/>
      <c r="AG71" s="549"/>
      <c r="AH71" s="550"/>
      <c r="AJ71" s="547"/>
      <c r="AK71" s="134" t="str">
        <f t="shared" ref="AK71:AK73" si="442">IF(T71="","",T71)</f>
        <v>店舗設備等</v>
      </c>
      <c r="AL71" s="135"/>
      <c r="AM71" s="135"/>
      <c r="AN71" s="135"/>
      <c r="AO71" s="135"/>
      <c r="AP71" s="135"/>
      <c r="AQ71" s="135"/>
      <c r="AR71" s="135"/>
      <c r="AS71" s="135"/>
      <c r="AT71" s="135"/>
      <c r="AU71" s="135"/>
      <c r="AV71" s="135"/>
      <c r="AW71" s="135"/>
      <c r="AX71" s="549"/>
      <c r="AY71" s="550"/>
      <c r="BA71" s="547"/>
      <c r="BB71" s="134" t="s">
        <v>273</v>
      </c>
      <c r="BC71" s="135"/>
      <c r="BD71" s="135"/>
      <c r="BE71" s="135"/>
      <c r="BF71" s="135"/>
      <c r="BG71" s="135"/>
      <c r="BH71" s="135"/>
      <c r="BI71" s="135"/>
      <c r="BJ71" s="135"/>
      <c r="BK71" s="135"/>
      <c r="BL71" s="135"/>
      <c r="BM71" s="135"/>
      <c r="BN71" s="135"/>
      <c r="BO71" s="549"/>
      <c r="BP71" s="550"/>
      <c r="BR71" s="547"/>
      <c r="BS71" s="134" t="s">
        <v>273</v>
      </c>
      <c r="BT71" s="135"/>
      <c r="BU71" s="135"/>
      <c r="BV71" s="135"/>
      <c r="BW71" s="135"/>
      <c r="BX71" s="135"/>
      <c r="BY71" s="135"/>
      <c r="BZ71" s="135"/>
      <c r="CA71" s="135"/>
      <c r="CB71" s="135"/>
      <c r="CC71" s="135"/>
      <c r="CD71" s="135"/>
      <c r="CE71" s="135"/>
      <c r="CF71" s="549"/>
      <c r="CG71" s="550"/>
      <c r="CI71" s="547"/>
      <c r="CJ71" s="134" t="s">
        <v>64</v>
      </c>
      <c r="CK71" s="135"/>
      <c r="CL71" s="135"/>
      <c r="CM71" s="135"/>
      <c r="CN71" s="135"/>
      <c r="CO71" s="135"/>
      <c r="CP71" s="135"/>
      <c r="CQ71" s="135"/>
      <c r="CR71" s="135"/>
      <c r="CS71" s="135"/>
      <c r="CT71" s="135"/>
      <c r="CU71" s="135"/>
      <c r="CV71" s="135"/>
      <c r="CW71" s="549"/>
      <c r="CX71" s="550"/>
      <c r="CZ71" s="547"/>
      <c r="DA71" s="134" t="s">
        <v>64</v>
      </c>
      <c r="DB71" s="135"/>
      <c r="DC71" s="135"/>
      <c r="DD71" s="135"/>
      <c r="DE71" s="135"/>
      <c r="DF71" s="135"/>
      <c r="DG71" s="135"/>
      <c r="DH71" s="135"/>
      <c r="DI71" s="135"/>
      <c r="DJ71" s="135"/>
      <c r="DK71" s="135"/>
      <c r="DL71" s="135"/>
      <c r="DM71" s="135"/>
      <c r="DN71" s="549"/>
      <c r="DO71" s="550"/>
      <c r="DQ71" s="547"/>
      <c r="DR71" s="134" t="s">
        <v>64</v>
      </c>
      <c r="DS71" s="135"/>
      <c r="DT71" s="135"/>
      <c r="DU71" s="135"/>
      <c r="DV71" s="135"/>
      <c r="DW71" s="135"/>
      <c r="DX71" s="135"/>
      <c r="DY71" s="135"/>
      <c r="DZ71" s="135"/>
      <c r="EA71" s="135"/>
      <c r="EB71" s="135"/>
      <c r="EC71" s="135"/>
      <c r="ED71" s="135"/>
      <c r="EE71" s="549"/>
      <c r="EF71" s="550"/>
      <c r="EH71" s="547"/>
      <c r="EI71" s="134" t="s">
        <v>64</v>
      </c>
      <c r="EJ71" s="135"/>
      <c r="EK71" s="135"/>
      <c r="EL71" s="135"/>
      <c r="EM71" s="135"/>
      <c r="EN71" s="135"/>
      <c r="EO71" s="135"/>
      <c r="EP71" s="135"/>
      <c r="EQ71" s="135"/>
      <c r="ER71" s="135"/>
      <c r="ES71" s="135"/>
      <c r="ET71" s="135"/>
      <c r="EU71" s="135"/>
      <c r="EV71" s="549"/>
      <c r="EW71" s="550"/>
      <c r="EY71" s="547"/>
      <c r="EZ71" s="134" t="s">
        <v>64</v>
      </c>
      <c r="FA71" s="135"/>
      <c r="FB71" s="135"/>
      <c r="FC71" s="135"/>
      <c r="FD71" s="135"/>
      <c r="FE71" s="135"/>
      <c r="FF71" s="135"/>
      <c r="FG71" s="135"/>
      <c r="FH71" s="135"/>
      <c r="FI71" s="135"/>
      <c r="FJ71" s="135"/>
      <c r="FK71" s="135"/>
      <c r="FL71" s="135"/>
      <c r="FM71" s="549"/>
      <c r="FN71" s="550"/>
    </row>
    <row r="72" spans="2:170" s="159" customFormat="1" ht="8.25" customHeight="1">
      <c r="B72" s="547"/>
      <c r="C72" s="134" t="s">
        <v>522</v>
      </c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549"/>
      <c r="Q72" s="550"/>
      <c r="R72" s="531"/>
      <c r="S72" s="547"/>
      <c r="T72" s="134" t="str">
        <f t="shared" si="441"/>
        <v>家賃保証金等</v>
      </c>
      <c r="U72" s="135"/>
      <c r="V72" s="135"/>
      <c r="W72" s="135"/>
      <c r="X72" s="135"/>
      <c r="Y72" s="135"/>
      <c r="Z72" s="135"/>
      <c r="AA72" s="135"/>
      <c r="AB72" s="135"/>
      <c r="AC72" s="135"/>
      <c r="AD72" s="135"/>
      <c r="AE72" s="135"/>
      <c r="AF72" s="135"/>
      <c r="AG72" s="549"/>
      <c r="AH72" s="550"/>
      <c r="AJ72" s="547"/>
      <c r="AK72" s="134" t="str">
        <f t="shared" si="442"/>
        <v>家賃保証金等</v>
      </c>
      <c r="AL72" s="135"/>
      <c r="AM72" s="135"/>
      <c r="AN72" s="135"/>
      <c r="AO72" s="135"/>
      <c r="AP72" s="135"/>
      <c r="AQ72" s="135"/>
      <c r="AR72" s="135"/>
      <c r="AS72" s="135"/>
      <c r="AT72" s="135"/>
      <c r="AU72" s="135"/>
      <c r="AV72" s="135"/>
      <c r="AW72" s="135"/>
      <c r="AX72" s="549"/>
      <c r="AY72" s="550"/>
      <c r="BA72" s="547"/>
      <c r="BB72" s="134" t="s">
        <v>63</v>
      </c>
      <c r="BC72" s="135">
        <f>'金融借入（移行計算）'!AK5/1000</f>
        <v>0</v>
      </c>
      <c r="BD72" s="135">
        <f>'金融借入（移行計算）'!AM5/1000</f>
        <v>0</v>
      </c>
      <c r="BE72" s="135">
        <f>'金融借入（移行計算）'!AN5/1000</f>
        <v>0</v>
      </c>
      <c r="BF72" s="135">
        <f>'金融借入（移行計算）'!AO5/1000</f>
        <v>0</v>
      </c>
      <c r="BG72" s="135">
        <f>'金融借入（移行計算）'!AP5/1000</f>
        <v>0</v>
      </c>
      <c r="BH72" s="135">
        <f>'金融借入（移行計算）'!AQ5/1000</f>
        <v>0</v>
      </c>
      <c r="BI72" s="135">
        <f>'金融借入（移行計算）'!AR5/1000</f>
        <v>0</v>
      </c>
      <c r="BJ72" s="135">
        <f>'金融借入（移行計算）'!AS5/1000</f>
        <v>0</v>
      </c>
      <c r="BK72" s="135">
        <f>'金融借入（移行計算）'!AT5/1000</f>
        <v>0</v>
      </c>
      <c r="BL72" s="135">
        <f>'金融借入（移行計算）'!AU5/1000</f>
        <v>0</v>
      </c>
      <c r="BM72" s="135">
        <f>'金融借入（移行計算）'!AV5/1000</f>
        <v>0</v>
      </c>
      <c r="BN72" s="135">
        <f>'金融借入（移行計算）'!AW5/1000</f>
        <v>0</v>
      </c>
      <c r="BO72" s="549"/>
      <c r="BP72" s="550"/>
      <c r="BR72" s="547"/>
      <c r="BS72" s="134" t="s">
        <v>63</v>
      </c>
      <c r="BT72" s="135">
        <f>'金融借入（移行計算）'!AW5/1000</f>
        <v>0</v>
      </c>
      <c r="BU72" s="135">
        <f>'金融借入（移行計算）'!AX5/1000</f>
        <v>0</v>
      </c>
      <c r="BV72" s="135">
        <f>'金融借入（移行計算）'!AY5/1000</f>
        <v>0</v>
      </c>
      <c r="BW72" s="135">
        <f>'金融借入（移行計算）'!AZ5/1000</f>
        <v>0</v>
      </c>
      <c r="BX72" s="135">
        <f>'金融借入（移行計算）'!BA5/1000</f>
        <v>0</v>
      </c>
      <c r="BY72" s="135">
        <f>'金融借入（移行計算）'!BB5/1000</f>
        <v>0</v>
      </c>
      <c r="BZ72" s="135">
        <f>'金融借入（移行計算）'!BC5/1000</f>
        <v>0</v>
      </c>
      <c r="CA72" s="135">
        <f>'金融借入（移行計算）'!BD5/1000</f>
        <v>0</v>
      </c>
      <c r="CB72" s="135">
        <f>'金融借入（移行計算）'!BE5/1000</f>
        <v>0</v>
      </c>
      <c r="CC72" s="135"/>
      <c r="CD72" s="135">
        <f>'金融借入（移行計算）'!BG5/1000</f>
        <v>0</v>
      </c>
      <c r="CE72" s="135">
        <f>'金融借入（移行計算）'!BH5/1000</f>
        <v>0</v>
      </c>
      <c r="CF72" s="549"/>
      <c r="CG72" s="550"/>
      <c r="CI72" s="547"/>
      <c r="CJ72" s="134" t="s">
        <v>63</v>
      </c>
      <c r="CK72" s="135">
        <f>'金融借入（移行計算）'!BI5/1000</f>
        <v>0</v>
      </c>
      <c r="CL72" s="135">
        <f>'金融借入（移行計算）'!BJ5/1000</f>
        <v>0</v>
      </c>
      <c r="CM72" s="135">
        <v>1112</v>
      </c>
      <c r="CN72" s="135">
        <f>'金融借入（移行計算）'!BL5/1000</f>
        <v>0</v>
      </c>
      <c r="CO72" s="135">
        <f>'金融借入（移行計算）'!BM5/1000</f>
        <v>0</v>
      </c>
      <c r="CP72" s="135">
        <f>'金融借入（移行計算）'!BN5/1000</f>
        <v>0</v>
      </c>
      <c r="CQ72" s="135">
        <f>'金融借入（移行計算）'!BO5/1000</f>
        <v>0</v>
      </c>
      <c r="CR72" s="135">
        <f>'金融借入（移行計算）'!BP5/1000</f>
        <v>0</v>
      </c>
      <c r="CS72" s="135">
        <f>'金融借入（移行計算）'!BQ5/1000</f>
        <v>0</v>
      </c>
      <c r="CT72" s="135">
        <f>'金融借入（移行計算）'!BR5/1000</f>
        <v>0</v>
      </c>
      <c r="CU72" s="135">
        <f>'金融借入（移行計算）'!BS5/1000</f>
        <v>0</v>
      </c>
      <c r="CV72" s="135">
        <f>'金融借入（移行計算）'!BT5/1000</f>
        <v>0</v>
      </c>
      <c r="CW72" s="549"/>
      <c r="CX72" s="550"/>
      <c r="CZ72" s="547"/>
      <c r="DA72" s="134" t="s">
        <v>63</v>
      </c>
      <c r="DB72" s="135">
        <f>'金融借入（移行計算）'!BU5/1000</f>
        <v>0</v>
      </c>
      <c r="DC72" s="135">
        <f>'金融借入（移行計算）'!BV5/1000</f>
        <v>0</v>
      </c>
      <c r="DD72" s="135">
        <f>'金融借入（移行計算）'!BW5/1000</f>
        <v>0</v>
      </c>
      <c r="DE72" s="135">
        <f>'金融借入（移行計算）'!BX5/1000</f>
        <v>0</v>
      </c>
      <c r="DF72" s="135">
        <f>'金融借入（移行計算）'!BY5/1000</f>
        <v>0</v>
      </c>
      <c r="DG72" s="135">
        <f>'金融借入（移行計算）'!BZ5/1000</f>
        <v>0</v>
      </c>
      <c r="DH72" s="135">
        <f>'金融借入（移行計算）'!CA5/1000</f>
        <v>0</v>
      </c>
      <c r="DI72" s="135">
        <f>'金融借入（移行計算）'!CB5/1000</f>
        <v>0</v>
      </c>
      <c r="DJ72" s="135">
        <f>'金融借入（移行計算）'!CC5/1000</f>
        <v>0</v>
      </c>
      <c r="DK72" s="135">
        <f>'金融借入（移行計算）'!CD5/1000</f>
        <v>0</v>
      </c>
      <c r="DL72" s="135">
        <f>'金融借入（移行計算）'!CE5/1000</f>
        <v>0</v>
      </c>
      <c r="DM72" s="135">
        <f>'金融借入（移行計算）'!CF5/1000</f>
        <v>0</v>
      </c>
      <c r="DN72" s="549"/>
      <c r="DO72" s="550"/>
      <c r="DQ72" s="547"/>
      <c r="DR72" s="134" t="s">
        <v>63</v>
      </c>
      <c r="DS72" s="135">
        <f>'金融借入（移行計算）'!CG5/1000</f>
        <v>0</v>
      </c>
      <c r="DT72" s="135">
        <f>'金融借入（移行計算）'!CH5/1000</f>
        <v>0</v>
      </c>
      <c r="DU72" s="135">
        <f>'金融借入（移行計算）'!CI5/1000</f>
        <v>0</v>
      </c>
      <c r="DV72" s="135">
        <f>'金融借入（移行計算）'!CJ5/1000</f>
        <v>0</v>
      </c>
      <c r="DW72" s="135">
        <f>'金融借入（移行計算）'!CK5/1000</f>
        <v>0</v>
      </c>
      <c r="DX72" s="135">
        <f>'金融借入（移行計算）'!CL5/1000</f>
        <v>0</v>
      </c>
      <c r="DY72" s="135">
        <f>'金融借入（移行計算）'!CM5/1000</f>
        <v>0</v>
      </c>
      <c r="DZ72" s="135">
        <f>'金融借入（移行計算）'!CN5/1000</f>
        <v>0</v>
      </c>
      <c r="EA72" s="135">
        <f>'金融借入（移行計算）'!CO5/1000</f>
        <v>0</v>
      </c>
      <c r="EB72" s="135">
        <f>'金融借入（移行計算）'!CP5/1000</f>
        <v>0</v>
      </c>
      <c r="EC72" s="135">
        <f>'金融借入（移行計算）'!CQ5/1000</f>
        <v>0</v>
      </c>
      <c r="ED72" s="135">
        <f>'金融借入（移行計算）'!CR5/1000</f>
        <v>0</v>
      </c>
      <c r="EE72" s="549"/>
      <c r="EF72" s="550"/>
      <c r="EH72" s="547"/>
      <c r="EI72" s="134" t="s">
        <v>63</v>
      </c>
      <c r="EJ72" s="135">
        <f>'金融借入（移行計算）'!CS5/1000</f>
        <v>0</v>
      </c>
      <c r="EK72" s="135">
        <f>'金融借入（移行計算）'!CT5/1000</f>
        <v>0</v>
      </c>
      <c r="EL72" s="135">
        <f>'金融借入（移行計算）'!CU5/1000</f>
        <v>0</v>
      </c>
      <c r="EM72" s="135">
        <f>'金融借入（移行計算）'!CV5/1000</f>
        <v>0</v>
      </c>
      <c r="EN72" s="135">
        <f>'金融借入（移行計算）'!CW5/1000</f>
        <v>0</v>
      </c>
      <c r="EO72" s="135">
        <f>'金融借入（移行計算）'!CX5/1000</f>
        <v>0</v>
      </c>
      <c r="EP72" s="135">
        <f>'金融借入（移行計算）'!CY5/1000</f>
        <v>0</v>
      </c>
      <c r="EQ72" s="135">
        <f>'金融借入（移行計算）'!CZ5/1000</f>
        <v>0</v>
      </c>
      <c r="ER72" s="135">
        <f>'金融借入（移行計算）'!DA5/1000</f>
        <v>0</v>
      </c>
      <c r="ES72" s="135">
        <f>'金融借入（移行計算）'!DB5/1000</f>
        <v>0</v>
      </c>
      <c r="ET72" s="135">
        <f>'金融借入（移行計算）'!DC5/1000</f>
        <v>0</v>
      </c>
      <c r="EU72" s="135">
        <f>'金融借入（移行計算）'!DD5/1000</f>
        <v>0</v>
      </c>
      <c r="EV72" s="549"/>
      <c r="EW72" s="550"/>
      <c r="EY72" s="547"/>
      <c r="EZ72" s="134" t="s">
        <v>63</v>
      </c>
      <c r="FA72" s="135">
        <f>'金融借入（移行計算）'!DE5/1000</f>
        <v>0</v>
      </c>
      <c r="FB72" s="135">
        <f>'金融借入（移行計算）'!DF5/1000</f>
        <v>0</v>
      </c>
      <c r="FC72" s="135">
        <f>'金融借入（移行計算）'!DG5/1000</f>
        <v>0</v>
      </c>
      <c r="FD72" s="135">
        <f>'金融借入（移行計算）'!DH5/1000</f>
        <v>0</v>
      </c>
      <c r="FE72" s="135">
        <f>'金融借入（移行計算）'!DI5/1000</f>
        <v>0</v>
      </c>
      <c r="FF72" s="135">
        <f>'金融借入（移行計算）'!DJ5/1000</f>
        <v>0</v>
      </c>
      <c r="FG72" s="135">
        <f>'金融借入（移行計算）'!DK5/1000</f>
        <v>0</v>
      </c>
      <c r="FH72" s="135">
        <f>'金融借入（移行計算）'!DL5/1000</f>
        <v>0</v>
      </c>
      <c r="FI72" s="135">
        <f>'金融借入（移行計算）'!DM5/1000</f>
        <v>0</v>
      </c>
      <c r="FJ72" s="135">
        <f>'金融借入（移行計算）'!DN5/1000</f>
        <v>0</v>
      </c>
      <c r="FK72" s="135">
        <f>'金融借入（移行計算）'!DO5/1000</f>
        <v>0</v>
      </c>
      <c r="FL72" s="135">
        <f>'金融借入（移行計算）'!DP5/1000</f>
        <v>0</v>
      </c>
      <c r="FM72" s="549"/>
      <c r="FN72" s="550"/>
    </row>
    <row r="73" spans="2:170" s="159" customFormat="1" ht="8.25" customHeight="1">
      <c r="B73" s="548"/>
      <c r="C73" s="134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549"/>
      <c r="Q73" s="550"/>
      <c r="R73" s="531"/>
      <c r="S73" s="548"/>
      <c r="T73" s="134" t="str">
        <f t="shared" si="441"/>
        <v/>
      </c>
      <c r="U73" s="135"/>
      <c r="V73" s="135"/>
      <c r="W73" s="135"/>
      <c r="X73" s="135"/>
      <c r="Y73" s="135"/>
      <c r="Z73" s="135"/>
      <c r="AA73" s="135"/>
      <c r="AB73" s="135"/>
      <c r="AC73" s="135"/>
      <c r="AD73" s="135"/>
      <c r="AE73" s="135"/>
      <c r="AF73" s="135"/>
      <c r="AG73" s="549"/>
      <c r="AH73" s="550"/>
      <c r="AJ73" s="548"/>
      <c r="AK73" s="134" t="str">
        <f t="shared" si="442"/>
        <v/>
      </c>
      <c r="AL73" s="135"/>
      <c r="AM73" s="135"/>
      <c r="AN73" s="135"/>
      <c r="AO73" s="135"/>
      <c r="AP73" s="135"/>
      <c r="AQ73" s="135"/>
      <c r="AR73" s="135"/>
      <c r="AS73" s="135"/>
      <c r="AT73" s="135"/>
      <c r="AU73" s="135"/>
      <c r="AV73" s="135"/>
      <c r="AW73" s="135"/>
      <c r="AX73" s="549"/>
      <c r="AY73" s="550"/>
      <c r="BA73" s="548"/>
      <c r="BB73" s="134" t="s">
        <v>59</v>
      </c>
      <c r="BC73" s="135"/>
      <c r="BD73" s="135"/>
      <c r="BE73" s="135"/>
      <c r="BF73" s="135"/>
      <c r="BG73" s="135"/>
      <c r="BH73" s="135"/>
      <c r="BI73" s="135"/>
      <c r="BJ73" s="135"/>
      <c r="BK73" s="135"/>
      <c r="BL73" s="135"/>
      <c r="BM73" s="135"/>
      <c r="BN73" s="135"/>
      <c r="BO73" s="549"/>
      <c r="BP73" s="550"/>
      <c r="BR73" s="548"/>
      <c r="BS73" s="134" t="s">
        <v>59</v>
      </c>
      <c r="BT73" s="135"/>
      <c r="BU73" s="135"/>
      <c r="BV73" s="135"/>
      <c r="BW73" s="135"/>
      <c r="BX73" s="135"/>
      <c r="BY73" s="135"/>
      <c r="BZ73" s="135"/>
      <c r="CA73" s="135"/>
      <c r="CB73" s="135"/>
      <c r="CC73" s="135"/>
      <c r="CD73" s="135"/>
      <c r="CE73" s="135"/>
      <c r="CF73" s="549"/>
      <c r="CG73" s="550"/>
      <c r="CI73" s="548"/>
      <c r="CJ73" s="134" t="s">
        <v>59</v>
      </c>
      <c r="CK73" s="135"/>
      <c r="CL73" s="135"/>
      <c r="CM73" s="135"/>
      <c r="CN73" s="135"/>
      <c r="CO73" s="135"/>
      <c r="CP73" s="135"/>
      <c r="CQ73" s="135"/>
      <c r="CR73" s="135"/>
      <c r="CS73" s="135"/>
      <c r="CT73" s="135"/>
      <c r="CU73" s="135"/>
      <c r="CV73" s="135"/>
      <c r="CW73" s="549"/>
      <c r="CX73" s="550"/>
      <c r="CZ73" s="548"/>
      <c r="DA73" s="134" t="s">
        <v>59</v>
      </c>
      <c r="DB73" s="135"/>
      <c r="DC73" s="135"/>
      <c r="DD73" s="135"/>
      <c r="DE73" s="135"/>
      <c r="DF73" s="135"/>
      <c r="DG73" s="135"/>
      <c r="DH73" s="135"/>
      <c r="DI73" s="135"/>
      <c r="DJ73" s="135"/>
      <c r="DK73" s="135"/>
      <c r="DL73" s="135"/>
      <c r="DM73" s="135"/>
      <c r="DN73" s="549"/>
      <c r="DO73" s="550"/>
      <c r="DQ73" s="548"/>
      <c r="DR73" s="134" t="s">
        <v>59</v>
      </c>
      <c r="DS73" s="135"/>
      <c r="DT73" s="135"/>
      <c r="DU73" s="135"/>
      <c r="DV73" s="135"/>
      <c r="DW73" s="135"/>
      <c r="DX73" s="135"/>
      <c r="DY73" s="135"/>
      <c r="DZ73" s="135"/>
      <c r="EA73" s="135"/>
      <c r="EB73" s="135"/>
      <c r="EC73" s="135"/>
      <c r="ED73" s="135"/>
      <c r="EE73" s="549"/>
      <c r="EF73" s="550"/>
      <c r="EH73" s="548"/>
      <c r="EI73" s="134" t="s">
        <v>59</v>
      </c>
      <c r="EJ73" s="135"/>
      <c r="EK73" s="135"/>
      <c r="EL73" s="135"/>
      <c r="EM73" s="135"/>
      <c r="EN73" s="135"/>
      <c r="EO73" s="135"/>
      <c r="EP73" s="135"/>
      <c r="EQ73" s="135"/>
      <c r="ER73" s="135"/>
      <c r="ES73" s="135"/>
      <c r="ET73" s="135"/>
      <c r="EU73" s="135"/>
      <c r="EV73" s="549"/>
      <c r="EW73" s="550"/>
      <c r="EY73" s="548"/>
      <c r="EZ73" s="134" t="s">
        <v>59</v>
      </c>
      <c r="FA73" s="135"/>
      <c r="FB73" s="135"/>
      <c r="FC73" s="135"/>
      <c r="FD73" s="135"/>
      <c r="FE73" s="135"/>
      <c r="FF73" s="135"/>
      <c r="FG73" s="135"/>
      <c r="FH73" s="135"/>
      <c r="FI73" s="135"/>
      <c r="FJ73" s="135"/>
      <c r="FK73" s="135"/>
      <c r="FL73" s="135"/>
      <c r="FM73" s="549"/>
      <c r="FN73" s="550"/>
    </row>
    <row r="74" spans="2:170" ht="11.25" customHeight="1">
      <c r="B74" s="532" t="s">
        <v>67</v>
      </c>
      <c r="C74" s="532"/>
      <c r="D74" s="139">
        <f t="shared" ref="D74:O74" si="443">D64-D70</f>
        <v>0</v>
      </c>
      <c r="E74" s="139">
        <f t="shared" si="443"/>
        <v>0</v>
      </c>
      <c r="F74" s="139">
        <f t="shared" si="443"/>
        <v>0</v>
      </c>
      <c r="G74" s="139">
        <f t="shared" si="443"/>
        <v>0</v>
      </c>
      <c r="H74" s="139">
        <f t="shared" si="443"/>
        <v>0</v>
      </c>
      <c r="I74" s="139">
        <f t="shared" si="443"/>
        <v>0</v>
      </c>
      <c r="J74" s="139">
        <f t="shared" si="443"/>
        <v>0</v>
      </c>
      <c r="K74" s="139">
        <f t="shared" si="443"/>
        <v>0</v>
      </c>
      <c r="L74" s="139">
        <f t="shared" si="443"/>
        <v>0</v>
      </c>
      <c r="M74" s="139">
        <f t="shared" si="443"/>
        <v>0</v>
      </c>
      <c r="N74" s="139">
        <f t="shared" si="443"/>
        <v>0</v>
      </c>
      <c r="O74" s="139">
        <f t="shared" si="443"/>
        <v>0</v>
      </c>
      <c r="P74" s="533"/>
      <c r="Q74" s="534"/>
      <c r="R74" s="531"/>
      <c r="S74" s="532" t="s">
        <v>67</v>
      </c>
      <c r="T74" s="532"/>
      <c r="U74" s="139">
        <f t="shared" ref="U74:AF74" si="444">U64-U70</f>
        <v>400000</v>
      </c>
      <c r="V74" s="139">
        <f t="shared" si="444"/>
        <v>281600</v>
      </c>
      <c r="W74" s="139">
        <f>W64-W70</f>
        <v>-281600</v>
      </c>
      <c r="X74" s="139">
        <f t="shared" si="444"/>
        <v>-400000</v>
      </c>
      <c r="Y74" s="139">
        <f t="shared" si="444"/>
        <v>0</v>
      </c>
      <c r="Z74" s="139">
        <f t="shared" si="444"/>
        <v>0</v>
      </c>
      <c r="AA74" s="139">
        <f t="shared" si="444"/>
        <v>0</v>
      </c>
      <c r="AB74" s="139">
        <f t="shared" si="444"/>
        <v>0</v>
      </c>
      <c r="AC74" s="139">
        <f t="shared" si="444"/>
        <v>0</v>
      </c>
      <c r="AD74" s="139">
        <f t="shared" si="444"/>
        <v>0</v>
      </c>
      <c r="AE74" s="139">
        <f t="shared" si="444"/>
        <v>0</v>
      </c>
      <c r="AF74" s="139">
        <f t="shared" si="444"/>
        <v>0</v>
      </c>
      <c r="AG74" s="533"/>
      <c r="AH74" s="534"/>
      <c r="AJ74" s="532" t="s">
        <v>67</v>
      </c>
      <c r="AK74" s="532"/>
      <c r="AL74" s="139">
        <f t="shared" ref="AL74:AW74" si="445">AL64-AL70</f>
        <v>0</v>
      </c>
      <c r="AM74" s="139">
        <f t="shared" si="445"/>
        <v>0</v>
      </c>
      <c r="AN74" s="139">
        <f t="shared" si="445"/>
        <v>0</v>
      </c>
      <c r="AO74" s="139">
        <f t="shared" si="445"/>
        <v>0</v>
      </c>
      <c r="AP74" s="139">
        <f t="shared" si="445"/>
        <v>0</v>
      </c>
      <c r="AQ74" s="139">
        <f t="shared" si="445"/>
        <v>0</v>
      </c>
      <c r="AR74" s="139">
        <f t="shared" si="445"/>
        <v>0</v>
      </c>
      <c r="AS74" s="139">
        <f t="shared" si="445"/>
        <v>0</v>
      </c>
      <c r="AT74" s="139">
        <f t="shared" si="445"/>
        <v>0</v>
      </c>
      <c r="AU74" s="139">
        <f t="shared" si="445"/>
        <v>0</v>
      </c>
      <c r="AV74" s="139">
        <f t="shared" si="445"/>
        <v>0</v>
      </c>
      <c r="AW74" s="139">
        <f t="shared" si="445"/>
        <v>0</v>
      </c>
      <c r="AX74" s="533"/>
      <c r="AY74" s="534"/>
      <c r="BA74" s="532" t="s">
        <v>67</v>
      </c>
      <c r="BB74" s="532"/>
      <c r="BC74" s="139">
        <f t="shared" ref="BC74:BN74" si="446">BC64-BC70</f>
        <v>-120000000</v>
      </c>
      <c r="BD74" s="139">
        <f t="shared" si="446"/>
        <v>0</v>
      </c>
      <c r="BE74" s="139">
        <f t="shared" si="446"/>
        <v>0</v>
      </c>
      <c r="BF74" s="139">
        <f t="shared" si="446"/>
        <v>0</v>
      </c>
      <c r="BG74" s="139">
        <f t="shared" si="446"/>
        <v>0</v>
      </c>
      <c r="BH74" s="139">
        <f t="shared" si="446"/>
        <v>0</v>
      </c>
      <c r="BI74" s="139">
        <f t="shared" si="446"/>
        <v>0</v>
      </c>
      <c r="BJ74" s="139">
        <f t="shared" si="446"/>
        <v>0</v>
      </c>
      <c r="BK74" s="139">
        <f t="shared" si="446"/>
        <v>0</v>
      </c>
      <c r="BL74" s="139">
        <f t="shared" si="446"/>
        <v>0</v>
      </c>
      <c r="BM74" s="139">
        <f t="shared" si="446"/>
        <v>0</v>
      </c>
      <c r="BN74" s="139">
        <f t="shared" si="446"/>
        <v>0</v>
      </c>
      <c r="BO74" s="533"/>
      <c r="BP74" s="534"/>
      <c r="BR74" s="532" t="s">
        <v>67</v>
      </c>
      <c r="BS74" s="532"/>
      <c r="BT74" s="139">
        <f t="shared" ref="BT74:CE74" si="447">BT64-BT70</f>
        <v>0</v>
      </c>
      <c r="BU74" s="139">
        <f t="shared" si="447"/>
        <v>0</v>
      </c>
      <c r="BV74" s="139">
        <f t="shared" si="447"/>
        <v>0</v>
      </c>
      <c r="BW74" s="139">
        <f t="shared" si="447"/>
        <v>0</v>
      </c>
      <c r="BX74" s="139">
        <f t="shared" si="447"/>
        <v>0</v>
      </c>
      <c r="BY74" s="139">
        <f t="shared" si="447"/>
        <v>0</v>
      </c>
      <c r="BZ74" s="139">
        <f t="shared" si="447"/>
        <v>0</v>
      </c>
      <c r="CA74" s="139">
        <f t="shared" si="447"/>
        <v>0</v>
      </c>
      <c r="CB74" s="139">
        <f t="shared" si="447"/>
        <v>0</v>
      </c>
      <c r="CC74" s="139">
        <f t="shared" si="447"/>
        <v>0</v>
      </c>
      <c r="CD74" s="139">
        <f t="shared" si="447"/>
        <v>0</v>
      </c>
      <c r="CE74" s="139">
        <f t="shared" si="447"/>
        <v>0</v>
      </c>
      <c r="CF74" s="533"/>
      <c r="CG74" s="534"/>
      <c r="CI74" s="532" t="s">
        <v>67</v>
      </c>
      <c r="CJ74" s="532"/>
      <c r="CK74" s="139">
        <f t="shared" ref="CK74:CV74" si="448">CK64-CK70</f>
        <v>0</v>
      </c>
      <c r="CL74" s="139">
        <f t="shared" si="448"/>
        <v>0</v>
      </c>
      <c r="CM74" s="139">
        <f t="shared" si="448"/>
        <v>-1112</v>
      </c>
      <c r="CN74" s="139">
        <f t="shared" si="448"/>
        <v>-26000</v>
      </c>
      <c r="CO74" s="139">
        <f t="shared" si="448"/>
        <v>0</v>
      </c>
      <c r="CP74" s="139">
        <f t="shared" si="448"/>
        <v>0</v>
      </c>
      <c r="CQ74" s="139">
        <f t="shared" si="448"/>
        <v>0</v>
      </c>
      <c r="CR74" s="139">
        <f t="shared" si="448"/>
        <v>0</v>
      </c>
      <c r="CS74" s="139">
        <f t="shared" si="448"/>
        <v>0</v>
      </c>
      <c r="CT74" s="139">
        <f t="shared" si="448"/>
        <v>0</v>
      </c>
      <c r="CU74" s="139">
        <f t="shared" si="448"/>
        <v>0</v>
      </c>
      <c r="CV74" s="139">
        <f t="shared" si="448"/>
        <v>0</v>
      </c>
      <c r="CW74" s="533"/>
      <c r="CX74" s="534"/>
      <c r="CZ74" s="532" t="s">
        <v>67</v>
      </c>
      <c r="DA74" s="532"/>
      <c r="DB74" s="139">
        <f t="shared" ref="DB74:DM74" si="449">DB64-DB70</f>
        <v>0</v>
      </c>
      <c r="DC74" s="139">
        <f t="shared" si="449"/>
        <v>0</v>
      </c>
      <c r="DD74" s="139">
        <f t="shared" si="449"/>
        <v>0</v>
      </c>
      <c r="DE74" s="139">
        <f t="shared" si="449"/>
        <v>0</v>
      </c>
      <c r="DF74" s="139">
        <f t="shared" si="449"/>
        <v>0</v>
      </c>
      <c r="DG74" s="139">
        <f t="shared" si="449"/>
        <v>0</v>
      </c>
      <c r="DH74" s="139">
        <f t="shared" si="449"/>
        <v>0</v>
      </c>
      <c r="DI74" s="139">
        <f t="shared" si="449"/>
        <v>0</v>
      </c>
      <c r="DJ74" s="139">
        <f t="shared" si="449"/>
        <v>0</v>
      </c>
      <c r="DK74" s="139">
        <f t="shared" si="449"/>
        <v>0</v>
      </c>
      <c r="DL74" s="139">
        <f t="shared" si="449"/>
        <v>0</v>
      </c>
      <c r="DM74" s="139">
        <f t="shared" si="449"/>
        <v>0</v>
      </c>
      <c r="DN74" s="533"/>
      <c r="DO74" s="534"/>
      <c r="DQ74" s="532" t="s">
        <v>67</v>
      </c>
      <c r="DR74" s="532"/>
      <c r="DS74" s="139">
        <f t="shared" ref="DS74:ED74" si="450">DS64-DS70</f>
        <v>0</v>
      </c>
      <c r="DT74" s="139">
        <f t="shared" si="450"/>
        <v>0</v>
      </c>
      <c r="DU74" s="139">
        <f t="shared" si="450"/>
        <v>0</v>
      </c>
      <c r="DV74" s="139">
        <f t="shared" si="450"/>
        <v>0</v>
      </c>
      <c r="DW74" s="139">
        <f t="shared" si="450"/>
        <v>0</v>
      </c>
      <c r="DX74" s="139">
        <f t="shared" si="450"/>
        <v>0</v>
      </c>
      <c r="DY74" s="139">
        <f t="shared" si="450"/>
        <v>0</v>
      </c>
      <c r="DZ74" s="139">
        <f t="shared" si="450"/>
        <v>0</v>
      </c>
      <c r="EA74" s="139">
        <f t="shared" si="450"/>
        <v>0</v>
      </c>
      <c r="EB74" s="139">
        <f t="shared" si="450"/>
        <v>0</v>
      </c>
      <c r="EC74" s="139">
        <f t="shared" si="450"/>
        <v>0</v>
      </c>
      <c r="ED74" s="139">
        <f t="shared" si="450"/>
        <v>0</v>
      </c>
      <c r="EE74" s="533"/>
      <c r="EF74" s="534"/>
      <c r="EH74" s="532" t="s">
        <v>67</v>
      </c>
      <c r="EI74" s="532"/>
      <c r="EJ74" s="139">
        <f t="shared" ref="EJ74:EU74" si="451">EJ64-EJ70</f>
        <v>0</v>
      </c>
      <c r="EK74" s="139">
        <f t="shared" si="451"/>
        <v>0</v>
      </c>
      <c r="EL74" s="139">
        <f t="shared" si="451"/>
        <v>0</v>
      </c>
      <c r="EM74" s="139">
        <f t="shared" si="451"/>
        <v>0</v>
      </c>
      <c r="EN74" s="139">
        <f t="shared" si="451"/>
        <v>0</v>
      </c>
      <c r="EO74" s="139">
        <f t="shared" si="451"/>
        <v>0</v>
      </c>
      <c r="EP74" s="139">
        <f t="shared" si="451"/>
        <v>0</v>
      </c>
      <c r="EQ74" s="139">
        <f t="shared" si="451"/>
        <v>0</v>
      </c>
      <c r="ER74" s="139">
        <f t="shared" si="451"/>
        <v>0</v>
      </c>
      <c r="ES74" s="139">
        <f t="shared" si="451"/>
        <v>0</v>
      </c>
      <c r="ET74" s="139">
        <f t="shared" si="451"/>
        <v>0</v>
      </c>
      <c r="EU74" s="139">
        <f t="shared" si="451"/>
        <v>0</v>
      </c>
      <c r="EV74" s="533"/>
      <c r="EW74" s="534"/>
      <c r="EY74" s="532" t="s">
        <v>67</v>
      </c>
      <c r="EZ74" s="532"/>
      <c r="FA74" s="139">
        <f t="shared" ref="FA74:FL74" si="452">FA64-FA70</f>
        <v>0</v>
      </c>
      <c r="FB74" s="139">
        <f t="shared" si="452"/>
        <v>0</v>
      </c>
      <c r="FC74" s="139">
        <f t="shared" si="452"/>
        <v>0</v>
      </c>
      <c r="FD74" s="139">
        <f t="shared" si="452"/>
        <v>0</v>
      </c>
      <c r="FE74" s="139">
        <f t="shared" si="452"/>
        <v>0</v>
      </c>
      <c r="FF74" s="139">
        <f t="shared" si="452"/>
        <v>0</v>
      </c>
      <c r="FG74" s="139">
        <f t="shared" si="452"/>
        <v>0</v>
      </c>
      <c r="FH74" s="139">
        <f t="shared" si="452"/>
        <v>0</v>
      </c>
      <c r="FI74" s="139">
        <f t="shared" si="452"/>
        <v>0</v>
      </c>
      <c r="FJ74" s="139">
        <f t="shared" si="452"/>
        <v>0</v>
      </c>
      <c r="FK74" s="139">
        <f t="shared" si="452"/>
        <v>0</v>
      </c>
      <c r="FL74" s="139">
        <f t="shared" si="452"/>
        <v>0</v>
      </c>
      <c r="FM74" s="533"/>
      <c r="FN74" s="534"/>
    </row>
    <row r="75" spans="2:170" ht="11.25" customHeight="1">
      <c r="B75" s="585" t="s">
        <v>134</v>
      </c>
      <c r="C75" s="586"/>
      <c r="D75" s="160"/>
      <c r="E75" s="160"/>
      <c r="F75" s="160"/>
      <c r="G75" s="160"/>
      <c r="H75" s="160"/>
      <c r="I75" s="160"/>
      <c r="J75" s="160"/>
      <c r="K75" s="160"/>
      <c r="L75" s="160"/>
      <c r="M75" s="160"/>
      <c r="N75" s="160"/>
      <c r="O75" s="160">
        <f>P45-P46</f>
        <v>100000</v>
      </c>
      <c r="P75" s="161"/>
      <c r="Q75" s="169"/>
      <c r="R75" s="531"/>
      <c r="S75" s="585" t="s">
        <v>134</v>
      </c>
      <c r="T75" s="586"/>
      <c r="U75" s="160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>
        <f>AG45-AG46</f>
        <v>0</v>
      </c>
      <c r="AG75" s="161"/>
      <c r="AH75" s="169"/>
      <c r="AJ75" s="585" t="s">
        <v>134</v>
      </c>
      <c r="AK75" s="586"/>
      <c r="AL75" s="160"/>
      <c r="AM75" s="160"/>
      <c r="AN75" s="160"/>
      <c r="AO75" s="160"/>
      <c r="AP75" s="160"/>
      <c r="AQ75" s="160"/>
      <c r="AR75" s="160"/>
      <c r="AS75" s="160"/>
      <c r="AT75" s="160"/>
      <c r="AU75" s="160"/>
      <c r="AV75" s="160"/>
      <c r="AW75" s="160">
        <f>AX45-AX46</f>
        <v>0</v>
      </c>
      <c r="AX75" s="161"/>
      <c r="AY75" s="169"/>
      <c r="BA75" s="585" t="s">
        <v>134</v>
      </c>
      <c r="BB75" s="586"/>
      <c r="BC75" s="160"/>
      <c r="BD75" s="160"/>
      <c r="BE75" s="160"/>
      <c r="BF75" s="160"/>
      <c r="BG75" s="160"/>
      <c r="BH75" s="160"/>
      <c r="BI75" s="160"/>
      <c r="BJ75" s="160"/>
      <c r="BK75" s="160"/>
      <c r="BL75" s="160"/>
      <c r="BM75" s="160"/>
      <c r="BN75" s="160">
        <f>BO45-BO46</f>
        <v>-20160</v>
      </c>
      <c r="BO75" s="161"/>
      <c r="BP75" s="169"/>
      <c r="BR75" s="585" t="s">
        <v>134</v>
      </c>
      <c r="BS75" s="586"/>
      <c r="BT75" s="160"/>
      <c r="BU75" s="160"/>
      <c r="BV75" s="160"/>
      <c r="BW75" s="160"/>
      <c r="BX75" s="160"/>
      <c r="BY75" s="160"/>
      <c r="BZ75" s="160"/>
      <c r="CA75" s="160"/>
      <c r="CB75" s="160"/>
      <c r="CC75" s="160"/>
      <c r="CD75" s="160"/>
      <c r="CE75" s="160">
        <f>CF45-CF46</f>
        <v>-25344</v>
      </c>
      <c r="CF75" s="161"/>
      <c r="CG75" s="169"/>
      <c r="CI75" s="585" t="s">
        <v>134</v>
      </c>
      <c r="CJ75" s="586"/>
      <c r="CK75" s="160"/>
      <c r="CL75" s="160"/>
      <c r="CM75" s="160"/>
      <c r="CN75" s="160"/>
      <c r="CO75" s="160"/>
      <c r="CP75" s="160"/>
      <c r="CQ75" s="160"/>
      <c r="CR75" s="160"/>
      <c r="CS75" s="160"/>
      <c r="CT75" s="160"/>
      <c r="CU75" s="160"/>
      <c r="CV75" s="160" t="e">
        <f>CW45-CW46</f>
        <v>#REF!</v>
      </c>
      <c r="CW75" s="161"/>
      <c r="CX75" s="169"/>
      <c r="CZ75" s="585" t="s">
        <v>134</v>
      </c>
      <c r="DA75" s="586"/>
      <c r="DB75" s="160"/>
      <c r="DC75" s="160"/>
      <c r="DD75" s="160"/>
      <c r="DE75" s="160"/>
      <c r="DF75" s="160"/>
      <c r="DG75" s="160"/>
      <c r="DH75" s="160"/>
      <c r="DI75" s="160"/>
      <c r="DJ75" s="160"/>
      <c r="DK75" s="160"/>
      <c r="DL75" s="160"/>
      <c r="DM75" s="160" t="e">
        <f>DN45-DN46</f>
        <v>#REF!</v>
      </c>
      <c r="DN75" s="161"/>
      <c r="DO75" s="169"/>
      <c r="DQ75" s="585" t="s">
        <v>134</v>
      </c>
      <c r="DR75" s="586"/>
      <c r="DS75" s="160"/>
      <c r="DT75" s="160"/>
      <c r="DU75" s="160"/>
      <c r="DV75" s="160"/>
      <c r="DW75" s="160"/>
      <c r="DX75" s="160"/>
      <c r="DY75" s="160"/>
      <c r="DZ75" s="160"/>
      <c r="EA75" s="160"/>
      <c r="EB75" s="160"/>
      <c r="EC75" s="160"/>
      <c r="ED75" s="160" t="e">
        <f>EE45-EE46</f>
        <v>#REF!</v>
      </c>
      <c r="EE75" s="161"/>
      <c r="EF75" s="169"/>
      <c r="EH75" s="585" t="s">
        <v>134</v>
      </c>
      <c r="EI75" s="586"/>
      <c r="EJ75" s="160"/>
      <c r="EK75" s="160"/>
      <c r="EL75" s="160"/>
      <c r="EM75" s="160"/>
      <c r="EN75" s="160"/>
      <c r="EO75" s="160"/>
      <c r="EP75" s="160"/>
      <c r="EQ75" s="160"/>
      <c r="ER75" s="160"/>
      <c r="ES75" s="160"/>
      <c r="ET75" s="160"/>
      <c r="EU75" s="160" t="e">
        <f>EV45-EV46</f>
        <v>#REF!</v>
      </c>
      <c r="EV75" s="161"/>
      <c r="EW75" s="169"/>
      <c r="EY75" s="585" t="s">
        <v>134</v>
      </c>
      <c r="EZ75" s="586"/>
      <c r="FA75" s="160"/>
      <c r="FB75" s="160"/>
      <c r="FC75" s="160"/>
      <c r="FD75" s="160"/>
      <c r="FE75" s="160"/>
      <c r="FF75" s="160"/>
      <c r="FG75" s="160"/>
      <c r="FH75" s="160"/>
      <c r="FI75" s="160"/>
      <c r="FJ75" s="160"/>
      <c r="FK75" s="160"/>
      <c r="FL75" s="160" t="e">
        <f>FM45-FM46</f>
        <v>#REF!</v>
      </c>
      <c r="FM75" s="161"/>
      <c r="FN75" s="169"/>
    </row>
    <row r="76" spans="2:170" ht="11.25" customHeight="1">
      <c r="B76" s="535" t="s">
        <v>68</v>
      </c>
      <c r="C76" s="535"/>
      <c r="D76" s="158">
        <f t="shared" ref="D76:O76" si="453">D49+D63+D74-D75</f>
        <v>0</v>
      </c>
      <c r="E76" s="158">
        <f t="shared" si="453"/>
        <v>0</v>
      </c>
      <c r="F76" s="158">
        <f t="shared" si="453"/>
        <v>0</v>
      </c>
      <c r="G76" s="158">
        <f t="shared" si="453"/>
        <v>0</v>
      </c>
      <c r="H76" s="158">
        <f t="shared" si="453"/>
        <v>0</v>
      </c>
      <c r="I76" s="158">
        <f t="shared" si="453"/>
        <v>0</v>
      </c>
      <c r="J76" s="158">
        <f t="shared" si="453"/>
        <v>0</v>
      </c>
      <c r="K76" s="158">
        <f t="shared" si="453"/>
        <v>0</v>
      </c>
      <c r="L76" s="158">
        <f t="shared" si="453"/>
        <v>0</v>
      </c>
      <c r="M76" s="158">
        <f t="shared" si="453"/>
        <v>0</v>
      </c>
      <c r="N76" s="158">
        <f t="shared" si="453"/>
        <v>100000</v>
      </c>
      <c r="O76" s="158">
        <f t="shared" si="453"/>
        <v>0</v>
      </c>
      <c r="P76" s="536"/>
      <c r="Q76" s="537"/>
      <c r="R76" s="531"/>
      <c r="S76" s="535" t="s">
        <v>68</v>
      </c>
      <c r="T76" s="535"/>
      <c r="U76" s="158">
        <f t="shared" ref="U76:AF76" si="454">U49+U63+U74-U75</f>
        <v>345000</v>
      </c>
      <c r="V76" s="158">
        <f t="shared" si="454"/>
        <v>46427.900000000023</v>
      </c>
      <c r="W76" s="158">
        <f t="shared" si="454"/>
        <v>213025.80000000005</v>
      </c>
      <c r="X76" s="158">
        <f t="shared" si="454"/>
        <v>144964.10000000009</v>
      </c>
      <c r="Y76" s="158">
        <f t="shared" si="454"/>
        <v>342255.69999999995</v>
      </c>
      <c r="Z76" s="158">
        <f t="shared" si="454"/>
        <v>623806.5</v>
      </c>
      <c r="AA76" s="158">
        <f t="shared" si="454"/>
        <v>839357.3</v>
      </c>
      <c r="AB76" s="158">
        <f t="shared" si="454"/>
        <v>1139167.3</v>
      </c>
      <c r="AC76" s="158">
        <f t="shared" si="454"/>
        <v>1422977.3</v>
      </c>
      <c r="AD76" s="158">
        <f t="shared" si="454"/>
        <v>1791046.5</v>
      </c>
      <c r="AE76" s="158">
        <f t="shared" si="454"/>
        <v>2143115.7000000002</v>
      </c>
      <c r="AF76" s="158">
        <f t="shared" si="454"/>
        <v>2579444.1000000006</v>
      </c>
      <c r="AG76" s="536"/>
      <c r="AH76" s="537"/>
      <c r="AJ76" s="535" t="s">
        <v>68</v>
      </c>
      <c r="AK76" s="535"/>
      <c r="AL76" s="158">
        <f t="shared" ref="AL76:AW76" si="455">AL49+AL63+AL74-AL75</f>
        <v>3293985.3000000007</v>
      </c>
      <c r="AM76" s="158">
        <f t="shared" si="455"/>
        <v>4200350.5000000009</v>
      </c>
      <c r="AN76" s="158">
        <f t="shared" si="455"/>
        <v>4401901.7000000011</v>
      </c>
      <c r="AO76" s="158">
        <f t="shared" si="455"/>
        <v>4605193.3000000007</v>
      </c>
      <c r="AP76" s="158">
        <f t="shared" si="455"/>
        <v>4792484.9000000004</v>
      </c>
      <c r="AQ76" s="158">
        <f t="shared" si="455"/>
        <v>5064035.7</v>
      </c>
      <c r="AR76" s="158">
        <f t="shared" si="455"/>
        <v>5319586.5</v>
      </c>
      <c r="AS76" s="158">
        <f t="shared" si="455"/>
        <v>5659396.5</v>
      </c>
      <c r="AT76" s="158">
        <f t="shared" si="455"/>
        <v>5983206.5</v>
      </c>
      <c r="AU76" s="158">
        <f t="shared" si="455"/>
        <v>6391275.7000000002</v>
      </c>
      <c r="AV76" s="158">
        <f t="shared" si="455"/>
        <v>6783344.9000000004</v>
      </c>
      <c r="AW76" s="158">
        <f t="shared" si="455"/>
        <v>7259673.3000000007</v>
      </c>
      <c r="AX76" s="536"/>
      <c r="AY76" s="537"/>
      <c r="BA76" s="535" t="s">
        <v>68</v>
      </c>
      <c r="BB76" s="535"/>
      <c r="BC76" s="158">
        <f t="shared" ref="BC76:BN76" si="456">BC49+BC63+BC74-BC75</f>
        <v>-112588089.90000001</v>
      </c>
      <c r="BD76" s="158">
        <f t="shared" si="456"/>
        <v>-112590669.90000001</v>
      </c>
      <c r="BE76" s="158">
        <f t="shared" si="456"/>
        <v>-112593249.90000001</v>
      </c>
      <c r="BF76" s="158">
        <f t="shared" si="456"/>
        <v>-112595829.90000001</v>
      </c>
      <c r="BG76" s="158">
        <f t="shared" si="456"/>
        <v>-112598409.90000001</v>
      </c>
      <c r="BH76" s="158">
        <f t="shared" si="456"/>
        <v>-112601789.90000001</v>
      </c>
      <c r="BI76" s="158">
        <f t="shared" si="456"/>
        <v>-112603989.90000001</v>
      </c>
      <c r="BJ76" s="158">
        <f t="shared" si="456"/>
        <v>-112605769.90000001</v>
      </c>
      <c r="BK76" s="158">
        <f t="shared" si="456"/>
        <v>-112607929.90000001</v>
      </c>
      <c r="BL76" s="158">
        <f t="shared" si="456"/>
        <v>-112610089.90000001</v>
      </c>
      <c r="BM76" s="158">
        <f t="shared" si="456"/>
        <v>-112612249.90000001</v>
      </c>
      <c r="BN76" s="158">
        <f t="shared" si="456"/>
        <v>-112594249.90000001</v>
      </c>
      <c r="BO76" s="536"/>
      <c r="BP76" s="537"/>
      <c r="BR76" s="535" t="s">
        <v>68</v>
      </c>
      <c r="BS76" s="535"/>
      <c r="BT76" s="158">
        <f t="shared" ref="BT76:CE76" si="457">BT49+BT63+BT74-BT75</f>
        <v>-112597209.90000001</v>
      </c>
      <c r="BU76" s="158">
        <f t="shared" si="457"/>
        <v>-112600869.90000001</v>
      </c>
      <c r="BV76" s="158">
        <f t="shared" si="457"/>
        <v>-112604529.90000001</v>
      </c>
      <c r="BW76" s="158">
        <f t="shared" si="457"/>
        <v>-112608189.90000001</v>
      </c>
      <c r="BX76" s="158">
        <f t="shared" si="457"/>
        <v>-112611849.90000001</v>
      </c>
      <c r="BY76" s="158">
        <f t="shared" si="457"/>
        <v>-112616309.90000001</v>
      </c>
      <c r="BZ76" s="158">
        <f t="shared" si="457"/>
        <v>-112619589.90000001</v>
      </c>
      <c r="CA76" s="158">
        <f t="shared" si="457"/>
        <v>-112622449.90000001</v>
      </c>
      <c r="CB76" s="158">
        <f t="shared" si="457"/>
        <v>-112625689.90000001</v>
      </c>
      <c r="CC76" s="158">
        <f t="shared" si="457"/>
        <v>-112628929.90000001</v>
      </c>
      <c r="CD76" s="158">
        <f t="shared" si="457"/>
        <v>-112632169.90000001</v>
      </c>
      <c r="CE76" s="158">
        <f t="shared" si="457"/>
        <v>-112610065.90000001</v>
      </c>
      <c r="CF76" s="536"/>
      <c r="CG76" s="537"/>
      <c r="CI76" s="535" t="s">
        <v>68</v>
      </c>
      <c r="CJ76" s="535"/>
      <c r="CK76" s="158">
        <f t="shared" ref="CK76:CV76" si="458">CK49+CK63+CK74-CK75</f>
        <v>-112637305.90000001</v>
      </c>
      <c r="CL76" s="158">
        <f t="shared" si="458"/>
        <v>-112664853.90000001</v>
      </c>
      <c r="CM76" s="158">
        <f t="shared" si="458"/>
        <v>-112693513.90000001</v>
      </c>
      <c r="CN76" s="158">
        <f t="shared" si="458"/>
        <v>-112747061.90000001</v>
      </c>
      <c r="CO76" s="158">
        <f t="shared" si="458"/>
        <v>-112774609.90000001</v>
      </c>
      <c r="CP76" s="158">
        <f t="shared" si="458"/>
        <v>-112802157.90000001</v>
      </c>
      <c r="CQ76" s="158">
        <f t="shared" si="458"/>
        <v>-112829705.90000001</v>
      </c>
      <c r="CR76" s="158">
        <f t="shared" si="458"/>
        <v>-112860385.90000001</v>
      </c>
      <c r="CS76" s="158">
        <f t="shared" si="458"/>
        <v>-112891065.90000001</v>
      </c>
      <c r="CT76" s="158">
        <f t="shared" si="458"/>
        <v>-112921745.90000001</v>
      </c>
      <c r="CU76" s="158">
        <f t="shared" si="458"/>
        <v>-112952425.90000001</v>
      </c>
      <c r="CV76" s="158" t="e">
        <f t="shared" si="458"/>
        <v>#REF!</v>
      </c>
      <c r="CW76" s="536"/>
      <c r="CX76" s="537"/>
      <c r="CZ76" s="535" t="s">
        <v>68</v>
      </c>
      <c r="DA76" s="535"/>
      <c r="DB76" s="158" t="e">
        <f t="shared" ref="DB76:DM76" si="459">DB49+DB63+DB74-DB75</f>
        <v>#REF!</v>
      </c>
      <c r="DC76" s="158" t="e">
        <f t="shared" si="459"/>
        <v>#REF!</v>
      </c>
      <c r="DD76" s="158" t="e">
        <f t="shared" si="459"/>
        <v>#REF!</v>
      </c>
      <c r="DE76" s="158" t="e">
        <f t="shared" si="459"/>
        <v>#REF!</v>
      </c>
      <c r="DF76" s="158" t="e">
        <f t="shared" si="459"/>
        <v>#REF!</v>
      </c>
      <c r="DG76" s="158" t="e">
        <f t="shared" si="459"/>
        <v>#REF!</v>
      </c>
      <c r="DH76" s="158" t="e">
        <f t="shared" si="459"/>
        <v>#REF!</v>
      </c>
      <c r="DI76" s="158" t="e">
        <f t="shared" si="459"/>
        <v>#REF!</v>
      </c>
      <c r="DJ76" s="158" t="e">
        <f t="shared" si="459"/>
        <v>#REF!</v>
      </c>
      <c r="DK76" s="158" t="e">
        <f t="shared" si="459"/>
        <v>#REF!</v>
      </c>
      <c r="DL76" s="158" t="e">
        <f t="shared" si="459"/>
        <v>#REF!</v>
      </c>
      <c r="DM76" s="158" t="e">
        <f t="shared" si="459"/>
        <v>#REF!</v>
      </c>
      <c r="DN76" s="536"/>
      <c r="DO76" s="537"/>
      <c r="DQ76" s="535" t="s">
        <v>68</v>
      </c>
      <c r="DR76" s="535"/>
      <c r="DS76" s="158" t="e">
        <f t="shared" ref="DS76:ED76" si="460">DS49+DS63+DS74-DS75</f>
        <v>#REF!</v>
      </c>
      <c r="DT76" s="158" t="e">
        <f t="shared" si="460"/>
        <v>#REF!</v>
      </c>
      <c r="DU76" s="158" t="e">
        <f t="shared" si="460"/>
        <v>#REF!</v>
      </c>
      <c r="DV76" s="158" t="e">
        <f t="shared" si="460"/>
        <v>#REF!</v>
      </c>
      <c r="DW76" s="158" t="e">
        <f t="shared" si="460"/>
        <v>#REF!</v>
      </c>
      <c r="DX76" s="158" t="e">
        <f t="shared" si="460"/>
        <v>#REF!</v>
      </c>
      <c r="DY76" s="158" t="e">
        <f t="shared" si="460"/>
        <v>#REF!</v>
      </c>
      <c r="DZ76" s="158" t="e">
        <f t="shared" si="460"/>
        <v>#REF!</v>
      </c>
      <c r="EA76" s="158" t="e">
        <f t="shared" si="460"/>
        <v>#REF!</v>
      </c>
      <c r="EB76" s="158" t="e">
        <f t="shared" si="460"/>
        <v>#REF!</v>
      </c>
      <c r="EC76" s="158" t="e">
        <f t="shared" si="460"/>
        <v>#REF!</v>
      </c>
      <c r="ED76" s="158" t="e">
        <f t="shared" si="460"/>
        <v>#REF!</v>
      </c>
      <c r="EE76" s="536"/>
      <c r="EF76" s="537"/>
      <c r="EH76" s="535" t="s">
        <v>68</v>
      </c>
      <c r="EI76" s="535"/>
      <c r="EJ76" s="158" t="e">
        <f t="shared" ref="EJ76:EU76" si="461">EJ49+EJ63+EJ74-EJ75</f>
        <v>#REF!</v>
      </c>
      <c r="EK76" s="158" t="e">
        <f t="shared" si="461"/>
        <v>#REF!</v>
      </c>
      <c r="EL76" s="158" t="e">
        <f t="shared" si="461"/>
        <v>#REF!</v>
      </c>
      <c r="EM76" s="158" t="e">
        <f t="shared" si="461"/>
        <v>#REF!</v>
      </c>
      <c r="EN76" s="158" t="e">
        <f t="shared" si="461"/>
        <v>#REF!</v>
      </c>
      <c r="EO76" s="158" t="e">
        <f t="shared" si="461"/>
        <v>#REF!</v>
      </c>
      <c r="EP76" s="158" t="e">
        <f t="shared" si="461"/>
        <v>#REF!</v>
      </c>
      <c r="EQ76" s="158" t="e">
        <f t="shared" si="461"/>
        <v>#REF!</v>
      </c>
      <c r="ER76" s="158" t="e">
        <f t="shared" si="461"/>
        <v>#REF!</v>
      </c>
      <c r="ES76" s="158" t="e">
        <f t="shared" si="461"/>
        <v>#REF!</v>
      </c>
      <c r="ET76" s="158" t="e">
        <f t="shared" si="461"/>
        <v>#REF!</v>
      </c>
      <c r="EU76" s="158" t="e">
        <f t="shared" si="461"/>
        <v>#REF!</v>
      </c>
      <c r="EV76" s="536"/>
      <c r="EW76" s="537"/>
      <c r="EY76" s="535" t="s">
        <v>68</v>
      </c>
      <c r="EZ76" s="535"/>
      <c r="FA76" s="158" t="e">
        <f t="shared" ref="FA76:FL76" si="462">FA49+FA63+FA74-FA75</f>
        <v>#REF!</v>
      </c>
      <c r="FB76" s="158" t="e">
        <f t="shared" si="462"/>
        <v>#REF!</v>
      </c>
      <c r="FC76" s="158" t="e">
        <f t="shared" si="462"/>
        <v>#REF!</v>
      </c>
      <c r="FD76" s="158" t="e">
        <f t="shared" si="462"/>
        <v>#REF!</v>
      </c>
      <c r="FE76" s="158" t="e">
        <f t="shared" si="462"/>
        <v>#REF!</v>
      </c>
      <c r="FF76" s="158" t="e">
        <f t="shared" si="462"/>
        <v>#REF!</v>
      </c>
      <c r="FG76" s="158" t="e">
        <f t="shared" si="462"/>
        <v>#REF!</v>
      </c>
      <c r="FH76" s="158" t="e">
        <f t="shared" si="462"/>
        <v>#REF!</v>
      </c>
      <c r="FI76" s="158" t="e">
        <f t="shared" si="462"/>
        <v>#REF!</v>
      </c>
      <c r="FJ76" s="158" t="e">
        <f t="shared" si="462"/>
        <v>#REF!</v>
      </c>
      <c r="FK76" s="158" t="e">
        <f t="shared" si="462"/>
        <v>#REF!</v>
      </c>
      <c r="FL76" s="158" t="e">
        <f t="shared" si="462"/>
        <v>#REF!</v>
      </c>
      <c r="FM76" s="536"/>
      <c r="FN76" s="537"/>
    </row>
    <row r="77" spans="2:170" ht="6" customHeight="1">
      <c r="R77" s="531"/>
    </row>
    <row r="78" spans="2:170">
      <c r="R78" s="531"/>
    </row>
    <row r="80" spans="2:170">
      <c r="C80" s="126" t="s">
        <v>274</v>
      </c>
      <c r="H80" s="126" t="s">
        <v>275</v>
      </c>
      <c r="K80" s="126" t="s">
        <v>276</v>
      </c>
      <c r="O80" s="424" t="s">
        <v>474</v>
      </c>
      <c r="P80" s="126" t="s">
        <v>478</v>
      </c>
      <c r="Q80" s="162" t="s">
        <v>479</v>
      </c>
      <c r="R80" s="531" t="s">
        <v>480</v>
      </c>
      <c r="S80" s="531"/>
      <c r="T80" s="531"/>
      <c r="U80" s="126" t="s">
        <v>481</v>
      </c>
      <c r="V80" s="126" t="s">
        <v>482</v>
      </c>
      <c r="AK80" s="437">
        <v>202157</v>
      </c>
      <c r="AL80" s="437" t="s">
        <v>29</v>
      </c>
      <c r="AM80" s="437" t="s">
        <v>482</v>
      </c>
    </row>
    <row r="81" spans="3:40">
      <c r="C81" s="126" t="s">
        <v>262</v>
      </c>
      <c r="D81" s="126" t="s">
        <v>270</v>
      </c>
      <c r="E81" s="126" t="s">
        <v>271</v>
      </c>
      <c r="F81" s="126" t="s">
        <v>272</v>
      </c>
      <c r="H81" s="584" t="s">
        <v>262</v>
      </c>
      <c r="I81" s="584"/>
      <c r="J81" s="584"/>
      <c r="K81" s="126">
        <v>2000</v>
      </c>
      <c r="O81" s="126" t="s">
        <v>475</v>
      </c>
      <c r="P81" s="126">
        <f>16000</f>
        <v>16000</v>
      </c>
      <c r="Q81" s="425">
        <v>11844</v>
      </c>
      <c r="R81" s="531">
        <v>11988</v>
      </c>
      <c r="S81" s="531"/>
      <c r="T81" s="531"/>
      <c r="U81" s="126">
        <f>SUM(P81:T81)</f>
        <v>39832</v>
      </c>
      <c r="V81" s="126">
        <v>16500</v>
      </c>
      <c r="W81" s="126">
        <f>U81-V81</f>
        <v>23332</v>
      </c>
      <c r="AK81" s="437">
        <v>218157</v>
      </c>
      <c r="AL81" s="437">
        <f>SUM(AG81:AK81)</f>
        <v>218157</v>
      </c>
      <c r="AM81" s="437">
        <v>16500</v>
      </c>
      <c r="AN81" s="437">
        <f>AL81-AM81</f>
        <v>201657</v>
      </c>
    </row>
    <row r="82" spans="3:40">
      <c r="C82" s="126" t="s">
        <v>263</v>
      </c>
      <c r="D82" s="126">
        <v>20000</v>
      </c>
      <c r="E82" s="126">
        <f>店舗初期投資!C11</f>
        <v>6500</v>
      </c>
      <c r="F82" s="126">
        <f>店舗初期投資!C12</f>
        <v>650</v>
      </c>
      <c r="H82" s="584" t="s">
        <v>263</v>
      </c>
      <c r="I82" s="584"/>
      <c r="J82" s="584"/>
      <c r="K82" s="126">
        <v>2000</v>
      </c>
      <c r="R82" s="531"/>
      <c r="S82" s="531"/>
      <c r="T82" s="531"/>
      <c r="U82" s="422"/>
      <c r="AK82" s="437">
        <f>AK81-AK80</f>
        <v>16000</v>
      </c>
    </row>
    <row r="83" spans="3:40">
      <c r="C83" s="126" t="s">
        <v>264</v>
      </c>
      <c r="D83" s="126">
        <v>30000</v>
      </c>
      <c r="E83" s="126">
        <f>店舗初期投資!D11</f>
        <v>16500</v>
      </c>
      <c r="F83" s="126">
        <f>店舗初期投資!D12</f>
        <v>1650</v>
      </c>
      <c r="H83" s="584" t="s">
        <v>264</v>
      </c>
      <c r="I83" s="584"/>
      <c r="J83" s="584"/>
      <c r="K83" s="126">
        <v>2000</v>
      </c>
      <c r="O83" s="126" t="s">
        <v>476</v>
      </c>
      <c r="P83" s="126">
        <v>10000</v>
      </c>
      <c r="Q83" s="425">
        <v>5040</v>
      </c>
      <c r="R83" s="531">
        <v>5344</v>
      </c>
      <c r="S83" s="531"/>
      <c r="T83" s="531"/>
      <c r="U83" s="422">
        <f t="shared" ref="U83:U85" si="463">SUM(P83:T83)</f>
        <v>20384</v>
      </c>
      <c r="V83" s="126">
        <v>6500</v>
      </c>
      <c r="W83" s="126">
        <f>U83-V83</f>
        <v>13884</v>
      </c>
      <c r="AL83" s="437">
        <f t="shared" ref="AL83:AL85" si="464">SUM(AG83:AK83)</f>
        <v>0</v>
      </c>
      <c r="AM83" s="437">
        <v>6500</v>
      </c>
      <c r="AN83" s="437">
        <f>AL83-AM83</f>
        <v>-6500</v>
      </c>
    </row>
    <row r="84" spans="3:40">
      <c r="C84" s="126" t="s">
        <v>265</v>
      </c>
      <c r="D84" s="126">
        <v>10000</v>
      </c>
      <c r="E84" s="126">
        <f>店舗初期投資!E11</f>
        <v>6500</v>
      </c>
      <c r="F84" s="126">
        <f>店舗初期投資!E12</f>
        <v>650</v>
      </c>
      <c r="H84" s="584" t="s">
        <v>265</v>
      </c>
      <c r="I84" s="584"/>
      <c r="J84" s="584"/>
      <c r="K84" s="126">
        <v>2000</v>
      </c>
      <c r="R84" s="531"/>
      <c r="S84" s="531"/>
      <c r="T84" s="531"/>
      <c r="U84" s="422">
        <f t="shared" si="463"/>
        <v>0</v>
      </c>
      <c r="W84" s="422">
        <f>U84-V84</f>
        <v>0</v>
      </c>
      <c r="AL84" s="437">
        <f t="shared" si="464"/>
        <v>0</v>
      </c>
      <c r="AN84" s="437">
        <f>AL84-AM84</f>
        <v>0</v>
      </c>
    </row>
    <row r="85" spans="3:40">
      <c r="C85" s="126" t="s">
        <v>266</v>
      </c>
      <c r="D85" s="126">
        <v>6000</v>
      </c>
      <c r="E85" s="126">
        <f>店舗初期投資!F11</f>
        <v>3000</v>
      </c>
      <c r="F85" s="126">
        <f>店舗初期投資!F12</f>
        <v>300</v>
      </c>
      <c r="H85" s="584" t="s">
        <v>266</v>
      </c>
      <c r="I85" s="584"/>
      <c r="J85" s="584"/>
      <c r="K85" s="126">
        <v>2000</v>
      </c>
      <c r="O85" s="126" t="s">
        <v>477</v>
      </c>
      <c r="P85" s="126">
        <f>5000</f>
        <v>5000</v>
      </c>
      <c r="Q85" s="425">
        <v>1638</v>
      </c>
      <c r="R85" s="531">
        <v>1854</v>
      </c>
      <c r="S85" s="531"/>
      <c r="T85" s="531"/>
      <c r="U85" s="422">
        <f t="shared" si="463"/>
        <v>8492</v>
      </c>
      <c r="W85" s="422">
        <f>U85-V85</f>
        <v>8492</v>
      </c>
      <c r="AL85" s="437">
        <f t="shared" si="464"/>
        <v>0</v>
      </c>
      <c r="AN85" s="437">
        <f>AL85-AM85</f>
        <v>0</v>
      </c>
    </row>
    <row r="86" spans="3:40">
      <c r="P86" s="422">
        <f t="shared" ref="P86" si="465">SUM(P81:P85)</f>
        <v>31000</v>
      </c>
      <c r="Q86" s="422">
        <f>SUM(Q81:Q85)</f>
        <v>18522</v>
      </c>
      <c r="R86" s="422"/>
      <c r="S86" s="422"/>
      <c r="T86" s="421">
        <f>SUM(R81:T85)</f>
        <v>19186</v>
      </c>
      <c r="U86" s="126">
        <f>SUM(U81:U85)</f>
        <v>68708</v>
      </c>
      <c r="W86" s="126">
        <f>SUM(W81:W85)</f>
        <v>45708</v>
      </c>
      <c r="AK86" s="438">
        <f>SUM(AI81:AK85)</f>
        <v>234157</v>
      </c>
      <c r="AL86" s="437">
        <f>SUM(AL81:AL85)</f>
        <v>218157</v>
      </c>
      <c r="AN86" s="437">
        <f>SUM(AN81:AN85)</f>
        <v>195157</v>
      </c>
    </row>
    <row r="87" spans="3:40">
      <c r="C87" s="126" t="s">
        <v>267</v>
      </c>
      <c r="Q87" s="425">
        <f>Q86/24</f>
        <v>771.75</v>
      </c>
      <c r="T87" s="126">
        <f>T86/24</f>
        <v>799.41666666666663</v>
      </c>
      <c r="AK87" s="437">
        <f>AK86/24</f>
        <v>9756.5416666666661</v>
      </c>
    </row>
    <row r="88" spans="3:40">
      <c r="Q88" s="425">
        <f>(Q86+T86)/24</f>
        <v>1571.1666666666667</v>
      </c>
    </row>
  </sheetData>
  <mergeCells count="643">
    <mergeCell ref="CI46:CJ46"/>
    <mergeCell ref="CZ46:DA46"/>
    <mergeCell ref="DQ46:DR46"/>
    <mergeCell ref="EH46:EI46"/>
    <mergeCell ref="EY46:EZ46"/>
    <mergeCell ref="B75:C75"/>
    <mergeCell ref="S75:T75"/>
    <mergeCell ref="AJ75:AK75"/>
    <mergeCell ref="BA75:BB75"/>
    <mergeCell ref="BR75:BS75"/>
    <mergeCell ref="CI75:CJ75"/>
    <mergeCell ref="CZ75:DA75"/>
    <mergeCell ref="DQ75:DR75"/>
    <mergeCell ref="EH75:EI75"/>
    <mergeCell ref="EY75:EZ75"/>
    <mergeCell ref="EE74:EF74"/>
    <mergeCell ref="EH74:EI74"/>
    <mergeCell ref="EV74:EW74"/>
    <mergeCell ref="EY74:EZ74"/>
    <mergeCell ref="EE64:EF64"/>
    <mergeCell ref="EH64:EI64"/>
    <mergeCell ref="EV64:EW64"/>
    <mergeCell ref="EY64:EZ64"/>
    <mergeCell ref="EE73:EF73"/>
    <mergeCell ref="H84:J84"/>
    <mergeCell ref="H85:J85"/>
    <mergeCell ref="B46:C46"/>
    <mergeCell ref="S46:T46"/>
    <mergeCell ref="AJ46:AK46"/>
    <mergeCell ref="BA46:BB46"/>
    <mergeCell ref="AJ74:AK74"/>
    <mergeCell ref="AX74:AY74"/>
    <mergeCell ref="BA74:BB74"/>
    <mergeCell ref="AJ71:AJ73"/>
    <mergeCell ref="AX71:AY71"/>
    <mergeCell ref="BA71:BA73"/>
    <mergeCell ref="AX70:AY70"/>
    <mergeCell ref="AJ64:AK64"/>
    <mergeCell ref="AX64:AY64"/>
    <mergeCell ref="BA64:BB64"/>
    <mergeCell ref="AX61:AY61"/>
    <mergeCell ref="AJ55:AK55"/>
    <mergeCell ref="AX55:AY55"/>
    <mergeCell ref="BA55:BB55"/>
    <mergeCell ref="AJ51:AJ54"/>
    <mergeCell ref="AJ65:AJ69"/>
    <mergeCell ref="AX65:AY65"/>
    <mergeCell ref="BA65:BA69"/>
    <mergeCell ref="H81:J81"/>
    <mergeCell ref="H82:J82"/>
    <mergeCell ref="H83:J83"/>
    <mergeCell ref="CI74:CJ74"/>
    <mergeCell ref="CW74:CX74"/>
    <mergeCell ref="CZ74:DA74"/>
    <mergeCell ref="DN74:DO74"/>
    <mergeCell ref="CI76:CJ76"/>
    <mergeCell ref="CW76:CX76"/>
    <mergeCell ref="CZ76:DA76"/>
    <mergeCell ref="DN76:DO76"/>
    <mergeCell ref="BO74:BP74"/>
    <mergeCell ref="BR74:BS74"/>
    <mergeCell ref="CF74:CG74"/>
    <mergeCell ref="AJ76:AK76"/>
    <mergeCell ref="AX76:AY76"/>
    <mergeCell ref="BA76:BB76"/>
    <mergeCell ref="BO76:BP76"/>
    <mergeCell ref="BR76:BS76"/>
    <mergeCell ref="CF76:CG76"/>
    <mergeCell ref="R81:T81"/>
    <mergeCell ref="R82:T82"/>
    <mergeCell ref="DQ70:DR70"/>
    <mergeCell ref="EE70:EF70"/>
    <mergeCell ref="EH70:EI70"/>
    <mergeCell ref="EV70:EW70"/>
    <mergeCell ref="EY70:EZ70"/>
    <mergeCell ref="FM70:FN70"/>
    <mergeCell ref="FM74:FN74"/>
    <mergeCell ref="DQ76:DR76"/>
    <mergeCell ref="EE76:EF76"/>
    <mergeCell ref="EH76:EI76"/>
    <mergeCell ref="EV76:EW76"/>
    <mergeCell ref="EY76:EZ76"/>
    <mergeCell ref="FM76:FN76"/>
    <mergeCell ref="EE71:EF71"/>
    <mergeCell ref="EH71:EH73"/>
    <mergeCell ref="EV71:EW71"/>
    <mergeCell ref="EY71:EY73"/>
    <mergeCell ref="FM71:FN71"/>
    <mergeCell ref="EE72:EF72"/>
    <mergeCell ref="EV72:EW72"/>
    <mergeCell ref="FM72:FN72"/>
    <mergeCell ref="EV73:EW73"/>
    <mergeCell ref="FM73:FN73"/>
    <mergeCell ref="FM64:FN64"/>
    <mergeCell ref="DQ65:DQ69"/>
    <mergeCell ref="EE65:EF65"/>
    <mergeCell ref="EH65:EH69"/>
    <mergeCell ref="EV65:EW65"/>
    <mergeCell ref="EY65:EY69"/>
    <mergeCell ref="FM65:FN65"/>
    <mergeCell ref="EE66:EF66"/>
    <mergeCell ref="EV66:EW66"/>
    <mergeCell ref="FM66:FN66"/>
    <mergeCell ref="EE67:EF67"/>
    <mergeCell ref="EV67:EW67"/>
    <mergeCell ref="FM67:FN67"/>
    <mergeCell ref="EE68:EF68"/>
    <mergeCell ref="EV68:EW68"/>
    <mergeCell ref="FM68:FN68"/>
    <mergeCell ref="EE69:EF69"/>
    <mergeCell ref="EV69:EW69"/>
    <mergeCell ref="FM69:FN69"/>
    <mergeCell ref="EV61:EW61"/>
    <mergeCell ref="FM61:FN61"/>
    <mergeCell ref="EE62:EF62"/>
    <mergeCell ref="EV62:EW62"/>
    <mergeCell ref="FM62:FN62"/>
    <mergeCell ref="DQ63:DR63"/>
    <mergeCell ref="EE63:EF63"/>
    <mergeCell ref="EH63:EI63"/>
    <mergeCell ref="EV63:EW63"/>
    <mergeCell ref="EY63:EZ63"/>
    <mergeCell ref="FM63:FN63"/>
    <mergeCell ref="EE55:EF55"/>
    <mergeCell ref="EH55:EI55"/>
    <mergeCell ref="EV55:EW55"/>
    <mergeCell ref="EY55:EZ55"/>
    <mergeCell ref="FM55:FN55"/>
    <mergeCell ref="DQ56:DQ62"/>
    <mergeCell ref="EE56:EF56"/>
    <mergeCell ref="EH56:EH62"/>
    <mergeCell ref="EV56:EW56"/>
    <mergeCell ref="EY56:EY62"/>
    <mergeCell ref="FM56:FN56"/>
    <mergeCell ref="EE57:EF57"/>
    <mergeCell ref="EV57:EW57"/>
    <mergeCell ref="FM57:FN57"/>
    <mergeCell ref="EE58:EF58"/>
    <mergeCell ref="EV58:EW58"/>
    <mergeCell ref="FM58:FN58"/>
    <mergeCell ref="EE59:EF59"/>
    <mergeCell ref="EV59:EW59"/>
    <mergeCell ref="FM59:FN59"/>
    <mergeCell ref="EE60:EF60"/>
    <mergeCell ref="EV60:EW60"/>
    <mergeCell ref="FM60:FN60"/>
    <mergeCell ref="EE61:EF61"/>
    <mergeCell ref="EE50:EF50"/>
    <mergeCell ref="EH50:EI50"/>
    <mergeCell ref="EV50:EW50"/>
    <mergeCell ref="EY50:EZ50"/>
    <mergeCell ref="FM50:FN50"/>
    <mergeCell ref="DQ51:DQ54"/>
    <mergeCell ref="EE51:EF51"/>
    <mergeCell ref="EH51:EH54"/>
    <mergeCell ref="EV51:EW51"/>
    <mergeCell ref="EY51:EY54"/>
    <mergeCell ref="FM51:FN51"/>
    <mergeCell ref="EE52:EF52"/>
    <mergeCell ref="EV52:EW52"/>
    <mergeCell ref="FM52:FN52"/>
    <mergeCell ref="EE53:EF53"/>
    <mergeCell ref="EV53:EW53"/>
    <mergeCell ref="FM53:FN53"/>
    <mergeCell ref="EE54:EF54"/>
    <mergeCell ref="EV54:EW54"/>
    <mergeCell ref="FM54:FN54"/>
    <mergeCell ref="DQ50:DR50"/>
    <mergeCell ref="EE48:EF48"/>
    <mergeCell ref="EH48:EI48"/>
    <mergeCell ref="EV48:EW48"/>
    <mergeCell ref="EY48:EZ48"/>
    <mergeCell ref="FM48:FN48"/>
    <mergeCell ref="DQ49:DR49"/>
    <mergeCell ref="EE49:EF49"/>
    <mergeCell ref="EH49:EI49"/>
    <mergeCell ref="EV49:EW49"/>
    <mergeCell ref="EY49:EZ49"/>
    <mergeCell ref="FM49:FN49"/>
    <mergeCell ref="DQ48:DR48"/>
    <mergeCell ref="EH41:EI41"/>
    <mergeCell ref="EY41:EZ41"/>
    <mergeCell ref="DQ42:DR42"/>
    <mergeCell ref="EH42:EI42"/>
    <mergeCell ref="EY42:EZ42"/>
    <mergeCell ref="DQ43:DQ44"/>
    <mergeCell ref="EH43:EH44"/>
    <mergeCell ref="EY43:EY44"/>
    <mergeCell ref="DQ45:DR45"/>
    <mergeCell ref="EH45:EI45"/>
    <mergeCell ref="EY45:EZ45"/>
    <mergeCell ref="DQ41:DR41"/>
    <mergeCell ref="EH30:EI30"/>
    <mergeCell ref="EY30:EZ30"/>
    <mergeCell ref="DQ31:DR31"/>
    <mergeCell ref="EH31:EI31"/>
    <mergeCell ref="EY31:EZ31"/>
    <mergeCell ref="DQ32:DQ39"/>
    <mergeCell ref="EH32:EH39"/>
    <mergeCell ref="EY32:EY39"/>
    <mergeCell ref="DQ40:DR40"/>
    <mergeCell ref="EH40:EI40"/>
    <mergeCell ref="EY40:EZ40"/>
    <mergeCell ref="DQ30:DR30"/>
    <mergeCell ref="EH16:EI16"/>
    <mergeCell ref="EY16:EZ16"/>
    <mergeCell ref="DQ17:DR17"/>
    <mergeCell ref="EH17:EI17"/>
    <mergeCell ref="EY17:EZ17"/>
    <mergeCell ref="DQ18:DR18"/>
    <mergeCell ref="EH18:EI18"/>
    <mergeCell ref="EY18:EZ18"/>
    <mergeCell ref="DQ19:DQ29"/>
    <mergeCell ref="EH19:EH29"/>
    <mergeCell ref="EY19:EY29"/>
    <mergeCell ref="DQ16:DR16"/>
    <mergeCell ref="EH5:EH8"/>
    <mergeCell ref="EY5:EY8"/>
    <mergeCell ref="DQ9:DR9"/>
    <mergeCell ref="EH9:EI9"/>
    <mergeCell ref="EY9:EZ9"/>
    <mergeCell ref="DQ10:DQ14"/>
    <mergeCell ref="EH10:EH14"/>
    <mergeCell ref="EY10:EY14"/>
    <mergeCell ref="DQ15:DR15"/>
    <mergeCell ref="EH15:EI15"/>
    <mergeCell ref="EY15:EZ15"/>
    <mergeCell ref="DQ5:DQ8"/>
    <mergeCell ref="EH1:EI1"/>
    <mergeCell ref="EY1:EZ1"/>
    <mergeCell ref="DQ2:DR2"/>
    <mergeCell ref="EH2:EI2"/>
    <mergeCell ref="EY2:EZ2"/>
    <mergeCell ref="DQ3:DR3"/>
    <mergeCell ref="EH3:EI3"/>
    <mergeCell ref="EY3:EZ3"/>
    <mergeCell ref="DQ4:DR4"/>
    <mergeCell ref="EH4:EI4"/>
    <mergeCell ref="EY4:EZ4"/>
    <mergeCell ref="DQ1:DR1"/>
    <mergeCell ref="DQ55:DR55"/>
    <mergeCell ref="DQ64:DR64"/>
    <mergeCell ref="DQ71:DQ73"/>
    <mergeCell ref="DQ74:DR74"/>
    <mergeCell ref="CI70:CJ70"/>
    <mergeCell ref="CW70:CX70"/>
    <mergeCell ref="CZ70:DA70"/>
    <mergeCell ref="DN70:DO70"/>
    <mergeCell ref="CI71:CI73"/>
    <mergeCell ref="CW71:CX71"/>
    <mergeCell ref="CZ71:CZ73"/>
    <mergeCell ref="DN71:DO71"/>
    <mergeCell ref="CW72:CX72"/>
    <mergeCell ref="DN72:DO72"/>
    <mergeCell ref="CW73:CX73"/>
    <mergeCell ref="DN73:DO73"/>
    <mergeCell ref="CI63:CJ63"/>
    <mergeCell ref="CW63:CX63"/>
    <mergeCell ref="CZ63:DA63"/>
    <mergeCell ref="DN63:DO63"/>
    <mergeCell ref="CI64:CJ64"/>
    <mergeCell ref="CW64:CX64"/>
    <mergeCell ref="CZ64:DA64"/>
    <mergeCell ref="DN64:DO64"/>
    <mergeCell ref="CI65:CI69"/>
    <mergeCell ref="CW65:CX65"/>
    <mergeCell ref="CZ65:CZ69"/>
    <mergeCell ref="DN65:DO65"/>
    <mergeCell ref="CW66:CX66"/>
    <mergeCell ref="DN66:DO66"/>
    <mergeCell ref="CW67:CX67"/>
    <mergeCell ref="DN67:DO67"/>
    <mergeCell ref="CW68:CX68"/>
    <mergeCell ref="DN68:DO68"/>
    <mergeCell ref="CW69:CX69"/>
    <mergeCell ref="DN69:DO69"/>
    <mergeCell ref="CI55:CJ55"/>
    <mergeCell ref="CW55:CX55"/>
    <mergeCell ref="CZ55:DA55"/>
    <mergeCell ref="DN55:DO55"/>
    <mergeCell ref="CI56:CI62"/>
    <mergeCell ref="CW56:CX56"/>
    <mergeCell ref="CZ56:CZ62"/>
    <mergeCell ref="DN56:DO56"/>
    <mergeCell ref="CW57:CX57"/>
    <mergeCell ref="DN57:DO57"/>
    <mergeCell ref="CW58:CX58"/>
    <mergeCell ref="DN58:DO58"/>
    <mergeCell ref="CW59:CX59"/>
    <mergeCell ref="DN59:DO59"/>
    <mergeCell ref="CW60:CX60"/>
    <mergeCell ref="DN60:DO60"/>
    <mergeCell ref="CW61:CX61"/>
    <mergeCell ref="DN61:DO61"/>
    <mergeCell ref="CW62:CX62"/>
    <mergeCell ref="DN62:DO62"/>
    <mergeCell ref="CI51:CI54"/>
    <mergeCell ref="CW51:CX51"/>
    <mergeCell ref="CZ51:CZ54"/>
    <mergeCell ref="DN51:DO51"/>
    <mergeCell ref="CW52:CX52"/>
    <mergeCell ref="DN52:DO52"/>
    <mergeCell ref="CW53:CX53"/>
    <mergeCell ref="DN53:DO53"/>
    <mergeCell ref="CW54:CX54"/>
    <mergeCell ref="DN54:DO54"/>
    <mergeCell ref="CI48:CJ48"/>
    <mergeCell ref="CW48:CX48"/>
    <mergeCell ref="CZ48:DA48"/>
    <mergeCell ref="DN48:DO48"/>
    <mergeCell ref="CI49:CJ49"/>
    <mergeCell ref="CW49:CX49"/>
    <mergeCell ref="CZ49:DA49"/>
    <mergeCell ref="DN49:DO49"/>
    <mergeCell ref="CI50:CJ50"/>
    <mergeCell ref="CW50:CX50"/>
    <mergeCell ref="CZ50:DA50"/>
    <mergeCell ref="DN50:DO50"/>
    <mergeCell ref="CI40:CJ40"/>
    <mergeCell ref="CZ40:DA40"/>
    <mergeCell ref="CI41:CJ41"/>
    <mergeCell ref="CZ41:DA41"/>
    <mergeCell ref="CI42:CJ42"/>
    <mergeCell ref="CZ42:DA42"/>
    <mergeCell ref="CI43:CI44"/>
    <mergeCell ref="CZ43:CZ44"/>
    <mergeCell ref="CI45:CJ45"/>
    <mergeCell ref="CZ45:DA45"/>
    <mergeCell ref="CI18:CJ18"/>
    <mergeCell ref="CZ18:DA18"/>
    <mergeCell ref="CI19:CI29"/>
    <mergeCell ref="CZ19:CZ29"/>
    <mergeCell ref="CI30:CJ30"/>
    <mergeCell ref="CZ30:DA30"/>
    <mergeCell ref="CI31:CJ31"/>
    <mergeCell ref="CZ31:DA31"/>
    <mergeCell ref="CI32:CI39"/>
    <mergeCell ref="CZ32:CZ39"/>
    <mergeCell ref="CI9:CJ9"/>
    <mergeCell ref="CZ9:DA9"/>
    <mergeCell ref="CI10:CI14"/>
    <mergeCell ref="CZ10:CZ14"/>
    <mergeCell ref="CI15:CJ15"/>
    <mergeCell ref="CZ15:DA15"/>
    <mergeCell ref="CI16:CJ16"/>
    <mergeCell ref="CZ16:DA16"/>
    <mergeCell ref="CI17:CJ17"/>
    <mergeCell ref="CZ17:DA17"/>
    <mergeCell ref="CI1:CJ1"/>
    <mergeCell ref="CZ1:DA1"/>
    <mergeCell ref="CI2:CJ2"/>
    <mergeCell ref="CZ2:DA2"/>
    <mergeCell ref="CI3:CJ3"/>
    <mergeCell ref="CZ3:DA3"/>
    <mergeCell ref="CI4:CJ4"/>
    <mergeCell ref="CZ4:DA4"/>
    <mergeCell ref="CI5:CI8"/>
    <mergeCell ref="CZ5:CZ8"/>
    <mergeCell ref="AJ70:AK70"/>
    <mergeCell ref="BA70:BB70"/>
    <mergeCell ref="BO70:BP70"/>
    <mergeCell ref="BR70:BS70"/>
    <mergeCell ref="CF70:CG70"/>
    <mergeCell ref="BO71:BP71"/>
    <mergeCell ref="BR71:BR73"/>
    <mergeCell ref="CF71:CG71"/>
    <mergeCell ref="AX72:AY72"/>
    <mergeCell ref="BO72:BP72"/>
    <mergeCell ref="CF72:CG72"/>
    <mergeCell ref="AX73:AY73"/>
    <mergeCell ref="BO73:BP73"/>
    <mergeCell ref="CF73:CG73"/>
    <mergeCell ref="BO65:BP65"/>
    <mergeCell ref="BR65:BR69"/>
    <mergeCell ref="CF65:CG65"/>
    <mergeCell ref="AX66:AY66"/>
    <mergeCell ref="BO66:BP66"/>
    <mergeCell ref="CF66:CG66"/>
    <mergeCell ref="AX67:AY67"/>
    <mergeCell ref="BO67:BP67"/>
    <mergeCell ref="CF67:CG67"/>
    <mergeCell ref="AX68:AY68"/>
    <mergeCell ref="BO68:BP68"/>
    <mergeCell ref="CF68:CG68"/>
    <mergeCell ref="AX69:AY69"/>
    <mergeCell ref="BO69:BP69"/>
    <mergeCell ref="CF69:CG69"/>
    <mergeCell ref="BO62:BP62"/>
    <mergeCell ref="CF62:CG62"/>
    <mergeCell ref="AJ63:AK63"/>
    <mergeCell ref="AX63:AY63"/>
    <mergeCell ref="BA63:BB63"/>
    <mergeCell ref="BO63:BP63"/>
    <mergeCell ref="BR63:BS63"/>
    <mergeCell ref="CF63:CG63"/>
    <mergeCell ref="BO64:BP64"/>
    <mergeCell ref="BR64:BS64"/>
    <mergeCell ref="CF64:CG64"/>
    <mergeCell ref="BO55:BP55"/>
    <mergeCell ref="BR55:BS55"/>
    <mergeCell ref="CF55:CG55"/>
    <mergeCell ref="AJ56:AJ62"/>
    <mergeCell ref="AX56:AY56"/>
    <mergeCell ref="BA56:BA62"/>
    <mergeCell ref="BO56:BP56"/>
    <mergeCell ref="BR56:BR62"/>
    <mergeCell ref="CF56:CG56"/>
    <mergeCell ref="AX57:AY57"/>
    <mergeCell ref="BO57:BP57"/>
    <mergeCell ref="CF57:CG57"/>
    <mergeCell ref="AX58:AY58"/>
    <mergeCell ref="BO58:BP58"/>
    <mergeCell ref="CF58:CG58"/>
    <mergeCell ref="AX59:AY59"/>
    <mergeCell ref="BO59:BP59"/>
    <mergeCell ref="CF59:CG59"/>
    <mergeCell ref="AX60:AY60"/>
    <mergeCell ref="BO60:BP60"/>
    <mergeCell ref="CF60:CG60"/>
    <mergeCell ref="BO61:BP61"/>
    <mergeCell ref="CF61:CG61"/>
    <mergeCell ref="AX62:AY62"/>
    <mergeCell ref="AX51:AY51"/>
    <mergeCell ref="BA51:BA54"/>
    <mergeCell ref="BO51:BP51"/>
    <mergeCell ref="BR51:BR54"/>
    <mergeCell ref="CF51:CG51"/>
    <mergeCell ref="AX52:AY52"/>
    <mergeCell ref="BO52:BP52"/>
    <mergeCell ref="CF52:CG52"/>
    <mergeCell ref="AX53:AY53"/>
    <mergeCell ref="BO53:BP53"/>
    <mergeCell ref="CF53:CG53"/>
    <mergeCell ref="AX54:AY54"/>
    <mergeCell ref="BO54:BP54"/>
    <mergeCell ref="CF54:CG54"/>
    <mergeCell ref="CF48:CG48"/>
    <mergeCell ref="AJ49:AK49"/>
    <mergeCell ref="AX49:AY49"/>
    <mergeCell ref="BA49:BB49"/>
    <mergeCell ref="BO49:BP49"/>
    <mergeCell ref="BR49:BS49"/>
    <mergeCell ref="CF49:CG49"/>
    <mergeCell ref="AJ50:AK50"/>
    <mergeCell ref="AX50:AY50"/>
    <mergeCell ref="BA50:BB50"/>
    <mergeCell ref="BO50:BP50"/>
    <mergeCell ref="BR50:BS50"/>
    <mergeCell ref="CF50:CG50"/>
    <mergeCell ref="AJ43:AJ44"/>
    <mergeCell ref="BA43:BA44"/>
    <mergeCell ref="BR43:BR44"/>
    <mergeCell ref="AJ45:AK45"/>
    <mergeCell ref="BA45:BB45"/>
    <mergeCell ref="BR45:BS45"/>
    <mergeCell ref="AJ48:AK48"/>
    <mergeCell ref="AX48:AY48"/>
    <mergeCell ref="BA48:BB48"/>
    <mergeCell ref="BO48:BP48"/>
    <mergeCell ref="BR48:BS48"/>
    <mergeCell ref="BR46:BS46"/>
    <mergeCell ref="AJ40:AK40"/>
    <mergeCell ref="BA40:BB40"/>
    <mergeCell ref="BR40:BS40"/>
    <mergeCell ref="AJ41:AK41"/>
    <mergeCell ref="BA41:BB41"/>
    <mergeCell ref="BR41:BS41"/>
    <mergeCell ref="AJ42:AK42"/>
    <mergeCell ref="BA42:BB42"/>
    <mergeCell ref="BR42:BS42"/>
    <mergeCell ref="AJ30:AK30"/>
    <mergeCell ref="BA30:BB30"/>
    <mergeCell ref="BR30:BS30"/>
    <mergeCell ref="AJ31:AK31"/>
    <mergeCell ref="BA31:BB31"/>
    <mergeCell ref="BR31:BS31"/>
    <mergeCell ref="AJ32:AJ39"/>
    <mergeCell ref="BA32:BA39"/>
    <mergeCell ref="BR32:BR39"/>
    <mergeCell ref="AJ17:AK17"/>
    <mergeCell ref="BA17:BB17"/>
    <mergeCell ref="BR17:BS17"/>
    <mergeCell ref="AJ18:AK18"/>
    <mergeCell ref="BA18:BB18"/>
    <mergeCell ref="BR18:BS18"/>
    <mergeCell ref="AJ19:AJ29"/>
    <mergeCell ref="BA19:BA29"/>
    <mergeCell ref="BR19:BR29"/>
    <mergeCell ref="AJ10:AJ14"/>
    <mergeCell ref="BA10:BA14"/>
    <mergeCell ref="BR10:BR14"/>
    <mergeCell ref="AJ15:AK15"/>
    <mergeCell ref="BA15:BB15"/>
    <mergeCell ref="BR15:BS15"/>
    <mergeCell ref="AJ16:AK16"/>
    <mergeCell ref="BA16:BB16"/>
    <mergeCell ref="BR16:BS16"/>
    <mergeCell ref="AJ4:AK4"/>
    <mergeCell ref="BA4:BB4"/>
    <mergeCell ref="BR4:BS4"/>
    <mergeCell ref="AJ5:AJ8"/>
    <mergeCell ref="BA5:BA8"/>
    <mergeCell ref="BR5:BR8"/>
    <mergeCell ref="AJ9:AK9"/>
    <mergeCell ref="BA9:BB9"/>
    <mergeCell ref="BR9:BS9"/>
    <mergeCell ref="AJ1:AK1"/>
    <mergeCell ref="BA1:BB1"/>
    <mergeCell ref="BR1:BS1"/>
    <mergeCell ref="AJ2:AK2"/>
    <mergeCell ref="BA2:BB2"/>
    <mergeCell ref="BR2:BS2"/>
    <mergeCell ref="AJ3:AK3"/>
    <mergeCell ref="BA3:BB3"/>
    <mergeCell ref="BR3:BS3"/>
    <mergeCell ref="A1:C1"/>
    <mergeCell ref="P70:Q70"/>
    <mergeCell ref="P71:Q71"/>
    <mergeCell ref="P72:Q72"/>
    <mergeCell ref="P73:Q73"/>
    <mergeCell ref="P66:Q66"/>
    <mergeCell ref="P67:Q67"/>
    <mergeCell ref="P68:Q68"/>
    <mergeCell ref="P69:Q69"/>
    <mergeCell ref="P53:Q53"/>
    <mergeCell ref="B64:C64"/>
    <mergeCell ref="B70:C70"/>
    <mergeCell ref="B45:C45"/>
    <mergeCell ref="B48:C48"/>
    <mergeCell ref="B55:C55"/>
    <mergeCell ref="B63:C63"/>
    <mergeCell ref="B51:B54"/>
    <mergeCell ref="B56:B62"/>
    <mergeCell ref="A47:D47"/>
    <mergeCell ref="B43:B44"/>
    <mergeCell ref="B42:C42"/>
    <mergeCell ref="B41:C41"/>
    <mergeCell ref="B3:C3"/>
    <mergeCell ref="B18:C18"/>
    <mergeCell ref="B74:C74"/>
    <mergeCell ref="B76:C76"/>
    <mergeCell ref="P48:Q48"/>
    <mergeCell ref="P49:Q49"/>
    <mergeCell ref="P50:Q50"/>
    <mergeCell ref="P51:Q51"/>
    <mergeCell ref="P52:Q52"/>
    <mergeCell ref="P65:Q65"/>
    <mergeCell ref="P54:Q54"/>
    <mergeCell ref="P55:Q55"/>
    <mergeCell ref="P56:Q56"/>
    <mergeCell ref="P57:Q57"/>
    <mergeCell ref="P58:Q58"/>
    <mergeCell ref="P59:Q59"/>
    <mergeCell ref="P60:Q60"/>
    <mergeCell ref="P61:Q61"/>
    <mergeCell ref="P62:Q62"/>
    <mergeCell ref="P63:Q63"/>
    <mergeCell ref="P64:Q64"/>
    <mergeCell ref="P74:Q74"/>
    <mergeCell ref="P76:Q76"/>
    <mergeCell ref="B65:B69"/>
    <mergeCell ref="B71:B73"/>
    <mergeCell ref="B50:C50"/>
    <mergeCell ref="B31:C31"/>
    <mergeCell ref="B40:C40"/>
    <mergeCell ref="B30:C30"/>
    <mergeCell ref="B49:C49"/>
    <mergeCell ref="B2:C2"/>
    <mergeCell ref="B19:B29"/>
    <mergeCell ref="B4:C4"/>
    <mergeCell ref="B9:C9"/>
    <mergeCell ref="B15:C15"/>
    <mergeCell ref="B17:C17"/>
    <mergeCell ref="B5:B8"/>
    <mergeCell ref="B10:B14"/>
    <mergeCell ref="B32:B39"/>
    <mergeCell ref="B16:C16"/>
    <mergeCell ref="S10:S14"/>
    <mergeCell ref="S15:T15"/>
    <mergeCell ref="S17:T17"/>
    <mergeCell ref="S18:T18"/>
    <mergeCell ref="S19:S29"/>
    <mergeCell ref="S2:T2"/>
    <mergeCell ref="S3:T3"/>
    <mergeCell ref="S4:T4"/>
    <mergeCell ref="S5:S8"/>
    <mergeCell ref="S9:T9"/>
    <mergeCell ref="S42:T42"/>
    <mergeCell ref="S43:S44"/>
    <mergeCell ref="S45:T45"/>
    <mergeCell ref="S48:T48"/>
    <mergeCell ref="AG48:AH48"/>
    <mergeCell ref="S30:T30"/>
    <mergeCell ref="S31:T31"/>
    <mergeCell ref="S40:T40"/>
    <mergeCell ref="S41:T41"/>
    <mergeCell ref="S49:T49"/>
    <mergeCell ref="AG49:AH49"/>
    <mergeCell ref="S50:T50"/>
    <mergeCell ref="AG50:AH50"/>
    <mergeCell ref="S51:S54"/>
    <mergeCell ref="AG51:AH51"/>
    <mergeCell ref="AG52:AH52"/>
    <mergeCell ref="AG53:AH53"/>
    <mergeCell ref="AG54:AH54"/>
    <mergeCell ref="AG67:AH67"/>
    <mergeCell ref="AG68:AH68"/>
    <mergeCell ref="AG69:AH69"/>
    <mergeCell ref="R80:T80"/>
    <mergeCell ref="S55:T55"/>
    <mergeCell ref="AG55:AH55"/>
    <mergeCell ref="S56:S62"/>
    <mergeCell ref="AG56:AH56"/>
    <mergeCell ref="AG57:AH57"/>
    <mergeCell ref="AG58:AH58"/>
    <mergeCell ref="AG59:AH59"/>
    <mergeCell ref="AG60:AH60"/>
    <mergeCell ref="AG61:AH61"/>
    <mergeCell ref="AG62:AH62"/>
    <mergeCell ref="R83:T83"/>
    <mergeCell ref="R84:T84"/>
    <mergeCell ref="R85:T85"/>
    <mergeCell ref="R1:R78"/>
    <mergeCell ref="S74:T74"/>
    <mergeCell ref="AG74:AH74"/>
    <mergeCell ref="S76:T76"/>
    <mergeCell ref="AG76:AH76"/>
    <mergeCell ref="S1:T1"/>
    <mergeCell ref="S32:S39"/>
    <mergeCell ref="S16:T16"/>
    <mergeCell ref="S70:T70"/>
    <mergeCell ref="AG70:AH70"/>
    <mergeCell ref="S71:S73"/>
    <mergeCell ref="AG71:AH71"/>
    <mergeCell ref="AG72:AH72"/>
    <mergeCell ref="AG73:AH73"/>
    <mergeCell ref="S63:T63"/>
    <mergeCell ref="AG63:AH63"/>
    <mergeCell ref="S64:T64"/>
    <mergeCell ref="AG64:AH64"/>
    <mergeCell ref="S65:S69"/>
    <mergeCell ref="AG65:AH65"/>
    <mergeCell ref="AG66:AH66"/>
  </mergeCells>
  <phoneticPr fontId="2"/>
  <pageMargins left="0.25" right="0.25" top="0.75" bottom="0.75" header="0.3" footer="0.3"/>
  <pageSetup paperSize="9" scale="99" orientation="portrait" r:id="rId1"/>
  <colBreaks count="9" manualBreakCount="9">
    <brk id="18" max="1048575" man="1"/>
    <brk id="35" max="1048575" man="1"/>
    <brk id="52" max="1048575" man="1"/>
    <brk id="69" max="1048575" man="1"/>
    <brk id="86" max="1048575" man="1"/>
    <brk id="103" max="1048575" man="1"/>
    <brk id="120" max="1048575" man="1"/>
    <brk id="137" max="1048575" man="1"/>
    <brk id="15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B1:M60"/>
  <sheetViews>
    <sheetView workbookViewId="0">
      <selection activeCell="F63" sqref="F63"/>
    </sheetView>
  </sheetViews>
  <sheetFormatPr defaultColWidth="8.875" defaultRowHeight="13.5"/>
  <cols>
    <col min="1" max="1" width="1.125" customWidth="1"/>
    <col min="2" max="2" width="2.875" style="1" customWidth="1"/>
    <col min="3" max="3" width="17.625" style="1" customWidth="1"/>
    <col min="4" max="8" width="13.5" style="1" customWidth="1"/>
    <col min="9" max="13" width="8.125" hidden="1" customWidth="1"/>
  </cols>
  <sheetData>
    <row r="1" spans="2:13">
      <c r="B1" t="s">
        <v>149</v>
      </c>
      <c r="C1"/>
      <c r="D1" s="1">
        <v>2011</v>
      </c>
      <c r="E1" s="256">
        <v>2012</v>
      </c>
      <c r="F1" s="256">
        <v>2013</v>
      </c>
      <c r="G1" s="256">
        <v>2014</v>
      </c>
      <c r="H1" s="256">
        <v>2015</v>
      </c>
      <c r="I1" s="256">
        <v>2016</v>
      </c>
      <c r="J1" s="256">
        <v>2017</v>
      </c>
      <c r="K1" s="256">
        <v>2018</v>
      </c>
      <c r="L1" s="256">
        <v>2019</v>
      </c>
      <c r="M1" s="256">
        <v>2020</v>
      </c>
    </row>
    <row r="2" spans="2:13">
      <c r="B2" s="587"/>
      <c r="C2" s="588"/>
      <c r="D2" s="5" t="s">
        <v>91</v>
      </c>
      <c r="E2" s="5" t="s">
        <v>92</v>
      </c>
      <c r="F2" s="5" t="s">
        <v>93</v>
      </c>
      <c r="G2" s="5" t="s">
        <v>94</v>
      </c>
      <c r="H2" s="5" t="s">
        <v>95</v>
      </c>
      <c r="I2" s="5" t="s">
        <v>123</v>
      </c>
      <c r="J2" s="5" t="s">
        <v>124</v>
      </c>
      <c r="K2" s="5" t="s">
        <v>125</v>
      </c>
      <c r="L2" s="5" t="s">
        <v>126</v>
      </c>
      <c r="M2" s="5" t="s">
        <v>127</v>
      </c>
    </row>
    <row r="3" spans="2:13">
      <c r="B3" s="589" t="s">
        <v>30</v>
      </c>
      <c r="C3" s="589"/>
      <c r="D3" s="6">
        <f>基礎!P3</f>
        <v>100000</v>
      </c>
      <c r="E3" s="6">
        <f>基礎!AG3</f>
        <v>17313674</v>
      </c>
      <c r="F3" s="6">
        <f>基礎!AX3</f>
        <v>17493674</v>
      </c>
      <c r="G3" s="6">
        <f>基礎!BO3</f>
        <v>352000</v>
      </c>
      <c r="H3" s="6">
        <f>基礎!CF3</f>
        <v>352000</v>
      </c>
      <c r="I3" s="6">
        <f>基礎!CW3</f>
        <v>0</v>
      </c>
      <c r="J3" s="6">
        <f>基礎!DN3</f>
        <v>0</v>
      </c>
      <c r="K3" s="6">
        <f>基礎!EE3</f>
        <v>0</v>
      </c>
      <c r="L3" s="6">
        <f>基礎!EV3</f>
        <v>0</v>
      </c>
      <c r="M3" s="6">
        <f>基礎!FM3</f>
        <v>0</v>
      </c>
    </row>
    <row r="4" spans="2:13">
      <c r="B4" s="581" t="s">
        <v>0</v>
      </c>
      <c r="C4" s="582"/>
      <c r="D4" s="7">
        <f>基礎!P4</f>
        <v>0</v>
      </c>
      <c r="E4" s="7">
        <f>基礎!AG4</f>
        <v>16773674</v>
      </c>
      <c r="F4" s="7">
        <f>基礎!AX4</f>
        <v>16773674</v>
      </c>
      <c r="G4" s="7">
        <f>基礎!BO4</f>
        <v>352000</v>
      </c>
      <c r="H4" s="7">
        <f>基礎!CF4</f>
        <v>352000</v>
      </c>
      <c r="I4" s="7">
        <f>基礎!CW4</f>
        <v>0</v>
      </c>
      <c r="J4" s="7">
        <f>基礎!DN4</f>
        <v>0</v>
      </c>
      <c r="K4" s="7">
        <f>基礎!EE4</f>
        <v>0</v>
      </c>
      <c r="L4" s="7">
        <f>基礎!EV4</f>
        <v>0</v>
      </c>
      <c r="M4" s="7">
        <f>基礎!FM4</f>
        <v>0</v>
      </c>
    </row>
    <row r="5" spans="2:13">
      <c r="B5" s="590"/>
      <c r="C5" s="3" t="str">
        <f>基礎!C5</f>
        <v>利用者数</v>
      </c>
      <c r="D5" s="8">
        <f>基礎!P5</f>
        <v>0</v>
      </c>
      <c r="E5" s="8">
        <f>基礎!AG5</f>
        <v>156</v>
      </c>
      <c r="F5" s="8">
        <f>基礎!AX5</f>
        <v>156</v>
      </c>
      <c r="G5" s="8">
        <f>基礎!BO5</f>
        <v>148000</v>
      </c>
      <c r="H5" s="8">
        <f>基礎!CF5</f>
        <v>148000</v>
      </c>
      <c r="I5" s="8">
        <f>基礎!CW5</f>
        <v>330000</v>
      </c>
      <c r="J5" s="8">
        <f>基礎!DN5</f>
        <v>390000</v>
      </c>
      <c r="K5" s="8">
        <f>基礎!EE5</f>
        <v>460000</v>
      </c>
      <c r="L5" s="8">
        <f>基礎!EV5</f>
        <v>515000</v>
      </c>
      <c r="M5" s="8">
        <f>基礎!FM5</f>
        <v>600000</v>
      </c>
    </row>
    <row r="6" spans="2:13">
      <c r="B6" s="591"/>
      <c r="C6" s="3" t="str">
        <f>基礎!C6</f>
        <v>訓練給付金等</v>
      </c>
      <c r="D6" s="8">
        <f>基礎!P6</f>
        <v>0</v>
      </c>
      <c r="E6" s="8">
        <f>基礎!AG6</f>
        <v>16773664</v>
      </c>
      <c r="F6" s="8">
        <f>基礎!AX6</f>
        <v>16773664</v>
      </c>
      <c r="G6" s="8">
        <f>基礎!BO6</f>
        <v>72000</v>
      </c>
      <c r="H6" s="8">
        <f>基礎!CF6</f>
        <v>72000</v>
      </c>
      <c r="I6" s="8">
        <f>基礎!CW6</f>
        <v>540000</v>
      </c>
      <c r="J6" s="8">
        <f>基礎!DN6</f>
        <v>660000</v>
      </c>
      <c r="K6" s="8">
        <f>基礎!EE6</f>
        <v>870000</v>
      </c>
      <c r="L6" s="8">
        <f>基礎!EV6</f>
        <v>1030000</v>
      </c>
      <c r="M6" s="8">
        <f>基礎!FM6</f>
        <v>1200000</v>
      </c>
    </row>
    <row r="7" spans="2:13">
      <c r="B7" s="591"/>
      <c r="C7" s="3" t="str">
        <f>基礎!C7</f>
        <v>利用者数</v>
      </c>
      <c r="D7" s="8">
        <f>基礎!P7</f>
        <v>0</v>
      </c>
      <c r="E7" s="8">
        <f>基礎!AG7</f>
        <v>0</v>
      </c>
      <c r="F7" s="8">
        <f>基礎!AX7</f>
        <v>0</v>
      </c>
      <c r="G7" s="8">
        <f>基礎!BO7</f>
        <v>72000</v>
      </c>
      <c r="H7" s="8">
        <f>基礎!CF7</f>
        <v>72000</v>
      </c>
      <c r="I7" s="8">
        <f>基礎!CW7</f>
        <v>180000</v>
      </c>
      <c r="J7" s="8">
        <f>基礎!DN7</f>
        <v>198000</v>
      </c>
      <c r="K7" s="8">
        <f>基礎!EE7</f>
        <v>216000</v>
      </c>
      <c r="L7" s="8">
        <f>基礎!EV7</f>
        <v>219000</v>
      </c>
      <c r="M7" s="8">
        <f>基礎!FM7</f>
        <v>360000</v>
      </c>
    </row>
    <row r="8" spans="2:13">
      <c r="B8" s="591"/>
      <c r="C8" s="3" t="str">
        <f>基礎!C8</f>
        <v>訓練給付金等</v>
      </c>
      <c r="D8" s="8">
        <f>基礎!P8</f>
        <v>0</v>
      </c>
      <c r="E8" s="8">
        <f>基礎!AG8</f>
        <v>0</v>
      </c>
      <c r="F8" s="8">
        <f>基礎!AX8</f>
        <v>0</v>
      </c>
      <c r="G8" s="8">
        <f>基礎!BO8</f>
        <v>60000</v>
      </c>
      <c r="H8" s="8">
        <f>基礎!CF8</f>
        <v>60000</v>
      </c>
      <c r="I8" s="8">
        <f>基礎!CW8</f>
        <v>120000</v>
      </c>
      <c r="J8" s="8">
        <f>基礎!DN8</f>
        <v>120000</v>
      </c>
      <c r="K8" s="8">
        <f>基礎!EE8</f>
        <v>120000</v>
      </c>
      <c r="L8" s="8">
        <f>基礎!EV8</f>
        <v>122500</v>
      </c>
      <c r="M8" s="8">
        <f>基礎!FM8</f>
        <v>150000</v>
      </c>
    </row>
    <row r="9" spans="2:13">
      <c r="B9" s="591"/>
      <c r="C9" s="3" t="e">
        <f>基礎!#REF!</f>
        <v>#REF!</v>
      </c>
      <c r="D9" s="8" t="e">
        <f>基礎!#REF!</f>
        <v>#REF!</v>
      </c>
      <c r="E9" s="8" t="e">
        <f>基礎!#REF!</f>
        <v>#REF!</v>
      </c>
      <c r="F9" s="8" t="e">
        <f>基礎!#REF!</f>
        <v>#REF!</v>
      </c>
      <c r="G9" s="8" t="e">
        <f>基礎!#REF!</f>
        <v>#REF!</v>
      </c>
      <c r="H9" s="8" t="e">
        <f>基礎!#REF!</f>
        <v>#REF!</v>
      </c>
      <c r="I9" s="8" t="e">
        <f>基礎!#REF!</f>
        <v>#REF!</v>
      </c>
      <c r="J9" s="8" t="e">
        <f>基礎!#REF!</f>
        <v>#REF!</v>
      </c>
      <c r="K9" s="8" t="e">
        <f>基礎!#REF!</f>
        <v>#REF!</v>
      </c>
      <c r="L9" s="8" t="e">
        <f>基礎!#REF!</f>
        <v>#REF!</v>
      </c>
      <c r="M9" s="8" t="e">
        <f>基礎!#REF!</f>
        <v>#REF!</v>
      </c>
    </row>
    <row r="10" spans="2:13">
      <c r="B10" s="592"/>
      <c r="C10" s="3" t="e">
        <f>基礎!#REF!</f>
        <v>#REF!</v>
      </c>
      <c r="D10" s="8" t="e">
        <f>基礎!#REF!</f>
        <v>#REF!</v>
      </c>
      <c r="E10" s="8" t="e">
        <f>基礎!#REF!</f>
        <v>#REF!</v>
      </c>
      <c r="F10" s="8" t="e">
        <f>基礎!#REF!</f>
        <v>#REF!</v>
      </c>
      <c r="G10" s="8" t="e">
        <f>基礎!#REF!</f>
        <v>#REF!</v>
      </c>
      <c r="H10" s="8" t="e">
        <f>基礎!#REF!</f>
        <v>#REF!</v>
      </c>
      <c r="I10" s="8" t="e">
        <f>基礎!#REF!</f>
        <v>#REF!</v>
      </c>
      <c r="J10" s="8" t="e">
        <f>基礎!#REF!</f>
        <v>#REF!</v>
      </c>
      <c r="K10" s="8" t="e">
        <f>基礎!#REF!</f>
        <v>#REF!</v>
      </c>
      <c r="L10" s="8" t="e">
        <f>基礎!#REF!</f>
        <v>#REF!</v>
      </c>
      <c r="M10" s="8" t="e">
        <f>基礎!#REF!</f>
        <v>#REF!</v>
      </c>
    </row>
    <row r="11" spans="2:13">
      <c r="B11" s="592"/>
      <c r="C11" s="3" t="e">
        <f>基礎!#REF!</f>
        <v>#REF!</v>
      </c>
      <c r="D11" s="8" t="e">
        <f>基礎!#REF!</f>
        <v>#REF!</v>
      </c>
      <c r="E11" s="8" t="e">
        <f>基礎!#REF!</f>
        <v>#REF!</v>
      </c>
      <c r="F11" s="8" t="e">
        <f>基礎!#REF!</f>
        <v>#REF!</v>
      </c>
      <c r="G11" s="8" t="e">
        <f>基礎!#REF!</f>
        <v>#REF!</v>
      </c>
      <c r="H11" s="8" t="e">
        <f>基礎!#REF!</f>
        <v>#REF!</v>
      </c>
      <c r="I11" s="8" t="e">
        <f>基礎!#REF!</f>
        <v>#REF!</v>
      </c>
      <c r="J11" s="8" t="e">
        <f>基礎!#REF!</f>
        <v>#REF!</v>
      </c>
      <c r="K11" s="8" t="e">
        <f>基礎!#REF!</f>
        <v>#REF!</v>
      </c>
      <c r="L11" s="8" t="e">
        <f>基礎!#REF!</f>
        <v>#REF!</v>
      </c>
      <c r="M11" s="8" t="e">
        <f>基礎!#REF!</f>
        <v>#REF!</v>
      </c>
    </row>
    <row r="12" spans="2:13" ht="12" customHeight="1">
      <c r="B12" s="591"/>
      <c r="C12" s="3"/>
      <c r="D12" s="8"/>
      <c r="E12" s="8"/>
      <c r="F12" s="8"/>
      <c r="G12" s="8"/>
      <c r="H12" s="8"/>
      <c r="I12" s="8" t="e">
        <f>基礎!#REF!</f>
        <v>#REF!</v>
      </c>
      <c r="J12" s="8" t="e">
        <f>基礎!#REF!</f>
        <v>#REF!</v>
      </c>
      <c r="K12" s="8" t="e">
        <f>基礎!#REF!</f>
        <v>#REF!</v>
      </c>
      <c r="L12" s="8" t="e">
        <f>基礎!#REF!</f>
        <v>#REF!</v>
      </c>
      <c r="M12" s="8" t="e">
        <f>基礎!#REF!</f>
        <v>#REF!</v>
      </c>
    </row>
    <row r="13" spans="2:13" hidden="1">
      <c r="B13" s="593" t="s">
        <v>16</v>
      </c>
      <c r="C13" s="465"/>
      <c r="D13" s="7">
        <f>基礎!P9</f>
        <v>0</v>
      </c>
      <c r="E13" s="7">
        <f>基礎!AG9</f>
        <v>540000</v>
      </c>
      <c r="F13" s="7">
        <f>基礎!AX9</f>
        <v>720000</v>
      </c>
      <c r="G13" s="7">
        <f>基礎!BO9</f>
        <v>0</v>
      </c>
      <c r="H13" s="7">
        <f>基礎!CF9</f>
        <v>0</v>
      </c>
      <c r="I13" s="7">
        <f>基礎!CW9</f>
        <v>0</v>
      </c>
      <c r="J13" s="7">
        <f>基礎!DN9</f>
        <v>0</v>
      </c>
      <c r="K13" s="7">
        <f>基礎!EE9</f>
        <v>0</v>
      </c>
      <c r="L13" s="7">
        <f>基礎!EV9</f>
        <v>0</v>
      </c>
      <c r="M13" s="7">
        <f>基礎!FM9</f>
        <v>0</v>
      </c>
    </row>
    <row r="14" spans="2:13" hidden="1">
      <c r="B14" s="590"/>
      <c r="C14" s="3" t="s">
        <v>74</v>
      </c>
      <c r="D14" s="8">
        <f>基礎!P10</f>
        <v>0</v>
      </c>
      <c r="E14" s="8">
        <f>基礎!AG10</f>
        <v>540000</v>
      </c>
      <c r="F14" s="8">
        <f>基礎!AX10</f>
        <v>720000</v>
      </c>
      <c r="G14" s="8">
        <f>基礎!BO10</f>
        <v>0</v>
      </c>
      <c r="H14" s="8">
        <f>基礎!CF10</f>
        <v>0</v>
      </c>
      <c r="I14" s="8">
        <f>基礎!CW10</f>
        <v>0</v>
      </c>
      <c r="J14" s="8">
        <f>基礎!DN10</f>
        <v>0</v>
      </c>
      <c r="K14" s="8">
        <f>基礎!EE10</f>
        <v>0</v>
      </c>
      <c r="L14" s="8">
        <f>基礎!EV10</f>
        <v>0</v>
      </c>
      <c r="M14" s="8">
        <f>基礎!FM10</f>
        <v>0</v>
      </c>
    </row>
    <row r="15" spans="2:13" hidden="1">
      <c r="B15" s="591"/>
      <c r="C15" s="3" t="s">
        <v>73</v>
      </c>
      <c r="D15" s="8">
        <f>基礎!P11</f>
        <v>0</v>
      </c>
      <c r="E15" s="8">
        <f>基礎!AG11</f>
        <v>0</v>
      </c>
      <c r="F15" s="8">
        <f>基礎!AX11</f>
        <v>0</v>
      </c>
      <c r="G15" s="8">
        <f>基礎!BO11</f>
        <v>0</v>
      </c>
      <c r="H15" s="8">
        <f>基礎!CF11</f>
        <v>0</v>
      </c>
      <c r="I15" s="8">
        <f>基礎!CW11</f>
        <v>0</v>
      </c>
      <c r="J15" s="8">
        <f>基礎!DN11</f>
        <v>0</v>
      </c>
      <c r="K15" s="8">
        <f>基礎!EE11</f>
        <v>0</v>
      </c>
      <c r="L15" s="8">
        <f>基礎!EV11</f>
        <v>0</v>
      </c>
      <c r="M15" s="8">
        <f>基礎!FM11</f>
        <v>0</v>
      </c>
    </row>
    <row r="16" spans="2:13" hidden="1">
      <c r="B16" s="591"/>
      <c r="C16" s="3" t="s">
        <v>75</v>
      </c>
      <c r="D16" s="8">
        <f>基礎!P12</f>
        <v>0</v>
      </c>
      <c r="E16" s="8">
        <f>基礎!AG12</f>
        <v>0</v>
      </c>
      <c r="F16" s="8">
        <f>基礎!AX12</f>
        <v>0</v>
      </c>
      <c r="G16" s="8">
        <f>基礎!BO12</f>
        <v>0</v>
      </c>
      <c r="H16" s="8">
        <f>基礎!CF12</f>
        <v>0</v>
      </c>
      <c r="I16" s="8">
        <f>基礎!CW12</f>
        <v>0</v>
      </c>
      <c r="J16" s="8">
        <f>基礎!DN12</f>
        <v>0</v>
      </c>
      <c r="K16" s="8">
        <f>基礎!EE12</f>
        <v>0</v>
      </c>
      <c r="L16" s="8">
        <f>基礎!EV12</f>
        <v>0</v>
      </c>
      <c r="M16" s="8">
        <f>基礎!FM12</f>
        <v>0</v>
      </c>
    </row>
    <row r="17" spans="2:13" hidden="1">
      <c r="B17" s="591"/>
      <c r="C17" s="3" t="s">
        <v>76</v>
      </c>
      <c r="D17" s="8">
        <f>基礎!P13</f>
        <v>0</v>
      </c>
      <c r="E17" s="8">
        <f>基礎!AG13</f>
        <v>0</v>
      </c>
      <c r="F17" s="8">
        <f>基礎!AX13</f>
        <v>0</v>
      </c>
      <c r="G17" s="8">
        <f>基礎!BO13</f>
        <v>0</v>
      </c>
      <c r="H17" s="8">
        <f>基礎!CF13</f>
        <v>0</v>
      </c>
      <c r="I17" s="8">
        <f>基礎!CW13</f>
        <v>0</v>
      </c>
      <c r="J17" s="8">
        <f>基礎!DN13</f>
        <v>0</v>
      </c>
      <c r="K17" s="8">
        <f>基礎!EE13</f>
        <v>0</v>
      </c>
      <c r="L17" s="8">
        <f>基礎!EV13</f>
        <v>0</v>
      </c>
      <c r="M17" s="8">
        <f>基礎!FM13</f>
        <v>0</v>
      </c>
    </row>
    <row r="18" spans="2:13" hidden="1">
      <c r="B18" s="591"/>
      <c r="C18" s="11"/>
      <c r="D18" s="8">
        <f>基礎!P14</f>
        <v>0</v>
      </c>
      <c r="E18" s="8">
        <f>基礎!AG14</f>
        <v>0</v>
      </c>
      <c r="F18" s="8">
        <f>基礎!AX14</f>
        <v>0</v>
      </c>
      <c r="G18" s="8">
        <f>基礎!BO14</f>
        <v>0</v>
      </c>
      <c r="H18" s="8">
        <f>基礎!CF14</f>
        <v>0</v>
      </c>
      <c r="I18" s="8">
        <f>基礎!CW14</f>
        <v>0</v>
      </c>
      <c r="J18" s="8">
        <f>基礎!DN14</f>
        <v>0</v>
      </c>
      <c r="K18" s="8">
        <f>基礎!EE14</f>
        <v>0</v>
      </c>
      <c r="L18" s="8">
        <f>基礎!EV14</f>
        <v>0</v>
      </c>
      <c r="M18" s="8">
        <f>基礎!FM14</f>
        <v>0</v>
      </c>
    </row>
    <row r="19" spans="2:13">
      <c r="B19" s="465" t="s">
        <v>17</v>
      </c>
      <c r="C19" s="465"/>
      <c r="D19" s="7">
        <f>基礎!P15</f>
        <v>100000</v>
      </c>
      <c r="E19" s="7">
        <f>基礎!AG15</f>
        <v>0</v>
      </c>
      <c r="F19" s="7">
        <f>基礎!AX15</f>
        <v>0</v>
      </c>
      <c r="G19" s="7">
        <f>基礎!BO15</f>
        <v>0</v>
      </c>
      <c r="H19" s="7">
        <f>基礎!CF15</f>
        <v>0</v>
      </c>
      <c r="I19" s="7">
        <f>基礎!CW15</f>
        <v>0</v>
      </c>
      <c r="J19" s="7">
        <f>基礎!DN15</f>
        <v>0</v>
      </c>
      <c r="K19" s="7">
        <f>基礎!EE15</f>
        <v>0</v>
      </c>
      <c r="L19" s="7">
        <f>基礎!EV15</f>
        <v>0</v>
      </c>
      <c r="M19" s="7">
        <f>基礎!FM15</f>
        <v>0</v>
      </c>
    </row>
    <row r="20" spans="2:13">
      <c r="B20" s="594" t="s">
        <v>78</v>
      </c>
      <c r="C20" s="595"/>
      <c r="D20" s="7">
        <f>基礎!P16</f>
        <v>0</v>
      </c>
      <c r="E20" s="7">
        <f>基礎!AG16</f>
        <v>0</v>
      </c>
      <c r="F20" s="7">
        <f>基礎!AX16</f>
        <v>0</v>
      </c>
      <c r="G20" s="7">
        <f>基礎!BO16</f>
        <v>0</v>
      </c>
      <c r="H20" s="7">
        <f>基礎!CF16</f>
        <v>0</v>
      </c>
      <c r="I20" s="7">
        <f>基礎!CW16</f>
        <v>0</v>
      </c>
      <c r="J20" s="7">
        <f>基礎!DN16</f>
        <v>0</v>
      </c>
      <c r="K20" s="7">
        <f>基礎!EE16</f>
        <v>0</v>
      </c>
      <c r="L20" s="7">
        <f>基礎!EV16</f>
        <v>0</v>
      </c>
      <c r="M20" s="7">
        <f>基礎!FM16</f>
        <v>0</v>
      </c>
    </row>
    <row r="21" spans="2:13">
      <c r="B21" s="465" t="s">
        <v>1</v>
      </c>
      <c r="C21" s="465"/>
      <c r="D21" s="7">
        <f>基礎!P17</f>
        <v>0</v>
      </c>
      <c r="E21" s="7">
        <f>基礎!AG17</f>
        <v>0</v>
      </c>
      <c r="F21" s="7">
        <f>基礎!AX17</f>
        <v>0</v>
      </c>
      <c r="G21" s="7">
        <f>基礎!BO17</f>
        <v>0</v>
      </c>
      <c r="H21" s="7">
        <f>基礎!CF17</f>
        <v>0</v>
      </c>
      <c r="I21" s="7">
        <f>基礎!CW17</f>
        <v>0</v>
      </c>
      <c r="J21" s="7">
        <f>基礎!DN17</f>
        <v>0</v>
      </c>
      <c r="K21" s="7">
        <f>基礎!EE17</f>
        <v>0</v>
      </c>
      <c r="L21" s="7">
        <f>基礎!EV17</f>
        <v>0</v>
      </c>
      <c r="M21" s="7">
        <f>基礎!FM17</f>
        <v>0</v>
      </c>
    </row>
    <row r="22" spans="2:13">
      <c r="B22" s="596" t="s">
        <v>31</v>
      </c>
      <c r="C22" s="469"/>
      <c r="D22" s="9">
        <f>基礎!P18</f>
        <v>0</v>
      </c>
      <c r="E22" s="9">
        <f>基礎!AG18</f>
        <v>10545885.5</v>
      </c>
      <c r="F22" s="9">
        <f>基礎!AX18</f>
        <v>11109825.600000001</v>
      </c>
      <c r="G22" s="9">
        <f>基礎!BO18</f>
        <v>225280</v>
      </c>
      <c r="H22" s="9">
        <f>基礎!CF18</f>
        <v>225280</v>
      </c>
      <c r="I22" s="9">
        <f>基礎!CW18</f>
        <v>0</v>
      </c>
      <c r="J22" s="9">
        <f>基礎!DN18</f>
        <v>0</v>
      </c>
      <c r="K22" s="9">
        <f>基礎!EE18</f>
        <v>0</v>
      </c>
      <c r="L22" s="9">
        <f>基礎!EV18</f>
        <v>0</v>
      </c>
      <c r="M22" s="9">
        <f>基礎!FM18</f>
        <v>0</v>
      </c>
    </row>
    <row r="23" spans="2:13">
      <c r="B23" s="597"/>
      <c r="C23" s="2" t="s">
        <v>488</v>
      </c>
      <c r="D23" s="8">
        <f>基礎!P19</f>
        <v>0</v>
      </c>
      <c r="E23" s="8">
        <f>基礎!AG19</f>
        <v>0</v>
      </c>
      <c r="F23" s="8">
        <f>基礎!AX19</f>
        <v>0</v>
      </c>
      <c r="G23" s="8">
        <f>基礎!BO19</f>
        <v>88000</v>
      </c>
      <c r="H23" s="8">
        <f>基礎!CF19</f>
        <v>88000</v>
      </c>
      <c r="I23" s="8">
        <f>基礎!CW19</f>
        <v>0</v>
      </c>
      <c r="J23" s="8">
        <f>基礎!DN19</f>
        <v>0</v>
      </c>
      <c r="K23" s="8">
        <f>基礎!EE19</f>
        <v>0</v>
      </c>
      <c r="L23" s="8">
        <f>基礎!EV19</f>
        <v>0</v>
      </c>
      <c r="M23" s="8">
        <f>基礎!FM19</f>
        <v>0</v>
      </c>
    </row>
    <row r="24" spans="2:13">
      <c r="B24" s="597"/>
      <c r="C24" s="2" t="s">
        <v>489</v>
      </c>
      <c r="D24" s="8">
        <f>基礎!P20</f>
        <v>0</v>
      </c>
      <c r="E24" s="8">
        <f>基礎!AG20</f>
        <v>2328000</v>
      </c>
      <c r="F24" s="8">
        <f>基礎!AX20</f>
        <v>2496000</v>
      </c>
      <c r="G24" s="8">
        <f>基礎!BO20</f>
        <v>105600</v>
      </c>
      <c r="H24" s="8">
        <f>基礎!CF20</f>
        <v>105600</v>
      </c>
      <c r="I24" s="8">
        <f>基礎!CW20</f>
        <v>0</v>
      </c>
      <c r="J24" s="8">
        <f>基礎!DN20</f>
        <v>0</v>
      </c>
      <c r="K24" s="8">
        <f>基礎!EE20</f>
        <v>0</v>
      </c>
      <c r="L24" s="8">
        <f>基礎!EV20</f>
        <v>0</v>
      </c>
      <c r="M24" s="8">
        <f>基礎!FM20</f>
        <v>0</v>
      </c>
    </row>
    <row r="25" spans="2:13">
      <c r="B25" s="597"/>
      <c r="C25" s="2" t="s">
        <v>6</v>
      </c>
      <c r="D25" s="8">
        <f>基礎!P25</f>
        <v>0</v>
      </c>
      <c r="E25" s="8">
        <f>基礎!AG25</f>
        <v>630000</v>
      </c>
      <c r="F25" s="8">
        <f>基礎!AX25</f>
        <v>240000</v>
      </c>
      <c r="G25" s="8">
        <f>基礎!BO25</f>
        <v>10560</v>
      </c>
      <c r="H25" s="8">
        <f>基礎!CF25</f>
        <v>10560</v>
      </c>
      <c r="I25" s="8">
        <f>基礎!CW25</f>
        <v>0</v>
      </c>
      <c r="J25" s="8">
        <f>基礎!DN25</f>
        <v>0</v>
      </c>
      <c r="K25" s="8">
        <f>基礎!EE25</f>
        <v>0</v>
      </c>
      <c r="L25" s="8">
        <f>基礎!EV25</f>
        <v>0</v>
      </c>
      <c r="M25" s="8">
        <f>基礎!FM25</f>
        <v>0</v>
      </c>
    </row>
    <row r="26" spans="2:13">
      <c r="B26" s="597"/>
      <c r="C26" s="2" t="s">
        <v>79</v>
      </c>
      <c r="D26" s="8">
        <f>基礎!P28</f>
        <v>0</v>
      </c>
      <c r="E26" s="8">
        <f>基礎!AG28</f>
        <v>312000</v>
      </c>
      <c r="F26" s="8">
        <f>基礎!AX28</f>
        <v>312000</v>
      </c>
      <c r="G26" s="8">
        <f>基礎!BO28</f>
        <v>21120</v>
      </c>
      <c r="H26" s="8">
        <f>基礎!CF28</f>
        <v>21120</v>
      </c>
      <c r="I26" s="8">
        <f>基礎!CW28</f>
        <v>0</v>
      </c>
      <c r="J26" s="8">
        <f>基礎!DN28</f>
        <v>0</v>
      </c>
      <c r="K26" s="8">
        <f>基礎!EE28</f>
        <v>0</v>
      </c>
      <c r="L26" s="8">
        <f>基礎!EV28</f>
        <v>0</v>
      </c>
      <c r="M26" s="8">
        <f>基礎!FM28</f>
        <v>0</v>
      </c>
    </row>
    <row r="27" spans="2:13">
      <c r="B27" s="598"/>
      <c r="C27" s="2" t="s">
        <v>34</v>
      </c>
      <c r="D27" s="8">
        <f>基礎!P29</f>
        <v>0</v>
      </c>
      <c r="E27" s="8">
        <f>基礎!AG29</f>
        <v>110000</v>
      </c>
      <c r="F27" s="8">
        <f>基礎!AX29</f>
        <v>110000</v>
      </c>
      <c r="G27" s="8">
        <f>基礎!BO29</f>
        <v>0</v>
      </c>
      <c r="H27" s="8">
        <f>基礎!CF29</f>
        <v>0</v>
      </c>
      <c r="I27" s="8">
        <f>基礎!CW29</f>
        <v>0</v>
      </c>
      <c r="J27" s="8">
        <f>基礎!DN29</f>
        <v>0</v>
      </c>
      <c r="K27" s="8">
        <f>基礎!EE29</f>
        <v>0</v>
      </c>
      <c r="L27" s="8">
        <f>基礎!EV29</f>
        <v>0</v>
      </c>
      <c r="M27" s="8">
        <f>基礎!FM29</f>
        <v>0</v>
      </c>
    </row>
    <row r="28" spans="2:13">
      <c r="B28" s="570" t="s">
        <v>2</v>
      </c>
      <c r="C28" s="570"/>
      <c r="D28" s="10">
        <f>基礎!P30</f>
        <v>100000</v>
      </c>
      <c r="E28" s="10">
        <f>基礎!AG30</f>
        <v>6767788.5000000009</v>
      </c>
      <c r="F28" s="10">
        <f>基礎!AX30</f>
        <v>6383848.4000000004</v>
      </c>
      <c r="G28" s="10">
        <f>基礎!BO30</f>
        <v>126720</v>
      </c>
      <c r="H28" s="10">
        <f>基礎!CF30</f>
        <v>126720</v>
      </c>
      <c r="I28" s="10">
        <f>基礎!CW30</f>
        <v>0</v>
      </c>
      <c r="J28" s="10">
        <f>基礎!DN30</f>
        <v>0</v>
      </c>
      <c r="K28" s="10">
        <f>基礎!EE30</f>
        <v>0</v>
      </c>
      <c r="L28" s="10">
        <f>基礎!EV30</f>
        <v>0</v>
      </c>
      <c r="M28" s="10">
        <f>基礎!FM30</f>
        <v>0</v>
      </c>
    </row>
    <row r="29" spans="2:13">
      <c r="B29" s="571" t="s">
        <v>9</v>
      </c>
      <c r="C29" s="572"/>
      <c r="D29" s="9">
        <f>基礎!P31</f>
        <v>0</v>
      </c>
      <c r="E29" s="9">
        <f>基礎!AG31</f>
        <v>0</v>
      </c>
      <c r="F29" s="9">
        <f>基礎!AX31</f>
        <v>0</v>
      </c>
      <c r="G29" s="9">
        <f>基礎!BO31</f>
        <v>177120</v>
      </c>
      <c r="H29" s="9">
        <f>基礎!CF31</f>
        <v>190080</v>
      </c>
      <c r="I29" s="9" t="e">
        <f>基礎!CW31</f>
        <v>#REF!</v>
      </c>
      <c r="J29" s="9" t="e">
        <f>基礎!DN31</f>
        <v>#REF!</v>
      </c>
      <c r="K29" s="9" t="e">
        <f>基礎!EE31</f>
        <v>#REF!</v>
      </c>
      <c r="L29" s="9" t="e">
        <f>基礎!EV31</f>
        <v>#REF!</v>
      </c>
      <c r="M29" s="9">
        <f>基礎!FM31</f>
        <v>654720</v>
      </c>
    </row>
    <row r="30" spans="2:13">
      <c r="B30" s="602"/>
      <c r="C30" s="4" t="s">
        <v>3</v>
      </c>
      <c r="D30" s="8">
        <f>基礎!P32</f>
        <v>0</v>
      </c>
      <c r="E30" s="8">
        <f>基礎!AG32</f>
        <v>0</v>
      </c>
      <c r="F30" s="8">
        <f>基礎!AX32</f>
        <v>0</v>
      </c>
      <c r="G30" s="8">
        <f>基礎!BO32</f>
        <v>36000</v>
      </c>
      <c r="H30" s="8">
        <f>基礎!CF32</f>
        <v>48000</v>
      </c>
      <c r="I30" s="8">
        <f>基礎!CW32</f>
        <v>60000</v>
      </c>
      <c r="J30" s="8">
        <f>基礎!DN32</f>
        <v>72000</v>
      </c>
      <c r="K30" s="8">
        <f>基礎!EE32</f>
        <v>84000</v>
      </c>
      <c r="L30" s="8">
        <f>基礎!EV32</f>
        <v>96000</v>
      </c>
      <c r="M30" s="8">
        <f>基礎!FM32</f>
        <v>96000</v>
      </c>
    </row>
    <row r="31" spans="2:13">
      <c r="B31" s="602"/>
      <c r="C31" s="4" t="s">
        <v>4</v>
      </c>
      <c r="D31" s="8">
        <f>基礎!P33</f>
        <v>0</v>
      </c>
      <c r="E31" s="8">
        <f>基礎!AG33</f>
        <v>0</v>
      </c>
      <c r="F31" s="8">
        <f>基礎!AX33</f>
        <v>0</v>
      </c>
      <c r="G31" s="8">
        <f>基礎!BO33</f>
        <v>24000</v>
      </c>
      <c r="H31" s="8">
        <f>基礎!CF33</f>
        <v>24000</v>
      </c>
      <c r="I31" s="8">
        <f>基礎!CW33</f>
        <v>45600</v>
      </c>
      <c r="J31" s="8">
        <f>基礎!DN33</f>
        <v>51600</v>
      </c>
      <c r="K31" s="8">
        <f>基礎!EE33</f>
        <v>59800</v>
      </c>
      <c r="L31" s="8">
        <f>基礎!EV33</f>
        <v>65600</v>
      </c>
      <c r="M31" s="8">
        <f>基礎!FM33</f>
        <v>84000</v>
      </c>
    </row>
    <row r="32" spans="2:13">
      <c r="B32" s="602"/>
      <c r="C32" s="4" t="s">
        <v>5</v>
      </c>
      <c r="D32" s="8">
        <f>基礎!P34</f>
        <v>0</v>
      </c>
      <c r="E32" s="8">
        <f>基礎!AG34</f>
        <v>0</v>
      </c>
      <c r="F32" s="8">
        <f>基礎!AX34</f>
        <v>0</v>
      </c>
      <c r="G32" s="8">
        <f>基礎!BO34</f>
        <v>4800</v>
      </c>
      <c r="H32" s="8">
        <f>基礎!CF34</f>
        <v>5760</v>
      </c>
      <c r="I32" s="8">
        <f>基礎!CW34</f>
        <v>8448</v>
      </c>
      <c r="J32" s="8">
        <f>基礎!DN34</f>
        <v>9888</v>
      </c>
      <c r="K32" s="8">
        <f>基礎!EE34</f>
        <v>11504</v>
      </c>
      <c r="L32" s="8">
        <f>基礎!EV34</f>
        <v>12928</v>
      </c>
      <c r="M32" s="8">
        <f>基礎!FM34</f>
        <v>14400</v>
      </c>
    </row>
    <row r="33" spans="2:13">
      <c r="B33" s="602"/>
      <c r="C33" s="4" t="s">
        <v>32</v>
      </c>
      <c r="D33" s="8">
        <f>基礎!P35</f>
        <v>0</v>
      </c>
      <c r="E33" s="8">
        <f>基礎!AG35</f>
        <v>0</v>
      </c>
      <c r="F33" s="8">
        <f>基礎!AX35</f>
        <v>0</v>
      </c>
      <c r="G33" s="8">
        <f>基礎!BO35</f>
        <v>24000</v>
      </c>
      <c r="H33" s="8">
        <f>基礎!CF35</f>
        <v>24000</v>
      </c>
      <c r="I33" s="8">
        <f>基礎!CW35</f>
        <v>45600</v>
      </c>
      <c r="J33" s="8">
        <f>基礎!DN35</f>
        <v>51600</v>
      </c>
      <c r="K33" s="8">
        <f>基礎!EE35</f>
        <v>59800</v>
      </c>
      <c r="L33" s="8">
        <f>基礎!EV35</f>
        <v>65600</v>
      </c>
      <c r="M33" s="8">
        <f>基礎!FM35</f>
        <v>84000</v>
      </c>
    </row>
    <row r="34" spans="2:13">
      <c r="B34" s="602"/>
      <c r="C34" s="4" t="s">
        <v>33</v>
      </c>
      <c r="D34" s="8">
        <f>基礎!P36</f>
        <v>0</v>
      </c>
      <c r="E34" s="8">
        <f>基礎!AG36</f>
        <v>0</v>
      </c>
      <c r="F34" s="8">
        <f>基礎!AX36</f>
        <v>0</v>
      </c>
      <c r="G34" s="8">
        <f>基礎!BO36</f>
        <v>12000</v>
      </c>
      <c r="H34" s="8">
        <f>基礎!CF36</f>
        <v>12000</v>
      </c>
      <c r="I34" s="8">
        <f>基礎!CW36</f>
        <v>0</v>
      </c>
      <c r="J34" s="8">
        <f>基礎!DN36</f>
        <v>0</v>
      </c>
      <c r="K34" s="8">
        <f>基礎!EE36</f>
        <v>0</v>
      </c>
      <c r="L34" s="8">
        <f>基礎!EV36</f>
        <v>0</v>
      </c>
      <c r="M34" s="8">
        <f>基礎!FM36</f>
        <v>0</v>
      </c>
    </row>
    <row r="35" spans="2:13">
      <c r="B35" s="602"/>
      <c r="C35" s="4" t="s">
        <v>7</v>
      </c>
      <c r="D35" s="8">
        <f>基礎!P37</f>
        <v>0</v>
      </c>
      <c r="E35" s="8">
        <f>基礎!AG37</f>
        <v>0</v>
      </c>
      <c r="F35" s="8">
        <f>基礎!AX37</f>
        <v>0</v>
      </c>
      <c r="G35" s="8">
        <f>基礎!BO37</f>
        <v>4320</v>
      </c>
      <c r="H35" s="8">
        <f>基礎!CF37</f>
        <v>4320</v>
      </c>
      <c r="I35" s="8">
        <f>基礎!CW37</f>
        <v>4320</v>
      </c>
      <c r="J35" s="8">
        <f>基礎!DN37</f>
        <v>4320</v>
      </c>
      <c r="K35" s="8">
        <f>基礎!EE37</f>
        <v>4320</v>
      </c>
      <c r="L35" s="8">
        <f>基礎!EV37</f>
        <v>4320</v>
      </c>
      <c r="M35" s="8">
        <f>基礎!FM37</f>
        <v>4320</v>
      </c>
    </row>
    <row r="36" spans="2:13">
      <c r="B36" s="602"/>
      <c r="C36" s="4" t="s">
        <v>8</v>
      </c>
      <c r="D36" s="8">
        <f>基礎!P38</f>
        <v>0</v>
      </c>
      <c r="E36" s="8">
        <f>基礎!AG38</f>
        <v>0</v>
      </c>
      <c r="F36" s="8">
        <f>基礎!AX38</f>
        <v>0</v>
      </c>
      <c r="G36" s="8">
        <f>基礎!BO38</f>
        <v>72000</v>
      </c>
      <c r="H36" s="8">
        <f>基礎!CF38</f>
        <v>72000</v>
      </c>
      <c r="I36" s="8">
        <f>基礎!CW38</f>
        <v>185400</v>
      </c>
      <c r="J36" s="8">
        <f>基礎!DN38</f>
        <v>216900</v>
      </c>
      <c r="K36" s="8">
        <f>基礎!EE38</f>
        <v>264550</v>
      </c>
      <c r="L36" s="8">
        <f>基礎!EV38</f>
        <v>299050</v>
      </c>
      <c r="M36" s="8">
        <f>基礎!FM38</f>
        <v>372000</v>
      </c>
    </row>
    <row r="37" spans="2:13">
      <c r="B37" s="603"/>
      <c r="C37" s="4" t="s">
        <v>77</v>
      </c>
      <c r="D37" s="8">
        <f>基礎!P39</f>
        <v>0</v>
      </c>
      <c r="E37" s="8">
        <f>基礎!AG39</f>
        <v>0</v>
      </c>
      <c r="F37" s="8">
        <f>基礎!AX39</f>
        <v>0</v>
      </c>
      <c r="G37" s="8">
        <f>基礎!BO39</f>
        <v>0</v>
      </c>
      <c r="H37" s="8">
        <f>基礎!CF39</f>
        <v>0</v>
      </c>
      <c r="I37" s="8" t="e">
        <f>基礎!CW39</f>
        <v>#REF!</v>
      </c>
      <c r="J37" s="8" t="e">
        <f>基礎!DN39</f>
        <v>#REF!</v>
      </c>
      <c r="K37" s="8" t="e">
        <f>基礎!EE39</f>
        <v>#REF!</v>
      </c>
      <c r="L37" s="8" t="e">
        <f>基礎!EV39</f>
        <v>#REF!</v>
      </c>
      <c r="M37" s="8">
        <f>基礎!FM39</f>
        <v>0</v>
      </c>
    </row>
    <row r="38" spans="2:13">
      <c r="B38" s="566" t="s">
        <v>10</v>
      </c>
      <c r="C38" s="567"/>
      <c r="D38" s="10">
        <f>基礎!P40</f>
        <v>100000</v>
      </c>
      <c r="E38" s="10">
        <f>基礎!AG40</f>
        <v>6767788.5000000009</v>
      </c>
      <c r="F38" s="10">
        <f>基礎!AX40</f>
        <v>6383848.4000000004</v>
      </c>
      <c r="G38" s="10">
        <f>基礎!BO40</f>
        <v>-50400</v>
      </c>
      <c r="H38" s="10">
        <f>基礎!CF40</f>
        <v>-63360</v>
      </c>
      <c r="I38" s="10" t="e">
        <f>基礎!CW40</f>
        <v>#REF!</v>
      </c>
      <c r="J38" s="10" t="e">
        <f>基礎!DN40</f>
        <v>#REF!</v>
      </c>
      <c r="K38" s="10" t="e">
        <f>基礎!EE40</f>
        <v>#REF!</v>
      </c>
      <c r="L38" s="10" t="e">
        <f>基礎!EV40</f>
        <v>#REF!</v>
      </c>
      <c r="M38" s="10" t="e">
        <f>基礎!FM40</f>
        <v>#REF!</v>
      </c>
    </row>
    <row r="39" spans="2:13">
      <c r="B39" s="573" t="s">
        <v>11</v>
      </c>
      <c r="C39" s="574"/>
      <c r="D39" s="9">
        <f>基礎!P41</f>
        <v>0</v>
      </c>
      <c r="E39" s="9">
        <f>基礎!AG41</f>
        <v>0</v>
      </c>
      <c r="F39" s="9">
        <f>基礎!AX41</f>
        <v>0</v>
      </c>
      <c r="G39" s="9">
        <f>基礎!BO41</f>
        <v>0</v>
      </c>
      <c r="H39" s="9">
        <f>基礎!CF41</f>
        <v>0</v>
      </c>
      <c r="I39" s="9">
        <f>基礎!CW41</f>
        <v>0</v>
      </c>
      <c r="J39" s="9">
        <f>基礎!DN41</f>
        <v>0</v>
      </c>
      <c r="K39" s="9">
        <f>基礎!EE41</f>
        <v>0</v>
      </c>
      <c r="L39" s="9">
        <f>基礎!EV41</f>
        <v>0</v>
      </c>
      <c r="M39" s="9">
        <f>基礎!FM41</f>
        <v>0</v>
      </c>
    </row>
    <row r="40" spans="2:13">
      <c r="B40" s="562" t="s">
        <v>14</v>
      </c>
      <c r="C40" s="563"/>
      <c r="D40" s="7">
        <f>基礎!P42</f>
        <v>0</v>
      </c>
      <c r="E40" s="7">
        <f>基礎!AG42</f>
        <v>0</v>
      </c>
      <c r="F40" s="7">
        <f>基礎!AX42</f>
        <v>0</v>
      </c>
      <c r="G40" s="7">
        <f>基礎!BO42</f>
        <v>0</v>
      </c>
      <c r="H40" s="7">
        <f>基礎!CF42</f>
        <v>0</v>
      </c>
      <c r="I40" s="7">
        <f>基礎!CW42</f>
        <v>0</v>
      </c>
      <c r="J40" s="7">
        <f>基礎!DN42</f>
        <v>0</v>
      </c>
      <c r="K40" s="7">
        <f>基礎!EE42</f>
        <v>0</v>
      </c>
      <c r="L40" s="7">
        <f>基礎!EV42</f>
        <v>0</v>
      </c>
      <c r="M40" s="7">
        <f>基礎!FM42</f>
        <v>0</v>
      </c>
    </row>
    <row r="41" spans="2:13">
      <c r="B41" s="604"/>
      <c r="C41" s="4" t="s">
        <v>12</v>
      </c>
      <c r="D41" s="8">
        <f>基礎!P43</f>
        <v>0</v>
      </c>
      <c r="E41" s="8">
        <f>基礎!AG43</f>
        <v>0</v>
      </c>
      <c r="F41" s="8">
        <f>基礎!AX43</f>
        <v>0</v>
      </c>
      <c r="G41" s="8">
        <f>基礎!BO43</f>
        <v>0</v>
      </c>
      <c r="H41" s="8">
        <f>基礎!CF43</f>
        <v>0</v>
      </c>
      <c r="I41" s="8">
        <f>基礎!CW43</f>
        <v>0</v>
      </c>
      <c r="J41" s="8">
        <f>基礎!DN43</f>
        <v>0</v>
      </c>
      <c r="K41" s="8">
        <f>基礎!EE43</f>
        <v>0</v>
      </c>
      <c r="L41" s="8">
        <f>基礎!EV43</f>
        <v>0</v>
      </c>
      <c r="M41" s="8">
        <f>基礎!FM43</f>
        <v>0</v>
      </c>
    </row>
    <row r="42" spans="2:13">
      <c r="B42" s="605"/>
      <c r="C42" s="4" t="s">
        <v>13</v>
      </c>
      <c r="D42" s="8">
        <f>基礎!P44</f>
        <v>0</v>
      </c>
      <c r="E42" s="8">
        <f>基礎!AG44</f>
        <v>0</v>
      </c>
      <c r="F42" s="8">
        <f>基礎!AX44</f>
        <v>0</v>
      </c>
      <c r="G42" s="8">
        <f>基礎!BO44</f>
        <v>0</v>
      </c>
      <c r="H42" s="8">
        <f>基礎!CF44</f>
        <v>0</v>
      </c>
      <c r="I42" s="8">
        <f>基礎!CW44</f>
        <v>0</v>
      </c>
      <c r="J42" s="8">
        <f>基礎!DN44</f>
        <v>0</v>
      </c>
      <c r="K42" s="8">
        <f>基礎!EE44</f>
        <v>0</v>
      </c>
      <c r="L42" s="8">
        <f>基礎!EV44</f>
        <v>0</v>
      </c>
      <c r="M42" s="8">
        <f>基礎!FM44</f>
        <v>0</v>
      </c>
    </row>
    <row r="43" spans="2:13">
      <c r="B43" s="600" t="s">
        <v>15</v>
      </c>
      <c r="C43" s="601"/>
      <c r="D43" s="18">
        <f>基礎!P45</f>
        <v>100000</v>
      </c>
      <c r="E43" s="18">
        <f>基礎!AG45</f>
        <v>6767788.5000000009</v>
      </c>
      <c r="F43" s="18">
        <f>基礎!AX45</f>
        <v>6383848.4000000004</v>
      </c>
      <c r="G43" s="18">
        <f>基礎!BO45</f>
        <v>-50400</v>
      </c>
      <c r="H43" s="18">
        <f>基礎!CF45</f>
        <v>-63360</v>
      </c>
      <c r="I43" s="18" t="e">
        <f>基礎!CW45</f>
        <v>#REF!</v>
      </c>
      <c r="J43" s="18" t="e">
        <f>基礎!DN45</f>
        <v>#REF!</v>
      </c>
      <c r="K43" s="18" t="e">
        <f>基礎!EE45</f>
        <v>#REF!</v>
      </c>
      <c r="L43" s="18" t="e">
        <f>基礎!EV45</f>
        <v>#REF!</v>
      </c>
      <c r="M43" s="18" t="e">
        <f>基礎!FM45</f>
        <v>#REF!</v>
      </c>
    </row>
    <row r="44" spans="2:13">
      <c r="B44" s="599" t="s">
        <v>134</v>
      </c>
      <c r="C44" s="599"/>
      <c r="D44" s="14">
        <f>D43*0.4</f>
        <v>40000</v>
      </c>
      <c r="E44" s="14">
        <f t="shared" ref="E44:M44" si="0">E43*0.4</f>
        <v>2707115.4000000004</v>
      </c>
      <c r="F44" s="14">
        <f t="shared" si="0"/>
        <v>2553539.3600000003</v>
      </c>
      <c r="G44" s="14">
        <f t="shared" si="0"/>
        <v>-20160</v>
      </c>
      <c r="H44" s="14">
        <f t="shared" si="0"/>
        <v>-25344</v>
      </c>
      <c r="I44" s="14" t="e">
        <f t="shared" si="0"/>
        <v>#REF!</v>
      </c>
      <c r="J44" s="14" t="e">
        <f t="shared" si="0"/>
        <v>#REF!</v>
      </c>
      <c r="K44" s="14" t="e">
        <f t="shared" si="0"/>
        <v>#REF!</v>
      </c>
      <c r="L44" s="14" t="e">
        <f t="shared" si="0"/>
        <v>#REF!</v>
      </c>
      <c r="M44" s="14" t="e">
        <f t="shared" si="0"/>
        <v>#REF!</v>
      </c>
    </row>
    <row r="45" spans="2:13">
      <c r="B45" s="589" t="s">
        <v>133</v>
      </c>
      <c r="C45" s="589"/>
      <c r="D45" s="10">
        <f>D43-D44</f>
        <v>60000</v>
      </c>
      <c r="E45" s="10">
        <f t="shared" ref="E45:M45" si="1">E43-E44</f>
        <v>4060673.1000000006</v>
      </c>
      <c r="F45" s="10">
        <f t="shared" si="1"/>
        <v>3830309.04</v>
      </c>
      <c r="G45" s="10">
        <f t="shared" si="1"/>
        <v>-30240</v>
      </c>
      <c r="H45" s="10">
        <f t="shared" si="1"/>
        <v>-38016</v>
      </c>
      <c r="I45" s="10" t="e">
        <f t="shared" si="1"/>
        <v>#REF!</v>
      </c>
      <c r="J45" s="10" t="e">
        <f t="shared" si="1"/>
        <v>#REF!</v>
      </c>
      <c r="K45" s="10" t="e">
        <f t="shared" si="1"/>
        <v>#REF!</v>
      </c>
      <c r="L45" s="10" t="e">
        <f t="shared" si="1"/>
        <v>#REF!</v>
      </c>
      <c r="M45" s="10" t="e">
        <f t="shared" si="1"/>
        <v>#REF!</v>
      </c>
    </row>
    <row r="47" spans="2:13">
      <c r="B47" s="587"/>
      <c r="C47" s="588"/>
      <c r="D47" s="5" t="s">
        <v>91</v>
      </c>
      <c r="E47" s="5" t="s">
        <v>92</v>
      </c>
      <c r="F47" s="5" t="s">
        <v>93</v>
      </c>
      <c r="G47" s="5" t="s">
        <v>94</v>
      </c>
      <c r="H47" s="5" t="s">
        <v>95</v>
      </c>
      <c r="I47" s="5" t="s">
        <v>123</v>
      </c>
      <c r="J47" s="5" t="s">
        <v>124</v>
      </c>
      <c r="K47" s="5" t="s">
        <v>125</v>
      </c>
      <c r="L47" s="5" t="s">
        <v>126</v>
      </c>
      <c r="M47" s="5" t="s">
        <v>127</v>
      </c>
    </row>
    <row r="48" spans="2:13">
      <c r="B48" s="589" t="s">
        <v>30</v>
      </c>
      <c r="C48" s="589"/>
      <c r="D48" s="6">
        <f>D3</f>
        <v>100000</v>
      </c>
      <c r="E48" s="6">
        <f t="shared" ref="E48:M48" si="2">E3</f>
        <v>17313674</v>
      </c>
      <c r="F48" s="6">
        <f t="shared" si="2"/>
        <v>17493674</v>
      </c>
      <c r="G48" s="6">
        <f t="shared" si="2"/>
        <v>352000</v>
      </c>
      <c r="H48" s="6">
        <f t="shared" si="2"/>
        <v>352000</v>
      </c>
      <c r="I48" s="6">
        <f t="shared" si="2"/>
        <v>0</v>
      </c>
      <c r="J48" s="6">
        <f t="shared" si="2"/>
        <v>0</v>
      </c>
      <c r="K48" s="6">
        <f t="shared" si="2"/>
        <v>0</v>
      </c>
      <c r="L48" s="6">
        <f t="shared" si="2"/>
        <v>0</v>
      </c>
      <c r="M48" s="6">
        <f t="shared" si="2"/>
        <v>0</v>
      </c>
    </row>
    <row r="49" spans="2:13">
      <c r="B49" s="596" t="s">
        <v>31</v>
      </c>
      <c r="C49" s="469"/>
      <c r="D49" s="9">
        <f>D22</f>
        <v>0</v>
      </c>
      <c r="E49" s="9">
        <f t="shared" ref="E49:M49" si="3">E22</f>
        <v>10545885.5</v>
      </c>
      <c r="F49" s="9">
        <f t="shared" si="3"/>
        <v>11109825.600000001</v>
      </c>
      <c r="G49" s="9">
        <f t="shared" si="3"/>
        <v>225280</v>
      </c>
      <c r="H49" s="9">
        <f t="shared" si="3"/>
        <v>225280</v>
      </c>
      <c r="I49" s="9">
        <f t="shared" si="3"/>
        <v>0</v>
      </c>
      <c r="J49" s="9">
        <f t="shared" si="3"/>
        <v>0</v>
      </c>
      <c r="K49" s="9">
        <f t="shared" si="3"/>
        <v>0</v>
      </c>
      <c r="L49" s="9">
        <f t="shared" si="3"/>
        <v>0</v>
      </c>
      <c r="M49" s="9">
        <f t="shared" si="3"/>
        <v>0</v>
      </c>
    </row>
    <row r="50" spans="2:13">
      <c r="B50" s="570" t="s">
        <v>2</v>
      </c>
      <c r="C50" s="570"/>
      <c r="D50" s="10">
        <f>D28</f>
        <v>100000</v>
      </c>
      <c r="E50" s="10">
        <f t="shared" ref="E50:M50" si="4">E28</f>
        <v>6767788.5000000009</v>
      </c>
      <c r="F50" s="10">
        <f t="shared" si="4"/>
        <v>6383848.4000000004</v>
      </c>
      <c r="G50" s="10">
        <f t="shared" si="4"/>
        <v>126720</v>
      </c>
      <c r="H50" s="10">
        <f t="shared" si="4"/>
        <v>126720</v>
      </c>
      <c r="I50" s="10">
        <f t="shared" si="4"/>
        <v>0</v>
      </c>
      <c r="J50" s="10">
        <f t="shared" si="4"/>
        <v>0</v>
      </c>
      <c r="K50" s="10">
        <f t="shared" si="4"/>
        <v>0</v>
      </c>
      <c r="L50" s="10">
        <f t="shared" si="4"/>
        <v>0</v>
      </c>
      <c r="M50" s="10">
        <f t="shared" si="4"/>
        <v>0</v>
      </c>
    </row>
    <row r="51" spans="2:13">
      <c r="B51" s="566" t="s">
        <v>10</v>
      </c>
      <c r="C51" s="567"/>
      <c r="D51" s="10">
        <f>D38</f>
        <v>100000</v>
      </c>
      <c r="E51" s="10">
        <f t="shared" ref="E51:M51" si="5">E38</f>
        <v>6767788.5000000009</v>
      </c>
      <c r="F51" s="10">
        <f t="shared" si="5"/>
        <v>6383848.4000000004</v>
      </c>
      <c r="G51" s="10">
        <f t="shared" si="5"/>
        <v>-50400</v>
      </c>
      <c r="H51" s="10">
        <f t="shared" si="5"/>
        <v>-63360</v>
      </c>
      <c r="I51" s="10" t="e">
        <f t="shared" si="5"/>
        <v>#REF!</v>
      </c>
      <c r="J51" s="10" t="e">
        <f t="shared" si="5"/>
        <v>#REF!</v>
      </c>
      <c r="K51" s="10" t="e">
        <f t="shared" si="5"/>
        <v>#REF!</v>
      </c>
      <c r="L51" s="10" t="e">
        <f t="shared" si="5"/>
        <v>#REF!</v>
      </c>
      <c r="M51" s="10" t="e">
        <f t="shared" si="5"/>
        <v>#REF!</v>
      </c>
    </row>
    <row r="52" spans="2:13">
      <c r="B52" s="600" t="s">
        <v>15</v>
      </c>
      <c r="C52" s="601"/>
      <c r="D52" s="18">
        <f>D43</f>
        <v>100000</v>
      </c>
      <c r="E52" s="18">
        <f t="shared" ref="E52:M52" si="6">E43</f>
        <v>6767788.5000000009</v>
      </c>
      <c r="F52" s="18">
        <f t="shared" si="6"/>
        <v>6383848.4000000004</v>
      </c>
      <c r="G52" s="18">
        <f t="shared" si="6"/>
        <v>-50400</v>
      </c>
      <c r="H52" s="18">
        <f t="shared" si="6"/>
        <v>-63360</v>
      </c>
      <c r="I52" s="18" t="e">
        <f t="shared" si="6"/>
        <v>#REF!</v>
      </c>
      <c r="J52" s="18" t="e">
        <f t="shared" si="6"/>
        <v>#REF!</v>
      </c>
      <c r="K52" s="18" t="e">
        <f t="shared" si="6"/>
        <v>#REF!</v>
      </c>
      <c r="L52" s="18" t="e">
        <f t="shared" si="6"/>
        <v>#REF!</v>
      </c>
      <c r="M52" s="18" t="e">
        <f t="shared" si="6"/>
        <v>#REF!</v>
      </c>
    </row>
    <row r="53" spans="2:13">
      <c r="B53" s="589" t="s">
        <v>133</v>
      </c>
      <c r="C53" s="589"/>
      <c r="D53" s="10">
        <f>D45</f>
        <v>60000</v>
      </c>
      <c r="E53" s="10">
        <f t="shared" ref="E53:M53" si="7">E45</f>
        <v>4060673.1000000006</v>
      </c>
      <c r="F53" s="10">
        <f t="shared" si="7"/>
        <v>3830309.04</v>
      </c>
      <c r="G53" s="10">
        <f t="shared" si="7"/>
        <v>-30240</v>
      </c>
      <c r="H53" s="10">
        <f t="shared" si="7"/>
        <v>-38016</v>
      </c>
      <c r="I53" s="10" t="e">
        <f t="shared" si="7"/>
        <v>#REF!</v>
      </c>
      <c r="J53" s="10" t="e">
        <f t="shared" si="7"/>
        <v>#REF!</v>
      </c>
      <c r="K53" s="10" t="e">
        <f t="shared" si="7"/>
        <v>#REF!</v>
      </c>
      <c r="L53" s="10" t="e">
        <f t="shared" si="7"/>
        <v>#REF!</v>
      </c>
      <c r="M53" s="10" t="e">
        <f t="shared" si="7"/>
        <v>#REF!</v>
      </c>
    </row>
    <row r="54" spans="2:13" ht="4.5" customHeight="1"/>
    <row r="55" spans="2:13">
      <c r="B55" s="589" t="s">
        <v>331</v>
      </c>
      <c r="C55" s="589"/>
      <c r="D55" s="190"/>
      <c r="E55" s="168">
        <f>E48/D48</f>
        <v>173.13674</v>
      </c>
      <c r="F55" s="168">
        <f t="shared" ref="F55:M55" si="8">F48/E48</f>
        <v>1.0103964069093596</v>
      </c>
      <c r="G55" s="168">
        <f t="shared" si="8"/>
        <v>2.0121559370547319E-2</v>
      </c>
      <c r="H55" s="168">
        <f t="shared" si="8"/>
        <v>1</v>
      </c>
      <c r="I55" s="168">
        <f t="shared" si="8"/>
        <v>0</v>
      </c>
      <c r="J55" s="168" t="e">
        <f t="shared" si="8"/>
        <v>#DIV/0!</v>
      </c>
      <c r="K55" s="168" t="e">
        <f t="shared" si="8"/>
        <v>#DIV/0!</v>
      </c>
      <c r="L55" s="168" t="e">
        <f t="shared" si="8"/>
        <v>#DIV/0!</v>
      </c>
      <c r="M55" s="168" t="e">
        <f t="shared" si="8"/>
        <v>#DIV/0!</v>
      </c>
    </row>
    <row r="56" spans="2:13">
      <c r="B56" s="606" t="s">
        <v>31</v>
      </c>
      <c r="C56" s="606"/>
      <c r="D56" s="420">
        <f>D49/D$48</f>
        <v>0</v>
      </c>
      <c r="E56" s="420">
        <f t="shared" ref="E56:M56" si="9">E49/E$48</f>
        <v>0.60910731598619683</v>
      </c>
      <c r="F56" s="420">
        <f t="shared" si="9"/>
        <v>0.63507674831484806</v>
      </c>
      <c r="G56" s="420">
        <f t="shared" si="9"/>
        <v>0.64</v>
      </c>
      <c r="H56" s="420">
        <f t="shared" si="9"/>
        <v>0.64</v>
      </c>
      <c r="I56" s="420" t="e">
        <f t="shared" si="9"/>
        <v>#DIV/0!</v>
      </c>
      <c r="J56" s="420" t="e">
        <f t="shared" si="9"/>
        <v>#DIV/0!</v>
      </c>
      <c r="K56" s="420" t="e">
        <f t="shared" si="9"/>
        <v>#DIV/0!</v>
      </c>
      <c r="L56" s="420" t="e">
        <f t="shared" si="9"/>
        <v>#DIV/0!</v>
      </c>
      <c r="M56" s="420" t="e">
        <f t="shared" si="9"/>
        <v>#DIV/0!</v>
      </c>
    </row>
    <row r="57" spans="2:13">
      <c r="B57" s="570" t="s">
        <v>2</v>
      </c>
      <c r="C57" s="570"/>
      <c r="D57" s="168">
        <f t="shared" ref="D57:M60" si="10">D50/D$48</f>
        <v>1</v>
      </c>
      <c r="E57" s="168">
        <f t="shared" si="10"/>
        <v>0.39089268401380323</v>
      </c>
      <c r="F57" s="168">
        <f t="shared" si="10"/>
        <v>0.36492325168515205</v>
      </c>
      <c r="G57" s="168">
        <f t="shared" si="10"/>
        <v>0.36</v>
      </c>
      <c r="H57" s="168">
        <f t="shared" si="10"/>
        <v>0.36</v>
      </c>
      <c r="I57" s="168" t="e">
        <f t="shared" si="10"/>
        <v>#DIV/0!</v>
      </c>
      <c r="J57" s="168" t="e">
        <f t="shared" si="10"/>
        <v>#DIV/0!</v>
      </c>
      <c r="K57" s="168" t="e">
        <f t="shared" si="10"/>
        <v>#DIV/0!</v>
      </c>
      <c r="L57" s="168" t="e">
        <f t="shared" si="10"/>
        <v>#DIV/0!</v>
      </c>
      <c r="M57" s="168" t="e">
        <f t="shared" si="10"/>
        <v>#DIV/0!</v>
      </c>
    </row>
    <row r="58" spans="2:13">
      <c r="B58" s="570" t="s">
        <v>10</v>
      </c>
      <c r="C58" s="570"/>
      <c r="D58" s="168">
        <f t="shared" si="10"/>
        <v>1</v>
      </c>
      <c r="E58" s="168">
        <f t="shared" si="10"/>
        <v>0.39089268401380323</v>
      </c>
      <c r="F58" s="168">
        <f t="shared" si="10"/>
        <v>0.36492325168515205</v>
      </c>
      <c r="G58" s="168">
        <f t="shared" si="10"/>
        <v>-0.14318181818181819</v>
      </c>
      <c r="H58" s="168">
        <f t="shared" si="10"/>
        <v>-0.18</v>
      </c>
      <c r="I58" s="168" t="e">
        <f t="shared" si="10"/>
        <v>#REF!</v>
      </c>
      <c r="J58" s="168" t="e">
        <f t="shared" si="10"/>
        <v>#REF!</v>
      </c>
      <c r="K58" s="168" t="e">
        <f t="shared" si="10"/>
        <v>#REF!</v>
      </c>
      <c r="L58" s="168" t="e">
        <f t="shared" si="10"/>
        <v>#REF!</v>
      </c>
      <c r="M58" s="168" t="e">
        <f t="shared" si="10"/>
        <v>#REF!</v>
      </c>
    </row>
    <row r="59" spans="2:13">
      <c r="B59" s="570" t="s">
        <v>15</v>
      </c>
      <c r="C59" s="570"/>
      <c r="D59" s="168">
        <f t="shared" si="10"/>
        <v>1</v>
      </c>
      <c r="E59" s="168">
        <f t="shared" si="10"/>
        <v>0.39089268401380323</v>
      </c>
      <c r="F59" s="168">
        <f t="shared" si="10"/>
        <v>0.36492325168515205</v>
      </c>
      <c r="G59" s="168">
        <f t="shared" si="10"/>
        <v>-0.14318181818181819</v>
      </c>
      <c r="H59" s="168">
        <f t="shared" si="10"/>
        <v>-0.18</v>
      </c>
      <c r="I59" s="168" t="e">
        <f t="shared" si="10"/>
        <v>#REF!</v>
      </c>
      <c r="J59" s="168" t="e">
        <f t="shared" si="10"/>
        <v>#REF!</v>
      </c>
      <c r="K59" s="168" t="e">
        <f t="shared" si="10"/>
        <v>#REF!</v>
      </c>
      <c r="L59" s="168" t="e">
        <f t="shared" si="10"/>
        <v>#REF!</v>
      </c>
      <c r="M59" s="168" t="e">
        <f t="shared" si="10"/>
        <v>#REF!</v>
      </c>
    </row>
    <row r="60" spans="2:13">
      <c r="B60" s="589" t="s">
        <v>133</v>
      </c>
      <c r="C60" s="589"/>
      <c r="D60" s="168">
        <f t="shared" si="10"/>
        <v>0.6</v>
      </c>
      <c r="E60" s="168">
        <f t="shared" si="10"/>
        <v>0.23453561040828194</v>
      </c>
      <c r="F60" s="168">
        <f t="shared" si="10"/>
        <v>0.21895395101109122</v>
      </c>
      <c r="G60" s="168">
        <f t="shared" si="10"/>
        <v>-8.5909090909090907E-2</v>
      </c>
      <c r="H60" s="168">
        <f t="shared" si="10"/>
        <v>-0.108</v>
      </c>
      <c r="I60" s="168" t="e">
        <f t="shared" si="10"/>
        <v>#REF!</v>
      </c>
      <c r="J60" s="168" t="e">
        <f t="shared" si="10"/>
        <v>#REF!</v>
      </c>
      <c r="K60" s="168" t="e">
        <f t="shared" si="10"/>
        <v>#REF!</v>
      </c>
      <c r="L60" s="168" t="e">
        <f t="shared" si="10"/>
        <v>#REF!</v>
      </c>
      <c r="M60" s="168" t="e">
        <f t="shared" si="10"/>
        <v>#REF!</v>
      </c>
    </row>
  </sheetData>
  <sheetProtection selectLockedCells="1" selectUnlockedCells="1"/>
  <mergeCells count="34">
    <mergeCell ref="B59:C59"/>
    <mergeCell ref="B60:C60"/>
    <mergeCell ref="B47:C47"/>
    <mergeCell ref="B53:C53"/>
    <mergeCell ref="B55:C55"/>
    <mergeCell ref="B56:C56"/>
    <mergeCell ref="B57:C57"/>
    <mergeCell ref="B58:C58"/>
    <mergeCell ref="B48:C48"/>
    <mergeCell ref="B49:C49"/>
    <mergeCell ref="B50:C50"/>
    <mergeCell ref="B51:C51"/>
    <mergeCell ref="B52:C52"/>
    <mergeCell ref="B44:C44"/>
    <mergeCell ref="B45:C45"/>
    <mergeCell ref="B43:C43"/>
    <mergeCell ref="B29:C29"/>
    <mergeCell ref="B30:B37"/>
    <mergeCell ref="B38:C38"/>
    <mergeCell ref="B39:C39"/>
    <mergeCell ref="B40:C40"/>
    <mergeCell ref="B41:B42"/>
    <mergeCell ref="B28:C28"/>
    <mergeCell ref="B2:C2"/>
    <mergeCell ref="B3:C3"/>
    <mergeCell ref="B4:C4"/>
    <mergeCell ref="B5:B12"/>
    <mergeCell ref="B13:C13"/>
    <mergeCell ref="B14:B18"/>
    <mergeCell ref="B19:C19"/>
    <mergeCell ref="B20:C20"/>
    <mergeCell ref="B21:C21"/>
    <mergeCell ref="B22:C22"/>
    <mergeCell ref="B23:B27"/>
  </mergeCells>
  <phoneticPr fontId="2"/>
  <pageMargins left="0.25" right="0.25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B1:O57"/>
  <sheetViews>
    <sheetView topLeftCell="A14" workbookViewId="0">
      <selection sqref="A1:C1"/>
    </sheetView>
  </sheetViews>
  <sheetFormatPr defaultColWidth="8.875" defaultRowHeight="13.5"/>
  <cols>
    <col min="1" max="1" width="1.875" style="126" customWidth="1"/>
    <col min="2" max="2" width="3.875" style="126" customWidth="1"/>
    <col min="3" max="3" width="16.125" style="126" customWidth="1"/>
    <col min="4" max="8" width="14.375" style="126" customWidth="1"/>
    <col min="9" max="13" width="7.875" style="126" hidden="1" customWidth="1"/>
    <col min="14" max="14" width="9" style="126" hidden="1" customWidth="1"/>
    <col min="15" max="16384" width="8.875" style="126"/>
  </cols>
  <sheetData>
    <row r="1" spans="2:15" hidden="1">
      <c r="E1" s="126">
        <v>1</v>
      </c>
      <c r="F1" s="126">
        <v>2</v>
      </c>
      <c r="G1" s="126">
        <v>3</v>
      </c>
      <c r="H1" s="126">
        <v>4</v>
      </c>
      <c r="I1" s="126">
        <v>5</v>
      </c>
      <c r="J1" s="126">
        <v>6</v>
      </c>
      <c r="K1" s="126">
        <v>7</v>
      </c>
      <c r="L1" s="126">
        <v>8</v>
      </c>
      <c r="M1" s="126">
        <v>9</v>
      </c>
    </row>
    <row r="2" spans="2:15" ht="14.25" thickBot="1">
      <c r="B2" s="627" t="s">
        <v>408</v>
      </c>
      <c r="C2" s="627"/>
      <c r="D2" s="627"/>
      <c r="E2" s="627"/>
      <c r="F2" s="627"/>
      <c r="G2" s="627"/>
      <c r="H2" s="627"/>
      <c r="M2" s="127"/>
    </row>
    <row r="3" spans="2:15" ht="14.25" thickBot="1">
      <c r="B3" s="614"/>
      <c r="C3" s="615"/>
      <c r="D3" s="128" t="s">
        <v>97</v>
      </c>
      <c r="E3" s="128" t="s">
        <v>98</v>
      </c>
      <c r="F3" s="128" t="s">
        <v>99</v>
      </c>
      <c r="G3" s="128" t="s">
        <v>100</v>
      </c>
      <c r="H3" s="128" t="s">
        <v>101</v>
      </c>
      <c r="I3" s="128" t="s">
        <v>128</v>
      </c>
      <c r="J3" s="128" t="s">
        <v>129</v>
      </c>
      <c r="K3" s="128" t="s">
        <v>130</v>
      </c>
      <c r="L3" s="128" t="s">
        <v>131</v>
      </c>
      <c r="M3" s="129" t="s">
        <v>132</v>
      </c>
      <c r="O3" s="434"/>
    </row>
    <row r="4" spans="2:15" ht="14.25" thickTop="1">
      <c r="B4" s="616" t="s">
        <v>102</v>
      </c>
      <c r="C4" s="617"/>
      <c r="D4" s="130">
        <v>0</v>
      </c>
      <c r="E4" s="130" t="e">
        <f t="shared" ref="E4:M4" si="0">D41</f>
        <v>#REF!</v>
      </c>
      <c r="F4" s="130" t="e">
        <f t="shared" si="0"/>
        <v>#REF!</v>
      </c>
      <c r="G4" s="130" t="e">
        <f t="shared" si="0"/>
        <v>#REF!</v>
      </c>
      <c r="H4" s="130" t="e">
        <f t="shared" si="0"/>
        <v>#REF!</v>
      </c>
      <c r="I4" s="130" t="e">
        <f t="shared" si="0"/>
        <v>#REF!</v>
      </c>
      <c r="J4" s="130" t="e">
        <f t="shared" si="0"/>
        <v>#REF!</v>
      </c>
      <c r="K4" s="130" t="e">
        <f t="shared" si="0"/>
        <v>#REF!</v>
      </c>
      <c r="L4" s="130" t="e">
        <f t="shared" si="0"/>
        <v>#REF!</v>
      </c>
      <c r="M4" s="131" t="e">
        <f t="shared" si="0"/>
        <v>#REF!</v>
      </c>
      <c r="O4" s="434"/>
    </row>
    <row r="5" spans="2:15">
      <c r="B5" s="610" t="s">
        <v>42</v>
      </c>
      <c r="C5" s="553"/>
      <c r="D5" s="132">
        <f>SUM(基礎!D50:O50)</f>
        <v>100000</v>
      </c>
      <c r="E5" s="132">
        <f>SUM(基礎!U50:AF50)</f>
        <v>12207510.800000001</v>
      </c>
      <c r="F5" s="132">
        <f>SUM(基礎!AL50:AW50)</f>
        <v>15790054.800000001</v>
      </c>
      <c r="G5" s="132">
        <f>SUM(基礎!BC50:BN50)</f>
        <v>751036.8</v>
      </c>
      <c r="H5" s="132">
        <f>SUM(基礎!BT50:CE50)</f>
        <v>352000</v>
      </c>
      <c r="I5" s="132">
        <f>SUM(基礎!CK50:CV50)</f>
        <v>6000</v>
      </c>
      <c r="J5" s="132">
        <f>SUM(基礎!DB50:DM50)</f>
        <v>0</v>
      </c>
      <c r="K5" s="132">
        <f>SUM(基礎!DS50:ED50)</f>
        <v>0</v>
      </c>
      <c r="L5" s="132">
        <f>SUM(基礎!EJ50:EU50)</f>
        <v>0</v>
      </c>
      <c r="M5" s="133">
        <f>SUM(基礎!FA50:FL50)</f>
        <v>0</v>
      </c>
      <c r="O5" s="434"/>
    </row>
    <row r="6" spans="2:15">
      <c r="B6" s="612"/>
      <c r="C6" s="134" t="s">
        <v>37</v>
      </c>
      <c r="D6" s="135">
        <f>SUM(基礎!D51:O51)</f>
        <v>0</v>
      </c>
      <c r="E6" s="135">
        <f>SUM(基礎!U51:AF51)</f>
        <v>11727510.800000001</v>
      </c>
      <c r="F6" s="135">
        <f>SUM(基礎!AL51:AW51)</f>
        <v>15070054.800000001</v>
      </c>
      <c r="G6" s="135">
        <f>SUM(基礎!BC51:BN51)</f>
        <v>281600</v>
      </c>
      <c r="H6" s="135">
        <f>SUM(基礎!BT51:CE51)</f>
        <v>281600</v>
      </c>
      <c r="I6" s="135">
        <f>SUM(基礎!CK51:CV51)</f>
        <v>0</v>
      </c>
      <c r="J6" s="135">
        <f>SUM(基礎!DB51:DM51)</f>
        <v>0</v>
      </c>
      <c r="K6" s="135">
        <f>SUM(基礎!DS51:ED51)</f>
        <v>0</v>
      </c>
      <c r="L6" s="135">
        <f>SUM(基礎!EJ51:EU51)</f>
        <v>0</v>
      </c>
      <c r="M6" s="136">
        <f>SUM(基礎!FA51:FL51)</f>
        <v>0</v>
      </c>
      <c r="O6" s="434"/>
    </row>
    <row r="7" spans="2:15">
      <c r="B7" s="618"/>
      <c r="C7" s="134" t="s">
        <v>38</v>
      </c>
      <c r="D7" s="135">
        <f>SUM(基礎!D52:O52)</f>
        <v>0</v>
      </c>
      <c r="E7" s="135">
        <f>SUM(基礎!U52:AF52)</f>
        <v>480000</v>
      </c>
      <c r="F7" s="135">
        <f>SUM(基礎!AL52:AW52)</f>
        <v>720000</v>
      </c>
      <c r="G7" s="135">
        <f>SUM(基礎!BC52:BN52)</f>
        <v>409436.80000000005</v>
      </c>
      <c r="H7" s="135">
        <f>SUM(基礎!BT52:CE52)</f>
        <v>70400</v>
      </c>
      <c r="I7" s="135">
        <f>SUM(基礎!CK52:CV52)</f>
        <v>6000</v>
      </c>
      <c r="J7" s="135">
        <f>SUM(基礎!DB52:DM52)</f>
        <v>0</v>
      </c>
      <c r="K7" s="135">
        <f>SUM(基礎!DS52:ED52)</f>
        <v>0</v>
      </c>
      <c r="L7" s="135">
        <f>SUM(基礎!EJ52:EU52)</f>
        <v>0</v>
      </c>
      <c r="M7" s="136">
        <f>SUM(基礎!FA52:FL52)</f>
        <v>0</v>
      </c>
      <c r="O7" s="434"/>
    </row>
    <row r="8" spans="2:15">
      <c r="B8" s="618"/>
      <c r="C8" s="134" t="s">
        <v>16</v>
      </c>
      <c r="D8" s="135">
        <f>SUM(基礎!D53:O53)</f>
        <v>100000</v>
      </c>
      <c r="E8" s="135">
        <f>SUM(基礎!U53:AF53)</f>
        <v>0</v>
      </c>
      <c r="F8" s="135">
        <f>SUM(基礎!AL53:AW53)</f>
        <v>0</v>
      </c>
      <c r="G8" s="135">
        <f>SUM(基礎!BC53:BN53)</f>
        <v>60000</v>
      </c>
      <c r="H8" s="135">
        <f>SUM(基礎!BT53:CE53)</f>
        <v>0</v>
      </c>
      <c r="I8" s="135">
        <f>SUM(基礎!CK53:CV53)</f>
        <v>0</v>
      </c>
      <c r="J8" s="135">
        <f>SUM(基礎!DB53:DM53)</f>
        <v>0</v>
      </c>
      <c r="K8" s="135">
        <f>SUM(基礎!DS53:ED53)</f>
        <v>0</v>
      </c>
      <c r="L8" s="135">
        <f>SUM(基礎!EJ53:EU53)</f>
        <v>0</v>
      </c>
      <c r="M8" s="136">
        <f>SUM(基礎!FA53:FL53)</f>
        <v>0</v>
      </c>
      <c r="O8" s="434"/>
    </row>
    <row r="9" spans="2:15">
      <c r="B9" s="618"/>
      <c r="C9" s="134" t="s">
        <v>41</v>
      </c>
      <c r="D9" s="135">
        <f>SUM(基礎!D54:O54)</f>
        <v>0</v>
      </c>
      <c r="E9" s="135">
        <f>SUM(基礎!U54:AF54)</f>
        <v>0</v>
      </c>
      <c r="F9" s="135">
        <f>SUM(基礎!AL54:AW54)</f>
        <v>0</v>
      </c>
      <c r="G9" s="135">
        <f>SUM(基礎!BC54:BN54)</f>
        <v>0</v>
      </c>
      <c r="H9" s="135">
        <f>SUM(基礎!BT54:CE54)</f>
        <v>0</v>
      </c>
      <c r="I9" s="135">
        <f>SUM(基礎!CK54:CV54)</f>
        <v>0</v>
      </c>
      <c r="J9" s="135">
        <f>SUM(基礎!DB54:DM54)</f>
        <v>0</v>
      </c>
      <c r="K9" s="135">
        <f>SUM(基礎!DS54:ED54)</f>
        <v>0</v>
      </c>
      <c r="L9" s="135">
        <f>SUM(基礎!EJ54:EU54)</f>
        <v>0</v>
      </c>
      <c r="M9" s="136">
        <f>SUM(基礎!FA54:FL54)</f>
        <v>0</v>
      </c>
      <c r="O9" s="434"/>
    </row>
    <row r="10" spans="2:15">
      <c r="B10" s="613" t="s">
        <v>43</v>
      </c>
      <c r="C10" s="544"/>
      <c r="D10" s="137">
        <f>SUM(基礎!D55:O55)</f>
        <v>0</v>
      </c>
      <c r="E10" s="137">
        <f>SUM(基礎!U55:AF55)</f>
        <v>9628066.6999999993</v>
      </c>
      <c r="F10" s="137">
        <f>SUM(基礎!AL55:AW55)</f>
        <v>11109825.600000001</v>
      </c>
      <c r="G10" s="137">
        <f>SUM(基礎!BC55:BN55)</f>
        <v>625120</v>
      </c>
      <c r="H10" s="137">
        <f>SUM(基礎!BT55:CE55)</f>
        <v>393160</v>
      </c>
      <c r="I10" s="137" t="e">
        <f>SUM(基礎!CK55:CV55)</f>
        <v>#REF!</v>
      </c>
      <c r="J10" s="137" t="e">
        <f>SUM(基礎!DB55:DM55)</f>
        <v>#REF!</v>
      </c>
      <c r="K10" s="137" t="e">
        <f>SUM(基礎!DS55:ED55)</f>
        <v>#REF!</v>
      </c>
      <c r="L10" s="137" t="e">
        <f>SUM(基礎!EJ55:EU55)</f>
        <v>#REF!</v>
      </c>
      <c r="M10" s="138" t="e">
        <f>SUM(基礎!FA55:FL55)</f>
        <v>#REF!</v>
      </c>
      <c r="O10" s="434"/>
    </row>
    <row r="11" spans="2:15">
      <c r="B11" s="607"/>
      <c r="C11" s="134" t="s">
        <v>44</v>
      </c>
      <c r="D11" s="135">
        <f>SUM(基礎!D56:O56)</f>
        <v>0</v>
      </c>
      <c r="E11" s="135">
        <f>SUM(基礎!U56:AF56)</f>
        <v>1052000</v>
      </c>
      <c r="F11" s="135">
        <f>SUM(基礎!AL56:AW56)</f>
        <v>662000</v>
      </c>
      <c r="G11" s="135">
        <f>SUM(基礎!BC56:BN56)</f>
        <v>80500</v>
      </c>
      <c r="H11" s="135">
        <f>SUM(基礎!BT56:CE56)</f>
        <v>88000</v>
      </c>
      <c r="I11" s="135">
        <f>SUM(基礎!CK56:CV56)</f>
        <v>7500</v>
      </c>
      <c r="J11" s="135">
        <f>SUM(基礎!DB56:DM56)</f>
        <v>0</v>
      </c>
      <c r="K11" s="135">
        <f>SUM(基礎!DS56:ED56)</f>
        <v>0</v>
      </c>
      <c r="L11" s="135">
        <f>SUM(基礎!EJ56:EU56)</f>
        <v>0</v>
      </c>
      <c r="M11" s="136">
        <f>SUM(基礎!FA56:FL56)</f>
        <v>0</v>
      </c>
      <c r="O11" s="434"/>
    </row>
    <row r="12" spans="2:15">
      <c r="B12" s="608"/>
      <c r="C12" s="134" t="s">
        <v>45</v>
      </c>
      <c r="D12" s="135">
        <f>SUM(基礎!D57:O57)</f>
        <v>0</v>
      </c>
      <c r="E12" s="135">
        <f>SUM(基礎!U57:AF57)</f>
        <v>8576066.6999999993</v>
      </c>
      <c r="F12" s="135">
        <f>SUM(基礎!AL57:AW57)</f>
        <v>10447825.600000001</v>
      </c>
      <c r="G12" s="135">
        <f>SUM(基礎!BC57:BN57)</f>
        <v>352600</v>
      </c>
      <c r="H12" s="135">
        <f>SUM(基礎!BT57:CE57)</f>
        <v>105600</v>
      </c>
      <c r="I12" s="135">
        <f>SUM(基礎!CK57:CV57)</f>
        <v>9000</v>
      </c>
      <c r="J12" s="135">
        <f>SUM(基礎!DB57:DM57)</f>
        <v>0</v>
      </c>
      <c r="K12" s="135">
        <f>SUM(基礎!DS57:ED57)</f>
        <v>0</v>
      </c>
      <c r="L12" s="135">
        <f>SUM(基礎!EJ57:EU57)</f>
        <v>0</v>
      </c>
      <c r="M12" s="136">
        <f>SUM(基礎!FA57:FL57)</f>
        <v>0</v>
      </c>
      <c r="O12" s="434"/>
    </row>
    <row r="13" spans="2:15">
      <c r="B13" s="608"/>
      <c r="C13" s="134" t="s">
        <v>47</v>
      </c>
      <c r="D13" s="135">
        <f>SUM(基礎!D58:O58)</f>
        <v>0</v>
      </c>
      <c r="E13" s="135">
        <f>SUM(基礎!U58:AF58)</f>
        <v>0</v>
      </c>
      <c r="F13" s="135">
        <f>SUM(基礎!AL58:AW58)</f>
        <v>0</v>
      </c>
      <c r="G13" s="135">
        <f>SUM(基礎!BC58:BN58)</f>
        <v>192020</v>
      </c>
      <c r="H13" s="135">
        <f>SUM(基礎!BT58:CE58)</f>
        <v>199560</v>
      </c>
      <c r="I13" s="135">
        <f>SUM(基礎!CK58:CV58)</f>
        <v>335428</v>
      </c>
      <c r="J13" s="135" t="e">
        <f>SUM(基礎!DB58:DM58)</f>
        <v>#REF!</v>
      </c>
      <c r="K13" s="135" t="e">
        <f>SUM(基礎!DS58:ED58)</f>
        <v>#REF!</v>
      </c>
      <c r="L13" s="135" t="e">
        <f>SUM(基礎!EJ58:EU58)</f>
        <v>#REF!</v>
      </c>
      <c r="M13" s="136" t="e">
        <f>SUM(基礎!FA58:FL58)</f>
        <v>#REF!</v>
      </c>
      <c r="O13" s="434"/>
    </row>
    <row r="14" spans="2:15">
      <c r="B14" s="608"/>
      <c r="C14" s="134" t="s">
        <v>48</v>
      </c>
      <c r="D14" s="135">
        <f>SUM(基礎!D59:O59)</f>
        <v>0</v>
      </c>
      <c r="E14" s="135">
        <f>SUM(基礎!U59:AF59)</f>
        <v>0</v>
      </c>
      <c r="F14" s="135">
        <f>SUM(基礎!AL59:AW59)</f>
        <v>0</v>
      </c>
      <c r="G14" s="135">
        <f>SUM(基礎!BC59:BN59)</f>
        <v>0</v>
      </c>
      <c r="H14" s="135">
        <f>SUM(基礎!BT59:CE59)</f>
        <v>0</v>
      </c>
      <c r="I14" s="135">
        <f>SUM(基礎!CK59:CV59)</f>
        <v>0</v>
      </c>
      <c r="J14" s="135">
        <f>SUM(基礎!DB59:DM59)</f>
        <v>0</v>
      </c>
      <c r="K14" s="135">
        <f>SUM(基礎!DS59:ED59)</f>
        <v>0</v>
      </c>
      <c r="L14" s="135">
        <f>SUM(基礎!EJ59:EU59)</f>
        <v>0</v>
      </c>
      <c r="M14" s="136">
        <f>SUM(基礎!FA59:FL59)</f>
        <v>0</v>
      </c>
      <c r="O14" s="434"/>
    </row>
    <row r="15" spans="2:15">
      <c r="B15" s="608"/>
      <c r="C15" s="134" t="s">
        <v>12</v>
      </c>
      <c r="D15" s="135">
        <f>SUM(基礎!D60:O60)</f>
        <v>0</v>
      </c>
      <c r="E15" s="135">
        <f>SUM(基礎!U60:AF60)</f>
        <v>0</v>
      </c>
      <c r="F15" s="135">
        <f>SUM(基礎!AL60:AW60)</f>
        <v>0</v>
      </c>
      <c r="G15" s="135">
        <f>SUM(基礎!BC60:BN60)</f>
        <v>0</v>
      </c>
      <c r="H15" s="135">
        <f>SUM(基礎!BT60:CE60)</f>
        <v>0</v>
      </c>
      <c r="I15" s="135">
        <f>SUM(基礎!CK60:CV60)</f>
        <v>0</v>
      </c>
      <c r="J15" s="135">
        <f>SUM(基礎!DB60:DM60)</f>
        <v>0</v>
      </c>
      <c r="K15" s="135">
        <f>SUM(基礎!DS60:ED60)</f>
        <v>0</v>
      </c>
      <c r="L15" s="135">
        <f>SUM(基礎!EJ60:EU60)</f>
        <v>0</v>
      </c>
      <c r="M15" s="136">
        <f>SUM(基礎!FA60:FL60)</f>
        <v>0</v>
      </c>
      <c r="O15" s="434"/>
    </row>
    <row r="16" spans="2:15">
      <c r="B16" s="608"/>
      <c r="C16" s="134" t="s">
        <v>52</v>
      </c>
      <c r="D16" s="135">
        <f>SUM(基礎!D61:O61)</f>
        <v>0</v>
      </c>
      <c r="E16" s="135">
        <f>SUM(基礎!U61:AF61)</f>
        <v>0</v>
      </c>
      <c r="F16" s="135">
        <f>SUM(基礎!AL61:AW61)</f>
        <v>0</v>
      </c>
      <c r="G16" s="135">
        <f>SUM(基礎!BC61:BN61)</f>
        <v>0</v>
      </c>
      <c r="H16" s="135">
        <f>SUM(基礎!BT61:CE61)</f>
        <v>0</v>
      </c>
      <c r="I16" s="135">
        <f>SUM(基礎!CK61:CV61)</f>
        <v>0</v>
      </c>
      <c r="J16" s="135">
        <f>SUM(基礎!DB61:DM61)</f>
        <v>0</v>
      </c>
      <c r="K16" s="135">
        <f>SUM(基礎!DS61:ED61)</f>
        <v>0</v>
      </c>
      <c r="L16" s="135">
        <f>SUM(基礎!EJ61:EU61)</f>
        <v>0</v>
      </c>
      <c r="M16" s="136">
        <f>SUM(基礎!FA61:FL61)</f>
        <v>0</v>
      </c>
      <c r="O16" s="434"/>
    </row>
    <row r="17" spans="2:15">
      <c r="B17" s="608"/>
      <c r="C17" s="134" t="s">
        <v>51</v>
      </c>
      <c r="D17" s="135">
        <f>SUM(基礎!D62:O62)</f>
        <v>0</v>
      </c>
      <c r="E17" s="135">
        <f>SUM(基礎!U62:AF62)</f>
        <v>0</v>
      </c>
      <c r="F17" s="135">
        <f>SUM(基礎!AL62:AW62)</f>
        <v>0</v>
      </c>
      <c r="G17" s="135">
        <f>SUM(基礎!BC62:BN62)</f>
        <v>0</v>
      </c>
      <c r="H17" s="135">
        <f>SUM(基礎!BT62:CE62)</f>
        <v>0</v>
      </c>
      <c r="I17" s="135" t="e">
        <f>SUM(基礎!CK62:CV62)</f>
        <v>#REF!</v>
      </c>
      <c r="J17" s="135" t="e">
        <f>SUM(基礎!DB62:DM62)</f>
        <v>#REF!</v>
      </c>
      <c r="K17" s="135" t="e">
        <f>SUM(基礎!DS62:ED62)</f>
        <v>#REF!</v>
      </c>
      <c r="L17" s="135" t="e">
        <f>SUM(基礎!EJ62:EU62)</f>
        <v>#REF!</v>
      </c>
      <c r="M17" s="136" t="e">
        <f>SUM(基礎!FA62:FL62)</f>
        <v>#REF!</v>
      </c>
      <c r="O17" s="434"/>
    </row>
    <row r="18" spans="2:15">
      <c r="B18" s="609" t="s">
        <v>53</v>
      </c>
      <c r="C18" s="551"/>
      <c r="D18" s="139">
        <f>SUM(基礎!D63:O63)</f>
        <v>100000</v>
      </c>
      <c r="E18" s="139">
        <f>SUM(基礎!U63:AF63)</f>
        <v>2579444.1000000006</v>
      </c>
      <c r="F18" s="139">
        <f>SUM(基礎!AL63:AW63)</f>
        <v>4680229.2</v>
      </c>
      <c r="G18" s="139">
        <f>SUM(基礎!BC63:BN63)</f>
        <v>125916.80000000005</v>
      </c>
      <c r="H18" s="139">
        <f>SUM(基礎!BT63:CE63)</f>
        <v>-41160</v>
      </c>
      <c r="I18" s="139" t="e">
        <f>SUM(基礎!CK63:CV63)</f>
        <v>#REF!</v>
      </c>
      <c r="J18" s="139" t="e">
        <f>SUM(基礎!DB63:DM63)</f>
        <v>#REF!</v>
      </c>
      <c r="K18" s="139" t="e">
        <f>SUM(基礎!DS63:ED63)</f>
        <v>#REF!</v>
      </c>
      <c r="L18" s="139" t="e">
        <f>SUM(基礎!EJ63:EU63)</f>
        <v>#REF!</v>
      </c>
      <c r="M18" s="140" t="e">
        <f>SUM(基礎!FA63:FL63)</f>
        <v>#REF!</v>
      </c>
      <c r="O18" s="434"/>
    </row>
    <row r="19" spans="2:15">
      <c r="B19" s="610" t="s">
        <v>61</v>
      </c>
      <c r="C19" s="553"/>
      <c r="D19" s="132">
        <f>SUM(基礎!D64:O64)</f>
        <v>0</v>
      </c>
      <c r="E19" s="132">
        <f>SUM(基礎!U64:AF64)</f>
        <v>0</v>
      </c>
      <c r="F19" s="132">
        <f>SUM(基礎!AL64:AW64)</f>
        <v>0</v>
      </c>
      <c r="G19" s="132">
        <f>SUM(基礎!BC64:BN64)</f>
        <v>-120000000</v>
      </c>
      <c r="H19" s="132">
        <f>SUM(基礎!BT64:CE64)</f>
        <v>0</v>
      </c>
      <c r="I19" s="132">
        <f>SUM(基礎!CK64:CV64)</f>
        <v>-26000</v>
      </c>
      <c r="J19" s="132">
        <f>SUM(基礎!DB64:DM64)</f>
        <v>0</v>
      </c>
      <c r="K19" s="132">
        <f>SUM(基礎!DS64:ED64)</f>
        <v>0</v>
      </c>
      <c r="L19" s="132">
        <f>SUM(基礎!EJ64:EU64)</f>
        <v>0</v>
      </c>
      <c r="M19" s="133">
        <f>SUM(基礎!FA64:FL64)</f>
        <v>0</v>
      </c>
      <c r="O19" s="434"/>
    </row>
    <row r="20" spans="2:15">
      <c r="B20" s="611"/>
      <c r="C20" s="134" t="s">
        <v>54</v>
      </c>
      <c r="D20" s="135">
        <f>SUM(基礎!D65:O65)</f>
        <v>0</v>
      </c>
      <c r="E20" s="135">
        <f>SUM(基礎!U65:AF65)</f>
        <v>0</v>
      </c>
      <c r="F20" s="135">
        <f>SUM(基礎!AL65:AW65)</f>
        <v>0</v>
      </c>
      <c r="G20" s="135">
        <f>SUM(基礎!BC65:BN65)</f>
        <v>0</v>
      </c>
      <c r="H20" s="135">
        <f>SUM(基礎!BT65:CE65)</f>
        <v>0</v>
      </c>
      <c r="I20" s="135">
        <f>SUM(基礎!CK65:CV65)</f>
        <v>0</v>
      </c>
      <c r="J20" s="135">
        <f>SUM(基礎!DB65:DM65)</f>
        <v>0</v>
      </c>
      <c r="K20" s="135">
        <f>SUM(基礎!DS65:ED65)</f>
        <v>0</v>
      </c>
      <c r="L20" s="135">
        <f>SUM(基礎!EJ65:EU65)</f>
        <v>0</v>
      </c>
      <c r="M20" s="136">
        <f>SUM(基礎!FA65:FL65)</f>
        <v>0</v>
      </c>
      <c r="O20" s="434"/>
    </row>
    <row r="21" spans="2:15">
      <c r="B21" s="611"/>
      <c r="C21" s="134" t="s">
        <v>382</v>
      </c>
      <c r="D21" s="135">
        <f>SUM(基礎!D66:O66)</f>
        <v>0</v>
      </c>
      <c r="E21" s="135">
        <f>SUM(基礎!U66:AF66)</f>
        <v>0</v>
      </c>
      <c r="F21" s="135">
        <f>SUM(基礎!AL66:AW66)</f>
        <v>0</v>
      </c>
      <c r="G21" s="135">
        <f>SUM(基礎!BC66:BN66)</f>
        <v>0</v>
      </c>
      <c r="H21" s="135">
        <f>SUM(基礎!BT66:CE66)</f>
        <v>0</v>
      </c>
      <c r="I21" s="135">
        <f>SUM(基礎!CK66:CV66)</f>
        <v>-26000</v>
      </c>
      <c r="J21" s="135">
        <f>SUM(基礎!DB66:DM66)</f>
        <v>0</v>
      </c>
      <c r="K21" s="135">
        <f>SUM(基礎!DS66:ED66)</f>
        <v>0</v>
      </c>
      <c r="L21" s="135">
        <f>SUM(基礎!EJ66:EU66)</f>
        <v>0</v>
      </c>
      <c r="M21" s="136">
        <f>SUM(基礎!FA66:FL66)</f>
        <v>0</v>
      </c>
      <c r="O21" s="434"/>
    </row>
    <row r="22" spans="2:15">
      <c r="B22" s="611"/>
      <c r="C22" s="134" t="s">
        <v>60</v>
      </c>
      <c r="D22" s="135">
        <f>SUM(基礎!D67:O67)</f>
        <v>0</v>
      </c>
      <c r="E22" s="135">
        <f>SUM(基礎!U67:AF67)</f>
        <v>0</v>
      </c>
      <c r="F22" s="135">
        <f>SUM(基礎!AL67:AW67)</f>
        <v>0</v>
      </c>
      <c r="G22" s="135">
        <f>SUM(基礎!BC67:BN67)</f>
        <v>0</v>
      </c>
      <c r="H22" s="135">
        <f>SUM(基礎!BT67:CE67)</f>
        <v>0</v>
      </c>
      <c r="I22" s="135">
        <f>SUM(基礎!CK67:CV67)</f>
        <v>0</v>
      </c>
      <c r="J22" s="135">
        <f>SUM(基礎!DB67:DM67)</f>
        <v>0</v>
      </c>
      <c r="K22" s="135">
        <f>SUM(基礎!DS67:ED67)</f>
        <v>0</v>
      </c>
      <c r="L22" s="135">
        <f>SUM(基礎!EJ67:EU67)</f>
        <v>0</v>
      </c>
      <c r="M22" s="136">
        <f>SUM(基礎!FA67:FL67)</f>
        <v>0</v>
      </c>
      <c r="O22" s="434"/>
    </row>
    <row r="23" spans="2:15">
      <c r="B23" s="611"/>
      <c r="C23" s="134" t="s">
        <v>56</v>
      </c>
      <c r="D23" s="135">
        <f>SUM(基礎!D68:O68)</f>
        <v>0</v>
      </c>
      <c r="E23" s="135">
        <f>SUM(基礎!U68:AF68)</f>
        <v>0</v>
      </c>
      <c r="F23" s="135">
        <f>SUM(基礎!AL68:AW68)</f>
        <v>0</v>
      </c>
      <c r="G23" s="135">
        <f>SUM(基礎!BC68:BN68)</f>
        <v>0</v>
      </c>
      <c r="H23" s="135">
        <f>SUM(基礎!BT68:CE68)</f>
        <v>0</v>
      </c>
      <c r="I23" s="135">
        <f>SUM(基礎!CK68:CV68)</f>
        <v>0</v>
      </c>
      <c r="J23" s="135">
        <f>SUM(基礎!DB68:DM68)</f>
        <v>0</v>
      </c>
      <c r="K23" s="135">
        <f>SUM(基礎!DS68:ED68)</f>
        <v>0</v>
      </c>
      <c r="L23" s="135">
        <f>SUM(基礎!EJ68:EU68)</f>
        <v>0</v>
      </c>
      <c r="M23" s="136">
        <f>SUM(基礎!FA68:FL68)</f>
        <v>0</v>
      </c>
      <c r="O23" s="434"/>
    </row>
    <row r="24" spans="2:15">
      <c r="B24" s="611"/>
      <c r="C24" s="134" t="s">
        <v>57</v>
      </c>
      <c r="D24" s="135">
        <f>SUM(基礎!D69:O69)</f>
        <v>0</v>
      </c>
      <c r="E24" s="135">
        <f>SUM(基礎!U69:AF69)</f>
        <v>0</v>
      </c>
      <c r="F24" s="135">
        <f>SUM(基礎!AL69:AW69)</f>
        <v>0</v>
      </c>
      <c r="G24" s="135">
        <f>SUM(基礎!BC69:BN69)</f>
        <v>-120000000</v>
      </c>
      <c r="H24" s="135">
        <f>SUM(基礎!BT69:CE69)</f>
        <v>0</v>
      </c>
      <c r="I24" s="135">
        <f>SUM(基礎!CK69:CV69)</f>
        <v>0</v>
      </c>
      <c r="J24" s="135">
        <f>SUM(基礎!DB69:DM69)</f>
        <v>0</v>
      </c>
      <c r="K24" s="135">
        <f>SUM(基礎!DS69:ED69)</f>
        <v>0</v>
      </c>
      <c r="L24" s="135">
        <f>SUM(基礎!EJ69:EU69)</f>
        <v>0</v>
      </c>
      <c r="M24" s="136">
        <f>SUM(基礎!FA69:FL69)</f>
        <v>0</v>
      </c>
      <c r="O24" s="434"/>
    </row>
    <row r="25" spans="2:15">
      <c r="B25" s="611"/>
      <c r="C25" s="134" t="s">
        <v>58</v>
      </c>
      <c r="D25" s="135" t="e">
        <f>SUM(基礎!#REF!)</f>
        <v>#REF!</v>
      </c>
      <c r="E25" s="135" t="e">
        <f>SUM(基礎!#REF!)</f>
        <v>#REF!</v>
      </c>
      <c r="F25" s="135" t="e">
        <f>SUM(基礎!#REF!)</f>
        <v>#REF!</v>
      </c>
      <c r="G25" s="135" t="e">
        <f>SUM(基礎!#REF!)</f>
        <v>#REF!</v>
      </c>
      <c r="H25" s="135" t="e">
        <f>SUM(基礎!#REF!)</f>
        <v>#REF!</v>
      </c>
      <c r="I25" s="135" t="e">
        <f>SUM(基礎!#REF!)</f>
        <v>#REF!</v>
      </c>
      <c r="J25" s="135" t="e">
        <f>SUM(基礎!#REF!)</f>
        <v>#REF!</v>
      </c>
      <c r="K25" s="135" t="e">
        <f>SUM(基礎!#REF!)</f>
        <v>#REF!</v>
      </c>
      <c r="L25" s="135" t="e">
        <f>SUM(基礎!#REF!)</f>
        <v>#REF!</v>
      </c>
      <c r="M25" s="136" t="e">
        <f>SUM(基礎!#REF!)</f>
        <v>#REF!</v>
      </c>
      <c r="O25" s="434"/>
    </row>
    <row r="26" spans="2:15">
      <c r="B26" s="611"/>
      <c r="C26" s="134" t="s">
        <v>77</v>
      </c>
      <c r="D26" s="135" t="e">
        <f>SUM(基礎!#REF!)</f>
        <v>#REF!</v>
      </c>
      <c r="E26" s="135" t="e">
        <f>SUM(基礎!#REF!)</f>
        <v>#REF!</v>
      </c>
      <c r="F26" s="135" t="e">
        <f>SUM(基礎!#REF!)</f>
        <v>#REF!</v>
      </c>
      <c r="G26" s="135" t="e">
        <f>SUM(基礎!#REF!)</f>
        <v>#REF!</v>
      </c>
      <c r="H26" s="135" t="e">
        <f>SUM(基礎!#REF!)</f>
        <v>#REF!</v>
      </c>
      <c r="I26" s="135" t="e">
        <f>SUM(基礎!#REF!)</f>
        <v>#REF!</v>
      </c>
      <c r="J26" s="135" t="e">
        <f>SUM(基礎!#REF!)</f>
        <v>#REF!</v>
      </c>
      <c r="K26" s="135" t="e">
        <f>SUM(基礎!#REF!)</f>
        <v>#REF!</v>
      </c>
      <c r="L26" s="135" t="e">
        <f>SUM(基礎!#REF!)</f>
        <v>#REF!</v>
      </c>
      <c r="M26" s="136" t="e">
        <f>SUM(基礎!#REF!)</f>
        <v>#REF!</v>
      </c>
      <c r="O26" s="434"/>
    </row>
    <row r="27" spans="2:15">
      <c r="B27" s="612"/>
      <c r="C27" s="134" t="s">
        <v>277</v>
      </c>
      <c r="D27" s="135" t="e">
        <f>SUM(基礎!#REF!)</f>
        <v>#REF!</v>
      </c>
      <c r="E27" s="135" t="e">
        <f>SUM(基礎!#REF!)</f>
        <v>#REF!</v>
      </c>
      <c r="F27" s="135" t="e">
        <f>SUM(基礎!#REF!)</f>
        <v>#REF!</v>
      </c>
      <c r="G27" s="135" t="e">
        <f>SUM(基礎!#REF!)</f>
        <v>#REF!</v>
      </c>
      <c r="H27" s="135" t="e">
        <f>SUM(基礎!#REF!)</f>
        <v>#REF!</v>
      </c>
      <c r="I27" s="135" t="e">
        <f>SUM(基礎!#REF!)</f>
        <v>#REF!</v>
      </c>
      <c r="J27" s="135" t="e">
        <f>SUM(基礎!#REF!)</f>
        <v>#REF!</v>
      </c>
      <c r="K27" s="135" t="e">
        <f>SUM(基礎!#REF!)</f>
        <v>#REF!</v>
      </c>
      <c r="L27" s="135" t="e">
        <f>SUM(基礎!#REF!)</f>
        <v>#REF!</v>
      </c>
      <c r="M27" s="136" t="e">
        <f>SUM(基礎!#REF!)</f>
        <v>#REF!</v>
      </c>
      <c r="O27" s="434"/>
    </row>
    <row r="28" spans="2:15">
      <c r="B28" s="613" t="s">
        <v>62</v>
      </c>
      <c r="C28" s="544"/>
      <c r="D28" s="137" t="e">
        <f>SUM(D29:D36)</f>
        <v>#REF!</v>
      </c>
      <c r="E28" s="137" t="e">
        <f t="shared" ref="E28:N28" si="1">SUM(E29:E36)</f>
        <v>#REF!</v>
      </c>
      <c r="F28" s="137" t="e">
        <f t="shared" si="1"/>
        <v>#REF!</v>
      </c>
      <c r="G28" s="137" t="e">
        <f t="shared" si="1"/>
        <v>#REF!</v>
      </c>
      <c r="H28" s="137" t="e">
        <f t="shared" si="1"/>
        <v>#REF!</v>
      </c>
      <c r="I28" s="137" t="e">
        <f t="shared" si="1"/>
        <v>#REF!</v>
      </c>
      <c r="J28" s="137" t="e">
        <f t="shared" si="1"/>
        <v>#REF!</v>
      </c>
      <c r="K28" s="137" t="e">
        <f t="shared" si="1"/>
        <v>#REF!</v>
      </c>
      <c r="L28" s="137" t="e">
        <f t="shared" si="1"/>
        <v>#REF!</v>
      </c>
      <c r="M28" s="137" t="e">
        <f t="shared" si="1"/>
        <v>#REF!</v>
      </c>
      <c r="N28" s="435">
        <f t="shared" si="1"/>
        <v>0</v>
      </c>
      <c r="O28" s="434"/>
    </row>
    <row r="29" spans="2:15">
      <c r="B29" s="629"/>
      <c r="C29" s="134" t="s">
        <v>278</v>
      </c>
      <c r="D29" s="135">
        <f>SUM(基礎!D71:O71)</f>
        <v>0</v>
      </c>
      <c r="E29" s="135">
        <f>SUM(基礎!U71:AF71)</f>
        <v>0</v>
      </c>
      <c r="F29" s="135">
        <f>SUM(基礎!AL71:AW71)</f>
        <v>0</v>
      </c>
      <c r="G29" s="135">
        <f>SUM(基礎!BC71:BN71)</f>
        <v>0</v>
      </c>
      <c r="H29" s="135">
        <f>SUM(基礎!BT71:CE71)</f>
        <v>0</v>
      </c>
      <c r="I29" s="135">
        <f>SUM(基礎!CK71:CV71)</f>
        <v>0</v>
      </c>
      <c r="J29" s="135">
        <f>SUM(基礎!DB71:DM71)</f>
        <v>0</v>
      </c>
      <c r="K29" s="135">
        <f>SUM(基礎!DS71:ED71)</f>
        <v>0</v>
      </c>
      <c r="L29" s="135">
        <f>SUM(基礎!EJ71:EU71)</f>
        <v>0</v>
      </c>
      <c r="M29" s="136">
        <f>SUM(基礎!FA71:FL71)</f>
        <v>0</v>
      </c>
      <c r="O29" s="434"/>
    </row>
    <row r="30" spans="2:15">
      <c r="B30" s="629"/>
      <c r="C30" s="134" t="s">
        <v>63</v>
      </c>
      <c r="D30" s="135">
        <f>SUM(基礎!D72:O72)</f>
        <v>0</v>
      </c>
      <c r="E30" s="135">
        <f>SUM(基礎!U72:AF72)</f>
        <v>0</v>
      </c>
      <c r="F30" s="135">
        <f>SUM(基礎!AL72:AW72)</f>
        <v>0</v>
      </c>
      <c r="G30" s="135">
        <f>SUM(基礎!BC72:BN72)</f>
        <v>0</v>
      </c>
      <c r="H30" s="135">
        <f>SUM(基礎!BT72:CE72)</f>
        <v>0</v>
      </c>
      <c r="I30" s="135">
        <f>SUM(基礎!CK72:CV72)</f>
        <v>1112</v>
      </c>
      <c r="J30" s="135">
        <f>SUM(基礎!DB72:DM72)</f>
        <v>0</v>
      </c>
      <c r="K30" s="135">
        <f>SUM(基礎!DS72:ED72)</f>
        <v>0</v>
      </c>
      <c r="L30" s="135">
        <f>SUM(基礎!EJ72:EU72)</f>
        <v>0</v>
      </c>
      <c r="M30" s="136">
        <f>SUM(基礎!FA72:FL72)</f>
        <v>0</v>
      </c>
      <c r="O30" s="434"/>
    </row>
    <row r="31" spans="2:15">
      <c r="B31" s="629"/>
      <c r="C31" s="134" t="s">
        <v>65</v>
      </c>
      <c r="D31" s="135" t="e">
        <f>SUM(基礎!#REF!)</f>
        <v>#REF!</v>
      </c>
      <c r="E31" s="135" t="e">
        <f>SUM(基礎!#REF!)</f>
        <v>#REF!</v>
      </c>
      <c r="F31" s="135" t="e">
        <f>SUM(基礎!#REF!)</f>
        <v>#REF!</v>
      </c>
      <c r="G31" s="135" t="e">
        <f>SUM(基礎!#REF!)</f>
        <v>#REF!</v>
      </c>
      <c r="H31" s="135" t="e">
        <f>SUM(基礎!#REF!)</f>
        <v>#REF!</v>
      </c>
      <c r="I31" s="135" t="e">
        <f>SUM(基礎!#REF!)</f>
        <v>#REF!</v>
      </c>
      <c r="J31" s="135" t="e">
        <f>SUM(基礎!#REF!)</f>
        <v>#REF!</v>
      </c>
      <c r="K31" s="135" t="e">
        <f>SUM(基礎!#REF!)</f>
        <v>#REF!</v>
      </c>
      <c r="L31" s="135" t="e">
        <f>SUM(基礎!#REF!)</f>
        <v>#REF!</v>
      </c>
      <c r="M31" s="136" t="e">
        <f>SUM(基礎!#REF!)</f>
        <v>#REF!</v>
      </c>
      <c r="O31" s="434"/>
    </row>
    <row r="32" spans="2:15">
      <c r="B32" s="629"/>
      <c r="C32" s="134" t="s">
        <v>66</v>
      </c>
      <c r="D32" s="135" t="e">
        <f>SUM(基礎!#REF!)</f>
        <v>#REF!</v>
      </c>
      <c r="E32" s="135" t="e">
        <f>SUM(基礎!#REF!)</f>
        <v>#REF!</v>
      </c>
      <c r="F32" s="135" t="e">
        <f>SUM(基礎!#REF!)</f>
        <v>#REF!</v>
      </c>
      <c r="G32" s="135" t="e">
        <f>SUM(基礎!#REF!)</f>
        <v>#REF!</v>
      </c>
      <c r="H32" s="135" t="e">
        <f>SUM(基礎!#REF!)</f>
        <v>#REF!</v>
      </c>
      <c r="I32" s="135" t="e">
        <f>SUM(基礎!#REF!)</f>
        <v>#REF!</v>
      </c>
      <c r="J32" s="135" t="e">
        <f>SUM(基礎!#REF!)</f>
        <v>#REF!</v>
      </c>
      <c r="K32" s="135" t="e">
        <f>SUM(基礎!#REF!)</f>
        <v>#REF!</v>
      </c>
      <c r="L32" s="135" t="e">
        <f>SUM(基礎!#REF!)</f>
        <v>#REF!</v>
      </c>
      <c r="M32" s="136" t="e">
        <f>SUM(基礎!#REF!)</f>
        <v>#REF!</v>
      </c>
      <c r="O32" s="434"/>
    </row>
    <row r="33" spans="2:15">
      <c r="B33" s="629"/>
      <c r="C33" s="134" t="s">
        <v>105</v>
      </c>
      <c r="D33" s="135" t="e">
        <f>SUM(基礎!#REF!)</f>
        <v>#REF!</v>
      </c>
      <c r="E33" s="135" t="e">
        <f>SUM(基礎!#REF!)</f>
        <v>#REF!</v>
      </c>
      <c r="F33" s="135" t="e">
        <f>SUM(基礎!#REF!)</f>
        <v>#REF!</v>
      </c>
      <c r="G33" s="135" t="e">
        <f>SUM(基礎!#REF!)</f>
        <v>#REF!</v>
      </c>
      <c r="H33" s="135" t="e">
        <f>SUM(基礎!#REF!)</f>
        <v>#REF!</v>
      </c>
      <c r="I33" s="135" t="e">
        <f>SUM(基礎!#REF!)</f>
        <v>#REF!</v>
      </c>
      <c r="J33" s="135" t="e">
        <f>SUM(基礎!#REF!)</f>
        <v>#REF!</v>
      </c>
      <c r="K33" s="135" t="e">
        <f>SUM(基礎!#REF!)</f>
        <v>#REF!</v>
      </c>
      <c r="L33" s="135" t="e">
        <f>SUM(基礎!#REF!)</f>
        <v>#REF!</v>
      </c>
      <c r="M33" s="136" t="e">
        <f>SUM(基礎!#REF!)</f>
        <v>#REF!</v>
      </c>
      <c r="O33" s="434"/>
    </row>
    <row r="34" spans="2:15">
      <c r="B34" s="629"/>
      <c r="C34" s="134" t="s">
        <v>104</v>
      </c>
      <c r="D34" s="135" t="e">
        <f>SUM(基礎!#REF!)</f>
        <v>#REF!</v>
      </c>
      <c r="E34" s="135" t="e">
        <f>SUM(基礎!#REF!)</f>
        <v>#REF!</v>
      </c>
      <c r="F34" s="135" t="e">
        <f>SUM(基礎!#REF!)</f>
        <v>#REF!</v>
      </c>
      <c r="G34" s="135" t="e">
        <f>SUM(基礎!#REF!)</f>
        <v>#REF!</v>
      </c>
      <c r="H34" s="135" t="e">
        <f>SUM(基礎!#REF!)</f>
        <v>#REF!</v>
      </c>
      <c r="I34" s="135" t="e">
        <f>SUM(基礎!#REF!)</f>
        <v>#REF!</v>
      </c>
      <c r="J34" s="135" t="e">
        <f>SUM(基礎!#REF!)</f>
        <v>#REF!</v>
      </c>
      <c r="K34" s="135" t="e">
        <f>SUM(基礎!#REF!)</f>
        <v>#REF!</v>
      </c>
      <c r="L34" s="135" t="e">
        <f>SUM(基礎!#REF!)</f>
        <v>#REF!</v>
      </c>
      <c r="M34" s="136" t="e">
        <f>SUM(基礎!#REF!)</f>
        <v>#REF!</v>
      </c>
      <c r="O34" s="434"/>
    </row>
    <row r="35" spans="2:15">
      <c r="B35" s="629"/>
      <c r="C35" s="134" t="s">
        <v>271</v>
      </c>
      <c r="D35" s="135" t="e">
        <f>SUM(基礎!#REF!)</f>
        <v>#REF!</v>
      </c>
      <c r="E35" s="135" t="e">
        <f>SUM(基礎!#REF!)</f>
        <v>#REF!</v>
      </c>
      <c r="F35" s="135" t="e">
        <f>SUM(基礎!#REF!)</f>
        <v>#REF!</v>
      </c>
      <c r="G35" s="135" t="e">
        <f>SUM(基礎!#REF!)</f>
        <v>#REF!</v>
      </c>
      <c r="H35" s="135" t="e">
        <f>SUM(基礎!#REF!)</f>
        <v>#REF!</v>
      </c>
      <c r="I35" s="135" t="e">
        <f>SUM(基礎!#REF!)</f>
        <v>#REF!</v>
      </c>
      <c r="J35" s="135" t="e">
        <f>SUM(基礎!#REF!)</f>
        <v>#REF!</v>
      </c>
      <c r="K35" s="135" t="e">
        <f>SUM(基礎!#REF!)</f>
        <v>#REF!</v>
      </c>
      <c r="L35" s="135" t="e">
        <f>SUM(基礎!#REF!)</f>
        <v>#REF!</v>
      </c>
      <c r="M35" s="136" t="e">
        <f>SUM(基礎!#REF!)</f>
        <v>#REF!</v>
      </c>
      <c r="O35" s="434"/>
    </row>
    <row r="36" spans="2:15">
      <c r="B36" s="607"/>
      <c r="C36" s="134" t="s">
        <v>471</v>
      </c>
      <c r="D36" s="135">
        <f>SUM(基礎!D73:O73)</f>
        <v>0</v>
      </c>
      <c r="E36" s="135">
        <f>SUM(基礎!U73:AF73)</f>
        <v>0</v>
      </c>
      <c r="F36" s="135">
        <f>SUM(基礎!AL73:AW73)</f>
        <v>0</v>
      </c>
      <c r="G36" s="135">
        <f>SUM(基礎!BC73:BN73)</f>
        <v>0</v>
      </c>
      <c r="H36" s="135">
        <f>SUM(基礎!BT73:CE73)</f>
        <v>0</v>
      </c>
      <c r="I36" s="135">
        <f>SUM(基礎!CK73:CV73)</f>
        <v>0</v>
      </c>
      <c r="J36" s="135">
        <f>SUM(基礎!DB73:DM73)</f>
        <v>0</v>
      </c>
      <c r="K36" s="135">
        <f>SUM(基礎!DS73:ED73)</f>
        <v>0</v>
      </c>
      <c r="L36" s="135">
        <f>SUM(基礎!EJ73:EU73)</f>
        <v>0</v>
      </c>
      <c r="M36" s="136">
        <f>SUM(基礎!FA73:FL73)</f>
        <v>0</v>
      </c>
      <c r="O36" s="434"/>
    </row>
    <row r="37" spans="2:15">
      <c r="B37" s="635" t="s">
        <v>67</v>
      </c>
      <c r="C37" s="532"/>
      <c r="D37" s="139" t="e">
        <f>D19-D28</f>
        <v>#REF!</v>
      </c>
      <c r="E37" s="139" t="e">
        <f t="shared" ref="E37:M37" si="2">E19-E28</f>
        <v>#REF!</v>
      </c>
      <c r="F37" s="139" t="e">
        <f t="shared" si="2"/>
        <v>#REF!</v>
      </c>
      <c r="G37" s="139" t="e">
        <f t="shared" si="2"/>
        <v>#REF!</v>
      </c>
      <c r="H37" s="139" t="e">
        <f t="shared" si="2"/>
        <v>#REF!</v>
      </c>
      <c r="I37" s="139" t="e">
        <f t="shared" si="2"/>
        <v>#REF!</v>
      </c>
      <c r="J37" s="139" t="e">
        <f t="shared" si="2"/>
        <v>#REF!</v>
      </c>
      <c r="K37" s="139" t="e">
        <f t="shared" si="2"/>
        <v>#REF!</v>
      </c>
      <c r="L37" s="139" t="e">
        <f t="shared" si="2"/>
        <v>#REF!</v>
      </c>
      <c r="M37" s="140" t="e">
        <f t="shared" si="2"/>
        <v>#REF!</v>
      </c>
      <c r="O37" s="434"/>
    </row>
    <row r="38" spans="2:15">
      <c r="B38" s="632" t="s">
        <v>96</v>
      </c>
      <c r="C38" s="633"/>
      <c r="D38" s="141" t="e">
        <f t="shared" ref="D38:M38" si="3">D18+D37</f>
        <v>#REF!</v>
      </c>
      <c r="E38" s="141" t="e">
        <f t="shared" si="3"/>
        <v>#REF!</v>
      </c>
      <c r="F38" s="141" t="e">
        <f t="shared" si="3"/>
        <v>#REF!</v>
      </c>
      <c r="G38" s="141" t="e">
        <f t="shared" si="3"/>
        <v>#REF!</v>
      </c>
      <c r="H38" s="141" t="e">
        <f t="shared" si="3"/>
        <v>#REF!</v>
      </c>
      <c r="I38" s="141" t="e">
        <f t="shared" si="3"/>
        <v>#REF!</v>
      </c>
      <c r="J38" s="141" t="e">
        <f t="shared" si="3"/>
        <v>#REF!</v>
      </c>
      <c r="K38" s="141" t="e">
        <f t="shared" si="3"/>
        <v>#REF!</v>
      </c>
      <c r="L38" s="141" t="e">
        <f t="shared" si="3"/>
        <v>#REF!</v>
      </c>
      <c r="M38" s="142" t="e">
        <f t="shared" si="3"/>
        <v>#REF!</v>
      </c>
      <c r="O38" s="434"/>
    </row>
    <row r="39" spans="2:15">
      <c r="B39" s="630" t="s">
        <v>134</v>
      </c>
      <c r="C39" s="631"/>
      <c r="D39" s="143">
        <f>PL!D44</f>
        <v>40000</v>
      </c>
      <c r="E39" s="143">
        <f>PL!E44</f>
        <v>2707115.4000000004</v>
      </c>
      <c r="F39" s="143">
        <f>PL!F44</f>
        <v>2553539.3600000003</v>
      </c>
      <c r="G39" s="143">
        <f>PL!G44</f>
        <v>-20160</v>
      </c>
      <c r="H39" s="143">
        <f>PL!H44</f>
        <v>-25344</v>
      </c>
      <c r="I39" s="143" t="e">
        <f>PL!I44</f>
        <v>#REF!</v>
      </c>
      <c r="J39" s="143" t="e">
        <f>PL!J44</f>
        <v>#REF!</v>
      </c>
      <c r="K39" s="143" t="e">
        <f>PL!K44</f>
        <v>#REF!</v>
      </c>
      <c r="L39" s="143" t="e">
        <f>PL!L44</f>
        <v>#REF!</v>
      </c>
      <c r="M39" s="144" t="e">
        <f>PL!M44</f>
        <v>#REF!</v>
      </c>
      <c r="O39" s="434"/>
    </row>
    <row r="40" spans="2:15">
      <c r="B40" s="632" t="s">
        <v>135</v>
      </c>
      <c r="C40" s="633"/>
      <c r="D40" s="141" t="e">
        <f>D38-D39</f>
        <v>#REF!</v>
      </c>
      <c r="E40" s="141" t="e">
        <f t="shared" ref="E40:M40" si="4">E38-E39</f>
        <v>#REF!</v>
      </c>
      <c r="F40" s="141" t="e">
        <f t="shared" si="4"/>
        <v>#REF!</v>
      </c>
      <c r="G40" s="141" t="e">
        <f t="shared" si="4"/>
        <v>#REF!</v>
      </c>
      <c r="H40" s="141" t="e">
        <f t="shared" si="4"/>
        <v>#REF!</v>
      </c>
      <c r="I40" s="141" t="e">
        <f t="shared" si="4"/>
        <v>#REF!</v>
      </c>
      <c r="J40" s="141" t="e">
        <f t="shared" si="4"/>
        <v>#REF!</v>
      </c>
      <c r="K40" s="141" t="e">
        <f t="shared" si="4"/>
        <v>#REF!</v>
      </c>
      <c r="L40" s="141" t="e">
        <f t="shared" si="4"/>
        <v>#REF!</v>
      </c>
      <c r="M40" s="142" t="e">
        <f t="shared" si="4"/>
        <v>#REF!</v>
      </c>
      <c r="O40" s="434"/>
    </row>
    <row r="41" spans="2:15" ht="14.25" thickBot="1">
      <c r="B41" s="636" t="s">
        <v>103</v>
      </c>
      <c r="C41" s="637"/>
      <c r="D41" s="145" t="e">
        <f>D4+D40</f>
        <v>#REF!</v>
      </c>
      <c r="E41" s="145" t="e">
        <f>E4+E40</f>
        <v>#REF!</v>
      </c>
      <c r="F41" s="145" t="e">
        <f t="shared" ref="F41:M41" si="5">F4+F40</f>
        <v>#REF!</v>
      </c>
      <c r="G41" s="145" t="e">
        <f t="shared" si="5"/>
        <v>#REF!</v>
      </c>
      <c r="H41" s="145" t="e">
        <f t="shared" si="5"/>
        <v>#REF!</v>
      </c>
      <c r="I41" s="145" t="e">
        <f t="shared" si="5"/>
        <v>#REF!</v>
      </c>
      <c r="J41" s="145" t="e">
        <f t="shared" si="5"/>
        <v>#REF!</v>
      </c>
      <c r="K41" s="145" t="e">
        <f t="shared" si="5"/>
        <v>#REF!</v>
      </c>
      <c r="L41" s="145" t="e">
        <f t="shared" si="5"/>
        <v>#REF!</v>
      </c>
      <c r="M41" s="146" t="e">
        <f t="shared" si="5"/>
        <v>#REF!</v>
      </c>
      <c r="O41" s="434"/>
    </row>
    <row r="43" spans="2:15">
      <c r="B43" s="634" t="s">
        <v>136</v>
      </c>
      <c r="C43" s="634"/>
      <c r="D43" s="147" t="e">
        <f>D38</f>
        <v>#REF!</v>
      </c>
      <c r="E43" s="147" t="e">
        <f>E38/(1+$N$43)^(E1-1)</f>
        <v>#REF!</v>
      </c>
      <c r="F43" s="147" t="e">
        <f t="shared" ref="F43:M43" si="6">F38/(1+$N$43)^(F1)</f>
        <v>#REF!</v>
      </c>
      <c r="G43" s="147" t="e">
        <f t="shared" si="6"/>
        <v>#REF!</v>
      </c>
      <c r="H43" s="147" t="e">
        <f t="shared" si="6"/>
        <v>#REF!</v>
      </c>
      <c r="I43" s="147" t="e">
        <f t="shared" si="6"/>
        <v>#REF!</v>
      </c>
      <c r="J43" s="147" t="e">
        <f t="shared" si="6"/>
        <v>#REF!</v>
      </c>
      <c r="K43" s="147" t="e">
        <f t="shared" si="6"/>
        <v>#REF!</v>
      </c>
      <c r="L43" s="147" t="e">
        <f t="shared" si="6"/>
        <v>#REF!</v>
      </c>
      <c r="M43" s="147" t="e">
        <f t="shared" si="6"/>
        <v>#REF!</v>
      </c>
      <c r="N43" s="126">
        <v>1.4999999999999999E-2</v>
      </c>
    </row>
    <row r="44" spans="2:15">
      <c r="B44" s="634" t="s">
        <v>137</v>
      </c>
      <c r="C44" s="634"/>
      <c r="D44" s="147" t="e">
        <f>D40/(1+$N$43)</f>
        <v>#REF!</v>
      </c>
      <c r="E44" s="147" t="e">
        <f>E40/(1+$N$43)^(E1)</f>
        <v>#REF!</v>
      </c>
      <c r="F44" s="147" t="e">
        <f t="shared" ref="F44:M44" si="7">F40/(1+$N$43)^(F1)</f>
        <v>#REF!</v>
      </c>
      <c r="G44" s="147" t="e">
        <f t="shared" si="7"/>
        <v>#REF!</v>
      </c>
      <c r="H44" s="147" t="e">
        <f t="shared" si="7"/>
        <v>#REF!</v>
      </c>
      <c r="I44" s="147" t="e">
        <f t="shared" si="7"/>
        <v>#REF!</v>
      </c>
      <c r="J44" s="147" t="e">
        <f t="shared" si="7"/>
        <v>#REF!</v>
      </c>
      <c r="K44" s="147" t="e">
        <f t="shared" si="7"/>
        <v>#REF!</v>
      </c>
      <c r="L44" s="147" t="e">
        <f t="shared" si="7"/>
        <v>#REF!</v>
      </c>
      <c r="M44" s="147" t="e">
        <f t="shared" si="7"/>
        <v>#REF!</v>
      </c>
      <c r="N44" s="126">
        <v>1.4999999999999999E-2</v>
      </c>
    </row>
    <row r="46" spans="2:15">
      <c r="B46" s="638" t="s">
        <v>138</v>
      </c>
      <c r="C46" s="638"/>
      <c r="D46" s="638"/>
      <c r="E46" s="638"/>
      <c r="F46" s="638"/>
    </row>
    <row r="47" spans="2:15">
      <c r="B47" s="628" t="s">
        <v>139</v>
      </c>
      <c r="C47" s="628"/>
      <c r="D47" s="628"/>
      <c r="E47" s="634" t="e">
        <f>SUM(D43:H43)</f>
        <v>#REF!</v>
      </c>
      <c r="F47" s="634"/>
    </row>
    <row r="48" spans="2:15">
      <c r="B48" s="628" t="s">
        <v>140</v>
      </c>
      <c r="C48" s="628"/>
      <c r="D48" s="628"/>
      <c r="E48" s="634" t="e">
        <f>SUM(D44:H44)</f>
        <v>#REF!</v>
      </c>
      <c r="F48" s="634"/>
    </row>
    <row r="49" spans="2:15" ht="14.25" thickBot="1"/>
    <row r="50" spans="2:15" ht="14.25" thickBot="1">
      <c r="B50" s="648"/>
      <c r="C50" s="649"/>
      <c r="D50" s="649"/>
      <c r="E50" s="649"/>
      <c r="F50" s="650"/>
      <c r="G50" s="428" t="s">
        <v>145</v>
      </c>
      <c r="H50" s="615" t="s">
        <v>146</v>
      </c>
      <c r="I50" s="643"/>
      <c r="O50" s="434"/>
    </row>
    <row r="51" spans="2:15" ht="14.25" thickTop="1">
      <c r="B51" s="619" t="s">
        <v>142</v>
      </c>
      <c r="C51" s="620"/>
      <c r="D51" s="620"/>
      <c r="E51" s="620"/>
      <c r="F51" s="620"/>
      <c r="G51" s="431" t="e">
        <f>E47</f>
        <v>#REF!</v>
      </c>
      <c r="H51" s="621">
        <f>66.7%</f>
        <v>0.66700000000000004</v>
      </c>
      <c r="I51" s="622"/>
      <c r="O51" s="434"/>
    </row>
    <row r="52" spans="2:15" ht="14.25" thickBot="1">
      <c r="B52" s="644" t="s">
        <v>143</v>
      </c>
      <c r="C52" s="645"/>
      <c r="D52" s="645"/>
      <c r="E52" s="645"/>
      <c r="F52" s="645"/>
      <c r="G52" s="433">
        <v>0</v>
      </c>
      <c r="H52" s="639">
        <v>0.33300000000000002</v>
      </c>
      <c r="I52" s="640"/>
      <c r="O52" s="434"/>
    </row>
    <row r="53" spans="2:15" ht="19.5" customHeight="1" thickBot="1">
      <c r="B53" s="646" t="s">
        <v>144</v>
      </c>
      <c r="C53" s="647"/>
      <c r="D53" s="647"/>
      <c r="E53" s="647"/>
      <c r="F53" s="647"/>
      <c r="G53" s="432" t="e">
        <f>G51*H51+G52*H52</f>
        <v>#REF!</v>
      </c>
      <c r="H53" s="641"/>
      <c r="I53" s="642"/>
      <c r="O53" s="434"/>
    </row>
    <row r="54" spans="2:15" ht="15.75" customHeight="1">
      <c r="B54" s="619" t="s">
        <v>147</v>
      </c>
      <c r="C54" s="620"/>
      <c r="D54" s="620"/>
      <c r="E54" s="620"/>
      <c r="F54" s="620"/>
      <c r="G54" s="429" t="e">
        <f>G53*1.1</f>
        <v>#REF!</v>
      </c>
      <c r="H54" s="621">
        <v>0.1</v>
      </c>
      <c r="I54" s="622"/>
      <c r="O54" s="434"/>
    </row>
    <row r="55" spans="2:15" ht="15.75" customHeight="1" thickBot="1">
      <c r="B55" s="623" t="s">
        <v>148</v>
      </c>
      <c r="C55" s="624"/>
      <c r="D55" s="624"/>
      <c r="E55" s="624"/>
      <c r="F55" s="624"/>
      <c r="G55" s="430" t="e">
        <f>G53*0.9</f>
        <v>#REF!</v>
      </c>
      <c r="H55" s="625">
        <v>-0.1</v>
      </c>
      <c r="I55" s="626"/>
      <c r="O55" s="434"/>
    </row>
    <row r="56" spans="2:15">
      <c r="B56" s="148"/>
    </row>
    <row r="57" spans="2:15">
      <c r="B57" s="148"/>
    </row>
  </sheetData>
  <sheetProtection selectLockedCells="1" selectUnlockedCells="1"/>
  <mergeCells count="36">
    <mergeCell ref="H51:I51"/>
    <mergeCell ref="H52:I52"/>
    <mergeCell ref="H53:I53"/>
    <mergeCell ref="H50:I50"/>
    <mergeCell ref="E47:F47"/>
    <mergeCell ref="B51:F51"/>
    <mergeCell ref="B52:F52"/>
    <mergeCell ref="B53:F53"/>
    <mergeCell ref="B50:F50"/>
    <mergeCell ref="E48:F48"/>
    <mergeCell ref="B54:F54"/>
    <mergeCell ref="H54:I54"/>
    <mergeCell ref="B55:F55"/>
    <mergeCell ref="H55:I55"/>
    <mergeCell ref="B2:H2"/>
    <mergeCell ref="B47:D47"/>
    <mergeCell ref="B48:D48"/>
    <mergeCell ref="B29:B36"/>
    <mergeCell ref="B39:C39"/>
    <mergeCell ref="B40:C40"/>
    <mergeCell ref="B43:C43"/>
    <mergeCell ref="B44:C44"/>
    <mergeCell ref="B38:C38"/>
    <mergeCell ref="B37:C37"/>
    <mergeCell ref="B41:C41"/>
    <mergeCell ref="B46:F46"/>
    <mergeCell ref="B3:C3"/>
    <mergeCell ref="B4:C4"/>
    <mergeCell ref="B5:C5"/>
    <mergeCell ref="B6:B9"/>
    <mergeCell ref="B10:C10"/>
    <mergeCell ref="B11:B17"/>
    <mergeCell ref="B18:C18"/>
    <mergeCell ref="B19:C19"/>
    <mergeCell ref="B20:B27"/>
    <mergeCell ref="B28:C28"/>
  </mergeCells>
  <phoneticPr fontId="2"/>
  <pageMargins left="0.25" right="0.25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U40"/>
  <sheetViews>
    <sheetView zoomScale="130" zoomScaleNormal="130" zoomScalePageLayoutView="130" workbookViewId="0">
      <selection activeCell="D10" sqref="D10"/>
    </sheetView>
  </sheetViews>
  <sheetFormatPr defaultColWidth="8.875" defaultRowHeight="14.25" customHeight="1"/>
  <cols>
    <col min="1" max="1" width="1.125" style="170" customWidth="1"/>
    <col min="2" max="21" width="6.5" style="174" customWidth="1"/>
    <col min="22" max="16384" width="8.875" style="1"/>
  </cols>
  <sheetData>
    <row r="1" spans="2:21" ht="30" customHeight="1" thickBot="1">
      <c r="B1" s="654" t="s">
        <v>316</v>
      </c>
      <c r="C1" s="654"/>
      <c r="D1" s="654"/>
      <c r="E1" s="654"/>
      <c r="F1" s="654" t="s">
        <v>317</v>
      </c>
      <c r="G1" s="654"/>
      <c r="H1" s="654"/>
      <c r="I1" s="654"/>
      <c r="J1" s="654" t="s">
        <v>318</v>
      </c>
      <c r="K1" s="654"/>
      <c r="L1" s="654"/>
      <c r="M1" s="654"/>
      <c r="N1" s="654" t="s">
        <v>319</v>
      </c>
      <c r="O1" s="654"/>
      <c r="P1" s="654"/>
      <c r="Q1" s="654"/>
      <c r="R1" s="654" t="s">
        <v>320</v>
      </c>
      <c r="S1" s="654"/>
      <c r="T1" s="654"/>
      <c r="U1" s="654"/>
    </row>
    <row r="2" spans="2:21" ht="30" customHeight="1" thickBot="1">
      <c r="B2" s="651" t="s">
        <v>312</v>
      </c>
      <c r="C2" s="652"/>
      <c r="D2" s="652" t="s">
        <v>313</v>
      </c>
      <c r="E2" s="653"/>
      <c r="F2" s="651" t="s">
        <v>312</v>
      </c>
      <c r="G2" s="652"/>
      <c r="H2" s="652" t="s">
        <v>313</v>
      </c>
      <c r="I2" s="653"/>
      <c r="J2" s="651" t="s">
        <v>312</v>
      </c>
      <c r="K2" s="652"/>
      <c r="L2" s="652" t="s">
        <v>313</v>
      </c>
      <c r="M2" s="653"/>
      <c r="N2" s="651" t="s">
        <v>312</v>
      </c>
      <c r="O2" s="652"/>
      <c r="P2" s="652" t="s">
        <v>313</v>
      </c>
      <c r="Q2" s="653"/>
      <c r="R2" s="651" t="s">
        <v>312</v>
      </c>
      <c r="S2" s="652"/>
      <c r="T2" s="652" t="s">
        <v>313</v>
      </c>
      <c r="U2" s="653"/>
    </row>
    <row r="3" spans="2:21" ht="30" customHeight="1" thickTop="1">
      <c r="B3" s="183" t="s">
        <v>301</v>
      </c>
      <c r="C3" s="171">
        <f>基礎!O76</f>
        <v>0</v>
      </c>
      <c r="D3" s="171" t="s">
        <v>303</v>
      </c>
      <c r="E3" s="131">
        <f>基礎!P19-SUM(基礎!D56:O56)</f>
        <v>0</v>
      </c>
      <c r="F3" s="183" t="s">
        <v>301</v>
      </c>
      <c r="G3" s="171">
        <f>基礎!AF76</f>
        <v>2579444.1000000006</v>
      </c>
      <c r="H3" s="171" t="s">
        <v>303</v>
      </c>
      <c r="I3" s="131">
        <f>基礎!AG19-SUM(基礎!U56:AF56)+E3</f>
        <v>-1052000</v>
      </c>
      <c r="J3" s="183" t="s">
        <v>301</v>
      </c>
      <c r="K3" s="171">
        <f>基礎!AW76</f>
        <v>7259673.3000000007</v>
      </c>
      <c r="L3" s="171" t="s">
        <v>303</v>
      </c>
      <c r="M3" s="131">
        <f>I3+基礎!AX19-SUM(基礎!AL56:AW56)</f>
        <v>-1714000</v>
      </c>
      <c r="N3" s="183" t="s">
        <v>301</v>
      </c>
      <c r="O3" s="171">
        <f>基礎!BN76</f>
        <v>-112594249.90000001</v>
      </c>
      <c r="P3" s="171" t="s">
        <v>303</v>
      </c>
      <c r="Q3" s="131">
        <f>M3+基礎!BO19-SUM(基礎!BC56:BN56)</f>
        <v>-1706500</v>
      </c>
      <c r="R3" s="183" t="s">
        <v>301</v>
      </c>
      <c r="S3" s="171">
        <f>基礎!CE76</f>
        <v>-112610065.90000001</v>
      </c>
      <c r="T3" s="171" t="s">
        <v>303</v>
      </c>
      <c r="U3" s="131">
        <f>Q3+SUM(基礎!CF19)-SUM(基礎!BT56:CE56)</f>
        <v>-1706500</v>
      </c>
    </row>
    <row r="4" spans="2:21" ht="30" customHeight="1" thickBot="1">
      <c r="B4" s="178" t="s">
        <v>302</v>
      </c>
      <c r="C4" s="173">
        <f>基礎!P3-SUM(基礎!D50:O50)</f>
        <v>0</v>
      </c>
      <c r="D4" s="173" t="s">
        <v>304</v>
      </c>
      <c r="E4" s="179">
        <f>(基礎!P20+基礎!P25+基礎!P28+基礎!P31)-SUM(基礎!D57:O58)</f>
        <v>0</v>
      </c>
      <c r="F4" s="178" t="s">
        <v>302</v>
      </c>
      <c r="G4" s="173">
        <f>基礎!AG3-SUM(基礎!U50:AF50)+C4</f>
        <v>5106163.1999999993</v>
      </c>
      <c r="H4" s="173" t="s">
        <v>304</v>
      </c>
      <c r="I4" s="179">
        <f>E4+(基礎!AG20+基礎!AG25+基礎!AG28+基礎!AG31)-SUM(基礎!U57:AF57)-SUM(基礎!U58:AF58)</f>
        <v>-5306066.6999999993</v>
      </c>
      <c r="J4" s="178" t="s">
        <v>302</v>
      </c>
      <c r="K4" s="173">
        <f>基礎!AX3-SUM(基礎!AL50:AW50)+G4</f>
        <v>6809782.3999999985</v>
      </c>
      <c r="L4" s="173" t="s">
        <v>304</v>
      </c>
      <c r="M4" s="179">
        <f>I4+基礎!AX20+基礎!AX25+基礎!AX28+基礎!AX31-SUM(基礎!AL57:AW57)-SUM(基礎!AL58:AW58)</f>
        <v>-12705892.300000001</v>
      </c>
      <c r="N4" s="178" t="s">
        <v>302</v>
      </c>
      <c r="O4" s="173">
        <f>基礎!BO4-SUM(基礎!BC50:BN50)+K4</f>
        <v>6410745.5999999987</v>
      </c>
      <c r="P4" s="173" t="s">
        <v>304</v>
      </c>
      <c r="Q4" s="179">
        <f>基礎!BO20+基礎!BO25+基礎!BO31+基礎!BO28-SUM(基礎!BC57:BN57)-SUM(基礎!BC58:BN58)+M4</f>
        <v>-12936112.300000001</v>
      </c>
      <c r="R4" s="178" t="s">
        <v>302</v>
      </c>
      <c r="S4" s="173">
        <f>O4+基礎!CF3-SUM(基礎!BT50:CE50)</f>
        <v>6410745.5999999987</v>
      </c>
      <c r="T4" s="173" t="s">
        <v>304</v>
      </c>
      <c r="U4" s="179">
        <f>Q4+基礎!CF20+基礎!CF25+基礎!CF31+基礎!CF28-基礎!CF39-SUM(基礎!BT57:CE58)</f>
        <v>-12913912.300000001</v>
      </c>
    </row>
    <row r="5" spans="2:21" ht="30" customHeight="1" thickTop="1">
      <c r="B5" s="184" t="s">
        <v>298</v>
      </c>
      <c r="C5" s="185">
        <f>SUM(C3:C4)</f>
        <v>0</v>
      </c>
      <c r="D5" s="185" t="s">
        <v>299</v>
      </c>
      <c r="E5" s="186">
        <f>SUM(E3:E4)</f>
        <v>0</v>
      </c>
      <c r="F5" s="184" t="s">
        <v>298</v>
      </c>
      <c r="G5" s="185">
        <f>SUM(G3:G4)</f>
        <v>7685607.2999999998</v>
      </c>
      <c r="H5" s="185" t="s">
        <v>299</v>
      </c>
      <c r="I5" s="186">
        <f>SUM(I3:I4)</f>
        <v>-6358066.6999999993</v>
      </c>
      <c r="J5" s="184" t="s">
        <v>298</v>
      </c>
      <c r="K5" s="185">
        <f>SUM(K3:K4)</f>
        <v>14069455.699999999</v>
      </c>
      <c r="L5" s="185" t="s">
        <v>299</v>
      </c>
      <c r="M5" s="186">
        <f>SUM(M3:M4)</f>
        <v>-14419892.300000001</v>
      </c>
      <c r="N5" s="184" t="s">
        <v>298</v>
      </c>
      <c r="O5" s="185">
        <f>SUM(O3:O4)</f>
        <v>-106183504.30000001</v>
      </c>
      <c r="P5" s="185" t="s">
        <v>299</v>
      </c>
      <c r="Q5" s="186">
        <f>SUM(Q3:Q4)</f>
        <v>-14642612.300000001</v>
      </c>
      <c r="R5" s="184" t="s">
        <v>298</v>
      </c>
      <c r="S5" s="185">
        <f>SUM(S3:S4)</f>
        <v>-106199320.30000001</v>
      </c>
      <c r="T5" s="185" t="s">
        <v>299</v>
      </c>
      <c r="U5" s="186">
        <f>SUM(U3:U4)</f>
        <v>-14620412.300000001</v>
      </c>
    </row>
    <row r="6" spans="2:21" ht="30" customHeight="1">
      <c r="B6" s="175" t="s">
        <v>305</v>
      </c>
      <c r="C6" s="158" t="e">
        <f>SUM(基礎!#REF!)</f>
        <v>#REF!</v>
      </c>
      <c r="D6" s="158" t="s">
        <v>308</v>
      </c>
      <c r="E6" s="176">
        <f>SUM(基礎!D67:O67)-SUM(基礎!D72:O72)</f>
        <v>0</v>
      </c>
      <c r="F6" s="175" t="s">
        <v>271</v>
      </c>
      <c r="G6" s="158" t="e">
        <f>SUM(基礎!#REF!)+C6</f>
        <v>#REF!</v>
      </c>
      <c r="H6" s="158" t="s">
        <v>308</v>
      </c>
      <c r="I6" s="176">
        <f>SUM(基礎!U67:AF67)-SUM(基礎!U72:AF72)+E6</f>
        <v>0</v>
      </c>
      <c r="J6" s="175" t="s">
        <v>271</v>
      </c>
      <c r="K6" s="158" t="e">
        <f>SUM(基礎!#REF!)+G6</f>
        <v>#REF!</v>
      </c>
      <c r="L6" s="158" t="s">
        <v>308</v>
      </c>
      <c r="M6" s="176">
        <f>SUM(基礎!AL67:AW67)-SUM(基礎!AL72:AW72)+I6</f>
        <v>0</v>
      </c>
      <c r="N6" s="175" t="s">
        <v>271</v>
      </c>
      <c r="O6" s="158" t="e">
        <f>K6+SUM(基礎!#REF!)</f>
        <v>#REF!</v>
      </c>
      <c r="P6" s="158" t="s">
        <v>308</v>
      </c>
      <c r="Q6" s="176">
        <f>M6+SUM(基礎!BC67:BN67)-SUM(基礎!BC72:BN72)</f>
        <v>0</v>
      </c>
      <c r="R6" s="175" t="s">
        <v>271</v>
      </c>
      <c r="S6" s="158" t="e">
        <f>SUM(基礎!#REF!)+O6</f>
        <v>#REF!</v>
      </c>
      <c r="T6" s="158" t="s">
        <v>308</v>
      </c>
      <c r="U6" s="176">
        <f>Q6+SUM(基礎!BT67:CE67)-SUM(基礎!BT72:CE72)</f>
        <v>0</v>
      </c>
    </row>
    <row r="7" spans="2:21" ht="30" customHeight="1">
      <c r="B7" s="175" t="s">
        <v>306</v>
      </c>
      <c r="C7" s="158" t="e">
        <f>SUM(基礎!#REF!)</f>
        <v>#REF!</v>
      </c>
      <c r="D7" s="158" t="s">
        <v>485</v>
      </c>
      <c r="E7" s="176"/>
      <c r="F7" s="175" t="s">
        <v>306</v>
      </c>
      <c r="G7" s="158" t="e">
        <f>SUM(基礎!#REF!)+C7</f>
        <v>#REF!</v>
      </c>
      <c r="H7" s="158" t="s">
        <v>485</v>
      </c>
      <c r="I7" s="176"/>
      <c r="J7" s="175" t="s">
        <v>306</v>
      </c>
      <c r="K7" s="158" t="e">
        <f>SUM(基礎!#REF!)+G7</f>
        <v>#REF!</v>
      </c>
      <c r="L7" s="158" t="s">
        <v>485</v>
      </c>
      <c r="M7" s="176" t="e">
        <f>SUM(基礎!AL69:AW69)-SUM(基礎!#REF!)+I7</f>
        <v>#REF!</v>
      </c>
      <c r="N7" s="175" t="s">
        <v>306</v>
      </c>
      <c r="O7" s="158" t="e">
        <f>K7+SUM(基礎!#REF!)</f>
        <v>#REF!</v>
      </c>
      <c r="P7" s="158" t="s">
        <v>485</v>
      </c>
      <c r="Q7" s="176" t="e">
        <f>SUM(基礎!BC69:BN69)-SUM(基礎!#REF!)+M7</f>
        <v>#REF!</v>
      </c>
      <c r="R7" s="175" t="s">
        <v>306</v>
      </c>
      <c r="S7" s="158" t="e">
        <f>SUM(基礎!#REF!)+O7</f>
        <v>#REF!</v>
      </c>
      <c r="T7" s="158" t="s">
        <v>485</v>
      </c>
      <c r="U7" s="176" t="e">
        <f>Q7+SUM(基礎!BT69:CE69)-SUM(基礎!#REF!)</f>
        <v>#REF!</v>
      </c>
    </row>
    <row r="8" spans="2:21" ht="30" customHeight="1">
      <c r="B8" s="175" t="s">
        <v>483</v>
      </c>
      <c r="C8" s="158" t="e">
        <f>SUM(基礎!#REF!)</f>
        <v>#REF!</v>
      </c>
      <c r="D8" s="158" t="s">
        <v>487</v>
      </c>
      <c r="E8" s="176" t="e">
        <f>((1*(SUM(基礎!#REF!))-(1*SUM(基礎!#REF!))))</f>
        <v>#REF!</v>
      </c>
      <c r="F8" s="175" t="s">
        <v>483</v>
      </c>
      <c r="G8" s="158" t="e">
        <f>SUM(基礎!#REF!)+C8</f>
        <v>#REF!</v>
      </c>
      <c r="H8" s="158" t="s">
        <v>55</v>
      </c>
      <c r="I8" s="176" t="e">
        <f>SUM(基礎!#REF!)-SUM(基礎!#REF!)+E8</f>
        <v>#REF!</v>
      </c>
      <c r="J8" s="175" t="s">
        <v>483</v>
      </c>
      <c r="K8" s="158" t="e">
        <f>SUM(基礎!#REF!)+G8</f>
        <v>#REF!</v>
      </c>
      <c r="L8" s="158" t="s">
        <v>55</v>
      </c>
      <c r="M8" s="176" t="e">
        <f>SUM(基礎!#REF!)+SUM(基礎!#REF!)+I8</f>
        <v>#REF!</v>
      </c>
      <c r="N8" s="175" t="s">
        <v>483</v>
      </c>
      <c r="O8" s="158" t="e">
        <f>SUM(基礎!#REF!)+K8</f>
        <v>#REF!</v>
      </c>
      <c r="P8" s="158" t="s">
        <v>55</v>
      </c>
      <c r="Q8" s="176" t="e">
        <f>SUM(基礎!#REF!)-SUM(基礎!#REF!)+M8</f>
        <v>#REF!</v>
      </c>
      <c r="R8" s="175" t="s">
        <v>315</v>
      </c>
      <c r="S8" s="158" t="e">
        <f>SUM(基礎!#REF!)+O8</f>
        <v>#REF!</v>
      </c>
      <c r="T8" s="158" t="s">
        <v>55</v>
      </c>
      <c r="U8" s="176" t="e">
        <f>Q8+SUM(基礎!#REF!)-SUM(基礎!#REF!)</f>
        <v>#REF!</v>
      </c>
    </row>
    <row r="9" spans="2:21" ht="30" customHeight="1">
      <c r="B9" s="175" t="s">
        <v>57</v>
      </c>
      <c r="C9" s="158" t="e">
        <f>SUM(基礎!#REF!)</f>
        <v>#REF!</v>
      </c>
      <c r="D9" s="150" t="s">
        <v>383</v>
      </c>
      <c r="E9" s="176">
        <f>SUM(基礎!D66:O66)</f>
        <v>0</v>
      </c>
      <c r="F9" s="175" t="s">
        <v>57</v>
      </c>
      <c r="G9" s="158" t="e">
        <f>C9+SUM(基礎!#REF!)</f>
        <v>#REF!</v>
      </c>
      <c r="H9" s="150" t="s">
        <v>382</v>
      </c>
      <c r="I9" s="176">
        <f>SUM(基礎!U66:AF66)+BS!E9</f>
        <v>0</v>
      </c>
      <c r="J9" s="175" t="s">
        <v>57</v>
      </c>
      <c r="K9" s="158" t="e">
        <f>G9+SUM(基礎!#REF!)</f>
        <v>#REF!</v>
      </c>
      <c r="L9" s="150" t="s">
        <v>382</v>
      </c>
      <c r="M9" s="176">
        <f>I9+SUM(基礎!AL66:AW66)</f>
        <v>0</v>
      </c>
      <c r="N9" s="175" t="s">
        <v>57</v>
      </c>
      <c r="O9" s="158" t="e">
        <f>K9+SUM(基礎!#REF!)</f>
        <v>#REF!</v>
      </c>
      <c r="P9" s="150" t="s">
        <v>382</v>
      </c>
      <c r="Q9" s="176">
        <f>M9+SUM(基礎!BC66:BN66)</f>
        <v>0</v>
      </c>
      <c r="R9" s="175" t="s">
        <v>330</v>
      </c>
      <c r="S9" s="158" t="e">
        <f>O9+SUM(基礎!#REF!)</f>
        <v>#REF!</v>
      </c>
      <c r="T9" s="150" t="s">
        <v>382</v>
      </c>
      <c r="U9" s="176">
        <f>Q9+SUM(基礎!BT66:CE66)</f>
        <v>0</v>
      </c>
    </row>
    <row r="10" spans="2:21" ht="30" customHeight="1">
      <c r="B10" s="175" t="s">
        <v>473</v>
      </c>
      <c r="C10" s="158">
        <f>SUM(基礎!D71:O71)</f>
        <v>0</v>
      </c>
      <c r="D10" s="158" t="s">
        <v>484</v>
      </c>
      <c r="E10" s="176" t="e">
        <f>SUM(基礎!#REF!)</f>
        <v>#REF!</v>
      </c>
      <c r="F10" s="175" t="s">
        <v>473</v>
      </c>
      <c r="G10" s="158">
        <f>SUM(基礎!U71:AF71)+C10</f>
        <v>0</v>
      </c>
      <c r="H10" s="158" t="s">
        <v>484</v>
      </c>
      <c r="I10" s="176" t="e">
        <f>E10+SUM(基礎!#REF!)</f>
        <v>#REF!</v>
      </c>
      <c r="J10" s="175" t="s">
        <v>473</v>
      </c>
      <c r="K10" s="158">
        <f>SUM(基礎!AL71:AW71)+G10</f>
        <v>0</v>
      </c>
      <c r="L10" s="158" t="s">
        <v>484</v>
      </c>
      <c r="M10" s="176" t="e">
        <f>I10+SUM(基礎!#REF!)</f>
        <v>#REF!</v>
      </c>
      <c r="N10" s="175" t="s">
        <v>473</v>
      </c>
      <c r="O10" s="158">
        <f>SUM(基礎!BC71:BN71)+K10</f>
        <v>0</v>
      </c>
      <c r="P10" s="158" t="s">
        <v>484</v>
      </c>
      <c r="Q10" s="176" t="e">
        <f>M10+SUM(基礎!#REF!)</f>
        <v>#REF!</v>
      </c>
      <c r="R10" s="175" t="s">
        <v>473</v>
      </c>
      <c r="S10" s="158">
        <f>SUM(基礎!BT71:CE71)+O10</f>
        <v>0</v>
      </c>
      <c r="T10" s="158" t="s">
        <v>484</v>
      </c>
      <c r="U10" s="176" t="e">
        <f>Q10+SUM(基礎!#REF!)</f>
        <v>#REF!</v>
      </c>
    </row>
    <row r="11" spans="2:21" ht="30" customHeight="1">
      <c r="B11" s="175" t="s">
        <v>468</v>
      </c>
      <c r="C11" s="158">
        <f>SUM(基礎!D73:O73)</f>
        <v>0</v>
      </c>
      <c r="D11" s="158"/>
      <c r="E11" s="176"/>
      <c r="F11" s="175" t="s">
        <v>468</v>
      </c>
      <c r="G11" s="158">
        <f>SUM(基礎!U73:AF73)+C11</f>
        <v>0</v>
      </c>
      <c r="H11" s="158"/>
      <c r="I11" s="176"/>
      <c r="J11" s="175" t="s">
        <v>468</v>
      </c>
      <c r="K11" s="158">
        <f>SUM(基礎!AL73:AW73)+G11</f>
        <v>0</v>
      </c>
      <c r="L11" s="158"/>
      <c r="M11" s="176"/>
      <c r="N11" s="175" t="s">
        <v>468</v>
      </c>
      <c r="O11" s="158">
        <f>SUM(基礎!BC73:BN73)+K11</f>
        <v>0</v>
      </c>
      <c r="P11" s="158"/>
      <c r="Q11" s="176"/>
      <c r="R11" s="175" t="s">
        <v>468</v>
      </c>
      <c r="S11" s="158">
        <f>SUM(基礎!AJ73:AU73)+O11</f>
        <v>0</v>
      </c>
      <c r="T11" s="158"/>
      <c r="U11" s="176"/>
    </row>
    <row r="12" spans="2:21" ht="30" customHeight="1" thickBot="1">
      <c r="B12" s="178" t="s">
        <v>77</v>
      </c>
      <c r="C12" s="173"/>
      <c r="D12" s="173"/>
      <c r="E12" s="179"/>
      <c r="F12" s="178" t="s">
        <v>77</v>
      </c>
      <c r="G12" s="173">
        <f>C12*2</f>
        <v>0</v>
      </c>
      <c r="H12" s="173"/>
      <c r="I12" s="179"/>
      <c r="J12" s="178" t="s">
        <v>77</v>
      </c>
      <c r="K12" s="173">
        <f>C12*3</f>
        <v>0</v>
      </c>
      <c r="L12" s="173"/>
      <c r="M12" s="179"/>
      <c r="N12" s="178" t="s">
        <v>77</v>
      </c>
      <c r="O12" s="173">
        <f>C12*4</f>
        <v>0</v>
      </c>
      <c r="P12" s="173"/>
      <c r="Q12" s="179"/>
      <c r="R12" s="178" t="s">
        <v>329</v>
      </c>
      <c r="S12" s="173">
        <f>C12*5</f>
        <v>0</v>
      </c>
      <c r="T12" s="173"/>
      <c r="U12" s="179"/>
    </row>
    <row r="13" spans="2:21" ht="30" customHeight="1" thickTop="1">
      <c r="B13" s="184" t="s">
        <v>307</v>
      </c>
      <c r="C13" s="185" t="e">
        <f>SUM(C6:C12)</f>
        <v>#REF!</v>
      </c>
      <c r="D13" s="185" t="s">
        <v>300</v>
      </c>
      <c r="E13" s="186" t="e">
        <f>SUM(E6:E10)</f>
        <v>#REF!</v>
      </c>
      <c r="F13" s="184" t="s">
        <v>307</v>
      </c>
      <c r="G13" s="185" t="e">
        <f>SUM(G6:G12)</f>
        <v>#REF!</v>
      </c>
      <c r="H13" s="185" t="s">
        <v>300</v>
      </c>
      <c r="I13" s="186" t="e">
        <f>SUM(I6:I12)</f>
        <v>#REF!</v>
      </c>
      <c r="J13" s="184" t="s">
        <v>307</v>
      </c>
      <c r="K13" s="185" t="e">
        <f>SUM(K6:K12)</f>
        <v>#REF!</v>
      </c>
      <c r="L13" s="185" t="s">
        <v>300</v>
      </c>
      <c r="M13" s="186" t="e">
        <f>SUM(M6:M10)</f>
        <v>#REF!</v>
      </c>
      <c r="N13" s="184" t="s">
        <v>307</v>
      </c>
      <c r="O13" s="185" t="e">
        <f>SUM(O6:O12)</f>
        <v>#REF!</v>
      </c>
      <c r="P13" s="185" t="s">
        <v>300</v>
      </c>
      <c r="Q13" s="186" t="e">
        <f>SUM(Q6:Q10)</f>
        <v>#REF!</v>
      </c>
      <c r="R13" s="184" t="s">
        <v>307</v>
      </c>
      <c r="S13" s="185" t="e">
        <f>SUM(S6:S12)</f>
        <v>#REF!</v>
      </c>
      <c r="T13" s="185" t="s">
        <v>300</v>
      </c>
      <c r="U13" s="186" t="e">
        <f>SUM(U6:U10)</f>
        <v>#REF!</v>
      </c>
    </row>
    <row r="14" spans="2:21" ht="30" customHeight="1">
      <c r="B14" s="177"/>
      <c r="C14" s="172"/>
      <c r="D14" s="158" t="s">
        <v>309</v>
      </c>
      <c r="E14" s="176">
        <f>SUM(基礎!D65:O65)</f>
        <v>0</v>
      </c>
      <c r="F14" s="177"/>
      <c r="G14" s="172"/>
      <c r="H14" s="158" t="s">
        <v>54</v>
      </c>
      <c r="I14" s="176">
        <f>SUM(基礎!U65:AF65)+E14</f>
        <v>0</v>
      </c>
      <c r="J14" s="177"/>
      <c r="K14" s="172"/>
      <c r="L14" s="158" t="s">
        <v>54</v>
      </c>
      <c r="M14" s="176">
        <f>SUM(基礎!AL65:AW65)+I14</f>
        <v>0</v>
      </c>
      <c r="N14" s="177"/>
      <c r="O14" s="172"/>
      <c r="P14" s="158" t="s">
        <v>54</v>
      </c>
      <c r="Q14" s="176">
        <f>SUM(基礎!BC65:BN65)+M14</f>
        <v>0</v>
      </c>
      <c r="R14" s="177"/>
      <c r="S14" s="172"/>
      <c r="T14" s="158" t="s">
        <v>54</v>
      </c>
      <c r="U14" s="176">
        <f>SUM(基礎!BT65:CE65)+Q14</f>
        <v>0</v>
      </c>
    </row>
    <row r="15" spans="2:21" ht="30" customHeight="1">
      <c r="B15" s="175"/>
      <c r="C15" s="158"/>
      <c r="D15" s="158" t="s">
        <v>310</v>
      </c>
      <c r="E15" s="176" t="e">
        <f>SUM(基礎!#REF!)</f>
        <v>#REF!</v>
      </c>
      <c r="F15" s="175"/>
      <c r="G15" s="158"/>
      <c r="H15" s="158" t="s">
        <v>277</v>
      </c>
      <c r="I15" s="176" t="e">
        <f>SUM(基礎!#REF!)+E15</f>
        <v>#REF!</v>
      </c>
      <c r="J15" s="175"/>
      <c r="K15" s="158"/>
      <c r="L15" s="158" t="s">
        <v>277</v>
      </c>
      <c r="M15" s="176" t="e">
        <f>SUM(基礎!#REF!)+I15</f>
        <v>#REF!</v>
      </c>
      <c r="N15" s="175"/>
      <c r="O15" s="158"/>
      <c r="P15" s="158" t="s">
        <v>277</v>
      </c>
      <c r="Q15" s="176" t="e">
        <f>SUM(基礎!#REF!)+M15</f>
        <v>#REF!</v>
      </c>
      <c r="R15" s="175"/>
      <c r="S15" s="158"/>
      <c r="T15" s="158" t="s">
        <v>277</v>
      </c>
      <c r="U15" s="176" t="e">
        <f>SUM(基礎!#REF!)+Q15</f>
        <v>#REF!</v>
      </c>
    </row>
    <row r="16" spans="2:21" ht="30" customHeight="1" thickBot="1">
      <c r="B16" s="178"/>
      <c r="C16" s="173"/>
      <c r="D16" s="173" t="s">
        <v>311</v>
      </c>
      <c r="E16" s="179">
        <f>SUM(基礎!P46)</f>
        <v>0</v>
      </c>
      <c r="F16" s="178"/>
      <c r="G16" s="173"/>
      <c r="H16" s="173" t="s">
        <v>311</v>
      </c>
      <c r="I16" s="179">
        <f>SUM(基礎!AG46)+E16</f>
        <v>6767788.5000000009</v>
      </c>
      <c r="J16" s="178"/>
      <c r="K16" s="173"/>
      <c r="L16" s="173" t="s">
        <v>311</v>
      </c>
      <c r="M16" s="179">
        <f>I16+基礎!AX46</f>
        <v>13151636.900000002</v>
      </c>
      <c r="N16" s="178"/>
      <c r="O16" s="173"/>
      <c r="P16" s="173" t="s">
        <v>311</v>
      </c>
      <c r="Q16" s="179">
        <f>M16+基礎!BO46</f>
        <v>13121396.900000002</v>
      </c>
      <c r="R16" s="178"/>
      <c r="S16" s="173"/>
      <c r="T16" s="173" t="s">
        <v>311</v>
      </c>
      <c r="U16" s="179">
        <f>Q16+基礎!CF46</f>
        <v>13083380.900000002</v>
      </c>
    </row>
    <row r="17" spans="1:21" ht="30" customHeight="1" thickTop="1" thickBot="1">
      <c r="B17" s="180"/>
      <c r="C17" s="181" t="e">
        <f>C13+C5</f>
        <v>#REF!</v>
      </c>
      <c r="D17" s="181"/>
      <c r="E17" s="182" t="e">
        <f>E5+E13+E14+E15+E16</f>
        <v>#REF!</v>
      </c>
      <c r="F17" s="180"/>
      <c r="G17" s="181" t="e">
        <f>G13+G5</f>
        <v>#REF!</v>
      </c>
      <c r="H17" s="181"/>
      <c r="I17" s="182" t="e">
        <f>I5+I13+I14+I15+I16</f>
        <v>#REF!</v>
      </c>
      <c r="J17" s="180"/>
      <c r="K17" s="181" t="e">
        <f>K13+K5</f>
        <v>#REF!</v>
      </c>
      <c r="L17" s="181"/>
      <c r="M17" s="182" t="e">
        <f>M5+M13+M14+M15+M16</f>
        <v>#REF!</v>
      </c>
      <c r="N17" s="180"/>
      <c r="O17" s="181" t="e">
        <f>O13+O5</f>
        <v>#REF!</v>
      </c>
      <c r="P17" s="181"/>
      <c r="Q17" s="182" t="e">
        <f>Q5+Q13+Q14+Q15+Q16</f>
        <v>#REF!</v>
      </c>
      <c r="R17" s="180"/>
      <c r="S17" s="181" t="e">
        <f>S13+S5</f>
        <v>#REF!</v>
      </c>
      <c r="T17" s="181"/>
      <c r="U17" s="182" t="e">
        <f>U5+U13+U14+U15+U16</f>
        <v>#REF!</v>
      </c>
    </row>
    <row r="18" spans="1:21" s="189" customFormat="1" ht="18" hidden="1" customHeight="1">
      <c r="A18" s="187"/>
      <c r="B18" s="188"/>
      <c r="C18" s="188"/>
      <c r="D18" s="188"/>
      <c r="E18" s="423" t="e">
        <f>C17-E17</f>
        <v>#REF!</v>
      </c>
      <c r="F18" s="188"/>
      <c r="G18" s="188"/>
      <c r="H18" s="188"/>
      <c r="I18" s="423" t="e">
        <f>G17-I17</f>
        <v>#REF!</v>
      </c>
      <c r="J18" s="188"/>
      <c r="K18" s="188">
        <v>45000</v>
      </c>
      <c r="L18" s="188"/>
      <c r="M18" s="423" t="e">
        <f>K17-M17</f>
        <v>#REF!</v>
      </c>
      <c r="N18" s="188"/>
      <c r="O18" s="188"/>
      <c r="P18" s="188">
        <f t="shared" ref="P18:T18" si="0">P17-N17</f>
        <v>0</v>
      </c>
      <c r="Q18" s="423" t="e">
        <f>O17-Q17</f>
        <v>#REF!</v>
      </c>
      <c r="R18" s="188">
        <f t="shared" si="0"/>
        <v>0</v>
      </c>
      <c r="S18" s="188" t="e">
        <f t="shared" si="0"/>
        <v>#REF!</v>
      </c>
      <c r="T18" s="188">
        <f t="shared" si="0"/>
        <v>0</v>
      </c>
      <c r="U18" s="423" t="e">
        <f>S17-U17</f>
        <v>#REF!</v>
      </c>
    </row>
    <row r="19" spans="1:21" ht="18" hidden="1" customHeight="1" thickBot="1">
      <c r="B19" s="655" t="s">
        <v>324</v>
      </c>
      <c r="C19" s="655"/>
      <c r="D19" s="655"/>
      <c r="E19" s="655"/>
      <c r="F19" s="655" t="s">
        <v>325</v>
      </c>
      <c r="G19" s="655"/>
      <c r="H19" s="655"/>
      <c r="I19" s="655"/>
      <c r="J19" s="655" t="s">
        <v>326</v>
      </c>
      <c r="K19" s="655"/>
      <c r="L19" s="655"/>
      <c r="M19" s="655"/>
      <c r="N19" s="655" t="s">
        <v>327</v>
      </c>
      <c r="O19" s="655"/>
      <c r="P19" s="655"/>
      <c r="Q19" s="655"/>
      <c r="R19" s="655" t="s">
        <v>328</v>
      </c>
      <c r="S19" s="655"/>
      <c r="T19" s="655"/>
      <c r="U19" s="655"/>
    </row>
    <row r="20" spans="1:21" ht="18" hidden="1" customHeight="1" thickBot="1">
      <c r="B20" s="651" t="s">
        <v>312</v>
      </c>
      <c r="C20" s="652"/>
      <c r="D20" s="652" t="s">
        <v>313</v>
      </c>
      <c r="E20" s="653"/>
      <c r="F20" s="651" t="s">
        <v>312</v>
      </c>
      <c r="G20" s="652"/>
      <c r="H20" s="652" t="s">
        <v>313</v>
      </c>
      <c r="I20" s="653"/>
      <c r="J20" s="651" t="s">
        <v>312</v>
      </c>
      <c r="K20" s="652"/>
      <c r="L20" s="652" t="s">
        <v>313</v>
      </c>
      <c r="M20" s="653"/>
      <c r="N20" s="651" t="s">
        <v>312</v>
      </c>
      <c r="O20" s="652"/>
      <c r="P20" s="652" t="s">
        <v>313</v>
      </c>
      <c r="Q20" s="653"/>
      <c r="R20" s="651" t="s">
        <v>312</v>
      </c>
      <c r="S20" s="652"/>
      <c r="T20" s="652" t="s">
        <v>313</v>
      </c>
      <c r="U20" s="653"/>
    </row>
    <row r="21" spans="1:21" ht="18" hidden="1" customHeight="1" thickTop="1">
      <c r="B21" s="183" t="s">
        <v>301</v>
      </c>
      <c r="C21" s="171" t="e">
        <f>基礎!CV76</f>
        <v>#REF!</v>
      </c>
      <c r="D21" s="171" t="s">
        <v>303</v>
      </c>
      <c r="E21" s="131">
        <f>U3+基礎!CW19-SUM(基礎!CK56:CV56)</f>
        <v>-1714000</v>
      </c>
      <c r="F21" s="183" t="s">
        <v>301</v>
      </c>
      <c r="G21" s="171" t="e">
        <f>基礎!DM76</f>
        <v>#REF!</v>
      </c>
      <c r="H21" s="171" t="s">
        <v>303</v>
      </c>
      <c r="I21" s="131">
        <f>E21+SUM(基礎!DN19)-SUM(基礎!DB56:DM56)</f>
        <v>-1714000</v>
      </c>
      <c r="J21" s="183" t="s">
        <v>301</v>
      </c>
      <c r="K21" s="171" t="e">
        <f>基礎!ED76</f>
        <v>#REF!</v>
      </c>
      <c r="L21" s="171" t="s">
        <v>303</v>
      </c>
      <c r="M21" s="131">
        <f>I21+基礎!EE19-SUM(基礎!DS56:ED56)</f>
        <v>-1714000</v>
      </c>
      <c r="N21" s="183" t="s">
        <v>301</v>
      </c>
      <c r="O21" s="171" t="e">
        <f>基礎!EU76</f>
        <v>#REF!</v>
      </c>
      <c r="P21" s="171" t="s">
        <v>303</v>
      </c>
      <c r="Q21" s="131">
        <f>M21+SUM(基礎!EV19)-SUM(基礎!EJ56:EU56)</f>
        <v>-1714000</v>
      </c>
      <c r="R21" s="183" t="s">
        <v>301</v>
      </c>
      <c r="S21" s="171" t="e">
        <f>基礎!FL76</f>
        <v>#REF!</v>
      </c>
      <c r="T21" s="171" t="s">
        <v>303</v>
      </c>
      <c r="U21" s="131">
        <f>Q21+基礎!FM19-SUM(基礎!FA56:FL56)</f>
        <v>-1714000</v>
      </c>
    </row>
    <row r="22" spans="1:21" ht="18" hidden="1" customHeight="1" thickBot="1">
      <c r="B22" s="178" t="s">
        <v>302</v>
      </c>
      <c r="C22" s="173">
        <f>S4+基礎!CW3-SUM(基礎!CK50:CV50)</f>
        <v>6404745.5999999987</v>
      </c>
      <c r="D22" s="173" t="s">
        <v>304</v>
      </c>
      <c r="E22" s="179" t="e">
        <f>U4+基礎!CW20+基礎!CW25+基礎!CW31-基礎!CW39-SUM(基礎!CK57:CV58)</f>
        <v>#REF!</v>
      </c>
      <c r="F22" s="178" t="s">
        <v>302</v>
      </c>
      <c r="G22" s="173">
        <f>C22+基礎!DN3-SUM(基礎!DB50:DM50)</f>
        <v>6404745.5999999987</v>
      </c>
      <c r="H22" s="173" t="s">
        <v>304</v>
      </c>
      <c r="I22" s="179" t="e">
        <f>E22+基礎!DN20+基礎!DN25+基礎!DN31-基礎!DN39-SUM(基礎!DB57:DM58)</f>
        <v>#REF!</v>
      </c>
      <c r="J22" s="178" t="s">
        <v>302</v>
      </c>
      <c r="K22" s="173">
        <f>G22+基礎!EE3-SUM(基礎!DS50:ED50)</f>
        <v>6404745.5999999987</v>
      </c>
      <c r="L22" s="173" t="s">
        <v>304</v>
      </c>
      <c r="M22" s="179" t="e">
        <f>I22+基礎!EE20+基礎!EE25+基礎!EE31-基礎!EE39-SUM(基礎!DS57:ED58)</f>
        <v>#REF!</v>
      </c>
      <c r="N22" s="178" t="s">
        <v>302</v>
      </c>
      <c r="O22" s="173">
        <f>K22+基礎!EV3-SUM(基礎!EJ50:EU50)</f>
        <v>6404745.5999999987</v>
      </c>
      <c r="P22" s="173" t="s">
        <v>304</v>
      </c>
      <c r="Q22" s="179" t="e">
        <f>M22+基礎!EV20+基礎!EV25+基礎!EV31-基礎!EV39-SUM(基礎!EJ57:EU58)</f>
        <v>#REF!</v>
      </c>
      <c r="R22" s="178" t="s">
        <v>302</v>
      </c>
      <c r="S22" s="173">
        <f>O22+基礎!FM3-SUM(基礎!FA50:FL50)</f>
        <v>6404745.5999999987</v>
      </c>
      <c r="T22" s="173" t="s">
        <v>304</v>
      </c>
      <c r="U22" s="179" t="e">
        <f>Q22+基礎!FM20+基礎!FM25+基礎!FM31-基礎!FM39-SUM(基礎!FA57:FL58)</f>
        <v>#REF!</v>
      </c>
    </row>
    <row r="23" spans="1:21" ht="18" hidden="1" customHeight="1" thickTop="1">
      <c r="B23" s="184" t="s">
        <v>321</v>
      </c>
      <c r="C23" s="185" t="e">
        <f>SUM(C21:C22)</f>
        <v>#REF!</v>
      </c>
      <c r="D23" s="185" t="s">
        <v>322</v>
      </c>
      <c r="E23" s="186" t="e">
        <f>SUM(E21:E22)</f>
        <v>#REF!</v>
      </c>
      <c r="F23" s="184" t="s">
        <v>321</v>
      </c>
      <c r="G23" s="185" t="e">
        <f>SUM(G21:G22)</f>
        <v>#REF!</v>
      </c>
      <c r="H23" s="185" t="s">
        <v>322</v>
      </c>
      <c r="I23" s="186" t="e">
        <f>SUM(I21:I22)</f>
        <v>#REF!</v>
      </c>
      <c r="J23" s="184" t="s">
        <v>321</v>
      </c>
      <c r="K23" s="185" t="e">
        <f>SUM(K21:K22)</f>
        <v>#REF!</v>
      </c>
      <c r="L23" s="185" t="s">
        <v>322</v>
      </c>
      <c r="M23" s="186" t="e">
        <f>SUM(M21:M22)</f>
        <v>#REF!</v>
      </c>
      <c r="N23" s="184" t="s">
        <v>321</v>
      </c>
      <c r="O23" s="185" t="e">
        <f>SUM(O21:O22)</f>
        <v>#REF!</v>
      </c>
      <c r="P23" s="185" t="s">
        <v>322</v>
      </c>
      <c r="Q23" s="186" t="e">
        <f>SUM(Q21:Q22)</f>
        <v>#REF!</v>
      </c>
      <c r="R23" s="184" t="s">
        <v>321</v>
      </c>
      <c r="S23" s="185" t="e">
        <f>SUM(S21:S22)</f>
        <v>#REF!</v>
      </c>
      <c r="T23" s="185" t="s">
        <v>322</v>
      </c>
      <c r="U23" s="186" t="e">
        <f>SUM(U21:U22)</f>
        <v>#REF!</v>
      </c>
    </row>
    <row r="24" spans="1:21" ht="18" hidden="1" customHeight="1">
      <c r="B24" s="175" t="s">
        <v>271</v>
      </c>
      <c r="C24" s="158" t="e">
        <f>S6+SUM(基礎!#REF!)</f>
        <v>#REF!</v>
      </c>
      <c r="D24" s="158" t="s">
        <v>308</v>
      </c>
      <c r="E24" s="176">
        <f>U6+SUM(基礎!CK67:CV67)-SUM(基礎!CK72:CV72)</f>
        <v>-1112</v>
      </c>
      <c r="F24" s="175" t="s">
        <v>271</v>
      </c>
      <c r="G24" s="158" t="e">
        <f>C24+SUM(基礎!#REF!)</f>
        <v>#REF!</v>
      </c>
      <c r="H24" s="158" t="s">
        <v>308</v>
      </c>
      <c r="I24" s="176">
        <f>E24+SUM(基礎!DB67:DM67)-SUM(基礎!DB72:DM72)</f>
        <v>-1112</v>
      </c>
      <c r="J24" s="175" t="s">
        <v>271</v>
      </c>
      <c r="K24" s="158" t="e">
        <f>SUM(基礎!#REF!)+G24</f>
        <v>#REF!</v>
      </c>
      <c r="L24" s="158" t="s">
        <v>308</v>
      </c>
      <c r="M24" s="176">
        <f>I24+SUM(基礎!DS67:ED67)-SUM(基礎!DS72:ED72)</f>
        <v>-1112</v>
      </c>
      <c r="N24" s="175" t="s">
        <v>271</v>
      </c>
      <c r="O24" s="158" t="e">
        <f>SUM(基礎!#REF!)+K24</f>
        <v>#REF!</v>
      </c>
      <c r="P24" s="158" t="s">
        <v>308</v>
      </c>
      <c r="Q24" s="176">
        <f>M24+SUM(基礎!EJ67:EU67)-SUM(基礎!EJ72:EU72)</f>
        <v>-1112</v>
      </c>
      <c r="R24" s="175" t="s">
        <v>271</v>
      </c>
      <c r="S24" s="158" t="e">
        <f>SUM(基礎!#REF!)+O24</f>
        <v>#REF!</v>
      </c>
      <c r="T24" s="158" t="s">
        <v>308</v>
      </c>
      <c r="U24" s="176">
        <f>Q24-SUM(基礎!FA67:FL67)-SUM(基礎!FA72:FL72)</f>
        <v>-1112</v>
      </c>
    </row>
    <row r="25" spans="1:21" ht="1.5" hidden="1" customHeight="1">
      <c r="B25" s="175" t="s">
        <v>306</v>
      </c>
      <c r="C25" s="158" t="e">
        <f>S7+SUM(基礎!#REF!)</f>
        <v>#REF!</v>
      </c>
      <c r="D25" s="158" t="s">
        <v>57</v>
      </c>
      <c r="E25" s="176" t="e">
        <f>U7+SUM(基礎!CK69:CV69)-SUM(基礎!#REF!)</f>
        <v>#REF!</v>
      </c>
      <c r="F25" s="175" t="s">
        <v>306</v>
      </c>
      <c r="G25" s="158" t="e">
        <f>C25+SUM(基礎!#REF!)</f>
        <v>#REF!</v>
      </c>
      <c r="H25" s="158" t="s">
        <v>57</v>
      </c>
      <c r="I25" s="176" t="e">
        <f>E25+SUM(基礎!DB69:DM69)-SUM(基礎!#REF!)</f>
        <v>#REF!</v>
      </c>
      <c r="J25" s="175" t="s">
        <v>306</v>
      </c>
      <c r="K25" s="158" t="e">
        <f>SUM(基礎!#REF!)+G25</f>
        <v>#REF!</v>
      </c>
      <c r="L25" s="158" t="s">
        <v>57</v>
      </c>
      <c r="M25" s="176" t="e">
        <f>I25+SUM(基礎!DS69:ED69)-SUM(基礎!#REF!)</f>
        <v>#REF!</v>
      </c>
      <c r="N25" s="175" t="s">
        <v>306</v>
      </c>
      <c r="O25" s="158" t="e">
        <f>SUM(基礎!#REF!)+K25</f>
        <v>#REF!</v>
      </c>
      <c r="P25" s="158" t="s">
        <v>57</v>
      </c>
      <c r="Q25" s="176" t="e">
        <f>M25+SUM(基礎!EJ69:EU69)-SUM(基礎!#REF!)</f>
        <v>#REF!</v>
      </c>
      <c r="R25" s="175" t="s">
        <v>306</v>
      </c>
      <c r="S25" s="158" t="e">
        <f>SUM(基礎!#REF!)+O25</f>
        <v>#REF!</v>
      </c>
      <c r="T25" s="158" t="s">
        <v>57</v>
      </c>
      <c r="U25" s="176" t="e">
        <f>Q25+SUM(基礎!FA69:FL69)-SUM(基礎!#REF!)</f>
        <v>#REF!</v>
      </c>
    </row>
    <row r="26" spans="1:21" ht="18" hidden="1" customHeight="1">
      <c r="B26" s="175" t="s">
        <v>315</v>
      </c>
      <c r="C26" s="158" t="e">
        <f>S8+SUM(基礎!#REF!)</f>
        <v>#REF!</v>
      </c>
      <c r="D26" s="158" t="s">
        <v>58</v>
      </c>
      <c r="E26" s="176" t="e">
        <f>U8+SUM(基礎!#REF!)-SUM(基礎!#REF!)</f>
        <v>#REF!</v>
      </c>
      <c r="F26" s="175" t="s">
        <v>315</v>
      </c>
      <c r="G26" s="158" t="e">
        <f>SUM(基礎!#REF!)+C26</f>
        <v>#REF!</v>
      </c>
      <c r="H26" s="158" t="s">
        <v>58</v>
      </c>
      <c r="I26" s="176" t="e">
        <f>SUM(基礎!U80:AF80)-SUM(基礎!U87:AF87)+E26</f>
        <v>#REF!</v>
      </c>
      <c r="J26" s="175" t="s">
        <v>315</v>
      </c>
      <c r="K26" s="158" t="e">
        <f>SUM(基礎!#REF!)+G26</f>
        <v>#REF!</v>
      </c>
      <c r="L26" s="158" t="s">
        <v>58</v>
      </c>
      <c r="M26" s="176" t="e">
        <f>I26+SUM(基礎!#REF!)-SUM(基礎!#REF!)</f>
        <v>#REF!</v>
      </c>
      <c r="N26" s="175" t="s">
        <v>315</v>
      </c>
      <c r="O26" s="158" t="e">
        <f>SUM(基礎!AE88:AP88)+K26</f>
        <v>#REF!</v>
      </c>
      <c r="P26" s="158" t="s">
        <v>58</v>
      </c>
      <c r="Q26" s="176" t="e">
        <f>M26+SUM(基礎!#REF!)-SUM(基礎!#REF!)</f>
        <v>#REF!</v>
      </c>
      <c r="R26" s="175" t="s">
        <v>315</v>
      </c>
      <c r="S26" s="158" t="e">
        <f>SUM(基礎!#REF!)+O26</f>
        <v>#REF!</v>
      </c>
      <c r="T26" s="158" t="s">
        <v>58</v>
      </c>
      <c r="U26" s="176" t="e">
        <f>Q26+SUM(基礎!#REF!)-SUM(基礎!#REF!)</f>
        <v>#REF!</v>
      </c>
    </row>
    <row r="27" spans="1:21" ht="18" hidden="1" customHeight="1">
      <c r="B27" s="175" t="s">
        <v>330</v>
      </c>
      <c r="C27" s="158" t="e">
        <f>SUM(C25:C26)/6*-1+S9</f>
        <v>#REF!</v>
      </c>
      <c r="D27" s="158" t="s">
        <v>382</v>
      </c>
      <c r="E27" s="176">
        <f>U9+SUM(基礎!CK66:CV66)</f>
        <v>-26000</v>
      </c>
      <c r="F27" s="175" t="s">
        <v>330</v>
      </c>
      <c r="G27" s="158" t="e">
        <f>(SUM(G25:G26)/6)*-1+C27</f>
        <v>#REF!</v>
      </c>
      <c r="H27" s="158" t="s">
        <v>382</v>
      </c>
      <c r="I27" s="176">
        <f>E27+SUM(基礎!DB66:DM66)</f>
        <v>-26000</v>
      </c>
      <c r="J27" s="175" t="s">
        <v>330</v>
      </c>
      <c r="K27" s="158" t="e">
        <f>SUM(K25:K26)/6*-1+G27</f>
        <v>#REF!</v>
      </c>
      <c r="L27" s="158" t="s">
        <v>382</v>
      </c>
      <c r="M27" s="176">
        <f>I27+SUM(基礎!DS66:ED66)</f>
        <v>-26000</v>
      </c>
      <c r="N27" s="175" t="s">
        <v>330</v>
      </c>
      <c r="O27" s="158" t="e">
        <f>SUM(O25:O26)/6*-1+K27</f>
        <v>#REF!</v>
      </c>
      <c r="P27" s="158" t="s">
        <v>382</v>
      </c>
      <c r="Q27" s="176">
        <f>M27+SUM(基礎!EJ66:EU66)</f>
        <v>-26000</v>
      </c>
      <c r="R27" s="175" t="s">
        <v>330</v>
      </c>
      <c r="S27" s="158" t="e">
        <f>SUM(S25:S26)/6*-1+O27</f>
        <v>#REF!</v>
      </c>
      <c r="T27" s="158" t="s">
        <v>382</v>
      </c>
      <c r="U27" s="176">
        <f>Q27+SUM(基礎!FA66:FL66)</f>
        <v>-26000</v>
      </c>
    </row>
    <row r="28" spans="1:21" ht="18" hidden="1" customHeight="1">
      <c r="B28" s="175" t="s">
        <v>314</v>
      </c>
      <c r="C28" s="158">
        <f>S10+SUM(基礎!CK71:CV71)</f>
        <v>0</v>
      </c>
      <c r="D28" s="158"/>
      <c r="E28" s="176"/>
      <c r="F28" s="175" t="s">
        <v>314</v>
      </c>
      <c r="G28" s="158">
        <f>SUM(基礎!DB71:DM71)+C28</f>
        <v>0</v>
      </c>
      <c r="H28" s="158"/>
      <c r="I28" s="176"/>
      <c r="J28" s="175" t="s">
        <v>314</v>
      </c>
      <c r="K28" s="158">
        <f>SUM(基礎!Z84:AK84)+G28</f>
        <v>0</v>
      </c>
      <c r="L28" s="158"/>
      <c r="M28" s="176"/>
      <c r="N28" s="175" t="s">
        <v>314</v>
      </c>
      <c r="O28" s="158">
        <f>SUM(基礎!AE84:AP84)+K28</f>
        <v>0</v>
      </c>
      <c r="P28" s="158"/>
      <c r="Q28" s="176"/>
      <c r="R28" s="175" t="s">
        <v>314</v>
      </c>
      <c r="S28" s="158">
        <f>SUM(基礎!FA71:FL71)+O28</f>
        <v>0</v>
      </c>
      <c r="T28" s="158"/>
      <c r="U28" s="176"/>
    </row>
    <row r="29" spans="1:21" ht="18" hidden="1" customHeight="1">
      <c r="B29" s="175" t="s">
        <v>468</v>
      </c>
      <c r="C29" s="158">
        <f>S11+SUM(基礎!CK73:CV73)</f>
        <v>0</v>
      </c>
      <c r="D29" s="158"/>
      <c r="E29" s="176"/>
      <c r="F29" s="175" t="s">
        <v>468</v>
      </c>
      <c r="G29" s="158">
        <f>SUM(基礎!DB73:DM73)+C29</f>
        <v>0</v>
      </c>
      <c r="H29" s="158"/>
      <c r="I29" s="176"/>
      <c r="J29" s="175" t="s">
        <v>468</v>
      </c>
      <c r="K29" s="158">
        <f>SUM(基礎!Z91:AK91)+G29</f>
        <v>0</v>
      </c>
      <c r="L29" s="158"/>
      <c r="M29" s="176"/>
      <c r="N29" s="175" t="s">
        <v>468</v>
      </c>
      <c r="O29" s="158">
        <f>SUM(基礎!AE91:AP91)+K29</f>
        <v>0</v>
      </c>
      <c r="P29" s="158"/>
      <c r="Q29" s="176"/>
      <c r="R29" s="175" t="s">
        <v>468</v>
      </c>
      <c r="S29" s="158">
        <f>SUM(基礎!FA73:FL73)+O29</f>
        <v>0</v>
      </c>
      <c r="T29" s="158"/>
      <c r="U29" s="176"/>
    </row>
    <row r="30" spans="1:21" ht="18" hidden="1" customHeight="1" thickBot="1">
      <c r="B30" s="178" t="s">
        <v>329</v>
      </c>
      <c r="C30" s="173">
        <f>S12-10500</f>
        <v>-10500</v>
      </c>
      <c r="D30" s="173"/>
      <c r="E30" s="179"/>
      <c r="F30" s="178" t="s">
        <v>329</v>
      </c>
      <c r="G30" s="173">
        <f>C30-10500</f>
        <v>-21000</v>
      </c>
      <c r="H30" s="173"/>
      <c r="I30" s="179"/>
      <c r="J30" s="178" t="s">
        <v>329</v>
      </c>
      <c r="K30" s="173">
        <f>G30-10500</f>
        <v>-31500</v>
      </c>
      <c r="L30" s="173"/>
      <c r="M30" s="179"/>
      <c r="N30" s="178" t="s">
        <v>329</v>
      </c>
      <c r="O30" s="173">
        <f>K30-10500</f>
        <v>-42000</v>
      </c>
      <c r="P30" s="173"/>
      <c r="Q30" s="179"/>
      <c r="R30" s="178" t="s">
        <v>329</v>
      </c>
      <c r="S30" s="173">
        <f>O30-10500</f>
        <v>-52500</v>
      </c>
      <c r="T30" s="173"/>
      <c r="U30" s="179"/>
    </row>
    <row r="31" spans="1:21" ht="18" hidden="1" customHeight="1" thickTop="1">
      <c r="B31" s="184" t="s">
        <v>307</v>
      </c>
      <c r="C31" s="185" t="e">
        <f>SUM(C24:C30)</f>
        <v>#REF!</v>
      </c>
      <c r="D31" s="185" t="s">
        <v>323</v>
      </c>
      <c r="E31" s="186" t="e">
        <f>SUM(E24:E28)</f>
        <v>#REF!</v>
      </c>
      <c r="F31" s="184" t="s">
        <v>307</v>
      </c>
      <c r="G31" s="185" t="e">
        <f>SUM(G24:G30)</f>
        <v>#REF!</v>
      </c>
      <c r="H31" s="185" t="s">
        <v>323</v>
      </c>
      <c r="I31" s="186" t="e">
        <f>SUM(I24:I28)</f>
        <v>#REF!</v>
      </c>
      <c r="J31" s="184" t="s">
        <v>307</v>
      </c>
      <c r="K31" s="185" t="e">
        <f>SUM(K24:K30)</f>
        <v>#REF!</v>
      </c>
      <c r="L31" s="185" t="s">
        <v>323</v>
      </c>
      <c r="M31" s="186" t="e">
        <f>SUM(M24:M28)</f>
        <v>#REF!</v>
      </c>
      <c r="N31" s="184" t="s">
        <v>307</v>
      </c>
      <c r="O31" s="185" t="e">
        <f>SUM(O24:O30)</f>
        <v>#REF!</v>
      </c>
      <c r="P31" s="185" t="s">
        <v>323</v>
      </c>
      <c r="Q31" s="186" t="e">
        <f>SUM(Q24:Q28)</f>
        <v>#REF!</v>
      </c>
      <c r="R31" s="184" t="s">
        <v>307</v>
      </c>
      <c r="S31" s="185" t="e">
        <f>SUM(S24:S30)</f>
        <v>#REF!</v>
      </c>
      <c r="T31" s="185" t="s">
        <v>323</v>
      </c>
      <c r="U31" s="186" t="e">
        <f>SUM(U24:U28)</f>
        <v>#REF!</v>
      </c>
    </row>
    <row r="32" spans="1:21" ht="18" hidden="1" customHeight="1">
      <c r="B32" s="177"/>
      <c r="C32" s="172"/>
      <c r="D32" s="158" t="s">
        <v>54</v>
      </c>
      <c r="E32" s="176">
        <f>U14+SUM(基礎!DB65:DM65)</f>
        <v>0</v>
      </c>
      <c r="F32" s="177"/>
      <c r="G32" s="172"/>
      <c r="H32" s="158" t="s">
        <v>54</v>
      </c>
      <c r="I32" s="176">
        <f>E32+SUM(基礎!DB65:DM65)</f>
        <v>0</v>
      </c>
      <c r="J32" s="177"/>
      <c r="K32" s="172"/>
      <c r="L32" s="158" t="s">
        <v>54</v>
      </c>
      <c r="M32" s="176">
        <f>I32+SUM(基礎!DS65:ED65)</f>
        <v>0</v>
      </c>
      <c r="N32" s="177"/>
      <c r="O32" s="172"/>
      <c r="P32" s="158" t="s">
        <v>54</v>
      </c>
      <c r="Q32" s="176">
        <f>M32+SUM(基礎!EJ65:EU65)</f>
        <v>0</v>
      </c>
      <c r="R32" s="177"/>
      <c r="S32" s="172"/>
      <c r="T32" s="158" t="s">
        <v>54</v>
      </c>
      <c r="U32" s="176">
        <f>Q32+SUM(基礎!FA65:FL65)</f>
        <v>0</v>
      </c>
    </row>
    <row r="33" spans="2:21" ht="18" hidden="1" customHeight="1">
      <c r="B33" s="175"/>
      <c r="C33" s="158"/>
      <c r="D33" s="158" t="s">
        <v>277</v>
      </c>
      <c r="E33" s="176" t="e">
        <f>U15+SUM(基礎!DB66:DM66)</f>
        <v>#REF!</v>
      </c>
      <c r="F33" s="175"/>
      <c r="G33" s="158"/>
      <c r="H33" s="158" t="s">
        <v>277</v>
      </c>
      <c r="I33" s="176" t="e">
        <f>SUM(基礎!#REF!)+E33</f>
        <v>#REF!</v>
      </c>
      <c r="J33" s="175"/>
      <c r="K33" s="158"/>
      <c r="L33" s="158" t="s">
        <v>277</v>
      </c>
      <c r="M33" s="176" t="e">
        <f>SUM(基礎!#REF!)+I33</f>
        <v>#REF!</v>
      </c>
      <c r="N33" s="175"/>
      <c r="O33" s="158"/>
      <c r="P33" s="158" t="s">
        <v>277</v>
      </c>
      <c r="Q33" s="176" t="e">
        <f>M33+SUM(基礎!#REF!)</f>
        <v>#REF!</v>
      </c>
      <c r="R33" s="175"/>
      <c r="S33" s="158"/>
      <c r="T33" s="158" t="s">
        <v>277</v>
      </c>
      <c r="U33" s="176" t="e">
        <f>SUM(基礎!#REF!)+Q33</f>
        <v>#REF!</v>
      </c>
    </row>
    <row r="34" spans="2:21" ht="18" hidden="1" customHeight="1" thickBot="1">
      <c r="B34" s="178"/>
      <c r="C34" s="173"/>
      <c r="D34" s="173" t="s">
        <v>311</v>
      </c>
      <c r="E34" s="179" t="e">
        <f>U16+基礎!CW46</f>
        <v>#REF!</v>
      </c>
      <c r="F34" s="178"/>
      <c r="G34" s="173"/>
      <c r="H34" s="173" t="s">
        <v>311</v>
      </c>
      <c r="I34" s="179" t="e">
        <f>E34+基礎!DN46</f>
        <v>#REF!</v>
      </c>
      <c r="J34" s="178"/>
      <c r="K34" s="173"/>
      <c r="L34" s="173" t="s">
        <v>311</v>
      </c>
      <c r="M34" s="179" t="e">
        <f>基礎!EE46+I34</f>
        <v>#REF!</v>
      </c>
      <c r="N34" s="178"/>
      <c r="O34" s="173"/>
      <c r="P34" s="173" t="s">
        <v>311</v>
      </c>
      <c r="Q34" s="179" t="e">
        <f>M34+基礎!EV46</f>
        <v>#REF!</v>
      </c>
      <c r="R34" s="178"/>
      <c r="S34" s="173"/>
      <c r="T34" s="173" t="s">
        <v>311</v>
      </c>
      <c r="U34" s="179" t="e">
        <f>基礎!FM46+Q34</f>
        <v>#REF!</v>
      </c>
    </row>
    <row r="35" spans="2:21" ht="18" hidden="1" customHeight="1" thickTop="1" thickBot="1">
      <c r="B35" s="180"/>
      <c r="C35" s="181" t="e">
        <f>C31+C23</f>
        <v>#REF!</v>
      </c>
      <c r="D35" s="181"/>
      <c r="E35" s="182" t="e">
        <f>E23+E31+E32+E33+E34</f>
        <v>#REF!</v>
      </c>
      <c r="F35" s="180"/>
      <c r="G35" s="181" t="e">
        <f>G31+G23</f>
        <v>#REF!</v>
      </c>
      <c r="H35" s="181"/>
      <c r="I35" s="182" t="e">
        <f>I23+I31+I32+I33+I34</f>
        <v>#REF!</v>
      </c>
      <c r="J35" s="180"/>
      <c r="K35" s="181" t="e">
        <f>K31+K23</f>
        <v>#REF!</v>
      </c>
      <c r="L35" s="181"/>
      <c r="M35" s="182" t="e">
        <f>M23+M31+M32+M33+M34</f>
        <v>#REF!</v>
      </c>
      <c r="N35" s="180"/>
      <c r="O35" s="181" t="e">
        <f>O31+O23</f>
        <v>#REF!</v>
      </c>
      <c r="P35" s="181"/>
      <c r="Q35" s="182" t="e">
        <f>Q23+Q31+Q32+Q33+Q34</f>
        <v>#REF!</v>
      </c>
      <c r="R35" s="180"/>
      <c r="S35" s="181" t="e">
        <f>S31+S23</f>
        <v>#REF!</v>
      </c>
      <c r="T35" s="181"/>
      <c r="U35" s="182" t="e">
        <f>U23+U31+U32+U33+U34</f>
        <v>#REF!</v>
      </c>
    </row>
    <row r="36" spans="2:21" ht="18" hidden="1" customHeight="1">
      <c r="C36" s="174" t="e">
        <f>C27-S9</f>
        <v>#REF!</v>
      </c>
      <c r="E36" s="174" t="e">
        <f>E35-C35</f>
        <v>#REF!</v>
      </c>
      <c r="G36" s="174" t="e">
        <f>G27-C27</f>
        <v>#REF!</v>
      </c>
      <c r="H36" s="174">
        <f>H35-F35</f>
        <v>0</v>
      </c>
      <c r="I36" s="174" t="e">
        <f>I35-G35</f>
        <v>#REF!</v>
      </c>
      <c r="K36" s="174" t="e">
        <f>K27-G27</f>
        <v>#REF!</v>
      </c>
      <c r="L36" s="174">
        <f>L35-J35</f>
        <v>0</v>
      </c>
      <c r="M36" s="174" t="e">
        <f>M35-K35</f>
        <v>#REF!</v>
      </c>
      <c r="O36" s="174" t="e">
        <f>O27-K27</f>
        <v>#REF!</v>
      </c>
      <c r="P36" s="174">
        <f>P35-N35</f>
        <v>0</v>
      </c>
      <c r="Q36" s="174" t="e">
        <f>Q35-O35</f>
        <v>#REF!</v>
      </c>
      <c r="S36" s="174" t="e">
        <f>S27-O27</f>
        <v>#REF!</v>
      </c>
      <c r="T36" s="174">
        <f>T35-R35</f>
        <v>0</v>
      </c>
      <c r="U36" s="174" t="e">
        <f>U35-S35</f>
        <v>#REF!</v>
      </c>
    </row>
    <row r="37" spans="2:21" ht="18" hidden="1" customHeight="1">
      <c r="C37" s="174">
        <f>C30-S12</f>
        <v>-10500</v>
      </c>
      <c r="G37" s="174">
        <f>G30-C30</f>
        <v>-10500</v>
      </c>
      <c r="K37" s="174">
        <f>K30-G30</f>
        <v>-10500</v>
      </c>
      <c r="O37" s="174">
        <f>O30-K30</f>
        <v>-10500</v>
      </c>
      <c r="S37" s="174">
        <f>S30-O30</f>
        <v>-10500</v>
      </c>
    </row>
    <row r="38" spans="2:21" ht="18" hidden="1" customHeight="1">
      <c r="C38" s="174" t="e">
        <f>(C36+C37)*-1</f>
        <v>#REF!</v>
      </c>
      <c r="G38" s="174" t="e">
        <f>G36*-1</f>
        <v>#REF!</v>
      </c>
      <c r="K38" s="174" t="e">
        <f>K36*-1</f>
        <v>#REF!</v>
      </c>
      <c r="O38" s="174" t="e">
        <f>O36*-1</f>
        <v>#REF!</v>
      </c>
      <c r="S38" s="174" t="e">
        <f>S36*-1</f>
        <v>#REF!</v>
      </c>
    </row>
    <row r="39" spans="2:21" ht="18" hidden="1" customHeight="1">
      <c r="E39" s="423" t="e">
        <f>E35-C35</f>
        <v>#REF!</v>
      </c>
      <c r="I39" s="423" t="e">
        <f>I35-G35</f>
        <v>#REF!</v>
      </c>
      <c r="M39" s="423" t="e">
        <f>M35-K35</f>
        <v>#REF!</v>
      </c>
      <c r="Q39" s="423" t="e">
        <f>Q35-O35</f>
        <v>#REF!</v>
      </c>
      <c r="U39" s="423" t="e">
        <f>U35-S35</f>
        <v>#REF!</v>
      </c>
    </row>
    <row r="40" spans="2:21" ht="18" customHeight="1"/>
  </sheetData>
  <mergeCells count="30">
    <mergeCell ref="L20:M20"/>
    <mergeCell ref="N20:O20"/>
    <mergeCell ref="P20:Q20"/>
    <mergeCell ref="R20:S20"/>
    <mergeCell ref="T20:U20"/>
    <mergeCell ref="B20:C20"/>
    <mergeCell ref="D20:E20"/>
    <mergeCell ref="F20:G20"/>
    <mergeCell ref="H20:I20"/>
    <mergeCell ref="J20:K20"/>
    <mergeCell ref="B19:E19"/>
    <mergeCell ref="F19:I19"/>
    <mergeCell ref="J19:M19"/>
    <mergeCell ref="N19:Q19"/>
    <mergeCell ref="R19:U19"/>
    <mergeCell ref="J1:M1"/>
    <mergeCell ref="N1:Q1"/>
    <mergeCell ref="R1:U1"/>
    <mergeCell ref="J2:K2"/>
    <mergeCell ref="L2:M2"/>
    <mergeCell ref="N2:O2"/>
    <mergeCell ref="P2:Q2"/>
    <mergeCell ref="R2:S2"/>
    <mergeCell ref="T2:U2"/>
    <mergeCell ref="B2:C2"/>
    <mergeCell ref="D2:E2"/>
    <mergeCell ref="B1:E1"/>
    <mergeCell ref="F1:I1"/>
    <mergeCell ref="F2:G2"/>
    <mergeCell ref="H2:I2"/>
  </mergeCells>
  <phoneticPr fontId="2"/>
  <pageMargins left="0.7" right="0.7" top="0.75" bottom="0.75" header="0.3" footer="0.3"/>
  <pageSetup paperSize="9" orientation="landscape" r:id="rId1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>
      <selection activeCell="B38" sqref="B38:B48"/>
    </sheetView>
  </sheetViews>
  <sheetFormatPr defaultColWidth="8.875" defaultRowHeight="13.5"/>
  <cols>
    <col min="1" max="2" width="16.375" customWidth="1"/>
    <col min="3" max="6" width="20" customWidth="1"/>
    <col min="7" max="7" width="6.5" customWidth="1"/>
    <col min="8" max="8" width="2.5" customWidth="1"/>
    <col min="9" max="9" width="17.125" bestFit="1" customWidth="1"/>
    <col min="10" max="15" width="16.375" customWidth="1"/>
    <col min="16" max="16" width="3.5" customWidth="1"/>
  </cols>
  <sheetData>
    <row r="1" spans="1:15" ht="19.5" customHeight="1">
      <c r="A1" s="656" t="s">
        <v>255</v>
      </c>
      <c r="B1" s="656"/>
      <c r="C1" s="656"/>
      <c r="D1" s="656"/>
      <c r="H1" s="656" t="s">
        <v>261</v>
      </c>
      <c r="I1" s="656"/>
      <c r="J1" s="656"/>
      <c r="K1" s="656"/>
    </row>
    <row r="2" spans="1:15" ht="14.25" thickBot="1">
      <c r="A2" s="44"/>
      <c r="F2" s="22" t="s">
        <v>403</v>
      </c>
      <c r="H2" s="44" t="s">
        <v>254</v>
      </c>
    </row>
    <row r="3" spans="1:15">
      <c r="A3" s="657" t="s">
        <v>209</v>
      </c>
      <c r="B3" s="658"/>
      <c r="C3" s="658"/>
      <c r="D3" s="658"/>
      <c r="E3" s="658"/>
      <c r="F3" s="659"/>
      <c r="H3" s="657" t="s">
        <v>209</v>
      </c>
      <c r="I3" s="673"/>
      <c r="J3" s="673"/>
      <c r="K3" s="673"/>
      <c r="L3" s="673"/>
      <c r="M3" s="673"/>
      <c r="N3" s="673"/>
      <c r="O3" s="674"/>
    </row>
    <row r="4" spans="1:15" s="43" customFormat="1" ht="39" customHeight="1">
      <c r="A4" s="660"/>
      <c r="B4" s="682" t="s">
        <v>256</v>
      </c>
      <c r="C4" s="665" t="s">
        <v>257</v>
      </c>
      <c r="D4" s="665" t="s">
        <v>258</v>
      </c>
      <c r="E4" s="665" t="s">
        <v>75</v>
      </c>
      <c r="F4" s="668" t="s">
        <v>76</v>
      </c>
      <c r="G4"/>
      <c r="H4" s="660"/>
      <c r="I4" s="45" t="s">
        <v>208</v>
      </c>
      <c r="J4" s="53" t="s">
        <v>230</v>
      </c>
      <c r="K4" s="54" t="s">
        <v>237</v>
      </c>
      <c r="L4" s="54" t="s">
        <v>240</v>
      </c>
      <c r="M4" s="54" t="s">
        <v>244</v>
      </c>
      <c r="N4" s="54" t="s">
        <v>248</v>
      </c>
      <c r="O4" s="55" t="s">
        <v>251</v>
      </c>
    </row>
    <row r="5" spans="1:15" s="43" customFormat="1" ht="39" customHeight="1">
      <c r="A5" s="661"/>
      <c r="B5" s="683"/>
      <c r="C5" s="666"/>
      <c r="D5" s="666"/>
      <c r="E5" s="666"/>
      <c r="F5" s="669"/>
      <c r="G5"/>
      <c r="H5" s="661"/>
      <c r="I5" s="45" t="s">
        <v>200</v>
      </c>
      <c r="J5" s="46" t="s">
        <v>231</v>
      </c>
      <c r="K5" s="45" t="s">
        <v>238</v>
      </c>
      <c r="L5" s="45" t="s">
        <v>241</v>
      </c>
      <c r="M5" s="45" t="s">
        <v>245</v>
      </c>
      <c r="N5" s="45" t="s">
        <v>249</v>
      </c>
      <c r="O5" s="56" t="s">
        <v>252</v>
      </c>
    </row>
    <row r="6" spans="1:15">
      <c r="A6" s="661"/>
      <c r="B6" s="683"/>
      <c r="C6" s="666"/>
      <c r="D6" s="666"/>
      <c r="E6" s="666"/>
      <c r="F6" s="669"/>
      <c r="H6" s="661"/>
      <c r="I6" s="36" t="s">
        <v>201</v>
      </c>
      <c r="J6" s="47" t="s">
        <v>232</v>
      </c>
      <c r="K6" s="48" t="s">
        <v>239</v>
      </c>
      <c r="L6" s="36" t="s">
        <v>242</v>
      </c>
      <c r="M6" s="36"/>
      <c r="N6" s="36"/>
      <c r="O6" s="57"/>
    </row>
    <row r="7" spans="1:15">
      <c r="A7" s="661"/>
      <c r="B7" s="683"/>
      <c r="C7" s="666"/>
      <c r="D7" s="666"/>
      <c r="E7" s="666"/>
      <c r="F7" s="669"/>
      <c r="H7" s="661"/>
      <c r="I7" s="36" t="s">
        <v>202</v>
      </c>
      <c r="J7" s="19">
        <v>145</v>
      </c>
      <c r="K7" s="19">
        <v>210</v>
      </c>
      <c r="L7" s="19">
        <v>1</v>
      </c>
      <c r="M7" s="19">
        <v>236</v>
      </c>
      <c r="N7" s="19">
        <v>277</v>
      </c>
      <c r="O7" s="58">
        <v>352</v>
      </c>
    </row>
    <row r="8" spans="1:15">
      <c r="A8" s="661"/>
      <c r="B8" s="684"/>
      <c r="C8" s="667"/>
      <c r="D8" s="667"/>
      <c r="E8" s="667"/>
      <c r="F8" s="670"/>
      <c r="H8" s="661"/>
      <c r="I8" s="36" t="s">
        <v>203</v>
      </c>
      <c r="J8" s="19">
        <v>463</v>
      </c>
      <c r="K8" s="19">
        <v>69</v>
      </c>
      <c r="L8" s="19">
        <v>1</v>
      </c>
      <c r="M8" s="19">
        <v>76</v>
      </c>
      <c r="N8" s="19">
        <v>60</v>
      </c>
      <c r="O8" s="58">
        <v>184</v>
      </c>
    </row>
    <row r="9" spans="1:15">
      <c r="A9" s="662" t="s">
        <v>207</v>
      </c>
      <c r="B9" s="663"/>
      <c r="C9" s="663"/>
      <c r="D9" s="663"/>
      <c r="E9" s="663"/>
      <c r="F9" s="664"/>
      <c r="H9" s="662" t="s">
        <v>207</v>
      </c>
      <c r="I9" s="663"/>
      <c r="J9" s="663"/>
      <c r="K9" s="663"/>
      <c r="L9" s="663"/>
      <c r="M9" s="663"/>
      <c r="N9" s="663"/>
      <c r="O9" s="664"/>
    </row>
    <row r="10" spans="1:15">
      <c r="A10" s="671"/>
      <c r="B10" s="39" t="s">
        <v>204</v>
      </c>
      <c r="C10" s="69">
        <v>25000</v>
      </c>
      <c r="D10" s="69">
        <v>50000</v>
      </c>
      <c r="E10" s="69">
        <v>15000</v>
      </c>
      <c r="F10" s="255">
        <v>12000</v>
      </c>
      <c r="H10" s="676"/>
      <c r="I10" s="36" t="s">
        <v>204</v>
      </c>
      <c r="J10" s="19">
        <v>7000</v>
      </c>
      <c r="K10" s="19">
        <v>4540</v>
      </c>
      <c r="L10" s="19">
        <v>3800</v>
      </c>
      <c r="M10" s="19">
        <v>1500</v>
      </c>
      <c r="N10" s="19">
        <v>3800</v>
      </c>
      <c r="O10" s="58">
        <v>2150</v>
      </c>
    </row>
    <row r="11" spans="1:15">
      <c r="A11" s="671"/>
      <c r="B11" s="39" t="s">
        <v>271</v>
      </c>
      <c r="C11" s="69">
        <v>6500</v>
      </c>
      <c r="D11" s="69">
        <v>16500</v>
      </c>
      <c r="E11" s="69">
        <v>6500</v>
      </c>
      <c r="F11" s="255">
        <v>3000</v>
      </c>
      <c r="H11" s="676"/>
      <c r="I11" s="36" t="s">
        <v>250</v>
      </c>
      <c r="J11" s="49" t="s">
        <v>236</v>
      </c>
      <c r="K11" s="49" t="s">
        <v>236</v>
      </c>
      <c r="L11" s="49" t="s">
        <v>236</v>
      </c>
      <c r="M11" s="49" t="s">
        <v>236</v>
      </c>
      <c r="N11" s="40" t="s">
        <v>236</v>
      </c>
      <c r="O11" s="59" t="s">
        <v>236</v>
      </c>
    </row>
    <row r="12" spans="1:15">
      <c r="A12" s="671"/>
      <c r="B12" s="39" t="s">
        <v>272</v>
      </c>
      <c r="C12" s="69">
        <v>650</v>
      </c>
      <c r="D12" s="69">
        <v>1650</v>
      </c>
      <c r="E12" s="69">
        <v>650</v>
      </c>
      <c r="F12" s="255">
        <v>300</v>
      </c>
      <c r="H12" s="676"/>
      <c r="I12" s="36" t="s">
        <v>205</v>
      </c>
      <c r="J12" s="19">
        <v>70</v>
      </c>
      <c r="K12" s="19">
        <v>40</v>
      </c>
      <c r="L12" s="19">
        <v>70</v>
      </c>
      <c r="M12" s="19">
        <v>25</v>
      </c>
      <c r="N12" s="19">
        <v>30</v>
      </c>
      <c r="O12" s="58">
        <v>20</v>
      </c>
    </row>
    <row r="13" spans="1:15">
      <c r="A13" s="675"/>
      <c r="B13" s="39" t="s">
        <v>206</v>
      </c>
      <c r="C13" s="69"/>
      <c r="D13" s="69"/>
      <c r="E13" s="69"/>
      <c r="F13" s="255"/>
      <c r="H13" s="677"/>
      <c r="I13" s="36" t="s">
        <v>206</v>
      </c>
      <c r="J13" s="19">
        <v>300</v>
      </c>
      <c r="K13" s="19"/>
      <c r="L13" s="19"/>
      <c r="M13" s="19"/>
      <c r="N13" s="36"/>
      <c r="O13" s="57"/>
    </row>
    <row r="14" spans="1:15">
      <c r="A14" s="679" t="s">
        <v>210</v>
      </c>
      <c r="B14" s="680"/>
      <c r="C14" s="680"/>
      <c r="D14" s="680"/>
      <c r="E14" s="680"/>
      <c r="F14" s="681"/>
      <c r="H14" s="662" t="s">
        <v>210</v>
      </c>
      <c r="I14" s="663"/>
      <c r="J14" s="663"/>
      <c r="K14" s="663"/>
      <c r="L14" s="663"/>
      <c r="M14" s="663"/>
      <c r="N14" s="663"/>
      <c r="O14" s="664"/>
    </row>
    <row r="15" spans="1:15">
      <c r="A15" s="671"/>
      <c r="B15" s="39" t="s">
        <v>211</v>
      </c>
      <c r="C15" s="67">
        <v>0.06</v>
      </c>
      <c r="D15" s="68">
        <v>0.06</v>
      </c>
      <c r="E15" s="64">
        <v>0.06</v>
      </c>
      <c r="F15" s="65">
        <v>0.06</v>
      </c>
      <c r="H15" s="676"/>
      <c r="I15" s="36" t="s">
        <v>211</v>
      </c>
      <c r="J15" s="50">
        <v>0.05</v>
      </c>
      <c r="K15" s="51">
        <v>0.04</v>
      </c>
      <c r="L15" s="41" t="s">
        <v>243</v>
      </c>
      <c r="M15" s="41" t="s">
        <v>246</v>
      </c>
      <c r="N15" s="52">
        <v>0.03</v>
      </c>
      <c r="O15" s="60" t="s">
        <v>253</v>
      </c>
    </row>
    <row r="16" spans="1:15">
      <c r="A16" s="675"/>
      <c r="B16" s="39" t="s">
        <v>212</v>
      </c>
      <c r="C16" s="69"/>
      <c r="D16" s="70"/>
      <c r="E16" s="64"/>
      <c r="F16" s="71"/>
      <c r="H16" s="677"/>
      <c r="I16" s="36" t="s">
        <v>212</v>
      </c>
      <c r="J16" s="47" t="s">
        <v>233</v>
      </c>
      <c r="K16" s="48" t="s">
        <v>234</v>
      </c>
      <c r="L16" s="48" t="s">
        <v>234</v>
      </c>
      <c r="M16" s="48" t="s">
        <v>247</v>
      </c>
      <c r="N16" s="48" t="s">
        <v>234</v>
      </c>
      <c r="O16" s="60" t="s">
        <v>247</v>
      </c>
    </row>
    <row r="17" spans="1:15">
      <c r="A17" s="679" t="s">
        <v>213</v>
      </c>
      <c r="B17" s="680"/>
      <c r="C17" s="680"/>
      <c r="D17" s="680"/>
      <c r="E17" s="680"/>
      <c r="F17" s="681"/>
      <c r="H17" s="662" t="s">
        <v>213</v>
      </c>
      <c r="I17" s="663"/>
      <c r="J17" s="663"/>
      <c r="K17" s="663"/>
      <c r="L17" s="663"/>
      <c r="M17" s="663"/>
      <c r="N17" s="663"/>
      <c r="O17" s="664"/>
    </row>
    <row r="18" spans="1:15">
      <c r="A18" s="671"/>
      <c r="B18" s="39" t="s">
        <v>214</v>
      </c>
      <c r="C18" s="14"/>
      <c r="D18" s="39"/>
      <c r="E18" s="39"/>
      <c r="F18" s="72"/>
      <c r="H18" s="676"/>
      <c r="I18" s="36" t="s">
        <v>214</v>
      </c>
      <c r="J18" s="19">
        <v>1000</v>
      </c>
      <c r="K18" s="36">
        <v>300</v>
      </c>
      <c r="L18" s="36">
        <v>300</v>
      </c>
      <c r="M18" s="36">
        <v>130</v>
      </c>
      <c r="N18" s="36">
        <v>250</v>
      </c>
      <c r="O18" s="57">
        <v>200</v>
      </c>
    </row>
    <row r="19" spans="1:15">
      <c r="A19" s="671"/>
      <c r="B19" s="39" t="s">
        <v>215</v>
      </c>
      <c r="C19" s="14"/>
      <c r="D19" s="39"/>
      <c r="E19" s="39"/>
      <c r="F19" s="72"/>
      <c r="H19" s="676"/>
      <c r="I19" s="36" t="s">
        <v>215</v>
      </c>
      <c r="J19" s="19">
        <v>300</v>
      </c>
      <c r="K19" s="36">
        <v>240</v>
      </c>
      <c r="L19" s="36">
        <v>150</v>
      </c>
      <c r="M19" s="36">
        <v>150</v>
      </c>
      <c r="N19" s="48" t="s">
        <v>235</v>
      </c>
      <c r="O19" s="57">
        <v>200</v>
      </c>
    </row>
    <row r="20" spans="1:15">
      <c r="A20" s="675"/>
      <c r="B20" s="39" t="s">
        <v>216</v>
      </c>
      <c r="C20" s="14"/>
      <c r="D20" s="39"/>
      <c r="E20" s="39"/>
      <c r="F20" s="72"/>
      <c r="H20" s="677"/>
      <c r="I20" s="36" t="s">
        <v>216</v>
      </c>
      <c r="J20" s="19">
        <v>180</v>
      </c>
      <c r="K20" s="36">
        <v>93</v>
      </c>
      <c r="L20" s="36"/>
      <c r="M20" s="36">
        <v>180</v>
      </c>
      <c r="N20" s="36"/>
      <c r="O20" s="57"/>
    </row>
    <row r="21" spans="1:15">
      <c r="A21" s="679" t="s">
        <v>217</v>
      </c>
      <c r="B21" s="680"/>
      <c r="C21" s="680"/>
      <c r="D21" s="680"/>
      <c r="E21" s="680"/>
      <c r="F21" s="681"/>
      <c r="H21" s="662" t="s">
        <v>217</v>
      </c>
      <c r="I21" s="663"/>
      <c r="J21" s="663"/>
      <c r="K21" s="663"/>
      <c r="L21" s="663"/>
      <c r="M21" s="663"/>
      <c r="N21" s="663"/>
      <c r="O21" s="664"/>
    </row>
    <row r="22" spans="1:15">
      <c r="A22" s="671"/>
      <c r="B22" s="39" t="s">
        <v>218</v>
      </c>
      <c r="C22" s="14">
        <v>5000</v>
      </c>
      <c r="D22" s="14">
        <v>10000</v>
      </c>
      <c r="E22" s="14">
        <v>3000</v>
      </c>
      <c r="F22" s="66">
        <v>2500</v>
      </c>
      <c r="H22" s="676"/>
      <c r="I22" s="36" t="s">
        <v>218</v>
      </c>
      <c r="J22" s="19">
        <v>1400</v>
      </c>
      <c r="K22" s="19">
        <v>900</v>
      </c>
      <c r="L22" s="19">
        <v>633</v>
      </c>
      <c r="M22" s="19">
        <v>300</v>
      </c>
      <c r="N22" s="19">
        <v>1000</v>
      </c>
      <c r="O22" s="58">
        <v>700</v>
      </c>
    </row>
    <row r="23" spans="1:15">
      <c r="A23" s="671"/>
      <c r="B23" s="39" t="s">
        <v>219</v>
      </c>
      <c r="C23" s="14">
        <f>C22*0.25</f>
        <v>1250</v>
      </c>
      <c r="D23" s="14">
        <f>D22*0.25</f>
        <v>2500</v>
      </c>
      <c r="E23" s="14">
        <f>E22*0.25</f>
        <v>750</v>
      </c>
      <c r="F23" s="66">
        <f>F22*0.25</f>
        <v>625</v>
      </c>
      <c r="H23" s="676"/>
      <c r="I23" s="36" t="s">
        <v>219</v>
      </c>
      <c r="J23" s="19">
        <v>413</v>
      </c>
      <c r="K23" s="19">
        <v>280</v>
      </c>
      <c r="L23" s="19">
        <v>173</v>
      </c>
      <c r="M23" s="19">
        <v>81</v>
      </c>
      <c r="N23" s="19">
        <v>350</v>
      </c>
      <c r="O23" s="58">
        <v>240</v>
      </c>
    </row>
    <row r="24" spans="1:15">
      <c r="A24" s="671"/>
      <c r="B24" s="39" t="s">
        <v>222</v>
      </c>
      <c r="C24" s="14">
        <f>C22*0.3</f>
        <v>1500</v>
      </c>
      <c r="D24" s="14">
        <f>D22*0.3</f>
        <v>3000</v>
      </c>
      <c r="E24" s="14">
        <f>E22*0.3</f>
        <v>900</v>
      </c>
      <c r="F24" s="66">
        <f>F22*0.3</f>
        <v>750</v>
      </c>
      <c r="H24" s="676"/>
      <c r="I24" s="36" t="s">
        <v>222</v>
      </c>
      <c r="J24" s="19">
        <v>301</v>
      </c>
      <c r="K24" s="19">
        <v>250</v>
      </c>
      <c r="L24" s="19">
        <v>177</v>
      </c>
      <c r="M24" s="19">
        <v>96</v>
      </c>
      <c r="N24" s="19">
        <v>200</v>
      </c>
      <c r="O24" s="58">
        <v>182</v>
      </c>
    </row>
    <row r="25" spans="1:15">
      <c r="A25" s="671"/>
      <c r="B25" s="39" t="s">
        <v>223</v>
      </c>
      <c r="C25" s="14">
        <v>70</v>
      </c>
      <c r="D25" s="14">
        <v>110</v>
      </c>
      <c r="E25" s="14">
        <v>63</v>
      </c>
      <c r="F25" s="66">
        <v>33</v>
      </c>
      <c r="H25" s="676"/>
      <c r="I25" s="36" t="s">
        <v>223</v>
      </c>
      <c r="J25" s="19"/>
      <c r="K25" s="19">
        <v>110</v>
      </c>
      <c r="L25" s="19">
        <v>63</v>
      </c>
      <c r="M25" s="19">
        <v>33</v>
      </c>
      <c r="N25" s="19">
        <v>105</v>
      </c>
      <c r="O25" s="58">
        <v>20</v>
      </c>
    </row>
    <row r="26" spans="1:15">
      <c r="A26" s="671"/>
      <c r="B26" s="39" t="s">
        <v>224</v>
      </c>
      <c r="C26" s="14">
        <v>20</v>
      </c>
      <c r="D26" s="14">
        <v>20</v>
      </c>
      <c r="E26" s="14">
        <v>15</v>
      </c>
      <c r="F26" s="66">
        <v>15</v>
      </c>
      <c r="H26" s="676"/>
      <c r="I26" s="36" t="s">
        <v>224</v>
      </c>
      <c r="J26" s="19"/>
      <c r="K26" s="19"/>
      <c r="L26" s="19">
        <v>27</v>
      </c>
      <c r="M26" s="19">
        <v>21</v>
      </c>
      <c r="N26" s="19">
        <v>50</v>
      </c>
      <c r="O26" s="58">
        <v>15</v>
      </c>
    </row>
    <row r="27" spans="1:15">
      <c r="A27" s="671"/>
      <c r="B27" s="39" t="s">
        <v>225</v>
      </c>
      <c r="C27" s="14">
        <f>C22-C23-C24-C26-C25-C29-C28</f>
        <v>1399.5833333333333</v>
      </c>
      <c r="D27" s="14">
        <f>D22-D23-D24-D26-D25-D29-D28</f>
        <v>2849.1666666666665</v>
      </c>
      <c r="E27" s="14">
        <f>E22-E23-E24-E26-E25-E29-E28</f>
        <v>815.75</v>
      </c>
      <c r="F27" s="66">
        <f>F22-F23-F24-F26-F25-F29-F28</f>
        <v>702</v>
      </c>
      <c r="H27" s="676"/>
      <c r="I27" s="36" t="s">
        <v>225</v>
      </c>
      <c r="J27" s="19">
        <v>475</v>
      </c>
      <c r="K27" s="19">
        <v>135</v>
      </c>
      <c r="L27" s="19">
        <v>77</v>
      </c>
      <c r="M27" s="19">
        <v>25</v>
      </c>
      <c r="N27" s="19">
        <v>50</v>
      </c>
      <c r="O27" s="58">
        <v>147</v>
      </c>
    </row>
    <row r="28" spans="1:15">
      <c r="A28" s="671"/>
      <c r="B28" s="39" t="s">
        <v>260</v>
      </c>
      <c r="C28" s="14">
        <f>C10/96</f>
        <v>260.41666666666669</v>
      </c>
      <c r="D28" s="14">
        <f>D10/96</f>
        <v>520.83333333333337</v>
      </c>
      <c r="E28" s="14">
        <f>E10/96</f>
        <v>156.25</v>
      </c>
      <c r="F28" s="66">
        <f>F10/96</f>
        <v>125</v>
      </c>
      <c r="H28" s="676"/>
      <c r="I28" s="36" t="s">
        <v>259</v>
      </c>
      <c r="J28" s="19"/>
      <c r="K28" s="19"/>
      <c r="L28" s="19"/>
      <c r="M28" s="19"/>
      <c r="N28" s="19"/>
      <c r="O28" s="58"/>
    </row>
    <row r="29" spans="1:15">
      <c r="A29" s="671"/>
      <c r="B29" s="39" t="s">
        <v>226</v>
      </c>
      <c r="C29" s="14">
        <f>C22*0.1</f>
        <v>500</v>
      </c>
      <c r="D29" s="14">
        <f>D22*0.1</f>
        <v>1000</v>
      </c>
      <c r="E29" s="14">
        <f>E22*0.1</f>
        <v>300</v>
      </c>
      <c r="F29" s="66">
        <f>F22*0.1</f>
        <v>250</v>
      </c>
      <c r="H29" s="676"/>
      <c r="I29" s="36" t="s">
        <v>226</v>
      </c>
      <c r="J29" s="19">
        <v>211</v>
      </c>
      <c r="K29" s="36">
        <v>90</v>
      </c>
      <c r="L29" s="36">
        <v>68</v>
      </c>
      <c r="M29" s="36">
        <v>18</v>
      </c>
      <c r="N29" s="36">
        <v>215</v>
      </c>
      <c r="O29" s="57">
        <v>45</v>
      </c>
    </row>
    <row r="30" spans="1:15">
      <c r="A30" s="671"/>
      <c r="B30" s="39"/>
      <c r="C30" s="14"/>
      <c r="D30" s="39"/>
      <c r="E30" s="39"/>
      <c r="F30" s="72"/>
      <c r="H30" s="676"/>
      <c r="I30" s="36"/>
      <c r="J30" s="19"/>
      <c r="K30" s="36"/>
      <c r="L30" s="36"/>
      <c r="M30" s="36"/>
      <c r="N30" s="36"/>
      <c r="O30" s="57"/>
    </row>
    <row r="31" spans="1:15">
      <c r="A31" s="671"/>
      <c r="B31" s="39" t="s">
        <v>220</v>
      </c>
      <c r="C31" s="73">
        <f>C23/C22</f>
        <v>0.25</v>
      </c>
      <c r="D31" s="73">
        <f>D23/D22</f>
        <v>0.25</v>
      </c>
      <c r="E31" s="73">
        <f>E23/E22</f>
        <v>0.25</v>
      </c>
      <c r="F31" s="74">
        <f>F23/F22</f>
        <v>0.25</v>
      </c>
      <c r="H31" s="676"/>
      <c r="I31" s="36" t="s">
        <v>220</v>
      </c>
      <c r="J31" s="37">
        <f t="shared" ref="J31:O31" si="0">J23/J22</f>
        <v>0.29499999999999998</v>
      </c>
      <c r="K31" s="37">
        <f t="shared" si="0"/>
        <v>0.31111111111111112</v>
      </c>
      <c r="L31" s="37">
        <f t="shared" si="0"/>
        <v>0.27330173775671407</v>
      </c>
      <c r="M31" s="37">
        <f t="shared" si="0"/>
        <v>0.27</v>
      </c>
      <c r="N31" s="37">
        <f t="shared" si="0"/>
        <v>0.35</v>
      </c>
      <c r="O31" s="38">
        <f t="shared" si="0"/>
        <v>0.34285714285714286</v>
      </c>
    </row>
    <row r="32" spans="1:15">
      <c r="A32" s="671"/>
      <c r="B32" s="39" t="s">
        <v>221</v>
      </c>
      <c r="C32" s="73">
        <f>C24/C22</f>
        <v>0.3</v>
      </c>
      <c r="D32" s="73">
        <f>D24/D22</f>
        <v>0.3</v>
      </c>
      <c r="E32" s="73">
        <f>E24/E22</f>
        <v>0.3</v>
      </c>
      <c r="F32" s="74">
        <f>F24/F22</f>
        <v>0.3</v>
      </c>
      <c r="H32" s="676"/>
      <c r="I32" s="36" t="s">
        <v>221</v>
      </c>
      <c r="J32" s="37">
        <f t="shared" ref="J32:O32" si="1">J24/J22</f>
        <v>0.215</v>
      </c>
      <c r="K32" s="37">
        <f t="shared" si="1"/>
        <v>0.27777777777777779</v>
      </c>
      <c r="L32" s="37">
        <f t="shared" si="1"/>
        <v>0.27962085308056872</v>
      </c>
      <c r="M32" s="37">
        <f t="shared" si="1"/>
        <v>0.32</v>
      </c>
      <c r="N32" s="37">
        <f t="shared" si="1"/>
        <v>0.2</v>
      </c>
      <c r="O32" s="38">
        <f t="shared" si="1"/>
        <v>0.26</v>
      </c>
    </row>
    <row r="33" spans="1:15">
      <c r="A33" s="671"/>
      <c r="B33" s="39" t="s">
        <v>227</v>
      </c>
      <c r="C33" s="73">
        <f>C27/C22</f>
        <v>0.27991666666666665</v>
      </c>
      <c r="D33" s="73">
        <f>D27/D22</f>
        <v>0.28491666666666665</v>
      </c>
      <c r="E33" s="73">
        <f>E27/E22</f>
        <v>0.27191666666666664</v>
      </c>
      <c r="F33" s="74">
        <f>F27/F22</f>
        <v>0.28079999999999999</v>
      </c>
      <c r="H33" s="676"/>
      <c r="I33" s="36" t="s">
        <v>227</v>
      </c>
      <c r="J33" s="37">
        <f t="shared" ref="J33:O33" si="2">J27/J22</f>
        <v>0.3392857142857143</v>
      </c>
      <c r="K33" s="37">
        <f t="shared" si="2"/>
        <v>0.15</v>
      </c>
      <c r="L33" s="37">
        <f t="shared" si="2"/>
        <v>0.12164296998420221</v>
      </c>
      <c r="M33" s="37">
        <f t="shared" si="2"/>
        <v>8.3333333333333329E-2</v>
      </c>
      <c r="N33" s="37">
        <f t="shared" si="2"/>
        <v>0.05</v>
      </c>
      <c r="O33" s="38">
        <f t="shared" si="2"/>
        <v>0.21</v>
      </c>
    </row>
    <row r="34" spans="1:15">
      <c r="A34" s="671"/>
      <c r="B34" s="39" t="s">
        <v>228</v>
      </c>
      <c r="C34" s="73">
        <f>C29/C22</f>
        <v>0.1</v>
      </c>
      <c r="D34" s="73">
        <f>D29/D22</f>
        <v>0.1</v>
      </c>
      <c r="E34" s="73">
        <f>E29/E22</f>
        <v>0.1</v>
      </c>
      <c r="F34" s="74">
        <f>F29/F22</f>
        <v>0.1</v>
      </c>
      <c r="H34" s="676"/>
      <c r="I34" s="36" t="s">
        <v>228</v>
      </c>
      <c r="J34" s="37">
        <f t="shared" ref="J34:O34" si="3">J29/J22</f>
        <v>0.15071428571428572</v>
      </c>
      <c r="K34" s="37">
        <f t="shared" si="3"/>
        <v>0.1</v>
      </c>
      <c r="L34" s="37">
        <f t="shared" si="3"/>
        <v>0.10742496050552923</v>
      </c>
      <c r="M34" s="37">
        <f t="shared" si="3"/>
        <v>0.06</v>
      </c>
      <c r="N34" s="37">
        <f t="shared" si="3"/>
        <v>0.215</v>
      </c>
      <c r="O34" s="38">
        <f t="shared" si="3"/>
        <v>6.4285714285714279E-2</v>
      </c>
    </row>
    <row r="35" spans="1:15" ht="14.25" thickBot="1">
      <c r="A35" s="672"/>
      <c r="B35" s="75" t="s">
        <v>229</v>
      </c>
      <c r="C35" s="76">
        <f>C10/(C29*12)</f>
        <v>4.166666666666667</v>
      </c>
      <c r="D35" s="76">
        <f>D10/(D29*12)</f>
        <v>4.166666666666667</v>
      </c>
      <c r="E35" s="76">
        <f>E10/(E29*12)</f>
        <v>4.166666666666667</v>
      </c>
      <c r="F35" s="77">
        <f>F10/(F29*12)</f>
        <v>4</v>
      </c>
      <c r="H35" s="678"/>
      <c r="I35" s="61" t="s">
        <v>229</v>
      </c>
      <c r="J35" s="62">
        <f t="shared" ref="J35:O35" si="4">J10/(J29*12)</f>
        <v>2.764612954186414</v>
      </c>
      <c r="K35" s="62">
        <f t="shared" si="4"/>
        <v>4.2037037037037033</v>
      </c>
      <c r="L35" s="62">
        <f t="shared" si="4"/>
        <v>4.6568627450980395</v>
      </c>
      <c r="M35" s="62">
        <f t="shared" si="4"/>
        <v>6.9444444444444446</v>
      </c>
      <c r="N35" s="62">
        <f t="shared" si="4"/>
        <v>1.4728682170542635</v>
      </c>
      <c r="O35" s="63">
        <f t="shared" si="4"/>
        <v>3.9814814814814814</v>
      </c>
    </row>
    <row r="38" spans="1:15">
      <c r="B38" s="242"/>
      <c r="C38" s="242"/>
      <c r="D38" s="242"/>
      <c r="E38" s="242"/>
    </row>
    <row r="39" spans="1:15">
      <c r="B39" s="242"/>
      <c r="C39" s="242"/>
      <c r="D39" s="242"/>
      <c r="E39" s="242"/>
    </row>
    <row r="40" spans="1:15">
      <c r="B40" s="242"/>
      <c r="C40" s="242"/>
      <c r="D40" s="242"/>
      <c r="E40" s="242"/>
    </row>
    <row r="41" spans="1:15">
      <c r="B41" s="242"/>
      <c r="C41" s="242"/>
      <c r="D41" s="242"/>
      <c r="E41" s="242"/>
    </row>
    <row r="42" spans="1:15">
      <c r="B42" s="242"/>
      <c r="C42" s="242"/>
      <c r="D42" s="242"/>
      <c r="E42" s="242"/>
    </row>
    <row r="43" spans="1:15">
      <c r="B43" s="242"/>
      <c r="C43" s="242"/>
      <c r="D43" s="242"/>
      <c r="E43" s="242"/>
    </row>
    <row r="44" spans="1:15">
      <c r="B44" s="242"/>
      <c r="C44" s="242"/>
      <c r="D44" s="242"/>
      <c r="E44" s="242"/>
    </row>
    <row r="45" spans="1:15">
      <c r="B45" s="242"/>
      <c r="C45" s="242"/>
      <c r="D45" s="242"/>
      <c r="E45" s="242"/>
    </row>
  </sheetData>
  <mergeCells count="27">
    <mergeCell ref="A22:A35"/>
    <mergeCell ref="H3:O3"/>
    <mergeCell ref="H14:O14"/>
    <mergeCell ref="H17:O17"/>
    <mergeCell ref="H21:O21"/>
    <mergeCell ref="A10:A13"/>
    <mergeCell ref="H10:H13"/>
    <mergeCell ref="H15:H16"/>
    <mergeCell ref="H18:H20"/>
    <mergeCell ref="H22:H35"/>
    <mergeCell ref="A14:F14"/>
    <mergeCell ref="A15:A16"/>
    <mergeCell ref="A17:F17"/>
    <mergeCell ref="A18:A20"/>
    <mergeCell ref="A21:F21"/>
    <mergeCell ref="B4:B8"/>
    <mergeCell ref="H1:K1"/>
    <mergeCell ref="A1:D1"/>
    <mergeCell ref="A3:F3"/>
    <mergeCell ref="A4:A8"/>
    <mergeCell ref="A9:F9"/>
    <mergeCell ref="H4:H8"/>
    <mergeCell ref="H9:O9"/>
    <mergeCell ref="C4:C8"/>
    <mergeCell ref="D4:D8"/>
    <mergeCell ref="E4:E8"/>
    <mergeCell ref="F4:F8"/>
  </mergeCells>
  <phoneticPr fontId="2"/>
  <hyperlinks>
    <hyperlink ref="H2" r:id="rId1"/>
  </hyperlinks>
  <pageMargins left="0.7" right="0.7" top="0.75" bottom="0.75" header="0.3" footer="0.3"/>
  <colBreaks count="1" manualBreakCount="1">
    <brk id="7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workbookViewId="0">
      <selection activeCell="B38" sqref="B38:B48"/>
    </sheetView>
  </sheetViews>
  <sheetFormatPr defaultColWidth="8.875" defaultRowHeight="13.5"/>
  <cols>
    <col min="1" max="1" width="2.625" customWidth="1"/>
    <col min="2" max="2" width="17.625" bestFit="1" customWidth="1"/>
    <col min="3" max="3" width="14.5" style="42" customWidth="1"/>
    <col min="4" max="4" width="9" customWidth="1"/>
  </cols>
  <sheetData>
    <row r="1" spans="1:7">
      <c r="A1" s="79"/>
      <c r="B1" s="79"/>
      <c r="C1" s="49" t="s">
        <v>74</v>
      </c>
      <c r="D1" s="79"/>
      <c r="E1" s="79"/>
      <c r="F1" s="79"/>
      <c r="G1" s="79"/>
    </row>
    <row r="2" spans="1:7">
      <c r="A2" s="79"/>
      <c r="B2" s="79" t="s">
        <v>196</v>
      </c>
      <c r="C2" s="19"/>
      <c r="D2" s="79"/>
      <c r="E2" s="79"/>
      <c r="F2" s="79"/>
      <c r="G2" s="79"/>
    </row>
    <row r="3" spans="1:7">
      <c r="A3" s="79"/>
      <c r="B3" s="79" t="s">
        <v>199</v>
      </c>
      <c r="C3" s="19"/>
      <c r="D3" s="79"/>
      <c r="E3" s="79"/>
      <c r="F3" s="79"/>
      <c r="G3" s="79"/>
    </row>
    <row r="4" spans="1:7">
      <c r="A4" s="79"/>
      <c r="B4" s="79" t="s">
        <v>197</v>
      </c>
      <c r="C4" s="47"/>
      <c r="D4" s="79"/>
      <c r="E4" s="79"/>
      <c r="F4" s="79"/>
      <c r="G4" s="79"/>
    </row>
    <row r="5" spans="1:7">
      <c r="A5" s="79"/>
      <c r="B5" s="79" t="s">
        <v>198</v>
      </c>
      <c r="C5" s="47"/>
      <c r="D5" s="79"/>
      <c r="E5" s="79"/>
      <c r="F5" s="79"/>
      <c r="G5" s="79"/>
    </row>
    <row r="6" spans="1:7">
      <c r="A6" s="79"/>
      <c r="B6" s="79"/>
      <c r="C6" s="19"/>
      <c r="D6" s="79"/>
      <c r="E6" s="79"/>
      <c r="F6" s="79"/>
      <c r="G6" s="79"/>
    </row>
    <row r="7" spans="1:7">
      <c r="A7" s="79" t="s">
        <v>156</v>
      </c>
      <c r="B7" s="79"/>
      <c r="C7" s="19"/>
      <c r="D7" s="79"/>
      <c r="E7" s="79"/>
      <c r="F7" s="79"/>
      <c r="G7" s="79"/>
    </row>
    <row r="8" spans="1:7">
      <c r="A8" s="79"/>
      <c r="B8" s="79" t="s">
        <v>153</v>
      </c>
      <c r="C8" s="19"/>
      <c r="D8" s="79"/>
      <c r="E8" s="79"/>
      <c r="F8" s="79"/>
      <c r="G8" s="79"/>
    </row>
    <row r="9" spans="1:7">
      <c r="A9" s="79"/>
      <c r="B9" s="79" t="s">
        <v>154</v>
      </c>
      <c r="C9" s="19"/>
      <c r="D9" s="79"/>
      <c r="E9" s="79"/>
      <c r="F9" s="79"/>
      <c r="G9" s="79"/>
    </row>
    <row r="10" spans="1:7">
      <c r="A10" s="79"/>
      <c r="B10" s="79" t="s">
        <v>155</v>
      </c>
      <c r="C10" s="19"/>
      <c r="D10" s="79"/>
      <c r="E10" s="79"/>
      <c r="F10" s="79"/>
      <c r="G10" s="79"/>
    </row>
    <row r="11" spans="1:7">
      <c r="A11" s="79" t="s">
        <v>157</v>
      </c>
      <c r="B11" s="79"/>
      <c r="C11" s="19"/>
      <c r="D11" s="79"/>
      <c r="E11" s="79"/>
      <c r="F11" s="79"/>
      <c r="G11" s="79"/>
    </row>
    <row r="12" spans="1:7">
      <c r="A12" s="79"/>
      <c r="B12" s="79" t="s">
        <v>158</v>
      </c>
      <c r="C12" s="19"/>
      <c r="D12" s="79"/>
      <c r="E12" s="79"/>
      <c r="F12" s="79"/>
      <c r="G12" s="79"/>
    </row>
    <row r="13" spans="1:7">
      <c r="A13" s="79"/>
      <c r="B13" s="79" t="s">
        <v>159</v>
      </c>
      <c r="C13" s="19"/>
      <c r="D13" s="79"/>
      <c r="E13" s="79"/>
      <c r="F13" s="79"/>
      <c r="G13" s="79"/>
    </row>
    <row r="14" spans="1:7">
      <c r="A14" s="79"/>
      <c r="B14" s="79" t="s">
        <v>59</v>
      </c>
      <c r="C14" s="19"/>
      <c r="D14" s="79"/>
      <c r="E14" s="79"/>
      <c r="F14" s="79"/>
      <c r="G14" s="79"/>
    </row>
    <row r="15" spans="1:7">
      <c r="A15" s="79" t="s">
        <v>160</v>
      </c>
      <c r="B15" s="79"/>
      <c r="C15" s="19">
        <f>SUM(C16:C32)</f>
        <v>9550</v>
      </c>
      <c r="D15" s="79"/>
      <c r="E15" s="79"/>
      <c r="F15" s="79"/>
      <c r="G15" s="79"/>
    </row>
    <row r="16" spans="1:7" ht="11.25" customHeight="1">
      <c r="A16" s="79"/>
      <c r="B16" s="79" t="s">
        <v>161</v>
      </c>
      <c r="C16" s="19">
        <v>2800</v>
      </c>
      <c r="D16" s="79"/>
      <c r="E16" s="79"/>
      <c r="F16" s="79"/>
      <c r="G16" s="79"/>
    </row>
    <row r="17" spans="1:7" ht="11.25" customHeight="1">
      <c r="A17" s="79"/>
      <c r="B17" s="79" t="s">
        <v>162</v>
      </c>
      <c r="C17" s="19">
        <v>1300</v>
      </c>
      <c r="D17" s="79"/>
      <c r="E17" s="79"/>
      <c r="F17" s="79"/>
      <c r="G17" s="79"/>
    </row>
    <row r="18" spans="1:7" ht="11.25" customHeight="1">
      <c r="A18" s="79"/>
      <c r="B18" s="79" t="s">
        <v>163</v>
      </c>
      <c r="C18" s="19">
        <v>1200</v>
      </c>
      <c r="D18" s="79"/>
      <c r="E18" s="79"/>
      <c r="F18" s="79"/>
      <c r="G18" s="79"/>
    </row>
    <row r="19" spans="1:7" ht="11.25" customHeight="1">
      <c r="A19" s="79"/>
      <c r="B19" s="79" t="s">
        <v>164</v>
      </c>
      <c r="C19" s="19">
        <v>500</v>
      </c>
      <c r="D19" s="79"/>
      <c r="E19" s="79"/>
      <c r="F19" s="79"/>
      <c r="G19" s="79"/>
    </row>
    <row r="20" spans="1:7" ht="11.25" customHeight="1">
      <c r="A20" s="79"/>
      <c r="B20" s="79" t="s">
        <v>165</v>
      </c>
      <c r="C20" s="19">
        <v>610</v>
      </c>
      <c r="D20" s="79"/>
      <c r="E20" s="79"/>
      <c r="F20" s="79"/>
      <c r="G20" s="79"/>
    </row>
    <row r="21" spans="1:7" ht="11.25" customHeight="1">
      <c r="A21" s="79"/>
      <c r="B21" s="79" t="s">
        <v>166</v>
      </c>
      <c r="C21" s="19">
        <v>750</v>
      </c>
      <c r="D21" s="79"/>
      <c r="E21" s="79"/>
      <c r="F21" s="79"/>
      <c r="G21" s="79"/>
    </row>
    <row r="22" spans="1:7" ht="11.25" customHeight="1">
      <c r="A22" s="79"/>
      <c r="B22" s="79" t="s">
        <v>167</v>
      </c>
      <c r="C22" s="19">
        <v>300</v>
      </c>
      <c r="D22" s="79"/>
      <c r="E22" s="79"/>
      <c r="F22" s="79"/>
      <c r="G22" s="79"/>
    </row>
    <row r="23" spans="1:7" ht="11.25" customHeight="1">
      <c r="A23" s="79"/>
      <c r="B23" s="79" t="s">
        <v>168</v>
      </c>
      <c r="C23" s="19">
        <v>150</v>
      </c>
      <c r="D23" s="79"/>
      <c r="E23" s="79"/>
      <c r="F23" s="79"/>
      <c r="G23" s="79"/>
    </row>
    <row r="24" spans="1:7" ht="11.25" customHeight="1">
      <c r="A24" s="79"/>
      <c r="B24" s="79" t="s">
        <v>169</v>
      </c>
      <c r="C24" s="19">
        <v>300</v>
      </c>
      <c r="D24" s="79"/>
      <c r="E24" s="79"/>
      <c r="F24" s="79"/>
      <c r="G24" s="79"/>
    </row>
    <row r="25" spans="1:7" ht="11.25" customHeight="1">
      <c r="A25" s="79"/>
      <c r="B25" s="79" t="s">
        <v>170</v>
      </c>
      <c r="C25" s="19">
        <v>90</v>
      </c>
      <c r="D25" s="79"/>
      <c r="E25" s="79"/>
      <c r="F25" s="79"/>
      <c r="G25" s="79"/>
    </row>
    <row r="26" spans="1:7" ht="11.25" customHeight="1">
      <c r="A26" s="79"/>
      <c r="B26" s="79" t="s">
        <v>171</v>
      </c>
      <c r="C26" s="19">
        <v>70</v>
      </c>
      <c r="D26" s="79"/>
      <c r="E26" s="79"/>
      <c r="F26" s="79"/>
      <c r="G26" s="79"/>
    </row>
    <row r="27" spans="1:7" ht="11.25" customHeight="1">
      <c r="A27" s="79"/>
      <c r="B27" s="79" t="s">
        <v>172</v>
      </c>
      <c r="C27" s="19">
        <v>90</v>
      </c>
      <c r="D27" s="79"/>
      <c r="E27" s="79"/>
      <c r="F27" s="79"/>
      <c r="G27" s="79"/>
    </row>
    <row r="28" spans="1:7" ht="11.25" customHeight="1">
      <c r="A28" s="79"/>
      <c r="B28" s="79" t="s">
        <v>173</v>
      </c>
      <c r="C28" s="19">
        <v>40</v>
      </c>
      <c r="D28" s="79"/>
      <c r="E28" s="79"/>
      <c r="F28" s="79"/>
      <c r="G28" s="79"/>
    </row>
    <row r="29" spans="1:7" ht="11.25" customHeight="1">
      <c r="A29" s="79"/>
      <c r="B29" s="79" t="s">
        <v>174</v>
      </c>
      <c r="C29" s="19">
        <v>50</v>
      </c>
      <c r="D29" s="79"/>
      <c r="E29" s="79"/>
      <c r="F29" s="79"/>
      <c r="G29" s="79"/>
    </row>
    <row r="30" spans="1:7" ht="11.25" customHeight="1">
      <c r="A30" s="79"/>
      <c r="B30" s="79" t="s">
        <v>175</v>
      </c>
      <c r="C30" s="19">
        <v>250</v>
      </c>
      <c r="D30" s="79"/>
      <c r="E30" s="79"/>
      <c r="F30" s="79"/>
      <c r="G30" s="79"/>
    </row>
    <row r="31" spans="1:7" ht="11.25" customHeight="1">
      <c r="A31" s="79"/>
      <c r="B31" s="79" t="s">
        <v>59</v>
      </c>
      <c r="C31" s="19">
        <v>800</v>
      </c>
      <c r="D31" s="79"/>
      <c r="E31" s="79"/>
      <c r="F31" s="79"/>
      <c r="G31" s="79"/>
    </row>
    <row r="32" spans="1:7" ht="11.25" customHeight="1">
      <c r="A32" s="79"/>
      <c r="B32" s="79" t="s">
        <v>177</v>
      </c>
      <c r="C32" s="19">
        <v>250</v>
      </c>
      <c r="D32" s="79"/>
      <c r="E32" s="79"/>
      <c r="F32" s="79"/>
      <c r="G32" s="79"/>
    </row>
    <row r="33" spans="1:7">
      <c r="A33" s="79" t="s">
        <v>178</v>
      </c>
      <c r="B33" s="79"/>
      <c r="C33" s="19">
        <v>1500</v>
      </c>
      <c r="D33" s="79"/>
      <c r="E33" s="79"/>
      <c r="F33" s="79"/>
      <c r="G33" s="79"/>
    </row>
    <row r="34" spans="1:7">
      <c r="A34" s="79"/>
      <c r="B34" s="79" t="s">
        <v>179</v>
      </c>
      <c r="C34" s="19"/>
      <c r="D34" s="79"/>
      <c r="E34" s="79"/>
      <c r="F34" s="79"/>
      <c r="G34" s="79"/>
    </row>
    <row r="35" spans="1:7">
      <c r="A35" s="79"/>
      <c r="B35" s="79" t="s">
        <v>180</v>
      </c>
      <c r="C35" s="19"/>
      <c r="D35" s="79"/>
      <c r="E35" s="79"/>
      <c r="F35" s="79"/>
      <c r="G35" s="79"/>
    </row>
    <row r="36" spans="1:7">
      <c r="A36" s="79"/>
      <c r="B36" s="79" t="s">
        <v>181</v>
      </c>
      <c r="C36" s="19"/>
      <c r="D36" s="79"/>
      <c r="E36" s="79"/>
      <c r="F36" s="79"/>
      <c r="G36" s="79"/>
    </row>
    <row r="37" spans="1:7">
      <c r="A37" s="79"/>
      <c r="B37" s="79" t="s">
        <v>182</v>
      </c>
      <c r="C37" s="19"/>
      <c r="D37" s="79"/>
      <c r="E37" s="79"/>
      <c r="F37" s="79"/>
      <c r="G37" s="79"/>
    </row>
    <row r="38" spans="1:7">
      <c r="A38" s="79"/>
      <c r="B38" s="79" t="s">
        <v>183</v>
      </c>
      <c r="C38" s="19"/>
      <c r="D38" s="79"/>
      <c r="E38" s="79"/>
      <c r="F38" s="79"/>
      <c r="G38" s="79"/>
    </row>
    <row r="39" spans="1:7">
      <c r="A39" s="79"/>
      <c r="B39" s="79" t="s">
        <v>184</v>
      </c>
      <c r="C39" s="19"/>
      <c r="D39" s="79"/>
      <c r="E39" s="79"/>
      <c r="F39" s="79"/>
      <c r="G39" s="79"/>
    </row>
    <row r="40" spans="1:7">
      <c r="A40" s="79"/>
      <c r="B40" s="79" t="s">
        <v>185</v>
      </c>
      <c r="C40" s="19"/>
      <c r="D40" s="79"/>
      <c r="E40" s="79"/>
      <c r="F40" s="79"/>
      <c r="G40" s="79"/>
    </row>
    <row r="41" spans="1:7">
      <c r="A41" s="79" t="s">
        <v>186</v>
      </c>
      <c r="B41" s="79"/>
      <c r="C41" s="19">
        <v>1000</v>
      </c>
      <c r="D41" s="79"/>
      <c r="E41" s="79"/>
      <c r="F41" s="79"/>
      <c r="G41" s="79"/>
    </row>
    <row r="42" spans="1:7">
      <c r="A42" s="79"/>
      <c r="B42" s="79" t="s">
        <v>187</v>
      </c>
      <c r="C42" s="19"/>
      <c r="D42" s="79"/>
      <c r="E42" s="79"/>
      <c r="F42" s="79"/>
      <c r="G42" s="79"/>
    </row>
    <row r="43" spans="1:7">
      <c r="A43" s="79"/>
      <c r="B43" s="79" t="s">
        <v>188</v>
      </c>
      <c r="C43" s="19"/>
      <c r="D43" s="79"/>
      <c r="E43" s="79"/>
      <c r="F43" s="79"/>
      <c r="G43" s="79"/>
    </row>
    <row r="44" spans="1:7">
      <c r="A44" s="79"/>
      <c r="B44" s="79" t="s">
        <v>189</v>
      </c>
      <c r="C44" s="19"/>
      <c r="D44" s="79"/>
      <c r="E44" s="79"/>
      <c r="F44" s="79"/>
      <c r="G44" s="79"/>
    </row>
    <row r="45" spans="1:7">
      <c r="A45" s="79"/>
      <c r="B45" s="79" t="s">
        <v>190</v>
      </c>
      <c r="C45" s="19"/>
      <c r="D45" s="79"/>
      <c r="E45" s="79"/>
      <c r="F45" s="79"/>
      <c r="G45" s="79"/>
    </row>
    <row r="46" spans="1:7">
      <c r="A46" s="79"/>
      <c r="B46" s="79" t="s">
        <v>176</v>
      </c>
      <c r="C46" s="19"/>
      <c r="D46" s="79"/>
      <c r="E46" s="79"/>
      <c r="F46" s="79"/>
      <c r="G46" s="79"/>
    </row>
    <row r="47" spans="1:7">
      <c r="A47" s="79"/>
      <c r="B47" s="79" t="s">
        <v>191</v>
      </c>
      <c r="C47" s="19"/>
      <c r="D47" s="79"/>
      <c r="E47" s="79"/>
      <c r="F47" s="79"/>
      <c r="G47" s="79"/>
    </row>
    <row r="48" spans="1:7">
      <c r="A48" s="79" t="s">
        <v>192</v>
      </c>
      <c r="B48" s="79"/>
      <c r="C48" s="19"/>
      <c r="D48" s="79"/>
      <c r="E48" s="79"/>
      <c r="F48" s="79"/>
      <c r="G48" s="79"/>
    </row>
    <row r="49" spans="1:7">
      <c r="A49" s="79"/>
      <c r="B49" s="79" t="s">
        <v>193</v>
      </c>
      <c r="C49" s="19"/>
      <c r="D49" s="79"/>
      <c r="E49" s="79"/>
      <c r="F49" s="79"/>
      <c r="G49" s="79"/>
    </row>
    <row r="50" spans="1:7">
      <c r="A50" s="79"/>
      <c r="B50" s="79" t="s">
        <v>194</v>
      </c>
      <c r="C50" s="19"/>
      <c r="D50" s="79"/>
      <c r="E50" s="79"/>
      <c r="F50" s="79"/>
      <c r="G50" s="79"/>
    </row>
    <row r="51" spans="1:7">
      <c r="A51" s="79"/>
      <c r="B51" s="79" t="s">
        <v>195</v>
      </c>
      <c r="C51" s="19"/>
      <c r="D51" s="79"/>
      <c r="E51" s="79"/>
      <c r="F51" s="79"/>
      <c r="G51" s="79"/>
    </row>
  </sheetData>
  <phoneticPr fontId="2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492"/>
  <sheetViews>
    <sheetView workbookViewId="0">
      <pane xSplit="3" ySplit="4" topLeftCell="D126" activePane="bottomRight" state="frozen"/>
      <selection activeCell="B38" sqref="B38:B48"/>
      <selection pane="topRight" activeCell="B38" sqref="B38:B48"/>
      <selection pane="bottomLeft" activeCell="B38" sqref="B38:B48"/>
      <selection pane="bottomRight" activeCell="B38" sqref="B38:B48"/>
    </sheetView>
  </sheetViews>
  <sheetFormatPr defaultColWidth="9.5" defaultRowHeight="13.5"/>
  <cols>
    <col min="40" max="40" width="10.5" customWidth="1"/>
  </cols>
  <sheetData>
    <row r="1" spans="1:72">
      <c r="A1" s="695" t="s">
        <v>289</v>
      </c>
      <c r="B1" s="696"/>
      <c r="C1" s="696"/>
      <c r="D1" s="696"/>
      <c r="E1" s="696"/>
      <c r="F1" s="696"/>
      <c r="G1" s="696"/>
      <c r="I1" s="685" t="s">
        <v>384</v>
      </c>
      <c r="J1" s="686"/>
      <c r="K1" s="249"/>
      <c r="L1" s="687" t="s">
        <v>391</v>
      </c>
      <c r="M1" s="688"/>
      <c r="N1" s="689"/>
      <c r="O1" s="84" t="s">
        <v>385</v>
      </c>
      <c r="Q1" s="685" t="s">
        <v>388</v>
      </c>
      <c r="R1" s="686"/>
      <c r="S1" s="249"/>
      <c r="T1" s="687" t="s">
        <v>391</v>
      </c>
      <c r="U1" s="688"/>
      <c r="V1" s="689"/>
      <c r="W1" s="84" t="s">
        <v>389</v>
      </c>
      <c r="X1" s="252"/>
      <c r="Y1" s="685" t="s">
        <v>392</v>
      </c>
      <c r="Z1" s="686"/>
      <c r="AA1" s="249"/>
      <c r="AB1" s="687" t="s">
        <v>391</v>
      </c>
      <c r="AC1" s="688"/>
      <c r="AD1" s="689"/>
      <c r="AE1" s="84" t="s">
        <v>393</v>
      </c>
      <c r="AG1" s="685" t="s">
        <v>394</v>
      </c>
      <c r="AH1" s="686"/>
      <c r="AI1" s="249"/>
      <c r="AJ1" s="687" t="s">
        <v>402</v>
      </c>
      <c r="AK1" s="688"/>
      <c r="AL1" s="689"/>
      <c r="AM1" s="84" t="s">
        <v>395</v>
      </c>
      <c r="AN1" s="252"/>
      <c r="AO1" s="685" t="s">
        <v>398</v>
      </c>
      <c r="AP1" s="686"/>
      <c r="AQ1" s="249"/>
      <c r="AR1" s="687" t="s">
        <v>402</v>
      </c>
      <c r="AS1" s="688"/>
      <c r="AT1" s="689"/>
      <c r="AU1" s="84" t="s">
        <v>399</v>
      </c>
      <c r="AW1" s="699" t="s">
        <v>409</v>
      </c>
      <c r="AX1" s="700"/>
      <c r="AY1" s="700"/>
      <c r="AZ1" s="700"/>
      <c r="BA1" s="84"/>
      <c r="BB1" s="85"/>
      <c r="BE1" s="699"/>
      <c r="BF1" s="700"/>
      <c r="BG1" s="700"/>
      <c r="BH1" s="700"/>
      <c r="BI1" s="84"/>
      <c r="BJ1" s="85"/>
      <c r="BM1" s="699"/>
      <c r="BN1" s="700"/>
      <c r="BO1" s="700"/>
      <c r="BP1" s="700"/>
      <c r="BQ1" s="84"/>
      <c r="BR1" s="85"/>
    </row>
    <row r="2" spans="1:72" ht="14.25" thickBot="1">
      <c r="A2" s="697"/>
      <c r="B2" s="698"/>
      <c r="C2" s="698"/>
      <c r="D2" s="698"/>
      <c r="E2" s="698"/>
      <c r="F2" s="698"/>
      <c r="G2" s="698"/>
      <c r="I2" s="690" t="s">
        <v>386</v>
      </c>
      <c r="J2" s="691"/>
      <c r="K2" s="250"/>
      <c r="L2" s="692"/>
      <c r="M2" s="693"/>
      <c r="N2" s="694"/>
      <c r="O2" s="251" t="s">
        <v>387</v>
      </c>
      <c r="Q2" s="690" t="s">
        <v>386</v>
      </c>
      <c r="R2" s="691"/>
      <c r="S2" s="250"/>
      <c r="T2" s="692"/>
      <c r="U2" s="693"/>
      <c r="V2" s="694"/>
      <c r="W2" s="251" t="s">
        <v>390</v>
      </c>
      <c r="X2" s="253"/>
      <c r="Y2" s="690" t="s">
        <v>386</v>
      </c>
      <c r="Z2" s="691"/>
      <c r="AA2" s="250"/>
      <c r="AB2" s="692"/>
      <c r="AC2" s="693"/>
      <c r="AD2" s="694"/>
      <c r="AE2" s="251" t="s">
        <v>390</v>
      </c>
      <c r="AG2" s="690" t="s">
        <v>396</v>
      </c>
      <c r="AH2" s="691"/>
      <c r="AI2" s="250"/>
      <c r="AJ2" s="692"/>
      <c r="AK2" s="693"/>
      <c r="AL2" s="694"/>
      <c r="AM2" s="251" t="s">
        <v>397</v>
      </c>
      <c r="AN2" s="253"/>
      <c r="AO2" s="690" t="s">
        <v>400</v>
      </c>
      <c r="AP2" s="691"/>
      <c r="AQ2" s="250"/>
      <c r="AR2" s="692"/>
      <c r="AS2" s="693"/>
      <c r="AT2" s="694"/>
      <c r="AU2" s="251" t="s">
        <v>401</v>
      </c>
      <c r="AW2" s="701"/>
      <c r="AX2" s="702"/>
      <c r="AY2" s="702"/>
      <c r="AZ2" s="702"/>
      <c r="BA2" s="86"/>
      <c r="BB2" s="87"/>
      <c r="BE2" s="701"/>
      <c r="BF2" s="702"/>
      <c r="BG2" s="702"/>
      <c r="BH2" s="702"/>
      <c r="BI2" s="86"/>
      <c r="BJ2" s="87"/>
      <c r="BM2" s="701"/>
      <c r="BN2" s="702"/>
      <c r="BO2" s="702"/>
      <c r="BP2" s="702"/>
      <c r="BQ2" s="86"/>
      <c r="BR2" s="87"/>
    </row>
    <row r="3" spans="1:72" s="103" customFormat="1">
      <c r="A3" s="104"/>
      <c r="B3" s="88"/>
      <c r="C3" s="88"/>
      <c r="D3" s="105"/>
      <c r="E3" s="106" t="s">
        <v>279</v>
      </c>
      <c r="F3" s="106"/>
      <c r="G3" s="107"/>
      <c r="H3" s="107"/>
      <c r="I3" s="104"/>
      <c r="J3" s="88"/>
      <c r="K3" s="88"/>
      <c r="L3" s="105"/>
      <c r="M3" s="106" t="s">
        <v>279</v>
      </c>
      <c r="N3" s="106"/>
      <c r="O3" s="107"/>
      <c r="P3" s="107"/>
      <c r="Q3" s="104"/>
      <c r="R3" s="88"/>
      <c r="S3" s="88"/>
      <c r="T3" s="105"/>
      <c r="U3" s="106" t="s">
        <v>290</v>
      </c>
      <c r="V3" s="106"/>
      <c r="W3" s="107"/>
      <c r="X3" s="107"/>
      <c r="Y3" s="104"/>
      <c r="Z3" s="88"/>
      <c r="AA3" s="88"/>
      <c r="AB3" s="105"/>
      <c r="AC3" s="106" t="s">
        <v>290</v>
      </c>
      <c r="AD3" s="106"/>
      <c r="AE3" s="107"/>
      <c r="AF3" s="107"/>
      <c r="AG3" s="104"/>
      <c r="AH3" s="88"/>
      <c r="AI3" s="88"/>
      <c r="AJ3" s="105"/>
      <c r="AK3" s="106" t="s">
        <v>290</v>
      </c>
      <c r="AL3" s="106"/>
      <c r="AM3" s="107"/>
      <c r="AN3" s="107"/>
      <c r="AO3" s="104"/>
      <c r="AP3" s="88"/>
      <c r="AQ3" s="88"/>
      <c r="AR3" s="105"/>
      <c r="AS3" s="106" t="s">
        <v>290</v>
      </c>
      <c r="AT3" s="106"/>
      <c r="AU3" s="107"/>
      <c r="AV3" s="107"/>
      <c r="AW3" s="104"/>
      <c r="AX3" s="88"/>
      <c r="AY3" s="88"/>
      <c r="AZ3" s="105"/>
      <c r="BA3" s="106" t="s">
        <v>290</v>
      </c>
      <c r="BB3" s="106"/>
      <c r="BC3" s="107"/>
      <c r="BD3" s="107"/>
      <c r="BE3" s="104"/>
      <c r="BF3" s="88"/>
      <c r="BG3" s="88"/>
      <c r="BH3" s="105"/>
      <c r="BI3" s="106" t="s">
        <v>290</v>
      </c>
      <c r="BJ3" s="106"/>
      <c r="BK3" s="107"/>
      <c r="BL3" s="107"/>
      <c r="BM3" s="104"/>
      <c r="BN3" s="88"/>
      <c r="BO3" s="88"/>
      <c r="BP3" s="105"/>
      <c r="BQ3" s="106" t="s">
        <v>290</v>
      </c>
      <c r="BR3" s="106"/>
      <c r="BS3" s="107"/>
      <c r="BT3" s="107"/>
    </row>
    <row r="4" spans="1:72" s="103" customFormat="1">
      <c r="A4" s="108" t="s">
        <v>280</v>
      </c>
      <c r="B4" s="80" t="s">
        <v>281</v>
      </c>
      <c r="C4" s="80" t="s">
        <v>282</v>
      </c>
      <c r="D4" s="109" t="s">
        <v>283</v>
      </c>
      <c r="E4" s="109" t="s">
        <v>284</v>
      </c>
      <c r="F4" s="110" t="s">
        <v>285</v>
      </c>
      <c r="G4" s="111" t="s">
        <v>286</v>
      </c>
      <c r="H4" s="112" t="s">
        <v>287</v>
      </c>
      <c r="I4" s="108" t="s">
        <v>280</v>
      </c>
      <c r="J4" s="80" t="s">
        <v>281</v>
      </c>
      <c r="K4" s="80" t="s">
        <v>282</v>
      </c>
      <c r="L4" s="109" t="s">
        <v>283</v>
      </c>
      <c r="M4" s="109" t="s">
        <v>284</v>
      </c>
      <c r="N4" s="110" t="s">
        <v>285</v>
      </c>
      <c r="O4" s="111" t="s">
        <v>286</v>
      </c>
      <c r="P4" s="112" t="s">
        <v>287</v>
      </c>
      <c r="Q4" s="108" t="s">
        <v>295</v>
      </c>
      <c r="R4" s="80" t="s">
        <v>296</v>
      </c>
      <c r="S4" s="80" t="s">
        <v>297</v>
      </c>
      <c r="T4" s="109" t="s">
        <v>283</v>
      </c>
      <c r="U4" s="109" t="s">
        <v>284</v>
      </c>
      <c r="V4" s="110" t="s">
        <v>285</v>
      </c>
      <c r="W4" s="111" t="s">
        <v>286</v>
      </c>
      <c r="X4" s="112" t="s">
        <v>287</v>
      </c>
      <c r="Y4" s="108" t="s">
        <v>280</v>
      </c>
      <c r="Z4" s="80" t="s">
        <v>281</v>
      </c>
      <c r="AA4" s="80" t="s">
        <v>282</v>
      </c>
      <c r="AB4" s="109" t="s">
        <v>294</v>
      </c>
      <c r="AC4" s="109" t="s">
        <v>291</v>
      </c>
      <c r="AD4" s="110" t="s">
        <v>285</v>
      </c>
      <c r="AE4" s="111" t="s">
        <v>292</v>
      </c>
      <c r="AF4" s="112" t="s">
        <v>293</v>
      </c>
      <c r="AG4" s="108" t="s">
        <v>280</v>
      </c>
      <c r="AH4" s="80" t="s">
        <v>281</v>
      </c>
      <c r="AI4" s="80" t="s">
        <v>282</v>
      </c>
      <c r="AJ4" s="109" t="s">
        <v>294</v>
      </c>
      <c r="AK4" s="109" t="s">
        <v>291</v>
      </c>
      <c r="AL4" s="110" t="s">
        <v>285</v>
      </c>
      <c r="AM4" s="111" t="s">
        <v>292</v>
      </c>
      <c r="AN4" s="112" t="s">
        <v>293</v>
      </c>
      <c r="AO4" s="108" t="s">
        <v>280</v>
      </c>
      <c r="AP4" s="80" t="s">
        <v>281</v>
      </c>
      <c r="AQ4" s="80" t="s">
        <v>282</v>
      </c>
      <c r="AR4" s="109" t="s">
        <v>294</v>
      </c>
      <c r="AS4" s="109" t="s">
        <v>291</v>
      </c>
      <c r="AT4" s="110" t="s">
        <v>285</v>
      </c>
      <c r="AU4" s="111" t="s">
        <v>292</v>
      </c>
      <c r="AV4" s="112" t="s">
        <v>293</v>
      </c>
      <c r="AW4" s="108" t="s">
        <v>280</v>
      </c>
      <c r="AX4" s="80" t="s">
        <v>281</v>
      </c>
      <c r="AY4" s="80" t="s">
        <v>282</v>
      </c>
      <c r="AZ4" s="109" t="s">
        <v>294</v>
      </c>
      <c r="BA4" s="109" t="s">
        <v>291</v>
      </c>
      <c r="BB4" s="110" t="s">
        <v>285</v>
      </c>
      <c r="BC4" s="111" t="s">
        <v>286</v>
      </c>
      <c r="BD4" s="112" t="s">
        <v>293</v>
      </c>
      <c r="BE4" s="108" t="s">
        <v>280</v>
      </c>
      <c r="BF4" s="80" t="s">
        <v>281</v>
      </c>
      <c r="BG4" s="80" t="s">
        <v>282</v>
      </c>
      <c r="BH4" s="109" t="s">
        <v>294</v>
      </c>
      <c r="BI4" s="109" t="s">
        <v>291</v>
      </c>
      <c r="BJ4" s="110" t="s">
        <v>285</v>
      </c>
      <c r="BK4" s="111" t="s">
        <v>286</v>
      </c>
      <c r="BL4" s="112" t="s">
        <v>293</v>
      </c>
      <c r="BM4" s="108" t="s">
        <v>280</v>
      </c>
      <c r="BN4" s="80" t="s">
        <v>281</v>
      </c>
      <c r="BO4" s="80" t="s">
        <v>282</v>
      </c>
      <c r="BP4" s="109" t="s">
        <v>294</v>
      </c>
      <c r="BQ4" s="109" t="s">
        <v>291</v>
      </c>
      <c r="BR4" s="110" t="s">
        <v>285</v>
      </c>
      <c r="BS4" s="111" t="s">
        <v>286</v>
      </c>
      <c r="BT4" s="112" t="s">
        <v>293</v>
      </c>
    </row>
    <row r="5" spans="1:72">
      <c r="A5" s="89">
        <v>1</v>
      </c>
      <c r="B5" s="90">
        <v>40688</v>
      </c>
      <c r="D5" s="113">
        <f>L5+T5+AB5+AJ5+AR5+AZ5+BH5+BP5</f>
        <v>754086</v>
      </c>
      <c r="E5" s="113">
        <f>M5+U5+AC5+AK5+AS5+BA5+BI5+BQ5</f>
        <v>148858</v>
      </c>
      <c r="F5" s="113">
        <f>N5+V5+AD5+AL5</f>
        <v>105</v>
      </c>
      <c r="G5" s="114">
        <f>O5+W5+AE5+AM5</f>
        <v>663043</v>
      </c>
      <c r="H5" s="114">
        <f>P5+X5+AF5+AN5</f>
        <v>108483414</v>
      </c>
      <c r="I5" s="89">
        <v>1</v>
      </c>
      <c r="J5" s="81">
        <v>40688</v>
      </c>
      <c r="K5" s="82"/>
      <c r="L5" s="82">
        <v>241606</v>
      </c>
      <c r="M5" s="82">
        <v>28541</v>
      </c>
      <c r="N5" s="82">
        <v>25</v>
      </c>
      <c r="O5" s="82">
        <f t="shared" ref="O5:O36" si="0">L5+M5</f>
        <v>270147</v>
      </c>
      <c r="P5" s="82">
        <v>14252394</v>
      </c>
      <c r="Q5" s="89"/>
      <c r="R5" s="81">
        <v>40688</v>
      </c>
      <c r="S5" s="82">
        <f t="shared" ref="S5:S36" si="1">W5+AB5</f>
        <v>307293</v>
      </c>
      <c r="T5" s="82">
        <v>140111</v>
      </c>
      <c r="U5" s="82">
        <v>15313</v>
      </c>
      <c r="V5" s="82">
        <v>25</v>
      </c>
      <c r="W5" s="82">
        <f t="shared" ref="W5:W36" si="2">T5+U5</f>
        <v>155424</v>
      </c>
      <c r="X5" s="82">
        <v>11626889</v>
      </c>
      <c r="Y5" s="254">
        <v>1</v>
      </c>
      <c r="Z5" s="81">
        <v>40688</v>
      </c>
      <c r="AA5" s="82">
        <f t="shared" ref="AA5:AA36" si="3">AE5+AJ5</f>
        <v>171308</v>
      </c>
      <c r="AB5" s="82">
        <v>151869</v>
      </c>
      <c r="AC5" s="82">
        <v>19439</v>
      </c>
      <c r="AD5" s="82">
        <v>25</v>
      </c>
      <c r="AE5" s="82">
        <f t="shared" ref="AE5:AE36" si="4">AB5+AC5</f>
        <v>171308</v>
      </c>
      <c r="AF5" s="82">
        <v>12604131</v>
      </c>
      <c r="AG5" s="89"/>
      <c r="AH5" s="81">
        <v>40673</v>
      </c>
      <c r="AI5" s="83">
        <f t="shared" ref="AI5:AI36" si="5">AM5+AR5</f>
        <v>286664</v>
      </c>
      <c r="AJ5" s="83">
        <v>0</v>
      </c>
      <c r="AK5" s="83">
        <v>66164</v>
      </c>
      <c r="AL5" s="83">
        <v>30</v>
      </c>
      <c r="AM5" s="83">
        <f t="shared" ref="AM5:AM36" si="6">AJ5+AK5</f>
        <v>66164</v>
      </c>
      <c r="AN5" s="83">
        <v>70000000</v>
      </c>
      <c r="AO5" s="89"/>
      <c r="AP5" s="81">
        <v>40694</v>
      </c>
      <c r="AQ5" s="83">
        <f t="shared" ref="AQ5:AQ36" si="7">AU5+AZ5</f>
        <v>239901</v>
      </c>
      <c r="AR5" s="83">
        <v>220500</v>
      </c>
      <c r="AS5" s="83">
        <v>19401</v>
      </c>
      <c r="AT5" s="83">
        <v>31</v>
      </c>
      <c r="AU5" s="83">
        <f t="shared" ref="AU5:AU36" si="8">AR5+AS5</f>
        <v>239901</v>
      </c>
      <c r="AV5" s="83">
        <v>12127500</v>
      </c>
      <c r="AW5" s="89">
        <v>1</v>
      </c>
      <c r="AX5" s="90">
        <v>40688</v>
      </c>
      <c r="AY5" s="91"/>
      <c r="AZ5" s="91"/>
      <c r="BA5" s="91"/>
      <c r="BB5" s="91"/>
      <c r="BC5" s="92"/>
      <c r="BD5" s="92">
        <v>98000000</v>
      </c>
      <c r="BE5" s="89"/>
      <c r="BF5" s="90"/>
      <c r="BG5" s="91"/>
      <c r="BH5" s="91"/>
      <c r="BI5" s="91"/>
      <c r="BJ5" s="91"/>
      <c r="BK5" s="92"/>
      <c r="BL5" s="92"/>
      <c r="BM5" s="89"/>
      <c r="BN5" s="90"/>
      <c r="BO5" s="91"/>
      <c r="BP5" s="91"/>
      <c r="BQ5" s="91"/>
      <c r="BR5" s="91"/>
      <c r="BS5" s="92"/>
      <c r="BT5" s="92"/>
    </row>
    <row r="6" spans="1:72">
      <c r="A6" s="89">
        <v>2</v>
      </c>
      <c r="B6" s="90">
        <v>40719</v>
      </c>
      <c r="C6" s="93"/>
      <c r="D6" s="113">
        <f t="shared" ref="D6:D14" si="9">L6+T6+AB6+AJ6+AR6+AZ6+BH6+BP6</f>
        <v>754006</v>
      </c>
      <c r="E6" s="113">
        <f t="shared" ref="E6:E14" si="10">M6+U6+AC6+AK6+AS6+BA6+BI6+BQ6</f>
        <v>164190</v>
      </c>
      <c r="F6" s="113">
        <f t="shared" ref="F6:F69" si="11">N6+V6+AD6+AL6</f>
        <v>124</v>
      </c>
      <c r="G6" s="114">
        <f t="shared" ref="G6:G69" si="12">O6+W6+AE6+AM6</f>
        <v>679256</v>
      </c>
      <c r="H6" s="114">
        <f t="shared" ref="H6:H69" si="13">P6+X6+AF6+AN6</f>
        <v>107949908</v>
      </c>
      <c r="I6" s="89">
        <v>2</v>
      </c>
      <c r="J6" s="81">
        <v>40719</v>
      </c>
      <c r="K6" s="83">
        <f t="shared" ref="K6:K37" si="14">O6+T6</f>
        <v>416450</v>
      </c>
      <c r="L6" s="83">
        <v>241566</v>
      </c>
      <c r="M6" s="83">
        <v>34801</v>
      </c>
      <c r="N6" s="83">
        <v>31</v>
      </c>
      <c r="O6" s="83">
        <f t="shared" si="0"/>
        <v>276367</v>
      </c>
      <c r="P6" s="83">
        <v>14010828</v>
      </c>
      <c r="Q6" s="89"/>
      <c r="R6" s="81">
        <v>40719</v>
      </c>
      <c r="S6" s="83">
        <f t="shared" si="1"/>
        <v>310702</v>
      </c>
      <c r="T6" s="83">
        <v>140083</v>
      </c>
      <c r="U6" s="83">
        <v>18762</v>
      </c>
      <c r="V6" s="83">
        <v>31</v>
      </c>
      <c r="W6" s="83">
        <f t="shared" si="2"/>
        <v>158845</v>
      </c>
      <c r="X6" s="83">
        <v>11486806</v>
      </c>
      <c r="Y6" s="254">
        <v>2</v>
      </c>
      <c r="Z6" s="81">
        <v>40719</v>
      </c>
      <c r="AA6" s="83">
        <f t="shared" si="3"/>
        <v>175675</v>
      </c>
      <c r="AB6" s="83">
        <v>151857</v>
      </c>
      <c r="AC6" s="83">
        <v>23818</v>
      </c>
      <c r="AD6" s="83">
        <v>31</v>
      </c>
      <c r="AE6" s="83">
        <f t="shared" si="4"/>
        <v>175675</v>
      </c>
      <c r="AF6" s="83">
        <v>12452274</v>
      </c>
      <c r="AG6" s="89"/>
      <c r="AH6" s="81">
        <v>40704</v>
      </c>
      <c r="AI6" s="83">
        <f t="shared" si="5"/>
        <v>288869</v>
      </c>
      <c r="AJ6" s="83">
        <v>0</v>
      </c>
      <c r="AK6" s="83">
        <v>68369</v>
      </c>
      <c r="AL6" s="83">
        <v>31</v>
      </c>
      <c r="AM6" s="83">
        <f t="shared" si="6"/>
        <v>68369</v>
      </c>
      <c r="AN6" s="83">
        <v>70000000</v>
      </c>
      <c r="AO6" s="89"/>
      <c r="AP6" s="81">
        <v>40724</v>
      </c>
      <c r="AQ6" s="83">
        <f t="shared" si="7"/>
        <v>238940</v>
      </c>
      <c r="AR6" s="83">
        <v>220500</v>
      </c>
      <c r="AS6" s="83">
        <v>18440</v>
      </c>
      <c r="AT6" s="83">
        <v>30</v>
      </c>
      <c r="AU6" s="83">
        <f t="shared" si="8"/>
        <v>238940</v>
      </c>
      <c r="AV6" s="83">
        <v>11907000</v>
      </c>
      <c r="AW6" s="89">
        <v>2</v>
      </c>
      <c r="AX6" s="90">
        <v>40719</v>
      </c>
      <c r="AY6" s="93"/>
      <c r="AZ6" s="93"/>
      <c r="BA6" s="91"/>
      <c r="BB6" s="93"/>
      <c r="BC6" s="94"/>
      <c r="BD6" s="94"/>
      <c r="BE6" s="89"/>
      <c r="BF6" s="90"/>
      <c r="BG6" s="93"/>
      <c r="BH6" s="93"/>
      <c r="BI6" s="93"/>
      <c r="BJ6" s="93"/>
      <c r="BK6" s="94"/>
      <c r="BL6" s="94"/>
      <c r="BM6" s="89"/>
      <c r="BN6" s="90"/>
      <c r="BO6" s="93"/>
      <c r="BP6" s="93"/>
      <c r="BQ6" s="93"/>
      <c r="BR6" s="93"/>
      <c r="BS6" s="94"/>
      <c r="BT6" s="94"/>
    </row>
    <row r="7" spans="1:72">
      <c r="A7" s="89">
        <v>3</v>
      </c>
      <c r="B7" s="90">
        <v>40749</v>
      </c>
      <c r="C7" s="93"/>
      <c r="D7" s="113">
        <f t="shared" si="9"/>
        <v>754006</v>
      </c>
      <c r="E7" s="113">
        <f t="shared" si="10"/>
        <v>158689</v>
      </c>
      <c r="F7" s="113">
        <f t="shared" si="11"/>
        <v>120</v>
      </c>
      <c r="G7" s="114">
        <f t="shared" si="12"/>
        <v>673487</v>
      </c>
      <c r="H7" s="114">
        <f t="shared" si="13"/>
        <v>107416402</v>
      </c>
      <c r="I7" s="89">
        <v>3</v>
      </c>
      <c r="J7" s="81">
        <v>40749</v>
      </c>
      <c r="K7" s="83">
        <f t="shared" si="14"/>
        <v>414756</v>
      </c>
      <c r="L7" s="83">
        <v>241566</v>
      </c>
      <c r="M7" s="83">
        <v>33107</v>
      </c>
      <c r="N7" s="83">
        <v>30</v>
      </c>
      <c r="O7" s="83">
        <f t="shared" si="0"/>
        <v>274673</v>
      </c>
      <c r="P7" s="83">
        <v>13769262</v>
      </c>
      <c r="Q7" s="89"/>
      <c r="R7" s="81">
        <v>40749</v>
      </c>
      <c r="S7" s="83">
        <f t="shared" si="1"/>
        <v>309878</v>
      </c>
      <c r="T7" s="83">
        <v>140083</v>
      </c>
      <c r="U7" s="83">
        <v>17938</v>
      </c>
      <c r="V7" s="83">
        <v>30</v>
      </c>
      <c r="W7" s="83">
        <f t="shared" si="2"/>
        <v>158021</v>
      </c>
      <c r="X7" s="83">
        <v>11346723</v>
      </c>
      <c r="Y7" s="254">
        <v>3</v>
      </c>
      <c r="Z7" s="81">
        <v>40749</v>
      </c>
      <c r="AA7" s="83">
        <f t="shared" si="3"/>
        <v>174629</v>
      </c>
      <c r="AB7" s="83">
        <v>151857</v>
      </c>
      <c r="AC7" s="83">
        <v>22772</v>
      </c>
      <c r="AD7" s="83">
        <v>30</v>
      </c>
      <c r="AE7" s="83">
        <f t="shared" si="4"/>
        <v>174629</v>
      </c>
      <c r="AF7" s="83">
        <v>12300417</v>
      </c>
      <c r="AG7" s="89"/>
      <c r="AH7" s="81">
        <v>40734</v>
      </c>
      <c r="AI7" s="83">
        <f t="shared" si="5"/>
        <v>286664</v>
      </c>
      <c r="AJ7" s="83">
        <v>0</v>
      </c>
      <c r="AK7" s="83">
        <v>66164</v>
      </c>
      <c r="AL7" s="83">
        <v>30</v>
      </c>
      <c r="AM7" s="83">
        <f t="shared" si="6"/>
        <v>66164</v>
      </c>
      <c r="AN7" s="83">
        <v>70000000</v>
      </c>
      <c r="AO7" s="89"/>
      <c r="AP7" s="81">
        <v>40755</v>
      </c>
      <c r="AQ7" s="83">
        <f t="shared" si="7"/>
        <v>239208</v>
      </c>
      <c r="AR7" s="83">
        <v>220500</v>
      </c>
      <c r="AS7" s="83">
        <v>18708</v>
      </c>
      <c r="AT7" s="83">
        <v>31</v>
      </c>
      <c r="AU7" s="83">
        <f t="shared" si="8"/>
        <v>239208</v>
      </c>
      <c r="AV7" s="83">
        <v>11686500</v>
      </c>
      <c r="AW7" s="89">
        <v>3</v>
      </c>
      <c r="AX7" s="90">
        <v>40749</v>
      </c>
      <c r="AY7" s="93"/>
      <c r="AZ7" s="93"/>
      <c r="BA7" s="93"/>
      <c r="BB7" s="93"/>
      <c r="BC7" s="94"/>
      <c r="BD7" s="94"/>
      <c r="BE7" s="89"/>
      <c r="BF7" s="90"/>
      <c r="BG7" s="93"/>
      <c r="BH7" s="93"/>
      <c r="BI7" s="93"/>
      <c r="BJ7" s="93"/>
      <c r="BK7" s="94"/>
      <c r="BL7" s="94"/>
      <c r="BM7" s="89"/>
      <c r="BN7" s="90"/>
      <c r="BO7" s="93"/>
      <c r="BP7" s="93"/>
      <c r="BQ7" s="93"/>
      <c r="BR7" s="93"/>
      <c r="BS7" s="94"/>
      <c r="BT7" s="94"/>
    </row>
    <row r="8" spans="1:72">
      <c r="A8" s="89">
        <v>4</v>
      </c>
      <c r="B8" s="90">
        <v>40780</v>
      </c>
      <c r="C8" s="93"/>
      <c r="D8" s="113">
        <f t="shared" si="9"/>
        <v>754006</v>
      </c>
      <c r="E8" s="113">
        <f t="shared" si="10"/>
        <v>161906</v>
      </c>
      <c r="F8" s="113">
        <f t="shared" si="11"/>
        <v>124</v>
      </c>
      <c r="G8" s="114">
        <f t="shared" si="12"/>
        <v>677050</v>
      </c>
      <c r="H8" s="114">
        <f t="shared" si="13"/>
        <v>106882896</v>
      </c>
      <c r="I8" s="89">
        <v>4</v>
      </c>
      <c r="J8" s="81">
        <v>40780</v>
      </c>
      <c r="K8" s="83">
        <f t="shared" si="14"/>
        <v>415270</v>
      </c>
      <c r="L8" s="83">
        <v>241566</v>
      </c>
      <c r="M8" s="83">
        <v>33621</v>
      </c>
      <c r="N8" s="83">
        <v>31</v>
      </c>
      <c r="O8" s="83">
        <f t="shared" si="0"/>
        <v>275187</v>
      </c>
      <c r="P8" s="83">
        <v>13527696</v>
      </c>
      <c r="Q8" s="89"/>
      <c r="R8" s="81">
        <v>40780</v>
      </c>
      <c r="S8" s="83">
        <f t="shared" si="1"/>
        <v>310250</v>
      </c>
      <c r="T8" s="83">
        <v>140083</v>
      </c>
      <c r="U8" s="83">
        <v>18310</v>
      </c>
      <c r="V8" s="83">
        <v>31</v>
      </c>
      <c r="W8" s="83">
        <f t="shared" si="2"/>
        <v>158393</v>
      </c>
      <c r="X8" s="83">
        <v>11206640</v>
      </c>
      <c r="Y8" s="254">
        <v>4</v>
      </c>
      <c r="Z8" s="81">
        <v>40780</v>
      </c>
      <c r="AA8" s="83">
        <f t="shared" si="3"/>
        <v>175101</v>
      </c>
      <c r="AB8" s="83">
        <v>151857</v>
      </c>
      <c r="AC8" s="83">
        <v>23244</v>
      </c>
      <c r="AD8" s="83">
        <v>31</v>
      </c>
      <c r="AE8" s="83">
        <f t="shared" si="4"/>
        <v>175101</v>
      </c>
      <c r="AF8" s="83">
        <v>12148560</v>
      </c>
      <c r="AG8" s="89"/>
      <c r="AH8" s="81">
        <v>40765</v>
      </c>
      <c r="AI8" s="83">
        <f t="shared" si="5"/>
        <v>288869</v>
      </c>
      <c r="AJ8" s="83">
        <v>0</v>
      </c>
      <c r="AK8" s="83">
        <v>68369</v>
      </c>
      <c r="AL8" s="83">
        <v>31</v>
      </c>
      <c r="AM8" s="83">
        <f t="shared" si="6"/>
        <v>68369</v>
      </c>
      <c r="AN8" s="83">
        <v>70000000</v>
      </c>
      <c r="AO8" s="89"/>
      <c r="AP8" s="81">
        <v>40786</v>
      </c>
      <c r="AQ8" s="83">
        <f t="shared" si="7"/>
        <v>238862</v>
      </c>
      <c r="AR8" s="83">
        <v>220500</v>
      </c>
      <c r="AS8" s="83">
        <v>18362</v>
      </c>
      <c r="AT8" s="83">
        <v>31</v>
      </c>
      <c r="AU8" s="83">
        <f t="shared" si="8"/>
        <v>238862</v>
      </c>
      <c r="AV8" s="83">
        <v>11466000</v>
      </c>
      <c r="AW8" s="89">
        <v>4</v>
      </c>
      <c r="AX8" s="90">
        <v>40780</v>
      </c>
      <c r="AY8" s="93"/>
      <c r="AZ8" s="93"/>
      <c r="BA8" s="93"/>
      <c r="BB8" s="93"/>
      <c r="BC8" s="94"/>
      <c r="BD8" s="94"/>
      <c r="BE8" s="89"/>
      <c r="BF8" s="90"/>
      <c r="BG8" s="93"/>
      <c r="BH8" s="93"/>
      <c r="BI8" s="93"/>
      <c r="BJ8" s="93"/>
      <c r="BK8" s="94"/>
      <c r="BL8" s="94"/>
      <c r="BM8" s="89"/>
      <c r="BN8" s="90"/>
      <c r="BO8" s="93"/>
      <c r="BP8" s="93"/>
      <c r="BQ8" s="93"/>
      <c r="BR8" s="93"/>
      <c r="BS8" s="94"/>
      <c r="BT8" s="94"/>
    </row>
    <row r="9" spans="1:72">
      <c r="A9" s="89">
        <v>5</v>
      </c>
      <c r="B9" s="90">
        <v>40811</v>
      </c>
      <c r="C9" s="93"/>
      <c r="D9" s="113">
        <f t="shared" si="9"/>
        <v>754006</v>
      </c>
      <c r="E9" s="113">
        <f t="shared" si="10"/>
        <v>159875</v>
      </c>
      <c r="F9" s="113">
        <f t="shared" si="11"/>
        <v>124</v>
      </c>
      <c r="G9" s="114">
        <f t="shared" si="12"/>
        <v>675947</v>
      </c>
      <c r="H9" s="114">
        <f t="shared" si="13"/>
        <v>106349390</v>
      </c>
      <c r="I9" s="89">
        <v>5</v>
      </c>
      <c r="J9" s="81">
        <v>40811</v>
      </c>
      <c r="K9" s="83">
        <f t="shared" si="14"/>
        <v>414680</v>
      </c>
      <c r="L9" s="83">
        <v>241566</v>
      </c>
      <c r="M9" s="83">
        <v>33031</v>
      </c>
      <c r="N9" s="83">
        <v>31</v>
      </c>
      <c r="O9" s="83">
        <f t="shared" si="0"/>
        <v>274597</v>
      </c>
      <c r="P9" s="83">
        <v>13286130</v>
      </c>
      <c r="Q9" s="89"/>
      <c r="R9" s="81">
        <v>40811</v>
      </c>
      <c r="S9" s="83">
        <f t="shared" si="1"/>
        <v>310024</v>
      </c>
      <c r="T9" s="83">
        <v>140083</v>
      </c>
      <c r="U9" s="83">
        <v>18084</v>
      </c>
      <c r="V9" s="83">
        <v>31</v>
      </c>
      <c r="W9" s="83">
        <f t="shared" si="2"/>
        <v>158167</v>
      </c>
      <c r="X9" s="83">
        <v>11066557</v>
      </c>
      <c r="Y9" s="254">
        <v>5</v>
      </c>
      <c r="Z9" s="81">
        <v>40811</v>
      </c>
      <c r="AA9" s="83">
        <f t="shared" si="3"/>
        <v>174814</v>
      </c>
      <c r="AB9" s="83">
        <v>151857</v>
      </c>
      <c r="AC9" s="83">
        <v>22957</v>
      </c>
      <c r="AD9" s="83">
        <v>31</v>
      </c>
      <c r="AE9" s="83">
        <f t="shared" si="4"/>
        <v>174814</v>
      </c>
      <c r="AF9" s="83">
        <v>11996703</v>
      </c>
      <c r="AG9" s="89"/>
      <c r="AH9" s="81">
        <v>40796</v>
      </c>
      <c r="AI9" s="83">
        <f t="shared" si="5"/>
        <v>288869</v>
      </c>
      <c r="AJ9" s="83">
        <v>0</v>
      </c>
      <c r="AK9" s="83">
        <v>68369</v>
      </c>
      <c r="AL9" s="83">
        <v>31</v>
      </c>
      <c r="AM9" s="83">
        <f t="shared" si="6"/>
        <v>68369</v>
      </c>
      <c r="AN9" s="83">
        <v>70000000</v>
      </c>
      <c r="AO9" s="89"/>
      <c r="AP9" s="81">
        <v>40816</v>
      </c>
      <c r="AQ9" s="83">
        <f t="shared" si="7"/>
        <v>237934</v>
      </c>
      <c r="AR9" s="83">
        <v>220500</v>
      </c>
      <c r="AS9" s="83">
        <v>17434</v>
      </c>
      <c r="AT9" s="83">
        <v>30</v>
      </c>
      <c r="AU9" s="83">
        <f t="shared" si="8"/>
        <v>237934</v>
      </c>
      <c r="AV9" s="83">
        <v>11245500</v>
      </c>
      <c r="AW9" s="89">
        <v>5</v>
      </c>
      <c r="AX9" s="90">
        <v>40811</v>
      </c>
      <c r="AY9" s="93"/>
      <c r="AZ9" s="93"/>
      <c r="BA9" s="93"/>
      <c r="BB9" s="93"/>
      <c r="BC9" s="94"/>
      <c r="BD9" s="94"/>
      <c r="BE9" s="89"/>
      <c r="BF9" s="90"/>
      <c r="BG9" s="93"/>
      <c r="BH9" s="93"/>
      <c r="BI9" s="93"/>
      <c r="BJ9" s="93"/>
      <c r="BK9" s="94"/>
      <c r="BL9" s="94"/>
      <c r="BM9" s="89"/>
      <c r="BN9" s="90"/>
      <c r="BO9" s="93"/>
      <c r="BP9" s="93"/>
      <c r="BQ9" s="93"/>
      <c r="BR9" s="93"/>
      <c r="BS9" s="94"/>
      <c r="BT9" s="94"/>
    </row>
    <row r="10" spans="1:72">
      <c r="A10" s="89">
        <v>6</v>
      </c>
      <c r="B10" s="90">
        <v>40841</v>
      </c>
      <c r="C10" s="93"/>
      <c r="D10" s="113">
        <f t="shared" si="9"/>
        <v>754006</v>
      </c>
      <c r="E10" s="113">
        <f t="shared" si="10"/>
        <v>3094448</v>
      </c>
      <c r="F10" s="113">
        <f t="shared" si="11"/>
        <v>120</v>
      </c>
      <c r="G10" s="114">
        <f t="shared" si="12"/>
        <v>670285</v>
      </c>
      <c r="H10" s="114">
        <f t="shared" si="13"/>
        <v>105815884</v>
      </c>
      <c r="I10" s="89">
        <v>6</v>
      </c>
      <c r="J10" s="81">
        <v>40841</v>
      </c>
      <c r="K10" s="83">
        <f t="shared" si="14"/>
        <v>413044</v>
      </c>
      <c r="L10" s="83">
        <v>241566</v>
      </c>
      <c r="M10" s="83">
        <v>31395</v>
      </c>
      <c r="N10" s="83">
        <v>30</v>
      </c>
      <c r="O10" s="83">
        <f t="shared" si="0"/>
        <v>272961</v>
      </c>
      <c r="P10" s="83">
        <v>13044564</v>
      </c>
      <c r="Q10" s="89"/>
      <c r="R10" s="81">
        <v>40841</v>
      </c>
      <c r="S10" s="83">
        <f t="shared" si="1"/>
        <v>309221</v>
      </c>
      <c r="T10" s="83">
        <v>140083</v>
      </c>
      <c r="U10" s="83">
        <v>17281</v>
      </c>
      <c r="V10" s="83">
        <v>30</v>
      </c>
      <c r="W10" s="83">
        <f t="shared" si="2"/>
        <v>157364</v>
      </c>
      <c r="X10" s="83">
        <v>10926474</v>
      </c>
      <c r="Y10" s="254">
        <v>6</v>
      </c>
      <c r="Z10" s="81">
        <v>40841</v>
      </c>
      <c r="AA10" s="83">
        <f t="shared" si="3"/>
        <v>173796</v>
      </c>
      <c r="AB10" s="83">
        <v>151857</v>
      </c>
      <c r="AC10" s="83">
        <v>21939</v>
      </c>
      <c r="AD10" s="83">
        <v>30</v>
      </c>
      <c r="AE10" s="83">
        <f t="shared" si="4"/>
        <v>173796</v>
      </c>
      <c r="AF10" s="83">
        <v>11844846</v>
      </c>
      <c r="AG10" s="89"/>
      <c r="AH10" s="81">
        <v>40826</v>
      </c>
      <c r="AI10" s="83">
        <f t="shared" si="5"/>
        <v>286664</v>
      </c>
      <c r="AJ10" s="83">
        <v>0</v>
      </c>
      <c r="AK10" s="83">
        <v>66164</v>
      </c>
      <c r="AL10" s="83">
        <v>30</v>
      </c>
      <c r="AM10" s="83">
        <f t="shared" si="6"/>
        <v>66164</v>
      </c>
      <c r="AN10" s="83">
        <v>70000000</v>
      </c>
      <c r="AO10" s="89"/>
      <c r="AP10" s="81">
        <v>40847</v>
      </c>
      <c r="AQ10" s="83">
        <f t="shared" si="7"/>
        <v>238169</v>
      </c>
      <c r="AR10" s="83">
        <v>220500</v>
      </c>
      <c r="AS10" s="83">
        <v>17669</v>
      </c>
      <c r="AT10" s="83">
        <v>31</v>
      </c>
      <c r="AU10" s="83">
        <f t="shared" si="8"/>
        <v>238169</v>
      </c>
      <c r="AV10" s="83">
        <v>11025000</v>
      </c>
      <c r="AW10" s="89">
        <v>6</v>
      </c>
      <c r="AX10" s="90">
        <v>40841</v>
      </c>
      <c r="AY10" s="93"/>
      <c r="AZ10" s="93"/>
      <c r="BA10" s="93">
        <v>2940000</v>
      </c>
      <c r="BB10" s="93"/>
      <c r="BC10" s="94"/>
      <c r="BD10" s="94"/>
      <c r="BE10" s="89"/>
      <c r="BF10" s="90"/>
      <c r="BG10" s="93"/>
      <c r="BH10" s="93"/>
      <c r="BI10" s="93"/>
      <c r="BJ10" s="93"/>
      <c r="BK10" s="94"/>
      <c r="BL10" s="94"/>
      <c r="BM10" s="89"/>
      <c r="BN10" s="90"/>
      <c r="BO10" s="93"/>
      <c r="BP10" s="93"/>
      <c r="BQ10" s="93"/>
      <c r="BR10" s="93"/>
      <c r="BS10" s="94"/>
      <c r="BT10" s="94"/>
    </row>
    <row r="11" spans="1:72">
      <c r="A11" s="89">
        <v>7</v>
      </c>
      <c r="B11" s="90">
        <v>40872</v>
      </c>
      <c r="C11" s="93"/>
      <c r="D11" s="113">
        <f t="shared" si="9"/>
        <v>754006</v>
      </c>
      <c r="E11" s="113">
        <f t="shared" si="10"/>
        <v>156998</v>
      </c>
      <c r="F11" s="113">
        <f t="shared" si="11"/>
        <v>124</v>
      </c>
      <c r="G11" s="114">
        <f t="shared" si="12"/>
        <v>673740</v>
      </c>
      <c r="H11" s="114">
        <f t="shared" si="13"/>
        <v>105282378</v>
      </c>
      <c r="I11" s="89">
        <v>7</v>
      </c>
      <c r="J11" s="81">
        <v>40872</v>
      </c>
      <c r="K11" s="83">
        <f t="shared" si="14"/>
        <v>413500</v>
      </c>
      <c r="L11" s="83">
        <v>241566</v>
      </c>
      <c r="M11" s="83">
        <v>31851</v>
      </c>
      <c r="N11" s="83">
        <v>31</v>
      </c>
      <c r="O11" s="83">
        <f t="shared" si="0"/>
        <v>273417</v>
      </c>
      <c r="P11" s="83">
        <v>12802998</v>
      </c>
      <c r="Q11" s="89"/>
      <c r="R11" s="81">
        <v>40872</v>
      </c>
      <c r="S11" s="83">
        <f t="shared" si="1"/>
        <v>309571</v>
      </c>
      <c r="T11" s="83">
        <v>140083</v>
      </c>
      <c r="U11" s="83">
        <v>17631</v>
      </c>
      <c r="V11" s="83">
        <v>31</v>
      </c>
      <c r="W11" s="83">
        <f t="shared" si="2"/>
        <v>157714</v>
      </c>
      <c r="X11" s="83">
        <v>10786391</v>
      </c>
      <c r="Y11" s="254">
        <v>7</v>
      </c>
      <c r="Z11" s="81">
        <v>40872</v>
      </c>
      <c r="AA11" s="83">
        <f t="shared" si="3"/>
        <v>174240</v>
      </c>
      <c r="AB11" s="83">
        <v>151857</v>
      </c>
      <c r="AC11" s="83">
        <v>22383</v>
      </c>
      <c r="AD11" s="83">
        <v>31</v>
      </c>
      <c r="AE11" s="83">
        <f t="shared" si="4"/>
        <v>174240</v>
      </c>
      <c r="AF11" s="83">
        <v>11692989</v>
      </c>
      <c r="AG11" s="89"/>
      <c r="AH11" s="81">
        <v>40857</v>
      </c>
      <c r="AI11" s="83">
        <f t="shared" si="5"/>
        <v>288869</v>
      </c>
      <c r="AJ11" s="83">
        <v>0</v>
      </c>
      <c r="AK11" s="83">
        <v>68369</v>
      </c>
      <c r="AL11" s="83">
        <v>31</v>
      </c>
      <c r="AM11" s="83">
        <f t="shared" si="6"/>
        <v>68369</v>
      </c>
      <c r="AN11" s="83">
        <v>70000000</v>
      </c>
      <c r="AO11" s="89"/>
      <c r="AP11" s="81">
        <v>40877</v>
      </c>
      <c r="AQ11" s="83">
        <f t="shared" si="7"/>
        <v>237264</v>
      </c>
      <c r="AR11" s="83">
        <v>220500</v>
      </c>
      <c r="AS11" s="83">
        <v>16764</v>
      </c>
      <c r="AT11" s="83">
        <v>30</v>
      </c>
      <c r="AU11" s="83">
        <f t="shared" si="8"/>
        <v>237264</v>
      </c>
      <c r="AV11" s="83">
        <v>10804500</v>
      </c>
      <c r="AW11" s="89">
        <v>7</v>
      </c>
      <c r="AX11" s="90">
        <v>40872</v>
      </c>
      <c r="AY11" s="93"/>
      <c r="AZ11" s="93"/>
      <c r="BA11" s="93"/>
      <c r="BB11" s="93"/>
      <c r="BC11" s="94"/>
      <c r="BD11" s="94"/>
      <c r="BE11" s="89"/>
      <c r="BF11" s="90"/>
      <c r="BG11" s="93"/>
      <c r="BH11" s="93"/>
      <c r="BI11" s="93"/>
      <c r="BJ11" s="93"/>
      <c r="BK11" s="94"/>
      <c r="BL11" s="94"/>
      <c r="BM11" s="89"/>
      <c r="BN11" s="90"/>
      <c r="BO11" s="93"/>
      <c r="BP11" s="93"/>
      <c r="BQ11" s="93"/>
      <c r="BR11" s="93"/>
      <c r="BS11" s="94"/>
      <c r="BT11" s="94"/>
    </row>
    <row r="12" spans="1:72">
      <c r="A12" s="89">
        <v>8</v>
      </c>
      <c r="B12" s="90">
        <v>40902</v>
      </c>
      <c r="C12" s="93"/>
      <c r="D12" s="113">
        <f t="shared" si="9"/>
        <v>754006</v>
      </c>
      <c r="E12" s="113">
        <f t="shared" si="10"/>
        <v>151620</v>
      </c>
      <c r="F12" s="113">
        <f t="shared" si="11"/>
        <v>120</v>
      </c>
      <c r="G12" s="114">
        <f t="shared" si="12"/>
        <v>668150</v>
      </c>
      <c r="H12" s="114">
        <f t="shared" si="13"/>
        <v>104748872</v>
      </c>
      <c r="I12" s="89">
        <v>8</v>
      </c>
      <c r="J12" s="81">
        <v>40902</v>
      </c>
      <c r="K12" s="83">
        <f t="shared" si="14"/>
        <v>411902</v>
      </c>
      <c r="L12" s="83">
        <v>241566</v>
      </c>
      <c r="M12" s="83">
        <v>30253</v>
      </c>
      <c r="N12" s="83">
        <v>30</v>
      </c>
      <c r="O12" s="83">
        <f t="shared" si="0"/>
        <v>271819</v>
      </c>
      <c r="P12" s="83">
        <v>12561432</v>
      </c>
      <c r="Q12" s="89"/>
      <c r="R12" s="81">
        <v>40902</v>
      </c>
      <c r="S12" s="83">
        <f t="shared" si="1"/>
        <v>308784</v>
      </c>
      <c r="T12" s="83">
        <v>140083</v>
      </c>
      <c r="U12" s="83">
        <v>16844</v>
      </c>
      <c r="V12" s="83">
        <v>30</v>
      </c>
      <c r="W12" s="83">
        <f t="shared" si="2"/>
        <v>156927</v>
      </c>
      <c r="X12" s="83">
        <v>10646308</v>
      </c>
      <c r="Y12" s="254">
        <v>8</v>
      </c>
      <c r="Z12" s="81">
        <v>40902</v>
      </c>
      <c r="AA12" s="83">
        <f t="shared" si="3"/>
        <v>173240</v>
      </c>
      <c r="AB12" s="83">
        <v>151857</v>
      </c>
      <c r="AC12" s="83">
        <v>21383</v>
      </c>
      <c r="AD12" s="83">
        <v>30</v>
      </c>
      <c r="AE12" s="83">
        <f t="shared" si="4"/>
        <v>173240</v>
      </c>
      <c r="AF12" s="83">
        <v>11541132</v>
      </c>
      <c r="AG12" s="89"/>
      <c r="AH12" s="81">
        <v>40887</v>
      </c>
      <c r="AI12" s="83">
        <f t="shared" si="5"/>
        <v>286664</v>
      </c>
      <c r="AJ12" s="83">
        <v>0</v>
      </c>
      <c r="AK12" s="83">
        <v>66164</v>
      </c>
      <c r="AL12" s="83">
        <v>30</v>
      </c>
      <c r="AM12" s="83">
        <f t="shared" si="6"/>
        <v>66164</v>
      </c>
      <c r="AN12" s="83">
        <v>70000000</v>
      </c>
      <c r="AO12" s="89"/>
      <c r="AP12" s="81">
        <v>40908</v>
      </c>
      <c r="AQ12" s="83">
        <f t="shared" si="7"/>
        <v>237476</v>
      </c>
      <c r="AR12" s="83">
        <v>220500</v>
      </c>
      <c r="AS12" s="83">
        <v>16976</v>
      </c>
      <c r="AT12" s="83">
        <v>31</v>
      </c>
      <c r="AU12" s="83">
        <f t="shared" si="8"/>
        <v>237476</v>
      </c>
      <c r="AV12" s="83">
        <v>10584000</v>
      </c>
      <c r="AW12" s="89">
        <v>8</v>
      </c>
      <c r="AX12" s="90">
        <v>40902</v>
      </c>
      <c r="AY12" s="93"/>
      <c r="AZ12" s="93"/>
      <c r="BA12" s="93"/>
      <c r="BB12" s="93"/>
      <c r="BC12" s="94"/>
      <c r="BD12" s="94"/>
      <c r="BE12" s="89"/>
      <c r="BF12" s="90"/>
      <c r="BG12" s="93"/>
      <c r="BH12" s="93"/>
      <c r="BI12" s="93"/>
      <c r="BJ12" s="93"/>
      <c r="BK12" s="94"/>
      <c r="BL12" s="94"/>
      <c r="BM12" s="89"/>
      <c r="BN12" s="90"/>
      <c r="BO12" s="93"/>
      <c r="BP12" s="93"/>
      <c r="BQ12" s="93"/>
      <c r="BR12" s="93"/>
      <c r="BS12" s="94"/>
      <c r="BT12" s="94"/>
    </row>
    <row r="13" spans="1:72">
      <c r="A13" s="89">
        <v>9</v>
      </c>
      <c r="B13" s="90">
        <v>40933</v>
      </c>
      <c r="C13" s="93"/>
      <c r="D13" s="113">
        <f t="shared" si="9"/>
        <v>754006</v>
      </c>
      <c r="E13" s="113">
        <f t="shared" si="10"/>
        <v>154658</v>
      </c>
      <c r="F13" s="113">
        <f t="shared" si="11"/>
        <v>124</v>
      </c>
      <c r="G13" s="114">
        <f t="shared" si="12"/>
        <v>671535</v>
      </c>
      <c r="H13" s="114">
        <f t="shared" si="13"/>
        <v>104215366</v>
      </c>
      <c r="I13" s="89">
        <v>9</v>
      </c>
      <c r="J13" s="81">
        <v>40933</v>
      </c>
      <c r="K13" s="83">
        <f t="shared" si="14"/>
        <v>412321</v>
      </c>
      <c r="L13" s="83">
        <v>241566</v>
      </c>
      <c r="M13" s="83">
        <v>30672</v>
      </c>
      <c r="N13" s="83">
        <v>31</v>
      </c>
      <c r="O13" s="83">
        <f t="shared" si="0"/>
        <v>272238</v>
      </c>
      <c r="P13" s="83">
        <v>12319866</v>
      </c>
      <c r="Q13" s="89"/>
      <c r="R13" s="81">
        <v>40933</v>
      </c>
      <c r="S13" s="83">
        <f t="shared" si="1"/>
        <v>309119</v>
      </c>
      <c r="T13" s="83">
        <v>140083</v>
      </c>
      <c r="U13" s="83">
        <v>17179</v>
      </c>
      <c r="V13" s="83">
        <v>31</v>
      </c>
      <c r="W13" s="83">
        <f t="shared" si="2"/>
        <v>157262</v>
      </c>
      <c r="X13" s="83">
        <v>10506225</v>
      </c>
      <c r="Y13" s="254">
        <v>9</v>
      </c>
      <c r="Z13" s="81">
        <v>40933</v>
      </c>
      <c r="AA13" s="83">
        <f t="shared" si="3"/>
        <v>173666</v>
      </c>
      <c r="AB13" s="83">
        <v>151857</v>
      </c>
      <c r="AC13" s="83">
        <v>21809</v>
      </c>
      <c r="AD13" s="83">
        <v>31</v>
      </c>
      <c r="AE13" s="83">
        <f t="shared" si="4"/>
        <v>173666</v>
      </c>
      <c r="AF13" s="83">
        <v>11389275</v>
      </c>
      <c r="AG13" s="89"/>
      <c r="AH13" s="81">
        <v>40918</v>
      </c>
      <c r="AI13" s="83">
        <f t="shared" si="5"/>
        <v>288869</v>
      </c>
      <c r="AJ13" s="83">
        <v>0</v>
      </c>
      <c r="AK13" s="83">
        <v>68369</v>
      </c>
      <c r="AL13" s="83">
        <v>31</v>
      </c>
      <c r="AM13" s="83">
        <f t="shared" si="6"/>
        <v>68369</v>
      </c>
      <c r="AN13" s="83">
        <v>70000000</v>
      </c>
      <c r="AO13" s="89"/>
      <c r="AP13" s="81">
        <v>40939</v>
      </c>
      <c r="AQ13" s="83">
        <f t="shared" si="7"/>
        <v>237129</v>
      </c>
      <c r="AR13" s="83">
        <v>220500</v>
      </c>
      <c r="AS13" s="83">
        <v>16629</v>
      </c>
      <c r="AT13" s="83">
        <v>31</v>
      </c>
      <c r="AU13" s="83">
        <f t="shared" si="8"/>
        <v>237129</v>
      </c>
      <c r="AV13" s="83">
        <v>10363500</v>
      </c>
      <c r="AW13" s="89">
        <v>9</v>
      </c>
      <c r="AX13" s="90">
        <v>40933</v>
      </c>
      <c r="AY13" s="93"/>
      <c r="AZ13" s="93"/>
      <c r="BA13" s="93"/>
      <c r="BB13" s="93"/>
      <c r="BC13" s="94"/>
      <c r="BD13" s="94"/>
      <c r="BE13" s="89"/>
      <c r="BF13" s="90"/>
      <c r="BG13" s="93"/>
      <c r="BH13" s="93"/>
      <c r="BI13" s="93"/>
      <c r="BJ13" s="93"/>
      <c r="BK13" s="94"/>
      <c r="BL13" s="94"/>
      <c r="BM13" s="89"/>
      <c r="BN13" s="90"/>
      <c r="BO13" s="93"/>
      <c r="BP13" s="93"/>
      <c r="BQ13" s="93"/>
      <c r="BR13" s="93"/>
      <c r="BS13" s="94"/>
      <c r="BT13" s="94"/>
    </row>
    <row r="14" spans="1:72">
      <c r="A14" s="89">
        <v>10</v>
      </c>
      <c r="B14" s="90">
        <v>40964</v>
      </c>
      <c r="C14" s="93"/>
      <c r="D14" s="113">
        <f t="shared" si="9"/>
        <v>754006</v>
      </c>
      <c r="E14" s="113">
        <f t="shared" si="10"/>
        <v>152158</v>
      </c>
      <c r="F14" s="113">
        <f t="shared" si="11"/>
        <v>124</v>
      </c>
      <c r="G14" s="114">
        <f t="shared" si="12"/>
        <v>670432</v>
      </c>
      <c r="H14" s="114">
        <f t="shared" si="13"/>
        <v>103681860</v>
      </c>
      <c r="I14" s="89">
        <v>10</v>
      </c>
      <c r="J14" s="81">
        <v>40964</v>
      </c>
      <c r="K14" s="83">
        <f t="shared" si="14"/>
        <v>411731</v>
      </c>
      <c r="L14" s="83">
        <v>241566</v>
      </c>
      <c r="M14" s="83">
        <v>30082</v>
      </c>
      <c r="N14" s="83">
        <v>31</v>
      </c>
      <c r="O14" s="83">
        <f t="shared" si="0"/>
        <v>271648</v>
      </c>
      <c r="P14" s="83">
        <v>12078300</v>
      </c>
      <c r="Q14" s="89"/>
      <c r="R14" s="81">
        <v>40964</v>
      </c>
      <c r="S14" s="83">
        <f t="shared" si="1"/>
        <v>308893</v>
      </c>
      <c r="T14" s="83">
        <v>140083</v>
      </c>
      <c r="U14" s="83">
        <v>16953</v>
      </c>
      <c r="V14" s="83">
        <v>31</v>
      </c>
      <c r="W14" s="83">
        <f t="shared" si="2"/>
        <v>157036</v>
      </c>
      <c r="X14" s="83">
        <v>10366142</v>
      </c>
      <c r="Y14" s="254">
        <v>10</v>
      </c>
      <c r="Z14" s="81">
        <v>40964</v>
      </c>
      <c r="AA14" s="83">
        <f t="shared" si="3"/>
        <v>173379</v>
      </c>
      <c r="AB14" s="83">
        <v>151857</v>
      </c>
      <c r="AC14" s="83">
        <v>21522</v>
      </c>
      <c r="AD14" s="83">
        <v>31</v>
      </c>
      <c r="AE14" s="83">
        <f t="shared" si="4"/>
        <v>173379</v>
      </c>
      <c r="AF14" s="83">
        <v>11237418</v>
      </c>
      <c r="AG14" s="89"/>
      <c r="AH14" s="81">
        <v>40949</v>
      </c>
      <c r="AI14" s="83">
        <f t="shared" si="5"/>
        <v>288869</v>
      </c>
      <c r="AJ14" s="83">
        <v>0</v>
      </c>
      <c r="AK14" s="83">
        <v>68369</v>
      </c>
      <c r="AL14" s="83">
        <v>31</v>
      </c>
      <c r="AM14" s="83">
        <f t="shared" si="6"/>
        <v>68369</v>
      </c>
      <c r="AN14" s="83">
        <v>70000000</v>
      </c>
      <c r="AO14" s="89"/>
      <c r="AP14" s="81">
        <v>40968</v>
      </c>
      <c r="AQ14" s="83">
        <f t="shared" si="7"/>
        <v>235732</v>
      </c>
      <c r="AR14" s="83">
        <v>220500</v>
      </c>
      <c r="AS14" s="83">
        <v>15232</v>
      </c>
      <c r="AT14" s="83">
        <v>29</v>
      </c>
      <c r="AU14" s="83">
        <f t="shared" si="8"/>
        <v>235732</v>
      </c>
      <c r="AV14" s="83">
        <v>10143000</v>
      </c>
      <c r="AW14" s="89">
        <v>10</v>
      </c>
      <c r="AX14" s="90">
        <v>40964</v>
      </c>
      <c r="AY14" s="93"/>
      <c r="AZ14" s="93"/>
      <c r="BA14" s="93"/>
      <c r="BB14" s="93"/>
      <c r="BC14" s="94"/>
      <c r="BD14" s="94"/>
      <c r="BE14" s="89"/>
      <c r="BF14" s="90"/>
      <c r="BG14" s="93"/>
      <c r="BH14" s="93"/>
      <c r="BI14" s="93"/>
      <c r="BJ14" s="93"/>
      <c r="BK14" s="94"/>
      <c r="BL14" s="94"/>
      <c r="BM14" s="89"/>
      <c r="BN14" s="90"/>
      <c r="BO14" s="93"/>
      <c r="BP14" s="93"/>
      <c r="BQ14" s="93"/>
      <c r="BR14" s="93"/>
      <c r="BS14" s="94"/>
      <c r="BT14" s="94"/>
    </row>
    <row r="15" spans="1:72">
      <c r="A15" s="89">
        <v>11</v>
      </c>
      <c r="B15" s="90">
        <v>40993</v>
      </c>
      <c r="C15" s="93"/>
      <c r="D15" s="113">
        <f>L15+T15+AB15+AJ15+AR15+AZ15+BH15+BP15</f>
        <v>754006</v>
      </c>
      <c r="E15" s="113">
        <f>M15+U15+AC15+AK15+AS15+BA15+BI15+BQ15</f>
        <v>142997</v>
      </c>
      <c r="F15" s="113">
        <f t="shared" si="11"/>
        <v>116</v>
      </c>
      <c r="G15" s="114">
        <f t="shared" si="12"/>
        <v>660566</v>
      </c>
      <c r="H15" s="114">
        <f t="shared" si="13"/>
        <v>103148354</v>
      </c>
      <c r="I15" s="89">
        <v>11</v>
      </c>
      <c r="J15" s="81">
        <v>40993</v>
      </c>
      <c r="K15" s="83">
        <f t="shared" si="14"/>
        <v>409238</v>
      </c>
      <c r="L15" s="83">
        <v>241566</v>
      </c>
      <c r="M15" s="83">
        <v>27589</v>
      </c>
      <c r="N15" s="83">
        <v>29</v>
      </c>
      <c r="O15" s="83">
        <f t="shared" si="0"/>
        <v>269155</v>
      </c>
      <c r="P15" s="83">
        <v>11836734</v>
      </c>
      <c r="Q15" s="89"/>
      <c r="R15" s="81">
        <v>40993</v>
      </c>
      <c r="S15" s="83">
        <f t="shared" si="1"/>
        <v>307588</v>
      </c>
      <c r="T15" s="83">
        <v>140083</v>
      </c>
      <c r="U15" s="83">
        <v>15648</v>
      </c>
      <c r="V15" s="83">
        <v>29</v>
      </c>
      <c r="W15" s="83">
        <f t="shared" si="2"/>
        <v>155731</v>
      </c>
      <c r="X15" s="83">
        <v>10226059</v>
      </c>
      <c r="Y15" s="254">
        <v>11</v>
      </c>
      <c r="Z15" s="81">
        <v>40993</v>
      </c>
      <c r="AA15" s="83">
        <f t="shared" si="3"/>
        <v>171722</v>
      </c>
      <c r="AB15" s="83">
        <v>151857</v>
      </c>
      <c r="AC15" s="83">
        <v>19865</v>
      </c>
      <c r="AD15" s="83">
        <v>29</v>
      </c>
      <c r="AE15" s="83">
        <f t="shared" si="4"/>
        <v>171722</v>
      </c>
      <c r="AF15" s="83">
        <v>11085561</v>
      </c>
      <c r="AG15" s="89"/>
      <c r="AH15" s="81">
        <v>40978</v>
      </c>
      <c r="AI15" s="83">
        <f t="shared" si="5"/>
        <v>284458</v>
      </c>
      <c r="AJ15" s="83">
        <v>0</v>
      </c>
      <c r="AK15" s="83">
        <v>63958</v>
      </c>
      <c r="AL15" s="83">
        <v>29</v>
      </c>
      <c r="AM15" s="83">
        <f t="shared" si="6"/>
        <v>63958</v>
      </c>
      <c r="AN15" s="83">
        <v>70000000</v>
      </c>
      <c r="AO15" s="89"/>
      <c r="AP15" s="81">
        <v>40999</v>
      </c>
      <c r="AQ15" s="83">
        <f t="shared" si="7"/>
        <v>236437</v>
      </c>
      <c r="AR15" s="83">
        <v>220500</v>
      </c>
      <c r="AS15" s="83">
        <v>15937</v>
      </c>
      <c r="AT15" s="83">
        <v>31</v>
      </c>
      <c r="AU15" s="83">
        <f t="shared" si="8"/>
        <v>236437</v>
      </c>
      <c r="AV15" s="83">
        <v>9922500</v>
      </c>
      <c r="AW15" s="89">
        <v>11</v>
      </c>
      <c r="AX15" s="90">
        <v>40993</v>
      </c>
      <c r="AY15" s="93"/>
      <c r="AZ15" s="93"/>
      <c r="BA15" s="93"/>
      <c r="BB15" s="93"/>
      <c r="BC15" s="94"/>
      <c r="BD15" s="94"/>
      <c r="BE15" s="89"/>
      <c r="BF15" s="90"/>
      <c r="BG15" s="93"/>
      <c r="BH15" s="93"/>
      <c r="BI15" s="93"/>
      <c r="BJ15" s="93"/>
      <c r="BK15" s="94"/>
      <c r="BL15" s="94"/>
      <c r="BM15" s="89"/>
      <c r="BN15" s="90"/>
      <c r="BO15" s="93"/>
      <c r="BP15" s="93"/>
      <c r="BQ15" s="93"/>
      <c r="BR15" s="93"/>
      <c r="BS15" s="94"/>
      <c r="BT15" s="94"/>
    </row>
    <row r="16" spans="1:72">
      <c r="A16" s="89">
        <v>12</v>
      </c>
      <c r="B16" s="90">
        <v>41024</v>
      </c>
      <c r="C16" s="93"/>
      <c r="D16" s="113">
        <f t="shared" ref="D16:D32" si="15">L16+T16+AB16+AJ16+AR16+AZ16+BH16+BP16</f>
        <v>754006</v>
      </c>
      <c r="E16" s="113">
        <f t="shared" ref="E16:E32" si="16">M16+U16+AC16+AK16+AS16+BA16+BI16+BQ16</f>
        <v>3089807</v>
      </c>
      <c r="F16" s="113">
        <f t="shared" si="11"/>
        <v>124</v>
      </c>
      <c r="G16" s="114">
        <f t="shared" si="12"/>
        <v>668226</v>
      </c>
      <c r="H16" s="114">
        <f t="shared" si="13"/>
        <v>102614848</v>
      </c>
      <c r="I16" s="89">
        <v>12</v>
      </c>
      <c r="J16" s="81">
        <v>41024</v>
      </c>
      <c r="K16" s="83">
        <f t="shared" si="14"/>
        <v>410551</v>
      </c>
      <c r="L16" s="83">
        <v>241566</v>
      </c>
      <c r="M16" s="83">
        <v>28902</v>
      </c>
      <c r="N16" s="83">
        <v>31</v>
      </c>
      <c r="O16" s="83">
        <f t="shared" si="0"/>
        <v>270468</v>
      </c>
      <c r="P16" s="83">
        <v>11595168</v>
      </c>
      <c r="Q16" s="89"/>
      <c r="R16" s="81">
        <v>41024</v>
      </c>
      <c r="S16" s="83">
        <f t="shared" si="1"/>
        <v>308441</v>
      </c>
      <c r="T16" s="83">
        <v>140083</v>
      </c>
      <c r="U16" s="83">
        <v>16501</v>
      </c>
      <c r="V16" s="83">
        <v>31</v>
      </c>
      <c r="W16" s="83">
        <f t="shared" si="2"/>
        <v>156584</v>
      </c>
      <c r="X16" s="83">
        <v>10085976</v>
      </c>
      <c r="Y16" s="254">
        <v>12</v>
      </c>
      <c r="Z16" s="81">
        <v>41024</v>
      </c>
      <c r="AA16" s="83">
        <f t="shared" si="3"/>
        <v>172805</v>
      </c>
      <c r="AB16" s="83">
        <v>151857</v>
      </c>
      <c r="AC16" s="83">
        <v>20948</v>
      </c>
      <c r="AD16" s="83">
        <v>31</v>
      </c>
      <c r="AE16" s="83">
        <f t="shared" si="4"/>
        <v>172805</v>
      </c>
      <c r="AF16" s="83">
        <v>10933704</v>
      </c>
      <c r="AG16" s="89"/>
      <c r="AH16" s="81">
        <v>41009</v>
      </c>
      <c r="AI16" s="83">
        <f t="shared" si="5"/>
        <v>288869</v>
      </c>
      <c r="AJ16" s="83">
        <v>0</v>
      </c>
      <c r="AK16" s="83">
        <v>68369</v>
      </c>
      <c r="AL16" s="83">
        <v>31</v>
      </c>
      <c r="AM16" s="83">
        <f t="shared" si="6"/>
        <v>68369</v>
      </c>
      <c r="AN16" s="83">
        <v>70000000</v>
      </c>
      <c r="AO16" s="89"/>
      <c r="AP16" s="81">
        <v>41029</v>
      </c>
      <c r="AQ16" s="83">
        <f t="shared" si="7"/>
        <v>235587</v>
      </c>
      <c r="AR16" s="83">
        <v>220500</v>
      </c>
      <c r="AS16" s="83">
        <v>15087</v>
      </c>
      <c r="AT16" s="83">
        <v>30</v>
      </c>
      <c r="AU16" s="83">
        <f t="shared" si="8"/>
        <v>235587</v>
      </c>
      <c r="AV16" s="83">
        <v>9702000</v>
      </c>
      <c r="AW16" s="89">
        <v>12</v>
      </c>
      <c r="AX16" s="90">
        <v>41024</v>
      </c>
      <c r="AY16" s="93"/>
      <c r="AZ16" s="93"/>
      <c r="BA16" s="93">
        <v>2940000</v>
      </c>
      <c r="BB16" s="93"/>
      <c r="BC16" s="94"/>
      <c r="BD16" s="94"/>
      <c r="BE16" s="89"/>
      <c r="BF16" s="90"/>
      <c r="BG16" s="93"/>
      <c r="BH16" s="93"/>
      <c r="BI16" s="93"/>
      <c r="BJ16" s="93"/>
      <c r="BK16" s="94"/>
      <c r="BL16" s="94"/>
      <c r="BM16" s="89"/>
      <c r="BN16" s="90"/>
      <c r="BO16" s="93"/>
      <c r="BP16" s="93"/>
      <c r="BQ16" s="93"/>
      <c r="BR16" s="93"/>
      <c r="BS16" s="94"/>
      <c r="BT16" s="94"/>
    </row>
    <row r="17" spans="1:72">
      <c r="A17" s="89">
        <v>13</v>
      </c>
      <c r="B17" s="90">
        <v>41054</v>
      </c>
      <c r="C17" s="93"/>
      <c r="D17" s="113">
        <f t="shared" si="15"/>
        <v>754006</v>
      </c>
      <c r="E17" s="113">
        <f t="shared" si="16"/>
        <v>144552</v>
      </c>
      <c r="F17" s="113">
        <f t="shared" si="11"/>
        <v>120</v>
      </c>
      <c r="G17" s="114">
        <f t="shared" si="12"/>
        <v>662814</v>
      </c>
      <c r="H17" s="114">
        <f t="shared" si="13"/>
        <v>102081342</v>
      </c>
      <c r="I17" s="89">
        <v>13</v>
      </c>
      <c r="J17" s="81">
        <v>41054</v>
      </c>
      <c r="K17" s="83">
        <f t="shared" si="14"/>
        <v>409048</v>
      </c>
      <c r="L17" s="83">
        <v>241566</v>
      </c>
      <c r="M17" s="83">
        <v>27399</v>
      </c>
      <c r="N17" s="83">
        <v>30</v>
      </c>
      <c r="O17" s="83">
        <f t="shared" si="0"/>
        <v>268965</v>
      </c>
      <c r="P17" s="83">
        <v>11353602</v>
      </c>
      <c r="Q17" s="89"/>
      <c r="R17" s="81">
        <v>41054</v>
      </c>
      <c r="S17" s="83">
        <f t="shared" si="1"/>
        <v>307690</v>
      </c>
      <c r="T17" s="83">
        <v>140083</v>
      </c>
      <c r="U17" s="83">
        <v>15750</v>
      </c>
      <c r="V17" s="83">
        <v>30</v>
      </c>
      <c r="W17" s="83">
        <f t="shared" si="2"/>
        <v>155833</v>
      </c>
      <c r="X17" s="83">
        <v>9945893</v>
      </c>
      <c r="Y17" s="254">
        <v>13</v>
      </c>
      <c r="Z17" s="81">
        <v>41054</v>
      </c>
      <c r="AA17" s="83">
        <f t="shared" si="3"/>
        <v>171852</v>
      </c>
      <c r="AB17" s="83">
        <v>151857</v>
      </c>
      <c r="AC17" s="83">
        <v>19995</v>
      </c>
      <c r="AD17" s="83">
        <v>30</v>
      </c>
      <c r="AE17" s="83">
        <f t="shared" si="4"/>
        <v>171852</v>
      </c>
      <c r="AF17" s="83">
        <v>10781847</v>
      </c>
      <c r="AG17" s="89"/>
      <c r="AH17" s="81">
        <v>41039</v>
      </c>
      <c r="AI17" s="83">
        <f t="shared" si="5"/>
        <v>286664</v>
      </c>
      <c r="AJ17" s="83">
        <v>0</v>
      </c>
      <c r="AK17" s="83">
        <v>66164</v>
      </c>
      <c r="AL17" s="83">
        <v>30</v>
      </c>
      <c r="AM17" s="83">
        <f t="shared" si="6"/>
        <v>66164</v>
      </c>
      <c r="AN17" s="83">
        <v>70000000</v>
      </c>
      <c r="AO17" s="89"/>
      <c r="AP17" s="81">
        <v>41060</v>
      </c>
      <c r="AQ17" s="83">
        <f t="shared" si="7"/>
        <v>235744</v>
      </c>
      <c r="AR17" s="83">
        <v>220500</v>
      </c>
      <c r="AS17" s="83">
        <v>15244</v>
      </c>
      <c r="AT17" s="83">
        <v>31</v>
      </c>
      <c r="AU17" s="83">
        <f t="shared" si="8"/>
        <v>235744</v>
      </c>
      <c r="AV17" s="83">
        <v>9481500</v>
      </c>
      <c r="AW17" s="89">
        <v>13</v>
      </c>
      <c r="AX17" s="90">
        <v>41054</v>
      </c>
      <c r="AY17" s="93"/>
      <c r="AZ17" s="93"/>
      <c r="BA17" s="93"/>
      <c r="BB17" s="93"/>
      <c r="BC17" s="94"/>
      <c r="BD17" s="94"/>
      <c r="BE17" s="89"/>
      <c r="BF17" s="90"/>
      <c r="BG17" s="93"/>
      <c r="BH17" s="93"/>
      <c r="BI17" s="93"/>
      <c r="BJ17" s="93"/>
      <c r="BK17" s="94"/>
      <c r="BL17" s="94"/>
      <c r="BM17" s="89"/>
      <c r="BN17" s="90"/>
      <c r="BO17" s="93"/>
      <c r="BP17" s="93"/>
      <c r="BQ17" s="93"/>
      <c r="BR17" s="93"/>
      <c r="BS17" s="94"/>
      <c r="BT17" s="94"/>
    </row>
    <row r="18" spans="1:72">
      <c r="A18" s="89">
        <v>14</v>
      </c>
      <c r="B18" s="90">
        <v>41085</v>
      </c>
      <c r="C18" s="93"/>
      <c r="D18" s="113">
        <f t="shared" si="15"/>
        <v>754006</v>
      </c>
      <c r="E18" s="113">
        <f t="shared" si="16"/>
        <v>146932</v>
      </c>
      <c r="F18" s="113">
        <f t="shared" si="11"/>
        <v>124</v>
      </c>
      <c r="G18" s="114">
        <f t="shared" si="12"/>
        <v>666021</v>
      </c>
      <c r="H18" s="114">
        <f t="shared" si="13"/>
        <v>101547836</v>
      </c>
      <c r="I18" s="89">
        <v>14</v>
      </c>
      <c r="J18" s="81">
        <v>41085</v>
      </c>
      <c r="K18" s="83">
        <f t="shared" si="14"/>
        <v>409372</v>
      </c>
      <c r="L18" s="83">
        <v>241566</v>
      </c>
      <c r="M18" s="83">
        <v>27723</v>
      </c>
      <c r="N18" s="83">
        <v>31</v>
      </c>
      <c r="O18" s="83">
        <f t="shared" si="0"/>
        <v>269289</v>
      </c>
      <c r="P18" s="83">
        <v>11112036</v>
      </c>
      <c r="Q18" s="89"/>
      <c r="R18" s="81">
        <v>41085</v>
      </c>
      <c r="S18" s="83">
        <f t="shared" si="1"/>
        <v>307989</v>
      </c>
      <c r="T18" s="83">
        <v>140083</v>
      </c>
      <c r="U18" s="83">
        <v>16049</v>
      </c>
      <c r="V18" s="83">
        <v>31</v>
      </c>
      <c r="W18" s="83">
        <f t="shared" si="2"/>
        <v>156132</v>
      </c>
      <c r="X18" s="83">
        <v>9805810</v>
      </c>
      <c r="Y18" s="254">
        <v>14</v>
      </c>
      <c r="Z18" s="81">
        <v>41085</v>
      </c>
      <c r="AA18" s="83">
        <f t="shared" si="3"/>
        <v>172231</v>
      </c>
      <c r="AB18" s="83">
        <v>151857</v>
      </c>
      <c r="AC18" s="83">
        <v>20374</v>
      </c>
      <c r="AD18" s="83">
        <v>31</v>
      </c>
      <c r="AE18" s="83">
        <f t="shared" si="4"/>
        <v>172231</v>
      </c>
      <c r="AF18" s="83">
        <v>10629990</v>
      </c>
      <c r="AG18" s="89"/>
      <c r="AH18" s="81">
        <v>41070</v>
      </c>
      <c r="AI18" s="83">
        <f t="shared" si="5"/>
        <v>288869</v>
      </c>
      <c r="AJ18" s="83">
        <v>0</v>
      </c>
      <c r="AK18" s="83">
        <v>68369</v>
      </c>
      <c r="AL18" s="83">
        <v>31</v>
      </c>
      <c r="AM18" s="83">
        <f t="shared" si="6"/>
        <v>68369</v>
      </c>
      <c r="AN18" s="83">
        <v>70000000</v>
      </c>
      <c r="AO18" s="89"/>
      <c r="AP18" s="81">
        <v>41090</v>
      </c>
      <c r="AQ18" s="83">
        <f t="shared" si="7"/>
        <v>234917</v>
      </c>
      <c r="AR18" s="83">
        <v>220500</v>
      </c>
      <c r="AS18" s="83">
        <v>14417</v>
      </c>
      <c r="AT18" s="83">
        <v>30</v>
      </c>
      <c r="AU18" s="83">
        <f t="shared" si="8"/>
        <v>234917</v>
      </c>
      <c r="AV18" s="83">
        <v>9261000</v>
      </c>
      <c r="AW18" s="89">
        <v>14</v>
      </c>
      <c r="AX18" s="90">
        <v>41085</v>
      </c>
      <c r="AY18" s="93"/>
      <c r="AZ18" s="93"/>
      <c r="BA18" s="93"/>
      <c r="BB18" s="93"/>
      <c r="BC18" s="94"/>
      <c r="BD18" s="94"/>
      <c r="BE18" s="89"/>
      <c r="BF18" s="90"/>
      <c r="BG18" s="93"/>
      <c r="BH18" s="93"/>
      <c r="BI18" s="93"/>
      <c r="BJ18" s="93"/>
      <c r="BK18" s="94"/>
      <c r="BL18" s="94"/>
      <c r="BM18" s="89"/>
      <c r="BN18" s="90"/>
      <c r="BO18" s="93"/>
      <c r="BP18" s="93"/>
      <c r="BQ18" s="93"/>
      <c r="BR18" s="93"/>
      <c r="BS18" s="94"/>
      <c r="BT18" s="94"/>
    </row>
    <row r="19" spans="1:72">
      <c r="A19" s="89">
        <v>15</v>
      </c>
      <c r="B19" s="90">
        <v>41115</v>
      </c>
      <c r="C19" s="93"/>
      <c r="D19" s="113">
        <f t="shared" si="15"/>
        <v>754006</v>
      </c>
      <c r="E19" s="113">
        <f t="shared" si="16"/>
        <v>141724</v>
      </c>
      <c r="F19" s="113">
        <f t="shared" si="11"/>
        <v>120</v>
      </c>
      <c r="G19" s="114">
        <f t="shared" si="12"/>
        <v>660679</v>
      </c>
      <c r="H19" s="114">
        <f t="shared" si="13"/>
        <v>101014330</v>
      </c>
      <c r="I19" s="89">
        <v>15</v>
      </c>
      <c r="J19" s="81">
        <v>41115</v>
      </c>
      <c r="K19" s="83">
        <f t="shared" si="14"/>
        <v>407906</v>
      </c>
      <c r="L19" s="83">
        <v>241566</v>
      </c>
      <c r="M19" s="83">
        <v>26257</v>
      </c>
      <c r="N19" s="83">
        <v>30</v>
      </c>
      <c r="O19" s="83">
        <f t="shared" si="0"/>
        <v>267823</v>
      </c>
      <c r="P19" s="83">
        <v>10870470</v>
      </c>
      <c r="Q19" s="89"/>
      <c r="R19" s="81">
        <v>41115</v>
      </c>
      <c r="S19" s="83">
        <f t="shared" si="1"/>
        <v>307253</v>
      </c>
      <c r="T19" s="83">
        <v>140083</v>
      </c>
      <c r="U19" s="83">
        <v>15313</v>
      </c>
      <c r="V19" s="83">
        <v>30</v>
      </c>
      <c r="W19" s="83">
        <f t="shared" si="2"/>
        <v>155396</v>
      </c>
      <c r="X19" s="83">
        <v>9665727</v>
      </c>
      <c r="Y19" s="254">
        <v>15</v>
      </c>
      <c r="Z19" s="81">
        <v>41115</v>
      </c>
      <c r="AA19" s="83">
        <f t="shared" si="3"/>
        <v>171296</v>
      </c>
      <c r="AB19" s="83">
        <v>151857</v>
      </c>
      <c r="AC19" s="83">
        <v>19439</v>
      </c>
      <c r="AD19" s="83">
        <v>30</v>
      </c>
      <c r="AE19" s="83">
        <f t="shared" si="4"/>
        <v>171296</v>
      </c>
      <c r="AF19" s="83">
        <v>10478133</v>
      </c>
      <c r="AG19" s="89"/>
      <c r="AH19" s="81">
        <v>41100</v>
      </c>
      <c r="AI19" s="83">
        <f t="shared" si="5"/>
        <v>286664</v>
      </c>
      <c r="AJ19" s="83">
        <v>0</v>
      </c>
      <c r="AK19" s="83">
        <v>66164</v>
      </c>
      <c r="AL19" s="83">
        <v>30</v>
      </c>
      <c r="AM19" s="83">
        <f t="shared" si="6"/>
        <v>66164</v>
      </c>
      <c r="AN19" s="83">
        <v>70000000</v>
      </c>
      <c r="AO19" s="89"/>
      <c r="AP19" s="81">
        <v>41121</v>
      </c>
      <c r="AQ19" s="83">
        <f t="shared" si="7"/>
        <v>235051</v>
      </c>
      <c r="AR19" s="83">
        <v>220500</v>
      </c>
      <c r="AS19" s="83">
        <v>14551</v>
      </c>
      <c r="AT19" s="83">
        <v>31</v>
      </c>
      <c r="AU19" s="83">
        <f t="shared" si="8"/>
        <v>235051</v>
      </c>
      <c r="AV19" s="83">
        <v>9040500</v>
      </c>
      <c r="AW19" s="89">
        <v>15</v>
      </c>
      <c r="AX19" s="90">
        <v>41115</v>
      </c>
      <c r="AY19" s="93"/>
      <c r="AZ19" s="93"/>
      <c r="BA19" s="93"/>
      <c r="BB19" s="93"/>
      <c r="BC19" s="94"/>
      <c r="BD19" s="94"/>
      <c r="BE19" s="89"/>
      <c r="BF19" s="90"/>
      <c r="BG19" s="93"/>
      <c r="BH19" s="93"/>
      <c r="BI19" s="93"/>
      <c r="BJ19" s="93"/>
      <c r="BK19" s="94"/>
      <c r="BL19" s="94"/>
      <c r="BM19" s="89"/>
      <c r="BN19" s="90"/>
      <c r="BO19" s="93"/>
      <c r="BP19" s="93"/>
      <c r="BQ19" s="93"/>
      <c r="BR19" s="93"/>
      <c r="BS19" s="94"/>
      <c r="BT19" s="94"/>
    </row>
    <row r="20" spans="1:72">
      <c r="A20" s="89">
        <v>16</v>
      </c>
      <c r="B20" s="90">
        <v>41146</v>
      </c>
      <c r="C20" s="93"/>
      <c r="D20" s="113">
        <f t="shared" si="15"/>
        <v>754006</v>
      </c>
      <c r="E20" s="113">
        <f t="shared" si="16"/>
        <v>144513</v>
      </c>
      <c r="F20" s="113">
        <f t="shared" si="11"/>
        <v>124</v>
      </c>
      <c r="G20" s="114">
        <f t="shared" si="12"/>
        <v>663815</v>
      </c>
      <c r="H20" s="114">
        <f t="shared" si="13"/>
        <v>100480824</v>
      </c>
      <c r="I20" s="89">
        <v>16</v>
      </c>
      <c r="J20" s="81">
        <v>41146</v>
      </c>
      <c r="K20" s="83">
        <f t="shared" si="14"/>
        <v>408192</v>
      </c>
      <c r="L20" s="83">
        <v>241566</v>
      </c>
      <c r="M20" s="83">
        <v>26543</v>
      </c>
      <c r="N20" s="83">
        <v>31</v>
      </c>
      <c r="O20" s="83">
        <f t="shared" si="0"/>
        <v>268109</v>
      </c>
      <c r="P20" s="83">
        <v>10628904</v>
      </c>
      <c r="Q20" s="89"/>
      <c r="R20" s="81">
        <v>41146</v>
      </c>
      <c r="S20" s="83">
        <f t="shared" si="1"/>
        <v>307537</v>
      </c>
      <c r="T20" s="83">
        <v>140083</v>
      </c>
      <c r="U20" s="83">
        <v>15597</v>
      </c>
      <c r="V20" s="83">
        <v>31</v>
      </c>
      <c r="W20" s="83">
        <f t="shared" si="2"/>
        <v>155680</v>
      </c>
      <c r="X20" s="83">
        <v>9525644</v>
      </c>
      <c r="Y20" s="254">
        <v>16</v>
      </c>
      <c r="Z20" s="81">
        <v>41146</v>
      </c>
      <c r="AA20" s="83">
        <f t="shared" si="3"/>
        <v>171657</v>
      </c>
      <c r="AB20" s="83">
        <v>151857</v>
      </c>
      <c r="AC20" s="83">
        <v>19800</v>
      </c>
      <c r="AD20" s="83">
        <v>31</v>
      </c>
      <c r="AE20" s="83">
        <f t="shared" si="4"/>
        <v>171657</v>
      </c>
      <c r="AF20" s="83">
        <v>10326276</v>
      </c>
      <c r="AG20" s="89"/>
      <c r="AH20" s="81">
        <v>41131</v>
      </c>
      <c r="AI20" s="83">
        <f t="shared" si="5"/>
        <v>288869</v>
      </c>
      <c r="AJ20" s="83">
        <v>0</v>
      </c>
      <c r="AK20" s="83">
        <v>68369</v>
      </c>
      <c r="AL20" s="83">
        <v>31</v>
      </c>
      <c r="AM20" s="83">
        <f t="shared" si="6"/>
        <v>68369</v>
      </c>
      <c r="AN20" s="83">
        <v>70000000</v>
      </c>
      <c r="AO20" s="89"/>
      <c r="AP20" s="81">
        <v>41152</v>
      </c>
      <c r="AQ20" s="83">
        <f t="shared" si="7"/>
        <v>234704</v>
      </c>
      <c r="AR20" s="83">
        <v>220500</v>
      </c>
      <c r="AS20" s="83">
        <v>14204</v>
      </c>
      <c r="AT20" s="83">
        <v>31</v>
      </c>
      <c r="AU20" s="83">
        <f t="shared" si="8"/>
        <v>234704</v>
      </c>
      <c r="AV20" s="83">
        <v>8820000</v>
      </c>
      <c r="AW20" s="89">
        <v>16</v>
      </c>
      <c r="AX20" s="90">
        <v>41146</v>
      </c>
      <c r="AY20" s="93"/>
      <c r="AZ20" s="93"/>
      <c r="BA20" s="93"/>
      <c r="BB20" s="93"/>
      <c r="BC20" s="94"/>
      <c r="BD20" s="94"/>
      <c r="BE20" s="89"/>
      <c r="BF20" s="90"/>
      <c r="BG20" s="93"/>
      <c r="BH20" s="93"/>
      <c r="BI20" s="93"/>
      <c r="BJ20" s="93"/>
      <c r="BK20" s="94"/>
      <c r="BL20" s="94"/>
      <c r="BM20" s="89"/>
      <c r="BN20" s="90"/>
      <c r="BO20" s="93"/>
      <c r="BP20" s="93"/>
      <c r="BQ20" s="93"/>
      <c r="BR20" s="93"/>
      <c r="BS20" s="94"/>
      <c r="BT20" s="94"/>
    </row>
    <row r="21" spans="1:72">
      <c r="A21" s="89">
        <v>17</v>
      </c>
      <c r="B21" s="90">
        <v>41177</v>
      </c>
      <c r="C21" s="93"/>
      <c r="D21" s="113">
        <f t="shared" si="15"/>
        <v>754006</v>
      </c>
      <c r="E21" s="113">
        <f t="shared" si="16"/>
        <v>142617</v>
      </c>
      <c r="F21" s="113">
        <f t="shared" si="11"/>
        <v>124</v>
      </c>
      <c r="G21" s="114">
        <f t="shared" si="12"/>
        <v>662712</v>
      </c>
      <c r="H21" s="114">
        <f t="shared" si="13"/>
        <v>99947318</v>
      </c>
      <c r="I21" s="89">
        <v>17</v>
      </c>
      <c r="J21" s="81">
        <v>41177</v>
      </c>
      <c r="K21" s="83">
        <f t="shared" si="14"/>
        <v>407602</v>
      </c>
      <c r="L21" s="83">
        <v>241566</v>
      </c>
      <c r="M21" s="83">
        <v>25953</v>
      </c>
      <c r="N21" s="83">
        <v>31</v>
      </c>
      <c r="O21" s="83">
        <f t="shared" si="0"/>
        <v>267519</v>
      </c>
      <c r="P21" s="83">
        <v>10387338</v>
      </c>
      <c r="Q21" s="89"/>
      <c r="R21" s="81">
        <v>41177</v>
      </c>
      <c r="S21" s="83">
        <f t="shared" si="1"/>
        <v>307311</v>
      </c>
      <c r="T21" s="83">
        <v>140083</v>
      </c>
      <c r="U21" s="83">
        <v>15371</v>
      </c>
      <c r="V21" s="83">
        <v>31</v>
      </c>
      <c r="W21" s="83">
        <f t="shared" si="2"/>
        <v>155454</v>
      </c>
      <c r="X21" s="83">
        <v>9385561</v>
      </c>
      <c r="Y21" s="254">
        <v>17</v>
      </c>
      <c r="Z21" s="81">
        <v>41177</v>
      </c>
      <c r="AA21" s="83">
        <f t="shared" si="3"/>
        <v>171370</v>
      </c>
      <c r="AB21" s="83">
        <v>151857</v>
      </c>
      <c r="AC21" s="83">
        <v>19513</v>
      </c>
      <c r="AD21" s="83">
        <v>31</v>
      </c>
      <c r="AE21" s="83">
        <f t="shared" si="4"/>
        <v>171370</v>
      </c>
      <c r="AF21" s="83">
        <v>10174419</v>
      </c>
      <c r="AG21" s="89"/>
      <c r="AH21" s="81">
        <v>41162</v>
      </c>
      <c r="AI21" s="83">
        <f t="shared" si="5"/>
        <v>288869</v>
      </c>
      <c r="AJ21" s="83">
        <v>0</v>
      </c>
      <c r="AK21" s="83">
        <v>68369</v>
      </c>
      <c r="AL21" s="83">
        <v>31</v>
      </c>
      <c r="AM21" s="83">
        <f t="shared" si="6"/>
        <v>68369</v>
      </c>
      <c r="AN21" s="83">
        <v>70000000</v>
      </c>
      <c r="AO21" s="89"/>
      <c r="AP21" s="81">
        <v>41182</v>
      </c>
      <c r="AQ21" s="83">
        <f t="shared" si="7"/>
        <v>233911</v>
      </c>
      <c r="AR21" s="83">
        <v>220500</v>
      </c>
      <c r="AS21" s="83">
        <v>13411</v>
      </c>
      <c r="AT21" s="83">
        <v>30</v>
      </c>
      <c r="AU21" s="83">
        <f t="shared" si="8"/>
        <v>233911</v>
      </c>
      <c r="AV21" s="83">
        <v>8599500</v>
      </c>
      <c r="AW21" s="89">
        <v>17</v>
      </c>
      <c r="AX21" s="90">
        <v>41177</v>
      </c>
      <c r="AY21" s="93"/>
      <c r="AZ21" s="93"/>
      <c r="BA21" s="93"/>
      <c r="BB21" s="93"/>
      <c r="BC21" s="94"/>
      <c r="BD21" s="94"/>
      <c r="BE21" s="89"/>
      <c r="BF21" s="90"/>
      <c r="BG21" s="93"/>
      <c r="BH21" s="93"/>
      <c r="BI21" s="93"/>
      <c r="BJ21" s="93"/>
      <c r="BK21" s="94"/>
      <c r="BL21" s="94"/>
      <c r="BM21" s="89"/>
      <c r="BN21" s="90"/>
      <c r="BO21" s="93"/>
      <c r="BP21" s="93"/>
      <c r="BQ21" s="93"/>
      <c r="BR21" s="93"/>
      <c r="BS21" s="94"/>
      <c r="BT21" s="94"/>
    </row>
    <row r="22" spans="1:72">
      <c r="A22" s="89">
        <v>18</v>
      </c>
      <c r="B22" s="90">
        <v>41207</v>
      </c>
      <c r="C22" s="93"/>
      <c r="D22" s="113">
        <f t="shared" si="15"/>
        <v>754006</v>
      </c>
      <c r="E22" s="113">
        <f t="shared" si="16"/>
        <v>3077482</v>
      </c>
      <c r="F22" s="113">
        <f t="shared" si="11"/>
        <v>120</v>
      </c>
      <c r="G22" s="114">
        <f t="shared" si="12"/>
        <v>657477</v>
      </c>
      <c r="H22" s="114">
        <f t="shared" si="13"/>
        <v>99413812</v>
      </c>
      <c r="I22" s="89">
        <v>18</v>
      </c>
      <c r="J22" s="81">
        <v>41207</v>
      </c>
      <c r="K22" s="83">
        <f t="shared" si="14"/>
        <v>406194</v>
      </c>
      <c r="L22" s="83">
        <v>241566</v>
      </c>
      <c r="M22" s="83">
        <v>24545</v>
      </c>
      <c r="N22" s="83">
        <v>30</v>
      </c>
      <c r="O22" s="83">
        <f t="shared" si="0"/>
        <v>266111</v>
      </c>
      <c r="P22" s="83">
        <v>10145772</v>
      </c>
      <c r="Q22" s="89"/>
      <c r="R22" s="81">
        <v>41207</v>
      </c>
      <c r="S22" s="83">
        <f t="shared" si="1"/>
        <v>306596</v>
      </c>
      <c r="T22" s="83">
        <v>140083</v>
      </c>
      <c r="U22" s="83">
        <v>14656</v>
      </c>
      <c r="V22" s="83">
        <v>30</v>
      </c>
      <c r="W22" s="83">
        <f t="shared" si="2"/>
        <v>154739</v>
      </c>
      <c r="X22" s="83">
        <v>9245478</v>
      </c>
      <c r="Y22" s="254">
        <v>18</v>
      </c>
      <c r="Z22" s="81">
        <v>41207</v>
      </c>
      <c r="AA22" s="83">
        <f t="shared" si="3"/>
        <v>170463</v>
      </c>
      <c r="AB22" s="83">
        <v>151857</v>
      </c>
      <c r="AC22" s="83">
        <v>18606</v>
      </c>
      <c r="AD22" s="83">
        <v>30</v>
      </c>
      <c r="AE22" s="83">
        <f t="shared" si="4"/>
        <v>170463</v>
      </c>
      <c r="AF22" s="83">
        <v>10022562</v>
      </c>
      <c r="AG22" s="89"/>
      <c r="AH22" s="81">
        <v>41192</v>
      </c>
      <c r="AI22" s="83">
        <f t="shared" si="5"/>
        <v>286664</v>
      </c>
      <c r="AJ22" s="83">
        <v>0</v>
      </c>
      <c r="AK22" s="83">
        <v>66164</v>
      </c>
      <c r="AL22" s="83">
        <v>30</v>
      </c>
      <c r="AM22" s="83">
        <f t="shared" si="6"/>
        <v>66164</v>
      </c>
      <c r="AN22" s="83">
        <v>70000000</v>
      </c>
      <c r="AO22" s="89"/>
      <c r="AP22" s="81">
        <v>41213</v>
      </c>
      <c r="AQ22" s="83">
        <f t="shared" si="7"/>
        <v>234011</v>
      </c>
      <c r="AR22" s="83">
        <v>220500</v>
      </c>
      <c r="AS22" s="83">
        <v>13511</v>
      </c>
      <c r="AT22" s="83">
        <v>31</v>
      </c>
      <c r="AU22" s="83">
        <f t="shared" si="8"/>
        <v>234011</v>
      </c>
      <c r="AV22" s="83">
        <v>8379000</v>
      </c>
      <c r="AW22" s="89">
        <v>18</v>
      </c>
      <c r="AX22" s="90">
        <v>41207</v>
      </c>
      <c r="AY22" s="93"/>
      <c r="AZ22" s="93"/>
      <c r="BA22" s="93">
        <v>2940000</v>
      </c>
      <c r="BB22" s="93"/>
      <c r="BC22" s="94"/>
      <c r="BD22" s="94"/>
      <c r="BE22" s="89"/>
      <c r="BF22" s="90"/>
      <c r="BG22" s="93"/>
      <c r="BH22" s="93"/>
      <c r="BI22" s="93"/>
      <c r="BJ22" s="93"/>
      <c r="BK22" s="94"/>
      <c r="BL22" s="94"/>
      <c r="BM22" s="89"/>
      <c r="BN22" s="90"/>
      <c r="BO22" s="93"/>
      <c r="BP22" s="93"/>
      <c r="BQ22" s="93"/>
      <c r="BR22" s="93"/>
      <c r="BS22" s="94"/>
      <c r="BT22" s="94"/>
    </row>
    <row r="23" spans="1:72">
      <c r="A23" s="89">
        <v>19</v>
      </c>
      <c r="B23" s="90">
        <v>41238</v>
      </c>
      <c r="C23" s="93"/>
      <c r="D23" s="113">
        <f t="shared" si="15"/>
        <v>754006</v>
      </c>
      <c r="E23" s="113">
        <f t="shared" si="16"/>
        <v>139740</v>
      </c>
      <c r="F23" s="113">
        <f t="shared" si="11"/>
        <v>124</v>
      </c>
      <c r="G23" s="114">
        <f t="shared" si="12"/>
        <v>660506</v>
      </c>
      <c r="H23" s="114">
        <f t="shared" si="13"/>
        <v>98880306</v>
      </c>
      <c r="I23" s="89">
        <v>19</v>
      </c>
      <c r="J23" s="81">
        <v>41238</v>
      </c>
      <c r="K23" s="83">
        <f t="shared" si="14"/>
        <v>406422</v>
      </c>
      <c r="L23" s="83">
        <v>241566</v>
      </c>
      <c r="M23" s="83">
        <v>24773</v>
      </c>
      <c r="N23" s="83">
        <v>31</v>
      </c>
      <c r="O23" s="83">
        <f t="shared" si="0"/>
        <v>266339</v>
      </c>
      <c r="P23" s="83">
        <v>9904206</v>
      </c>
      <c r="Q23" s="89"/>
      <c r="R23" s="81">
        <v>41238</v>
      </c>
      <c r="S23" s="83">
        <f t="shared" si="1"/>
        <v>306859</v>
      </c>
      <c r="T23" s="83">
        <v>140083</v>
      </c>
      <c r="U23" s="83">
        <v>14919</v>
      </c>
      <c r="V23" s="83">
        <v>31</v>
      </c>
      <c r="W23" s="83">
        <f t="shared" si="2"/>
        <v>155002</v>
      </c>
      <c r="X23" s="83">
        <v>9105395</v>
      </c>
      <c r="Y23" s="254">
        <v>19</v>
      </c>
      <c r="Z23" s="81">
        <v>41238</v>
      </c>
      <c r="AA23" s="83">
        <f t="shared" si="3"/>
        <v>170796</v>
      </c>
      <c r="AB23" s="83">
        <v>151857</v>
      </c>
      <c r="AC23" s="83">
        <v>18939</v>
      </c>
      <c r="AD23" s="83">
        <v>31</v>
      </c>
      <c r="AE23" s="83">
        <f t="shared" si="4"/>
        <v>170796</v>
      </c>
      <c r="AF23" s="83">
        <v>9870705</v>
      </c>
      <c r="AG23" s="89"/>
      <c r="AH23" s="81">
        <v>41223</v>
      </c>
      <c r="AI23" s="83">
        <f t="shared" si="5"/>
        <v>288869</v>
      </c>
      <c r="AJ23" s="83">
        <v>0</v>
      </c>
      <c r="AK23" s="83">
        <v>68369</v>
      </c>
      <c r="AL23" s="83">
        <v>31</v>
      </c>
      <c r="AM23" s="83">
        <f t="shared" si="6"/>
        <v>68369</v>
      </c>
      <c r="AN23" s="83">
        <v>70000000</v>
      </c>
      <c r="AO23" s="89"/>
      <c r="AP23" s="81">
        <v>41243</v>
      </c>
      <c r="AQ23" s="83">
        <f t="shared" si="7"/>
        <v>233240</v>
      </c>
      <c r="AR23" s="83">
        <v>220500</v>
      </c>
      <c r="AS23" s="83">
        <v>12740</v>
      </c>
      <c r="AT23" s="83">
        <v>30</v>
      </c>
      <c r="AU23" s="83">
        <f t="shared" si="8"/>
        <v>233240</v>
      </c>
      <c r="AV23" s="83">
        <v>8158500</v>
      </c>
      <c r="AW23" s="89">
        <v>19</v>
      </c>
      <c r="AX23" s="90">
        <v>41238</v>
      </c>
      <c r="AY23" s="93"/>
      <c r="AZ23" s="93"/>
      <c r="BA23" s="93"/>
      <c r="BB23" s="93"/>
      <c r="BC23" s="94"/>
      <c r="BD23" s="94"/>
      <c r="BE23" s="89"/>
      <c r="BF23" s="90"/>
      <c r="BG23" s="93"/>
      <c r="BH23" s="93"/>
      <c r="BI23" s="93"/>
      <c r="BJ23" s="93"/>
      <c r="BK23" s="94"/>
      <c r="BL23" s="94"/>
      <c r="BM23" s="89"/>
      <c r="BN23" s="90"/>
      <c r="BO23" s="93"/>
      <c r="BP23" s="93"/>
      <c r="BQ23" s="93"/>
      <c r="BR23" s="93"/>
      <c r="BS23" s="94"/>
      <c r="BT23" s="94"/>
    </row>
    <row r="24" spans="1:72">
      <c r="A24" s="89">
        <v>20</v>
      </c>
      <c r="B24" s="90">
        <v>41268</v>
      </c>
      <c r="C24" s="93"/>
      <c r="D24" s="113">
        <f t="shared" si="15"/>
        <v>754006</v>
      </c>
      <c r="E24" s="113">
        <f t="shared" si="16"/>
        <v>134655</v>
      </c>
      <c r="F24" s="113">
        <f t="shared" si="11"/>
        <v>120</v>
      </c>
      <c r="G24" s="114">
        <f t="shared" si="12"/>
        <v>655343</v>
      </c>
      <c r="H24" s="114">
        <f t="shared" si="13"/>
        <v>98346800</v>
      </c>
      <c r="I24" s="89">
        <v>20</v>
      </c>
      <c r="J24" s="81">
        <v>41268</v>
      </c>
      <c r="K24" s="83">
        <f t="shared" si="14"/>
        <v>405052</v>
      </c>
      <c r="L24" s="83">
        <v>241566</v>
      </c>
      <c r="M24" s="83">
        <v>23403</v>
      </c>
      <c r="N24" s="83">
        <v>30</v>
      </c>
      <c r="O24" s="83">
        <f t="shared" si="0"/>
        <v>264969</v>
      </c>
      <c r="P24" s="83">
        <v>9662640</v>
      </c>
      <c r="Q24" s="89"/>
      <c r="R24" s="81">
        <v>41268</v>
      </c>
      <c r="S24" s="83">
        <f t="shared" si="1"/>
        <v>306159</v>
      </c>
      <c r="T24" s="83">
        <v>140083</v>
      </c>
      <c r="U24" s="83">
        <v>14219</v>
      </c>
      <c r="V24" s="83">
        <v>30</v>
      </c>
      <c r="W24" s="83">
        <f t="shared" si="2"/>
        <v>154302</v>
      </c>
      <c r="X24" s="83">
        <v>8965312</v>
      </c>
      <c r="Y24" s="254">
        <v>20</v>
      </c>
      <c r="Z24" s="81">
        <v>41268</v>
      </c>
      <c r="AA24" s="83">
        <f t="shared" si="3"/>
        <v>169908</v>
      </c>
      <c r="AB24" s="83">
        <v>151857</v>
      </c>
      <c r="AC24" s="83">
        <v>18051</v>
      </c>
      <c r="AD24" s="83">
        <v>30</v>
      </c>
      <c r="AE24" s="83">
        <f t="shared" si="4"/>
        <v>169908</v>
      </c>
      <c r="AF24" s="83">
        <v>9718848</v>
      </c>
      <c r="AG24" s="89"/>
      <c r="AH24" s="81">
        <v>41253</v>
      </c>
      <c r="AI24" s="83">
        <f t="shared" si="5"/>
        <v>286664</v>
      </c>
      <c r="AJ24" s="83">
        <v>0</v>
      </c>
      <c r="AK24" s="83">
        <v>66164</v>
      </c>
      <c r="AL24" s="83">
        <v>30</v>
      </c>
      <c r="AM24" s="83">
        <f t="shared" si="6"/>
        <v>66164</v>
      </c>
      <c r="AN24" s="83">
        <v>70000000</v>
      </c>
      <c r="AO24" s="89"/>
      <c r="AP24" s="81">
        <v>41274</v>
      </c>
      <c r="AQ24" s="83">
        <f t="shared" si="7"/>
        <v>233318</v>
      </c>
      <c r="AR24" s="83">
        <v>220500</v>
      </c>
      <c r="AS24" s="83">
        <v>12818</v>
      </c>
      <c r="AT24" s="83">
        <v>31</v>
      </c>
      <c r="AU24" s="83">
        <f t="shared" si="8"/>
        <v>233318</v>
      </c>
      <c r="AV24" s="83">
        <v>7938000</v>
      </c>
      <c r="AW24" s="89">
        <v>20</v>
      </c>
      <c r="AX24" s="90">
        <v>41268</v>
      </c>
      <c r="AY24" s="93"/>
      <c r="AZ24" s="93"/>
      <c r="BA24" s="93"/>
      <c r="BB24" s="93"/>
      <c r="BC24" s="94"/>
      <c r="BD24" s="94"/>
      <c r="BE24" s="89"/>
      <c r="BF24" s="90"/>
      <c r="BG24" s="93"/>
      <c r="BH24" s="93"/>
      <c r="BI24" s="93"/>
      <c r="BJ24" s="93"/>
      <c r="BK24" s="94"/>
      <c r="BL24" s="94"/>
      <c r="BM24" s="89"/>
      <c r="BN24" s="90"/>
      <c r="BO24" s="93"/>
      <c r="BP24" s="93"/>
      <c r="BQ24" s="93"/>
      <c r="BR24" s="93"/>
      <c r="BS24" s="94"/>
      <c r="BT24" s="94"/>
    </row>
    <row r="25" spans="1:72">
      <c r="A25" s="89">
        <v>21</v>
      </c>
      <c r="B25" s="90">
        <v>41299</v>
      </c>
      <c r="C25" s="93"/>
      <c r="D25" s="113">
        <f t="shared" si="15"/>
        <v>754006</v>
      </c>
      <c r="E25" s="113">
        <f t="shared" si="16"/>
        <v>137266</v>
      </c>
      <c r="F25" s="113">
        <f t="shared" si="11"/>
        <v>124</v>
      </c>
      <c r="G25" s="114">
        <f t="shared" si="12"/>
        <v>658300</v>
      </c>
      <c r="H25" s="114">
        <f t="shared" si="13"/>
        <v>97813294</v>
      </c>
      <c r="I25" s="89">
        <v>21</v>
      </c>
      <c r="J25" s="81">
        <v>41299</v>
      </c>
      <c r="K25" s="83">
        <f t="shared" si="14"/>
        <v>405242</v>
      </c>
      <c r="L25" s="83">
        <v>241566</v>
      </c>
      <c r="M25" s="83">
        <v>23593</v>
      </c>
      <c r="N25" s="83">
        <v>31</v>
      </c>
      <c r="O25" s="83">
        <f t="shared" si="0"/>
        <v>265159</v>
      </c>
      <c r="P25" s="83">
        <v>9421074</v>
      </c>
      <c r="Q25" s="89"/>
      <c r="R25" s="81">
        <v>41299</v>
      </c>
      <c r="S25" s="83">
        <f t="shared" si="1"/>
        <v>306407</v>
      </c>
      <c r="T25" s="83">
        <v>140083</v>
      </c>
      <c r="U25" s="83">
        <v>14467</v>
      </c>
      <c r="V25" s="83">
        <v>31</v>
      </c>
      <c r="W25" s="83">
        <f t="shared" si="2"/>
        <v>154550</v>
      </c>
      <c r="X25" s="83">
        <v>8825229</v>
      </c>
      <c r="Y25" s="254">
        <v>21</v>
      </c>
      <c r="Z25" s="81">
        <v>41299</v>
      </c>
      <c r="AA25" s="83">
        <f t="shared" si="3"/>
        <v>170222</v>
      </c>
      <c r="AB25" s="83">
        <v>151857</v>
      </c>
      <c r="AC25" s="83">
        <v>18365</v>
      </c>
      <c r="AD25" s="83">
        <v>31</v>
      </c>
      <c r="AE25" s="83">
        <f t="shared" si="4"/>
        <v>170222</v>
      </c>
      <c r="AF25" s="83">
        <v>9566991</v>
      </c>
      <c r="AG25" s="89"/>
      <c r="AH25" s="81">
        <v>41284</v>
      </c>
      <c r="AI25" s="83">
        <f t="shared" si="5"/>
        <v>288869</v>
      </c>
      <c r="AJ25" s="83">
        <v>0</v>
      </c>
      <c r="AK25" s="83">
        <v>68369</v>
      </c>
      <c r="AL25" s="83">
        <v>31</v>
      </c>
      <c r="AM25" s="83">
        <f t="shared" si="6"/>
        <v>68369</v>
      </c>
      <c r="AN25" s="83">
        <v>70000000</v>
      </c>
      <c r="AO25" s="89"/>
      <c r="AP25" s="81">
        <v>41305</v>
      </c>
      <c r="AQ25" s="83">
        <f t="shared" si="7"/>
        <v>232972</v>
      </c>
      <c r="AR25" s="83">
        <v>220500</v>
      </c>
      <c r="AS25" s="83">
        <v>12472</v>
      </c>
      <c r="AT25" s="83">
        <v>31</v>
      </c>
      <c r="AU25" s="83">
        <f t="shared" si="8"/>
        <v>232972</v>
      </c>
      <c r="AV25" s="83">
        <v>7717500</v>
      </c>
      <c r="AW25" s="89">
        <v>21</v>
      </c>
      <c r="AX25" s="90">
        <v>41299</v>
      </c>
      <c r="AY25" s="93"/>
      <c r="AZ25" s="93"/>
      <c r="BA25" s="93"/>
      <c r="BB25" s="93"/>
      <c r="BC25" s="94"/>
      <c r="BD25" s="94"/>
      <c r="BE25" s="89"/>
      <c r="BF25" s="90"/>
      <c r="BG25" s="93"/>
      <c r="BH25" s="93"/>
      <c r="BI25" s="93"/>
      <c r="BJ25" s="93"/>
      <c r="BK25" s="94"/>
      <c r="BL25" s="94"/>
      <c r="BM25" s="89"/>
      <c r="BN25" s="90"/>
      <c r="BO25" s="93"/>
      <c r="BP25" s="93"/>
      <c r="BQ25" s="93"/>
      <c r="BR25" s="93"/>
      <c r="BS25" s="94"/>
      <c r="BT25" s="94"/>
    </row>
    <row r="26" spans="1:72">
      <c r="A26" s="89">
        <v>22</v>
      </c>
      <c r="B26" s="90">
        <v>41330</v>
      </c>
      <c r="C26" s="93"/>
      <c r="D26" s="113">
        <f t="shared" si="15"/>
        <v>754006</v>
      </c>
      <c r="E26" s="113">
        <f t="shared" si="16"/>
        <v>134644</v>
      </c>
      <c r="F26" s="113">
        <f t="shared" si="11"/>
        <v>124</v>
      </c>
      <c r="G26" s="114">
        <f t="shared" si="12"/>
        <v>657198</v>
      </c>
      <c r="H26" s="114">
        <f t="shared" si="13"/>
        <v>97279788</v>
      </c>
      <c r="I26" s="89">
        <v>22</v>
      </c>
      <c r="J26" s="81">
        <v>41330</v>
      </c>
      <c r="K26" s="83">
        <f t="shared" si="14"/>
        <v>404653</v>
      </c>
      <c r="L26" s="83">
        <v>241566</v>
      </c>
      <c r="M26" s="83">
        <v>23004</v>
      </c>
      <c r="N26" s="83">
        <v>31</v>
      </c>
      <c r="O26" s="83">
        <f t="shared" si="0"/>
        <v>264570</v>
      </c>
      <c r="P26" s="83">
        <v>9179508</v>
      </c>
      <c r="Q26" s="89"/>
      <c r="R26" s="81">
        <v>41330</v>
      </c>
      <c r="S26" s="83">
        <f t="shared" si="1"/>
        <v>306181</v>
      </c>
      <c r="T26" s="83">
        <v>140083</v>
      </c>
      <c r="U26" s="83">
        <v>14241</v>
      </c>
      <c r="V26" s="83">
        <v>31</v>
      </c>
      <c r="W26" s="83">
        <f t="shared" si="2"/>
        <v>154324</v>
      </c>
      <c r="X26" s="83">
        <v>8685146</v>
      </c>
      <c r="Y26" s="254">
        <v>22</v>
      </c>
      <c r="Z26" s="81">
        <v>41330</v>
      </c>
      <c r="AA26" s="83">
        <f t="shared" si="3"/>
        <v>169935</v>
      </c>
      <c r="AB26" s="83">
        <v>151857</v>
      </c>
      <c r="AC26" s="83">
        <v>18078</v>
      </c>
      <c r="AD26" s="83">
        <v>31</v>
      </c>
      <c r="AE26" s="83">
        <f t="shared" si="4"/>
        <v>169935</v>
      </c>
      <c r="AF26" s="83">
        <v>9415134</v>
      </c>
      <c r="AG26" s="89"/>
      <c r="AH26" s="81">
        <v>41315</v>
      </c>
      <c r="AI26" s="83">
        <f t="shared" si="5"/>
        <v>288869</v>
      </c>
      <c r="AJ26" s="83">
        <v>0</v>
      </c>
      <c r="AK26" s="83">
        <v>68369</v>
      </c>
      <c r="AL26" s="83">
        <v>31</v>
      </c>
      <c r="AM26" s="83">
        <f t="shared" si="6"/>
        <v>68369</v>
      </c>
      <c r="AN26" s="83">
        <v>70000000</v>
      </c>
      <c r="AO26" s="89"/>
      <c r="AP26" s="81">
        <v>41333</v>
      </c>
      <c r="AQ26" s="83">
        <f t="shared" si="7"/>
        <v>231452</v>
      </c>
      <c r="AR26" s="83">
        <v>220500</v>
      </c>
      <c r="AS26" s="83">
        <v>10952</v>
      </c>
      <c r="AT26" s="83">
        <v>28</v>
      </c>
      <c r="AU26" s="83">
        <f t="shared" si="8"/>
        <v>231452</v>
      </c>
      <c r="AV26" s="83">
        <v>7497000</v>
      </c>
      <c r="AW26" s="89">
        <v>22</v>
      </c>
      <c r="AX26" s="90">
        <v>41330</v>
      </c>
      <c r="AY26" s="93"/>
      <c r="AZ26" s="93"/>
      <c r="BA26" s="93"/>
      <c r="BB26" s="93"/>
      <c r="BC26" s="94"/>
      <c r="BD26" s="94"/>
      <c r="BE26" s="89"/>
      <c r="BF26" s="90"/>
      <c r="BG26" s="93"/>
      <c r="BH26" s="93"/>
      <c r="BI26" s="93"/>
      <c r="BJ26" s="93"/>
      <c r="BK26" s="94"/>
      <c r="BL26" s="94"/>
      <c r="BM26" s="89"/>
      <c r="BN26" s="90"/>
      <c r="BO26" s="93"/>
      <c r="BP26" s="93"/>
      <c r="BQ26" s="93"/>
      <c r="BR26" s="93"/>
      <c r="BS26" s="94"/>
      <c r="BT26" s="94"/>
    </row>
    <row r="27" spans="1:72">
      <c r="A27" s="89">
        <v>23</v>
      </c>
      <c r="B27" s="90">
        <v>41358</v>
      </c>
      <c r="C27" s="93"/>
      <c r="D27" s="113">
        <f t="shared" si="15"/>
        <v>754006</v>
      </c>
      <c r="E27" s="113">
        <f t="shared" si="16"/>
        <v>122505</v>
      </c>
      <c r="F27" s="113">
        <f t="shared" si="11"/>
        <v>112</v>
      </c>
      <c r="G27" s="114">
        <f t="shared" si="12"/>
        <v>644232</v>
      </c>
      <c r="H27" s="114">
        <f t="shared" si="13"/>
        <v>96746282</v>
      </c>
      <c r="I27" s="89">
        <v>23</v>
      </c>
      <c r="J27" s="81">
        <v>41358</v>
      </c>
      <c r="K27" s="83">
        <f t="shared" si="14"/>
        <v>401894</v>
      </c>
      <c r="L27" s="83">
        <v>241566</v>
      </c>
      <c r="M27" s="83">
        <v>20245</v>
      </c>
      <c r="N27" s="83">
        <v>28</v>
      </c>
      <c r="O27" s="83">
        <f t="shared" si="0"/>
        <v>261811</v>
      </c>
      <c r="P27" s="83">
        <v>8937942</v>
      </c>
      <c r="Q27" s="89"/>
      <c r="R27" s="81">
        <v>41358</v>
      </c>
      <c r="S27" s="83">
        <f t="shared" si="1"/>
        <v>304598</v>
      </c>
      <c r="T27" s="83">
        <v>140083</v>
      </c>
      <c r="U27" s="83">
        <v>12658</v>
      </c>
      <c r="V27" s="83">
        <v>28</v>
      </c>
      <c r="W27" s="83">
        <f t="shared" si="2"/>
        <v>152741</v>
      </c>
      <c r="X27" s="83">
        <v>8545063</v>
      </c>
      <c r="Y27" s="254">
        <v>23</v>
      </c>
      <c r="Z27" s="81">
        <v>41358</v>
      </c>
      <c r="AA27" s="83">
        <f t="shared" si="3"/>
        <v>167927</v>
      </c>
      <c r="AB27" s="83">
        <v>151857</v>
      </c>
      <c r="AC27" s="83">
        <v>16070</v>
      </c>
      <c r="AD27" s="83">
        <v>28</v>
      </c>
      <c r="AE27" s="83">
        <f t="shared" si="4"/>
        <v>167927</v>
      </c>
      <c r="AF27" s="83">
        <v>9263277</v>
      </c>
      <c r="AG27" s="89"/>
      <c r="AH27" s="81">
        <v>41343</v>
      </c>
      <c r="AI27" s="83">
        <f t="shared" si="5"/>
        <v>282253</v>
      </c>
      <c r="AJ27" s="83">
        <v>0</v>
      </c>
      <c r="AK27" s="83">
        <v>61753</v>
      </c>
      <c r="AL27" s="83">
        <v>28</v>
      </c>
      <c r="AM27" s="83">
        <f t="shared" si="6"/>
        <v>61753</v>
      </c>
      <c r="AN27" s="83">
        <v>70000000</v>
      </c>
      <c r="AO27" s="89"/>
      <c r="AP27" s="81">
        <v>41364</v>
      </c>
      <c r="AQ27" s="83">
        <f t="shared" si="7"/>
        <v>232279</v>
      </c>
      <c r="AR27" s="83">
        <v>220500</v>
      </c>
      <c r="AS27" s="83">
        <v>11779</v>
      </c>
      <c r="AT27" s="83">
        <v>31</v>
      </c>
      <c r="AU27" s="83">
        <f t="shared" si="8"/>
        <v>232279</v>
      </c>
      <c r="AV27" s="83">
        <v>7276500</v>
      </c>
      <c r="AW27" s="89">
        <v>23</v>
      </c>
      <c r="AX27" s="90">
        <v>41358</v>
      </c>
      <c r="AY27" s="93"/>
      <c r="AZ27" s="93"/>
      <c r="BA27" s="93"/>
      <c r="BB27" s="93"/>
      <c r="BC27" s="94"/>
      <c r="BD27" s="94"/>
      <c r="BE27" s="89"/>
      <c r="BF27" s="90"/>
      <c r="BG27" s="93"/>
      <c r="BH27" s="93"/>
      <c r="BI27" s="93"/>
      <c r="BJ27" s="93"/>
      <c r="BK27" s="94"/>
      <c r="BL27" s="94"/>
      <c r="BM27" s="89"/>
      <c r="BN27" s="90"/>
      <c r="BO27" s="93"/>
      <c r="BP27" s="93"/>
      <c r="BQ27" s="93"/>
      <c r="BR27" s="93"/>
      <c r="BS27" s="94"/>
      <c r="BT27" s="94"/>
    </row>
    <row r="28" spans="1:72">
      <c r="A28" s="89">
        <v>24</v>
      </c>
      <c r="B28" s="90">
        <v>41389</v>
      </c>
      <c r="C28" s="93"/>
      <c r="D28" s="113">
        <f t="shared" si="15"/>
        <v>754006</v>
      </c>
      <c r="E28" s="113">
        <f t="shared" si="16"/>
        <v>3072550</v>
      </c>
      <c r="F28" s="113">
        <f t="shared" si="11"/>
        <v>124</v>
      </c>
      <c r="G28" s="114">
        <f t="shared" si="12"/>
        <v>654992</v>
      </c>
      <c r="H28" s="114">
        <f t="shared" si="13"/>
        <v>96212776</v>
      </c>
      <c r="I28" s="89">
        <v>24</v>
      </c>
      <c r="J28" s="81">
        <v>41389</v>
      </c>
      <c r="K28" s="83">
        <f t="shared" si="14"/>
        <v>403473</v>
      </c>
      <c r="L28" s="83">
        <v>241566</v>
      </c>
      <c r="M28" s="83">
        <v>21824</v>
      </c>
      <c r="N28" s="83">
        <v>31</v>
      </c>
      <c r="O28" s="83">
        <f t="shared" si="0"/>
        <v>263390</v>
      </c>
      <c r="P28" s="83">
        <v>8696376</v>
      </c>
      <c r="Q28" s="89"/>
      <c r="R28" s="81">
        <v>41389</v>
      </c>
      <c r="S28" s="83">
        <f t="shared" si="1"/>
        <v>305729</v>
      </c>
      <c r="T28" s="83">
        <v>140083</v>
      </c>
      <c r="U28" s="83">
        <v>13789</v>
      </c>
      <c r="V28" s="83">
        <v>31</v>
      </c>
      <c r="W28" s="83">
        <f t="shared" si="2"/>
        <v>153872</v>
      </c>
      <c r="X28" s="83">
        <v>8404980</v>
      </c>
      <c r="Y28" s="254">
        <v>24</v>
      </c>
      <c r="Z28" s="81">
        <v>41389</v>
      </c>
      <c r="AA28" s="83">
        <f t="shared" si="3"/>
        <v>169361</v>
      </c>
      <c r="AB28" s="83">
        <v>151857</v>
      </c>
      <c r="AC28" s="83">
        <v>17504</v>
      </c>
      <c r="AD28" s="83">
        <v>31</v>
      </c>
      <c r="AE28" s="83">
        <f t="shared" si="4"/>
        <v>169361</v>
      </c>
      <c r="AF28" s="83">
        <v>9111420</v>
      </c>
      <c r="AG28" s="89"/>
      <c r="AH28" s="81">
        <v>41374</v>
      </c>
      <c r="AI28" s="83">
        <f t="shared" si="5"/>
        <v>288869</v>
      </c>
      <c r="AJ28" s="83">
        <v>0</v>
      </c>
      <c r="AK28" s="83">
        <v>68369</v>
      </c>
      <c r="AL28" s="83">
        <v>31</v>
      </c>
      <c r="AM28" s="83">
        <f t="shared" si="6"/>
        <v>68369</v>
      </c>
      <c r="AN28" s="83">
        <v>70000000</v>
      </c>
      <c r="AO28" s="89"/>
      <c r="AP28" s="81">
        <v>41394</v>
      </c>
      <c r="AQ28" s="83">
        <f t="shared" si="7"/>
        <v>231564</v>
      </c>
      <c r="AR28" s="83">
        <v>220500</v>
      </c>
      <c r="AS28" s="83">
        <v>11064</v>
      </c>
      <c r="AT28" s="83">
        <v>30</v>
      </c>
      <c r="AU28" s="83">
        <f t="shared" si="8"/>
        <v>231564</v>
      </c>
      <c r="AV28" s="83">
        <v>7056000</v>
      </c>
      <c r="AW28" s="89">
        <v>24</v>
      </c>
      <c r="AX28" s="90">
        <v>41389</v>
      </c>
      <c r="AY28" s="93"/>
      <c r="AZ28" s="93"/>
      <c r="BA28" s="93">
        <v>2940000</v>
      </c>
      <c r="BB28" s="93"/>
      <c r="BC28" s="94"/>
      <c r="BD28" s="94"/>
      <c r="BE28" s="89"/>
      <c r="BF28" s="90"/>
      <c r="BG28" s="93"/>
      <c r="BH28" s="93"/>
      <c r="BI28" s="93"/>
      <c r="BJ28" s="93"/>
      <c r="BK28" s="94"/>
      <c r="BL28" s="94"/>
      <c r="BM28" s="89"/>
      <c r="BN28" s="90"/>
      <c r="BO28" s="93"/>
      <c r="BP28" s="93"/>
      <c r="BQ28" s="93"/>
      <c r="BR28" s="93"/>
      <c r="BS28" s="94"/>
      <c r="BT28" s="94"/>
    </row>
    <row r="29" spans="1:72">
      <c r="A29" s="89">
        <v>25</v>
      </c>
      <c r="B29" s="90">
        <v>41419</v>
      </c>
      <c r="C29" s="93"/>
      <c r="D29" s="113">
        <f t="shared" si="15"/>
        <v>754006</v>
      </c>
      <c r="E29" s="113">
        <f t="shared" si="16"/>
        <v>127586</v>
      </c>
      <c r="F29" s="113">
        <f t="shared" si="11"/>
        <v>120</v>
      </c>
      <c r="G29" s="114">
        <f t="shared" si="12"/>
        <v>650006</v>
      </c>
      <c r="H29" s="114">
        <f t="shared" si="13"/>
        <v>95679270</v>
      </c>
      <c r="I29" s="89">
        <v>25</v>
      </c>
      <c r="J29" s="81">
        <v>41419</v>
      </c>
      <c r="K29" s="83">
        <f t="shared" si="14"/>
        <v>402198</v>
      </c>
      <c r="L29" s="83">
        <v>241566</v>
      </c>
      <c r="M29" s="83">
        <v>20549</v>
      </c>
      <c r="N29" s="83">
        <v>30</v>
      </c>
      <c r="O29" s="83">
        <f t="shared" si="0"/>
        <v>262115</v>
      </c>
      <c r="P29" s="83">
        <v>8454810</v>
      </c>
      <c r="Q29" s="89"/>
      <c r="R29" s="81">
        <v>41419</v>
      </c>
      <c r="S29" s="83">
        <f t="shared" si="1"/>
        <v>305065</v>
      </c>
      <c r="T29" s="83">
        <v>140083</v>
      </c>
      <c r="U29" s="83">
        <v>13125</v>
      </c>
      <c r="V29" s="83">
        <v>30</v>
      </c>
      <c r="W29" s="83">
        <f t="shared" si="2"/>
        <v>153208</v>
      </c>
      <c r="X29" s="83">
        <v>8264897</v>
      </c>
      <c r="Y29" s="254">
        <v>25</v>
      </c>
      <c r="Z29" s="81">
        <v>41419</v>
      </c>
      <c r="AA29" s="83">
        <f t="shared" si="3"/>
        <v>168519</v>
      </c>
      <c r="AB29" s="83">
        <v>151857</v>
      </c>
      <c r="AC29" s="83">
        <v>16662</v>
      </c>
      <c r="AD29" s="83">
        <v>30</v>
      </c>
      <c r="AE29" s="83">
        <f t="shared" si="4"/>
        <v>168519</v>
      </c>
      <c r="AF29" s="83">
        <v>8959563</v>
      </c>
      <c r="AG29" s="89"/>
      <c r="AH29" s="81">
        <v>41404</v>
      </c>
      <c r="AI29" s="83">
        <f t="shared" si="5"/>
        <v>286664</v>
      </c>
      <c r="AJ29" s="83">
        <v>0</v>
      </c>
      <c r="AK29" s="83">
        <v>66164</v>
      </c>
      <c r="AL29" s="83">
        <v>30</v>
      </c>
      <c r="AM29" s="83">
        <f t="shared" si="6"/>
        <v>66164</v>
      </c>
      <c r="AN29" s="83">
        <v>70000000</v>
      </c>
      <c r="AO29" s="89"/>
      <c r="AP29" s="81">
        <v>41425</v>
      </c>
      <c r="AQ29" s="83">
        <f t="shared" si="7"/>
        <v>231586</v>
      </c>
      <c r="AR29" s="83">
        <v>220500</v>
      </c>
      <c r="AS29" s="83">
        <v>11086</v>
      </c>
      <c r="AT29" s="83">
        <v>31</v>
      </c>
      <c r="AU29" s="83">
        <f t="shared" si="8"/>
        <v>231586</v>
      </c>
      <c r="AV29" s="83">
        <v>6835500</v>
      </c>
      <c r="AW29" s="89">
        <v>25</v>
      </c>
      <c r="AX29" s="90">
        <v>41419</v>
      </c>
      <c r="AY29" s="93"/>
      <c r="AZ29" s="93"/>
      <c r="BA29" s="93"/>
      <c r="BB29" s="93"/>
      <c r="BC29" s="94"/>
      <c r="BD29" s="94"/>
      <c r="BE29" s="89"/>
      <c r="BF29" s="90"/>
      <c r="BG29" s="93"/>
      <c r="BH29" s="93"/>
      <c r="BI29" s="93"/>
      <c r="BJ29" s="93"/>
      <c r="BK29" s="94"/>
      <c r="BL29" s="94"/>
      <c r="BM29" s="89"/>
      <c r="BN29" s="90"/>
      <c r="BO29" s="93"/>
      <c r="BP29" s="93"/>
      <c r="BQ29" s="93"/>
      <c r="BR29" s="93"/>
      <c r="BS29" s="94"/>
      <c r="BT29" s="94"/>
    </row>
    <row r="30" spans="1:72">
      <c r="A30" s="89">
        <v>26</v>
      </c>
      <c r="B30" s="90">
        <v>41450</v>
      </c>
      <c r="C30" s="93"/>
      <c r="D30" s="113">
        <f t="shared" si="15"/>
        <v>754006</v>
      </c>
      <c r="E30" s="113">
        <f t="shared" si="16"/>
        <v>129673</v>
      </c>
      <c r="F30" s="113">
        <f t="shared" si="11"/>
        <v>124</v>
      </c>
      <c r="G30" s="114">
        <f t="shared" si="12"/>
        <v>652786</v>
      </c>
      <c r="H30" s="114">
        <f t="shared" si="13"/>
        <v>95145764</v>
      </c>
      <c r="I30" s="89">
        <v>26</v>
      </c>
      <c r="J30" s="81">
        <v>41450</v>
      </c>
      <c r="K30" s="83">
        <f t="shared" si="14"/>
        <v>402293</v>
      </c>
      <c r="L30" s="83">
        <v>241566</v>
      </c>
      <c r="M30" s="83">
        <v>20644</v>
      </c>
      <c r="N30" s="83">
        <v>31</v>
      </c>
      <c r="O30" s="83">
        <f t="shared" si="0"/>
        <v>262210</v>
      </c>
      <c r="P30" s="83">
        <v>8213244</v>
      </c>
      <c r="Q30" s="89"/>
      <c r="R30" s="81">
        <v>41450</v>
      </c>
      <c r="S30" s="83">
        <f t="shared" si="1"/>
        <v>305276</v>
      </c>
      <c r="T30" s="83">
        <v>140083</v>
      </c>
      <c r="U30" s="83">
        <v>13336</v>
      </c>
      <c r="V30" s="83">
        <v>31</v>
      </c>
      <c r="W30" s="83">
        <f t="shared" si="2"/>
        <v>153419</v>
      </c>
      <c r="X30" s="83">
        <v>8124814</v>
      </c>
      <c r="Y30" s="254">
        <v>26</v>
      </c>
      <c r="Z30" s="81">
        <v>41450</v>
      </c>
      <c r="AA30" s="83">
        <f t="shared" si="3"/>
        <v>168788</v>
      </c>
      <c r="AB30" s="83">
        <v>151857</v>
      </c>
      <c r="AC30" s="83">
        <v>16931</v>
      </c>
      <c r="AD30" s="83">
        <v>31</v>
      </c>
      <c r="AE30" s="83">
        <f t="shared" si="4"/>
        <v>168788</v>
      </c>
      <c r="AF30" s="83">
        <v>8807706</v>
      </c>
      <c r="AG30" s="89"/>
      <c r="AH30" s="81">
        <v>41435</v>
      </c>
      <c r="AI30" s="83">
        <f t="shared" si="5"/>
        <v>288869</v>
      </c>
      <c r="AJ30" s="83">
        <v>0</v>
      </c>
      <c r="AK30" s="83">
        <v>68369</v>
      </c>
      <c r="AL30" s="83">
        <v>31</v>
      </c>
      <c r="AM30" s="83">
        <f t="shared" si="6"/>
        <v>68369</v>
      </c>
      <c r="AN30" s="83">
        <v>70000000</v>
      </c>
      <c r="AO30" s="89"/>
      <c r="AP30" s="81">
        <v>41455</v>
      </c>
      <c r="AQ30" s="83">
        <f t="shared" si="7"/>
        <v>230893</v>
      </c>
      <c r="AR30" s="83">
        <v>220500</v>
      </c>
      <c r="AS30" s="83">
        <v>10393</v>
      </c>
      <c r="AT30" s="83">
        <v>30</v>
      </c>
      <c r="AU30" s="83">
        <f t="shared" si="8"/>
        <v>230893</v>
      </c>
      <c r="AV30" s="83">
        <v>6615000</v>
      </c>
      <c r="AW30" s="89">
        <v>26</v>
      </c>
      <c r="AX30" s="90">
        <v>41450</v>
      </c>
      <c r="AY30" s="93"/>
      <c r="AZ30" s="93"/>
      <c r="BA30" s="93"/>
      <c r="BB30" s="93"/>
      <c r="BC30" s="94"/>
      <c r="BD30" s="94"/>
      <c r="BE30" s="89"/>
      <c r="BF30" s="90"/>
      <c r="BG30" s="93"/>
      <c r="BH30" s="93"/>
      <c r="BI30" s="93"/>
      <c r="BJ30" s="93"/>
      <c r="BK30" s="94"/>
      <c r="BL30" s="94"/>
      <c r="BM30" s="89"/>
      <c r="BN30" s="90"/>
      <c r="BO30" s="93"/>
      <c r="BP30" s="93"/>
      <c r="BQ30" s="93"/>
      <c r="BR30" s="93"/>
      <c r="BS30" s="94"/>
      <c r="BT30" s="94"/>
    </row>
    <row r="31" spans="1:72">
      <c r="A31" s="89">
        <v>27</v>
      </c>
      <c r="B31" s="90">
        <v>41480</v>
      </c>
      <c r="C31" s="93"/>
      <c r="D31" s="113">
        <f t="shared" si="15"/>
        <v>1332566</v>
      </c>
      <c r="E31" s="113">
        <f t="shared" si="16"/>
        <v>124759</v>
      </c>
      <c r="F31" s="113">
        <f t="shared" si="11"/>
        <v>120</v>
      </c>
      <c r="G31" s="114">
        <f t="shared" si="12"/>
        <v>1226432</v>
      </c>
      <c r="H31" s="114">
        <f t="shared" si="13"/>
        <v>94033698</v>
      </c>
      <c r="I31" s="89">
        <v>27</v>
      </c>
      <c r="J31" s="81">
        <v>41480</v>
      </c>
      <c r="K31" s="83">
        <f t="shared" si="14"/>
        <v>401056</v>
      </c>
      <c r="L31" s="83">
        <v>241566</v>
      </c>
      <c r="M31" s="83">
        <v>19407</v>
      </c>
      <c r="N31" s="83">
        <v>30</v>
      </c>
      <c r="O31" s="83">
        <f t="shared" si="0"/>
        <v>260973</v>
      </c>
      <c r="P31" s="83">
        <v>7971678</v>
      </c>
      <c r="Q31" s="89"/>
      <c r="R31" s="81">
        <v>41480</v>
      </c>
      <c r="S31" s="83">
        <f t="shared" si="1"/>
        <v>304628</v>
      </c>
      <c r="T31" s="83">
        <v>140083</v>
      </c>
      <c r="U31" s="83">
        <v>12688</v>
      </c>
      <c r="V31" s="83">
        <v>30</v>
      </c>
      <c r="W31" s="83">
        <f t="shared" si="2"/>
        <v>152771</v>
      </c>
      <c r="X31" s="83">
        <v>7984731</v>
      </c>
      <c r="Y31" s="254">
        <v>27</v>
      </c>
      <c r="Z31" s="81">
        <v>41480</v>
      </c>
      <c r="AA31" s="83">
        <f t="shared" si="3"/>
        <v>746524</v>
      </c>
      <c r="AB31" s="83">
        <v>151857</v>
      </c>
      <c r="AC31" s="83">
        <v>16107</v>
      </c>
      <c r="AD31" s="83">
        <v>30</v>
      </c>
      <c r="AE31" s="83">
        <f t="shared" si="4"/>
        <v>167964</v>
      </c>
      <c r="AF31" s="83">
        <v>8655849</v>
      </c>
      <c r="AG31" s="89"/>
      <c r="AH31" s="81">
        <v>41465</v>
      </c>
      <c r="AI31" s="83">
        <f t="shared" si="5"/>
        <v>865224</v>
      </c>
      <c r="AJ31" s="83">
        <v>578560</v>
      </c>
      <c r="AK31" s="83">
        <v>66164</v>
      </c>
      <c r="AL31" s="83">
        <v>30</v>
      </c>
      <c r="AM31" s="83">
        <f t="shared" si="6"/>
        <v>644724</v>
      </c>
      <c r="AN31" s="83">
        <v>69421440</v>
      </c>
      <c r="AO31" s="89"/>
      <c r="AP31" s="81">
        <v>41486</v>
      </c>
      <c r="AQ31" s="83">
        <f t="shared" si="7"/>
        <v>230893</v>
      </c>
      <c r="AR31" s="83">
        <v>220500</v>
      </c>
      <c r="AS31" s="83">
        <v>10393</v>
      </c>
      <c r="AT31" s="83">
        <v>31</v>
      </c>
      <c r="AU31" s="83">
        <f t="shared" si="8"/>
        <v>230893</v>
      </c>
      <c r="AV31" s="83">
        <v>6394500</v>
      </c>
      <c r="AW31" s="89">
        <v>27</v>
      </c>
      <c r="AX31" s="90">
        <v>41480</v>
      </c>
      <c r="AY31" s="93"/>
      <c r="AZ31" s="93"/>
      <c r="BA31" s="93"/>
      <c r="BB31" s="93"/>
      <c r="BC31" s="94"/>
      <c r="BD31" s="94"/>
      <c r="BE31" s="89"/>
      <c r="BF31" s="90"/>
      <c r="BG31" s="93"/>
      <c r="BH31" s="93"/>
      <c r="BI31" s="93"/>
      <c r="BJ31" s="93"/>
      <c r="BK31" s="94"/>
      <c r="BL31" s="94"/>
      <c r="BM31" s="89"/>
      <c r="BN31" s="90"/>
      <c r="BO31" s="93"/>
      <c r="BP31" s="93"/>
      <c r="BQ31" s="93"/>
      <c r="BR31" s="93"/>
      <c r="BS31" s="94"/>
      <c r="BT31" s="94"/>
    </row>
    <row r="32" spans="1:72">
      <c r="A32" s="89">
        <v>28</v>
      </c>
      <c r="B32" s="90">
        <v>41511</v>
      </c>
      <c r="C32" s="93"/>
      <c r="D32" s="113">
        <f t="shared" si="15"/>
        <v>1332518</v>
      </c>
      <c r="E32" s="113">
        <f t="shared" si="16"/>
        <v>126556</v>
      </c>
      <c r="F32" s="113">
        <f t="shared" si="11"/>
        <v>124</v>
      </c>
      <c r="G32" s="114">
        <f t="shared" si="12"/>
        <v>1228527</v>
      </c>
      <c r="H32" s="114">
        <f t="shared" si="13"/>
        <v>92921680</v>
      </c>
      <c r="I32" s="89">
        <v>28</v>
      </c>
      <c r="J32" s="81">
        <v>41511</v>
      </c>
      <c r="K32" s="83">
        <f t="shared" si="14"/>
        <v>401113</v>
      </c>
      <c r="L32" s="83">
        <v>241566</v>
      </c>
      <c r="M32" s="83">
        <v>19464</v>
      </c>
      <c r="N32" s="83">
        <v>31</v>
      </c>
      <c r="O32" s="83">
        <f t="shared" si="0"/>
        <v>261030</v>
      </c>
      <c r="P32" s="83">
        <v>7730112</v>
      </c>
      <c r="Q32" s="89"/>
      <c r="R32" s="81">
        <v>41511</v>
      </c>
      <c r="S32" s="83">
        <f t="shared" si="1"/>
        <v>304824</v>
      </c>
      <c r="T32" s="83">
        <v>140083</v>
      </c>
      <c r="U32" s="83">
        <v>12884</v>
      </c>
      <c r="V32" s="83">
        <v>31</v>
      </c>
      <c r="W32" s="83">
        <f t="shared" si="2"/>
        <v>152967</v>
      </c>
      <c r="X32" s="83">
        <v>7844648</v>
      </c>
      <c r="Y32" s="254">
        <v>28</v>
      </c>
      <c r="Z32" s="81">
        <v>41511</v>
      </c>
      <c r="AA32" s="83">
        <f t="shared" si="3"/>
        <v>746726</v>
      </c>
      <c r="AB32" s="83">
        <v>151857</v>
      </c>
      <c r="AC32" s="83">
        <v>16357</v>
      </c>
      <c r="AD32" s="83">
        <v>31</v>
      </c>
      <c r="AE32" s="83">
        <f t="shared" si="4"/>
        <v>168214</v>
      </c>
      <c r="AF32" s="83">
        <v>8503992</v>
      </c>
      <c r="AG32" s="89"/>
      <c r="AH32" s="81">
        <v>41496</v>
      </c>
      <c r="AI32" s="83">
        <f t="shared" si="5"/>
        <v>866816</v>
      </c>
      <c r="AJ32" s="83">
        <v>578512</v>
      </c>
      <c r="AK32" s="83">
        <v>67804</v>
      </c>
      <c r="AL32" s="83">
        <v>31</v>
      </c>
      <c r="AM32" s="83">
        <f t="shared" si="6"/>
        <v>646316</v>
      </c>
      <c r="AN32" s="83">
        <v>68842928</v>
      </c>
      <c r="AO32" s="89"/>
      <c r="AP32" s="81">
        <v>41517</v>
      </c>
      <c r="AQ32" s="83">
        <f t="shared" si="7"/>
        <v>230547</v>
      </c>
      <c r="AR32" s="83">
        <v>220500</v>
      </c>
      <c r="AS32" s="83">
        <v>10047</v>
      </c>
      <c r="AT32" s="83">
        <v>31</v>
      </c>
      <c r="AU32" s="83">
        <f t="shared" si="8"/>
        <v>230547</v>
      </c>
      <c r="AV32" s="83">
        <v>6174000</v>
      </c>
      <c r="AW32" s="89">
        <v>28</v>
      </c>
      <c r="AX32" s="90">
        <v>41511</v>
      </c>
      <c r="AY32" s="93"/>
      <c r="AZ32" s="93"/>
      <c r="BA32" s="93"/>
      <c r="BB32" s="93"/>
      <c r="BC32" s="94"/>
      <c r="BD32" s="94"/>
      <c r="BE32" s="89"/>
      <c r="BF32" s="90"/>
      <c r="BG32" s="93"/>
      <c r="BH32" s="93"/>
      <c r="BI32" s="93"/>
      <c r="BJ32" s="93"/>
      <c r="BK32" s="94"/>
      <c r="BL32" s="94"/>
      <c r="BM32" s="89"/>
      <c r="BN32" s="90"/>
      <c r="BO32" s="93"/>
      <c r="BP32" s="93"/>
      <c r="BQ32" s="93"/>
      <c r="BR32" s="93"/>
      <c r="BS32" s="94"/>
      <c r="BT32" s="94"/>
    </row>
    <row r="33" spans="1:72">
      <c r="A33" s="89">
        <v>29</v>
      </c>
      <c r="B33" s="90">
        <v>41542</v>
      </c>
      <c r="C33" s="93"/>
      <c r="D33" s="113">
        <f t="shared" ref="D33:D96" si="17">L33+T33+AB33+AJ33+AR33+AZ33+BH33+BP33</f>
        <v>1332518</v>
      </c>
      <c r="E33" s="113">
        <f t="shared" ref="E33:E96" si="18">M33+U33+AC33+AK33+AS33+BA33+BI33+BQ33</f>
        <v>124229</v>
      </c>
      <c r="F33" s="113">
        <f t="shared" si="11"/>
        <v>124</v>
      </c>
      <c r="G33" s="114">
        <f t="shared" si="12"/>
        <v>1226860</v>
      </c>
      <c r="H33" s="114">
        <f t="shared" si="13"/>
        <v>91809662</v>
      </c>
      <c r="I33" s="89">
        <v>29</v>
      </c>
      <c r="J33" s="81">
        <v>41542</v>
      </c>
      <c r="K33" s="83">
        <f t="shared" si="14"/>
        <v>400524</v>
      </c>
      <c r="L33" s="83">
        <v>241566</v>
      </c>
      <c r="M33" s="83">
        <v>18875</v>
      </c>
      <c r="N33" s="83">
        <v>31</v>
      </c>
      <c r="O33" s="83">
        <f t="shared" si="0"/>
        <v>260441</v>
      </c>
      <c r="P33" s="83">
        <v>7488546</v>
      </c>
      <c r="Q33" s="89"/>
      <c r="R33" s="81">
        <v>41542</v>
      </c>
      <c r="S33" s="83">
        <f t="shared" si="1"/>
        <v>304598</v>
      </c>
      <c r="T33" s="83">
        <v>140083</v>
      </c>
      <c r="U33" s="83">
        <v>12658</v>
      </c>
      <c r="V33" s="83">
        <v>31</v>
      </c>
      <c r="W33" s="83">
        <f t="shared" si="2"/>
        <v>152741</v>
      </c>
      <c r="X33" s="83">
        <v>7704565</v>
      </c>
      <c r="Y33" s="254">
        <v>29</v>
      </c>
      <c r="Z33" s="81">
        <v>41542</v>
      </c>
      <c r="AA33" s="83">
        <f t="shared" si="3"/>
        <v>746439</v>
      </c>
      <c r="AB33" s="83">
        <v>151857</v>
      </c>
      <c r="AC33" s="83">
        <v>16070</v>
      </c>
      <c r="AD33" s="83">
        <v>31</v>
      </c>
      <c r="AE33" s="83">
        <f t="shared" si="4"/>
        <v>167927</v>
      </c>
      <c r="AF33" s="83">
        <v>8352135</v>
      </c>
      <c r="AG33" s="89"/>
      <c r="AH33" s="81">
        <v>41527</v>
      </c>
      <c r="AI33" s="83">
        <f t="shared" si="5"/>
        <v>866251</v>
      </c>
      <c r="AJ33" s="83">
        <v>578512</v>
      </c>
      <c r="AK33" s="83">
        <v>67239</v>
      </c>
      <c r="AL33" s="83">
        <v>31</v>
      </c>
      <c r="AM33" s="83">
        <f t="shared" si="6"/>
        <v>645751</v>
      </c>
      <c r="AN33" s="83">
        <v>68264416</v>
      </c>
      <c r="AO33" s="89"/>
      <c r="AP33" s="81">
        <v>41547</v>
      </c>
      <c r="AQ33" s="83">
        <f t="shared" si="7"/>
        <v>229887</v>
      </c>
      <c r="AR33" s="83">
        <v>220500</v>
      </c>
      <c r="AS33" s="83">
        <v>9387</v>
      </c>
      <c r="AT33" s="83">
        <v>30</v>
      </c>
      <c r="AU33" s="83">
        <f t="shared" si="8"/>
        <v>229887</v>
      </c>
      <c r="AV33" s="83">
        <v>5953500</v>
      </c>
      <c r="AW33" s="89">
        <v>29</v>
      </c>
      <c r="AX33" s="90">
        <v>41542</v>
      </c>
      <c r="AY33" s="93"/>
      <c r="AZ33" s="93"/>
      <c r="BA33" s="93"/>
      <c r="BB33" s="93"/>
      <c r="BC33" s="94"/>
      <c r="BD33" s="94"/>
      <c r="BE33" s="89"/>
      <c r="BF33" s="90"/>
      <c r="BG33" s="93"/>
      <c r="BH33" s="93"/>
      <c r="BI33" s="93"/>
      <c r="BJ33" s="93"/>
      <c r="BK33" s="94"/>
      <c r="BL33" s="94"/>
      <c r="BM33" s="89"/>
      <c r="BN33" s="90"/>
      <c r="BO33" s="93"/>
      <c r="BP33" s="93"/>
      <c r="BQ33" s="93"/>
      <c r="BR33" s="93"/>
      <c r="BS33" s="94"/>
      <c r="BT33" s="94"/>
    </row>
    <row r="34" spans="1:72">
      <c r="A34" s="89">
        <v>30</v>
      </c>
      <c r="B34" s="90">
        <v>41572</v>
      </c>
      <c r="C34" s="93"/>
      <c r="D34" s="113">
        <f t="shared" si="17"/>
        <v>1332518</v>
      </c>
      <c r="E34" s="113">
        <f t="shared" si="18"/>
        <v>3058877</v>
      </c>
      <c r="F34" s="113">
        <f t="shared" si="11"/>
        <v>120</v>
      </c>
      <c r="G34" s="114">
        <f t="shared" si="12"/>
        <v>1221541</v>
      </c>
      <c r="H34" s="114">
        <f t="shared" si="13"/>
        <v>90697644</v>
      </c>
      <c r="I34" s="89">
        <v>30</v>
      </c>
      <c r="J34" s="81">
        <v>41572</v>
      </c>
      <c r="K34" s="83">
        <f t="shared" si="14"/>
        <v>399344</v>
      </c>
      <c r="L34" s="83">
        <v>241566</v>
      </c>
      <c r="M34" s="83">
        <v>17695</v>
      </c>
      <c r="N34" s="83">
        <v>30</v>
      </c>
      <c r="O34" s="83">
        <f t="shared" si="0"/>
        <v>259261</v>
      </c>
      <c r="P34" s="83">
        <v>7246980</v>
      </c>
      <c r="Q34" s="89"/>
      <c r="R34" s="81">
        <v>41572</v>
      </c>
      <c r="S34" s="83">
        <f t="shared" si="1"/>
        <v>303971</v>
      </c>
      <c r="T34" s="83">
        <v>140083</v>
      </c>
      <c r="U34" s="83">
        <v>12031</v>
      </c>
      <c r="V34" s="83">
        <v>30</v>
      </c>
      <c r="W34" s="83">
        <f t="shared" si="2"/>
        <v>152114</v>
      </c>
      <c r="X34" s="83">
        <v>7564482</v>
      </c>
      <c r="Y34" s="254">
        <v>30</v>
      </c>
      <c r="Z34" s="81">
        <v>41572</v>
      </c>
      <c r="AA34" s="83">
        <f t="shared" si="3"/>
        <v>745643</v>
      </c>
      <c r="AB34" s="83">
        <v>151857</v>
      </c>
      <c r="AC34" s="83">
        <v>15274</v>
      </c>
      <c r="AD34" s="83">
        <v>30</v>
      </c>
      <c r="AE34" s="83">
        <f t="shared" si="4"/>
        <v>167131</v>
      </c>
      <c r="AF34" s="83">
        <v>8200278</v>
      </c>
      <c r="AG34" s="89"/>
      <c r="AH34" s="81">
        <v>41557</v>
      </c>
      <c r="AI34" s="83">
        <f t="shared" si="5"/>
        <v>863535</v>
      </c>
      <c r="AJ34" s="83">
        <v>578512</v>
      </c>
      <c r="AK34" s="83">
        <v>64523</v>
      </c>
      <c r="AL34" s="83">
        <v>30</v>
      </c>
      <c r="AM34" s="83">
        <f t="shared" si="6"/>
        <v>643035</v>
      </c>
      <c r="AN34" s="83">
        <v>67685904</v>
      </c>
      <c r="AO34" s="89"/>
      <c r="AP34" s="81">
        <v>41578</v>
      </c>
      <c r="AQ34" s="83">
        <f t="shared" si="7"/>
        <v>229854</v>
      </c>
      <c r="AR34" s="83">
        <v>220500</v>
      </c>
      <c r="AS34" s="83">
        <v>9354</v>
      </c>
      <c r="AT34" s="83">
        <v>31</v>
      </c>
      <c r="AU34" s="83">
        <f t="shared" si="8"/>
        <v>229854</v>
      </c>
      <c r="AV34" s="83">
        <v>5733000</v>
      </c>
      <c r="AW34" s="89">
        <v>30</v>
      </c>
      <c r="AX34" s="90">
        <v>41572</v>
      </c>
      <c r="AY34" s="93"/>
      <c r="AZ34" s="93"/>
      <c r="BA34" s="93">
        <v>2940000</v>
      </c>
      <c r="BB34" s="93"/>
      <c r="BC34" s="94"/>
      <c r="BD34" s="94"/>
      <c r="BE34" s="89"/>
      <c r="BF34" s="90"/>
      <c r="BG34" s="93"/>
      <c r="BH34" s="93"/>
      <c r="BI34" s="93"/>
      <c r="BJ34" s="93"/>
      <c r="BK34" s="94"/>
      <c r="BL34" s="94"/>
      <c r="BM34" s="89"/>
      <c r="BN34" s="90"/>
      <c r="BO34" s="93"/>
      <c r="BP34" s="93"/>
      <c r="BQ34" s="93"/>
      <c r="BR34" s="93"/>
      <c r="BS34" s="94"/>
      <c r="BT34" s="94"/>
    </row>
    <row r="35" spans="1:72">
      <c r="A35" s="89">
        <v>31</v>
      </c>
      <c r="B35" s="90">
        <v>41603</v>
      </c>
      <c r="C35" s="93"/>
      <c r="D35" s="113">
        <f t="shared" si="17"/>
        <v>1332518</v>
      </c>
      <c r="E35" s="113">
        <f t="shared" si="18"/>
        <v>120223</v>
      </c>
      <c r="F35" s="113">
        <f t="shared" si="11"/>
        <v>124</v>
      </c>
      <c r="G35" s="114">
        <f t="shared" si="12"/>
        <v>1223524</v>
      </c>
      <c r="H35" s="114">
        <f t="shared" si="13"/>
        <v>89585626</v>
      </c>
      <c r="I35" s="89">
        <v>31</v>
      </c>
      <c r="J35" s="81">
        <v>41603</v>
      </c>
      <c r="K35" s="83">
        <f t="shared" si="14"/>
        <v>399344</v>
      </c>
      <c r="L35" s="83">
        <v>241566</v>
      </c>
      <c r="M35" s="83">
        <v>17695</v>
      </c>
      <c r="N35" s="83">
        <v>31</v>
      </c>
      <c r="O35" s="83">
        <f t="shared" si="0"/>
        <v>259261</v>
      </c>
      <c r="P35" s="83">
        <v>7005414</v>
      </c>
      <c r="Q35" s="89"/>
      <c r="R35" s="81">
        <v>41603</v>
      </c>
      <c r="S35" s="83">
        <f t="shared" si="1"/>
        <v>304146</v>
      </c>
      <c r="T35" s="83">
        <v>140083</v>
      </c>
      <c r="U35" s="83">
        <v>12206</v>
      </c>
      <c r="V35" s="83">
        <v>31</v>
      </c>
      <c r="W35" s="83">
        <f t="shared" si="2"/>
        <v>152289</v>
      </c>
      <c r="X35" s="83">
        <v>7424399</v>
      </c>
      <c r="Y35" s="254">
        <v>31</v>
      </c>
      <c r="Z35" s="81">
        <v>41603</v>
      </c>
      <c r="AA35" s="83">
        <f t="shared" si="3"/>
        <v>745865</v>
      </c>
      <c r="AB35" s="83">
        <v>151857</v>
      </c>
      <c r="AC35" s="83">
        <v>15496</v>
      </c>
      <c r="AD35" s="83">
        <v>31</v>
      </c>
      <c r="AE35" s="83">
        <f t="shared" si="4"/>
        <v>167353</v>
      </c>
      <c r="AF35" s="83">
        <v>8048421</v>
      </c>
      <c r="AG35" s="89"/>
      <c r="AH35" s="81">
        <v>41588</v>
      </c>
      <c r="AI35" s="83">
        <f t="shared" si="5"/>
        <v>865121</v>
      </c>
      <c r="AJ35" s="83">
        <v>578512</v>
      </c>
      <c r="AK35" s="83">
        <v>66109</v>
      </c>
      <c r="AL35" s="83">
        <v>31</v>
      </c>
      <c r="AM35" s="83">
        <f t="shared" si="6"/>
        <v>644621</v>
      </c>
      <c r="AN35" s="83">
        <v>67107392</v>
      </c>
      <c r="AO35" s="89"/>
      <c r="AP35" s="81">
        <v>41608</v>
      </c>
      <c r="AQ35" s="83">
        <f t="shared" si="7"/>
        <v>229217</v>
      </c>
      <c r="AR35" s="83">
        <v>220500</v>
      </c>
      <c r="AS35" s="83">
        <v>8717</v>
      </c>
      <c r="AT35" s="83">
        <v>30</v>
      </c>
      <c r="AU35" s="83">
        <f t="shared" si="8"/>
        <v>229217</v>
      </c>
      <c r="AV35" s="83">
        <v>5512500</v>
      </c>
      <c r="AW35" s="89">
        <v>31</v>
      </c>
      <c r="AX35" s="90">
        <v>41603</v>
      </c>
      <c r="AY35" s="93"/>
      <c r="AZ35" s="93"/>
      <c r="BA35" s="93"/>
      <c r="BB35" s="93"/>
      <c r="BC35" s="94"/>
      <c r="BD35" s="94"/>
      <c r="BE35" s="89"/>
      <c r="BF35" s="90"/>
      <c r="BG35" s="93"/>
      <c r="BH35" s="93"/>
      <c r="BI35" s="93"/>
      <c r="BJ35" s="93"/>
      <c r="BK35" s="94"/>
      <c r="BL35" s="94"/>
      <c r="BM35" s="89"/>
      <c r="BN35" s="90"/>
      <c r="BO35" s="93"/>
      <c r="BP35" s="93"/>
      <c r="BQ35" s="93"/>
      <c r="BR35" s="93"/>
      <c r="BS35" s="94"/>
      <c r="BT35" s="94"/>
    </row>
    <row r="36" spans="1:72">
      <c r="A36" s="89">
        <v>32</v>
      </c>
      <c r="B36" s="90">
        <v>41633</v>
      </c>
      <c r="C36" s="93"/>
      <c r="D36" s="113">
        <f t="shared" si="17"/>
        <v>1332518</v>
      </c>
      <c r="E36" s="113">
        <f t="shared" si="18"/>
        <v>114956</v>
      </c>
      <c r="F36" s="113">
        <f t="shared" si="11"/>
        <v>120</v>
      </c>
      <c r="G36" s="114">
        <f t="shared" si="12"/>
        <v>1218313</v>
      </c>
      <c r="H36" s="114">
        <f t="shared" si="13"/>
        <v>88473608</v>
      </c>
      <c r="I36" s="89">
        <v>32</v>
      </c>
      <c r="J36" s="81">
        <v>41633</v>
      </c>
      <c r="K36" s="83">
        <f t="shared" si="14"/>
        <v>398202</v>
      </c>
      <c r="L36" s="83">
        <v>241566</v>
      </c>
      <c r="M36" s="83">
        <v>16553</v>
      </c>
      <c r="N36" s="83">
        <v>30</v>
      </c>
      <c r="O36" s="83">
        <f t="shared" si="0"/>
        <v>258119</v>
      </c>
      <c r="P36" s="83">
        <v>6763848</v>
      </c>
      <c r="Q36" s="89"/>
      <c r="R36" s="81">
        <v>41633</v>
      </c>
      <c r="S36" s="83">
        <f t="shared" si="1"/>
        <v>303534</v>
      </c>
      <c r="T36" s="83">
        <v>140083</v>
      </c>
      <c r="U36" s="83">
        <v>11594</v>
      </c>
      <c r="V36" s="83">
        <v>30</v>
      </c>
      <c r="W36" s="83">
        <f t="shared" si="2"/>
        <v>151677</v>
      </c>
      <c r="X36" s="83">
        <v>7284316</v>
      </c>
      <c r="Y36" s="254">
        <v>32</v>
      </c>
      <c r="Z36" s="81">
        <v>41633</v>
      </c>
      <c r="AA36" s="83">
        <f t="shared" si="3"/>
        <v>745087</v>
      </c>
      <c r="AB36" s="83">
        <v>151857</v>
      </c>
      <c r="AC36" s="83">
        <v>14718</v>
      </c>
      <c r="AD36" s="83">
        <v>30</v>
      </c>
      <c r="AE36" s="83">
        <f t="shared" si="4"/>
        <v>166575</v>
      </c>
      <c r="AF36" s="83">
        <v>7896564</v>
      </c>
      <c r="AG36" s="89"/>
      <c r="AH36" s="81">
        <v>41618</v>
      </c>
      <c r="AI36" s="83">
        <f t="shared" si="5"/>
        <v>862442</v>
      </c>
      <c r="AJ36" s="83">
        <v>578512</v>
      </c>
      <c r="AK36" s="83">
        <v>63430</v>
      </c>
      <c r="AL36" s="83">
        <v>30</v>
      </c>
      <c r="AM36" s="83">
        <f t="shared" si="6"/>
        <v>641942</v>
      </c>
      <c r="AN36" s="83">
        <v>66528880</v>
      </c>
      <c r="AO36" s="89"/>
      <c r="AP36" s="81">
        <v>41639</v>
      </c>
      <c r="AQ36" s="83">
        <f t="shared" si="7"/>
        <v>229161</v>
      </c>
      <c r="AR36" s="83">
        <v>220500</v>
      </c>
      <c r="AS36" s="83">
        <v>8661</v>
      </c>
      <c r="AT36" s="83">
        <v>31</v>
      </c>
      <c r="AU36" s="83">
        <f t="shared" si="8"/>
        <v>229161</v>
      </c>
      <c r="AV36" s="83">
        <v>5292000</v>
      </c>
      <c r="AW36" s="89">
        <v>32</v>
      </c>
      <c r="AX36" s="90">
        <v>41633</v>
      </c>
      <c r="AY36" s="93"/>
      <c r="AZ36" s="93"/>
      <c r="BA36" s="93"/>
      <c r="BB36" s="93"/>
      <c r="BC36" s="94"/>
      <c r="BD36" s="94"/>
      <c r="BE36" s="89"/>
      <c r="BF36" s="90"/>
      <c r="BG36" s="93"/>
      <c r="BH36" s="93"/>
      <c r="BI36" s="93"/>
      <c r="BJ36" s="93"/>
      <c r="BK36" s="94"/>
      <c r="BL36" s="94"/>
      <c r="BM36" s="89"/>
      <c r="BN36" s="90"/>
      <c r="BO36" s="93"/>
      <c r="BP36" s="93"/>
      <c r="BQ36" s="93"/>
      <c r="BR36" s="93"/>
      <c r="BS36" s="94"/>
      <c r="BT36" s="94"/>
    </row>
    <row r="37" spans="1:72">
      <c r="A37" s="89">
        <v>33</v>
      </c>
      <c r="B37" s="90">
        <v>41664</v>
      </c>
      <c r="C37" s="93"/>
      <c r="D37" s="113">
        <f t="shared" si="17"/>
        <v>1332518</v>
      </c>
      <c r="E37" s="113">
        <f t="shared" si="18"/>
        <v>116484</v>
      </c>
      <c r="F37" s="113">
        <f t="shared" si="11"/>
        <v>124</v>
      </c>
      <c r="G37" s="114">
        <f t="shared" si="12"/>
        <v>1220188</v>
      </c>
      <c r="H37" s="114">
        <f t="shared" si="13"/>
        <v>87361590</v>
      </c>
      <c r="I37" s="89">
        <v>33</v>
      </c>
      <c r="J37" s="81">
        <v>41664</v>
      </c>
      <c r="K37" s="83">
        <f t="shared" si="14"/>
        <v>398164</v>
      </c>
      <c r="L37" s="83">
        <v>241566</v>
      </c>
      <c r="M37" s="83">
        <v>16515</v>
      </c>
      <c r="N37" s="83">
        <v>31</v>
      </c>
      <c r="O37" s="83">
        <f t="shared" ref="O37:O64" si="19">L37+M37</f>
        <v>258081</v>
      </c>
      <c r="P37" s="83">
        <v>6522282</v>
      </c>
      <c r="Q37" s="89"/>
      <c r="R37" s="81">
        <v>41664</v>
      </c>
      <c r="S37" s="83">
        <f t="shared" ref="S37:S68" si="20">W37+AB37</f>
        <v>303694</v>
      </c>
      <c r="T37" s="83">
        <v>140083</v>
      </c>
      <c r="U37" s="83">
        <v>11754</v>
      </c>
      <c r="V37" s="83">
        <v>31</v>
      </c>
      <c r="W37" s="83">
        <f t="shared" ref="W37:W68" si="21">T37+U37</f>
        <v>151837</v>
      </c>
      <c r="X37" s="83">
        <v>7144233</v>
      </c>
      <c r="Y37" s="254">
        <v>33</v>
      </c>
      <c r="Z37" s="81">
        <v>41664</v>
      </c>
      <c r="AA37" s="83">
        <f t="shared" ref="AA37:AA68" si="22">AE37+AJ37</f>
        <v>745291</v>
      </c>
      <c r="AB37" s="83">
        <v>151857</v>
      </c>
      <c r="AC37" s="83">
        <v>14922</v>
      </c>
      <c r="AD37" s="83">
        <v>31</v>
      </c>
      <c r="AE37" s="83">
        <f t="shared" ref="AE37:AE68" si="23">AB37+AC37</f>
        <v>166779</v>
      </c>
      <c r="AF37" s="83">
        <v>7744707</v>
      </c>
      <c r="AG37" s="89"/>
      <c r="AH37" s="81">
        <v>41649</v>
      </c>
      <c r="AI37" s="83">
        <f t="shared" ref="AI37:AI68" si="24">AM37+AR37</f>
        <v>863991</v>
      </c>
      <c r="AJ37" s="83">
        <v>578512</v>
      </c>
      <c r="AK37" s="83">
        <v>64979</v>
      </c>
      <c r="AL37" s="83">
        <v>31</v>
      </c>
      <c r="AM37" s="83">
        <f t="shared" ref="AM37:AM68" si="25">AJ37+AK37</f>
        <v>643491</v>
      </c>
      <c r="AN37" s="83">
        <v>65950368</v>
      </c>
      <c r="AO37" s="89"/>
      <c r="AP37" s="81">
        <v>41670</v>
      </c>
      <c r="AQ37" s="83">
        <f t="shared" ref="AQ37:AQ60" si="26">AU37+AZ37</f>
        <v>228814</v>
      </c>
      <c r="AR37" s="83">
        <v>220500</v>
      </c>
      <c r="AS37" s="83">
        <v>8314</v>
      </c>
      <c r="AT37" s="83">
        <v>31</v>
      </c>
      <c r="AU37" s="83">
        <f t="shared" ref="AU37:AU60" si="27">AR37+AS37</f>
        <v>228814</v>
      </c>
      <c r="AV37" s="83">
        <v>5071500</v>
      </c>
      <c r="AW37" s="89">
        <v>33</v>
      </c>
      <c r="AX37" s="90">
        <v>41664</v>
      </c>
      <c r="AY37" s="93"/>
      <c r="AZ37" s="93"/>
      <c r="BA37" s="93"/>
      <c r="BB37" s="93"/>
      <c r="BC37" s="94"/>
      <c r="BD37" s="94"/>
      <c r="BE37" s="89"/>
      <c r="BF37" s="90"/>
      <c r="BG37" s="93"/>
      <c r="BH37" s="93"/>
      <c r="BI37" s="93"/>
      <c r="BJ37" s="93"/>
      <c r="BK37" s="94"/>
      <c r="BL37" s="94"/>
      <c r="BM37" s="89"/>
      <c r="BN37" s="90"/>
      <c r="BO37" s="93"/>
      <c r="BP37" s="93"/>
      <c r="BQ37" s="93"/>
      <c r="BR37" s="93"/>
      <c r="BS37" s="94"/>
      <c r="BT37" s="94"/>
    </row>
    <row r="38" spans="1:72">
      <c r="A38" s="89">
        <v>34</v>
      </c>
      <c r="B38" s="90">
        <v>41695</v>
      </c>
      <c r="C38" s="93"/>
      <c r="D38" s="113">
        <f t="shared" si="17"/>
        <v>1332518</v>
      </c>
      <c r="E38" s="113">
        <f t="shared" si="18"/>
        <v>113699</v>
      </c>
      <c r="F38" s="113">
        <f t="shared" si="11"/>
        <v>124</v>
      </c>
      <c r="G38" s="114">
        <f t="shared" si="12"/>
        <v>1218520</v>
      </c>
      <c r="H38" s="114">
        <f t="shared" si="13"/>
        <v>86249572</v>
      </c>
      <c r="I38" s="89">
        <v>34</v>
      </c>
      <c r="J38" s="81">
        <v>41695</v>
      </c>
      <c r="K38" s="83">
        <f t="shared" ref="K38:K64" si="28">O38+T38</f>
        <v>397574</v>
      </c>
      <c r="L38" s="83">
        <v>241566</v>
      </c>
      <c r="M38" s="83">
        <v>15925</v>
      </c>
      <c r="N38" s="83">
        <v>31</v>
      </c>
      <c r="O38" s="83">
        <f t="shared" si="19"/>
        <v>257491</v>
      </c>
      <c r="P38" s="83">
        <v>6280716</v>
      </c>
      <c r="Q38" s="89"/>
      <c r="R38" s="81">
        <v>41695</v>
      </c>
      <c r="S38" s="83">
        <f t="shared" si="20"/>
        <v>303468</v>
      </c>
      <c r="T38" s="83">
        <v>140083</v>
      </c>
      <c r="U38" s="83">
        <v>11528</v>
      </c>
      <c r="V38" s="83">
        <v>31</v>
      </c>
      <c r="W38" s="83">
        <f t="shared" si="21"/>
        <v>151611</v>
      </c>
      <c r="X38" s="83">
        <v>7004150</v>
      </c>
      <c r="Y38" s="254">
        <v>34</v>
      </c>
      <c r="Z38" s="81">
        <v>41695</v>
      </c>
      <c r="AA38" s="83">
        <f t="shared" si="22"/>
        <v>745004</v>
      </c>
      <c r="AB38" s="83">
        <v>151857</v>
      </c>
      <c r="AC38" s="83">
        <v>14635</v>
      </c>
      <c r="AD38" s="83">
        <v>31</v>
      </c>
      <c r="AE38" s="83">
        <f t="shared" si="23"/>
        <v>166492</v>
      </c>
      <c r="AF38" s="83">
        <v>7592850</v>
      </c>
      <c r="AG38" s="89"/>
      <c r="AH38" s="81">
        <v>41680</v>
      </c>
      <c r="AI38" s="83">
        <f t="shared" si="24"/>
        <v>863426</v>
      </c>
      <c r="AJ38" s="83">
        <v>578512</v>
      </c>
      <c r="AK38" s="83">
        <v>64414</v>
      </c>
      <c r="AL38" s="83">
        <v>31</v>
      </c>
      <c r="AM38" s="83">
        <f t="shared" si="25"/>
        <v>642926</v>
      </c>
      <c r="AN38" s="83">
        <v>65371856</v>
      </c>
      <c r="AO38" s="89"/>
      <c r="AP38" s="81">
        <v>41698</v>
      </c>
      <c r="AQ38" s="83">
        <f t="shared" si="26"/>
        <v>227697</v>
      </c>
      <c r="AR38" s="83">
        <v>220500</v>
      </c>
      <c r="AS38" s="83">
        <v>7197</v>
      </c>
      <c r="AT38" s="83">
        <v>28</v>
      </c>
      <c r="AU38" s="83">
        <f t="shared" si="27"/>
        <v>227697</v>
      </c>
      <c r="AV38" s="83">
        <v>4851000</v>
      </c>
      <c r="AW38" s="89">
        <v>34</v>
      </c>
      <c r="AX38" s="90">
        <v>41695</v>
      </c>
      <c r="AY38" s="93"/>
      <c r="AZ38" s="93"/>
      <c r="BA38" s="93"/>
      <c r="BB38" s="93"/>
      <c r="BC38" s="94"/>
      <c r="BD38" s="94"/>
      <c r="BE38" s="89"/>
      <c r="BF38" s="90"/>
      <c r="BG38" s="93"/>
      <c r="BH38" s="93"/>
      <c r="BI38" s="93"/>
      <c r="BJ38" s="93"/>
      <c r="BK38" s="94"/>
      <c r="BL38" s="94"/>
      <c r="BM38" s="89"/>
      <c r="BN38" s="90"/>
      <c r="BO38" s="93"/>
      <c r="BP38" s="93"/>
      <c r="BQ38" s="93"/>
      <c r="BR38" s="93"/>
      <c r="BS38" s="94"/>
      <c r="BT38" s="94"/>
    </row>
    <row r="39" spans="1:72">
      <c r="A39" s="89">
        <v>35</v>
      </c>
      <c r="B39" s="90">
        <v>41723</v>
      </c>
      <c r="C39" s="93"/>
      <c r="D39" s="113">
        <f t="shared" si="17"/>
        <v>1332518</v>
      </c>
      <c r="E39" s="113">
        <f t="shared" si="18"/>
        <v>102310</v>
      </c>
      <c r="F39" s="113">
        <f t="shared" si="11"/>
        <v>112</v>
      </c>
      <c r="G39" s="114">
        <f t="shared" si="12"/>
        <v>1206706</v>
      </c>
      <c r="H39" s="114">
        <f t="shared" si="13"/>
        <v>85137554</v>
      </c>
      <c r="I39" s="89">
        <v>35</v>
      </c>
      <c r="J39" s="81">
        <v>41723</v>
      </c>
      <c r="K39" s="83">
        <f t="shared" si="28"/>
        <v>395500</v>
      </c>
      <c r="L39" s="83">
        <v>241566</v>
      </c>
      <c r="M39" s="83">
        <v>13851</v>
      </c>
      <c r="N39" s="83">
        <v>28</v>
      </c>
      <c r="O39" s="83">
        <f t="shared" si="19"/>
        <v>255417</v>
      </c>
      <c r="P39" s="83">
        <v>6039150</v>
      </c>
      <c r="Q39" s="89"/>
      <c r="R39" s="81">
        <v>41723</v>
      </c>
      <c r="S39" s="83">
        <f t="shared" si="20"/>
        <v>302148</v>
      </c>
      <c r="T39" s="83">
        <v>140083</v>
      </c>
      <c r="U39" s="83">
        <v>10208</v>
      </c>
      <c r="V39" s="83">
        <v>28</v>
      </c>
      <c r="W39" s="83">
        <f t="shared" si="21"/>
        <v>150291</v>
      </c>
      <c r="X39" s="83">
        <v>6864067</v>
      </c>
      <c r="Y39" s="254">
        <v>35</v>
      </c>
      <c r="Z39" s="81">
        <v>41723</v>
      </c>
      <c r="AA39" s="83">
        <f t="shared" si="22"/>
        <v>743328</v>
      </c>
      <c r="AB39" s="83">
        <v>151857</v>
      </c>
      <c r="AC39" s="83">
        <v>12959</v>
      </c>
      <c r="AD39" s="83">
        <v>28</v>
      </c>
      <c r="AE39" s="83">
        <f t="shared" si="23"/>
        <v>164816</v>
      </c>
      <c r="AF39" s="83">
        <v>7440993</v>
      </c>
      <c r="AG39" s="89"/>
      <c r="AH39" s="81">
        <v>41708</v>
      </c>
      <c r="AI39" s="83">
        <f t="shared" si="24"/>
        <v>856682</v>
      </c>
      <c r="AJ39" s="83">
        <v>578512</v>
      </c>
      <c r="AK39" s="83">
        <v>57670</v>
      </c>
      <c r="AL39" s="83">
        <v>28</v>
      </c>
      <c r="AM39" s="83">
        <f t="shared" si="25"/>
        <v>636182</v>
      </c>
      <c r="AN39" s="83">
        <v>64793344</v>
      </c>
      <c r="AO39" s="89"/>
      <c r="AP39" s="81">
        <v>41729</v>
      </c>
      <c r="AQ39" s="83">
        <f t="shared" si="26"/>
        <v>228122</v>
      </c>
      <c r="AR39" s="83">
        <v>220500</v>
      </c>
      <c r="AS39" s="83">
        <v>7622</v>
      </c>
      <c r="AT39" s="83">
        <v>31</v>
      </c>
      <c r="AU39" s="83">
        <f t="shared" si="27"/>
        <v>228122</v>
      </c>
      <c r="AV39" s="83">
        <v>4630500</v>
      </c>
      <c r="AW39" s="89">
        <v>35</v>
      </c>
      <c r="AX39" s="90">
        <v>41723</v>
      </c>
      <c r="AY39" s="93"/>
      <c r="AZ39" s="93"/>
      <c r="BA39" s="93"/>
      <c r="BB39" s="93"/>
      <c r="BC39" s="94"/>
      <c r="BD39" s="94"/>
      <c r="BE39" s="89"/>
      <c r="BF39" s="90"/>
      <c r="BG39" s="93"/>
      <c r="BH39" s="93"/>
      <c r="BI39" s="93"/>
      <c r="BJ39" s="93"/>
      <c r="BK39" s="94"/>
      <c r="BL39" s="94"/>
      <c r="BM39" s="89"/>
      <c r="BN39" s="90"/>
      <c r="BO39" s="93"/>
      <c r="BP39" s="93"/>
      <c r="BQ39" s="93"/>
      <c r="BR39" s="93"/>
      <c r="BS39" s="94"/>
      <c r="BT39" s="94"/>
    </row>
    <row r="40" spans="1:72">
      <c r="A40" s="89">
        <v>36</v>
      </c>
      <c r="B40" s="90">
        <v>41754</v>
      </c>
      <c r="C40" s="93"/>
      <c r="D40" s="113">
        <f t="shared" si="17"/>
        <v>1332518</v>
      </c>
      <c r="E40" s="113">
        <f t="shared" si="18"/>
        <v>3050207</v>
      </c>
      <c r="F40" s="113">
        <f t="shared" si="11"/>
        <v>124</v>
      </c>
      <c r="G40" s="114">
        <f t="shared" si="12"/>
        <v>1215185</v>
      </c>
      <c r="H40" s="114">
        <f t="shared" si="13"/>
        <v>84025536</v>
      </c>
      <c r="I40" s="89">
        <v>36</v>
      </c>
      <c r="J40" s="81">
        <v>41754</v>
      </c>
      <c r="K40" s="83">
        <f t="shared" si="28"/>
        <v>396395</v>
      </c>
      <c r="L40" s="83">
        <v>241566</v>
      </c>
      <c r="M40" s="83">
        <v>14746</v>
      </c>
      <c r="N40" s="83">
        <v>31</v>
      </c>
      <c r="O40" s="83">
        <f t="shared" si="19"/>
        <v>256312</v>
      </c>
      <c r="P40" s="83">
        <v>5797584</v>
      </c>
      <c r="Q40" s="89"/>
      <c r="R40" s="81">
        <v>41754</v>
      </c>
      <c r="S40" s="83">
        <f t="shared" si="20"/>
        <v>303016</v>
      </c>
      <c r="T40" s="83">
        <v>140083</v>
      </c>
      <c r="U40" s="83">
        <v>11076</v>
      </c>
      <c r="V40" s="83">
        <v>31</v>
      </c>
      <c r="W40" s="83">
        <f t="shared" si="21"/>
        <v>151159</v>
      </c>
      <c r="X40" s="83">
        <v>6723984</v>
      </c>
      <c r="Y40" s="254">
        <v>36</v>
      </c>
      <c r="Z40" s="81">
        <v>41754</v>
      </c>
      <c r="AA40" s="83">
        <f t="shared" si="22"/>
        <v>744430</v>
      </c>
      <c r="AB40" s="83">
        <v>151857</v>
      </c>
      <c r="AC40" s="83">
        <v>14061</v>
      </c>
      <c r="AD40" s="83">
        <v>31</v>
      </c>
      <c r="AE40" s="83">
        <f t="shared" si="23"/>
        <v>165918</v>
      </c>
      <c r="AF40" s="83">
        <v>7289136</v>
      </c>
      <c r="AG40" s="89"/>
      <c r="AH40" s="81">
        <v>41739</v>
      </c>
      <c r="AI40" s="83">
        <f t="shared" si="24"/>
        <v>862296</v>
      </c>
      <c r="AJ40" s="83">
        <v>578512</v>
      </c>
      <c r="AK40" s="83">
        <v>63284</v>
      </c>
      <c r="AL40" s="83">
        <v>31</v>
      </c>
      <c r="AM40" s="83">
        <f t="shared" si="25"/>
        <v>641796</v>
      </c>
      <c r="AN40" s="83">
        <v>64214832</v>
      </c>
      <c r="AO40" s="89"/>
      <c r="AP40" s="81">
        <v>41759</v>
      </c>
      <c r="AQ40" s="83">
        <f t="shared" si="26"/>
        <v>227540</v>
      </c>
      <c r="AR40" s="83">
        <v>220500</v>
      </c>
      <c r="AS40" s="83">
        <v>7040</v>
      </c>
      <c r="AT40" s="83">
        <v>30</v>
      </c>
      <c r="AU40" s="83">
        <f t="shared" si="27"/>
        <v>227540</v>
      </c>
      <c r="AV40" s="83">
        <v>4410000</v>
      </c>
      <c r="AW40" s="89">
        <v>36</v>
      </c>
      <c r="AX40" s="90">
        <v>41754</v>
      </c>
      <c r="AY40" s="93"/>
      <c r="AZ40" s="93"/>
      <c r="BA40" s="93">
        <v>2940000</v>
      </c>
      <c r="BB40" s="93"/>
      <c r="BC40" s="94"/>
      <c r="BD40" s="94"/>
      <c r="BE40" s="89"/>
      <c r="BF40" s="90"/>
      <c r="BG40" s="93"/>
      <c r="BH40" s="93"/>
      <c r="BI40" s="93"/>
      <c r="BJ40" s="93"/>
      <c r="BK40" s="94"/>
      <c r="BL40" s="94"/>
      <c r="BM40" s="89"/>
      <c r="BN40" s="90"/>
      <c r="BO40" s="93"/>
      <c r="BP40" s="93"/>
      <c r="BQ40" s="93"/>
      <c r="BR40" s="93"/>
      <c r="BS40" s="94"/>
      <c r="BT40" s="94"/>
    </row>
    <row r="41" spans="1:72">
      <c r="A41" s="89">
        <v>37</v>
      </c>
      <c r="B41" s="90">
        <v>41784</v>
      </c>
      <c r="C41" s="93"/>
      <c r="D41" s="113">
        <f t="shared" si="17"/>
        <v>1332518</v>
      </c>
      <c r="E41" s="113">
        <f t="shared" si="18"/>
        <v>105154</v>
      </c>
      <c r="F41" s="113">
        <f t="shared" si="11"/>
        <v>120</v>
      </c>
      <c r="G41" s="114">
        <f t="shared" si="12"/>
        <v>1210243</v>
      </c>
      <c r="H41" s="114">
        <f t="shared" si="13"/>
        <v>82913518</v>
      </c>
      <c r="I41" s="89">
        <v>37</v>
      </c>
      <c r="J41" s="81">
        <v>41784</v>
      </c>
      <c r="K41" s="83">
        <f t="shared" si="28"/>
        <v>395348</v>
      </c>
      <c r="L41" s="83">
        <v>241566</v>
      </c>
      <c r="M41" s="83">
        <v>13699</v>
      </c>
      <c r="N41" s="83">
        <v>30</v>
      </c>
      <c r="O41" s="83">
        <f t="shared" si="19"/>
        <v>255265</v>
      </c>
      <c r="P41" s="83">
        <v>5556018</v>
      </c>
      <c r="Q41" s="89"/>
      <c r="R41" s="81">
        <v>41784</v>
      </c>
      <c r="S41" s="83">
        <f t="shared" si="20"/>
        <v>302440</v>
      </c>
      <c r="T41" s="83">
        <v>140083</v>
      </c>
      <c r="U41" s="83">
        <v>10500</v>
      </c>
      <c r="V41" s="83">
        <v>30</v>
      </c>
      <c r="W41" s="83">
        <f t="shared" si="21"/>
        <v>150583</v>
      </c>
      <c r="X41" s="83">
        <v>6583901</v>
      </c>
      <c r="Y41" s="254">
        <v>37</v>
      </c>
      <c r="Z41" s="81">
        <v>41784</v>
      </c>
      <c r="AA41" s="83">
        <f t="shared" si="22"/>
        <v>743699</v>
      </c>
      <c r="AB41" s="83">
        <v>151857</v>
      </c>
      <c r="AC41" s="83">
        <v>13330</v>
      </c>
      <c r="AD41" s="83">
        <v>30</v>
      </c>
      <c r="AE41" s="83">
        <f t="shared" si="23"/>
        <v>165187</v>
      </c>
      <c r="AF41" s="83">
        <v>7137279</v>
      </c>
      <c r="AG41" s="89"/>
      <c r="AH41" s="81">
        <v>41769</v>
      </c>
      <c r="AI41" s="83">
        <f t="shared" si="24"/>
        <v>859708</v>
      </c>
      <c r="AJ41" s="83">
        <v>578512</v>
      </c>
      <c r="AK41" s="83">
        <v>60696</v>
      </c>
      <c r="AL41" s="83">
        <v>30</v>
      </c>
      <c r="AM41" s="83">
        <f t="shared" si="25"/>
        <v>639208</v>
      </c>
      <c r="AN41" s="83">
        <v>63636320</v>
      </c>
      <c r="AO41" s="89"/>
      <c r="AP41" s="81">
        <v>41790</v>
      </c>
      <c r="AQ41" s="83">
        <f t="shared" si="26"/>
        <v>227429</v>
      </c>
      <c r="AR41" s="83">
        <v>220500</v>
      </c>
      <c r="AS41" s="83">
        <v>6929</v>
      </c>
      <c r="AT41" s="83">
        <v>31</v>
      </c>
      <c r="AU41" s="83">
        <f t="shared" si="27"/>
        <v>227429</v>
      </c>
      <c r="AV41" s="83">
        <v>4189500</v>
      </c>
      <c r="AW41" s="89">
        <v>37</v>
      </c>
      <c r="AX41" s="90">
        <v>41784</v>
      </c>
      <c r="AY41" s="93"/>
      <c r="AZ41" s="93"/>
      <c r="BA41" s="93"/>
      <c r="BB41" s="93"/>
      <c r="BC41" s="94"/>
      <c r="BD41" s="94"/>
      <c r="BE41" s="89"/>
      <c r="BF41" s="90"/>
      <c r="BG41" s="93"/>
      <c r="BH41" s="93"/>
      <c r="BI41" s="93"/>
      <c r="BJ41" s="93"/>
      <c r="BK41" s="94"/>
      <c r="BL41" s="94"/>
      <c r="BM41" s="89"/>
      <c r="BN41" s="90"/>
      <c r="BO41" s="93"/>
      <c r="BP41" s="93"/>
      <c r="BQ41" s="93"/>
      <c r="BR41" s="93"/>
      <c r="BS41" s="94"/>
      <c r="BT41" s="94"/>
    </row>
    <row r="42" spans="1:72">
      <c r="A42" s="89">
        <v>38</v>
      </c>
      <c r="B42" s="90">
        <v>41815</v>
      </c>
      <c r="C42" s="93"/>
      <c r="D42" s="113">
        <f t="shared" si="17"/>
        <v>1332518</v>
      </c>
      <c r="E42" s="113">
        <f t="shared" si="18"/>
        <v>106201</v>
      </c>
      <c r="F42" s="113">
        <f t="shared" si="11"/>
        <v>124</v>
      </c>
      <c r="G42" s="114">
        <f t="shared" si="12"/>
        <v>1211849</v>
      </c>
      <c r="H42" s="114">
        <f t="shared" si="13"/>
        <v>81801500</v>
      </c>
      <c r="I42" s="89">
        <v>38</v>
      </c>
      <c r="J42" s="81">
        <v>41815</v>
      </c>
      <c r="K42" s="83">
        <f t="shared" si="28"/>
        <v>395215</v>
      </c>
      <c r="L42" s="83">
        <v>241566</v>
      </c>
      <c r="M42" s="83">
        <v>13566</v>
      </c>
      <c r="N42" s="83">
        <v>31</v>
      </c>
      <c r="O42" s="83">
        <f t="shared" si="19"/>
        <v>255132</v>
      </c>
      <c r="P42" s="83">
        <v>5314452</v>
      </c>
      <c r="Q42" s="89"/>
      <c r="R42" s="81">
        <v>41815</v>
      </c>
      <c r="S42" s="83">
        <f t="shared" si="20"/>
        <v>302564</v>
      </c>
      <c r="T42" s="83">
        <v>140083</v>
      </c>
      <c r="U42" s="83">
        <v>10624</v>
      </c>
      <c r="V42" s="83">
        <v>31</v>
      </c>
      <c r="W42" s="83">
        <f t="shared" si="21"/>
        <v>150707</v>
      </c>
      <c r="X42" s="83">
        <v>6443818</v>
      </c>
      <c r="Y42" s="254">
        <v>38</v>
      </c>
      <c r="Z42" s="81">
        <v>41815</v>
      </c>
      <c r="AA42" s="83">
        <f t="shared" si="22"/>
        <v>743856</v>
      </c>
      <c r="AB42" s="83">
        <v>151857</v>
      </c>
      <c r="AC42" s="83">
        <v>13487</v>
      </c>
      <c r="AD42" s="83">
        <v>31</v>
      </c>
      <c r="AE42" s="83">
        <f t="shared" si="23"/>
        <v>165344</v>
      </c>
      <c r="AF42" s="83">
        <v>6985422</v>
      </c>
      <c r="AG42" s="89"/>
      <c r="AH42" s="81">
        <v>41800</v>
      </c>
      <c r="AI42" s="83">
        <f t="shared" si="24"/>
        <v>861166</v>
      </c>
      <c r="AJ42" s="83">
        <v>578512</v>
      </c>
      <c r="AK42" s="83">
        <v>62154</v>
      </c>
      <c r="AL42" s="83">
        <v>31</v>
      </c>
      <c r="AM42" s="83">
        <f t="shared" si="25"/>
        <v>640666</v>
      </c>
      <c r="AN42" s="83">
        <v>63057808</v>
      </c>
      <c r="AO42" s="89"/>
      <c r="AP42" s="81">
        <v>41820</v>
      </c>
      <c r="AQ42" s="83">
        <f t="shared" si="26"/>
        <v>226870</v>
      </c>
      <c r="AR42" s="83">
        <v>220500</v>
      </c>
      <c r="AS42" s="83">
        <v>6370</v>
      </c>
      <c r="AT42" s="83">
        <v>30</v>
      </c>
      <c r="AU42" s="83">
        <f t="shared" si="27"/>
        <v>226870</v>
      </c>
      <c r="AV42" s="83">
        <v>3969000</v>
      </c>
      <c r="AW42" s="89">
        <v>38</v>
      </c>
      <c r="AX42" s="90">
        <v>41815</v>
      </c>
      <c r="AY42" s="93"/>
      <c r="AZ42" s="93"/>
      <c r="BA42" s="93"/>
      <c r="BB42" s="93"/>
      <c r="BC42" s="94"/>
      <c r="BD42" s="94"/>
      <c r="BE42" s="89"/>
      <c r="BF42" s="90"/>
      <c r="BG42" s="93"/>
      <c r="BH42" s="93"/>
      <c r="BI42" s="93"/>
      <c r="BJ42" s="93"/>
      <c r="BK42" s="94"/>
      <c r="BL42" s="94"/>
      <c r="BM42" s="89"/>
      <c r="BN42" s="90"/>
      <c r="BO42" s="93"/>
      <c r="BP42" s="93"/>
      <c r="BQ42" s="93"/>
      <c r="BR42" s="93"/>
      <c r="BS42" s="94"/>
      <c r="BT42" s="94"/>
    </row>
    <row r="43" spans="1:72">
      <c r="A43" s="89">
        <v>39</v>
      </c>
      <c r="B43" s="90">
        <v>41845</v>
      </c>
      <c r="C43" s="93"/>
      <c r="D43" s="113">
        <f t="shared" si="17"/>
        <v>1332518</v>
      </c>
      <c r="E43" s="113">
        <f t="shared" si="18"/>
        <v>101232</v>
      </c>
      <c r="F43" s="113">
        <f t="shared" si="11"/>
        <v>120</v>
      </c>
      <c r="G43" s="114">
        <f t="shared" si="12"/>
        <v>1207014</v>
      </c>
      <c r="H43" s="114">
        <f t="shared" si="13"/>
        <v>80689482</v>
      </c>
      <c r="I43" s="89">
        <v>39</v>
      </c>
      <c r="J43" s="81">
        <v>41845</v>
      </c>
      <c r="K43" s="83">
        <f t="shared" si="28"/>
        <v>394207</v>
      </c>
      <c r="L43" s="83">
        <v>241566</v>
      </c>
      <c r="M43" s="83">
        <v>12558</v>
      </c>
      <c r="N43" s="83">
        <v>30</v>
      </c>
      <c r="O43" s="83">
        <f t="shared" si="19"/>
        <v>254124</v>
      </c>
      <c r="P43" s="83">
        <v>5072886</v>
      </c>
      <c r="Q43" s="89"/>
      <c r="R43" s="81">
        <v>41845</v>
      </c>
      <c r="S43" s="83">
        <f t="shared" si="20"/>
        <v>302002</v>
      </c>
      <c r="T43" s="83">
        <v>140083</v>
      </c>
      <c r="U43" s="83">
        <v>10062</v>
      </c>
      <c r="V43" s="83">
        <v>30</v>
      </c>
      <c r="W43" s="83">
        <f t="shared" si="21"/>
        <v>150145</v>
      </c>
      <c r="X43" s="83">
        <v>6303735</v>
      </c>
      <c r="Y43" s="254">
        <v>39</v>
      </c>
      <c r="Z43" s="81">
        <v>41845</v>
      </c>
      <c r="AA43" s="83">
        <f t="shared" si="22"/>
        <v>743143</v>
      </c>
      <c r="AB43" s="83">
        <v>151857</v>
      </c>
      <c r="AC43" s="83">
        <v>12774</v>
      </c>
      <c r="AD43" s="83">
        <v>30</v>
      </c>
      <c r="AE43" s="83">
        <f t="shared" si="23"/>
        <v>164631</v>
      </c>
      <c r="AF43" s="83">
        <v>6833565</v>
      </c>
      <c r="AG43" s="89"/>
      <c r="AH43" s="81">
        <v>41830</v>
      </c>
      <c r="AI43" s="83">
        <f t="shared" si="24"/>
        <v>858614</v>
      </c>
      <c r="AJ43" s="83">
        <v>578512</v>
      </c>
      <c r="AK43" s="83">
        <v>59602</v>
      </c>
      <c r="AL43" s="83">
        <v>30</v>
      </c>
      <c r="AM43" s="83">
        <f t="shared" si="25"/>
        <v>638114</v>
      </c>
      <c r="AN43" s="83">
        <v>62479296</v>
      </c>
      <c r="AO43" s="89"/>
      <c r="AP43" s="81">
        <v>41851</v>
      </c>
      <c r="AQ43" s="83">
        <f t="shared" si="26"/>
        <v>226736</v>
      </c>
      <c r="AR43" s="83">
        <v>220500</v>
      </c>
      <c r="AS43" s="83">
        <v>6236</v>
      </c>
      <c r="AT43" s="83">
        <v>31</v>
      </c>
      <c r="AU43" s="83">
        <f t="shared" si="27"/>
        <v>226736</v>
      </c>
      <c r="AV43" s="83">
        <v>3748500</v>
      </c>
      <c r="AW43" s="89">
        <v>39</v>
      </c>
      <c r="AX43" s="90">
        <v>41845</v>
      </c>
      <c r="AY43" s="93"/>
      <c r="AZ43" s="93"/>
      <c r="BA43" s="93"/>
      <c r="BB43" s="93"/>
      <c r="BC43" s="94"/>
      <c r="BD43" s="94"/>
      <c r="BE43" s="89"/>
      <c r="BF43" s="90"/>
      <c r="BG43" s="93"/>
      <c r="BH43" s="93"/>
      <c r="BI43" s="93"/>
      <c r="BJ43" s="93"/>
      <c r="BK43" s="94"/>
      <c r="BL43" s="94"/>
      <c r="BM43" s="89"/>
      <c r="BN43" s="90"/>
      <c r="BO43" s="93"/>
      <c r="BP43" s="93"/>
      <c r="BQ43" s="93"/>
      <c r="BR43" s="93"/>
      <c r="BS43" s="94"/>
      <c r="BT43" s="94"/>
    </row>
    <row r="44" spans="1:72">
      <c r="A44" s="89">
        <v>40</v>
      </c>
      <c r="B44" s="90">
        <v>41876</v>
      </c>
      <c r="C44" s="93"/>
      <c r="D44" s="113">
        <f t="shared" si="17"/>
        <v>1332518</v>
      </c>
      <c r="E44" s="113">
        <f t="shared" si="18"/>
        <v>102384</v>
      </c>
      <c r="F44" s="113">
        <f t="shared" si="11"/>
        <v>124</v>
      </c>
      <c r="G44" s="114">
        <f t="shared" si="12"/>
        <v>1208513</v>
      </c>
      <c r="H44" s="114">
        <f t="shared" si="13"/>
        <v>79577464</v>
      </c>
      <c r="I44" s="89">
        <v>40</v>
      </c>
      <c r="J44" s="81">
        <v>41876</v>
      </c>
      <c r="K44" s="83">
        <f t="shared" si="28"/>
        <v>394035</v>
      </c>
      <c r="L44" s="83">
        <v>241566</v>
      </c>
      <c r="M44" s="83">
        <v>12386</v>
      </c>
      <c r="N44" s="83">
        <v>31</v>
      </c>
      <c r="O44" s="83">
        <f t="shared" si="19"/>
        <v>253952</v>
      </c>
      <c r="P44" s="83">
        <v>4831320</v>
      </c>
      <c r="Q44" s="89"/>
      <c r="R44" s="81">
        <v>41876</v>
      </c>
      <c r="S44" s="83">
        <f t="shared" si="20"/>
        <v>302112</v>
      </c>
      <c r="T44" s="83">
        <v>140083</v>
      </c>
      <c r="U44" s="83">
        <v>10172</v>
      </c>
      <c r="V44" s="83">
        <v>31</v>
      </c>
      <c r="W44" s="83">
        <f t="shared" si="21"/>
        <v>150255</v>
      </c>
      <c r="X44" s="83">
        <v>6163652</v>
      </c>
      <c r="Y44" s="254">
        <v>40</v>
      </c>
      <c r="Z44" s="81">
        <v>41876</v>
      </c>
      <c r="AA44" s="83">
        <f t="shared" si="22"/>
        <v>743282</v>
      </c>
      <c r="AB44" s="83">
        <v>151857</v>
      </c>
      <c r="AC44" s="83">
        <v>12913</v>
      </c>
      <c r="AD44" s="83">
        <v>31</v>
      </c>
      <c r="AE44" s="83">
        <f t="shared" si="23"/>
        <v>164770</v>
      </c>
      <c r="AF44" s="83">
        <v>6681708</v>
      </c>
      <c r="AG44" s="89"/>
      <c r="AH44" s="81">
        <v>41861</v>
      </c>
      <c r="AI44" s="83">
        <f t="shared" si="24"/>
        <v>860036</v>
      </c>
      <c r="AJ44" s="83">
        <v>578512</v>
      </c>
      <c r="AK44" s="83">
        <v>61024</v>
      </c>
      <c r="AL44" s="83">
        <v>31</v>
      </c>
      <c r="AM44" s="83">
        <f t="shared" si="25"/>
        <v>639536</v>
      </c>
      <c r="AN44" s="83">
        <v>61900784</v>
      </c>
      <c r="AO44" s="89"/>
      <c r="AP44" s="81">
        <v>41882</v>
      </c>
      <c r="AQ44" s="83">
        <f t="shared" si="26"/>
        <v>226389</v>
      </c>
      <c r="AR44" s="83">
        <v>220500</v>
      </c>
      <c r="AS44" s="83">
        <v>5889</v>
      </c>
      <c r="AT44" s="83">
        <v>31</v>
      </c>
      <c r="AU44" s="83">
        <f t="shared" si="27"/>
        <v>226389</v>
      </c>
      <c r="AV44" s="83">
        <v>3528000</v>
      </c>
      <c r="AW44" s="89">
        <v>40</v>
      </c>
      <c r="AX44" s="90">
        <v>41876</v>
      </c>
      <c r="AY44" s="93"/>
      <c r="AZ44" s="93"/>
      <c r="BA44" s="93"/>
      <c r="BB44" s="93"/>
      <c r="BC44" s="94"/>
      <c r="BD44" s="94"/>
      <c r="BE44" s="89"/>
      <c r="BF44" s="90"/>
      <c r="BG44" s="93"/>
      <c r="BH44" s="93"/>
      <c r="BI44" s="93"/>
      <c r="BJ44" s="93"/>
      <c r="BK44" s="94"/>
      <c r="BL44" s="94"/>
      <c r="BM44" s="89"/>
      <c r="BN44" s="90"/>
      <c r="BO44" s="93"/>
      <c r="BP44" s="93"/>
      <c r="BQ44" s="93"/>
      <c r="BR44" s="93"/>
      <c r="BS44" s="94"/>
      <c r="BT44" s="94"/>
    </row>
    <row r="45" spans="1:72">
      <c r="A45" s="89">
        <v>41</v>
      </c>
      <c r="B45" s="90">
        <v>41907</v>
      </c>
      <c r="C45" s="93"/>
      <c r="D45" s="113">
        <f t="shared" si="17"/>
        <v>1332518</v>
      </c>
      <c r="E45" s="113">
        <f t="shared" si="18"/>
        <v>100191</v>
      </c>
      <c r="F45" s="113">
        <f t="shared" si="11"/>
        <v>124</v>
      </c>
      <c r="G45" s="114">
        <f t="shared" si="12"/>
        <v>1206845</v>
      </c>
      <c r="H45" s="114">
        <f t="shared" si="13"/>
        <v>78465446</v>
      </c>
      <c r="I45" s="89">
        <v>41</v>
      </c>
      <c r="J45" s="81">
        <v>41907</v>
      </c>
      <c r="K45" s="83">
        <f t="shared" si="28"/>
        <v>393445</v>
      </c>
      <c r="L45" s="83">
        <v>241566</v>
      </c>
      <c r="M45" s="83">
        <v>11796</v>
      </c>
      <c r="N45" s="83">
        <v>31</v>
      </c>
      <c r="O45" s="83">
        <f t="shared" si="19"/>
        <v>253362</v>
      </c>
      <c r="P45" s="83">
        <v>4589754</v>
      </c>
      <c r="Q45" s="89"/>
      <c r="R45" s="81">
        <v>41907</v>
      </c>
      <c r="S45" s="83">
        <f t="shared" si="20"/>
        <v>301886</v>
      </c>
      <c r="T45" s="83">
        <v>140083</v>
      </c>
      <c r="U45" s="83">
        <v>9946</v>
      </c>
      <c r="V45" s="83">
        <v>31</v>
      </c>
      <c r="W45" s="83">
        <f t="shared" si="21"/>
        <v>150029</v>
      </c>
      <c r="X45" s="83">
        <v>6023569</v>
      </c>
      <c r="Y45" s="254">
        <v>41</v>
      </c>
      <c r="Z45" s="81">
        <v>41907</v>
      </c>
      <c r="AA45" s="83">
        <f t="shared" si="22"/>
        <v>742995</v>
      </c>
      <c r="AB45" s="83">
        <v>151857</v>
      </c>
      <c r="AC45" s="83">
        <v>12626</v>
      </c>
      <c r="AD45" s="83">
        <v>31</v>
      </c>
      <c r="AE45" s="83">
        <f t="shared" si="23"/>
        <v>164483</v>
      </c>
      <c r="AF45" s="83">
        <v>6529851</v>
      </c>
      <c r="AG45" s="89"/>
      <c r="AH45" s="81">
        <v>41892</v>
      </c>
      <c r="AI45" s="83">
        <f t="shared" si="24"/>
        <v>859471</v>
      </c>
      <c r="AJ45" s="83">
        <v>578512</v>
      </c>
      <c r="AK45" s="83">
        <v>60459</v>
      </c>
      <c r="AL45" s="83">
        <v>31</v>
      </c>
      <c r="AM45" s="83">
        <f t="shared" si="25"/>
        <v>638971</v>
      </c>
      <c r="AN45" s="83">
        <v>61322272</v>
      </c>
      <c r="AO45" s="89"/>
      <c r="AP45" s="81">
        <v>41912</v>
      </c>
      <c r="AQ45" s="83">
        <f t="shared" si="26"/>
        <v>225864</v>
      </c>
      <c r="AR45" s="83">
        <v>220500</v>
      </c>
      <c r="AS45" s="83">
        <v>5364</v>
      </c>
      <c r="AT45" s="83">
        <v>30</v>
      </c>
      <c r="AU45" s="83">
        <f t="shared" si="27"/>
        <v>225864</v>
      </c>
      <c r="AV45" s="83">
        <v>3307500</v>
      </c>
      <c r="AW45" s="89">
        <v>41</v>
      </c>
      <c r="AX45" s="90">
        <v>41907</v>
      </c>
      <c r="AY45" s="93"/>
      <c r="AZ45" s="93"/>
      <c r="BA45" s="93"/>
      <c r="BB45" s="93"/>
      <c r="BC45" s="94"/>
      <c r="BD45" s="94"/>
      <c r="BE45" s="89"/>
      <c r="BF45" s="90"/>
      <c r="BG45" s="93"/>
      <c r="BH45" s="93"/>
      <c r="BI45" s="93"/>
      <c r="BJ45" s="93"/>
      <c r="BK45" s="94"/>
      <c r="BL45" s="94"/>
      <c r="BM45" s="89"/>
      <c r="BN45" s="90"/>
      <c r="BO45" s="93"/>
      <c r="BP45" s="93"/>
      <c r="BQ45" s="93"/>
      <c r="BR45" s="93"/>
      <c r="BS45" s="94"/>
      <c r="BT45" s="94"/>
    </row>
    <row r="46" spans="1:72">
      <c r="A46" s="89">
        <v>42</v>
      </c>
      <c r="B46" s="90">
        <v>41937</v>
      </c>
      <c r="C46" s="93"/>
      <c r="D46" s="113">
        <f t="shared" si="17"/>
        <v>1332518</v>
      </c>
      <c r="E46" s="113">
        <f t="shared" si="18"/>
        <v>3035350</v>
      </c>
      <c r="F46" s="113">
        <f t="shared" si="11"/>
        <v>120</v>
      </c>
      <c r="G46" s="114">
        <f t="shared" si="12"/>
        <v>1202172</v>
      </c>
      <c r="H46" s="114">
        <f t="shared" si="13"/>
        <v>77353428</v>
      </c>
      <c r="I46" s="89">
        <v>42</v>
      </c>
      <c r="J46" s="81">
        <v>41937</v>
      </c>
      <c r="K46" s="83">
        <f t="shared" si="28"/>
        <v>392494</v>
      </c>
      <c r="L46" s="83">
        <v>241566</v>
      </c>
      <c r="M46" s="83">
        <v>10845</v>
      </c>
      <c r="N46" s="83">
        <v>30</v>
      </c>
      <c r="O46" s="83">
        <f t="shared" si="19"/>
        <v>252411</v>
      </c>
      <c r="P46" s="83">
        <v>4348188</v>
      </c>
      <c r="Q46" s="89"/>
      <c r="R46" s="81">
        <v>41937</v>
      </c>
      <c r="S46" s="83">
        <f t="shared" si="20"/>
        <v>301346</v>
      </c>
      <c r="T46" s="83">
        <v>140083</v>
      </c>
      <c r="U46" s="83">
        <v>9406</v>
      </c>
      <c r="V46" s="83">
        <v>30</v>
      </c>
      <c r="W46" s="83">
        <f t="shared" si="21"/>
        <v>149489</v>
      </c>
      <c r="X46" s="83">
        <v>5883486</v>
      </c>
      <c r="Y46" s="254">
        <v>42</v>
      </c>
      <c r="Z46" s="81">
        <v>41937</v>
      </c>
      <c r="AA46" s="83">
        <f t="shared" si="22"/>
        <v>742310</v>
      </c>
      <c r="AB46" s="83">
        <v>151857</v>
      </c>
      <c r="AC46" s="83">
        <v>11941</v>
      </c>
      <c r="AD46" s="83">
        <v>30</v>
      </c>
      <c r="AE46" s="83">
        <f t="shared" si="23"/>
        <v>163798</v>
      </c>
      <c r="AF46" s="83">
        <v>6377994</v>
      </c>
      <c r="AG46" s="89"/>
      <c r="AH46" s="81">
        <v>41922</v>
      </c>
      <c r="AI46" s="83">
        <f t="shared" si="24"/>
        <v>856974</v>
      </c>
      <c r="AJ46" s="83">
        <v>578512</v>
      </c>
      <c r="AK46" s="83">
        <v>57962</v>
      </c>
      <c r="AL46" s="83">
        <v>30</v>
      </c>
      <c r="AM46" s="83">
        <f t="shared" si="25"/>
        <v>636474</v>
      </c>
      <c r="AN46" s="83">
        <v>60743760</v>
      </c>
      <c r="AO46" s="89"/>
      <c r="AP46" s="81">
        <v>41943</v>
      </c>
      <c r="AQ46" s="83">
        <f t="shared" si="26"/>
        <v>225696</v>
      </c>
      <c r="AR46" s="83">
        <v>220500</v>
      </c>
      <c r="AS46" s="83">
        <v>5196</v>
      </c>
      <c r="AT46" s="83">
        <v>31</v>
      </c>
      <c r="AU46" s="83">
        <f t="shared" si="27"/>
        <v>225696</v>
      </c>
      <c r="AV46" s="83">
        <v>3087000</v>
      </c>
      <c r="AW46" s="89">
        <v>42</v>
      </c>
      <c r="AX46" s="90">
        <v>41937</v>
      </c>
      <c r="AY46" s="93"/>
      <c r="AZ46" s="93"/>
      <c r="BA46" s="93">
        <v>2940000</v>
      </c>
      <c r="BB46" s="93"/>
      <c r="BC46" s="94"/>
      <c r="BD46" s="94"/>
      <c r="BE46" s="89"/>
      <c r="BF46" s="90"/>
      <c r="BG46" s="93"/>
      <c r="BH46" s="93"/>
      <c r="BI46" s="93"/>
      <c r="BJ46" s="93"/>
      <c r="BK46" s="94"/>
      <c r="BL46" s="94"/>
      <c r="BM46" s="89"/>
      <c r="BN46" s="90"/>
      <c r="BO46" s="93"/>
      <c r="BP46" s="93"/>
      <c r="BQ46" s="93"/>
      <c r="BR46" s="93"/>
      <c r="BS46" s="94"/>
      <c r="BT46" s="94"/>
    </row>
    <row r="47" spans="1:72">
      <c r="A47" s="89">
        <v>43</v>
      </c>
      <c r="B47" s="90">
        <v>41968</v>
      </c>
      <c r="C47" s="93"/>
      <c r="D47" s="113">
        <f t="shared" si="17"/>
        <v>1332518</v>
      </c>
      <c r="E47" s="113">
        <f t="shared" si="18"/>
        <v>96185</v>
      </c>
      <c r="F47" s="113">
        <f t="shared" si="11"/>
        <v>124</v>
      </c>
      <c r="G47" s="114">
        <f t="shared" si="12"/>
        <v>1203510</v>
      </c>
      <c r="H47" s="114">
        <f t="shared" si="13"/>
        <v>76241410</v>
      </c>
      <c r="I47" s="89">
        <v>43</v>
      </c>
      <c r="J47" s="81">
        <v>41968</v>
      </c>
      <c r="K47" s="83">
        <f t="shared" si="28"/>
        <v>392266</v>
      </c>
      <c r="L47" s="83">
        <v>241566</v>
      </c>
      <c r="M47" s="83">
        <v>10617</v>
      </c>
      <c r="N47" s="83">
        <v>31</v>
      </c>
      <c r="O47" s="83">
        <f t="shared" si="19"/>
        <v>252183</v>
      </c>
      <c r="P47" s="83">
        <v>4106622</v>
      </c>
      <c r="Q47" s="89"/>
      <c r="R47" s="81">
        <v>41968</v>
      </c>
      <c r="S47" s="83">
        <f t="shared" si="20"/>
        <v>301434</v>
      </c>
      <c r="T47" s="83">
        <v>140083</v>
      </c>
      <c r="U47" s="83">
        <v>9494</v>
      </c>
      <c r="V47" s="83">
        <v>31</v>
      </c>
      <c r="W47" s="83">
        <f t="shared" si="21"/>
        <v>149577</v>
      </c>
      <c r="X47" s="83">
        <v>5743403</v>
      </c>
      <c r="Y47" s="254">
        <v>43</v>
      </c>
      <c r="Z47" s="81">
        <v>41968</v>
      </c>
      <c r="AA47" s="83">
        <f t="shared" si="22"/>
        <v>742421</v>
      </c>
      <c r="AB47" s="83">
        <v>151857</v>
      </c>
      <c r="AC47" s="83">
        <v>12052</v>
      </c>
      <c r="AD47" s="83">
        <v>31</v>
      </c>
      <c r="AE47" s="83">
        <f t="shared" si="23"/>
        <v>163909</v>
      </c>
      <c r="AF47" s="83">
        <v>6226137</v>
      </c>
      <c r="AG47" s="89"/>
      <c r="AH47" s="81">
        <v>41953</v>
      </c>
      <c r="AI47" s="83">
        <f t="shared" si="24"/>
        <v>858341</v>
      </c>
      <c r="AJ47" s="83">
        <v>578512</v>
      </c>
      <c r="AK47" s="83">
        <v>59329</v>
      </c>
      <c r="AL47" s="83">
        <v>31</v>
      </c>
      <c r="AM47" s="83">
        <f t="shared" si="25"/>
        <v>637841</v>
      </c>
      <c r="AN47" s="83">
        <v>60165248</v>
      </c>
      <c r="AO47" s="89"/>
      <c r="AP47" s="81">
        <v>41973</v>
      </c>
      <c r="AQ47" s="83">
        <f t="shared" si="26"/>
        <v>225193</v>
      </c>
      <c r="AR47" s="83">
        <v>220500</v>
      </c>
      <c r="AS47" s="83">
        <v>4693</v>
      </c>
      <c r="AT47" s="83">
        <v>30</v>
      </c>
      <c r="AU47" s="83">
        <f t="shared" si="27"/>
        <v>225193</v>
      </c>
      <c r="AV47" s="83">
        <v>2866500</v>
      </c>
      <c r="AW47" s="89">
        <v>43</v>
      </c>
      <c r="AX47" s="90">
        <v>41968</v>
      </c>
      <c r="AY47" s="93"/>
      <c r="AZ47" s="93"/>
      <c r="BA47" s="93"/>
      <c r="BB47" s="93"/>
      <c r="BC47" s="94"/>
      <c r="BD47" s="94"/>
      <c r="BE47" s="89"/>
      <c r="BF47" s="90"/>
      <c r="BG47" s="93"/>
      <c r="BH47" s="93"/>
      <c r="BI47" s="93"/>
      <c r="BJ47" s="93"/>
      <c r="BK47" s="94"/>
      <c r="BL47" s="94"/>
      <c r="BM47" s="89"/>
      <c r="BN47" s="90"/>
      <c r="BO47" s="93"/>
      <c r="BP47" s="93"/>
      <c r="BQ47" s="93"/>
      <c r="BR47" s="93"/>
      <c r="BS47" s="94"/>
      <c r="BT47" s="94"/>
    </row>
    <row r="48" spans="1:72">
      <c r="A48" s="89">
        <v>44</v>
      </c>
      <c r="B48" s="90">
        <v>41998</v>
      </c>
      <c r="C48" s="93"/>
      <c r="D48" s="113">
        <f t="shared" si="17"/>
        <v>1332518</v>
      </c>
      <c r="E48" s="113">
        <f t="shared" si="18"/>
        <v>91429</v>
      </c>
      <c r="F48" s="113">
        <f t="shared" si="11"/>
        <v>120</v>
      </c>
      <c r="G48" s="114">
        <f t="shared" si="12"/>
        <v>1198944</v>
      </c>
      <c r="H48" s="114">
        <f t="shared" si="13"/>
        <v>75129392</v>
      </c>
      <c r="I48" s="89">
        <v>44</v>
      </c>
      <c r="J48" s="81">
        <v>41998</v>
      </c>
      <c r="K48" s="83">
        <f t="shared" si="28"/>
        <v>391352</v>
      </c>
      <c r="L48" s="83">
        <v>241566</v>
      </c>
      <c r="M48" s="83">
        <v>9703</v>
      </c>
      <c r="N48" s="83">
        <v>30</v>
      </c>
      <c r="O48" s="83">
        <f t="shared" si="19"/>
        <v>251269</v>
      </c>
      <c r="P48" s="83">
        <v>3865056</v>
      </c>
      <c r="Q48" s="89"/>
      <c r="R48" s="81">
        <v>41998</v>
      </c>
      <c r="S48" s="83">
        <f t="shared" si="20"/>
        <v>300909</v>
      </c>
      <c r="T48" s="83">
        <v>140083</v>
      </c>
      <c r="U48" s="83">
        <v>8969</v>
      </c>
      <c r="V48" s="83">
        <v>30</v>
      </c>
      <c r="W48" s="83">
        <f t="shared" si="21"/>
        <v>149052</v>
      </c>
      <c r="X48" s="83">
        <v>5603320</v>
      </c>
      <c r="Y48" s="254">
        <v>44</v>
      </c>
      <c r="Z48" s="81">
        <v>41998</v>
      </c>
      <c r="AA48" s="83">
        <f t="shared" si="22"/>
        <v>741755</v>
      </c>
      <c r="AB48" s="83">
        <v>151857</v>
      </c>
      <c r="AC48" s="83">
        <v>11386</v>
      </c>
      <c r="AD48" s="83">
        <v>30</v>
      </c>
      <c r="AE48" s="83">
        <f t="shared" si="23"/>
        <v>163243</v>
      </c>
      <c r="AF48" s="83">
        <v>6074280</v>
      </c>
      <c r="AG48" s="89"/>
      <c r="AH48" s="81">
        <v>41983</v>
      </c>
      <c r="AI48" s="83">
        <f t="shared" si="24"/>
        <v>855880</v>
      </c>
      <c r="AJ48" s="83">
        <v>578512</v>
      </c>
      <c r="AK48" s="83">
        <v>56868</v>
      </c>
      <c r="AL48" s="83">
        <v>30</v>
      </c>
      <c r="AM48" s="83">
        <f t="shared" si="25"/>
        <v>635380</v>
      </c>
      <c r="AN48" s="83">
        <v>59586736</v>
      </c>
      <c r="AO48" s="89"/>
      <c r="AP48" s="81">
        <v>42004</v>
      </c>
      <c r="AQ48" s="83">
        <f t="shared" si="26"/>
        <v>225003</v>
      </c>
      <c r="AR48" s="83">
        <v>220500</v>
      </c>
      <c r="AS48" s="83">
        <v>4503</v>
      </c>
      <c r="AT48" s="83">
        <v>31</v>
      </c>
      <c r="AU48" s="83">
        <f t="shared" si="27"/>
        <v>225003</v>
      </c>
      <c r="AV48" s="83">
        <v>2646000</v>
      </c>
      <c r="AW48" s="89">
        <v>44</v>
      </c>
      <c r="AX48" s="90">
        <v>41998</v>
      </c>
      <c r="AY48" s="93"/>
      <c r="AZ48" s="93"/>
      <c r="BA48" s="93"/>
      <c r="BB48" s="93"/>
      <c r="BC48" s="94"/>
      <c r="BD48" s="94"/>
      <c r="BE48" s="89"/>
      <c r="BF48" s="90"/>
      <c r="BG48" s="93"/>
      <c r="BH48" s="93"/>
      <c r="BI48" s="93"/>
      <c r="BJ48" s="93"/>
      <c r="BK48" s="94"/>
      <c r="BL48" s="94"/>
      <c r="BM48" s="89"/>
      <c r="BN48" s="90"/>
      <c r="BO48" s="93"/>
      <c r="BP48" s="93"/>
      <c r="BQ48" s="93"/>
      <c r="BR48" s="93"/>
      <c r="BS48" s="94"/>
      <c r="BT48" s="94"/>
    </row>
    <row r="49" spans="1:72">
      <c r="A49" s="89">
        <v>45</v>
      </c>
      <c r="B49" s="90">
        <v>42029</v>
      </c>
      <c r="C49" s="93"/>
      <c r="D49" s="113">
        <f t="shared" si="17"/>
        <v>1332518</v>
      </c>
      <c r="E49" s="113">
        <f t="shared" si="18"/>
        <v>92313</v>
      </c>
      <c r="F49" s="113">
        <f t="shared" si="11"/>
        <v>124</v>
      </c>
      <c r="G49" s="114">
        <f t="shared" si="12"/>
        <v>1200174</v>
      </c>
      <c r="H49" s="114">
        <f t="shared" si="13"/>
        <v>74017374</v>
      </c>
      <c r="I49" s="89">
        <v>45</v>
      </c>
      <c r="J49" s="81">
        <v>42029</v>
      </c>
      <c r="K49" s="83">
        <f t="shared" si="28"/>
        <v>391086</v>
      </c>
      <c r="L49" s="83">
        <v>241566</v>
      </c>
      <c r="M49" s="83">
        <v>9437</v>
      </c>
      <c r="N49" s="83">
        <v>31</v>
      </c>
      <c r="O49" s="83">
        <f t="shared" si="19"/>
        <v>251003</v>
      </c>
      <c r="P49" s="83">
        <v>3623490</v>
      </c>
      <c r="Q49" s="89"/>
      <c r="R49" s="81">
        <v>42029</v>
      </c>
      <c r="S49" s="83">
        <f t="shared" si="20"/>
        <v>300982</v>
      </c>
      <c r="T49" s="83">
        <v>140083</v>
      </c>
      <c r="U49" s="83">
        <v>9042</v>
      </c>
      <c r="V49" s="83">
        <v>31</v>
      </c>
      <c r="W49" s="83">
        <f t="shared" si="21"/>
        <v>149125</v>
      </c>
      <c r="X49" s="83">
        <v>5463237</v>
      </c>
      <c r="Y49" s="254">
        <v>45</v>
      </c>
      <c r="Z49" s="81">
        <v>42029</v>
      </c>
      <c r="AA49" s="83">
        <f t="shared" si="22"/>
        <v>741847</v>
      </c>
      <c r="AB49" s="83">
        <v>151857</v>
      </c>
      <c r="AC49" s="83">
        <v>11478</v>
      </c>
      <c r="AD49" s="83">
        <v>31</v>
      </c>
      <c r="AE49" s="83">
        <f t="shared" si="23"/>
        <v>163335</v>
      </c>
      <c r="AF49" s="83">
        <v>5922423</v>
      </c>
      <c r="AG49" s="89"/>
      <c r="AH49" s="81">
        <v>42014</v>
      </c>
      <c r="AI49" s="83">
        <f t="shared" si="24"/>
        <v>857211</v>
      </c>
      <c r="AJ49" s="83">
        <v>578512</v>
      </c>
      <c r="AK49" s="83">
        <v>58199</v>
      </c>
      <c r="AL49" s="83">
        <v>31</v>
      </c>
      <c r="AM49" s="83">
        <f t="shared" si="25"/>
        <v>636711</v>
      </c>
      <c r="AN49" s="83">
        <v>59008224</v>
      </c>
      <c r="AO49" s="89"/>
      <c r="AP49" s="81">
        <v>42035</v>
      </c>
      <c r="AQ49" s="83">
        <f t="shared" si="26"/>
        <v>224657</v>
      </c>
      <c r="AR49" s="83">
        <v>220500</v>
      </c>
      <c r="AS49" s="83">
        <v>4157</v>
      </c>
      <c r="AT49" s="83">
        <v>31</v>
      </c>
      <c r="AU49" s="83">
        <f t="shared" si="27"/>
        <v>224657</v>
      </c>
      <c r="AV49" s="83">
        <v>2425500</v>
      </c>
      <c r="AW49" s="89">
        <v>45</v>
      </c>
      <c r="AX49" s="90">
        <v>42029</v>
      </c>
      <c r="AY49" s="93"/>
      <c r="AZ49" s="93"/>
      <c r="BA49" s="93"/>
      <c r="BB49" s="93"/>
      <c r="BC49" s="94"/>
      <c r="BD49" s="94"/>
      <c r="BE49" s="89"/>
      <c r="BF49" s="90"/>
      <c r="BG49" s="93"/>
      <c r="BH49" s="93"/>
      <c r="BI49" s="93"/>
      <c r="BJ49" s="93"/>
      <c r="BK49" s="94"/>
      <c r="BL49" s="94"/>
      <c r="BM49" s="89"/>
      <c r="BN49" s="90"/>
      <c r="BO49" s="93"/>
      <c r="BP49" s="93"/>
      <c r="BQ49" s="93"/>
      <c r="BR49" s="93"/>
      <c r="BS49" s="94"/>
      <c r="BT49" s="94"/>
    </row>
    <row r="50" spans="1:72">
      <c r="A50" s="89">
        <v>46</v>
      </c>
      <c r="B50" s="90">
        <v>42060</v>
      </c>
      <c r="C50" s="93"/>
      <c r="D50" s="113">
        <f t="shared" si="17"/>
        <v>1332518</v>
      </c>
      <c r="E50" s="113">
        <f t="shared" si="18"/>
        <v>89929</v>
      </c>
      <c r="F50" s="113">
        <f t="shared" si="11"/>
        <v>124</v>
      </c>
      <c r="G50" s="114">
        <f t="shared" si="12"/>
        <v>1198505</v>
      </c>
      <c r="H50" s="114">
        <f t="shared" si="13"/>
        <v>72905356</v>
      </c>
      <c r="I50" s="89">
        <v>46</v>
      </c>
      <c r="J50" s="81">
        <v>42060</v>
      </c>
      <c r="K50" s="83">
        <f t="shared" si="28"/>
        <v>390496</v>
      </c>
      <c r="L50" s="83">
        <v>241566</v>
      </c>
      <c r="M50" s="83">
        <v>8847</v>
      </c>
      <c r="N50" s="83">
        <v>31</v>
      </c>
      <c r="O50" s="83">
        <f t="shared" si="19"/>
        <v>250413</v>
      </c>
      <c r="P50" s="83">
        <v>3381924</v>
      </c>
      <c r="Q50" s="89"/>
      <c r="R50" s="81">
        <v>42060</v>
      </c>
      <c r="S50" s="83">
        <f t="shared" si="20"/>
        <v>300755</v>
      </c>
      <c r="T50" s="83">
        <v>140083</v>
      </c>
      <c r="U50" s="83">
        <v>8815</v>
      </c>
      <c r="V50" s="83">
        <v>31</v>
      </c>
      <c r="W50" s="83">
        <f t="shared" si="21"/>
        <v>148898</v>
      </c>
      <c r="X50" s="83">
        <v>5323154</v>
      </c>
      <c r="Y50" s="254">
        <v>46</v>
      </c>
      <c r="Z50" s="81">
        <v>42060</v>
      </c>
      <c r="AA50" s="83">
        <f t="shared" si="22"/>
        <v>741560</v>
      </c>
      <c r="AB50" s="83">
        <v>151857</v>
      </c>
      <c r="AC50" s="83">
        <v>11191</v>
      </c>
      <c r="AD50" s="83">
        <v>31</v>
      </c>
      <c r="AE50" s="83">
        <f t="shared" si="23"/>
        <v>163048</v>
      </c>
      <c r="AF50" s="83">
        <v>5770566</v>
      </c>
      <c r="AG50" s="89"/>
      <c r="AH50" s="81">
        <v>42045</v>
      </c>
      <c r="AI50" s="83">
        <f t="shared" si="24"/>
        <v>856646</v>
      </c>
      <c r="AJ50" s="83">
        <v>578512</v>
      </c>
      <c r="AK50" s="83">
        <v>57634</v>
      </c>
      <c r="AL50" s="83">
        <v>31</v>
      </c>
      <c r="AM50" s="83">
        <f t="shared" si="25"/>
        <v>636146</v>
      </c>
      <c r="AN50" s="83">
        <v>58429712</v>
      </c>
      <c r="AO50" s="89"/>
      <c r="AP50" s="81">
        <v>42063</v>
      </c>
      <c r="AQ50" s="83">
        <f t="shared" si="26"/>
        <v>223942</v>
      </c>
      <c r="AR50" s="83">
        <v>220500</v>
      </c>
      <c r="AS50" s="83">
        <v>3442</v>
      </c>
      <c r="AT50" s="83">
        <v>28</v>
      </c>
      <c r="AU50" s="83">
        <f t="shared" si="27"/>
        <v>223942</v>
      </c>
      <c r="AV50" s="83">
        <v>2205000</v>
      </c>
      <c r="AW50" s="89">
        <v>46</v>
      </c>
      <c r="AX50" s="90">
        <v>42060</v>
      </c>
      <c r="AY50" s="93"/>
      <c r="AZ50" s="93"/>
      <c r="BA50" s="93"/>
      <c r="BB50" s="93"/>
      <c r="BC50" s="94"/>
      <c r="BD50" s="94"/>
      <c r="BE50" s="89"/>
      <c r="BF50" s="90"/>
      <c r="BG50" s="93"/>
      <c r="BH50" s="93"/>
      <c r="BI50" s="93"/>
      <c r="BJ50" s="93"/>
      <c r="BK50" s="94"/>
      <c r="BL50" s="94"/>
      <c r="BM50" s="89"/>
      <c r="BN50" s="90"/>
      <c r="BO50" s="93"/>
      <c r="BP50" s="93"/>
      <c r="BQ50" s="93"/>
      <c r="BR50" s="93"/>
      <c r="BS50" s="94"/>
      <c r="BT50" s="94"/>
    </row>
    <row r="51" spans="1:72">
      <c r="A51" s="89">
        <v>47</v>
      </c>
      <c r="B51" s="90">
        <v>42088</v>
      </c>
      <c r="C51" s="93"/>
      <c r="D51" s="113">
        <f t="shared" si="17"/>
        <v>1332518</v>
      </c>
      <c r="E51" s="113">
        <f t="shared" si="18"/>
        <v>80075</v>
      </c>
      <c r="F51" s="113">
        <f t="shared" si="11"/>
        <v>112</v>
      </c>
      <c r="G51" s="114">
        <f t="shared" si="12"/>
        <v>1188629</v>
      </c>
      <c r="H51" s="114">
        <f t="shared" si="13"/>
        <v>71793338</v>
      </c>
      <c r="I51" s="89">
        <v>47</v>
      </c>
      <c r="J51" s="81">
        <v>42088</v>
      </c>
      <c r="K51" s="83">
        <f t="shared" si="28"/>
        <v>389107</v>
      </c>
      <c r="L51" s="83">
        <v>241566</v>
      </c>
      <c r="M51" s="83">
        <v>7458</v>
      </c>
      <c r="N51" s="83">
        <v>28</v>
      </c>
      <c r="O51" s="83">
        <f t="shared" si="19"/>
        <v>249024</v>
      </c>
      <c r="P51" s="83">
        <v>3140358</v>
      </c>
      <c r="Q51" s="89"/>
      <c r="R51" s="81">
        <v>42088</v>
      </c>
      <c r="S51" s="83">
        <f t="shared" si="20"/>
        <v>299698</v>
      </c>
      <c r="T51" s="83">
        <v>140083</v>
      </c>
      <c r="U51" s="83">
        <v>7758</v>
      </c>
      <c r="V51" s="83">
        <v>28</v>
      </c>
      <c r="W51" s="83">
        <f t="shared" si="21"/>
        <v>147841</v>
      </c>
      <c r="X51" s="83">
        <v>5183071</v>
      </c>
      <c r="Y51" s="254">
        <v>47</v>
      </c>
      <c r="Z51" s="81">
        <v>42088</v>
      </c>
      <c r="AA51" s="83">
        <f t="shared" si="22"/>
        <v>740218</v>
      </c>
      <c r="AB51" s="83">
        <v>151857</v>
      </c>
      <c r="AC51" s="83">
        <v>9849</v>
      </c>
      <c r="AD51" s="83">
        <v>28</v>
      </c>
      <c r="AE51" s="83">
        <f t="shared" si="23"/>
        <v>161706</v>
      </c>
      <c r="AF51" s="83">
        <v>5618709</v>
      </c>
      <c r="AG51" s="89"/>
      <c r="AH51" s="81">
        <v>42073</v>
      </c>
      <c r="AI51" s="83">
        <f t="shared" si="24"/>
        <v>850558</v>
      </c>
      <c r="AJ51" s="83">
        <v>578512</v>
      </c>
      <c r="AK51" s="83">
        <v>51546</v>
      </c>
      <c r="AL51" s="83">
        <v>28</v>
      </c>
      <c r="AM51" s="83">
        <f t="shared" si="25"/>
        <v>630058</v>
      </c>
      <c r="AN51" s="83">
        <v>57851200</v>
      </c>
      <c r="AO51" s="89"/>
      <c r="AP51" s="81">
        <v>42094</v>
      </c>
      <c r="AQ51" s="83">
        <f t="shared" si="26"/>
        <v>223964</v>
      </c>
      <c r="AR51" s="83">
        <v>220500</v>
      </c>
      <c r="AS51" s="83">
        <v>3464</v>
      </c>
      <c r="AT51" s="83">
        <v>31</v>
      </c>
      <c r="AU51" s="83">
        <f t="shared" si="27"/>
        <v>223964</v>
      </c>
      <c r="AV51" s="83">
        <v>1984500</v>
      </c>
      <c r="AW51" s="89">
        <v>47</v>
      </c>
      <c r="AX51" s="90">
        <v>42088</v>
      </c>
      <c r="AY51" s="93"/>
      <c r="AZ51" s="93"/>
      <c r="BA51" s="93"/>
      <c r="BB51" s="93"/>
      <c r="BC51" s="94"/>
      <c r="BD51" s="94"/>
      <c r="BE51" s="89"/>
      <c r="BF51" s="90"/>
      <c r="BG51" s="93"/>
      <c r="BH51" s="93"/>
      <c r="BI51" s="93"/>
      <c r="BJ51" s="93"/>
      <c r="BK51" s="94"/>
      <c r="BL51" s="94"/>
      <c r="BM51" s="89"/>
      <c r="BN51" s="90"/>
      <c r="BO51" s="93"/>
      <c r="BP51" s="93"/>
      <c r="BQ51" s="93"/>
      <c r="BR51" s="93"/>
      <c r="BS51" s="94"/>
      <c r="BT51" s="94"/>
    </row>
    <row r="52" spans="1:72">
      <c r="A52" s="89">
        <v>48</v>
      </c>
      <c r="B52" s="90">
        <v>42119</v>
      </c>
      <c r="C52" s="93"/>
      <c r="D52" s="113">
        <f t="shared" si="17"/>
        <v>1332518</v>
      </c>
      <c r="E52" s="113">
        <f t="shared" si="18"/>
        <v>3026167</v>
      </c>
      <c r="F52" s="113">
        <f t="shared" si="11"/>
        <v>124</v>
      </c>
      <c r="G52" s="114">
        <f t="shared" si="12"/>
        <v>1195168</v>
      </c>
      <c r="H52" s="114">
        <f t="shared" si="13"/>
        <v>70681320</v>
      </c>
      <c r="I52" s="89">
        <v>48</v>
      </c>
      <c r="J52" s="81">
        <v>42119</v>
      </c>
      <c r="K52" s="83">
        <f t="shared" si="28"/>
        <v>389316</v>
      </c>
      <c r="L52" s="83">
        <v>241566</v>
      </c>
      <c r="M52" s="83">
        <v>7667</v>
      </c>
      <c r="N52" s="83">
        <v>31</v>
      </c>
      <c r="O52" s="83">
        <f t="shared" si="19"/>
        <v>249233</v>
      </c>
      <c r="P52" s="83">
        <v>2898792</v>
      </c>
      <c r="Q52" s="89"/>
      <c r="R52" s="81">
        <v>42119</v>
      </c>
      <c r="S52" s="83">
        <f t="shared" si="20"/>
        <v>300303</v>
      </c>
      <c r="T52" s="83">
        <v>140083</v>
      </c>
      <c r="U52" s="83">
        <v>8363</v>
      </c>
      <c r="V52" s="83">
        <v>31</v>
      </c>
      <c r="W52" s="83">
        <f t="shared" si="21"/>
        <v>148446</v>
      </c>
      <c r="X52" s="83">
        <v>5042988</v>
      </c>
      <c r="Y52" s="254">
        <v>48</v>
      </c>
      <c r="Z52" s="81">
        <v>42119</v>
      </c>
      <c r="AA52" s="83">
        <f t="shared" si="22"/>
        <v>740986</v>
      </c>
      <c r="AB52" s="83">
        <v>151857</v>
      </c>
      <c r="AC52" s="83">
        <v>10617</v>
      </c>
      <c r="AD52" s="83">
        <v>31</v>
      </c>
      <c r="AE52" s="83">
        <f t="shared" si="23"/>
        <v>162474</v>
      </c>
      <c r="AF52" s="83">
        <v>5466852</v>
      </c>
      <c r="AG52" s="89"/>
      <c r="AH52" s="81">
        <v>42104</v>
      </c>
      <c r="AI52" s="83">
        <f t="shared" si="24"/>
        <v>855515</v>
      </c>
      <c r="AJ52" s="83">
        <v>578512</v>
      </c>
      <c r="AK52" s="83">
        <v>56503</v>
      </c>
      <c r="AL52" s="83">
        <v>31</v>
      </c>
      <c r="AM52" s="83">
        <f t="shared" si="25"/>
        <v>635015</v>
      </c>
      <c r="AN52" s="83">
        <v>57272688</v>
      </c>
      <c r="AO52" s="89"/>
      <c r="AP52" s="81">
        <v>42124</v>
      </c>
      <c r="AQ52" s="83">
        <f t="shared" si="26"/>
        <v>223517</v>
      </c>
      <c r="AR52" s="83">
        <v>220500</v>
      </c>
      <c r="AS52" s="83">
        <v>3017</v>
      </c>
      <c r="AT52" s="83">
        <v>30</v>
      </c>
      <c r="AU52" s="83">
        <f t="shared" si="27"/>
        <v>223517</v>
      </c>
      <c r="AV52" s="83">
        <v>1764000</v>
      </c>
      <c r="AW52" s="89">
        <v>48</v>
      </c>
      <c r="AX52" s="90">
        <v>42119</v>
      </c>
      <c r="AY52" s="93"/>
      <c r="AZ52" s="93"/>
      <c r="BA52" s="93">
        <v>2940000</v>
      </c>
      <c r="BB52" s="93"/>
      <c r="BC52" s="94"/>
      <c r="BD52" s="94"/>
      <c r="BE52" s="89"/>
      <c r="BF52" s="90"/>
      <c r="BG52" s="93"/>
      <c r="BH52" s="93"/>
      <c r="BI52" s="93"/>
      <c r="BJ52" s="93"/>
      <c r="BK52" s="94"/>
      <c r="BL52" s="94"/>
      <c r="BM52" s="89"/>
      <c r="BN52" s="90"/>
      <c r="BO52" s="93"/>
      <c r="BP52" s="93"/>
      <c r="BQ52" s="93"/>
      <c r="BR52" s="93"/>
      <c r="BS52" s="94"/>
      <c r="BT52" s="94"/>
    </row>
    <row r="53" spans="1:72">
      <c r="A53" s="89">
        <v>49</v>
      </c>
      <c r="B53" s="90">
        <v>42149</v>
      </c>
      <c r="C53" s="93"/>
      <c r="D53" s="113">
        <f t="shared" si="17"/>
        <v>1332518</v>
      </c>
      <c r="E53" s="113">
        <f t="shared" si="18"/>
        <v>81626</v>
      </c>
      <c r="F53" s="113">
        <f t="shared" si="11"/>
        <v>120</v>
      </c>
      <c r="G53" s="114">
        <f t="shared" si="12"/>
        <v>1190873</v>
      </c>
      <c r="H53" s="114">
        <f t="shared" si="13"/>
        <v>69569302</v>
      </c>
      <c r="I53" s="89">
        <v>49</v>
      </c>
      <c r="J53" s="81">
        <v>42149</v>
      </c>
      <c r="K53" s="83">
        <f t="shared" si="28"/>
        <v>388498</v>
      </c>
      <c r="L53" s="83">
        <v>241566</v>
      </c>
      <c r="M53" s="83">
        <v>6849</v>
      </c>
      <c r="N53" s="83">
        <v>30</v>
      </c>
      <c r="O53" s="83">
        <f t="shared" si="19"/>
        <v>248415</v>
      </c>
      <c r="P53" s="83">
        <v>2657226</v>
      </c>
      <c r="Q53" s="89"/>
      <c r="R53" s="81">
        <v>42149</v>
      </c>
      <c r="S53" s="83">
        <f t="shared" si="20"/>
        <v>299815</v>
      </c>
      <c r="T53" s="83">
        <v>140083</v>
      </c>
      <c r="U53" s="83">
        <v>7875</v>
      </c>
      <c r="V53" s="83">
        <v>30</v>
      </c>
      <c r="W53" s="83">
        <f t="shared" si="21"/>
        <v>147958</v>
      </c>
      <c r="X53" s="83">
        <v>4902905</v>
      </c>
      <c r="Y53" s="254">
        <v>49</v>
      </c>
      <c r="Z53" s="81">
        <v>42149</v>
      </c>
      <c r="AA53" s="83">
        <f t="shared" si="22"/>
        <v>740366</v>
      </c>
      <c r="AB53" s="83">
        <v>151857</v>
      </c>
      <c r="AC53" s="83">
        <v>9997</v>
      </c>
      <c r="AD53" s="83">
        <v>30</v>
      </c>
      <c r="AE53" s="83">
        <f t="shared" si="23"/>
        <v>161854</v>
      </c>
      <c r="AF53" s="83">
        <v>5314995</v>
      </c>
      <c r="AG53" s="89"/>
      <c r="AH53" s="81">
        <v>42134</v>
      </c>
      <c r="AI53" s="83">
        <f t="shared" si="24"/>
        <v>853146</v>
      </c>
      <c r="AJ53" s="83">
        <v>578512</v>
      </c>
      <c r="AK53" s="83">
        <v>54134</v>
      </c>
      <c r="AL53" s="83">
        <v>30</v>
      </c>
      <c r="AM53" s="83">
        <f t="shared" si="25"/>
        <v>632646</v>
      </c>
      <c r="AN53" s="83">
        <v>56694176</v>
      </c>
      <c r="AO53" s="89"/>
      <c r="AP53" s="81">
        <v>42155</v>
      </c>
      <c r="AQ53" s="83">
        <f t="shared" si="26"/>
        <v>223271</v>
      </c>
      <c r="AR53" s="83">
        <v>220500</v>
      </c>
      <c r="AS53" s="83">
        <v>2771</v>
      </c>
      <c r="AT53" s="83">
        <v>31</v>
      </c>
      <c r="AU53" s="83">
        <f t="shared" si="27"/>
        <v>223271</v>
      </c>
      <c r="AV53" s="83">
        <v>1543500</v>
      </c>
      <c r="AW53" s="89">
        <v>49</v>
      </c>
      <c r="AX53" s="90">
        <v>42149</v>
      </c>
      <c r="AY53" s="93"/>
      <c r="AZ53" s="93"/>
      <c r="BA53" s="93"/>
      <c r="BB53" s="93"/>
      <c r="BC53" s="94"/>
      <c r="BD53" s="94"/>
      <c r="BE53" s="89"/>
      <c r="BF53" s="90"/>
      <c r="BG53" s="93"/>
      <c r="BH53" s="93"/>
      <c r="BI53" s="93"/>
      <c r="BJ53" s="93"/>
      <c r="BK53" s="94"/>
      <c r="BL53" s="94"/>
      <c r="BM53" s="89"/>
      <c r="BN53" s="90"/>
      <c r="BO53" s="93"/>
      <c r="BP53" s="93"/>
      <c r="BQ53" s="93"/>
      <c r="BR53" s="93"/>
      <c r="BS53" s="94"/>
      <c r="BT53" s="94"/>
    </row>
    <row r="54" spans="1:72">
      <c r="A54" s="89">
        <v>50</v>
      </c>
      <c r="B54" s="90">
        <v>42180</v>
      </c>
      <c r="C54" s="93"/>
      <c r="D54" s="113">
        <f t="shared" si="17"/>
        <v>1332518</v>
      </c>
      <c r="E54" s="113">
        <f t="shared" si="18"/>
        <v>82161</v>
      </c>
      <c r="F54" s="113">
        <f t="shared" si="11"/>
        <v>124</v>
      </c>
      <c r="G54" s="114">
        <f t="shared" si="12"/>
        <v>1191833</v>
      </c>
      <c r="H54" s="114">
        <f t="shared" si="13"/>
        <v>68457284</v>
      </c>
      <c r="I54" s="89">
        <v>50</v>
      </c>
      <c r="J54" s="81">
        <v>42180</v>
      </c>
      <c r="K54" s="83">
        <f t="shared" si="28"/>
        <v>388137</v>
      </c>
      <c r="L54" s="83">
        <v>241566</v>
      </c>
      <c r="M54" s="83">
        <v>6488</v>
      </c>
      <c r="N54" s="83">
        <v>31</v>
      </c>
      <c r="O54" s="83">
        <f t="shared" si="19"/>
        <v>248054</v>
      </c>
      <c r="P54" s="83">
        <v>2415660</v>
      </c>
      <c r="Q54" s="89"/>
      <c r="R54" s="81">
        <v>42180</v>
      </c>
      <c r="S54" s="83">
        <f t="shared" si="20"/>
        <v>299851</v>
      </c>
      <c r="T54" s="83">
        <v>140083</v>
      </c>
      <c r="U54" s="83">
        <v>7911</v>
      </c>
      <c r="V54" s="83">
        <v>31</v>
      </c>
      <c r="W54" s="83">
        <f t="shared" si="21"/>
        <v>147994</v>
      </c>
      <c r="X54" s="83">
        <v>4762822</v>
      </c>
      <c r="Y54" s="254">
        <v>50</v>
      </c>
      <c r="Z54" s="81">
        <v>42180</v>
      </c>
      <c r="AA54" s="83">
        <f t="shared" si="22"/>
        <v>740412</v>
      </c>
      <c r="AB54" s="83">
        <v>151857</v>
      </c>
      <c r="AC54" s="83">
        <v>10043</v>
      </c>
      <c r="AD54" s="83">
        <v>31</v>
      </c>
      <c r="AE54" s="83">
        <f t="shared" si="23"/>
        <v>161900</v>
      </c>
      <c r="AF54" s="83">
        <v>5163138</v>
      </c>
      <c r="AG54" s="89"/>
      <c r="AH54" s="81">
        <v>42165</v>
      </c>
      <c r="AI54" s="83">
        <f t="shared" si="24"/>
        <v>854385</v>
      </c>
      <c r="AJ54" s="83">
        <v>578512</v>
      </c>
      <c r="AK54" s="83">
        <v>55373</v>
      </c>
      <c r="AL54" s="83">
        <v>31</v>
      </c>
      <c r="AM54" s="83">
        <f t="shared" si="25"/>
        <v>633885</v>
      </c>
      <c r="AN54" s="83">
        <v>56115664</v>
      </c>
      <c r="AO54" s="89"/>
      <c r="AP54" s="81">
        <v>42185</v>
      </c>
      <c r="AQ54" s="83">
        <f t="shared" si="26"/>
        <v>222846</v>
      </c>
      <c r="AR54" s="83">
        <v>220500</v>
      </c>
      <c r="AS54" s="83">
        <v>2346</v>
      </c>
      <c r="AT54" s="83">
        <v>30</v>
      </c>
      <c r="AU54" s="83">
        <f t="shared" si="27"/>
        <v>222846</v>
      </c>
      <c r="AV54" s="83">
        <v>1323000</v>
      </c>
      <c r="AW54" s="89">
        <v>50</v>
      </c>
      <c r="AX54" s="90">
        <v>42180</v>
      </c>
      <c r="AY54" s="93"/>
      <c r="AZ54" s="93"/>
      <c r="BA54" s="93"/>
      <c r="BB54" s="93"/>
      <c r="BC54" s="94"/>
      <c r="BD54" s="94"/>
      <c r="BE54" s="89"/>
      <c r="BF54" s="90"/>
      <c r="BG54" s="93"/>
      <c r="BH54" s="93"/>
      <c r="BI54" s="93"/>
      <c r="BJ54" s="93"/>
      <c r="BK54" s="94"/>
      <c r="BL54" s="94"/>
      <c r="BM54" s="89"/>
      <c r="BN54" s="90"/>
      <c r="BO54" s="93"/>
      <c r="BP54" s="93"/>
      <c r="BQ54" s="93"/>
      <c r="BR54" s="93"/>
      <c r="BS54" s="94"/>
      <c r="BT54" s="94"/>
    </row>
    <row r="55" spans="1:72">
      <c r="A55" s="89">
        <v>51</v>
      </c>
      <c r="B55" s="90">
        <v>42210</v>
      </c>
      <c r="C55" s="93"/>
      <c r="D55" s="113">
        <f t="shared" si="17"/>
        <v>1332518</v>
      </c>
      <c r="E55" s="113">
        <f t="shared" si="18"/>
        <v>77705</v>
      </c>
      <c r="F55" s="113">
        <f t="shared" si="11"/>
        <v>120</v>
      </c>
      <c r="G55" s="114">
        <f t="shared" si="12"/>
        <v>1187645</v>
      </c>
      <c r="H55" s="114">
        <f t="shared" si="13"/>
        <v>67345266</v>
      </c>
      <c r="I55" s="89">
        <v>51</v>
      </c>
      <c r="J55" s="81">
        <v>42210</v>
      </c>
      <c r="K55" s="83">
        <f t="shared" si="28"/>
        <v>387357</v>
      </c>
      <c r="L55" s="83">
        <v>241566</v>
      </c>
      <c r="M55" s="83">
        <v>5708</v>
      </c>
      <c r="N55" s="83">
        <v>30</v>
      </c>
      <c r="O55" s="83">
        <f t="shared" si="19"/>
        <v>247274</v>
      </c>
      <c r="P55" s="83">
        <v>2174094</v>
      </c>
      <c r="Q55" s="89"/>
      <c r="R55" s="81">
        <v>42210</v>
      </c>
      <c r="S55" s="83">
        <f t="shared" si="20"/>
        <v>299377</v>
      </c>
      <c r="T55" s="83">
        <v>140083</v>
      </c>
      <c r="U55" s="83">
        <v>7437</v>
      </c>
      <c r="V55" s="83">
        <v>30</v>
      </c>
      <c r="W55" s="83">
        <f t="shared" si="21"/>
        <v>147520</v>
      </c>
      <c r="X55" s="83">
        <v>4622739</v>
      </c>
      <c r="Y55" s="254">
        <v>51</v>
      </c>
      <c r="Z55" s="81">
        <v>42210</v>
      </c>
      <c r="AA55" s="83">
        <f t="shared" si="22"/>
        <v>739811</v>
      </c>
      <c r="AB55" s="83">
        <v>151857</v>
      </c>
      <c r="AC55" s="83">
        <v>9442</v>
      </c>
      <c r="AD55" s="83">
        <v>30</v>
      </c>
      <c r="AE55" s="83">
        <f t="shared" si="23"/>
        <v>161299</v>
      </c>
      <c r="AF55" s="83">
        <v>5011281</v>
      </c>
      <c r="AG55" s="89"/>
      <c r="AH55" s="81">
        <v>42195</v>
      </c>
      <c r="AI55" s="83">
        <f t="shared" si="24"/>
        <v>852052</v>
      </c>
      <c r="AJ55" s="83">
        <v>578512</v>
      </c>
      <c r="AK55" s="83">
        <v>53040</v>
      </c>
      <c r="AL55" s="83">
        <v>30</v>
      </c>
      <c r="AM55" s="83">
        <f t="shared" si="25"/>
        <v>631552</v>
      </c>
      <c r="AN55" s="83">
        <v>55537152</v>
      </c>
      <c r="AO55" s="89"/>
      <c r="AP55" s="81">
        <v>42216</v>
      </c>
      <c r="AQ55" s="83">
        <f t="shared" si="26"/>
        <v>222578</v>
      </c>
      <c r="AR55" s="83">
        <v>220500</v>
      </c>
      <c r="AS55" s="83">
        <v>2078</v>
      </c>
      <c r="AT55" s="83">
        <v>31</v>
      </c>
      <c r="AU55" s="83">
        <f t="shared" si="27"/>
        <v>222578</v>
      </c>
      <c r="AV55" s="83">
        <v>1102500</v>
      </c>
      <c r="AW55" s="89">
        <v>51</v>
      </c>
      <c r="AX55" s="90">
        <v>42210</v>
      </c>
      <c r="AY55" s="93"/>
      <c r="AZ55" s="93"/>
      <c r="BA55" s="93"/>
      <c r="BB55" s="93"/>
      <c r="BC55" s="94"/>
      <c r="BD55" s="94"/>
      <c r="BE55" s="89"/>
      <c r="BF55" s="90"/>
      <c r="BG55" s="93"/>
      <c r="BH55" s="93"/>
      <c r="BI55" s="93"/>
      <c r="BJ55" s="93"/>
      <c r="BK55" s="94"/>
      <c r="BL55" s="94"/>
      <c r="BM55" s="89"/>
      <c r="BN55" s="90"/>
      <c r="BO55" s="93"/>
      <c r="BP55" s="93"/>
      <c r="BQ55" s="93"/>
      <c r="BR55" s="93"/>
      <c r="BS55" s="94"/>
      <c r="BT55" s="94"/>
    </row>
    <row r="56" spans="1:72">
      <c r="A56" s="89">
        <v>52</v>
      </c>
      <c r="B56" s="90">
        <v>42241</v>
      </c>
      <c r="C56" s="93"/>
      <c r="D56" s="113">
        <f t="shared" si="17"/>
        <v>1332518</v>
      </c>
      <c r="E56" s="113">
        <f t="shared" si="18"/>
        <v>78211</v>
      </c>
      <c r="F56" s="113">
        <f t="shared" si="11"/>
        <v>124</v>
      </c>
      <c r="G56" s="114">
        <f t="shared" si="12"/>
        <v>1188497</v>
      </c>
      <c r="H56" s="114">
        <f t="shared" si="13"/>
        <v>66233248</v>
      </c>
      <c r="I56" s="89">
        <v>52</v>
      </c>
      <c r="J56" s="81">
        <v>42241</v>
      </c>
      <c r="K56" s="83">
        <f t="shared" si="28"/>
        <v>386957</v>
      </c>
      <c r="L56" s="83">
        <v>241566</v>
      </c>
      <c r="M56" s="83">
        <v>5308</v>
      </c>
      <c r="N56" s="83">
        <v>31</v>
      </c>
      <c r="O56" s="83">
        <f t="shared" si="19"/>
        <v>246874</v>
      </c>
      <c r="P56" s="83">
        <v>1932528</v>
      </c>
      <c r="Q56" s="89"/>
      <c r="R56" s="81">
        <v>42241</v>
      </c>
      <c r="S56" s="83">
        <f t="shared" si="20"/>
        <v>299399</v>
      </c>
      <c r="T56" s="83">
        <v>140083</v>
      </c>
      <c r="U56" s="83">
        <v>7459</v>
      </c>
      <c r="V56" s="83">
        <v>31</v>
      </c>
      <c r="W56" s="83">
        <f t="shared" si="21"/>
        <v>147542</v>
      </c>
      <c r="X56" s="83">
        <v>4482656</v>
      </c>
      <c r="Y56" s="254">
        <v>52</v>
      </c>
      <c r="Z56" s="81">
        <v>42241</v>
      </c>
      <c r="AA56" s="83">
        <f t="shared" si="22"/>
        <v>739838</v>
      </c>
      <c r="AB56" s="83">
        <v>151857</v>
      </c>
      <c r="AC56" s="83">
        <v>9469</v>
      </c>
      <c r="AD56" s="83">
        <v>31</v>
      </c>
      <c r="AE56" s="83">
        <f t="shared" si="23"/>
        <v>161326</v>
      </c>
      <c r="AF56" s="83">
        <v>4859424</v>
      </c>
      <c r="AG56" s="89"/>
      <c r="AH56" s="81">
        <v>42226</v>
      </c>
      <c r="AI56" s="83">
        <f t="shared" si="24"/>
        <v>853255</v>
      </c>
      <c r="AJ56" s="83">
        <v>578512</v>
      </c>
      <c r="AK56" s="83">
        <v>54243</v>
      </c>
      <c r="AL56" s="83">
        <v>31</v>
      </c>
      <c r="AM56" s="83">
        <f t="shared" si="25"/>
        <v>632755</v>
      </c>
      <c r="AN56" s="83">
        <v>54958640</v>
      </c>
      <c r="AO56" s="89"/>
      <c r="AP56" s="81">
        <v>42247</v>
      </c>
      <c r="AQ56" s="83">
        <f t="shared" si="26"/>
        <v>222232</v>
      </c>
      <c r="AR56" s="83">
        <v>220500</v>
      </c>
      <c r="AS56" s="83">
        <v>1732</v>
      </c>
      <c r="AT56" s="83">
        <v>31</v>
      </c>
      <c r="AU56" s="83">
        <f t="shared" si="27"/>
        <v>222232</v>
      </c>
      <c r="AV56" s="83">
        <v>882000</v>
      </c>
      <c r="AW56" s="89">
        <v>52</v>
      </c>
      <c r="AX56" s="90">
        <v>42241</v>
      </c>
      <c r="AY56" s="93"/>
      <c r="AZ56" s="93"/>
      <c r="BA56" s="93"/>
      <c r="BB56" s="93"/>
      <c r="BC56" s="94"/>
      <c r="BD56" s="94"/>
      <c r="BE56" s="89"/>
      <c r="BF56" s="90"/>
      <c r="BG56" s="93"/>
      <c r="BH56" s="93"/>
      <c r="BI56" s="93"/>
      <c r="BJ56" s="93"/>
      <c r="BK56" s="94"/>
      <c r="BL56" s="94"/>
      <c r="BM56" s="89"/>
      <c r="BN56" s="90"/>
      <c r="BO56" s="93"/>
      <c r="BP56" s="93"/>
      <c r="BQ56" s="93"/>
      <c r="BR56" s="93"/>
      <c r="BS56" s="94"/>
      <c r="BT56" s="94"/>
    </row>
    <row r="57" spans="1:72">
      <c r="A57" s="89">
        <v>53</v>
      </c>
      <c r="B57" s="90">
        <v>42272</v>
      </c>
      <c r="C57" s="93"/>
      <c r="D57" s="113">
        <f t="shared" si="17"/>
        <v>1332518</v>
      </c>
      <c r="E57" s="113">
        <f t="shared" si="18"/>
        <v>76152</v>
      </c>
      <c r="F57" s="113">
        <f t="shared" si="11"/>
        <v>124</v>
      </c>
      <c r="G57" s="114">
        <f t="shared" si="12"/>
        <v>1186829</v>
      </c>
      <c r="H57" s="114">
        <f t="shared" si="13"/>
        <v>65121230</v>
      </c>
      <c r="I57" s="89">
        <v>53</v>
      </c>
      <c r="J57" s="81">
        <v>42272</v>
      </c>
      <c r="K57" s="83">
        <f t="shared" si="28"/>
        <v>386367</v>
      </c>
      <c r="L57" s="83">
        <v>241566</v>
      </c>
      <c r="M57" s="83">
        <v>4718</v>
      </c>
      <c r="N57" s="83">
        <v>31</v>
      </c>
      <c r="O57" s="83">
        <f t="shared" si="19"/>
        <v>246284</v>
      </c>
      <c r="P57" s="83">
        <v>1690962</v>
      </c>
      <c r="Q57" s="89"/>
      <c r="R57" s="81">
        <v>42272</v>
      </c>
      <c r="S57" s="83">
        <f t="shared" si="20"/>
        <v>299173</v>
      </c>
      <c r="T57" s="83">
        <v>140083</v>
      </c>
      <c r="U57" s="83">
        <v>7233</v>
      </c>
      <c r="V57" s="83">
        <v>31</v>
      </c>
      <c r="W57" s="83">
        <f t="shared" si="21"/>
        <v>147316</v>
      </c>
      <c r="X57" s="83">
        <v>4342573</v>
      </c>
      <c r="Y57" s="254">
        <v>53</v>
      </c>
      <c r="Z57" s="81">
        <v>42272</v>
      </c>
      <c r="AA57" s="83">
        <f t="shared" si="22"/>
        <v>739551</v>
      </c>
      <c r="AB57" s="83">
        <v>151857</v>
      </c>
      <c r="AC57" s="83">
        <v>9182</v>
      </c>
      <c r="AD57" s="83">
        <v>31</v>
      </c>
      <c r="AE57" s="83">
        <f t="shared" si="23"/>
        <v>161039</v>
      </c>
      <c r="AF57" s="83">
        <v>4707567</v>
      </c>
      <c r="AG57" s="89"/>
      <c r="AH57" s="81">
        <v>42257</v>
      </c>
      <c r="AI57" s="83">
        <f t="shared" si="24"/>
        <v>852690</v>
      </c>
      <c r="AJ57" s="83">
        <v>578512</v>
      </c>
      <c r="AK57" s="83">
        <v>53678</v>
      </c>
      <c r="AL57" s="83">
        <v>31</v>
      </c>
      <c r="AM57" s="83">
        <f t="shared" si="25"/>
        <v>632190</v>
      </c>
      <c r="AN57" s="83">
        <v>54380128</v>
      </c>
      <c r="AO57" s="89"/>
      <c r="AP57" s="81">
        <v>42277</v>
      </c>
      <c r="AQ57" s="83">
        <f t="shared" si="26"/>
        <v>221841</v>
      </c>
      <c r="AR57" s="83">
        <v>220500</v>
      </c>
      <c r="AS57" s="83">
        <v>1341</v>
      </c>
      <c r="AT57" s="83">
        <v>30</v>
      </c>
      <c r="AU57" s="83">
        <f t="shared" si="27"/>
        <v>221841</v>
      </c>
      <c r="AV57" s="83">
        <v>661500</v>
      </c>
      <c r="AW57" s="89">
        <v>53</v>
      </c>
      <c r="AX57" s="90">
        <v>42272</v>
      </c>
      <c r="AY57" s="93"/>
      <c r="AZ57" s="93"/>
      <c r="BA57" s="93"/>
      <c r="BB57" s="93"/>
      <c r="BC57" s="94"/>
      <c r="BD57" s="94"/>
      <c r="BE57" s="89"/>
      <c r="BF57" s="90"/>
      <c r="BG57" s="93"/>
      <c r="BH57" s="93"/>
      <c r="BI57" s="93"/>
      <c r="BJ57" s="93"/>
      <c r="BK57" s="94"/>
      <c r="BL57" s="94"/>
      <c r="BM57" s="89"/>
      <c r="BN57" s="90"/>
      <c r="BO57" s="93"/>
      <c r="BP57" s="93"/>
      <c r="BQ57" s="93"/>
      <c r="BR57" s="93"/>
      <c r="BS57" s="94"/>
      <c r="BT57" s="94"/>
    </row>
    <row r="58" spans="1:72">
      <c r="A58" s="89">
        <v>54</v>
      </c>
      <c r="B58" s="90">
        <v>42302</v>
      </c>
      <c r="C58" s="93"/>
      <c r="D58" s="113">
        <f t="shared" si="17"/>
        <v>1332518</v>
      </c>
      <c r="E58" s="113">
        <f t="shared" si="18"/>
        <v>3011823</v>
      </c>
      <c r="F58" s="113">
        <f t="shared" si="11"/>
        <v>120</v>
      </c>
      <c r="G58" s="114">
        <f t="shared" si="12"/>
        <v>1182802</v>
      </c>
      <c r="H58" s="114">
        <f t="shared" si="13"/>
        <v>64009212</v>
      </c>
      <c r="I58" s="89">
        <v>54</v>
      </c>
      <c r="J58" s="81">
        <v>42302</v>
      </c>
      <c r="K58" s="83">
        <f t="shared" si="28"/>
        <v>385644</v>
      </c>
      <c r="L58" s="83">
        <v>241566</v>
      </c>
      <c r="M58" s="83">
        <v>3995</v>
      </c>
      <c r="N58" s="83">
        <v>30</v>
      </c>
      <c r="O58" s="83">
        <f t="shared" si="19"/>
        <v>245561</v>
      </c>
      <c r="P58" s="83">
        <v>1449396</v>
      </c>
      <c r="Q58" s="89"/>
      <c r="R58" s="81">
        <v>42302</v>
      </c>
      <c r="S58" s="83">
        <f t="shared" si="20"/>
        <v>298721</v>
      </c>
      <c r="T58" s="83">
        <v>140083</v>
      </c>
      <c r="U58" s="83">
        <v>6781</v>
      </c>
      <c r="V58" s="83">
        <v>30</v>
      </c>
      <c r="W58" s="83">
        <f t="shared" si="21"/>
        <v>146864</v>
      </c>
      <c r="X58" s="83">
        <v>4202490</v>
      </c>
      <c r="Y58" s="254">
        <v>54</v>
      </c>
      <c r="Z58" s="81">
        <v>42302</v>
      </c>
      <c r="AA58" s="83">
        <f t="shared" si="22"/>
        <v>738977</v>
      </c>
      <c r="AB58" s="83">
        <v>151857</v>
      </c>
      <c r="AC58" s="83">
        <v>8608</v>
      </c>
      <c r="AD58" s="83">
        <v>30</v>
      </c>
      <c r="AE58" s="83">
        <f t="shared" si="23"/>
        <v>160465</v>
      </c>
      <c r="AF58" s="83">
        <v>4555710</v>
      </c>
      <c r="AG58" s="89"/>
      <c r="AH58" s="81">
        <v>42287</v>
      </c>
      <c r="AI58" s="83">
        <f t="shared" si="24"/>
        <v>850412</v>
      </c>
      <c r="AJ58" s="83">
        <v>578512</v>
      </c>
      <c r="AK58" s="83">
        <v>51400</v>
      </c>
      <c r="AL58" s="83">
        <v>30</v>
      </c>
      <c r="AM58" s="83">
        <f t="shared" si="25"/>
        <v>629912</v>
      </c>
      <c r="AN58" s="83">
        <v>53801616</v>
      </c>
      <c r="AO58" s="89"/>
      <c r="AP58" s="81">
        <v>42308</v>
      </c>
      <c r="AQ58" s="83">
        <f t="shared" si="26"/>
        <v>221539</v>
      </c>
      <c r="AR58" s="83">
        <v>220500</v>
      </c>
      <c r="AS58" s="83">
        <v>1039</v>
      </c>
      <c r="AT58" s="83">
        <v>31</v>
      </c>
      <c r="AU58" s="83">
        <f t="shared" si="27"/>
        <v>221539</v>
      </c>
      <c r="AV58" s="83">
        <v>441000</v>
      </c>
      <c r="AW58" s="89">
        <v>54</v>
      </c>
      <c r="AX58" s="90">
        <v>42302</v>
      </c>
      <c r="AY58" s="93"/>
      <c r="AZ58" s="93"/>
      <c r="BA58" s="93">
        <v>2940000</v>
      </c>
      <c r="BB58" s="93"/>
      <c r="BC58" s="94"/>
      <c r="BD58" s="94"/>
      <c r="BE58" s="89"/>
      <c r="BF58" s="90"/>
      <c r="BG58" s="93"/>
      <c r="BH58" s="93"/>
      <c r="BI58" s="93"/>
      <c r="BJ58" s="93"/>
      <c r="BK58" s="94"/>
      <c r="BL58" s="94"/>
      <c r="BM58" s="89"/>
      <c r="BN58" s="90"/>
      <c r="BO58" s="93"/>
      <c r="BP58" s="93"/>
      <c r="BQ58" s="93"/>
      <c r="BR58" s="93"/>
      <c r="BS58" s="94"/>
      <c r="BT58" s="94"/>
    </row>
    <row r="59" spans="1:72">
      <c r="A59" s="89">
        <v>55</v>
      </c>
      <c r="B59" s="90">
        <v>42333</v>
      </c>
      <c r="C59" s="93"/>
      <c r="D59" s="113">
        <f t="shared" si="17"/>
        <v>1332518</v>
      </c>
      <c r="E59" s="113">
        <f t="shared" si="18"/>
        <v>72146</v>
      </c>
      <c r="F59" s="113">
        <f t="shared" si="11"/>
        <v>124</v>
      </c>
      <c r="G59" s="114">
        <f t="shared" si="12"/>
        <v>1183494</v>
      </c>
      <c r="H59" s="114">
        <f t="shared" si="13"/>
        <v>62897194</v>
      </c>
      <c r="I59" s="89">
        <v>55</v>
      </c>
      <c r="J59" s="81">
        <v>42333</v>
      </c>
      <c r="K59" s="83">
        <f t="shared" si="28"/>
        <v>385187</v>
      </c>
      <c r="L59" s="83">
        <v>241566</v>
      </c>
      <c r="M59" s="83">
        <v>3538</v>
      </c>
      <c r="N59" s="83">
        <v>31</v>
      </c>
      <c r="O59" s="83">
        <f t="shared" si="19"/>
        <v>245104</v>
      </c>
      <c r="P59" s="83">
        <v>1207830</v>
      </c>
      <c r="Q59" s="89"/>
      <c r="R59" s="81">
        <v>42333</v>
      </c>
      <c r="S59" s="83">
        <f t="shared" si="20"/>
        <v>298721</v>
      </c>
      <c r="T59" s="83">
        <v>140083</v>
      </c>
      <c r="U59" s="83">
        <v>6781</v>
      </c>
      <c r="V59" s="83">
        <v>31</v>
      </c>
      <c r="W59" s="83">
        <f t="shared" si="21"/>
        <v>146864</v>
      </c>
      <c r="X59" s="83">
        <v>4062407</v>
      </c>
      <c r="Y59" s="254">
        <v>55</v>
      </c>
      <c r="Z59" s="81">
        <v>42333</v>
      </c>
      <c r="AA59" s="83">
        <f t="shared" si="22"/>
        <v>738978</v>
      </c>
      <c r="AB59" s="83">
        <v>151857</v>
      </c>
      <c r="AC59" s="83">
        <v>8609</v>
      </c>
      <c r="AD59" s="83">
        <v>31</v>
      </c>
      <c r="AE59" s="83">
        <f t="shared" si="23"/>
        <v>160466</v>
      </c>
      <c r="AF59" s="83">
        <v>4403853</v>
      </c>
      <c r="AG59" s="89"/>
      <c r="AH59" s="81">
        <v>42318</v>
      </c>
      <c r="AI59" s="83">
        <f t="shared" si="24"/>
        <v>851560</v>
      </c>
      <c r="AJ59" s="83">
        <v>578512</v>
      </c>
      <c r="AK59" s="83">
        <v>52548</v>
      </c>
      <c r="AL59" s="83">
        <v>31</v>
      </c>
      <c r="AM59" s="83">
        <f t="shared" si="25"/>
        <v>631060</v>
      </c>
      <c r="AN59" s="83">
        <v>53223104</v>
      </c>
      <c r="AO59" s="89"/>
      <c r="AP59" s="81">
        <v>42338</v>
      </c>
      <c r="AQ59" s="83">
        <f t="shared" si="26"/>
        <v>221170</v>
      </c>
      <c r="AR59" s="83">
        <v>220500</v>
      </c>
      <c r="AS59" s="83">
        <v>670</v>
      </c>
      <c r="AT59" s="83">
        <v>30</v>
      </c>
      <c r="AU59" s="83">
        <f t="shared" si="27"/>
        <v>221170</v>
      </c>
      <c r="AV59" s="83">
        <v>220500</v>
      </c>
      <c r="AW59" s="89">
        <v>55</v>
      </c>
      <c r="AX59" s="90">
        <v>42333</v>
      </c>
      <c r="AY59" s="93"/>
      <c r="AZ59" s="93"/>
      <c r="BA59" s="93"/>
      <c r="BB59" s="93"/>
      <c r="BC59" s="94"/>
      <c r="BD59" s="94"/>
      <c r="BE59" s="89"/>
      <c r="BF59" s="90"/>
      <c r="BG59" s="93"/>
      <c r="BH59" s="93"/>
      <c r="BI59" s="93"/>
      <c r="BJ59" s="93"/>
      <c r="BK59" s="94"/>
      <c r="BL59" s="94"/>
      <c r="BM59" s="89"/>
      <c r="BN59" s="90"/>
      <c r="BO59" s="93"/>
      <c r="BP59" s="93"/>
      <c r="BQ59" s="93"/>
      <c r="BR59" s="93"/>
      <c r="BS59" s="94"/>
      <c r="BT59" s="94"/>
    </row>
    <row r="60" spans="1:72">
      <c r="A60" s="89">
        <v>56</v>
      </c>
      <c r="B60" s="90">
        <v>42363</v>
      </c>
      <c r="C60" s="93"/>
      <c r="D60" s="113">
        <f t="shared" si="17"/>
        <v>1332518</v>
      </c>
      <c r="E60" s="113">
        <f t="shared" si="18"/>
        <v>67903</v>
      </c>
      <c r="F60" s="113">
        <f t="shared" si="11"/>
        <v>120</v>
      </c>
      <c r="G60" s="114">
        <f t="shared" si="12"/>
        <v>1179575</v>
      </c>
      <c r="H60" s="114">
        <f t="shared" si="13"/>
        <v>61785176</v>
      </c>
      <c r="I60" s="89">
        <v>56</v>
      </c>
      <c r="J60" s="81">
        <v>42363</v>
      </c>
      <c r="K60" s="83">
        <f t="shared" si="28"/>
        <v>384503</v>
      </c>
      <c r="L60" s="83">
        <v>241566</v>
      </c>
      <c r="M60" s="83">
        <v>2854</v>
      </c>
      <c r="N60" s="83">
        <v>30</v>
      </c>
      <c r="O60" s="83">
        <f t="shared" si="19"/>
        <v>244420</v>
      </c>
      <c r="P60" s="83">
        <v>966264</v>
      </c>
      <c r="Q60" s="89"/>
      <c r="R60" s="81">
        <v>42363</v>
      </c>
      <c r="S60" s="83">
        <f t="shared" si="20"/>
        <v>298284</v>
      </c>
      <c r="T60" s="83">
        <v>140083</v>
      </c>
      <c r="U60" s="83">
        <v>6344</v>
      </c>
      <c r="V60" s="83">
        <v>30</v>
      </c>
      <c r="W60" s="83">
        <f t="shared" si="21"/>
        <v>146427</v>
      </c>
      <c r="X60" s="83">
        <v>3922324</v>
      </c>
      <c r="Y60" s="254">
        <v>56</v>
      </c>
      <c r="Z60" s="81">
        <v>42363</v>
      </c>
      <c r="AA60" s="83">
        <f t="shared" si="22"/>
        <v>738422</v>
      </c>
      <c r="AB60" s="83">
        <v>151857</v>
      </c>
      <c r="AC60" s="83">
        <v>8053</v>
      </c>
      <c r="AD60" s="83">
        <v>30</v>
      </c>
      <c r="AE60" s="83">
        <f t="shared" si="23"/>
        <v>159910</v>
      </c>
      <c r="AF60" s="83">
        <v>4251996</v>
      </c>
      <c r="AG60" s="89"/>
      <c r="AH60" s="81">
        <v>42348</v>
      </c>
      <c r="AI60" s="83">
        <f t="shared" si="24"/>
        <v>849318</v>
      </c>
      <c r="AJ60" s="83">
        <v>578512</v>
      </c>
      <c r="AK60" s="83">
        <v>50306</v>
      </c>
      <c r="AL60" s="83">
        <v>30</v>
      </c>
      <c r="AM60" s="83">
        <f t="shared" si="25"/>
        <v>628818</v>
      </c>
      <c r="AN60" s="83">
        <v>52644592</v>
      </c>
      <c r="AO60" s="89"/>
      <c r="AP60" s="81">
        <v>42369</v>
      </c>
      <c r="AQ60" s="83">
        <f t="shared" si="26"/>
        <v>220846</v>
      </c>
      <c r="AR60" s="83">
        <v>220500</v>
      </c>
      <c r="AS60" s="83">
        <v>346</v>
      </c>
      <c r="AT60" s="83">
        <v>31</v>
      </c>
      <c r="AU60" s="83">
        <f t="shared" si="27"/>
        <v>220846</v>
      </c>
      <c r="AV60" s="83">
        <v>0</v>
      </c>
      <c r="AW60" s="89">
        <v>56</v>
      </c>
      <c r="AX60" s="90">
        <v>42363</v>
      </c>
      <c r="AY60" s="93"/>
      <c r="AZ60" s="93"/>
      <c r="BA60" s="93"/>
      <c r="BB60" s="93"/>
      <c r="BC60" s="94"/>
      <c r="BD60" s="94"/>
      <c r="BE60" s="89"/>
      <c r="BF60" s="90"/>
      <c r="BG60" s="93"/>
      <c r="BH60" s="93"/>
      <c r="BI60" s="93"/>
      <c r="BJ60" s="93"/>
      <c r="BK60" s="94"/>
      <c r="BL60" s="94"/>
      <c r="BM60" s="89"/>
      <c r="BN60" s="90"/>
      <c r="BO60" s="93"/>
      <c r="BP60" s="93"/>
      <c r="BQ60" s="93"/>
      <c r="BR60" s="93"/>
      <c r="BS60" s="94"/>
      <c r="BT60" s="94"/>
    </row>
    <row r="61" spans="1:72">
      <c r="A61" s="89">
        <v>57</v>
      </c>
      <c r="B61" s="90">
        <v>42394</v>
      </c>
      <c r="C61" s="93"/>
      <c r="D61" s="113">
        <f t="shared" si="17"/>
        <v>1112018</v>
      </c>
      <c r="E61" s="113">
        <f t="shared" si="18"/>
        <v>68140</v>
      </c>
      <c r="F61" s="113">
        <f t="shared" si="11"/>
        <v>124</v>
      </c>
      <c r="G61" s="114">
        <f t="shared" si="12"/>
        <v>1180158</v>
      </c>
      <c r="H61" s="114">
        <f t="shared" si="13"/>
        <v>60673158</v>
      </c>
      <c r="I61" s="89">
        <v>57</v>
      </c>
      <c r="J61" s="81">
        <v>42394</v>
      </c>
      <c r="K61" s="83">
        <f t="shared" si="28"/>
        <v>384008</v>
      </c>
      <c r="L61" s="83">
        <v>241566</v>
      </c>
      <c r="M61" s="83">
        <v>2359</v>
      </c>
      <c r="N61" s="83">
        <v>31</v>
      </c>
      <c r="O61" s="83">
        <f t="shared" si="19"/>
        <v>243925</v>
      </c>
      <c r="P61" s="83">
        <v>724698</v>
      </c>
      <c r="Q61" s="89"/>
      <c r="R61" s="81">
        <v>42394</v>
      </c>
      <c r="S61" s="83">
        <f t="shared" si="20"/>
        <v>298269</v>
      </c>
      <c r="T61" s="83">
        <v>140083</v>
      </c>
      <c r="U61" s="83">
        <v>6329</v>
      </c>
      <c r="V61" s="83">
        <v>31</v>
      </c>
      <c r="W61" s="83">
        <f t="shared" si="21"/>
        <v>146412</v>
      </c>
      <c r="X61" s="83">
        <v>3782241</v>
      </c>
      <c r="Y61" s="254">
        <v>57</v>
      </c>
      <c r="Z61" s="81">
        <v>42394</v>
      </c>
      <c r="AA61" s="83">
        <f t="shared" si="22"/>
        <v>738403</v>
      </c>
      <c r="AB61" s="83">
        <v>151857</v>
      </c>
      <c r="AC61" s="83">
        <v>8034</v>
      </c>
      <c r="AD61" s="83">
        <v>31</v>
      </c>
      <c r="AE61" s="83">
        <f t="shared" si="23"/>
        <v>159891</v>
      </c>
      <c r="AF61" s="83">
        <v>4100139</v>
      </c>
      <c r="AG61" s="89"/>
      <c r="AH61" s="81">
        <v>42379</v>
      </c>
      <c r="AI61" s="83">
        <f t="shared" si="24"/>
        <v>629930</v>
      </c>
      <c r="AJ61" s="83">
        <v>578512</v>
      </c>
      <c r="AK61" s="83">
        <v>51418</v>
      </c>
      <c r="AL61" s="83">
        <v>31</v>
      </c>
      <c r="AM61" s="83">
        <f t="shared" si="25"/>
        <v>629930</v>
      </c>
      <c r="AN61" s="83">
        <v>52066080</v>
      </c>
      <c r="AO61" s="89"/>
      <c r="AP61" s="90"/>
      <c r="AQ61" s="93"/>
      <c r="AR61" s="93"/>
      <c r="AS61" s="93"/>
      <c r="AT61" s="93"/>
      <c r="AU61" s="94"/>
      <c r="AV61" s="94"/>
      <c r="AW61" s="89">
        <v>57</v>
      </c>
      <c r="AX61" s="90">
        <v>42394</v>
      </c>
      <c r="AY61" s="93"/>
      <c r="AZ61" s="93"/>
      <c r="BA61" s="93"/>
      <c r="BB61" s="93"/>
      <c r="BC61" s="94"/>
      <c r="BD61" s="94"/>
      <c r="BE61" s="89"/>
      <c r="BF61" s="90"/>
      <c r="BG61" s="93"/>
      <c r="BH61" s="93"/>
      <c r="BI61" s="93"/>
      <c r="BJ61" s="93"/>
      <c r="BK61" s="94"/>
      <c r="BL61" s="94"/>
      <c r="BM61" s="89"/>
      <c r="BN61" s="90"/>
      <c r="BO61" s="93"/>
      <c r="BP61" s="93"/>
      <c r="BQ61" s="93"/>
      <c r="BR61" s="93"/>
      <c r="BS61" s="94"/>
      <c r="BT61" s="94"/>
    </row>
    <row r="62" spans="1:72">
      <c r="A62" s="89">
        <v>58</v>
      </c>
      <c r="B62" s="90">
        <v>42425</v>
      </c>
      <c r="C62" s="93"/>
      <c r="D62" s="113">
        <f t="shared" si="17"/>
        <v>1112018</v>
      </c>
      <c r="E62" s="113">
        <f t="shared" si="18"/>
        <v>66473</v>
      </c>
      <c r="F62" s="113">
        <f t="shared" si="11"/>
        <v>124</v>
      </c>
      <c r="G62" s="114">
        <f t="shared" si="12"/>
        <v>1178491</v>
      </c>
      <c r="H62" s="114">
        <f t="shared" si="13"/>
        <v>59561140</v>
      </c>
      <c r="I62" s="89">
        <v>58</v>
      </c>
      <c r="J62" s="81">
        <v>42425</v>
      </c>
      <c r="K62" s="83">
        <f t="shared" si="28"/>
        <v>383418</v>
      </c>
      <c r="L62" s="83">
        <v>241566</v>
      </c>
      <c r="M62" s="83">
        <v>1769</v>
      </c>
      <c r="N62" s="83">
        <v>31</v>
      </c>
      <c r="O62" s="83">
        <f t="shared" si="19"/>
        <v>243335</v>
      </c>
      <c r="P62" s="83">
        <v>483132</v>
      </c>
      <c r="Q62" s="89"/>
      <c r="R62" s="81">
        <v>42425</v>
      </c>
      <c r="S62" s="83">
        <f t="shared" si="20"/>
        <v>298043</v>
      </c>
      <c r="T62" s="83">
        <v>140083</v>
      </c>
      <c r="U62" s="83">
        <v>6103</v>
      </c>
      <c r="V62" s="83">
        <v>31</v>
      </c>
      <c r="W62" s="83">
        <f t="shared" si="21"/>
        <v>146186</v>
      </c>
      <c r="X62" s="83">
        <v>3642158</v>
      </c>
      <c r="Y62" s="254">
        <v>58</v>
      </c>
      <c r="Z62" s="81">
        <v>42425</v>
      </c>
      <c r="AA62" s="83">
        <f t="shared" si="22"/>
        <v>738117</v>
      </c>
      <c r="AB62" s="83">
        <v>151857</v>
      </c>
      <c r="AC62" s="83">
        <v>7748</v>
      </c>
      <c r="AD62" s="83">
        <v>31</v>
      </c>
      <c r="AE62" s="83">
        <f t="shared" si="23"/>
        <v>159605</v>
      </c>
      <c r="AF62" s="83">
        <v>3948282</v>
      </c>
      <c r="AG62" s="89"/>
      <c r="AH62" s="81">
        <v>42410</v>
      </c>
      <c r="AI62" s="83">
        <f t="shared" si="24"/>
        <v>629365</v>
      </c>
      <c r="AJ62" s="83">
        <v>578512</v>
      </c>
      <c r="AK62" s="83">
        <v>50853</v>
      </c>
      <c r="AL62" s="83">
        <v>31</v>
      </c>
      <c r="AM62" s="83">
        <f t="shared" si="25"/>
        <v>629365</v>
      </c>
      <c r="AN62" s="83">
        <v>51487568</v>
      </c>
      <c r="AO62" s="89"/>
      <c r="AP62" s="90"/>
      <c r="AQ62" s="93"/>
      <c r="AR62" s="93"/>
      <c r="AS62" s="93"/>
      <c r="AT62" s="93"/>
      <c r="AU62" s="94"/>
      <c r="AV62" s="94"/>
      <c r="AW62" s="89">
        <v>58</v>
      </c>
      <c r="AX62" s="90">
        <v>42425</v>
      </c>
      <c r="AY62" s="93"/>
      <c r="AZ62" s="93"/>
      <c r="BA62" s="93"/>
      <c r="BB62" s="93"/>
      <c r="BC62" s="94"/>
      <c r="BD62" s="94"/>
      <c r="BE62" s="89"/>
      <c r="BF62" s="90"/>
      <c r="BG62" s="93"/>
      <c r="BH62" s="93"/>
      <c r="BI62" s="93"/>
      <c r="BJ62" s="93"/>
      <c r="BK62" s="94"/>
      <c r="BL62" s="94"/>
      <c r="BM62" s="89"/>
      <c r="BN62" s="90"/>
      <c r="BO62" s="93"/>
      <c r="BP62" s="93"/>
      <c r="BQ62" s="93"/>
      <c r="BR62" s="93"/>
      <c r="BS62" s="94"/>
      <c r="BT62" s="94"/>
    </row>
    <row r="63" spans="1:72">
      <c r="A63" s="89">
        <v>59</v>
      </c>
      <c r="B63" s="90">
        <v>42454</v>
      </c>
      <c r="C63" s="93"/>
      <c r="D63" s="113">
        <f t="shared" si="17"/>
        <v>1112018</v>
      </c>
      <c r="E63" s="113">
        <f t="shared" si="18"/>
        <v>60624</v>
      </c>
      <c r="F63" s="113">
        <f t="shared" si="11"/>
        <v>116</v>
      </c>
      <c r="G63" s="114">
        <f t="shared" si="12"/>
        <v>1172642</v>
      </c>
      <c r="H63" s="114">
        <f t="shared" si="13"/>
        <v>58449122</v>
      </c>
      <c r="I63" s="89">
        <v>59</v>
      </c>
      <c r="J63" s="81">
        <v>42454</v>
      </c>
      <c r="K63" s="83">
        <f t="shared" si="28"/>
        <v>382752</v>
      </c>
      <c r="L63" s="83">
        <v>241566</v>
      </c>
      <c r="M63" s="83">
        <v>1103</v>
      </c>
      <c r="N63" s="83">
        <v>29</v>
      </c>
      <c r="O63" s="83">
        <f t="shared" si="19"/>
        <v>242669</v>
      </c>
      <c r="P63" s="83">
        <v>241566</v>
      </c>
      <c r="Q63" s="89"/>
      <c r="R63" s="81">
        <v>42454</v>
      </c>
      <c r="S63" s="83">
        <f t="shared" si="20"/>
        <v>297438</v>
      </c>
      <c r="T63" s="83">
        <v>140083</v>
      </c>
      <c r="U63" s="83">
        <v>5498</v>
      </c>
      <c r="V63" s="83">
        <v>29</v>
      </c>
      <c r="W63" s="83">
        <f t="shared" si="21"/>
        <v>145581</v>
      </c>
      <c r="X63" s="83">
        <v>3502075</v>
      </c>
      <c r="Y63" s="254">
        <v>59</v>
      </c>
      <c r="Z63" s="81">
        <v>42454</v>
      </c>
      <c r="AA63" s="83">
        <f t="shared" si="22"/>
        <v>737348</v>
      </c>
      <c r="AB63" s="83">
        <v>151857</v>
      </c>
      <c r="AC63" s="83">
        <v>6979</v>
      </c>
      <c r="AD63" s="83">
        <v>29</v>
      </c>
      <c r="AE63" s="83">
        <f t="shared" si="23"/>
        <v>158836</v>
      </c>
      <c r="AF63" s="83">
        <v>3796425</v>
      </c>
      <c r="AG63" s="89"/>
      <c r="AH63" s="81">
        <v>42439</v>
      </c>
      <c r="AI63" s="83">
        <f t="shared" si="24"/>
        <v>625556</v>
      </c>
      <c r="AJ63" s="83">
        <v>578512</v>
      </c>
      <c r="AK63" s="83">
        <v>47044</v>
      </c>
      <c r="AL63" s="83">
        <v>29</v>
      </c>
      <c r="AM63" s="83">
        <f t="shared" si="25"/>
        <v>625556</v>
      </c>
      <c r="AN63" s="83">
        <v>50909056</v>
      </c>
      <c r="AO63" s="89"/>
      <c r="AP63" s="90"/>
      <c r="AQ63" s="93"/>
      <c r="AR63" s="93"/>
      <c r="AS63" s="93"/>
      <c r="AT63" s="93"/>
      <c r="AU63" s="94"/>
      <c r="AV63" s="94"/>
      <c r="AW63" s="89">
        <v>59</v>
      </c>
      <c r="AX63" s="90">
        <v>42454</v>
      </c>
      <c r="AY63" s="93"/>
      <c r="AZ63" s="93"/>
      <c r="BA63" s="93"/>
      <c r="BB63" s="93"/>
      <c r="BC63" s="94"/>
      <c r="BD63" s="94"/>
      <c r="BE63" s="89"/>
      <c r="BF63" s="90"/>
      <c r="BG63" s="93"/>
      <c r="BH63" s="93"/>
      <c r="BI63" s="93"/>
      <c r="BJ63" s="93"/>
      <c r="BK63" s="94"/>
      <c r="BL63" s="94"/>
      <c r="BM63" s="89"/>
      <c r="BN63" s="90"/>
      <c r="BO63" s="93"/>
      <c r="BP63" s="93"/>
      <c r="BQ63" s="93"/>
      <c r="BR63" s="93"/>
      <c r="BS63" s="94"/>
      <c r="BT63" s="94"/>
    </row>
    <row r="64" spans="1:72">
      <c r="A64" s="89">
        <v>60</v>
      </c>
      <c r="B64" s="90">
        <v>42485</v>
      </c>
      <c r="C64" s="93"/>
      <c r="D64" s="113">
        <f t="shared" si="17"/>
        <v>1112018</v>
      </c>
      <c r="E64" s="113">
        <f t="shared" si="18"/>
        <v>3003137</v>
      </c>
      <c r="F64" s="113">
        <f t="shared" si="11"/>
        <v>124</v>
      </c>
      <c r="G64" s="114">
        <f t="shared" si="12"/>
        <v>1175155</v>
      </c>
      <c r="H64" s="114">
        <f t="shared" si="13"/>
        <v>57337104</v>
      </c>
      <c r="I64" s="89">
        <v>60</v>
      </c>
      <c r="J64" s="81">
        <v>42485</v>
      </c>
      <c r="K64" s="83">
        <f t="shared" si="28"/>
        <v>382238</v>
      </c>
      <c r="L64" s="83">
        <v>241566</v>
      </c>
      <c r="M64" s="83">
        <v>589</v>
      </c>
      <c r="N64" s="83">
        <v>31</v>
      </c>
      <c r="O64" s="83">
        <f t="shared" si="19"/>
        <v>242155</v>
      </c>
      <c r="P64" s="83">
        <v>0</v>
      </c>
      <c r="Q64" s="89"/>
      <c r="R64" s="81">
        <v>42485</v>
      </c>
      <c r="S64" s="83">
        <f t="shared" si="20"/>
        <v>297591</v>
      </c>
      <c r="T64" s="83">
        <v>140083</v>
      </c>
      <c r="U64" s="83">
        <v>5651</v>
      </c>
      <c r="V64" s="83">
        <v>31</v>
      </c>
      <c r="W64" s="83">
        <f t="shared" si="21"/>
        <v>145734</v>
      </c>
      <c r="X64" s="83">
        <v>3361992</v>
      </c>
      <c r="Y64" s="254">
        <v>60</v>
      </c>
      <c r="Z64" s="81">
        <v>42485</v>
      </c>
      <c r="AA64" s="83">
        <f t="shared" si="22"/>
        <v>737543</v>
      </c>
      <c r="AB64" s="83">
        <v>151857</v>
      </c>
      <c r="AC64" s="83">
        <v>7174</v>
      </c>
      <c r="AD64" s="83">
        <v>31</v>
      </c>
      <c r="AE64" s="83">
        <f t="shared" si="23"/>
        <v>159031</v>
      </c>
      <c r="AF64" s="83">
        <v>3644568</v>
      </c>
      <c r="AG64" s="89"/>
      <c r="AH64" s="81">
        <v>42470</v>
      </c>
      <c r="AI64" s="83">
        <f t="shared" si="24"/>
        <v>628235</v>
      </c>
      <c r="AJ64" s="83">
        <v>578512</v>
      </c>
      <c r="AK64" s="83">
        <v>49723</v>
      </c>
      <c r="AL64" s="83">
        <v>31</v>
      </c>
      <c r="AM64" s="83">
        <f t="shared" si="25"/>
        <v>628235</v>
      </c>
      <c r="AN64" s="83">
        <v>50330544</v>
      </c>
      <c r="AO64" s="89"/>
      <c r="AP64" s="90"/>
      <c r="AQ64" s="93"/>
      <c r="AR64" s="93"/>
      <c r="AS64" s="93"/>
      <c r="AT64" s="93"/>
      <c r="AU64" s="94"/>
      <c r="AV64" s="94"/>
      <c r="AW64" s="89">
        <v>60</v>
      </c>
      <c r="AX64" s="90">
        <v>42485</v>
      </c>
      <c r="AY64" s="93"/>
      <c r="AZ64" s="93"/>
      <c r="BA64" s="93">
        <v>2940000</v>
      </c>
      <c r="BB64" s="93"/>
      <c r="BC64" s="94"/>
      <c r="BD64" s="94"/>
      <c r="BE64" s="89"/>
      <c r="BF64" s="90"/>
      <c r="BG64" s="93"/>
      <c r="BH64" s="93"/>
      <c r="BI64" s="93"/>
      <c r="BJ64" s="93"/>
      <c r="BK64" s="94"/>
      <c r="BL64" s="94"/>
      <c r="BM64" s="89"/>
      <c r="BN64" s="90"/>
      <c r="BO64" s="93"/>
      <c r="BP64" s="93"/>
      <c r="BQ64" s="93"/>
      <c r="BR64" s="93"/>
      <c r="BS64" s="94"/>
      <c r="BT64" s="94"/>
    </row>
    <row r="65" spans="1:72">
      <c r="A65" s="89">
        <v>61</v>
      </c>
      <c r="B65" s="90">
        <v>42515</v>
      </c>
      <c r="C65" s="93"/>
      <c r="D65" s="113">
        <f t="shared" si="17"/>
        <v>98870452</v>
      </c>
      <c r="E65" s="113">
        <f t="shared" si="18"/>
        <v>59486</v>
      </c>
      <c r="F65" s="113">
        <f t="shared" si="11"/>
        <v>90</v>
      </c>
      <c r="G65" s="114">
        <f t="shared" si="12"/>
        <v>929938</v>
      </c>
      <c r="H65" s="114">
        <f t="shared" si="13"/>
        <v>56466652</v>
      </c>
      <c r="I65" s="95" t="s">
        <v>288</v>
      </c>
      <c r="J65" s="96"/>
      <c r="K65" s="93">
        <f>SUM(K5:K64)</f>
        <v>23543633</v>
      </c>
      <c r="L65" s="93"/>
      <c r="M65" s="93"/>
      <c r="N65" s="93"/>
      <c r="O65" s="94"/>
      <c r="P65" s="94"/>
      <c r="Q65" s="95"/>
      <c r="R65" s="81">
        <v>42515</v>
      </c>
      <c r="S65" s="83">
        <f t="shared" si="20"/>
        <v>297190</v>
      </c>
      <c r="T65" s="83">
        <v>140083</v>
      </c>
      <c r="U65" s="83">
        <v>5250</v>
      </c>
      <c r="V65" s="83">
        <v>30</v>
      </c>
      <c r="W65" s="83">
        <f t="shared" si="21"/>
        <v>145333</v>
      </c>
      <c r="X65" s="83">
        <v>3221909</v>
      </c>
      <c r="Y65" s="254">
        <v>61</v>
      </c>
      <c r="Z65" s="81">
        <v>42515</v>
      </c>
      <c r="AA65" s="83">
        <f t="shared" si="22"/>
        <v>737033</v>
      </c>
      <c r="AB65" s="83">
        <v>151857</v>
      </c>
      <c r="AC65" s="83">
        <v>6664</v>
      </c>
      <c r="AD65" s="83">
        <v>30</v>
      </c>
      <c r="AE65" s="83">
        <f t="shared" si="23"/>
        <v>158521</v>
      </c>
      <c r="AF65" s="83">
        <v>3492711</v>
      </c>
      <c r="AG65" s="95"/>
      <c r="AH65" s="81">
        <v>42500</v>
      </c>
      <c r="AI65" s="83">
        <f t="shared" si="24"/>
        <v>626084</v>
      </c>
      <c r="AJ65" s="83">
        <v>578512</v>
      </c>
      <c r="AK65" s="83">
        <v>47572</v>
      </c>
      <c r="AL65" s="83">
        <v>30</v>
      </c>
      <c r="AM65" s="83">
        <f t="shared" si="25"/>
        <v>626084</v>
      </c>
      <c r="AN65" s="83">
        <v>49752032</v>
      </c>
      <c r="AO65" s="95"/>
      <c r="AP65" s="96"/>
      <c r="AQ65" s="93"/>
      <c r="AR65" s="93"/>
      <c r="AS65" s="93"/>
      <c r="AT65" s="93"/>
      <c r="AU65" s="94"/>
      <c r="AV65" s="94"/>
      <c r="AW65" s="89">
        <v>61</v>
      </c>
      <c r="AX65" s="90">
        <v>42515</v>
      </c>
      <c r="AY65" s="93"/>
      <c r="AZ65" s="93">
        <v>98000000</v>
      </c>
      <c r="BA65" s="93"/>
      <c r="BB65" s="93"/>
      <c r="BC65" s="94"/>
      <c r="BD65" s="94"/>
      <c r="BE65" s="95"/>
      <c r="BF65" s="243"/>
      <c r="BG65" s="93"/>
      <c r="BH65" s="93"/>
      <c r="BI65" s="93"/>
      <c r="BJ65" s="93"/>
      <c r="BK65" s="94"/>
      <c r="BL65" s="94"/>
      <c r="BM65" s="95"/>
      <c r="BN65" s="243"/>
      <c r="BO65" s="93"/>
      <c r="BP65" s="93"/>
      <c r="BQ65" s="93"/>
      <c r="BR65" s="93"/>
      <c r="BS65" s="94"/>
      <c r="BT65" s="94"/>
    </row>
    <row r="66" spans="1:72">
      <c r="A66" s="89">
        <v>62</v>
      </c>
      <c r="B66" s="90">
        <v>42546</v>
      </c>
      <c r="C66" s="98"/>
      <c r="D66" s="113">
        <f t="shared" si="17"/>
        <v>870452</v>
      </c>
      <c r="E66" s="113">
        <f t="shared" si="18"/>
        <v>60392</v>
      </c>
      <c r="F66" s="115">
        <f t="shared" si="11"/>
        <v>93</v>
      </c>
      <c r="G66" s="116">
        <f t="shared" si="12"/>
        <v>930844</v>
      </c>
      <c r="H66" s="116">
        <f t="shared" si="13"/>
        <v>55596200</v>
      </c>
      <c r="I66" s="97"/>
      <c r="J66" s="98"/>
      <c r="K66" s="98"/>
      <c r="L66" s="98"/>
      <c r="M66" s="98"/>
      <c r="N66" s="98"/>
      <c r="O66" s="99"/>
      <c r="P66" s="99"/>
      <c r="Q66" s="97"/>
      <c r="R66" s="81">
        <v>42546</v>
      </c>
      <c r="S66" s="83">
        <f t="shared" si="20"/>
        <v>297139</v>
      </c>
      <c r="T66" s="83">
        <v>140083</v>
      </c>
      <c r="U66" s="83">
        <v>5199</v>
      </c>
      <c r="V66" s="83">
        <v>31</v>
      </c>
      <c r="W66" s="83">
        <f t="shared" si="21"/>
        <v>145282</v>
      </c>
      <c r="X66" s="83">
        <v>3081826</v>
      </c>
      <c r="Y66" s="254">
        <v>62</v>
      </c>
      <c r="Z66" s="81">
        <v>42546</v>
      </c>
      <c r="AA66" s="83">
        <f t="shared" si="22"/>
        <v>736969</v>
      </c>
      <c r="AB66" s="83">
        <v>151857</v>
      </c>
      <c r="AC66" s="83">
        <v>6600</v>
      </c>
      <c r="AD66" s="83">
        <v>31</v>
      </c>
      <c r="AE66" s="83">
        <f t="shared" si="23"/>
        <v>158457</v>
      </c>
      <c r="AF66" s="83">
        <v>3340854</v>
      </c>
      <c r="AG66" s="97"/>
      <c r="AH66" s="81">
        <v>42531</v>
      </c>
      <c r="AI66" s="83">
        <f t="shared" si="24"/>
        <v>627105</v>
      </c>
      <c r="AJ66" s="83">
        <v>578512</v>
      </c>
      <c r="AK66" s="83">
        <v>48593</v>
      </c>
      <c r="AL66" s="83">
        <v>31</v>
      </c>
      <c r="AM66" s="83">
        <f t="shared" si="25"/>
        <v>627105</v>
      </c>
      <c r="AN66" s="83">
        <v>49173520</v>
      </c>
      <c r="AO66" s="97"/>
      <c r="AP66" s="98"/>
      <c r="AQ66" s="98"/>
      <c r="AR66" s="98"/>
      <c r="AS66" s="98"/>
      <c r="AT66" s="98"/>
      <c r="AU66" s="99"/>
      <c r="AV66" s="99"/>
      <c r="AW66" s="89">
        <v>62</v>
      </c>
      <c r="AX66" s="90">
        <v>42546</v>
      </c>
      <c r="AY66" s="98"/>
      <c r="AZ66" s="98"/>
      <c r="BA66" s="93"/>
      <c r="BB66" s="98"/>
      <c r="BC66" s="99"/>
      <c r="BD66" s="99"/>
      <c r="BE66" s="97"/>
      <c r="BF66" s="98"/>
      <c r="BG66" s="98"/>
      <c r="BH66" s="98"/>
      <c r="BI66" s="98"/>
      <c r="BJ66" s="98"/>
      <c r="BK66" s="99"/>
      <c r="BL66" s="99"/>
      <c r="BM66" s="97"/>
      <c r="BN66" s="98"/>
      <c r="BO66" s="98"/>
      <c r="BP66" s="98"/>
      <c r="BQ66" s="98"/>
      <c r="BR66" s="98"/>
      <c r="BS66" s="99"/>
      <c r="BT66" s="99"/>
    </row>
    <row r="67" spans="1:72">
      <c r="A67" s="89">
        <v>63</v>
      </c>
      <c r="B67" s="90">
        <v>42576</v>
      </c>
      <c r="C67" s="98"/>
      <c r="D67" s="113">
        <f t="shared" si="17"/>
        <v>870452</v>
      </c>
      <c r="E67" s="113">
        <f t="shared" si="18"/>
        <v>57400</v>
      </c>
      <c r="F67" s="115">
        <f t="shared" si="11"/>
        <v>90</v>
      </c>
      <c r="G67" s="116">
        <f t="shared" si="12"/>
        <v>927852</v>
      </c>
      <c r="H67" s="116">
        <f t="shared" si="13"/>
        <v>54725748</v>
      </c>
      <c r="I67" s="97"/>
      <c r="J67" s="98"/>
      <c r="K67" s="98"/>
      <c r="L67" s="98"/>
      <c r="M67" s="98"/>
      <c r="N67" s="98"/>
      <c r="O67" s="99"/>
      <c r="P67" s="99"/>
      <c r="Q67" s="97"/>
      <c r="R67" s="81">
        <v>42576</v>
      </c>
      <c r="S67" s="83">
        <f t="shared" si="20"/>
        <v>296752</v>
      </c>
      <c r="T67" s="83">
        <v>140083</v>
      </c>
      <c r="U67" s="83">
        <v>4812</v>
      </c>
      <c r="V67" s="83">
        <v>30</v>
      </c>
      <c r="W67" s="83">
        <f t="shared" si="21"/>
        <v>144895</v>
      </c>
      <c r="X67" s="83">
        <v>2941743</v>
      </c>
      <c r="Y67" s="254">
        <v>63</v>
      </c>
      <c r="Z67" s="81">
        <v>42576</v>
      </c>
      <c r="AA67" s="83">
        <f t="shared" si="22"/>
        <v>736478</v>
      </c>
      <c r="AB67" s="83">
        <v>151857</v>
      </c>
      <c r="AC67" s="83">
        <v>6109</v>
      </c>
      <c r="AD67" s="83">
        <v>30</v>
      </c>
      <c r="AE67" s="83">
        <f t="shared" si="23"/>
        <v>157966</v>
      </c>
      <c r="AF67" s="83">
        <v>3188997</v>
      </c>
      <c r="AG67" s="97"/>
      <c r="AH67" s="81">
        <v>42561</v>
      </c>
      <c r="AI67" s="83">
        <f t="shared" si="24"/>
        <v>624991</v>
      </c>
      <c r="AJ67" s="83">
        <v>578512</v>
      </c>
      <c r="AK67" s="83">
        <v>46479</v>
      </c>
      <c r="AL67" s="83">
        <v>30</v>
      </c>
      <c r="AM67" s="83">
        <f t="shared" si="25"/>
        <v>624991</v>
      </c>
      <c r="AN67" s="83">
        <v>48595008</v>
      </c>
      <c r="AO67" s="97"/>
      <c r="AP67" s="98"/>
      <c r="AQ67" s="98"/>
      <c r="AR67" s="98"/>
      <c r="AS67" s="98"/>
      <c r="AT67" s="98"/>
      <c r="AU67" s="99"/>
      <c r="AV67" s="99"/>
      <c r="AW67" s="89">
        <v>63</v>
      </c>
      <c r="AX67" s="90">
        <v>42576</v>
      </c>
      <c r="AY67" s="98"/>
      <c r="AZ67" s="98"/>
      <c r="BA67" s="98"/>
      <c r="BB67" s="98"/>
      <c r="BC67" s="99"/>
      <c r="BD67" s="99"/>
      <c r="BE67" s="97"/>
      <c r="BF67" s="98"/>
      <c r="BG67" s="98"/>
      <c r="BH67" s="98"/>
      <c r="BI67" s="98"/>
      <c r="BJ67" s="98"/>
      <c r="BK67" s="99"/>
      <c r="BL67" s="99"/>
      <c r="BM67" s="97"/>
      <c r="BN67" s="98"/>
      <c r="BO67" s="98"/>
      <c r="BP67" s="98"/>
      <c r="BQ67" s="98"/>
      <c r="BR67" s="98"/>
      <c r="BS67" s="99"/>
      <c r="BT67" s="99"/>
    </row>
    <row r="68" spans="1:72">
      <c r="A68" s="89">
        <v>64</v>
      </c>
      <c r="B68" s="90">
        <v>42607</v>
      </c>
      <c r="C68" s="98"/>
      <c r="D68" s="113">
        <f t="shared" si="17"/>
        <v>870452</v>
      </c>
      <c r="E68" s="113">
        <f t="shared" si="18"/>
        <v>58236</v>
      </c>
      <c r="F68" s="115">
        <f t="shared" si="11"/>
        <v>93</v>
      </c>
      <c r="G68" s="116">
        <f t="shared" si="12"/>
        <v>928688</v>
      </c>
      <c r="H68" s="116">
        <f t="shared" si="13"/>
        <v>53855296</v>
      </c>
      <c r="I68" s="97"/>
      <c r="J68" s="98"/>
      <c r="K68" s="98"/>
      <c r="L68" s="98"/>
      <c r="M68" s="98"/>
      <c r="N68" s="98"/>
      <c r="O68" s="99"/>
      <c r="P68" s="99"/>
      <c r="Q68" s="97"/>
      <c r="R68" s="81">
        <v>42607</v>
      </c>
      <c r="S68" s="83">
        <f t="shared" si="20"/>
        <v>296687</v>
      </c>
      <c r="T68" s="83">
        <v>140083</v>
      </c>
      <c r="U68" s="83">
        <v>4747</v>
      </c>
      <c r="V68" s="83">
        <v>31</v>
      </c>
      <c r="W68" s="83">
        <f t="shared" si="21"/>
        <v>144830</v>
      </c>
      <c r="X68" s="83">
        <v>2801660</v>
      </c>
      <c r="Y68" s="254">
        <v>64</v>
      </c>
      <c r="Z68" s="81">
        <v>42607</v>
      </c>
      <c r="AA68" s="83">
        <f t="shared" si="22"/>
        <v>736395</v>
      </c>
      <c r="AB68" s="83">
        <v>151857</v>
      </c>
      <c r="AC68" s="83">
        <v>6026</v>
      </c>
      <c r="AD68" s="83">
        <v>31</v>
      </c>
      <c r="AE68" s="83">
        <f t="shared" si="23"/>
        <v>157883</v>
      </c>
      <c r="AF68" s="83">
        <v>3037140</v>
      </c>
      <c r="AG68" s="97"/>
      <c r="AH68" s="81">
        <v>42592</v>
      </c>
      <c r="AI68" s="83">
        <f t="shared" si="24"/>
        <v>625975</v>
      </c>
      <c r="AJ68" s="83">
        <v>578512</v>
      </c>
      <c r="AK68" s="83">
        <v>47463</v>
      </c>
      <c r="AL68" s="83">
        <v>31</v>
      </c>
      <c r="AM68" s="83">
        <f t="shared" si="25"/>
        <v>625975</v>
      </c>
      <c r="AN68" s="83">
        <v>48016496</v>
      </c>
      <c r="AO68" s="97"/>
      <c r="AP68" s="98"/>
      <c r="AQ68" s="98"/>
      <c r="AR68" s="98"/>
      <c r="AS68" s="98"/>
      <c r="AT68" s="98"/>
      <c r="AU68" s="99"/>
      <c r="AV68" s="99"/>
      <c r="AW68" s="89">
        <v>64</v>
      </c>
      <c r="AX68" s="90">
        <v>42607</v>
      </c>
      <c r="AY68" s="98"/>
      <c r="AZ68" s="98"/>
      <c r="BA68" s="98"/>
      <c r="BB68" s="98"/>
      <c r="BC68" s="99"/>
      <c r="BD68" s="99"/>
      <c r="BE68" s="97"/>
      <c r="BF68" s="98"/>
      <c r="BG68" s="98"/>
      <c r="BH68" s="98"/>
      <c r="BI68" s="98"/>
      <c r="BJ68" s="98"/>
      <c r="BK68" s="99"/>
      <c r="BL68" s="99"/>
      <c r="BM68" s="97"/>
      <c r="BN68" s="98"/>
      <c r="BO68" s="98"/>
      <c r="BP68" s="98"/>
      <c r="BQ68" s="98"/>
      <c r="BR68" s="98"/>
      <c r="BS68" s="99"/>
      <c r="BT68" s="99"/>
    </row>
    <row r="69" spans="1:72">
      <c r="A69" s="89">
        <v>65</v>
      </c>
      <c r="B69" s="90">
        <v>42638</v>
      </c>
      <c r="C69" s="98"/>
      <c r="D69" s="113">
        <f t="shared" si="17"/>
        <v>870452</v>
      </c>
      <c r="E69" s="113">
        <f t="shared" si="18"/>
        <v>57157</v>
      </c>
      <c r="F69" s="115">
        <f t="shared" si="11"/>
        <v>93</v>
      </c>
      <c r="G69" s="116">
        <f t="shared" si="12"/>
        <v>927609</v>
      </c>
      <c r="H69" s="116">
        <f t="shared" si="13"/>
        <v>52984844</v>
      </c>
      <c r="I69" s="97"/>
      <c r="J69" s="98"/>
      <c r="K69" s="98"/>
      <c r="L69" s="98"/>
      <c r="M69" s="98"/>
      <c r="N69" s="98"/>
      <c r="O69" s="99"/>
      <c r="P69" s="99"/>
      <c r="Q69" s="97"/>
      <c r="R69" s="81">
        <v>42638</v>
      </c>
      <c r="S69" s="83">
        <f t="shared" ref="S69:S88" si="29">W69+AB69</f>
        <v>296460</v>
      </c>
      <c r="T69" s="83">
        <v>140083</v>
      </c>
      <c r="U69" s="83">
        <v>4520</v>
      </c>
      <c r="V69" s="83">
        <v>31</v>
      </c>
      <c r="W69" s="83">
        <f t="shared" ref="W69:W88" si="30">T69+U69</f>
        <v>144603</v>
      </c>
      <c r="X69" s="83">
        <v>2661577</v>
      </c>
      <c r="Y69" s="254">
        <v>65</v>
      </c>
      <c r="Z69" s="81">
        <v>42638</v>
      </c>
      <c r="AA69" s="83">
        <f t="shared" ref="AA69:AA88" si="31">AE69+AJ69</f>
        <v>736108</v>
      </c>
      <c r="AB69" s="83">
        <v>151857</v>
      </c>
      <c r="AC69" s="83">
        <v>5739</v>
      </c>
      <c r="AD69" s="83">
        <v>31</v>
      </c>
      <c r="AE69" s="83">
        <f t="shared" ref="AE69:AE88" si="32">AB69+AC69</f>
        <v>157596</v>
      </c>
      <c r="AF69" s="83">
        <v>2885283</v>
      </c>
      <c r="AG69" s="97"/>
      <c r="AH69" s="81">
        <v>42623</v>
      </c>
      <c r="AI69" s="83">
        <f t="shared" ref="AI69:AI100" si="33">AM69+AR69</f>
        <v>625410</v>
      </c>
      <c r="AJ69" s="83">
        <v>578512</v>
      </c>
      <c r="AK69" s="83">
        <v>46898</v>
      </c>
      <c r="AL69" s="83">
        <v>31</v>
      </c>
      <c r="AM69" s="83">
        <f t="shared" ref="AM69:AM100" si="34">AJ69+AK69</f>
        <v>625410</v>
      </c>
      <c r="AN69" s="83">
        <v>47437984</v>
      </c>
      <c r="AO69" s="97"/>
      <c r="AP69" s="98"/>
      <c r="AQ69" s="98"/>
      <c r="AR69" s="98"/>
      <c r="AS69" s="98"/>
      <c r="AT69" s="98"/>
      <c r="AU69" s="99"/>
      <c r="AV69" s="99"/>
      <c r="AW69" s="89">
        <v>65</v>
      </c>
      <c r="AX69" s="90">
        <v>42638</v>
      </c>
      <c r="AY69" s="98"/>
      <c r="AZ69" s="98"/>
      <c r="BA69" s="98"/>
      <c r="BB69" s="98"/>
      <c r="BC69" s="99"/>
      <c r="BD69" s="99"/>
      <c r="BE69" s="97"/>
      <c r="BF69" s="98"/>
      <c r="BG69" s="98"/>
      <c r="BH69" s="98"/>
      <c r="BI69" s="98"/>
      <c r="BJ69" s="98"/>
      <c r="BK69" s="99"/>
      <c r="BL69" s="99"/>
      <c r="BM69" s="97"/>
      <c r="BN69" s="98"/>
      <c r="BO69" s="98"/>
      <c r="BP69" s="98"/>
      <c r="BQ69" s="98"/>
      <c r="BR69" s="98"/>
      <c r="BS69" s="99"/>
      <c r="BT69" s="99"/>
    </row>
    <row r="70" spans="1:72">
      <c r="A70" s="89">
        <v>66</v>
      </c>
      <c r="B70" s="90">
        <v>42668</v>
      </c>
      <c r="C70" s="98"/>
      <c r="D70" s="113">
        <f t="shared" si="17"/>
        <v>870452</v>
      </c>
      <c r="E70" s="113">
        <f t="shared" si="18"/>
        <v>54270</v>
      </c>
      <c r="F70" s="115">
        <f t="shared" ref="F70:F129" si="35">N70+V70+AD70+AL70</f>
        <v>90</v>
      </c>
      <c r="G70" s="116">
        <f t="shared" ref="G70:G129" si="36">O70+W70+AE70+AM70</f>
        <v>924722</v>
      </c>
      <c r="H70" s="116">
        <f t="shared" ref="H70:H129" si="37">P70+X70+AF70+AN70</f>
        <v>52114392</v>
      </c>
      <c r="I70" s="97"/>
      <c r="J70" s="98"/>
      <c r="K70" s="98"/>
      <c r="L70" s="98"/>
      <c r="M70" s="98"/>
      <c r="N70" s="98"/>
      <c r="O70" s="99"/>
      <c r="P70" s="99"/>
      <c r="Q70" s="97"/>
      <c r="R70" s="81">
        <v>42668</v>
      </c>
      <c r="S70" s="83">
        <f t="shared" si="29"/>
        <v>296096</v>
      </c>
      <c r="T70" s="83">
        <v>140083</v>
      </c>
      <c r="U70" s="83">
        <v>4156</v>
      </c>
      <c r="V70" s="83">
        <v>30</v>
      </c>
      <c r="W70" s="83">
        <f t="shared" si="30"/>
        <v>144239</v>
      </c>
      <c r="X70" s="83">
        <v>2521494</v>
      </c>
      <c r="Y70" s="254">
        <v>66</v>
      </c>
      <c r="Z70" s="81">
        <v>42668</v>
      </c>
      <c r="AA70" s="83">
        <f t="shared" si="31"/>
        <v>735645</v>
      </c>
      <c r="AB70" s="83">
        <v>151857</v>
      </c>
      <c r="AC70" s="83">
        <v>5276</v>
      </c>
      <c r="AD70" s="83">
        <v>30</v>
      </c>
      <c r="AE70" s="83">
        <f t="shared" si="32"/>
        <v>157133</v>
      </c>
      <c r="AF70" s="83">
        <v>2733426</v>
      </c>
      <c r="AG70" s="97"/>
      <c r="AH70" s="81">
        <v>42653</v>
      </c>
      <c r="AI70" s="83">
        <f t="shared" si="33"/>
        <v>623350</v>
      </c>
      <c r="AJ70" s="83">
        <v>578512</v>
      </c>
      <c r="AK70" s="83">
        <v>44838</v>
      </c>
      <c r="AL70" s="83">
        <v>30</v>
      </c>
      <c r="AM70" s="83">
        <f t="shared" si="34"/>
        <v>623350</v>
      </c>
      <c r="AN70" s="83">
        <v>46859472</v>
      </c>
      <c r="AO70" s="97"/>
      <c r="AP70" s="98"/>
      <c r="AQ70" s="98"/>
      <c r="AR70" s="98"/>
      <c r="AS70" s="98"/>
      <c r="AT70" s="98"/>
      <c r="AU70" s="99"/>
      <c r="AV70" s="99"/>
      <c r="AW70" s="89">
        <v>66</v>
      </c>
      <c r="AX70" s="90">
        <v>42668</v>
      </c>
      <c r="AY70" s="98"/>
      <c r="AZ70" s="98"/>
      <c r="BA70" s="98"/>
      <c r="BB70" s="98"/>
      <c r="BC70" s="99"/>
      <c r="BD70" s="99"/>
      <c r="BE70" s="97"/>
      <c r="BF70" s="98"/>
      <c r="BG70" s="98"/>
      <c r="BH70" s="98"/>
      <c r="BI70" s="98"/>
      <c r="BJ70" s="98"/>
      <c r="BK70" s="99"/>
      <c r="BL70" s="99"/>
      <c r="BM70" s="97"/>
      <c r="BN70" s="98"/>
      <c r="BO70" s="98"/>
      <c r="BP70" s="98"/>
      <c r="BQ70" s="98"/>
      <c r="BR70" s="98"/>
      <c r="BS70" s="99"/>
      <c r="BT70" s="99"/>
    </row>
    <row r="71" spans="1:72">
      <c r="A71" s="89">
        <v>67</v>
      </c>
      <c r="B71" s="90">
        <v>42699</v>
      </c>
      <c r="C71" s="98"/>
      <c r="D71" s="113">
        <f t="shared" si="17"/>
        <v>870452</v>
      </c>
      <c r="E71" s="113">
        <f t="shared" si="18"/>
        <v>55001</v>
      </c>
      <c r="F71" s="115">
        <f t="shared" si="35"/>
        <v>93</v>
      </c>
      <c r="G71" s="116">
        <f t="shared" si="36"/>
        <v>925453</v>
      </c>
      <c r="H71" s="116">
        <f t="shared" si="37"/>
        <v>51243940</v>
      </c>
      <c r="I71" s="97"/>
      <c r="J71" s="98"/>
      <c r="K71" s="98"/>
      <c r="L71" s="98"/>
      <c r="M71" s="98"/>
      <c r="N71" s="98"/>
      <c r="O71" s="99"/>
      <c r="P71" s="99"/>
      <c r="Q71" s="97"/>
      <c r="R71" s="81">
        <v>42699</v>
      </c>
      <c r="S71" s="83">
        <f t="shared" si="29"/>
        <v>296008</v>
      </c>
      <c r="T71" s="83">
        <v>140083</v>
      </c>
      <c r="U71" s="83">
        <v>4068</v>
      </c>
      <c r="V71" s="83">
        <v>31</v>
      </c>
      <c r="W71" s="83">
        <f t="shared" si="30"/>
        <v>144151</v>
      </c>
      <c r="X71" s="83">
        <v>2381411</v>
      </c>
      <c r="Y71" s="254">
        <v>67</v>
      </c>
      <c r="Z71" s="81">
        <v>42699</v>
      </c>
      <c r="AA71" s="83">
        <f t="shared" si="31"/>
        <v>735534</v>
      </c>
      <c r="AB71" s="83">
        <v>151857</v>
      </c>
      <c r="AC71" s="83">
        <v>5165</v>
      </c>
      <c r="AD71" s="83">
        <v>31</v>
      </c>
      <c r="AE71" s="83">
        <f t="shared" si="32"/>
        <v>157022</v>
      </c>
      <c r="AF71" s="83">
        <v>2581569</v>
      </c>
      <c r="AG71" s="97"/>
      <c r="AH71" s="81">
        <v>42684</v>
      </c>
      <c r="AI71" s="83">
        <f t="shared" si="33"/>
        <v>624280</v>
      </c>
      <c r="AJ71" s="83">
        <v>578512</v>
      </c>
      <c r="AK71" s="83">
        <v>45768</v>
      </c>
      <c r="AL71" s="83">
        <v>31</v>
      </c>
      <c r="AM71" s="83">
        <f t="shared" si="34"/>
        <v>624280</v>
      </c>
      <c r="AN71" s="83">
        <v>46280960</v>
      </c>
      <c r="AO71" s="97"/>
      <c r="AP71" s="98"/>
      <c r="AQ71" s="98"/>
      <c r="AR71" s="98"/>
      <c r="AS71" s="98"/>
      <c r="AT71" s="98"/>
      <c r="AU71" s="99"/>
      <c r="AV71" s="99"/>
      <c r="AW71" s="89">
        <v>67</v>
      </c>
      <c r="AX71" s="90">
        <v>42699</v>
      </c>
      <c r="AY71" s="98"/>
      <c r="AZ71" s="98"/>
      <c r="BA71" s="98"/>
      <c r="BB71" s="98"/>
      <c r="BC71" s="99"/>
      <c r="BD71" s="99"/>
      <c r="BE71" s="97"/>
      <c r="BF71" s="98"/>
      <c r="BG71" s="98"/>
      <c r="BH71" s="98"/>
      <c r="BI71" s="98"/>
      <c r="BJ71" s="98"/>
      <c r="BK71" s="99"/>
      <c r="BL71" s="99"/>
      <c r="BM71" s="97"/>
      <c r="BN71" s="98"/>
      <c r="BO71" s="98"/>
      <c r="BP71" s="98"/>
      <c r="BQ71" s="98"/>
      <c r="BR71" s="98"/>
      <c r="BS71" s="99"/>
      <c r="BT71" s="99"/>
    </row>
    <row r="72" spans="1:72">
      <c r="A72" s="89">
        <v>68</v>
      </c>
      <c r="B72" s="90">
        <v>42729</v>
      </c>
      <c r="C72" s="98"/>
      <c r="D72" s="113">
        <f t="shared" si="17"/>
        <v>870452</v>
      </c>
      <c r="E72" s="113">
        <f t="shared" si="18"/>
        <v>52182</v>
      </c>
      <c r="F72" s="115">
        <f t="shared" si="35"/>
        <v>90</v>
      </c>
      <c r="G72" s="116">
        <f t="shared" si="36"/>
        <v>922634</v>
      </c>
      <c r="H72" s="116">
        <f t="shared" si="37"/>
        <v>50373488</v>
      </c>
      <c r="I72" s="97"/>
      <c r="J72" s="98"/>
      <c r="K72" s="98"/>
      <c r="L72" s="98"/>
      <c r="M72" s="98"/>
      <c r="N72" s="98"/>
      <c r="O72" s="99"/>
      <c r="P72" s="99"/>
      <c r="Q72" s="97"/>
      <c r="R72" s="81">
        <v>42729</v>
      </c>
      <c r="S72" s="83">
        <f t="shared" si="29"/>
        <v>295658</v>
      </c>
      <c r="T72" s="83">
        <v>140083</v>
      </c>
      <c r="U72" s="83">
        <v>3718</v>
      </c>
      <c r="V72" s="83">
        <v>30</v>
      </c>
      <c r="W72" s="83">
        <f t="shared" si="30"/>
        <v>143801</v>
      </c>
      <c r="X72" s="83">
        <v>2241328</v>
      </c>
      <c r="Y72" s="254">
        <v>68</v>
      </c>
      <c r="Z72" s="81">
        <v>42729</v>
      </c>
      <c r="AA72" s="83">
        <f t="shared" si="31"/>
        <v>735089</v>
      </c>
      <c r="AB72" s="83">
        <v>151857</v>
      </c>
      <c r="AC72" s="83">
        <v>4720</v>
      </c>
      <c r="AD72" s="83">
        <v>30</v>
      </c>
      <c r="AE72" s="83">
        <f t="shared" si="32"/>
        <v>156577</v>
      </c>
      <c r="AF72" s="83">
        <v>2429712</v>
      </c>
      <c r="AG72" s="97"/>
      <c r="AH72" s="81">
        <v>42714</v>
      </c>
      <c r="AI72" s="83">
        <f t="shared" si="33"/>
        <v>622256</v>
      </c>
      <c r="AJ72" s="83">
        <v>578512</v>
      </c>
      <c r="AK72" s="83">
        <v>43744</v>
      </c>
      <c r="AL72" s="83">
        <v>30</v>
      </c>
      <c r="AM72" s="83">
        <f t="shared" si="34"/>
        <v>622256</v>
      </c>
      <c r="AN72" s="83">
        <v>45702448</v>
      </c>
      <c r="AO72" s="97"/>
      <c r="AP72" s="98"/>
      <c r="AQ72" s="98"/>
      <c r="AR72" s="98"/>
      <c r="AS72" s="98"/>
      <c r="AT72" s="98"/>
      <c r="AU72" s="99"/>
      <c r="AV72" s="99"/>
      <c r="AW72" s="89">
        <v>68</v>
      </c>
      <c r="AX72" s="90">
        <v>42729</v>
      </c>
      <c r="AY72" s="98"/>
      <c r="AZ72" s="98"/>
      <c r="BA72" s="98"/>
      <c r="BB72" s="98"/>
      <c r="BC72" s="99"/>
      <c r="BD72" s="99"/>
      <c r="BE72" s="97"/>
      <c r="BF72" s="98"/>
      <c r="BG72" s="98"/>
      <c r="BH72" s="98"/>
      <c r="BI72" s="98"/>
      <c r="BJ72" s="98"/>
      <c r="BK72" s="99"/>
      <c r="BL72" s="99"/>
      <c r="BM72" s="97"/>
      <c r="BN72" s="98"/>
      <c r="BO72" s="98"/>
      <c r="BP72" s="98"/>
      <c r="BQ72" s="98"/>
      <c r="BR72" s="98"/>
      <c r="BS72" s="99"/>
      <c r="BT72" s="99"/>
    </row>
    <row r="73" spans="1:72">
      <c r="A73" s="89">
        <v>69</v>
      </c>
      <c r="B73" s="90">
        <v>42760</v>
      </c>
      <c r="C73" s="98"/>
      <c r="D73" s="113">
        <f t="shared" si="17"/>
        <v>870452</v>
      </c>
      <c r="E73" s="113">
        <f t="shared" si="18"/>
        <v>52845</v>
      </c>
      <c r="F73" s="115">
        <f t="shared" si="35"/>
        <v>93</v>
      </c>
      <c r="G73" s="116">
        <f t="shared" si="36"/>
        <v>923297</v>
      </c>
      <c r="H73" s="116">
        <f t="shared" si="37"/>
        <v>49503036</v>
      </c>
      <c r="I73" s="97"/>
      <c r="J73" s="98"/>
      <c r="K73" s="98"/>
      <c r="L73" s="98"/>
      <c r="M73" s="98"/>
      <c r="N73" s="98"/>
      <c r="O73" s="99"/>
      <c r="P73" s="99"/>
      <c r="Q73" s="97"/>
      <c r="R73" s="81">
        <v>42760</v>
      </c>
      <c r="S73" s="83">
        <f t="shared" si="29"/>
        <v>295556</v>
      </c>
      <c r="T73" s="83">
        <v>140083</v>
      </c>
      <c r="U73" s="83">
        <v>3616</v>
      </c>
      <c r="V73" s="83">
        <v>31</v>
      </c>
      <c r="W73" s="83">
        <f t="shared" si="30"/>
        <v>143699</v>
      </c>
      <c r="X73" s="83">
        <v>2101245</v>
      </c>
      <c r="Y73" s="254">
        <v>69</v>
      </c>
      <c r="Z73" s="81">
        <v>42760</v>
      </c>
      <c r="AA73" s="83">
        <f t="shared" si="31"/>
        <v>734960</v>
      </c>
      <c r="AB73" s="83">
        <v>151857</v>
      </c>
      <c r="AC73" s="83">
        <v>4591</v>
      </c>
      <c r="AD73" s="83">
        <v>31</v>
      </c>
      <c r="AE73" s="83">
        <f t="shared" si="32"/>
        <v>156448</v>
      </c>
      <c r="AF73" s="83">
        <v>2277855</v>
      </c>
      <c r="AG73" s="97"/>
      <c r="AH73" s="81">
        <v>42745</v>
      </c>
      <c r="AI73" s="83">
        <f t="shared" si="33"/>
        <v>623150</v>
      </c>
      <c r="AJ73" s="83">
        <v>578512</v>
      </c>
      <c r="AK73" s="83">
        <v>44638</v>
      </c>
      <c r="AL73" s="83">
        <v>31</v>
      </c>
      <c r="AM73" s="83">
        <f t="shared" si="34"/>
        <v>623150</v>
      </c>
      <c r="AN73" s="83">
        <v>45123936</v>
      </c>
      <c r="AO73" s="97"/>
      <c r="AP73" s="98"/>
      <c r="AQ73" s="98"/>
      <c r="AR73" s="98"/>
      <c r="AS73" s="98"/>
      <c r="AT73" s="98"/>
      <c r="AU73" s="99"/>
      <c r="AV73" s="99"/>
      <c r="AW73" s="89">
        <v>69</v>
      </c>
      <c r="AX73" s="90">
        <v>42760</v>
      </c>
      <c r="AY73" s="98"/>
      <c r="AZ73" s="98"/>
      <c r="BA73" s="98"/>
      <c r="BB73" s="98"/>
      <c r="BC73" s="99"/>
      <c r="BD73" s="99"/>
      <c r="BE73" s="97"/>
      <c r="BF73" s="98"/>
      <c r="BG73" s="98"/>
      <c r="BH73" s="98"/>
      <c r="BI73" s="98"/>
      <c r="BJ73" s="98"/>
      <c r="BK73" s="99"/>
      <c r="BL73" s="99"/>
      <c r="BM73" s="97"/>
      <c r="BN73" s="98"/>
      <c r="BO73" s="98"/>
      <c r="BP73" s="98"/>
      <c r="BQ73" s="98"/>
      <c r="BR73" s="98"/>
      <c r="BS73" s="99"/>
      <c r="BT73" s="99"/>
    </row>
    <row r="74" spans="1:72">
      <c r="A74" s="89">
        <v>70</v>
      </c>
      <c r="B74" s="90">
        <v>42791</v>
      </c>
      <c r="C74" s="98"/>
      <c r="D74" s="113">
        <f t="shared" si="17"/>
        <v>870452</v>
      </c>
      <c r="E74" s="113">
        <f t="shared" si="18"/>
        <v>51767</v>
      </c>
      <c r="F74" s="115">
        <f t="shared" si="35"/>
        <v>93</v>
      </c>
      <c r="G74" s="116">
        <f t="shared" si="36"/>
        <v>922219</v>
      </c>
      <c r="H74" s="116">
        <f t="shared" si="37"/>
        <v>48632584</v>
      </c>
      <c r="I74" s="97"/>
      <c r="J74" s="98"/>
      <c r="K74" s="98"/>
      <c r="L74" s="98"/>
      <c r="M74" s="98"/>
      <c r="N74" s="98"/>
      <c r="O74" s="99"/>
      <c r="P74" s="99"/>
      <c r="Q74" s="97"/>
      <c r="R74" s="81">
        <v>42791</v>
      </c>
      <c r="S74" s="83">
        <f t="shared" si="29"/>
        <v>295330</v>
      </c>
      <c r="T74" s="83">
        <v>140083</v>
      </c>
      <c r="U74" s="83">
        <v>3390</v>
      </c>
      <c r="V74" s="83">
        <v>31</v>
      </c>
      <c r="W74" s="83">
        <f t="shared" si="30"/>
        <v>143473</v>
      </c>
      <c r="X74" s="83">
        <v>1961162</v>
      </c>
      <c r="Y74" s="254">
        <v>70</v>
      </c>
      <c r="Z74" s="81">
        <v>42791</v>
      </c>
      <c r="AA74" s="83">
        <f t="shared" si="31"/>
        <v>734673</v>
      </c>
      <c r="AB74" s="83">
        <v>151857</v>
      </c>
      <c r="AC74" s="83">
        <v>4304</v>
      </c>
      <c r="AD74" s="83">
        <v>31</v>
      </c>
      <c r="AE74" s="83">
        <f t="shared" si="32"/>
        <v>156161</v>
      </c>
      <c r="AF74" s="83">
        <v>2125998</v>
      </c>
      <c r="AG74" s="97"/>
      <c r="AH74" s="81">
        <v>42776</v>
      </c>
      <c r="AI74" s="83">
        <f t="shared" si="33"/>
        <v>622585</v>
      </c>
      <c r="AJ74" s="83">
        <v>578512</v>
      </c>
      <c r="AK74" s="83">
        <v>44073</v>
      </c>
      <c r="AL74" s="83">
        <v>31</v>
      </c>
      <c r="AM74" s="83">
        <f t="shared" si="34"/>
        <v>622585</v>
      </c>
      <c r="AN74" s="83">
        <v>44545424</v>
      </c>
      <c r="AO74" s="97"/>
      <c r="AP74" s="98"/>
      <c r="AQ74" s="98"/>
      <c r="AR74" s="98"/>
      <c r="AS74" s="98"/>
      <c r="AT74" s="98"/>
      <c r="AU74" s="99"/>
      <c r="AV74" s="99"/>
      <c r="AW74" s="89">
        <v>70</v>
      </c>
      <c r="AX74" s="90">
        <v>42791</v>
      </c>
      <c r="AY74" s="98"/>
      <c r="AZ74" s="98"/>
      <c r="BA74" s="98"/>
      <c r="BB74" s="98"/>
      <c r="BC74" s="99"/>
      <c r="BD74" s="99"/>
      <c r="BE74" s="97"/>
      <c r="BF74" s="98"/>
      <c r="BG74" s="98"/>
      <c r="BH74" s="98"/>
      <c r="BI74" s="98"/>
      <c r="BJ74" s="98"/>
      <c r="BK74" s="99"/>
      <c r="BL74" s="99"/>
      <c r="BM74" s="97"/>
      <c r="BN74" s="98"/>
      <c r="BO74" s="98"/>
      <c r="BP74" s="98"/>
      <c r="BQ74" s="98"/>
      <c r="BR74" s="98"/>
      <c r="BS74" s="99"/>
      <c r="BT74" s="99"/>
    </row>
    <row r="75" spans="1:72">
      <c r="A75" s="89">
        <v>71</v>
      </c>
      <c r="B75" s="90">
        <v>42819</v>
      </c>
      <c r="C75" s="98"/>
      <c r="D75" s="113">
        <f t="shared" si="17"/>
        <v>870452</v>
      </c>
      <c r="E75" s="113">
        <f t="shared" si="18"/>
        <v>45783</v>
      </c>
      <c r="F75" s="115">
        <f t="shared" si="35"/>
        <v>84</v>
      </c>
      <c r="G75" s="116">
        <f t="shared" si="36"/>
        <v>916235</v>
      </c>
      <c r="H75" s="116">
        <f t="shared" si="37"/>
        <v>47762132</v>
      </c>
      <c r="I75" s="97"/>
      <c r="J75" s="98"/>
      <c r="K75" s="98"/>
      <c r="L75" s="98"/>
      <c r="M75" s="98"/>
      <c r="N75" s="98"/>
      <c r="O75" s="99"/>
      <c r="P75" s="99"/>
      <c r="Q75" s="97"/>
      <c r="R75" s="81">
        <v>42819</v>
      </c>
      <c r="S75" s="83">
        <f t="shared" si="29"/>
        <v>294798</v>
      </c>
      <c r="T75" s="83">
        <v>140083</v>
      </c>
      <c r="U75" s="83">
        <v>2858</v>
      </c>
      <c r="V75" s="83">
        <v>28</v>
      </c>
      <c r="W75" s="83">
        <f t="shared" si="30"/>
        <v>142941</v>
      </c>
      <c r="X75" s="83">
        <v>1821079</v>
      </c>
      <c r="Y75" s="254">
        <v>71</v>
      </c>
      <c r="Z75" s="81">
        <v>42819</v>
      </c>
      <c r="AA75" s="83">
        <f t="shared" si="31"/>
        <v>733997</v>
      </c>
      <c r="AB75" s="83">
        <v>151857</v>
      </c>
      <c r="AC75" s="83">
        <v>3628</v>
      </c>
      <c r="AD75" s="83">
        <v>28</v>
      </c>
      <c r="AE75" s="83">
        <f t="shared" si="32"/>
        <v>155485</v>
      </c>
      <c r="AF75" s="83">
        <v>1974141</v>
      </c>
      <c r="AG75" s="97"/>
      <c r="AH75" s="81">
        <v>42804</v>
      </c>
      <c r="AI75" s="83">
        <f t="shared" si="33"/>
        <v>617809</v>
      </c>
      <c r="AJ75" s="83">
        <v>578512</v>
      </c>
      <c r="AK75" s="83">
        <v>39297</v>
      </c>
      <c r="AL75" s="83">
        <v>28</v>
      </c>
      <c r="AM75" s="83">
        <f t="shared" si="34"/>
        <v>617809</v>
      </c>
      <c r="AN75" s="83">
        <v>43966912</v>
      </c>
      <c r="AO75" s="97"/>
      <c r="AP75" s="98"/>
      <c r="AQ75" s="98"/>
      <c r="AR75" s="98"/>
      <c r="AS75" s="98"/>
      <c r="AT75" s="98"/>
      <c r="AU75" s="99"/>
      <c r="AV75" s="99"/>
      <c r="AW75" s="89">
        <v>71</v>
      </c>
      <c r="AX75" s="90">
        <v>42819</v>
      </c>
      <c r="AY75" s="98"/>
      <c r="AZ75" s="98"/>
      <c r="BA75" s="98"/>
      <c r="BB75" s="98"/>
      <c r="BC75" s="99"/>
      <c r="BD75" s="99"/>
      <c r="BE75" s="97"/>
      <c r="BF75" s="98"/>
      <c r="BG75" s="98"/>
      <c r="BH75" s="98"/>
      <c r="BI75" s="98"/>
      <c r="BJ75" s="98"/>
      <c r="BK75" s="99"/>
      <c r="BL75" s="99"/>
      <c r="BM75" s="97"/>
      <c r="BN75" s="98"/>
      <c r="BO75" s="98"/>
      <c r="BP75" s="98"/>
      <c r="BQ75" s="98"/>
      <c r="BR75" s="98"/>
      <c r="BS75" s="99"/>
      <c r="BT75" s="99"/>
    </row>
    <row r="76" spans="1:72">
      <c r="A76" s="89">
        <v>72</v>
      </c>
      <c r="B76" s="90">
        <v>42850</v>
      </c>
      <c r="C76" s="98"/>
      <c r="D76" s="113">
        <f t="shared" si="17"/>
        <v>870452</v>
      </c>
      <c r="E76" s="113">
        <f t="shared" si="18"/>
        <v>49611</v>
      </c>
      <c r="F76" s="115">
        <f t="shared" si="35"/>
        <v>93</v>
      </c>
      <c r="G76" s="116">
        <f t="shared" si="36"/>
        <v>920063</v>
      </c>
      <c r="H76" s="116">
        <f t="shared" si="37"/>
        <v>46891680</v>
      </c>
      <c r="I76" s="97"/>
      <c r="J76" s="98"/>
      <c r="K76" s="98"/>
      <c r="L76" s="98"/>
      <c r="M76" s="98"/>
      <c r="N76" s="98"/>
      <c r="O76" s="99"/>
      <c r="P76" s="99"/>
      <c r="Q76" s="97"/>
      <c r="R76" s="81">
        <v>42850</v>
      </c>
      <c r="S76" s="83">
        <f t="shared" si="29"/>
        <v>294878</v>
      </c>
      <c r="T76" s="83">
        <v>140083</v>
      </c>
      <c r="U76" s="83">
        <v>2938</v>
      </c>
      <c r="V76" s="83">
        <v>31</v>
      </c>
      <c r="W76" s="83">
        <f t="shared" si="30"/>
        <v>143021</v>
      </c>
      <c r="X76" s="83">
        <v>1680996</v>
      </c>
      <c r="Y76" s="254">
        <v>72</v>
      </c>
      <c r="Z76" s="81">
        <v>42850</v>
      </c>
      <c r="AA76" s="83">
        <f t="shared" si="31"/>
        <v>734099</v>
      </c>
      <c r="AB76" s="83">
        <v>151857</v>
      </c>
      <c r="AC76" s="83">
        <v>3730</v>
      </c>
      <c r="AD76" s="83">
        <v>31</v>
      </c>
      <c r="AE76" s="83">
        <f t="shared" si="32"/>
        <v>155587</v>
      </c>
      <c r="AF76" s="83">
        <v>1822284</v>
      </c>
      <c r="AG76" s="97"/>
      <c r="AH76" s="81">
        <v>42835</v>
      </c>
      <c r="AI76" s="83">
        <f t="shared" si="33"/>
        <v>621455</v>
      </c>
      <c r="AJ76" s="83">
        <v>578512</v>
      </c>
      <c r="AK76" s="83">
        <v>42943</v>
      </c>
      <c r="AL76" s="83">
        <v>31</v>
      </c>
      <c r="AM76" s="83">
        <f t="shared" si="34"/>
        <v>621455</v>
      </c>
      <c r="AN76" s="83">
        <v>43388400</v>
      </c>
      <c r="AO76" s="97"/>
      <c r="AP76" s="98"/>
      <c r="AQ76" s="98"/>
      <c r="AR76" s="98"/>
      <c r="AS76" s="98"/>
      <c r="AT76" s="98"/>
      <c r="AU76" s="99"/>
      <c r="AV76" s="99"/>
      <c r="AW76" s="89">
        <v>72</v>
      </c>
      <c r="AX76" s="90">
        <v>42850</v>
      </c>
      <c r="AY76" s="98"/>
      <c r="AZ76" s="98"/>
      <c r="BA76" s="98"/>
      <c r="BB76" s="98"/>
      <c r="BC76" s="99"/>
      <c r="BD76" s="99"/>
      <c r="BE76" s="97"/>
      <c r="BF76" s="98"/>
      <c r="BG76" s="98"/>
      <c r="BH76" s="98"/>
      <c r="BI76" s="98"/>
      <c r="BJ76" s="98"/>
      <c r="BK76" s="99"/>
      <c r="BL76" s="99"/>
      <c r="BM76" s="97"/>
      <c r="BN76" s="98"/>
      <c r="BO76" s="98"/>
      <c r="BP76" s="98"/>
      <c r="BQ76" s="98"/>
      <c r="BR76" s="98"/>
      <c r="BS76" s="99"/>
      <c r="BT76" s="99"/>
    </row>
    <row r="77" spans="1:72">
      <c r="A77" s="89">
        <v>73</v>
      </c>
      <c r="B77" s="90">
        <v>42880</v>
      </c>
      <c r="C77" s="98"/>
      <c r="D77" s="113">
        <f t="shared" si="17"/>
        <v>870452</v>
      </c>
      <c r="E77" s="113">
        <f t="shared" si="18"/>
        <v>46966</v>
      </c>
      <c r="F77" s="115">
        <f t="shared" si="35"/>
        <v>90</v>
      </c>
      <c r="G77" s="116">
        <f t="shared" si="36"/>
        <v>917418</v>
      </c>
      <c r="H77" s="116">
        <f t="shared" si="37"/>
        <v>46021228</v>
      </c>
      <c r="I77" s="97"/>
      <c r="J77" s="98"/>
      <c r="K77" s="98"/>
      <c r="L77" s="98"/>
      <c r="M77" s="98"/>
      <c r="N77" s="98"/>
      <c r="O77" s="99"/>
      <c r="P77" s="99"/>
      <c r="Q77" s="97"/>
      <c r="R77" s="81">
        <v>42880</v>
      </c>
      <c r="S77" s="83">
        <f t="shared" si="29"/>
        <v>294564</v>
      </c>
      <c r="T77" s="83">
        <v>140083</v>
      </c>
      <c r="U77" s="83">
        <v>2624</v>
      </c>
      <c r="V77" s="83">
        <v>30</v>
      </c>
      <c r="W77" s="83">
        <f t="shared" si="30"/>
        <v>142707</v>
      </c>
      <c r="X77" s="83">
        <v>1540913</v>
      </c>
      <c r="Y77" s="254">
        <v>73</v>
      </c>
      <c r="Z77" s="81">
        <v>42880</v>
      </c>
      <c r="AA77" s="83">
        <f t="shared" si="31"/>
        <v>733701</v>
      </c>
      <c r="AB77" s="83">
        <v>151857</v>
      </c>
      <c r="AC77" s="83">
        <v>3332</v>
      </c>
      <c r="AD77" s="83">
        <v>30</v>
      </c>
      <c r="AE77" s="83">
        <f t="shared" si="32"/>
        <v>155189</v>
      </c>
      <c r="AF77" s="83">
        <v>1670427</v>
      </c>
      <c r="AG77" s="97"/>
      <c r="AH77" s="81">
        <v>42865</v>
      </c>
      <c r="AI77" s="83">
        <f t="shared" si="33"/>
        <v>619522</v>
      </c>
      <c r="AJ77" s="83">
        <v>578512</v>
      </c>
      <c r="AK77" s="83">
        <v>41010</v>
      </c>
      <c r="AL77" s="83">
        <v>30</v>
      </c>
      <c r="AM77" s="83">
        <f t="shared" si="34"/>
        <v>619522</v>
      </c>
      <c r="AN77" s="83">
        <v>42809888</v>
      </c>
      <c r="AO77" s="97"/>
      <c r="AP77" s="98"/>
      <c r="AQ77" s="98"/>
      <c r="AR77" s="98"/>
      <c r="AS77" s="98"/>
      <c r="AT77" s="98"/>
      <c r="AU77" s="99"/>
      <c r="AV77" s="99"/>
      <c r="AW77" s="89">
        <v>73</v>
      </c>
      <c r="AX77" s="90">
        <v>42880</v>
      </c>
      <c r="AY77" s="98"/>
      <c r="AZ77" s="98"/>
      <c r="BA77" s="98"/>
      <c r="BB77" s="98"/>
      <c r="BC77" s="99"/>
      <c r="BD77" s="99"/>
      <c r="BE77" s="97"/>
      <c r="BF77" s="98"/>
      <c r="BG77" s="98"/>
      <c r="BH77" s="98"/>
      <c r="BI77" s="98"/>
      <c r="BJ77" s="98"/>
      <c r="BK77" s="99"/>
      <c r="BL77" s="99"/>
      <c r="BM77" s="97"/>
      <c r="BN77" s="98"/>
      <c r="BO77" s="98"/>
      <c r="BP77" s="98"/>
      <c r="BQ77" s="98"/>
      <c r="BR77" s="98"/>
      <c r="BS77" s="99"/>
      <c r="BT77" s="99"/>
    </row>
    <row r="78" spans="1:72">
      <c r="A78" s="89">
        <v>74</v>
      </c>
      <c r="B78" s="90">
        <v>42911</v>
      </c>
      <c r="C78" s="98"/>
      <c r="D78" s="113">
        <f t="shared" si="17"/>
        <v>870452</v>
      </c>
      <c r="E78" s="113">
        <f t="shared" si="18"/>
        <v>47454</v>
      </c>
      <c r="F78" s="115">
        <f t="shared" si="35"/>
        <v>93</v>
      </c>
      <c r="G78" s="116">
        <f t="shared" si="36"/>
        <v>917906</v>
      </c>
      <c r="H78" s="116">
        <f t="shared" si="37"/>
        <v>45150776</v>
      </c>
      <c r="I78" s="97"/>
      <c r="J78" s="98"/>
      <c r="K78" s="98"/>
      <c r="L78" s="98"/>
      <c r="M78" s="98"/>
      <c r="N78" s="98"/>
      <c r="O78" s="99"/>
      <c r="P78" s="99"/>
      <c r="Q78" s="97"/>
      <c r="R78" s="81">
        <v>42911</v>
      </c>
      <c r="S78" s="83">
        <f t="shared" si="29"/>
        <v>294426</v>
      </c>
      <c r="T78" s="83">
        <v>140083</v>
      </c>
      <c r="U78" s="83">
        <v>2486</v>
      </c>
      <c r="V78" s="83">
        <v>31</v>
      </c>
      <c r="W78" s="83">
        <f t="shared" si="30"/>
        <v>142569</v>
      </c>
      <c r="X78" s="83">
        <v>1400830</v>
      </c>
      <c r="Y78" s="254">
        <v>74</v>
      </c>
      <c r="Z78" s="81">
        <v>42911</v>
      </c>
      <c r="AA78" s="83">
        <f t="shared" si="31"/>
        <v>733525</v>
      </c>
      <c r="AB78" s="83">
        <v>151857</v>
      </c>
      <c r="AC78" s="83">
        <v>3156</v>
      </c>
      <c r="AD78" s="83">
        <v>31</v>
      </c>
      <c r="AE78" s="83">
        <f t="shared" si="32"/>
        <v>155013</v>
      </c>
      <c r="AF78" s="83">
        <v>1518570</v>
      </c>
      <c r="AG78" s="97"/>
      <c r="AH78" s="81">
        <v>42896</v>
      </c>
      <c r="AI78" s="83">
        <f t="shared" si="33"/>
        <v>620324</v>
      </c>
      <c r="AJ78" s="83">
        <v>578512</v>
      </c>
      <c r="AK78" s="83">
        <v>41812</v>
      </c>
      <c r="AL78" s="83">
        <v>31</v>
      </c>
      <c r="AM78" s="83">
        <f t="shared" si="34"/>
        <v>620324</v>
      </c>
      <c r="AN78" s="83">
        <v>42231376</v>
      </c>
      <c r="AO78" s="97"/>
      <c r="AP78" s="98"/>
      <c r="AQ78" s="98"/>
      <c r="AR78" s="98"/>
      <c r="AS78" s="98"/>
      <c r="AT78" s="98"/>
      <c r="AU78" s="99"/>
      <c r="AV78" s="99"/>
      <c r="AW78" s="89">
        <v>74</v>
      </c>
      <c r="AX78" s="90">
        <v>42911</v>
      </c>
      <c r="AY78" s="98"/>
      <c r="AZ78" s="98"/>
      <c r="BA78" s="98"/>
      <c r="BB78" s="98"/>
      <c r="BC78" s="99"/>
      <c r="BD78" s="99"/>
      <c r="BE78" s="97"/>
      <c r="BF78" s="98"/>
      <c r="BG78" s="98"/>
      <c r="BH78" s="98"/>
      <c r="BI78" s="98"/>
      <c r="BJ78" s="98"/>
      <c r="BK78" s="99"/>
      <c r="BL78" s="99"/>
      <c r="BM78" s="97"/>
      <c r="BN78" s="98"/>
      <c r="BO78" s="98"/>
      <c r="BP78" s="98"/>
      <c r="BQ78" s="98"/>
      <c r="BR78" s="98"/>
      <c r="BS78" s="99"/>
      <c r="BT78" s="99"/>
    </row>
    <row r="79" spans="1:72">
      <c r="A79" s="89">
        <v>75</v>
      </c>
      <c r="B79" s="90">
        <v>42941</v>
      </c>
      <c r="C79" s="98"/>
      <c r="D79" s="113">
        <f t="shared" si="17"/>
        <v>870452</v>
      </c>
      <c r="E79" s="113">
        <f t="shared" si="18"/>
        <v>44880</v>
      </c>
      <c r="F79" s="115">
        <f t="shared" si="35"/>
        <v>90</v>
      </c>
      <c r="G79" s="116">
        <f t="shared" si="36"/>
        <v>915332</v>
      </c>
      <c r="H79" s="116">
        <f t="shared" si="37"/>
        <v>44280324</v>
      </c>
      <c r="I79" s="97"/>
      <c r="J79" s="98"/>
      <c r="K79" s="98"/>
      <c r="L79" s="98"/>
      <c r="M79" s="98"/>
      <c r="N79" s="98"/>
      <c r="O79" s="99"/>
      <c r="P79" s="99"/>
      <c r="Q79" s="97"/>
      <c r="R79" s="81">
        <v>42941</v>
      </c>
      <c r="S79" s="83">
        <f t="shared" si="29"/>
        <v>294127</v>
      </c>
      <c r="T79" s="83">
        <v>140083</v>
      </c>
      <c r="U79" s="83">
        <v>2187</v>
      </c>
      <c r="V79" s="83">
        <v>30</v>
      </c>
      <c r="W79" s="83">
        <f t="shared" si="30"/>
        <v>142270</v>
      </c>
      <c r="X79" s="83">
        <v>1260747</v>
      </c>
      <c r="Y79" s="254">
        <v>75</v>
      </c>
      <c r="Z79" s="81">
        <v>42941</v>
      </c>
      <c r="AA79" s="83">
        <f t="shared" si="31"/>
        <v>733145</v>
      </c>
      <c r="AB79" s="83">
        <v>151857</v>
      </c>
      <c r="AC79" s="83">
        <v>2776</v>
      </c>
      <c r="AD79" s="83">
        <v>30</v>
      </c>
      <c r="AE79" s="83">
        <f t="shared" si="32"/>
        <v>154633</v>
      </c>
      <c r="AF79" s="83">
        <v>1366713</v>
      </c>
      <c r="AG79" s="97"/>
      <c r="AH79" s="81">
        <v>42926</v>
      </c>
      <c r="AI79" s="83">
        <f t="shared" si="33"/>
        <v>618429</v>
      </c>
      <c r="AJ79" s="83">
        <v>578512</v>
      </c>
      <c r="AK79" s="83">
        <v>39917</v>
      </c>
      <c r="AL79" s="83">
        <v>30</v>
      </c>
      <c r="AM79" s="83">
        <f t="shared" si="34"/>
        <v>618429</v>
      </c>
      <c r="AN79" s="83">
        <v>41652864</v>
      </c>
      <c r="AO79" s="97"/>
      <c r="AP79" s="98"/>
      <c r="AQ79" s="98"/>
      <c r="AR79" s="98"/>
      <c r="AS79" s="98"/>
      <c r="AT79" s="98"/>
      <c r="AU79" s="99"/>
      <c r="AV79" s="99"/>
      <c r="AW79" s="89">
        <v>75</v>
      </c>
      <c r="AX79" s="90">
        <v>42941</v>
      </c>
      <c r="AY79" s="98"/>
      <c r="AZ79" s="98"/>
      <c r="BA79" s="98"/>
      <c r="BB79" s="98"/>
      <c r="BC79" s="99"/>
      <c r="BD79" s="99"/>
      <c r="BE79" s="97"/>
      <c r="BF79" s="98"/>
      <c r="BG79" s="98"/>
      <c r="BH79" s="98"/>
      <c r="BI79" s="98"/>
      <c r="BJ79" s="98"/>
      <c r="BK79" s="99"/>
      <c r="BL79" s="99"/>
      <c r="BM79" s="97"/>
      <c r="BN79" s="98"/>
      <c r="BO79" s="98"/>
      <c r="BP79" s="98"/>
      <c r="BQ79" s="98"/>
      <c r="BR79" s="98"/>
      <c r="BS79" s="99"/>
      <c r="BT79" s="99"/>
    </row>
    <row r="80" spans="1:72">
      <c r="A80" s="89">
        <v>76</v>
      </c>
      <c r="B80" s="90">
        <v>42972</v>
      </c>
      <c r="C80" s="98"/>
      <c r="D80" s="113">
        <f t="shared" si="17"/>
        <v>870452</v>
      </c>
      <c r="E80" s="113">
        <f t="shared" si="18"/>
        <v>45298</v>
      </c>
      <c r="F80" s="115">
        <f t="shared" si="35"/>
        <v>93</v>
      </c>
      <c r="G80" s="116">
        <f t="shared" si="36"/>
        <v>915750</v>
      </c>
      <c r="H80" s="116">
        <f t="shared" si="37"/>
        <v>43409872</v>
      </c>
      <c r="I80" s="97"/>
      <c r="J80" s="98"/>
      <c r="K80" s="98"/>
      <c r="L80" s="98"/>
      <c r="M80" s="98"/>
      <c r="N80" s="98"/>
      <c r="O80" s="99"/>
      <c r="P80" s="99"/>
      <c r="Q80" s="97"/>
      <c r="R80" s="81">
        <v>42972</v>
      </c>
      <c r="S80" s="83">
        <f t="shared" si="29"/>
        <v>293974</v>
      </c>
      <c r="T80" s="83">
        <v>140083</v>
      </c>
      <c r="U80" s="83">
        <v>2034</v>
      </c>
      <c r="V80" s="83">
        <v>31</v>
      </c>
      <c r="W80" s="83">
        <f t="shared" si="30"/>
        <v>142117</v>
      </c>
      <c r="X80" s="83">
        <v>1120664</v>
      </c>
      <c r="Y80" s="254">
        <v>76</v>
      </c>
      <c r="Z80" s="81">
        <v>42972</v>
      </c>
      <c r="AA80" s="83">
        <f t="shared" si="31"/>
        <v>732951</v>
      </c>
      <c r="AB80" s="83">
        <v>151857</v>
      </c>
      <c r="AC80" s="83">
        <v>2582</v>
      </c>
      <c r="AD80" s="83">
        <v>31</v>
      </c>
      <c r="AE80" s="83">
        <f t="shared" si="32"/>
        <v>154439</v>
      </c>
      <c r="AF80" s="83">
        <v>1214856</v>
      </c>
      <c r="AG80" s="97"/>
      <c r="AH80" s="81">
        <v>42957</v>
      </c>
      <c r="AI80" s="83">
        <f t="shared" si="33"/>
        <v>619194</v>
      </c>
      <c r="AJ80" s="83">
        <v>578512</v>
      </c>
      <c r="AK80" s="83">
        <v>40682</v>
      </c>
      <c r="AL80" s="83">
        <v>31</v>
      </c>
      <c r="AM80" s="83">
        <f t="shared" si="34"/>
        <v>619194</v>
      </c>
      <c r="AN80" s="83">
        <v>41074352</v>
      </c>
      <c r="AO80" s="97"/>
      <c r="AP80" s="98"/>
      <c r="AQ80" s="98"/>
      <c r="AR80" s="98"/>
      <c r="AS80" s="98"/>
      <c r="AT80" s="98"/>
      <c r="AU80" s="99"/>
      <c r="AV80" s="99"/>
      <c r="AW80" s="89">
        <v>76</v>
      </c>
      <c r="AX80" s="90">
        <v>42972</v>
      </c>
      <c r="AY80" s="98"/>
      <c r="AZ80" s="98"/>
      <c r="BA80" s="98"/>
      <c r="BB80" s="98"/>
      <c r="BC80" s="99"/>
      <c r="BD80" s="99"/>
      <c r="BE80" s="97"/>
      <c r="BF80" s="98"/>
      <c r="BG80" s="98"/>
      <c r="BH80" s="98"/>
      <c r="BI80" s="98"/>
      <c r="BJ80" s="98"/>
      <c r="BK80" s="99"/>
      <c r="BL80" s="99"/>
      <c r="BM80" s="97"/>
      <c r="BN80" s="98"/>
      <c r="BO80" s="98"/>
      <c r="BP80" s="98"/>
      <c r="BQ80" s="98"/>
      <c r="BR80" s="98"/>
      <c r="BS80" s="99"/>
      <c r="BT80" s="99"/>
    </row>
    <row r="81" spans="1:72">
      <c r="A81" s="89">
        <v>77</v>
      </c>
      <c r="B81" s="90">
        <v>43003</v>
      </c>
      <c r="C81" s="98"/>
      <c r="D81" s="113">
        <f t="shared" si="17"/>
        <v>870452</v>
      </c>
      <c r="E81" s="113">
        <f t="shared" si="18"/>
        <v>44220</v>
      </c>
      <c r="F81" s="115">
        <f t="shared" si="35"/>
        <v>93</v>
      </c>
      <c r="G81" s="116">
        <f t="shared" si="36"/>
        <v>914672</v>
      </c>
      <c r="H81" s="116">
        <f t="shared" si="37"/>
        <v>42539420</v>
      </c>
      <c r="I81" s="97"/>
      <c r="J81" s="98"/>
      <c r="K81" s="98"/>
      <c r="L81" s="98"/>
      <c r="M81" s="98"/>
      <c r="N81" s="98"/>
      <c r="O81" s="99"/>
      <c r="P81" s="99"/>
      <c r="Q81" s="97"/>
      <c r="R81" s="81">
        <v>43003</v>
      </c>
      <c r="S81" s="83">
        <f t="shared" si="29"/>
        <v>293748</v>
      </c>
      <c r="T81" s="83">
        <v>140083</v>
      </c>
      <c r="U81" s="83">
        <v>1808</v>
      </c>
      <c r="V81" s="83">
        <v>31</v>
      </c>
      <c r="W81" s="83">
        <f t="shared" si="30"/>
        <v>141891</v>
      </c>
      <c r="X81" s="83">
        <v>980581</v>
      </c>
      <c r="Y81" s="254">
        <v>77</v>
      </c>
      <c r="Z81" s="81">
        <v>43003</v>
      </c>
      <c r="AA81" s="83">
        <f t="shared" si="31"/>
        <v>732664</v>
      </c>
      <c r="AB81" s="83">
        <v>151857</v>
      </c>
      <c r="AC81" s="83">
        <v>2295</v>
      </c>
      <c r="AD81" s="83">
        <v>31</v>
      </c>
      <c r="AE81" s="83">
        <f t="shared" si="32"/>
        <v>154152</v>
      </c>
      <c r="AF81" s="83">
        <v>1062999</v>
      </c>
      <c r="AG81" s="97"/>
      <c r="AH81" s="81">
        <v>42988</v>
      </c>
      <c r="AI81" s="83">
        <f t="shared" si="33"/>
        <v>618629</v>
      </c>
      <c r="AJ81" s="83">
        <v>578512</v>
      </c>
      <c r="AK81" s="83">
        <v>40117</v>
      </c>
      <c r="AL81" s="83">
        <v>31</v>
      </c>
      <c r="AM81" s="83">
        <f t="shared" si="34"/>
        <v>618629</v>
      </c>
      <c r="AN81" s="83">
        <v>40495840</v>
      </c>
      <c r="AO81" s="97"/>
      <c r="AP81" s="98"/>
      <c r="AQ81" s="98"/>
      <c r="AR81" s="98"/>
      <c r="AS81" s="98"/>
      <c r="AT81" s="98"/>
      <c r="AU81" s="99"/>
      <c r="AV81" s="99"/>
      <c r="AW81" s="89">
        <v>77</v>
      </c>
      <c r="AX81" s="90">
        <v>43003</v>
      </c>
      <c r="AY81" s="98"/>
      <c r="AZ81" s="98"/>
      <c r="BA81" s="98"/>
      <c r="BB81" s="98"/>
      <c r="BC81" s="99"/>
      <c r="BD81" s="99"/>
      <c r="BE81" s="97"/>
      <c r="BF81" s="98"/>
      <c r="BG81" s="98"/>
      <c r="BH81" s="98"/>
      <c r="BI81" s="98"/>
      <c r="BJ81" s="98"/>
      <c r="BK81" s="99"/>
      <c r="BL81" s="99"/>
      <c r="BM81" s="97"/>
      <c r="BN81" s="98"/>
      <c r="BO81" s="98"/>
      <c r="BP81" s="98"/>
      <c r="BQ81" s="98"/>
      <c r="BR81" s="98"/>
      <c r="BS81" s="99"/>
      <c r="BT81" s="99"/>
    </row>
    <row r="82" spans="1:72">
      <c r="A82" s="89">
        <v>78</v>
      </c>
      <c r="B82" s="90">
        <v>43033</v>
      </c>
      <c r="C82" s="98"/>
      <c r="D82" s="113">
        <f t="shared" si="17"/>
        <v>870452</v>
      </c>
      <c r="E82" s="113">
        <f t="shared" si="18"/>
        <v>41750</v>
      </c>
      <c r="F82" s="115">
        <f t="shared" si="35"/>
        <v>90</v>
      </c>
      <c r="G82" s="116">
        <f t="shared" si="36"/>
        <v>912202</v>
      </c>
      <c r="H82" s="116">
        <f t="shared" si="37"/>
        <v>41668968</v>
      </c>
      <c r="I82" s="97"/>
      <c r="J82" s="98"/>
      <c r="K82" s="98"/>
      <c r="L82" s="98"/>
      <c r="M82" s="98"/>
      <c r="N82" s="98"/>
      <c r="O82" s="99"/>
      <c r="P82" s="99"/>
      <c r="Q82" s="97"/>
      <c r="R82" s="81">
        <v>43033</v>
      </c>
      <c r="S82" s="83">
        <f t="shared" si="29"/>
        <v>293471</v>
      </c>
      <c r="T82" s="83">
        <v>140083</v>
      </c>
      <c r="U82" s="83">
        <v>1531</v>
      </c>
      <c r="V82" s="83">
        <v>30</v>
      </c>
      <c r="W82" s="83">
        <f t="shared" si="30"/>
        <v>141614</v>
      </c>
      <c r="X82" s="83">
        <v>840498</v>
      </c>
      <c r="Y82" s="254">
        <v>78</v>
      </c>
      <c r="Z82" s="81">
        <v>43033</v>
      </c>
      <c r="AA82" s="83">
        <f t="shared" si="31"/>
        <v>732312</v>
      </c>
      <c r="AB82" s="83">
        <v>151857</v>
      </c>
      <c r="AC82" s="83">
        <v>1943</v>
      </c>
      <c r="AD82" s="83">
        <v>30</v>
      </c>
      <c r="AE82" s="83">
        <f t="shared" si="32"/>
        <v>153800</v>
      </c>
      <c r="AF82" s="83">
        <v>911142</v>
      </c>
      <c r="AG82" s="97"/>
      <c r="AH82" s="81">
        <v>43018</v>
      </c>
      <c r="AI82" s="83">
        <f t="shared" si="33"/>
        <v>616788</v>
      </c>
      <c r="AJ82" s="83">
        <v>578512</v>
      </c>
      <c r="AK82" s="83">
        <v>38276</v>
      </c>
      <c r="AL82" s="83">
        <v>30</v>
      </c>
      <c r="AM82" s="83">
        <f t="shared" si="34"/>
        <v>616788</v>
      </c>
      <c r="AN82" s="83">
        <v>39917328</v>
      </c>
      <c r="AO82" s="97"/>
      <c r="AP82" s="98"/>
      <c r="AQ82" s="98"/>
      <c r="AR82" s="98"/>
      <c r="AS82" s="98"/>
      <c r="AT82" s="98"/>
      <c r="AU82" s="99"/>
      <c r="AV82" s="99"/>
      <c r="AW82" s="89">
        <v>78</v>
      </c>
      <c r="AX82" s="90">
        <v>43033</v>
      </c>
      <c r="AY82" s="98"/>
      <c r="AZ82" s="98"/>
      <c r="BA82" s="98"/>
      <c r="BB82" s="98"/>
      <c r="BC82" s="99"/>
      <c r="BD82" s="99"/>
      <c r="BE82" s="97"/>
      <c r="BF82" s="98"/>
      <c r="BG82" s="98"/>
      <c r="BH82" s="98"/>
      <c r="BI82" s="98"/>
      <c r="BJ82" s="98"/>
      <c r="BK82" s="99"/>
      <c r="BL82" s="99"/>
      <c r="BM82" s="97"/>
      <c r="BN82" s="98"/>
      <c r="BO82" s="98"/>
      <c r="BP82" s="98"/>
      <c r="BQ82" s="98"/>
      <c r="BR82" s="98"/>
      <c r="BS82" s="99"/>
      <c r="BT82" s="99"/>
    </row>
    <row r="83" spans="1:72">
      <c r="A83" s="89">
        <v>79</v>
      </c>
      <c r="B83" s="90">
        <v>43064</v>
      </c>
      <c r="C83" s="98"/>
      <c r="D83" s="113">
        <f t="shared" si="17"/>
        <v>870452</v>
      </c>
      <c r="E83" s="113">
        <f t="shared" si="18"/>
        <v>42064</v>
      </c>
      <c r="F83" s="115">
        <f t="shared" si="35"/>
        <v>93</v>
      </c>
      <c r="G83" s="116">
        <f t="shared" si="36"/>
        <v>912516</v>
      </c>
      <c r="H83" s="116">
        <f t="shared" si="37"/>
        <v>40798516</v>
      </c>
      <c r="I83" s="97"/>
      <c r="J83" s="98"/>
      <c r="K83" s="98"/>
      <c r="L83" s="98"/>
      <c r="M83" s="98"/>
      <c r="N83" s="98"/>
      <c r="O83" s="99"/>
      <c r="P83" s="99"/>
      <c r="Q83" s="97"/>
      <c r="R83" s="81">
        <v>43064</v>
      </c>
      <c r="S83" s="83">
        <f t="shared" si="29"/>
        <v>293296</v>
      </c>
      <c r="T83" s="83">
        <v>140083</v>
      </c>
      <c r="U83" s="83">
        <v>1356</v>
      </c>
      <c r="V83" s="83">
        <v>31</v>
      </c>
      <c r="W83" s="83">
        <f t="shared" si="30"/>
        <v>141439</v>
      </c>
      <c r="X83" s="83">
        <v>700415</v>
      </c>
      <c r="Y83" s="254">
        <v>79</v>
      </c>
      <c r="Z83" s="81">
        <v>43064</v>
      </c>
      <c r="AA83" s="83">
        <f t="shared" si="31"/>
        <v>732090</v>
      </c>
      <c r="AB83" s="83">
        <v>151857</v>
      </c>
      <c r="AC83" s="83">
        <v>1721</v>
      </c>
      <c r="AD83" s="83">
        <v>31</v>
      </c>
      <c r="AE83" s="83">
        <f t="shared" si="32"/>
        <v>153578</v>
      </c>
      <c r="AF83" s="83">
        <v>759285</v>
      </c>
      <c r="AG83" s="97"/>
      <c r="AH83" s="81">
        <v>43049</v>
      </c>
      <c r="AI83" s="83">
        <f t="shared" si="33"/>
        <v>617499</v>
      </c>
      <c r="AJ83" s="83">
        <v>578512</v>
      </c>
      <c r="AK83" s="83">
        <v>38987</v>
      </c>
      <c r="AL83" s="83">
        <v>31</v>
      </c>
      <c r="AM83" s="83">
        <f t="shared" si="34"/>
        <v>617499</v>
      </c>
      <c r="AN83" s="83">
        <v>39338816</v>
      </c>
      <c r="AO83" s="97"/>
      <c r="AP83" s="98"/>
      <c r="AQ83" s="98"/>
      <c r="AR83" s="98"/>
      <c r="AS83" s="98"/>
      <c r="AT83" s="98"/>
      <c r="AU83" s="99"/>
      <c r="AV83" s="99"/>
      <c r="AW83" s="89">
        <v>79</v>
      </c>
      <c r="AX83" s="90">
        <v>43064</v>
      </c>
      <c r="AY83" s="98"/>
      <c r="AZ83" s="98"/>
      <c r="BA83" s="98"/>
      <c r="BB83" s="98"/>
      <c r="BC83" s="99"/>
      <c r="BD83" s="99"/>
      <c r="BE83" s="97"/>
      <c r="BF83" s="98"/>
      <c r="BG83" s="98"/>
      <c r="BH83" s="98"/>
      <c r="BI83" s="98"/>
      <c r="BJ83" s="98"/>
      <c r="BK83" s="99"/>
      <c r="BL83" s="99"/>
      <c r="BM83" s="97"/>
      <c r="BN83" s="98"/>
      <c r="BO83" s="98"/>
      <c r="BP83" s="98"/>
      <c r="BQ83" s="98"/>
      <c r="BR83" s="98"/>
      <c r="BS83" s="99"/>
      <c r="BT83" s="99"/>
    </row>
    <row r="84" spans="1:72">
      <c r="A84" s="89">
        <v>80</v>
      </c>
      <c r="B84" s="90">
        <v>43094</v>
      </c>
      <c r="C84" s="98"/>
      <c r="D84" s="113">
        <f t="shared" si="17"/>
        <v>870452</v>
      </c>
      <c r="E84" s="113">
        <f t="shared" si="18"/>
        <v>39664</v>
      </c>
      <c r="F84" s="115">
        <f t="shared" si="35"/>
        <v>90</v>
      </c>
      <c r="G84" s="116">
        <f t="shared" si="36"/>
        <v>910116</v>
      </c>
      <c r="H84" s="116">
        <f t="shared" si="37"/>
        <v>39928064</v>
      </c>
      <c r="I84" s="97"/>
      <c r="J84" s="98"/>
      <c r="K84" s="98"/>
      <c r="L84" s="98"/>
      <c r="M84" s="98"/>
      <c r="N84" s="98"/>
      <c r="O84" s="99"/>
      <c r="P84" s="99"/>
      <c r="Q84" s="97"/>
      <c r="R84" s="81">
        <v>43094</v>
      </c>
      <c r="S84" s="83">
        <f t="shared" si="29"/>
        <v>293033</v>
      </c>
      <c r="T84" s="83">
        <v>140083</v>
      </c>
      <c r="U84" s="83">
        <v>1093</v>
      </c>
      <c r="V84" s="83">
        <v>30</v>
      </c>
      <c r="W84" s="83">
        <f t="shared" si="30"/>
        <v>141176</v>
      </c>
      <c r="X84" s="83">
        <v>560332</v>
      </c>
      <c r="Y84" s="254">
        <v>80</v>
      </c>
      <c r="Z84" s="81">
        <v>43094</v>
      </c>
      <c r="AA84" s="83">
        <f t="shared" si="31"/>
        <v>731757</v>
      </c>
      <c r="AB84" s="83">
        <v>151857</v>
      </c>
      <c r="AC84" s="83">
        <v>1388</v>
      </c>
      <c r="AD84" s="83">
        <v>30</v>
      </c>
      <c r="AE84" s="83">
        <f t="shared" si="32"/>
        <v>153245</v>
      </c>
      <c r="AF84" s="83">
        <v>607428</v>
      </c>
      <c r="AG84" s="97"/>
      <c r="AH84" s="81">
        <v>43079</v>
      </c>
      <c r="AI84" s="83">
        <f t="shared" si="33"/>
        <v>615695</v>
      </c>
      <c r="AJ84" s="83">
        <v>578512</v>
      </c>
      <c r="AK84" s="83">
        <v>37183</v>
      </c>
      <c r="AL84" s="83">
        <v>30</v>
      </c>
      <c r="AM84" s="83">
        <f t="shared" si="34"/>
        <v>615695</v>
      </c>
      <c r="AN84" s="83">
        <v>38760304</v>
      </c>
      <c r="AO84" s="97"/>
      <c r="AP84" s="98"/>
      <c r="AQ84" s="98"/>
      <c r="AR84" s="98"/>
      <c r="AS84" s="98"/>
      <c r="AT84" s="98"/>
      <c r="AU84" s="99"/>
      <c r="AV84" s="99"/>
      <c r="AW84" s="89">
        <v>80</v>
      </c>
      <c r="AX84" s="90">
        <v>43094</v>
      </c>
      <c r="AY84" s="98"/>
      <c r="AZ84" s="98"/>
      <c r="BA84" s="98"/>
      <c r="BB84" s="98"/>
      <c r="BC84" s="99"/>
      <c r="BD84" s="99"/>
      <c r="BE84" s="97"/>
      <c r="BF84" s="98"/>
      <c r="BG84" s="98"/>
      <c r="BH84" s="98"/>
      <c r="BI84" s="98"/>
      <c r="BJ84" s="98"/>
      <c r="BK84" s="99"/>
      <c r="BL84" s="99"/>
      <c r="BM84" s="97"/>
      <c r="BN84" s="98"/>
      <c r="BO84" s="98"/>
      <c r="BP84" s="98"/>
      <c r="BQ84" s="98"/>
      <c r="BR84" s="98"/>
      <c r="BS84" s="99"/>
      <c r="BT84" s="99"/>
    </row>
    <row r="85" spans="1:72">
      <c r="A85" s="89">
        <v>81</v>
      </c>
      <c r="B85" s="90">
        <v>43125</v>
      </c>
      <c r="C85" s="98"/>
      <c r="D85" s="113">
        <f t="shared" si="17"/>
        <v>870452</v>
      </c>
      <c r="E85" s="113">
        <f t="shared" si="18"/>
        <v>39908</v>
      </c>
      <c r="F85" s="115">
        <f t="shared" si="35"/>
        <v>93</v>
      </c>
      <c r="G85" s="116">
        <f t="shared" si="36"/>
        <v>910360</v>
      </c>
      <c r="H85" s="116">
        <f t="shared" si="37"/>
        <v>39057612</v>
      </c>
      <c r="I85" s="97"/>
      <c r="J85" s="98"/>
      <c r="K85" s="98"/>
      <c r="L85" s="98"/>
      <c r="M85" s="98"/>
      <c r="N85" s="98"/>
      <c r="O85" s="99"/>
      <c r="P85" s="99"/>
      <c r="Q85" s="97"/>
      <c r="R85" s="81">
        <v>43125</v>
      </c>
      <c r="S85" s="83">
        <f t="shared" si="29"/>
        <v>292844</v>
      </c>
      <c r="T85" s="83">
        <v>140083</v>
      </c>
      <c r="U85" s="83">
        <v>904</v>
      </c>
      <c r="V85" s="83">
        <v>31</v>
      </c>
      <c r="W85" s="83">
        <f t="shared" si="30"/>
        <v>140987</v>
      </c>
      <c r="X85" s="83">
        <v>420249</v>
      </c>
      <c r="Y85" s="254">
        <v>81</v>
      </c>
      <c r="Z85" s="81">
        <v>43125</v>
      </c>
      <c r="AA85" s="83">
        <f t="shared" si="31"/>
        <v>731516</v>
      </c>
      <c r="AB85" s="83">
        <v>151857</v>
      </c>
      <c r="AC85" s="83">
        <v>1147</v>
      </c>
      <c r="AD85" s="83">
        <v>31</v>
      </c>
      <c r="AE85" s="83">
        <f t="shared" si="32"/>
        <v>153004</v>
      </c>
      <c r="AF85" s="83">
        <v>455571</v>
      </c>
      <c r="AG85" s="97"/>
      <c r="AH85" s="81">
        <v>43110</v>
      </c>
      <c r="AI85" s="83">
        <f t="shared" si="33"/>
        <v>616369</v>
      </c>
      <c r="AJ85" s="83">
        <v>578512</v>
      </c>
      <c r="AK85" s="83">
        <v>37857</v>
      </c>
      <c r="AL85" s="83">
        <v>31</v>
      </c>
      <c r="AM85" s="83">
        <f t="shared" si="34"/>
        <v>616369</v>
      </c>
      <c r="AN85" s="83">
        <v>38181792</v>
      </c>
      <c r="AO85" s="97"/>
      <c r="AP85" s="98"/>
      <c r="AQ85" s="98"/>
      <c r="AR85" s="98"/>
      <c r="AS85" s="98"/>
      <c r="AT85" s="98"/>
      <c r="AU85" s="99"/>
      <c r="AV85" s="99"/>
      <c r="AW85" s="89">
        <v>81</v>
      </c>
      <c r="AX85" s="90">
        <v>43125</v>
      </c>
      <c r="AY85" s="98"/>
      <c r="AZ85" s="98"/>
      <c r="BA85" s="98"/>
      <c r="BB85" s="98"/>
      <c r="BC85" s="99"/>
      <c r="BD85" s="99"/>
      <c r="BE85" s="97"/>
      <c r="BF85" s="98"/>
      <c r="BG85" s="98"/>
      <c r="BH85" s="98"/>
      <c r="BI85" s="98"/>
      <c r="BJ85" s="98"/>
      <c r="BK85" s="99"/>
      <c r="BL85" s="99"/>
      <c r="BM85" s="97"/>
      <c r="BN85" s="98"/>
      <c r="BO85" s="98"/>
      <c r="BP85" s="98"/>
      <c r="BQ85" s="98"/>
      <c r="BR85" s="98"/>
      <c r="BS85" s="99"/>
      <c r="BT85" s="99"/>
    </row>
    <row r="86" spans="1:72">
      <c r="A86" s="89">
        <v>82</v>
      </c>
      <c r="B86" s="90">
        <v>43156</v>
      </c>
      <c r="C86" s="98"/>
      <c r="D86" s="113">
        <f t="shared" si="17"/>
        <v>870452</v>
      </c>
      <c r="E86" s="113">
        <f t="shared" si="18"/>
        <v>38830</v>
      </c>
      <c r="F86" s="115">
        <f t="shared" si="35"/>
        <v>93</v>
      </c>
      <c r="G86" s="116">
        <f t="shared" si="36"/>
        <v>909282</v>
      </c>
      <c r="H86" s="116">
        <f t="shared" si="37"/>
        <v>38187160</v>
      </c>
      <c r="I86" s="97"/>
      <c r="J86" s="98"/>
      <c r="K86" s="98"/>
      <c r="L86" s="98"/>
      <c r="M86" s="98"/>
      <c r="N86" s="98"/>
      <c r="O86" s="99"/>
      <c r="P86" s="99"/>
      <c r="Q86" s="97"/>
      <c r="R86" s="81">
        <v>43156</v>
      </c>
      <c r="S86" s="83">
        <f t="shared" si="29"/>
        <v>292618</v>
      </c>
      <c r="T86" s="83">
        <v>140083</v>
      </c>
      <c r="U86" s="83">
        <v>678</v>
      </c>
      <c r="V86" s="83">
        <v>31</v>
      </c>
      <c r="W86" s="83">
        <f t="shared" si="30"/>
        <v>140761</v>
      </c>
      <c r="X86" s="83">
        <v>280166</v>
      </c>
      <c r="Y86" s="254">
        <v>82</v>
      </c>
      <c r="Z86" s="81">
        <v>43156</v>
      </c>
      <c r="AA86" s="83">
        <f t="shared" si="31"/>
        <v>731229</v>
      </c>
      <c r="AB86" s="83">
        <v>151857</v>
      </c>
      <c r="AC86" s="83">
        <v>860</v>
      </c>
      <c r="AD86" s="83">
        <v>31</v>
      </c>
      <c r="AE86" s="83">
        <f t="shared" si="32"/>
        <v>152717</v>
      </c>
      <c r="AF86" s="83">
        <v>303714</v>
      </c>
      <c r="AG86" s="97"/>
      <c r="AH86" s="81">
        <v>43141</v>
      </c>
      <c r="AI86" s="83">
        <f t="shared" si="33"/>
        <v>615804</v>
      </c>
      <c r="AJ86" s="83">
        <v>578512</v>
      </c>
      <c r="AK86" s="83">
        <v>37292</v>
      </c>
      <c r="AL86" s="83">
        <v>31</v>
      </c>
      <c r="AM86" s="83">
        <f t="shared" si="34"/>
        <v>615804</v>
      </c>
      <c r="AN86" s="83">
        <v>37603280</v>
      </c>
      <c r="AO86" s="97"/>
      <c r="AP86" s="98"/>
      <c r="AQ86" s="98"/>
      <c r="AR86" s="98"/>
      <c r="AS86" s="98"/>
      <c r="AT86" s="98"/>
      <c r="AU86" s="99"/>
      <c r="AV86" s="99"/>
      <c r="AW86" s="89">
        <v>82</v>
      </c>
      <c r="AX86" s="90">
        <v>43156</v>
      </c>
      <c r="AY86" s="98"/>
      <c r="AZ86" s="98"/>
      <c r="BA86" s="98"/>
      <c r="BB86" s="98"/>
      <c r="BC86" s="99"/>
      <c r="BD86" s="99"/>
      <c r="BE86" s="97"/>
      <c r="BF86" s="98"/>
      <c r="BG86" s="98"/>
      <c r="BH86" s="98"/>
      <c r="BI86" s="98"/>
      <c r="BJ86" s="98"/>
      <c r="BK86" s="99"/>
      <c r="BL86" s="99"/>
      <c r="BM86" s="97"/>
      <c r="BN86" s="98"/>
      <c r="BO86" s="98"/>
      <c r="BP86" s="98"/>
      <c r="BQ86" s="98"/>
      <c r="BR86" s="98"/>
      <c r="BS86" s="99"/>
      <c r="BT86" s="99"/>
    </row>
    <row r="87" spans="1:72">
      <c r="A87" s="89">
        <v>83</v>
      </c>
      <c r="B87" s="90">
        <v>43184</v>
      </c>
      <c r="C87" s="98"/>
      <c r="D87" s="113">
        <f t="shared" si="17"/>
        <v>870452</v>
      </c>
      <c r="E87" s="113">
        <f t="shared" si="18"/>
        <v>34099</v>
      </c>
      <c r="F87" s="115">
        <f t="shared" si="35"/>
        <v>84</v>
      </c>
      <c r="G87" s="116">
        <f t="shared" si="36"/>
        <v>904551</v>
      </c>
      <c r="H87" s="116">
        <f t="shared" si="37"/>
        <v>37316708</v>
      </c>
      <c r="I87" s="97"/>
      <c r="J87" s="98"/>
      <c r="K87" s="98"/>
      <c r="L87" s="98"/>
      <c r="M87" s="98"/>
      <c r="N87" s="98"/>
      <c r="O87" s="99"/>
      <c r="P87" s="99"/>
      <c r="Q87" s="97"/>
      <c r="R87" s="81">
        <v>43184</v>
      </c>
      <c r="S87" s="83">
        <f t="shared" si="29"/>
        <v>292348</v>
      </c>
      <c r="T87" s="83">
        <v>140083</v>
      </c>
      <c r="U87" s="83">
        <v>408</v>
      </c>
      <c r="V87" s="83">
        <v>28</v>
      </c>
      <c r="W87" s="83">
        <f t="shared" si="30"/>
        <v>140491</v>
      </c>
      <c r="X87" s="83">
        <v>140083</v>
      </c>
      <c r="Y87" s="254">
        <v>83</v>
      </c>
      <c r="Z87" s="81">
        <v>43184</v>
      </c>
      <c r="AA87" s="83">
        <f t="shared" si="31"/>
        <v>730887</v>
      </c>
      <c r="AB87" s="83">
        <v>151857</v>
      </c>
      <c r="AC87" s="83">
        <v>518</v>
      </c>
      <c r="AD87" s="83">
        <v>28</v>
      </c>
      <c r="AE87" s="83">
        <f t="shared" si="32"/>
        <v>152375</v>
      </c>
      <c r="AF87" s="83">
        <v>151857</v>
      </c>
      <c r="AG87" s="97"/>
      <c r="AH87" s="81">
        <v>43169</v>
      </c>
      <c r="AI87" s="83">
        <f t="shared" si="33"/>
        <v>611685</v>
      </c>
      <c r="AJ87" s="83">
        <v>578512</v>
      </c>
      <c r="AK87" s="83">
        <v>33173</v>
      </c>
      <c r="AL87" s="83">
        <v>28</v>
      </c>
      <c r="AM87" s="83">
        <f t="shared" si="34"/>
        <v>611685</v>
      </c>
      <c r="AN87" s="83">
        <v>37024768</v>
      </c>
      <c r="AO87" s="97"/>
      <c r="AP87" s="98"/>
      <c r="AQ87" s="98"/>
      <c r="AR87" s="98"/>
      <c r="AS87" s="98"/>
      <c r="AT87" s="98"/>
      <c r="AU87" s="99"/>
      <c r="AV87" s="99"/>
      <c r="AW87" s="89">
        <v>83</v>
      </c>
      <c r="AX87" s="90">
        <v>43184</v>
      </c>
      <c r="AY87" s="98"/>
      <c r="AZ87" s="98"/>
      <c r="BA87" s="98"/>
      <c r="BB87" s="98"/>
      <c r="BC87" s="99"/>
      <c r="BD87" s="99"/>
      <c r="BE87" s="97"/>
      <c r="BF87" s="98"/>
      <c r="BG87" s="98"/>
      <c r="BH87" s="98"/>
      <c r="BI87" s="98"/>
      <c r="BJ87" s="98"/>
      <c r="BK87" s="99"/>
      <c r="BL87" s="99"/>
      <c r="BM87" s="97"/>
      <c r="BN87" s="98"/>
      <c r="BO87" s="98"/>
      <c r="BP87" s="98"/>
      <c r="BQ87" s="98"/>
      <c r="BR87" s="98"/>
      <c r="BS87" s="99"/>
      <c r="BT87" s="99"/>
    </row>
    <row r="88" spans="1:72">
      <c r="A88" s="89">
        <v>84</v>
      </c>
      <c r="B88" s="90">
        <v>43215</v>
      </c>
      <c r="C88" s="98"/>
      <c r="D88" s="113">
        <f t="shared" si="17"/>
        <v>870452</v>
      </c>
      <c r="E88" s="113">
        <f t="shared" si="18"/>
        <v>36673</v>
      </c>
      <c r="F88" s="115">
        <f t="shared" si="35"/>
        <v>93</v>
      </c>
      <c r="G88" s="116">
        <f t="shared" si="36"/>
        <v>907125</v>
      </c>
      <c r="H88" s="116">
        <f t="shared" si="37"/>
        <v>36446256</v>
      </c>
      <c r="I88" s="97"/>
      <c r="J88" s="98"/>
      <c r="K88" s="98"/>
      <c r="L88" s="98"/>
      <c r="M88" s="98"/>
      <c r="N88" s="98"/>
      <c r="O88" s="99"/>
      <c r="P88" s="99"/>
      <c r="Q88" s="97"/>
      <c r="R88" s="81">
        <v>43215</v>
      </c>
      <c r="S88" s="83">
        <f t="shared" si="29"/>
        <v>292165</v>
      </c>
      <c r="T88" s="83">
        <v>140083</v>
      </c>
      <c r="U88" s="83">
        <v>225</v>
      </c>
      <c r="V88" s="83">
        <v>31</v>
      </c>
      <c r="W88" s="83">
        <f t="shared" si="30"/>
        <v>140308</v>
      </c>
      <c r="X88" s="83">
        <v>0</v>
      </c>
      <c r="Y88" s="254">
        <v>84</v>
      </c>
      <c r="Z88" s="81">
        <v>43215</v>
      </c>
      <c r="AA88" s="83">
        <f t="shared" si="31"/>
        <v>730655</v>
      </c>
      <c r="AB88" s="83">
        <v>151857</v>
      </c>
      <c r="AC88" s="83">
        <v>286</v>
      </c>
      <c r="AD88" s="83">
        <v>31</v>
      </c>
      <c r="AE88" s="83">
        <f t="shared" si="32"/>
        <v>152143</v>
      </c>
      <c r="AF88" s="83">
        <v>0</v>
      </c>
      <c r="AG88" s="97"/>
      <c r="AH88" s="81">
        <v>43200</v>
      </c>
      <c r="AI88" s="83">
        <f t="shared" si="33"/>
        <v>614674</v>
      </c>
      <c r="AJ88" s="83">
        <v>578512</v>
      </c>
      <c r="AK88" s="83">
        <v>36162</v>
      </c>
      <c r="AL88" s="83">
        <v>31</v>
      </c>
      <c r="AM88" s="83">
        <f t="shared" si="34"/>
        <v>614674</v>
      </c>
      <c r="AN88" s="83">
        <v>36446256</v>
      </c>
      <c r="AO88" s="97"/>
      <c r="AP88" s="98"/>
      <c r="AQ88" s="98"/>
      <c r="AR88" s="98"/>
      <c r="AS88" s="98"/>
      <c r="AT88" s="98"/>
      <c r="AU88" s="99"/>
      <c r="AV88" s="99"/>
      <c r="AW88" s="89">
        <v>84</v>
      </c>
      <c r="AX88" s="90">
        <v>43215</v>
      </c>
      <c r="AY88" s="98"/>
      <c r="AZ88" s="98"/>
      <c r="BA88" s="98"/>
      <c r="BB88" s="98"/>
      <c r="BC88" s="99"/>
      <c r="BD88" s="99"/>
      <c r="BE88" s="97"/>
      <c r="BF88" s="98"/>
      <c r="BG88" s="98"/>
      <c r="BH88" s="98"/>
      <c r="BI88" s="98"/>
      <c r="BJ88" s="98"/>
      <c r="BK88" s="99"/>
      <c r="BL88" s="99"/>
      <c r="BM88" s="97"/>
      <c r="BN88" s="98"/>
      <c r="BO88" s="98"/>
      <c r="BP88" s="98"/>
      <c r="BQ88" s="98"/>
      <c r="BR88" s="98"/>
      <c r="BS88" s="99"/>
      <c r="BT88" s="99"/>
    </row>
    <row r="89" spans="1:72">
      <c r="A89" s="89">
        <v>85</v>
      </c>
      <c r="B89" s="90">
        <v>43245</v>
      </c>
      <c r="C89" s="98"/>
      <c r="D89" s="113">
        <f t="shared" si="17"/>
        <v>2245178</v>
      </c>
      <c r="E89" s="113">
        <f t="shared" si="18"/>
        <v>133078</v>
      </c>
      <c r="F89" s="115">
        <f t="shared" si="35"/>
        <v>60</v>
      </c>
      <c r="G89" s="116">
        <f t="shared" si="36"/>
        <v>2378256</v>
      </c>
      <c r="H89" s="116">
        <f t="shared" si="37"/>
        <v>74201062</v>
      </c>
      <c r="I89" s="97"/>
      <c r="J89" s="98"/>
      <c r="K89" s="98"/>
      <c r="L89" s="98"/>
      <c r="M89" s="98"/>
      <c r="N89" s="98"/>
      <c r="O89" s="99"/>
      <c r="P89" s="99"/>
      <c r="Q89" s="97"/>
      <c r="R89" s="98"/>
      <c r="S89" s="98"/>
      <c r="T89" s="98"/>
      <c r="U89" s="98"/>
      <c r="V89" s="98"/>
      <c r="W89" s="99"/>
      <c r="X89" s="99"/>
      <c r="Y89" s="81"/>
      <c r="Z89" s="81">
        <v>43245</v>
      </c>
      <c r="AA89" s="83">
        <f t="shared" ref="AA89:AA112" si="38">AE89+AJ89</f>
        <v>2343807</v>
      </c>
      <c r="AB89" s="83">
        <v>1666666</v>
      </c>
      <c r="AC89" s="83">
        <v>98629</v>
      </c>
      <c r="AD89" s="83">
        <v>30</v>
      </c>
      <c r="AE89" s="83">
        <f t="shared" ref="AE89:AE112" si="39">AB89+AC89</f>
        <v>1765295</v>
      </c>
      <c r="AF89" s="83">
        <v>38333318</v>
      </c>
      <c r="AG89" s="97"/>
      <c r="AH89" s="81">
        <v>43230</v>
      </c>
      <c r="AI89" s="83">
        <f t="shared" si="33"/>
        <v>612961</v>
      </c>
      <c r="AJ89" s="83">
        <v>578512</v>
      </c>
      <c r="AK89" s="83">
        <v>34449</v>
      </c>
      <c r="AL89" s="83">
        <v>30</v>
      </c>
      <c r="AM89" s="83">
        <f t="shared" si="34"/>
        <v>612961</v>
      </c>
      <c r="AN89" s="83">
        <v>35867744</v>
      </c>
      <c r="AO89" s="97"/>
      <c r="AP89" s="98"/>
      <c r="AQ89" s="98"/>
      <c r="AR89" s="98"/>
      <c r="AS89" s="98"/>
      <c r="AT89" s="98"/>
      <c r="AU89" s="99"/>
      <c r="AV89" s="99"/>
      <c r="AW89" s="89">
        <v>85</v>
      </c>
      <c r="AX89" s="90">
        <v>43245</v>
      </c>
      <c r="AY89" s="98"/>
      <c r="AZ89" s="98"/>
      <c r="BA89" s="98"/>
      <c r="BB89" s="98"/>
      <c r="BC89" s="99"/>
      <c r="BD89" s="99"/>
      <c r="BE89" s="97"/>
      <c r="BF89" s="98"/>
      <c r="BG89" s="98"/>
      <c r="BH89" s="98"/>
      <c r="BI89" s="98"/>
      <c r="BJ89" s="98"/>
      <c r="BK89" s="99"/>
      <c r="BL89" s="99"/>
      <c r="BM89" s="97"/>
      <c r="BN89" s="98"/>
      <c r="BO89" s="98"/>
      <c r="BP89" s="98"/>
      <c r="BQ89" s="98"/>
      <c r="BR89" s="98"/>
      <c r="BS89" s="99"/>
      <c r="BT89" s="99"/>
    </row>
    <row r="90" spans="1:72">
      <c r="A90" s="89">
        <v>86</v>
      </c>
      <c r="B90" s="90">
        <v>43276</v>
      </c>
      <c r="C90" s="98"/>
      <c r="D90" s="113">
        <f t="shared" si="17"/>
        <v>2245178</v>
      </c>
      <c r="E90" s="113">
        <f t="shared" si="18"/>
        <v>132703</v>
      </c>
      <c r="F90" s="115">
        <f t="shared" si="35"/>
        <v>62</v>
      </c>
      <c r="G90" s="116">
        <f t="shared" si="36"/>
        <v>2377881</v>
      </c>
      <c r="H90" s="116">
        <f t="shared" si="37"/>
        <v>71955884</v>
      </c>
      <c r="I90" s="97"/>
      <c r="J90" s="98"/>
      <c r="K90" s="98"/>
      <c r="L90" s="98"/>
      <c r="M90" s="98"/>
      <c r="N90" s="98"/>
      <c r="O90" s="99"/>
      <c r="P90" s="99"/>
      <c r="Q90" s="97"/>
      <c r="R90" s="98"/>
      <c r="S90" s="98"/>
      <c r="T90" s="98"/>
      <c r="U90" s="98"/>
      <c r="V90" s="98"/>
      <c r="W90" s="99"/>
      <c r="X90" s="99"/>
      <c r="Y90" s="81"/>
      <c r="Z90" s="81">
        <v>43276</v>
      </c>
      <c r="AA90" s="83">
        <f t="shared" si="38"/>
        <v>2342849</v>
      </c>
      <c r="AB90" s="83">
        <v>1666666</v>
      </c>
      <c r="AC90" s="83">
        <v>97671</v>
      </c>
      <c r="AD90" s="83">
        <v>31</v>
      </c>
      <c r="AE90" s="83">
        <f t="shared" si="39"/>
        <v>1764337</v>
      </c>
      <c r="AF90" s="83">
        <v>36666652</v>
      </c>
      <c r="AG90" s="97"/>
      <c r="AH90" s="81">
        <v>43261</v>
      </c>
      <c r="AI90" s="83">
        <f t="shared" si="33"/>
        <v>613544</v>
      </c>
      <c r="AJ90" s="83">
        <v>578512</v>
      </c>
      <c r="AK90" s="83">
        <v>35032</v>
      </c>
      <c r="AL90" s="83">
        <v>31</v>
      </c>
      <c r="AM90" s="83">
        <f t="shared" si="34"/>
        <v>613544</v>
      </c>
      <c r="AN90" s="83">
        <v>35289232</v>
      </c>
      <c r="AO90" s="97"/>
      <c r="AP90" s="98"/>
      <c r="AQ90" s="98"/>
      <c r="AR90" s="98"/>
      <c r="AS90" s="98"/>
      <c r="AT90" s="98"/>
      <c r="AU90" s="99"/>
      <c r="AV90" s="99"/>
      <c r="AW90" s="89">
        <v>86</v>
      </c>
      <c r="AX90" s="90">
        <v>43276</v>
      </c>
      <c r="AY90" s="98"/>
      <c r="AZ90" s="98"/>
      <c r="BA90" s="98"/>
      <c r="BB90" s="98"/>
      <c r="BC90" s="99"/>
      <c r="BD90" s="99"/>
      <c r="BE90" s="97"/>
      <c r="BF90" s="98"/>
      <c r="BG90" s="98"/>
      <c r="BH90" s="98"/>
      <c r="BI90" s="98"/>
      <c r="BJ90" s="98"/>
      <c r="BK90" s="99"/>
      <c r="BL90" s="99"/>
      <c r="BM90" s="97"/>
      <c r="BN90" s="98"/>
      <c r="BO90" s="98"/>
      <c r="BP90" s="98"/>
      <c r="BQ90" s="98"/>
      <c r="BR90" s="98"/>
      <c r="BS90" s="99"/>
      <c r="BT90" s="99"/>
    </row>
    <row r="91" spans="1:72">
      <c r="A91" s="89">
        <v>87</v>
      </c>
      <c r="B91" s="90">
        <v>43306</v>
      </c>
      <c r="C91" s="98"/>
      <c r="D91" s="113">
        <f t="shared" si="17"/>
        <v>2245178</v>
      </c>
      <c r="E91" s="113">
        <f t="shared" si="18"/>
        <v>123765</v>
      </c>
      <c r="F91" s="115">
        <f t="shared" si="35"/>
        <v>60</v>
      </c>
      <c r="G91" s="116">
        <f t="shared" si="36"/>
        <v>2368943</v>
      </c>
      <c r="H91" s="116">
        <f t="shared" si="37"/>
        <v>69710706</v>
      </c>
      <c r="I91" s="97"/>
      <c r="J91" s="98"/>
      <c r="K91" s="98"/>
      <c r="L91" s="98"/>
      <c r="M91" s="98"/>
      <c r="N91" s="98"/>
      <c r="O91" s="99"/>
      <c r="P91" s="99"/>
      <c r="Q91" s="97"/>
      <c r="R91" s="98"/>
      <c r="S91" s="98"/>
      <c r="T91" s="98"/>
      <c r="U91" s="98"/>
      <c r="V91" s="98"/>
      <c r="W91" s="99"/>
      <c r="X91" s="99"/>
      <c r="Y91" s="81"/>
      <c r="Z91" s="81">
        <v>43306</v>
      </c>
      <c r="AA91" s="83">
        <f t="shared" si="38"/>
        <v>2335588</v>
      </c>
      <c r="AB91" s="83">
        <v>1666666</v>
      </c>
      <c r="AC91" s="83">
        <v>90410</v>
      </c>
      <c r="AD91" s="83">
        <v>30</v>
      </c>
      <c r="AE91" s="83">
        <f t="shared" si="39"/>
        <v>1757076</v>
      </c>
      <c r="AF91" s="83">
        <v>34999986</v>
      </c>
      <c r="AG91" s="97"/>
      <c r="AH91" s="81">
        <v>43291</v>
      </c>
      <c r="AI91" s="83">
        <f t="shared" si="33"/>
        <v>611867</v>
      </c>
      <c r="AJ91" s="83">
        <v>578512</v>
      </c>
      <c r="AK91" s="83">
        <v>33355</v>
      </c>
      <c r="AL91" s="83">
        <v>30</v>
      </c>
      <c r="AM91" s="83">
        <f t="shared" si="34"/>
        <v>611867</v>
      </c>
      <c r="AN91" s="83">
        <v>34710720</v>
      </c>
      <c r="AO91" s="97"/>
      <c r="AP91" s="98"/>
      <c r="AQ91" s="98"/>
      <c r="AR91" s="98"/>
      <c r="AS91" s="98"/>
      <c r="AT91" s="98"/>
      <c r="AU91" s="99"/>
      <c r="AV91" s="99"/>
      <c r="AW91" s="89">
        <v>87</v>
      </c>
      <c r="AX91" s="90">
        <v>43306</v>
      </c>
      <c r="AY91" s="98"/>
      <c r="AZ91" s="98"/>
      <c r="BA91" s="98"/>
      <c r="BB91" s="98"/>
      <c r="BC91" s="99"/>
      <c r="BD91" s="99"/>
      <c r="BE91" s="97"/>
      <c r="BF91" s="98"/>
      <c r="BG91" s="98"/>
      <c r="BH91" s="98"/>
      <c r="BI91" s="98"/>
      <c r="BJ91" s="98"/>
      <c r="BK91" s="99"/>
      <c r="BL91" s="99"/>
      <c r="BM91" s="97"/>
      <c r="BN91" s="98"/>
      <c r="BO91" s="98"/>
      <c r="BP91" s="98"/>
      <c r="BQ91" s="98"/>
      <c r="BR91" s="98"/>
      <c r="BS91" s="99"/>
      <c r="BT91" s="99"/>
    </row>
    <row r="92" spans="1:72">
      <c r="A92" s="89">
        <v>88</v>
      </c>
      <c r="B92" s="90">
        <v>43337</v>
      </c>
      <c r="C92" s="98"/>
      <c r="D92" s="113">
        <f t="shared" si="17"/>
        <v>2245178</v>
      </c>
      <c r="E92" s="113">
        <f t="shared" si="18"/>
        <v>123079</v>
      </c>
      <c r="F92" s="115">
        <f t="shared" si="35"/>
        <v>62</v>
      </c>
      <c r="G92" s="116">
        <f t="shared" si="36"/>
        <v>2368257</v>
      </c>
      <c r="H92" s="116">
        <f t="shared" si="37"/>
        <v>67465528</v>
      </c>
      <c r="I92" s="97"/>
      <c r="J92" s="98"/>
      <c r="K92" s="98"/>
      <c r="L92" s="98"/>
      <c r="M92" s="98"/>
      <c r="N92" s="98"/>
      <c r="O92" s="99"/>
      <c r="P92" s="99"/>
      <c r="Q92" s="97"/>
      <c r="R92" s="98"/>
      <c r="S92" s="98"/>
      <c r="T92" s="98"/>
      <c r="U92" s="98"/>
      <c r="V92" s="98"/>
      <c r="W92" s="99"/>
      <c r="X92" s="99"/>
      <c r="Y92" s="81"/>
      <c r="Z92" s="81">
        <v>43337</v>
      </c>
      <c r="AA92" s="83">
        <f t="shared" si="38"/>
        <v>2334355</v>
      </c>
      <c r="AB92" s="83">
        <v>1666666</v>
      </c>
      <c r="AC92" s="83">
        <v>89177</v>
      </c>
      <c r="AD92" s="83">
        <v>31</v>
      </c>
      <c r="AE92" s="83">
        <f t="shared" si="39"/>
        <v>1755843</v>
      </c>
      <c r="AF92" s="83">
        <v>33333320</v>
      </c>
      <c r="AG92" s="97"/>
      <c r="AH92" s="81">
        <v>43322</v>
      </c>
      <c r="AI92" s="83">
        <f t="shared" si="33"/>
        <v>612414</v>
      </c>
      <c r="AJ92" s="83">
        <v>578512</v>
      </c>
      <c r="AK92" s="83">
        <v>33902</v>
      </c>
      <c r="AL92" s="83">
        <v>31</v>
      </c>
      <c r="AM92" s="83">
        <f t="shared" si="34"/>
        <v>612414</v>
      </c>
      <c r="AN92" s="83">
        <v>34132208</v>
      </c>
      <c r="AO92" s="97"/>
      <c r="AP92" s="98"/>
      <c r="AQ92" s="98"/>
      <c r="AR92" s="98"/>
      <c r="AS92" s="98"/>
      <c r="AT92" s="98"/>
      <c r="AU92" s="99"/>
      <c r="AV92" s="99"/>
      <c r="AW92" s="89">
        <v>88</v>
      </c>
      <c r="AX92" s="90">
        <v>43337</v>
      </c>
      <c r="AY92" s="98"/>
      <c r="AZ92" s="98"/>
      <c r="BA92" s="98"/>
      <c r="BB92" s="98"/>
      <c r="BC92" s="99"/>
      <c r="BD92" s="99"/>
      <c r="BE92" s="97"/>
      <c r="BF92" s="98"/>
      <c r="BG92" s="98"/>
      <c r="BH92" s="98"/>
      <c r="BI92" s="98"/>
      <c r="BJ92" s="98"/>
      <c r="BK92" s="99"/>
      <c r="BL92" s="99"/>
      <c r="BM92" s="97"/>
      <c r="BN92" s="98"/>
      <c r="BO92" s="98"/>
      <c r="BP92" s="98"/>
      <c r="BQ92" s="98"/>
      <c r="BR92" s="98"/>
      <c r="BS92" s="99"/>
      <c r="BT92" s="99"/>
    </row>
    <row r="93" spans="1:72">
      <c r="A93" s="89">
        <v>89</v>
      </c>
      <c r="B93" s="90">
        <v>43368</v>
      </c>
      <c r="C93" s="98"/>
      <c r="D93" s="113">
        <f t="shared" si="17"/>
        <v>2245178</v>
      </c>
      <c r="E93" s="113">
        <f t="shared" si="18"/>
        <v>118268</v>
      </c>
      <c r="F93" s="115">
        <f t="shared" si="35"/>
        <v>62</v>
      </c>
      <c r="G93" s="116">
        <f t="shared" si="36"/>
        <v>2363446</v>
      </c>
      <c r="H93" s="116">
        <f t="shared" si="37"/>
        <v>65220350</v>
      </c>
      <c r="I93" s="97"/>
      <c r="J93" s="98"/>
      <c r="K93" s="98"/>
      <c r="L93" s="98"/>
      <c r="M93" s="98"/>
      <c r="N93" s="98"/>
      <c r="O93" s="99"/>
      <c r="P93" s="99"/>
      <c r="Q93" s="97"/>
      <c r="R93" s="98"/>
      <c r="S93" s="98"/>
      <c r="T93" s="98"/>
      <c r="U93" s="98"/>
      <c r="V93" s="98"/>
      <c r="W93" s="99"/>
      <c r="X93" s="99"/>
      <c r="Y93" s="81"/>
      <c r="Z93" s="81">
        <v>43368</v>
      </c>
      <c r="AA93" s="83">
        <f t="shared" si="38"/>
        <v>2330109</v>
      </c>
      <c r="AB93" s="83">
        <v>1666666</v>
      </c>
      <c r="AC93" s="83">
        <v>84931</v>
      </c>
      <c r="AD93" s="83">
        <v>31</v>
      </c>
      <c r="AE93" s="83">
        <f t="shared" si="39"/>
        <v>1751597</v>
      </c>
      <c r="AF93" s="83">
        <v>31666654</v>
      </c>
      <c r="AG93" s="97"/>
      <c r="AH93" s="81">
        <v>43353</v>
      </c>
      <c r="AI93" s="83">
        <f t="shared" si="33"/>
        <v>611849</v>
      </c>
      <c r="AJ93" s="83">
        <v>578512</v>
      </c>
      <c r="AK93" s="83">
        <v>33337</v>
      </c>
      <c r="AL93" s="83">
        <v>31</v>
      </c>
      <c r="AM93" s="83">
        <f t="shared" si="34"/>
        <v>611849</v>
      </c>
      <c r="AN93" s="83">
        <v>33553696</v>
      </c>
      <c r="AO93" s="97"/>
      <c r="AP93" s="98"/>
      <c r="AQ93" s="98"/>
      <c r="AR93" s="98"/>
      <c r="AS93" s="98"/>
      <c r="AT93" s="98"/>
      <c r="AU93" s="99"/>
      <c r="AV93" s="99"/>
      <c r="AW93" s="89">
        <v>89</v>
      </c>
      <c r="AX93" s="90">
        <v>43368</v>
      </c>
      <c r="AY93" s="98"/>
      <c r="AZ93" s="98"/>
      <c r="BA93" s="98"/>
      <c r="BB93" s="98"/>
      <c r="BC93" s="99"/>
      <c r="BD93" s="99"/>
      <c r="BE93" s="97"/>
      <c r="BF93" s="98"/>
      <c r="BG93" s="98"/>
      <c r="BH93" s="98"/>
      <c r="BI93" s="98"/>
      <c r="BJ93" s="98"/>
      <c r="BK93" s="99"/>
      <c r="BL93" s="99"/>
      <c r="BM93" s="97"/>
      <c r="BN93" s="98"/>
      <c r="BO93" s="98"/>
      <c r="BP93" s="98"/>
      <c r="BQ93" s="98"/>
      <c r="BR93" s="98"/>
      <c r="BS93" s="99"/>
      <c r="BT93" s="99"/>
    </row>
    <row r="94" spans="1:72">
      <c r="A94" s="89">
        <v>90</v>
      </c>
      <c r="B94" s="90">
        <v>43398</v>
      </c>
      <c r="C94" s="98"/>
      <c r="D94" s="113">
        <f t="shared" si="17"/>
        <v>2245178</v>
      </c>
      <c r="E94" s="113">
        <f t="shared" si="18"/>
        <v>109797</v>
      </c>
      <c r="F94" s="115">
        <f t="shared" si="35"/>
        <v>60</v>
      </c>
      <c r="G94" s="116">
        <f t="shared" si="36"/>
        <v>2354975</v>
      </c>
      <c r="H94" s="116">
        <f t="shared" si="37"/>
        <v>62975172</v>
      </c>
      <c r="I94" s="97"/>
      <c r="J94" s="98"/>
      <c r="K94" s="98"/>
      <c r="L94" s="98"/>
      <c r="M94" s="98"/>
      <c r="N94" s="98"/>
      <c r="O94" s="99"/>
      <c r="P94" s="99"/>
      <c r="Q94" s="97"/>
      <c r="R94" s="98"/>
      <c r="S94" s="98"/>
      <c r="T94" s="98"/>
      <c r="U94" s="98"/>
      <c r="V94" s="98"/>
      <c r="W94" s="99"/>
      <c r="X94" s="99"/>
      <c r="Y94" s="81"/>
      <c r="Z94" s="81">
        <v>43398</v>
      </c>
      <c r="AA94" s="83">
        <f t="shared" si="38"/>
        <v>2323260</v>
      </c>
      <c r="AB94" s="83">
        <v>1666666</v>
      </c>
      <c r="AC94" s="83">
        <v>78082</v>
      </c>
      <c r="AD94" s="83">
        <v>30</v>
      </c>
      <c r="AE94" s="83">
        <f t="shared" si="39"/>
        <v>1744748</v>
      </c>
      <c r="AF94" s="83">
        <v>29999988</v>
      </c>
      <c r="AG94" s="97"/>
      <c r="AH94" s="81">
        <v>43383</v>
      </c>
      <c r="AI94" s="83">
        <f t="shared" si="33"/>
        <v>610227</v>
      </c>
      <c r="AJ94" s="83">
        <v>578512</v>
      </c>
      <c r="AK94" s="83">
        <v>31715</v>
      </c>
      <c r="AL94" s="83">
        <v>30</v>
      </c>
      <c r="AM94" s="83">
        <f t="shared" si="34"/>
        <v>610227</v>
      </c>
      <c r="AN94" s="83">
        <v>32975184</v>
      </c>
      <c r="AO94" s="97"/>
      <c r="AP94" s="98"/>
      <c r="AQ94" s="98"/>
      <c r="AR94" s="98"/>
      <c r="AS94" s="98"/>
      <c r="AT94" s="98"/>
      <c r="AU94" s="99"/>
      <c r="AV94" s="99"/>
      <c r="AW94" s="89">
        <v>90</v>
      </c>
      <c r="AX94" s="90">
        <v>43398</v>
      </c>
      <c r="AY94" s="98"/>
      <c r="AZ94" s="98"/>
      <c r="BA94" s="98"/>
      <c r="BB94" s="98"/>
      <c r="BC94" s="99"/>
      <c r="BD94" s="99"/>
      <c r="BE94" s="97"/>
      <c r="BF94" s="98"/>
      <c r="BG94" s="98"/>
      <c r="BH94" s="98"/>
      <c r="BI94" s="98"/>
      <c r="BJ94" s="98"/>
      <c r="BK94" s="99"/>
      <c r="BL94" s="99"/>
      <c r="BM94" s="97"/>
      <c r="BN94" s="98"/>
      <c r="BO94" s="98"/>
      <c r="BP94" s="98"/>
      <c r="BQ94" s="98"/>
      <c r="BR94" s="98"/>
      <c r="BS94" s="99"/>
      <c r="BT94" s="99"/>
    </row>
    <row r="95" spans="1:72">
      <c r="A95" s="89">
        <v>91</v>
      </c>
      <c r="B95" s="90">
        <v>43429</v>
      </c>
      <c r="C95" s="98"/>
      <c r="D95" s="113">
        <f t="shared" si="17"/>
        <v>2245178</v>
      </c>
      <c r="E95" s="113">
        <f t="shared" si="18"/>
        <v>108645</v>
      </c>
      <c r="F95" s="115">
        <f t="shared" si="35"/>
        <v>62</v>
      </c>
      <c r="G95" s="116">
        <f t="shared" si="36"/>
        <v>2353823</v>
      </c>
      <c r="H95" s="116">
        <f t="shared" si="37"/>
        <v>60729994</v>
      </c>
      <c r="I95" s="97"/>
      <c r="J95" s="98"/>
      <c r="K95" s="98"/>
      <c r="L95" s="98"/>
      <c r="M95" s="98"/>
      <c r="N95" s="98"/>
      <c r="O95" s="99"/>
      <c r="P95" s="99"/>
      <c r="Q95" s="97"/>
      <c r="R95" s="98"/>
      <c r="S95" s="98"/>
      <c r="T95" s="98"/>
      <c r="U95" s="98"/>
      <c r="V95" s="98"/>
      <c r="W95" s="99"/>
      <c r="X95" s="99"/>
      <c r="Y95" s="81"/>
      <c r="Z95" s="81">
        <v>43429</v>
      </c>
      <c r="AA95" s="83">
        <f t="shared" si="38"/>
        <v>2321616</v>
      </c>
      <c r="AB95" s="83">
        <v>1666666</v>
      </c>
      <c r="AC95" s="83">
        <v>76438</v>
      </c>
      <c r="AD95" s="83">
        <v>31</v>
      </c>
      <c r="AE95" s="83">
        <f t="shared" si="39"/>
        <v>1743104</v>
      </c>
      <c r="AF95" s="83">
        <v>28333322</v>
      </c>
      <c r="AG95" s="97"/>
      <c r="AH95" s="81">
        <v>43414</v>
      </c>
      <c r="AI95" s="83">
        <f t="shared" si="33"/>
        <v>610719</v>
      </c>
      <c r="AJ95" s="83">
        <v>578512</v>
      </c>
      <c r="AK95" s="83">
        <v>32207</v>
      </c>
      <c r="AL95" s="83">
        <v>31</v>
      </c>
      <c r="AM95" s="83">
        <f t="shared" si="34"/>
        <v>610719</v>
      </c>
      <c r="AN95" s="83">
        <v>32396672</v>
      </c>
      <c r="AO95" s="97"/>
      <c r="AP95" s="98"/>
      <c r="AQ95" s="98"/>
      <c r="AR95" s="98"/>
      <c r="AS95" s="98"/>
      <c r="AT95" s="98"/>
      <c r="AU95" s="99"/>
      <c r="AV95" s="99"/>
      <c r="AW95" s="89">
        <v>91</v>
      </c>
      <c r="AX95" s="90">
        <v>43429</v>
      </c>
      <c r="AY95" s="98"/>
      <c r="AZ95" s="98"/>
      <c r="BA95" s="98"/>
      <c r="BB95" s="98"/>
      <c r="BC95" s="99"/>
      <c r="BD95" s="99"/>
      <c r="BE95" s="97"/>
      <c r="BF95" s="98"/>
      <c r="BG95" s="98"/>
      <c r="BH95" s="98"/>
      <c r="BI95" s="98"/>
      <c r="BJ95" s="98"/>
      <c r="BK95" s="99"/>
      <c r="BL95" s="99"/>
      <c r="BM95" s="97"/>
      <c r="BN95" s="98"/>
      <c r="BO95" s="98"/>
      <c r="BP95" s="98"/>
      <c r="BQ95" s="98"/>
      <c r="BR95" s="98"/>
      <c r="BS95" s="99"/>
      <c r="BT95" s="99"/>
    </row>
    <row r="96" spans="1:72">
      <c r="A96" s="89">
        <v>92</v>
      </c>
      <c r="B96" s="90">
        <v>43459</v>
      </c>
      <c r="C96" s="98"/>
      <c r="D96" s="113">
        <f t="shared" si="17"/>
        <v>2245178</v>
      </c>
      <c r="E96" s="113">
        <f t="shared" si="18"/>
        <v>100483</v>
      </c>
      <c r="F96" s="115">
        <f t="shared" si="35"/>
        <v>60</v>
      </c>
      <c r="G96" s="116">
        <f t="shared" si="36"/>
        <v>2345661</v>
      </c>
      <c r="H96" s="116">
        <f t="shared" si="37"/>
        <v>58484816</v>
      </c>
      <c r="I96" s="97"/>
      <c r="J96" s="98"/>
      <c r="K96" s="98"/>
      <c r="L96" s="98"/>
      <c r="M96" s="98"/>
      <c r="N96" s="98"/>
      <c r="O96" s="99"/>
      <c r="P96" s="99"/>
      <c r="Q96" s="97"/>
      <c r="R96" s="98"/>
      <c r="S96" s="98"/>
      <c r="T96" s="98"/>
      <c r="U96" s="98"/>
      <c r="V96" s="98"/>
      <c r="W96" s="99"/>
      <c r="X96" s="99"/>
      <c r="Y96" s="81"/>
      <c r="Z96" s="81">
        <v>43459</v>
      </c>
      <c r="AA96" s="83">
        <f t="shared" si="38"/>
        <v>2315040</v>
      </c>
      <c r="AB96" s="83">
        <v>1666666</v>
      </c>
      <c r="AC96" s="83">
        <v>69862</v>
      </c>
      <c r="AD96" s="83">
        <v>30</v>
      </c>
      <c r="AE96" s="83">
        <f t="shared" si="39"/>
        <v>1736528</v>
      </c>
      <c r="AF96" s="83">
        <v>26666656</v>
      </c>
      <c r="AG96" s="97"/>
      <c r="AH96" s="81">
        <v>43444</v>
      </c>
      <c r="AI96" s="83">
        <f t="shared" si="33"/>
        <v>609133</v>
      </c>
      <c r="AJ96" s="83">
        <v>578512</v>
      </c>
      <c r="AK96" s="83">
        <v>30621</v>
      </c>
      <c r="AL96" s="83">
        <v>30</v>
      </c>
      <c r="AM96" s="83">
        <f t="shared" si="34"/>
        <v>609133</v>
      </c>
      <c r="AN96" s="83">
        <v>31818160</v>
      </c>
      <c r="AO96" s="97"/>
      <c r="AP96" s="98"/>
      <c r="AQ96" s="98"/>
      <c r="AR96" s="98"/>
      <c r="AS96" s="98"/>
      <c r="AT96" s="98"/>
      <c r="AU96" s="99"/>
      <c r="AV96" s="99"/>
      <c r="AW96" s="89">
        <v>92</v>
      </c>
      <c r="AX96" s="90">
        <v>43459</v>
      </c>
      <c r="AY96" s="98"/>
      <c r="AZ96" s="98"/>
      <c r="BA96" s="98"/>
      <c r="BB96" s="98"/>
      <c r="BC96" s="99"/>
      <c r="BD96" s="99"/>
      <c r="BE96" s="97"/>
      <c r="BF96" s="98"/>
      <c r="BG96" s="98"/>
      <c r="BH96" s="98"/>
      <c r="BI96" s="98"/>
      <c r="BJ96" s="98"/>
      <c r="BK96" s="99"/>
      <c r="BL96" s="99"/>
      <c r="BM96" s="97"/>
      <c r="BN96" s="98"/>
      <c r="BO96" s="98"/>
      <c r="BP96" s="98"/>
      <c r="BQ96" s="98"/>
      <c r="BR96" s="98"/>
      <c r="BS96" s="99"/>
      <c r="BT96" s="99"/>
    </row>
    <row r="97" spans="1:72">
      <c r="A97" s="89">
        <v>93</v>
      </c>
      <c r="B97" s="90">
        <v>43490</v>
      </c>
      <c r="C97" s="98"/>
      <c r="D97" s="113">
        <f t="shared" ref="D97:D160" si="40">L97+T97+AB97+AJ97+AR97+AZ97+BH97+BP97</f>
        <v>2245178</v>
      </c>
      <c r="E97" s="113">
        <f t="shared" ref="E97:E160" si="41">M97+U97+AC97+AK97+AS97+BA97+BI97+BQ97</f>
        <v>99022</v>
      </c>
      <c r="F97" s="115">
        <f t="shared" si="35"/>
        <v>62</v>
      </c>
      <c r="G97" s="116">
        <f t="shared" si="36"/>
        <v>2344200</v>
      </c>
      <c r="H97" s="116">
        <f t="shared" si="37"/>
        <v>56239638</v>
      </c>
      <c r="I97" s="97"/>
      <c r="J97" s="98"/>
      <c r="K97" s="98"/>
      <c r="L97" s="98"/>
      <c r="M97" s="98"/>
      <c r="N97" s="98"/>
      <c r="O97" s="99"/>
      <c r="P97" s="99"/>
      <c r="Q97" s="97"/>
      <c r="R97" s="98"/>
      <c r="S97" s="98"/>
      <c r="T97" s="98"/>
      <c r="U97" s="98"/>
      <c r="V97" s="98"/>
      <c r="W97" s="99"/>
      <c r="X97" s="99"/>
      <c r="Y97" s="81"/>
      <c r="Z97" s="81">
        <v>43490</v>
      </c>
      <c r="AA97" s="83">
        <f t="shared" si="38"/>
        <v>2313123</v>
      </c>
      <c r="AB97" s="83">
        <v>1666666</v>
      </c>
      <c r="AC97" s="83">
        <v>67945</v>
      </c>
      <c r="AD97" s="83">
        <v>31</v>
      </c>
      <c r="AE97" s="83">
        <f t="shared" si="39"/>
        <v>1734611</v>
      </c>
      <c r="AF97" s="83">
        <v>24999990</v>
      </c>
      <c r="AG97" s="97"/>
      <c r="AH97" s="81">
        <v>43475</v>
      </c>
      <c r="AI97" s="83">
        <f t="shared" si="33"/>
        <v>609589</v>
      </c>
      <c r="AJ97" s="83">
        <v>578512</v>
      </c>
      <c r="AK97" s="83">
        <v>31077</v>
      </c>
      <c r="AL97" s="83">
        <v>31</v>
      </c>
      <c r="AM97" s="83">
        <f t="shared" si="34"/>
        <v>609589</v>
      </c>
      <c r="AN97" s="83">
        <v>31239648</v>
      </c>
      <c r="AO97" s="97"/>
      <c r="AP97" s="98"/>
      <c r="AQ97" s="98"/>
      <c r="AR97" s="98"/>
      <c r="AS97" s="98"/>
      <c r="AT97" s="98"/>
      <c r="AU97" s="99"/>
      <c r="AV97" s="99"/>
      <c r="AW97" s="89">
        <v>93</v>
      </c>
      <c r="AX97" s="90">
        <v>43490</v>
      </c>
      <c r="AY97" s="98"/>
      <c r="AZ97" s="98"/>
      <c r="BA97" s="98"/>
      <c r="BB97" s="98"/>
      <c r="BC97" s="99"/>
      <c r="BD97" s="99"/>
      <c r="BE97" s="97"/>
      <c r="BF97" s="98"/>
      <c r="BG97" s="98"/>
      <c r="BH97" s="98"/>
      <c r="BI97" s="98"/>
      <c r="BJ97" s="98"/>
      <c r="BK97" s="99"/>
      <c r="BL97" s="99"/>
      <c r="BM97" s="97"/>
      <c r="BN97" s="98"/>
      <c r="BO97" s="98"/>
      <c r="BP97" s="98"/>
      <c r="BQ97" s="98"/>
      <c r="BR97" s="98"/>
      <c r="BS97" s="99"/>
      <c r="BT97" s="99"/>
    </row>
    <row r="98" spans="1:72">
      <c r="A98" s="89">
        <v>94</v>
      </c>
      <c r="B98" s="90">
        <v>43521</v>
      </c>
      <c r="C98" s="98"/>
      <c r="D98" s="113">
        <f t="shared" si="40"/>
        <v>2245178</v>
      </c>
      <c r="E98" s="113">
        <f t="shared" si="41"/>
        <v>94210</v>
      </c>
      <c r="F98" s="115">
        <f t="shared" si="35"/>
        <v>62</v>
      </c>
      <c r="G98" s="116">
        <f t="shared" si="36"/>
        <v>2339388</v>
      </c>
      <c r="H98" s="116">
        <f t="shared" si="37"/>
        <v>53994460</v>
      </c>
      <c r="I98" s="97"/>
      <c r="J98" s="98"/>
      <c r="K98" s="98"/>
      <c r="L98" s="98"/>
      <c r="M98" s="98"/>
      <c r="N98" s="98"/>
      <c r="O98" s="99"/>
      <c r="P98" s="99"/>
      <c r="Q98" s="97"/>
      <c r="R98" s="98"/>
      <c r="S98" s="98"/>
      <c r="T98" s="98"/>
      <c r="U98" s="98"/>
      <c r="V98" s="98"/>
      <c r="W98" s="99"/>
      <c r="X98" s="99"/>
      <c r="Y98" s="81"/>
      <c r="Z98" s="81">
        <v>43521</v>
      </c>
      <c r="AA98" s="83">
        <f t="shared" si="38"/>
        <v>2308876</v>
      </c>
      <c r="AB98" s="83">
        <v>1666666</v>
      </c>
      <c r="AC98" s="83">
        <v>63698</v>
      </c>
      <c r="AD98" s="83">
        <v>31</v>
      </c>
      <c r="AE98" s="83">
        <f t="shared" si="39"/>
        <v>1730364</v>
      </c>
      <c r="AF98" s="83">
        <v>23333324</v>
      </c>
      <c r="AG98" s="97"/>
      <c r="AH98" s="81">
        <v>43506</v>
      </c>
      <c r="AI98" s="83">
        <f t="shared" si="33"/>
        <v>609024</v>
      </c>
      <c r="AJ98" s="83">
        <v>578512</v>
      </c>
      <c r="AK98" s="83">
        <v>30512</v>
      </c>
      <c r="AL98" s="83">
        <v>31</v>
      </c>
      <c r="AM98" s="83">
        <f t="shared" si="34"/>
        <v>609024</v>
      </c>
      <c r="AN98" s="83">
        <v>30661136</v>
      </c>
      <c r="AO98" s="97"/>
      <c r="AP98" s="98"/>
      <c r="AQ98" s="98"/>
      <c r="AR98" s="98"/>
      <c r="AS98" s="98"/>
      <c r="AT98" s="98"/>
      <c r="AU98" s="99"/>
      <c r="AV98" s="99"/>
      <c r="AW98" s="89">
        <v>94</v>
      </c>
      <c r="AX98" s="90">
        <v>43521</v>
      </c>
      <c r="AY98" s="98"/>
      <c r="AZ98" s="98"/>
      <c r="BA98" s="98"/>
      <c r="BB98" s="98"/>
      <c r="BC98" s="99"/>
      <c r="BD98" s="99"/>
      <c r="BE98" s="97"/>
      <c r="BF98" s="98"/>
      <c r="BG98" s="98"/>
      <c r="BH98" s="98"/>
      <c r="BI98" s="98"/>
      <c r="BJ98" s="98"/>
      <c r="BK98" s="99"/>
      <c r="BL98" s="99"/>
      <c r="BM98" s="97"/>
      <c r="BN98" s="98"/>
      <c r="BO98" s="98"/>
      <c r="BP98" s="98"/>
      <c r="BQ98" s="98"/>
      <c r="BR98" s="98"/>
      <c r="BS98" s="99"/>
      <c r="BT98" s="99"/>
    </row>
    <row r="99" spans="1:72">
      <c r="A99" s="89">
        <v>95</v>
      </c>
      <c r="B99" s="90">
        <v>43549</v>
      </c>
      <c r="C99" s="98"/>
      <c r="D99" s="113">
        <f t="shared" si="40"/>
        <v>2245178</v>
      </c>
      <c r="E99" s="113">
        <f t="shared" si="41"/>
        <v>80746</v>
      </c>
      <c r="F99" s="115">
        <f t="shared" si="35"/>
        <v>56</v>
      </c>
      <c r="G99" s="116">
        <f t="shared" si="36"/>
        <v>2325924</v>
      </c>
      <c r="H99" s="116">
        <f t="shared" si="37"/>
        <v>51749282</v>
      </c>
      <c r="I99" s="97"/>
      <c r="J99" s="98"/>
      <c r="K99" s="98"/>
      <c r="L99" s="98"/>
      <c r="M99" s="98"/>
      <c r="N99" s="98"/>
      <c r="O99" s="99"/>
      <c r="P99" s="99"/>
      <c r="Q99" s="97"/>
      <c r="R99" s="98"/>
      <c r="S99" s="98"/>
      <c r="T99" s="98"/>
      <c r="U99" s="98"/>
      <c r="V99" s="98"/>
      <c r="W99" s="99"/>
      <c r="X99" s="99"/>
      <c r="Y99" s="81"/>
      <c r="Z99" s="81">
        <v>43549</v>
      </c>
      <c r="AA99" s="83">
        <f t="shared" si="38"/>
        <v>2298876</v>
      </c>
      <c r="AB99" s="83">
        <v>1666666</v>
      </c>
      <c r="AC99" s="83">
        <v>53698</v>
      </c>
      <c r="AD99" s="83">
        <v>28</v>
      </c>
      <c r="AE99" s="83">
        <f t="shared" si="39"/>
        <v>1720364</v>
      </c>
      <c r="AF99" s="83">
        <v>21666658</v>
      </c>
      <c r="AG99" s="97"/>
      <c r="AH99" s="81">
        <v>43534</v>
      </c>
      <c r="AI99" s="83">
        <f t="shared" si="33"/>
        <v>605560</v>
      </c>
      <c r="AJ99" s="83">
        <v>578512</v>
      </c>
      <c r="AK99" s="83">
        <v>27048</v>
      </c>
      <c r="AL99" s="83">
        <v>28</v>
      </c>
      <c r="AM99" s="83">
        <f t="shared" si="34"/>
        <v>605560</v>
      </c>
      <c r="AN99" s="83">
        <v>30082624</v>
      </c>
      <c r="AO99" s="97"/>
      <c r="AP99" s="98"/>
      <c r="AQ99" s="98"/>
      <c r="AR99" s="98"/>
      <c r="AS99" s="98"/>
      <c r="AT99" s="98"/>
      <c r="AU99" s="99"/>
      <c r="AV99" s="99"/>
      <c r="AW99" s="89">
        <v>95</v>
      </c>
      <c r="AX99" s="90">
        <v>43549</v>
      </c>
      <c r="AY99" s="98"/>
      <c r="AZ99" s="98"/>
      <c r="BA99" s="98"/>
      <c r="BB99" s="98"/>
      <c r="BC99" s="99"/>
      <c r="BD99" s="99"/>
      <c r="BE99" s="97"/>
      <c r="BF99" s="98"/>
      <c r="BG99" s="98"/>
      <c r="BH99" s="98"/>
      <c r="BI99" s="98"/>
      <c r="BJ99" s="98"/>
      <c r="BK99" s="99"/>
      <c r="BL99" s="99"/>
      <c r="BM99" s="97"/>
      <c r="BN99" s="98"/>
      <c r="BO99" s="98"/>
      <c r="BP99" s="98"/>
      <c r="BQ99" s="98"/>
      <c r="BR99" s="98"/>
      <c r="BS99" s="99"/>
      <c r="BT99" s="99"/>
    </row>
    <row r="100" spans="1:72">
      <c r="A100" s="89">
        <v>96</v>
      </c>
      <c r="B100" s="90">
        <v>43580</v>
      </c>
      <c r="C100" s="98"/>
      <c r="D100" s="113">
        <f t="shared" si="40"/>
        <v>2245178</v>
      </c>
      <c r="E100" s="113">
        <f t="shared" si="41"/>
        <v>84587</v>
      </c>
      <c r="F100" s="115">
        <f t="shared" si="35"/>
        <v>62</v>
      </c>
      <c r="G100" s="116">
        <f t="shared" si="36"/>
        <v>2329765</v>
      </c>
      <c r="H100" s="116">
        <f t="shared" si="37"/>
        <v>49504104</v>
      </c>
      <c r="I100" s="97"/>
      <c r="J100" s="98"/>
      <c r="K100" s="98"/>
      <c r="L100" s="98"/>
      <c r="M100" s="98"/>
      <c r="N100" s="98"/>
      <c r="O100" s="99"/>
      <c r="P100" s="99"/>
      <c r="Q100" s="97"/>
      <c r="R100" s="98"/>
      <c r="S100" s="98"/>
      <c r="T100" s="98"/>
      <c r="U100" s="98"/>
      <c r="V100" s="98"/>
      <c r="W100" s="99"/>
      <c r="X100" s="99"/>
      <c r="Y100" s="81"/>
      <c r="Z100" s="81">
        <v>43580</v>
      </c>
      <c r="AA100" s="83">
        <f t="shared" si="38"/>
        <v>2300383</v>
      </c>
      <c r="AB100" s="83">
        <v>1666666</v>
      </c>
      <c r="AC100" s="83">
        <v>55205</v>
      </c>
      <c r="AD100" s="83">
        <v>31</v>
      </c>
      <c r="AE100" s="83">
        <f t="shared" si="39"/>
        <v>1721871</v>
      </c>
      <c r="AF100" s="83">
        <v>19999992</v>
      </c>
      <c r="AG100" s="97"/>
      <c r="AH100" s="81">
        <v>43565</v>
      </c>
      <c r="AI100" s="83">
        <f t="shared" si="33"/>
        <v>607894</v>
      </c>
      <c r="AJ100" s="83">
        <v>578512</v>
      </c>
      <c r="AK100" s="83">
        <v>29382</v>
      </c>
      <c r="AL100" s="83">
        <v>31</v>
      </c>
      <c r="AM100" s="83">
        <f t="shared" si="34"/>
        <v>607894</v>
      </c>
      <c r="AN100" s="83">
        <v>29504112</v>
      </c>
      <c r="AO100" s="97"/>
      <c r="AP100" s="98"/>
      <c r="AQ100" s="98"/>
      <c r="AR100" s="98"/>
      <c r="AS100" s="98"/>
      <c r="AT100" s="98"/>
      <c r="AU100" s="99"/>
      <c r="AV100" s="99"/>
      <c r="AW100" s="89">
        <v>96</v>
      </c>
      <c r="AX100" s="90">
        <v>43580</v>
      </c>
      <c r="AY100" s="98"/>
      <c r="AZ100" s="98"/>
      <c r="BA100" s="98"/>
      <c r="BB100" s="98"/>
      <c r="BC100" s="99"/>
      <c r="BD100" s="99"/>
      <c r="BE100" s="97"/>
      <c r="BF100" s="98"/>
      <c r="BG100" s="98"/>
      <c r="BH100" s="98"/>
      <c r="BI100" s="98"/>
      <c r="BJ100" s="98"/>
      <c r="BK100" s="99"/>
      <c r="BL100" s="99"/>
      <c r="BM100" s="97"/>
      <c r="BN100" s="98"/>
      <c r="BO100" s="98"/>
      <c r="BP100" s="98"/>
      <c r="BQ100" s="98"/>
      <c r="BR100" s="98"/>
      <c r="BS100" s="99"/>
      <c r="BT100" s="99"/>
    </row>
    <row r="101" spans="1:72">
      <c r="A101" s="89">
        <v>97</v>
      </c>
      <c r="B101" s="90">
        <v>43610</v>
      </c>
      <c r="C101" s="98"/>
      <c r="D101" s="113">
        <f t="shared" si="40"/>
        <v>2245178</v>
      </c>
      <c r="E101" s="113">
        <f t="shared" si="41"/>
        <v>77201</v>
      </c>
      <c r="F101" s="115">
        <f t="shared" si="35"/>
        <v>60</v>
      </c>
      <c r="G101" s="116">
        <f t="shared" si="36"/>
        <v>2322379</v>
      </c>
      <c r="H101" s="116">
        <f t="shared" si="37"/>
        <v>47258926</v>
      </c>
      <c r="I101" s="97"/>
      <c r="J101" s="98"/>
      <c r="K101" s="98"/>
      <c r="L101" s="98"/>
      <c r="M101" s="98"/>
      <c r="N101" s="98"/>
      <c r="O101" s="99"/>
      <c r="P101" s="99"/>
      <c r="Q101" s="97"/>
      <c r="R101" s="98"/>
      <c r="S101" s="98"/>
      <c r="T101" s="98"/>
      <c r="U101" s="98"/>
      <c r="V101" s="98"/>
      <c r="W101" s="99"/>
      <c r="X101" s="99"/>
      <c r="Y101" s="81"/>
      <c r="Z101" s="81">
        <v>43610</v>
      </c>
      <c r="AA101" s="83">
        <f t="shared" si="38"/>
        <v>2294492</v>
      </c>
      <c r="AB101" s="83">
        <v>1666666</v>
      </c>
      <c r="AC101" s="83">
        <v>49314</v>
      </c>
      <c r="AD101" s="83">
        <v>30</v>
      </c>
      <c r="AE101" s="83">
        <f t="shared" si="39"/>
        <v>1715980</v>
      </c>
      <c r="AF101" s="83">
        <v>18333326</v>
      </c>
      <c r="AG101" s="97"/>
      <c r="AH101" s="81">
        <v>43595</v>
      </c>
      <c r="AI101" s="83">
        <f t="shared" ref="AI101:AI132" si="42">AM101+AR101</f>
        <v>606399</v>
      </c>
      <c r="AJ101" s="83">
        <v>578512</v>
      </c>
      <c r="AK101" s="83">
        <v>27887</v>
      </c>
      <c r="AL101" s="83">
        <v>30</v>
      </c>
      <c r="AM101" s="83">
        <f t="shared" ref="AM101:AM132" si="43">AJ101+AK101</f>
        <v>606399</v>
      </c>
      <c r="AN101" s="83">
        <v>28925600</v>
      </c>
      <c r="AO101" s="97"/>
      <c r="AP101" s="98"/>
      <c r="AQ101" s="98"/>
      <c r="AR101" s="98"/>
      <c r="AS101" s="98"/>
      <c r="AT101" s="98"/>
      <c r="AU101" s="99"/>
      <c r="AV101" s="99"/>
      <c r="AW101" s="89">
        <v>97</v>
      </c>
      <c r="AX101" s="90">
        <v>43610</v>
      </c>
      <c r="AY101" s="98"/>
      <c r="AZ101" s="98"/>
      <c r="BA101" s="98"/>
      <c r="BB101" s="98"/>
      <c r="BC101" s="99"/>
      <c r="BD101" s="99"/>
      <c r="BE101" s="97"/>
      <c r="BF101" s="98"/>
      <c r="BG101" s="98"/>
      <c r="BH101" s="98"/>
      <c r="BI101" s="98"/>
      <c r="BJ101" s="98"/>
      <c r="BK101" s="99"/>
      <c r="BL101" s="99"/>
      <c r="BM101" s="97"/>
      <c r="BN101" s="98"/>
      <c r="BO101" s="98"/>
      <c r="BP101" s="98"/>
      <c r="BQ101" s="98"/>
      <c r="BR101" s="98"/>
      <c r="BS101" s="99"/>
      <c r="BT101" s="99"/>
    </row>
    <row r="102" spans="1:72">
      <c r="A102" s="89">
        <v>98</v>
      </c>
      <c r="B102" s="90">
        <v>43641</v>
      </c>
      <c r="C102" s="98"/>
      <c r="D102" s="113">
        <f t="shared" si="40"/>
        <v>2245178</v>
      </c>
      <c r="E102" s="113">
        <f t="shared" si="41"/>
        <v>74964</v>
      </c>
      <c r="F102" s="115">
        <f t="shared" si="35"/>
        <v>62</v>
      </c>
      <c r="G102" s="116">
        <f t="shared" si="36"/>
        <v>2320142</v>
      </c>
      <c r="H102" s="116">
        <f t="shared" si="37"/>
        <v>45013748</v>
      </c>
      <c r="I102" s="97"/>
      <c r="J102" s="98"/>
      <c r="K102" s="98"/>
      <c r="L102" s="98"/>
      <c r="M102" s="98"/>
      <c r="N102" s="98"/>
      <c r="O102" s="99"/>
      <c r="P102" s="99"/>
      <c r="Q102" s="97"/>
      <c r="R102" s="98"/>
      <c r="S102" s="98"/>
      <c r="T102" s="98"/>
      <c r="U102" s="98"/>
      <c r="V102" s="98"/>
      <c r="W102" s="99"/>
      <c r="X102" s="99"/>
      <c r="Y102" s="81"/>
      <c r="Z102" s="81">
        <v>43641</v>
      </c>
      <c r="AA102" s="83">
        <f t="shared" si="38"/>
        <v>2291890</v>
      </c>
      <c r="AB102" s="83">
        <v>1666666</v>
      </c>
      <c r="AC102" s="83">
        <v>46712</v>
      </c>
      <c r="AD102" s="83">
        <v>31</v>
      </c>
      <c r="AE102" s="83">
        <f t="shared" si="39"/>
        <v>1713378</v>
      </c>
      <c r="AF102" s="83">
        <v>16666660</v>
      </c>
      <c r="AG102" s="97"/>
      <c r="AH102" s="81">
        <v>43626</v>
      </c>
      <c r="AI102" s="83">
        <f t="shared" si="42"/>
        <v>606764</v>
      </c>
      <c r="AJ102" s="83">
        <v>578512</v>
      </c>
      <c r="AK102" s="83">
        <v>28252</v>
      </c>
      <c r="AL102" s="83">
        <v>31</v>
      </c>
      <c r="AM102" s="83">
        <f t="shared" si="43"/>
        <v>606764</v>
      </c>
      <c r="AN102" s="83">
        <v>28347088</v>
      </c>
      <c r="AO102" s="97"/>
      <c r="AP102" s="98"/>
      <c r="AQ102" s="98"/>
      <c r="AR102" s="98"/>
      <c r="AS102" s="98"/>
      <c r="AT102" s="98"/>
      <c r="AU102" s="99"/>
      <c r="AV102" s="99"/>
      <c r="AW102" s="89">
        <v>98</v>
      </c>
      <c r="AX102" s="90">
        <v>43641</v>
      </c>
      <c r="AY102" s="98"/>
      <c r="AZ102" s="98"/>
      <c r="BA102" s="98"/>
      <c r="BB102" s="98"/>
      <c r="BC102" s="99"/>
      <c r="BD102" s="99"/>
      <c r="BE102" s="97"/>
      <c r="BF102" s="98"/>
      <c r="BG102" s="98"/>
      <c r="BH102" s="98"/>
      <c r="BI102" s="98"/>
      <c r="BJ102" s="98"/>
      <c r="BK102" s="99"/>
      <c r="BL102" s="99"/>
      <c r="BM102" s="97"/>
      <c r="BN102" s="98"/>
      <c r="BO102" s="98"/>
      <c r="BP102" s="98"/>
      <c r="BQ102" s="98"/>
      <c r="BR102" s="98"/>
      <c r="BS102" s="99"/>
      <c r="BT102" s="99"/>
    </row>
    <row r="103" spans="1:72">
      <c r="A103" s="89">
        <v>99</v>
      </c>
      <c r="B103" s="90">
        <v>43671</v>
      </c>
      <c r="C103" s="98"/>
      <c r="D103" s="113">
        <f t="shared" si="40"/>
        <v>2245178</v>
      </c>
      <c r="E103" s="113">
        <f t="shared" si="41"/>
        <v>67888</v>
      </c>
      <c r="F103" s="115">
        <f t="shared" si="35"/>
        <v>60</v>
      </c>
      <c r="G103" s="116">
        <f t="shared" si="36"/>
        <v>2313066</v>
      </c>
      <c r="H103" s="116">
        <f t="shared" si="37"/>
        <v>42768570</v>
      </c>
      <c r="I103" s="97"/>
      <c r="J103" s="98"/>
      <c r="K103" s="98"/>
      <c r="L103" s="98"/>
      <c r="M103" s="98"/>
      <c r="N103" s="98"/>
      <c r="O103" s="99"/>
      <c r="P103" s="99"/>
      <c r="Q103" s="97"/>
      <c r="R103" s="98"/>
      <c r="S103" s="98"/>
      <c r="T103" s="98"/>
      <c r="U103" s="98"/>
      <c r="V103" s="98"/>
      <c r="W103" s="99"/>
      <c r="X103" s="99"/>
      <c r="Y103" s="81"/>
      <c r="Z103" s="81">
        <v>43671</v>
      </c>
      <c r="AA103" s="83">
        <f t="shared" si="38"/>
        <v>2286273</v>
      </c>
      <c r="AB103" s="83">
        <v>1666666</v>
      </c>
      <c r="AC103" s="83">
        <v>41095</v>
      </c>
      <c r="AD103" s="83">
        <v>30</v>
      </c>
      <c r="AE103" s="83">
        <f t="shared" si="39"/>
        <v>1707761</v>
      </c>
      <c r="AF103" s="83">
        <v>14999994</v>
      </c>
      <c r="AG103" s="97"/>
      <c r="AH103" s="81">
        <v>43656</v>
      </c>
      <c r="AI103" s="83">
        <f t="shared" si="42"/>
        <v>605305</v>
      </c>
      <c r="AJ103" s="83">
        <v>578512</v>
      </c>
      <c r="AK103" s="83">
        <v>26793</v>
      </c>
      <c r="AL103" s="83">
        <v>30</v>
      </c>
      <c r="AM103" s="83">
        <f t="shared" si="43"/>
        <v>605305</v>
      </c>
      <c r="AN103" s="83">
        <v>27768576</v>
      </c>
      <c r="AO103" s="97"/>
      <c r="AP103" s="98"/>
      <c r="AQ103" s="98"/>
      <c r="AR103" s="98"/>
      <c r="AS103" s="98"/>
      <c r="AT103" s="98"/>
      <c r="AU103" s="99"/>
      <c r="AV103" s="99"/>
      <c r="AW103" s="89">
        <v>99</v>
      </c>
      <c r="AX103" s="90">
        <v>43671</v>
      </c>
      <c r="AY103" s="98"/>
      <c r="AZ103" s="98"/>
      <c r="BA103" s="98"/>
      <c r="BB103" s="98"/>
      <c r="BC103" s="99"/>
      <c r="BD103" s="99"/>
      <c r="BE103" s="97"/>
      <c r="BF103" s="98"/>
      <c r="BG103" s="98"/>
      <c r="BH103" s="98"/>
      <c r="BI103" s="98"/>
      <c r="BJ103" s="98"/>
      <c r="BK103" s="99"/>
      <c r="BL103" s="99"/>
      <c r="BM103" s="97"/>
      <c r="BN103" s="98"/>
      <c r="BO103" s="98"/>
      <c r="BP103" s="98"/>
      <c r="BQ103" s="98"/>
      <c r="BR103" s="98"/>
      <c r="BS103" s="99"/>
      <c r="BT103" s="99"/>
    </row>
    <row r="104" spans="1:72">
      <c r="A104" s="89">
        <v>100</v>
      </c>
      <c r="B104" s="90">
        <v>43702</v>
      </c>
      <c r="C104" s="98"/>
      <c r="D104" s="113">
        <f t="shared" si="40"/>
        <v>2245178</v>
      </c>
      <c r="E104" s="113">
        <f t="shared" si="41"/>
        <v>65339</v>
      </c>
      <c r="F104" s="115">
        <f t="shared" si="35"/>
        <v>62</v>
      </c>
      <c r="G104" s="116">
        <f t="shared" si="36"/>
        <v>2310517</v>
      </c>
      <c r="H104" s="116">
        <f t="shared" si="37"/>
        <v>40523392</v>
      </c>
      <c r="I104" s="97"/>
      <c r="J104" s="98"/>
      <c r="K104" s="98"/>
      <c r="L104" s="98"/>
      <c r="M104" s="98"/>
      <c r="N104" s="98"/>
      <c r="O104" s="99"/>
      <c r="P104" s="99"/>
      <c r="Q104" s="97"/>
      <c r="R104" s="98"/>
      <c r="S104" s="98"/>
      <c r="T104" s="98"/>
      <c r="U104" s="98"/>
      <c r="V104" s="98"/>
      <c r="W104" s="99"/>
      <c r="X104" s="99"/>
      <c r="Y104" s="81"/>
      <c r="Z104" s="81">
        <v>43702</v>
      </c>
      <c r="AA104" s="83">
        <f t="shared" si="38"/>
        <v>2283396</v>
      </c>
      <c r="AB104" s="83">
        <v>1666666</v>
      </c>
      <c r="AC104" s="83">
        <v>38218</v>
      </c>
      <c r="AD104" s="83">
        <v>31</v>
      </c>
      <c r="AE104" s="83">
        <f t="shared" si="39"/>
        <v>1704884</v>
      </c>
      <c r="AF104" s="83">
        <v>13333328</v>
      </c>
      <c r="AG104" s="97"/>
      <c r="AH104" s="81">
        <v>43687</v>
      </c>
      <c r="AI104" s="83">
        <f t="shared" si="42"/>
        <v>605633</v>
      </c>
      <c r="AJ104" s="83">
        <v>578512</v>
      </c>
      <c r="AK104" s="83">
        <v>27121</v>
      </c>
      <c r="AL104" s="83">
        <v>31</v>
      </c>
      <c r="AM104" s="83">
        <f t="shared" si="43"/>
        <v>605633</v>
      </c>
      <c r="AN104" s="83">
        <v>27190064</v>
      </c>
      <c r="AO104" s="97"/>
      <c r="AP104" s="98"/>
      <c r="AQ104" s="98"/>
      <c r="AR104" s="98"/>
      <c r="AS104" s="98"/>
      <c r="AT104" s="98"/>
      <c r="AU104" s="99"/>
      <c r="AV104" s="99"/>
      <c r="AW104" s="89">
        <v>100</v>
      </c>
      <c r="AX104" s="90">
        <v>43702</v>
      </c>
      <c r="AY104" s="98"/>
      <c r="AZ104" s="98"/>
      <c r="BA104" s="98"/>
      <c r="BB104" s="98"/>
      <c r="BC104" s="99"/>
      <c r="BD104" s="99"/>
      <c r="BE104" s="97"/>
      <c r="BF104" s="98"/>
      <c r="BG104" s="98"/>
      <c r="BH104" s="98"/>
      <c r="BI104" s="98"/>
      <c r="BJ104" s="98"/>
      <c r="BK104" s="99"/>
      <c r="BL104" s="99"/>
      <c r="BM104" s="97"/>
      <c r="BN104" s="98"/>
      <c r="BO104" s="98"/>
      <c r="BP104" s="98"/>
      <c r="BQ104" s="98"/>
      <c r="BR104" s="98"/>
      <c r="BS104" s="99"/>
      <c r="BT104" s="99"/>
    </row>
    <row r="105" spans="1:72">
      <c r="A105" s="89">
        <v>101</v>
      </c>
      <c r="B105" s="90">
        <v>43733</v>
      </c>
      <c r="C105" s="98"/>
      <c r="D105" s="113">
        <f t="shared" si="40"/>
        <v>2245178</v>
      </c>
      <c r="E105" s="113">
        <f t="shared" si="41"/>
        <v>60528</v>
      </c>
      <c r="F105" s="115">
        <f t="shared" si="35"/>
        <v>62</v>
      </c>
      <c r="G105" s="116">
        <f t="shared" si="36"/>
        <v>2305706</v>
      </c>
      <c r="H105" s="116">
        <f t="shared" si="37"/>
        <v>38278214</v>
      </c>
      <c r="I105" s="97"/>
      <c r="J105" s="98"/>
      <c r="K105" s="98"/>
      <c r="L105" s="98"/>
      <c r="M105" s="98"/>
      <c r="N105" s="98"/>
      <c r="O105" s="99"/>
      <c r="P105" s="99"/>
      <c r="Q105" s="97"/>
      <c r="R105" s="98"/>
      <c r="S105" s="98"/>
      <c r="T105" s="98"/>
      <c r="U105" s="98"/>
      <c r="V105" s="98"/>
      <c r="W105" s="99"/>
      <c r="X105" s="99"/>
      <c r="Y105" s="81"/>
      <c r="Z105" s="81">
        <v>43733</v>
      </c>
      <c r="AA105" s="83">
        <f t="shared" si="38"/>
        <v>2279150</v>
      </c>
      <c r="AB105" s="83">
        <v>1666666</v>
      </c>
      <c r="AC105" s="83">
        <v>33972</v>
      </c>
      <c r="AD105" s="83">
        <v>31</v>
      </c>
      <c r="AE105" s="83">
        <f t="shared" si="39"/>
        <v>1700638</v>
      </c>
      <c r="AF105" s="83">
        <v>11666662</v>
      </c>
      <c r="AG105" s="97"/>
      <c r="AH105" s="81">
        <v>43718</v>
      </c>
      <c r="AI105" s="83">
        <f t="shared" si="42"/>
        <v>605068</v>
      </c>
      <c r="AJ105" s="83">
        <v>578512</v>
      </c>
      <c r="AK105" s="83">
        <v>26556</v>
      </c>
      <c r="AL105" s="83">
        <v>31</v>
      </c>
      <c r="AM105" s="83">
        <f t="shared" si="43"/>
        <v>605068</v>
      </c>
      <c r="AN105" s="83">
        <v>26611552</v>
      </c>
      <c r="AO105" s="97"/>
      <c r="AP105" s="98"/>
      <c r="AQ105" s="98"/>
      <c r="AR105" s="98"/>
      <c r="AS105" s="98"/>
      <c r="AT105" s="98"/>
      <c r="AU105" s="99"/>
      <c r="AV105" s="99"/>
      <c r="AW105" s="89">
        <v>101</v>
      </c>
      <c r="AX105" s="90">
        <v>43733</v>
      </c>
      <c r="AY105" s="98"/>
      <c r="AZ105" s="98"/>
      <c r="BA105" s="98"/>
      <c r="BB105" s="98"/>
      <c r="BC105" s="99"/>
      <c r="BD105" s="99"/>
      <c r="BE105" s="97"/>
      <c r="BF105" s="98"/>
      <c r="BG105" s="98"/>
      <c r="BH105" s="98"/>
      <c r="BI105" s="98"/>
      <c r="BJ105" s="98"/>
      <c r="BK105" s="99"/>
      <c r="BL105" s="99"/>
      <c r="BM105" s="97"/>
      <c r="BN105" s="98"/>
      <c r="BO105" s="98"/>
      <c r="BP105" s="98"/>
      <c r="BQ105" s="98"/>
      <c r="BR105" s="98"/>
      <c r="BS105" s="99"/>
      <c r="BT105" s="99"/>
    </row>
    <row r="106" spans="1:72">
      <c r="A106" s="89">
        <v>102</v>
      </c>
      <c r="B106" s="90">
        <v>43763</v>
      </c>
      <c r="C106" s="98"/>
      <c r="D106" s="113">
        <f t="shared" si="40"/>
        <v>2245178</v>
      </c>
      <c r="E106" s="113">
        <f t="shared" si="41"/>
        <v>53919</v>
      </c>
      <c r="F106" s="115">
        <f t="shared" si="35"/>
        <v>60</v>
      </c>
      <c r="G106" s="116">
        <f t="shared" si="36"/>
        <v>2299097</v>
      </c>
      <c r="H106" s="116">
        <f t="shared" si="37"/>
        <v>36033036</v>
      </c>
      <c r="I106" s="97"/>
      <c r="J106" s="98"/>
      <c r="K106" s="98"/>
      <c r="L106" s="98"/>
      <c r="M106" s="98"/>
      <c r="N106" s="98"/>
      <c r="O106" s="99"/>
      <c r="P106" s="99"/>
      <c r="Q106" s="97"/>
      <c r="R106" s="98"/>
      <c r="S106" s="98"/>
      <c r="T106" s="98"/>
      <c r="U106" s="98"/>
      <c r="V106" s="98"/>
      <c r="W106" s="99"/>
      <c r="X106" s="99"/>
      <c r="Y106" s="81"/>
      <c r="Z106" s="81">
        <v>43763</v>
      </c>
      <c r="AA106" s="83">
        <f t="shared" si="38"/>
        <v>2273944</v>
      </c>
      <c r="AB106" s="83">
        <v>1666666</v>
      </c>
      <c r="AC106" s="83">
        <v>28766</v>
      </c>
      <c r="AD106" s="83">
        <v>30</v>
      </c>
      <c r="AE106" s="83">
        <f t="shared" si="39"/>
        <v>1695432</v>
      </c>
      <c r="AF106" s="83">
        <v>9999996</v>
      </c>
      <c r="AG106" s="97"/>
      <c r="AH106" s="81">
        <v>43748</v>
      </c>
      <c r="AI106" s="83">
        <f t="shared" si="42"/>
        <v>603665</v>
      </c>
      <c r="AJ106" s="83">
        <v>578512</v>
      </c>
      <c r="AK106" s="83">
        <v>25153</v>
      </c>
      <c r="AL106" s="83">
        <v>30</v>
      </c>
      <c r="AM106" s="83">
        <f t="shared" si="43"/>
        <v>603665</v>
      </c>
      <c r="AN106" s="83">
        <v>26033040</v>
      </c>
      <c r="AO106" s="97"/>
      <c r="AP106" s="98"/>
      <c r="AQ106" s="98"/>
      <c r="AR106" s="98"/>
      <c r="AS106" s="98"/>
      <c r="AT106" s="98"/>
      <c r="AU106" s="99"/>
      <c r="AV106" s="99"/>
      <c r="AW106" s="89">
        <v>102</v>
      </c>
      <c r="AX106" s="90">
        <v>43763</v>
      </c>
      <c r="AY106" s="98"/>
      <c r="AZ106" s="98"/>
      <c r="BA106" s="98"/>
      <c r="BB106" s="98"/>
      <c r="BC106" s="99"/>
      <c r="BD106" s="99"/>
      <c r="BE106" s="97"/>
      <c r="BF106" s="98"/>
      <c r="BG106" s="98"/>
      <c r="BH106" s="98"/>
      <c r="BI106" s="98"/>
      <c r="BJ106" s="98"/>
      <c r="BK106" s="99"/>
      <c r="BL106" s="99"/>
      <c r="BM106" s="97"/>
      <c r="BN106" s="98"/>
      <c r="BO106" s="98"/>
      <c r="BP106" s="98"/>
      <c r="BQ106" s="98"/>
      <c r="BR106" s="98"/>
      <c r="BS106" s="99"/>
      <c r="BT106" s="99"/>
    </row>
    <row r="107" spans="1:72">
      <c r="A107" s="89">
        <v>103</v>
      </c>
      <c r="B107" s="90">
        <v>43794</v>
      </c>
      <c r="C107" s="98"/>
      <c r="D107" s="113">
        <f t="shared" si="40"/>
        <v>2245178</v>
      </c>
      <c r="E107" s="113">
        <f t="shared" si="41"/>
        <v>50905</v>
      </c>
      <c r="F107" s="115">
        <f t="shared" si="35"/>
        <v>62</v>
      </c>
      <c r="G107" s="116">
        <f t="shared" si="36"/>
        <v>2296083</v>
      </c>
      <c r="H107" s="116">
        <f t="shared" si="37"/>
        <v>33787858</v>
      </c>
      <c r="I107" s="97"/>
      <c r="J107" s="98"/>
      <c r="K107" s="98"/>
      <c r="L107" s="98"/>
      <c r="M107" s="98"/>
      <c r="N107" s="98"/>
      <c r="O107" s="99"/>
      <c r="P107" s="99"/>
      <c r="Q107" s="97"/>
      <c r="R107" s="98"/>
      <c r="S107" s="98"/>
      <c r="T107" s="98"/>
      <c r="U107" s="98"/>
      <c r="V107" s="98"/>
      <c r="W107" s="99"/>
      <c r="X107" s="99"/>
      <c r="Y107" s="81"/>
      <c r="Z107" s="81">
        <v>43794</v>
      </c>
      <c r="AA107" s="83">
        <f t="shared" si="38"/>
        <v>2270657</v>
      </c>
      <c r="AB107" s="83">
        <v>1666666</v>
      </c>
      <c r="AC107" s="83">
        <v>25479</v>
      </c>
      <c r="AD107" s="83">
        <v>31</v>
      </c>
      <c r="AE107" s="83">
        <f t="shared" si="39"/>
        <v>1692145</v>
      </c>
      <c r="AF107" s="83">
        <v>8333330</v>
      </c>
      <c r="AG107" s="97"/>
      <c r="AH107" s="81">
        <v>43779</v>
      </c>
      <c r="AI107" s="83">
        <f t="shared" si="42"/>
        <v>603938</v>
      </c>
      <c r="AJ107" s="83">
        <v>578512</v>
      </c>
      <c r="AK107" s="83">
        <v>25426</v>
      </c>
      <c r="AL107" s="83">
        <v>31</v>
      </c>
      <c r="AM107" s="83">
        <f t="shared" si="43"/>
        <v>603938</v>
      </c>
      <c r="AN107" s="83">
        <v>25454528</v>
      </c>
      <c r="AO107" s="97"/>
      <c r="AP107" s="98"/>
      <c r="AQ107" s="98"/>
      <c r="AR107" s="98"/>
      <c r="AS107" s="98"/>
      <c r="AT107" s="98"/>
      <c r="AU107" s="99"/>
      <c r="AV107" s="99"/>
      <c r="AW107" s="89">
        <v>103</v>
      </c>
      <c r="AX107" s="90">
        <v>43794</v>
      </c>
      <c r="AY107" s="98"/>
      <c r="AZ107" s="98"/>
      <c r="BA107" s="98"/>
      <c r="BB107" s="98"/>
      <c r="BC107" s="99"/>
      <c r="BD107" s="99"/>
      <c r="BE107" s="97"/>
      <c r="BF107" s="98"/>
      <c r="BG107" s="98"/>
      <c r="BH107" s="98"/>
      <c r="BI107" s="98"/>
      <c r="BJ107" s="98"/>
      <c r="BK107" s="99"/>
      <c r="BL107" s="99"/>
      <c r="BM107" s="97"/>
      <c r="BN107" s="98"/>
      <c r="BO107" s="98"/>
      <c r="BP107" s="98"/>
      <c r="BQ107" s="98"/>
      <c r="BR107" s="98"/>
      <c r="BS107" s="99"/>
      <c r="BT107" s="99"/>
    </row>
    <row r="108" spans="1:72">
      <c r="A108" s="89">
        <v>104</v>
      </c>
      <c r="B108" s="90">
        <v>43824</v>
      </c>
      <c r="C108" s="98"/>
      <c r="D108" s="113">
        <f t="shared" si="40"/>
        <v>2245178</v>
      </c>
      <c r="E108" s="113">
        <f t="shared" si="41"/>
        <v>44606</v>
      </c>
      <c r="F108" s="115">
        <f t="shared" si="35"/>
        <v>60</v>
      </c>
      <c r="G108" s="116">
        <f t="shared" si="36"/>
        <v>2289784</v>
      </c>
      <c r="H108" s="116">
        <f t="shared" si="37"/>
        <v>31542680</v>
      </c>
      <c r="I108" s="97"/>
      <c r="J108" s="98"/>
      <c r="K108" s="98"/>
      <c r="L108" s="98"/>
      <c r="M108" s="98"/>
      <c r="N108" s="98"/>
      <c r="O108" s="99"/>
      <c r="P108" s="99"/>
      <c r="Q108" s="97"/>
      <c r="R108" s="98"/>
      <c r="S108" s="98"/>
      <c r="T108" s="98"/>
      <c r="U108" s="98"/>
      <c r="V108" s="98"/>
      <c r="W108" s="99"/>
      <c r="X108" s="99"/>
      <c r="Y108" s="81"/>
      <c r="Z108" s="81">
        <v>43824</v>
      </c>
      <c r="AA108" s="83">
        <f t="shared" si="38"/>
        <v>2265725</v>
      </c>
      <c r="AB108" s="83">
        <v>1666666</v>
      </c>
      <c r="AC108" s="83">
        <v>20547</v>
      </c>
      <c r="AD108" s="83">
        <v>30</v>
      </c>
      <c r="AE108" s="83">
        <f t="shared" si="39"/>
        <v>1687213</v>
      </c>
      <c r="AF108" s="83">
        <v>6666664</v>
      </c>
      <c r="AG108" s="97"/>
      <c r="AH108" s="81">
        <v>43809</v>
      </c>
      <c r="AI108" s="83">
        <f t="shared" si="42"/>
        <v>602571</v>
      </c>
      <c r="AJ108" s="83">
        <v>578512</v>
      </c>
      <c r="AK108" s="83">
        <v>24059</v>
      </c>
      <c r="AL108" s="83">
        <v>30</v>
      </c>
      <c r="AM108" s="83">
        <f t="shared" si="43"/>
        <v>602571</v>
      </c>
      <c r="AN108" s="83">
        <v>24876016</v>
      </c>
      <c r="AO108" s="97"/>
      <c r="AP108" s="98"/>
      <c r="AQ108" s="98"/>
      <c r="AR108" s="98"/>
      <c r="AS108" s="98"/>
      <c r="AT108" s="98"/>
      <c r="AU108" s="99"/>
      <c r="AV108" s="99"/>
      <c r="AW108" s="89">
        <v>104</v>
      </c>
      <c r="AX108" s="90">
        <v>43824</v>
      </c>
      <c r="AY108" s="98"/>
      <c r="AZ108" s="98"/>
      <c r="BA108" s="98"/>
      <c r="BB108" s="98"/>
      <c r="BC108" s="99"/>
      <c r="BD108" s="99"/>
      <c r="BE108" s="97"/>
      <c r="BF108" s="98"/>
      <c r="BG108" s="98"/>
      <c r="BH108" s="98"/>
      <c r="BI108" s="98"/>
      <c r="BJ108" s="98"/>
      <c r="BK108" s="99"/>
      <c r="BL108" s="99"/>
      <c r="BM108" s="97"/>
      <c r="BN108" s="98"/>
      <c r="BO108" s="98"/>
      <c r="BP108" s="98"/>
      <c r="BQ108" s="98"/>
      <c r="BR108" s="98"/>
      <c r="BS108" s="99"/>
      <c r="BT108" s="99"/>
    </row>
    <row r="109" spans="1:72">
      <c r="A109" s="89">
        <v>105</v>
      </c>
      <c r="B109" s="90">
        <v>43855</v>
      </c>
      <c r="C109" s="98"/>
      <c r="D109" s="113">
        <f t="shared" si="40"/>
        <v>2245178</v>
      </c>
      <c r="E109" s="113">
        <f t="shared" si="41"/>
        <v>41282</v>
      </c>
      <c r="F109" s="115">
        <f t="shared" si="35"/>
        <v>62</v>
      </c>
      <c r="G109" s="116">
        <f t="shared" si="36"/>
        <v>2286460</v>
      </c>
      <c r="H109" s="116">
        <f t="shared" si="37"/>
        <v>29297502</v>
      </c>
      <c r="I109" s="97"/>
      <c r="J109" s="98"/>
      <c r="K109" s="98"/>
      <c r="L109" s="98"/>
      <c r="M109" s="98"/>
      <c r="N109" s="98"/>
      <c r="O109" s="99"/>
      <c r="P109" s="99"/>
      <c r="Q109" s="97"/>
      <c r="R109" s="98"/>
      <c r="S109" s="98"/>
      <c r="T109" s="98"/>
      <c r="U109" s="98"/>
      <c r="V109" s="98"/>
      <c r="W109" s="99"/>
      <c r="X109" s="99"/>
      <c r="Y109" s="81"/>
      <c r="Z109" s="81">
        <v>43855</v>
      </c>
      <c r="AA109" s="83">
        <f t="shared" si="38"/>
        <v>2262164</v>
      </c>
      <c r="AB109" s="83">
        <v>1666666</v>
      </c>
      <c r="AC109" s="83">
        <v>16986</v>
      </c>
      <c r="AD109" s="83">
        <v>31</v>
      </c>
      <c r="AE109" s="83">
        <f t="shared" si="39"/>
        <v>1683652</v>
      </c>
      <c r="AF109" s="83">
        <v>4999998</v>
      </c>
      <c r="AG109" s="97"/>
      <c r="AH109" s="81">
        <v>43840</v>
      </c>
      <c r="AI109" s="83">
        <f t="shared" si="42"/>
        <v>602808</v>
      </c>
      <c r="AJ109" s="83">
        <v>578512</v>
      </c>
      <c r="AK109" s="83">
        <v>24296</v>
      </c>
      <c r="AL109" s="83">
        <v>31</v>
      </c>
      <c r="AM109" s="83">
        <f t="shared" si="43"/>
        <v>602808</v>
      </c>
      <c r="AN109" s="83">
        <v>24297504</v>
      </c>
      <c r="AO109" s="97"/>
      <c r="AP109" s="98"/>
      <c r="AQ109" s="98"/>
      <c r="AR109" s="98"/>
      <c r="AS109" s="98"/>
      <c r="AT109" s="98"/>
      <c r="AU109" s="99"/>
      <c r="AV109" s="99"/>
      <c r="AW109" s="89">
        <v>105</v>
      </c>
      <c r="AX109" s="90">
        <v>43855</v>
      </c>
      <c r="AY109" s="98"/>
      <c r="AZ109" s="98"/>
      <c r="BA109" s="98"/>
      <c r="BB109" s="98"/>
      <c r="BC109" s="99"/>
      <c r="BD109" s="99"/>
      <c r="BE109" s="97"/>
      <c r="BF109" s="98"/>
      <c r="BG109" s="98"/>
      <c r="BH109" s="98"/>
      <c r="BI109" s="98"/>
      <c r="BJ109" s="98"/>
      <c r="BK109" s="99"/>
      <c r="BL109" s="99"/>
      <c r="BM109" s="97"/>
      <c r="BN109" s="98"/>
      <c r="BO109" s="98"/>
      <c r="BP109" s="98"/>
      <c r="BQ109" s="98"/>
      <c r="BR109" s="98"/>
      <c r="BS109" s="99"/>
      <c r="BT109" s="99"/>
    </row>
    <row r="110" spans="1:72">
      <c r="A110" s="89">
        <v>106</v>
      </c>
      <c r="B110" s="90">
        <v>43886</v>
      </c>
      <c r="C110" s="98"/>
      <c r="D110" s="113">
        <f t="shared" si="40"/>
        <v>2245178</v>
      </c>
      <c r="E110" s="113">
        <f t="shared" si="41"/>
        <v>36470</v>
      </c>
      <c r="F110" s="115">
        <f t="shared" si="35"/>
        <v>62</v>
      </c>
      <c r="G110" s="116">
        <f t="shared" si="36"/>
        <v>2281648</v>
      </c>
      <c r="H110" s="116">
        <f t="shared" si="37"/>
        <v>27052324</v>
      </c>
      <c r="I110" s="97"/>
      <c r="J110" s="98"/>
      <c r="K110" s="98"/>
      <c r="L110" s="98"/>
      <c r="M110" s="98"/>
      <c r="N110" s="98"/>
      <c r="O110" s="99"/>
      <c r="P110" s="99"/>
      <c r="Q110" s="97"/>
      <c r="R110" s="98"/>
      <c r="S110" s="98"/>
      <c r="T110" s="98"/>
      <c r="U110" s="98"/>
      <c r="V110" s="98"/>
      <c r="W110" s="99"/>
      <c r="X110" s="99"/>
      <c r="Y110" s="81"/>
      <c r="Z110" s="81">
        <v>43886</v>
      </c>
      <c r="AA110" s="83">
        <f t="shared" si="38"/>
        <v>2257917</v>
      </c>
      <c r="AB110" s="83">
        <v>1666666</v>
      </c>
      <c r="AC110" s="83">
        <v>12739</v>
      </c>
      <c r="AD110" s="83">
        <v>31</v>
      </c>
      <c r="AE110" s="83">
        <f t="shared" si="39"/>
        <v>1679405</v>
      </c>
      <c r="AF110" s="83">
        <v>3333332</v>
      </c>
      <c r="AG110" s="97"/>
      <c r="AH110" s="81">
        <v>43871</v>
      </c>
      <c r="AI110" s="83">
        <f t="shared" si="42"/>
        <v>602243</v>
      </c>
      <c r="AJ110" s="83">
        <v>578512</v>
      </c>
      <c r="AK110" s="83">
        <v>23731</v>
      </c>
      <c r="AL110" s="83">
        <v>31</v>
      </c>
      <c r="AM110" s="83">
        <f t="shared" si="43"/>
        <v>602243</v>
      </c>
      <c r="AN110" s="83">
        <v>23718992</v>
      </c>
      <c r="AO110" s="97"/>
      <c r="AP110" s="98"/>
      <c r="AQ110" s="98"/>
      <c r="AR110" s="98"/>
      <c r="AS110" s="98"/>
      <c r="AT110" s="98"/>
      <c r="AU110" s="99"/>
      <c r="AV110" s="99"/>
      <c r="AW110" s="89">
        <v>106</v>
      </c>
      <c r="AX110" s="90">
        <v>43886</v>
      </c>
      <c r="AY110" s="98"/>
      <c r="AZ110" s="98"/>
      <c r="BA110" s="98"/>
      <c r="BB110" s="98"/>
      <c r="BC110" s="99"/>
      <c r="BD110" s="99"/>
      <c r="BE110" s="97"/>
      <c r="BF110" s="98"/>
      <c r="BG110" s="98"/>
      <c r="BH110" s="98"/>
      <c r="BI110" s="98"/>
      <c r="BJ110" s="98"/>
      <c r="BK110" s="99"/>
      <c r="BL110" s="99"/>
      <c r="BM110" s="97"/>
      <c r="BN110" s="98"/>
      <c r="BO110" s="98"/>
      <c r="BP110" s="98"/>
      <c r="BQ110" s="98"/>
      <c r="BR110" s="98"/>
      <c r="BS110" s="99"/>
      <c r="BT110" s="99"/>
    </row>
    <row r="111" spans="1:72">
      <c r="A111" s="89">
        <v>107</v>
      </c>
      <c r="B111" s="90">
        <v>43915</v>
      </c>
      <c r="C111" s="98"/>
      <c r="D111" s="113">
        <f t="shared" si="40"/>
        <v>2245178</v>
      </c>
      <c r="E111" s="113">
        <f t="shared" si="41"/>
        <v>29616</v>
      </c>
      <c r="F111" s="115">
        <f t="shared" si="35"/>
        <v>58</v>
      </c>
      <c r="G111" s="116">
        <f t="shared" si="36"/>
        <v>2274794</v>
      </c>
      <c r="H111" s="116">
        <f t="shared" si="37"/>
        <v>24807146</v>
      </c>
      <c r="I111" s="97"/>
      <c r="J111" s="98"/>
      <c r="K111" s="98"/>
      <c r="L111" s="98"/>
      <c r="M111" s="98"/>
      <c r="N111" s="98"/>
      <c r="O111" s="99"/>
      <c r="P111" s="99"/>
      <c r="Q111" s="97"/>
      <c r="R111" s="98"/>
      <c r="S111" s="98"/>
      <c r="T111" s="98"/>
      <c r="U111" s="98"/>
      <c r="V111" s="98"/>
      <c r="W111" s="99"/>
      <c r="X111" s="99"/>
      <c r="Y111" s="81"/>
      <c r="Z111" s="81">
        <v>43915</v>
      </c>
      <c r="AA111" s="83">
        <f t="shared" si="38"/>
        <v>2253123</v>
      </c>
      <c r="AB111" s="83">
        <v>1666666</v>
      </c>
      <c r="AC111" s="83">
        <v>7945</v>
      </c>
      <c r="AD111" s="83">
        <v>29</v>
      </c>
      <c r="AE111" s="83">
        <f t="shared" si="39"/>
        <v>1674611</v>
      </c>
      <c r="AF111" s="83">
        <v>1666666</v>
      </c>
      <c r="AG111" s="97"/>
      <c r="AH111" s="81">
        <v>43900</v>
      </c>
      <c r="AI111" s="83">
        <f t="shared" si="42"/>
        <v>600183</v>
      </c>
      <c r="AJ111" s="83">
        <v>578512</v>
      </c>
      <c r="AK111" s="83">
        <v>21671</v>
      </c>
      <c r="AL111" s="83">
        <v>29</v>
      </c>
      <c r="AM111" s="83">
        <f t="shared" si="43"/>
        <v>600183</v>
      </c>
      <c r="AN111" s="83">
        <v>23140480</v>
      </c>
      <c r="AO111" s="97"/>
      <c r="AP111" s="98"/>
      <c r="AQ111" s="98"/>
      <c r="AR111" s="98"/>
      <c r="AS111" s="98"/>
      <c r="AT111" s="98"/>
      <c r="AU111" s="99"/>
      <c r="AV111" s="99"/>
      <c r="AW111" s="89">
        <v>107</v>
      </c>
      <c r="AX111" s="90">
        <v>43915</v>
      </c>
      <c r="AY111" s="98"/>
      <c r="AZ111" s="98"/>
      <c r="BA111" s="98"/>
      <c r="BB111" s="98"/>
      <c r="BC111" s="99"/>
      <c r="BD111" s="99"/>
      <c r="BE111" s="97"/>
      <c r="BF111" s="98"/>
      <c r="BG111" s="98"/>
      <c r="BH111" s="98"/>
      <c r="BI111" s="98"/>
      <c r="BJ111" s="98"/>
      <c r="BK111" s="99"/>
      <c r="BL111" s="99"/>
      <c r="BM111" s="97"/>
      <c r="BN111" s="98"/>
      <c r="BO111" s="98"/>
      <c r="BP111" s="98"/>
      <c r="BQ111" s="98"/>
      <c r="BR111" s="98"/>
      <c r="BS111" s="99"/>
      <c r="BT111" s="99"/>
    </row>
    <row r="112" spans="1:72">
      <c r="A112" s="89">
        <v>108</v>
      </c>
      <c r="B112" s="90">
        <v>43946</v>
      </c>
      <c r="C112" s="98"/>
      <c r="D112" s="113">
        <f t="shared" si="40"/>
        <v>2245178</v>
      </c>
      <c r="E112" s="113">
        <f t="shared" si="41"/>
        <v>26847</v>
      </c>
      <c r="F112" s="115">
        <f t="shared" si="35"/>
        <v>62</v>
      </c>
      <c r="G112" s="116">
        <f t="shared" si="36"/>
        <v>2272025</v>
      </c>
      <c r="H112" s="116">
        <f t="shared" si="37"/>
        <v>22561968</v>
      </c>
      <c r="I112" s="97"/>
      <c r="J112" s="98"/>
      <c r="K112" s="98"/>
      <c r="L112" s="98"/>
      <c r="M112" s="98"/>
      <c r="N112" s="98"/>
      <c r="O112" s="99"/>
      <c r="P112" s="99"/>
      <c r="Q112" s="97"/>
      <c r="R112" s="98"/>
      <c r="S112" s="98"/>
      <c r="T112" s="98"/>
      <c r="U112" s="98"/>
      <c r="V112" s="98"/>
      <c r="W112" s="99"/>
      <c r="X112" s="99"/>
      <c r="Y112" s="81"/>
      <c r="Z112" s="81">
        <v>43946</v>
      </c>
      <c r="AA112" s="83">
        <f t="shared" si="38"/>
        <v>2249424</v>
      </c>
      <c r="AB112" s="83">
        <v>1666666</v>
      </c>
      <c r="AC112" s="83">
        <v>4246</v>
      </c>
      <c r="AD112" s="83">
        <v>31</v>
      </c>
      <c r="AE112" s="83">
        <f t="shared" si="39"/>
        <v>1670912</v>
      </c>
      <c r="AF112" s="83">
        <v>0</v>
      </c>
      <c r="AG112" s="97"/>
      <c r="AH112" s="81">
        <v>43931</v>
      </c>
      <c r="AI112" s="83">
        <f t="shared" si="42"/>
        <v>601113</v>
      </c>
      <c r="AJ112" s="83">
        <v>578512</v>
      </c>
      <c r="AK112" s="83">
        <v>22601</v>
      </c>
      <c r="AL112" s="83">
        <v>31</v>
      </c>
      <c r="AM112" s="83">
        <f t="shared" si="43"/>
        <v>601113</v>
      </c>
      <c r="AN112" s="83">
        <v>22561968</v>
      </c>
      <c r="AO112" s="97"/>
      <c r="AP112" s="98"/>
      <c r="AQ112" s="98"/>
      <c r="AR112" s="98"/>
      <c r="AS112" s="98"/>
      <c r="AT112" s="98"/>
      <c r="AU112" s="99"/>
      <c r="AV112" s="99"/>
      <c r="AW112" s="89">
        <v>108</v>
      </c>
      <c r="AX112" s="90">
        <v>43946</v>
      </c>
      <c r="AY112" s="98"/>
      <c r="AZ112" s="98"/>
      <c r="BA112" s="98"/>
      <c r="BB112" s="98"/>
      <c r="BC112" s="99"/>
      <c r="BD112" s="99"/>
      <c r="BE112" s="97"/>
      <c r="BF112" s="98"/>
      <c r="BG112" s="98"/>
      <c r="BH112" s="98"/>
      <c r="BI112" s="98"/>
      <c r="BJ112" s="98"/>
      <c r="BK112" s="99"/>
      <c r="BL112" s="99"/>
      <c r="BM112" s="97"/>
      <c r="BN112" s="98"/>
      <c r="BO112" s="98"/>
      <c r="BP112" s="98"/>
      <c r="BQ112" s="98"/>
      <c r="BR112" s="98"/>
      <c r="BS112" s="99"/>
      <c r="BT112" s="99"/>
    </row>
    <row r="113" spans="1:72">
      <c r="A113" s="89">
        <v>109</v>
      </c>
      <c r="B113" s="98"/>
      <c r="C113" s="98"/>
      <c r="D113" s="113">
        <f t="shared" si="40"/>
        <v>578512</v>
      </c>
      <c r="E113" s="113">
        <f t="shared" si="41"/>
        <v>21325</v>
      </c>
      <c r="F113" s="115">
        <f t="shared" si="35"/>
        <v>30</v>
      </c>
      <c r="G113" s="116">
        <f t="shared" si="36"/>
        <v>599837</v>
      </c>
      <c r="H113" s="116">
        <f t="shared" si="37"/>
        <v>21983456</v>
      </c>
      <c r="I113" s="97"/>
      <c r="J113" s="98"/>
      <c r="K113" s="98"/>
      <c r="L113" s="98"/>
      <c r="M113" s="98"/>
      <c r="N113" s="98"/>
      <c r="O113" s="99"/>
      <c r="P113" s="99"/>
      <c r="Q113" s="97"/>
      <c r="R113" s="98"/>
      <c r="S113" s="98"/>
      <c r="T113" s="98"/>
      <c r="U113" s="98"/>
      <c r="V113" s="98"/>
      <c r="W113" s="99"/>
      <c r="X113" s="99"/>
      <c r="Y113" s="97"/>
      <c r="Z113" s="98"/>
      <c r="AA113" s="98"/>
      <c r="AB113" s="98"/>
      <c r="AC113" s="98"/>
      <c r="AD113" s="98"/>
      <c r="AE113" s="99"/>
      <c r="AF113" s="99"/>
      <c r="AG113" s="97"/>
      <c r="AH113" s="81">
        <v>43961</v>
      </c>
      <c r="AI113" s="83">
        <f t="shared" si="42"/>
        <v>599837</v>
      </c>
      <c r="AJ113" s="83">
        <v>578512</v>
      </c>
      <c r="AK113" s="83">
        <v>21325</v>
      </c>
      <c r="AL113" s="83">
        <v>30</v>
      </c>
      <c r="AM113" s="83">
        <f t="shared" si="43"/>
        <v>599837</v>
      </c>
      <c r="AN113" s="83">
        <v>21983456</v>
      </c>
      <c r="AO113" s="97"/>
      <c r="AP113" s="98"/>
      <c r="AQ113" s="98"/>
      <c r="AR113" s="98"/>
      <c r="AS113" s="98"/>
      <c r="AT113" s="98"/>
      <c r="AU113" s="99"/>
      <c r="AV113" s="99"/>
      <c r="AW113" s="89">
        <v>109</v>
      </c>
      <c r="AX113" s="90">
        <v>43976</v>
      </c>
      <c r="AY113" s="98"/>
      <c r="AZ113" s="98"/>
      <c r="BA113" s="98"/>
      <c r="BB113" s="98"/>
      <c r="BC113" s="99"/>
      <c r="BD113" s="99"/>
      <c r="BE113" s="97"/>
      <c r="BF113" s="98"/>
      <c r="BG113" s="98"/>
      <c r="BH113" s="98"/>
      <c r="BI113" s="98"/>
      <c r="BJ113" s="98"/>
      <c r="BK113" s="99"/>
      <c r="BL113" s="99"/>
      <c r="BM113" s="97"/>
      <c r="BN113" s="98"/>
      <c r="BO113" s="98"/>
      <c r="BP113" s="98"/>
      <c r="BQ113" s="98"/>
      <c r="BR113" s="98"/>
      <c r="BS113" s="99"/>
      <c r="BT113" s="99"/>
    </row>
    <row r="114" spans="1:72">
      <c r="A114" s="89">
        <v>110</v>
      </c>
      <c r="B114" s="98"/>
      <c r="C114" s="98"/>
      <c r="D114" s="113">
        <f t="shared" si="40"/>
        <v>578512</v>
      </c>
      <c r="E114" s="113">
        <f t="shared" si="41"/>
        <v>21471</v>
      </c>
      <c r="F114" s="115">
        <f t="shared" si="35"/>
        <v>31</v>
      </c>
      <c r="G114" s="116">
        <f t="shared" si="36"/>
        <v>599983</v>
      </c>
      <c r="H114" s="116">
        <f t="shared" si="37"/>
        <v>21404944</v>
      </c>
      <c r="I114" s="97"/>
      <c r="J114" s="98"/>
      <c r="K114" s="98"/>
      <c r="L114" s="98"/>
      <c r="M114" s="98"/>
      <c r="N114" s="98"/>
      <c r="O114" s="99"/>
      <c r="P114" s="99"/>
      <c r="Q114" s="97"/>
      <c r="R114" s="98"/>
      <c r="S114" s="98"/>
      <c r="T114" s="98"/>
      <c r="U114" s="98"/>
      <c r="V114" s="98"/>
      <c r="W114" s="99"/>
      <c r="X114" s="99"/>
      <c r="Y114" s="97"/>
      <c r="Z114" s="98"/>
      <c r="AA114" s="98"/>
      <c r="AB114" s="98"/>
      <c r="AC114" s="98"/>
      <c r="AD114" s="98"/>
      <c r="AE114" s="99"/>
      <c r="AF114" s="99"/>
      <c r="AG114" s="97"/>
      <c r="AH114" s="81">
        <v>43992</v>
      </c>
      <c r="AI114" s="83">
        <f t="shared" si="42"/>
        <v>599983</v>
      </c>
      <c r="AJ114" s="83">
        <v>578512</v>
      </c>
      <c r="AK114" s="83">
        <v>21471</v>
      </c>
      <c r="AL114" s="83">
        <v>31</v>
      </c>
      <c r="AM114" s="83">
        <f t="shared" si="43"/>
        <v>599983</v>
      </c>
      <c r="AN114" s="83">
        <v>21404944</v>
      </c>
      <c r="AO114" s="97"/>
      <c r="AP114" s="98"/>
      <c r="AQ114" s="98"/>
      <c r="AR114" s="98"/>
      <c r="AS114" s="98"/>
      <c r="AT114" s="98"/>
      <c r="AU114" s="99"/>
      <c r="AV114" s="99"/>
      <c r="AW114" s="89">
        <v>110</v>
      </c>
      <c r="AX114" s="90">
        <v>44007</v>
      </c>
      <c r="AY114" s="98"/>
      <c r="AZ114" s="98"/>
      <c r="BA114" s="98"/>
      <c r="BB114" s="98"/>
      <c r="BC114" s="99"/>
      <c r="BD114" s="99"/>
      <c r="BE114" s="97"/>
      <c r="BF114" s="98"/>
      <c r="BG114" s="98"/>
      <c r="BH114" s="98"/>
      <c r="BI114" s="98"/>
      <c r="BJ114" s="98"/>
      <c r="BK114" s="99"/>
      <c r="BL114" s="99"/>
      <c r="BM114" s="97"/>
      <c r="BN114" s="98"/>
      <c r="BO114" s="98"/>
      <c r="BP114" s="98"/>
      <c r="BQ114" s="98"/>
      <c r="BR114" s="98"/>
      <c r="BS114" s="99"/>
      <c r="BT114" s="99"/>
    </row>
    <row r="115" spans="1:72">
      <c r="A115" s="89">
        <v>111</v>
      </c>
      <c r="B115" s="98"/>
      <c r="C115" s="98"/>
      <c r="D115" s="113">
        <f t="shared" si="40"/>
        <v>578512</v>
      </c>
      <c r="E115" s="113">
        <f t="shared" si="41"/>
        <v>20232</v>
      </c>
      <c r="F115" s="115">
        <f t="shared" si="35"/>
        <v>30</v>
      </c>
      <c r="G115" s="116">
        <f t="shared" si="36"/>
        <v>598744</v>
      </c>
      <c r="H115" s="116">
        <f t="shared" si="37"/>
        <v>20826432</v>
      </c>
      <c r="I115" s="97"/>
      <c r="J115" s="98"/>
      <c r="K115" s="98"/>
      <c r="L115" s="98"/>
      <c r="M115" s="98"/>
      <c r="N115" s="98"/>
      <c r="O115" s="99"/>
      <c r="P115" s="99"/>
      <c r="Q115" s="97"/>
      <c r="R115" s="98"/>
      <c r="S115" s="98"/>
      <c r="T115" s="98"/>
      <c r="U115" s="98"/>
      <c r="V115" s="98"/>
      <c r="W115" s="99"/>
      <c r="X115" s="99"/>
      <c r="Y115" s="97"/>
      <c r="Z115" s="98"/>
      <c r="AA115" s="98"/>
      <c r="AB115" s="98"/>
      <c r="AC115" s="98"/>
      <c r="AD115" s="98"/>
      <c r="AE115" s="99"/>
      <c r="AF115" s="99"/>
      <c r="AG115" s="97"/>
      <c r="AH115" s="81">
        <v>44022</v>
      </c>
      <c r="AI115" s="83">
        <f t="shared" si="42"/>
        <v>598744</v>
      </c>
      <c r="AJ115" s="83">
        <v>578512</v>
      </c>
      <c r="AK115" s="83">
        <v>20232</v>
      </c>
      <c r="AL115" s="83">
        <v>30</v>
      </c>
      <c r="AM115" s="83">
        <f t="shared" si="43"/>
        <v>598744</v>
      </c>
      <c r="AN115" s="83">
        <v>20826432</v>
      </c>
      <c r="AO115" s="97"/>
      <c r="AP115" s="98"/>
      <c r="AQ115" s="98"/>
      <c r="AR115" s="98"/>
      <c r="AS115" s="98"/>
      <c r="AT115" s="98"/>
      <c r="AU115" s="99"/>
      <c r="AV115" s="99"/>
      <c r="AW115" s="89">
        <v>111</v>
      </c>
      <c r="AX115" s="90">
        <v>44037</v>
      </c>
      <c r="AY115" s="98"/>
      <c r="AZ115" s="98"/>
      <c r="BA115" s="98"/>
      <c r="BB115" s="98"/>
      <c r="BC115" s="99"/>
      <c r="BD115" s="99"/>
      <c r="BE115" s="97"/>
      <c r="BF115" s="98"/>
      <c r="BG115" s="98"/>
      <c r="BH115" s="98"/>
      <c r="BI115" s="98"/>
      <c r="BJ115" s="98"/>
      <c r="BK115" s="99"/>
      <c r="BL115" s="99"/>
      <c r="BM115" s="97"/>
      <c r="BN115" s="98"/>
      <c r="BO115" s="98"/>
      <c r="BP115" s="98"/>
      <c r="BQ115" s="98"/>
      <c r="BR115" s="98"/>
      <c r="BS115" s="99"/>
      <c r="BT115" s="99"/>
    </row>
    <row r="116" spans="1:72">
      <c r="A116" s="89">
        <v>112</v>
      </c>
      <c r="B116" s="98"/>
      <c r="C116" s="98"/>
      <c r="D116" s="113">
        <f t="shared" si="40"/>
        <v>578512</v>
      </c>
      <c r="E116" s="113">
        <f t="shared" si="41"/>
        <v>20341</v>
      </c>
      <c r="F116" s="115">
        <f t="shared" si="35"/>
        <v>31</v>
      </c>
      <c r="G116" s="116">
        <f t="shared" si="36"/>
        <v>598853</v>
      </c>
      <c r="H116" s="116">
        <f t="shared" si="37"/>
        <v>20247920</v>
      </c>
      <c r="I116" s="97"/>
      <c r="J116" s="98"/>
      <c r="K116" s="98"/>
      <c r="L116" s="98"/>
      <c r="M116" s="98"/>
      <c r="N116" s="98"/>
      <c r="O116" s="99"/>
      <c r="P116" s="99"/>
      <c r="Q116" s="97"/>
      <c r="R116" s="98"/>
      <c r="S116" s="98"/>
      <c r="T116" s="98"/>
      <c r="U116" s="98"/>
      <c r="V116" s="98"/>
      <c r="W116" s="99"/>
      <c r="X116" s="99"/>
      <c r="Y116" s="97"/>
      <c r="Z116" s="98"/>
      <c r="AA116" s="98"/>
      <c r="AB116" s="98"/>
      <c r="AC116" s="98"/>
      <c r="AD116" s="98"/>
      <c r="AE116" s="99"/>
      <c r="AF116" s="99"/>
      <c r="AG116" s="97"/>
      <c r="AH116" s="81">
        <v>44053</v>
      </c>
      <c r="AI116" s="83">
        <f t="shared" si="42"/>
        <v>598853</v>
      </c>
      <c r="AJ116" s="83">
        <v>578512</v>
      </c>
      <c r="AK116" s="83">
        <v>20341</v>
      </c>
      <c r="AL116" s="83">
        <v>31</v>
      </c>
      <c r="AM116" s="83">
        <f t="shared" si="43"/>
        <v>598853</v>
      </c>
      <c r="AN116" s="83">
        <v>20247920</v>
      </c>
      <c r="AO116" s="97"/>
      <c r="AP116" s="98"/>
      <c r="AQ116" s="98"/>
      <c r="AR116" s="98"/>
      <c r="AS116" s="98"/>
      <c r="AT116" s="98"/>
      <c r="AU116" s="99"/>
      <c r="AV116" s="99"/>
      <c r="AW116" s="89">
        <v>112</v>
      </c>
      <c r="AX116" s="90">
        <v>44068</v>
      </c>
      <c r="AY116" s="98"/>
      <c r="AZ116" s="98"/>
      <c r="BA116" s="98"/>
      <c r="BB116" s="98"/>
      <c r="BC116" s="99"/>
      <c r="BD116" s="99"/>
      <c r="BE116" s="97"/>
      <c r="BF116" s="98"/>
      <c r="BG116" s="98"/>
      <c r="BH116" s="98"/>
      <c r="BI116" s="98"/>
      <c r="BJ116" s="98"/>
      <c r="BK116" s="99"/>
      <c r="BL116" s="99"/>
      <c r="BM116" s="97"/>
      <c r="BN116" s="98"/>
      <c r="BO116" s="98"/>
      <c r="BP116" s="98"/>
      <c r="BQ116" s="98"/>
      <c r="BR116" s="98"/>
      <c r="BS116" s="99"/>
      <c r="BT116" s="99"/>
    </row>
    <row r="117" spans="1:72">
      <c r="A117" s="89">
        <v>113</v>
      </c>
      <c r="B117" s="98"/>
      <c r="C117" s="98"/>
      <c r="D117" s="113">
        <f t="shared" si="40"/>
        <v>578512</v>
      </c>
      <c r="E117" s="113">
        <f t="shared" si="41"/>
        <v>19776</v>
      </c>
      <c r="F117" s="115">
        <f t="shared" si="35"/>
        <v>31</v>
      </c>
      <c r="G117" s="116">
        <f t="shared" si="36"/>
        <v>598288</v>
      </c>
      <c r="H117" s="116">
        <f t="shared" si="37"/>
        <v>19669408</v>
      </c>
      <c r="I117" s="97"/>
      <c r="J117" s="98"/>
      <c r="K117" s="98"/>
      <c r="L117" s="98"/>
      <c r="M117" s="98"/>
      <c r="N117" s="98"/>
      <c r="O117" s="99"/>
      <c r="P117" s="99"/>
      <c r="Q117" s="97"/>
      <c r="R117" s="98"/>
      <c r="S117" s="98"/>
      <c r="T117" s="98"/>
      <c r="U117" s="98"/>
      <c r="V117" s="98"/>
      <c r="W117" s="99"/>
      <c r="X117" s="99"/>
      <c r="Y117" s="97"/>
      <c r="Z117" s="98"/>
      <c r="AA117" s="98"/>
      <c r="AB117" s="98"/>
      <c r="AC117" s="98"/>
      <c r="AD117" s="98"/>
      <c r="AE117" s="99"/>
      <c r="AF117" s="99"/>
      <c r="AG117" s="97"/>
      <c r="AH117" s="81">
        <v>44084</v>
      </c>
      <c r="AI117" s="83">
        <f t="shared" si="42"/>
        <v>598288</v>
      </c>
      <c r="AJ117" s="83">
        <v>578512</v>
      </c>
      <c r="AK117" s="83">
        <v>19776</v>
      </c>
      <c r="AL117" s="83">
        <v>31</v>
      </c>
      <c r="AM117" s="83">
        <f t="shared" si="43"/>
        <v>598288</v>
      </c>
      <c r="AN117" s="83">
        <v>19669408</v>
      </c>
      <c r="AO117" s="97"/>
      <c r="AP117" s="98"/>
      <c r="AQ117" s="98"/>
      <c r="AR117" s="98"/>
      <c r="AS117" s="98"/>
      <c r="AT117" s="98"/>
      <c r="AU117" s="99"/>
      <c r="AV117" s="99"/>
      <c r="AW117" s="89">
        <v>113</v>
      </c>
      <c r="AX117" s="90">
        <v>44099</v>
      </c>
      <c r="AY117" s="98"/>
      <c r="AZ117" s="98"/>
      <c r="BA117" s="98"/>
      <c r="BB117" s="98"/>
      <c r="BC117" s="99"/>
      <c r="BD117" s="99"/>
      <c r="BE117" s="97"/>
      <c r="BF117" s="98"/>
      <c r="BG117" s="98"/>
      <c r="BH117" s="98"/>
      <c r="BI117" s="98"/>
      <c r="BJ117" s="98"/>
      <c r="BK117" s="99"/>
      <c r="BL117" s="99"/>
      <c r="BM117" s="97"/>
      <c r="BN117" s="98"/>
      <c r="BO117" s="98"/>
      <c r="BP117" s="98"/>
      <c r="BQ117" s="98"/>
      <c r="BR117" s="98"/>
      <c r="BS117" s="99"/>
      <c r="BT117" s="99"/>
    </row>
    <row r="118" spans="1:72">
      <c r="A118" s="89">
        <v>114</v>
      </c>
      <c r="B118" s="98"/>
      <c r="C118" s="98"/>
      <c r="D118" s="113">
        <f t="shared" si="40"/>
        <v>578512</v>
      </c>
      <c r="E118" s="113">
        <f t="shared" si="41"/>
        <v>18591</v>
      </c>
      <c r="F118" s="115">
        <f t="shared" si="35"/>
        <v>30</v>
      </c>
      <c r="G118" s="116">
        <f t="shared" si="36"/>
        <v>597103</v>
      </c>
      <c r="H118" s="116">
        <f t="shared" si="37"/>
        <v>19090896</v>
      </c>
      <c r="I118" s="97"/>
      <c r="J118" s="98"/>
      <c r="K118" s="98"/>
      <c r="L118" s="98"/>
      <c r="M118" s="98"/>
      <c r="N118" s="98"/>
      <c r="O118" s="99"/>
      <c r="P118" s="99"/>
      <c r="Q118" s="97"/>
      <c r="R118" s="98"/>
      <c r="S118" s="98"/>
      <c r="T118" s="98"/>
      <c r="U118" s="98"/>
      <c r="V118" s="98"/>
      <c r="W118" s="99"/>
      <c r="X118" s="99"/>
      <c r="Y118" s="97"/>
      <c r="Z118" s="98"/>
      <c r="AA118" s="98"/>
      <c r="AB118" s="98"/>
      <c r="AC118" s="98"/>
      <c r="AD118" s="98"/>
      <c r="AE118" s="99"/>
      <c r="AF118" s="99"/>
      <c r="AG118" s="97"/>
      <c r="AH118" s="81">
        <v>44114</v>
      </c>
      <c r="AI118" s="83">
        <f t="shared" si="42"/>
        <v>597103</v>
      </c>
      <c r="AJ118" s="83">
        <v>578512</v>
      </c>
      <c r="AK118" s="83">
        <v>18591</v>
      </c>
      <c r="AL118" s="83">
        <v>30</v>
      </c>
      <c r="AM118" s="83">
        <f t="shared" si="43"/>
        <v>597103</v>
      </c>
      <c r="AN118" s="83">
        <v>19090896</v>
      </c>
      <c r="AO118" s="97"/>
      <c r="AP118" s="98"/>
      <c r="AQ118" s="98"/>
      <c r="AR118" s="98"/>
      <c r="AS118" s="98"/>
      <c r="AT118" s="98"/>
      <c r="AU118" s="99"/>
      <c r="AV118" s="99"/>
      <c r="AW118" s="89">
        <v>114</v>
      </c>
      <c r="AX118" s="90">
        <v>44129</v>
      </c>
      <c r="AY118" s="98"/>
      <c r="AZ118" s="98"/>
      <c r="BA118" s="98"/>
      <c r="BB118" s="98"/>
      <c r="BC118" s="99"/>
      <c r="BD118" s="99"/>
      <c r="BE118" s="97"/>
      <c r="BF118" s="98"/>
      <c r="BG118" s="98"/>
      <c r="BH118" s="98"/>
      <c r="BI118" s="98"/>
      <c r="BJ118" s="98"/>
      <c r="BK118" s="99"/>
      <c r="BL118" s="99"/>
      <c r="BM118" s="97"/>
      <c r="BN118" s="98"/>
      <c r="BO118" s="98"/>
      <c r="BP118" s="98"/>
      <c r="BQ118" s="98"/>
      <c r="BR118" s="98"/>
      <c r="BS118" s="99"/>
      <c r="BT118" s="99"/>
    </row>
    <row r="119" spans="1:72">
      <c r="A119" s="89">
        <v>115</v>
      </c>
      <c r="B119" s="98"/>
      <c r="C119" s="98"/>
      <c r="D119" s="113">
        <f t="shared" si="40"/>
        <v>578512</v>
      </c>
      <c r="E119" s="113">
        <f t="shared" si="41"/>
        <v>18646</v>
      </c>
      <c r="F119" s="115">
        <f t="shared" si="35"/>
        <v>31</v>
      </c>
      <c r="G119" s="116">
        <f t="shared" si="36"/>
        <v>597158</v>
      </c>
      <c r="H119" s="116">
        <f t="shared" si="37"/>
        <v>18512384</v>
      </c>
      <c r="I119" s="97"/>
      <c r="J119" s="98"/>
      <c r="K119" s="98"/>
      <c r="L119" s="98"/>
      <c r="M119" s="98"/>
      <c r="N119" s="98"/>
      <c r="O119" s="99"/>
      <c r="P119" s="99"/>
      <c r="Q119" s="97"/>
      <c r="R119" s="98"/>
      <c r="S119" s="98"/>
      <c r="T119" s="98"/>
      <c r="U119" s="98"/>
      <c r="V119" s="98"/>
      <c r="W119" s="99"/>
      <c r="X119" s="99"/>
      <c r="Y119" s="97"/>
      <c r="Z119" s="98"/>
      <c r="AA119" s="98"/>
      <c r="AB119" s="98"/>
      <c r="AC119" s="98"/>
      <c r="AD119" s="98"/>
      <c r="AE119" s="99"/>
      <c r="AF119" s="99"/>
      <c r="AG119" s="97"/>
      <c r="AH119" s="81">
        <v>44145</v>
      </c>
      <c r="AI119" s="83">
        <f t="shared" si="42"/>
        <v>597158</v>
      </c>
      <c r="AJ119" s="83">
        <v>578512</v>
      </c>
      <c r="AK119" s="83">
        <v>18646</v>
      </c>
      <c r="AL119" s="83">
        <v>31</v>
      </c>
      <c r="AM119" s="83">
        <f t="shared" si="43"/>
        <v>597158</v>
      </c>
      <c r="AN119" s="83">
        <v>18512384</v>
      </c>
      <c r="AO119" s="97"/>
      <c r="AP119" s="98"/>
      <c r="AQ119" s="98"/>
      <c r="AR119" s="98"/>
      <c r="AS119" s="98"/>
      <c r="AT119" s="98"/>
      <c r="AU119" s="99"/>
      <c r="AV119" s="99"/>
      <c r="AW119" s="89">
        <v>115</v>
      </c>
      <c r="AX119" s="90">
        <v>44160</v>
      </c>
      <c r="AY119" s="98"/>
      <c r="AZ119" s="98"/>
      <c r="BA119" s="98"/>
      <c r="BB119" s="98"/>
      <c r="BC119" s="99"/>
      <c r="BD119" s="99"/>
      <c r="BE119" s="97"/>
      <c r="BF119" s="98"/>
      <c r="BG119" s="98"/>
      <c r="BH119" s="98"/>
      <c r="BI119" s="98"/>
      <c r="BJ119" s="98"/>
      <c r="BK119" s="99"/>
      <c r="BL119" s="99"/>
      <c r="BM119" s="97"/>
      <c r="BN119" s="98"/>
      <c r="BO119" s="98"/>
      <c r="BP119" s="98"/>
      <c r="BQ119" s="98"/>
      <c r="BR119" s="98"/>
      <c r="BS119" s="99"/>
      <c r="BT119" s="99"/>
    </row>
    <row r="120" spans="1:72">
      <c r="A120" s="89">
        <v>116</v>
      </c>
      <c r="B120" s="98"/>
      <c r="C120" s="98"/>
      <c r="D120" s="113">
        <f t="shared" si="40"/>
        <v>578512</v>
      </c>
      <c r="E120" s="113">
        <f t="shared" si="41"/>
        <v>17497</v>
      </c>
      <c r="F120" s="115">
        <f t="shared" si="35"/>
        <v>30</v>
      </c>
      <c r="G120" s="116">
        <f t="shared" si="36"/>
        <v>596009</v>
      </c>
      <c r="H120" s="116">
        <f t="shared" si="37"/>
        <v>17933872</v>
      </c>
      <c r="I120" s="97"/>
      <c r="J120" s="98"/>
      <c r="K120" s="98"/>
      <c r="L120" s="98"/>
      <c r="M120" s="98"/>
      <c r="N120" s="98"/>
      <c r="O120" s="99"/>
      <c r="P120" s="99"/>
      <c r="Q120" s="97"/>
      <c r="R120" s="98"/>
      <c r="S120" s="98"/>
      <c r="T120" s="98"/>
      <c r="U120" s="98"/>
      <c r="V120" s="98"/>
      <c r="W120" s="99"/>
      <c r="X120" s="99"/>
      <c r="Y120" s="97"/>
      <c r="Z120" s="98"/>
      <c r="AA120" s="98"/>
      <c r="AB120" s="98"/>
      <c r="AC120" s="98"/>
      <c r="AD120" s="98"/>
      <c r="AE120" s="99"/>
      <c r="AF120" s="99"/>
      <c r="AG120" s="97"/>
      <c r="AH120" s="81">
        <v>44175</v>
      </c>
      <c r="AI120" s="83">
        <f t="shared" si="42"/>
        <v>596009</v>
      </c>
      <c r="AJ120" s="83">
        <v>578512</v>
      </c>
      <c r="AK120" s="83">
        <v>17497</v>
      </c>
      <c r="AL120" s="83">
        <v>30</v>
      </c>
      <c r="AM120" s="83">
        <f t="shared" si="43"/>
        <v>596009</v>
      </c>
      <c r="AN120" s="83">
        <v>17933872</v>
      </c>
      <c r="AO120" s="97"/>
      <c r="AP120" s="98"/>
      <c r="AQ120" s="98"/>
      <c r="AR120" s="98"/>
      <c r="AS120" s="98"/>
      <c r="AT120" s="98"/>
      <c r="AU120" s="99"/>
      <c r="AV120" s="99"/>
      <c r="AW120" s="89">
        <v>116</v>
      </c>
      <c r="AX120" s="90">
        <v>44190</v>
      </c>
      <c r="AY120" s="98"/>
      <c r="AZ120" s="98"/>
      <c r="BA120" s="98"/>
      <c r="BB120" s="98"/>
      <c r="BC120" s="99"/>
      <c r="BD120" s="99"/>
      <c r="BE120" s="97"/>
      <c r="BF120" s="98"/>
      <c r="BG120" s="98"/>
      <c r="BH120" s="98"/>
      <c r="BI120" s="98"/>
      <c r="BJ120" s="98"/>
      <c r="BK120" s="99"/>
      <c r="BL120" s="99"/>
      <c r="BM120" s="97"/>
      <c r="BN120" s="98"/>
      <c r="BO120" s="98"/>
      <c r="BP120" s="98"/>
      <c r="BQ120" s="98"/>
      <c r="BR120" s="98"/>
      <c r="BS120" s="99"/>
      <c r="BT120" s="99"/>
    </row>
    <row r="121" spans="1:72">
      <c r="A121" s="89">
        <v>117</v>
      </c>
      <c r="B121" s="98"/>
      <c r="C121" s="98"/>
      <c r="D121" s="113">
        <f t="shared" si="40"/>
        <v>578512</v>
      </c>
      <c r="E121" s="113">
        <f t="shared" si="41"/>
        <v>17516</v>
      </c>
      <c r="F121" s="115">
        <f t="shared" si="35"/>
        <v>31</v>
      </c>
      <c r="G121" s="116">
        <f t="shared" si="36"/>
        <v>596028</v>
      </c>
      <c r="H121" s="116">
        <f t="shared" si="37"/>
        <v>17355360</v>
      </c>
      <c r="I121" s="97"/>
      <c r="J121" s="98"/>
      <c r="K121" s="98"/>
      <c r="L121" s="98"/>
      <c r="M121" s="98"/>
      <c r="N121" s="98"/>
      <c r="O121" s="99"/>
      <c r="P121" s="99"/>
      <c r="Q121" s="97"/>
      <c r="R121" s="98"/>
      <c r="S121" s="98"/>
      <c r="T121" s="98"/>
      <c r="U121" s="98"/>
      <c r="V121" s="98"/>
      <c r="W121" s="99"/>
      <c r="X121" s="99"/>
      <c r="Y121" s="97"/>
      <c r="Z121" s="98"/>
      <c r="AA121" s="98"/>
      <c r="AB121" s="98"/>
      <c r="AC121" s="98"/>
      <c r="AD121" s="98"/>
      <c r="AE121" s="99"/>
      <c r="AF121" s="99"/>
      <c r="AG121" s="97"/>
      <c r="AH121" s="81">
        <v>44206</v>
      </c>
      <c r="AI121" s="83">
        <f t="shared" si="42"/>
        <v>596028</v>
      </c>
      <c r="AJ121" s="83">
        <v>578512</v>
      </c>
      <c r="AK121" s="83">
        <v>17516</v>
      </c>
      <c r="AL121" s="83">
        <v>31</v>
      </c>
      <c r="AM121" s="83">
        <f t="shared" si="43"/>
        <v>596028</v>
      </c>
      <c r="AN121" s="83">
        <v>17355360</v>
      </c>
      <c r="AO121" s="97"/>
      <c r="AP121" s="98"/>
      <c r="AQ121" s="98"/>
      <c r="AR121" s="98"/>
      <c r="AS121" s="98"/>
      <c r="AT121" s="98"/>
      <c r="AU121" s="99"/>
      <c r="AV121" s="99"/>
      <c r="AW121" s="89">
        <v>117</v>
      </c>
      <c r="AX121" s="90">
        <v>44221</v>
      </c>
      <c r="AY121" s="98"/>
      <c r="AZ121" s="98"/>
      <c r="BA121" s="98"/>
      <c r="BB121" s="98"/>
      <c r="BC121" s="99"/>
      <c r="BD121" s="99"/>
      <c r="BE121" s="97"/>
      <c r="BF121" s="98"/>
      <c r="BG121" s="98"/>
      <c r="BH121" s="98"/>
      <c r="BI121" s="98"/>
      <c r="BJ121" s="98"/>
      <c r="BK121" s="99"/>
      <c r="BL121" s="99"/>
      <c r="BM121" s="97"/>
      <c r="BN121" s="98"/>
      <c r="BO121" s="98"/>
      <c r="BP121" s="98"/>
      <c r="BQ121" s="98"/>
      <c r="BR121" s="98"/>
      <c r="BS121" s="99"/>
      <c r="BT121" s="99"/>
    </row>
    <row r="122" spans="1:72">
      <c r="A122" s="89">
        <v>118</v>
      </c>
      <c r="B122" s="98"/>
      <c r="C122" s="98"/>
      <c r="D122" s="113">
        <f t="shared" si="40"/>
        <v>578512</v>
      </c>
      <c r="E122" s="113">
        <f t="shared" si="41"/>
        <v>16951</v>
      </c>
      <c r="F122" s="115">
        <f t="shared" si="35"/>
        <v>31</v>
      </c>
      <c r="G122" s="116">
        <f t="shared" si="36"/>
        <v>595463</v>
      </c>
      <c r="H122" s="116">
        <f t="shared" si="37"/>
        <v>16776848</v>
      </c>
      <c r="I122" s="97"/>
      <c r="J122" s="98"/>
      <c r="K122" s="98"/>
      <c r="L122" s="98"/>
      <c r="M122" s="98"/>
      <c r="N122" s="98"/>
      <c r="O122" s="99"/>
      <c r="P122" s="99"/>
      <c r="Q122" s="97"/>
      <c r="R122" s="98"/>
      <c r="S122" s="98"/>
      <c r="T122" s="98"/>
      <c r="U122" s="98"/>
      <c r="V122" s="98"/>
      <c r="W122" s="99"/>
      <c r="X122" s="99"/>
      <c r="Y122" s="97"/>
      <c r="Z122" s="98"/>
      <c r="AA122" s="98"/>
      <c r="AB122" s="98"/>
      <c r="AC122" s="98"/>
      <c r="AD122" s="98"/>
      <c r="AE122" s="99"/>
      <c r="AF122" s="99"/>
      <c r="AG122" s="97"/>
      <c r="AH122" s="81">
        <v>44237</v>
      </c>
      <c r="AI122" s="83">
        <f t="shared" si="42"/>
        <v>595463</v>
      </c>
      <c r="AJ122" s="83">
        <v>578512</v>
      </c>
      <c r="AK122" s="83">
        <v>16951</v>
      </c>
      <c r="AL122" s="83">
        <v>31</v>
      </c>
      <c r="AM122" s="83">
        <f t="shared" si="43"/>
        <v>595463</v>
      </c>
      <c r="AN122" s="83">
        <v>16776848</v>
      </c>
      <c r="AO122" s="97"/>
      <c r="AP122" s="98"/>
      <c r="AQ122" s="98"/>
      <c r="AR122" s="98"/>
      <c r="AS122" s="98"/>
      <c r="AT122" s="98"/>
      <c r="AU122" s="99"/>
      <c r="AV122" s="99"/>
      <c r="AW122" s="89">
        <v>118</v>
      </c>
      <c r="AX122" s="90">
        <v>44252</v>
      </c>
      <c r="AY122" s="98"/>
      <c r="AZ122" s="98"/>
      <c r="BA122" s="98"/>
      <c r="BB122" s="98"/>
      <c r="BC122" s="99"/>
      <c r="BD122" s="99"/>
      <c r="BE122" s="97"/>
      <c r="BF122" s="98"/>
      <c r="BG122" s="98"/>
      <c r="BH122" s="98"/>
      <c r="BI122" s="98"/>
      <c r="BJ122" s="98"/>
      <c r="BK122" s="99"/>
      <c r="BL122" s="99"/>
      <c r="BM122" s="97"/>
      <c r="BN122" s="98"/>
      <c r="BO122" s="98"/>
      <c r="BP122" s="98"/>
      <c r="BQ122" s="98"/>
      <c r="BR122" s="98"/>
      <c r="BS122" s="99"/>
      <c r="BT122" s="99"/>
    </row>
    <row r="123" spans="1:72">
      <c r="A123" s="89">
        <v>119</v>
      </c>
      <c r="B123" s="98"/>
      <c r="C123" s="98"/>
      <c r="D123" s="113">
        <f t="shared" si="40"/>
        <v>578512</v>
      </c>
      <c r="E123" s="113">
        <f t="shared" si="41"/>
        <v>14800</v>
      </c>
      <c r="F123" s="115">
        <f t="shared" si="35"/>
        <v>28</v>
      </c>
      <c r="G123" s="116">
        <f t="shared" si="36"/>
        <v>593312</v>
      </c>
      <c r="H123" s="116">
        <f t="shared" si="37"/>
        <v>16198336</v>
      </c>
      <c r="I123" s="97"/>
      <c r="J123" s="98"/>
      <c r="K123" s="98"/>
      <c r="L123" s="98"/>
      <c r="M123" s="98"/>
      <c r="N123" s="98"/>
      <c r="O123" s="99"/>
      <c r="P123" s="99"/>
      <c r="Q123" s="97"/>
      <c r="R123" s="98"/>
      <c r="S123" s="98"/>
      <c r="T123" s="98"/>
      <c r="U123" s="98"/>
      <c r="V123" s="98"/>
      <c r="W123" s="99"/>
      <c r="X123" s="99"/>
      <c r="Y123" s="97"/>
      <c r="Z123" s="98"/>
      <c r="AA123" s="98"/>
      <c r="AB123" s="98"/>
      <c r="AC123" s="98"/>
      <c r="AD123" s="98"/>
      <c r="AE123" s="99"/>
      <c r="AF123" s="99"/>
      <c r="AG123" s="97"/>
      <c r="AH123" s="81">
        <v>44265</v>
      </c>
      <c r="AI123" s="83">
        <f t="shared" si="42"/>
        <v>593312</v>
      </c>
      <c r="AJ123" s="83">
        <v>578512</v>
      </c>
      <c r="AK123" s="83">
        <v>14800</v>
      </c>
      <c r="AL123" s="83">
        <v>28</v>
      </c>
      <c r="AM123" s="83">
        <f t="shared" si="43"/>
        <v>593312</v>
      </c>
      <c r="AN123" s="83">
        <v>16198336</v>
      </c>
      <c r="AO123" s="97"/>
      <c r="AP123" s="98"/>
      <c r="AQ123" s="98"/>
      <c r="AR123" s="98"/>
      <c r="AS123" s="98"/>
      <c r="AT123" s="98"/>
      <c r="AU123" s="99"/>
      <c r="AV123" s="99"/>
      <c r="AW123" s="89">
        <v>119</v>
      </c>
      <c r="AX123" s="90">
        <v>44280</v>
      </c>
      <c r="AY123" s="98"/>
      <c r="AZ123" s="98"/>
      <c r="BA123" s="98"/>
      <c r="BB123" s="98"/>
      <c r="BC123" s="99"/>
      <c r="BD123" s="99"/>
      <c r="BE123" s="97"/>
      <c r="BF123" s="98"/>
      <c r="BG123" s="98"/>
      <c r="BH123" s="98"/>
      <c r="BI123" s="98"/>
      <c r="BJ123" s="98"/>
      <c r="BK123" s="99"/>
      <c r="BL123" s="99"/>
      <c r="BM123" s="97"/>
      <c r="BN123" s="98"/>
      <c r="BO123" s="98"/>
      <c r="BP123" s="98"/>
      <c r="BQ123" s="98"/>
      <c r="BR123" s="98"/>
      <c r="BS123" s="99"/>
      <c r="BT123" s="99"/>
    </row>
    <row r="124" spans="1:72">
      <c r="A124" s="89">
        <v>120</v>
      </c>
      <c r="B124" s="98"/>
      <c r="C124" s="98"/>
      <c r="D124" s="113">
        <f t="shared" si="40"/>
        <v>578512</v>
      </c>
      <c r="E124" s="113">
        <f t="shared" si="41"/>
        <v>15821</v>
      </c>
      <c r="F124" s="115">
        <f t="shared" si="35"/>
        <v>31</v>
      </c>
      <c r="G124" s="116">
        <f t="shared" si="36"/>
        <v>594333</v>
      </c>
      <c r="H124" s="116">
        <f t="shared" si="37"/>
        <v>15619824</v>
      </c>
      <c r="I124" s="97"/>
      <c r="J124" s="98"/>
      <c r="K124" s="98"/>
      <c r="L124" s="98"/>
      <c r="M124" s="98"/>
      <c r="N124" s="98"/>
      <c r="O124" s="99"/>
      <c r="P124" s="99"/>
      <c r="Q124" s="97"/>
      <c r="R124" s="98"/>
      <c r="S124" s="98"/>
      <c r="T124" s="98"/>
      <c r="U124" s="98"/>
      <c r="V124" s="98"/>
      <c r="W124" s="99"/>
      <c r="X124" s="99"/>
      <c r="Y124" s="97"/>
      <c r="Z124" s="98"/>
      <c r="AA124" s="98"/>
      <c r="AB124" s="98"/>
      <c r="AC124" s="98"/>
      <c r="AD124" s="98"/>
      <c r="AE124" s="99"/>
      <c r="AF124" s="99"/>
      <c r="AG124" s="97"/>
      <c r="AH124" s="81">
        <v>44296</v>
      </c>
      <c r="AI124" s="83">
        <f t="shared" si="42"/>
        <v>594333</v>
      </c>
      <c r="AJ124" s="83">
        <v>578512</v>
      </c>
      <c r="AK124" s="83">
        <v>15821</v>
      </c>
      <c r="AL124" s="83">
        <v>31</v>
      </c>
      <c r="AM124" s="83">
        <f t="shared" si="43"/>
        <v>594333</v>
      </c>
      <c r="AN124" s="83">
        <v>15619824</v>
      </c>
      <c r="AO124" s="97"/>
      <c r="AP124" s="98"/>
      <c r="AQ124" s="98"/>
      <c r="AR124" s="98"/>
      <c r="AS124" s="98"/>
      <c r="AT124" s="98"/>
      <c r="AU124" s="99"/>
      <c r="AV124" s="99"/>
      <c r="AW124" s="89">
        <v>120</v>
      </c>
      <c r="AX124" s="90">
        <v>44311</v>
      </c>
      <c r="AY124" s="98"/>
      <c r="AZ124" s="98"/>
      <c r="BA124" s="98"/>
      <c r="BB124" s="98"/>
      <c r="BC124" s="99"/>
      <c r="BD124" s="99"/>
      <c r="BE124" s="97"/>
      <c r="BF124" s="98"/>
      <c r="BG124" s="98"/>
      <c r="BH124" s="98"/>
      <c r="BI124" s="98"/>
      <c r="BJ124" s="98"/>
      <c r="BK124" s="99"/>
      <c r="BL124" s="99"/>
      <c r="BM124" s="97"/>
      <c r="BN124" s="98"/>
      <c r="BO124" s="98"/>
      <c r="BP124" s="98"/>
      <c r="BQ124" s="98"/>
      <c r="BR124" s="98"/>
      <c r="BS124" s="99"/>
      <c r="BT124" s="99"/>
    </row>
    <row r="125" spans="1:72">
      <c r="A125" s="89">
        <v>121</v>
      </c>
      <c r="B125" s="98"/>
      <c r="C125" s="98"/>
      <c r="D125" s="113">
        <f t="shared" si="40"/>
        <v>578512</v>
      </c>
      <c r="E125" s="113">
        <f t="shared" si="41"/>
        <v>14763</v>
      </c>
      <c r="F125" s="115">
        <f t="shared" si="35"/>
        <v>30</v>
      </c>
      <c r="G125" s="116">
        <f t="shared" si="36"/>
        <v>593275</v>
      </c>
      <c r="H125" s="116">
        <f t="shared" si="37"/>
        <v>15041312</v>
      </c>
      <c r="I125" s="97"/>
      <c r="J125" s="98"/>
      <c r="K125" s="98"/>
      <c r="L125" s="98"/>
      <c r="M125" s="98"/>
      <c r="N125" s="98"/>
      <c r="O125" s="99"/>
      <c r="P125" s="99"/>
      <c r="Q125" s="97"/>
      <c r="R125" s="98"/>
      <c r="S125" s="98"/>
      <c r="T125" s="98"/>
      <c r="U125" s="98"/>
      <c r="V125" s="98"/>
      <c r="W125" s="99"/>
      <c r="X125" s="99"/>
      <c r="Y125" s="97"/>
      <c r="Z125" s="98"/>
      <c r="AA125" s="98"/>
      <c r="AB125" s="98"/>
      <c r="AC125" s="98"/>
      <c r="AD125" s="98"/>
      <c r="AE125" s="99"/>
      <c r="AF125" s="99"/>
      <c r="AG125" s="97"/>
      <c r="AH125" s="81">
        <v>44326</v>
      </c>
      <c r="AI125" s="83">
        <f t="shared" si="42"/>
        <v>593275</v>
      </c>
      <c r="AJ125" s="83">
        <v>578512</v>
      </c>
      <c r="AK125" s="83">
        <v>14763</v>
      </c>
      <c r="AL125" s="83">
        <v>30</v>
      </c>
      <c r="AM125" s="83">
        <f t="shared" si="43"/>
        <v>593275</v>
      </c>
      <c r="AN125" s="83">
        <v>15041312</v>
      </c>
      <c r="AO125" s="97"/>
      <c r="AP125" s="98"/>
      <c r="AQ125" s="98"/>
      <c r="AR125" s="98"/>
      <c r="AS125" s="98"/>
      <c r="AT125" s="98"/>
      <c r="AU125" s="99"/>
      <c r="AV125" s="99"/>
      <c r="AW125" s="89">
        <v>121</v>
      </c>
      <c r="AX125" s="90">
        <v>44341</v>
      </c>
      <c r="AY125" s="98"/>
      <c r="AZ125" s="98"/>
      <c r="BA125" s="98"/>
      <c r="BB125" s="98"/>
      <c r="BC125" s="99"/>
      <c r="BD125" s="99"/>
      <c r="BE125" s="97"/>
      <c r="BF125" s="98"/>
      <c r="BG125" s="98"/>
      <c r="BH125" s="98"/>
      <c r="BI125" s="98"/>
      <c r="BJ125" s="98"/>
      <c r="BK125" s="99"/>
      <c r="BL125" s="99"/>
      <c r="BM125" s="97"/>
      <c r="BN125" s="98"/>
      <c r="BO125" s="98"/>
      <c r="BP125" s="98"/>
      <c r="BQ125" s="98"/>
      <c r="BR125" s="98"/>
      <c r="BS125" s="99"/>
      <c r="BT125" s="99"/>
    </row>
    <row r="126" spans="1:72">
      <c r="A126" s="89">
        <v>122</v>
      </c>
      <c r="B126" s="98"/>
      <c r="C126" s="98"/>
      <c r="D126" s="113">
        <f t="shared" si="40"/>
        <v>578512</v>
      </c>
      <c r="E126" s="113">
        <f t="shared" si="41"/>
        <v>14691</v>
      </c>
      <c r="F126" s="115">
        <f t="shared" si="35"/>
        <v>31</v>
      </c>
      <c r="G126" s="116">
        <f t="shared" si="36"/>
        <v>593203</v>
      </c>
      <c r="H126" s="116">
        <f t="shared" si="37"/>
        <v>14462800</v>
      </c>
      <c r="I126" s="97"/>
      <c r="J126" s="98"/>
      <c r="K126" s="98"/>
      <c r="L126" s="98"/>
      <c r="M126" s="98"/>
      <c r="N126" s="98"/>
      <c r="O126" s="99"/>
      <c r="P126" s="99"/>
      <c r="Q126" s="97"/>
      <c r="R126" s="98"/>
      <c r="S126" s="98"/>
      <c r="T126" s="98"/>
      <c r="U126" s="98"/>
      <c r="V126" s="98"/>
      <c r="W126" s="99"/>
      <c r="X126" s="99"/>
      <c r="Y126" s="97"/>
      <c r="Z126" s="98"/>
      <c r="AA126" s="98"/>
      <c r="AB126" s="98"/>
      <c r="AC126" s="98"/>
      <c r="AD126" s="98"/>
      <c r="AE126" s="99"/>
      <c r="AF126" s="99"/>
      <c r="AG126" s="97"/>
      <c r="AH126" s="81">
        <v>44357</v>
      </c>
      <c r="AI126" s="83">
        <f t="shared" si="42"/>
        <v>593203</v>
      </c>
      <c r="AJ126" s="83">
        <v>578512</v>
      </c>
      <c r="AK126" s="83">
        <v>14691</v>
      </c>
      <c r="AL126" s="83">
        <v>31</v>
      </c>
      <c r="AM126" s="83">
        <f t="shared" si="43"/>
        <v>593203</v>
      </c>
      <c r="AN126" s="83">
        <v>14462800</v>
      </c>
      <c r="AO126" s="97"/>
      <c r="AP126" s="98"/>
      <c r="AQ126" s="98"/>
      <c r="AR126" s="98"/>
      <c r="AS126" s="98"/>
      <c r="AT126" s="98"/>
      <c r="AU126" s="99"/>
      <c r="AV126" s="99"/>
      <c r="AW126" s="89">
        <v>122</v>
      </c>
      <c r="AX126" s="90">
        <v>44372</v>
      </c>
      <c r="AY126" s="98"/>
      <c r="AZ126" s="98"/>
      <c r="BA126" s="98"/>
      <c r="BB126" s="98"/>
      <c r="BC126" s="99"/>
      <c r="BD126" s="99"/>
      <c r="BE126" s="97"/>
      <c r="BF126" s="98"/>
      <c r="BG126" s="98"/>
      <c r="BH126" s="98"/>
      <c r="BI126" s="98"/>
      <c r="BJ126" s="98"/>
      <c r="BK126" s="99"/>
      <c r="BL126" s="99"/>
      <c r="BM126" s="97"/>
      <c r="BN126" s="98"/>
      <c r="BO126" s="98"/>
      <c r="BP126" s="98"/>
      <c r="BQ126" s="98"/>
      <c r="BR126" s="98"/>
      <c r="BS126" s="99"/>
      <c r="BT126" s="99"/>
    </row>
    <row r="127" spans="1:72">
      <c r="A127" s="89">
        <v>123</v>
      </c>
      <c r="B127" s="98"/>
      <c r="C127" s="98"/>
      <c r="D127" s="113">
        <f t="shared" si="40"/>
        <v>578512</v>
      </c>
      <c r="E127" s="113">
        <f t="shared" si="41"/>
        <v>13670</v>
      </c>
      <c r="F127" s="115">
        <f t="shared" si="35"/>
        <v>30</v>
      </c>
      <c r="G127" s="116">
        <f t="shared" si="36"/>
        <v>592182</v>
      </c>
      <c r="H127" s="116">
        <f t="shared" si="37"/>
        <v>13884288</v>
      </c>
      <c r="I127" s="97"/>
      <c r="J127" s="98"/>
      <c r="K127" s="98"/>
      <c r="L127" s="98"/>
      <c r="M127" s="98"/>
      <c r="N127" s="98"/>
      <c r="O127" s="99"/>
      <c r="P127" s="99"/>
      <c r="Q127" s="97"/>
      <c r="R127" s="98"/>
      <c r="S127" s="98"/>
      <c r="T127" s="98"/>
      <c r="U127" s="98"/>
      <c r="V127" s="98"/>
      <c r="W127" s="99"/>
      <c r="X127" s="99"/>
      <c r="Y127" s="97"/>
      <c r="Z127" s="98"/>
      <c r="AA127" s="98"/>
      <c r="AB127" s="98"/>
      <c r="AC127" s="98"/>
      <c r="AD127" s="98"/>
      <c r="AE127" s="99"/>
      <c r="AF127" s="99"/>
      <c r="AG127" s="97"/>
      <c r="AH127" s="81">
        <v>44387</v>
      </c>
      <c r="AI127" s="83">
        <f t="shared" si="42"/>
        <v>592182</v>
      </c>
      <c r="AJ127" s="83">
        <v>578512</v>
      </c>
      <c r="AK127" s="83">
        <v>13670</v>
      </c>
      <c r="AL127" s="83">
        <v>30</v>
      </c>
      <c r="AM127" s="83">
        <f t="shared" si="43"/>
        <v>592182</v>
      </c>
      <c r="AN127" s="83">
        <v>13884288</v>
      </c>
      <c r="AO127" s="97"/>
      <c r="AP127" s="98"/>
      <c r="AQ127" s="98"/>
      <c r="AR127" s="98"/>
      <c r="AS127" s="98"/>
      <c r="AT127" s="98"/>
      <c r="AU127" s="99"/>
      <c r="AV127" s="99"/>
      <c r="AW127" s="89">
        <v>123</v>
      </c>
      <c r="AX127" s="90">
        <v>44402</v>
      </c>
      <c r="AY127" s="98"/>
      <c r="AZ127" s="98"/>
      <c r="BA127" s="98"/>
      <c r="BB127" s="98"/>
      <c r="BC127" s="99"/>
      <c r="BD127" s="99"/>
      <c r="BE127" s="97"/>
      <c r="BF127" s="98"/>
      <c r="BG127" s="98"/>
      <c r="BH127" s="98"/>
      <c r="BI127" s="98"/>
      <c r="BJ127" s="98"/>
      <c r="BK127" s="99"/>
      <c r="BL127" s="99"/>
      <c r="BM127" s="97"/>
      <c r="BN127" s="98"/>
      <c r="BO127" s="98"/>
      <c r="BP127" s="98"/>
      <c r="BQ127" s="98"/>
      <c r="BR127" s="98"/>
      <c r="BS127" s="99"/>
      <c r="BT127" s="99"/>
    </row>
    <row r="128" spans="1:72">
      <c r="A128" s="89">
        <v>124</v>
      </c>
      <c r="B128" s="98"/>
      <c r="C128" s="98"/>
      <c r="D128" s="113">
        <f t="shared" si="40"/>
        <v>578512</v>
      </c>
      <c r="E128" s="113">
        <f t="shared" si="41"/>
        <v>13560</v>
      </c>
      <c r="F128" s="115">
        <f t="shared" si="35"/>
        <v>31</v>
      </c>
      <c r="G128" s="116">
        <f t="shared" si="36"/>
        <v>592072</v>
      </c>
      <c r="H128" s="116">
        <f t="shared" si="37"/>
        <v>13305776</v>
      </c>
      <c r="I128" s="97"/>
      <c r="J128" s="98"/>
      <c r="K128" s="98"/>
      <c r="L128" s="98"/>
      <c r="M128" s="98"/>
      <c r="N128" s="98"/>
      <c r="O128" s="99"/>
      <c r="P128" s="99"/>
      <c r="Q128" s="97"/>
      <c r="R128" s="98"/>
      <c r="S128" s="98"/>
      <c r="T128" s="98"/>
      <c r="U128" s="98"/>
      <c r="V128" s="98"/>
      <c r="W128" s="99"/>
      <c r="X128" s="99"/>
      <c r="Y128" s="97"/>
      <c r="Z128" s="98"/>
      <c r="AA128" s="98"/>
      <c r="AB128" s="98"/>
      <c r="AC128" s="98"/>
      <c r="AD128" s="98"/>
      <c r="AE128" s="99"/>
      <c r="AF128" s="99"/>
      <c r="AG128" s="97"/>
      <c r="AH128" s="81">
        <v>44418</v>
      </c>
      <c r="AI128" s="83">
        <f t="shared" si="42"/>
        <v>592072</v>
      </c>
      <c r="AJ128" s="83">
        <v>578512</v>
      </c>
      <c r="AK128" s="83">
        <v>13560</v>
      </c>
      <c r="AL128" s="83">
        <v>31</v>
      </c>
      <c r="AM128" s="83">
        <f t="shared" si="43"/>
        <v>592072</v>
      </c>
      <c r="AN128" s="83">
        <v>13305776</v>
      </c>
      <c r="AO128" s="97"/>
      <c r="AP128" s="98"/>
      <c r="AQ128" s="98"/>
      <c r="AR128" s="98"/>
      <c r="AS128" s="98"/>
      <c r="AT128" s="98"/>
      <c r="AU128" s="99"/>
      <c r="AV128" s="99"/>
      <c r="AW128" s="89">
        <v>124</v>
      </c>
      <c r="AX128" s="90">
        <v>44433</v>
      </c>
      <c r="AY128" s="98"/>
      <c r="AZ128" s="98"/>
      <c r="BA128" s="98"/>
      <c r="BB128" s="98"/>
      <c r="BC128" s="99"/>
      <c r="BD128" s="99"/>
      <c r="BE128" s="97"/>
      <c r="BF128" s="98"/>
      <c r="BG128" s="98"/>
      <c r="BH128" s="98"/>
      <c r="BI128" s="98"/>
      <c r="BJ128" s="98"/>
      <c r="BK128" s="99"/>
      <c r="BL128" s="99"/>
      <c r="BM128" s="97"/>
      <c r="BN128" s="98"/>
      <c r="BO128" s="98"/>
      <c r="BP128" s="98"/>
      <c r="BQ128" s="98"/>
      <c r="BR128" s="98"/>
      <c r="BS128" s="99"/>
      <c r="BT128" s="99"/>
    </row>
    <row r="129" spans="1:72">
      <c r="A129" s="89">
        <v>125</v>
      </c>
      <c r="B129" s="98"/>
      <c r="C129" s="98"/>
      <c r="D129" s="113">
        <f t="shared" si="40"/>
        <v>578512</v>
      </c>
      <c r="E129" s="113">
        <f t="shared" si="41"/>
        <v>12995</v>
      </c>
      <c r="F129" s="115">
        <f t="shared" si="35"/>
        <v>31</v>
      </c>
      <c r="G129" s="116">
        <f t="shared" si="36"/>
        <v>591507</v>
      </c>
      <c r="H129" s="116">
        <f t="shared" si="37"/>
        <v>12727264</v>
      </c>
      <c r="I129" s="97"/>
      <c r="J129" s="98"/>
      <c r="K129" s="98"/>
      <c r="L129" s="98"/>
      <c r="M129" s="98"/>
      <c r="N129" s="98"/>
      <c r="O129" s="99"/>
      <c r="P129" s="99"/>
      <c r="Q129" s="97"/>
      <c r="R129" s="98"/>
      <c r="S129" s="98"/>
      <c r="T129" s="98"/>
      <c r="U129" s="98"/>
      <c r="V129" s="98"/>
      <c r="W129" s="99"/>
      <c r="X129" s="99"/>
      <c r="Y129" s="97"/>
      <c r="Z129" s="98"/>
      <c r="AA129" s="98"/>
      <c r="AB129" s="98"/>
      <c r="AC129" s="98"/>
      <c r="AD129" s="98"/>
      <c r="AE129" s="99"/>
      <c r="AF129" s="99"/>
      <c r="AG129" s="97"/>
      <c r="AH129" s="81">
        <v>44449</v>
      </c>
      <c r="AI129" s="83">
        <f t="shared" si="42"/>
        <v>591507</v>
      </c>
      <c r="AJ129" s="83">
        <v>578512</v>
      </c>
      <c r="AK129" s="83">
        <v>12995</v>
      </c>
      <c r="AL129" s="83">
        <v>31</v>
      </c>
      <c r="AM129" s="83">
        <f t="shared" si="43"/>
        <v>591507</v>
      </c>
      <c r="AN129" s="83">
        <v>12727264</v>
      </c>
      <c r="AO129" s="97"/>
      <c r="AP129" s="98"/>
      <c r="AQ129" s="98"/>
      <c r="AR129" s="98"/>
      <c r="AS129" s="98"/>
      <c r="AT129" s="98"/>
      <c r="AU129" s="99"/>
      <c r="AV129" s="99"/>
      <c r="AW129" s="89">
        <v>125</v>
      </c>
      <c r="AX129" s="90">
        <v>44464</v>
      </c>
      <c r="AY129" s="98"/>
      <c r="AZ129" s="98"/>
      <c r="BA129" s="98"/>
      <c r="BB129" s="98"/>
      <c r="BC129" s="99"/>
      <c r="BD129" s="99"/>
      <c r="BE129" s="97"/>
      <c r="BF129" s="98"/>
      <c r="BG129" s="98"/>
      <c r="BH129" s="98"/>
      <c r="BI129" s="98"/>
      <c r="BJ129" s="98"/>
      <c r="BK129" s="99"/>
      <c r="BL129" s="99"/>
      <c r="BM129" s="97"/>
      <c r="BN129" s="98"/>
      <c r="BO129" s="98"/>
      <c r="BP129" s="98"/>
      <c r="BQ129" s="98"/>
      <c r="BR129" s="98"/>
      <c r="BS129" s="99"/>
      <c r="BT129" s="99"/>
    </row>
    <row r="130" spans="1:72">
      <c r="A130" s="89">
        <v>126</v>
      </c>
      <c r="B130" s="98"/>
      <c r="C130" s="98"/>
      <c r="D130" s="113">
        <f t="shared" si="40"/>
        <v>578512</v>
      </c>
      <c r="E130" s="113">
        <f t="shared" si="41"/>
        <v>12029</v>
      </c>
      <c r="F130" s="98"/>
      <c r="G130" s="99"/>
      <c r="H130" s="99"/>
      <c r="I130" s="97"/>
      <c r="J130" s="98"/>
      <c r="K130" s="98"/>
      <c r="L130" s="98"/>
      <c r="M130" s="98"/>
      <c r="N130" s="98"/>
      <c r="O130" s="99"/>
      <c r="P130" s="99"/>
      <c r="Q130" s="97"/>
      <c r="R130" s="98"/>
      <c r="S130" s="98"/>
      <c r="T130" s="98"/>
      <c r="U130" s="98"/>
      <c r="V130" s="98"/>
      <c r="W130" s="99"/>
      <c r="X130" s="99"/>
      <c r="Y130" s="97"/>
      <c r="Z130" s="98"/>
      <c r="AA130" s="98"/>
      <c r="AB130" s="98"/>
      <c r="AC130" s="98"/>
      <c r="AD130" s="98"/>
      <c r="AE130" s="99"/>
      <c r="AF130" s="99"/>
      <c r="AG130" s="97"/>
      <c r="AH130" s="81">
        <v>44479</v>
      </c>
      <c r="AI130" s="83">
        <f t="shared" si="42"/>
        <v>590541</v>
      </c>
      <c r="AJ130" s="83">
        <v>578512</v>
      </c>
      <c r="AK130" s="83">
        <v>12029</v>
      </c>
      <c r="AL130" s="83">
        <v>30</v>
      </c>
      <c r="AM130" s="83">
        <f t="shared" si="43"/>
        <v>590541</v>
      </c>
      <c r="AN130" s="83">
        <v>12148752</v>
      </c>
      <c r="AO130" s="97"/>
      <c r="AP130" s="98"/>
      <c r="AQ130" s="98"/>
      <c r="AR130" s="98"/>
      <c r="AS130" s="98"/>
      <c r="AT130" s="98"/>
      <c r="AU130" s="99"/>
      <c r="AV130" s="99"/>
      <c r="AW130" s="89">
        <v>126</v>
      </c>
      <c r="AX130" s="90">
        <v>44494</v>
      </c>
      <c r="AY130" s="98"/>
      <c r="AZ130" s="98"/>
      <c r="BA130" s="98"/>
      <c r="BB130" s="98"/>
      <c r="BC130" s="99"/>
      <c r="BD130" s="99"/>
      <c r="BE130" s="97"/>
      <c r="BF130" s="98"/>
      <c r="BG130" s="98"/>
      <c r="BH130" s="98"/>
      <c r="BI130" s="98"/>
      <c r="BJ130" s="98"/>
      <c r="BK130" s="99"/>
      <c r="BL130" s="99"/>
      <c r="BM130" s="97"/>
      <c r="BN130" s="98"/>
      <c r="BO130" s="98"/>
      <c r="BP130" s="98"/>
      <c r="BQ130" s="98"/>
      <c r="BR130" s="98"/>
      <c r="BS130" s="99"/>
      <c r="BT130" s="99"/>
    </row>
    <row r="131" spans="1:72">
      <c r="A131" s="89">
        <v>127</v>
      </c>
      <c r="B131" s="98"/>
      <c r="C131" s="98"/>
      <c r="D131" s="113">
        <f t="shared" si="40"/>
        <v>578512</v>
      </c>
      <c r="E131" s="113">
        <f t="shared" si="41"/>
        <v>11865</v>
      </c>
      <c r="F131" s="98"/>
      <c r="G131" s="99"/>
      <c r="H131" s="99"/>
      <c r="I131" s="97"/>
      <c r="J131" s="98"/>
      <c r="K131" s="98"/>
      <c r="L131" s="98"/>
      <c r="M131" s="98"/>
      <c r="N131" s="98"/>
      <c r="O131" s="99"/>
      <c r="P131" s="99"/>
      <c r="Q131" s="97"/>
      <c r="R131" s="98"/>
      <c r="S131" s="98"/>
      <c r="T131" s="98"/>
      <c r="U131" s="98"/>
      <c r="V131" s="98"/>
      <c r="W131" s="99"/>
      <c r="X131" s="99"/>
      <c r="Y131" s="97"/>
      <c r="Z131" s="98"/>
      <c r="AA131" s="98"/>
      <c r="AB131" s="98"/>
      <c r="AC131" s="98"/>
      <c r="AD131" s="98"/>
      <c r="AE131" s="99"/>
      <c r="AF131" s="99"/>
      <c r="AG131" s="97"/>
      <c r="AH131" s="81">
        <v>44510</v>
      </c>
      <c r="AI131" s="83">
        <f t="shared" si="42"/>
        <v>590377</v>
      </c>
      <c r="AJ131" s="83">
        <v>578512</v>
      </c>
      <c r="AK131" s="83">
        <v>11865</v>
      </c>
      <c r="AL131" s="83">
        <v>31</v>
      </c>
      <c r="AM131" s="83">
        <f t="shared" si="43"/>
        <v>590377</v>
      </c>
      <c r="AN131" s="83">
        <v>11570240</v>
      </c>
      <c r="AO131" s="97"/>
      <c r="AP131" s="98"/>
      <c r="AQ131" s="98"/>
      <c r="AR131" s="98"/>
      <c r="AS131" s="98"/>
      <c r="AT131" s="98"/>
      <c r="AU131" s="99"/>
      <c r="AV131" s="99"/>
      <c r="AW131" s="89">
        <v>127</v>
      </c>
      <c r="AX131" s="90">
        <v>44525</v>
      </c>
      <c r="AY131" s="98"/>
      <c r="AZ131" s="98"/>
      <c r="BA131" s="98"/>
      <c r="BB131" s="98"/>
      <c r="BC131" s="99"/>
      <c r="BD131" s="99"/>
      <c r="BE131" s="97"/>
      <c r="BF131" s="98"/>
      <c r="BG131" s="98"/>
      <c r="BH131" s="98"/>
      <c r="BI131" s="98"/>
      <c r="BJ131" s="98"/>
      <c r="BK131" s="99"/>
      <c r="BL131" s="99"/>
      <c r="BM131" s="97"/>
      <c r="BN131" s="98"/>
      <c r="BO131" s="98"/>
      <c r="BP131" s="98"/>
      <c r="BQ131" s="98"/>
      <c r="BR131" s="98"/>
      <c r="BS131" s="99"/>
      <c r="BT131" s="99"/>
    </row>
    <row r="132" spans="1:72">
      <c r="A132" s="89">
        <v>128</v>
      </c>
      <c r="B132" s="98"/>
      <c r="C132" s="98"/>
      <c r="D132" s="113">
        <f t="shared" si="40"/>
        <v>578512</v>
      </c>
      <c r="E132" s="113">
        <f t="shared" si="41"/>
        <v>10936</v>
      </c>
      <c r="F132" s="98"/>
      <c r="G132" s="99"/>
      <c r="H132" s="99"/>
      <c r="I132" s="97"/>
      <c r="J132" s="98"/>
      <c r="K132" s="98"/>
      <c r="L132" s="98"/>
      <c r="M132" s="98"/>
      <c r="N132" s="98"/>
      <c r="O132" s="99"/>
      <c r="P132" s="99"/>
      <c r="Q132" s="97"/>
      <c r="R132" s="98"/>
      <c r="S132" s="98"/>
      <c r="T132" s="98"/>
      <c r="U132" s="98"/>
      <c r="V132" s="98"/>
      <c r="W132" s="99"/>
      <c r="X132" s="99"/>
      <c r="Y132" s="97"/>
      <c r="Z132" s="98"/>
      <c r="AA132" s="98"/>
      <c r="AB132" s="98"/>
      <c r="AC132" s="98"/>
      <c r="AD132" s="98"/>
      <c r="AE132" s="99"/>
      <c r="AF132" s="99"/>
      <c r="AG132" s="97"/>
      <c r="AH132" s="81">
        <v>44540</v>
      </c>
      <c r="AI132" s="83">
        <f t="shared" si="42"/>
        <v>589448</v>
      </c>
      <c r="AJ132" s="83">
        <v>578512</v>
      </c>
      <c r="AK132" s="83">
        <v>10936</v>
      </c>
      <c r="AL132" s="83">
        <v>30</v>
      </c>
      <c r="AM132" s="83">
        <f t="shared" si="43"/>
        <v>589448</v>
      </c>
      <c r="AN132" s="83">
        <v>10991728</v>
      </c>
      <c r="AO132" s="97"/>
      <c r="AP132" s="98"/>
      <c r="AQ132" s="98"/>
      <c r="AR132" s="98"/>
      <c r="AS132" s="98"/>
      <c r="AT132" s="98"/>
      <c r="AU132" s="99"/>
      <c r="AV132" s="99"/>
      <c r="AW132" s="89">
        <v>128</v>
      </c>
      <c r="AX132" s="90">
        <v>44555</v>
      </c>
      <c r="AY132" s="98"/>
      <c r="AZ132" s="98"/>
      <c r="BA132" s="98"/>
      <c r="BB132" s="98"/>
      <c r="BC132" s="99"/>
      <c r="BD132" s="99"/>
      <c r="BE132" s="97"/>
      <c r="BF132" s="98"/>
      <c r="BG132" s="98"/>
      <c r="BH132" s="98"/>
      <c r="BI132" s="98"/>
      <c r="BJ132" s="98"/>
      <c r="BK132" s="99"/>
      <c r="BL132" s="99"/>
      <c r="BM132" s="97"/>
      <c r="BN132" s="98"/>
      <c r="BO132" s="98"/>
      <c r="BP132" s="98"/>
      <c r="BQ132" s="98"/>
      <c r="BR132" s="98"/>
      <c r="BS132" s="99"/>
      <c r="BT132" s="99"/>
    </row>
    <row r="133" spans="1:72">
      <c r="A133" s="89">
        <v>129</v>
      </c>
      <c r="B133" s="98"/>
      <c r="C133" s="98"/>
      <c r="D133" s="113">
        <f t="shared" si="40"/>
        <v>578512</v>
      </c>
      <c r="E133" s="113">
        <f t="shared" si="41"/>
        <v>10735</v>
      </c>
      <c r="F133" s="98"/>
      <c r="G133" s="99"/>
      <c r="H133" s="99"/>
      <c r="I133" s="97"/>
      <c r="J133" s="98"/>
      <c r="K133" s="98"/>
      <c r="L133" s="98"/>
      <c r="M133" s="98"/>
      <c r="N133" s="98"/>
      <c r="O133" s="99"/>
      <c r="P133" s="99"/>
      <c r="Q133" s="97"/>
      <c r="R133" s="98"/>
      <c r="S133" s="98"/>
      <c r="T133" s="98"/>
      <c r="U133" s="98"/>
      <c r="V133" s="98"/>
      <c r="W133" s="99"/>
      <c r="X133" s="99"/>
      <c r="Y133" s="97"/>
      <c r="Z133" s="98"/>
      <c r="AA133" s="98"/>
      <c r="AB133" s="98"/>
      <c r="AC133" s="98"/>
      <c r="AD133" s="98"/>
      <c r="AE133" s="99"/>
      <c r="AF133" s="99"/>
      <c r="AG133" s="97"/>
      <c r="AH133" s="81">
        <v>44571</v>
      </c>
      <c r="AI133" s="83">
        <f t="shared" ref="AI133:AI151" si="44">AM133+AR133</f>
        <v>589247</v>
      </c>
      <c r="AJ133" s="83">
        <v>578512</v>
      </c>
      <c r="AK133" s="83">
        <v>10735</v>
      </c>
      <c r="AL133" s="83">
        <v>31</v>
      </c>
      <c r="AM133" s="83">
        <f t="shared" ref="AM133:AM151" si="45">AJ133+AK133</f>
        <v>589247</v>
      </c>
      <c r="AN133" s="83">
        <v>10413216</v>
      </c>
      <c r="AO133" s="97"/>
      <c r="AP133" s="98"/>
      <c r="AQ133" s="98"/>
      <c r="AR133" s="98"/>
      <c r="AS133" s="98"/>
      <c r="AT133" s="98"/>
      <c r="AU133" s="99"/>
      <c r="AV133" s="99"/>
      <c r="AW133" s="89">
        <v>129</v>
      </c>
      <c r="AX133" s="90">
        <v>44586</v>
      </c>
      <c r="AY133" s="98"/>
      <c r="AZ133" s="98"/>
      <c r="BA133" s="98"/>
      <c r="BB133" s="98"/>
      <c r="BC133" s="99"/>
      <c r="BD133" s="99"/>
      <c r="BE133" s="97"/>
      <c r="BF133" s="98"/>
      <c r="BG133" s="98"/>
      <c r="BH133" s="98"/>
      <c r="BI133" s="98"/>
      <c r="BJ133" s="98"/>
      <c r="BK133" s="99"/>
      <c r="BL133" s="99"/>
      <c r="BM133" s="97"/>
      <c r="BN133" s="98"/>
      <c r="BO133" s="98"/>
      <c r="BP133" s="98"/>
      <c r="BQ133" s="98"/>
      <c r="BR133" s="98"/>
      <c r="BS133" s="99"/>
      <c r="BT133" s="99"/>
    </row>
    <row r="134" spans="1:72">
      <c r="A134" s="89">
        <v>130</v>
      </c>
      <c r="B134" s="98"/>
      <c r="C134" s="98"/>
      <c r="D134" s="113">
        <f t="shared" si="40"/>
        <v>578512</v>
      </c>
      <c r="E134" s="113">
        <f t="shared" si="41"/>
        <v>10170</v>
      </c>
      <c r="F134" s="98"/>
      <c r="G134" s="99"/>
      <c r="H134" s="99"/>
      <c r="I134" s="97"/>
      <c r="J134" s="98"/>
      <c r="K134" s="98"/>
      <c r="L134" s="98"/>
      <c r="M134" s="98"/>
      <c r="N134" s="98"/>
      <c r="O134" s="99"/>
      <c r="P134" s="99"/>
      <c r="Q134" s="97"/>
      <c r="R134" s="98"/>
      <c r="S134" s="98"/>
      <c r="T134" s="98"/>
      <c r="U134" s="98"/>
      <c r="V134" s="98"/>
      <c r="W134" s="99"/>
      <c r="X134" s="99"/>
      <c r="Y134" s="97"/>
      <c r="Z134" s="98"/>
      <c r="AA134" s="98"/>
      <c r="AB134" s="98"/>
      <c r="AC134" s="98"/>
      <c r="AD134" s="98"/>
      <c r="AE134" s="99"/>
      <c r="AF134" s="99"/>
      <c r="AG134" s="97"/>
      <c r="AH134" s="81">
        <v>44602</v>
      </c>
      <c r="AI134" s="83">
        <f t="shared" si="44"/>
        <v>588682</v>
      </c>
      <c r="AJ134" s="83">
        <v>578512</v>
      </c>
      <c r="AK134" s="83">
        <v>10170</v>
      </c>
      <c r="AL134" s="83">
        <v>31</v>
      </c>
      <c r="AM134" s="83">
        <f t="shared" si="45"/>
        <v>588682</v>
      </c>
      <c r="AN134" s="83">
        <v>9834704</v>
      </c>
      <c r="AO134" s="97"/>
      <c r="AP134" s="98"/>
      <c r="AQ134" s="98"/>
      <c r="AR134" s="98"/>
      <c r="AS134" s="98"/>
      <c r="AT134" s="98"/>
      <c r="AU134" s="99"/>
      <c r="AV134" s="99"/>
      <c r="AW134" s="89">
        <v>130</v>
      </c>
      <c r="AX134" s="90">
        <v>44617</v>
      </c>
      <c r="AY134" s="98"/>
      <c r="AZ134" s="98"/>
      <c r="BA134" s="98"/>
      <c r="BB134" s="98"/>
      <c r="BC134" s="99"/>
      <c r="BD134" s="99"/>
      <c r="BE134" s="97"/>
      <c r="BF134" s="98"/>
      <c r="BG134" s="98"/>
      <c r="BH134" s="98"/>
      <c r="BI134" s="98"/>
      <c r="BJ134" s="98"/>
      <c r="BK134" s="99"/>
      <c r="BL134" s="99"/>
      <c r="BM134" s="97"/>
      <c r="BN134" s="98"/>
      <c r="BO134" s="98"/>
      <c r="BP134" s="98"/>
      <c r="BQ134" s="98"/>
      <c r="BR134" s="98"/>
      <c r="BS134" s="99"/>
      <c r="BT134" s="99"/>
    </row>
    <row r="135" spans="1:72">
      <c r="A135" s="89">
        <v>131</v>
      </c>
      <c r="B135" s="98"/>
      <c r="C135" s="98"/>
      <c r="D135" s="113">
        <f t="shared" si="40"/>
        <v>578512</v>
      </c>
      <c r="E135" s="113">
        <f t="shared" si="41"/>
        <v>8676</v>
      </c>
      <c r="F135" s="98"/>
      <c r="G135" s="99"/>
      <c r="H135" s="99"/>
      <c r="I135" s="97"/>
      <c r="J135" s="98"/>
      <c r="K135" s="98"/>
      <c r="L135" s="98"/>
      <c r="M135" s="98"/>
      <c r="N135" s="98"/>
      <c r="O135" s="99"/>
      <c r="P135" s="99"/>
      <c r="Q135" s="97"/>
      <c r="R135" s="98"/>
      <c r="S135" s="98"/>
      <c r="T135" s="98"/>
      <c r="U135" s="98"/>
      <c r="V135" s="98"/>
      <c r="W135" s="99"/>
      <c r="X135" s="99"/>
      <c r="Y135" s="97"/>
      <c r="Z135" s="98"/>
      <c r="AA135" s="98"/>
      <c r="AB135" s="98"/>
      <c r="AC135" s="98"/>
      <c r="AD135" s="98"/>
      <c r="AE135" s="99"/>
      <c r="AF135" s="99"/>
      <c r="AG135" s="97"/>
      <c r="AH135" s="81">
        <v>44630</v>
      </c>
      <c r="AI135" s="83">
        <f t="shared" si="44"/>
        <v>587188</v>
      </c>
      <c r="AJ135" s="83">
        <v>578512</v>
      </c>
      <c r="AK135" s="83">
        <v>8676</v>
      </c>
      <c r="AL135" s="83">
        <v>28</v>
      </c>
      <c r="AM135" s="83">
        <f t="shared" si="45"/>
        <v>587188</v>
      </c>
      <c r="AN135" s="83">
        <v>9256192</v>
      </c>
      <c r="AO135" s="97"/>
      <c r="AP135" s="98"/>
      <c r="AQ135" s="98"/>
      <c r="AR135" s="98"/>
      <c r="AS135" s="98"/>
      <c r="AT135" s="98"/>
      <c r="AU135" s="99"/>
      <c r="AV135" s="99"/>
      <c r="AW135" s="89">
        <v>131</v>
      </c>
      <c r="AX135" s="90">
        <v>44645</v>
      </c>
      <c r="AY135" s="98"/>
      <c r="AZ135" s="98"/>
      <c r="BA135" s="98"/>
      <c r="BB135" s="98"/>
      <c r="BC135" s="99"/>
      <c r="BD135" s="99"/>
      <c r="BE135" s="97"/>
      <c r="BF135" s="98"/>
      <c r="BG135" s="98"/>
      <c r="BH135" s="98"/>
      <c r="BI135" s="98"/>
      <c r="BJ135" s="98"/>
      <c r="BK135" s="99"/>
      <c r="BL135" s="99"/>
      <c r="BM135" s="97"/>
      <c r="BN135" s="98"/>
      <c r="BO135" s="98"/>
      <c r="BP135" s="98"/>
      <c r="BQ135" s="98"/>
      <c r="BR135" s="98"/>
      <c r="BS135" s="99"/>
      <c r="BT135" s="99"/>
    </row>
    <row r="136" spans="1:72">
      <c r="A136" s="89">
        <v>132</v>
      </c>
      <c r="B136" s="98"/>
      <c r="C136" s="98"/>
      <c r="D136" s="113">
        <f t="shared" si="40"/>
        <v>578512</v>
      </c>
      <c r="E136" s="113">
        <f t="shared" si="41"/>
        <v>9040</v>
      </c>
      <c r="F136" s="98"/>
      <c r="G136" s="99"/>
      <c r="H136" s="99"/>
      <c r="I136" s="97"/>
      <c r="J136" s="98"/>
      <c r="K136" s="98"/>
      <c r="L136" s="98"/>
      <c r="M136" s="98"/>
      <c r="N136" s="98"/>
      <c r="O136" s="99"/>
      <c r="P136" s="99"/>
      <c r="Q136" s="97"/>
      <c r="R136" s="98"/>
      <c r="S136" s="98"/>
      <c r="T136" s="98"/>
      <c r="U136" s="98"/>
      <c r="V136" s="98"/>
      <c r="W136" s="99"/>
      <c r="X136" s="99"/>
      <c r="Y136" s="97"/>
      <c r="Z136" s="98"/>
      <c r="AA136" s="98"/>
      <c r="AB136" s="98"/>
      <c r="AC136" s="98"/>
      <c r="AD136" s="98"/>
      <c r="AE136" s="99"/>
      <c r="AF136" s="99"/>
      <c r="AG136" s="97"/>
      <c r="AH136" s="81">
        <v>44661</v>
      </c>
      <c r="AI136" s="83">
        <f t="shared" si="44"/>
        <v>587552</v>
      </c>
      <c r="AJ136" s="83">
        <v>578512</v>
      </c>
      <c r="AK136" s="83">
        <v>9040</v>
      </c>
      <c r="AL136" s="83">
        <v>31</v>
      </c>
      <c r="AM136" s="83">
        <f t="shared" si="45"/>
        <v>587552</v>
      </c>
      <c r="AN136" s="83">
        <v>8677680</v>
      </c>
      <c r="AO136" s="97"/>
      <c r="AP136" s="98"/>
      <c r="AQ136" s="98"/>
      <c r="AR136" s="98"/>
      <c r="AS136" s="98"/>
      <c r="AT136" s="98"/>
      <c r="AU136" s="99"/>
      <c r="AV136" s="99"/>
      <c r="AW136" s="89">
        <v>132</v>
      </c>
      <c r="AX136" s="90">
        <v>44676</v>
      </c>
      <c r="AY136" s="98"/>
      <c r="AZ136" s="98"/>
      <c r="BA136" s="98"/>
      <c r="BB136" s="98"/>
      <c r="BC136" s="99"/>
      <c r="BD136" s="99"/>
      <c r="BE136" s="97"/>
      <c r="BF136" s="98"/>
      <c r="BG136" s="98"/>
      <c r="BH136" s="98"/>
      <c r="BI136" s="98"/>
      <c r="BJ136" s="98"/>
      <c r="BK136" s="99"/>
      <c r="BL136" s="99"/>
      <c r="BM136" s="97"/>
      <c r="BN136" s="98"/>
      <c r="BO136" s="98"/>
      <c r="BP136" s="98"/>
      <c r="BQ136" s="98"/>
      <c r="BR136" s="98"/>
      <c r="BS136" s="99"/>
      <c r="BT136" s="99"/>
    </row>
    <row r="137" spans="1:72">
      <c r="A137" s="89">
        <v>133</v>
      </c>
      <c r="B137" s="98"/>
      <c r="C137" s="98"/>
      <c r="D137" s="113">
        <f t="shared" si="40"/>
        <v>578512</v>
      </c>
      <c r="E137" s="113">
        <f t="shared" si="41"/>
        <v>8202</v>
      </c>
      <c r="F137" s="98"/>
      <c r="G137" s="99"/>
      <c r="H137" s="99"/>
      <c r="I137" s="97"/>
      <c r="J137" s="98"/>
      <c r="K137" s="98"/>
      <c r="L137" s="98"/>
      <c r="M137" s="98"/>
      <c r="N137" s="98"/>
      <c r="O137" s="99"/>
      <c r="P137" s="99"/>
      <c r="Q137" s="97"/>
      <c r="R137" s="98"/>
      <c r="S137" s="98"/>
      <c r="T137" s="98"/>
      <c r="U137" s="98"/>
      <c r="V137" s="98"/>
      <c r="W137" s="99"/>
      <c r="X137" s="99"/>
      <c r="Y137" s="97"/>
      <c r="Z137" s="98"/>
      <c r="AA137" s="98"/>
      <c r="AB137" s="98"/>
      <c r="AC137" s="98"/>
      <c r="AD137" s="98"/>
      <c r="AE137" s="99"/>
      <c r="AF137" s="99"/>
      <c r="AG137" s="97"/>
      <c r="AH137" s="81">
        <v>44691</v>
      </c>
      <c r="AI137" s="83">
        <f t="shared" si="44"/>
        <v>586714</v>
      </c>
      <c r="AJ137" s="83">
        <v>578512</v>
      </c>
      <c r="AK137" s="83">
        <v>8202</v>
      </c>
      <c r="AL137" s="83">
        <v>30</v>
      </c>
      <c r="AM137" s="83">
        <f t="shared" si="45"/>
        <v>586714</v>
      </c>
      <c r="AN137" s="83">
        <v>8099168</v>
      </c>
      <c r="AO137" s="97"/>
      <c r="AP137" s="98"/>
      <c r="AQ137" s="98"/>
      <c r="AR137" s="98"/>
      <c r="AS137" s="98"/>
      <c r="AT137" s="98"/>
      <c r="AU137" s="99"/>
      <c r="AV137" s="99"/>
      <c r="AW137" s="89">
        <v>133</v>
      </c>
      <c r="AX137" s="90">
        <v>44706</v>
      </c>
      <c r="AY137" s="98"/>
      <c r="AZ137" s="98"/>
      <c r="BA137" s="98"/>
      <c r="BB137" s="98"/>
      <c r="BC137" s="99"/>
      <c r="BD137" s="99"/>
      <c r="BE137" s="97"/>
      <c r="BF137" s="98"/>
      <c r="BG137" s="98"/>
      <c r="BH137" s="98"/>
      <c r="BI137" s="98"/>
      <c r="BJ137" s="98"/>
      <c r="BK137" s="99"/>
      <c r="BL137" s="99"/>
      <c r="BM137" s="97"/>
      <c r="BN137" s="98"/>
      <c r="BO137" s="98"/>
      <c r="BP137" s="98"/>
      <c r="BQ137" s="98"/>
      <c r="BR137" s="98"/>
      <c r="BS137" s="99"/>
      <c r="BT137" s="99"/>
    </row>
    <row r="138" spans="1:72">
      <c r="A138" s="89">
        <v>134</v>
      </c>
      <c r="B138" s="98"/>
      <c r="C138" s="98"/>
      <c r="D138" s="113">
        <f t="shared" si="40"/>
        <v>578512</v>
      </c>
      <c r="E138" s="113">
        <f t="shared" si="41"/>
        <v>7910</v>
      </c>
      <c r="F138" s="98"/>
      <c r="G138" s="99"/>
      <c r="H138" s="99"/>
      <c r="I138" s="97"/>
      <c r="J138" s="98"/>
      <c r="K138" s="98"/>
      <c r="L138" s="98"/>
      <c r="M138" s="98"/>
      <c r="N138" s="98"/>
      <c r="O138" s="99"/>
      <c r="P138" s="99"/>
      <c r="Q138" s="97"/>
      <c r="R138" s="98"/>
      <c r="S138" s="98"/>
      <c r="T138" s="98"/>
      <c r="U138" s="98"/>
      <c r="V138" s="98"/>
      <c r="W138" s="99"/>
      <c r="X138" s="99"/>
      <c r="Y138" s="97"/>
      <c r="Z138" s="98"/>
      <c r="AA138" s="98"/>
      <c r="AB138" s="98"/>
      <c r="AC138" s="98"/>
      <c r="AD138" s="98"/>
      <c r="AE138" s="99"/>
      <c r="AF138" s="99"/>
      <c r="AG138" s="97"/>
      <c r="AH138" s="81">
        <v>44722</v>
      </c>
      <c r="AI138" s="83">
        <f t="shared" si="44"/>
        <v>586422</v>
      </c>
      <c r="AJ138" s="83">
        <v>578512</v>
      </c>
      <c r="AK138" s="83">
        <v>7910</v>
      </c>
      <c r="AL138" s="83">
        <v>31</v>
      </c>
      <c r="AM138" s="83">
        <f t="shared" si="45"/>
        <v>586422</v>
      </c>
      <c r="AN138" s="83">
        <v>7520656</v>
      </c>
      <c r="AO138" s="97"/>
      <c r="AP138" s="98"/>
      <c r="AQ138" s="98"/>
      <c r="AR138" s="98"/>
      <c r="AS138" s="98"/>
      <c r="AT138" s="98"/>
      <c r="AU138" s="99"/>
      <c r="AV138" s="99"/>
      <c r="AW138" s="89">
        <v>134</v>
      </c>
      <c r="AX138" s="90">
        <v>44737</v>
      </c>
      <c r="AY138" s="98"/>
      <c r="AZ138" s="98"/>
      <c r="BA138" s="98"/>
      <c r="BB138" s="98"/>
      <c r="BC138" s="99"/>
      <c r="BD138" s="99"/>
      <c r="BE138" s="97"/>
      <c r="BF138" s="98"/>
      <c r="BG138" s="98"/>
      <c r="BH138" s="98"/>
      <c r="BI138" s="98"/>
      <c r="BJ138" s="98"/>
      <c r="BK138" s="99"/>
      <c r="BL138" s="99"/>
      <c r="BM138" s="97"/>
      <c r="BN138" s="98"/>
      <c r="BO138" s="98"/>
      <c r="BP138" s="98"/>
      <c r="BQ138" s="98"/>
      <c r="BR138" s="98"/>
      <c r="BS138" s="99"/>
      <c r="BT138" s="99"/>
    </row>
    <row r="139" spans="1:72">
      <c r="A139" s="89">
        <v>135</v>
      </c>
      <c r="B139" s="98"/>
      <c r="C139" s="98"/>
      <c r="D139" s="113">
        <f t="shared" si="40"/>
        <v>578512</v>
      </c>
      <c r="E139" s="113">
        <f t="shared" si="41"/>
        <v>7108</v>
      </c>
      <c r="F139" s="98"/>
      <c r="G139" s="99"/>
      <c r="H139" s="99"/>
      <c r="I139" s="97"/>
      <c r="J139" s="98"/>
      <c r="K139" s="98"/>
      <c r="L139" s="98"/>
      <c r="M139" s="98"/>
      <c r="N139" s="98"/>
      <c r="O139" s="99"/>
      <c r="P139" s="99"/>
      <c r="Q139" s="97"/>
      <c r="R139" s="98"/>
      <c r="S139" s="98"/>
      <c r="T139" s="98"/>
      <c r="U139" s="98"/>
      <c r="V139" s="98"/>
      <c r="W139" s="99"/>
      <c r="X139" s="99"/>
      <c r="Y139" s="97"/>
      <c r="Z139" s="98"/>
      <c r="AA139" s="98"/>
      <c r="AB139" s="98"/>
      <c r="AC139" s="98"/>
      <c r="AD139" s="98"/>
      <c r="AE139" s="99"/>
      <c r="AF139" s="99"/>
      <c r="AG139" s="97"/>
      <c r="AH139" s="81">
        <v>44752</v>
      </c>
      <c r="AI139" s="83">
        <f t="shared" si="44"/>
        <v>585620</v>
      </c>
      <c r="AJ139" s="83">
        <v>578512</v>
      </c>
      <c r="AK139" s="83">
        <v>7108</v>
      </c>
      <c r="AL139" s="83">
        <v>30</v>
      </c>
      <c r="AM139" s="83">
        <f t="shared" si="45"/>
        <v>585620</v>
      </c>
      <c r="AN139" s="83">
        <v>6942144</v>
      </c>
      <c r="AO139" s="97"/>
      <c r="AP139" s="98"/>
      <c r="AQ139" s="98"/>
      <c r="AR139" s="98"/>
      <c r="AS139" s="98"/>
      <c r="AT139" s="98"/>
      <c r="AU139" s="99"/>
      <c r="AV139" s="99"/>
      <c r="AW139" s="89">
        <v>135</v>
      </c>
      <c r="AX139" s="90">
        <v>44767</v>
      </c>
      <c r="AY139" s="98"/>
      <c r="AZ139" s="98"/>
      <c r="BA139" s="98"/>
      <c r="BB139" s="98"/>
      <c r="BC139" s="99"/>
      <c r="BD139" s="99"/>
      <c r="BE139" s="97"/>
      <c r="BF139" s="98"/>
      <c r="BG139" s="98"/>
      <c r="BH139" s="98"/>
      <c r="BI139" s="98"/>
      <c r="BJ139" s="98"/>
      <c r="BK139" s="99"/>
      <c r="BL139" s="99"/>
      <c r="BM139" s="97"/>
      <c r="BN139" s="98"/>
      <c r="BO139" s="98"/>
      <c r="BP139" s="98"/>
      <c r="BQ139" s="98"/>
      <c r="BR139" s="98"/>
      <c r="BS139" s="99"/>
      <c r="BT139" s="99"/>
    </row>
    <row r="140" spans="1:72">
      <c r="A140" s="89">
        <v>136</v>
      </c>
      <c r="B140" s="98"/>
      <c r="C140" s="98"/>
      <c r="D140" s="113">
        <f t="shared" si="40"/>
        <v>578512</v>
      </c>
      <c r="E140" s="113">
        <f t="shared" si="41"/>
        <v>6780</v>
      </c>
      <c r="F140" s="98"/>
      <c r="G140" s="99"/>
      <c r="H140" s="99"/>
      <c r="I140" s="97"/>
      <c r="J140" s="98"/>
      <c r="K140" s="98"/>
      <c r="L140" s="98"/>
      <c r="M140" s="98"/>
      <c r="N140" s="98"/>
      <c r="O140" s="99"/>
      <c r="P140" s="99"/>
      <c r="Q140" s="97"/>
      <c r="R140" s="98"/>
      <c r="S140" s="98"/>
      <c r="T140" s="98"/>
      <c r="U140" s="98"/>
      <c r="V140" s="98"/>
      <c r="W140" s="99"/>
      <c r="X140" s="99"/>
      <c r="Y140" s="97"/>
      <c r="Z140" s="98"/>
      <c r="AA140" s="98"/>
      <c r="AB140" s="98"/>
      <c r="AC140" s="98"/>
      <c r="AD140" s="98"/>
      <c r="AE140" s="99"/>
      <c r="AF140" s="99"/>
      <c r="AG140" s="97"/>
      <c r="AH140" s="81">
        <v>44783</v>
      </c>
      <c r="AI140" s="83">
        <f t="shared" si="44"/>
        <v>585292</v>
      </c>
      <c r="AJ140" s="83">
        <v>578512</v>
      </c>
      <c r="AK140" s="83">
        <v>6780</v>
      </c>
      <c r="AL140" s="83">
        <v>31</v>
      </c>
      <c r="AM140" s="83">
        <f t="shared" si="45"/>
        <v>585292</v>
      </c>
      <c r="AN140" s="83">
        <v>6363632</v>
      </c>
      <c r="AO140" s="97"/>
      <c r="AP140" s="98"/>
      <c r="AQ140" s="98"/>
      <c r="AR140" s="98"/>
      <c r="AS140" s="98"/>
      <c r="AT140" s="98"/>
      <c r="AU140" s="99"/>
      <c r="AV140" s="99"/>
      <c r="AW140" s="89">
        <v>136</v>
      </c>
      <c r="AX140" s="90">
        <v>44798</v>
      </c>
      <c r="AY140" s="98"/>
      <c r="AZ140" s="98"/>
      <c r="BA140" s="98"/>
      <c r="BB140" s="98"/>
      <c r="BC140" s="99"/>
      <c r="BD140" s="99"/>
      <c r="BE140" s="97"/>
      <c r="BF140" s="98"/>
      <c r="BG140" s="98"/>
      <c r="BH140" s="98"/>
      <c r="BI140" s="98"/>
      <c r="BJ140" s="98"/>
      <c r="BK140" s="99"/>
      <c r="BL140" s="99"/>
      <c r="BM140" s="97"/>
      <c r="BN140" s="98"/>
      <c r="BO140" s="98"/>
      <c r="BP140" s="98"/>
      <c r="BQ140" s="98"/>
      <c r="BR140" s="98"/>
      <c r="BS140" s="99"/>
      <c r="BT140" s="99"/>
    </row>
    <row r="141" spans="1:72">
      <c r="A141" s="89">
        <v>137</v>
      </c>
      <c r="B141" s="98"/>
      <c r="C141" s="98"/>
      <c r="D141" s="113">
        <f t="shared" si="40"/>
        <v>578512</v>
      </c>
      <c r="E141" s="113">
        <f t="shared" si="41"/>
        <v>6215</v>
      </c>
      <c r="F141" s="98"/>
      <c r="G141" s="99"/>
      <c r="H141" s="99"/>
      <c r="I141" s="97"/>
      <c r="J141" s="98"/>
      <c r="K141" s="98"/>
      <c r="L141" s="98"/>
      <c r="M141" s="98"/>
      <c r="N141" s="98"/>
      <c r="O141" s="99"/>
      <c r="P141" s="99"/>
      <c r="Q141" s="97"/>
      <c r="R141" s="98"/>
      <c r="S141" s="98"/>
      <c r="T141" s="98"/>
      <c r="U141" s="98"/>
      <c r="V141" s="98"/>
      <c r="W141" s="99"/>
      <c r="X141" s="99"/>
      <c r="Y141" s="97"/>
      <c r="Z141" s="98"/>
      <c r="AA141" s="98"/>
      <c r="AB141" s="98"/>
      <c r="AC141" s="98"/>
      <c r="AD141" s="98"/>
      <c r="AE141" s="99"/>
      <c r="AF141" s="99"/>
      <c r="AG141" s="97"/>
      <c r="AH141" s="81">
        <v>44814</v>
      </c>
      <c r="AI141" s="83">
        <f t="shared" si="44"/>
        <v>584727</v>
      </c>
      <c r="AJ141" s="83">
        <v>578512</v>
      </c>
      <c r="AK141" s="83">
        <v>6215</v>
      </c>
      <c r="AL141" s="83">
        <v>31</v>
      </c>
      <c r="AM141" s="83">
        <f t="shared" si="45"/>
        <v>584727</v>
      </c>
      <c r="AN141" s="83">
        <v>5785120</v>
      </c>
      <c r="AO141" s="97"/>
      <c r="AP141" s="98"/>
      <c r="AQ141" s="98"/>
      <c r="AR141" s="98"/>
      <c r="AS141" s="98"/>
      <c r="AT141" s="98"/>
      <c r="AU141" s="99"/>
      <c r="AV141" s="99"/>
      <c r="AW141" s="89">
        <v>137</v>
      </c>
      <c r="AX141" s="90">
        <v>44829</v>
      </c>
      <c r="AY141" s="98"/>
      <c r="AZ141" s="98"/>
      <c r="BA141" s="98"/>
      <c r="BB141" s="98"/>
      <c r="BC141" s="99"/>
      <c r="BD141" s="99"/>
      <c r="BE141" s="97"/>
      <c r="BF141" s="98"/>
      <c r="BG141" s="98"/>
      <c r="BH141" s="98"/>
      <c r="BI141" s="98"/>
      <c r="BJ141" s="98"/>
      <c r="BK141" s="99"/>
      <c r="BL141" s="99"/>
      <c r="BM141" s="97"/>
      <c r="BN141" s="98"/>
      <c r="BO141" s="98"/>
      <c r="BP141" s="98"/>
      <c r="BQ141" s="98"/>
      <c r="BR141" s="98"/>
      <c r="BS141" s="99"/>
      <c r="BT141" s="99"/>
    </row>
    <row r="142" spans="1:72">
      <c r="A142" s="89">
        <v>138</v>
      </c>
      <c r="B142" s="98"/>
      <c r="C142" s="98"/>
      <c r="D142" s="113">
        <f t="shared" si="40"/>
        <v>578512</v>
      </c>
      <c r="E142" s="113">
        <f t="shared" si="41"/>
        <v>5468</v>
      </c>
      <c r="F142" s="98"/>
      <c r="G142" s="99"/>
      <c r="H142" s="99"/>
      <c r="I142" s="97"/>
      <c r="J142" s="98"/>
      <c r="K142" s="98"/>
      <c r="L142" s="98"/>
      <c r="M142" s="98"/>
      <c r="N142" s="98"/>
      <c r="O142" s="99"/>
      <c r="P142" s="99"/>
      <c r="Q142" s="97"/>
      <c r="R142" s="98"/>
      <c r="S142" s="98"/>
      <c r="T142" s="98"/>
      <c r="U142" s="98"/>
      <c r="V142" s="98"/>
      <c r="W142" s="99"/>
      <c r="X142" s="99"/>
      <c r="Y142" s="97"/>
      <c r="Z142" s="98"/>
      <c r="AA142" s="98"/>
      <c r="AB142" s="98"/>
      <c r="AC142" s="98"/>
      <c r="AD142" s="98"/>
      <c r="AE142" s="99"/>
      <c r="AF142" s="99"/>
      <c r="AG142" s="97"/>
      <c r="AH142" s="81">
        <v>44844</v>
      </c>
      <c r="AI142" s="83">
        <f t="shared" si="44"/>
        <v>583980</v>
      </c>
      <c r="AJ142" s="83">
        <v>578512</v>
      </c>
      <c r="AK142" s="83">
        <v>5468</v>
      </c>
      <c r="AL142" s="83">
        <v>30</v>
      </c>
      <c r="AM142" s="83">
        <f t="shared" si="45"/>
        <v>583980</v>
      </c>
      <c r="AN142" s="83">
        <v>5206608</v>
      </c>
      <c r="AO142" s="97"/>
      <c r="AP142" s="98"/>
      <c r="AQ142" s="98"/>
      <c r="AR142" s="98"/>
      <c r="AS142" s="98"/>
      <c r="AT142" s="98"/>
      <c r="AU142" s="99"/>
      <c r="AV142" s="99"/>
      <c r="AW142" s="89">
        <v>138</v>
      </c>
      <c r="AX142" s="90">
        <v>44859</v>
      </c>
      <c r="AY142" s="98"/>
      <c r="AZ142" s="98"/>
      <c r="BA142" s="98"/>
      <c r="BB142" s="98"/>
      <c r="BC142" s="99"/>
      <c r="BD142" s="99"/>
      <c r="BE142" s="97"/>
      <c r="BF142" s="98"/>
      <c r="BG142" s="98"/>
      <c r="BH142" s="98"/>
      <c r="BI142" s="98"/>
      <c r="BJ142" s="98"/>
      <c r="BK142" s="99"/>
      <c r="BL142" s="99"/>
      <c r="BM142" s="97"/>
      <c r="BN142" s="98"/>
      <c r="BO142" s="98"/>
      <c r="BP142" s="98"/>
      <c r="BQ142" s="98"/>
      <c r="BR142" s="98"/>
      <c r="BS142" s="99"/>
      <c r="BT142" s="99"/>
    </row>
    <row r="143" spans="1:72">
      <c r="A143" s="89">
        <v>139</v>
      </c>
      <c r="B143" s="98"/>
      <c r="C143" s="98"/>
      <c r="D143" s="113">
        <f t="shared" si="40"/>
        <v>578512</v>
      </c>
      <c r="E143" s="113">
        <f t="shared" si="41"/>
        <v>5085</v>
      </c>
      <c r="F143" s="98"/>
      <c r="G143" s="99"/>
      <c r="H143" s="99"/>
      <c r="I143" s="97"/>
      <c r="J143" s="98"/>
      <c r="K143" s="98"/>
      <c r="L143" s="98"/>
      <c r="M143" s="98"/>
      <c r="N143" s="98"/>
      <c r="O143" s="99"/>
      <c r="P143" s="99"/>
      <c r="Q143" s="97"/>
      <c r="R143" s="98"/>
      <c r="S143" s="98"/>
      <c r="T143" s="98"/>
      <c r="U143" s="98"/>
      <c r="V143" s="98"/>
      <c r="W143" s="99"/>
      <c r="X143" s="99"/>
      <c r="Y143" s="97"/>
      <c r="Z143" s="98"/>
      <c r="AA143" s="98"/>
      <c r="AB143" s="98"/>
      <c r="AC143" s="98"/>
      <c r="AD143" s="98"/>
      <c r="AE143" s="99"/>
      <c r="AF143" s="99"/>
      <c r="AG143" s="97"/>
      <c r="AH143" s="81">
        <v>44875</v>
      </c>
      <c r="AI143" s="83">
        <f t="shared" si="44"/>
        <v>583597</v>
      </c>
      <c r="AJ143" s="83">
        <v>578512</v>
      </c>
      <c r="AK143" s="83">
        <v>5085</v>
      </c>
      <c r="AL143" s="83">
        <v>31</v>
      </c>
      <c r="AM143" s="83">
        <f t="shared" si="45"/>
        <v>583597</v>
      </c>
      <c r="AN143" s="83">
        <v>4628096</v>
      </c>
      <c r="AO143" s="97"/>
      <c r="AP143" s="98"/>
      <c r="AQ143" s="98"/>
      <c r="AR143" s="98"/>
      <c r="AS143" s="98"/>
      <c r="AT143" s="98"/>
      <c r="AU143" s="99"/>
      <c r="AV143" s="99"/>
      <c r="AW143" s="89">
        <v>139</v>
      </c>
      <c r="AX143" s="90">
        <v>44890</v>
      </c>
      <c r="AY143" s="98"/>
      <c r="AZ143" s="98"/>
      <c r="BA143" s="98"/>
      <c r="BB143" s="98"/>
      <c r="BC143" s="99"/>
      <c r="BD143" s="99"/>
      <c r="BE143" s="97"/>
      <c r="BF143" s="98"/>
      <c r="BG143" s="98"/>
      <c r="BH143" s="98"/>
      <c r="BI143" s="98"/>
      <c r="BJ143" s="98"/>
      <c r="BK143" s="99"/>
      <c r="BL143" s="99"/>
      <c r="BM143" s="97"/>
      <c r="BN143" s="98"/>
      <c r="BO143" s="98"/>
      <c r="BP143" s="98"/>
      <c r="BQ143" s="98"/>
      <c r="BR143" s="98"/>
      <c r="BS143" s="99"/>
      <c r="BT143" s="99"/>
    </row>
    <row r="144" spans="1:72">
      <c r="A144" s="89">
        <v>140</v>
      </c>
      <c r="B144" s="98"/>
      <c r="C144" s="98"/>
      <c r="D144" s="113">
        <f t="shared" si="40"/>
        <v>578512</v>
      </c>
      <c r="E144" s="113">
        <f t="shared" si="41"/>
        <v>4374</v>
      </c>
      <c r="F144" s="98"/>
      <c r="G144" s="99"/>
      <c r="H144" s="99"/>
      <c r="I144" s="97"/>
      <c r="J144" s="98"/>
      <c r="K144" s="98"/>
      <c r="L144" s="98"/>
      <c r="M144" s="98"/>
      <c r="N144" s="98"/>
      <c r="O144" s="99"/>
      <c r="P144" s="99"/>
      <c r="Q144" s="97"/>
      <c r="R144" s="98"/>
      <c r="S144" s="98"/>
      <c r="T144" s="98"/>
      <c r="U144" s="98"/>
      <c r="V144" s="98"/>
      <c r="W144" s="99"/>
      <c r="X144" s="99"/>
      <c r="Y144" s="97"/>
      <c r="Z144" s="98"/>
      <c r="AA144" s="98"/>
      <c r="AB144" s="98"/>
      <c r="AC144" s="98"/>
      <c r="AD144" s="98"/>
      <c r="AE144" s="99"/>
      <c r="AF144" s="99"/>
      <c r="AG144" s="97"/>
      <c r="AH144" s="81">
        <v>44905</v>
      </c>
      <c r="AI144" s="83">
        <f t="shared" si="44"/>
        <v>582886</v>
      </c>
      <c r="AJ144" s="83">
        <v>578512</v>
      </c>
      <c r="AK144" s="83">
        <v>4374</v>
      </c>
      <c r="AL144" s="83">
        <v>30</v>
      </c>
      <c r="AM144" s="83">
        <f t="shared" si="45"/>
        <v>582886</v>
      </c>
      <c r="AN144" s="83">
        <v>4049584</v>
      </c>
      <c r="AO144" s="97"/>
      <c r="AP144" s="98"/>
      <c r="AQ144" s="98"/>
      <c r="AR144" s="98"/>
      <c r="AS144" s="98"/>
      <c r="AT144" s="98"/>
      <c r="AU144" s="99"/>
      <c r="AV144" s="99"/>
      <c r="AW144" s="89">
        <v>140</v>
      </c>
      <c r="AX144" s="90">
        <v>44920</v>
      </c>
      <c r="AY144" s="98"/>
      <c r="AZ144" s="98"/>
      <c r="BA144" s="98"/>
      <c r="BB144" s="98"/>
      <c r="BC144" s="99"/>
      <c r="BD144" s="99"/>
      <c r="BE144" s="97"/>
      <c r="BF144" s="98"/>
      <c r="BG144" s="98"/>
      <c r="BH144" s="98"/>
      <c r="BI144" s="98"/>
      <c r="BJ144" s="98"/>
      <c r="BK144" s="99"/>
      <c r="BL144" s="99"/>
      <c r="BM144" s="97"/>
      <c r="BN144" s="98"/>
      <c r="BO144" s="98"/>
      <c r="BP144" s="98"/>
      <c r="BQ144" s="98"/>
      <c r="BR144" s="98"/>
      <c r="BS144" s="99"/>
      <c r="BT144" s="99"/>
    </row>
    <row r="145" spans="1:72">
      <c r="A145" s="89">
        <v>141</v>
      </c>
      <c r="B145" s="98"/>
      <c r="C145" s="98"/>
      <c r="D145" s="113">
        <f t="shared" si="40"/>
        <v>578512</v>
      </c>
      <c r="E145" s="113">
        <f t="shared" si="41"/>
        <v>3955</v>
      </c>
      <c r="F145" s="98"/>
      <c r="G145" s="99"/>
      <c r="H145" s="99"/>
      <c r="I145" s="97"/>
      <c r="J145" s="98"/>
      <c r="K145" s="98"/>
      <c r="L145" s="98"/>
      <c r="M145" s="98"/>
      <c r="N145" s="98"/>
      <c r="O145" s="99"/>
      <c r="P145" s="99"/>
      <c r="Q145" s="97"/>
      <c r="R145" s="98"/>
      <c r="S145" s="98"/>
      <c r="T145" s="98"/>
      <c r="U145" s="98"/>
      <c r="V145" s="98"/>
      <c r="W145" s="99"/>
      <c r="X145" s="99"/>
      <c r="Y145" s="97"/>
      <c r="Z145" s="98"/>
      <c r="AA145" s="98"/>
      <c r="AB145" s="98"/>
      <c r="AC145" s="98"/>
      <c r="AD145" s="98"/>
      <c r="AE145" s="99"/>
      <c r="AF145" s="99"/>
      <c r="AG145" s="97"/>
      <c r="AH145" s="81">
        <v>44936</v>
      </c>
      <c r="AI145" s="83">
        <f t="shared" si="44"/>
        <v>582467</v>
      </c>
      <c r="AJ145" s="83">
        <v>578512</v>
      </c>
      <c r="AK145" s="83">
        <v>3955</v>
      </c>
      <c r="AL145" s="83">
        <v>31</v>
      </c>
      <c r="AM145" s="83">
        <f t="shared" si="45"/>
        <v>582467</v>
      </c>
      <c r="AN145" s="83">
        <v>3471072</v>
      </c>
      <c r="AO145" s="97"/>
      <c r="AP145" s="98"/>
      <c r="AQ145" s="98"/>
      <c r="AR145" s="98"/>
      <c r="AS145" s="98"/>
      <c r="AT145" s="98"/>
      <c r="AU145" s="99"/>
      <c r="AV145" s="99"/>
      <c r="AW145" s="89">
        <v>141</v>
      </c>
      <c r="AX145" s="90">
        <v>44951</v>
      </c>
      <c r="AY145" s="98"/>
      <c r="AZ145" s="98"/>
      <c r="BA145" s="98"/>
      <c r="BB145" s="98"/>
      <c r="BC145" s="99"/>
      <c r="BD145" s="99"/>
      <c r="BE145" s="97"/>
      <c r="BF145" s="98"/>
      <c r="BG145" s="98"/>
      <c r="BH145" s="98"/>
      <c r="BI145" s="98"/>
      <c r="BJ145" s="98"/>
      <c r="BK145" s="99"/>
      <c r="BL145" s="99"/>
      <c r="BM145" s="97"/>
      <c r="BN145" s="98"/>
      <c r="BO145" s="98"/>
      <c r="BP145" s="98"/>
      <c r="BQ145" s="98"/>
      <c r="BR145" s="98"/>
      <c r="BS145" s="99"/>
      <c r="BT145" s="99"/>
    </row>
    <row r="146" spans="1:72">
      <c r="A146" s="89">
        <v>142</v>
      </c>
      <c r="B146" s="98"/>
      <c r="C146" s="98"/>
      <c r="D146" s="113">
        <f t="shared" si="40"/>
        <v>578512</v>
      </c>
      <c r="E146" s="113">
        <f t="shared" si="41"/>
        <v>3390</v>
      </c>
      <c r="F146" s="98"/>
      <c r="G146" s="99"/>
      <c r="H146" s="99"/>
      <c r="I146" s="97"/>
      <c r="J146" s="98"/>
      <c r="K146" s="98"/>
      <c r="L146" s="98"/>
      <c r="M146" s="98"/>
      <c r="N146" s="98"/>
      <c r="O146" s="99"/>
      <c r="P146" s="99"/>
      <c r="Q146" s="97"/>
      <c r="R146" s="98"/>
      <c r="S146" s="98"/>
      <c r="T146" s="98"/>
      <c r="U146" s="98"/>
      <c r="V146" s="98"/>
      <c r="W146" s="99"/>
      <c r="X146" s="99"/>
      <c r="Y146" s="97"/>
      <c r="Z146" s="98"/>
      <c r="AA146" s="98"/>
      <c r="AB146" s="98"/>
      <c r="AC146" s="98"/>
      <c r="AD146" s="98"/>
      <c r="AE146" s="99"/>
      <c r="AF146" s="99"/>
      <c r="AG146" s="97"/>
      <c r="AH146" s="81">
        <v>44967</v>
      </c>
      <c r="AI146" s="83">
        <f t="shared" si="44"/>
        <v>581902</v>
      </c>
      <c r="AJ146" s="83">
        <v>578512</v>
      </c>
      <c r="AK146" s="83">
        <v>3390</v>
      </c>
      <c r="AL146" s="83">
        <v>31</v>
      </c>
      <c r="AM146" s="83">
        <f t="shared" si="45"/>
        <v>581902</v>
      </c>
      <c r="AN146" s="83">
        <v>2892560</v>
      </c>
      <c r="AO146" s="97"/>
      <c r="AP146" s="98"/>
      <c r="AQ146" s="98"/>
      <c r="AR146" s="98"/>
      <c r="AS146" s="98"/>
      <c r="AT146" s="98"/>
      <c r="AU146" s="99"/>
      <c r="AV146" s="99"/>
      <c r="AW146" s="89">
        <v>142</v>
      </c>
      <c r="AX146" s="90">
        <v>44982</v>
      </c>
      <c r="AY146" s="98"/>
      <c r="AZ146" s="98"/>
      <c r="BA146" s="98"/>
      <c r="BB146" s="98"/>
      <c r="BC146" s="99"/>
      <c r="BD146" s="99"/>
      <c r="BE146" s="97"/>
      <c r="BF146" s="98"/>
      <c r="BG146" s="98"/>
      <c r="BH146" s="98"/>
      <c r="BI146" s="98"/>
      <c r="BJ146" s="98"/>
      <c r="BK146" s="99"/>
      <c r="BL146" s="99"/>
      <c r="BM146" s="97"/>
      <c r="BN146" s="98"/>
      <c r="BO146" s="98"/>
      <c r="BP146" s="98"/>
      <c r="BQ146" s="98"/>
      <c r="BR146" s="98"/>
      <c r="BS146" s="99"/>
      <c r="BT146" s="99"/>
    </row>
    <row r="147" spans="1:72">
      <c r="A147" s="89">
        <v>143</v>
      </c>
      <c r="B147" s="98"/>
      <c r="C147" s="98"/>
      <c r="D147" s="113">
        <f t="shared" si="40"/>
        <v>578512</v>
      </c>
      <c r="E147" s="113">
        <f t="shared" si="41"/>
        <v>2551</v>
      </c>
      <c r="F147" s="98"/>
      <c r="G147" s="99"/>
      <c r="H147" s="99"/>
      <c r="I147" s="97"/>
      <c r="J147" s="98"/>
      <c r="K147" s="98"/>
      <c r="L147" s="98"/>
      <c r="M147" s="98"/>
      <c r="N147" s="98"/>
      <c r="O147" s="99"/>
      <c r="P147" s="99"/>
      <c r="Q147" s="97"/>
      <c r="R147" s="98"/>
      <c r="S147" s="98"/>
      <c r="T147" s="98"/>
      <c r="U147" s="98"/>
      <c r="V147" s="98"/>
      <c r="W147" s="99"/>
      <c r="X147" s="99"/>
      <c r="Y147" s="97"/>
      <c r="Z147" s="98"/>
      <c r="AA147" s="98"/>
      <c r="AB147" s="98"/>
      <c r="AC147" s="98"/>
      <c r="AD147" s="98"/>
      <c r="AE147" s="99"/>
      <c r="AF147" s="99"/>
      <c r="AG147" s="97"/>
      <c r="AH147" s="81">
        <v>44995</v>
      </c>
      <c r="AI147" s="83">
        <f t="shared" si="44"/>
        <v>581063</v>
      </c>
      <c r="AJ147" s="83">
        <v>578512</v>
      </c>
      <c r="AK147" s="83">
        <v>2551</v>
      </c>
      <c r="AL147" s="83">
        <v>28</v>
      </c>
      <c r="AM147" s="83">
        <f t="shared" si="45"/>
        <v>581063</v>
      </c>
      <c r="AN147" s="83">
        <v>2314048</v>
      </c>
      <c r="AO147" s="97"/>
      <c r="AP147" s="98"/>
      <c r="AQ147" s="98"/>
      <c r="AR147" s="98"/>
      <c r="AS147" s="98"/>
      <c r="AT147" s="98"/>
      <c r="AU147" s="99"/>
      <c r="AV147" s="99"/>
      <c r="AW147" s="89">
        <v>143</v>
      </c>
      <c r="AX147" s="90">
        <v>45010</v>
      </c>
      <c r="AY147" s="98"/>
      <c r="AZ147" s="98"/>
      <c r="BA147" s="98"/>
      <c r="BB147" s="98"/>
      <c r="BC147" s="99"/>
      <c r="BD147" s="99"/>
      <c r="BE147" s="97"/>
      <c r="BF147" s="98"/>
      <c r="BG147" s="98"/>
      <c r="BH147" s="98"/>
      <c r="BI147" s="98"/>
      <c r="BJ147" s="98"/>
      <c r="BK147" s="99"/>
      <c r="BL147" s="99"/>
      <c r="BM147" s="97"/>
      <c r="BN147" s="98"/>
      <c r="BO147" s="98"/>
      <c r="BP147" s="98"/>
      <c r="BQ147" s="98"/>
      <c r="BR147" s="98"/>
      <c r="BS147" s="99"/>
      <c r="BT147" s="99"/>
    </row>
    <row r="148" spans="1:72">
      <c r="A148" s="89">
        <v>144</v>
      </c>
      <c r="B148" s="98"/>
      <c r="C148" s="98"/>
      <c r="D148" s="113">
        <f t="shared" si="40"/>
        <v>578512</v>
      </c>
      <c r="E148" s="113">
        <f t="shared" si="41"/>
        <v>2260</v>
      </c>
      <c r="F148" s="98"/>
      <c r="G148" s="99"/>
      <c r="H148" s="99"/>
      <c r="I148" s="97"/>
      <c r="J148" s="98"/>
      <c r="K148" s="98"/>
      <c r="L148" s="98"/>
      <c r="M148" s="98"/>
      <c r="N148" s="98"/>
      <c r="O148" s="99"/>
      <c r="P148" s="99"/>
      <c r="Q148" s="97"/>
      <c r="R148" s="98"/>
      <c r="S148" s="98"/>
      <c r="T148" s="98"/>
      <c r="U148" s="98"/>
      <c r="V148" s="98"/>
      <c r="W148" s="99"/>
      <c r="X148" s="99"/>
      <c r="Y148" s="97"/>
      <c r="Z148" s="98"/>
      <c r="AA148" s="98"/>
      <c r="AB148" s="98"/>
      <c r="AC148" s="98"/>
      <c r="AD148" s="98"/>
      <c r="AE148" s="99"/>
      <c r="AF148" s="99"/>
      <c r="AG148" s="97"/>
      <c r="AH148" s="81">
        <v>45026</v>
      </c>
      <c r="AI148" s="83">
        <f t="shared" si="44"/>
        <v>580772</v>
      </c>
      <c r="AJ148" s="83">
        <v>578512</v>
      </c>
      <c r="AK148" s="83">
        <v>2260</v>
      </c>
      <c r="AL148" s="83">
        <v>31</v>
      </c>
      <c r="AM148" s="83">
        <f t="shared" si="45"/>
        <v>580772</v>
      </c>
      <c r="AN148" s="83">
        <v>1735536</v>
      </c>
      <c r="AO148" s="97"/>
      <c r="AP148" s="98"/>
      <c r="AQ148" s="98"/>
      <c r="AR148" s="98"/>
      <c r="AS148" s="98"/>
      <c r="AT148" s="98"/>
      <c r="AU148" s="99"/>
      <c r="AV148" s="99"/>
      <c r="AW148" s="89">
        <v>144</v>
      </c>
      <c r="AX148" s="90">
        <v>45041</v>
      </c>
      <c r="AY148" s="98"/>
      <c r="AZ148" s="98"/>
      <c r="BA148" s="98"/>
      <c r="BB148" s="98"/>
      <c r="BC148" s="99"/>
      <c r="BD148" s="99"/>
      <c r="BE148" s="97"/>
      <c r="BF148" s="98"/>
      <c r="BG148" s="98"/>
      <c r="BH148" s="98"/>
      <c r="BI148" s="98"/>
      <c r="BJ148" s="98"/>
      <c r="BK148" s="99"/>
      <c r="BL148" s="99"/>
      <c r="BM148" s="97"/>
      <c r="BN148" s="98"/>
      <c r="BO148" s="98"/>
      <c r="BP148" s="98"/>
      <c r="BQ148" s="98"/>
      <c r="BR148" s="98"/>
      <c r="BS148" s="99"/>
      <c r="BT148" s="99"/>
    </row>
    <row r="149" spans="1:72">
      <c r="A149" s="89">
        <v>145</v>
      </c>
      <c r="B149" s="98"/>
      <c r="C149" s="98"/>
      <c r="D149" s="113">
        <f t="shared" si="40"/>
        <v>578512</v>
      </c>
      <c r="E149" s="113">
        <f t="shared" si="41"/>
        <v>1640</v>
      </c>
      <c r="F149" s="98"/>
      <c r="G149" s="99"/>
      <c r="H149" s="99"/>
      <c r="I149" s="97"/>
      <c r="J149" s="98"/>
      <c r="K149" s="98"/>
      <c r="L149" s="98"/>
      <c r="M149" s="98"/>
      <c r="N149" s="98"/>
      <c r="O149" s="99"/>
      <c r="P149" s="99"/>
      <c r="Q149" s="97"/>
      <c r="R149" s="98"/>
      <c r="S149" s="98"/>
      <c r="T149" s="98"/>
      <c r="U149" s="98"/>
      <c r="V149" s="98"/>
      <c r="W149" s="99"/>
      <c r="X149" s="99"/>
      <c r="Y149" s="97"/>
      <c r="Z149" s="98"/>
      <c r="AA149" s="98"/>
      <c r="AB149" s="98"/>
      <c r="AC149" s="98"/>
      <c r="AD149" s="98"/>
      <c r="AE149" s="99"/>
      <c r="AF149" s="99"/>
      <c r="AG149" s="97"/>
      <c r="AH149" s="81">
        <v>45056</v>
      </c>
      <c r="AI149" s="83">
        <f t="shared" si="44"/>
        <v>580152</v>
      </c>
      <c r="AJ149" s="83">
        <v>578512</v>
      </c>
      <c r="AK149" s="83">
        <v>1640</v>
      </c>
      <c r="AL149" s="83">
        <v>30</v>
      </c>
      <c r="AM149" s="83">
        <f t="shared" si="45"/>
        <v>580152</v>
      </c>
      <c r="AN149" s="83">
        <v>1157024</v>
      </c>
      <c r="AO149" s="97"/>
      <c r="AP149" s="98"/>
      <c r="AQ149" s="98"/>
      <c r="AR149" s="98"/>
      <c r="AS149" s="98"/>
      <c r="AT149" s="98"/>
      <c r="AU149" s="99"/>
      <c r="AV149" s="99"/>
      <c r="AW149" s="89">
        <v>145</v>
      </c>
      <c r="AX149" s="90">
        <v>45071</v>
      </c>
      <c r="AY149" s="98"/>
      <c r="AZ149" s="98"/>
      <c r="BA149" s="98"/>
      <c r="BB149" s="98"/>
      <c r="BC149" s="99"/>
      <c r="BD149" s="99"/>
      <c r="BE149" s="97"/>
      <c r="BF149" s="98"/>
      <c r="BG149" s="98"/>
      <c r="BH149" s="98"/>
      <c r="BI149" s="98"/>
      <c r="BJ149" s="98"/>
      <c r="BK149" s="99"/>
      <c r="BL149" s="99"/>
      <c r="BM149" s="97"/>
      <c r="BN149" s="98"/>
      <c r="BO149" s="98"/>
      <c r="BP149" s="98"/>
      <c r="BQ149" s="98"/>
      <c r="BR149" s="98"/>
      <c r="BS149" s="99"/>
      <c r="BT149" s="99"/>
    </row>
    <row r="150" spans="1:72">
      <c r="A150" s="89">
        <v>146</v>
      </c>
      <c r="B150" s="98"/>
      <c r="C150" s="98"/>
      <c r="D150" s="113">
        <f t="shared" si="40"/>
        <v>578512</v>
      </c>
      <c r="E150" s="113">
        <f t="shared" si="41"/>
        <v>1130</v>
      </c>
      <c r="F150" s="98"/>
      <c r="G150" s="99"/>
      <c r="H150" s="99"/>
      <c r="I150" s="97"/>
      <c r="J150" s="98"/>
      <c r="K150" s="98"/>
      <c r="L150" s="98"/>
      <c r="M150" s="98"/>
      <c r="N150" s="98"/>
      <c r="O150" s="99"/>
      <c r="P150" s="99"/>
      <c r="Q150" s="97"/>
      <c r="R150" s="98"/>
      <c r="S150" s="98"/>
      <c r="T150" s="98"/>
      <c r="U150" s="98"/>
      <c r="V150" s="98"/>
      <c r="W150" s="99"/>
      <c r="X150" s="99"/>
      <c r="Y150" s="97"/>
      <c r="Z150" s="98"/>
      <c r="AA150" s="98"/>
      <c r="AB150" s="98"/>
      <c r="AC150" s="98"/>
      <c r="AD150" s="98"/>
      <c r="AE150" s="99"/>
      <c r="AF150" s="99"/>
      <c r="AG150" s="97"/>
      <c r="AH150" s="81">
        <v>45087</v>
      </c>
      <c r="AI150" s="83">
        <f t="shared" si="44"/>
        <v>579642</v>
      </c>
      <c r="AJ150" s="83">
        <v>578512</v>
      </c>
      <c r="AK150" s="83">
        <v>1130</v>
      </c>
      <c r="AL150" s="83">
        <v>31</v>
      </c>
      <c r="AM150" s="83">
        <f t="shared" si="45"/>
        <v>579642</v>
      </c>
      <c r="AN150" s="83">
        <v>578512</v>
      </c>
      <c r="AO150" s="97"/>
      <c r="AP150" s="98"/>
      <c r="AQ150" s="98"/>
      <c r="AR150" s="98"/>
      <c r="AS150" s="98"/>
      <c r="AT150" s="98"/>
      <c r="AU150" s="99"/>
      <c r="AV150" s="99"/>
      <c r="AW150" s="89">
        <v>146</v>
      </c>
      <c r="AX150" s="90">
        <v>45102</v>
      </c>
      <c r="AY150" s="98"/>
      <c r="AZ150" s="98"/>
      <c r="BA150" s="98"/>
      <c r="BB150" s="98"/>
      <c r="BC150" s="99"/>
      <c r="BD150" s="99"/>
      <c r="BE150" s="97"/>
      <c r="BF150" s="98"/>
      <c r="BG150" s="98"/>
      <c r="BH150" s="98"/>
      <c r="BI150" s="98"/>
      <c r="BJ150" s="98"/>
      <c r="BK150" s="99"/>
      <c r="BL150" s="99"/>
      <c r="BM150" s="97"/>
      <c r="BN150" s="98"/>
      <c r="BO150" s="98"/>
      <c r="BP150" s="98"/>
      <c r="BQ150" s="98"/>
      <c r="BR150" s="98"/>
      <c r="BS150" s="99"/>
      <c r="BT150" s="99"/>
    </row>
    <row r="151" spans="1:72">
      <c r="A151" s="89">
        <v>147</v>
      </c>
      <c r="B151" s="98"/>
      <c r="C151" s="98"/>
      <c r="D151" s="113">
        <f t="shared" si="40"/>
        <v>578512</v>
      </c>
      <c r="E151" s="113">
        <f t="shared" si="41"/>
        <v>546</v>
      </c>
      <c r="F151" s="98"/>
      <c r="G151" s="99"/>
      <c r="H151" s="99"/>
      <c r="I151" s="97"/>
      <c r="J151" s="98"/>
      <c r="K151" s="98"/>
      <c r="L151" s="98"/>
      <c r="M151" s="98"/>
      <c r="N151" s="98"/>
      <c r="O151" s="99"/>
      <c r="P151" s="99"/>
      <c r="Q151" s="97"/>
      <c r="R151" s="98"/>
      <c r="S151" s="98"/>
      <c r="T151" s="98"/>
      <c r="U151" s="98"/>
      <c r="V151" s="98"/>
      <c r="W151" s="99"/>
      <c r="X151" s="99"/>
      <c r="Y151" s="97"/>
      <c r="Z151" s="98"/>
      <c r="AA151" s="98"/>
      <c r="AB151" s="98"/>
      <c r="AC151" s="98"/>
      <c r="AD151" s="98"/>
      <c r="AE151" s="99"/>
      <c r="AF151" s="99"/>
      <c r="AG151" s="97"/>
      <c r="AH151" s="81">
        <v>45117</v>
      </c>
      <c r="AI151" s="83">
        <f t="shared" si="44"/>
        <v>579058</v>
      </c>
      <c r="AJ151" s="83">
        <v>578512</v>
      </c>
      <c r="AK151" s="83">
        <v>546</v>
      </c>
      <c r="AL151" s="83">
        <v>30</v>
      </c>
      <c r="AM151" s="83">
        <f t="shared" si="45"/>
        <v>579058</v>
      </c>
      <c r="AN151" s="83">
        <v>0</v>
      </c>
      <c r="AO151" s="97"/>
      <c r="AP151" s="98"/>
      <c r="AQ151" s="98"/>
      <c r="AR151" s="98"/>
      <c r="AS151" s="98"/>
      <c r="AT151" s="98"/>
      <c r="AU151" s="99"/>
      <c r="AV151" s="99"/>
      <c r="AW151" s="89">
        <v>147</v>
      </c>
      <c r="AX151" s="90">
        <v>45132</v>
      </c>
      <c r="AY151" s="98"/>
      <c r="AZ151" s="98"/>
      <c r="BA151" s="98"/>
      <c r="BB151" s="98"/>
      <c r="BC151" s="99"/>
      <c r="BD151" s="99"/>
      <c r="BE151" s="97"/>
      <c r="BF151" s="98"/>
      <c r="BG151" s="98"/>
      <c r="BH151" s="98"/>
      <c r="BI151" s="98"/>
      <c r="BJ151" s="98"/>
      <c r="BK151" s="99"/>
      <c r="BL151" s="99"/>
      <c r="BM151" s="97"/>
      <c r="BN151" s="98"/>
      <c r="BO151" s="98"/>
      <c r="BP151" s="98"/>
      <c r="BQ151" s="98"/>
      <c r="BR151" s="98"/>
      <c r="BS151" s="99"/>
      <c r="BT151" s="99"/>
    </row>
    <row r="152" spans="1:72">
      <c r="A152" s="97"/>
      <c r="B152" s="98"/>
      <c r="C152" s="98"/>
      <c r="D152" s="113">
        <f t="shared" si="40"/>
        <v>0</v>
      </c>
      <c r="E152" s="113">
        <f t="shared" si="41"/>
        <v>0</v>
      </c>
      <c r="F152" s="98"/>
      <c r="G152" s="99"/>
      <c r="H152" s="99"/>
      <c r="I152" s="97"/>
      <c r="J152" s="98"/>
      <c r="K152" s="98"/>
      <c r="L152" s="98"/>
      <c r="M152" s="98"/>
      <c r="N152" s="98"/>
      <c r="O152" s="99"/>
      <c r="P152" s="99"/>
      <c r="Q152" s="97"/>
      <c r="R152" s="98"/>
      <c r="S152" s="98"/>
      <c r="T152" s="98"/>
      <c r="U152" s="98"/>
      <c r="V152" s="98"/>
      <c r="W152" s="99"/>
      <c r="X152" s="99"/>
      <c r="Y152" s="97"/>
      <c r="Z152" s="98"/>
      <c r="AA152" s="98"/>
      <c r="AB152" s="98"/>
      <c r="AC152" s="98"/>
      <c r="AD152" s="98"/>
      <c r="AE152" s="99"/>
      <c r="AF152" s="99"/>
      <c r="AG152" s="97"/>
      <c r="AH152" s="98"/>
      <c r="AI152" s="98"/>
      <c r="AJ152" s="98"/>
      <c r="AK152" s="98"/>
      <c r="AL152" s="98"/>
      <c r="AM152" s="99"/>
      <c r="AN152" s="99"/>
      <c r="AO152" s="97"/>
      <c r="AP152" s="98"/>
      <c r="AQ152" s="98"/>
      <c r="AR152" s="98"/>
      <c r="AS152" s="98"/>
      <c r="AT152" s="98"/>
      <c r="AU152" s="99"/>
      <c r="AV152" s="99"/>
      <c r="AW152" s="89">
        <v>148</v>
      </c>
      <c r="AX152" s="90">
        <v>45163</v>
      </c>
      <c r="AY152" s="98"/>
      <c r="AZ152" s="98"/>
      <c r="BA152" s="98"/>
      <c r="BB152" s="98"/>
      <c r="BC152" s="99"/>
      <c r="BD152" s="99"/>
      <c r="BE152" s="97"/>
      <c r="BF152" s="98"/>
      <c r="BG152" s="98"/>
      <c r="BH152" s="98"/>
      <c r="BI152" s="98"/>
      <c r="BJ152" s="98"/>
      <c r="BK152" s="99"/>
      <c r="BL152" s="99"/>
      <c r="BM152" s="97"/>
      <c r="BN152" s="98"/>
      <c r="BO152" s="98"/>
      <c r="BP152" s="98"/>
      <c r="BQ152" s="98"/>
      <c r="BR152" s="98"/>
      <c r="BS152" s="99"/>
      <c r="BT152" s="99"/>
    </row>
    <row r="153" spans="1:72">
      <c r="A153" s="97"/>
      <c r="B153" s="98"/>
      <c r="C153" s="98"/>
      <c r="D153" s="113">
        <f t="shared" si="40"/>
        <v>0</v>
      </c>
      <c r="E153" s="113">
        <f t="shared" si="41"/>
        <v>0</v>
      </c>
      <c r="F153" s="98"/>
      <c r="G153" s="99"/>
      <c r="H153" s="99"/>
      <c r="I153" s="97"/>
      <c r="J153" s="98"/>
      <c r="K153" s="98"/>
      <c r="L153" s="98"/>
      <c r="M153" s="98"/>
      <c r="N153" s="98"/>
      <c r="O153" s="99"/>
      <c r="P153" s="99"/>
      <c r="Q153" s="97"/>
      <c r="R153" s="98"/>
      <c r="S153" s="98"/>
      <c r="T153" s="98"/>
      <c r="U153" s="98"/>
      <c r="V153" s="98"/>
      <c r="W153" s="99"/>
      <c r="X153" s="99"/>
      <c r="Y153" s="97"/>
      <c r="Z153" s="98"/>
      <c r="AA153" s="98"/>
      <c r="AB153" s="98"/>
      <c r="AC153" s="98"/>
      <c r="AD153" s="98"/>
      <c r="AE153" s="99"/>
      <c r="AF153" s="99"/>
      <c r="AG153" s="97"/>
      <c r="AH153" s="98"/>
      <c r="AI153" s="98"/>
      <c r="AJ153" s="98"/>
      <c r="AK153" s="98"/>
      <c r="AL153" s="98"/>
      <c r="AM153" s="99"/>
      <c r="AN153" s="99"/>
      <c r="AO153" s="97"/>
      <c r="AP153" s="98"/>
      <c r="AQ153" s="98"/>
      <c r="AR153" s="98"/>
      <c r="AS153" s="98"/>
      <c r="AT153" s="98"/>
      <c r="AU153" s="99"/>
      <c r="AV153" s="99"/>
      <c r="AW153" s="89">
        <v>149</v>
      </c>
      <c r="AX153" s="90">
        <v>45194</v>
      </c>
      <c r="AY153" s="98"/>
      <c r="AZ153" s="98"/>
      <c r="BA153" s="98"/>
      <c r="BB153" s="98"/>
      <c r="BC153" s="99"/>
      <c r="BD153" s="99"/>
      <c r="BE153" s="97"/>
      <c r="BF153" s="98"/>
      <c r="BG153" s="98"/>
      <c r="BH153" s="98"/>
      <c r="BI153" s="98"/>
      <c r="BJ153" s="98"/>
      <c r="BK153" s="99"/>
      <c r="BL153" s="99"/>
      <c r="BM153" s="97"/>
      <c r="BN153" s="98"/>
      <c r="BO153" s="98"/>
      <c r="BP153" s="98"/>
      <c r="BQ153" s="98"/>
      <c r="BR153" s="98"/>
      <c r="BS153" s="99"/>
      <c r="BT153" s="99"/>
    </row>
    <row r="154" spans="1:72">
      <c r="A154" s="97"/>
      <c r="B154" s="98"/>
      <c r="C154" s="98"/>
      <c r="D154" s="113">
        <f t="shared" si="40"/>
        <v>0</v>
      </c>
      <c r="E154" s="113">
        <f t="shared" si="41"/>
        <v>0</v>
      </c>
      <c r="F154" s="98"/>
      <c r="G154" s="99"/>
      <c r="H154" s="99"/>
      <c r="I154" s="97"/>
      <c r="J154" s="98"/>
      <c r="K154" s="98"/>
      <c r="L154" s="98"/>
      <c r="M154" s="98"/>
      <c r="N154" s="98"/>
      <c r="O154" s="99"/>
      <c r="P154" s="99"/>
      <c r="Q154" s="97"/>
      <c r="R154" s="98"/>
      <c r="S154" s="98"/>
      <c r="T154" s="98"/>
      <c r="U154" s="98"/>
      <c r="V154" s="98"/>
      <c r="W154" s="99"/>
      <c r="X154" s="99"/>
      <c r="Y154" s="97"/>
      <c r="Z154" s="98"/>
      <c r="AA154" s="98"/>
      <c r="AB154" s="98"/>
      <c r="AC154" s="98"/>
      <c r="AD154" s="98"/>
      <c r="AE154" s="99"/>
      <c r="AF154" s="99"/>
      <c r="AG154" s="97"/>
      <c r="AH154" s="98"/>
      <c r="AI154" s="98"/>
      <c r="AJ154" s="98"/>
      <c r="AK154" s="98"/>
      <c r="AL154" s="98"/>
      <c r="AM154" s="99"/>
      <c r="AN154" s="99"/>
      <c r="AO154" s="97"/>
      <c r="AP154" s="98"/>
      <c r="AQ154" s="98"/>
      <c r="AR154" s="98"/>
      <c r="AS154" s="98"/>
      <c r="AT154" s="98"/>
      <c r="AU154" s="99"/>
      <c r="AV154" s="99"/>
      <c r="AW154" s="89">
        <v>150</v>
      </c>
      <c r="AX154" s="90">
        <v>45224</v>
      </c>
      <c r="AY154" s="98"/>
      <c r="AZ154" s="98"/>
      <c r="BA154" s="98"/>
      <c r="BB154" s="98"/>
      <c r="BC154" s="99"/>
      <c r="BD154" s="99"/>
      <c r="BE154" s="97"/>
      <c r="BF154" s="98"/>
      <c r="BG154" s="98"/>
      <c r="BH154" s="98"/>
      <c r="BI154" s="98"/>
      <c r="BJ154" s="98"/>
      <c r="BK154" s="99"/>
      <c r="BL154" s="99"/>
      <c r="BM154" s="97"/>
      <c r="BN154" s="98"/>
      <c r="BO154" s="98"/>
      <c r="BP154" s="98"/>
      <c r="BQ154" s="98"/>
      <c r="BR154" s="98"/>
      <c r="BS154" s="99"/>
      <c r="BT154" s="99"/>
    </row>
    <row r="155" spans="1:72">
      <c r="A155" s="97"/>
      <c r="B155" s="98"/>
      <c r="C155" s="98"/>
      <c r="D155" s="113">
        <f t="shared" si="40"/>
        <v>0</v>
      </c>
      <c r="E155" s="113">
        <f t="shared" si="41"/>
        <v>0</v>
      </c>
      <c r="F155" s="98"/>
      <c r="G155" s="99"/>
      <c r="H155" s="99"/>
      <c r="I155" s="97"/>
      <c r="J155" s="98"/>
      <c r="K155" s="98"/>
      <c r="L155" s="98"/>
      <c r="M155" s="98"/>
      <c r="N155" s="98"/>
      <c r="O155" s="99"/>
      <c r="P155" s="99"/>
      <c r="Q155" s="97"/>
      <c r="R155" s="98"/>
      <c r="S155" s="98"/>
      <c r="T155" s="98"/>
      <c r="U155" s="98"/>
      <c r="V155" s="98"/>
      <c r="W155" s="99"/>
      <c r="X155" s="99"/>
      <c r="Y155" s="97"/>
      <c r="Z155" s="98"/>
      <c r="AA155" s="98"/>
      <c r="AB155" s="98"/>
      <c r="AC155" s="98"/>
      <c r="AD155" s="98"/>
      <c r="AE155" s="99"/>
      <c r="AF155" s="99"/>
      <c r="AG155" s="97"/>
      <c r="AH155" s="98"/>
      <c r="AI155" s="98"/>
      <c r="AJ155" s="98"/>
      <c r="AK155" s="98"/>
      <c r="AL155" s="98"/>
      <c r="AM155" s="99"/>
      <c r="AN155" s="99"/>
      <c r="AO155" s="97"/>
      <c r="AP155" s="98"/>
      <c r="AQ155" s="98"/>
      <c r="AR155" s="98"/>
      <c r="AS155" s="98"/>
      <c r="AT155" s="98"/>
      <c r="AU155" s="99"/>
      <c r="AV155" s="99"/>
      <c r="AW155" s="89">
        <v>151</v>
      </c>
      <c r="AX155" s="90">
        <v>45255</v>
      </c>
      <c r="AY155" s="98"/>
      <c r="AZ155" s="98"/>
      <c r="BA155" s="98"/>
      <c r="BB155" s="98"/>
      <c r="BC155" s="99"/>
      <c r="BD155" s="99"/>
      <c r="BE155" s="97"/>
      <c r="BF155" s="98"/>
      <c r="BG155" s="98"/>
      <c r="BH155" s="98"/>
      <c r="BI155" s="98"/>
      <c r="BJ155" s="98"/>
      <c r="BK155" s="99"/>
      <c r="BL155" s="99"/>
      <c r="BM155" s="97"/>
      <c r="BN155" s="98"/>
      <c r="BO155" s="98"/>
      <c r="BP155" s="98"/>
      <c r="BQ155" s="98"/>
      <c r="BR155" s="98"/>
      <c r="BS155" s="99"/>
      <c r="BT155" s="99"/>
    </row>
    <row r="156" spans="1:72">
      <c r="A156" s="97"/>
      <c r="B156" s="98"/>
      <c r="C156" s="98"/>
      <c r="D156" s="113">
        <f t="shared" si="40"/>
        <v>0</v>
      </c>
      <c r="E156" s="113">
        <f t="shared" si="41"/>
        <v>0</v>
      </c>
      <c r="F156" s="98"/>
      <c r="G156" s="99"/>
      <c r="H156" s="99"/>
      <c r="I156" s="97"/>
      <c r="J156" s="98"/>
      <c r="K156" s="98"/>
      <c r="L156" s="98"/>
      <c r="M156" s="98"/>
      <c r="N156" s="98"/>
      <c r="O156" s="99"/>
      <c r="P156" s="99"/>
      <c r="Q156" s="97"/>
      <c r="R156" s="98"/>
      <c r="S156" s="98"/>
      <c r="T156" s="98"/>
      <c r="U156" s="98"/>
      <c r="V156" s="98"/>
      <c r="W156" s="99"/>
      <c r="X156" s="99"/>
      <c r="Y156" s="97"/>
      <c r="Z156" s="98"/>
      <c r="AA156" s="98"/>
      <c r="AB156" s="98"/>
      <c r="AC156" s="98"/>
      <c r="AD156" s="98"/>
      <c r="AE156" s="99"/>
      <c r="AF156" s="99"/>
      <c r="AG156" s="97"/>
      <c r="AH156" s="98"/>
      <c r="AI156" s="98"/>
      <c r="AJ156" s="98"/>
      <c r="AK156" s="98"/>
      <c r="AL156" s="98"/>
      <c r="AM156" s="99"/>
      <c r="AN156" s="99"/>
      <c r="AO156" s="97"/>
      <c r="AP156" s="98"/>
      <c r="AQ156" s="98"/>
      <c r="AR156" s="98"/>
      <c r="AS156" s="98"/>
      <c r="AT156" s="98"/>
      <c r="AU156" s="99"/>
      <c r="AV156" s="99"/>
      <c r="AW156" s="89">
        <v>152</v>
      </c>
      <c r="AX156" s="90">
        <v>45285</v>
      </c>
      <c r="AY156" s="98"/>
      <c r="AZ156" s="98"/>
      <c r="BA156" s="98"/>
      <c r="BB156" s="98"/>
      <c r="BC156" s="99"/>
      <c r="BD156" s="99"/>
      <c r="BE156" s="97"/>
      <c r="BF156" s="98"/>
      <c r="BG156" s="98"/>
      <c r="BH156" s="98"/>
      <c r="BI156" s="98"/>
      <c r="BJ156" s="98"/>
      <c r="BK156" s="99"/>
      <c r="BL156" s="99"/>
      <c r="BM156" s="97"/>
      <c r="BN156" s="98"/>
      <c r="BO156" s="98"/>
      <c r="BP156" s="98"/>
      <c r="BQ156" s="98"/>
      <c r="BR156" s="98"/>
      <c r="BS156" s="99"/>
      <c r="BT156" s="99"/>
    </row>
    <row r="157" spans="1:72">
      <c r="A157" s="97"/>
      <c r="B157" s="98"/>
      <c r="C157" s="98"/>
      <c r="D157" s="113">
        <f t="shared" si="40"/>
        <v>0</v>
      </c>
      <c r="E157" s="113">
        <f t="shared" si="41"/>
        <v>0</v>
      </c>
      <c r="F157" s="98"/>
      <c r="G157" s="99"/>
      <c r="H157" s="99"/>
      <c r="I157" s="97"/>
      <c r="J157" s="98"/>
      <c r="K157" s="98"/>
      <c r="L157" s="98"/>
      <c r="M157" s="98"/>
      <c r="N157" s="98"/>
      <c r="O157" s="99"/>
      <c r="P157" s="99"/>
      <c r="Q157" s="97"/>
      <c r="R157" s="98"/>
      <c r="S157" s="98"/>
      <c r="T157" s="98"/>
      <c r="U157" s="98"/>
      <c r="V157" s="98"/>
      <c r="W157" s="99"/>
      <c r="X157" s="99"/>
      <c r="Y157" s="97"/>
      <c r="Z157" s="98"/>
      <c r="AA157" s="98"/>
      <c r="AB157" s="98"/>
      <c r="AC157" s="98"/>
      <c r="AD157" s="98"/>
      <c r="AE157" s="99"/>
      <c r="AF157" s="99"/>
      <c r="AG157" s="97"/>
      <c r="AH157" s="98"/>
      <c r="AI157" s="98"/>
      <c r="AJ157" s="98"/>
      <c r="AK157" s="98"/>
      <c r="AL157" s="98"/>
      <c r="AM157" s="99"/>
      <c r="AN157" s="99"/>
      <c r="AO157" s="97"/>
      <c r="AP157" s="98"/>
      <c r="AQ157" s="98"/>
      <c r="AR157" s="98"/>
      <c r="AS157" s="98"/>
      <c r="AT157" s="98"/>
      <c r="AU157" s="99"/>
      <c r="AV157" s="99"/>
      <c r="AW157" s="89">
        <v>153</v>
      </c>
      <c r="AX157" s="90">
        <v>45316</v>
      </c>
      <c r="AY157" s="98"/>
      <c r="AZ157" s="98"/>
      <c r="BA157" s="98"/>
      <c r="BB157" s="98"/>
      <c r="BC157" s="99"/>
      <c r="BD157" s="99"/>
      <c r="BE157" s="97"/>
      <c r="BF157" s="98"/>
      <c r="BG157" s="98"/>
      <c r="BH157" s="98"/>
      <c r="BI157" s="98"/>
      <c r="BJ157" s="98"/>
      <c r="BK157" s="99"/>
      <c r="BL157" s="99"/>
      <c r="BM157" s="97"/>
      <c r="BN157" s="98"/>
      <c r="BO157" s="98"/>
      <c r="BP157" s="98"/>
      <c r="BQ157" s="98"/>
      <c r="BR157" s="98"/>
      <c r="BS157" s="99"/>
      <c r="BT157" s="99"/>
    </row>
    <row r="158" spans="1:72">
      <c r="A158" s="97"/>
      <c r="B158" s="98"/>
      <c r="C158" s="98"/>
      <c r="D158" s="113">
        <f t="shared" si="40"/>
        <v>0</v>
      </c>
      <c r="E158" s="113">
        <f t="shared" si="41"/>
        <v>0</v>
      </c>
      <c r="F158" s="98"/>
      <c r="G158" s="99"/>
      <c r="H158" s="99"/>
      <c r="I158" s="97"/>
      <c r="J158" s="98"/>
      <c r="K158" s="98"/>
      <c r="L158" s="98"/>
      <c r="M158" s="98"/>
      <c r="N158" s="98"/>
      <c r="O158" s="99"/>
      <c r="P158" s="99"/>
      <c r="Q158" s="97"/>
      <c r="R158" s="98"/>
      <c r="S158" s="98"/>
      <c r="T158" s="98"/>
      <c r="U158" s="98"/>
      <c r="V158" s="98"/>
      <c r="W158" s="99"/>
      <c r="X158" s="99"/>
      <c r="Y158" s="97"/>
      <c r="Z158" s="98"/>
      <c r="AA158" s="98"/>
      <c r="AB158" s="98"/>
      <c r="AC158" s="98"/>
      <c r="AD158" s="98"/>
      <c r="AE158" s="99"/>
      <c r="AF158" s="99"/>
      <c r="AG158" s="97"/>
      <c r="AH158" s="98"/>
      <c r="AI158" s="98"/>
      <c r="AJ158" s="98"/>
      <c r="AK158" s="98"/>
      <c r="AL158" s="98"/>
      <c r="AM158" s="99"/>
      <c r="AN158" s="99"/>
      <c r="AO158" s="97"/>
      <c r="AP158" s="98"/>
      <c r="AQ158" s="98"/>
      <c r="AR158" s="98"/>
      <c r="AS158" s="98"/>
      <c r="AT158" s="98"/>
      <c r="AU158" s="99"/>
      <c r="AV158" s="99"/>
      <c r="AW158" s="97"/>
      <c r="AX158" s="98"/>
      <c r="AY158" s="98"/>
      <c r="AZ158" s="98"/>
      <c r="BA158" s="98"/>
      <c r="BB158" s="98"/>
      <c r="BC158" s="99"/>
      <c r="BD158" s="99"/>
      <c r="BE158" s="97"/>
      <c r="BF158" s="98"/>
      <c r="BG158" s="98"/>
      <c r="BH158" s="98"/>
      <c r="BI158" s="98"/>
      <c r="BJ158" s="98"/>
      <c r="BK158" s="99"/>
      <c r="BL158" s="99"/>
      <c r="BM158" s="97"/>
      <c r="BN158" s="98"/>
      <c r="BO158" s="98"/>
      <c r="BP158" s="98"/>
      <c r="BQ158" s="98"/>
      <c r="BR158" s="98"/>
      <c r="BS158" s="99"/>
      <c r="BT158" s="99"/>
    </row>
    <row r="159" spans="1:72">
      <c r="A159" s="97"/>
      <c r="B159" s="98"/>
      <c r="C159" s="98"/>
      <c r="D159" s="113">
        <f t="shared" si="40"/>
        <v>0</v>
      </c>
      <c r="E159" s="113">
        <f t="shared" si="41"/>
        <v>0</v>
      </c>
      <c r="F159" s="98"/>
      <c r="G159" s="99"/>
      <c r="H159" s="99"/>
      <c r="I159" s="97"/>
      <c r="J159" s="98"/>
      <c r="K159" s="98"/>
      <c r="L159" s="98"/>
      <c r="M159" s="98"/>
      <c r="N159" s="98"/>
      <c r="O159" s="99"/>
      <c r="P159" s="99"/>
      <c r="Q159" s="97"/>
      <c r="R159" s="98"/>
      <c r="S159" s="98"/>
      <c r="T159" s="98"/>
      <c r="U159" s="98"/>
      <c r="V159" s="98"/>
      <c r="W159" s="99"/>
      <c r="X159" s="99"/>
      <c r="Y159" s="97"/>
      <c r="Z159" s="98"/>
      <c r="AA159" s="98"/>
      <c r="AB159" s="98"/>
      <c r="AC159" s="98"/>
      <c r="AD159" s="98"/>
      <c r="AE159" s="99"/>
      <c r="AF159" s="99"/>
      <c r="AG159" s="97"/>
      <c r="AH159" s="98"/>
      <c r="AI159" s="98"/>
      <c r="AJ159" s="98"/>
      <c r="AK159" s="98"/>
      <c r="AL159" s="98"/>
      <c r="AM159" s="99"/>
      <c r="AN159" s="99"/>
      <c r="AO159" s="97"/>
      <c r="AP159" s="98"/>
      <c r="AQ159" s="98"/>
      <c r="AR159" s="98"/>
      <c r="AS159" s="98"/>
      <c r="AT159" s="98"/>
      <c r="AU159" s="99"/>
      <c r="AV159" s="99"/>
      <c r="AW159" s="97"/>
      <c r="AX159" s="98"/>
      <c r="AY159" s="98"/>
      <c r="AZ159" s="98"/>
      <c r="BA159" s="98"/>
      <c r="BB159" s="98"/>
      <c r="BC159" s="99"/>
      <c r="BD159" s="99"/>
      <c r="BE159" s="97"/>
      <c r="BF159" s="98"/>
      <c r="BG159" s="98"/>
      <c r="BH159" s="98"/>
      <c r="BI159" s="98"/>
      <c r="BJ159" s="98"/>
      <c r="BK159" s="99"/>
      <c r="BL159" s="99"/>
      <c r="BM159" s="97"/>
      <c r="BN159" s="98"/>
      <c r="BO159" s="98"/>
      <c r="BP159" s="98"/>
      <c r="BQ159" s="98"/>
      <c r="BR159" s="98"/>
      <c r="BS159" s="99"/>
      <c r="BT159" s="99"/>
    </row>
    <row r="160" spans="1:72">
      <c r="A160" s="97"/>
      <c r="B160" s="98"/>
      <c r="C160" s="98"/>
      <c r="D160" s="113">
        <f t="shared" si="40"/>
        <v>0</v>
      </c>
      <c r="E160" s="113">
        <f t="shared" si="41"/>
        <v>0</v>
      </c>
      <c r="F160" s="98"/>
      <c r="G160" s="99"/>
      <c r="H160" s="99"/>
      <c r="I160" s="97"/>
      <c r="J160" s="98"/>
      <c r="K160" s="98"/>
      <c r="L160" s="98"/>
      <c r="M160" s="98"/>
      <c r="N160" s="98"/>
      <c r="O160" s="99"/>
      <c r="P160" s="99"/>
      <c r="Q160" s="97"/>
      <c r="R160" s="98"/>
      <c r="S160" s="98"/>
      <c r="T160" s="98"/>
      <c r="U160" s="98"/>
      <c r="V160" s="98"/>
      <c r="W160" s="99"/>
      <c r="X160" s="99"/>
      <c r="Y160" s="97"/>
      <c r="Z160" s="98"/>
      <c r="AA160" s="98"/>
      <c r="AB160" s="98"/>
      <c r="AC160" s="98"/>
      <c r="AD160" s="98"/>
      <c r="AE160" s="99"/>
      <c r="AF160" s="99"/>
      <c r="AG160" s="97"/>
      <c r="AH160" s="98"/>
      <c r="AI160" s="98"/>
      <c r="AJ160" s="98"/>
      <c r="AK160" s="98"/>
      <c r="AL160" s="98"/>
      <c r="AM160" s="99"/>
      <c r="AN160" s="99"/>
      <c r="AO160" s="97"/>
      <c r="AP160" s="98"/>
      <c r="AQ160" s="98"/>
      <c r="AR160" s="98"/>
      <c r="AS160" s="98"/>
      <c r="AT160" s="98"/>
      <c r="AU160" s="99"/>
      <c r="AV160" s="99"/>
      <c r="AW160" s="97"/>
      <c r="AX160" s="98"/>
      <c r="AY160" s="98"/>
      <c r="AZ160" s="98"/>
      <c r="BA160" s="98"/>
      <c r="BB160" s="98"/>
      <c r="BC160" s="99"/>
      <c r="BD160" s="99"/>
      <c r="BE160" s="97"/>
      <c r="BF160" s="98"/>
      <c r="BG160" s="98"/>
      <c r="BH160" s="98"/>
      <c r="BI160" s="98"/>
      <c r="BJ160" s="98"/>
      <c r="BK160" s="99"/>
      <c r="BL160" s="99"/>
      <c r="BM160" s="97"/>
      <c r="BN160" s="98"/>
      <c r="BO160" s="98"/>
      <c r="BP160" s="98"/>
      <c r="BQ160" s="98"/>
      <c r="BR160" s="98"/>
      <c r="BS160" s="99"/>
      <c r="BT160" s="99"/>
    </row>
    <row r="161" spans="1:72">
      <c r="A161" s="97"/>
      <c r="B161" s="98"/>
      <c r="C161" s="98"/>
      <c r="D161" s="113">
        <f t="shared" ref="D161:E164" si="46">L161+T161+AB161+AJ161+AR161+AZ161+BH161+BP161</f>
        <v>0</v>
      </c>
      <c r="E161" s="113">
        <f t="shared" si="46"/>
        <v>0</v>
      </c>
      <c r="F161" s="98"/>
      <c r="G161" s="99"/>
      <c r="H161" s="99"/>
      <c r="I161" s="97"/>
      <c r="J161" s="98"/>
      <c r="K161" s="98"/>
      <c r="L161" s="98"/>
      <c r="M161" s="98"/>
      <c r="N161" s="98"/>
      <c r="O161" s="99"/>
      <c r="P161" s="99"/>
      <c r="Q161" s="97"/>
      <c r="R161" s="98"/>
      <c r="S161" s="98"/>
      <c r="T161" s="98"/>
      <c r="U161" s="98"/>
      <c r="V161" s="98"/>
      <c r="W161" s="99"/>
      <c r="X161" s="99"/>
      <c r="Y161" s="97"/>
      <c r="Z161" s="98"/>
      <c r="AA161" s="98"/>
      <c r="AB161" s="98"/>
      <c r="AC161" s="98"/>
      <c r="AD161" s="98"/>
      <c r="AE161" s="99"/>
      <c r="AF161" s="99"/>
      <c r="AG161" s="97"/>
      <c r="AH161" s="98"/>
      <c r="AI161" s="98"/>
      <c r="AJ161" s="98"/>
      <c r="AK161" s="98"/>
      <c r="AL161" s="98"/>
      <c r="AM161" s="99"/>
      <c r="AN161" s="99"/>
      <c r="AO161" s="97"/>
      <c r="AP161" s="98"/>
      <c r="AQ161" s="98"/>
      <c r="AR161" s="98"/>
      <c r="AS161" s="98"/>
      <c r="AT161" s="98"/>
      <c r="AU161" s="99"/>
      <c r="AV161" s="99"/>
      <c r="AW161" s="97"/>
      <c r="AX161" s="98"/>
      <c r="AY161" s="98"/>
      <c r="AZ161" s="98"/>
      <c r="BA161" s="98"/>
      <c r="BB161" s="98"/>
      <c r="BC161" s="99"/>
      <c r="BD161" s="99"/>
      <c r="BE161" s="97"/>
      <c r="BF161" s="98"/>
      <c r="BG161" s="98"/>
      <c r="BH161" s="98"/>
      <c r="BI161" s="98"/>
      <c r="BJ161" s="98"/>
      <c r="BK161" s="99"/>
      <c r="BL161" s="99"/>
      <c r="BM161" s="97"/>
      <c r="BN161" s="98"/>
      <c r="BO161" s="98"/>
      <c r="BP161" s="98"/>
      <c r="BQ161" s="98"/>
      <c r="BR161" s="98"/>
      <c r="BS161" s="99"/>
      <c r="BT161" s="99"/>
    </row>
    <row r="162" spans="1:72">
      <c r="A162" s="97"/>
      <c r="B162" s="98"/>
      <c r="C162" s="98"/>
      <c r="D162" s="113">
        <f t="shared" si="46"/>
        <v>0</v>
      </c>
      <c r="E162" s="113">
        <f t="shared" si="46"/>
        <v>0</v>
      </c>
      <c r="F162" s="98"/>
      <c r="G162" s="99"/>
      <c r="H162" s="99"/>
      <c r="I162" s="97"/>
      <c r="J162" s="98"/>
      <c r="K162" s="98"/>
      <c r="L162" s="98"/>
      <c r="M162" s="98"/>
      <c r="N162" s="98"/>
      <c r="O162" s="99"/>
      <c r="P162" s="99"/>
      <c r="Q162" s="97"/>
      <c r="R162" s="98"/>
      <c r="S162" s="98"/>
      <c r="T162" s="98"/>
      <c r="U162" s="98"/>
      <c r="V162" s="98"/>
      <c r="W162" s="99"/>
      <c r="X162" s="99"/>
      <c r="Y162" s="97"/>
      <c r="Z162" s="98"/>
      <c r="AA162" s="98"/>
      <c r="AB162" s="98"/>
      <c r="AC162" s="98"/>
      <c r="AD162" s="98"/>
      <c r="AE162" s="99"/>
      <c r="AF162" s="99"/>
      <c r="AG162" s="97"/>
      <c r="AH162" s="98"/>
      <c r="AI162" s="98"/>
      <c r="AJ162" s="98"/>
      <c r="AK162" s="98"/>
      <c r="AL162" s="98"/>
      <c r="AM162" s="99"/>
      <c r="AN162" s="99"/>
      <c r="AO162" s="97"/>
      <c r="AP162" s="98"/>
      <c r="AQ162" s="98"/>
      <c r="AR162" s="98"/>
      <c r="AS162" s="98"/>
      <c r="AT162" s="98"/>
      <c r="AU162" s="99"/>
      <c r="AV162" s="99"/>
      <c r="AW162" s="97"/>
      <c r="AX162" s="98"/>
      <c r="AY162" s="98"/>
      <c r="AZ162" s="98"/>
      <c r="BA162" s="98"/>
      <c r="BB162" s="98"/>
      <c r="BC162" s="99"/>
      <c r="BD162" s="99"/>
      <c r="BE162" s="97"/>
      <c r="BF162" s="98"/>
      <c r="BG162" s="98"/>
      <c r="BH162" s="98"/>
      <c r="BI162" s="98"/>
      <c r="BJ162" s="98"/>
      <c r="BK162" s="99"/>
      <c r="BL162" s="99"/>
      <c r="BM162" s="97"/>
      <c r="BN162" s="98"/>
      <c r="BO162" s="98"/>
      <c r="BP162" s="98"/>
      <c r="BQ162" s="98"/>
      <c r="BR162" s="98"/>
      <c r="BS162" s="99"/>
      <c r="BT162" s="99"/>
    </row>
    <row r="163" spans="1:72">
      <c r="A163" s="97"/>
      <c r="B163" s="98"/>
      <c r="C163" s="98"/>
      <c r="D163" s="113">
        <f t="shared" si="46"/>
        <v>0</v>
      </c>
      <c r="E163" s="113">
        <f t="shared" si="46"/>
        <v>0</v>
      </c>
      <c r="F163" s="98"/>
      <c r="G163" s="99"/>
      <c r="H163" s="99"/>
      <c r="I163" s="97"/>
      <c r="J163" s="98"/>
      <c r="K163" s="98"/>
      <c r="L163" s="98"/>
      <c r="M163" s="98"/>
      <c r="N163" s="98"/>
      <c r="O163" s="99"/>
      <c r="P163" s="99"/>
      <c r="Q163" s="97"/>
      <c r="R163" s="98"/>
      <c r="S163" s="98"/>
      <c r="T163" s="98"/>
      <c r="U163" s="98"/>
      <c r="V163" s="98"/>
      <c r="W163" s="99"/>
      <c r="X163" s="99"/>
      <c r="Y163" s="97"/>
      <c r="Z163" s="98"/>
      <c r="AA163" s="98"/>
      <c r="AB163" s="98"/>
      <c r="AC163" s="98"/>
      <c r="AD163" s="98"/>
      <c r="AE163" s="99"/>
      <c r="AF163" s="99"/>
      <c r="AG163" s="97"/>
      <c r="AH163" s="98"/>
      <c r="AI163" s="98"/>
      <c r="AJ163" s="98"/>
      <c r="AK163" s="98"/>
      <c r="AL163" s="98"/>
      <c r="AM163" s="99"/>
      <c r="AN163" s="99"/>
      <c r="AO163" s="97"/>
      <c r="AP163" s="98"/>
      <c r="AQ163" s="98"/>
      <c r="AR163" s="98"/>
      <c r="AS163" s="98"/>
      <c r="AT163" s="98"/>
      <c r="AU163" s="99"/>
      <c r="AV163" s="99"/>
      <c r="AW163" s="97"/>
      <c r="AX163" s="98"/>
      <c r="AY163" s="98"/>
      <c r="AZ163" s="98"/>
      <c r="BA163" s="98"/>
      <c r="BB163" s="98"/>
      <c r="BC163" s="99"/>
      <c r="BD163" s="99"/>
      <c r="BE163" s="97"/>
      <c r="BF163" s="98"/>
      <c r="BG163" s="98"/>
      <c r="BH163" s="98"/>
      <c r="BI163" s="98"/>
      <c r="BJ163" s="98"/>
      <c r="BK163" s="99"/>
      <c r="BL163" s="99"/>
      <c r="BM163" s="97"/>
      <c r="BN163" s="98"/>
      <c r="BO163" s="98"/>
      <c r="BP163" s="98"/>
      <c r="BQ163" s="98"/>
      <c r="BR163" s="98"/>
      <c r="BS163" s="99"/>
      <c r="BT163" s="99"/>
    </row>
    <row r="164" spans="1:72">
      <c r="A164" s="97"/>
      <c r="B164" s="98"/>
      <c r="C164" s="98"/>
      <c r="D164" s="113">
        <f t="shared" si="46"/>
        <v>0</v>
      </c>
      <c r="E164" s="113">
        <f t="shared" si="46"/>
        <v>0</v>
      </c>
      <c r="F164" s="98"/>
      <c r="G164" s="99"/>
      <c r="H164" s="99"/>
      <c r="I164" s="97"/>
      <c r="J164" s="98"/>
      <c r="K164" s="98"/>
      <c r="L164" s="98"/>
      <c r="M164" s="98"/>
      <c r="N164" s="98"/>
      <c r="O164" s="99"/>
      <c r="P164" s="99"/>
      <c r="Q164" s="97"/>
      <c r="R164" s="98"/>
      <c r="S164" s="98"/>
      <c r="T164" s="98"/>
      <c r="U164" s="98"/>
      <c r="V164" s="98"/>
      <c r="W164" s="99"/>
      <c r="X164" s="99"/>
      <c r="Y164" s="97"/>
      <c r="Z164" s="98"/>
      <c r="AA164" s="98"/>
      <c r="AB164" s="98"/>
      <c r="AC164" s="98"/>
      <c r="AD164" s="98"/>
      <c r="AE164" s="99"/>
      <c r="AF164" s="99"/>
      <c r="AG164" s="97"/>
      <c r="AH164" s="98"/>
      <c r="AI164" s="98"/>
      <c r="AJ164" s="98"/>
      <c r="AK164" s="98"/>
      <c r="AL164" s="98"/>
      <c r="AM164" s="99"/>
      <c r="AN164" s="99"/>
      <c r="AO164" s="97"/>
      <c r="AP164" s="98"/>
      <c r="AQ164" s="98"/>
      <c r="AR164" s="98"/>
      <c r="AS164" s="98"/>
      <c r="AT164" s="98"/>
      <c r="AU164" s="99"/>
      <c r="AV164" s="99"/>
      <c r="AW164" s="97"/>
      <c r="AX164" s="98"/>
      <c r="AY164" s="98"/>
      <c r="AZ164" s="98"/>
      <c r="BA164" s="98"/>
      <c r="BB164" s="98"/>
      <c r="BC164" s="99"/>
      <c r="BD164" s="99"/>
      <c r="BE164" s="97"/>
      <c r="BF164" s="98"/>
      <c r="BG164" s="98"/>
      <c r="BH164" s="98"/>
      <c r="BI164" s="98"/>
      <c r="BJ164" s="98"/>
      <c r="BK164" s="99"/>
      <c r="BL164" s="99"/>
      <c r="BM164" s="97"/>
      <c r="BN164" s="98"/>
      <c r="BO164" s="98"/>
      <c r="BP164" s="98"/>
      <c r="BQ164" s="98"/>
      <c r="BR164" s="98"/>
      <c r="BS164" s="99"/>
      <c r="BT164" s="99"/>
    </row>
    <row r="165" spans="1:72">
      <c r="A165" s="97"/>
      <c r="B165" s="98"/>
      <c r="C165" s="98"/>
      <c r="D165" s="98"/>
      <c r="E165" s="98"/>
      <c r="F165" s="98"/>
      <c r="G165" s="99"/>
      <c r="H165" s="99"/>
      <c r="I165" s="97"/>
      <c r="J165" s="98"/>
      <c r="K165" s="98"/>
      <c r="L165" s="98"/>
      <c r="M165" s="98"/>
      <c r="N165" s="98"/>
      <c r="O165" s="99"/>
      <c r="P165" s="99"/>
      <c r="Q165" s="97"/>
      <c r="R165" s="98"/>
      <c r="S165" s="98"/>
      <c r="T165" s="98"/>
      <c r="U165" s="98"/>
      <c r="V165" s="98"/>
      <c r="W165" s="99"/>
      <c r="X165" s="99"/>
      <c r="Y165" s="97"/>
      <c r="Z165" s="98"/>
      <c r="AA165" s="98"/>
      <c r="AB165" s="98"/>
      <c r="AC165" s="98"/>
      <c r="AD165" s="98"/>
      <c r="AE165" s="99"/>
      <c r="AF165" s="99"/>
      <c r="AG165" s="97"/>
      <c r="AH165" s="98"/>
      <c r="AI165" s="98"/>
      <c r="AJ165" s="98"/>
      <c r="AK165" s="98"/>
      <c r="AL165" s="98"/>
      <c r="AM165" s="99"/>
      <c r="AN165" s="99"/>
      <c r="AO165" s="97"/>
      <c r="AP165" s="98"/>
      <c r="AQ165" s="98"/>
      <c r="AR165" s="98"/>
      <c r="AS165" s="98"/>
      <c r="AT165" s="98"/>
      <c r="AU165" s="99"/>
      <c r="AV165" s="99"/>
      <c r="AW165" s="97"/>
      <c r="AX165" s="98"/>
      <c r="AY165" s="98"/>
      <c r="AZ165" s="98"/>
      <c r="BA165" s="98"/>
      <c r="BB165" s="98"/>
      <c r="BC165" s="99"/>
      <c r="BD165" s="99"/>
      <c r="BE165" s="97"/>
      <c r="BF165" s="98"/>
      <c r="BG165" s="98"/>
      <c r="BH165" s="98"/>
      <c r="BI165" s="98"/>
      <c r="BJ165" s="98"/>
      <c r="BK165" s="99"/>
      <c r="BL165" s="99"/>
      <c r="BM165" s="97"/>
      <c r="BN165" s="98"/>
      <c r="BO165" s="98"/>
      <c r="BP165" s="98"/>
      <c r="BQ165" s="98"/>
      <c r="BR165" s="98"/>
      <c r="BS165" s="99"/>
      <c r="BT165" s="99"/>
    </row>
    <row r="166" spans="1:72">
      <c r="A166" s="97"/>
      <c r="B166" s="98"/>
      <c r="C166" s="98"/>
      <c r="D166" s="98"/>
      <c r="E166" s="98"/>
      <c r="F166" s="98"/>
      <c r="G166" s="99"/>
      <c r="H166" s="99"/>
      <c r="I166" s="97"/>
      <c r="J166" s="98"/>
      <c r="K166" s="98"/>
      <c r="L166" s="98"/>
      <c r="M166" s="98"/>
      <c r="N166" s="98"/>
      <c r="O166" s="99"/>
      <c r="P166" s="99"/>
      <c r="Q166" s="97"/>
      <c r="R166" s="98"/>
      <c r="S166" s="98"/>
      <c r="T166" s="98"/>
      <c r="U166" s="98"/>
      <c r="V166" s="98"/>
      <c r="W166" s="99"/>
      <c r="X166" s="99"/>
      <c r="Y166" s="97"/>
      <c r="Z166" s="98"/>
      <c r="AA166" s="98"/>
      <c r="AB166" s="98"/>
      <c r="AC166" s="98"/>
      <c r="AD166" s="98"/>
      <c r="AE166" s="99"/>
      <c r="AF166" s="99"/>
      <c r="AG166" s="97"/>
      <c r="AH166" s="98"/>
      <c r="AI166" s="98"/>
      <c r="AJ166" s="98"/>
      <c r="AK166" s="98"/>
      <c r="AL166" s="98"/>
      <c r="AM166" s="99"/>
      <c r="AN166" s="99"/>
      <c r="AO166" s="97"/>
      <c r="AP166" s="98"/>
      <c r="AQ166" s="98"/>
      <c r="AR166" s="98"/>
      <c r="AS166" s="98"/>
      <c r="AT166" s="98"/>
      <c r="AU166" s="99"/>
      <c r="AV166" s="99"/>
      <c r="AW166" s="97"/>
      <c r="AX166" s="98"/>
      <c r="AY166" s="98"/>
      <c r="AZ166" s="98"/>
      <c r="BA166" s="98"/>
      <c r="BB166" s="98"/>
      <c r="BC166" s="99"/>
      <c r="BD166" s="99"/>
      <c r="BE166" s="97"/>
      <c r="BF166" s="98"/>
      <c r="BG166" s="98"/>
      <c r="BH166" s="98"/>
      <c r="BI166" s="98"/>
      <c r="BJ166" s="98"/>
      <c r="BK166" s="99"/>
      <c r="BL166" s="99"/>
      <c r="BM166" s="97"/>
      <c r="BN166" s="98"/>
      <c r="BO166" s="98"/>
      <c r="BP166" s="98"/>
      <c r="BQ166" s="98"/>
      <c r="BR166" s="98"/>
      <c r="BS166" s="99"/>
      <c r="BT166" s="99"/>
    </row>
    <row r="167" spans="1:72">
      <c r="A167" s="97"/>
      <c r="B167" s="98"/>
      <c r="C167" s="98"/>
      <c r="D167" s="98"/>
      <c r="E167" s="98"/>
      <c r="F167" s="98"/>
      <c r="G167" s="99"/>
      <c r="H167" s="99"/>
      <c r="I167" s="97"/>
      <c r="J167" s="98"/>
      <c r="K167" s="98"/>
      <c r="L167" s="98"/>
      <c r="M167" s="98"/>
      <c r="N167" s="98"/>
      <c r="O167" s="99"/>
      <c r="P167" s="99"/>
      <c r="Q167" s="97"/>
      <c r="R167" s="98"/>
      <c r="S167" s="98"/>
      <c r="T167" s="98"/>
      <c r="U167" s="98"/>
      <c r="V167" s="98"/>
      <c r="W167" s="99"/>
      <c r="X167" s="99"/>
      <c r="Y167" s="97"/>
      <c r="Z167" s="98"/>
      <c r="AA167" s="98"/>
      <c r="AB167" s="98"/>
      <c r="AC167" s="98"/>
      <c r="AD167" s="98"/>
      <c r="AE167" s="99"/>
      <c r="AF167" s="99"/>
      <c r="AG167" s="97"/>
      <c r="AH167" s="98"/>
      <c r="AI167" s="98"/>
      <c r="AJ167" s="98"/>
      <c r="AK167" s="98"/>
      <c r="AL167" s="98"/>
      <c r="AM167" s="99"/>
      <c r="AN167" s="99"/>
      <c r="AO167" s="97"/>
      <c r="AP167" s="98"/>
      <c r="AQ167" s="98"/>
      <c r="AR167" s="98"/>
      <c r="AS167" s="98"/>
      <c r="AT167" s="98"/>
      <c r="AU167" s="99"/>
      <c r="AV167" s="99"/>
      <c r="AW167" s="97"/>
      <c r="AX167" s="98"/>
      <c r="AY167" s="98"/>
      <c r="AZ167" s="98"/>
      <c r="BA167" s="98"/>
      <c r="BB167" s="98"/>
      <c r="BC167" s="99"/>
      <c r="BD167" s="99"/>
      <c r="BE167" s="97"/>
      <c r="BF167" s="98"/>
      <c r="BG167" s="98"/>
      <c r="BH167" s="98"/>
      <c r="BI167" s="98"/>
      <c r="BJ167" s="98"/>
      <c r="BK167" s="99"/>
      <c r="BL167" s="99"/>
      <c r="BM167" s="97"/>
      <c r="BN167" s="98"/>
      <c r="BO167" s="98"/>
      <c r="BP167" s="98"/>
      <c r="BQ167" s="98"/>
      <c r="BR167" s="98"/>
      <c r="BS167" s="99"/>
      <c r="BT167" s="99"/>
    </row>
    <row r="168" spans="1:72">
      <c r="A168" s="97"/>
      <c r="B168" s="98"/>
      <c r="C168" s="98"/>
      <c r="D168" s="98"/>
      <c r="E168" s="98"/>
      <c r="F168" s="98"/>
      <c r="G168" s="99"/>
      <c r="H168" s="99"/>
      <c r="I168" s="97"/>
      <c r="J168" s="98"/>
      <c r="K168" s="98"/>
      <c r="L168" s="98"/>
      <c r="M168" s="98"/>
      <c r="N168" s="98"/>
      <c r="O168" s="99"/>
      <c r="P168" s="99"/>
      <c r="Q168" s="97"/>
      <c r="R168" s="98"/>
      <c r="S168" s="98"/>
      <c r="T168" s="98"/>
      <c r="U168" s="98"/>
      <c r="V168" s="98"/>
      <c r="W168" s="99"/>
      <c r="X168" s="99"/>
      <c r="Y168" s="97"/>
      <c r="Z168" s="98"/>
      <c r="AA168" s="98"/>
      <c r="AB168" s="98"/>
      <c r="AC168" s="98"/>
      <c r="AD168" s="98"/>
      <c r="AE168" s="99"/>
      <c r="AF168" s="99"/>
      <c r="AG168" s="97"/>
      <c r="AH168" s="98"/>
      <c r="AI168" s="98"/>
      <c r="AJ168" s="98"/>
      <c r="AK168" s="98"/>
      <c r="AL168" s="98"/>
      <c r="AM168" s="99"/>
      <c r="AN168" s="99"/>
      <c r="AO168" s="97"/>
      <c r="AP168" s="98"/>
      <c r="AQ168" s="98"/>
      <c r="AR168" s="98"/>
      <c r="AS168" s="98"/>
      <c r="AT168" s="98"/>
      <c r="AU168" s="99"/>
      <c r="AV168" s="99"/>
      <c r="AW168" s="97"/>
      <c r="AX168" s="98"/>
      <c r="AY168" s="98"/>
      <c r="AZ168" s="98"/>
      <c r="BA168" s="98"/>
      <c r="BB168" s="98"/>
      <c r="BC168" s="99"/>
      <c r="BD168" s="99"/>
      <c r="BE168" s="97"/>
      <c r="BF168" s="98"/>
      <c r="BG168" s="98"/>
      <c r="BH168" s="98"/>
      <c r="BI168" s="98"/>
      <c r="BJ168" s="98"/>
      <c r="BK168" s="99"/>
      <c r="BL168" s="99"/>
      <c r="BM168" s="97"/>
      <c r="BN168" s="98"/>
      <c r="BO168" s="98"/>
      <c r="BP168" s="98"/>
      <c r="BQ168" s="98"/>
      <c r="BR168" s="98"/>
      <c r="BS168" s="99"/>
      <c r="BT168" s="99"/>
    </row>
    <row r="169" spans="1:72">
      <c r="A169" s="97"/>
      <c r="B169" s="98"/>
      <c r="C169" s="98"/>
      <c r="D169" s="98"/>
      <c r="E169" s="98"/>
      <c r="F169" s="98"/>
      <c r="G169" s="99"/>
      <c r="H169" s="99"/>
      <c r="I169" s="97"/>
      <c r="J169" s="98"/>
      <c r="K169" s="98"/>
      <c r="L169" s="98"/>
      <c r="M169" s="98"/>
      <c r="N169" s="98"/>
      <c r="O169" s="99"/>
      <c r="P169" s="99"/>
      <c r="Q169" s="97"/>
      <c r="R169" s="98"/>
      <c r="S169" s="98"/>
      <c r="T169" s="98"/>
      <c r="U169" s="98"/>
      <c r="V169" s="98"/>
      <c r="W169" s="99"/>
      <c r="X169" s="99"/>
      <c r="Y169" s="97"/>
      <c r="Z169" s="98"/>
      <c r="AA169" s="98"/>
      <c r="AB169" s="98"/>
      <c r="AC169" s="98"/>
      <c r="AD169" s="98"/>
      <c r="AE169" s="99"/>
      <c r="AF169" s="99"/>
      <c r="AG169" s="97"/>
      <c r="AH169" s="98"/>
      <c r="AI169" s="98"/>
      <c r="AJ169" s="98"/>
      <c r="AK169" s="98"/>
      <c r="AL169" s="98"/>
      <c r="AM169" s="99"/>
      <c r="AN169" s="99"/>
      <c r="AO169" s="97"/>
      <c r="AP169" s="98"/>
      <c r="AQ169" s="98"/>
      <c r="AR169" s="98"/>
      <c r="AS169" s="98"/>
      <c r="AT169" s="98"/>
      <c r="AU169" s="99"/>
      <c r="AV169" s="99"/>
      <c r="AW169" s="97"/>
      <c r="AX169" s="98"/>
      <c r="AY169" s="98"/>
      <c r="AZ169" s="98"/>
      <c r="BA169" s="98"/>
      <c r="BB169" s="98"/>
      <c r="BC169" s="99"/>
      <c r="BD169" s="99"/>
      <c r="BE169" s="97"/>
      <c r="BF169" s="98"/>
      <c r="BG169" s="98"/>
      <c r="BH169" s="98"/>
      <c r="BI169" s="98"/>
      <c r="BJ169" s="98"/>
      <c r="BK169" s="99"/>
      <c r="BL169" s="99"/>
      <c r="BM169" s="97"/>
      <c r="BN169" s="98"/>
      <c r="BO169" s="98"/>
      <c r="BP169" s="98"/>
      <c r="BQ169" s="98"/>
      <c r="BR169" s="98"/>
      <c r="BS169" s="99"/>
      <c r="BT169" s="99"/>
    </row>
    <row r="170" spans="1:72">
      <c r="A170" s="97"/>
      <c r="B170" s="98"/>
      <c r="C170" s="98"/>
      <c r="D170" s="98"/>
      <c r="E170" s="98"/>
      <c r="F170" s="98"/>
      <c r="G170" s="99"/>
      <c r="H170" s="99"/>
      <c r="I170" s="97"/>
      <c r="J170" s="98"/>
      <c r="K170" s="98"/>
      <c r="L170" s="98"/>
      <c r="M170" s="98"/>
      <c r="N170" s="98"/>
      <c r="O170" s="99"/>
      <c r="P170" s="99"/>
      <c r="Q170" s="97"/>
      <c r="R170" s="98"/>
      <c r="S170" s="98"/>
      <c r="T170" s="98"/>
      <c r="U170" s="98"/>
      <c r="V170" s="98"/>
      <c r="W170" s="99"/>
      <c r="X170" s="99"/>
      <c r="Y170" s="97"/>
      <c r="Z170" s="98"/>
      <c r="AA170" s="98"/>
      <c r="AB170" s="98"/>
      <c r="AC170" s="98"/>
      <c r="AD170" s="98"/>
      <c r="AE170" s="99"/>
      <c r="AF170" s="99"/>
      <c r="AG170" s="97"/>
      <c r="AH170" s="98"/>
      <c r="AI170" s="98"/>
      <c r="AJ170" s="98"/>
      <c r="AK170" s="98"/>
      <c r="AL170" s="98"/>
      <c r="AM170" s="99"/>
      <c r="AN170" s="99"/>
      <c r="AO170" s="97"/>
      <c r="AP170" s="98"/>
      <c r="AQ170" s="98"/>
      <c r="AR170" s="98"/>
      <c r="AS170" s="98"/>
      <c r="AT170" s="98"/>
      <c r="AU170" s="99"/>
      <c r="AV170" s="99"/>
      <c r="AW170" s="97"/>
      <c r="AX170" s="98"/>
      <c r="AY170" s="98"/>
      <c r="AZ170" s="98"/>
      <c r="BA170" s="98"/>
      <c r="BB170" s="98"/>
      <c r="BC170" s="99"/>
      <c r="BD170" s="99"/>
      <c r="BE170" s="97"/>
      <c r="BF170" s="98"/>
      <c r="BG170" s="98"/>
      <c r="BH170" s="98"/>
      <c r="BI170" s="98"/>
      <c r="BJ170" s="98"/>
      <c r="BK170" s="99"/>
      <c r="BL170" s="99"/>
      <c r="BM170" s="97"/>
      <c r="BN170" s="98"/>
      <c r="BO170" s="98"/>
      <c r="BP170" s="98"/>
      <c r="BQ170" s="98"/>
      <c r="BR170" s="98"/>
      <c r="BS170" s="99"/>
      <c r="BT170" s="99"/>
    </row>
    <row r="171" spans="1:72">
      <c r="A171" s="97"/>
      <c r="B171" s="98"/>
      <c r="C171" s="98"/>
      <c r="D171" s="98"/>
      <c r="E171" s="98"/>
      <c r="F171" s="98"/>
      <c r="G171" s="99"/>
      <c r="H171" s="99"/>
      <c r="I171" s="97"/>
      <c r="J171" s="98"/>
      <c r="K171" s="98"/>
      <c r="L171" s="98"/>
      <c r="M171" s="98"/>
      <c r="N171" s="98"/>
      <c r="O171" s="99"/>
      <c r="P171" s="99"/>
      <c r="Q171" s="97"/>
      <c r="R171" s="98"/>
      <c r="S171" s="98"/>
      <c r="T171" s="98"/>
      <c r="U171" s="98"/>
      <c r="V171" s="98"/>
      <c r="W171" s="99"/>
      <c r="X171" s="99"/>
      <c r="Y171" s="97"/>
      <c r="Z171" s="98"/>
      <c r="AA171" s="98"/>
      <c r="AB171" s="98"/>
      <c r="AC171" s="98"/>
      <c r="AD171" s="98"/>
      <c r="AE171" s="99"/>
      <c r="AF171" s="99"/>
      <c r="AG171" s="97"/>
      <c r="AH171" s="98"/>
      <c r="AI171" s="98"/>
      <c r="AJ171" s="98"/>
      <c r="AK171" s="98"/>
      <c r="AL171" s="98"/>
      <c r="AM171" s="99"/>
      <c r="AN171" s="99"/>
      <c r="AO171" s="97"/>
      <c r="AP171" s="98"/>
      <c r="AQ171" s="98"/>
      <c r="AR171" s="98"/>
      <c r="AS171" s="98"/>
      <c r="AT171" s="98"/>
      <c r="AU171" s="99"/>
      <c r="AV171" s="99"/>
      <c r="AW171" s="97"/>
      <c r="AX171" s="98"/>
      <c r="AY171" s="98"/>
      <c r="AZ171" s="98"/>
      <c r="BA171" s="98"/>
      <c r="BB171" s="98"/>
      <c r="BC171" s="99"/>
      <c r="BD171" s="99"/>
      <c r="BE171" s="97"/>
      <c r="BF171" s="98"/>
      <c r="BG171" s="98"/>
      <c r="BH171" s="98"/>
      <c r="BI171" s="98"/>
      <c r="BJ171" s="98"/>
      <c r="BK171" s="99"/>
      <c r="BL171" s="99"/>
      <c r="BM171" s="97"/>
      <c r="BN171" s="98"/>
      <c r="BO171" s="98"/>
      <c r="BP171" s="98"/>
      <c r="BQ171" s="98"/>
      <c r="BR171" s="98"/>
      <c r="BS171" s="99"/>
      <c r="BT171" s="99"/>
    </row>
    <row r="172" spans="1:72">
      <c r="A172" s="97"/>
      <c r="B172" s="98"/>
      <c r="C172" s="98"/>
      <c r="D172" s="98"/>
      <c r="E172" s="98"/>
      <c r="F172" s="98"/>
      <c r="G172" s="99"/>
      <c r="H172" s="99"/>
      <c r="I172" s="97"/>
      <c r="J172" s="98"/>
      <c r="K172" s="98"/>
      <c r="L172" s="98"/>
      <c r="M172" s="98"/>
      <c r="N172" s="98"/>
      <c r="O172" s="99"/>
      <c r="P172" s="99"/>
      <c r="Q172" s="97"/>
      <c r="R172" s="98"/>
      <c r="S172" s="98"/>
      <c r="T172" s="98"/>
      <c r="U172" s="98"/>
      <c r="V172" s="98"/>
      <c r="W172" s="99"/>
      <c r="X172" s="99"/>
      <c r="Y172" s="97"/>
      <c r="Z172" s="98"/>
      <c r="AA172" s="98"/>
      <c r="AB172" s="98"/>
      <c r="AC172" s="98"/>
      <c r="AD172" s="98"/>
      <c r="AE172" s="99"/>
      <c r="AF172" s="99"/>
      <c r="AG172" s="97"/>
      <c r="AH172" s="98"/>
      <c r="AI172" s="98"/>
      <c r="AJ172" s="98"/>
      <c r="AK172" s="98"/>
      <c r="AL172" s="98"/>
      <c r="AM172" s="99"/>
      <c r="AN172" s="99"/>
      <c r="AO172" s="97"/>
      <c r="AP172" s="98"/>
      <c r="AQ172" s="98"/>
      <c r="AR172" s="98"/>
      <c r="AS172" s="98"/>
      <c r="AT172" s="98"/>
      <c r="AU172" s="99"/>
      <c r="AV172" s="99"/>
      <c r="AW172" s="97"/>
      <c r="AX172" s="98"/>
      <c r="AY172" s="98"/>
      <c r="AZ172" s="98"/>
      <c r="BA172" s="98"/>
      <c r="BB172" s="98"/>
      <c r="BC172" s="99"/>
      <c r="BD172" s="99"/>
      <c r="BE172" s="97"/>
      <c r="BF172" s="98"/>
      <c r="BG172" s="98"/>
      <c r="BH172" s="98"/>
      <c r="BI172" s="98"/>
      <c r="BJ172" s="98"/>
      <c r="BK172" s="99"/>
      <c r="BL172" s="99"/>
      <c r="BM172" s="97"/>
      <c r="BN172" s="98"/>
      <c r="BO172" s="98"/>
      <c r="BP172" s="98"/>
      <c r="BQ172" s="98"/>
      <c r="BR172" s="98"/>
      <c r="BS172" s="99"/>
      <c r="BT172" s="99"/>
    </row>
    <row r="173" spans="1:72">
      <c r="A173" s="97"/>
      <c r="B173" s="98"/>
      <c r="C173" s="98"/>
      <c r="D173" s="98"/>
      <c r="E173" s="98"/>
      <c r="F173" s="98"/>
      <c r="G173" s="99"/>
      <c r="H173" s="99"/>
      <c r="I173" s="97"/>
      <c r="J173" s="98"/>
      <c r="K173" s="98"/>
      <c r="L173" s="98"/>
      <c r="M173" s="98"/>
      <c r="N173" s="98"/>
      <c r="O173" s="99"/>
      <c r="P173" s="99"/>
      <c r="Q173" s="97"/>
      <c r="R173" s="98"/>
      <c r="S173" s="98"/>
      <c r="T173" s="98"/>
      <c r="U173" s="98"/>
      <c r="V173" s="98"/>
      <c r="W173" s="99"/>
      <c r="X173" s="99"/>
      <c r="Y173" s="97"/>
      <c r="Z173" s="98"/>
      <c r="AA173" s="98"/>
      <c r="AB173" s="98"/>
      <c r="AC173" s="98"/>
      <c r="AD173" s="98"/>
      <c r="AE173" s="99"/>
      <c r="AF173" s="99"/>
      <c r="AG173" s="97"/>
      <c r="AH173" s="98"/>
      <c r="AI173" s="98"/>
      <c r="AJ173" s="98"/>
      <c r="AK173" s="98"/>
      <c r="AL173" s="98"/>
      <c r="AM173" s="99"/>
      <c r="AN173" s="99"/>
      <c r="AO173" s="97"/>
      <c r="AP173" s="98"/>
      <c r="AQ173" s="98"/>
      <c r="AR173" s="98"/>
      <c r="AS173" s="98"/>
      <c r="AT173" s="98"/>
      <c r="AU173" s="99"/>
      <c r="AV173" s="99"/>
      <c r="AW173" s="97"/>
      <c r="AX173" s="98"/>
      <c r="AY173" s="98"/>
      <c r="AZ173" s="98"/>
      <c r="BA173" s="98"/>
      <c r="BB173" s="98"/>
      <c r="BC173" s="99"/>
      <c r="BD173" s="99"/>
      <c r="BE173" s="97"/>
      <c r="BF173" s="98"/>
      <c r="BG173" s="98"/>
      <c r="BH173" s="98"/>
      <c r="BI173" s="98"/>
      <c r="BJ173" s="98"/>
      <c r="BK173" s="99"/>
      <c r="BL173" s="99"/>
      <c r="BM173" s="97"/>
      <c r="BN173" s="98"/>
      <c r="BO173" s="98"/>
      <c r="BP173" s="98"/>
      <c r="BQ173" s="98"/>
      <c r="BR173" s="98"/>
      <c r="BS173" s="99"/>
      <c r="BT173" s="99"/>
    </row>
    <row r="174" spans="1:72">
      <c r="A174" s="97"/>
      <c r="B174" s="98"/>
      <c r="C174" s="98"/>
      <c r="D174" s="98"/>
      <c r="E174" s="98"/>
      <c r="F174" s="98"/>
      <c r="G174" s="99"/>
      <c r="H174" s="99"/>
      <c r="I174" s="97"/>
      <c r="J174" s="98"/>
      <c r="K174" s="98"/>
      <c r="L174" s="98"/>
      <c r="M174" s="98"/>
      <c r="N174" s="98"/>
      <c r="O174" s="99"/>
      <c r="P174" s="99"/>
      <c r="Q174" s="97"/>
      <c r="R174" s="98"/>
      <c r="S174" s="98"/>
      <c r="T174" s="98"/>
      <c r="U174" s="98"/>
      <c r="V174" s="98"/>
      <c r="W174" s="99"/>
      <c r="X174" s="99"/>
      <c r="Y174" s="97"/>
      <c r="Z174" s="98"/>
      <c r="AA174" s="98"/>
      <c r="AB174" s="98"/>
      <c r="AC174" s="98"/>
      <c r="AD174" s="98"/>
      <c r="AE174" s="99"/>
      <c r="AF174" s="99"/>
      <c r="AG174" s="97"/>
      <c r="AH174" s="98"/>
      <c r="AI174" s="98"/>
      <c r="AJ174" s="98"/>
      <c r="AK174" s="98"/>
      <c r="AL174" s="98"/>
      <c r="AM174" s="99"/>
      <c r="AN174" s="99"/>
      <c r="AO174" s="97"/>
      <c r="AP174" s="98"/>
      <c r="AQ174" s="98"/>
      <c r="AR174" s="98"/>
      <c r="AS174" s="98"/>
      <c r="AT174" s="98"/>
      <c r="AU174" s="99"/>
      <c r="AV174" s="99"/>
      <c r="AW174" s="97"/>
      <c r="AX174" s="98"/>
      <c r="AY174" s="98"/>
      <c r="AZ174" s="98"/>
      <c r="BA174" s="98"/>
      <c r="BB174" s="98"/>
      <c r="BC174" s="99"/>
      <c r="BD174" s="99"/>
      <c r="BE174" s="97"/>
      <c r="BF174" s="98"/>
      <c r="BG174" s="98"/>
      <c r="BH174" s="98"/>
      <c r="BI174" s="98"/>
      <c r="BJ174" s="98"/>
      <c r="BK174" s="99"/>
      <c r="BL174" s="99"/>
      <c r="BM174" s="97"/>
      <c r="BN174" s="98"/>
      <c r="BO174" s="98"/>
      <c r="BP174" s="98"/>
      <c r="BQ174" s="98"/>
      <c r="BR174" s="98"/>
      <c r="BS174" s="99"/>
      <c r="BT174" s="99"/>
    </row>
    <row r="175" spans="1:72">
      <c r="A175" s="97"/>
      <c r="B175" s="98"/>
      <c r="C175" s="98"/>
      <c r="D175" s="98"/>
      <c r="E175" s="98"/>
      <c r="F175" s="98"/>
      <c r="G175" s="99"/>
      <c r="H175" s="99"/>
      <c r="I175" s="97"/>
      <c r="J175" s="98"/>
      <c r="K175" s="98"/>
      <c r="L175" s="98"/>
      <c r="M175" s="98"/>
      <c r="N175" s="98"/>
      <c r="O175" s="99"/>
      <c r="P175" s="99"/>
      <c r="Q175" s="97"/>
      <c r="R175" s="98"/>
      <c r="S175" s="98"/>
      <c r="T175" s="98"/>
      <c r="U175" s="98"/>
      <c r="V175" s="98"/>
      <c r="W175" s="99"/>
      <c r="X175" s="99"/>
      <c r="Y175" s="97"/>
      <c r="Z175" s="98"/>
      <c r="AA175" s="98"/>
      <c r="AB175" s="98"/>
      <c r="AC175" s="98"/>
      <c r="AD175" s="98"/>
      <c r="AE175" s="99"/>
      <c r="AF175" s="99"/>
      <c r="AG175" s="97"/>
      <c r="AH175" s="98"/>
      <c r="AI175" s="98"/>
      <c r="AJ175" s="98"/>
      <c r="AK175" s="98"/>
      <c r="AL175" s="98"/>
      <c r="AM175" s="99"/>
      <c r="AN175" s="99"/>
      <c r="AO175" s="97"/>
      <c r="AP175" s="98"/>
      <c r="AQ175" s="98"/>
      <c r="AR175" s="98"/>
      <c r="AS175" s="98"/>
      <c r="AT175" s="98"/>
      <c r="AU175" s="99"/>
      <c r="AV175" s="99"/>
      <c r="AW175" s="97"/>
      <c r="AX175" s="98"/>
      <c r="AY175" s="98"/>
      <c r="AZ175" s="98"/>
      <c r="BA175" s="98"/>
      <c r="BB175" s="98"/>
      <c r="BC175" s="99"/>
      <c r="BD175" s="99"/>
      <c r="BE175" s="97"/>
      <c r="BF175" s="98"/>
      <c r="BG175" s="98"/>
      <c r="BH175" s="98"/>
      <c r="BI175" s="98"/>
      <c r="BJ175" s="98"/>
      <c r="BK175" s="99"/>
      <c r="BL175" s="99"/>
      <c r="BM175" s="97"/>
      <c r="BN175" s="98"/>
      <c r="BO175" s="98"/>
      <c r="BP175" s="98"/>
      <c r="BQ175" s="98"/>
      <c r="BR175" s="98"/>
      <c r="BS175" s="99"/>
      <c r="BT175" s="99"/>
    </row>
    <row r="176" spans="1:72">
      <c r="A176" s="97"/>
      <c r="B176" s="98"/>
      <c r="C176" s="98"/>
      <c r="D176" s="98"/>
      <c r="E176" s="98"/>
      <c r="F176" s="98"/>
      <c r="G176" s="99"/>
      <c r="H176" s="99"/>
      <c r="I176" s="97"/>
      <c r="J176" s="98"/>
      <c r="K176" s="98"/>
      <c r="L176" s="98"/>
      <c r="M176" s="98"/>
      <c r="N176" s="98"/>
      <c r="O176" s="99"/>
      <c r="P176" s="99"/>
      <c r="Q176" s="97"/>
      <c r="R176" s="98"/>
      <c r="S176" s="98"/>
      <c r="T176" s="98"/>
      <c r="U176" s="98"/>
      <c r="V176" s="98"/>
      <c r="W176" s="99"/>
      <c r="X176" s="99"/>
      <c r="Y176" s="97"/>
      <c r="Z176" s="98"/>
      <c r="AA176" s="98"/>
      <c r="AB176" s="98"/>
      <c r="AC176" s="98"/>
      <c r="AD176" s="98"/>
      <c r="AE176" s="99"/>
      <c r="AF176" s="99"/>
      <c r="AG176" s="97"/>
      <c r="AH176" s="98"/>
      <c r="AI176" s="98"/>
      <c r="AJ176" s="98"/>
      <c r="AK176" s="98"/>
      <c r="AL176" s="98"/>
      <c r="AM176" s="99"/>
      <c r="AN176" s="99"/>
      <c r="AO176" s="97"/>
      <c r="AP176" s="98"/>
      <c r="AQ176" s="98"/>
      <c r="AR176" s="98"/>
      <c r="AS176" s="98"/>
      <c r="AT176" s="98"/>
      <c r="AU176" s="99"/>
      <c r="AV176" s="99"/>
      <c r="AW176" s="97"/>
      <c r="AX176" s="98"/>
      <c r="AY176" s="98"/>
      <c r="AZ176" s="98"/>
      <c r="BA176" s="98"/>
      <c r="BB176" s="98"/>
      <c r="BC176" s="99"/>
      <c r="BD176" s="99"/>
      <c r="BE176" s="97"/>
      <c r="BF176" s="98"/>
      <c r="BG176" s="98"/>
      <c r="BH176" s="98"/>
      <c r="BI176" s="98"/>
      <c r="BJ176" s="98"/>
      <c r="BK176" s="99"/>
      <c r="BL176" s="99"/>
      <c r="BM176" s="97"/>
      <c r="BN176" s="98"/>
      <c r="BO176" s="98"/>
      <c r="BP176" s="98"/>
      <c r="BQ176" s="98"/>
      <c r="BR176" s="98"/>
      <c r="BS176" s="99"/>
      <c r="BT176" s="99"/>
    </row>
    <row r="177" spans="1:72">
      <c r="A177" s="97"/>
      <c r="B177" s="98"/>
      <c r="C177" s="98"/>
      <c r="D177" s="98"/>
      <c r="E177" s="98"/>
      <c r="F177" s="98"/>
      <c r="G177" s="99"/>
      <c r="H177" s="99"/>
      <c r="I177" s="97"/>
      <c r="J177" s="98"/>
      <c r="K177" s="98"/>
      <c r="L177" s="98"/>
      <c r="M177" s="98"/>
      <c r="N177" s="98"/>
      <c r="O177" s="99"/>
      <c r="P177" s="99"/>
      <c r="Q177" s="97"/>
      <c r="R177" s="98"/>
      <c r="S177" s="98"/>
      <c r="T177" s="98"/>
      <c r="U177" s="98"/>
      <c r="V177" s="98"/>
      <c r="W177" s="99"/>
      <c r="X177" s="99"/>
      <c r="Y177" s="97"/>
      <c r="Z177" s="98"/>
      <c r="AA177" s="98"/>
      <c r="AB177" s="98"/>
      <c r="AC177" s="98"/>
      <c r="AD177" s="98"/>
      <c r="AE177" s="99"/>
      <c r="AF177" s="99"/>
      <c r="AG177" s="97"/>
      <c r="AH177" s="98"/>
      <c r="AI177" s="98"/>
      <c r="AJ177" s="98"/>
      <c r="AK177" s="98"/>
      <c r="AL177" s="98"/>
      <c r="AM177" s="99"/>
      <c r="AN177" s="99"/>
      <c r="AO177" s="97"/>
      <c r="AP177" s="98"/>
      <c r="AQ177" s="98"/>
      <c r="AR177" s="98"/>
      <c r="AS177" s="98"/>
      <c r="AT177" s="98"/>
      <c r="AU177" s="99"/>
      <c r="AV177" s="99"/>
      <c r="AW177" s="97"/>
      <c r="AX177" s="98"/>
      <c r="AY177" s="98"/>
      <c r="AZ177" s="98"/>
      <c r="BA177" s="98"/>
      <c r="BB177" s="98"/>
      <c r="BC177" s="99"/>
      <c r="BD177" s="99"/>
      <c r="BE177" s="97"/>
      <c r="BF177" s="98"/>
      <c r="BG177" s="98"/>
      <c r="BH177" s="98"/>
      <c r="BI177" s="98"/>
      <c r="BJ177" s="98"/>
      <c r="BK177" s="99"/>
      <c r="BL177" s="99"/>
      <c r="BM177" s="97"/>
      <c r="BN177" s="98"/>
      <c r="BO177" s="98"/>
      <c r="BP177" s="98"/>
      <c r="BQ177" s="98"/>
      <c r="BR177" s="98"/>
      <c r="BS177" s="99"/>
      <c r="BT177" s="99"/>
    </row>
    <row r="178" spans="1:72">
      <c r="A178" s="97"/>
      <c r="B178" s="98"/>
      <c r="C178" s="98"/>
      <c r="D178" s="98"/>
      <c r="E178" s="98"/>
      <c r="F178" s="98"/>
      <c r="G178" s="99"/>
      <c r="H178" s="99"/>
      <c r="I178" s="97"/>
      <c r="J178" s="98"/>
      <c r="K178" s="98"/>
      <c r="L178" s="98"/>
      <c r="M178" s="98"/>
      <c r="N178" s="98"/>
      <c r="O178" s="99"/>
      <c r="P178" s="99"/>
      <c r="Q178" s="97"/>
      <c r="R178" s="98"/>
      <c r="S178" s="98"/>
      <c r="T178" s="98"/>
      <c r="U178" s="98"/>
      <c r="V178" s="98"/>
      <c r="W178" s="99"/>
      <c r="X178" s="99"/>
      <c r="Y178" s="97"/>
      <c r="Z178" s="98"/>
      <c r="AA178" s="98"/>
      <c r="AB178" s="98"/>
      <c r="AC178" s="98"/>
      <c r="AD178" s="98"/>
      <c r="AE178" s="99"/>
      <c r="AF178" s="99"/>
      <c r="AG178" s="97"/>
      <c r="AH178" s="98"/>
      <c r="AI178" s="98"/>
      <c r="AJ178" s="98"/>
      <c r="AK178" s="98"/>
      <c r="AL178" s="98"/>
      <c r="AM178" s="99"/>
      <c r="AN178" s="99"/>
      <c r="AO178" s="97"/>
      <c r="AP178" s="98"/>
      <c r="AQ178" s="98"/>
      <c r="AR178" s="98"/>
      <c r="AS178" s="98"/>
      <c r="AT178" s="98"/>
      <c r="AU178" s="99"/>
      <c r="AV178" s="99"/>
      <c r="AW178" s="97"/>
      <c r="AX178" s="98"/>
      <c r="AY178" s="98"/>
      <c r="AZ178" s="98"/>
      <c r="BA178" s="98"/>
      <c r="BB178" s="98"/>
      <c r="BC178" s="99"/>
      <c r="BD178" s="99"/>
      <c r="BE178" s="97"/>
      <c r="BF178" s="98"/>
      <c r="BG178" s="98"/>
      <c r="BH178" s="98"/>
      <c r="BI178" s="98"/>
      <c r="BJ178" s="98"/>
      <c r="BK178" s="99"/>
      <c r="BL178" s="99"/>
      <c r="BM178" s="97"/>
      <c r="BN178" s="98"/>
      <c r="BO178" s="98"/>
      <c r="BP178" s="98"/>
      <c r="BQ178" s="98"/>
      <c r="BR178" s="98"/>
      <c r="BS178" s="99"/>
      <c r="BT178" s="99"/>
    </row>
    <row r="179" spans="1:72">
      <c r="A179" s="97"/>
      <c r="B179" s="98"/>
      <c r="C179" s="98"/>
      <c r="D179" s="98"/>
      <c r="E179" s="98"/>
      <c r="F179" s="98"/>
      <c r="G179" s="99"/>
      <c r="H179" s="99"/>
      <c r="I179" s="97"/>
      <c r="J179" s="98"/>
      <c r="K179" s="98"/>
      <c r="L179" s="98"/>
      <c r="M179" s="98"/>
      <c r="N179" s="98"/>
      <c r="O179" s="99"/>
      <c r="P179" s="99"/>
      <c r="Q179" s="97"/>
      <c r="R179" s="98"/>
      <c r="S179" s="98"/>
      <c r="T179" s="98"/>
      <c r="U179" s="98"/>
      <c r="V179" s="98"/>
      <c r="W179" s="99"/>
      <c r="X179" s="99"/>
      <c r="Y179" s="97"/>
      <c r="Z179" s="98"/>
      <c r="AA179" s="98"/>
      <c r="AB179" s="98"/>
      <c r="AC179" s="98"/>
      <c r="AD179" s="98"/>
      <c r="AE179" s="99"/>
      <c r="AF179" s="99"/>
      <c r="AG179" s="97"/>
      <c r="AH179" s="98"/>
      <c r="AI179" s="98"/>
      <c r="AJ179" s="98"/>
      <c r="AK179" s="98"/>
      <c r="AL179" s="98"/>
      <c r="AM179" s="99"/>
      <c r="AN179" s="99"/>
      <c r="AO179" s="97"/>
      <c r="AP179" s="98"/>
      <c r="AQ179" s="98"/>
      <c r="AR179" s="98"/>
      <c r="AS179" s="98"/>
      <c r="AT179" s="98"/>
      <c r="AU179" s="99"/>
      <c r="AV179" s="99"/>
      <c r="AW179" s="97"/>
      <c r="AX179" s="98"/>
      <c r="AY179" s="98"/>
      <c r="AZ179" s="98"/>
      <c r="BA179" s="98"/>
      <c r="BB179" s="98"/>
      <c r="BC179" s="99"/>
      <c r="BD179" s="99"/>
      <c r="BE179" s="97"/>
      <c r="BF179" s="98"/>
      <c r="BG179" s="98"/>
      <c r="BH179" s="98"/>
      <c r="BI179" s="98"/>
      <c r="BJ179" s="98"/>
      <c r="BK179" s="99"/>
      <c r="BL179" s="99"/>
      <c r="BM179" s="97"/>
      <c r="BN179" s="98"/>
      <c r="BO179" s="98"/>
      <c r="BP179" s="98"/>
      <c r="BQ179" s="98"/>
      <c r="BR179" s="98"/>
      <c r="BS179" s="99"/>
      <c r="BT179" s="99"/>
    </row>
    <row r="180" spans="1:72">
      <c r="A180" s="97"/>
      <c r="B180" s="98"/>
      <c r="C180" s="98"/>
      <c r="D180" s="98"/>
      <c r="E180" s="98"/>
      <c r="F180" s="98"/>
      <c r="G180" s="99"/>
      <c r="H180" s="99"/>
      <c r="I180" s="97"/>
      <c r="J180" s="98"/>
      <c r="K180" s="98"/>
      <c r="L180" s="98"/>
      <c r="M180" s="98"/>
      <c r="N180" s="98"/>
      <c r="O180" s="99"/>
      <c r="P180" s="99"/>
      <c r="Q180" s="97"/>
      <c r="R180" s="98"/>
      <c r="S180" s="98"/>
      <c r="T180" s="98"/>
      <c r="U180" s="98"/>
      <c r="V180" s="98"/>
      <c r="W180" s="99"/>
      <c r="X180" s="99"/>
      <c r="Y180" s="97"/>
      <c r="Z180" s="98"/>
      <c r="AA180" s="98"/>
      <c r="AB180" s="98"/>
      <c r="AC180" s="98"/>
      <c r="AD180" s="98"/>
      <c r="AE180" s="99"/>
      <c r="AF180" s="99"/>
      <c r="AG180" s="97"/>
      <c r="AH180" s="98"/>
      <c r="AI180" s="98"/>
      <c r="AJ180" s="98"/>
      <c r="AK180" s="98"/>
      <c r="AL180" s="98"/>
      <c r="AM180" s="99"/>
      <c r="AN180" s="99"/>
      <c r="AO180" s="97"/>
      <c r="AP180" s="98"/>
      <c r="AQ180" s="98"/>
      <c r="AR180" s="98"/>
      <c r="AS180" s="98"/>
      <c r="AT180" s="98"/>
      <c r="AU180" s="99"/>
      <c r="AV180" s="99"/>
      <c r="AW180" s="97"/>
      <c r="AX180" s="98"/>
      <c r="AY180" s="98"/>
      <c r="AZ180" s="98"/>
      <c r="BA180" s="98"/>
      <c r="BB180" s="98"/>
      <c r="BC180" s="99"/>
      <c r="BD180" s="99"/>
      <c r="BE180" s="97"/>
      <c r="BF180" s="98"/>
      <c r="BG180" s="98"/>
      <c r="BH180" s="98"/>
      <c r="BI180" s="98"/>
      <c r="BJ180" s="98"/>
      <c r="BK180" s="99"/>
      <c r="BL180" s="99"/>
      <c r="BM180" s="97"/>
      <c r="BN180" s="98"/>
      <c r="BO180" s="98"/>
      <c r="BP180" s="98"/>
      <c r="BQ180" s="98"/>
      <c r="BR180" s="98"/>
      <c r="BS180" s="99"/>
      <c r="BT180" s="99"/>
    </row>
    <row r="181" spans="1:72">
      <c r="A181" s="97"/>
      <c r="B181" s="98"/>
      <c r="C181" s="98"/>
      <c r="D181" s="98"/>
      <c r="E181" s="98"/>
      <c r="F181" s="98"/>
      <c r="G181" s="99"/>
      <c r="H181" s="99"/>
      <c r="I181" s="97"/>
      <c r="J181" s="98"/>
      <c r="K181" s="98"/>
      <c r="L181" s="98"/>
      <c r="M181" s="98"/>
      <c r="N181" s="98"/>
      <c r="O181" s="99"/>
      <c r="P181" s="99"/>
      <c r="Q181" s="97"/>
      <c r="R181" s="98"/>
      <c r="S181" s="98"/>
      <c r="T181" s="98"/>
      <c r="U181" s="98"/>
      <c r="V181" s="98"/>
      <c r="W181" s="99"/>
      <c r="X181" s="99"/>
      <c r="Y181" s="97"/>
      <c r="Z181" s="98"/>
      <c r="AA181" s="98"/>
      <c r="AB181" s="98"/>
      <c r="AC181" s="98"/>
      <c r="AD181" s="98"/>
      <c r="AE181" s="99"/>
      <c r="AF181" s="99"/>
      <c r="AG181" s="97"/>
      <c r="AH181" s="98"/>
      <c r="AI181" s="98"/>
      <c r="AJ181" s="98"/>
      <c r="AK181" s="98"/>
      <c r="AL181" s="98"/>
      <c r="AM181" s="99"/>
      <c r="AN181" s="99"/>
      <c r="AO181" s="97"/>
      <c r="AP181" s="98"/>
      <c r="AQ181" s="98"/>
      <c r="AR181" s="98"/>
      <c r="AS181" s="98"/>
      <c r="AT181" s="98"/>
      <c r="AU181" s="99"/>
      <c r="AV181" s="99"/>
      <c r="AW181" s="97"/>
      <c r="AX181" s="98"/>
      <c r="AY181" s="98"/>
      <c r="AZ181" s="98"/>
      <c r="BA181" s="98"/>
      <c r="BB181" s="98"/>
      <c r="BC181" s="99"/>
      <c r="BD181" s="99"/>
      <c r="BE181" s="97"/>
      <c r="BF181" s="98"/>
      <c r="BG181" s="98"/>
      <c r="BH181" s="98"/>
      <c r="BI181" s="98"/>
      <c r="BJ181" s="98"/>
      <c r="BK181" s="99"/>
      <c r="BL181" s="99"/>
      <c r="BM181" s="97"/>
      <c r="BN181" s="98"/>
      <c r="BO181" s="98"/>
      <c r="BP181" s="98"/>
      <c r="BQ181" s="98"/>
      <c r="BR181" s="98"/>
      <c r="BS181" s="99"/>
      <c r="BT181" s="99"/>
    </row>
    <row r="182" spans="1:72">
      <c r="A182" s="97"/>
      <c r="B182" s="98"/>
      <c r="C182" s="98"/>
      <c r="D182" s="98"/>
      <c r="E182" s="98"/>
      <c r="F182" s="98"/>
      <c r="G182" s="99"/>
      <c r="H182" s="99"/>
      <c r="I182" s="97"/>
      <c r="J182" s="98"/>
      <c r="K182" s="98"/>
      <c r="L182" s="98"/>
      <c r="M182" s="98"/>
      <c r="N182" s="98"/>
      <c r="O182" s="99"/>
      <c r="P182" s="99"/>
      <c r="Q182" s="97"/>
      <c r="R182" s="98"/>
      <c r="S182" s="98"/>
      <c r="T182" s="98"/>
      <c r="U182" s="98"/>
      <c r="V182" s="98"/>
      <c r="W182" s="99"/>
      <c r="X182" s="99"/>
      <c r="Y182" s="97"/>
      <c r="Z182" s="98"/>
      <c r="AA182" s="98"/>
      <c r="AB182" s="98"/>
      <c r="AC182" s="98"/>
      <c r="AD182" s="98"/>
      <c r="AE182" s="99"/>
      <c r="AF182" s="99"/>
      <c r="AG182" s="97"/>
      <c r="AH182" s="98"/>
      <c r="AI182" s="98"/>
      <c r="AJ182" s="98"/>
      <c r="AK182" s="98"/>
      <c r="AL182" s="98"/>
      <c r="AM182" s="99"/>
      <c r="AN182" s="99"/>
      <c r="AO182" s="97"/>
      <c r="AP182" s="98"/>
      <c r="AQ182" s="98"/>
      <c r="AR182" s="98"/>
      <c r="AS182" s="98"/>
      <c r="AT182" s="98"/>
      <c r="AU182" s="99"/>
      <c r="AV182" s="99"/>
      <c r="AW182" s="97"/>
      <c r="AX182" s="98"/>
      <c r="AY182" s="98"/>
      <c r="AZ182" s="98"/>
      <c r="BA182" s="98"/>
      <c r="BB182" s="98"/>
      <c r="BC182" s="99"/>
      <c r="BD182" s="99"/>
      <c r="BE182" s="97"/>
      <c r="BF182" s="98"/>
      <c r="BG182" s="98"/>
      <c r="BH182" s="98"/>
      <c r="BI182" s="98"/>
      <c r="BJ182" s="98"/>
      <c r="BK182" s="99"/>
      <c r="BL182" s="99"/>
      <c r="BM182" s="97"/>
      <c r="BN182" s="98"/>
      <c r="BO182" s="98"/>
      <c r="BP182" s="98"/>
      <c r="BQ182" s="98"/>
      <c r="BR182" s="98"/>
      <c r="BS182" s="99"/>
      <c r="BT182" s="99"/>
    </row>
    <row r="183" spans="1:72">
      <c r="A183" s="97"/>
      <c r="B183" s="98"/>
      <c r="C183" s="98"/>
      <c r="D183" s="98"/>
      <c r="E183" s="98"/>
      <c r="F183" s="98"/>
      <c r="G183" s="99"/>
      <c r="H183" s="99"/>
      <c r="I183" s="97"/>
      <c r="J183" s="98"/>
      <c r="K183" s="98"/>
      <c r="L183" s="98"/>
      <c r="M183" s="98"/>
      <c r="N183" s="98"/>
      <c r="O183" s="99"/>
      <c r="P183" s="99"/>
      <c r="Q183" s="97"/>
      <c r="R183" s="98"/>
      <c r="S183" s="98"/>
      <c r="T183" s="98"/>
      <c r="U183" s="98"/>
      <c r="V183" s="98"/>
      <c r="W183" s="99"/>
      <c r="X183" s="99"/>
      <c r="Y183" s="97"/>
      <c r="Z183" s="98"/>
      <c r="AA183" s="98"/>
      <c r="AB183" s="98"/>
      <c r="AC183" s="98"/>
      <c r="AD183" s="98"/>
      <c r="AE183" s="99"/>
      <c r="AF183" s="99"/>
      <c r="AG183" s="97"/>
      <c r="AH183" s="98"/>
      <c r="AI183" s="98"/>
      <c r="AJ183" s="98"/>
      <c r="AK183" s="98"/>
      <c r="AL183" s="98"/>
      <c r="AM183" s="99"/>
      <c r="AN183" s="99"/>
      <c r="AO183" s="97"/>
      <c r="AP183" s="98"/>
      <c r="AQ183" s="98"/>
      <c r="AR183" s="98"/>
      <c r="AS183" s="98"/>
      <c r="AT183" s="98"/>
      <c r="AU183" s="99"/>
      <c r="AV183" s="99"/>
      <c r="AW183" s="97"/>
      <c r="AX183" s="98"/>
      <c r="AY183" s="98"/>
      <c r="AZ183" s="98"/>
      <c r="BA183" s="98"/>
      <c r="BB183" s="98"/>
      <c r="BC183" s="99"/>
      <c r="BD183" s="99"/>
      <c r="BE183" s="97"/>
      <c r="BF183" s="98"/>
      <c r="BG183" s="98"/>
      <c r="BH183" s="98"/>
      <c r="BI183" s="98"/>
      <c r="BJ183" s="98"/>
      <c r="BK183" s="99"/>
      <c r="BL183" s="99"/>
      <c r="BM183" s="97"/>
      <c r="BN183" s="98"/>
      <c r="BO183" s="98"/>
      <c r="BP183" s="98"/>
      <c r="BQ183" s="98"/>
      <c r="BR183" s="98"/>
      <c r="BS183" s="99"/>
      <c r="BT183" s="99"/>
    </row>
    <row r="184" spans="1:72">
      <c r="A184" s="97"/>
      <c r="B184" s="98"/>
      <c r="C184" s="98"/>
      <c r="D184" s="98"/>
      <c r="E184" s="98"/>
      <c r="F184" s="98"/>
      <c r="G184" s="99"/>
      <c r="H184" s="99"/>
      <c r="I184" s="97"/>
      <c r="J184" s="98"/>
      <c r="K184" s="98"/>
      <c r="L184" s="98"/>
      <c r="M184" s="98"/>
      <c r="N184" s="98"/>
      <c r="O184" s="99"/>
      <c r="P184" s="99"/>
      <c r="Q184" s="97"/>
      <c r="R184" s="98"/>
      <c r="S184" s="98"/>
      <c r="T184" s="98"/>
      <c r="U184" s="98"/>
      <c r="V184" s="98"/>
      <c r="W184" s="99"/>
      <c r="X184" s="99"/>
      <c r="Y184" s="97"/>
      <c r="Z184" s="98"/>
      <c r="AA184" s="98"/>
      <c r="AB184" s="98"/>
      <c r="AC184" s="98"/>
      <c r="AD184" s="98"/>
      <c r="AE184" s="99"/>
      <c r="AF184" s="99"/>
      <c r="AG184" s="97"/>
      <c r="AH184" s="98"/>
      <c r="AI184" s="98"/>
      <c r="AJ184" s="98"/>
      <c r="AK184" s="98"/>
      <c r="AL184" s="98"/>
      <c r="AM184" s="99"/>
      <c r="AN184" s="99"/>
      <c r="AO184" s="97"/>
      <c r="AP184" s="98"/>
      <c r="AQ184" s="98"/>
      <c r="AR184" s="98"/>
      <c r="AS184" s="98"/>
      <c r="AT184" s="98"/>
      <c r="AU184" s="99"/>
      <c r="AV184" s="99"/>
      <c r="AW184" s="97"/>
      <c r="AX184" s="98"/>
      <c r="AY184" s="98"/>
      <c r="AZ184" s="98"/>
      <c r="BA184" s="98"/>
      <c r="BB184" s="98"/>
      <c r="BC184" s="99"/>
      <c r="BD184" s="99"/>
      <c r="BE184" s="97"/>
      <c r="BF184" s="98"/>
      <c r="BG184" s="98"/>
      <c r="BH184" s="98"/>
      <c r="BI184" s="98"/>
      <c r="BJ184" s="98"/>
      <c r="BK184" s="99"/>
      <c r="BL184" s="99"/>
      <c r="BM184" s="97"/>
      <c r="BN184" s="98"/>
      <c r="BO184" s="98"/>
      <c r="BP184" s="98"/>
      <c r="BQ184" s="98"/>
      <c r="BR184" s="98"/>
      <c r="BS184" s="99"/>
      <c r="BT184" s="99"/>
    </row>
    <row r="185" spans="1:72">
      <c r="A185" s="97"/>
      <c r="B185" s="98"/>
      <c r="C185" s="98"/>
      <c r="D185" s="98"/>
      <c r="E185" s="98"/>
      <c r="F185" s="98"/>
      <c r="G185" s="99"/>
      <c r="H185" s="99"/>
      <c r="I185" s="97"/>
      <c r="J185" s="98"/>
      <c r="K185" s="98"/>
      <c r="L185" s="98"/>
      <c r="M185" s="98"/>
      <c r="N185" s="98"/>
      <c r="O185" s="99"/>
      <c r="P185" s="99"/>
      <c r="Q185" s="97"/>
      <c r="R185" s="98"/>
      <c r="S185" s="98"/>
      <c r="T185" s="98"/>
      <c r="U185" s="98"/>
      <c r="V185" s="98"/>
      <c r="W185" s="99"/>
      <c r="X185" s="99"/>
      <c r="Y185" s="97"/>
      <c r="Z185" s="98"/>
      <c r="AA185" s="98"/>
      <c r="AB185" s="98"/>
      <c r="AC185" s="98"/>
      <c r="AD185" s="98"/>
      <c r="AE185" s="99"/>
      <c r="AF185" s="99"/>
      <c r="AG185" s="97"/>
      <c r="AH185" s="98"/>
      <c r="AI185" s="98"/>
      <c r="AJ185" s="98"/>
      <c r="AK185" s="98"/>
      <c r="AL185" s="98"/>
      <c r="AM185" s="99"/>
      <c r="AN185" s="99"/>
      <c r="AO185" s="97"/>
      <c r="AP185" s="98"/>
      <c r="AQ185" s="98"/>
      <c r="AR185" s="98"/>
      <c r="AS185" s="98"/>
      <c r="AT185" s="98"/>
      <c r="AU185" s="99"/>
      <c r="AV185" s="99"/>
      <c r="AW185" s="97"/>
      <c r="AX185" s="98"/>
      <c r="AY185" s="98"/>
      <c r="AZ185" s="98"/>
      <c r="BA185" s="98"/>
      <c r="BB185" s="98"/>
      <c r="BC185" s="99"/>
      <c r="BD185" s="99"/>
      <c r="BE185" s="97"/>
      <c r="BF185" s="98"/>
      <c r="BG185" s="98"/>
      <c r="BH185" s="98"/>
      <c r="BI185" s="98"/>
      <c r="BJ185" s="98"/>
      <c r="BK185" s="99"/>
      <c r="BL185" s="99"/>
      <c r="BM185" s="97"/>
      <c r="BN185" s="98"/>
      <c r="BO185" s="98"/>
      <c r="BP185" s="98"/>
      <c r="BQ185" s="98"/>
      <c r="BR185" s="98"/>
      <c r="BS185" s="99"/>
      <c r="BT185" s="99"/>
    </row>
    <row r="186" spans="1:72">
      <c r="A186" s="97"/>
      <c r="B186" s="98"/>
      <c r="C186" s="98"/>
      <c r="D186" s="98"/>
      <c r="E186" s="98"/>
      <c r="F186" s="98"/>
      <c r="G186" s="99"/>
      <c r="H186" s="99"/>
      <c r="I186" s="97"/>
      <c r="J186" s="98"/>
      <c r="K186" s="98"/>
      <c r="L186" s="98"/>
      <c r="M186" s="98"/>
      <c r="N186" s="98"/>
      <c r="O186" s="99"/>
      <c r="P186" s="99"/>
      <c r="Q186" s="97"/>
      <c r="R186" s="98"/>
      <c r="S186" s="98"/>
      <c r="T186" s="98"/>
      <c r="U186" s="98"/>
      <c r="V186" s="98"/>
      <c r="W186" s="99"/>
      <c r="X186" s="99"/>
      <c r="Y186" s="97"/>
      <c r="Z186" s="98"/>
      <c r="AA186" s="98"/>
      <c r="AB186" s="98"/>
      <c r="AC186" s="98"/>
      <c r="AD186" s="98"/>
      <c r="AE186" s="99"/>
      <c r="AF186" s="99"/>
      <c r="AG186" s="97"/>
      <c r="AH186" s="98"/>
      <c r="AI186" s="98"/>
      <c r="AJ186" s="98"/>
      <c r="AK186" s="98"/>
      <c r="AL186" s="98"/>
      <c r="AM186" s="99"/>
      <c r="AN186" s="99"/>
      <c r="AO186" s="97"/>
      <c r="AP186" s="98"/>
      <c r="AQ186" s="98"/>
      <c r="AR186" s="98"/>
      <c r="AS186" s="98"/>
      <c r="AT186" s="98"/>
      <c r="AU186" s="99"/>
      <c r="AV186" s="99"/>
      <c r="AW186" s="97"/>
      <c r="AX186" s="98"/>
      <c r="AY186" s="98"/>
      <c r="AZ186" s="98"/>
      <c r="BA186" s="98"/>
      <c r="BB186" s="98"/>
      <c r="BC186" s="99"/>
      <c r="BD186" s="99"/>
      <c r="BE186" s="97"/>
      <c r="BF186" s="98"/>
      <c r="BG186" s="98"/>
      <c r="BH186" s="98"/>
      <c r="BI186" s="98"/>
      <c r="BJ186" s="98"/>
      <c r="BK186" s="99"/>
      <c r="BL186" s="99"/>
      <c r="BM186" s="97"/>
      <c r="BN186" s="98"/>
      <c r="BO186" s="98"/>
      <c r="BP186" s="98"/>
      <c r="BQ186" s="98"/>
      <c r="BR186" s="98"/>
      <c r="BS186" s="99"/>
      <c r="BT186" s="99"/>
    </row>
    <row r="187" spans="1:72">
      <c r="A187" s="97"/>
      <c r="B187" s="98"/>
      <c r="C187" s="98"/>
      <c r="D187" s="98"/>
      <c r="E187" s="98"/>
      <c r="F187" s="98"/>
      <c r="G187" s="99"/>
      <c r="H187" s="99"/>
      <c r="I187" s="97"/>
      <c r="J187" s="98"/>
      <c r="K187" s="98"/>
      <c r="L187" s="98"/>
      <c r="M187" s="98"/>
      <c r="N187" s="98"/>
      <c r="O187" s="99"/>
      <c r="P187" s="99"/>
      <c r="Q187" s="97"/>
      <c r="R187" s="98"/>
      <c r="S187" s="98"/>
      <c r="T187" s="98"/>
      <c r="U187" s="98"/>
      <c r="V187" s="98"/>
      <c r="W187" s="99"/>
      <c r="X187" s="99"/>
      <c r="Y187" s="97"/>
      <c r="Z187" s="98"/>
      <c r="AA187" s="98"/>
      <c r="AB187" s="98"/>
      <c r="AC187" s="98"/>
      <c r="AD187" s="98"/>
      <c r="AE187" s="99"/>
      <c r="AF187" s="99"/>
      <c r="AG187" s="97"/>
      <c r="AH187" s="98"/>
      <c r="AI187" s="98"/>
      <c r="AJ187" s="98"/>
      <c r="AK187" s="98"/>
      <c r="AL187" s="98"/>
      <c r="AM187" s="99"/>
      <c r="AN187" s="99"/>
      <c r="AO187" s="97"/>
      <c r="AP187" s="98"/>
      <c r="AQ187" s="98"/>
      <c r="AR187" s="98"/>
      <c r="AS187" s="98"/>
      <c r="AT187" s="98"/>
      <c r="AU187" s="99"/>
      <c r="AV187" s="99"/>
      <c r="AW187" s="97"/>
      <c r="AX187" s="98"/>
      <c r="AY187" s="98"/>
      <c r="AZ187" s="98"/>
      <c r="BA187" s="98"/>
      <c r="BB187" s="98"/>
      <c r="BC187" s="99"/>
      <c r="BD187" s="99"/>
      <c r="BE187" s="97"/>
      <c r="BF187" s="98"/>
      <c r="BG187" s="98"/>
      <c r="BH187" s="98"/>
      <c r="BI187" s="98"/>
      <c r="BJ187" s="98"/>
      <c r="BK187" s="99"/>
      <c r="BL187" s="99"/>
      <c r="BM187" s="97"/>
      <c r="BN187" s="98"/>
      <c r="BO187" s="98"/>
      <c r="BP187" s="98"/>
      <c r="BQ187" s="98"/>
      <c r="BR187" s="98"/>
      <c r="BS187" s="99"/>
      <c r="BT187" s="99"/>
    </row>
    <row r="188" spans="1:72">
      <c r="A188" s="97"/>
      <c r="B188" s="98"/>
      <c r="C188" s="98"/>
      <c r="D188" s="98"/>
      <c r="E188" s="98"/>
      <c r="F188" s="98"/>
      <c r="G188" s="99"/>
      <c r="H188" s="99"/>
      <c r="I188" s="97"/>
      <c r="J188" s="98"/>
      <c r="K188" s="98"/>
      <c r="L188" s="98"/>
      <c r="M188" s="98"/>
      <c r="N188" s="98"/>
      <c r="O188" s="99"/>
      <c r="P188" s="99"/>
      <c r="Q188" s="97"/>
      <c r="R188" s="98"/>
      <c r="S188" s="98"/>
      <c r="T188" s="98"/>
      <c r="U188" s="98"/>
      <c r="V188" s="98"/>
      <c r="W188" s="99"/>
      <c r="X188" s="99"/>
      <c r="Y188" s="97"/>
      <c r="Z188" s="98"/>
      <c r="AA188" s="98"/>
      <c r="AB188" s="98"/>
      <c r="AC188" s="98"/>
      <c r="AD188" s="98"/>
      <c r="AE188" s="99"/>
      <c r="AF188" s="99"/>
      <c r="AG188" s="97"/>
      <c r="AH188" s="98"/>
      <c r="AI188" s="98"/>
      <c r="AJ188" s="98"/>
      <c r="AK188" s="98"/>
      <c r="AL188" s="98"/>
      <c r="AM188" s="99"/>
      <c r="AN188" s="99"/>
      <c r="AO188" s="97"/>
      <c r="AP188" s="98"/>
      <c r="AQ188" s="98"/>
      <c r="AR188" s="98"/>
      <c r="AS188" s="98"/>
      <c r="AT188" s="98"/>
      <c r="AU188" s="99"/>
      <c r="AV188" s="99"/>
      <c r="AW188" s="97"/>
      <c r="AX188" s="98"/>
      <c r="AY188" s="98"/>
      <c r="AZ188" s="98"/>
      <c r="BA188" s="98"/>
      <c r="BB188" s="98"/>
      <c r="BC188" s="99"/>
      <c r="BD188" s="99"/>
      <c r="BE188" s="97"/>
      <c r="BF188" s="98"/>
      <c r="BG188" s="98"/>
      <c r="BH188" s="98"/>
      <c r="BI188" s="98"/>
      <c r="BJ188" s="98"/>
      <c r="BK188" s="99"/>
      <c r="BL188" s="99"/>
      <c r="BM188" s="97"/>
      <c r="BN188" s="98"/>
      <c r="BO188" s="98"/>
      <c r="BP188" s="98"/>
      <c r="BQ188" s="98"/>
      <c r="BR188" s="98"/>
      <c r="BS188" s="99"/>
      <c r="BT188" s="99"/>
    </row>
    <row r="189" spans="1:72">
      <c r="A189" s="97"/>
      <c r="B189" s="98"/>
      <c r="C189" s="98"/>
      <c r="D189" s="98"/>
      <c r="E189" s="98"/>
      <c r="F189" s="98"/>
      <c r="G189" s="99"/>
      <c r="H189" s="99"/>
      <c r="I189" s="97"/>
      <c r="J189" s="98"/>
      <c r="K189" s="98"/>
      <c r="L189" s="98"/>
      <c r="M189" s="98"/>
      <c r="N189" s="98"/>
      <c r="O189" s="99"/>
      <c r="P189" s="99"/>
      <c r="Q189" s="97"/>
      <c r="R189" s="98"/>
      <c r="S189" s="98"/>
      <c r="T189" s="98"/>
      <c r="U189" s="98"/>
      <c r="V189" s="98"/>
      <c r="W189" s="99"/>
      <c r="X189" s="99"/>
      <c r="Y189" s="97"/>
      <c r="Z189" s="98"/>
      <c r="AA189" s="98"/>
      <c r="AB189" s="98"/>
      <c r="AC189" s="98"/>
      <c r="AD189" s="98"/>
      <c r="AE189" s="99"/>
      <c r="AF189" s="99"/>
      <c r="AG189" s="97"/>
      <c r="AH189" s="98"/>
      <c r="AI189" s="98"/>
      <c r="AJ189" s="98"/>
      <c r="AK189" s="98"/>
      <c r="AL189" s="98"/>
      <c r="AM189" s="99"/>
      <c r="AN189" s="99"/>
      <c r="AO189" s="97"/>
      <c r="AP189" s="98"/>
      <c r="AQ189" s="98"/>
      <c r="AR189" s="98"/>
      <c r="AS189" s="98"/>
      <c r="AT189" s="98"/>
      <c r="AU189" s="99"/>
      <c r="AV189" s="99"/>
      <c r="AW189" s="97"/>
      <c r="AX189" s="98"/>
      <c r="AY189" s="98"/>
      <c r="AZ189" s="98"/>
      <c r="BA189" s="98"/>
      <c r="BB189" s="98"/>
      <c r="BC189" s="99"/>
      <c r="BD189" s="99"/>
      <c r="BE189" s="97"/>
      <c r="BF189" s="98"/>
      <c r="BG189" s="98"/>
      <c r="BH189" s="98"/>
      <c r="BI189" s="98"/>
      <c r="BJ189" s="98"/>
      <c r="BK189" s="99"/>
      <c r="BL189" s="99"/>
      <c r="BM189" s="97"/>
      <c r="BN189" s="98"/>
      <c r="BO189" s="98"/>
      <c r="BP189" s="98"/>
      <c r="BQ189" s="98"/>
      <c r="BR189" s="98"/>
      <c r="BS189" s="99"/>
      <c r="BT189" s="99"/>
    </row>
    <row r="190" spans="1:72">
      <c r="A190" s="97"/>
      <c r="B190" s="98"/>
      <c r="C190" s="98"/>
      <c r="D190" s="98"/>
      <c r="E190" s="98"/>
      <c r="F190" s="98"/>
      <c r="G190" s="99"/>
      <c r="H190" s="99"/>
      <c r="I190" s="97"/>
      <c r="J190" s="98"/>
      <c r="K190" s="98"/>
      <c r="L190" s="98"/>
      <c r="M190" s="98"/>
      <c r="N190" s="98"/>
      <c r="O190" s="99"/>
      <c r="P190" s="99"/>
      <c r="Q190" s="97"/>
      <c r="R190" s="98"/>
      <c r="S190" s="98"/>
      <c r="T190" s="98"/>
      <c r="U190" s="98"/>
      <c r="V190" s="98"/>
      <c r="W190" s="99"/>
      <c r="X190" s="99"/>
      <c r="Y190" s="97"/>
      <c r="Z190" s="98"/>
      <c r="AA190" s="98"/>
      <c r="AB190" s="98"/>
      <c r="AC190" s="98"/>
      <c r="AD190" s="98"/>
      <c r="AE190" s="99"/>
      <c r="AF190" s="99"/>
      <c r="AG190" s="97"/>
      <c r="AH190" s="98"/>
      <c r="AI190" s="98"/>
      <c r="AJ190" s="98"/>
      <c r="AK190" s="98"/>
      <c r="AL190" s="98"/>
      <c r="AM190" s="99"/>
      <c r="AN190" s="99"/>
      <c r="AO190" s="97"/>
      <c r="AP190" s="98"/>
      <c r="AQ190" s="98"/>
      <c r="AR190" s="98"/>
      <c r="AS190" s="98"/>
      <c r="AT190" s="98"/>
      <c r="AU190" s="99"/>
      <c r="AV190" s="99"/>
      <c r="AW190" s="97"/>
      <c r="AX190" s="98"/>
      <c r="AY190" s="98"/>
      <c r="AZ190" s="98"/>
      <c r="BA190" s="98"/>
      <c r="BB190" s="98"/>
      <c r="BC190" s="99"/>
      <c r="BD190" s="99"/>
      <c r="BE190" s="97"/>
      <c r="BF190" s="98"/>
      <c r="BG190" s="98"/>
      <c r="BH190" s="98"/>
      <c r="BI190" s="98"/>
      <c r="BJ190" s="98"/>
      <c r="BK190" s="99"/>
      <c r="BL190" s="99"/>
      <c r="BM190" s="97"/>
      <c r="BN190" s="98"/>
      <c r="BO190" s="98"/>
      <c r="BP190" s="98"/>
      <c r="BQ190" s="98"/>
      <c r="BR190" s="98"/>
      <c r="BS190" s="99"/>
      <c r="BT190" s="99"/>
    </row>
    <row r="191" spans="1:72">
      <c r="A191" s="97"/>
      <c r="B191" s="98"/>
      <c r="C191" s="98"/>
      <c r="D191" s="98"/>
      <c r="E191" s="98"/>
      <c r="F191" s="98"/>
      <c r="G191" s="99"/>
      <c r="H191" s="99"/>
      <c r="I191" s="97"/>
      <c r="J191" s="98"/>
      <c r="K191" s="98"/>
      <c r="L191" s="98"/>
      <c r="M191" s="98"/>
      <c r="N191" s="98"/>
      <c r="O191" s="99"/>
      <c r="P191" s="99"/>
      <c r="Q191" s="97"/>
      <c r="R191" s="98"/>
      <c r="S191" s="98"/>
      <c r="T191" s="98"/>
      <c r="U191" s="98"/>
      <c r="V191" s="98"/>
      <c r="W191" s="99"/>
      <c r="X191" s="99"/>
      <c r="Y191" s="97"/>
      <c r="Z191" s="98"/>
      <c r="AA191" s="98"/>
      <c r="AB191" s="98"/>
      <c r="AC191" s="98"/>
      <c r="AD191" s="98"/>
      <c r="AE191" s="99"/>
      <c r="AF191" s="99"/>
      <c r="AG191" s="97"/>
      <c r="AH191" s="98"/>
      <c r="AI191" s="98"/>
      <c r="AJ191" s="98"/>
      <c r="AK191" s="98"/>
      <c r="AL191" s="98"/>
      <c r="AM191" s="99"/>
      <c r="AN191" s="99"/>
      <c r="AO191" s="97"/>
      <c r="AP191" s="98"/>
      <c r="AQ191" s="98"/>
      <c r="AR191" s="98"/>
      <c r="AS191" s="98"/>
      <c r="AT191" s="98"/>
      <c r="AU191" s="99"/>
      <c r="AV191" s="99"/>
      <c r="AW191" s="97"/>
      <c r="AX191" s="98"/>
      <c r="AY191" s="98"/>
      <c r="AZ191" s="98"/>
      <c r="BA191" s="98"/>
      <c r="BB191" s="98"/>
      <c r="BC191" s="99"/>
      <c r="BD191" s="99"/>
      <c r="BE191" s="97"/>
      <c r="BF191" s="98"/>
      <c r="BG191" s="98"/>
      <c r="BH191" s="98"/>
      <c r="BI191" s="98"/>
      <c r="BJ191" s="98"/>
      <c r="BK191" s="99"/>
      <c r="BL191" s="99"/>
      <c r="BM191" s="97"/>
      <c r="BN191" s="98"/>
      <c r="BO191" s="98"/>
      <c r="BP191" s="98"/>
      <c r="BQ191" s="98"/>
      <c r="BR191" s="98"/>
      <c r="BS191" s="99"/>
      <c r="BT191" s="99"/>
    </row>
    <row r="192" spans="1:72">
      <c r="A192" s="97"/>
      <c r="B192" s="98"/>
      <c r="C192" s="98"/>
      <c r="D192" s="98"/>
      <c r="E192" s="98"/>
      <c r="F192" s="98"/>
      <c r="G192" s="99"/>
      <c r="H192" s="99"/>
      <c r="I192" s="97"/>
      <c r="J192" s="98"/>
      <c r="K192" s="98"/>
      <c r="L192" s="98"/>
      <c r="M192" s="98"/>
      <c r="N192" s="98"/>
      <c r="O192" s="99"/>
      <c r="P192" s="99"/>
      <c r="Q192" s="97"/>
      <c r="R192" s="98"/>
      <c r="S192" s="98"/>
      <c r="T192" s="98"/>
      <c r="U192" s="98"/>
      <c r="V192" s="98"/>
      <c r="W192" s="99"/>
      <c r="X192" s="99"/>
      <c r="Y192" s="97"/>
      <c r="Z192" s="98"/>
      <c r="AA192" s="98"/>
      <c r="AB192" s="98"/>
      <c r="AC192" s="98"/>
      <c r="AD192" s="98"/>
      <c r="AE192" s="99"/>
      <c r="AF192" s="99"/>
      <c r="AG192" s="97"/>
      <c r="AH192" s="98"/>
      <c r="AI192" s="98"/>
      <c r="AJ192" s="98"/>
      <c r="AK192" s="98"/>
      <c r="AL192" s="98"/>
      <c r="AM192" s="99"/>
      <c r="AN192" s="99"/>
      <c r="AO192" s="97"/>
      <c r="AP192" s="98"/>
      <c r="AQ192" s="98"/>
      <c r="AR192" s="98"/>
      <c r="AS192" s="98"/>
      <c r="AT192" s="98"/>
      <c r="AU192" s="99"/>
      <c r="AV192" s="99"/>
      <c r="AW192" s="97"/>
      <c r="AX192" s="98"/>
      <c r="AY192" s="98"/>
      <c r="AZ192" s="98"/>
      <c r="BA192" s="98"/>
      <c r="BB192" s="98"/>
      <c r="BC192" s="99"/>
      <c r="BD192" s="99"/>
      <c r="BE192" s="97"/>
      <c r="BF192" s="98"/>
      <c r="BG192" s="98"/>
      <c r="BH192" s="98"/>
      <c r="BI192" s="98"/>
      <c r="BJ192" s="98"/>
      <c r="BK192" s="99"/>
      <c r="BL192" s="99"/>
      <c r="BM192" s="97"/>
      <c r="BN192" s="98"/>
      <c r="BO192" s="98"/>
      <c r="BP192" s="98"/>
      <c r="BQ192" s="98"/>
      <c r="BR192" s="98"/>
      <c r="BS192" s="99"/>
      <c r="BT192" s="99"/>
    </row>
    <row r="193" spans="1:72">
      <c r="A193" s="97"/>
      <c r="B193" s="98"/>
      <c r="C193" s="98"/>
      <c r="D193" s="98"/>
      <c r="E193" s="98"/>
      <c r="F193" s="98"/>
      <c r="G193" s="99"/>
      <c r="H193" s="99"/>
      <c r="I193" s="97"/>
      <c r="J193" s="98"/>
      <c r="K193" s="98"/>
      <c r="L193" s="98"/>
      <c r="M193" s="98"/>
      <c r="N193" s="98"/>
      <c r="O193" s="99"/>
      <c r="P193" s="99"/>
      <c r="Q193" s="97"/>
      <c r="R193" s="98"/>
      <c r="S193" s="98"/>
      <c r="T193" s="98"/>
      <c r="U193" s="98"/>
      <c r="V193" s="98"/>
      <c r="W193" s="99"/>
      <c r="X193" s="99"/>
      <c r="Y193" s="97"/>
      <c r="Z193" s="98"/>
      <c r="AA193" s="98"/>
      <c r="AB193" s="98"/>
      <c r="AC193" s="98"/>
      <c r="AD193" s="98"/>
      <c r="AE193" s="99"/>
      <c r="AF193" s="99"/>
      <c r="AG193" s="97"/>
      <c r="AH193" s="98"/>
      <c r="AI193" s="98"/>
      <c r="AJ193" s="98"/>
      <c r="AK193" s="98"/>
      <c r="AL193" s="98"/>
      <c r="AM193" s="99"/>
      <c r="AN193" s="99"/>
      <c r="AO193" s="97"/>
      <c r="AP193" s="98"/>
      <c r="AQ193" s="98"/>
      <c r="AR193" s="98"/>
      <c r="AS193" s="98"/>
      <c r="AT193" s="98"/>
      <c r="AU193" s="99"/>
      <c r="AV193" s="99"/>
      <c r="AW193" s="97"/>
      <c r="AX193" s="98"/>
      <c r="AY193" s="98"/>
      <c r="AZ193" s="98"/>
      <c r="BA193" s="98"/>
      <c r="BB193" s="98"/>
      <c r="BC193" s="99"/>
      <c r="BD193" s="99"/>
      <c r="BE193" s="97"/>
      <c r="BF193" s="98"/>
      <c r="BG193" s="98"/>
      <c r="BH193" s="98"/>
      <c r="BI193" s="98"/>
      <c r="BJ193" s="98"/>
      <c r="BK193" s="99"/>
      <c r="BL193" s="99"/>
      <c r="BM193" s="97"/>
      <c r="BN193" s="98"/>
      <c r="BO193" s="98"/>
      <c r="BP193" s="98"/>
      <c r="BQ193" s="98"/>
      <c r="BR193" s="98"/>
      <c r="BS193" s="99"/>
      <c r="BT193" s="99"/>
    </row>
    <row r="194" spans="1:72">
      <c r="A194" s="97"/>
      <c r="B194" s="98"/>
      <c r="C194" s="98"/>
      <c r="D194" s="98"/>
      <c r="E194" s="98"/>
      <c r="F194" s="98"/>
      <c r="G194" s="99"/>
      <c r="H194" s="99"/>
      <c r="I194" s="97"/>
      <c r="J194" s="98"/>
      <c r="K194" s="98"/>
      <c r="L194" s="98"/>
      <c r="M194" s="98"/>
      <c r="N194" s="98"/>
      <c r="O194" s="99"/>
      <c r="P194" s="99"/>
      <c r="Q194" s="97"/>
      <c r="R194" s="98"/>
      <c r="S194" s="98"/>
      <c r="T194" s="98"/>
      <c r="U194" s="98"/>
      <c r="V194" s="98"/>
      <c r="W194" s="99"/>
      <c r="X194" s="99"/>
      <c r="Y194" s="97"/>
      <c r="Z194" s="98"/>
      <c r="AA194" s="98"/>
      <c r="AB194" s="98"/>
      <c r="AC194" s="98"/>
      <c r="AD194" s="98"/>
      <c r="AE194" s="99"/>
      <c r="AF194" s="99"/>
      <c r="AG194" s="97"/>
      <c r="AH194" s="98"/>
      <c r="AI194" s="98"/>
      <c r="AJ194" s="98"/>
      <c r="AK194" s="98"/>
      <c r="AL194" s="98"/>
      <c r="AM194" s="99"/>
      <c r="AN194" s="99"/>
      <c r="AO194" s="97"/>
      <c r="AP194" s="98"/>
      <c r="AQ194" s="98"/>
      <c r="AR194" s="98"/>
      <c r="AS194" s="98"/>
      <c r="AT194" s="98"/>
      <c r="AU194" s="99"/>
      <c r="AV194" s="99"/>
      <c r="AW194" s="97"/>
      <c r="AX194" s="98"/>
      <c r="AY194" s="98"/>
      <c r="AZ194" s="98"/>
      <c r="BA194" s="98"/>
      <c r="BB194" s="98"/>
      <c r="BC194" s="99"/>
      <c r="BD194" s="99"/>
      <c r="BE194" s="97"/>
      <c r="BF194" s="98"/>
      <c r="BG194" s="98"/>
      <c r="BH194" s="98"/>
      <c r="BI194" s="98"/>
      <c r="BJ194" s="98"/>
      <c r="BK194" s="99"/>
      <c r="BL194" s="99"/>
      <c r="BM194" s="97"/>
      <c r="BN194" s="98"/>
      <c r="BO194" s="98"/>
      <c r="BP194" s="98"/>
      <c r="BQ194" s="98"/>
      <c r="BR194" s="98"/>
      <c r="BS194" s="99"/>
      <c r="BT194" s="99"/>
    </row>
    <row r="195" spans="1:72">
      <c r="A195" s="97"/>
      <c r="B195" s="98"/>
      <c r="C195" s="98"/>
      <c r="D195" s="98"/>
      <c r="E195" s="98"/>
      <c r="F195" s="98"/>
      <c r="G195" s="99"/>
      <c r="H195" s="99"/>
      <c r="I195" s="97"/>
      <c r="J195" s="98"/>
      <c r="K195" s="98"/>
      <c r="L195" s="98"/>
      <c r="M195" s="98"/>
      <c r="N195" s="98"/>
      <c r="O195" s="99"/>
      <c r="P195" s="99"/>
      <c r="Q195" s="97"/>
      <c r="R195" s="98"/>
      <c r="S195" s="98"/>
      <c r="T195" s="98"/>
      <c r="U195" s="98"/>
      <c r="V195" s="98"/>
      <c r="W195" s="99"/>
      <c r="X195" s="99"/>
      <c r="Y195" s="97"/>
      <c r="Z195" s="98"/>
      <c r="AA195" s="98"/>
      <c r="AB195" s="98"/>
      <c r="AC195" s="98"/>
      <c r="AD195" s="98"/>
      <c r="AE195" s="99"/>
      <c r="AF195" s="99"/>
      <c r="AG195" s="97"/>
      <c r="AH195" s="98"/>
      <c r="AI195" s="98"/>
      <c r="AJ195" s="98"/>
      <c r="AK195" s="98"/>
      <c r="AL195" s="98"/>
      <c r="AM195" s="99"/>
      <c r="AN195" s="99"/>
      <c r="AO195" s="97"/>
      <c r="AP195" s="98"/>
      <c r="AQ195" s="98"/>
      <c r="AR195" s="98"/>
      <c r="AS195" s="98"/>
      <c r="AT195" s="98"/>
      <c r="AU195" s="99"/>
      <c r="AV195" s="99"/>
      <c r="AW195" s="97"/>
      <c r="AX195" s="98"/>
      <c r="AY195" s="98"/>
      <c r="AZ195" s="98"/>
      <c r="BA195" s="98"/>
      <c r="BB195" s="98"/>
      <c r="BC195" s="99"/>
      <c r="BD195" s="99"/>
      <c r="BE195" s="97"/>
      <c r="BF195" s="98"/>
      <c r="BG195" s="98"/>
      <c r="BH195" s="98"/>
      <c r="BI195" s="98"/>
      <c r="BJ195" s="98"/>
      <c r="BK195" s="99"/>
      <c r="BL195" s="99"/>
      <c r="BM195" s="97"/>
      <c r="BN195" s="98"/>
      <c r="BO195" s="98"/>
      <c r="BP195" s="98"/>
      <c r="BQ195" s="98"/>
      <c r="BR195" s="98"/>
      <c r="BS195" s="99"/>
      <c r="BT195" s="99"/>
    </row>
    <row r="196" spans="1:72">
      <c r="A196" s="97"/>
      <c r="B196" s="98"/>
      <c r="C196" s="98"/>
      <c r="D196" s="98"/>
      <c r="E196" s="98"/>
      <c r="F196" s="98"/>
      <c r="G196" s="99"/>
      <c r="H196" s="99"/>
      <c r="I196" s="97"/>
      <c r="J196" s="98"/>
      <c r="K196" s="98"/>
      <c r="L196" s="98"/>
      <c r="M196" s="98"/>
      <c r="N196" s="98"/>
      <c r="O196" s="99"/>
      <c r="P196" s="99"/>
      <c r="Q196" s="97"/>
      <c r="R196" s="98"/>
      <c r="S196" s="98"/>
      <c r="T196" s="98"/>
      <c r="U196" s="98"/>
      <c r="V196" s="98"/>
      <c r="W196" s="99"/>
      <c r="X196" s="99"/>
      <c r="Y196" s="97"/>
      <c r="Z196" s="98"/>
      <c r="AA196" s="98"/>
      <c r="AB196" s="98"/>
      <c r="AC196" s="98"/>
      <c r="AD196" s="98"/>
      <c r="AE196" s="99"/>
      <c r="AF196" s="99"/>
      <c r="AG196" s="97"/>
      <c r="AH196" s="98"/>
      <c r="AI196" s="98"/>
      <c r="AJ196" s="98"/>
      <c r="AK196" s="98"/>
      <c r="AL196" s="98"/>
      <c r="AM196" s="99"/>
      <c r="AN196" s="99"/>
      <c r="AO196" s="97"/>
      <c r="AP196" s="98"/>
      <c r="AQ196" s="98"/>
      <c r="AR196" s="98"/>
      <c r="AS196" s="98"/>
      <c r="AT196" s="98"/>
      <c r="AU196" s="99"/>
      <c r="AV196" s="99"/>
      <c r="AW196" s="97"/>
      <c r="AX196" s="98"/>
      <c r="AY196" s="98"/>
      <c r="AZ196" s="98"/>
      <c r="BA196" s="98"/>
      <c r="BB196" s="98"/>
      <c r="BC196" s="99"/>
      <c r="BD196" s="99"/>
      <c r="BE196" s="97"/>
      <c r="BF196" s="98"/>
      <c r="BG196" s="98"/>
      <c r="BH196" s="98"/>
      <c r="BI196" s="98"/>
      <c r="BJ196" s="98"/>
      <c r="BK196" s="99"/>
      <c r="BL196" s="99"/>
      <c r="BM196" s="97"/>
      <c r="BN196" s="98"/>
      <c r="BO196" s="98"/>
      <c r="BP196" s="98"/>
      <c r="BQ196" s="98"/>
      <c r="BR196" s="98"/>
      <c r="BS196" s="99"/>
      <c r="BT196" s="99"/>
    </row>
    <row r="197" spans="1:72">
      <c r="A197" s="97"/>
      <c r="B197" s="98"/>
      <c r="C197" s="98"/>
      <c r="D197" s="98"/>
      <c r="E197" s="98"/>
      <c r="F197" s="98"/>
      <c r="G197" s="99"/>
      <c r="H197" s="99"/>
      <c r="I197" s="97"/>
      <c r="J197" s="98"/>
      <c r="K197" s="98"/>
      <c r="L197" s="98"/>
      <c r="M197" s="98"/>
      <c r="N197" s="98"/>
      <c r="O197" s="99"/>
      <c r="P197" s="99"/>
      <c r="Q197" s="97"/>
      <c r="R197" s="98"/>
      <c r="S197" s="98"/>
      <c r="T197" s="98"/>
      <c r="U197" s="98"/>
      <c r="V197" s="98"/>
      <c r="W197" s="99"/>
      <c r="X197" s="99"/>
      <c r="Y197" s="97"/>
      <c r="Z197" s="98"/>
      <c r="AA197" s="98"/>
      <c r="AB197" s="98"/>
      <c r="AC197" s="98"/>
      <c r="AD197" s="98"/>
      <c r="AE197" s="99"/>
      <c r="AF197" s="99"/>
      <c r="AG197" s="97"/>
      <c r="AH197" s="98"/>
      <c r="AI197" s="98"/>
      <c r="AJ197" s="98"/>
      <c r="AK197" s="98"/>
      <c r="AL197" s="98"/>
      <c r="AM197" s="99"/>
      <c r="AN197" s="99"/>
      <c r="AO197" s="97"/>
      <c r="AP197" s="98"/>
      <c r="AQ197" s="98"/>
      <c r="AR197" s="98"/>
      <c r="AS197" s="98"/>
      <c r="AT197" s="98"/>
      <c r="AU197" s="99"/>
      <c r="AV197" s="99"/>
      <c r="AW197" s="97"/>
      <c r="AX197" s="98"/>
      <c r="AY197" s="98"/>
      <c r="AZ197" s="98"/>
      <c r="BA197" s="98"/>
      <c r="BB197" s="98"/>
      <c r="BC197" s="99"/>
      <c r="BD197" s="99"/>
      <c r="BE197" s="97"/>
      <c r="BF197" s="98"/>
      <c r="BG197" s="98"/>
      <c r="BH197" s="98"/>
      <c r="BI197" s="98"/>
      <c r="BJ197" s="98"/>
      <c r="BK197" s="99"/>
      <c r="BL197" s="99"/>
      <c r="BM197" s="97"/>
      <c r="BN197" s="98"/>
      <c r="BO197" s="98"/>
      <c r="BP197" s="98"/>
      <c r="BQ197" s="98"/>
      <c r="BR197" s="98"/>
      <c r="BS197" s="99"/>
      <c r="BT197" s="99"/>
    </row>
    <row r="198" spans="1:72">
      <c r="A198" s="97"/>
      <c r="B198" s="98"/>
      <c r="C198" s="98"/>
      <c r="D198" s="98"/>
      <c r="E198" s="98"/>
      <c r="F198" s="98"/>
      <c r="G198" s="99"/>
      <c r="H198" s="99"/>
      <c r="I198" s="97"/>
      <c r="J198" s="98"/>
      <c r="K198" s="98"/>
      <c r="L198" s="98"/>
      <c r="M198" s="98"/>
      <c r="N198" s="98"/>
      <c r="O198" s="99"/>
      <c r="P198" s="99"/>
      <c r="Q198" s="97"/>
      <c r="R198" s="98"/>
      <c r="S198" s="98"/>
      <c r="T198" s="98"/>
      <c r="U198" s="98"/>
      <c r="V198" s="98"/>
      <c r="W198" s="99"/>
      <c r="X198" s="99"/>
      <c r="Y198" s="97"/>
      <c r="Z198" s="98"/>
      <c r="AA198" s="98"/>
      <c r="AB198" s="98"/>
      <c r="AC198" s="98"/>
      <c r="AD198" s="98"/>
      <c r="AE198" s="99"/>
      <c r="AF198" s="99"/>
      <c r="AG198" s="97"/>
      <c r="AH198" s="98"/>
      <c r="AI198" s="98"/>
      <c r="AJ198" s="98"/>
      <c r="AK198" s="98"/>
      <c r="AL198" s="98"/>
      <c r="AM198" s="99"/>
      <c r="AN198" s="99"/>
      <c r="AO198" s="97"/>
      <c r="AP198" s="98"/>
      <c r="AQ198" s="98"/>
      <c r="AR198" s="98"/>
      <c r="AS198" s="98"/>
      <c r="AT198" s="98"/>
      <c r="AU198" s="99"/>
      <c r="AV198" s="99"/>
      <c r="AW198" s="97"/>
      <c r="AX198" s="98"/>
      <c r="AY198" s="98"/>
      <c r="AZ198" s="98"/>
      <c r="BA198" s="98"/>
      <c r="BB198" s="98"/>
      <c r="BC198" s="99"/>
      <c r="BD198" s="99"/>
      <c r="BE198" s="97"/>
      <c r="BF198" s="98"/>
      <c r="BG198" s="98"/>
      <c r="BH198" s="98"/>
      <c r="BI198" s="98"/>
      <c r="BJ198" s="98"/>
      <c r="BK198" s="99"/>
      <c r="BL198" s="99"/>
      <c r="BM198" s="97"/>
      <c r="BN198" s="98"/>
      <c r="BO198" s="98"/>
      <c r="BP198" s="98"/>
      <c r="BQ198" s="98"/>
      <c r="BR198" s="98"/>
      <c r="BS198" s="99"/>
      <c r="BT198" s="99"/>
    </row>
    <row r="199" spans="1:72">
      <c r="A199" s="97"/>
      <c r="B199" s="98"/>
      <c r="C199" s="98"/>
      <c r="D199" s="98"/>
      <c r="E199" s="98"/>
      <c r="F199" s="98"/>
      <c r="G199" s="99"/>
      <c r="H199" s="99"/>
      <c r="I199" s="97"/>
      <c r="J199" s="98"/>
      <c r="K199" s="98"/>
      <c r="L199" s="98"/>
      <c r="M199" s="98"/>
      <c r="N199" s="98"/>
      <c r="O199" s="99"/>
      <c r="P199" s="99"/>
      <c r="Q199" s="97"/>
      <c r="R199" s="98"/>
      <c r="S199" s="98"/>
      <c r="T199" s="98"/>
      <c r="U199" s="98"/>
      <c r="V199" s="98"/>
      <c r="W199" s="99"/>
      <c r="X199" s="99"/>
      <c r="Y199" s="97"/>
      <c r="Z199" s="98"/>
      <c r="AA199" s="98"/>
      <c r="AB199" s="98"/>
      <c r="AC199" s="98"/>
      <c r="AD199" s="98"/>
      <c r="AE199" s="99"/>
      <c r="AF199" s="99"/>
      <c r="AG199" s="97"/>
      <c r="AH199" s="98"/>
      <c r="AI199" s="98"/>
      <c r="AJ199" s="98"/>
      <c r="AK199" s="98"/>
      <c r="AL199" s="98"/>
      <c r="AM199" s="99"/>
      <c r="AN199" s="99"/>
      <c r="AO199" s="97"/>
      <c r="AP199" s="98"/>
      <c r="AQ199" s="98"/>
      <c r="AR199" s="98"/>
      <c r="AS199" s="98"/>
      <c r="AT199" s="98"/>
      <c r="AU199" s="99"/>
      <c r="AV199" s="99"/>
      <c r="AW199" s="97"/>
      <c r="AX199" s="98"/>
      <c r="AY199" s="98"/>
      <c r="AZ199" s="98"/>
      <c r="BA199" s="98"/>
      <c r="BB199" s="98"/>
      <c r="BC199" s="99"/>
      <c r="BD199" s="99"/>
      <c r="BE199" s="97"/>
      <c r="BF199" s="98"/>
      <c r="BG199" s="98"/>
      <c r="BH199" s="98"/>
      <c r="BI199" s="98"/>
      <c r="BJ199" s="98"/>
      <c r="BK199" s="99"/>
      <c r="BL199" s="99"/>
      <c r="BM199" s="97"/>
      <c r="BN199" s="98"/>
      <c r="BO199" s="98"/>
      <c r="BP199" s="98"/>
      <c r="BQ199" s="98"/>
      <c r="BR199" s="98"/>
      <c r="BS199" s="99"/>
      <c r="BT199" s="99"/>
    </row>
    <row r="200" spans="1:72">
      <c r="A200" s="97"/>
      <c r="B200" s="98"/>
      <c r="C200" s="98"/>
      <c r="D200" s="98"/>
      <c r="E200" s="98"/>
      <c r="F200" s="98"/>
      <c r="G200" s="99"/>
      <c r="H200" s="99"/>
      <c r="I200" s="97"/>
      <c r="J200" s="98"/>
      <c r="K200" s="98"/>
      <c r="L200" s="98"/>
      <c r="M200" s="98"/>
      <c r="N200" s="98"/>
      <c r="O200" s="99"/>
      <c r="P200" s="99"/>
      <c r="Q200" s="97"/>
      <c r="R200" s="98"/>
      <c r="S200" s="98"/>
      <c r="T200" s="98"/>
      <c r="U200" s="98"/>
      <c r="V200" s="98"/>
      <c r="W200" s="99"/>
      <c r="X200" s="99"/>
      <c r="Y200" s="97"/>
      <c r="Z200" s="98"/>
      <c r="AA200" s="98"/>
      <c r="AB200" s="98"/>
      <c r="AC200" s="98"/>
      <c r="AD200" s="98"/>
      <c r="AE200" s="99"/>
      <c r="AF200" s="99"/>
      <c r="AG200" s="97"/>
      <c r="AH200" s="98"/>
      <c r="AI200" s="98"/>
      <c r="AJ200" s="98"/>
      <c r="AK200" s="98"/>
      <c r="AL200" s="98"/>
      <c r="AM200" s="99"/>
      <c r="AN200" s="99"/>
      <c r="AO200" s="97"/>
      <c r="AP200" s="98"/>
      <c r="AQ200" s="98"/>
      <c r="AR200" s="98"/>
      <c r="AS200" s="98"/>
      <c r="AT200" s="98"/>
      <c r="AU200" s="99"/>
      <c r="AV200" s="99"/>
      <c r="AW200" s="97"/>
      <c r="AX200" s="98"/>
      <c r="AY200" s="98"/>
      <c r="AZ200" s="98"/>
      <c r="BA200" s="98"/>
      <c r="BB200" s="98"/>
      <c r="BC200" s="99"/>
      <c r="BD200" s="99"/>
      <c r="BE200" s="97"/>
      <c r="BF200" s="98"/>
      <c r="BG200" s="98"/>
      <c r="BH200" s="98"/>
      <c r="BI200" s="98"/>
      <c r="BJ200" s="98"/>
      <c r="BK200" s="99"/>
      <c r="BL200" s="99"/>
      <c r="BM200" s="97"/>
      <c r="BN200" s="98"/>
      <c r="BO200" s="98"/>
      <c r="BP200" s="98"/>
      <c r="BQ200" s="98"/>
      <c r="BR200" s="98"/>
      <c r="BS200" s="99"/>
      <c r="BT200" s="99"/>
    </row>
    <row r="201" spans="1:72">
      <c r="A201" s="97"/>
      <c r="B201" s="98"/>
      <c r="C201" s="98"/>
      <c r="D201" s="98"/>
      <c r="E201" s="98"/>
      <c r="F201" s="98"/>
      <c r="G201" s="99"/>
      <c r="H201" s="99"/>
      <c r="I201" s="97"/>
      <c r="J201" s="98"/>
      <c r="K201" s="98"/>
      <c r="L201" s="98"/>
      <c r="M201" s="98"/>
      <c r="N201" s="98"/>
      <c r="O201" s="99"/>
      <c r="P201" s="99"/>
      <c r="Q201" s="97"/>
      <c r="R201" s="98"/>
      <c r="S201" s="98"/>
      <c r="T201" s="98"/>
      <c r="U201" s="98"/>
      <c r="V201" s="98"/>
      <c r="W201" s="99"/>
      <c r="X201" s="99"/>
      <c r="Y201" s="97"/>
      <c r="Z201" s="98"/>
      <c r="AA201" s="98"/>
      <c r="AB201" s="98"/>
      <c r="AC201" s="98"/>
      <c r="AD201" s="98"/>
      <c r="AE201" s="99"/>
      <c r="AF201" s="99"/>
      <c r="AG201" s="97"/>
      <c r="AH201" s="98"/>
      <c r="AI201" s="98"/>
      <c r="AJ201" s="98"/>
      <c r="AK201" s="98"/>
      <c r="AL201" s="98"/>
      <c r="AM201" s="99"/>
      <c r="AN201" s="99"/>
      <c r="AO201" s="97"/>
      <c r="AP201" s="98"/>
      <c r="AQ201" s="98"/>
      <c r="AR201" s="98"/>
      <c r="AS201" s="98"/>
      <c r="AT201" s="98"/>
      <c r="AU201" s="99"/>
      <c r="AV201" s="99"/>
      <c r="AW201" s="97"/>
      <c r="AX201" s="98"/>
      <c r="AY201" s="98"/>
      <c r="AZ201" s="98"/>
      <c r="BA201" s="98"/>
      <c r="BB201" s="98"/>
      <c r="BC201" s="99"/>
      <c r="BD201" s="99"/>
      <c r="BE201" s="97"/>
      <c r="BF201" s="98"/>
      <c r="BG201" s="98"/>
      <c r="BH201" s="98"/>
      <c r="BI201" s="98"/>
      <c r="BJ201" s="98"/>
      <c r="BK201" s="99"/>
      <c r="BL201" s="99"/>
      <c r="BM201" s="97"/>
      <c r="BN201" s="98"/>
      <c r="BO201" s="98"/>
      <c r="BP201" s="98"/>
      <c r="BQ201" s="98"/>
      <c r="BR201" s="98"/>
      <c r="BS201" s="99"/>
      <c r="BT201" s="99"/>
    </row>
    <row r="202" spans="1:72">
      <c r="A202" s="97"/>
      <c r="B202" s="98"/>
      <c r="C202" s="98"/>
      <c r="D202" s="98"/>
      <c r="E202" s="98"/>
      <c r="F202" s="98"/>
      <c r="G202" s="99"/>
      <c r="H202" s="99"/>
      <c r="I202" s="97"/>
      <c r="J202" s="98"/>
      <c r="K202" s="98"/>
      <c r="L202" s="98"/>
      <c r="M202" s="98"/>
      <c r="N202" s="98"/>
      <c r="O202" s="99"/>
      <c r="P202" s="99"/>
      <c r="Q202" s="97"/>
      <c r="R202" s="98"/>
      <c r="S202" s="98"/>
      <c r="T202" s="98"/>
      <c r="U202" s="98"/>
      <c r="V202" s="98"/>
      <c r="W202" s="99"/>
      <c r="X202" s="99"/>
      <c r="Y202" s="97"/>
      <c r="Z202" s="98"/>
      <c r="AA202" s="98"/>
      <c r="AB202" s="98"/>
      <c r="AC202" s="98"/>
      <c r="AD202" s="98"/>
      <c r="AE202" s="99"/>
      <c r="AF202" s="99"/>
      <c r="AG202" s="97"/>
      <c r="AH202" s="98"/>
      <c r="AI202" s="98"/>
      <c r="AJ202" s="98"/>
      <c r="AK202" s="98"/>
      <c r="AL202" s="98"/>
      <c r="AM202" s="99"/>
      <c r="AN202" s="99"/>
      <c r="AO202" s="97"/>
      <c r="AP202" s="98"/>
      <c r="AQ202" s="98"/>
      <c r="AR202" s="98"/>
      <c r="AS202" s="98"/>
      <c r="AT202" s="98"/>
      <c r="AU202" s="99"/>
      <c r="AV202" s="99"/>
      <c r="AW202" s="97"/>
      <c r="AX202" s="98"/>
      <c r="AY202" s="98"/>
      <c r="AZ202" s="98"/>
      <c r="BA202" s="98"/>
      <c r="BB202" s="98"/>
      <c r="BC202" s="99"/>
      <c r="BD202" s="99"/>
      <c r="BE202" s="97"/>
      <c r="BF202" s="98"/>
      <c r="BG202" s="98"/>
      <c r="BH202" s="98"/>
      <c r="BI202" s="98"/>
      <c r="BJ202" s="98"/>
      <c r="BK202" s="99"/>
      <c r="BL202" s="99"/>
      <c r="BM202" s="97"/>
      <c r="BN202" s="98"/>
      <c r="BO202" s="98"/>
      <c r="BP202" s="98"/>
      <c r="BQ202" s="98"/>
      <c r="BR202" s="98"/>
      <c r="BS202" s="99"/>
      <c r="BT202" s="99"/>
    </row>
    <row r="203" spans="1:72">
      <c r="A203" s="97"/>
      <c r="B203" s="98"/>
      <c r="C203" s="98"/>
      <c r="D203" s="98"/>
      <c r="E203" s="98"/>
      <c r="F203" s="98"/>
      <c r="G203" s="99"/>
      <c r="H203" s="99"/>
      <c r="I203" s="97"/>
      <c r="J203" s="98"/>
      <c r="K203" s="98"/>
      <c r="L203" s="98"/>
      <c r="M203" s="98"/>
      <c r="N203" s="98"/>
      <c r="O203" s="99"/>
      <c r="P203" s="99"/>
      <c r="Q203" s="97"/>
      <c r="R203" s="98"/>
      <c r="S203" s="98"/>
      <c r="T203" s="98"/>
      <c r="U203" s="98"/>
      <c r="V203" s="98"/>
      <c r="W203" s="99"/>
      <c r="X203" s="99"/>
      <c r="Y203" s="97"/>
      <c r="Z203" s="98"/>
      <c r="AA203" s="98"/>
      <c r="AB203" s="98"/>
      <c r="AC203" s="98"/>
      <c r="AD203" s="98"/>
      <c r="AE203" s="99"/>
      <c r="AF203" s="99"/>
      <c r="AG203" s="97"/>
      <c r="AH203" s="98"/>
      <c r="AI203" s="98"/>
      <c r="AJ203" s="98"/>
      <c r="AK203" s="98"/>
      <c r="AL203" s="98"/>
      <c r="AM203" s="99"/>
      <c r="AN203" s="99"/>
      <c r="AO203" s="97"/>
      <c r="AP203" s="98"/>
      <c r="AQ203" s="98"/>
      <c r="AR203" s="98"/>
      <c r="AS203" s="98"/>
      <c r="AT203" s="98"/>
      <c r="AU203" s="99"/>
      <c r="AV203" s="99"/>
      <c r="AW203" s="97"/>
      <c r="AX203" s="98"/>
      <c r="AY203" s="98"/>
      <c r="AZ203" s="98"/>
      <c r="BA203" s="98"/>
      <c r="BB203" s="98"/>
      <c r="BC203" s="99"/>
      <c r="BD203" s="99"/>
      <c r="BE203" s="97"/>
      <c r="BF203" s="98"/>
      <c r="BG203" s="98"/>
      <c r="BH203" s="98"/>
      <c r="BI203" s="98"/>
      <c r="BJ203" s="98"/>
      <c r="BK203" s="99"/>
      <c r="BL203" s="99"/>
      <c r="BM203" s="97"/>
      <c r="BN203" s="98"/>
      <c r="BO203" s="98"/>
      <c r="BP203" s="98"/>
      <c r="BQ203" s="98"/>
      <c r="BR203" s="98"/>
      <c r="BS203" s="99"/>
      <c r="BT203" s="99"/>
    </row>
    <row r="204" spans="1:72">
      <c r="A204" s="97"/>
      <c r="B204" s="98"/>
      <c r="C204" s="98"/>
      <c r="D204" s="98"/>
      <c r="E204" s="98"/>
      <c r="F204" s="98"/>
      <c r="G204" s="99"/>
      <c r="H204" s="99"/>
      <c r="I204" s="97"/>
      <c r="J204" s="98"/>
      <c r="K204" s="98"/>
      <c r="L204" s="98"/>
      <c r="M204" s="98"/>
      <c r="N204" s="98"/>
      <c r="O204" s="99"/>
      <c r="P204" s="99"/>
      <c r="Q204" s="97"/>
      <c r="R204" s="98"/>
      <c r="S204" s="98"/>
      <c r="T204" s="98"/>
      <c r="U204" s="98"/>
      <c r="V204" s="98"/>
      <c r="W204" s="99"/>
      <c r="X204" s="99"/>
      <c r="Y204" s="97"/>
      <c r="Z204" s="98"/>
      <c r="AA204" s="98"/>
      <c r="AB204" s="98"/>
      <c r="AC204" s="98"/>
      <c r="AD204" s="98"/>
      <c r="AE204" s="99"/>
      <c r="AF204" s="99"/>
      <c r="AG204" s="97"/>
      <c r="AH204" s="98"/>
      <c r="AI204" s="98"/>
      <c r="AJ204" s="98"/>
      <c r="AK204" s="98"/>
      <c r="AL204" s="98"/>
      <c r="AM204" s="99"/>
      <c r="AN204" s="99"/>
      <c r="AO204" s="97"/>
      <c r="AP204" s="98"/>
      <c r="AQ204" s="98"/>
      <c r="AR204" s="98"/>
      <c r="AS204" s="98"/>
      <c r="AT204" s="98"/>
      <c r="AU204" s="99"/>
      <c r="AV204" s="99"/>
      <c r="AW204" s="97"/>
      <c r="AX204" s="98"/>
      <c r="AY204" s="98"/>
      <c r="AZ204" s="98"/>
      <c r="BA204" s="98"/>
      <c r="BB204" s="98"/>
      <c r="BC204" s="99"/>
      <c r="BD204" s="99"/>
      <c r="BE204" s="97"/>
      <c r="BF204" s="98"/>
      <c r="BG204" s="98"/>
      <c r="BH204" s="98"/>
      <c r="BI204" s="98"/>
      <c r="BJ204" s="98"/>
      <c r="BK204" s="99"/>
      <c r="BL204" s="99"/>
      <c r="BM204" s="97"/>
      <c r="BN204" s="98"/>
      <c r="BO204" s="98"/>
      <c r="BP204" s="98"/>
      <c r="BQ204" s="98"/>
      <c r="BR204" s="98"/>
      <c r="BS204" s="99"/>
      <c r="BT204" s="99"/>
    </row>
    <row r="205" spans="1:72">
      <c r="A205" s="97"/>
      <c r="B205" s="98"/>
      <c r="C205" s="98"/>
      <c r="D205" s="98"/>
      <c r="E205" s="98"/>
      <c r="F205" s="98"/>
      <c r="G205" s="99"/>
      <c r="H205" s="99"/>
      <c r="I205" s="97"/>
      <c r="J205" s="98"/>
      <c r="K205" s="98"/>
      <c r="L205" s="98"/>
      <c r="M205" s="98"/>
      <c r="N205" s="98"/>
      <c r="O205" s="99"/>
      <c r="P205" s="99"/>
      <c r="Q205" s="97"/>
      <c r="R205" s="98"/>
      <c r="S205" s="98"/>
      <c r="T205" s="98"/>
      <c r="U205" s="98"/>
      <c r="V205" s="98"/>
      <c r="W205" s="99"/>
      <c r="X205" s="99"/>
      <c r="Y205" s="97"/>
      <c r="Z205" s="98"/>
      <c r="AA205" s="98"/>
      <c r="AB205" s="98"/>
      <c r="AC205" s="98"/>
      <c r="AD205" s="98"/>
      <c r="AE205" s="99"/>
      <c r="AF205" s="99"/>
      <c r="AG205" s="97"/>
      <c r="AH205" s="98"/>
      <c r="AI205" s="98"/>
      <c r="AJ205" s="98"/>
      <c r="AK205" s="98"/>
      <c r="AL205" s="98"/>
      <c r="AM205" s="99"/>
      <c r="AN205" s="99"/>
      <c r="AO205" s="97"/>
      <c r="AP205" s="98"/>
      <c r="AQ205" s="98"/>
      <c r="AR205" s="98"/>
      <c r="AS205" s="98"/>
      <c r="AT205" s="98"/>
      <c r="AU205" s="99"/>
      <c r="AV205" s="99"/>
      <c r="AW205" s="97"/>
      <c r="AX205" s="98"/>
      <c r="AY205" s="98"/>
      <c r="AZ205" s="98"/>
      <c r="BA205" s="98"/>
      <c r="BB205" s="98"/>
      <c r="BC205" s="99"/>
      <c r="BD205" s="99"/>
      <c r="BE205" s="97"/>
      <c r="BF205" s="98"/>
      <c r="BG205" s="98"/>
      <c r="BH205" s="98"/>
      <c r="BI205" s="98"/>
      <c r="BJ205" s="98"/>
      <c r="BK205" s="99"/>
      <c r="BL205" s="99"/>
      <c r="BM205" s="97"/>
      <c r="BN205" s="98"/>
      <c r="BO205" s="98"/>
      <c r="BP205" s="98"/>
      <c r="BQ205" s="98"/>
      <c r="BR205" s="98"/>
      <c r="BS205" s="99"/>
      <c r="BT205" s="99"/>
    </row>
    <row r="206" spans="1:72">
      <c r="A206" s="97"/>
      <c r="B206" s="98"/>
      <c r="C206" s="98"/>
      <c r="D206" s="98"/>
      <c r="E206" s="98"/>
      <c r="F206" s="98"/>
      <c r="G206" s="99"/>
      <c r="H206" s="99"/>
      <c r="I206" s="97"/>
      <c r="J206" s="98"/>
      <c r="K206" s="98"/>
      <c r="L206" s="98"/>
      <c r="M206" s="98"/>
      <c r="N206" s="98"/>
      <c r="O206" s="99"/>
      <c r="P206" s="99"/>
      <c r="Q206" s="97"/>
      <c r="R206" s="98"/>
      <c r="S206" s="98"/>
      <c r="T206" s="98"/>
      <c r="U206" s="98"/>
      <c r="V206" s="98"/>
      <c r="W206" s="99"/>
      <c r="X206" s="99"/>
      <c r="Y206" s="97"/>
      <c r="Z206" s="98"/>
      <c r="AA206" s="98"/>
      <c r="AB206" s="98"/>
      <c r="AC206" s="98"/>
      <c r="AD206" s="98"/>
      <c r="AE206" s="99"/>
      <c r="AF206" s="99"/>
      <c r="AG206" s="97"/>
      <c r="AH206" s="98"/>
      <c r="AI206" s="98"/>
      <c r="AJ206" s="98"/>
      <c r="AK206" s="98"/>
      <c r="AL206" s="98"/>
      <c r="AM206" s="99"/>
      <c r="AN206" s="99"/>
      <c r="AO206" s="97"/>
      <c r="AP206" s="98"/>
      <c r="AQ206" s="98"/>
      <c r="AR206" s="98"/>
      <c r="AS206" s="98"/>
      <c r="AT206" s="98"/>
      <c r="AU206" s="99"/>
      <c r="AV206" s="99"/>
      <c r="AW206" s="97"/>
      <c r="AX206" s="98"/>
      <c r="AY206" s="98"/>
      <c r="AZ206" s="98"/>
      <c r="BA206" s="98"/>
      <c r="BB206" s="98"/>
      <c r="BC206" s="99"/>
      <c r="BD206" s="99"/>
      <c r="BE206" s="97"/>
      <c r="BF206" s="98"/>
      <c r="BG206" s="98"/>
      <c r="BH206" s="98"/>
      <c r="BI206" s="98"/>
      <c r="BJ206" s="98"/>
      <c r="BK206" s="99"/>
      <c r="BL206" s="99"/>
      <c r="BM206" s="97"/>
      <c r="BN206" s="98"/>
      <c r="BO206" s="98"/>
      <c r="BP206" s="98"/>
      <c r="BQ206" s="98"/>
      <c r="BR206" s="98"/>
      <c r="BS206" s="99"/>
      <c r="BT206" s="99"/>
    </row>
    <row r="207" spans="1:72">
      <c r="A207" s="97"/>
      <c r="B207" s="98"/>
      <c r="C207" s="98"/>
      <c r="D207" s="98"/>
      <c r="E207" s="98"/>
      <c r="F207" s="98"/>
      <c r="G207" s="99"/>
      <c r="H207" s="99"/>
      <c r="I207" s="97"/>
      <c r="J207" s="98"/>
      <c r="K207" s="98"/>
      <c r="L207" s="98"/>
      <c r="M207" s="98"/>
      <c r="N207" s="98"/>
      <c r="O207" s="99"/>
      <c r="P207" s="99"/>
      <c r="Q207" s="97"/>
      <c r="R207" s="98"/>
      <c r="S207" s="98"/>
      <c r="T207" s="98"/>
      <c r="U207" s="98"/>
      <c r="V207" s="98"/>
      <c r="W207" s="99"/>
      <c r="X207" s="99"/>
      <c r="Y207" s="97"/>
      <c r="Z207" s="98"/>
      <c r="AA207" s="98"/>
      <c r="AB207" s="98"/>
      <c r="AC207" s="98"/>
      <c r="AD207" s="98"/>
      <c r="AE207" s="99"/>
      <c r="AF207" s="99"/>
      <c r="AG207" s="97"/>
      <c r="AH207" s="98"/>
      <c r="AI207" s="98"/>
      <c r="AJ207" s="98"/>
      <c r="AK207" s="98"/>
      <c r="AL207" s="98"/>
      <c r="AM207" s="99"/>
      <c r="AN207" s="99"/>
      <c r="AO207" s="97"/>
      <c r="AP207" s="98"/>
      <c r="AQ207" s="98"/>
      <c r="AR207" s="98"/>
      <c r="AS207" s="98"/>
      <c r="AT207" s="98"/>
      <c r="AU207" s="99"/>
      <c r="AV207" s="99"/>
      <c r="AW207" s="97"/>
      <c r="AX207" s="98"/>
      <c r="AY207" s="98"/>
      <c r="AZ207" s="98"/>
      <c r="BA207" s="98"/>
      <c r="BB207" s="98"/>
      <c r="BC207" s="99"/>
      <c r="BD207" s="99"/>
      <c r="BE207" s="97"/>
      <c r="BF207" s="98"/>
      <c r="BG207" s="98"/>
      <c r="BH207" s="98"/>
      <c r="BI207" s="98"/>
      <c r="BJ207" s="98"/>
      <c r="BK207" s="99"/>
      <c r="BL207" s="99"/>
      <c r="BM207" s="97"/>
      <c r="BN207" s="98"/>
      <c r="BO207" s="98"/>
      <c r="BP207" s="98"/>
      <c r="BQ207" s="98"/>
      <c r="BR207" s="98"/>
      <c r="BS207" s="99"/>
      <c r="BT207" s="99"/>
    </row>
    <row r="208" spans="1:72">
      <c r="A208" s="97"/>
      <c r="B208" s="98"/>
      <c r="C208" s="98"/>
      <c r="D208" s="98"/>
      <c r="E208" s="98"/>
      <c r="F208" s="98"/>
      <c r="G208" s="99"/>
      <c r="H208" s="99"/>
      <c r="I208" s="97"/>
      <c r="J208" s="98"/>
      <c r="K208" s="98"/>
      <c r="L208" s="98"/>
      <c r="M208" s="98"/>
      <c r="N208" s="98"/>
      <c r="O208" s="99"/>
      <c r="P208" s="99"/>
      <c r="Q208" s="97"/>
      <c r="R208" s="98"/>
      <c r="S208" s="98"/>
      <c r="T208" s="98"/>
      <c r="U208" s="98"/>
      <c r="V208" s="98"/>
      <c r="W208" s="99"/>
      <c r="X208" s="99"/>
      <c r="Y208" s="97"/>
      <c r="Z208" s="98"/>
      <c r="AA208" s="98"/>
      <c r="AB208" s="98"/>
      <c r="AC208" s="98"/>
      <c r="AD208" s="98"/>
      <c r="AE208" s="99"/>
      <c r="AF208" s="99"/>
      <c r="AG208" s="97"/>
      <c r="AH208" s="98"/>
      <c r="AI208" s="98"/>
      <c r="AJ208" s="98"/>
      <c r="AK208" s="98"/>
      <c r="AL208" s="98"/>
      <c r="AM208" s="99"/>
      <c r="AN208" s="99"/>
      <c r="AO208" s="97"/>
      <c r="AP208" s="98"/>
      <c r="AQ208" s="98"/>
      <c r="AR208" s="98"/>
      <c r="AS208" s="98"/>
      <c r="AT208" s="98"/>
      <c r="AU208" s="99"/>
      <c r="AV208" s="99"/>
      <c r="AW208" s="97"/>
      <c r="AX208" s="98"/>
      <c r="AY208" s="98"/>
      <c r="AZ208" s="98"/>
      <c r="BA208" s="98"/>
      <c r="BB208" s="98"/>
      <c r="BC208" s="99"/>
      <c r="BD208" s="99"/>
      <c r="BE208" s="97"/>
      <c r="BF208" s="98"/>
      <c r="BG208" s="98"/>
      <c r="BH208" s="98"/>
      <c r="BI208" s="98"/>
      <c r="BJ208" s="98"/>
      <c r="BK208" s="99"/>
      <c r="BL208" s="99"/>
      <c r="BM208" s="97"/>
      <c r="BN208" s="98"/>
      <c r="BO208" s="98"/>
      <c r="BP208" s="98"/>
      <c r="BQ208" s="98"/>
      <c r="BR208" s="98"/>
      <c r="BS208" s="99"/>
      <c r="BT208" s="99"/>
    </row>
    <row r="209" spans="1:72">
      <c r="A209" s="97"/>
      <c r="B209" s="98"/>
      <c r="C209" s="98"/>
      <c r="D209" s="98"/>
      <c r="E209" s="98"/>
      <c r="F209" s="98"/>
      <c r="G209" s="99"/>
      <c r="H209" s="99"/>
      <c r="I209" s="97"/>
      <c r="J209" s="98"/>
      <c r="K209" s="98"/>
      <c r="L209" s="98"/>
      <c r="M209" s="98"/>
      <c r="N209" s="98"/>
      <c r="O209" s="99"/>
      <c r="P209" s="99"/>
      <c r="Q209" s="97"/>
      <c r="R209" s="98"/>
      <c r="S209" s="98"/>
      <c r="T209" s="98"/>
      <c r="U209" s="98"/>
      <c r="V209" s="98"/>
      <c r="W209" s="99"/>
      <c r="X209" s="99"/>
      <c r="Y209" s="97"/>
      <c r="Z209" s="98"/>
      <c r="AA209" s="98"/>
      <c r="AB209" s="98"/>
      <c r="AC209" s="98"/>
      <c r="AD209" s="98"/>
      <c r="AE209" s="99"/>
      <c r="AF209" s="99"/>
      <c r="AG209" s="97"/>
      <c r="AH209" s="98"/>
      <c r="AI209" s="98"/>
      <c r="AJ209" s="98"/>
      <c r="AK209" s="98"/>
      <c r="AL209" s="98"/>
      <c r="AM209" s="99"/>
      <c r="AN209" s="99"/>
      <c r="AO209" s="97"/>
      <c r="AP209" s="98"/>
      <c r="AQ209" s="98"/>
      <c r="AR209" s="98"/>
      <c r="AS209" s="98"/>
      <c r="AT209" s="98"/>
      <c r="AU209" s="99"/>
      <c r="AV209" s="99"/>
      <c r="AW209" s="97"/>
      <c r="AX209" s="98"/>
      <c r="AY209" s="98"/>
      <c r="AZ209" s="98"/>
      <c r="BA209" s="98"/>
      <c r="BB209" s="98"/>
      <c r="BC209" s="99"/>
      <c r="BD209" s="99"/>
      <c r="BE209" s="97"/>
      <c r="BF209" s="98"/>
      <c r="BG209" s="98"/>
      <c r="BH209" s="98"/>
      <c r="BI209" s="98"/>
      <c r="BJ209" s="98"/>
      <c r="BK209" s="99"/>
      <c r="BL209" s="99"/>
      <c r="BM209" s="97"/>
      <c r="BN209" s="98"/>
      <c r="BO209" s="98"/>
      <c r="BP209" s="98"/>
      <c r="BQ209" s="98"/>
      <c r="BR209" s="98"/>
      <c r="BS209" s="99"/>
      <c r="BT209" s="99"/>
    </row>
    <row r="210" spans="1:72">
      <c r="A210" s="97"/>
      <c r="B210" s="98"/>
      <c r="C210" s="98"/>
      <c r="D210" s="98"/>
      <c r="E210" s="98"/>
      <c r="F210" s="98"/>
      <c r="G210" s="99"/>
      <c r="H210" s="99"/>
      <c r="I210" s="97"/>
      <c r="J210" s="98"/>
      <c r="K210" s="98"/>
      <c r="L210" s="98"/>
      <c r="M210" s="98"/>
      <c r="N210" s="98"/>
      <c r="O210" s="99"/>
      <c r="P210" s="99"/>
      <c r="Q210" s="97"/>
      <c r="R210" s="98"/>
      <c r="S210" s="98"/>
      <c r="T210" s="98"/>
      <c r="U210" s="98"/>
      <c r="V210" s="98"/>
      <c r="W210" s="99"/>
      <c r="X210" s="99"/>
      <c r="Y210" s="97"/>
      <c r="Z210" s="98"/>
      <c r="AA210" s="98"/>
      <c r="AB210" s="98"/>
      <c r="AC210" s="98"/>
      <c r="AD210" s="98"/>
      <c r="AE210" s="99"/>
      <c r="AF210" s="99"/>
      <c r="AG210" s="97"/>
      <c r="AH210" s="98"/>
      <c r="AI210" s="98"/>
      <c r="AJ210" s="98"/>
      <c r="AK210" s="98"/>
      <c r="AL210" s="98"/>
      <c r="AM210" s="99"/>
      <c r="AN210" s="99"/>
      <c r="AO210" s="97"/>
      <c r="AP210" s="98"/>
      <c r="AQ210" s="98"/>
      <c r="AR210" s="98"/>
      <c r="AS210" s="98"/>
      <c r="AT210" s="98"/>
      <c r="AU210" s="99"/>
      <c r="AV210" s="99"/>
      <c r="AW210" s="97"/>
      <c r="AX210" s="98"/>
      <c r="AY210" s="98"/>
      <c r="AZ210" s="98"/>
      <c r="BA210" s="98"/>
      <c r="BB210" s="98"/>
      <c r="BC210" s="99"/>
      <c r="BD210" s="99"/>
      <c r="BE210" s="97"/>
      <c r="BF210" s="98"/>
      <c r="BG210" s="98"/>
      <c r="BH210" s="98"/>
      <c r="BI210" s="98"/>
      <c r="BJ210" s="98"/>
      <c r="BK210" s="99"/>
      <c r="BL210" s="99"/>
      <c r="BM210" s="97"/>
      <c r="BN210" s="98"/>
      <c r="BO210" s="98"/>
      <c r="BP210" s="98"/>
      <c r="BQ210" s="98"/>
      <c r="BR210" s="98"/>
      <c r="BS210" s="99"/>
      <c r="BT210" s="99"/>
    </row>
    <row r="211" spans="1:72">
      <c r="A211" s="97"/>
      <c r="B211" s="98"/>
      <c r="C211" s="98"/>
      <c r="D211" s="98"/>
      <c r="E211" s="98"/>
      <c r="F211" s="98"/>
      <c r="G211" s="99"/>
      <c r="H211" s="99"/>
      <c r="I211" s="97"/>
      <c r="J211" s="98"/>
      <c r="K211" s="98"/>
      <c r="L211" s="98"/>
      <c r="M211" s="98"/>
      <c r="N211" s="98"/>
      <c r="O211" s="99"/>
      <c r="P211" s="99"/>
      <c r="Q211" s="97"/>
      <c r="R211" s="98"/>
      <c r="S211" s="98"/>
      <c r="T211" s="98"/>
      <c r="U211" s="98"/>
      <c r="V211" s="98"/>
      <c r="W211" s="99"/>
      <c r="X211" s="99"/>
      <c r="Y211" s="97"/>
      <c r="Z211" s="98"/>
      <c r="AA211" s="98"/>
      <c r="AB211" s="98"/>
      <c r="AC211" s="98"/>
      <c r="AD211" s="98"/>
      <c r="AE211" s="99"/>
      <c r="AF211" s="99"/>
      <c r="AG211" s="97"/>
      <c r="AH211" s="98"/>
      <c r="AI211" s="98"/>
      <c r="AJ211" s="98"/>
      <c r="AK211" s="98"/>
      <c r="AL211" s="98"/>
      <c r="AM211" s="99"/>
      <c r="AN211" s="99"/>
      <c r="AO211" s="97"/>
      <c r="AP211" s="98"/>
      <c r="AQ211" s="98"/>
      <c r="AR211" s="98"/>
      <c r="AS211" s="98"/>
      <c r="AT211" s="98"/>
      <c r="AU211" s="99"/>
      <c r="AV211" s="99"/>
      <c r="AW211" s="97"/>
      <c r="AX211" s="98"/>
      <c r="AY211" s="98"/>
      <c r="AZ211" s="98"/>
      <c r="BA211" s="98"/>
      <c r="BB211" s="98"/>
      <c r="BC211" s="99"/>
      <c r="BD211" s="99"/>
      <c r="BE211" s="97"/>
      <c r="BF211" s="98"/>
      <c r="BG211" s="98"/>
      <c r="BH211" s="98"/>
      <c r="BI211" s="98"/>
      <c r="BJ211" s="98"/>
      <c r="BK211" s="99"/>
      <c r="BL211" s="99"/>
      <c r="BM211" s="97"/>
      <c r="BN211" s="98"/>
      <c r="BO211" s="98"/>
      <c r="BP211" s="98"/>
      <c r="BQ211" s="98"/>
      <c r="BR211" s="98"/>
      <c r="BS211" s="99"/>
      <c r="BT211" s="99"/>
    </row>
    <row r="212" spans="1:72">
      <c r="A212" s="97"/>
      <c r="B212" s="98"/>
      <c r="C212" s="98"/>
      <c r="D212" s="98"/>
      <c r="E212" s="98"/>
      <c r="F212" s="98"/>
      <c r="G212" s="99"/>
      <c r="H212" s="99"/>
      <c r="I212" s="97"/>
      <c r="J212" s="98"/>
      <c r="K212" s="98"/>
      <c r="L212" s="98"/>
      <c r="M212" s="98"/>
      <c r="N212" s="98"/>
      <c r="O212" s="99"/>
      <c r="P212" s="99"/>
      <c r="Q212" s="97"/>
      <c r="R212" s="98"/>
      <c r="S212" s="98"/>
      <c r="T212" s="98"/>
      <c r="U212" s="98"/>
      <c r="V212" s="98"/>
      <c r="W212" s="99"/>
      <c r="X212" s="99"/>
      <c r="Y212" s="97"/>
      <c r="Z212" s="98"/>
      <c r="AA212" s="98"/>
      <c r="AB212" s="98"/>
      <c r="AC212" s="98"/>
      <c r="AD212" s="98"/>
      <c r="AE212" s="99"/>
      <c r="AF212" s="99"/>
      <c r="AG212" s="97"/>
      <c r="AH212" s="98"/>
      <c r="AI212" s="98"/>
      <c r="AJ212" s="98"/>
      <c r="AK212" s="98"/>
      <c r="AL212" s="98"/>
      <c r="AM212" s="99"/>
      <c r="AN212" s="99"/>
      <c r="AO212" s="97"/>
      <c r="AP212" s="98"/>
      <c r="AQ212" s="98"/>
      <c r="AR212" s="98"/>
      <c r="AS212" s="98"/>
      <c r="AT212" s="98"/>
      <c r="AU212" s="99"/>
      <c r="AV212" s="99"/>
      <c r="AW212" s="97"/>
      <c r="AX212" s="98"/>
      <c r="AY212" s="98"/>
      <c r="AZ212" s="98"/>
      <c r="BA212" s="98"/>
      <c r="BB212" s="98"/>
      <c r="BC212" s="99"/>
      <c r="BD212" s="99"/>
      <c r="BE212" s="97"/>
      <c r="BF212" s="98"/>
      <c r="BG212" s="98"/>
      <c r="BH212" s="98"/>
      <c r="BI212" s="98"/>
      <c r="BJ212" s="98"/>
      <c r="BK212" s="99"/>
      <c r="BL212" s="99"/>
      <c r="BM212" s="97"/>
      <c r="BN212" s="98"/>
      <c r="BO212" s="98"/>
      <c r="BP212" s="98"/>
      <c r="BQ212" s="98"/>
      <c r="BR212" s="98"/>
      <c r="BS212" s="99"/>
      <c r="BT212" s="99"/>
    </row>
    <row r="213" spans="1:72">
      <c r="A213" s="97"/>
      <c r="B213" s="98"/>
      <c r="C213" s="98"/>
      <c r="D213" s="98"/>
      <c r="E213" s="98"/>
      <c r="F213" s="98"/>
      <c r="G213" s="99"/>
      <c r="H213" s="99"/>
      <c r="I213" s="97"/>
      <c r="J213" s="98"/>
      <c r="K213" s="98"/>
      <c r="L213" s="98"/>
      <c r="M213" s="98"/>
      <c r="N213" s="98"/>
      <c r="O213" s="99"/>
      <c r="P213" s="99"/>
      <c r="Q213" s="97"/>
      <c r="R213" s="98"/>
      <c r="S213" s="98"/>
      <c r="T213" s="98"/>
      <c r="U213" s="98"/>
      <c r="V213" s="98"/>
      <c r="W213" s="99"/>
      <c r="X213" s="99"/>
      <c r="Y213" s="97"/>
      <c r="Z213" s="98"/>
      <c r="AA213" s="98"/>
      <c r="AB213" s="98"/>
      <c r="AC213" s="98"/>
      <c r="AD213" s="98"/>
      <c r="AE213" s="99"/>
      <c r="AF213" s="99"/>
      <c r="AG213" s="97"/>
      <c r="AH213" s="98"/>
      <c r="AI213" s="98"/>
      <c r="AJ213" s="98"/>
      <c r="AK213" s="98"/>
      <c r="AL213" s="98"/>
      <c r="AM213" s="99"/>
      <c r="AN213" s="99"/>
      <c r="AO213" s="97"/>
      <c r="AP213" s="98"/>
      <c r="AQ213" s="98"/>
      <c r="AR213" s="98"/>
      <c r="AS213" s="98"/>
      <c r="AT213" s="98"/>
      <c r="AU213" s="99"/>
      <c r="AV213" s="99"/>
      <c r="AW213" s="97"/>
      <c r="AX213" s="98"/>
      <c r="AY213" s="98"/>
      <c r="AZ213" s="98"/>
      <c r="BA213" s="98"/>
      <c r="BB213" s="98"/>
      <c r="BC213" s="99"/>
      <c r="BD213" s="99"/>
      <c r="BE213" s="97"/>
      <c r="BF213" s="98"/>
      <c r="BG213" s="98"/>
      <c r="BH213" s="98"/>
      <c r="BI213" s="98"/>
      <c r="BJ213" s="98"/>
      <c r="BK213" s="99"/>
      <c r="BL213" s="99"/>
      <c r="BM213" s="97"/>
      <c r="BN213" s="98"/>
      <c r="BO213" s="98"/>
      <c r="BP213" s="98"/>
      <c r="BQ213" s="98"/>
      <c r="BR213" s="98"/>
      <c r="BS213" s="99"/>
      <c r="BT213" s="99"/>
    </row>
    <row r="214" spans="1:72">
      <c r="A214" s="97"/>
      <c r="B214" s="98"/>
      <c r="C214" s="98"/>
      <c r="D214" s="98"/>
      <c r="E214" s="98"/>
      <c r="F214" s="98"/>
      <c r="G214" s="99"/>
      <c r="H214" s="99"/>
      <c r="I214" s="97"/>
      <c r="J214" s="98"/>
      <c r="K214" s="98"/>
      <c r="L214" s="98"/>
      <c r="M214" s="98"/>
      <c r="N214" s="98"/>
      <c r="O214" s="99"/>
      <c r="P214" s="99"/>
      <c r="Q214" s="97"/>
      <c r="R214" s="98"/>
      <c r="S214" s="98"/>
      <c r="T214" s="98"/>
      <c r="U214" s="98"/>
      <c r="V214" s="98"/>
      <c r="W214" s="99"/>
      <c r="X214" s="99"/>
      <c r="Y214" s="97"/>
      <c r="Z214" s="98"/>
      <c r="AA214" s="98"/>
      <c r="AB214" s="98"/>
      <c r="AC214" s="98"/>
      <c r="AD214" s="98"/>
      <c r="AE214" s="99"/>
      <c r="AF214" s="99"/>
      <c r="AG214" s="97"/>
      <c r="AH214" s="98"/>
      <c r="AI214" s="98"/>
      <c r="AJ214" s="98"/>
      <c r="AK214" s="98"/>
      <c r="AL214" s="98"/>
      <c r="AM214" s="99"/>
      <c r="AN214" s="99"/>
      <c r="AO214" s="97"/>
      <c r="AP214" s="98"/>
      <c r="AQ214" s="98"/>
      <c r="AR214" s="98"/>
      <c r="AS214" s="98"/>
      <c r="AT214" s="98"/>
      <c r="AU214" s="99"/>
      <c r="AV214" s="99"/>
      <c r="AW214" s="97"/>
      <c r="AX214" s="98"/>
      <c r="AY214" s="98"/>
      <c r="AZ214" s="98"/>
      <c r="BA214" s="98"/>
      <c r="BB214" s="98"/>
      <c r="BC214" s="99"/>
      <c r="BD214" s="99"/>
      <c r="BE214" s="97"/>
      <c r="BF214" s="98"/>
      <c r="BG214" s="98"/>
      <c r="BH214" s="98"/>
      <c r="BI214" s="98"/>
      <c r="BJ214" s="98"/>
      <c r="BK214" s="99"/>
      <c r="BL214" s="99"/>
      <c r="BM214" s="97"/>
      <c r="BN214" s="98"/>
      <c r="BO214" s="98"/>
      <c r="BP214" s="98"/>
      <c r="BQ214" s="98"/>
      <c r="BR214" s="98"/>
      <c r="BS214" s="99"/>
      <c r="BT214" s="99"/>
    </row>
    <row r="215" spans="1:72">
      <c r="A215" s="97"/>
      <c r="B215" s="98"/>
      <c r="C215" s="98"/>
      <c r="D215" s="98"/>
      <c r="E215" s="98"/>
      <c r="F215" s="98"/>
      <c r="G215" s="99"/>
      <c r="H215" s="99"/>
      <c r="I215" s="97"/>
      <c r="J215" s="98"/>
      <c r="K215" s="98"/>
      <c r="L215" s="98"/>
      <c r="M215" s="98"/>
      <c r="N215" s="98"/>
      <c r="O215" s="99"/>
      <c r="P215" s="99"/>
      <c r="Q215" s="97"/>
      <c r="R215" s="98"/>
      <c r="S215" s="98"/>
      <c r="T215" s="98"/>
      <c r="U215" s="98"/>
      <c r="V215" s="98"/>
      <c r="W215" s="99"/>
      <c r="X215" s="99"/>
      <c r="Y215" s="97"/>
      <c r="Z215" s="98"/>
      <c r="AA215" s="98"/>
      <c r="AB215" s="98"/>
      <c r="AC215" s="98"/>
      <c r="AD215" s="98"/>
      <c r="AE215" s="99"/>
      <c r="AF215" s="99"/>
      <c r="AG215" s="97"/>
      <c r="AH215" s="98"/>
      <c r="AI215" s="98"/>
      <c r="AJ215" s="98"/>
      <c r="AK215" s="98"/>
      <c r="AL215" s="98"/>
      <c r="AM215" s="99"/>
      <c r="AN215" s="99"/>
      <c r="AO215" s="97"/>
      <c r="AP215" s="98"/>
      <c r="AQ215" s="98"/>
      <c r="AR215" s="98"/>
      <c r="AS215" s="98"/>
      <c r="AT215" s="98"/>
      <c r="AU215" s="99"/>
      <c r="AV215" s="99"/>
      <c r="AW215" s="97"/>
      <c r="AX215" s="98"/>
      <c r="AY215" s="98"/>
      <c r="AZ215" s="98"/>
      <c r="BA215" s="98"/>
      <c r="BB215" s="98"/>
      <c r="BC215" s="99"/>
      <c r="BD215" s="99"/>
      <c r="BE215" s="97"/>
      <c r="BF215" s="98"/>
      <c r="BG215" s="98"/>
      <c r="BH215" s="98"/>
      <c r="BI215" s="98"/>
      <c r="BJ215" s="98"/>
      <c r="BK215" s="99"/>
      <c r="BL215" s="99"/>
      <c r="BM215" s="97"/>
      <c r="BN215" s="98"/>
      <c r="BO215" s="98"/>
      <c r="BP215" s="98"/>
      <c r="BQ215" s="98"/>
      <c r="BR215" s="98"/>
      <c r="BS215" s="99"/>
      <c r="BT215" s="99"/>
    </row>
    <row r="216" spans="1:72">
      <c r="A216" s="97"/>
      <c r="B216" s="98"/>
      <c r="C216" s="98"/>
      <c r="D216" s="98"/>
      <c r="E216" s="98"/>
      <c r="F216" s="98"/>
      <c r="G216" s="99"/>
      <c r="H216" s="99"/>
      <c r="I216" s="97"/>
      <c r="J216" s="98"/>
      <c r="K216" s="98"/>
      <c r="L216" s="98"/>
      <c r="M216" s="98"/>
      <c r="N216" s="98"/>
      <c r="O216" s="99"/>
      <c r="P216" s="99"/>
      <c r="Q216" s="97"/>
      <c r="R216" s="98"/>
      <c r="S216" s="98"/>
      <c r="T216" s="98"/>
      <c r="U216" s="98"/>
      <c r="V216" s="98"/>
      <c r="W216" s="99"/>
      <c r="X216" s="99"/>
      <c r="Y216" s="97"/>
      <c r="Z216" s="98"/>
      <c r="AA216" s="98"/>
      <c r="AB216" s="98"/>
      <c r="AC216" s="98"/>
      <c r="AD216" s="98"/>
      <c r="AE216" s="99"/>
      <c r="AF216" s="99"/>
      <c r="AG216" s="97"/>
      <c r="AH216" s="98"/>
      <c r="AI216" s="98"/>
      <c r="AJ216" s="98"/>
      <c r="AK216" s="98"/>
      <c r="AL216" s="98"/>
      <c r="AM216" s="99"/>
      <c r="AN216" s="99"/>
      <c r="AO216" s="97"/>
      <c r="AP216" s="98"/>
      <c r="AQ216" s="98"/>
      <c r="AR216" s="98"/>
      <c r="AS216" s="98"/>
      <c r="AT216" s="98"/>
      <c r="AU216" s="99"/>
      <c r="AV216" s="99"/>
      <c r="AW216" s="97"/>
      <c r="AX216" s="98"/>
      <c r="AY216" s="98"/>
      <c r="AZ216" s="98"/>
      <c r="BA216" s="98"/>
      <c r="BB216" s="98"/>
      <c r="BC216" s="99"/>
      <c r="BD216" s="99"/>
      <c r="BE216" s="97"/>
      <c r="BF216" s="98"/>
      <c r="BG216" s="98"/>
      <c r="BH216" s="98"/>
      <c r="BI216" s="98"/>
      <c r="BJ216" s="98"/>
      <c r="BK216" s="99"/>
      <c r="BL216" s="99"/>
      <c r="BM216" s="97"/>
      <c r="BN216" s="98"/>
      <c r="BO216" s="98"/>
      <c r="BP216" s="98"/>
      <c r="BQ216" s="98"/>
      <c r="BR216" s="98"/>
      <c r="BS216" s="99"/>
      <c r="BT216" s="99"/>
    </row>
    <row r="217" spans="1:72">
      <c r="A217" s="97"/>
      <c r="B217" s="98"/>
      <c r="C217" s="98"/>
      <c r="D217" s="98"/>
      <c r="E217" s="98"/>
      <c r="F217" s="98"/>
      <c r="G217" s="99"/>
      <c r="H217" s="99"/>
      <c r="I217" s="97"/>
      <c r="J217" s="98"/>
      <c r="K217" s="98"/>
      <c r="L217" s="98"/>
      <c r="M217" s="98"/>
      <c r="N217" s="98"/>
      <c r="O217" s="99"/>
      <c r="P217" s="99"/>
      <c r="Q217" s="97"/>
      <c r="R217" s="98"/>
      <c r="S217" s="98"/>
      <c r="T217" s="98"/>
      <c r="U217" s="98"/>
      <c r="V217" s="98"/>
      <c r="W217" s="99"/>
      <c r="X217" s="99"/>
      <c r="Y217" s="97"/>
      <c r="Z217" s="98"/>
      <c r="AA217" s="98"/>
      <c r="AB217" s="98"/>
      <c r="AC217" s="98"/>
      <c r="AD217" s="98"/>
      <c r="AE217" s="99"/>
      <c r="AF217" s="99"/>
      <c r="AG217" s="97"/>
      <c r="AH217" s="98"/>
      <c r="AI217" s="98"/>
      <c r="AJ217" s="98"/>
      <c r="AK217" s="98"/>
      <c r="AL217" s="98"/>
      <c r="AM217" s="99"/>
      <c r="AN217" s="99"/>
      <c r="AO217" s="97"/>
      <c r="AP217" s="98"/>
      <c r="AQ217" s="98"/>
      <c r="AR217" s="98"/>
      <c r="AS217" s="98"/>
      <c r="AT217" s="98"/>
      <c r="AU217" s="99"/>
      <c r="AV217" s="99"/>
      <c r="AW217" s="97"/>
      <c r="AX217" s="98"/>
      <c r="AY217" s="98"/>
      <c r="AZ217" s="98"/>
      <c r="BA217" s="98"/>
      <c r="BB217" s="98"/>
      <c r="BC217" s="99"/>
      <c r="BD217" s="99"/>
      <c r="BE217" s="97"/>
      <c r="BF217" s="98"/>
      <c r="BG217" s="98"/>
      <c r="BH217" s="98"/>
      <c r="BI217" s="98"/>
      <c r="BJ217" s="98"/>
      <c r="BK217" s="99"/>
      <c r="BL217" s="99"/>
      <c r="BM217" s="97"/>
      <c r="BN217" s="98"/>
      <c r="BO217" s="98"/>
      <c r="BP217" s="98"/>
      <c r="BQ217" s="98"/>
      <c r="BR217" s="98"/>
      <c r="BS217" s="99"/>
      <c r="BT217" s="99"/>
    </row>
    <row r="218" spans="1:72">
      <c r="A218" s="97"/>
      <c r="B218" s="98"/>
      <c r="C218" s="98"/>
      <c r="D218" s="98"/>
      <c r="E218" s="98"/>
      <c r="F218" s="98"/>
      <c r="G218" s="99"/>
      <c r="H218" s="99"/>
      <c r="I218" s="97"/>
      <c r="J218" s="98"/>
      <c r="K218" s="98"/>
      <c r="L218" s="98"/>
      <c r="M218" s="98"/>
      <c r="N218" s="98"/>
      <c r="O218" s="99"/>
      <c r="P218" s="99"/>
      <c r="Q218" s="97"/>
      <c r="R218" s="98"/>
      <c r="S218" s="98"/>
      <c r="T218" s="98"/>
      <c r="U218" s="98"/>
      <c r="V218" s="98"/>
      <c r="W218" s="99"/>
      <c r="X218" s="99"/>
      <c r="Y218" s="97"/>
      <c r="Z218" s="98"/>
      <c r="AA218" s="98"/>
      <c r="AB218" s="98"/>
      <c r="AC218" s="98"/>
      <c r="AD218" s="98"/>
      <c r="AE218" s="99"/>
      <c r="AF218" s="99"/>
      <c r="AG218" s="97"/>
      <c r="AH218" s="98"/>
      <c r="AI218" s="98"/>
      <c r="AJ218" s="98"/>
      <c r="AK218" s="98"/>
      <c r="AL218" s="98"/>
      <c r="AM218" s="99"/>
      <c r="AN218" s="99"/>
      <c r="AO218" s="97"/>
      <c r="AP218" s="98"/>
      <c r="AQ218" s="98"/>
      <c r="AR218" s="98"/>
      <c r="AS218" s="98"/>
      <c r="AT218" s="98"/>
      <c r="AU218" s="99"/>
      <c r="AV218" s="99"/>
      <c r="AW218" s="97"/>
      <c r="AX218" s="98"/>
      <c r="AY218" s="98"/>
      <c r="AZ218" s="98"/>
      <c r="BA218" s="98"/>
      <c r="BB218" s="98"/>
      <c r="BC218" s="99"/>
      <c r="BD218" s="99"/>
      <c r="BE218" s="97"/>
      <c r="BF218" s="98"/>
      <c r="BG218" s="98"/>
      <c r="BH218" s="98"/>
      <c r="BI218" s="98"/>
      <c r="BJ218" s="98"/>
      <c r="BK218" s="99"/>
      <c r="BL218" s="99"/>
      <c r="BM218" s="97"/>
      <c r="BN218" s="98"/>
      <c r="BO218" s="98"/>
      <c r="BP218" s="98"/>
      <c r="BQ218" s="98"/>
      <c r="BR218" s="98"/>
      <c r="BS218" s="99"/>
      <c r="BT218" s="99"/>
    </row>
    <row r="219" spans="1:72">
      <c r="A219" s="97"/>
      <c r="B219" s="98"/>
      <c r="C219" s="98"/>
      <c r="D219" s="98"/>
      <c r="E219" s="98"/>
      <c r="F219" s="98"/>
      <c r="G219" s="99"/>
      <c r="H219" s="99"/>
      <c r="I219" s="97"/>
      <c r="J219" s="98"/>
      <c r="K219" s="98"/>
      <c r="L219" s="98"/>
      <c r="M219" s="98"/>
      <c r="N219" s="98"/>
      <c r="O219" s="99"/>
      <c r="P219" s="99"/>
      <c r="Q219" s="97"/>
      <c r="R219" s="98"/>
      <c r="S219" s="98"/>
      <c r="T219" s="98"/>
      <c r="U219" s="98"/>
      <c r="V219" s="98"/>
      <c r="W219" s="99"/>
      <c r="X219" s="99"/>
      <c r="Y219" s="97"/>
      <c r="Z219" s="98"/>
      <c r="AA219" s="98"/>
      <c r="AB219" s="98"/>
      <c r="AC219" s="98"/>
      <c r="AD219" s="98"/>
      <c r="AE219" s="99"/>
      <c r="AF219" s="99"/>
      <c r="AG219" s="97"/>
      <c r="AH219" s="98"/>
      <c r="AI219" s="98"/>
      <c r="AJ219" s="98"/>
      <c r="AK219" s="98"/>
      <c r="AL219" s="98"/>
      <c r="AM219" s="99"/>
      <c r="AN219" s="99"/>
      <c r="AO219" s="97"/>
      <c r="AP219" s="98"/>
      <c r="AQ219" s="98"/>
      <c r="AR219" s="98"/>
      <c r="AS219" s="98"/>
      <c r="AT219" s="98"/>
      <c r="AU219" s="99"/>
      <c r="AV219" s="99"/>
      <c r="AW219" s="97"/>
      <c r="AX219" s="98"/>
      <c r="AY219" s="98"/>
      <c r="AZ219" s="98"/>
      <c r="BA219" s="98"/>
      <c r="BB219" s="98"/>
      <c r="BC219" s="99"/>
      <c r="BD219" s="99"/>
      <c r="BE219" s="97"/>
      <c r="BF219" s="98"/>
      <c r="BG219" s="98"/>
      <c r="BH219" s="98"/>
      <c r="BI219" s="98"/>
      <c r="BJ219" s="98"/>
      <c r="BK219" s="99"/>
      <c r="BL219" s="99"/>
      <c r="BM219" s="97"/>
      <c r="BN219" s="98"/>
      <c r="BO219" s="98"/>
      <c r="BP219" s="98"/>
      <c r="BQ219" s="98"/>
      <c r="BR219" s="98"/>
      <c r="BS219" s="99"/>
      <c r="BT219" s="99"/>
    </row>
    <row r="220" spans="1:72">
      <c r="A220" s="97"/>
      <c r="B220" s="98"/>
      <c r="C220" s="98"/>
      <c r="D220" s="98"/>
      <c r="E220" s="98"/>
      <c r="F220" s="98"/>
      <c r="G220" s="99"/>
      <c r="H220" s="99"/>
      <c r="I220" s="97"/>
      <c r="J220" s="98"/>
      <c r="K220" s="98"/>
      <c r="L220" s="98"/>
      <c r="M220" s="98"/>
      <c r="N220" s="98"/>
      <c r="O220" s="99"/>
      <c r="P220" s="99"/>
      <c r="Q220" s="97"/>
      <c r="R220" s="98"/>
      <c r="S220" s="98"/>
      <c r="T220" s="98"/>
      <c r="U220" s="98"/>
      <c r="V220" s="98"/>
      <c r="W220" s="99"/>
      <c r="X220" s="99"/>
      <c r="Y220" s="97"/>
      <c r="Z220" s="98"/>
      <c r="AA220" s="98"/>
      <c r="AB220" s="98"/>
      <c r="AC220" s="98"/>
      <c r="AD220" s="98"/>
      <c r="AE220" s="99"/>
      <c r="AF220" s="99"/>
      <c r="AG220" s="97"/>
      <c r="AH220" s="98"/>
      <c r="AI220" s="98"/>
      <c r="AJ220" s="98"/>
      <c r="AK220" s="98"/>
      <c r="AL220" s="98"/>
      <c r="AM220" s="99"/>
      <c r="AN220" s="99"/>
      <c r="AO220" s="97"/>
      <c r="AP220" s="98"/>
      <c r="AQ220" s="98"/>
      <c r="AR220" s="98"/>
      <c r="AS220" s="98"/>
      <c r="AT220" s="98"/>
      <c r="AU220" s="99"/>
      <c r="AV220" s="99"/>
      <c r="AW220" s="97"/>
      <c r="AX220" s="98"/>
      <c r="AY220" s="98"/>
      <c r="AZ220" s="98"/>
      <c r="BA220" s="98"/>
      <c r="BB220" s="98"/>
      <c r="BC220" s="99"/>
      <c r="BD220" s="99"/>
      <c r="BE220" s="97"/>
      <c r="BF220" s="98"/>
      <c r="BG220" s="98"/>
      <c r="BH220" s="98"/>
      <c r="BI220" s="98"/>
      <c r="BJ220" s="98"/>
      <c r="BK220" s="99"/>
      <c r="BL220" s="99"/>
      <c r="BM220" s="97"/>
      <c r="BN220" s="98"/>
      <c r="BO220" s="98"/>
      <c r="BP220" s="98"/>
      <c r="BQ220" s="98"/>
      <c r="BR220" s="98"/>
      <c r="BS220" s="99"/>
      <c r="BT220" s="99"/>
    </row>
    <row r="221" spans="1:72">
      <c r="A221" s="97"/>
      <c r="B221" s="98"/>
      <c r="C221" s="98"/>
      <c r="D221" s="98"/>
      <c r="E221" s="98"/>
      <c r="F221" s="98"/>
      <c r="G221" s="99"/>
      <c r="H221" s="99"/>
      <c r="I221" s="97"/>
      <c r="J221" s="98"/>
      <c r="K221" s="98"/>
      <c r="L221" s="98"/>
      <c r="M221" s="98"/>
      <c r="N221" s="98"/>
      <c r="O221" s="99"/>
      <c r="P221" s="99"/>
      <c r="Q221" s="97"/>
      <c r="R221" s="98"/>
      <c r="S221" s="98"/>
      <c r="T221" s="98"/>
      <c r="U221" s="98"/>
      <c r="V221" s="98"/>
      <c r="W221" s="99"/>
      <c r="X221" s="99"/>
      <c r="Y221" s="97"/>
      <c r="Z221" s="98"/>
      <c r="AA221" s="98"/>
      <c r="AB221" s="98"/>
      <c r="AC221" s="98"/>
      <c r="AD221" s="98"/>
      <c r="AE221" s="99"/>
      <c r="AF221" s="99"/>
      <c r="AG221" s="97"/>
      <c r="AH221" s="98"/>
      <c r="AI221" s="98"/>
      <c r="AJ221" s="98"/>
      <c r="AK221" s="98"/>
      <c r="AL221" s="98"/>
      <c r="AM221" s="99"/>
      <c r="AN221" s="99"/>
      <c r="AO221" s="97"/>
      <c r="AP221" s="98"/>
      <c r="AQ221" s="98"/>
      <c r="AR221" s="98"/>
      <c r="AS221" s="98"/>
      <c r="AT221" s="98"/>
      <c r="AU221" s="99"/>
      <c r="AV221" s="99"/>
      <c r="AW221" s="97"/>
      <c r="AX221" s="98"/>
      <c r="AY221" s="98"/>
      <c r="AZ221" s="98"/>
      <c r="BA221" s="98"/>
      <c r="BB221" s="98"/>
      <c r="BC221" s="99"/>
      <c r="BD221" s="99"/>
      <c r="BE221" s="97"/>
      <c r="BF221" s="98"/>
      <c r="BG221" s="98"/>
      <c r="BH221" s="98"/>
      <c r="BI221" s="98"/>
      <c r="BJ221" s="98"/>
      <c r="BK221" s="99"/>
      <c r="BL221" s="99"/>
      <c r="BM221" s="97"/>
      <c r="BN221" s="98"/>
      <c r="BO221" s="98"/>
      <c r="BP221" s="98"/>
      <c r="BQ221" s="98"/>
      <c r="BR221" s="98"/>
      <c r="BS221" s="99"/>
      <c r="BT221" s="99"/>
    </row>
    <row r="222" spans="1:72">
      <c r="A222" s="97"/>
      <c r="B222" s="98"/>
      <c r="C222" s="98"/>
      <c r="D222" s="98"/>
      <c r="E222" s="98"/>
      <c r="F222" s="98"/>
      <c r="G222" s="99"/>
      <c r="H222" s="99"/>
      <c r="I222" s="97"/>
      <c r="J222" s="98"/>
      <c r="K222" s="98"/>
      <c r="L222" s="98"/>
      <c r="M222" s="98"/>
      <c r="N222" s="98"/>
      <c r="O222" s="99"/>
      <c r="P222" s="99"/>
      <c r="Q222" s="97"/>
      <c r="R222" s="98"/>
      <c r="S222" s="98"/>
      <c r="T222" s="98"/>
      <c r="U222" s="98"/>
      <c r="V222" s="98"/>
      <c r="W222" s="99"/>
      <c r="X222" s="99"/>
      <c r="Y222" s="97"/>
      <c r="Z222" s="98"/>
      <c r="AA222" s="98"/>
      <c r="AB222" s="98"/>
      <c r="AC222" s="98"/>
      <c r="AD222" s="98"/>
      <c r="AE222" s="99"/>
      <c r="AF222" s="99"/>
      <c r="AG222" s="97"/>
      <c r="AH222" s="98"/>
      <c r="AI222" s="98"/>
      <c r="AJ222" s="98"/>
      <c r="AK222" s="98"/>
      <c r="AL222" s="98"/>
      <c r="AM222" s="99"/>
      <c r="AN222" s="99"/>
      <c r="AO222" s="97"/>
      <c r="AP222" s="98"/>
      <c r="AQ222" s="98"/>
      <c r="AR222" s="98"/>
      <c r="AS222" s="98"/>
      <c r="AT222" s="98"/>
      <c r="AU222" s="99"/>
      <c r="AV222" s="99"/>
      <c r="AW222" s="97"/>
      <c r="AX222" s="98"/>
      <c r="AY222" s="98"/>
      <c r="AZ222" s="98"/>
      <c r="BA222" s="98"/>
      <c r="BB222" s="98"/>
      <c r="BC222" s="99"/>
      <c r="BD222" s="99"/>
      <c r="BE222" s="97"/>
      <c r="BF222" s="98"/>
      <c r="BG222" s="98"/>
      <c r="BH222" s="98"/>
      <c r="BI222" s="98"/>
      <c r="BJ222" s="98"/>
      <c r="BK222" s="99"/>
      <c r="BL222" s="99"/>
      <c r="BM222" s="97"/>
      <c r="BN222" s="98"/>
      <c r="BO222" s="98"/>
      <c r="BP222" s="98"/>
      <c r="BQ222" s="98"/>
      <c r="BR222" s="98"/>
      <c r="BS222" s="99"/>
      <c r="BT222" s="99"/>
    </row>
    <row r="223" spans="1:72">
      <c r="A223" s="97"/>
      <c r="B223" s="98"/>
      <c r="C223" s="98"/>
      <c r="D223" s="98"/>
      <c r="E223" s="98"/>
      <c r="F223" s="98"/>
      <c r="G223" s="99"/>
      <c r="H223" s="99"/>
      <c r="I223" s="97"/>
      <c r="J223" s="98"/>
      <c r="K223" s="98"/>
      <c r="L223" s="98"/>
      <c r="M223" s="98"/>
      <c r="N223" s="98"/>
      <c r="O223" s="99"/>
      <c r="P223" s="99"/>
      <c r="Q223" s="97"/>
      <c r="R223" s="98"/>
      <c r="S223" s="98"/>
      <c r="T223" s="98"/>
      <c r="U223" s="98"/>
      <c r="V223" s="98"/>
      <c r="W223" s="99"/>
      <c r="X223" s="99"/>
      <c r="Y223" s="97"/>
      <c r="Z223" s="98"/>
      <c r="AA223" s="98"/>
      <c r="AB223" s="98"/>
      <c r="AC223" s="98"/>
      <c r="AD223" s="98"/>
      <c r="AE223" s="99"/>
      <c r="AF223" s="99"/>
      <c r="AG223" s="97"/>
      <c r="AH223" s="98"/>
      <c r="AI223" s="98"/>
      <c r="AJ223" s="98"/>
      <c r="AK223" s="98"/>
      <c r="AL223" s="98"/>
      <c r="AM223" s="99"/>
      <c r="AN223" s="99"/>
      <c r="AO223" s="97"/>
      <c r="AP223" s="98"/>
      <c r="AQ223" s="98"/>
      <c r="AR223" s="98"/>
      <c r="AS223" s="98"/>
      <c r="AT223" s="98"/>
      <c r="AU223" s="99"/>
      <c r="AV223" s="99"/>
      <c r="AW223" s="97"/>
      <c r="AX223" s="98"/>
      <c r="AY223" s="98"/>
      <c r="AZ223" s="98"/>
      <c r="BA223" s="98"/>
      <c r="BB223" s="98"/>
      <c r="BC223" s="99"/>
      <c r="BD223" s="99"/>
      <c r="BE223" s="97"/>
      <c r="BF223" s="98"/>
      <c r="BG223" s="98"/>
      <c r="BH223" s="98"/>
      <c r="BI223" s="98"/>
      <c r="BJ223" s="98"/>
      <c r="BK223" s="99"/>
      <c r="BL223" s="99"/>
      <c r="BM223" s="97"/>
      <c r="BN223" s="98"/>
      <c r="BO223" s="98"/>
      <c r="BP223" s="98"/>
      <c r="BQ223" s="98"/>
      <c r="BR223" s="98"/>
      <c r="BS223" s="99"/>
      <c r="BT223" s="99"/>
    </row>
    <row r="224" spans="1:72">
      <c r="A224" s="97"/>
      <c r="B224" s="98"/>
      <c r="C224" s="98"/>
      <c r="D224" s="98"/>
      <c r="E224" s="98"/>
      <c r="F224" s="98"/>
      <c r="G224" s="99"/>
      <c r="H224" s="99"/>
      <c r="I224" s="97"/>
      <c r="J224" s="98"/>
      <c r="K224" s="98"/>
      <c r="L224" s="98"/>
      <c r="M224" s="98"/>
      <c r="N224" s="98"/>
      <c r="O224" s="99"/>
      <c r="P224" s="99"/>
      <c r="Q224" s="97"/>
      <c r="R224" s="98"/>
      <c r="S224" s="98"/>
      <c r="T224" s="98"/>
      <c r="U224" s="98"/>
      <c r="V224" s="98"/>
      <c r="W224" s="99"/>
      <c r="X224" s="99"/>
      <c r="Y224" s="97"/>
      <c r="Z224" s="98"/>
      <c r="AA224" s="98"/>
      <c r="AB224" s="98"/>
      <c r="AC224" s="98"/>
      <c r="AD224" s="98"/>
      <c r="AE224" s="99"/>
      <c r="AF224" s="99"/>
      <c r="AG224" s="97"/>
      <c r="AH224" s="98"/>
      <c r="AI224" s="98"/>
      <c r="AJ224" s="98"/>
      <c r="AK224" s="98"/>
      <c r="AL224" s="98"/>
      <c r="AM224" s="99"/>
      <c r="AN224" s="99"/>
      <c r="AO224" s="97"/>
      <c r="AP224" s="98"/>
      <c r="AQ224" s="98"/>
      <c r="AR224" s="98"/>
      <c r="AS224" s="98"/>
      <c r="AT224" s="98"/>
      <c r="AU224" s="99"/>
      <c r="AV224" s="99"/>
      <c r="AW224" s="97"/>
      <c r="AX224" s="98"/>
      <c r="AY224" s="98"/>
      <c r="AZ224" s="98"/>
      <c r="BA224" s="98"/>
      <c r="BB224" s="98"/>
      <c r="BC224" s="99"/>
      <c r="BD224" s="99"/>
      <c r="BE224" s="97"/>
      <c r="BF224" s="98"/>
      <c r="BG224" s="98"/>
      <c r="BH224" s="98"/>
      <c r="BI224" s="98"/>
      <c r="BJ224" s="98"/>
      <c r="BK224" s="99"/>
      <c r="BL224" s="99"/>
      <c r="BM224" s="97"/>
      <c r="BN224" s="98"/>
      <c r="BO224" s="98"/>
      <c r="BP224" s="98"/>
      <c r="BQ224" s="98"/>
      <c r="BR224" s="98"/>
      <c r="BS224" s="99"/>
      <c r="BT224" s="99"/>
    </row>
    <row r="225" spans="1:72">
      <c r="A225" s="97"/>
      <c r="B225" s="98"/>
      <c r="C225" s="98"/>
      <c r="D225" s="98"/>
      <c r="E225" s="98"/>
      <c r="F225" s="98"/>
      <c r="G225" s="99"/>
      <c r="H225" s="99"/>
      <c r="I225" s="97"/>
      <c r="J225" s="98"/>
      <c r="K225" s="98"/>
      <c r="L225" s="98"/>
      <c r="M225" s="98"/>
      <c r="N225" s="98"/>
      <c r="O225" s="99"/>
      <c r="P225" s="99"/>
      <c r="Q225" s="97"/>
      <c r="R225" s="98"/>
      <c r="S225" s="98"/>
      <c r="T225" s="98"/>
      <c r="U225" s="98"/>
      <c r="V225" s="98"/>
      <c r="W225" s="99"/>
      <c r="X225" s="99"/>
      <c r="Y225" s="97"/>
      <c r="Z225" s="98"/>
      <c r="AA225" s="98"/>
      <c r="AB225" s="98"/>
      <c r="AC225" s="98"/>
      <c r="AD225" s="98"/>
      <c r="AE225" s="99"/>
      <c r="AF225" s="99"/>
      <c r="AG225" s="97"/>
      <c r="AH225" s="98"/>
      <c r="AI225" s="98"/>
      <c r="AJ225" s="98"/>
      <c r="AK225" s="98"/>
      <c r="AL225" s="98"/>
      <c r="AM225" s="99"/>
      <c r="AN225" s="99"/>
      <c r="AO225" s="97"/>
      <c r="AP225" s="98"/>
      <c r="AQ225" s="98"/>
      <c r="AR225" s="98"/>
      <c r="AS225" s="98"/>
      <c r="AT225" s="98"/>
      <c r="AU225" s="99"/>
      <c r="AV225" s="99"/>
      <c r="AW225" s="97"/>
      <c r="AX225" s="98"/>
      <c r="AY225" s="98"/>
      <c r="AZ225" s="98"/>
      <c r="BA225" s="98"/>
      <c r="BB225" s="98"/>
      <c r="BC225" s="99"/>
      <c r="BD225" s="99"/>
      <c r="BE225" s="97"/>
      <c r="BF225" s="98"/>
      <c r="BG225" s="98"/>
      <c r="BH225" s="98"/>
      <c r="BI225" s="98"/>
      <c r="BJ225" s="98"/>
      <c r="BK225" s="99"/>
      <c r="BL225" s="99"/>
      <c r="BM225" s="97"/>
      <c r="BN225" s="98"/>
      <c r="BO225" s="98"/>
      <c r="BP225" s="98"/>
      <c r="BQ225" s="98"/>
      <c r="BR225" s="98"/>
      <c r="BS225" s="99"/>
      <c r="BT225" s="99"/>
    </row>
    <row r="226" spans="1:72">
      <c r="A226" s="97"/>
      <c r="B226" s="98"/>
      <c r="C226" s="98"/>
      <c r="D226" s="98"/>
      <c r="E226" s="98"/>
      <c r="F226" s="98"/>
      <c r="G226" s="99"/>
      <c r="H226" s="99"/>
      <c r="I226" s="97"/>
      <c r="J226" s="98"/>
      <c r="K226" s="98"/>
      <c r="L226" s="98"/>
      <c r="M226" s="98"/>
      <c r="N226" s="98"/>
      <c r="O226" s="99"/>
      <c r="P226" s="99"/>
      <c r="Q226" s="97"/>
      <c r="R226" s="98"/>
      <c r="S226" s="98"/>
      <c r="T226" s="98"/>
      <c r="U226" s="98"/>
      <c r="V226" s="98"/>
      <c r="W226" s="99"/>
      <c r="X226" s="99"/>
      <c r="Y226" s="97"/>
      <c r="Z226" s="98"/>
      <c r="AA226" s="98"/>
      <c r="AB226" s="98"/>
      <c r="AC226" s="98"/>
      <c r="AD226" s="98"/>
      <c r="AE226" s="99"/>
      <c r="AF226" s="99"/>
      <c r="AG226" s="97"/>
      <c r="AH226" s="98"/>
      <c r="AI226" s="98"/>
      <c r="AJ226" s="98"/>
      <c r="AK226" s="98"/>
      <c r="AL226" s="98"/>
      <c r="AM226" s="99"/>
      <c r="AN226" s="99"/>
      <c r="AO226" s="97"/>
      <c r="AP226" s="98"/>
      <c r="AQ226" s="98"/>
      <c r="AR226" s="98"/>
      <c r="AS226" s="98"/>
      <c r="AT226" s="98"/>
      <c r="AU226" s="99"/>
      <c r="AV226" s="99"/>
      <c r="AW226" s="97"/>
      <c r="AX226" s="98"/>
      <c r="AY226" s="98"/>
      <c r="AZ226" s="98"/>
      <c r="BA226" s="98"/>
      <c r="BB226" s="98"/>
      <c r="BC226" s="99"/>
      <c r="BD226" s="99"/>
      <c r="BE226" s="97"/>
      <c r="BF226" s="98"/>
      <c r="BG226" s="98"/>
      <c r="BH226" s="98"/>
      <c r="BI226" s="98"/>
      <c r="BJ226" s="98"/>
      <c r="BK226" s="99"/>
      <c r="BL226" s="99"/>
      <c r="BM226" s="97"/>
      <c r="BN226" s="98"/>
      <c r="BO226" s="98"/>
      <c r="BP226" s="98"/>
      <c r="BQ226" s="98"/>
      <c r="BR226" s="98"/>
      <c r="BS226" s="99"/>
      <c r="BT226" s="99"/>
    </row>
    <row r="227" spans="1:72">
      <c r="A227" s="97"/>
      <c r="B227" s="98"/>
      <c r="C227" s="98"/>
      <c r="D227" s="98"/>
      <c r="E227" s="98"/>
      <c r="F227" s="98"/>
      <c r="G227" s="99"/>
      <c r="H227" s="99"/>
      <c r="I227" s="97"/>
      <c r="J227" s="98"/>
      <c r="K227" s="98"/>
      <c r="L227" s="98"/>
      <c r="M227" s="98"/>
      <c r="N227" s="98"/>
      <c r="O227" s="99"/>
      <c r="P227" s="99"/>
      <c r="Q227" s="97"/>
      <c r="R227" s="98"/>
      <c r="S227" s="98"/>
      <c r="T227" s="98"/>
      <c r="U227" s="98"/>
      <c r="V227" s="98"/>
      <c r="W227" s="99"/>
      <c r="X227" s="99"/>
      <c r="Y227" s="97"/>
      <c r="Z227" s="98"/>
      <c r="AA227" s="98"/>
      <c r="AB227" s="98"/>
      <c r="AC227" s="98"/>
      <c r="AD227" s="98"/>
      <c r="AE227" s="99"/>
      <c r="AF227" s="99"/>
      <c r="AG227" s="97"/>
      <c r="AH227" s="98"/>
      <c r="AI227" s="98"/>
      <c r="AJ227" s="98"/>
      <c r="AK227" s="98"/>
      <c r="AL227" s="98"/>
      <c r="AM227" s="99"/>
      <c r="AN227" s="99"/>
      <c r="AO227" s="97"/>
      <c r="AP227" s="98"/>
      <c r="AQ227" s="98"/>
      <c r="AR227" s="98"/>
      <c r="AS227" s="98"/>
      <c r="AT227" s="98"/>
      <c r="AU227" s="99"/>
      <c r="AV227" s="99"/>
      <c r="AW227" s="97"/>
      <c r="AX227" s="98"/>
      <c r="AY227" s="98"/>
      <c r="AZ227" s="98"/>
      <c r="BA227" s="98"/>
      <c r="BB227" s="98"/>
      <c r="BC227" s="99"/>
      <c r="BD227" s="99"/>
      <c r="BE227" s="97"/>
      <c r="BF227" s="98"/>
      <c r="BG227" s="98"/>
      <c r="BH227" s="98"/>
      <c r="BI227" s="98"/>
      <c r="BJ227" s="98"/>
      <c r="BK227" s="99"/>
      <c r="BL227" s="99"/>
      <c r="BM227" s="97"/>
      <c r="BN227" s="98"/>
      <c r="BO227" s="98"/>
      <c r="BP227" s="98"/>
      <c r="BQ227" s="98"/>
      <c r="BR227" s="98"/>
      <c r="BS227" s="99"/>
      <c r="BT227" s="99"/>
    </row>
    <row r="228" spans="1:72">
      <c r="A228" s="97"/>
      <c r="B228" s="98"/>
      <c r="C228" s="98"/>
      <c r="D228" s="98"/>
      <c r="E228" s="98"/>
      <c r="F228" s="98"/>
      <c r="G228" s="99"/>
      <c r="H228" s="99"/>
      <c r="I228" s="97"/>
      <c r="J228" s="98"/>
      <c r="K228" s="98"/>
      <c r="L228" s="98"/>
      <c r="M228" s="98"/>
      <c r="N228" s="98"/>
      <c r="O228" s="99"/>
      <c r="P228" s="99"/>
      <c r="Q228" s="97"/>
      <c r="R228" s="98"/>
      <c r="S228" s="98"/>
      <c r="T228" s="98"/>
      <c r="U228" s="98"/>
      <c r="V228" s="98"/>
      <c r="W228" s="99"/>
      <c r="X228" s="99"/>
      <c r="Y228" s="97"/>
      <c r="Z228" s="98"/>
      <c r="AA228" s="98"/>
      <c r="AB228" s="98"/>
      <c r="AC228" s="98"/>
      <c r="AD228" s="98"/>
      <c r="AE228" s="99"/>
      <c r="AF228" s="99"/>
      <c r="AG228" s="97"/>
      <c r="AH228" s="98"/>
      <c r="AI228" s="98"/>
      <c r="AJ228" s="98"/>
      <c r="AK228" s="98"/>
      <c r="AL228" s="98"/>
      <c r="AM228" s="99"/>
      <c r="AN228" s="99"/>
      <c r="AO228" s="97"/>
      <c r="AP228" s="98"/>
      <c r="AQ228" s="98"/>
      <c r="AR228" s="98"/>
      <c r="AS228" s="98"/>
      <c r="AT228" s="98"/>
      <c r="AU228" s="99"/>
      <c r="AV228" s="99"/>
      <c r="AW228" s="97"/>
      <c r="AX228" s="98"/>
      <c r="AY228" s="98"/>
      <c r="AZ228" s="98"/>
      <c r="BA228" s="98"/>
      <c r="BB228" s="98"/>
      <c r="BC228" s="99"/>
      <c r="BD228" s="99"/>
      <c r="BE228" s="97"/>
      <c r="BF228" s="98"/>
      <c r="BG228" s="98"/>
      <c r="BH228" s="98"/>
      <c r="BI228" s="98"/>
      <c r="BJ228" s="98"/>
      <c r="BK228" s="99"/>
      <c r="BL228" s="99"/>
      <c r="BM228" s="97"/>
      <c r="BN228" s="98"/>
      <c r="BO228" s="98"/>
      <c r="BP228" s="98"/>
      <c r="BQ228" s="98"/>
      <c r="BR228" s="98"/>
      <c r="BS228" s="99"/>
      <c r="BT228" s="99"/>
    </row>
    <row r="229" spans="1:72">
      <c r="A229" s="97"/>
      <c r="B229" s="98"/>
      <c r="C229" s="98"/>
      <c r="D229" s="98"/>
      <c r="E229" s="98"/>
      <c r="F229" s="98"/>
      <c r="G229" s="99"/>
      <c r="H229" s="99"/>
      <c r="I229" s="97"/>
      <c r="J229" s="98"/>
      <c r="K229" s="98"/>
      <c r="L229" s="98"/>
      <c r="M229" s="98"/>
      <c r="N229" s="98"/>
      <c r="O229" s="99"/>
      <c r="P229" s="99"/>
      <c r="Q229" s="97"/>
      <c r="R229" s="98"/>
      <c r="S229" s="98"/>
      <c r="T229" s="98"/>
      <c r="U229" s="98"/>
      <c r="V229" s="98"/>
      <c r="W229" s="99"/>
      <c r="X229" s="99"/>
      <c r="Y229" s="97"/>
      <c r="Z229" s="98"/>
      <c r="AA229" s="98"/>
      <c r="AB229" s="98"/>
      <c r="AC229" s="98"/>
      <c r="AD229" s="98"/>
      <c r="AE229" s="99"/>
      <c r="AF229" s="99"/>
      <c r="AG229" s="97"/>
      <c r="AH229" s="98"/>
      <c r="AI229" s="98"/>
      <c r="AJ229" s="98"/>
      <c r="AK229" s="98"/>
      <c r="AL229" s="98"/>
      <c r="AM229" s="99"/>
      <c r="AN229" s="99"/>
      <c r="AO229" s="97"/>
      <c r="AP229" s="98"/>
      <c r="AQ229" s="98"/>
      <c r="AR229" s="98"/>
      <c r="AS229" s="98"/>
      <c r="AT229" s="98"/>
      <c r="AU229" s="99"/>
      <c r="AV229" s="99"/>
      <c r="AW229" s="97"/>
      <c r="AX229" s="98"/>
      <c r="AY229" s="98"/>
      <c r="AZ229" s="98"/>
      <c r="BA229" s="98"/>
      <c r="BB229" s="98"/>
      <c r="BC229" s="99"/>
      <c r="BD229" s="99"/>
      <c r="BE229" s="97"/>
      <c r="BF229" s="98"/>
      <c r="BG229" s="98"/>
      <c r="BH229" s="98"/>
      <c r="BI229" s="98"/>
      <c r="BJ229" s="98"/>
      <c r="BK229" s="99"/>
      <c r="BL229" s="99"/>
      <c r="BM229" s="97"/>
      <c r="BN229" s="98"/>
      <c r="BO229" s="98"/>
      <c r="BP229" s="98"/>
      <c r="BQ229" s="98"/>
      <c r="BR229" s="98"/>
      <c r="BS229" s="99"/>
      <c r="BT229" s="99"/>
    </row>
    <row r="230" spans="1:72">
      <c r="A230" s="97"/>
      <c r="B230" s="98"/>
      <c r="C230" s="98"/>
      <c r="D230" s="98"/>
      <c r="E230" s="98"/>
      <c r="F230" s="98"/>
      <c r="G230" s="99"/>
      <c r="H230" s="99"/>
      <c r="I230" s="97"/>
      <c r="J230" s="98"/>
      <c r="K230" s="98"/>
      <c r="L230" s="98"/>
      <c r="M230" s="98"/>
      <c r="N230" s="98"/>
      <c r="O230" s="99"/>
      <c r="P230" s="99"/>
      <c r="Q230" s="97"/>
      <c r="R230" s="98"/>
      <c r="S230" s="98"/>
      <c r="T230" s="98"/>
      <c r="U230" s="98"/>
      <c r="V230" s="98"/>
      <c r="W230" s="99"/>
      <c r="X230" s="99"/>
      <c r="Y230" s="97"/>
      <c r="Z230" s="98"/>
      <c r="AA230" s="98"/>
      <c r="AB230" s="98"/>
      <c r="AC230" s="98"/>
      <c r="AD230" s="98"/>
      <c r="AE230" s="99"/>
      <c r="AF230" s="99"/>
      <c r="AG230" s="97"/>
      <c r="AH230" s="98"/>
      <c r="AI230" s="98"/>
      <c r="AJ230" s="98"/>
      <c r="AK230" s="98"/>
      <c r="AL230" s="98"/>
      <c r="AM230" s="99"/>
      <c r="AN230" s="99"/>
      <c r="AO230" s="97"/>
      <c r="AP230" s="98"/>
      <c r="AQ230" s="98"/>
      <c r="AR230" s="98"/>
      <c r="AS230" s="98"/>
      <c r="AT230" s="98"/>
      <c r="AU230" s="99"/>
      <c r="AV230" s="99"/>
      <c r="AW230" s="97"/>
      <c r="AX230" s="98"/>
      <c r="AY230" s="98"/>
      <c r="AZ230" s="98"/>
      <c r="BA230" s="98"/>
      <c r="BB230" s="98"/>
      <c r="BC230" s="99"/>
      <c r="BD230" s="99"/>
      <c r="BE230" s="97"/>
      <c r="BF230" s="98"/>
      <c r="BG230" s="98"/>
      <c r="BH230" s="98"/>
      <c r="BI230" s="98"/>
      <c r="BJ230" s="98"/>
      <c r="BK230" s="99"/>
      <c r="BL230" s="99"/>
      <c r="BM230" s="97"/>
      <c r="BN230" s="98"/>
      <c r="BO230" s="98"/>
      <c r="BP230" s="98"/>
      <c r="BQ230" s="98"/>
      <c r="BR230" s="98"/>
      <c r="BS230" s="99"/>
      <c r="BT230" s="99"/>
    </row>
    <row r="231" spans="1:72">
      <c r="A231" s="97"/>
      <c r="B231" s="98"/>
      <c r="C231" s="98"/>
      <c r="D231" s="98"/>
      <c r="E231" s="98"/>
      <c r="F231" s="98"/>
      <c r="G231" s="99"/>
      <c r="H231" s="99"/>
      <c r="I231" s="97"/>
      <c r="J231" s="98"/>
      <c r="K231" s="98"/>
      <c r="L231" s="98"/>
      <c r="M231" s="98"/>
      <c r="N231" s="98"/>
      <c r="O231" s="99"/>
      <c r="P231" s="99"/>
      <c r="Q231" s="97"/>
      <c r="R231" s="98"/>
      <c r="S231" s="98"/>
      <c r="T231" s="98"/>
      <c r="U231" s="98"/>
      <c r="V231" s="98"/>
      <c r="W231" s="99"/>
      <c r="X231" s="99"/>
      <c r="Y231" s="97"/>
      <c r="Z231" s="98"/>
      <c r="AA231" s="98"/>
      <c r="AB231" s="98"/>
      <c r="AC231" s="98"/>
      <c r="AD231" s="98"/>
      <c r="AE231" s="99"/>
      <c r="AF231" s="99"/>
      <c r="AG231" s="97"/>
      <c r="AH231" s="98"/>
      <c r="AI231" s="98"/>
      <c r="AJ231" s="98"/>
      <c r="AK231" s="98"/>
      <c r="AL231" s="98"/>
      <c r="AM231" s="99"/>
      <c r="AN231" s="99"/>
      <c r="AO231" s="97"/>
      <c r="AP231" s="98"/>
      <c r="AQ231" s="98"/>
      <c r="AR231" s="98"/>
      <c r="AS231" s="98"/>
      <c r="AT231" s="98"/>
      <c r="AU231" s="99"/>
      <c r="AV231" s="99"/>
      <c r="AW231" s="97"/>
      <c r="AX231" s="98"/>
      <c r="AY231" s="98"/>
      <c r="AZ231" s="98"/>
      <c r="BA231" s="98"/>
      <c r="BB231" s="98"/>
      <c r="BC231" s="99"/>
      <c r="BD231" s="99"/>
      <c r="BE231" s="97"/>
      <c r="BF231" s="98"/>
      <c r="BG231" s="98"/>
      <c r="BH231" s="98"/>
      <c r="BI231" s="98"/>
      <c r="BJ231" s="98"/>
      <c r="BK231" s="99"/>
      <c r="BL231" s="99"/>
      <c r="BM231" s="97"/>
      <c r="BN231" s="98"/>
      <c r="BO231" s="98"/>
      <c r="BP231" s="98"/>
      <c r="BQ231" s="98"/>
      <c r="BR231" s="98"/>
      <c r="BS231" s="99"/>
      <c r="BT231" s="99"/>
    </row>
    <row r="232" spans="1:72">
      <c r="A232" s="97"/>
      <c r="B232" s="98"/>
      <c r="C232" s="98"/>
      <c r="D232" s="98"/>
      <c r="E232" s="98"/>
      <c r="F232" s="98"/>
      <c r="G232" s="99"/>
      <c r="H232" s="99"/>
      <c r="I232" s="97"/>
      <c r="J232" s="98"/>
      <c r="K232" s="98"/>
      <c r="L232" s="98"/>
      <c r="M232" s="98"/>
      <c r="N232" s="98"/>
      <c r="O232" s="99"/>
      <c r="P232" s="99"/>
      <c r="Q232" s="97"/>
      <c r="R232" s="98"/>
      <c r="S232" s="98"/>
      <c r="T232" s="98"/>
      <c r="U232" s="98"/>
      <c r="V232" s="98"/>
      <c r="W232" s="99"/>
      <c r="X232" s="99"/>
      <c r="Y232" s="97"/>
      <c r="Z232" s="98"/>
      <c r="AA232" s="98"/>
      <c r="AB232" s="98"/>
      <c r="AC232" s="98"/>
      <c r="AD232" s="98"/>
      <c r="AE232" s="99"/>
      <c r="AF232" s="99"/>
      <c r="AG232" s="97"/>
      <c r="AH232" s="98"/>
      <c r="AI232" s="98"/>
      <c r="AJ232" s="98"/>
      <c r="AK232" s="98"/>
      <c r="AL232" s="98"/>
      <c r="AM232" s="99"/>
      <c r="AN232" s="99"/>
      <c r="AO232" s="97"/>
      <c r="AP232" s="98"/>
      <c r="AQ232" s="98"/>
      <c r="AR232" s="98"/>
      <c r="AS232" s="98"/>
      <c r="AT232" s="98"/>
      <c r="AU232" s="99"/>
      <c r="AV232" s="99"/>
      <c r="AW232" s="97"/>
      <c r="AX232" s="98"/>
      <c r="AY232" s="98"/>
      <c r="AZ232" s="98"/>
      <c r="BA232" s="98"/>
      <c r="BB232" s="98"/>
      <c r="BC232" s="99"/>
      <c r="BD232" s="99"/>
      <c r="BE232" s="97"/>
      <c r="BF232" s="98"/>
      <c r="BG232" s="98"/>
      <c r="BH232" s="98"/>
      <c r="BI232" s="98"/>
      <c r="BJ232" s="98"/>
      <c r="BK232" s="99"/>
      <c r="BL232" s="99"/>
      <c r="BM232" s="97"/>
      <c r="BN232" s="98"/>
      <c r="BO232" s="98"/>
      <c r="BP232" s="98"/>
      <c r="BQ232" s="98"/>
      <c r="BR232" s="98"/>
      <c r="BS232" s="99"/>
      <c r="BT232" s="99"/>
    </row>
    <row r="233" spans="1:72">
      <c r="A233" s="97"/>
      <c r="B233" s="98"/>
      <c r="C233" s="98"/>
      <c r="D233" s="98"/>
      <c r="E233" s="98"/>
      <c r="F233" s="98"/>
      <c r="G233" s="99"/>
      <c r="H233" s="99"/>
      <c r="I233" s="97"/>
      <c r="J233" s="98"/>
      <c r="K233" s="98"/>
      <c r="L233" s="98"/>
      <c r="M233" s="98"/>
      <c r="N233" s="98"/>
      <c r="O233" s="99"/>
      <c r="P233" s="99"/>
      <c r="Q233" s="97"/>
      <c r="R233" s="98"/>
      <c r="S233" s="98"/>
      <c r="T233" s="98"/>
      <c r="U233" s="98"/>
      <c r="V233" s="98"/>
      <c r="W233" s="99"/>
      <c r="X233" s="99"/>
      <c r="Y233" s="97"/>
      <c r="Z233" s="98"/>
      <c r="AA233" s="98"/>
      <c r="AB233" s="98"/>
      <c r="AC233" s="98"/>
      <c r="AD233" s="98"/>
      <c r="AE233" s="99"/>
      <c r="AF233" s="99"/>
      <c r="AG233" s="97"/>
      <c r="AH233" s="98"/>
      <c r="AI233" s="98"/>
      <c r="AJ233" s="98"/>
      <c r="AK233" s="98"/>
      <c r="AL233" s="98"/>
      <c r="AM233" s="99"/>
      <c r="AN233" s="99"/>
      <c r="AO233" s="97"/>
      <c r="AP233" s="98"/>
      <c r="AQ233" s="98"/>
      <c r="AR233" s="98"/>
      <c r="AS233" s="98"/>
      <c r="AT233" s="98"/>
      <c r="AU233" s="99"/>
      <c r="AV233" s="99"/>
      <c r="AW233" s="97"/>
      <c r="AX233" s="98"/>
      <c r="AY233" s="98"/>
      <c r="AZ233" s="98"/>
      <c r="BA233" s="98"/>
      <c r="BB233" s="98"/>
      <c r="BC233" s="99"/>
      <c r="BD233" s="99"/>
      <c r="BE233" s="97"/>
      <c r="BF233" s="98"/>
      <c r="BG233" s="98"/>
      <c r="BH233" s="98"/>
      <c r="BI233" s="98"/>
      <c r="BJ233" s="98"/>
      <c r="BK233" s="99"/>
      <c r="BL233" s="99"/>
      <c r="BM233" s="97"/>
      <c r="BN233" s="98"/>
      <c r="BO233" s="98"/>
      <c r="BP233" s="98"/>
      <c r="BQ233" s="98"/>
      <c r="BR233" s="98"/>
      <c r="BS233" s="99"/>
      <c r="BT233" s="99"/>
    </row>
    <row r="234" spans="1:72">
      <c r="A234" s="97"/>
      <c r="B234" s="98"/>
      <c r="C234" s="98"/>
      <c r="D234" s="98"/>
      <c r="E234" s="98"/>
      <c r="F234" s="98"/>
      <c r="G234" s="99"/>
      <c r="H234" s="99"/>
      <c r="I234" s="97"/>
      <c r="J234" s="98"/>
      <c r="K234" s="98"/>
      <c r="L234" s="98"/>
      <c r="M234" s="98"/>
      <c r="N234" s="98"/>
      <c r="O234" s="99"/>
      <c r="P234" s="99"/>
      <c r="Q234" s="97"/>
      <c r="R234" s="98"/>
      <c r="S234" s="98"/>
      <c r="T234" s="98"/>
      <c r="U234" s="98"/>
      <c r="V234" s="98"/>
      <c r="W234" s="99"/>
      <c r="X234" s="99"/>
      <c r="Y234" s="97"/>
      <c r="Z234" s="98"/>
      <c r="AA234" s="98"/>
      <c r="AB234" s="98"/>
      <c r="AC234" s="98"/>
      <c r="AD234" s="98"/>
      <c r="AE234" s="99"/>
      <c r="AF234" s="99"/>
      <c r="AG234" s="97"/>
      <c r="AH234" s="98"/>
      <c r="AI234" s="98"/>
      <c r="AJ234" s="98"/>
      <c r="AK234" s="98"/>
      <c r="AL234" s="98"/>
      <c r="AM234" s="99"/>
      <c r="AN234" s="99"/>
      <c r="AO234" s="97"/>
      <c r="AP234" s="98"/>
      <c r="AQ234" s="98"/>
      <c r="AR234" s="98"/>
      <c r="AS234" s="98"/>
      <c r="AT234" s="98"/>
      <c r="AU234" s="99"/>
      <c r="AV234" s="99"/>
      <c r="AW234" s="97"/>
      <c r="AX234" s="98"/>
      <c r="AY234" s="98"/>
      <c r="AZ234" s="98"/>
      <c r="BA234" s="98"/>
      <c r="BB234" s="98"/>
      <c r="BC234" s="99"/>
      <c r="BD234" s="99"/>
      <c r="BE234" s="97"/>
      <c r="BF234" s="98"/>
      <c r="BG234" s="98"/>
      <c r="BH234" s="98"/>
      <c r="BI234" s="98"/>
      <c r="BJ234" s="98"/>
      <c r="BK234" s="99"/>
      <c r="BL234" s="99"/>
      <c r="BM234" s="97"/>
      <c r="BN234" s="98"/>
      <c r="BO234" s="98"/>
      <c r="BP234" s="98"/>
      <c r="BQ234" s="98"/>
      <c r="BR234" s="98"/>
      <c r="BS234" s="99"/>
      <c r="BT234" s="99"/>
    </row>
    <row r="235" spans="1:72">
      <c r="A235" s="97"/>
      <c r="B235" s="98"/>
      <c r="C235" s="98"/>
      <c r="D235" s="98"/>
      <c r="E235" s="98"/>
      <c r="F235" s="98"/>
      <c r="G235" s="99"/>
      <c r="H235" s="99"/>
      <c r="I235" s="97"/>
      <c r="J235" s="98"/>
      <c r="K235" s="98"/>
      <c r="L235" s="98"/>
      <c r="M235" s="98"/>
      <c r="N235" s="98"/>
      <c r="O235" s="99"/>
      <c r="P235" s="99"/>
      <c r="Q235" s="97"/>
      <c r="R235" s="98"/>
      <c r="S235" s="98"/>
      <c r="T235" s="98"/>
      <c r="U235" s="98"/>
      <c r="V235" s="98"/>
      <c r="W235" s="99"/>
      <c r="X235" s="99"/>
      <c r="Y235" s="97"/>
      <c r="Z235" s="98"/>
      <c r="AA235" s="98"/>
      <c r="AB235" s="98"/>
      <c r="AC235" s="98"/>
      <c r="AD235" s="98"/>
      <c r="AE235" s="99"/>
      <c r="AF235" s="99"/>
      <c r="AG235" s="97"/>
      <c r="AH235" s="98"/>
      <c r="AI235" s="98"/>
      <c r="AJ235" s="98"/>
      <c r="AK235" s="98"/>
      <c r="AL235" s="98"/>
      <c r="AM235" s="99"/>
      <c r="AN235" s="99"/>
      <c r="AO235" s="97"/>
      <c r="AP235" s="98"/>
      <c r="AQ235" s="98"/>
      <c r="AR235" s="98"/>
      <c r="AS235" s="98"/>
      <c r="AT235" s="98"/>
      <c r="AU235" s="99"/>
      <c r="AV235" s="99"/>
      <c r="AW235" s="97"/>
      <c r="AX235" s="98"/>
      <c r="AY235" s="98"/>
      <c r="AZ235" s="98"/>
      <c r="BA235" s="98"/>
      <c r="BB235" s="98"/>
      <c r="BC235" s="99"/>
      <c r="BD235" s="99"/>
      <c r="BE235" s="97"/>
      <c r="BF235" s="98"/>
      <c r="BG235" s="98"/>
      <c r="BH235" s="98"/>
      <c r="BI235" s="98"/>
      <c r="BJ235" s="98"/>
      <c r="BK235" s="99"/>
      <c r="BL235" s="99"/>
      <c r="BM235" s="97"/>
      <c r="BN235" s="98"/>
      <c r="BO235" s="98"/>
      <c r="BP235" s="98"/>
      <c r="BQ235" s="98"/>
      <c r="BR235" s="98"/>
      <c r="BS235" s="99"/>
      <c r="BT235" s="99"/>
    </row>
    <row r="236" spans="1:72">
      <c r="A236" s="97"/>
      <c r="B236" s="98"/>
      <c r="C236" s="98"/>
      <c r="D236" s="98"/>
      <c r="E236" s="98"/>
      <c r="F236" s="98"/>
      <c r="G236" s="99"/>
      <c r="H236" s="99"/>
      <c r="I236" s="97"/>
      <c r="J236" s="98"/>
      <c r="K236" s="98"/>
      <c r="L236" s="98"/>
      <c r="M236" s="98"/>
      <c r="N236" s="98"/>
      <c r="O236" s="99"/>
      <c r="P236" s="99"/>
      <c r="Q236" s="97"/>
      <c r="R236" s="98"/>
      <c r="S236" s="98"/>
      <c r="T236" s="98"/>
      <c r="U236" s="98"/>
      <c r="V236" s="98"/>
      <c r="W236" s="99"/>
      <c r="X236" s="99"/>
      <c r="Y236" s="97"/>
      <c r="Z236" s="98"/>
      <c r="AA236" s="98"/>
      <c r="AB236" s="98"/>
      <c r="AC236" s="98"/>
      <c r="AD236" s="98"/>
      <c r="AE236" s="99"/>
      <c r="AF236" s="99"/>
      <c r="AG236" s="97"/>
      <c r="AH236" s="98"/>
      <c r="AI236" s="98"/>
      <c r="AJ236" s="98"/>
      <c r="AK236" s="98"/>
      <c r="AL236" s="98"/>
      <c r="AM236" s="99"/>
      <c r="AN236" s="99"/>
      <c r="AO236" s="97"/>
      <c r="AP236" s="98"/>
      <c r="AQ236" s="98"/>
      <c r="AR236" s="98"/>
      <c r="AS236" s="98"/>
      <c r="AT236" s="98"/>
      <c r="AU236" s="99"/>
      <c r="AV236" s="99"/>
      <c r="AW236" s="97"/>
      <c r="AX236" s="98"/>
      <c r="AY236" s="98"/>
      <c r="AZ236" s="98"/>
      <c r="BA236" s="98"/>
      <c r="BB236" s="98"/>
      <c r="BC236" s="99"/>
      <c r="BD236" s="99"/>
      <c r="BE236" s="97"/>
      <c r="BF236" s="98"/>
      <c r="BG236" s="98"/>
      <c r="BH236" s="98"/>
      <c r="BI236" s="98"/>
      <c r="BJ236" s="98"/>
      <c r="BK236" s="99"/>
      <c r="BL236" s="99"/>
      <c r="BM236" s="97"/>
      <c r="BN236" s="98"/>
      <c r="BO236" s="98"/>
      <c r="BP236" s="98"/>
      <c r="BQ236" s="98"/>
      <c r="BR236" s="98"/>
      <c r="BS236" s="99"/>
      <c r="BT236" s="99"/>
    </row>
    <row r="237" spans="1:72">
      <c r="A237" s="97"/>
      <c r="B237" s="98"/>
      <c r="C237" s="98"/>
      <c r="D237" s="98"/>
      <c r="E237" s="98"/>
      <c r="F237" s="98"/>
      <c r="G237" s="99"/>
      <c r="H237" s="99"/>
      <c r="I237" s="97"/>
      <c r="J237" s="98"/>
      <c r="K237" s="98"/>
      <c r="L237" s="98"/>
      <c r="M237" s="98"/>
      <c r="N237" s="98"/>
      <c r="O237" s="99"/>
      <c r="P237" s="99"/>
      <c r="Q237" s="97"/>
      <c r="R237" s="98"/>
      <c r="S237" s="98"/>
      <c r="T237" s="98"/>
      <c r="U237" s="98"/>
      <c r="V237" s="98"/>
      <c r="W237" s="99"/>
      <c r="X237" s="99"/>
      <c r="Y237" s="97"/>
      <c r="Z237" s="98"/>
      <c r="AA237" s="98"/>
      <c r="AB237" s="98"/>
      <c r="AC237" s="98"/>
      <c r="AD237" s="98"/>
      <c r="AE237" s="99"/>
      <c r="AF237" s="99"/>
      <c r="AG237" s="97"/>
      <c r="AH237" s="98"/>
      <c r="AI237" s="98"/>
      <c r="AJ237" s="98"/>
      <c r="AK237" s="98"/>
      <c r="AL237" s="98"/>
      <c r="AM237" s="99"/>
      <c r="AN237" s="99"/>
      <c r="AO237" s="97"/>
      <c r="AP237" s="98"/>
      <c r="AQ237" s="98"/>
      <c r="AR237" s="98"/>
      <c r="AS237" s="98"/>
      <c r="AT237" s="98"/>
      <c r="AU237" s="99"/>
      <c r="AV237" s="99"/>
      <c r="AW237" s="97"/>
      <c r="AX237" s="98"/>
      <c r="AY237" s="98"/>
      <c r="AZ237" s="98"/>
      <c r="BA237" s="98"/>
      <c r="BB237" s="98"/>
      <c r="BC237" s="99"/>
      <c r="BD237" s="99"/>
      <c r="BE237" s="97"/>
      <c r="BF237" s="98"/>
      <c r="BG237" s="98"/>
      <c r="BH237" s="98"/>
      <c r="BI237" s="98"/>
      <c r="BJ237" s="98"/>
      <c r="BK237" s="99"/>
      <c r="BL237" s="99"/>
      <c r="BM237" s="97"/>
      <c r="BN237" s="98"/>
      <c r="BO237" s="98"/>
      <c r="BP237" s="98"/>
      <c r="BQ237" s="98"/>
      <c r="BR237" s="98"/>
      <c r="BS237" s="99"/>
      <c r="BT237" s="99"/>
    </row>
    <row r="238" spans="1:72">
      <c r="A238" s="97"/>
      <c r="B238" s="98"/>
      <c r="C238" s="98"/>
      <c r="D238" s="98"/>
      <c r="E238" s="98"/>
      <c r="F238" s="98"/>
      <c r="G238" s="99"/>
      <c r="H238" s="99"/>
      <c r="I238" s="97"/>
      <c r="J238" s="98"/>
      <c r="K238" s="98"/>
      <c r="L238" s="98"/>
      <c r="M238" s="98"/>
      <c r="N238" s="98"/>
      <c r="O238" s="99"/>
      <c r="P238" s="99"/>
      <c r="Q238" s="97"/>
      <c r="R238" s="98"/>
      <c r="S238" s="98"/>
      <c r="T238" s="98"/>
      <c r="U238" s="98"/>
      <c r="V238" s="98"/>
      <c r="W238" s="99"/>
      <c r="X238" s="99"/>
      <c r="Y238" s="97"/>
      <c r="Z238" s="98"/>
      <c r="AA238" s="98"/>
      <c r="AB238" s="98"/>
      <c r="AC238" s="98"/>
      <c r="AD238" s="98"/>
      <c r="AE238" s="99"/>
      <c r="AF238" s="99"/>
      <c r="AG238" s="97"/>
      <c r="AH238" s="98"/>
      <c r="AI238" s="98"/>
      <c r="AJ238" s="98"/>
      <c r="AK238" s="98"/>
      <c r="AL238" s="98"/>
      <c r="AM238" s="99"/>
      <c r="AN238" s="99"/>
      <c r="AO238" s="97"/>
      <c r="AP238" s="98"/>
      <c r="AQ238" s="98"/>
      <c r="AR238" s="98"/>
      <c r="AS238" s="98"/>
      <c r="AT238" s="98"/>
      <c r="AU238" s="99"/>
      <c r="AV238" s="99"/>
      <c r="AW238" s="97"/>
      <c r="AX238" s="98"/>
      <c r="AY238" s="98"/>
      <c r="AZ238" s="98"/>
      <c r="BA238" s="98"/>
      <c r="BB238" s="98"/>
      <c r="BC238" s="99"/>
      <c r="BD238" s="99"/>
      <c r="BE238" s="97"/>
      <c r="BF238" s="98"/>
      <c r="BG238" s="98"/>
      <c r="BH238" s="98"/>
      <c r="BI238" s="98"/>
      <c r="BJ238" s="98"/>
      <c r="BK238" s="99"/>
      <c r="BL238" s="99"/>
      <c r="BM238" s="97"/>
      <c r="BN238" s="98"/>
      <c r="BO238" s="98"/>
      <c r="BP238" s="98"/>
      <c r="BQ238" s="98"/>
      <c r="BR238" s="98"/>
      <c r="BS238" s="99"/>
      <c r="BT238" s="99"/>
    </row>
    <row r="239" spans="1:72">
      <c r="A239" s="97"/>
      <c r="B239" s="98"/>
      <c r="C239" s="98"/>
      <c r="D239" s="98"/>
      <c r="E239" s="98"/>
      <c r="F239" s="98"/>
      <c r="G239" s="99"/>
      <c r="H239" s="99"/>
      <c r="I239" s="97"/>
      <c r="J239" s="98"/>
      <c r="K239" s="98"/>
      <c r="L239" s="98"/>
      <c r="M239" s="98"/>
      <c r="N239" s="98"/>
      <c r="O239" s="99"/>
      <c r="P239" s="99"/>
      <c r="Q239" s="97"/>
      <c r="R239" s="98"/>
      <c r="S239" s="98"/>
      <c r="T239" s="98"/>
      <c r="U239" s="98"/>
      <c r="V239" s="98"/>
      <c r="W239" s="99"/>
      <c r="X239" s="99"/>
      <c r="Y239" s="97"/>
      <c r="Z239" s="98"/>
      <c r="AA239" s="98"/>
      <c r="AB239" s="98"/>
      <c r="AC239" s="98"/>
      <c r="AD239" s="98"/>
      <c r="AE239" s="99"/>
      <c r="AF239" s="99"/>
      <c r="AG239" s="97"/>
      <c r="AH239" s="98"/>
      <c r="AI239" s="98"/>
      <c r="AJ239" s="98"/>
      <c r="AK239" s="98"/>
      <c r="AL239" s="98"/>
      <c r="AM239" s="99"/>
      <c r="AN239" s="99"/>
      <c r="AO239" s="97"/>
      <c r="AP239" s="98"/>
      <c r="AQ239" s="98"/>
      <c r="AR239" s="98"/>
      <c r="AS239" s="98"/>
      <c r="AT239" s="98"/>
      <c r="AU239" s="99"/>
      <c r="AV239" s="99"/>
      <c r="AW239" s="97"/>
      <c r="AX239" s="98"/>
      <c r="AY239" s="98"/>
      <c r="AZ239" s="98"/>
      <c r="BA239" s="98"/>
      <c r="BB239" s="98"/>
      <c r="BC239" s="99"/>
      <c r="BD239" s="99"/>
      <c r="BE239" s="97"/>
      <c r="BF239" s="98"/>
      <c r="BG239" s="98"/>
      <c r="BH239" s="98"/>
      <c r="BI239" s="98"/>
      <c r="BJ239" s="98"/>
      <c r="BK239" s="99"/>
      <c r="BL239" s="99"/>
      <c r="BM239" s="97"/>
      <c r="BN239" s="98"/>
      <c r="BO239" s="98"/>
      <c r="BP239" s="98"/>
      <c r="BQ239" s="98"/>
      <c r="BR239" s="98"/>
      <c r="BS239" s="99"/>
      <c r="BT239" s="99"/>
    </row>
    <row r="240" spans="1:72">
      <c r="A240" s="97"/>
      <c r="B240" s="98"/>
      <c r="C240" s="98"/>
      <c r="D240" s="98"/>
      <c r="E240" s="98"/>
      <c r="F240" s="98"/>
      <c r="G240" s="99"/>
      <c r="H240" s="99"/>
      <c r="I240" s="97"/>
      <c r="J240" s="98"/>
      <c r="K240" s="98"/>
      <c r="L240" s="98"/>
      <c r="M240" s="98"/>
      <c r="N240" s="98"/>
      <c r="O240" s="99"/>
      <c r="P240" s="99"/>
      <c r="Q240" s="97"/>
      <c r="R240" s="98"/>
      <c r="S240" s="98"/>
      <c r="T240" s="98"/>
      <c r="U240" s="98"/>
      <c r="V240" s="98"/>
      <c r="W240" s="99"/>
      <c r="X240" s="99"/>
      <c r="Y240" s="97"/>
      <c r="Z240" s="98"/>
      <c r="AA240" s="98"/>
      <c r="AB240" s="98"/>
      <c r="AC240" s="98"/>
      <c r="AD240" s="98"/>
      <c r="AE240" s="99"/>
      <c r="AF240" s="99"/>
      <c r="AG240" s="97"/>
      <c r="AH240" s="98"/>
      <c r="AI240" s="98"/>
      <c r="AJ240" s="98"/>
      <c r="AK240" s="98"/>
      <c r="AL240" s="98"/>
      <c r="AM240" s="99"/>
      <c r="AN240" s="99"/>
      <c r="AO240" s="97"/>
      <c r="AP240" s="98"/>
      <c r="AQ240" s="98"/>
      <c r="AR240" s="98"/>
      <c r="AS240" s="98"/>
      <c r="AT240" s="98"/>
      <c r="AU240" s="99"/>
      <c r="AV240" s="99"/>
      <c r="AW240" s="97"/>
      <c r="AX240" s="98"/>
      <c r="AY240" s="98"/>
      <c r="AZ240" s="98"/>
      <c r="BA240" s="98"/>
      <c r="BB240" s="98"/>
      <c r="BC240" s="99"/>
      <c r="BD240" s="99"/>
      <c r="BE240" s="97"/>
      <c r="BF240" s="98"/>
      <c r="BG240" s="98"/>
      <c r="BH240" s="98"/>
      <c r="BI240" s="98"/>
      <c r="BJ240" s="98"/>
      <c r="BK240" s="99"/>
      <c r="BL240" s="99"/>
      <c r="BM240" s="97"/>
      <c r="BN240" s="98"/>
      <c r="BO240" s="98"/>
      <c r="BP240" s="98"/>
      <c r="BQ240" s="98"/>
      <c r="BR240" s="98"/>
      <c r="BS240" s="99"/>
      <c r="BT240" s="99"/>
    </row>
    <row r="241" spans="1:72">
      <c r="A241" s="97"/>
      <c r="B241" s="98"/>
      <c r="C241" s="98"/>
      <c r="D241" s="98"/>
      <c r="E241" s="98"/>
      <c r="F241" s="98"/>
      <c r="G241" s="99"/>
      <c r="H241" s="99"/>
      <c r="I241" s="97"/>
      <c r="J241" s="98"/>
      <c r="K241" s="98"/>
      <c r="L241" s="98"/>
      <c r="M241" s="98"/>
      <c r="N241" s="98"/>
      <c r="O241" s="99"/>
      <c r="P241" s="99"/>
      <c r="Q241" s="97"/>
      <c r="R241" s="98"/>
      <c r="S241" s="98"/>
      <c r="T241" s="98"/>
      <c r="U241" s="98"/>
      <c r="V241" s="98"/>
      <c r="W241" s="99"/>
      <c r="X241" s="99"/>
      <c r="Y241" s="97"/>
      <c r="Z241" s="98"/>
      <c r="AA241" s="98"/>
      <c r="AB241" s="98"/>
      <c r="AC241" s="98"/>
      <c r="AD241" s="98"/>
      <c r="AE241" s="99"/>
      <c r="AF241" s="99"/>
      <c r="AG241" s="97"/>
      <c r="AH241" s="98"/>
      <c r="AI241" s="98"/>
      <c r="AJ241" s="98"/>
      <c r="AK241" s="98"/>
      <c r="AL241" s="98"/>
      <c r="AM241" s="99"/>
      <c r="AN241" s="99"/>
      <c r="AO241" s="97"/>
      <c r="AP241" s="98"/>
      <c r="AQ241" s="98"/>
      <c r="AR241" s="98"/>
      <c r="AS241" s="98"/>
      <c r="AT241" s="98"/>
      <c r="AU241" s="99"/>
      <c r="AV241" s="99"/>
      <c r="AW241" s="97"/>
      <c r="AX241" s="98"/>
      <c r="AY241" s="98"/>
      <c r="AZ241" s="98"/>
      <c r="BA241" s="98"/>
      <c r="BB241" s="98"/>
      <c r="BC241" s="99"/>
      <c r="BD241" s="99"/>
      <c r="BE241" s="97"/>
      <c r="BF241" s="98"/>
      <c r="BG241" s="98"/>
      <c r="BH241" s="98"/>
      <c r="BI241" s="98"/>
      <c r="BJ241" s="98"/>
      <c r="BK241" s="99"/>
      <c r="BL241" s="99"/>
      <c r="BM241" s="97"/>
      <c r="BN241" s="98"/>
      <c r="BO241" s="98"/>
      <c r="BP241" s="98"/>
      <c r="BQ241" s="98"/>
      <c r="BR241" s="98"/>
      <c r="BS241" s="99"/>
      <c r="BT241" s="99"/>
    </row>
    <row r="242" spans="1:72">
      <c r="A242" s="97"/>
      <c r="B242" s="98"/>
      <c r="C242" s="98"/>
      <c r="D242" s="98"/>
      <c r="E242" s="98"/>
      <c r="F242" s="98"/>
      <c r="G242" s="99"/>
      <c r="H242" s="99"/>
      <c r="I242" s="97"/>
      <c r="J242" s="98"/>
      <c r="K242" s="98"/>
      <c r="L242" s="98"/>
      <c r="M242" s="98"/>
      <c r="N242" s="98"/>
      <c r="O242" s="99"/>
      <c r="P242" s="99"/>
      <c r="Q242" s="97"/>
      <c r="R242" s="98"/>
      <c r="S242" s="98"/>
      <c r="T242" s="98"/>
      <c r="U242" s="98"/>
      <c r="V242" s="98"/>
      <c r="W242" s="99"/>
      <c r="X242" s="99"/>
      <c r="Y242" s="97"/>
      <c r="Z242" s="98"/>
      <c r="AA242" s="98"/>
      <c r="AB242" s="98"/>
      <c r="AC242" s="98"/>
      <c r="AD242" s="98"/>
      <c r="AE242" s="99"/>
      <c r="AF242" s="99"/>
      <c r="AG242" s="97"/>
      <c r="AH242" s="98"/>
      <c r="AI242" s="98"/>
      <c r="AJ242" s="98"/>
      <c r="AK242" s="98"/>
      <c r="AL242" s="98"/>
      <c r="AM242" s="99"/>
      <c r="AN242" s="99"/>
      <c r="AO242" s="97"/>
      <c r="AP242" s="98"/>
      <c r="AQ242" s="98"/>
      <c r="AR242" s="98"/>
      <c r="AS242" s="98"/>
      <c r="AT242" s="98"/>
      <c r="AU242" s="99"/>
      <c r="AV242" s="99"/>
      <c r="AW242" s="97"/>
      <c r="AX242" s="98"/>
      <c r="AY242" s="98"/>
      <c r="AZ242" s="98"/>
      <c r="BA242" s="98"/>
      <c r="BB242" s="98"/>
      <c r="BC242" s="99"/>
      <c r="BD242" s="99"/>
      <c r="BE242" s="97"/>
      <c r="BF242" s="98"/>
      <c r="BG242" s="98"/>
      <c r="BH242" s="98"/>
      <c r="BI242" s="98"/>
      <c r="BJ242" s="98"/>
      <c r="BK242" s="99"/>
      <c r="BL242" s="99"/>
      <c r="BM242" s="97"/>
      <c r="BN242" s="98"/>
      <c r="BO242" s="98"/>
      <c r="BP242" s="98"/>
      <c r="BQ242" s="98"/>
      <c r="BR242" s="98"/>
      <c r="BS242" s="99"/>
      <c r="BT242" s="99"/>
    </row>
    <row r="243" spans="1:72">
      <c r="A243" s="97"/>
      <c r="B243" s="98"/>
      <c r="C243" s="98"/>
      <c r="D243" s="98"/>
      <c r="E243" s="98"/>
      <c r="F243" s="98"/>
      <c r="G243" s="99"/>
      <c r="H243" s="99"/>
      <c r="I243" s="97"/>
      <c r="J243" s="98"/>
      <c r="K243" s="98"/>
      <c r="L243" s="98"/>
      <c r="M243" s="98"/>
      <c r="N243" s="98"/>
      <c r="O243" s="99"/>
      <c r="P243" s="99"/>
      <c r="Q243" s="97"/>
      <c r="R243" s="98"/>
      <c r="S243" s="98"/>
      <c r="T243" s="98"/>
      <c r="U243" s="98"/>
      <c r="V243" s="98"/>
      <c r="W243" s="99"/>
      <c r="X243" s="99"/>
      <c r="Y243" s="97"/>
      <c r="Z243" s="98"/>
      <c r="AA243" s="98"/>
      <c r="AB243" s="98"/>
      <c r="AC243" s="98"/>
      <c r="AD243" s="98"/>
      <c r="AE243" s="99"/>
      <c r="AF243" s="99"/>
      <c r="AG243" s="97"/>
      <c r="AH243" s="98"/>
      <c r="AI243" s="98"/>
      <c r="AJ243" s="98"/>
      <c r="AK243" s="98"/>
      <c r="AL243" s="98"/>
      <c r="AM243" s="99"/>
      <c r="AN243" s="99"/>
      <c r="AO243" s="97"/>
      <c r="AP243" s="98"/>
      <c r="AQ243" s="98"/>
      <c r="AR243" s="98"/>
      <c r="AS243" s="98"/>
      <c r="AT243" s="98"/>
      <c r="AU243" s="99"/>
      <c r="AV243" s="99"/>
      <c r="AW243" s="97"/>
      <c r="AX243" s="98"/>
      <c r="AY243" s="98"/>
      <c r="AZ243" s="98"/>
      <c r="BA243" s="98"/>
      <c r="BB243" s="98"/>
      <c r="BC243" s="99"/>
      <c r="BD243" s="99"/>
      <c r="BE243" s="97"/>
      <c r="BF243" s="98"/>
      <c r="BG243" s="98"/>
      <c r="BH243" s="98"/>
      <c r="BI243" s="98"/>
      <c r="BJ243" s="98"/>
      <c r="BK243" s="99"/>
      <c r="BL243" s="99"/>
      <c r="BM243" s="97"/>
      <c r="BN243" s="98"/>
      <c r="BO243" s="98"/>
      <c r="BP243" s="98"/>
      <c r="BQ243" s="98"/>
      <c r="BR243" s="98"/>
      <c r="BS243" s="99"/>
      <c r="BT243" s="99"/>
    </row>
    <row r="244" spans="1:72">
      <c r="A244" s="97"/>
      <c r="B244" s="98"/>
      <c r="C244" s="98"/>
      <c r="D244" s="98"/>
      <c r="E244" s="98"/>
      <c r="F244" s="98"/>
      <c r="G244" s="99"/>
      <c r="H244" s="99"/>
      <c r="I244" s="97"/>
      <c r="J244" s="98"/>
      <c r="K244" s="98"/>
      <c r="L244" s="98"/>
      <c r="M244" s="98"/>
      <c r="N244" s="98"/>
      <c r="O244" s="99"/>
      <c r="P244" s="99"/>
      <c r="Q244" s="97"/>
      <c r="R244" s="98"/>
      <c r="S244" s="98"/>
      <c r="T244" s="98"/>
      <c r="U244" s="98"/>
      <c r="V244" s="98"/>
      <c r="W244" s="99"/>
      <c r="X244" s="99"/>
      <c r="Y244" s="97"/>
      <c r="Z244" s="98"/>
      <c r="AA244" s="98"/>
      <c r="AB244" s="98"/>
      <c r="AC244" s="98"/>
      <c r="AD244" s="98"/>
      <c r="AE244" s="99"/>
      <c r="AF244" s="99"/>
      <c r="AG244" s="97"/>
      <c r="AH244" s="98"/>
      <c r="AI244" s="98"/>
      <c r="AJ244" s="98"/>
      <c r="AK244" s="98"/>
      <c r="AL244" s="98"/>
      <c r="AM244" s="99"/>
      <c r="AN244" s="99"/>
      <c r="AO244" s="97"/>
      <c r="AP244" s="98"/>
      <c r="AQ244" s="98"/>
      <c r="AR244" s="98"/>
      <c r="AS244" s="98"/>
      <c r="AT244" s="98"/>
      <c r="AU244" s="99"/>
      <c r="AV244" s="99"/>
      <c r="AW244" s="97"/>
      <c r="AX244" s="98"/>
      <c r="AY244" s="98"/>
      <c r="AZ244" s="98"/>
      <c r="BA244" s="98"/>
      <c r="BB244" s="98"/>
      <c r="BC244" s="99"/>
      <c r="BD244" s="99"/>
      <c r="BE244" s="97"/>
      <c r="BF244" s="98"/>
      <c r="BG244" s="98"/>
      <c r="BH244" s="98"/>
      <c r="BI244" s="98"/>
      <c r="BJ244" s="98"/>
      <c r="BK244" s="99"/>
      <c r="BL244" s="99"/>
      <c r="BM244" s="97"/>
      <c r="BN244" s="98"/>
      <c r="BO244" s="98"/>
      <c r="BP244" s="98"/>
      <c r="BQ244" s="98"/>
      <c r="BR244" s="98"/>
      <c r="BS244" s="99"/>
      <c r="BT244" s="99"/>
    </row>
    <row r="245" spans="1:72">
      <c r="A245" s="97"/>
      <c r="B245" s="98"/>
      <c r="C245" s="98"/>
      <c r="D245" s="98"/>
      <c r="E245" s="98"/>
      <c r="F245" s="98"/>
      <c r="G245" s="99"/>
      <c r="H245" s="99"/>
      <c r="I245" s="97"/>
      <c r="J245" s="98"/>
      <c r="K245" s="98"/>
      <c r="L245" s="98"/>
      <c r="M245" s="98"/>
      <c r="N245" s="98"/>
      <c r="O245" s="99"/>
      <c r="P245" s="99"/>
      <c r="Q245" s="97"/>
      <c r="R245" s="98"/>
      <c r="S245" s="98"/>
      <c r="T245" s="98"/>
      <c r="U245" s="98"/>
      <c r="V245" s="98"/>
      <c r="W245" s="99"/>
      <c r="X245" s="99"/>
      <c r="Y245" s="97"/>
      <c r="Z245" s="98"/>
      <c r="AA245" s="98"/>
      <c r="AB245" s="98"/>
      <c r="AC245" s="98"/>
      <c r="AD245" s="98"/>
      <c r="AE245" s="99"/>
      <c r="AF245" s="99"/>
      <c r="AG245" s="97"/>
      <c r="AH245" s="98"/>
      <c r="AI245" s="98"/>
      <c r="AJ245" s="98"/>
      <c r="AK245" s="98"/>
      <c r="AL245" s="98"/>
      <c r="AM245" s="99"/>
      <c r="AN245" s="99"/>
      <c r="AO245" s="97"/>
      <c r="AP245" s="98"/>
      <c r="AQ245" s="98"/>
      <c r="AR245" s="98"/>
      <c r="AS245" s="98"/>
      <c r="AT245" s="98"/>
      <c r="AU245" s="99"/>
      <c r="AV245" s="99"/>
      <c r="AW245" s="97"/>
      <c r="AX245" s="98"/>
      <c r="AY245" s="98"/>
      <c r="AZ245" s="98"/>
      <c r="BA245" s="98"/>
      <c r="BB245" s="98"/>
      <c r="BC245" s="99"/>
      <c r="BD245" s="99"/>
      <c r="BE245" s="97"/>
      <c r="BF245" s="98"/>
      <c r="BG245" s="98"/>
      <c r="BH245" s="98"/>
      <c r="BI245" s="98"/>
      <c r="BJ245" s="98"/>
      <c r="BK245" s="99"/>
      <c r="BL245" s="99"/>
      <c r="BM245" s="97"/>
      <c r="BN245" s="98"/>
      <c r="BO245" s="98"/>
      <c r="BP245" s="98"/>
      <c r="BQ245" s="98"/>
      <c r="BR245" s="98"/>
      <c r="BS245" s="99"/>
      <c r="BT245" s="99"/>
    </row>
    <row r="246" spans="1:72">
      <c r="A246" s="97"/>
      <c r="B246" s="98"/>
      <c r="C246" s="98"/>
      <c r="D246" s="98"/>
      <c r="E246" s="98"/>
      <c r="F246" s="98"/>
      <c r="G246" s="99"/>
      <c r="H246" s="99"/>
      <c r="I246" s="97"/>
      <c r="J246" s="98"/>
      <c r="K246" s="98"/>
      <c r="L246" s="98"/>
      <c r="M246" s="98"/>
      <c r="N246" s="98"/>
      <c r="O246" s="99"/>
      <c r="P246" s="99"/>
      <c r="Q246" s="97"/>
      <c r="R246" s="98"/>
      <c r="S246" s="98"/>
      <c r="T246" s="98"/>
      <c r="U246" s="98"/>
      <c r="V246" s="98"/>
      <c r="W246" s="99"/>
      <c r="X246" s="99"/>
      <c r="Y246" s="97"/>
      <c r="Z246" s="98"/>
      <c r="AA246" s="98"/>
      <c r="AB246" s="98"/>
      <c r="AC246" s="98"/>
      <c r="AD246" s="98"/>
      <c r="AE246" s="99"/>
      <c r="AF246" s="99"/>
      <c r="AG246" s="97"/>
      <c r="AH246" s="98"/>
      <c r="AI246" s="98"/>
      <c r="AJ246" s="98"/>
      <c r="AK246" s="98"/>
      <c r="AL246" s="98"/>
      <c r="AM246" s="99"/>
      <c r="AN246" s="99"/>
      <c r="AO246" s="97"/>
      <c r="AP246" s="98"/>
      <c r="AQ246" s="98"/>
      <c r="AR246" s="98"/>
      <c r="AS246" s="98"/>
      <c r="AT246" s="98"/>
      <c r="AU246" s="99"/>
      <c r="AV246" s="99"/>
      <c r="AW246" s="97"/>
      <c r="AX246" s="98"/>
      <c r="AY246" s="98"/>
      <c r="AZ246" s="98"/>
      <c r="BA246" s="98"/>
      <c r="BB246" s="98"/>
      <c r="BC246" s="99"/>
      <c r="BD246" s="99"/>
      <c r="BE246" s="97"/>
      <c r="BF246" s="98"/>
      <c r="BG246" s="98"/>
      <c r="BH246" s="98"/>
      <c r="BI246" s="98"/>
      <c r="BJ246" s="98"/>
      <c r="BK246" s="99"/>
      <c r="BL246" s="99"/>
      <c r="BM246" s="97"/>
      <c r="BN246" s="98"/>
      <c r="BO246" s="98"/>
      <c r="BP246" s="98"/>
      <c r="BQ246" s="98"/>
      <c r="BR246" s="98"/>
      <c r="BS246" s="99"/>
      <c r="BT246" s="99"/>
    </row>
    <row r="247" spans="1:72">
      <c r="A247" s="97"/>
      <c r="B247" s="98"/>
      <c r="C247" s="98"/>
      <c r="D247" s="98"/>
      <c r="E247" s="98"/>
      <c r="F247" s="98"/>
      <c r="G247" s="99"/>
      <c r="H247" s="99"/>
      <c r="I247" s="97"/>
      <c r="J247" s="98"/>
      <c r="K247" s="98"/>
      <c r="L247" s="98"/>
      <c r="M247" s="98"/>
      <c r="N247" s="98"/>
      <c r="O247" s="99"/>
      <c r="P247" s="99"/>
      <c r="Q247" s="97"/>
      <c r="R247" s="98"/>
      <c r="S247" s="98"/>
      <c r="T247" s="98"/>
      <c r="U247" s="98"/>
      <c r="V247" s="98"/>
      <c r="W247" s="99"/>
      <c r="X247" s="99"/>
      <c r="Y247" s="97"/>
      <c r="Z247" s="98"/>
      <c r="AA247" s="98"/>
      <c r="AB247" s="98"/>
      <c r="AC247" s="98"/>
      <c r="AD247" s="98"/>
      <c r="AE247" s="99"/>
      <c r="AF247" s="99"/>
      <c r="AG247" s="97"/>
      <c r="AH247" s="98"/>
      <c r="AI247" s="98"/>
      <c r="AJ247" s="98"/>
      <c r="AK247" s="98"/>
      <c r="AL247" s="98"/>
      <c r="AM247" s="99"/>
      <c r="AN247" s="99"/>
      <c r="AO247" s="97"/>
      <c r="AP247" s="98"/>
      <c r="AQ247" s="98"/>
      <c r="AR247" s="98"/>
      <c r="AS247" s="98"/>
      <c r="AT247" s="98"/>
      <c r="AU247" s="99"/>
      <c r="AV247" s="99"/>
      <c r="AW247" s="97"/>
      <c r="AX247" s="98"/>
      <c r="AY247" s="98"/>
      <c r="AZ247" s="98"/>
      <c r="BA247" s="98"/>
      <c r="BB247" s="98"/>
      <c r="BC247" s="99"/>
      <c r="BD247" s="99"/>
      <c r="BE247" s="97"/>
      <c r="BF247" s="98"/>
      <c r="BG247" s="98"/>
      <c r="BH247" s="98"/>
      <c r="BI247" s="98"/>
      <c r="BJ247" s="98"/>
      <c r="BK247" s="99"/>
      <c r="BL247" s="99"/>
      <c r="BM247" s="97"/>
      <c r="BN247" s="98"/>
      <c r="BO247" s="98"/>
      <c r="BP247" s="98"/>
      <c r="BQ247" s="98"/>
      <c r="BR247" s="98"/>
      <c r="BS247" s="99"/>
      <c r="BT247" s="99"/>
    </row>
    <row r="248" spans="1:72">
      <c r="A248" s="97"/>
      <c r="B248" s="98"/>
      <c r="C248" s="98"/>
      <c r="D248" s="98"/>
      <c r="E248" s="98"/>
      <c r="F248" s="98"/>
      <c r="G248" s="99"/>
      <c r="H248" s="99"/>
      <c r="I248" s="97"/>
      <c r="J248" s="98"/>
      <c r="K248" s="98"/>
      <c r="L248" s="98"/>
      <c r="M248" s="98"/>
      <c r="N248" s="98"/>
      <c r="O248" s="99"/>
      <c r="P248" s="99"/>
      <c r="Q248" s="97"/>
      <c r="R248" s="98"/>
      <c r="S248" s="98"/>
      <c r="T248" s="98"/>
      <c r="U248" s="98"/>
      <c r="V248" s="98"/>
      <c r="W248" s="99"/>
      <c r="X248" s="99"/>
      <c r="Y248" s="97"/>
      <c r="Z248" s="98"/>
      <c r="AA248" s="98"/>
      <c r="AB248" s="98"/>
      <c r="AC248" s="98"/>
      <c r="AD248" s="98"/>
      <c r="AE248" s="99"/>
      <c r="AF248" s="99"/>
      <c r="AG248" s="97"/>
      <c r="AH248" s="98"/>
      <c r="AI248" s="98"/>
      <c r="AJ248" s="98"/>
      <c r="AK248" s="98"/>
      <c r="AL248" s="98"/>
      <c r="AM248" s="99"/>
      <c r="AN248" s="99"/>
      <c r="AO248" s="97"/>
      <c r="AP248" s="98"/>
      <c r="AQ248" s="98"/>
      <c r="AR248" s="98"/>
      <c r="AS248" s="98"/>
      <c r="AT248" s="98"/>
      <c r="AU248" s="99"/>
      <c r="AV248" s="99"/>
      <c r="AW248" s="97"/>
      <c r="AX248" s="98"/>
      <c r="AY248" s="98"/>
      <c r="AZ248" s="98"/>
      <c r="BA248" s="98"/>
      <c r="BB248" s="98"/>
      <c r="BC248" s="99"/>
      <c r="BD248" s="99"/>
      <c r="BE248" s="97"/>
      <c r="BF248" s="98"/>
      <c r="BG248" s="98"/>
      <c r="BH248" s="98"/>
      <c r="BI248" s="98"/>
      <c r="BJ248" s="98"/>
      <c r="BK248" s="99"/>
      <c r="BL248" s="99"/>
      <c r="BM248" s="97"/>
      <c r="BN248" s="98"/>
      <c r="BO248" s="98"/>
      <c r="BP248" s="98"/>
      <c r="BQ248" s="98"/>
      <c r="BR248" s="98"/>
      <c r="BS248" s="99"/>
      <c r="BT248" s="99"/>
    </row>
    <row r="249" spans="1:72">
      <c r="A249" s="97"/>
      <c r="B249" s="98"/>
      <c r="C249" s="98"/>
      <c r="D249" s="98"/>
      <c r="E249" s="98"/>
      <c r="F249" s="98"/>
      <c r="G249" s="99"/>
      <c r="H249" s="99"/>
      <c r="I249" s="97"/>
      <c r="J249" s="98"/>
      <c r="K249" s="98"/>
      <c r="L249" s="98"/>
      <c r="M249" s="98"/>
      <c r="N249" s="98"/>
      <c r="O249" s="99"/>
      <c r="P249" s="99"/>
      <c r="Q249" s="97"/>
      <c r="R249" s="98"/>
      <c r="S249" s="98"/>
      <c r="T249" s="98"/>
      <c r="U249" s="98"/>
      <c r="V249" s="98"/>
      <c r="W249" s="99"/>
      <c r="X249" s="99"/>
      <c r="Y249" s="97"/>
      <c r="Z249" s="98"/>
      <c r="AA249" s="98"/>
      <c r="AB249" s="98"/>
      <c r="AC249" s="98"/>
      <c r="AD249" s="98"/>
      <c r="AE249" s="99"/>
      <c r="AF249" s="99"/>
      <c r="AG249" s="97"/>
      <c r="AH249" s="98"/>
      <c r="AI249" s="98"/>
      <c r="AJ249" s="98"/>
      <c r="AK249" s="98"/>
      <c r="AL249" s="98"/>
      <c r="AM249" s="99"/>
      <c r="AN249" s="99"/>
      <c r="AO249" s="97"/>
      <c r="AP249" s="98"/>
      <c r="AQ249" s="98"/>
      <c r="AR249" s="98"/>
      <c r="AS249" s="98"/>
      <c r="AT249" s="98"/>
      <c r="AU249" s="99"/>
      <c r="AV249" s="99"/>
      <c r="AW249" s="97"/>
      <c r="AX249" s="98"/>
      <c r="AY249" s="98"/>
      <c r="AZ249" s="98"/>
      <c r="BA249" s="98"/>
      <c r="BB249" s="98"/>
      <c r="BC249" s="99"/>
      <c r="BD249" s="99"/>
      <c r="BE249" s="97"/>
      <c r="BF249" s="98"/>
      <c r="BG249" s="98"/>
      <c r="BH249" s="98"/>
      <c r="BI249" s="98"/>
      <c r="BJ249" s="98"/>
      <c r="BK249" s="99"/>
      <c r="BL249" s="99"/>
      <c r="BM249" s="97"/>
      <c r="BN249" s="98"/>
      <c r="BO249" s="98"/>
      <c r="BP249" s="98"/>
      <c r="BQ249" s="98"/>
      <c r="BR249" s="98"/>
      <c r="BS249" s="99"/>
      <c r="BT249" s="99"/>
    </row>
    <row r="250" spans="1:72">
      <c r="A250" s="97"/>
      <c r="B250" s="98"/>
      <c r="C250" s="98"/>
      <c r="D250" s="98"/>
      <c r="E250" s="98"/>
      <c r="F250" s="98"/>
      <c r="G250" s="99"/>
      <c r="H250" s="99"/>
      <c r="I250" s="97"/>
      <c r="J250" s="98"/>
      <c r="K250" s="98"/>
      <c r="L250" s="98"/>
      <c r="M250" s="98"/>
      <c r="N250" s="98"/>
      <c r="O250" s="99"/>
      <c r="P250" s="99"/>
      <c r="Q250" s="97"/>
      <c r="R250" s="98"/>
      <c r="S250" s="98"/>
      <c r="T250" s="98"/>
      <c r="U250" s="98"/>
      <c r="V250" s="98"/>
      <c r="W250" s="99"/>
      <c r="X250" s="99"/>
      <c r="Y250" s="97"/>
      <c r="Z250" s="98"/>
      <c r="AA250" s="98"/>
      <c r="AB250" s="98"/>
      <c r="AC250" s="98"/>
      <c r="AD250" s="98"/>
      <c r="AE250" s="99"/>
      <c r="AF250" s="99"/>
      <c r="AG250" s="97"/>
      <c r="AH250" s="98"/>
      <c r="AI250" s="98"/>
      <c r="AJ250" s="98"/>
      <c r="AK250" s="98"/>
      <c r="AL250" s="98"/>
      <c r="AM250" s="99"/>
      <c r="AN250" s="99"/>
      <c r="AO250" s="97"/>
      <c r="AP250" s="98"/>
      <c r="AQ250" s="98"/>
      <c r="AR250" s="98"/>
      <c r="AS250" s="98"/>
      <c r="AT250" s="98"/>
      <c r="AU250" s="99"/>
      <c r="AV250" s="99"/>
      <c r="AW250" s="97"/>
      <c r="AX250" s="98"/>
      <c r="AY250" s="98"/>
      <c r="AZ250" s="98"/>
      <c r="BA250" s="98"/>
      <c r="BB250" s="98"/>
      <c r="BC250" s="99"/>
      <c r="BD250" s="99"/>
      <c r="BE250" s="97"/>
      <c r="BF250" s="98"/>
      <c r="BG250" s="98"/>
      <c r="BH250" s="98"/>
      <c r="BI250" s="98"/>
      <c r="BJ250" s="98"/>
      <c r="BK250" s="99"/>
      <c r="BL250" s="99"/>
      <c r="BM250" s="97"/>
      <c r="BN250" s="98"/>
      <c r="BO250" s="98"/>
      <c r="BP250" s="98"/>
      <c r="BQ250" s="98"/>
      <c r="BR250" s="98"/>
      <c r="BS250" s="99"/>
      <c r="BT250" s="99"/>
    </row>
    <row r="251" spans="1:72">
      <c r="A251" s="97"/>
      <c r="B251" s="98"/>
      <c r="C251" s="98"/>
      <c r="D251" s="98"/>
      <c r="E251" s="98"/>
      <c r="F251" s="98"/>
      <c r="G251" s="99"/>
      <c r="H251" s="99"/>
      <c r="I251" s="97"/>
      <c r="J251" s="98"/>
      <c r="K251" s="98"/>
      <c r="L251" s="98"/>
      <c r="M251" s="98"/>
      <c r="N251" s="98"/>
      <c r="O251" s="99"/>
      <c r="P251" s="99"/>
      <c r="Q251" s="97"/>
      <c r="R251" s="98"/>
      <c r="S251" s="98"/>
      <c r="T251" s="98"/>
      <c r="U251" s="98"/>
      <c r="V251" s="98"/>
      <c r="W251" s="99"/>
      <c r="X251" s="99"/>
      <c r="Y251" s="97"/>
      <c r="Z251" s="98"/>
      <c r="AA251" s="98"/>
      <c r="AB251" s="98"/>
      <c r="AC251" s="98"/>
      <c r="AD251" s="98"/>
      <c r="AE251" s="99"/>
      <c r="AF251" s="99"/>
      <c r="AG251" s="97"/>
      <c r="AH251" s="98"/>
      <c r="AI251" s="98"/>
      <c r="AJ251" s="98"/>
      <c r="AK251" s="98"/>
      <c r="AL251" s="98"/>
      <c r="AM251" s="99"/>
      <c r="AN251" s="99"/>
      <c r="AO251" s="97"/>
      <c r="AP251" s="98"/>
      <c r="AQ251" s="98"/>
      <c r="AR251" s="98"/>
      <c r="AS251" s="98"/>
      <c r="AT251" s="98"/>
      <c r="AU251" s="99"/>
      <c r="AV251" s="99"/>
      <c r="AW251" s="97"/>
      <c r="AX251" s="98"/>
      <c r="AY251" s="98"/>
      <c r="AZ251" s="98"/>
      <c r="BA251" s="98"/>
      <c r="BB251" s="98"/>
      <c r="BC251" s="99"/>
      <c r="BD251" s="99"/>
      <c r="BE251" s="97"/>
      <c r="BF251" s="98"/>
      <c r="BG251" s="98"/>
      <c r="BH251" s="98"/>
      <c r="BI251" s="98"/>
      <c r="BJ251" s="98"/>
      <c r="BK251" s="99"/>
      <c r="BL251" s="99"/>
      <c r="BM251" s="97"/>
      <c r="BN251" s="98"/>
      <c r="BO251" s="98"/>
      <c r="BP251" s="98"/>
      <c r="BQ251" s="98"/>
      <c r="BR251" s="98"/>
      <c r="BS251" s="99"/>
      <c r="BT251" s="99"/>
    </row>
    <row r="252" spans="1:72">
      <c r="A252" s="97"/>
      <c r="B252" s="98"/>
      <c r="C252" s="98"/>
      <c r="D252" s="98"/>
      <c r="E252" s="98"/>
      <c r="F252" s="98"/>
      <c r="G252" s="99"/>
      <c r="H252" s="99"/>
      <c r="I252" s="97"/>
      <c r="J252" s="98"/>
      <c r="K252" s="98"/>
      <c r="L252" s="98"/>
      <c r="M252" s="98"/>
      <c r="N252" s="98"/>
      <c r="O252" s="99"/>
      <c r="P252" s="99"/>
      <c r="Q252" s="97"/>
      <c r="R252" s="98"/>
      <c r="S252" s="98"/>
      <c r="T252" s="98"/>
      <c r="U252" s="98"/>
      <c r="V252" s="98"/>
      <c r="W252" s="99"/>
      <c r="X252" s="99"/>
      <c r="Y252" s="97"/>
      <c r="Z252" s="98"/>
      <c r="AA252" s="98"/>
      <c r="AB252" s="98"/>
      <c r="AC252" s="98"/>
      <c r="AD252" s="98"/>
      <c r="AE252" s="99"/>
      <c r="AF252" s="99"/>
      <c r="AG252" s="97"/>
      <c r="AH252" s="98"/>
      <c r="AI252" s="98"/>
      <c r="AJ252" s="98"/>
      <c r="AK252" s="98"/>
      <c r="AL252" s="98"/>
      <c r="AM252" s="99"/>
      <c r="AN252" s="99"/>
      <c r="AO252" s="97"/>
      <c r="AP252" s="98"/>
      <c r="AQ252" s="98"/>
      <c r="AR252" s="98"/>
      <c r="AS252" s="98"/>
      <c r="AT252" s="98"/>
      <c r="AU252" s="99"/>
      <c r="AV252" s="99"/>
      <c r="AW252" s="97"/>
      <c r="AX252" s="98"/>
      <c r="AY252" s="98"/>
      <c r="AZ252" s="98"/>
      <c r="BA252" s="98"/>
      <c r="BB252" s="98"/>
      <c r="BC252" s="99"/>
      <c r="BD252" s="99"/>
      <c r="BE252" s="97"/>
      <c r="BF252" s="98"/>
      <c r="BG252" s="98"/>
      <c r="BH252" s="98"/>
      <c r="BI252" s="98"/>
      <c r="BJ252" s="98"/>
      <c r="BK252" s="99"/>
      <c r="BL252" s="99"/>
      <c r="BM252" s="97"/>
      <c r="BN252" s="98"/>
      <c r="BO252" s="98"/>
      <c r="BP252" s="98"/>
      <c r="BQ252" s="98"/>
      <c r="BR252" s="98"/>
      <c r="BS252" s="99"/>
      <c r="BT252" s="99"/>
    </row>
    <row r="253" spans="1:72">
      <c r="A253" s="97"/>
      <c r="B253" s="98"/>
      <c r="C253" s="98"/>
      <c r="D253" s="98"/>
      <c r="E253" s="98"/>
      <c r="F253" s="98"/>
      <c r="G253" s="99"/>
      <c r="H253" s="99"/>
      <c r="I253" s="97"/>
      <c r="J253" s="98"/>
      <c r="K253" s="98"/>
      <c r="L253" s="98"/>
      <c r="M253" s="98"/>
      <c r="N253" s="98"/>
      <c r="O253" s="99"/>
      <c r="P253" s="99"/>
      <c r="Q253" s="97"/>
      <c r="R253" s="98"/>
      <c r="S253" s="98"/>
      <c r="T253" s="98"/>
      <c r="U253" s="98"/>
      <c r="V253" s="98"/>
      <c r="W253" s="99"/>
      <c r="X253" s="99"/>
      <c r="Y253" s="97"/>
      <c r="Z253" s="98"/>
      <c r="AA253" s="98"/>
      <c r="AB253" s="98"/>
      <c r="AC253" s="98"/>
      <c r="AD253" s="98"/>
      <c r="AE253" s="99"/>
      <c r="AF253" s="99"/>
      <c r="AG253" s="97"/>
      <c r="AH253" s="98"/>
      <c r="AI253" s="98"/>
      <c r="AJ253" s="98"/>
      <c r="AK253" s="98"/>
      <c r="AL253" s="98"/>
      <c r="AM253" s="99"/>
      <c r="AN253" s="99"/>
      <c r="AO253" s="97"/>
      <c r="AP253" s="98"/>
      <c r="AQ253" s="98"/>
      <c r="AR253" s="98"/>
      <c r="AS253" s="98"/>
      <c r="AT253" s="98"/>
      <c r="AU253" s="99"/>
      <c r="AV253" s="99"/>
      <c r="AW253" s="97"/>
      <c r="AX253" s="98"/>
      <c r="AY253" s="98"/>
      <c r="AZ253" s="98"/>
      <c r="BA253" s="98"/>
      <c r="BB253" s="98"/>
      <c r="BC253" s="99"/>
      <c r="BD253" s="99"/>
      <c r="BE253" s="97"/>
      <c r="BF253" s="98"/>
      <c r="BG253" s="98"/>
      <c r="BH253" s="98"/>
      <c r="BI253" s="98"/>
      <c r="BJ253" s="98"/>
      <c r="BK253" s="99"/>
      <c r="BL253" s="99"/>
      <c r="BM253" s="97"/>
      <c r="BN253" s="98"/>
      <c r="BO253" s="98"/>
      <c r="BP253" s="98"/>
      <c r="BQ253" s="98"/>
      <c r="BR253" s="98"/>
      <c r="BS253" s="99"/>
      <c r="BT253" s="99"/>
    </row>
    <row r="254" spans="1:72">
      <c r="A254" s="97"/>
      <c r="B254" s="98"/>
      <c r="C254" s="98"/>
      <c r="D254" s="98"/>
      <c r="E254" s="98"/>
      <c r="F254" s="98"/>
      <c r="G254" s="99"/>
      <c r="H254" s="99"/>
      <c r="I254" s="97"/>
      <c r="J254" s="98"/>
      <c r="K254" s="98"/>
      <c r="L254" s="98"/>
      <c r="M254" s="98"/>
      <c r="N254" s="98"/>
      <c r="O254" s="99"/>
      <c r="P254" s="99"/>
      <c r="Q254" s="97"/>
      <c r="R254" s="98"/>
      <c r="S254" s="98"/>
      <c r="T254" s="98"/>
      <c r="U254" s="98"/>
      <c r="V254" s="98"/>
      <c r="W254" s="99"/>
      <c r="X254" s="99"/>
      <c r="Y254" s="97"/>
      <c r="Z254" s="98"/>
      <c r="AA254" s="98"/>
      <c r="AB254" s="98"/>
      <c r="AC254" s="98"/>
      <c r="AD254" s="98"/>
      <c r="AE254" s="99"/>
      <c r="AF254" s="99"/>
      <c r="AG254" s="97"/>
      <c r="AH254" s="98"/>
      <c r="AI254" s="98"/>
      <c r="AJ254" s="98"/>
      <c r="AK254" s="98"/>
      <c r="AL254" s="98"/>
      <c r="AM254" s="99"/>
      <c r="AN254" s="99"/>
      <c r="AO254" s="97"/>
      <c r="AP254" s="98"/>
      <c r="AQ254" s="98"/>
      <c r="AR254" s="98"/>
      <c r="AS254" s="98"/>
      <c r="AT254" s="98"/>
      <c r="AU254" s="99"/>
      <c r="AV254" s="99"/>
      <c r="AW254" s="97"/>
      <c r="AX254" s="98"/>
      <c r="AY254" s="98"/>
      <c r="AZ254" s="98"/>
      <c r="BA254" s="98"/>
      <c r="BB254" s="98"/>
      <c r="BC254" s="99"/>
      <c r="BD254" s="99"/>
      <c r="BE254" s="97"/>
      <c r="BF254" s="98"/>
      <c r="BG254" s="98"/>
      <c r="BH254" s="98"/>
      <c r="BI254" s="98"/>
      <c r="BJ254" s="98"/>
      <c r="BK254" s="99"/>
      <c r="BL254" s="99"/>
      <c r="BM254" s="97"/>
      <c r="BN254" s="98"/>
      <c r="BO254" s="98"/>
      <c r="BP254" s="98"/>
      <c r="BQ254" s="98"/>
      <c r="BR254" s="98"/>
      <c r="BS254" s="99"/>
      <c r="BT254" s="99"/>
    </row>
    <row r="255" spans="1:72">
      <c r="A255" s="97"/>
      <c r="B255" s="98"/>
      <c r="C255" s="98"/>
      <c r="D255" s="98"/>
      <c r="E255" s="98"/>
      <c r="F255" s="98"/>
      <c r="G255" s="99"/>
      <c r="H255" s="99"/>
      <c r="I255" s="97"/>
      <c r="J255" s="98"/>
      <c r="K255" s="98"/>
      <c r="L255" s="98"/>
      <c r="M255" s="98"/>
      <c r="N255" s="98"/>
      <c r="O255" s="99"/>
      <c r="P255" s="99"/>
      <c r="Q255" s="97"/>
      <c r="R255" s="98"/>
      <c r="S255" s="98"/>
      <c r="T255" s="98"/>
      <c r="U255" s="98"/>
      <c r="V255" s="98"/>
      <c r="W255" s="99"/>
      <c r="X255" s="99"/>
      <c r="Y255" s="97"/>
      <c r="Z255" s="98"/>
      <c r="AA255" s="98"/>
      <c r="AB255" s="98"/>
      <c r="AC255" s="98"/>
      <c r="AD255" s="98"/>
      <c r="AE255" s="99"/>
      <c r="AF255" s="99"/>
      <c r="AG255" s="97"/>
      <c r="AH255" s="98"/>
      <c r="AI255" s="98"/>
      <c r="AJ255" s="98"/>
      <c r="AK255" s="98"/>
      <c r="AL255" s="98"/>
      <c r="AM255" s="99"/>
      <c r="AN255" s="99"/>
      <c r="AO255" s="97"/>
      <c r="AP255" s="98"/>
      <c r="AQ255" s="98"/>
      <c r="AR255" s="98"/>
      <c r="AS255" s="98"/>
      <c r="AT255" s="98"/>
      <c r="AU255" s="99"/>
      <c r="AV255" s="99"/>
      <c r="AW255" s="97"/>
      <c r="AX255" s="98"/>
      <c r="AY255" s="98"/>
      <c r="AZ255" s="98"/>
      <c r="BA255" s="98"/>
      <c r="BB255" s="98"/>
      <c r="BC255" s="99"/>
      <c r="BD255" s="99"/>
      <c r="BE255" s="97"/>
      <c r="BF255" s="98"/>
      <c r="BG255" s="98"/>
      <c r="BH255" s="98"/>
      <c r="BI255" s="98"/>
      <c r="BJ255" s="98"/>
      <c r="BK255" s="99"/>
      <c r="BL255" s="99"/>
      <c r="BM255" s="97"/>
      <c r="BN255" s="98"/>
      <c r="BO255" s="98"/>
      <c r="BP255" s="98"/>
      <c r="BQ255" s="98"/>
      <c r="BR255" s="98"/>
      <c r="BS255" s="99"/>
      <c r="BT255" s="99"/>
    </row>
    <row r="256" spans="1:72">
      <c r="A256" s="97"/>
      <c r="B256" s="98"/>
      <c r="C256" s="98"/>
      <c r="D256" s="98"/>
      <c r="E256" s="98"/>
      <c r="F256" s="98"/>
      <c r="G256" s="99"/>
      <c r="H256" s="99"/>
      <c r="I256" s="97"/>
      <c r="J256" s="98"/>
      <c r="K256" s="98"/>
      <c r="L256" s="98"/>
      <c r="M256" s="98"/>
      <c r="N256" s="98"/>
      <c r="O256" s="99"/>
      <c r="P256" s="99"/>
      <c r="Q256" s="97"/>
      <c r="R256" s="98"/>
      <c r="S256" s="98"/>
      <c r="T256" s="98"/>
      <c r="U256" s="98"/>
      <c r="V256" s="98"/>
      <c r="W256" s="99"/>
      <c r="X256" s="99"/>
      <c r="Y256" s="97"/>
      <c r="Z256" s="98"/>
      <c r="AA256" s="98"/>
      <c r="AB256" s="98"/>
      <c r="AC256" s="98"/>
      <c r="AD256" s="98"/>
      <c r="AE256" s="99"/>
      <c r="AF256" s="99"/>
      <c r="AG256" s="97"/>
      <c r="AH256" s="98"/>
      <c r="AI256" s="98"/>
      <c r="AJ256" s="98"/>
      <c r="AK256" s="98"/>
      <c r="AL256" s="98"/>
      <c r="AM256" s="99"/>
      <c r="AN256" s="99"/>
      <c r="AO256" s="97"/>
      <c r="AP256" s="98"/>
      <c r="AQ256" s="98"/>
      <c r="AR256" s="98"/>
      <c r="AS256" s="98"/>
      <c r="AT256" s="98"/>
      <c r="AU256" s="99"/>
      <c r="AV256" s="99"/>
      <c r="AW256" s="97"/>
      <c r="AX256" s="98"/>
      <c r="AY256" s="98"/>
      <c r="AZ256" s="98"/>
      <c r="BA256" s="98"/>
      <c r="BB256" s="98"/>
      <c r="BC256" s="99"/>
      <c r="BD256" s="99"/>
      <c r="BE256" s="97"/>
      <c r="BF256" s="98"/>
      <c r="BG256" s="98"/>
      <c r="BH256" s="98"/>
      <c r="BI256" s="98"/>
      <c r="BJ256" s="98"/>
      <c r="BK256" s="99"/>
      <c r="BL256" s="99"/>
      <c r="BM256" s="97"/>
      <c r="BN256" s="98"/>
      <c r="BO256" s="98"/>
      <c r="BP256" s="98"/>
      <c r="BQ256" s="98"/>
      <c r="BR256" s="98"/>
      <c r="BS256" s="99"/>
      <c r="BT256" s="99"/>
    </row>
    <row r="257" spans="1:72">
      <c r="A257" s="97"/>
      <c r="B257" s="98"/>
      <c r="C257" s="98"/>
      <c r="D257" s="98"/>
      <c r="E257" s="98"/>
      <c r="F257" s="98"/>
      <c r="G257" s="99"/>
      <c r="H257" s="99"/>
      <c r="I257" s="97"/>
      <c r="J257" s="98"/>
      <c r="K257" s="98"/>
      <c r="L257" s="98"/>
      <c r="M257" s="98"/>
      <c r="N257" s="98"/>
      <c r="O257" s="99"/>
      <c r="P257" s="99"/>
      <c r="Q257" s="97"/>
      <c r="R257" s="98"/>
      <c r="S257" s="98"/>
      <c r="T257" s="98"/>
      <c r="U257" s="98"/>
      <c r="V257" s="98"/>
      <c r="W257" s="99"/>
      <c r="X257" s="99"/>
      <c r="Y257" s="97"/>
      <c r="Z257" s="98"/>
      <c r="AA257" s="98"/>
      <c r="AB257" s="98"/>
      <c r="AC257" s="98"/>
      <c r="AD257" s="98"/>
      <c r="AE257" s="99"/>
      <c r="AF257" s="99"/>
      <c r="AG257" s="97"/>
      <c r="AH257" s="98"/>
      <c r="AI257" s="98"/>
      <c r="AJ257" s="98"/>
      <c r="AK257" s="98"/>
      <c r="AL257" s="98"/>
      <c r="AM257" s="99"/>
      <c r="AN257" s="99"/>
      <c r="AO257" s="97"/>
      <c r="AP257" s="98"/>
      <c r="AQ257" s="98"/>
      <c r="AR257" s="98"/>
      <c r="AS257" s="98"/>
      <c r="AT257" s="98"/>
      <c r="AU257" s="99"/>
      <c r="AV257" s="99"/>
      <c r="AW257" s="97"/>
      <c r="AX257" s="98"/>
      <c r="AY257" s="98"/>
      <c r="AZ257" s="98"/>
      <c r="BA257" s="98"/>
      <c r="BB257" s="98"/>
      <c r="BC257" s="99"/>
      <c r="BD257" s="99"/>
      <c r="BE257" s="97"/>
      <c r="BF257" s="98"/>
      <c r="BG257" s="98"/>
      <c r="BH257" s="98"/>
      <c r="BI257" s="98"/>
      <c r="BJ257" s="98"/>
      <c r="BK257" s="99"/>
      <c r="BL257" s="99"/>
      <c r="BM257" s="97"/>
      <c r="BN257" s="98"/>
      <c r="BO257" s="98"/>
      <c r="BP257" s="98"/>
      <c r="BQ257" s="98"/>
      <c r="BR257" s="98"/>
      <c r="BS257" s="99"/>
      <c r="BT257" s="99"/>
    </row>
    <row r="258" spans="1:72">
      <c r="A258" s="97"/>
      <c r="B258" s="98"/>
      <c r="C258" s="98"/>
      <c r="D258" s="98"/>
      <c r="E258" s="98"/>
      <c r="F258" s="98"/>
      <c r="G258" s="99"/>
      <c r="H258" s="99"/>
      <c r="I258" s="97"/>
      <c r="J258" s="98"/>
      <c r="K258" s="98"/>
      <c r="L258" s="98"/>
      <c r="M258" s="98"/>
      <c r="N258" s="98"/>
      <c r="O258" s="99"/>
      <c r="P258" s="99"/>
      <c r="Q258" s="97"/>
      <c r="R258" s="98"/>
      <c r="S258" s="98"/>
      <c r="T258" s="98"/>
      <c r="U258" s="98"/>
      <c r="V258" s="98"/>
      <c r="W258" s="99"/>
      <c r="X258" s="99"/>
      <c r="Y258" s="97"/>
      <c r="Z258" s="98"/>
      <c r="AA258" s="98"/>
      <c r="AB258" s="98"/>
      <c r="AC258" s="98"/>
      <c r="AD258" s="98"/>
      <c r="AE258" s="99"/>
      <c r="AF258" s="99"/>
      <c r="AG258" s="97"/>
      <c r="AH258" s="98"/>
      <c r="AI258" s="98"/>
      <c r="AJ258" s="98"/>
      <c r="AK258" s="98"/>
      <c r="AL258" s="98"/>
      <c r="AM258" s="99"/>
      <c r="AN258" s="99"/>
      <c r="AO258" s="97"/>
      <c r="AP258" s="98"/>
      <c r="AQ258" s="98"/>
      <c r="AR258" s="98"/>
      <c r="AS258" s="98"/>
      <c r="AT258" s="98"/>
      <c r="AU258" s="99"/>
      <c r="AV258" s="99"/>
      <c r="AW258" s="97"/>
      <c r="AX258" s="98"/>
      <c r="AY258" s="98"/>
      <c r="AZ258" s="98"/>
      <c r="BA258" s="98"/>
      <c r="BB258" s="98"/>
      <c r="BC258" s="99"/>
      <c r="BD258" s="99"/>
      <c r="BE258" s="97"/>
      <c r="BF258" s="98"/>
      <c r="BG258" s="98"/>
      <c r="BH258" s="98"/>
      <c r="BI258" s="98"/>
      <c r="BJ258" s="98"/>
      <c r="BK258" s="99"/>
      <c r="BL258" s="99"/>
      <c r="BM258" s="97"/>
      <c r="BN258" s="98"/>
      <c r="BO258" s="98"/>
      <c r="BP258" s="98"/>
      <c r="BQ258" s="98"/>
      <c r="BR258" s="98"/>
      <c r="BS258" s="99"/>
      <c r="BT258" s="99"/>
    </row>
    <row r="259" spans="1:72">
      <c r="A259" s="97"/>
      <c r="B259" s="98"/>
      <c r="C259" s="98"/>
      <c r="D259" s="98"/>
      <c r="E259" s="98"/>
      <c r="F259" s="98"/>
      <c r="G259" s="99"/>
      <c r="H259" s="99"/>
      <c r="I259" s="97"/>
      <c r="J259" s="98"/>
      <c r="K259" s="98"/>
      <c r="L259" s="98"/>
      <c r="M259" s="98"/>
      <c r="N259" s="98"/>
      <c r="O259" s="99"/>
      <c r="P259" s="99"/>
      <c r="Q259" s="97"/>
      <c r="R259" s="98"/>
      <c r="S259" s="98"/>
      <c r="T259" s="98"/>
      <c r="U259" s="98"/>
      <c r="V259" s="98"/>
      <c r="W259" s="99"/>
      <c r="X259" s="99"/>
      <c r="Y259" s="97"/>
      <c r="Z259" s="98"/>
      <c r="AA259" s="98"/>
      <c r="AB259" s="98"/>
      <c r="AC259" s="98"/>
      <c r="AD259" s="98"/>
      <c r="AE259" s="99"/>
      <c r="AF259" s="99"/>
      <c r="AG259" s="97"/>
      <c r="AH259" s="98"/>
      <c r="AI259" s="98"/>
      <c r="AJ259" s="98"/>
      <c r="AK259" s="98"/>
      <c r="AL259" s="98"/>
      <c r="AM259" s="99"/>
      <c r="AN259" s="99"/>
      <c r="AO259" s="97"/>
      <c r="AP259" s="98"/>
      <c r="AQ259" s="98"/>
      <c r="AR259" s="98"/>
      <c r="AS259" s="98"/>
      <c r="AT259" s="98"/>
      <c r="AU259" s="99"/>
      <c r="AV259" s="99"/>
      <c r="AW259" s="97"/>
      <c r="AX259" s="98"/>
      <c r="AY259" s="98"/>
      <c r="AZ259" s="98"/>
      <c r="BA259" s="98"/>
      <c r="BB259" s="98"/>
      <c r="BC259" s="99"/>
      <c r="BD259" s="99"/>
      <c r="BE259" s="97"/>
      <c r="BF259" s="98"/>
      <c r="BG259" s="98"/>
      <c r="BH259" s="98"/>
      <c r="BI259" s="98"/>
      <c r="BJ259" s="98"/>
      <c r="BK259" s="99"/>
      <c r="BL259" s="99"/>
      <c r="BM259" s="97"/>
      <c r="BN259" s="98"/>
      <c r="BO259" s="98"/>
      <c r="BP259" s="98"/>
      <c r="BQ259" s="98"/>
      <c r="BR259" s="98"/>
      <c r="BS259" s="99"/>
      <c r="BT259" s="99"/>
    </row>
    <row r="260" spans="1:72">
      <c r="A260" s="97"/>
      <c r="B260" s="98"/>
      <c r="C260" s="98"/>
      <c r="D260" s="98"/>
      <c r="E260" s="98"/>
      <c r="F260" s="98"/>
      <c r="G260" s="99"/>
      <c r="H260" s="99"/>
      <c r="I260" s="97"/>
      <c r="J260" s="98"/>
      <c r="K260" s="98"/>
      <c r="L260" s="98"/>
      <c r="M260" s="98"/>
      <c r="N260" s="98"/>
      <c r="O260" s="99"/>
      <c r="P260" s="99"/>
      <c r="Q260" s="97"/>
      <c r="R260" s="98"/>
      <c r="S260" s="98"/>
      <c r="T260" s="98"/>
      <c r="U260" s="98"/>
      <c r="V260" s="98"/>
      <c r="W260" s="99"/>
      <c r="X260" s="99"/>
      <c r="Y260" s="97"/>
      <c r="Z260" s="98"/>
      <c r="AA260" s="98"/>
      <c r="AB260" s="98"/>
      <c r="AC260" s="98"/>
      <c r="AD260" s="98"/>
      <c r="AE260" s="99"/>
      <c r="AF260" s="99"/>
      <c r="AG260" s="97"/>
      <c r="AH260" s="98"/>
      <c r="AI260" s="98"/>
      <c r="AJ260" s="98"/>
      <c r="AK260" s="98"/>
      <c r="AL260" s="98"/>
      <c r="AM260" s="99"/>
      <c r="AN260" s="99"/>
      <c r="AO260" s="97"/>
      <c r="AP260" s="98"/>
      <c r="AQ260" s="98"/>
      <c r="AR260" s="98"/>
      <c r="AS260" s="98"/>
      <c r="AT260" s="98"/>
      <c r="AU260" s="99"/>
      <c r="AV260" s="99"/>
      <c r="AW260" s="97"/>
      <c r="AX260" s="98"/>
      <c r="AY260" s="98"/>
      <c r="AZ260" s="98"/>
      <c r="BA260" s="98"/>
      <c r="BB260" s="98"/>
      <c r="BC260" s="99"/>
      <c r="BD260" s="99"/>
      <c r="BE260" s="97"/>
      <c r="BF260" s="98"/>
      <c r="BG260" s="98"/>
      <c r="BH260" s="98"/>
      <c r="BI260" s="98"/>
      <c r="BJ260" s="98"/>
      <c r="BK260" s="99"/>
      <c r="BL260" s="99"/>
      <c r="BM260" s="97"/>
      <c r="BN260" s="98"/>
      <c r="BO260" s="98"/>
      <c r="BP260" s="98"/>
      <c r="BQ260" s="98"/>
      <c r="BR260" s="98"/>
      <c r="BS260" s="99"/>
      <c r="BT260" s="99"/>
    </row>
    <row r="261" spans="1:72">
      <c r="A261" s="97"/>
      <c r="B261" s="98"/>
      <c r="C261" s="98"/>
      <c r="D261" s="98"/>
      <c r="E261" s="98"/>
      <c r="F261" s="98"/>
      <c r="G261" s="99"/>
      <c r="H261" s="99"/>
      <c r="I261" s="97"/>
      <c r="J261" s="98"/>
      <c r="K261" s="98"/>
      <c r="L261" s="98"/>
      <c r="M261" s="98"/>
      <c r="N261" s="98"/>
      <c r="O261" s="99"/>
      <c r="P261" s="99"/>
      <c r="Q261" s="97"/>
      <c r="R261" s="98"/>
      <c r="S261" s="98"/>
      <c r="T261" s="98"/>
      <c r="U261" s="98"/>
      <c r="V261" s="98"/>
      <c r="W261" s="99"/>
      <c r="X261" s="99"/>
      <c r="Y261" s="97"/>
      <c r="Z261" s="98"/>
      <c r="AA261" s="98"/>
      <c r="AB261" s="98"/>
      <c r="AC261" s="98"/>
      <c r="AD261" s="98"/>
      <c r="AE261" s="99"/>
      <c r="AF261" s="99"/>
      <c r="AG261" s="97"/>
      <c r="AH261" s="98"/>
      <c r="AI261" s="98"/>
      <c r="AJ261" s="98"/>
      <c r="AK261" s="98"/>
      <c r="AL261" s="98"/>
      <c r="AM261" s="99"/>
      <c r="AN261" s="99"/>
      <c r="AO261" s="97"/>
      <c r="AP261" s="98"/>
      <c r="AQ261" s="98"/>
      <c r="AR261" s="98"/>
      <c r="AS261" s="98"/>
      <c r="AT261" s="98"/>
      <c r="AU261" s="99"/>
      <c r="AV261" s="99"/>
      <c r="AW261" s="97"/>
      <c r="AX261" s="98"/>
      <c r="AY261" s="98"/>
      <c r="AZ261" s="98"/>
      <c r="BA261" s="98"/>
      <c r="BB261" s="98"/>
      <c r="BC261" s="99"/>
      <c r="BD261" s="99"/>
      <c r="BE261" s="97"/>
      <c r="BF261" s="98"/>
      <c r="BG261" s="98"/>
      <c r="BH261" s="98"/>
      <c r="BI261" s="98"/>
      <c r="BJ261" s="98"/>
      <c r="BK261" s="99"/>
      <c r="BL261" s="99"/>
      <c r="BM261" s="97"/>
      <c r="BN261" s="98"/>
      <c r="BO261" s="98"/>
      <c r="BP261" s="98"/>
      <c r="BQ261" s="98"/>
      <c r="BR261" s="98"/>
      <c r="BS261" s="99"/>
      <c r="BT261" s="99"/>
    </row>
    <row r="262" spans="1:72">
      <c r="A262" s="97"/>
      <c r="B262" s="98"/>
      <c r="C262" s="98"/>
      <c r="D262" s="98"/>
      <c r="E262" s="98"/>
      <c r="F262" s="98"/>
      <c r="G262" s="99"/>
      <c r="H262" s="99"/>
      <c r="I262" s="97"/>
      <c r="J262" s="98"/>
      <c r="K262" s="98"/>
      <c r="L262" s="98"/>
      <c r="M262" s="98"/>
      <c r="N262" s="98"/>
      <c r="O262" s="99"/>
      <c r="P262" s="99"/>
      <c r="Q262" s="97"/>
      <c r="R262" s="98"/>
      <c r="S262" s="98"/>
      <c r="T262" s="98"/>
      <c r="U262" s="98"/>
      <c r="V262" s="98"/>
      <c r="W262" s="99"/>
      <c r="X262" s="99"/>
      <c r="Y262" s="97"/>
      <c r="Z262" s="98"/>
      <c r="AA262" s="98"/>
      <c r="AB262" s="98"/>
      <c r="AC262" s="98"/>
      <c r="AD262" s="98"/>
      <c r="AE262" s="99"/>
      <c r="AF262" s="99"/>
      <c r="AG262" s="97"/>
      <c r="AH262" s="98"/>
      <c r="AI262" s="98"/>
      <c r="AJ262" s="98"/>
      <c r="AK262" s="98"/>
      <c r="AL262" s="98"/>
      <c r="AM262" s="99"/>
      <c r="AN262" s="99"/>
      <c r="AO262" s="97"/>
      <c r="AP262" s="98"/>
      <c r="AQ262" s="98"/>
      <c r="AR262" s="98"/>
      <c r="AS262" s="98"/>
      <c r="AT262" s="98"/>
      <c r="AU262" s="99"/>
      <c r="AV262" s="99"/>
      <c r="AW262" s="97"/>
      <c r="AX262" s="98"/>
      <c r="AY262" s="98"/>
      <c r="AZ262" s="98"/>
      <c r="BA262" s="98"/>
      <c r="BB262" s="98"/>
      <c r="BC262" s="99"/>
      <c r="BD262" s="99"/>
      <c r="BE262" s="97"/>
      <c r="BF262" s="98"/>
      <c r="BG262" s="98"/>
      <c r="BH262" s="98"/>
      <c r="BI262" s="98"/>
      <c r="BJ262" s="98"/>
      <c r="BK262" s="99"/>
      <c r="BL262" s="99"/>
      <c r="BM262" s="97"/>
      <c r="BN262" s="98"/>
      <c r="BO262" s="98"/>
      <c r="BP262" s="98"/>
      <c r="BQ262" s="98"/>
      <c r="BR262" s="98"/>
      <c r="BS262" s="99"/>
      <c r="BT262" s="99"/>
    </row>
    <row r="263" spans="1:72">
      <c r="A263" s="97"/>
      <c r="B263" s="98"/>
      <c r="C263" s="98"/>
      <c r="D263" s="98"/>
      <c r="E263" s="98"/>
      <c r="F263" s="98"/>
      <c r="G263" s="99"/>
      <c r="H263" s="99"/>
      <c r="I263" s="97"/>
      <c r="J263" s="98"/>
      <c r="K263" s="98"/>
      <c r="L263" s="98"/>
      <c r="M263" s="98"/>
      <c r="N263" s="98"/>
      <c r="O263" s="99"/>
      <c r="P263" s="99"/>
      <c r="Q263" s="97"/>
      <c r="R263" s="98"/>
      <c r="S263" s="98"/>
      <c r="T263" s="98"/>
      <c r="U263" s="98"/>
      <c r="V263" s="98"/>
      <c r="W263" s="99"/>
      <c r="X263" s="99"/>
      <c r="Y263" s="97"/>
      <c r="Z263" s="98"/>
      <c r="AA263" s="98"/>
      <c r="AB263" s="98"/>
      <c r="AC263" s="98"/>
      <c r="AD263" s="98"/>
      <c r="AE263" s="99"/>
      <c r="AF263" s="99"/>
      <c r="AG263" s="97"/>
      <c r="AH263" s="98"/>
      <c r="AI263" s="98"/>
      <c r="AJ263" s="98"/>
      <c r="AK263" s="98"/>
      <c r="AL263" s="98"/>
      <c r="AM263" s="99"/>
      <c r="AN263" s="99"/>
      <c r="AO263" s="97"/>
      <c r="AP263" s="98"/>
      <c r="AQ263" s="98"/>
      <c r="AR263" s="98"/>
      <c r="AS263" s="98"/>
      <c r="AT263" s="98"/>
      <c r="AU263" s="99"/>
      <c r="AV263" s="99"/>
      <c r="AW263" s="97"/>
      <c r="AX263" s="98"/>
      <c r="AY263" s="98"/>
      <c r="AZ263" s="98"/>
      <c r="BA263" s="98"/>
      <c r="BB263" s="98"/>
      <c r="BC263" s="99"/>
      <c r="BD263" s="99"/>
      <c r="BE263" s="97"/>
      <c r="BF263" s="98"/>
      <c r="BG263" s="98"/>
      <c r="BH263" s="98"/>
      <c r="BI263" s="98"/>
      <c r="BJ263" s="98"/>
      <c r="BK263" s="99"/>
      <c r="BL263" s="99"/>
      <c r="BM263" s="97"/>
      <c r="BN263" s="98"/>
      <c r="BO263" s="98"/>
      <c r="BP263" s="98"/>
      <c r="BQ263" s="98"/>
      <c r="BR263" s="98"/>
      <c r="BS263" s="99"/>
      <c r="BT263" s="99"/>
    </row>
    <row r="264" spans="1:72">
      <c r="A264" s="97"/>
      <c r="B264" s="98"/>
      <c r="C264" s="98"/>
      <c r="D264" s="98"/>
      <c r="E264" s="98"/>
      <c r="F264" s="98"/>
      <c r="G264" s="99"/>
      <c r="H264" s="99"/>
      <c r="I264" s="97"/>
      <c r="J264" s="98"/>
      <c r="K264" s="98"/>
      <c r="L264" s="98"/>
      <c r="M264" s="98"/>
      <c r="N264" s="98"/>
      <c r="O264" s="99"/>
      <c r="P264" s="99"/>
      <c r="Q264" s="97"/>
      <c r="R264" s="98"/>
      <c r="S264" s="98"/>
      <c r="T264" s="98"/>
      <c r="U264" s="98"/>
      <c r="V264" s="98"/>
      <c r="W264" s="99"/>
      <c r="X264" s="99"/>
      <c r="Y264" s="97"/>
      <c r="Z264" s="98"/>
      <c r="AA264" s="98"/>
      <c r="AB264" s="98"/>
      <c r="AC264" s="98"/>
      <c r="AD264" s="98"/>
      <c r="AE264" s="99"/>
      <c r="AF264" s="99"/>
      <c r="AG264" s="97"/>
      <c r="AH264" s="98"/>
      <c r="AI264" s="98"/>
      <c r="AJ264" s="98"/>
      <c r="AK264" s="98"/>
      <c r="AL264" s="98"/>
      <c r="AM264" s="99"/>
      <c r="AN264" s="99"/>
      <c r="AO264" s="97"/>
      <c r="AP264" s="98"/>
      <c r="AQ264" s="98"/>
      <c r="AR264" s="98"/>
      <c r="AS264" s="98"/>
      <c r="AT264" s="98"/>
      <c r="AU264" s="99"/>
      <c r="AV264" s="99"/>
      <c r="AW264" s="97"/>
      <c r="AX264" s="98"/>
      <c r="AY264" s="98"/>
      <c r="AZ264" s="98"/>
      <c r="BA264" s="98"/>
      <c r="BB264" s="98"/>
      <c r="BC264" s="99"/>
      <c r="BD264" s="99"/>
      <c r="BE264" s="97"/>
      <c r="BF264" s="98"/>
      <c r="BG264" s="98"/>
      <c r="BH264" s="98"/>
      <c r="BI264" s="98"/>
      <c r="BJ264" s="98"/>
      <c r="BK264" s="99"/>
      <c r="BL264" s="99"/>
      <c r="BM264" s="97"/>
      <c r="BN264" s="98"/>
      <c r="BO264" s="98"/>
      <c r="BP264" s="98"/>
      <c r="BQ264" s="98"/>
      <c r="BR264" s="98"/>
      <c r="BS264" s="99"/>
      <c r="BT264" s="99"/>
    </row>
    <row r="265" spans="1:72">
      <c r="A265" s="97"/>
      <c r="B265" s="98"/>
      <c r="C265" s="98"/>
      <c r="D265" s="98"/>
      <c r="E265" s="98"/>
      <c r="F265" s="98"/>
      <c r="G265" s="99"/>
      <c r="H265" s="99"/>
      <c r="I265" s="97"/>
      <c r="J265" s="98"/>
      <c r="K265" s="98"/>
      <c r="L265" s="98"/>
      <c r="M265" s="98"/>
      <c r="N265" s="98"/>
      <c r="O265" s="99"/>
      <c r="P265" s="99"/>
      <c r="Q265" s="97"/>
      <c r="R265" s="98"/>
      <c r="S265" s="98"/>
      <c r="T265" s="98"/>
      <c r="U265" s="98"/>
      <c r="V265" s="98"/>
      <c r="W265" s="99"/>
      <c r="X265" s="99"/>
      <c r="Y265" s="97"/>
      <c r="Z265" s="98"/>
      <c r="AA265" s="98"/>
      <c r="AB265" s="98"/>
      <c r="AC265" s="98"/>
      <c r="AD265" s="98"/>
      <c r="AE265" s="99"/>
      <c r="AF265" s="99"/>
      <c r="AG265" s="97"/>
      <c r="AH265" s="98"/>
      <c r="AI265" s="98"/>
      <c r="AJ265" s="98"/>
      <c r="AK265" s="98"/>
      <c r="AL265" s="98"/>
      <c r="AM265" s="99"/>
      <c r="AN265" s="99"/>
      <c r="AO265" s="97"/>
      <c r="AP265" s="98"/>
      <c r="AQ265" s="98"/>
      <c r="AR265" s="98"/>
      <c r="AS265" s="98"/>
      <c r="AT265" s="98"/>
      <c r="AU265" s="99"/>
      <c r="AV265" s="99"/>
      <c r="AW265" s="97"/>
      <c r="AX265" s="98"/>
      <c r="AY265" s="98"/>
      <c r="AZ265" s="98"/>
      <c r="BA265" s="98"/>
      <c r="BB265" s="98"/>
      <c r="BC265" s="99"/>
      <c r="BD265" s="99"/>
      <c r="BE265" s="97"/>
      <c r="BF265" s="98"/>
      <c r="BG265" s="98"/>
      <c r="BH265" s="98"/>
      <c r="BI265" s="98"/>
      <c r="BJ265" s="98"/>
      <c r="BK265" s="99"/>
      <c r="BL265" s="99"/>
      <c r="BM265" s="97"/>
      <c r="BN265" s="98"/>
      <c r="BO265" s="98"/>
      <c r="BP265" s="98"/>
      <c r="BQ265" s="98"/>
      <c r="BR265" s="98"/>
      <c r="BS265" s="99"/>
      <c r="BT265" s="99"/>
    </row>
    <row r="266" spans="1:72">
      <c r="A266" s="97"/>
      <c r="B266" s="98"/>
      <c r="C266" s="98"/>
      <c r="D266" s="98"/>
      <c r="E266" s="98"/>
      <c r="F266" s="98"/>
      <c r="G266" s="99"/>
      <c r="H266" s="99"/>
      <c r="I266" s="97"/>
      <c r="J266" s="98"/>
      <c r="K266" s="98"/>
      <c r="L266" s="98"/>
      <c r="M266" s="98"/>
      <c r="N266" s="98"/>
      <c r="O266" s="99"/>
      <c r="P266" s="99"/>
      <c r="Q266" s="97"/>
      <c r="R266" s="98"/>
      <c r="S266" s="98"/>
      <c r="T266" s="98"/>
      <c r="U266" s="98"/>
      <c r="V266" s="98"/>
      <c r="W266" s="99"/>
      <c r="X266" s="99"/>
      <c r="Y266" s="97"/>
      <c r="Z266" s="98"/>
      <c r="AA266" s="98"/>
      <c r="AB266" s="98"/>
      <c r="AC266" s="98"/>
      <c r="AD266" s="98"/>
      <c r="AE266" s="99"/>
      <c r="AF266" s="99"/>
      <c r="AG266" s="97"/>
      <c r="AH266" s="98"/>
      <c r="AI266" s="98"/>
      <c r="AJ266" s="98"/>
      <c r="AK266" s="98"/>
      <c r="AL266" s="98"/>
      <c r="AM266" s="99"/>
      <c r="AN266" s="99"/>
      <c r="AO266" s="97"/>
      <c r="AP266" s="98"/>
      <c r="AQ266" s="98"/>
      <c r="AR266" s="98"/>
      <c r="AS266" s="98"/>
      <c r="AT266" s="98"/>
      <c r="AU266" s="99"/>
      <c r="AV266" s="99"/>
      <c r="AW266" s="97"/>
      <c r="AX266" s="98"/>
      <c r="AY266" s="98"/>
      <c r="AZ266" s="98"/>
      <c r="BA266" s="98"/>
      <c r="BB266" s="98"/>
      <c r="BC266" s="99"/>
      <c r="BD266" s="99"/>
      <c r="BE266" s="97"/>
      <c r="BF266" s="98"/>
      <c r="BG266" s="98"/>
      <c r="BH266" s="98"/>
      <c r="BI266" s="98"/>
      <c r="BJ266" s="98"/>
      <c r="BK266" s="99"/>
      <c r="BL266" s="99"/>
      <c r="BM266" s="97"/>
      <c r="BN266" s="98"/>
      <c r="BO266" s="98"/>
      <c r="BP266" s="98"/>
      <c r="BQ266" s="98"/>
      <c r="BR266" s="98"/>
      <c r="BS266" s="99"/>
      <c r="BT266" s="99"/>
    </row>
    <row r="267" spans="1:72">
      <c r="A267" s="97"/>
      <c r="B267" s="98"/>
      <c r="C267" s="98"/>
      <c r="D267" s="98"/>
      <c r="E267" s="98"/>
      <c r="F267" s="98"/>
      <c r="G267" s="99"/>
      <c r="H267" s="99"/>
      <c r="I267" s="97"/>
      <c r="J267" s="98"/>
      <c r="K267" s="98"/>
      <c r="L267" s="98"/>
      <c r="M267" s="98"/>
      <c r="N267" s="98"/>
      <c r="O267" s="99"/>
      <c r="P267" s="99"/>
      <c r="Q267" s="97"/>
      <c r="R267" s="98"/>
      <c r="S267" s="98"/>
      <c r="T267" s="98"/>
      <c r="U267" s="98"/>
      <c r="V267" s="98"/>
      <c r="W267" s="99"/>
      <c r="X267" s="99"/>
      <c r="Y267" s="97"/>
      <c r="Z267" s="98"/>
      <c r="AA267" s="98"/>
      <c r="AB267" s="98"/>
      <c r="AC267" s="98"/>
      <c r="AD267" s="98"/>
      <c r="AE267" s="99"/>
      <c r="AF267" s="99"/>
      <c r="AG267" s="97"/>
      <c r="AH267" s="98"/>
      <c r="AI267" s="98"/>
      <c r="AJ267" s="98"/>
      <c r="AK267" s="98"/>
      <c r="AL267" s="98"/>
      <c r="AM267" s="99"/>
      <c r="AN267" s="99"/>
      <c r="AO267" s="97"/>
      <c r="AP267" s="98"/>
      <c r="AQ267" s="98"/>
      <c r="AR267" s="98"/>
      <c r="AS267" s="98"/>
      <c r="AT267" s="98"/>
      <c r="AU267" s="99"/>
      <c r="AV267" s="99"/>
      <c r="AW267" s="97"/>
      <c r="AX267" s="98"/>
      <c r="AY267" s="98"/>
      <c r="AZ267" s="98"/>
      <c r="BA267" s="98"/>
      <c r="BB267" s="98"/>
      <c r="BC267" s="99"/>
      <c r="BD267" s="99"/>
      <c r="BE267" s="97"/>
      <c r="BF267" s="98"/>
      <c r="BG267" s="98"/>
      <c r="BH267" s="98"/>
      <c r="BI267" s="98"/>
      <c r="BJ267" s="98"/>
      <c r="BK267" s="99"/>
      <c r="BL267" s="99"/>
      <c r="BM267" s="97"/>
      <c r="BN267" s="98"/>
      <c r="BO267" s="98"/>
      <c r="BP267" s="98"/>
      <c r="BQ267" s="98"/>
      <c r="BR267" s="98"/>
      <c r="BS267" s="99"/>
      <c r="BT267" s="99"/>
    </row>
    <row r="268" spans="1:72">
      <c r="A268" s="97"/>
      <c r="B268" s="98"/>
      <c r="C268" s="98"/>
      <c r="D268" s="98"/>
      <c r="E268" s="98"/>
      <c r="F268" s="98"/>
      <c r="G268" s="99"/>
      <c r="H268" s="99"/>
      <c r="I268" s="97"/>
      <c r="J268" s="98"/>
      <c r="K268" s="98"/>
      <c r="L268" s="98"/>
      <c r="M268" s="98"/>
      <c r="N268" s="98"/>
      <c r="O268" s="99"/>
      <c r="P268" s="99"/>
      <c r="Q268" s="97"/>
      <c r="R268" s="98"/>
      <c r="S268" s="98"/>
      <c r="T268" s="98"/>
      <c r="U268" s="98"/>
      <c r="V268" s="98"/>
      <c r="W268" s="99"/>
      <c r="X268" s="99"/>
      <c r="Y268" s="97"/>
      <c r="Z268" s="98"/>
      <c r="AA268" s="98"/>
      <c r="AB268" s="98"/>
      <c r="AC268" s="98"/>
      <c r="AD268" s="98"/>
      <c r="AE268" s="99"/>
      <c r="AF268" s="99"/>
      <c r="AG268" s="97"/>
      <c r="AH268" s="98"/>
      <c r="AI268" s="98"/>
      <c r="AJ268" s="98"/>
      <c r="AK268" s="98"/>
      <c r="AL268" s="98"/>
      <c r="AM268" s="99"/>
      <c r="AN268" s="99"/>
      <c r="AO268" s="97"/>
      <c r="AP268" s="98"/>
      <c r="AQ268" s="98"/>
      <c r="AR268" s="98"/>
      <c r="AS268" s="98"/>
      <c r="AT268" s="98"/>
      <c r="AU268" s="99"/>
      <c r="AV268" s="99"/>
      <c r="AW268" s="97"/>
      <c r="AX268" s="98"/>
      <c r="AY268" s="98"/>
      <c r="AZ268" s="98"/>
      <c r="BA268" s="98"/>
      <c r="BB268" s="98"/>
      <c r="BC268" s="99"/>
      <c r="BD268" s="99"/>
      <c r="BE268" s="97"/>
      <c r="BF268" s="98"/>
      <c r="BG268" s="98"/>
      <c r="BH268" s="98"/>
      <c r="BI268" s="98"/>
      <c r="BJ268" s="98"/>
      <c r="BK268" s="99"/>
      <c r="BL268" s="99"/>
      <c r="BM268" s="97"/>
      <c r="BN268" s="98"/>
      <c r="BO268" s="98"/>
      <c r="BP268" s="98"/>
      <c r="BQ268" s="98"/>
      <c r="BR268" s="98"/>
      <c r="BS268" s="99"/>
      <c r="BT268" s="99"/>
    </row>
    <row r="269" spans="1:72">
      <c r="A269" s="97"/>
      <c r="B269" s="98"/>
      <c r="C269" s="98"/>
      <c r="D269" s="98"/>
      <c r="E269" s="98"/>
      <c r="F269" s="98"/>
      <c r="G269" s="99"/>
      <c r="H269" s="99"/>
      <c r="I269" s="97"/>
      <c r="J269" s="98"/>
      <c r="K269" s="98"/>
      <c r="L269" s="98"/>
      <c r="M269" s="98"/>
      <c r="N269" s="98"/>
      <c r="O269" s="99"/>
      <c r="P269" s="99"/>
      <c r="Q269" s="97"/>
      <c r="R269" s="98"/>
      <c r="S269" s="98"/>
      <c r="T269" s="98"/>
      <c r="U269" s="98"/>
      <c r="V269" s="98"/>
      <c r="W269" s="99"/>
      <c r="X269" s="99"/>
      <c r="Y269" s="97"/>
      <c r="Z269" s="98"/>
      <c r="AA269" s="98"/>
      <c r="AB269" s="98"/>
      <c r="AC269" s="98"/>
      <c r="AD269" s="98"/>
      <c r="AE269" s="99"/>
      <c r="AF269" s="99"/>
      <c r="AG269" s="97"/>
      <c r="AH269" s="98"/>
      <c r="AI269" s="98"/>
      <c r="AJ269" s="98"/>
      <c r="AK269" s="98"/>
      <c r="AL269" s="98"/>
      <c r="AM269" s="99"/>
      <c r="AN269" s="99"/>
      <c r="AO269" s="97"/>
      <c r="AP269" s="98"/>
      <c r="AQ269" s="98"/>
      <c r="AR269" s="98"/>
      <c r="AS269" s="98"/>
      <c r="AT269" s="98"/>
      <c r="AU269" s="99"/>
      <c r="AV269" s="99"/>
      <c r="AW269" s="97"/>
      <c r="AX269" s="98"/>
      <c r="AY269" s="98"/>
      <c r="AZ269" s="98"/>
      <c r="BA269" s="98"/>
      <c r="BB269" s="98"/>
      <c r="BC269" s="99"/>
      <c r="BD269" s="99"/>
      <c r="BE269" s="97"/>
      <c r="BF269" s="98"/>
      <c r="BG269" s="98"/>
      <c r="BH269" s="98"/>
      <c r="BI269" s="98"/>
      <c r="BJ269" s="98"/>
      <c r="BK269" s="99"/>
      <c r="BL269" s="99"/>
      <c r="BM269" s="97"/>
      <c r="BN269" s="98"/>
      <c r="BO269" s="98"/>
      <c r="BP269" s="98"/>
      <c r="BQ269" s="98"/>
      <c r="BR269" s="98"/>
      <c r="BS269" s="99"/>
      <c r="BT269" s="99"/>
    </row>
    <row r="270" spans="1:72">
      <c r="A270" s="97"/>
      <c r="B270" s="98"/>
      <c r="C270" s="98"/>
      <c r="D270" s="98"/>
      <c r="E270" s="98"/>
      <c r="F270" s="98"/>
      <c r="G270" s="99"/>
      <c r="H270" s="99"/>
      <c r="I270" s="97"/>
      <c r="J270" s="98"/>
      <c r="K270" s="98"/>
      <c r="L270" s="98"/>
      <c r="M270" s="98"/>
      <c r="N270" s="98"/>
      <c r="O270" s="99"/>
      <c r="P270" s="99"/>
      <c r="Q270" s="97"/>
      <c r="R270" s="98"/>
      <c r="S270" s="98"/>
      <c r="T270" s="98"/>
      <c r="U270" s="98"/>
      <c r="V270" s="98"/>
      <c r="W270" s="99"/>
      <c r="X270" s="99"/>
      <c r="Y270" s="97"/>
      <c r="Z270" s="98"/>
      <c r="AA270" s="98"/>
      <c r="AB270" s="98"/>
      <c r="AC270" s="98"/>
      <c r="AD270" s="98"/>
      <c r="AE270" s="99"/>
      <c r="AF270" s="99"/>
      <c r="AG270" s="97"/>
      <c r="AH270" s="98"/>
      <c r="AI270" s="98"/>
      <c r="AJ270" s="98"/>
      <c r="AK270" s="98"/>
      <c r="AL270" s="98"/>
      <c r="AM270" s="99"/>
      <c r="AN270" s="99"/>
      <c r="AO270" s="97"/>
      <c r="AP270" s="98"/>
      <c r="AQ270" s="98"/>
      <c r="AR270" s="98"/>
      <c r="AS270" s="98"/>
      <c r="AT270" s="98"/>
      <c r="AU270" s="99"/>
      <c r="AV270" s="99"/>
      <c r="AW270" s="97"/>
      <c r="AX270" s="98"/>
      <c r="AY270" s="98"/>
      <c r="AZ270" s="98"/>
      <c r="BA270" s="98"/>
      <c r="BB270" s="98"/>
      <c r="BC270" s="99"/>
      <c r="BD270" s="99"/>
      <c r="BE270" s="97"/>
      <c r="BF270" s="98"/>
      <c r="BG270" s="98"/>
      <c r="BH270" s="98"/>
      <c r="BI270" s="98"/>
      <c r="BJ270" s="98"/>
      <c r="BK270" s="99"/>
      <c r="BL270" s="99"/>
      <c r="BM270" s="97"/>
      <c r="BN270" s="98"/>
      <c r="BO270" s="98"/>
      <c r="BP270" s="98"/>
      <c r="BQ270" s="98"/>
      <c r="BR270" s="98"/>
      <c r="BS270" s="99"/>
      <c r="BT270" s="99"/>
    </row>
    <row r="271" spans="1:72">
      <c r="A271" s="97"/>
      <c r="B271" s="98"/>
      <c r="C271" s="98"/>
      <c r="D271" s="98"/>
      <c r="E271" s="98"/>
      <c r="F271" s="98"/>
      <c r="G271" s="99"/>
      <c r="H271" s="99"/>
      <c r="I271" s="97"/>
      <c r="J271" s="98"/>
      <c r="K271" s="98"/>
      <c r="L271" s="98"/>
      <c r="M271" s="98"/>
      <c r="N271" s="98"/>
      <c r="O271" s="99"/>
      <c r="P271" s="99"/>
      <c r="Q271" s="97"/>
      <c r="R271" s="98"/>
      <c r="S271" s="98"/>
      <c r="T271" s="98"/>
      <c r="U271" s="98"/>
      <c r="V271" s="98"/>
      <c r="W271" s="99"/>
      <c r="X271" s="99"/>
      <c r="Y271" s="97"/>
      <c r="Z271" s="98"/>
      <c r="AA271" s="98"/>
      <c r="AB271" s="98"/>
      <c r="AC271" s="98"/>
      <c r="AD271" s="98"/>
      <c r="AE271" s="99"/>
      <c r="AF271" s="99"/>
      <c r="AG271" s="97"/>
      <c r="AH271" s="98"/>
      <c r="AI271" s="98"/>
      <c r="AJ271" s="98"/>
      <c r="AK271" s="98"/>
      <c r="AL271" s="98"/>
      <c r="AM271" s="99"/>
      <c r="AN271" s="99"/>
      <c r="AO271" s="97"/>
      <c r="AP271" s="98"/>
      <c r="AQ271" s="98"/>
      <c r="AR271" s="98"/>
      <c r="AS271" s="98"/>
      <c r="AT271" s="98"/>
      <c r="AU271" s="99"/>
      <c r="AV271" s="99"/>
      <c r="AW271" s="97"/>
      <c r="AX271" s="98"/>
      <c r="AY271" s="98"/>
      <c r="AZ271" s="98"/>
      <c r="BA271" s="98"/>
      <c r="BB271" s="98"/>
      <c r="BC271" s="99"/>
      <c r="BD271" s="99"/>
      <c r="BE271" s="97"/>
      <c r="BF271" s="98"/>
      <c r="BG271" s="98"/>
      <c r="BH271" s="98"/>
      <c r="BI271" s="98"/>
      <c r="BJ271" s="98"/>
      <c r="BK271" s="99"/>
      <c r="BL271" s="99"/>
      <c r="BM271" s="97"/>
      <c r="BN271" s="98"/>
      <c r="BO271" s="98"/>
      <c r="BP271" s="98"/>
      <c r="BQ271" s="98"/>
      <c r="BR271" s="98"/>
      <c r="BS271" s="99"/>
      <c r="BT271" s="99"/>
    </row>
    <row r="272" spans="1:72">
      <c r="A272" s="97"/>
      <c r="B272" s="98"/>
      <c r="C272" s="98"/>
      <c r="D272" s="98"/>
      <c r="E272" s="98"/>
      <c r="F272" s="98"/>
      <c r="G272" s="99"/>
      <c r="H272" s="99"/>
      <c r="I272" s="97"/>
      <c r="J272" s="98"/>
      <c r="K272" s="98"/>
      <c r="L272" s="98"/>
      <c r="M272" s="98"/>
      <c r="N272" s="98"/>
      <c r="O272" s="99"/>
      <c r="P272" s="99"/>
      <c r="Q272" s="97"/>
      <c r="R272" s="98"/>
      <c r="S272" s="98"/>
      <c r="T272" s="98"/>
      <c r="U272" s="98"/>
      <c r="V272" s="98"/>
      <c r="W272" s="99"/>
      <c r="X272" s="99"/>
      <c r="Y272" s="97"/>
      <c r="Z272" s="98"/>
      <c r="AA272" s="98"/>
      <c r="AB272" s="98"/>
      <c r="AC272" s="98"/>
      <c r="AD272" s="98"/>
      <c r="AE272" s="99"/>
      <c r="AF272" s="99"/>
      <c r="AG272" s="97"/>
      <c r="AH272" s="98"/>
      <c r="AI272" s="98"/>
      <c r="AJ272" s="98"/>
      <c r="AK272" s="98"/>
      <c r="AL272" s="98"/>
      <c r="AM272" s="99"/>
      <c r="AN272" s="99"/>
      <c r="AO272" s="97"/>
      <c r="AP272" s="98"/>
      <c r="AQ272" s="98"/>
      <c r="AR272" s="98"/>
      <c r="AS272" s="98"/>
      <c r="AT272" s="98"/>
      <c r="AU272" s="99"/>
      <c r="AV272" s="99"/>
      <c r="AW272" s="97"/>
      <c r="AX272" s="98"/>
      <c r="AY272" s="98"/>
      <c r="AZ272" s="98"/>
      <c r="BA272" s="98"/>
      <c r="BB272" s="98"/>
      <c r="BC272" s="99"/>
      <c r="BD272" s="99"/>
      <c r="BE272" s="97"/>
      <c r="BF272" s="98"/>
      <c r="BG272" s="98"/>
      <c r="BH272" s="98"/>
      <c r="BI272" s="98"/>
      <c r="BJ272" s="98"/>
      <c r="BK272" s="99"/>
      <c r="BL272" s="99"/>
      <c r="BM272" s="97"/>
      <c r="BN272" s="98"/>
      <c r="BO272" s="98"/>
      <c r="BP272" s="98"/>
      <c r="BQ272" s="98"/>
      <c r="BR272" s="98"/>
      <c r="BS272" s="99"/>
      <c r="BT272" s="99"/>
    </row>
    <row r="273" spans="1:72">
      <c r="A273" s="97"/>
      <c r="B273" s="98"/>
      <c r="C273" s="98"/>
      <c r="D273" s="98"/>
      <c r="E273" s="98"/>
      <c r="F273" s="98"/>
      <c r="G273" s="99"/>
      <c r="H273" s="99"/>
      <c r="I273" s="97"/>
      <c r="J273" s="98"/>
      <c r="K273" s="98"/>
      <c r="L273" s="98"/>
      <c r="M273" s="98"/>
      <c r="N273" s="98"/>
      <c r="O273" s="99"/>
      <c r="P273" s="99"/>
      <c r="Q273" s="97"/>
      <c r="R273" s="98"/>
      <c r="S273" s="98"/>
      <c r="T273" s="98"/>
      <c r="U273" s="98"/>
      <c r="V273" s="98"/>
      <c r="W273" s="99"/>
      <c r="X273" s="99"/>
      <c r="Y273" s="97"/>
      <c r="Z273" s="98"/>
      <c r="AA273" s="98"/>
      <c r="AB273" s="98"/>
      <c r="AC273" s="98"/>
      <c r="AD273" s="98"/>
      <c r="AE273" s="99"/>
      <c r="AF273" s="99"/>
      <c r="AG273" s="97"/>
      <c r="AH273" s="98"/>
      <c r="AI273" s="98"/>
      <c r="AJ273" s="98"/>
      <c r="AK273" s="98"/>
      <c r="AL273" s="98"/>
      <c r="AM273" s="99"/>
      <c r="AN273" s="99"/>
      <c r="AO273" s="97"/>
      <c r="AP273" s="98"/>
      <c r="AQ273" s="98"/>
      <c r="AR273" s="98"/>
      <c r="AS273" s="98"/>
      <c r="AT273" s="98"/>
      <c r="AU273" s="99"/>
      <c r="AV273" s="99"/>
      <c r="AW273" s="97"/>
      <c r="AX273" s="98"/>
      <c r="AY273" s="98"/>
      <c r="AZ273" s="98"/>
      <c r="BA273" s="98"/>
      <c r="BB273" s="98"/>
      <c r="BC273" s="99"/>
      <c r="BD273" s="99"/>
      <c r="BE273" s="97"/>
      <c r="BF273" s="98"/>
      <c r="BG273" s="98"/>
      <c r="BH273" s="98"/>
      <c r="BI273" s="98"/>
      <c r="BJ273" s="98"/>
      <c r="BK273" s="99"/>
      <c r="BL273" s="99"/>
      <c r="BM273" s="97"/>
      <c r="BN273" s="98"/>
      <c r="BO273" s="98"/>
      <c r="BP273" s="98"/>
      <c r="BQ273" s="98"/>
      <c r="BR273" s="98"/>
      <c r="BS273" s="99"/>
      <c r="BT273" s="99"/>
    </row>
    <row r="274" spans="1:72">
      <c r="A274" s="97"/>
      <c r="B274" s="98"/>
      <c r="C274" s="98"/>
      <c r="D274" s="98"/>
      <c r="E274" s="98"/>
      <c r="F274" s="98"/>
      <c r="G274" s="99"/>
      <c r="H274" s="99"/>
      <c r="I274" s="97"/>
      <c r="J274" s="98"/>
      <c r="K274" s="98"/>
      <c r="L274" s="98"/>
      <c r="M274" s="98"/>
      <c r="N274" s="98"/>
      <c r="O274" s="99"/>
      <c r="P274" s="99"/>
      <c r="Q274" s="97"/>
      <c r="R274" s="98"/>
      <c r="S274" s="98"/>
      <c r="T274" s="98"/>
      <c r="U274" s="98"/>
      <c r="V274" s="98"/>
      <c r="W274" s="99"/>
      <c r="X274" s="99"/>
      <c r="Y274" s="97"/>
      <c r="Z274" s="98"/>
      <c r="AA274" s="98"/>
      <c r="AB274" s="98"/>
      <c r="AC274" s="98"/>
      <c r="AD274" s="98"/>
      <c r="AE274" s="99"/>
      <c r="AF274" s="99"/>
      <c r="AG274" s="97"/>
      <c r="AH274" s="98"/>
      <c r="AI274" s="98"/>
      <c r="AJ274" s="98"/>
      <c r="AK274" s="98"/>
      <c r="AL274" s="98"/>
      <c r="AM274" s="99"/>
      <c r="AN274" s="99"/>
      <c r="AO274" s="97"/>
      <c r="AP274" s="98"/>
      <c r="AQ274" s="98"/>
      <c r="AR274" s="98"/>
      <c r="AS274" s="98"/>
      <c r="AT274" s="98"/>
      <c r="AU274" s="99"/>
      <c r="AV274" s="99"/>
      <c r="AW274" s="97"/>
      <c r="AX274" s="98"/>
      <c r="AY274" s="98"/>
      <c r="AZ274" s="98"/>
      <c r="BA274" s="98"/>
      <c r="BB274" s="98"/>
      <c r="BC274" s="99"/>
      <c r="BD274" s="99"/>
      <c r="BE274" s="97"/>
      <c r="BF274" s="98"/>
      <c r="BG274" s="98"/>
      <c r="BH274" s="98"/>
      <c r="BI274" s="98"/>
      <c r="BJ274" s="98"/>
      <c r="BK274" s="99"/>
      <c r="BL274" s="99"/>
      <c r="BM274" s="97"/>
      <c r="BN274" s="98"/>
      <c r="BO274" s="98"/>
      <c r="BP274" s="98"/>
      <c r="BQ274" s="98"/>
      <c r="BR274" s="98"/>
      <c r="BS274" s="99"/>
      <c r="BT274" s="99"/>
    </row>
    <row r="275" spans="1:72">
      <c r="A275" s="97"/>
      <c r="B275" s="98"/>
      <c r="C275" s="98"/>
      <c r="D275" s="98"/>
      <c r="E275" s="98"/>
      <c r="F275" s="98"/>
      <c r="G275" s="99"/>
      <c r="H275" s="99"/>
      <c r="I275" s="97"/>
      <c r="J275" s="98"/>
      <c r="K275" s="98"/>
      <c r="L275" s="98"/>
      <c r="M275" s="98"/>
      <c r="N275" s="98"/>
      <c r="O275" s="99"/>
      <c r="P275" s="99"/>
      <c r="Q275" s="97"/>
      <c r="R275" s="98"/>
      <c r="S275" s="98"/>
      <c r="T275" s="98"/>
      <c r="U275" s="98"/>
      <c r="V275" s="98"/>
      <c r="W275" s="99"/>
      <c r="X275" s="99"/>
      <c r="Y275" s="97"/>
      <c r="Z275" s="98"/>
      <c r="AA275" s="98"/>
      <c r="AB275" s="98"/>
      <c r="AC275" s="98"/>
      <c r="AD275" s="98"/>
      <c r="AE275" s="99"/>
      <c r="AF275" s="99"/>
      <c r="AG275" s="97"/>
      <c r="AH275" s="98"/>
      <c r="AI275" s="98"/>
      <c r="AJ275" s="98"/>
      <c r="AK275" s="98"/>
      <c r="AL275" s="98"/>
      <c r="AM275" s="99"/>
      <c r="AN275" s="99"/>
      <c r="AO275" s="97"/>
      <c r="AP275" s="98"/>
      <c r="AQ275" s="98"/>
      <c r="AR275" s="98"/>
      <c r="AS275" s="98"/>
      <c r="AT275" s="98"/>
      <c r="AU275" s="99"/>
      <c r="AV275" s="99"/>
      <c r="AW275" s="97"/>
      <c r="AX275" s="98"/>
      <c r="AY275" s="98"/>
      <c r="AZ275" s="98"/>
      <c r="BA275" s="98"/>
      <c r="BB275" s="98"/>
      <c r="BC275" s="99"/>
      <c r="BD275" s="99"/>
      <c r="BE275" s="97"/>
      <c r="BF275" s="98"/>
      <c r="BG275" s="98"/>
      <c r="BH275" s="98"/>
      <c r="BI275" s="98"/>
      <c r="BJ275" s="98"/>
      <c r="BK275" s="99"/>
      <c r="BL275" s="99"/>
      <c r="BM275" s="97"/>
      <c r="BN275" s="98"/>
      <c r="BO275" s="98"/>
      <c r="BP275" s="98"/>
      <c r="BQ275" s="98"/>
      <c r="BR275" s="98"/>
      <c r="BS275" s="99"/>
      <c r="BT275" s="99"/>
    </row>
    <row r="276" spans="1:72">
      <c r="A276" s="97"/>
      <c r="B276" s="98"/>
      <c r="C276" s="98"/>
      <c r="D276" s="98"/>
      <c r="E276" s="98"/>
      <c r="F276" s="98"/>
      <c r="G276" s="99"/>
      <c r="H276" s="99"/>
      <c r="I276" s="97"/>
      <c r="J276" s="98"/>
      <c r="K276" s="98"/>
      <c r="L276" s="98"/>
      <c r="M276" s="98"/>
      <c r="N276" s="98"/>
      <c r="O276" s="99"/>
      <c r="P276" s="99"/>
      <c r="Q276" s="97"/>
      <c r="R276" s="98"/>
      <c r="S276" s="98"/>
      <c r="T276" s="98"/>
      <c r="U276" s="98"/>
      <c r="V276" s="98"/>
      <c r="W276" s="99"/>
      <c r="X276" s="99"/>
      <c r="Y276" s="97"/>
      <c r="Z276" s="98"/>
      <c r="AA276" s="98"/>
      <c r="AB276" s="98"/>
      <c r="AC276" s="98"/>
      <c r="AD276" s="98"/>
      <c r="AE276" s="99"/>
      <c r="AF276" s="99"/>
      <c r="AG276" s="97"/>
      <c r="AH276" s="98"/>
      <c r="AI276" s="98"/>
      <c r="AJ276" s="98"/>
      <c r="AK276" s="98"/>
      <c r="AL276" s="98"/>
      <c r="AM276" s="99"/>
      <c r="AN276" s="99"/>
      <c r="AO276" s="97"/>
      <c r="AP276" s="98"/>
      <c r="AQ276" s="98"/>
      <c r="AR276" s="98"/>
      <c r="AS276" s="98"/>
      <c r="AT276" s="98"/>
      <c r="AU276" s="99"/>
      <c r="AV276" s="99"/>
      <c r="AW276" s="97"/>
      <c r="AX276" s="98"/>
      <c r="AY276" s="98"/>
      <c r="AZ276" s="98"/>
      <c r="BA276" s="98"/>
      <c r="BB276" s="98"/>
      <c r="BC276" s="99"/>
      <c r="BD276" s="99"/>
      <c r="BE276" s="97"/>
      <c r="BF276" s="98"/>
      <c r="BG276" s="98"/>
      <c r="BH276" s="98"/>
      <c r="BI276" s="98"/>
      <c r="BJ276" s="98"/>
      <c r="BK276" s="99"/>
      <c r="BL276" s="99"/>
      <c r="BM276" s="97"/>
      <c r="BN276" s="98"/>
      <c r="BO276" s="98"/>
      <c r="BP276" s="98"/>
      <c r="BQ276" s="98"/>
      <c r="BR276" s="98"/>
      <c r="BS276" s="99"/>
      <c r="BT276" s="99"/>
    </row>
    <row r="277" spans="1:72">
      <c r="A277" s="97"/>
      <c r="B277" s="98"/>
      <c r="C277" s="98"/>
      <c r="D277" s="98"/>
      <c r="E277" s="98"/>
      <c r="F277" s="98"/>
      <c r="G277" s="99"/>
      <c r="H277" s="99"/>
      <c r="I277" s="97"/>
      <c r="J277" s="98"/>
      <c r="K277" s="98"/>
      <c r="L277" s="98"/>
      <c r="M277" s="98"/>
      <c r="N277" s="98"/>
      <c r="O277" s="99"/>
      <c r="P277" s="99"/>
      <c r="Q277" s="97"/>
      <c r="R277" s="98"/>
      <c r="S277" s="98"/>
      <c r="T277" s="98"/>
      <c r="U277" s="98"/>
      <c r="V277" s="98"/>
      <c r="W277" s="99"/>
      <c r="X277" s="99"/>
      <c r="Y277" s="97"/>
      <c r="Z277" s="98"/>
      <c r="AA277" s="98"/>
      <c r="AB277" s="98"/>
      <c r="AC277" s="98"/>
      <c r="AD277" s="98"/>
      <c r="AE277" s="99"/>
      <c r="AF277" s="99"/>
      <c r="AG277" s="97"/>
      <c r="AH277" s="98"/>
      <c r="AI277" s="98"/>
      <c r="AJ277" s="98"/>
      <c r="AK277" s="98"/>
      <c r="AL277" s="98"/>
      <c r="AM277" s="99"/>
      <c r="AN277" s="99"/>
      <c r="AO277" s="97"/>
      <c r="AP277" s="98"/>
      <c r="AQ277" s="98"/>
      <c r="AR277" s="98"/>
      <c r="AS277" s="98"/>
      <c r="AT277" s="98"/>
      <c r="AU277" s="99"/>
      <c r="AV277" s="99"/>
      <c r="AW277" s="97"/>
      <c r="AX277" s="98"/>
      <c r="AY277" s="98"/>
      <c r="AZ277" s="98"/>
      <c r="BA277" s="98"/>
      <c r="BB277" s="98"/>
      <c r="BC277" s="99"/>
      <c r="BD277" s="99"/>
      <c r="BE277" s="97"/>
      <c r="BF277" s="98"/>
      <c r="BG277" s="98"/>
      <c r="BH277" s="98"/>
      <c r="BI277" s="98"/>
      <c r="BJ277" s="98"/>
      <c r="BK277" s="99"/>
      <c r="BL277" s="99"/>
      <c r="BM277" s="97"/>
      <c r="BN277" s="98"/>
      <c r="BO277" s="98"/>
      <c r="BP277" s="98"/>
      <c r="BQ277" s="98"/>
      <c r="BR277" s="98"/>
      <c r="BS277" s="99"/>
      <c r="BT277" s="99"/>
    </row>
    <row r="278" spans="1:72">
      <c r="A278" s="97"/>
      <c r="B278" s="98"/>
      <c r="C278" s="98"/>
      <c r="D278" s="98"/>
      <c r="E278" s="98"/>
      <c r="F278" s="98"/>
      <c r="G278" s="99"/>
      <c r="H278" s="99"/>
      <c r="I278" s="97"/>
      <c r="J278" s="98"/>
      <c r="K278" s="98"/>
      <c r="L278" s="98"/>
      <c r="M278" s="98"/>
      <c r="N278" s="98"/>
      <c r="O278" s="99"/>
      <c r="P278" s="99"/>
      <c r="Q278" s="97"/>
      <c r="R278" s="98"/>
      <c r="S278" s="98"/>
      <c r="T278" s="98"/>
      <c r="U278" s="98"/>
      <c r="V278" s="98"/>
      <c r="W278" s="99"/>
      <c r="X278" s="99"/>
      <c r="Y278" s="97"/>
      <c r="Z278" s="98"/>
      <c r="AA278" s="98"/>
      <c r="AB278" s="98"/>
      <c r="AC278" s="98"/>
      <c r="AD278" s="98"/>
      <c r="AE278" s="99"/>
      <c r="AF278" s="99"/>
      <c r="AG278" s="97"/>
      <c r="AH278" s="98"/>
      <c r="AI278" s="98"/>
      <c r="AJ278" s="98"/>
      <c r="AK278" s="98"/>
      <c r="AL278" s="98"/>
      <c r="AM278" s="99"/>
      <c r="AN278" s="99"/>
      <c r="AO278" s="97"/>
      <c r="AP278" s="98"/>
      <c r="AQ278" s="98"/>
      <c r="AR278" s="98"/>
      <c r="AS278" s="98"/>
      <c r="AT278" s="98"/>
      <c r="AU278" s="99"/>
      <c r="AV278" s="99"/>
      <c r="AW278" s="97"/>
      <c r="AX278" s="98"/>
      <c r="AY278" s="98"/>
      <c r="AZ278" s="98"/>
      <c r="BA278" s="98"/>
      <c r="BB278" s="98"/>
      <c r="BC278" s="99"/>
      <c r="BD278" s="99"/>
      <c r="BE278" s="97"/>
      <c r="BF278" s="98"/>
      <c r="BG278" s="98"/>
      <c r="BH278" s="98"/>
      <c r="BI278" s="98"/>
      <c r="BJ278" s="98"/>
      <c r="BK278" s="99"/>
      <c r="BL278" s="99"/>
      <c r="BM278" s="97"/>
      <c r="BN278" s="98"/>
      <c r="BO278" s="98"/>
      <c r="BP278" s="98"/>
      <c r="BQ278" s="98"/>
      <c r="BR278" s="98"/>
      <c r="BS278" s="99"/>
      <c r="BT278" s="99"/>
    </row>
    <row r="279" spans="1:72">
      <c r="A279" s="97"/>
      <c r="B279" s="98"/>
      <c r="C279" s="98"/>
      <c r="D279" s="98"/>
      <c r="E279" s="98"/>
      <c r="F279" s="98"/>
      <c r="G279" s="99"/>
      <c r="H279" s="99"/>
      <c r="I279" s="97"/>
      <c r="J279" s="98"/>
      <c r="K279" s="98"/>
      <c r="L279" s="98"/>
      <c r="M279" s="98"/>
      <c r="N279" s="98"/>
      <c r="O279" s="99"/>
      <c r="P279" s="99"/>
      <c r="Q279" s="97"/>
      <c r="R279" s="98"/>
      <c r="S279" s="98"/>
      <c r="T279" s="98"/>
      <c r="U279" s="98"/>
      <c r="V279" s="98"/>
      <c r="W279" s="99"/>
      <c r="X279" s="99"/>
      <c r="Y279" s="97"/>
      <c r="Z279" s="98"/>
      <c r="AA279" s="98"/>
      <c r="AB279" s="98"/>
      <c r="AC279" s="98"/>
      <c r="AD279" s="98"/>
      <c r="AE279" s="99"/>
      <c r="AF279" s="99"/>
      <c r="AG279" s="97"/>
      <c r="AH279" s="98"/>
      <c r="AI279" s="98"/>
      <c r="AJ279" s="98"/>
      <c r="AK279" s="98"/>
      <c r="AL279" s="98"/>
      <c r="AM279" s="99"/>
      <c r="AN279" s="99"/>
      <c r="AO279" s="97"/>
      <c r="AP279" s="98"/>
      <c r="AQ279" s="98"/>
      <c r="AR279" s="98"/>
      <c r="AS279" s="98"/>
      <c r="AT279" s="98"/>
      <c r="AU279" s="99"/>
      <c r="AV279" s="99"/>
      <c r="AW279" s="97"/>
      <c r="AX279" s="98"/>
      <c r="AY279" s="98"/>
      <c r="AZ279" s="98"/>
      <c r="BA279" s="98"/>
      <c r="BB279" s="98"/>
      <c r="BC279" s="99"/>
      <c r="BD279" s="99"/>
      <c r="BE279" s="97"/>
      <c r="BF279" s="98"/>
      <c r="BG279" s="98"/>
      <c r="BH279" s="98"/>
      <c r="BI279" s="98"/>
      <c r="BJ279" s="98"/>
      <c r="BK279" s="99"/>
      <c r="BL279" s="99"/>
      <c r="BM279" s="97"/>
      <c r="BN279" s="98"/>
      <c r="BO279" s="98"/>
      <c r="BP279" s="98"/>
      <c r="BQ279" s="98"/>
      <c r="BR279" s="98"/>
      <c r="BS279" s="99"/>
      <c r="BT279" s="99"/>
    </row>
    <row r="280" spans="1:72">
      <c r="A280" s="97"/>
      <c r="B280" s="98"/>
      <c r="C280" s="98"/>
      <c r="D280" s="98"/>
      <c r="E280" s="98"/>
      <c r="F280" s="98"/>
      <c r="G280" s="99"/>
      <c r="H280" s="99"/>
      <c r="I280" s="97"/>
      <c r="J280" s="98"/>
      <c r="K280" s="98"/>
      <c r="L280" s="98"/>
      <c r="M280" s="98"/>
      <c r="N280" s="98"/>
      <c r="O280" s="99"/>
      <c r="P280" s="99"/>
      <c r="Q280" s="97"/>
      <c r="R280" s="98"/>
      <c r="S280" s="98"/>
      <c r="T280" s="98"/>
      <c r="U280" s="98"/>
      <c r="V280" s="98"/>
      <c r="W280" s="99"/>
      <c r="X280" s="99"/>
      <c r="Y280" s="97"/>
      <c r="Z280" s="98"/>
      <c r="AA280" s="98"/>
      <c r="AB280" s="98"/>
      <c r="AC280" s="98"/>
      <c r="AD280" s="98"/>
      <c r="AE280" s="99"/>
      <c r="AF280" s="99"/>
      <c r="AG280" s="97"/>
      <c r="AH280" s="98"/>
      <c r="AI280" s="98"/>
      <c r="AJ280" s="98"/>
      <c r="AK280" s="98"/>
      <c r="AL280" s="98"/>
      <c r="AM280" s="99"/>
      <c r="AN280" s="99"/>
      <c r="AO280" s="97"/>
      <c r="AP280" s="98"/>
      <c r="AQ280" s="98"/>
      <c r="AR280" s="98"/>
      <c r="AS280" s="98"/>
      <c r="AT280" s="98"/>
      <c r="AU280" s="99"/>
      <c r="AV280" s="99"/>
      <c r="AW280" s="97"/>
      <c r="AX280" s="98"/>
      <c r="AY280" s="98"/>
      <c r="AZ280" s="98"/>
      <c r="BA280" s="98"/>
      <c r="BB280" s="98"/>
      <c r="BC280" s="99"/>
      <c r="BD280" s="99"/>
      <c r="BE280" s="97"/>
      <c r="BF280" s="98"/>
      <c r="BG280" s="98"/>
      <c r="BH280" s="98"/>
      <c r="BI280" s="98"/>
      <c r="BJ280" s="98"/>
      <c r="BK280" s="99"/>
      <c r="BL280" s="99"/>
      <c r="BM280" s="97"/>
      <c r="BN280" s="98"/>
      <c r="BO280" s="98"/>
      <c r="BP280" s="98"/>
      <c r="BQ280" s="98"/>
      <c r="BR280" s="98"/>
      <c r="BS280" s="99"/>
      <c r="BT280" s="99"/>
    </row>
    <row r="281" spans="1:72">
      <c r="A281" s="97"/>
      <c r="B281" s="98"/>
      <c r="C281" s="98"/>
      <c r="D281" s="98"/>
      <c r="E281" s="98"/>
      <c r="F281" s="98"/>
      <c r="G281" s="99"/>
      <c r="H281" s="99"/>
      <c r="I281" s="97"/>
      <c r="J281" s="98"/>
      <c r="K281" s="98"/>
      <c r="L281" s="98"/>
      <c r="M281" s="98"/>
      <c r="N281" s="98"/>
      <c r="O281" s="99"/>
      <c r="P281" s="99"/>
      <c r="Q281" s="97"/>
      <c r="R281" s="98"/>
      <c r="S281" s="98"/>
      <c r="T281" s="98"/>
      <c r="U281" s="98"/>
      <c r="V281" s="98"/>
      <c r="W281" s="99"/>
      <c r="X281" s="99"/>
      <c r="Y281" s="97"/>
      <c r="Z281" s="98"/>
      <c r="AA281" s="98"/>
      <c r="AB281" s="98"/>
      <c r="AC281" s="98"/>
      <c r="AD281" s="98"/>
      <c r="AE281" s="99"/>
      <c r="AF281" s="99"/>
      <c r="AG281" s="97"/>
      <c r="AH281" s="98"/>
      <c r="AI281" s="98"/>
      <c r="AJ281" s="98"/>
      <c r="AK281" s="98"/>
      <c r="AL281" s="98"/>
      <c r="AM281" s="99"/>
      <c r="AN281" s="99"/>
      <c r="AO281" s="97"/>
      <c r="AP281" s="98"/>
      <c r="AQ281" s="98"/>
      <c r="AR281" s="98"/>
      <c r="AS281" s="98"/>
      <c r="AT281" s="98"/>
      <c r="AU281" s="99"/>
      <c r="AV281" s="99"/>
      <c r="AW281" s="97"/>
      <c r="AX281" s="98"/>
      <c r="AY281" s="98"/>
      <c r="AZ281" s="98"/>
      <c r="BA281" s="98"/>
      <c r="BB281" s="98"/>
      <c r="BC281" s="99"/>
      <c r="BD281" s="99"/>
      <c r="BE281" s="97"/>
      <c r="BF281" s="98"/>
      <c r="BG281" s="98"/>
      <c r="BH281" s="98"/>
      <c r="BI281" s="98"/>
      <c r="BJ281" s="98"/>
      <c r="BK281" s="99"/>
      <c r="BL281" s="99"/>
      <c r="BM281" s="97"/>
      <c r="BN281" s="98"/>
      <c r="BO281" s="98"/>
      <c r="BP281" s="98"/>
      <c r="BQ281" s="98"/>
      <c r="BR281" s="98"/>
      <c r="BS281" s="99"/>
      <c r="BT281" s="99"/>
    </row>
    <row r="282" spans="1:72">
      <c r="A282" s="97"/>
      <c r="B282" s="98"/>
      <c r="C282" s="98"/>
      <c r="D282" s="98"/>
      <c r="E282" s="98"/>
      <c r="F282" s="98"/>
      <c r="G282" s="99"/>
      <c r="H282" s="99"/>
      <c r="I282" s="97"/>
      <c r="J282" s="98"/>
      <c r="K282" s="98"/>
      <c r="L282" s="98"/>
      <c r="M282" s="98"/>
      <c r="N282" s="98"/>
      <c r="O282" s="99"/>
      <c r="P282" s="99"/>
      <c r="Q282" s="97"/>
      <c r="R282" s="98"/>
      <c r="S282" s="98"/>
      <c r="T282" s="98"/>
      <c r="U282" s="98"/>
      <c r="V282" s="98"/>
      <c r="W282" s="99"/>
      <c r="X282" s="99"/>
      <c r="Y282" s="97"/>
      <c r="Z282" s="98"/>
      <c r="AA282" s="98"/>
      <c r="AB282" s="98"/>
      <c r="AC282" s="98"/>
      <c r="AD282" s="98"/>
      <c r="AE282" s="99"/>
      <c r="AF282" s="99"/>
      <c r="AG282" s="97"/>
      <c r="AH282" s="98"/>
      <c r="AI282" s="98"/>
      <c r="AJ282" s="98"/>
      <c r="AK282" s="98"/>
      <c r="AL282" s="98"/>
      <c r="AM282" s="99"/>
      <c r="AN282" s="99"/>
      <c r="AO282" s="97"/>
      <c r="AP282" s="98"/>
      <c r="AQ282" s="98"/>
      <c r="AR282" s="98"/>
      <c r="AS282" s="98"/>
      <c r="AT282" s="98"/>
      <c r="AU282" s="99"/>
      <c r="AV282" s="99"/>
      <c r="AW282" s="97"/>
      <c r="AX282" s="98"/>
      <c r="AY282" s="98"/>
      <c r="AZ282" s="98"/>
      <c r="BA282" s="98"/>
      <c r="BB282" s="98"/>
      <c r="BC282" s="99"/>
      <c r="BD282" s="99"/>
      <c r="BE282" s="97"/>
      <c r="BF282" s="98"/>
      <c r="BG282" s="98"/>
      <c r="BH282" s="98"/>
      <c r="BI282" s="98"/>
      <c r="BJ282" s="98"/>
      <c r="BK282" s="99"/>
      <c r="BL282" s="99"/>
      <c r="BM282" s="97"/>
      <c r="BN282" s="98"/>
      <c r="BO282" s="98"/>
      <c r="BP282" s="98"/>
      <c r="BQ282" s="98"/>
      <c r="BR282" s="98"/>
      <c r="BS282" s="99"/>
      <c r="BT282" s="99"/>
    </row>
    <row r="283" spans="1:72">
      <c r="A283" s="97"/>
      <c r="B283" s="98"/>
      <c r="C283" s="98"/>
      <c r="D283" s="98"/>
      <c r="E283" s="98"/>
      <c r="F283" s="98"/>
      <c r="G283" s="99"/>
      <c r="H283" s="99"/>
      <c r="I283" s="97"/>
      <c r="J283" s="98"/>
      <c r="K283" s="98"/>
      <c r="L283" s="98"/>
      <c r="M283" s="98"/>
      <c r="N283" s="98"/>
      <c r="O283" s="99"/>
      <c r="P283" s="99"/>
      <c r="Q283" s="97"/>
      <c r="R283" s="98"/>
      <c r="S283" s="98"/>
      <c r="T283" s="98"/>
      <c r="U283" s="98"/>
      <c r="V283" s="98"/>
      <c r="W283" s="99"/>
      <c r="X283" s="99"/>
      <c r="Y283" s="97"/>
      <c r="Z283" s="98"/>
      <c r="AA283" s="98"/>
      <c r="AB283" s="98"/>
      <c r="AC283" s="98"/>
      <c r="AD283" s="98"/>
      <c r="AE283" s="99"/>
      <c r="AF283" s="99"/>
      <c r="AG283" s="97"/>
      <c r="AH283" s="98"/>
      <c r="AI283" s="98"/>
      <c r="AJ283" s="98"/>
      <c r="AK283" s="98"/>
      <c r="AL283" s="98"/>
      <c r="AM283" s="99"/>
      <c r="AN283" s="99"/>
      <c r="AO283" s="97"/>
      <c r="AP283" s="98"/>
      <c r="AQ283" s="98"/>
      <c r="AR283" s="98"/>
      <c r="AS283" s="98"/>
      <c r="AT283" s="98"/>
      <c r="AU283" s="99"/>
      <c r="AV283" s="99"/>
      <c r="AW283" s="97"/>
      <c r="AX283" s="98"/>
      <c r="AY283" s="98"/>
      <c r="AZ283" s="98"/>
      <c r="BA283" s="98"/>
      <c r="BB283" s="98"/>
      <c r="BC283" s="99"/>
      <c r="BD283" s="99"/>
      <c r="BE283" s="97"/>
      <c r="BF283" s="98"/>
      <c r="BG283" s="98"/>
      <c r="BH283" s="98"/>
      <c r="BI283" s="98"/>
      <c r="BJ283" s="98"/>
      <c r="BK283" s="99"/>
      <c r="BL283" s="99"/>
      <c r="BM283" s="97"/>
      <c r="BN283" s="98"/>
      <c r="BO283" s="98"/>
      <c r="BP283" s="98"/>
      <c r="BQ283" s="98"/>
      <c r="BR283" s="98"/>
      <c r="BS283" s="99"/>
      <c r="BT283" s="99"/>
    </row>
    <row r="284" spans="1:72">
      <c r="A284" s="97"/>
      <c r="B284" s="98"/>
      <c r="C284" s="98"/>
      <c r="D284" s="98"/>
      <c r="E284" s="98"/>
      <c r="F284" s="98"/>
      <c r="G284" s="99"/>
      <c r="H284" s="99"/>
      <c r="I284" s="97"/>
      <c r="J284" s="98"/>
      <c r="K284" s="98"/>
      <c r="L284" s="98"/>
      <c r="M284" s="98"/>
      <c r="N284" s="98"/>
      <c r="O284" s="99"/>
      <c r="P284" s="99"/>
      <c r="Q284" s="97"/>
      <c r="R284" s="98"/>
      <c r="S284" s="98"/>
      <c r="T284" s="98"/>
      <c r="U284" s="98"/>
      <c r="V284" s="98"/>
      <c r="W284" s="99"/>
      <c r="X284" s="99"/>
      <c r="Y284" s="97"/>
      <c r="Z284" s="98"/>
      <c r="AA284" s="98"/>
      <c r="AB284" s="98"/>
      <c r="AC284" s="98"/>
      <c r="AD284" s="98"/>
      <c r="AE284" s="99"/>
      <c r="AF284" s="99"/>
      <c r="AG284" s="97"/>
      <c r="AH284" s="98"/>
      <c r="AI284" s="98"/>
      <c r="AJ284" s="98"/>
      <c r="AK284" s="98"/>
      <c r="AL284" s="98"/>
      <c r="AM284" s="99"/>
      <c r="AN284" s="99"/>
      <c r="AO284" s="97"/>
      <c r="AP284" s="98"/>
      <c r="AQ284" s="98"/>
      <c r="AR284" s="98"/>
      <c r="AS284" s="98"/>
      <c r="AT284" s="98"/>
      <c r="AU284" s="99"/>
      <c r="AV284" s="99"/>
      <c r="AW284" s="97"/>
      <c r="AX284" s="98"/>
      <c r="AY284" s="98"/>
      <c r="AZ284" s="98"/>
      <c r="BA284" s="98"/>
      <c r="BB284" s="98"/>
      <c r="BC284" s="99"/>
      <c r="BD284" s="99"/>
      <c r="BE284" s="97"/>
      <c r="BF284" s="98"/>
      <c r="BG284" s="98"/>
      <c r="BH284" s="98"/>
      <c r="BI284" s="98"/>
      <c r="BJ284" s="98"/>
      <c r="BK284" s="99"/>
      <c r="BL284" s="99"/>
      <c r="BM284" s="97"/>
      <c r="BN284" s="98"/>
      <c r="BO284" s="98"/>
      <c r="BP284" s="98"/>
      <c r="BQ284" s="98"/>
      <c r="BR284" s="98"/>
      <c r="BS284" s="99"/>
      <c r="BT284" s="99"/>
    </row>
    <row r="285" spans="1:72">
      <c r="A285" s="97"/>
      <c r="B285" s="98"/>
      <c r="C285" s="98"/>
      <c r="D285" s="98"/>
      <c r="E285" s="98"/>
      <c r="F285" s="98"/>
      <c r="G285" s="99"/>
      <c r="H285" s="99"/>
      <c r="I285" s="97"/>
      <c r="J285" s="98"/>
      <c r="K285" s="98"/>
      <c r="L285" s="98"/>
      <c r="M285" s="98"/>
      <c r="N285" s="98"/>
      <c r="O285" s="99"/>
      <c r="P285" s="99"/>
      <c r="Q285" s="97"/>
      <c r="R285" s="98"/>
      <c r="S285" s="98"/>
      <c r="T285" s="98"/>
      <c r="U285" s="98"/>
      <c r="V285" s="98"/>
      <c r="W285" s="99"/>
      <c r="X285" s="99"/>
      <c r="Y285" s="97"/>
      <c r="Z285" s="98"/>
      <c r="AA285" s="98"/>
      <c r="AB285" s="98"/>
      <c r="AC285" s="98"/>
      <c r="AD285" s="98"/>
      <c r="AE285" s="99"/>
      <c r="AF285" s="99"/>
      <c r="AG285" s="97"/>
      <c r="AH285" s="98"/>
      <c r="AI285" s="98"/>
      <c r="AJ285" s="98"/>
      <c r="AK285" s="98"/>
      <c r="AL285" s="98"/>
      <c r="AM285" s="99"/>
      <c r="AN285" s="99"/>
      <c r="AO285" s="97"/>
      <c r="AP285" s="98"/>
      <c r="AQ285" s="98"/>
      <c r="AR285" s="98"/>
      <c r="AS285" s="98"/>
      <c r="AT285" s="98"/>
      <c r="AU285" s="99"/>
      <c r="AV285" s="99"/>
      <c r="AW285" s="97"/>
      <c r="AX285" s="98"/>
      <c r="AY285" s="98"/>
      <c r="AZ285" s="98"/>
      <c r="BA285" s="98"/>
      <c r="BB285" s="98"/>
      <c r="BC285" s="99"/>
      <c r="BD285" s="99"/>
      <c r="BE285" s="97"/>
      <c r="BF285" s="98"/>
      <c r="BG285" s="98"/>
      <c r="BH285" s="98"/>
      <c r="BI285" s="98"/>
      <c r="BJ285" s="98"/>
      <c r="BK285" s="99"/>
      <c r="BL285" s="99"/>
      <c r="BM285" s="97"/>
      <c r="BN285" s="98"/>
      <c r="BO285" s="98"/>
      <c r="BP285" s="98"/>
      <c r="BQ285" s="98"/>
      <c r="BR285" s="98"/>
      <c r="BS285" s="99"/>
      <c r="BT285" s="99"/>
    </row>
    <row r="286" spans="1:72">
      <c r="A286" s="97"/>
      <c r="B286" s="98"/>
      <c r="C286" s="98"/>
      <c r="D286" s="98"/>
      <c r="E286" s="98"/>
      <c r="F286" s="98"/>
      <c r="G286" s="99"/>
      <c r="H286" s="99"/>
      <c r="I286" s="97"/>
      <c r="J286" s="98"/>
      <c r="K286" s="98"/>
      <c r="L286" s="98"/>
      <c r="M286" s="98"/>
      <c r="N286" s="98"/>
      <c r="O286" s="99"/>
      <c r="P286" s="99"/>
      <c r="Q286" s="97"/>
      <c r="R286" s="98"/>
      <c r="S286" s="98"/>
      <c r="T286" s="98"/>
      <c r="U286" s="98"/>
      <c r="V286" s="98"/>
      <c r="W286" s="99"/>
      <c r="X286" s="99"/>
      <c r="Y286" s="97"/>
      <c r="Z286" s="98"/>
      <c r="AA286" s="98"/>
      <c r="AB286" s="98"/>
      <c r="AC286" s="98"/>
      <c r="AD286" s="98"/>
      <c r="AE286" s="99"/>
      <c r="AF286" s="99"/>
      <c r="AG286" s="97"/>
      <c r="AH286" s="98"/>
      <c r="AI286" s="98"/>
      <c r="AJ286" s="98"/>
      <c r="AK286" s="98"/>
      <c r="AL286" s="98"/>
      <c r="AM286" s="99"/>
      <c r="AN286" s="99"/>
      <c r="AO286" s="97"/>
      <c r="AP286" s="98"/>
      <c r="AQ286" s="98"/>
      <c r="AR286" s="98"/>
      <c r="AS286" s="98"/>
      <c r="AT286" s="98"/>
      <c r="AU286" s="99"/>
      <c r="AV286" s="99"/>
      <c r="AW286" s="97"/>
      <c r="AX286" s="98"/>
      <c r="AY286" s="98"/>
      <c r="AZ286" s="98"/>
      <c r="BA286" s="98"/>
      <c r="BB286" s="98"/>
      <c r="BC286" s="99"/>
      <c r="BD286" s="99"/>
      <c r="BE286" s="97"/>
      <c r="BF286" s="98"/>
      <c r="BG286" s="98"/>
      <c r="BH286" s="98"/>
      <c r="BI286" s="98"/>
      <c r="BJ286" s="98"/>
      <c r="BK286" s="99"/>
      <c r="BL286" s="99"/>
      <c r="BM286" s="97"/>
      <c r="BN286" s="98"/>
      <c r="BO286" s="98"/>
      <c r="BP286" s="98"/>
      <c r="BQ286" s="98"/>
      <c r="BR286" s="98"/>
      <c r="BS286" s="99"/>
      <c r="BT286" s="99"/>
    </row>
    <row r="287" spans="1:72">
      <c r="A287" s="97"/>
      <c r="B287" s="98"/>
      <c r="C287" s="98"/>
      <c r="D287" s="98"/>
      <c r="E287" s="98"/>
      <c r="F287" s="98"/>
      <c r="G287" s="99"/>
      <c r="H287" s="99"/>
      <c r="I287" s="97"/>
      <c r="J287" s="98"/>
      <c r="K287" s="98"/>
      <c r="L287" s="98"/>
      <c r="M287" s="98"/>
      <c r="N287" s="98"/>
      <c r="O287" s="99"/>
      <c r="P287" s="99"/>
      <c r="Q287" s="97"/>
      <c r="R287" s="98"/>
      <c r="S287" s="98"/>
      <c r="T287" s="98"/>
      <c r="U287" s="98"/>
      <c r="V287" s="98"/>
      <c r="W287" s="99"/>
      <c r="X287" s="99"/>
      <c r="Y287" s="97"/>
      <c r="Z287" s="98"/>
      <c r="AA287" s="98"/>
      <c r="AB287" s="98"/>
      <c r="AC287" s="98"/>
      <c r="AD287" s="98"/>
      <c r="AE287" s="99"/>
      <c r="AF287" s="99"/>
      <c r="AG287" s="97"/>
      <c r="AH287" s="98"/>
      <c r="AI287" s="98"/>
      <c r="AJ287" s="98"/>
      <c r="AK287" s="98"/>
      <c r="AL287" s="98"/>
      <c r="AM287" s="99"/>
      <c r="AN287" s="99"/>
      <c r="AO287" s="97"/>
      <c r="AP287" s="98"/>
      <c r="AQ287" s="98"/>
      <c r="AR287" s="98"/>
      <c r="AS287" s="98"/>
      <c r="AT287" s="98"/>
      <c r="AU287" s="99"/>
      <c r="AV287" s="99"/>
      <c r="AW287" s="97"/>
      <c r="AX287" s="98"/>
      <c r="AY287" s="98"/>
      <c r="AZ287" s="98"/>
      <c r="BA287" s="98"/>
      <c r="BB287" s="98"/>
      <c r="BC287" s="99"/>
      <c r="BD287" s="99"/>
      <c r="BE287" s="97"/>
      <c r="BF287" s="98"/>
      <c r="BG287" s="98"/>
      <c r="BH287" s="98"/>
      <c r="BI287" s="98"/>
      <c r="BJ287" s="98"/>
      <c r="BK287" s="99"/>
      <c r="BL287" s="99"/>
      <c r="BM287" s="97"/>
      <c r="BN287" s="98"/>
      <c r="BO287" s="98"/>
      <c r="BP287" s="98"/>
      <c r="BQ287" s="98"/>
      <c r="BR287" s="98"/>
      <c r="BS287" s="99"/>
      <c r="BT287" s="99"/>
    </row>
    <row r="288" spans="1:72">
      <c r="A288" s="97"/>
      <c r="B288" s="98"/>
      <c r="C288" s="98"/>
      <c r="D288" s="98"/>
      <c r="E288" s="98"/>
      <c r="F288" s="98"/>
      <c r="G288" s="99"/>
      <c r="H288" s="99"/>
      <c r="I288" s="97"/>
      <c r="J288" s="98"/>
      <c r="K288" s="98"/>
      <c r="L288" s="98"/>
      <c r="M288" s="98"/>
      <c r="N288" s="98"/>
      <c r="O288" s="99"/>
      <c r="P288" s="99"/>
      <c r="Q288" s="97"/>
      <c r="R288" s="98"/>
      <c r="S288" s="98"/>
      <c r="T288" s="98"/>
      <c r="U288" s="98"/>
      <c r="V288" s="98"/>
      <c r="W288" s="99"/>
      <c r="X288" s="99"/>
      <c r="Y288" s="97"/>
      <c r="Z288" s="98"/>
      <c r="AA288" s="98"/>
      <c r="AB288" s="98"/>
      <c r="AC288" s="98"/>
      <c r="AD288" s="98"/>
      <c r="AE288" s="99"/>
      <c r="AF288" s="99"/>
      <c r="AG288" s="97"/>
      <c r="AH288" s="98"/>
      <c r="AI288" s="98"/>
      <c r="AJ288" s="98"/>
      <c r="AK288" s="98"/>
      <c r="AL288" s="98"/>
      <c r="AM288" s="99"/>
      <c r="AN288" s="99"/>
      <c r="AO288" s="97"/>
      <c r="AP288" s="98"/>
      <c r="AQ288" s="98"/>
      <c r="AR288" s="98"/>
      <c r="AS288" s="98"/>
      <c r="AT288" s="98"/>
      <c r="AU288" s="99"/>
      <c r="AV288" s="99"/>
      <c r="AW288" s="97"/>
      <c r="AX288" s="98"/>
      <c r="AY288" s="98"/>
      <c r="AZ288" s="98"/>
      <c r="BA288" s="98"/>
      <c r="BB288" s="98"/>
      <c r="BC288" s="99"/>
      <c r="BD288" s="99"/>
      <c r="BE288" s="97"/>
      <c r="BF288" s="98"/>
      <c r="BG288" s="98"/>
      <c r="BH288" s="98"/>
      <c r="BI288" s="98"/>
      <c r="BJ288" s="98"/>
      <c r="BK288" s="99"/>
      <c r="BL288" s="99"/>
      <c r="BM288" s="97"/>
      <c r="BN288" s="98"/>
      <c r="BO288" s="98"/>
      <c r="BP288" s="98"/>
      <c r="BQ288" s="98"/>
      <c r="BR288" s="98"/>
      <c r="BS288" s="99"/>
      <c r="BT288" s="99"/>
    </row>
    <row r="289" spans="1:72">
      <c r="A289" s="97"/>
      <c r="B289" s="98"/>
      <c r="C289" s="98"/>
      <c r="D289" s="98"/>
      <c r="E289" s="98"/>
      <c r="F289" s="98"/>
      <c r="G289" s="99"/>
      <c r="H289" s="99"/>
      <c r="I289" s="97"/>
      <c r="J289" s="98"/>
      <c r="K289" s="98"/>
      <c r="L289" s="98"/>
      <c r="M289" s="98"/>
      <c r="N289" s="98"/>
      <c r="O289" s="99"/>
      <c r="P289" s="99"/>
      <c r="Q289" s="97"/>
      <c r="R289" s="98"/>
      <c r="S289" s="98"/>
      <c r="T289" s="98"/>
      <c r="U289" s="98"/>
      <c r="V289" s="98"/>
      <c r="W289" s="99"/>
      <c r="X289" s="99"/>
      <c r="Y289" s="97"/>
      <c r="Z289" s="98"/>
      <c r="AA289" s="98"/>
      <c r="AB289" s="98"/>
      <c r="AC289" s="98"/>
      <c r="AD289" s="98"/>
      <c r="AE289" s="99"/>
      <c r="AF289" s="99"/>
      <c r="AG289" s="97"/>
      <c r="AH289" s="98"/>
      <c r="AI289" s="98"/>
      <c r="AJ289" s="98"/>
      <c r="AK289" s="98"/>
      <c r="AL289" s="98"/>
      <c r="AM289" s="99"/>
      <c r="AN289" s="99"/>
      <c r="AO289" s="97"/>
      <c r="AP289" s="98"/>
      <c r="AQ289" s="98"/>
      <c r="AR289" s="98"/>
      <c r="AS289" s="98"/>
      <c r="AT289" s="98"/>
      <c r="AU289" s="99"/>
      <c r="AV289" s="99"/>
      <c r="AW289" s="97"/>
      <c r="AX289" s="98"/>
      <c r="AY289" s="98"/>
      <c r="AZ289" s="98"/>
      <c r="BA289" s="98"/>
      <c r="BB289" s="98"/>
      <c r="BC289" s="99"/>
      <c r="BD289" s="99"/>
      <c r="BE289" s="97"/>
      <c r="BF289" s="98"/>
      <c r="BG289" s="98"/>
      <c r="BH289" s="98"/>
      <c r="BI289" s="98"/>
      <c r="BJ289" s="98"/>
      <c r="BK289" s="99"/>
      <c r="BL289" s="99"/>
      <c r="BM289" s="97"/>
      <c r="BN289" s="98"/>
      <c r="BO289" s="98"/>
      <c r="BP289" s="98"/>
      <c r="BQ289" s="98"/>
      <c r="BR289" s="98"/>
      <c r="BS289" s="99"/>
      <c r="BT289" s="99"/>
    </row>
    <row r="290" spans="1:72">
      <c r="A290" s="97"/>
      <c r="B290" s="98"/>
      <c r="C290" s="98"/>
      <c r="D290" s="98"/>
      <c r="E290" s="98"/>
      <c r="F290" s="98"/>
      <c r="G290" s="99"/>
      <c r="H290" s="99"/>
      <c r="I290" s="97"/>
      <c r="J290" s="98"/>
      <c r="K290" s="98"/>
      <c r="L290" s="98"/>
      <c r="M290" s="98"/>
      <c r="N290" s="98"/>
      <c r="O290" s="99"/>
      <c r="P290" s="99"/>
      <c r="Q290" s="97"/>
      <c r="R290" s="98"/>
      <c r="S290" s="98"/>
      <c r="T290" s="98"/>
      <c r="U290" s="98"/>
      <c r="V290" s="98"/>
      <c r="W290" s="99"/>
      <c r="X290" s="99"/>
      <c r="Y290" s="97"/>
      <c r="Z290" s="98"/>
      <c r="AA290" s="98"/>
      <c r="AB290" s="98"/>
      <c r="AC290" s="98"/>
      <c r="AD290" s="98"/>
      <c r="AE290" s="99"/>
      <c r="AF290" s="99"/>
      <c r="AG290" s="97"/>
      <c r="AH290" s="98"/>
      <c r="AI290" s="98"/>
      <c r="AJ290" s="98"/>
      <c r="AK290" s="98"/>
      <c r="AL290" s="98"/>
      <c r="AM290" s="99"/>
      <c r="AN290" s="99"/>
      <c r="AO290" s="97"/>
      <c r="AP290" s="98"/>
      <c r="AQ290" s="98"/>
      <c r="AR290" s="98"/>
      <c r="AS290" s="98"/>
      <c r="AT290" s="98"/>
      <c r="AU290" s="99"/>
      <c r="AV290" s="99"/>
      <c r="AW290" s="97"/>
      <c r="AX290" s="98"/>
      <c r="AY290" s="98"/>
      <c r="AZ290" s="98"/>
      <c r="BA290" s="98"/>
      <c r="BB290" s="98"/>
      <c r="BC290" s="99"/>
      <c r="BD290" s="99"/>
      <c r="BE290" s="97"/>
      <c r="BF290" s="98"/>
      <c r="BG290" s="98"/>
      <c r="BH290" s="98"/>
      <c r="BI290" s="98"/>
      <c r="BJ290" s="98"/>
      <c r="BK290" s="99"/>
      <c r="BL290" s="99"/>
      <c r="BM290" s="97"/>
      <c r="BN290" s="98"/>
      <c r="BO290" s="98"/>
      <c r="BP290" s="98"/>
      <c r="BQ290" s="98"/>
      <c r="BR290" s="98"/>
      <c r="BS290" s="99"/>
      <c r="BT290" s="99"/>
    </row>
    <row r="291" spans="1:72">
      <c r="A291" s="97"/>
      <c r="B291" s="98"/>
      <c r="C291" s="98"/>
      <c r="D291" s="98"/>
      <c r="E291" s="98"/>
      <c r="F291" s="98"/>
      <c r="G291" s="99"/>
      <c r="H291" s="99"/>
      <c r="I291" s="97"/>
      <c r="J291" s="98"/>
      <c r="K291" s="98"/>
      <c r="L291" s="98"/>
      <c r="M291" s="98"/>
      <c r="N291" s="98"/>
      <c r="O291" s="99"/>
      <c r="P291" s="99"/>
      <c r="Q291" s="97"/>
      <c r="R291" s="98"/>
      <c r="S291" s="98"/>
      <c r="T291" s="98"/>
      <c r="U291" s="98"/>
      <c r="V291" s="98"/>
      <c r="W291" s="99"/>
      <c r="X291" s="99"/>
      <c r="Y291" s="97"/>
      <c r="Z291" s="98"/>
      <c r="AA291" s="98"/>
      <c r="AB291" s="98"/>
      <c r="AC291" s="98"/>
      <c r="AD291" s="98"/>
      <c r="AE291" s="99"/>
      <c r="AF291" s="99"/>
      <c r="AG291" s="97"/>
      <c r="AH291" s="98"/>
      <c r="AI291" s="98"/>
      <c r="AJ291" s="98"/>
      <c r="AK291" s="98"/>
      <c r="AL291" s="98"/>
      <c r="AM291" s="99"/>
      <c r="AN291" s="99"/>
      <c r="AO291" s="97"/>
      <c r="AP291" s="98"/>
      <c r="AQ291" s="98"/>
      <c r="AR291" s="98"/>
      <c r="AS291" s="98"/>
      <c r="AT291" s="98"/>
      <c r="AU291" s="99"/>
      <c r="AV291" s="99"/>
      <c r="AW291" s="97"/>
      <c r="AX291" s="98"/>
      <c r="AY291" s="98"/>
      <c r="AZ291" s="98"/>
      <c r="BA291" s="98"/>
      <c r="BB291" s="98"/>
      <c r="BC291" s="99"/>
      <c r="BD291" s="99"/>
      <c r="BE291" s="97"/>
      <c r="BF291" s="98"/>
      <c r="BG291" s="98"/>
      <c r="BH291" s="98"/>
      <c r="BI291" s="98"/>
      <c r="BJ291" s="98"/>
      <c r="BK291" s="99"/>
      <c r="BL291" s="99"/>
      <c r="BM291" s="97"/>
      <c r="BN291" s="98"/>
      <c r="BO291" s="98"/>
      <c r="BP291" s="98"/>
      <c r="BQ291" s="98"/>
      <c r="BR291" s="98"/>
      <c r="BS291" s="99"/>
      <c r="BT291" s="99"/>
    </row>
    <row r="292" spans="1:72">
      <c r="A292" s="97"/>
      <c r="B292" s="98"/>
      <c r="C292" s="98"/>
      <c r="D292" s="98"/>
      <c r="E292" s="98"/>
      <c r="F292" s="98"/>
      <c r="G292" s="99"/>
      <c r="H292" s="99"/>
      <c r="I292" s="97"/>
      <c r="J292" s="98"/>
      <c r="K292" s="98"/>
      <c r="L292" s="98"/>
      <c r="M292" s="98"/>
      <c r="N292" s="98"/>
      <c r="O292" s="99"/>
      <c r="P292" s="99"/>
      <c r="Q292" s="97"/>
      <c r="R292" s="98"/>
      <c r="S292" s="98"/>
      <c r="T292" s="98"/>
      <c r="U292" s="98"/>
      <c r="V292" s="98"/>
      <c r="W292" s="99"/>
      <c r="X292" s="99"/>
      <c r="Y292" s="97"/>
      <c r="Z292" s="98"/>
      <c r="AA292" s="98"/>
      <c r="AB292" s="98"/>
      <c r="AC292" s="98"/>
      <c r="AD292" s="98"/>
      <c r="AE292" s="99"/>
      <c r="AF292" s="99"/>
      <c r="AG292" s="97"/>
      <c r="AH292" s="98"/>
      <c r="AI292" s="98"/>
      <c r="AJ292" s="98"/>
      <c r="AK292" s="98"/>
      <c r="AL292" s="98"/>
      <c r="AM292" s="99"/>
      <c r="AN292" s="99"/>
      <c r="AO292" s="97"/>
      <c r="AP292" s="98"/>
      <c r="AQ292" s="98"/>
      <c r="AR292" s="98"/>
      <c r="AS292" s="98"/>
      <c r="AT292" s="98"/>
      <c r="AU292" s="99"/>
      <c r="AV292" s="99"/>
      <c r="AW292" s="97"/>
      <c r="AX292" s="98"/>
      <c r="AY292" s="98"/>
      <c r="AZ292" s="98"/>
      <c r="BA292" s="98"/>
      <c r="BB292" s="98"/>
      <c r="BC292" s="99"/>
      <c r="BD292" s="99"/>
      <c r="BE292" s="97"/>
      <c r="BF292" s="98"/>
      <c r="BG292" s="98"/>
      <c r="BH292" s="98"/>
      <c r="BI292" s="98"/>
      <c r="BJ292" s="98"/>
      <c r="BK292" s="99"/>
      <c r="BL292" s="99"/>
      <c r="BM292" s="97"/>
      <c r="BN292" s="98"/>
      <c r="BO292" s="98"/>
      <c r="BP292" s="98"/>
      <c r="BQ292" s="98"/>
      <c r="BR292" s="98"/>
      <c r="BS292" s="99"/>
      <c r="BT292" s="99"/>
    </row>
    <row r="293" spans="1:72">
      <c r="A293" s="97"/>
      <c r="B293" s="98"/>
      <c r="C293" s="98"/>
      <c r="D293" s="98"/>
      <c r="E293" s="98"/>
      <c r="F293" s="98"/>
      <c r="G293" s="99"/>
      <c r="H293" s="99"/>
      <c r="I293" s="97"/>
      <c r="J293" s="98"/>
      <c r="K293" s="98"/>
      <c r="L293" s="98"/>
      <c r="M293" s="98"/>
      <c r="N293" s="98"/>
      <c r="O293" s="99"/>
      <c r="P293" s="99"/>
      <c r="Q293" s="97"/>
      <c r="R293" s="98"/>
      <c r="S293" s="98"/>
      <c r="T293" s="98"/>
      <c r="U293" s="98"/>
      <c r="V293" s="98"/>
      <c r="W293" s="99"/>
      <c r="X293" s="99"/>
      <c r="Y293" s="97"/>
      <c r="Z293" s="98"/>
      <c r="AA293" s="98"/>
      <c r="AB293" s="98"/>
      <c r="AC293" s="98"/>
      <c r="AD293" s="98"/>
      <c r="AE293" s="99"/>
      <c r="AF293" s="99"/>
      <c r="AG293" s="97"/>
      <c r="AH293" s="98"/>
      <c r="AI293" s="98"/>
      <c r="AJ293" s="98"/>
      <c r="AK293" s="98"/>
      <c r="AL293" s="98"/>
      <c r="AM293" s="99"/>
      <c r="AN293" s="99"/>
      <c r="AO293" s="97"/>
      <c r="AP293" s="98"/>
      <c r="AQ293" s="98"/>
      <c r="AR293" s="98"/>
      <c r="AS293" s="98"/>
      <c r="AT293" s="98"/>
      <c r="AU293" s="99"/>
      <c r="AV293" s="99"/>
      <c r="AW293" s="97"/>
      <c r="AX293" s="98"/>
      <c r="AY293" s="98"/>
      <c r="AZ293" s="98"/>
      <c r="BA293" s="98"/>
      <c r="BB293" s="98"/>
      <c r="BC293" s="99"/>
      <c r="BD293" s="99"/>
      <c r="BE293" s="97"/>
      <c r="BF293" s="98"/>
      <c r="BG293" s="98"/>
      <c r="BH293" s="98"/>
      <c r="BI293" s="98"/>
      <c r="BJ293" s="98"/>
      <c r="BK293" s="99"/>
      <c r="BL293" s="99"/>
      <c r="BM293" s="97"/>
      <c r="BN293" s="98"/>
      <c r="BO293" s="98"/>
      <c r="BP293" s="98"/>
      <c r="BQ293" s="98"/>
      <c r="BR293" s="98"/>
      <c r="BS293" s="99"/>
      <c r="BT293" s="99"/>
    </row>
    <row r="294" spans="1:72">
      <c r="A294" s="97"/>
      <c r="B294" s="98"/>
      <c r="C294" s="98"/>
      <c r="D294" s="98"/>
      <c r="E294" s="98"/>
      <c r="F294" s="98"/>
      <c r="G294" s="99"/>
      <c r="H294" s="99"/>
      <c r="I294" s="97"/>
      <c r="J294" s="98"/>
      <c r="K294" s="98"/>
      <c r="L294" s="98"/>
      <c r="M294" s="98"/>
      <c r="N294" s="98"/>
      <c r="O294" s="99"/>
      <c r="P294" s="99"/>
      <c r="Q294" s="97"/>
      <c r="R294" s="98"/>
      <c r="S294" s="98"/>
      <c r="T294" s="98"/>
      <c r="U294" s="98"/>
      <c r="V294" s="98"/>
      <c r="W294" s="99"/>
      <c r="X294" s="99"/>
      <c r="Y294" s="97"/>
      <c r="Z294" s="98"/>
      <c r="AA294" s="98"/>
      <c r="AB294" s="98"/>
      <c r="AC294" s="98"/>
      <c r="AD294" s="98"/>
      <c r="AE294" s="99"/>
      <c r="AF294" s="99"/>
      <c r="AG294" s="97"/>
      <c r="AH294" s="98"/>
      <c r="AI294" s="98"/>
      <c r="AJ294" s="98"/>
      <c r="AK294" s="98"/>
      <c r="AL294" s="98"/>
      <c r="AM294" s="99"/>
      <c r="AN294" s="99"/>
      <c r="AO294" s="97"/>
      <c r="AP294" s="98"/>
      <c r="AQ294" s="98"/>
      <c r="AR294" s="98"/>
      <c r="AS294" s="98"/>
      <c r="AT294" s="98"/>
      <c r="AU294" s="99"/>
      <c r="AV294" s="99"/>
      <c r="AW294" s="97"/>
      <c r="AX294" s="98"/>
      <c r="AY294" s="98"/>
      <c r="AZ294" s="98"/>
      <c r="BA294" s="98"/>
      <c r="BB294" s="98"/>
      <c r="BC294" s="99"/>
      <c r="BD294" s="99"/>
      <c r="BE294" s="97"/>
      <c r="BF294" s="98"/>
      <c r="BG294" s="98"/>
      <c r="BH294" s="98"/>
      <c r="BI294" s="98"/>
      <c r="BJ294" s="98"/>
      <c r="BK294" s="99"/>
      <c r="BL294" s="99"/>
      <c r="BM294" s="97"/>
      <c r="BN294" s="98"/>
      <c r="BO294" s="98"/>
      <c r="BP294" s="98"/>
      <c r="BQ294" s="98"/>
      <c r="BR294" s="98"/>
      <c r="BS294" s="99"/>
      <c r="BT294" s="99"/>
    </row>
    <row r="295" spans="1:72">
      <c r="A295" s="97"/>
      <c r="B295" s="98"/>
      <c r="C295" s="98"/>
      <c r="D295" s="98"/>
      <c r="E295" s="98"/>
      <c r="F295" s="98"/>
      <c r="G295" s="99"/>
      <c r="H295" s="99"/>
      <c r="I295" s="97"/>
      <c r="J295" s="98"/>
      <c r="K295" s="98"/>
      <c r="L295" s="98"/>
      <c r="M295" s="98"/>
      <c r="N295" s="98"/>
      <c r="O295" s="99"/>
      <c r="P295" s="99"/>
      <c r="Q295" s="97"/>
      <c r="R295" s="98"/>
      <c r="S295" s="98"/>
      <c r="T295" s="98"/>
      <c r="U295" s="98"/>
      <c r="V295" s="98"/>
      <c r="W295" s="99"/>
      <c r="X295" s="99"/>
      <c r="Y295" s="97"/>
      <c r="Z295" s="98"/>
      <c r="AA295" s="98"/>
      <c r="AB295" s="98"/>
      <c r="AC295" s="98"/>
      <c r="AD295" s="98"/>
      <c r="AE295" s="99"/>
      <c r="AF295" s="99"/>
      <c r="AG295" s="97"/>
      <c r="AH295" s="98"/>
      <c r="AI295" s="98"/>
      <c r="AJ295" s="98"/>
      <c r="AK295" s="98"/>
      <c r="AL295" s="98"/>
      <c r="AM295" s="99"/>
      <c r="AN295" s="99"/>
      <c r="AO295" s="97"/>
      <c r="AP295" s="98"/>
      <c r="AQ295" s="98"/>
      <c r="AR295" s="98"/>
      <c r="AS295" s="98"/>
      <c r="AT295" s="98"/>
      <c r="AU295" s="99"/>
      <c r="AV295" s="99"/>
      <c r="AW295" s="97"/>
      <c r="AX295" s="98"/>
      <c r="AY295" s="98"/>
      <c r="AZ295" s="98"/>
      <c r="BA295" s="98"/>
      <c r="BB295" s="98"/>
      <c r="BC295" s="99"/>
      <c r="BD295" s="99"/>
      <c r="BE295" s="97"/>
      <c r="BF295" s="98"/>
      <c r="BG295" s="98"/>
      <c r="BH295" s="98"/>
      <c r="BI295" s="98"/>
      <c r="BJ295" s="98"/>
      <c r="BK295" s="99"/>
      <c r="BL295" s="99"/>
      <c r="BM295" s="97"/>
      <c r="BN295" s="98"/>
      <c r="BO295" s="98"/>
      <c r="BP295" s="98"/>
      <c r="BQ295" s="98"/>
      <c r="BR295" s="98"/>
      <c r="BS295" s="99"/>
      <c r="BT295" s="99"/>
    </row>
    <row r="296" spans="1:72">
      <c r="A296" s="97"/>
      <c r="B296" s="98"/>
      <c r="C296" s="98"/>
      <c r="D296" s="98"/>
      <c r="E296" s="98"/>
      <c r="F296" s="98"/>
      <c r="G296" s="99"/>
      <c r="H296" s="99"/>
      <c r="I296" s="97"/>
      <c r="J296" s="98"/>
      <c r="K296" s="98"/>
      <c r="L296" s="98"/>
      <c r="M296" s="98"/>
      <c r="N296" s="98"/>
      <c r="O296" s="99"/>
      <c r="P296" s="99"/>
      <c r="Q296" s="97"/>
      <c r="R296" s="98"/>
      <c r="S296" s="98"/>
      <c r="T296" s="98"/>
      <c r="U296" s="98"/>
      <c r="V296" s="98"/>
      <c r="W296" s="99"/>
      <c r="X296" s="99"/>
      <c r="Y296" s="97"/>
      <c r="Z296" s="98"/>
      <c r="AA296" s="98"/>
      <c r="AB296" s="98"/>
      <c r="AC296" s="98"/>
      <c r="AD296" s="98"/>
      <c r="AE296" s="99"/>
      <c r="AF296" s="99"/>
      <c r="AG296" s="97"/>
      <c r="AH296" s="98"/>
      <c r="AI296" s="98"/>
      <c r="AJ296" s="98"/>
      <c r="AK296" s="98"/>
      <c r="AL296" s="98"/>
      <c r="AM296" s="99"/>
      <c r="AN296" s="99"/>
      <c r="AO296" s="97"/>
      <c r="AP296" s="98"/>
      <c r="AQ296" s="98"/>
      <c r="AR296" s="98"/>
      <c r="AS296" s="98"/>
      <c r="AT296" s="98"/>
      <c r="AU296" s="99"/>
      <c r="AV296" s="99"/>
      <c r="AW296" s="97"/>
      <c r="AX296" s="98"/>
      <c r="AY296" s="98"/>
      <c r="AZ296" s="98"/>
      <c r="BA296" s="98"/>
      <c r="BB296" s="98"/>
      <c r="BC296" s="99"/>
      <c r="BD296" s="99"/>
      <c r="BE296" s="97"/>
      <c r="BF296" s="98"/>
      <c r="BG296" s="98"/>
      <c r="BH296" s="98"/>
      <c r="BI296" s="98"/>
      <c r="BJ296" s="98"/>
      <c r="BK296" s="99"/>
      <c r="BL296" s="99"/>
      <c r="BM296" s="97"/>
      <c r="BN296" s="98"/>
      <c r="BO296" s="98"/>
      <c r="BP296" s="98"/>
      <c r="BQ296" s="98"/>
      <c r="BR296" s="98"/>
      <c r="BS296" s="99"/>
      <c r="BT296" s="99"/>
    </row>
    <row r="297" spans="1:72">
      <c r="A297" s="97"/>
      <c r="B297" s="98"/>
      <c r="C297" s="98"/>
      <c r="D297" s="98"/>
      <c r="E297" s="98"/>
      <c r="F297" s="98"/>
      <c r="G297" s="99"/>
      <c r="H297" s="99"/>
      <c r="I297" s="97"/>
      <c r="J297" s="98"/>
      <c r="K297" s="98"/>
      <c r="L297" s="98"/>
      <c r="M297" s="98"/>
      <c r="N297" s="98"/>
      <c r="O297" s="99"/>
      <c r="P297" s="99"/>
      <c r="Q297" s="97"/>
      <c r="R297" s="98"/>
      <c r="S297" s="98"/>
      <c r="T297" s="98"/>
      <c r="U297" s="98"/>
      <c r="V297" s="98"/>
      <c r="W297" s="99"/>
      <c r="X297" s="99"/>
      <c r="Y297" s="97"/>
      <c r="Z297" s="98"/>
      <c r="AA297" s="98"/>
      <c r="AB297" s="98"/>
      <c r="AC297" s="98"/>
      <c r="AD297" s="98"/>
      <c r="AE297" s="99"/>
      <c r="AF297" s="99"/>
      <c r="AG297" s="97"/>
      <c r="AH297" s="98"/>
      <c r="AI297" s="98"/>
      <c r="AJ297" s="98"/>
      <c r="AK297" s="98"/>
      <c r="AL297" s="98"/>
      <c r="AM297" s="99"/>
      <c r="AN297" s="99"/>
      <c r="AO297" s="97"/>
      <c r="AP297" s="98"/>
      <c r="AQ297" s="98"/>
      <c r="AR297" s="98"/>
      <c r="AS297" s="98"/>
      <c r="AT297" s="98"/>
      <c r="AU297" s="99"/>
      <c r="AV297" s="99"/>
      <c r="AW297" s="97"/>
      <c r="AX297" s="98"/>
      <c r="AY297" s="98"/>
      <c r="AZ297" s="98"/>
      <c r="BA297" s="98"/>
      <c r="BB297" s="98"/>
      <c r="BC297" s="99"/>
      <c r="BD297" s="99"/>
      <c r="BE297" s="97"/>
      <c r="BF297" s="98"/>
      <c r="BG297" s="98"/>
      <c r="BH297" s="98"/>
      <c r="BI297" s="98"/>
      <c r="BJ297" s="98"/>
      <c r="BK297" s="99"/>
      <c r="BL297" s="99"/>
      <c r="BM297" s="97"/>
      <c r="BN297" s="98"/>
      <c r="BO297" s="98"/>
      <c r="BP297" s="98"/>
      <c r="BQ297" s="98"/>
      <c r="BR297" s="98"/>
      <c r="BS297" s="99"/>
      <c r="BT297" s="99"/>
    </row>
    <row r="298" spans="1:72">
      <c r="A298" s="97"/>
      <c r="B298" s="98"/>
      <c r="C298" s="98"/>
      <c r="D298" s="98"/>
      <c r="E298" s="98"/>
      <c r="F298" s="98"/>
      <c r="G298" s="99"/>
      <c r="H298" s="99"/>
      <c r="I298" s="97"/>
      <c r="J298" s="98"/>
      <c r="K298" s="98"/>
      <c r="L298" s="98"/>
      <c r="M298" s="98"/>
      <c r="N298" s="98"/>
      <c r="O298" s="99"/>
      <c r="P298" s="99"/>
      <c r="Q298" s="97"/>
      <c r="R298" s="98"/>
      <c r="S298" s="98"/>
      <c r="T298" s="98"/>
      <c r="U298" s="98"/>
      <c r="V298" s="98"/>
      <c r="W298" s="99"/>
      <c r="X298" s="99"/>
      <c r="Y298" s="97"/>
      <c r="Z298" s="98"/>
      <c r="AA298" s="98"/>
      <c r="AB298" s="98"/>
      <c r="AC298" s="98"/>
      <c r="AD298" s="98"/>
      <c r="AE298" s="99"/>
      <c r="AF298" s="99"/>
      <c r="AG298" s="97"/>
      <c r="AH298" s="98"/>
      <c r="AI298" s="98"/>
      <c r="AJ298" s="98"/>
      <c r="AK298" s="98"/>
      <c r="AL298" s="98"/>
      <c r="AM298" s="99"/>
      <c r="AN298" s="99"/>
      <c r="AO298" s="97"/>
      <c r="AP298" s="98"/>
      <c r="AQ298" s="98"/>
      <c r="AR298" s="98"/>
      <c r="AS298" s="98"/>
      <c r="AT298" s="98"/>
      <c r="AU298" s="99"/>
      <c r="AV298" s="99"/>
      <c r="AW298" s="97"/>
      <c r="AX298" s="98"/>
      <c r="AY298" s="98"/>
      <c r="AZ298" s="98"/>
      <c r="BA298" s="98"/>
      <c r="BB298" s="98"/>
      <c r="BC298" s="99"/>
      <c r="BD298" s="99"/>
      <c r="BE298" s="97"/>
      <c r="BF298" s="98"/>
      <c r="BG298" s="98"/>
      <c r="BH298" s="98"/>
      <c r="BI298" s="98"/>
      <c r="BJ298" s="98"/>
      <c r="BK298" s="99"/>
      <c r="BL298" s="99"/>
      <c r="BM298" s="97"/>
      <c r="BN298" s="98"/>
      <c r="BO298" s="98"/>
      <c r="BP298" s="98"/>
      <c r="BQ298" s="98"/>
      <c r="BR298" s="98"/>
      <c r="BS298" s="99"/>
      <c r="BT298" s="99"/>
    </row>
    <row r="299" spans="1:72">
      <c r="A299" s="97"/>
      <c r="B299" s="98"/>
      <c r="C299" s="98"/>
      <c r="D299" s="98"/>
      <c r="E299" s="98"/>
      <c r="F299" s="98"/>
      <c r="G299" s="99"/>
      <c r="H299" s="99"/>
      <c r="I299" s="97"/>
      <c r="J299" s="98"/>
      <c r="K299" s="98"/>
      <c r="L299" s="98"/>
      <c r="M299" s="98"/>
      <c r="N299" s="98"/>
      <c r="O299" s="99"/>
      <c r="P299" s="99"/>
      <c r="Q299" s="97"/>
      <c r="R299" s="98"/>
      <c r="S299" s="98"/>
      <c r="T299" s="98"/>
      <c r="U299" s="98"/>
      <c r="V299" s="98"/>
      <c r="W299" s="99"/>
      <c r="X299" s="99"/>
      <c r="Y299" s="97"/>
      <c r="Z299" s="98"/>
      <c r="AA299" s="98"/>
      <c r="AB299" s="98"/>
      <c r="AC299" s="98"/>
      <c r="AD299" s="98"/>
      <c r="AE299" s="99"/>
      <c r="AF299" s="99"/>
      <c r="AG299" s="97"/>
      <c r="AH299" s="98"/>
      <c r="AI299" s="98"/>
      <c r="AJ299" s="98"/>
      <c r="AK299" s="98"/>
      <c r="AL299" s="98"/>
      <c r="AM299" s="99"/>
      <c r="AN299" s="99"/>
      <c r="AO299" s="97"/>
      <c r="AP299" s="98"/>
      <c r="AQ299" s="98"/>
      <c r="AR299" s="98"/>
      <c r="AS299" s="98"/>
      <c r="AT299" s="98"/>
      <c r="AU299" s="99"/>
      <c r="AV299" s="99"/>
      <c r="AW299" s="97"/>
      <c r="AX299" s="98"/>
      <c r="AY299" s="98"/>
      <c r="AZ299" s="98"/>
      <c r="BA299" s="98"/>
      <c r="BB299" s="98"/>
      <c r="BC299" s="99"/>
      <c r="BD299" s="99"/>
      <c r="BE299" s="97"/>
      <c r="BF299" s="98"/>
      <c r="BG299" s="98"/>
      <c r="BH299" s="98"/>
      <c r="BI299" s="98"/>
      <c r="BJ299" s="98"/>
      <c r="BK299" s="99"/>
      <c r="BL299" s="99"/>
      <c r="BM299" s="97"/>
      <c r="BN299" s="98"/>
      <c r="BO299" s="98"/>
      <c r="BP299" s="98"/>
      <c r="BQ299" s="98"/>
      <c r="BR299" s="98"/>
      <c r="BS299" s="99"/>
      <c r="BT299" s="99"/>
    </row>
    <row r="300" spans="1:72">
      <c r="A300" s="97"/>
      <c r="B300" s="98"/>
      <c r="C300" s="98"/>
      <c r="D300" s="98"/>
      <c r="E300" s="98"/>
      <c r="F300" s="98"/>
      <c r="G300" s="99"/>
      <c r="H300" s="99"/>
      <c r="I300" s="97"/>
      <c r="J300" s="98"/>
      <c r="K300" s="98"/>
      <c r="L300" s="98"/>
      <c r="M300" s="98"/>
      <c r="N300" s="98"/>
      <c r="O300" s="99"/>
      <c r="P300" s="99"/>
      <c r="Q300" s="97"/>
      <c r="R300" s="98"/>
      <c r="S300" s="98"/>
      <c r="T300" s="98"/>
      <c r="U300" s="98"/>
      <c r="V300" s="98"/>
      <c r="W300" s="99"/>
      <c r="X300" s="99"/>
      <c r="Y300" s="97"/>
      <c r="Z300" s="98"/>
      <c r="AA300" s="98"/>
      <c r="AB300" s="98"/>
      <c r="AC300" s="98"/>
      <c r="AD300" s="98"/>
      <c r="AE300" s="99"/>
      <c r="AF300" s="99"/>
      <c r="AG300" s="97"/>
      <c r="AH300" s="98"/>
      <c r="AI300" s="98"/>
      <c r="AJ300" s="98"/>
      <c r="AK300" s="98"/>
      <c r="AL300" s="98"/>
      <c r="AM300" s="99"/>
      <c r="AN300" s="99"/>
      <c r="AO300" s="97"/>
      <c r="AP300" s="98"/>
      <c r="AQ300" s="98"/>
      <c r="AR300" s="98"/>
      <c r="AS300" s="98"/>
      <c r="AT300" s="98"/>
      <c r="AU300" s="99"/>
      <c r="AV300" s="99"/>
      <c r="AW300" s="97"/>
      <c r="AX300" s="98"/>
      <c r="AY300" s="98"/>
      <c r="AZ300" s="98"/>
      <c r="BA300" s="98"/>
      <c r="BB300" s="98"/>
      <c r="BC300" s="99"/>
      <c r="BD300" s="99"/>
      <c r="BE300" s="97"/>
      <c r="BF300" s="98"/>
      <c r="BG300" s="98"/>
      <c r="BH300" s="98"/>
      <c r="BI300" s="98"/>
      <c r="BJ300" s="98"/>
      <c r="BK300" s="99"/>
      <c r="BL300" s="99"/>
      <c r="BM300" s="97"/>
      <c r="BN300" s="98"/>
      <c r="BO300" s="98"/>
      <c r="BP300" s="98"/>
      <c r="BQ300" s="98"/>
      <c r="BR300" s="98"/>
      <c r="BS300" s="99"/>
      <c r="BT300" s="99"/>
    </row>
    <row r="301" spans="1:72">
      <c r="A301" s="97"/>
      <c r="B301" s="98"/>
      <c r="C301" s="98"/>
      <c r="D301" s="98"/>
      <c r="E301" s="98"/>
      <c r="F301" s="98"/>
      <c r="G301" s="99"/>
      <c r="H301" s="99"/>
      <c r="I301" s="97"/>
      <c r="J301" s="98"/>
      <c r="K301" s="98"/>
      <c r="L301" s="98"/>
      <c r="M301" s="98"/>
      <c r="N301" s="98"/>
      <c r="O301" s="99"/>
      <c r="P301" s="99"/>
      <c r="Q301" s="97"/>
      <c r="R301" s="98"/>
      <c r="S301" s="98"/>
      <c r="T301" s="98"/>
      <c r="U301" s="98"/>
      <c r="V301" s="98"/>
      <c r="W301" s="99"/>
      <c r="X301" s="99"/>
      <c r="Y301" s="97"/>
      <c r="Z301" s="98"/>
      <c r="AA301" s="98"/>
      <c r="AB301" s="98"/>
      <c r="AC301" s="98"/>
      <c r="AD301" s="98"/>
      <c r="AE301" s="99"/>
      <c r="AF301" s="99"/>
      <c r="AG301" s="97"/>
      <c r="AH301" s="98"/>
      <c r="AI301" s="98"/>
      <c r="AJ301" s="98"/>
      <c r="AK301" s="98"/>
      <c r="AL301" s="98"/>
      <c r="AM301" s="99"/>
      <c r="AN301" s="99"/>
      <c r="AO301" s="97"/>
      <c r="AP301" s="98"/>
      <c r="AQ301" s="98"/>
      <c r="AR301" s="98"/>
      <c r="AS301" s="98"/>
      <c r="AT301" s="98"/>
      <c r="AU301" s="99"/>
      <c r="AV301" s="99"/>
      <c r="AW301" s="97"/>
      <c r="AX301" s="98"/>
      <c r="AY301" s="98"/>
      <c r="AZ301" s="98"/>
      <c r="BA301" s="98"/>
      <c r="BB301" s="98"/>
      <c r="BC301" s="99"/>
      <c r="BD301" s="99"/>
      <c r="BE301" s="97"/>
      <c r="BF301" s="98"/>
      <c r="BG301" s="98"/>
      <c r="BH301" s="98"/>
      <c r="BI301" s="98"/>
      <c r="BJ301" s="98"/>
      <c r="BK301" s="99"/>
      <c r="BL301" s="99"/>
      <c r="BM301" s="97"/>
      <c r="BN301" s="98"/>
      <c r="BO301" s="98"/>
      <c r="BP301" s="98"/>
      <c r="BQ301" s="98"/>
      <c r="BR301" s="98"/>
      <c r="BS301" s="99"/>
      <c r="BT301" s="99"/>
    </row>
    <row r="302" spans="1:72">
      <c r="A302" s="97"/>
      <c r="B302" s="98"/>
      <c r="C302" s="98"/>
      <c r="D302" s="98"/>
      <c r="E302" s="98"/>
      <c r="F302" s="98"/>
      <c r="G302" s="99"/>
      <c r="H302" s="99"/>
      <c r="I302" s="97"/>
      <c r="J302" s="98"/>
      <c r="K302" s="98"/>
      <c r="L302" s="98"/>
      <c r="M302" s="98"/>
      <c r="N302" s="98"/>
      <c r="O302" s="99"/>
      <c r="P302" s="99"/>
      <c r="Q302" s="97"/>
      <c r="R302" s="98"/>
      <c r="S302" s="98"/>
      <c r="T302" s="98"/>
      <c r="U302" s="98"/>
      <c r="V302" s="98"/>
      <c r="W302" s="99"/>
      <c r="X302" s="99"/>
      <c r="Y302" s="97"/>
      <c r="Z302" s="98"/>
      <c r="AA302" s="98"/>
      <c r="AB302" s="98"/>
      <c r="AC302" s="98"/>
      <c r="AD302" s="98"/>
      <c r="AE302" s="99"/>
      <c r="AF302" s="99"/>
      <c r="AG302" s="97"/>
      <c r="AH302" s="98"/>
      <c r="AI302" s="98"/>
      <c r="AJ302" s="98"/>
      <c r="AK302" s="98"/>
      <c r="AL302" s="98"/>
      <c r="AM302" s="99"/>
      <c r="AN302" s="99"/>
      <c r="AO302" s="97"/>
      <c r="AP302" s="98"/>
      <c r="AQ302" s="98"/>
      <c r="AR302" s="98"/>
      <c r="AS302" s="98"/>
      <c r="AT302" s="98"/>
      <c r="AU302" s="99"/>
      <c r="AV302" s="99"/>
      <c r="AW302" s="97"/>
      <c r="AX302" s="98"/>
      <c r="AY302" s="98"/>
      <c r="AZ302" s="98"/>
      <c r="BA302" s="98"/>
      <c r="BB302" s="98"/>
      <c r="BC302" s="99"/>
      <c r="BD302" s="99"/>
      <c r="BE302" s="97"/>
      <c r="BF302" s="98"/>
      <c r="BG302" s="98"/>
      <c r="BH302" s="98"/>
      <c r="BI302" s="98"/>
      <c r="BJ302" s="98"/>
      <c r="BK302" s="99"/>
      <c r="BL302" s="99"/>
      <c r="BM302" s="97"/>
      <c r="BN302" s="98"/>
      <c r="BO302" s="98"/>
      <c r="BP302" s="98"/>
      <c r="BQ302" s="98"/>
      <c r="BR302" s="98"/>
      <c r="BS302" s="99"/>
      <c r="BT302" s="99"/>
    </row>
    <row r="303" spans="1:72">
      <c r="A303" s="97"/>
      <c r="B303" s="98"/>
      <c r="C303" s="98"/>
      <c r="D303" s="98"/>
      <c r="E303" s="98"/>
      <c r="F303" s="98"/>
      <c r="G303" s="99"/>
      <c r="H303" s="99"/>
      <c r="I303" s="97"/>
      <c r="J303" s="98"/>
      <c r="K303" s="98"/>
      <c r="L303" s="98"/>
      <c r="M303" s="98"/>
      <c r="N303" s="98"/>
      <c r="O303" s="99"/>
      <c r="P303" s="99"/>
      <c r="Q303" s="97"/>
      <c r="R303" s="98"/>
      <c r="S303" s="98"/>
      <c r="T303" s="98"/>
      <c r="U303" s="98"/>
      <c r="V303" s="98"/>
      <c r="W303" s="99"/>
      <c r="X303" s="99"/>
      <c r="Y303" s="97"/>
      <c r="Z303" s="98"/>
      <c r="AA303" s="98"/>
      <c r="AB303" s="98"/>
      <c r="AC303" s="98"/>
      <c r="AD303" s="98"/>
      <c r="AE303" s="99"/>
      <c r="AF303" s="99"/>
      <c r="AG303" s="97"/>
      <c r="AH303" s="98"/>
      <c r="AI303" s="98"/>
      <c r="AJ303" s="98"/>
      <c r="AK303" s="98"/>
      <c r="AL303" s="98"/>
      <c r="AM303" s="99"/>
      <c r="AN303" s="99"/>
      <c r="AO303" s="97"/>
      <c r="AP303" s="98"/>
      <c r="AQ303" s="98"/>
      <c r="AR303" s="98"/>
      <c r="AS303" s="98"/>
      <c r="AT303" s="98"/>
      <c r="AU303" s="99"/>
      <c r="AV303" s="99"/>
      <c r="AW303" s="97"/>
      <c r="AX303" s="98"/>
      <c r="AY303" s="98"/>
      <c r="AZ303" s="98"/>
      <c r="BA303" s="98"/>
      <c r="BB303" s="98"/>
      <c r="BC303" s="99"/>
      <c r="BD303" s="99"/>
      <c r="BE303" s="97"/>
      <c r="BF303" s="98"/>
      <c r="BG303" s="98"/>
      <c r="BH303" s="98"/>
      <c r="BI303" s="98"/>
      <c r="BJ303" s="98"/>
      <c r="BK303" s="99"/>
      <c r="BL303" s="99"/>
      <c r="BM303" s="97"/>
      <c r="BN303" s="98"/>
      <c r="BO303" s="98"/>
      <c r="BP303" s="98"/>
      <c r="BQ303" s="98"/>
      <c r="BR303" s="98"/>
      <c r="BS303" s="99"/>
      <c r="BT303" s="99"/>
    </row>
    <row r="304" spans="1:72">
      <c r="A304" s="97"/>
      <c r="B304" s="98"/>
      <c r="C304" s="98"/>
      <c r="D304" s="98"/>
      <c r="E304" s="98"/>
      <c r="F304" s="98"/>
      <c r="G304" s="99"/>
      <c r="H304" s="99"/>
      <c r="I304" s="97"/>
      <c r="J304" s="98"/>
      <c r="K304" s="98"/>
      <c r="L304" s="98"/>
      <c r="M304" s="98"/>
      <c r="N304" s="98"/>
      <c r="O304" s="99"/>
      <c r="P304" s="99"/>
      <c r="Q304" s="97"/>
      <c r="R304" s="98"/>
      <c r="S304" s="98"/>
      <c r="T304" s="98"/>
      <c r="U304" s="98"/>
      <c r="V304" s="98"/>
      <c r="W304" s="99"/>
      <c r="X304" s="99"/>
      <c r="Y304" s="97"/>
      <c r="Z304" s="98"/>
      <c r="AA304" s="98"/>
      <c r="AB304" s="98"/>
      <c r="AC304" s="98"/>
      <c r="AD304" s="98"/>
      <c r="AE304" s="99"/>
      <c r="AF304" s="99"/>
      <c r="AG304" s="97"/>
      <c r="AH304" s="98"/>
      <c r="AI304" s="98"/>
      <c r="AJ304" s="98"/>
      <c r="AK304" s="98"/>
      <c r="AL304" s="98"/>
      <c r="AM304" s="99"/>
      <c r="AN304" s="99"/>
      <c r="AO304" s="97"/>
      <c r="AP304" s="98"/>
      <c r="AQ304" s="98"/>
      <c r="AR304" s="98"/>
      <c r="AS304" s="98"/>
      <c r="AT304" s="98"/>
      <c r="AU304" s="99"/>
      <c r="AV304" s="99"/>
      <c r="AW304" s="97"/>
      <c r="AX304" s="98"/>
      <c r="AY304" s="98"/>
      <c r="AZ304" s="98"/>
      <c r="BA304" s="98"/>
      <c r="BB304" s="98"/>
      <c r="BC304" s="99"/>
      <c r="BD304" s="99"/>
      <c r="BE304" s="97"/>
      <c r="BF304" s="98"/>
      <c r="BG304" s="98"/>
      <c r="BH304" s="98"/>
      <c r="BI304" s="98"/>
      <c r="BJ304" s="98"/>
      <c r="BK304" s="99"/>
      <c r="BL304" s="99"/>
      <c r="BM304" s="97"/>
      <c r="BN304" s="98"/>
      <c r="BO304" s="98"/>
      <c r="BP304" s="98"/>
      <c r="BQ304" s="98"/>
      <c r="BR304" s="98"/>
      <c r="BS304" s="99"/>
      <c r="BT304" s="99"/>
    </row>
    <row r="305" spans="1:72">
      <c r="A305" s="97"/>
      <c r="B305" s="98"/>
      <c r="C305" s="98"/>
      <c r="D305" s="98"/>
      <c r="E305" s="98"/>
      <c r="F305" s="98"/>
      <c r="G305" s="99"/>
      <c r="H305" s="99"/>
      <c r="I305" s="97"/>
      <c r="J305" s="98"/>
      <c r="K305" s="98"/>
      <c r="L305" s="98"/>
      <c r="M305" s="98"/>
      <c r="N305" s="98"/>
      <c r="O305" s="99"/>
      <c r="P305" s="99"/>
      <c r="Q305" s="97"/>
      <c r="R305" s="98"/>
      <c r="S305" s="98"/>
      <c r="T305" s="98"/>
      <c r="U305" s="98"/>
      <c r="V305" s="98"/>
      <c r="W305" s="99"/>
      <c r="X305" s="99"/>
      <c r="Y305" s="97"/>
      <c r="Z305" s="98"/>
      <c r="AA305" s="98"/>
      <c r="AB305" s="98"/>
      <c r="AC305" s="98"/>
      <c r="AD305" s="98"/>
      <c r="AE305" s="99"/>
      <c r="AF305" s="99"/>
      <c r="AG305" s="97"/>
      <c r="AH305" s="98"/>
      <c r="AI305" s="98"/>
      <c r="AJ305" s="98"/>
      <c r="AK305" s="98"/>
      <c r="AL305" s="98"/>
      <c r="AM305" s="99"/>
      <c r="AN305" s="99"/>
      <c r="AO305" s="97"/>
      <c r="AP305" s="98"/>
      <c r="AQ305" s="98"/>
      <c r="AR305" s="98"/>
      <c r="AS305" s="98"/>
      <c r="AT305" s="98"/>
      <c r="AU305" s="99"/>
      <c r="AV305" s="99"/>
      <c r="AW305" s="97"/>
      <c r="AX305" s="98"/>
      <c r="AY305" s="98"/>
      <c r="AZ305" s="98"/>
      <c r="BA305" s="98"/>
      <c r="BB305" s="98"/>
      <c r="BC305" s="99"/>
      <c r="BD305" s="99"/>
      <c r="BE305" s="97"/>
      <c r="BF305" s="98"/>
      <c r="BG305" s="98"/>
      <c r="BH305" s="98"/>
      <c r="BI305" s="98"/>
      <c r="BJ305" s="98"/>
      <c r="BK305" s="99"/>
      <c r="BL305" s="99"/>
      <c r="BM305" s="97"/>
      <c r="BN305" s="98"/>
      <c r="BO305" s="98"/>
      <c r="BP305" s="98"/>
      <c r="BQ305" s="98"/>
      <c r="BR305" s="98"/>
      <c r="BS305" s="99"/>
      <c r="BT305" s="99"/>
    </row>
    <row r="306" spans="1:72">
      <c r="A306" s="97"/>
      <c r="B306" s="98"/>
      <c r="C306" s="98"/>
      <c r="D306" s="98"/>
      <c r="E306" s="98"/>
      <c r="F306" s="98"/>
      <c r="G306" s="99"/>
      <c r="H306" s="99"/>
      <c r="I306" s="97"/>
      <c r="J306" s="98"/>
      <c r="K306" s="98"/>
      <c r="L306" s="98"/>
      <c r="M306" s="98"/>
      <c r="N306" s="98"/>
      <c r="O306" s="99"/>
      <c r="P306" s="99"/>
      <c r="Q306" s="97"/>
      <c r="R306" s="98"/>
      <c r="S306" s="98"/>
      <c r="T306" s="98"/>
      <c r="U306" s="98"/>
      <c r="V306" s="98"/>
      <c r="W306" s="99"/>
      <c r="X306" s="99"/>
      <c r="Y306" s="97"/>
      <c r="Z306" s="98"/>
      <c r="AA306" s="98"/>
      <c r="AB306" s="98"/>
      <c r="AC306" s="98"/>
      <c r="AD306" s="98"/>
      <c r="AE306" s="99"/>
      <c r="AF306" s="99"/>
      <c r="AG306" s="97"/>
      <c r="AH306" s="98"/>
      <c r="AI306" s="98"/>
      <c r="AJ306" s="98"/>
      <c r="AK306" s="98"/>
      <c r="AL306" s="98"/>
      <c r="AM306" s="99"/>
      <c r="AN306" s="99"/>
      <c r="AO306" s="97"/>
      <c r="AP306" s="98"/>
      <c r="AQ306" s="98"/>
      <c r="AR306" s="98"/>
      <c r="AS306" s="98"/>
      <c r="AT306" s="98"/>
      <c r="AU306" s="99"/>
      <c r="AV306" s="99"/>
      <c r="AW306" s="97"/>
      <c r="AX306" s="98"/>
      <c r="AY306" s="98"/>
      <c r="AZ306" s="98"/>
      <c r="BA306" s="98"/>
      <c r="BB306" s="98"/>
      <c r="BC306" s="99"/>
      <c r="BD306" s="99"/>
      <c r="BE306" s="97"/>
      <c r="BF306" s="98"/>
      <c r="BG306" s="98"/>
      <c r="BH306" s="98"/>
      <c r="BI306" s="98"/>
      <c r="BJ306" s="98"/>
      <c r="BK306" s="99"/>
      <c r="BL306" s="99"/>
      <c r="BM306" s="97"/>
      <c r="BN306" s="98"/>
      <c r="BO306" s="98"/>
      <c r="BP306" s="98"/>
      <c r="BQ306" s="98"/>
      <c r="BR306" s="98"/>
      <c r="BS306" s="99"/>
      <c r="BT306" s="99"/>
    </row>
    <row r="307" spans="1:72">
      <c r="A307" s="97"/>
      <c r="B307" s="98"/>
      <c r="C307" s="98"/>
      <c r="D307" s="98"/>
      <c r="E307" s="98"/>
      <c r="F307" s="98"/>
      <c r="G307" s="99"/>
      <c r="H307" s="99"/>
      <c r="I307" s="97"/>
      <c r="J307" s="98"/>
      <c r="K307" s="98"/>
      <c r="L307" s="98"/>
      <c r="M307" s="98"/>
      <c r="N307" s="98"/>
      <c r="O307" s="99"/>
      <c r="P307" s="99"/>
      <c r="Q307" s="97"/>
      <c r="R307" s="98"/>
      <c r="S307" s="98"/>
      <c r="T307" s="98"/>
      <c r="U307" s="98"/>
      <c r="V307" s="98"/>
      <c r="W307" s="99"/>
      <c r="X307" s="99"/>
      <c r="Y307" s="97"/>
      <c r="Z307" s="98"/>
      <c r="AA307" s="98"/>
      <c r="AB307" s="98"/>
      <c r="AC307" s="98"/>
      <c r="AD307" s="98"/>
      <c r="AE307" s="99"/>
      <c r="AF307" s="99"/>
      <c r="AG307" s="97"/>
      <c r="AH307" s="98"/>
      <c r="AI307" s="98"/>
      <c r="AJ307" s="98"/>
      <c r="AK307" s="98"/>
      <c r="AL307" s="98"/>
      <c r="AM307" s="99"/>
      <c r="AN307" s="99"/>
      <c r="AO307" s="97"/>
      <c r="AP307" s="98"/>
      <c r="AQ307" s="98"/>
      <c r="AR307" s="98"/>
      <c r="AS307" s="98"/>
      <c r="AT307" s="98"/>
      <c r="AU307" s="99"/>
      <c r="AV307" s="99"/>
      <c r="AW307" s="97"/>
      <c r="AX307" s="98"/>
      <c r="AY307" s="98"/>
      <c r="AZ307" s="98"/>
      <c r="BA307" s="98"/>
      <c r="BB307" s="98"/>
      <c r="BC307" s="99"/>
      <c r="BD307" s="99"/>
      <c r="BE307" s="97"/>
      <c r="BF307" s="98"/>
      <c r="BG307" s="98"/>
      <c r="BH307" s="98"/>
      <c r="BI307" s="98"/>
      <c r="BJ307" s="98"/>
      <c r="BK307" s="99"/>
      <c r="BL307" s="99"/>
      <c r="BM307" s="97"/>
      <c r="BN307" s="98"/>
      <c r="BO307" s="98"/>
      <c r="BP307" s="98"/>
      <c r="BQ307" s="98"/>
      <c r="BR307" s="98"/>
      <c r="BS307" s="99"/>
      <c r="BT307" s="99"/>
    </row>
    <row r="308" spans="1:72">
      <c r="A308" s="97"/>
      <c r="B308" s="98"/>
      <c r="C308" s="98"/>
      <c r="D308" s="98"/>
      <c r="E308" s="98"/>
      <c r="F308" s="98"/>
      <c r="G308" s="99"/>
      <c r="H308" s="99"/>
      <c r="I308" s="97"/>
      <c r="J308" s="98"/>
      <c r="K308" s="98"/>
      <c r="L308" s="98"/>
      <c r="M308" s="98"/>
      <c r="N308" s="98"/>
      <c r="O308" s="99"/>
      <c r="P308" s="99"/>
      <c r="Q308" s="97"/>
      <c r="R308" s="98"/>
      <c r="S308" s="98"/>
      <c r="T308" s="98"/>
      <c r="U308" s="98"/>
      <c r="V308" s="98"/>
      <c r="W308" s="99"/>
      <c r="X308" s="99"/>
      <c r="Y308" s="97"/>
      <c r="Z308" s="98"/>
      <c r="AA308" s="98"/>
      <c r="AB308" s="98"/>
      <c r="AC308" s="98"/>
      <c r="AD308" s="98"/>
      <c r="AE308" s="99"/>
      <c r="AF308" s="99"/>
      <c r="AG308" s="97"/>
      <c r="AH308" s="98"/>
      <c r="AI308" s="98"/>
      <c r="AJ308" s="98"/>
      <c r="AK308" s="98"/>
      <c r="AL308" s="98"/>
      <c r="AM308" s="99"/>
      <c r="AN308" s="99"/>
      <c r="AO308" s="97"/>
      <c r="AP308" s="98"/>
      <c r="AQ308" s="98"/>
      <c r="AR308" s="98"/>
      <c r="AS308" s="98"/>
      <c r="AT308" s="98"/>
      <c r="AU308" s="99"/>
      <c r="AV308" s="99"/>
      <c r="AW308" s="97"/>
      <c r="AX308" s="98"/>
      <c r="AY308" s="98"/>
      <c r="AZ308" s="98"/>
      <c r="BA308" s="98"/>
      <c r="BB308" s="98"/>
      <c r="BC308" s="99"/>
      <c r="BD308" s="99"/>
      <c r="BE308" s="97"/>
      <c r="BF308" s="98"/>
      <c r="BG308" s="98"/>
      <c r="BH308" s="98"/>
      <c r="BI308" s="98"/>
      <c r="BJ308" s="98"/>
      <c r="BK308" s="99"/>
      <c r="BL308" s="99"/>
      <c r="BM308" s="97"/>
      <c r="BN308" s="98"/>
      <c r="BO308" s="98"/>
      <c r="BP308" s="98"/>
      <c r="BQ308" s="98"/>
      <c r="BR308" s="98"/>
      <c r="BS308" s="99"/>
      <c r="BT308" s="99"/>
    </row>
    <row r="309" spans="1:72">
      <c r="A309" s="97"/>
      <c r="B309" s="98"/>
      <c r="C309" s="98"/>
      <c r="D309" s="98"/>
      <c r="E309" s="98"/>
      <c r="F309" s="98"/>
      <c r="G309" s="99"/>
      <c r="H309" s="99"/>
      <c r="I309" s="97"/>
      <c r="J309" s="98"/>
      <c r="K309" s="98"/>
      <c r="L309" s="98"/>
      <c r="M309" s="98"/>
      <c r="N309" s="98"/>
      <c r="O309" s="99"/>
      <c r="P309" s="99"/>
      <c r="Q309" s="97"/>
      <c r="R309" s="98"/>
      <c r="S309" s="98"/>
      <c r="T309" s="98"/>
      <c r="U309" s="98"/>
      <c r="V309" s="98"/>
      <c r="W309" s="99"/>
      <c r="X309" s="99"/>
      <c r="Y309" s="97"/>
      <c r="Z309" s="98"/>
      <c r="AA309" s="98"/>
      <c r="AB309" s="98"/>
      <c r="AC309" s="98"/>
      <c r="AD309" s="98"/>
      <c r="AE309" s="99"/>
      <c r="AF309" s="99"/>
      <c r="AG309" s="97"/>
      <c r="AH309" s="98"/>
      <c r="AI309" s="98"/>
      <c r="AJ309" s="98"/>
      <c r="AK309" s="98"/>
      <c r="AL309" s="98"/>
      <c r="AM309" s="99"/>
      <c r="AN309" s="99"/>
      <c r="AO309" s="97"/>
      <c r="AP309" s="98"/>
      <c r="AQ309" s="98"/>
      <c r="AR309" s="98"/>
      <c r="AS309" s="98"/>
      <c r="AT309" s="98"/>
      <c r="AU309" s="99"/>
      <c r="AV309" s="99"/>
      <c r="AW309" s="97"/>
      <c r="AX309" s="98"/>
      <c r="AY309" s="98"/>
      <c r="AZ309" s="98"/>
      <c r="BA309" s="98"/>
      <c r="BB309" s="98"/>
      <c r="BC309" s="99"/>
      <c r="BD309" s="99"/>
      <c r="BE309" s="97"/>
      <c r="BF309" s="98"/>
      <c r="BG309" s="98"/>
      <c r="BH309" s="98"/>
      <c r="BI309" s="98"/>
      <c r="BJ309" s="98"/>
      <c r="BK309" s="99"/>
      <c r="BL309" s="99"/>
      <c r="BM309" s="97"/>
      <c r="BN309" s="98"/>
      <c r="BO309" s="98"/>
      <c r="BP309" s="98"/>
      <c r="BQ309" s="98"/>
      <c r="BR309" s="98"/>
      <c r="BS309" s="99"/>
      <c r="BT309" s="99"/>
    </row>
    <row r="310" spans="1:72">
      <c r="A310" s="97"/>
      <c r="B310" s="98"/>
      <c r="C310" s="98"/>
      <c r="D310" s="98"/>
      <c r="E310" s="98"/>
      <c r="F310" s="98"/>
      <c r="G310" s="99"/>
      <c r="H310" s="99"/>
      <c r="I310" s="97"/>
      <c r="J310" s="98"/>
      <c r="K310" s="98"/>
      <c r="L310" s="98"/>
      <c r="M310" s="98"/>
      <c r="N310" s="98"/>
      <c r="O310" s="99"/>
      <c r="P310" s="99"/>
      <c r="Q310" s="97"/>
      <c r="R310" s="98"/>
      <c r="S310" s="98"/>
      <c r="T310" s="98"/>
      <c r="U310" s="98"/>
      <c r="V310" s="98"/>
      <c r="W310" s="99"/>
      <c r="X310" s="99"/>
      <c r="Y310" s="97"/>
      <c r="Z310" s="98"/>
      <c r="AA310" s="98"/>
      <c r="AB310" s="98"/>
      <c r="AC310" s="98"/>
      <c r="AD310" s="98"/>
      <c r="AE310" s="99"/>
      <c r="AF310" s="99"/>
      <c r="AG310" s="97"/>
      <c r="AH310" s="98"/>
      <c r="AI310" s="98"/>
      <c r="AJ310" s="98"/>
      <c r="AK310" s="98"/>
      <c r="AL310" s="98"/>
      <c r="AM310" s="99"/>
      <c r="AN310" s="99"/>
      <c r="AO310" s="97"/>
      <c r="AP310" s="98"/>
      <c r="AQ310" s="98"/>
      <c r="AR310" s="98"/>
      <c r="AS310" s="98"/>
      <c r="AT310" s="98"/>
      <c r="AU310" s="99"/>
      <c r="AV310" s="99"/>
      <c r="AW310" s="97"/>
      <c r="AX310" s="98"/>
      <c r="AY310" s="98"/>
      <c r="AZ310" s="98"/>
      <c r="BA310" s="98"/>
      <c r="BB310" s="98"/>
      <c r="BC310" s="99"/>
      <c r="BD310" s="99"/>
      <c r="BE310" s="97"/>
      <c r="BF310" s="98"/>
      <c r="BG310" s="98"/>
      <c r="BH310" s="98"/>
      <c r="BI310" s="98"/>
      <c r="BJ310" s="98"/>
      <c r="BK310" s="99"/>
      <c r="BL310" s="99"/>
      <c r="BM310" s="97"/>
      <c r="BN310" s="98"/>
      <c r="BO310" s="98"/>
      <c r="BP310" s="98"/>
      <c r="BQ310" s="98"/>
      <c r="BR310" s="98"/>
      <c r="BS310" s="99"/>
      <c r="BT310" s="99"/>
    </row>
    <row r="311" spans="1:72">
      <c r="A311" s="97"/>
      <c r="B311" s="98"/>
      <c r="C311" s="98"/>
      <c r="D311" s="98"/>
      <c r="E311" s="98"/>
      <c r="F311" s="98"/>
      <c r="G311" s="99"/>
      <c r="H311" s="99"/>
      <c r="I311" s="97"/>
      <c r="J311" s="98"/>
      <c r="K311" s="98"/>
      <c r="L311" s="98"/>
      <c r="M311" s="98"/>
      <c r="N311" s="98"/>
      <c r="O311" s="99"/>
      <c r="P311" s="99"/>
      <c r="Q311" s="97"/>
      <c r="R311" s="98"/>
      <c r="S311" s="98"/>
      <c r="T311" s="98"/>
      <c r="U311" s="98"/>
      <c r="V311" s="98"/>
      <c r="W311" s="99"/>
      <c r="X311" s="99"/>
      <c r="Y311" s="97"/>
      <c r="Z311" s="98"/>
      <c r="AA311" s="98"/>
      <c r="AB311" s="98"/>
      <c r="AC311" s="98"/>
      <c r="AD311" s="98"/>
      <c r="AE311" s="99"/>
      <c r="AF311" s="99"/>
      <c r="AG311" s="97"/>
      <c r="AH311" s="98"/>
      <c r="AI311" s="98"/>
      <c r="AJ311" s="98"/>
      <c r="AK311" s="98"/>
      <c r="AL311" s="98"/>
      <c r="AM311" s="99"/>
      <c r="AN311" s="99"/>
      <c r="AO311" s="97"/>
      <c r="AP311" s="98"/>
      <c r="AQ311" s="98"/>
      <c r="AR311" s="98"/>
      <c r="AS311" s="98"/>
      <c r="AT311" s="98"/>
      <c r="AU311" s="99"/>
      <c r="AV311" s="99"/>
      <c r="AW311" s="97"/>
      <c r="AX311" s="98"/>
      <c r="AY311" s="98"/>
      <c r="AZ311" s="98"/>
      <c r="BA311" s="98"/>
      <c r="BB311" s="98"/>
      <c r="BC311" s="99"/>
      <c r="BD311" s="99"/>
      <c r="BE311" s="97"/>
      <c r="BF311" s="98"/>
      <c r="BG311" s="98"/>
      <c r="BH311" s="98"/>
      <c r="BI311" s="98"/>
      <c r="BJ311" s="98"/>
      <c r="BK311" s="99"/>
      <c r="BL311" s="99"/>
      <c r="BM311" s="97"/>
      <c r="BN311" s="98"/>
      <c r="BO311" s="98"/>
      <c r="BP311" s="98"/>
      <c r="BQ311" s="98"/>
      <c r="BR311" s="98"/>
      <c r="BS311" s="99"/>
      <c r="BT311" s="99"/>
    </row>
    <row r="312" spans="1:72">
      <c r="A312" s="97"/>
      <c r="B312" s="98"/>
      <c r="C312" s="98"/>
      <c r="D312" s="98"/>
      <c r="E312" s="98"/>
      <c r="F312" s="98"/>
      <c r="G312" s="99"/>
      <c r="H312" s="99"/>
      <c r="I312" s="97"/>
      <c r="J312" s="98"/>
      <c r="K312" s="98"/>
      <c r="L312" s="98"/>
      <c r="M312" s="98"/>
      <c r="N312" s="98"/>
      <c r="O312" s="99"/>
      <c r="P312" s="99"/>
      <c r="Q312" s="97"/>
      <c r="R312" s="98"/>
      <c r="S312" s="98"/>
      <c r="T312" s="98"/>
      <c r="U312" s="98"/>
      <c r="V312" s="98"/>
      <c r="W312" s="99"/>
      <c r="X312" s="99"/>
      <c r="Y312" s="97"/>
      <c r="Z312" s="98"/>
      <c r="AA312" s="98"/>
      <c r="AB312" s="98"/>
      <c r="AC312" s="98"/>
      <c r="AD312" s="98"/>
      <c r="AE312" s="99"/>
      <c r="AF312" s="99"/>
      <c r="AG312" s="97"/>
      <c r="AH312" s="98"/>
      <c r="AI312" s="98"/>
      <c r="AJ312" s="98"/>
      <c r="AK312" s="98"/>
      <c r="AL312" s="98"/>
      <c r="AM312" s="99"/>
      <c r="AN312" s="99"/>
      <c r="AO312" s="97"/>
      <c r="AP312" s="98"/>
      <c r="AQ312" s="98"/>
      <c r="AR312" s="98"/>
      <c r="AS312" s="98"/>
      <c r="AT312" s="98"/>
      <c r="AU312" s="99"/>
      <c r="AV312" s="99"/>
      <c r="AW312" s="97"/>
      <c r="AX312" s="98"/>
      <c r="AY312" s="98"/>
      <c r="AZ312" s="98"/>
      <c r="BA312" s="98"/>
      <c r="BB312" s="98"/>
      <c r="BC312" s="99"/>
      <c r="BD312" s="99"/>
      <c r="BE312" s="97"/>
      <c r="BF312" s="98"/>
      <c r="BG312" s="98"/>
      <c r="BH312" s="98"/>
      <c r="BI312" s="98"/>
      <c r="BJ312" s="98"/>
      <c r="BK312" s="99"/>
      <c r="BL312" s="99"/>
      <c r="BM312" s="97"/>
      <c r="BN312" s="98"/>
      <c r="BO312" s="98"/>
      <c r="BP312" s="98"/>
      <c r="BQ312" s="98"/>
      <c r="BR312" s="98"/>
      <c r="BS312" s="99"/>
      <c r="BT312" s="99"/>
    </row>
    <row r="313" spans="1:72">
      <c r="A313" s="97"/>
      <c r="B313" s="98"/>
      <c r="C313" s="98"/>
      <c r="D313" s="98"/>
      <c r="E313" s="98"/>
      <c r="F313" s="98"/>
      <c r="G313" s="99"/>
      <c r="H313" s="99"/>
      <c r="I313" s="97"/>
      <c r="J313" s="98"/>
      <c r="K313" s="98"/>
      <c r="L313" s="98"/>
      <c r="M313" s="98"/>
      <c r="N313" s="98"/>
      <c r="O313" s="99"/>
      <c r="P313" s="99"/>
      <c r="Q313" s="97"/>
      <c r="R313" s="98"/>
      <c r="S313" s="98"/>
      <c r="T313" s="98"/>
      <c r="U313" s="98"/>
      <c r="V313" s="98"/>
      <c r="W313" s="99"/>
      <c r="X313" s="99"/>
      <c r="Y313" s="97"/>
      <c r="Z313" s="98"/>
      <c r="AA313" s="98"/>
      <c r="AB313" s="98"/>
      <c r="AC313" s="98"/>
      <c r="AD313" s="98"/>
      <c r="AE313" s="99"/>
      <c r="AF313" s="99"/>
      <c r="AG313" s="97"/>
      <c r="AH313" s="98"/>
      <c r="AI313" s="98"/>
      <c r="AJ313" s="98"/>
      <c r="AK313" s="98"/>
      <c r="AL313" s="98"/>
      <c r="AM313" s="99"/>
      <c r="AN313" s="99"/>
      <c r="AO313" s="97"/>
      <c r="AP313" s="98"/>
      <c r="AQ313" s="98"/>
      <c r="AR313" s="98"/>
      <c r="AS313" s="98"/>
      <c r="AT313" s="98"/>
      <c r="AU313" s="99"/>
      <c r="AV313" s="99"/>
      <c r="AW313" s="97"/>
      <c r="AX313" s="98"/>
      <c r="AY313" s="98"/>
      <c r="AZ313" s="98"/>
      <c r="BA313" s="98"/>
      <c r="BB313" s="98"/>
      <c r="BC313" s="99"/>
      <c r="BD313" s="99"/>
      <c r="BE313" s="97"/>
      <c r="BF313" s="98"/>
      <c r="BG313" s="98"/>
      <c r="BH313" s="98"/>
      <c r="BI313" s="98"/>
      <c r="BJ313" s="98"/>
      <c r="BK313" s="99"/>
      <c r="BL313" s="99"/>
      <c r="BM313" s="97"/>
      <c r="BN313" s="98"/>
      <c r="BO313" s="98"/>
      <c r="BP313" s="98"/>
      <c r="BQ313" s="98"/>
      <c r="BR313" s="98"/>
      <c r="BS313" s="99"/>
      <c r="BT313" s="99"/>
    </row>
    <row r="314" spans="1:72">
      <c r="A314" s="97"/>
      <c r="B314" s="98"/>
      <c r="C314" s="98"/>
      <c r="D314" s="98"/>
      <c r="E314" s="98"/>
      <c r="F314" s="98"/>
      <c r="G314" s="99"/>
      <c r="H314" s="99"/>
      <c r="I314" s="97"/>
      <c r="J314" s="98"/>
      <c r="K314" s="98"/>
      <c r="L314" s="98"/>
      <c r="M314" s="98"/>
      <c r="N314" s="98"/>
      <c r="O314" s="99"/>
      <c r="P314" s="99"/>
      <c r="Q314" s="97"/>
      <c r="R314" s="98"/>
      <c r="S314" s="98"/>
      <c r="T314" s="98"/>
      <c r="U314" s="98"/>
      <c r="V314" s="98"/>
      <c r="W314" s="99"/>
      <c r="X314" s="99"/>
      <c r="Y314" s="97"/>
      <c r="Z314" s="98"/>
      <c r="AA314" s="98"/>
      <c r="AB314" s="98"/>
      <c r="AC314" s="98"/>
      <c r="AD314" s="98"/>
      <c r="AE314" s="99"/>
      <c r="AF314" s="99"/>
      <c r="AG314" s="97"/>
      <c r="AH314" s="98"/>
      <c r="AI314" s="98"/>
      <c r="AJ314" s="98"/>
      <c r="AK314" s="98"/>
      <c r="AL314" s="98"/>
      <c r="AM314" s="99"/>
      <c r="AN314" s="99"/>
      <c r="AO314" s="97"/>
      <c r="AP314" s="98"/>
      <c r="AQ314" s="98"/>
      <c r="AR314" s="98"/>
      <c r="AS314" s="98"/>
      <c r="AT314" s="98"/>
      <c r="AU314" s="99"/>
      <c r="AV314" s="99"/>
      <c r="AW314" s="97"/>
      <c r="AX314" s="98"/>
      <c r="AY314" s="98"/>
      <c r="AZ314" s="98"/>
      <c r="BA314" s="98"/>
      <c r="BB314" s="98"/>
      <c r="BC314" s="99"/>
      <c r="BD314" s="99"/>
      <c r="BE314" s="97"/>
      <c r="BF314" s="98"/>
      <c r="BG314" s="98"/>
      <c r="BH314" s="98"/>
      <c r="BI314" s="98"/>
      <c r="BJ314" s="98"/>
      <c r="BK314" s="99"/>
      <c r="BL314" s="99"/>
      <c r="BM314" s="97"/>
      <c r="BN314" s="98"/>
      <c r="BO314" s="98"/>
      <c r="BP314" s="98"/>
      <c r="BQ314" s="98"/>
      <c r="BR314" s="98"/>
      <c r="BS314" s="99"/>
      <c r="BT314" s="99"/>
    </row>
    <row r="315" spans="1:72">
      <c r="A315" s="97"/>
      <c r="B315" s="98"/>
      <c r="C315" s="98"/>
      <c r="D315" s="98"/>
      <c r="E315" s="98"/>
      <c r="F315" s="98"/>
      <c r="G315" s="99"/>
      <c r="H315" s="99"/>
      <c r="I315" s="97"/>
      <c r="J315" s="98"/>
      <c r="K315" s="98"/>
      <c r="L315" s="98"/>
      <c r="M315" s="98"/>
      <c r="N315" s="98"/>
      <c r="O315" s="99"/>
      <c r="P315" s="99"/>
      <c r="Q315" s="97"/>
      <c r="R315" s="98"/>
      <c r="S315" s="98"/>
      <c r="T315" s="98"/>
      <c r="U315" s="98"/>
      <c r="V315" s="98"/>
      <c r="W315" s="99"/>
      <c r="X315" s="99"/>
      <c r="Y315" s="97"/>
      <c r="Z315" s="98"/>
      <c r="AA315" s="98"/>
      <c r="AB315" s="98"/>
      <c r="AC315" s="98"/>
      <c r="AD315" s="98"/>
      <c r="AE315" s="99"/>
      <c r="AF315" s="99"/>
      <c r="AG315" s="97"/>
      <c r="AH315" s="98"/>
      <c r="AI315" s="98"/>
      <c r="AJ315" s="98"/>
      <c r="AK315" s="98"/>
      <c r="AL315" s="98"/>
      <c r="AM315" s="99"/>
      <c r="AN315" s="99"/>
      <c r="AO315" s="97"/>
      <c r="AP315" s="98"/>
      <c r="AQ315" s="98"/>
      <c r="AR315" s="98"/>
      <c r="AS315" s="98"/>
      <c r="AT315" s="98"/>
      <c r="AU315" s="99"/>
      <c r="AV315" s="99"/>
      <c r="AW315" s="97"/>
      <c r="AX315" s="98"/>
      <c r="AY315" s="98"/>
      <c r="AZ315" s="98"/>
      <c r="BA315" s="98"/>
      <c r="BB315" s="98"/>
      <c r="BC315" s="99"/>
      <c r="BD315" s="99"/>
      <c r="BE315" s="97"/>
      <c r="BF315" s="98"/>
      <c r="BG315" s="98"/>
      <c r="BH315" s="98"/>
      <c r="BI315" s="98"/>
      <c r="BJ315" s="98"/>
      <c r="BK315" s="99"/>
      <c r="BL315" s="99"/>
      <c r="BM315" s="97"/>
      <c r="BN315" s="98"/>
      <c r="BO315" s="98"/>
      <c r="BP315" s="98"/>
      <c r="BQ315" s="98"/>
      <c r="BR315" s="98"/>
      <c r="BS315" s="99"/>
      <c r="BT315" s="99"/>
    </row>
    <row r="316" spans="1:72">
      <c r="A316" s="97"/>
      <c r="B316" s="98"/>
      <c r="C316" s="98"/>
      <c r="D316" s="98"/>
      <c r="E316" s="98"/>
      <c r="F316" s="98"/>
      <c r="G316" s="99"/>
      <c r="H316" s="99"/>
      <c r="I316" s="97"/>
      <c r="J316" s="98"/>
      <c r="K316" s="98"/>
      <c r="L316" s="98"/>
      <c r="M316" s="98"/>
      <c r="N316" s="98"/>
      <c r="O316" s="99"/>
      <c r="P316" s="99"/>
      <c r="Q316" s="97"/>
      <c r="R316" s="98"/>
      <c r="S316" s="98"/>
      <c r="T316" s="98"/>
      <c r="U316" s="98"/>
      <c r="V316" s="98"/>
      <c r="W316" s="99"/>
      <c r="X316" s="99"/>
      <c r="Y316" s="97"/>
      <c r="Z316" s="98"/>
      <c r="AA316" s="98"/>
      <c r="AB316" s="98"/>
      <c r="AC316" s="98"/>
      <c r="AD316" s="98"/>
      <c r="AE316" s="99"/>
      <c r="AF316" s="99"/>
      <c r="AG316" s="97"/>
      <c r="AH316" s="98"/>
      <c r="AI316" s="98"/>
      <c r="AJ316" s="98"/>
      <c r="AK316" s="98"/>
      <c r="AL316" s="98"/>
      <c r="AM316" s="99"/>
      <c r="AN316" s="99"/>
      <c r="AO316" s="97"/>
      <c r="AP316" s="98"/>
      <c r="AQ316" s="98"/>
      <c r="AR316" s="98"/>
      <c r="AS316" s="98"/>
      <c r="AT316" s="98"/>
      <c r="AU316" s="99"/>
      <c r="AV316" s="99"/>
      <c r="AW316" s="97"/>
      <c r="AX316" s="98"/>
      <c r="AY316" s="98"/>
      <c r="AZ316" s="98"/>
      <c r="BA316" s="98"/>
      <c r="BB316" s="98"/>
      <c r="BC316" s="99"/>
      <c r="BD316" s="99"/>
      <c r="BE316" s="97"/>
      <c r="BF316" s="98"/>
      <c r="BG316" s="98"/>
      <c r="BH316" s="98"/>
      <c r="BI316" s="98"/>
      <c r="BJ316" s="98"/>
      <c r="BK316" s="99"/>
      <c r="BL316" s="99"/>
      <c r="BM316" s="97"/>
      <c r="BN316" s="98"/>
      <c r="BO316" s="98"/>
      <c r="BP316" s="98"/>
      <c r="BQ316" s="98"/>
      <c r="BR316" s="98"/>
      <c r="BS316" s="99"/>
      <c r="BT316" s="99"/>
    </row>
    <row r="317" spans="1:72">
      <c r="A317" s="97"/>
      <c r="B317" s="98"/>
      <c r="C317" s="98"/>
      <c r="D317" s="98"/>
      <c r="E317" s="98"/>
      <c r="F317" s="98"/>
      <c r="G317" s="99"/>
      <c r="H317" s="99"/>
      <c r="I317" s="97"/>
      <c r="J317" s="98"/>
      <c r="K317" s="98"/>
      <c r="L317" s="98"/>
      <c r="M317" s="98"/>
      <c r="N317" s="98"/>
      <c r="O317" s="99"/>
      <c r="P317" s="99"/>
      <c r="Q317" s="97"/>
      <c r="R317" s="98"/>
      <c r="S317" s="98"/>
      <c r="T317" s="98"/>
      <c r="U317" s="98"/>
      <c r="V317" s="98"/>
      <c r="W317" s="99"/>
      <c r="X317" s="99"/>
      <c r="Y317" s="97"/>
      <c r="Z317" s="98"/>
      <c r="AA317" s="98"/>
      <c r="AB317" s="98"/>
      <c r="AC317" s="98"/>
      <c r="AD317" s="98"/>
      <c r="AE317" s="99"/>
      <c r="AF317" s="99"/>
      <c r="AG317" s="97"/>
      <c r="AH317" s="98"/>
      <c r="AI317" s="98"/>
      <c r="AJ317" s="98"/>
      <c r="AK317" s="98"/>
      <c r="AL317" s="98"/>
      <c r="AM317" s="99"/>
      <c r="AN317" s="99"/>
      <c r="AO317" s="97"/>
      <c r="AP317" s="98"/>
      <c r="AQ317" s="98"/>
      <c r="AR317" s="98"/>
      <c r="AS317" s="98"/>
      <c r="AT317" s="98"/>
      <c r="AU317" s="99"/>
      <c r="AV317" s="99"/>
      <c r="AW317" s="97"/>
      <c r="AX317" s="98"/>
      <c r="AY317" s="98"/>
      <c r="AZ317" s="98"/>
      <c r="BA317" s="98"/>
      <c r="BB317" s="98"/>
      <c r="BC317" s="99"/>
      <c r="BD317" s="99"/>
      <c r="BE317" s="97"/>
      <c r="BF317" s="98"/>
      <c r="BG317" s="98"/>
      <c r="BH317" s="98"/>
      <c r="BI317" s="98"/>
      <c r="BJ317" s="98"/>
      <c r="BK317" s="99"/>
      <c r="BL317" s="99"/>
      <c r="BM317" s="97"/>
      <c r="BN317" s="98"/>
      <c r="BO317" s="98"/>
      <c r="BP317" s="98"/>
      <c r="BQ317" s="98"/>
      <c r="BR317" s="98"/>
      <c r="BS317" s="99"/>
      <c r="BT317" s="99"/>
    </row>
    <row r="318" spans="1:72">
      <c r="A318" s="97"/>
      <c r="B318" s="98"/>
      <c r="C318" s="98"/>
      <c r="D318" s="98"/>
      <c r="E318" s="98"/>
      <c r="F318" s="98"/>
      <c r="G318" s="99"/>
      <c r="H318" s="99"/>
      <c r="I318" s="97"/>
      <c r="J318" s="98"/>
      <c r="K318" s="98"/>
      <c r="L318" s="98"/>
      <c r="M318" s="98"/>
      <c r="N318" s="98"/>
      <c r="O318" s="99"/>
      <c r="P318" s="99"/>
      <c r="Q318" s="97"/>
      <c r="R318" s="98"/>
      <c r="S318" s="98"/>
      <c r="T318" s="98"/>
      <c r="U318" s="98"/>
      <c r="V318" s="98"/>
      <c r="W318" s="99"/>
      <c r="X318" s="99"/>
      <c r="Y318" s="97"/>
      <c r="Z318" s="98"/>
      <c r="AA318" s="98"/>
      <c r="AB318" s="98"/>
      <c r="AC318" s="98"/>
      <c r="AD318" s="98"/>
      <c r="AE318" s="99"/>
      <c r="AF318" s="99"/>
      <c r="AG318" s="97"/>
      <c r="AH318" s="98"/>
      <c r="AI318" s="98"/>
      <c r="AJ318" s="98"/>
      <c r="AK318" s="98"/>
      <c r="AL318" s="98"/>
      <c r="AM318" s="99"/>
      <c r="AN318" s="99"/>
      <c r="AO318" s="97"/>
      <c r="AP318" s="98"/>
      <c r="AQ318" s="98"/>
      <c r="AR318" s="98"/>
      <c r="AS318" s="98"/>
      <c r="AT318" s="98"/>
      <c r="AU318" s="99"/>
      <c r="AV318" s="99"/>
      <c r="AW318" s="97"/>
      <c r="AX318" s="98"/>
      <c r="AY318" s="98"/>
      <c r="AZ318" s="98"/>
      <c r="BA318" s="98"/>
      <c r="BB318" s="98"/>
      <c r="BC318" s="99"/>
      <c r="BD318" s="99"/>
      <c r="BE318" s="97"/>
      <c r="BF318" s="98"/>
      <c r="BG318" s="98"/>
      <c r="BH318" s="98"/>
      <c r="BI318" s="98"/>
      <c r="BJ318" s="98"/>
      <c r="BK318" s="99"/>
      <c r="BL318" s="99"/>
      <c r="BM318" s="97"/>
      <c r="BN318" s="98"/>
      <c r="BO318" s="98"/>
      <c r="BP318" s="98"/>
      <c r="BQ318" s="98"/>
      <c r="BR318" s="98"/>
      <c r="BS318" s="99"/>
      <c r="BT318" s="99"/>
    </row>
    <row r="319" spans="1:72">
      <c r="A319" s="97"/>
      <c r="B319" s="98"/>
      <c r="C319" s="98"/>
      <c r="D319" s="98"/>
      <c r="E319" s="98"/>
      <c r="F319" s="98"/>
      <c r="G319" s="99"/>
      <c r="H319" s="99"/>
      <c r="I319" s="97"/>
      <c r="J319" s="98"/>
      <c r="K319" s="98"/>
      <c r="L319" s="98"/>
      <c r="M319" s="98"/>
      <c r="N319" s="98"/>
      <c r="O319" s="99"/>
      <c r="P319" s="99"/>
      <c r="Q319" s="97"/>
      <c r="R319" s="98"/>
      <c r="S319" s="98"/>
      <c r="T319" s="98"/>
      <c r="U319" s="98"/>
      <c r="V319" s="98"/>
      <c r="W319" s="99"/>
      <c r="X319" s="99"/>
      <c r="Y319" s="97"/>
      <c r="Z319" s="98"/>
      <c r="AA319" s="98"/>
      <c r="AB319" s="98"/>
      <c r="AC319" s="98"/>
      <c r="AD319" s="98"/>
      <c r="AE319" s="99"/>
      <c r="AF319" s="99"/>
      <c r="AG319" s="97"/>
      <c r="AH319" s="98"/>
      <c r="AI319" s="98"/>
      <c r="AJ319" s="98"/>
      <c r="AK319" s="98"/>
      <c r="AL319" s="98"/>
      <c r="AM319" s="99"/>
      <c r="AN319" s="99"/>
      <c r="AO319" s="97"/>
      <c r="AP319" s="98"/>
      <c r="AQ319" s="98"/>
      <c r="AR319" s="98"/>
      <c r="AS319" s="98"/>
      <c r="AT319" s="98"/>
      <c r="AU319" s="99"/>
      <c r="AV319" s="99"/>
      <c r="AW319" s="97"/>
      <c r="AX319" s="98"/>
      <c r="AY319" s="98"/>
      <c r="AZ319" s="98"/>
      <c r="BA319" s="98"/>
      <c r="BB319" s="98"/>
      <c r="BC319" s="99"/>
      <c r="BD319" s="99"/>
      <c r="BE319" s="97"/>
      <c r="BF319" s="98"/>
      <c r="BG319" s="98"/>
      <c r="BH319" s="98"/>
      <c r="BI319" s="98"/>
      <c r="BJ319" s="98"/>
      <c r="BK319" s="99"/>
      <c r="BL319" s="99"/>
      <c r="BM319" s="97"/>
      <c r="BN319" s="98"/>
      <c r="BO319" s="98"/>
      <c r="BP319" s="98"/>
      <c r="BQ319" s="98"/>
      <c r="BR319" s="98"/>
      <c r="BS319" s="99"/>
      <c r="BT319" s="99"/>
    </row>
    <row r="320" spans="1:72">
      <c r="A320" s="97"/>
      <c r="B320" s="98"/>
      <c r="C320" s="98"/>
      <c r="D320" s="98"/>
      <c r="E320" s="98"/>
      <c r="F320" s="98"/>
      <c r="G320" s="99"/>
      <c r="H320" s="99"/>
      <c r="I320" s="97"/>
      <c r="J320" s="98"/>
      <c r="K320" s="98"/>
      <c r="L320" s="98"/>
      <c r="M320" s="98"/>
      <c r="N320" s="98"/>
      <c r="O320" s="99"/>
      <c r="P320" s="99"/>
      <c r="Q320" s="97"/>
      <c r="R320" s="98"/>
      <c r="S320" s="98"/>
      <c r="T320" s="98"/>
      <c r="U320" s="98"/>
      <c r="V320" s="98"/>
      <c r="W320" s="99"/>
      <c r="X320" s="99"/>
      <c r="Y320" s="97"/>
      <c r="Z320" s="98"/>
      <c r="AA320" s="98"/>
      <c r="AB320" s="98"/>
      <c r="AC320" s="98"/>
      <c r="AD320" s="98"/>
      <c r="AE320" s="99"/>
      <c r="AF320" s="99"/>
      <c r="AG320" s="97"/>
      <c r="AH320" s="98"/>
      <c r="AI320" s="98"/>
      <c r="AJ320" s="98"/>
      <c r="AK320" s="98"/>
      <c r="AL320" s="98"/>
      <c r="AM320" s="99"/>
      <c r="AN320" s="99"/>
      <c r="AO320" s="97"/>
      <c r="AP320" s="98"/>
      <c r="AQ320" s="98"/>
      <c r="AR320" s="98"/>
      <c r="AS320" s="98"/>
      <c r="AT320" s="98"/>
      <c r="AU320" s="99"/>
      <c r="AV320" s="99"/>
      <c r="AW320" s="97"/>
      <c r="AX320" s="98"/>
      <c r="AY320" s="98"/>
      <c r="AZ320" s="98"/>
      <c r="BA320" s="98"/>
      <c r="BB320" s="98"/>
      <c r="BC320" s="99"/>
      <c r="BD320" s="99"/>
      <c r="BE320" s="97"/>
      <c r="BF320" s="98"/>
      <c r="BG320" s="98"/>
      <c r="BH320" s="98"/>
      <c r="BI320" s="98"/>
      <c r="BJ320" s="98"/>
      <c r="BK320" s="99"/>
      <c r="BL320" s="99"/>
      <c r="BM320" s="97"/>
      <c r="BN320" s="98"/>
      <c r="BO320" s="98"/>
      <c r="BP320" s="98"/>
      <c r="BQ320" s="98"/>
      <c r="BR320" s="98"/>
      <c r="BS320" s="99"/>
      <c r="BT320" s="99"/>
    </row>
    <row r="321" spans="1:72">
      <c r="A321" s="97"/>
      <c r="B321" s="98"/>
      <c r="C321" s="98"/>
      <c r="D321" s="98"/>
      <c r="E321" s="98"/>
      <c r="F321" s="98"/>
      <c r="G321" s="99"/>
      <c r="H321" s="99"/>
      <c r="I321" s="97"/>
      <c r="J321" s="98"/>
      <c r="K321" s="98"/>
      <c r="L321" s="98"/>
      <c r="M321" s="98"/>
      <c r="N321" s="98"/>
      <c r="O321" s="99"/>
      <c r="P321" s="99"/>
      <c r="Q321" s="97"/>
      <c r="R321" s="98"/>
      <c r="S321" s="98"/>
      <c r="T321" s="98"/>
      <c r="U321" s="98"/>
      <c r="V321" s="98"/>
      <c r="W321" s="99"/>
      <c r="X321" s="99"/>
      <c r="Y321" s="97"/>
      <c r="Z321" s="98"/>
      <c r="AA321" s="98"/>
      <c r="AB321" s="98"/>
      <c r="AC321" s="98"/>
      <c r="AD321" s="98"/>
      <c r="AE321" s="99"/>
      <c r="AF321" s="99"/>
      <c r="AG321" s="97"/>
      <c r="AH321" s="98"/>
      <c r="AI321" s="98"/>
      <c r="AJ321" s="98"/>
      <c r="AK321" s="98"/>
      <c r="AL321" s="98"/>
      <c r="AM321" s="99"/>
      <c r="AN321" s="99"/>
      <c r="AO321" s="97"/>
      <c r="AP321" s="98"/>
      <c r="AQ321" s="98"/>
      <c r="AR321" s="98"/>
      <c r="AS321" s="98"/>
      <c r="AT321" s="98"/>
      <c r="AU321" s="99"/>
      <c r="AV321" s="99"/>
      <c r="AW321" s="97"/>
      <c r="AX321" s="98"/>
      <c r="AY321" s="98"/>
      <c r="AZ321" s="98"/>
      <c r="BA321" s="98"/>
      <c r="BB321" s="98"/>
      <c r="BC321" s="99"/>
      <c r="BD321" s="99"/>
      <c r="BE321" s="97"/>
      <c r="BF321" s="98"/>
      <c r="BG321" s="98"/>
      <c r="BH321" s="98"/>
      <c r="BI321" s="98"/>
      <c r="BJ321" s="98"/>
      <c r="BK321" s="99"/>
      <c r="BL321" s="99"/>
      <c r="BM321" s="97"/>
      <c r="BN321" s="98"/>
      <c r="BO321" s="98"/>
      <c r="BP321" s="98"/>
      <c r="BQ321" s="98"/>
      <c r="BR321" s="98"/>
      <c r="BS321" s="99"/>
      <c r="BT321" s="99"/>
    </row>
    <row r="322" spans="1:72">
      <c r="A322" s="97"/>
      <c r="B322" s="98"/>
      <c r="C322" s="98"/>
      <c r="D322" s="98"/>
      <c r="E322" s="98"/>
      <c r="F322" s="98"/>
      <c r="G322" s="99"/>
      <c r="H322" s="99"/>
      <c r="I322" s="97"/>
      <c r="J322" s="98"/>
      <c r="K322" s="98"/>
      <c r="L322" s="98"/>
      <c r="M322" s="98"/>
      <c r="N322" s="98"/>
      <c r="O322" s="99"/>
      <c r="P322" s="99"/>
      <c r="Q322" s="97"/>
      <c r="R322" s="98"/>
      <c r="S322" s="98"/>
      <c r="T322" s="98"/>
      <c r="U322" s="98"/>
      <c r="V322" s="98"/>
      <c r="W322" s="99"/>
      <c r="X322" s="99"/>
      <c r="Y322" s="97"/>
      <c r="Z322" s="98"/>
      <c r="AA322" s="98"/>
      <c r="AB322" s="98"/>
      <c r="AC322" s="98"/>
      <c r="AD322" s="98"/>
      <c r="AE322" s="99"/>
      <c r="AF322" s="99"/>
      <c r="AG322" s="97"/>
      <c r="AH322" s="98"/>
      <c r="AI322" s="98"/>
      <c r="AJ322" s="98"/>
      <c r="AK322" s="98"/>
      <c r="AL322" s="98"/>
      <c r="AM322" s="99"/>
      <c r="AN322" s="99"/>
      <c r="AO322" s="97"/>
      <c r="AP322" s="98"/>
      <c r="AQ322" s="98"/>
      <c r="AR322" s="98"/>
      <c r="AS322" s="98"/>
      <c r="AT322" s="98"/>
      <c r="AU322" s="99"/>
      <c r="AV322" s="99"/>
      <c r="AW322" s="97"/>
      <c r="AX322" s="98"/>
      <c r="AY322" s="98"/>
      <c r="AZ322" s="98"/>
      <c r="BA322" s="98"/>
      <c r="BB322" s="98"/>
      <c r="BC322" s="99"/>
      <c r="BD322" s="99"/>
      <c r="BE322" s="97"/>
      <c r="BF322" s="98"/>
      <c r="BG322" s="98"/>
      <c r="BH322" s="98"/>
      <c r="BI322" s="98"/>
      <c r="BJ322" s="98"/>
      <c r="BK322" s="99"/>
      <c r="BL322" s="99"/>
      <c r="BM322" s="97"/>
      <c r="BN322" s="98"/>
      <c r="BO322" s="98"/>
      <c r="BP322" s="98"/>
      <c r="BQ322" s="98"/>
      <c r="BR322" s="98"/>
      <c r="BS322" s="99"/>
      <c r="BT322" s="99"/>
    </row>
    <row r="323" spans="1:72">
      <c r="A323" s="97"/>
      <c r="B323" s="98"/>
      <c r="C323" s="98"/>
      <c r="D323" s="98"/>
      <c r="E323" s="98"/>
      <c r="F323" s="98"/>
      <c r="G323" s="99"/>
      <c r="H323" s="99"/>
      <c r="I323" s="97"/>
      <c r="J323" s="98"/>
      <c r="K323" s="98"/>
      <c r="L323" s="98"/>
      <c r="M323" s="98"/>
      <c r="N323" s="98"/>
      <c r="O323" s="99"/>
      <c r="P323" s="99"/>
      <c r="Q323" s="97"/>
      <c r="R323" s="98"/>
      <c r="S323" s="98"/>
      <c r="T323" s="98"/>
      <c r="U323" s="98"/>
      <c r="V323" s="98"/>
      <c r="W323" s="99"/>
      <c r="X323" s="99"/>
      <c r="Y323" s="97"/>
      <c r="Z323" s="98"/>
      <c r="AA323" s="98"/>
      <c r="AB323" s="98"/>
      <c r="AC323" s="98"/>
      <c r="AD323" s="98"/>
      <c r="AE323" s="99"/>
      <c r="AF323" s="99"/>
      <c r="AG323" s="97"/>
      <c r="AH323" s="98"/>
      <c r="AI323" s="98"/>
      <c r="AJ323" s="98"/>
      <c r="AK323" s="98"/>
      <c r="AL323" s="98"/>
      <c r="AM323" s="99"/>
      <c r="AN323" s="99"/>
      <c r="AO323" s="97"/>
      <c r="AP323" s="98"/>
      <c r="AQ323" s="98"/>
      <c r="AR323" s="98"/>
      <c r="AS323" s="98"/>
      <c r="AT323" s="98"/>
      <c r="AU323" s="99"/>
      <c r="AV323" s="99"/>
      <c r="AW323" s="97"/>
      <c r="AX323" s="98"/>
      <c r="AY323" s="98"/>
      <c r="AZ323" s="98"/>
      <c r="BA323" s="98"/>
      <c r="BB323" s="98"/>
      <c r="BC323" s="99"/>
      <c r="BD323" s="99"/>
      <c r="BE323" s="97"/>
      <c r="BF323" s="98"/>
      <c r="BG323" s="98"/>
      <c r="BH323" s="98"/>
      <c r="BI323" s="98"/>
      <c r="BJ323" s="98"/>
      <c r="BK323" s="99"/>
      <c r="BL323" s="99"/>
      <c r="BM323" s="97"/>
      <c r="BN323" s="98"/>
      <c r="BO323" s="98"/>
      <c r="BP323" s="98"/>
      <c r="BQ323" s="98"/>
      <c r="BR323" s="98"/>
      <c r="BS323" s="99"/>
      <c r="BT323" s="99"/>
    </row>
    <row r="324" spans="1:72">
      <c r="A324" s="97"/>
      <c r="B324" s="98"/>
      <c r="C324" s="98"/>
      <c r="D324" s="98"/>
      <c r="E324" s="98"/>
      <c r="F324" s="98"/>
      <c r="G324" s="99"/>
      <c r="H324" s="99"/>
      <c r="I324" s="97"/>
      <c r="J324" s="98"/>
      <c r="K324" s="98"/>
      <c r="L324" s="98"/>
      <c r="M324" s="98"/>
      <c r="N324" s="98"/>
      <c r="O324" s="99"/>
      <c r="P324" s="99"/>
      <c r="Q324" s="97"/>
      <c r="R324" s="98"/>
      <c r="S324" s="98"/>
      <c r="T324" s="98"/>
      <c r="U324" s="98"/>
      <c r="V324" s="98"/>
      <c r="W324" s="99"/>
      <c r="X324" s="99"/>
      <c r="Y324" s="97"/>
      <c r="Z324" s="98"/>
      <c r="AA324" s="98"/>
      <c r="AB324" s="98"/>
      <c r="AC324" s="98"/>
      <c r="AD324" s="98"/>
      <c r="AE324" s="99"/>
      <c r="AF324" s="99"/>
      <c r="AG324" s="97"/>
      <c r="AH324" s="98"/>
      <c r="AI324" s="98"/>
      <c r="AJ324" s="98"/>
      <c r="AK324" s="98"/>
      <c r="AL324" s="98"/>
      <c r="AM324" s="99"/>
      <c r="AN324" s="99"/>
      <c r="AO324" s="97"/>
      <c r="AP324" s="98"/>
      <c r="AQ324" s="98"/>
      <c r="AR324" s="98"/>
      <c r="AS324" s="98"/>
      <c r="AT324" s="98"/>
      <c r="AU324" s="99"/>
      <c r="AV324" s="99"/>
      <c r="AW324" s="97"/>
      <c r="AX324" s="98"/>
      <c r="AY324" s="98"/>
      <c r="AZ324" s="98"/>
      <c r="BA324" s="98"/>
      <c r="BB324" s="98"/>
      <c r="BC324" s="99"/>
      <c r="BD324" s="99"/>
      <c r="BE324" s="97"/>
      <c r="BF324" s="98"/>
      <c r="BG324" s="98"/>
      <c r="BH324" s="98"/>
      <c r="BI324" s="98"/>
      <c r="BJ324" s="98"/>
      <c r="BK324" s="99"/>
      <c r="BL324" s="99"/>
      <c r="BM324" s="97"/>
      <c r="BN324" s="98"/>
      <c r="BO324" s="98"/>
      <c r="BP324" s="98"/>
      <c r="BQ324" s="98"/>
      <c r="BR324" s="98"/>
      <c r="BS324" s="99"/>
      <c r="BT324" s="99"/>
    </row>
    <row r="325" spans="1:72">
      <c r="A325" s="97"/>
      <c r="B325" s="98"/>
      <c r="C325" s="98"/>
      <c r="D325" s="98"/>
      <c r="E325" s="98"/>
      <c r="F325" s="98"/>
      <c r="G325" s="99"/>
      <c r="H325" s="99"/>
      <c r="I325" s="97"/>
      <c r="J325" s="98"/>
      <c r="K325" s="98"/>
      <c r="L325" s="98"/>
      <c r="M325" s="98"/>
      <c r="N325" s="98"/>
      <c r="O325" s="99"/>
      <c r="P325" s="99"/>
      <c r="Q325" s="97"/>
      <c r="R325" s="98"/>
      <c r="S325" s="98"/>
      <c r="T325" s="98"/>
      <c r="U325" s="98"/>
      <c r="V325" s="98"/>
      <c r="W325" s="99"/>
      <c r="X325" s="99"/>
      <c r="Y325" s="97"/>
      <c r="Z325" s="98"/>
      <c r="AA325" s="98"/>
      <c r="AB325" s="98"/>
      <c r="AC325" s="98"/>
      <c r="AD325" s="98"/>
      <c r="AE325" s="99"/>
      <c r="AF325" s="99"/>
      <c r="AG325" s="97"/>
      <c r="AH325" s="98"/>
      <c r="AI325" s="98"/>
      <c r="AJ325" s="98"/>
      <c r="AK325" s="98"/>
      <c r="AL325" s="98"/>
      <c r="AM325" s="99"/>
      <c r="AN325" s="99"/>
      <c r="AO325" s="97"/>
      <c r="AP325" s="98"/>
      <c r="AQ325" s="98"/>
      <c r="AR325" s="98"/>
      <c r="AS325" s="98"/>
      <c r="AT325" s="98"/>
      <c r="AU325" s="99"/>
      <c r="AV325" s="99"/>
      <c r="AW325" s="97"/>
      <c r="AX325" s="98"/>
      <c r="AY325" s="98"/>
      <c r="AZ325" s="98"/>
      <c r="BA325" s="98"/>
      <c r="BB325" s="98"/>
      <c r="BC325" s="99"/>
      <c r="BD325" s="99"/>
      <c r="BE325" s="97"/>
      <c r="BF325" s="98"/>
      <c r="BG325" s="98"/>
      <c r="BH325" s="98"/>
      <c r="BI325" s="98"/>
      <c r="BJ325" s="98"/>
      <c r="BK325" s="99"/>
      <c r="BL325" s="99"/>
      <c r="BM325" s="97"/>
      <c r="BN325" s="98"/>
      <c r="BO325" s="98"/>
      <c r="BP325" s="98"/>
      <c r="BQ325" s="98"/>
      <c r="BR325" s="98"/>
      <c r="BS325" s="99"/>
      <c r="BT325" s="99"/>
    </row>
    <row r="326" spans="1:72">
      <c r="A326" s="97"/>
      <c r="B326" s="98"/>
      <c r="C326" s="98"/>
      <c r="D326" s="98"/>
      <c r="E326" s="98"/>
      <c r="F326" s="98"/>
      <c r="G326" s="99"/>
      <c r="H326" s="99"/>
      <c r="I326" s="97"/>
      <c r="J326" s="98"/>
      <c r="K326" s="98"/>
      <c r="L326" s="98"/>
      <c r="M326" s="98"/>
      <c r="N326" s="98"/>
      <c r="O326" s="99"/>
      <c r="P326" s="99"/>
      <c r="Q326" s="97"/>
      <c r="R326" s="98"/>
      <c r="S326" s="98"/>
      <c r="T326" s="98"/>
      <c r="U326" s="98"/>
      <c r="V326" s="98"/>
      <c r="W326" s="99"/>
      <c r="X326" s="99"/>
      <c r="Y326" s="97"/>
      <c r="Z326" s="98"/>
      <c r="AA326" s="98"/>
      <c r="AB326" s="98"/>
      <c r="AC326" s="98"/>
      <c r="AD326" s="98"/>
      <c r="AE326" s="99"/>
      <c r="AF326" s="99"/>
      <c r="AG326" s="97"/>
      <c r="AH326" s="98"/>
      <c r="AI326" s="98"/>
      <c r="AJ326" s="98"/>
      <c r="AK326" s="98"/>
      <c r="AL326" s="98"/>
      <c r="AM326" s="99"/>
      <c r="AN326" s="99"/>
      <c r="AO326" s="97"/>
      <c r="AP326" s="98"/>
      <c r="AQ326" s="98"/>
      <c r="AR326" s="98"/>
      <c r="AS326" s="98"/>
      <c r="AT326" s="98"/>
      <c r="AU326" s="99"/>
      <c r="AV326" s="99"/>
      <c r="AW326" s="97"/>
      <c r="AX326" s="98"/>
      <c r="AY326" s="98"/>
      <c r="AZ326" s="98"/>
      <c r="BA326" s="98"/>
      <c r="BB326" s="98"/>
      <c r="BC326" s="99"/>
      <c r="BD326" s="99"/>
      <c r="BE326" s="97"/>
      <c r="BF326" s="98"/>
      <c r="BG326" s="98"/>
      <c r="BH326" s="98"/>
      <c r="BI326" s="98"/>
      <c r="BJ326" s="98"/>
      <c r="BK326" s="99"/>
      <c r="BL326" s="99"/>
      <c r="BM326" s="97"/>
      <c r="BN326" s="98"/>
      <c r="BO326" s="98"/>
      <c r="BP326" s="98"/>
      <c r="BQ326" s="98"/>
      <c r="BR326" s="98"/>
      <c r="BS326" s="99"/>
      <c r="BT326" s="99"/>
    </row>
    <row r="327" spans="1:72">
      <c r="A327" s="97"/>
      <c r="B327" s="98"/>
      <c r="C327" s="98"/>
      <c r="D327" s="98"/>
      <c r="E327" s="98"/>
      <c r="F327" s="98"/>
      <c r="G327" s="99"/>
      <c r="H327" s="99"/>
      <c r="I327" s="97"/>
      <c r="J327" s="98"/>
      <c r="K327" s="98"/>
      <c r="L327" s="98"/>
      <c r="M327" s="98"/>
      <c r="N327" s="98"/>
      <c r="O327" s="99"/>
      <c r="P327" s="99"/>
      <c r="Q327" s="97"/>
      <c r="R327" s="98"/>
      <c r="S327" s="98"/>
      <c r="T327" s="98"/>
      <c r="U327" s="98"/>
      <c r="V327" s="98"/>
      <c r="W327" s="99"/>
      <c r="X327" s="99"/>
      <c r="Y327" s="97"/>
      <c r="Z327" s="98"/>
      <c r="AA327" s="98"/>
      <c r="AB327" s="98"/>
      <c r="AC327" s="98"/>
      <c r="AD327" s="98"/>
      <c r="AE327" s="99"/>
      <c r="AF327" s="99"/>
      <c r="AG327" s="97"/>
      <c r="AH327" s="98"/>
      <c r="AI327" s="98"/>
      <c r="AJ327" s="98"/>
      <c r="AK327" s="98"/>
      <c r="AL327" s="98"/>
      <c r="AM327" s="99"/>
      <c r="AN327" s="99"/>
      <c r="AO327" s="97"/>
      <c r="AP327" s="98"/>
      <c r="AQ327" s="98"/>
      <c r="AR327" s="98"/>
      <c r="AS327" s="98"/>
      <c r="AT327" s="98"/>
      <c r="AU327" s="99"/>
      <c r="AV327" s="99"/>
      <c r="AW327" s="97"/>
      <c r="AX327" s="98"/>
      <c r="AY327" s="98"/>
      <c r="AZ327" s="98"/>
      <c r="BA327" s="98"/>
      <c r="BB327" s="98"/>
      <c r="BC327" s="99"/>
      <c r="BD327" s="99"/>
      <c r="BE327" s="97"/>
      <c r="BF327" s="98"/>
      <c r="BG327" s="98"/>
      <c r="BH327" s="98"/>
      <c r="BI327" s="98"/>
      <c r="BJ327" s="98"/>
      <c r="BK327" s="99"/>
      <c r="BL327" s="99"/>
      <c r="BM327" s="97"/>
      <c r="BN327" s="98"/>
      <c r="BO327" s="98"/>
      <c r="BP327" s="98"/>
      <c r="BQ327" s="98"/>
      <c r="BR327" s="98"/>
      <c r="BS327" s="99"/>
      <c r="BT327" s="99"/>
    </row>
    <row r="328" spans="1:72">
      <c r="A328" s="97"/>
      <c r="B328" s="98"/>
      <c r="C328" s="98"/>
      <c r="D328" s="98"/>
      <c r="E328" s="98"/>
      <c r="F328" s="98"/>
      <c r="G328" s="99"/>
      <c r="H328" s="99"/>
      <c r="I328" s="97"/>
      <c r="J328" s="98"/>
      <c r="K328" s="98"/>
      <c r="L328" s="98"/>
      <c r="M328" s="98"/>
      <c r="N328" s="98"/>
      <c r="O328" s="99"/>
      <c r="P328" s="99"/>
      <c r="Q328" s="97"/>
      <c r="R328" s="98"/>
      <c r="S328" s="98"/>
      <c r="T328" s="98"/>
      <c r="U328" s="98"/>
      <c r="V328" s="98"/>
      <c r="W328" s="99"/>
      <c r="X328" s="99"/>
      <c r="Y328" s="97"/>
      <c r="Z328" s="98"/>
      <c r="AA328" s="98"/>
      <c r="AB328" s="98"/>
      <c r="AC328" s="98"/>
      <c r="AD328" s="98"/>
      <c r="AE328" s="99"/>
      <c r="AF328" s="99"/>
      <c r="AG328" s="97"/>
      <c r="AH328" s="98"/>
      <c r="AI328" s="98"/>
      <c r="AJ328" s="98"/>
      <c r="AK328" s="98"/>
      <c r="AL328" s="98"/>
      <c r="AM328" s="99"/>
      <c r="AN328" s="99"/>
      <c r="AO328" s="97"/>
      <c r="AP328" s="98"/>
      <c r="AQ328" s="98"/>
      <c r="AR328" s="98"/>
      <c r="AS328" s="98"/>
      <c r="AT328" s="98"/>
      <c r="AU328" s="99"/>
      <c r="AV328" s="99"/>
      <c r="AW328" s="97"/>
      <c r="AX328" s="98"/>
      <c r="AY328" s="98"/>
      <c r="AZ328" s="98"/>
      <c r="BA328" s="98"/>
      <c r="BB328" s="98"/>
      <c r="BC328" s="99"/>
      <c r="BD328" s="99"/>
      <c r="BE328" s="97"/>
      <c r="BF328" s="98"/>
      <c r="BG328" s="98"/>
      <c r="BH328" s="98"/>
      <c r="BI328" s="98"/>
      <c r="BJ328" s="98"/>
      <c r="BK328" s="99"/>
      <c r="BL328" s="99"/>
      <c r="BM328" s="97"/>
      <c r="BN328" s="98"/>
      <c r="BO328" s="98"/>
      <c r="BP328" s="98"/>
      <c r="BQ328" s="98"/>
      <c r="BR328" s="98"/>
      <c r="BS328" s="99"/>
      <c r="BT328" s="99"/>
    </row>
    <row r="329" spans="1:72">
      <c r="A329" s="97"/>
      <c r="B329" s="98"/>
      <c r="C329" s="98"/>
      <c r="D329" s="98"/>
      <c r="E329" s="98"/>
      <c r="F329" s="98"/>
      <c r="G329" s="99"/>
      <c r="H329" s="99"/>
      <c r="I329" s="97"/>
      <c r="J329" s="98"/>
      <c r="K329" s="98"/>
      <c r="L329" s="98"/>
      <c r="M329" s="98"/>
      <c r="N329" s="98"/>
      <c r="O329" s="99"/>
      <c r="P329" s="99"/>
      <c r="Q329" s="97"/>
      <c r="R329" s="98"/>
      <c r="S329" s="98"/>
      <c r="T329" s="98"/>
      <c r="U329" s="98"/>
      <c r="V329" s="98"/>
      <c r="W329" s="99"/>
      <c r="X329" s="99"/>
      <c r="Y329" s="97"/>
      <c r="Z329" s="98"/>
      <c r="AA329" s="98"/>
      <c r="AB329" s="98"/>
      <c r="AC329" s="98"/>
      <c r="AD329" s="98"/>
      <c r="AE329" s="99"/>
      <c r="AF329" s="99"/>
      <c r="AG329" s="97"/>
      <c r="AH329" s="98"/>
      <c r="AI329" s="98"/>
      <c r="AJ329" s="98"/>
      <c r="AK329" s="98"/>
      <c r="AL329" s="98"/>
      <c r="AM329" s="99"/>
      <c r="AN329" s="99"/>
      <c r="AO329" s="97"/>
      <c r="AP329" s="98"/>
      <c r="AQ329" s="98"/>
      <c r="AR329" s="98"/>
      <c r="AS329" s="98"/>
      <c r="AT329" s="98"/>
      <c r="AU329" s="99"/>
      <c r="AV329" s="99"/>
      <c r="AW329" s="97"/>
      <c r="AX329" s="98"/>
      <c r="AY329" s="98"/>
      <c r="AZ329" s="98"/>
      <c r="BA329" s="98"/>
      <c r="BB329" s="98"/>
      <c r="BC329" s="99"/>
      <c r="BD329" s="99"/>
      <c r="BE329" s="97"/>
      <c r="BF329" s="98"/>
      <c r="BG329" s="98"/>
      <c r="BH329" s="98"/>
      <c r="BI329" s="98"/>
      <c r="BJ329" s="98"/>
      <c r="BK329" s="99"/>
      <c r="BL329" s="99"/>
      <c r="BM329" s="97"/>
      <c r="BN329" s="98"/>
      <c r="BO329" s="98"/>
      <c r="BP329" s="98"/>
      <c r="BQ329" s="98"/>
      <c r="BR329" s="98"/>
      <c r="BS329" s="99"/>
      <c r="BT329" s="99"/>
    </row>
    <row r="330" spans="1:72">
      <c r="A330" s="97"/>
      <c r="B330" s="98"/>
      <c r="C330" s="98"/>
      <c r="D330" s="98"/>
      <c r="E330" s="98"/>
      <c r="F330" s="98"/>
      <c r="G330" s="99"/>
      <c r="H330" s="99"/>
      <c r="I330" s="97"/>
      <c r="J330" s="98"/>
      <c r="K330" s="98"/>
      <c r="L330" s="98"/>
      <c r="M330" s="98"/>
      <c r="N330" s="98"/>
      <c r="O330" s="99"/>
      <c r="P330" s="99"/>
      <c r="Q330" s="97"/>
      <c r="R330" s="98"/>
      <c r="S330" s="98"/>
      <c r="T330" s="98"/>
      <c r="U330" s="98"/>
      <c r="V330" s="98"/>
      <c r="W330" s="99"/>
      <c r="X330" s="99"/>
      <c r="Y330" s="97"/>
      <c r="Z330" s="98"/>
      <c r="AA330" s="98"/>
      <c r="AB330" s="98"/>
      <c r="AC330" s="98"/>
      <c r="AD330" s="98"/>
      <c r="AE330" s="99"/>
      <c r="AF330" s="99"/>
      <c r="AG330" s="97"/>
      <c r="AH330" s="98"/>
      <c r="AI330" s="98"/>
      <c r="AJ330" s="98"/>
      <c r="AK330" s="98"/>
      <c r="AL330" s="98"/>
      <c r="AM330" s="99"/>
      <c r="AN330" s="99"/>
      <c r="AO330" s="97"/>
      <c r="AP330" s="98"/>
      <c r="AQ330" s="98"/>
      <c r="AR330" s="98"/>
      <c r="AS330" s="98"/>
      <c r="AT330" s="98"/>
      <c r="AU330" s="99"/>
      <c r="AV330" s="99"/>
      <c r="AW330" s="97"/>
      <c r="AX330" s="98"/>
      <c r="AY330" s="98"/>
      <c r="AZ330" s="98"/>
      <c r="BA330" s="98"/>
      <c r="BB330" s="98"/>
      <c r="BC330" s="99"/>
      <c r="BD330" s="99"/>
      <c r="BE330" s="97"/>
      <c r="BF330" s="98"/>
      <c r="BG330" s="98"/>
      <c r="BH330" s="98"/>
      <c r="BI330" s="98"/>
      <c r="BJ330" s="98"/>
      <c r="BK330" s="99"/>
      <c r="BL330" s="99"/>
      <c r="BM330" s="97"/>
      <c r="BN330" s="98"/>
      <c r="BO330" s="98"/>
      <c r="BP330" s="98"/>
      <c r="BQ330" s="98"/>
      <c r="BR330" s="98"/>
      <c r="BS330" s="99"/>
      <c r="BT330" s="99"/>
    </row>
    <row r="331" spans="1:72">
      <c r="A331" s="97"/>
      <c r="B331" s="98"/>
      <c r="C331" s="98"/>
      <c r="D331" s="98"/>
      <c r="E331" s="98"/>
      <c r="F331" s="98"/>
      <c r="G331" s="99"/>
      <c r="H331" s="99"/>
      <c r="I331" s="97"/>
      <c r="J331" s="98"/>
      <c r="K331" s="98"/>
      <c r="L331" s="98"/>
      <c r="M331" s="98"/>
      <c r="N331" s="98"/>
      <c r="O331" s="99"/>
      <c r="P331" s="99"/>
      <c r="Q331" s="97"/>
      <c r="R331" s="98"/>
      <c r="S331" s="98"/>
      <c r="T331" s="98"/>
      <c r="U331" s="98"/>
      <c r="V331" s="98"/>
      <c r="W331" s="99"/>
      <c r="X331" s="99"/>
      <c r="Y331" s="97"/>
      <c r="Z331" s="98"/>
      <c r="AA331" s="98"/>
      <c r="AB331" s="98"/>
      <c r="AC331" s="98"/>
      <c r="AD331" s="98"/>
      <c r="AE331" s="99"/>
      <c r="AF331" s="99"/>
      <c r="AG331" s="97"/>
      <c r="AH331" s="98"/>
      <c r="AI331" s="98"/>
      <c r="AJ331" s="98"/>
      <c r="AK331" s="98"/>
      <c r="AL331" s="98"/>
      <c r="AM331" s="99"/>
      <c r="AN331" s="99"/>
      <c r="AO331" s="97"/>
      <c r="AP331" s="98"/>
      <c r="AQ331" s="98"/>
      <c r="AR331" s="98"/>
      <c r="AS331" s="98"/>
      <c r="AT331" s="98"/>
      <c r="AU331" s="99"/>
      <c r="AV331" s="99"/>
      <c r="AW331" s="97"/>
      <c r="AX331" s="98"/>
      <c r="AY331" s="98"/>
      <c r="AZ331" s="98"/>
      <c r="BA331" s="98"/>
      <c r="BB331" s="98"/>
      <c r="BC331" s="99"/>
      <c r="BD331" s="99"/>
      <c r="BE331" s="97"/>
      <c r="BF331" s="98"/>
      <c r="BG331" s="98"/>
      <c r="BH331" s="98"/>
      <c r="BI331" s="98"/>
      <c r="BJ331" s="98"/>
      <c r="BK331" s="99"/>
      <c r="BL331" s="99"/>
      <c r="BM331" s="97"/>
      <c r="BN331" s="98"/>
      <c r="BO331" s="98"/>
      <c r="BP331" s="98"/>
      <c r="BQ331" s="98"/>
      <c r="BR331" s="98"/>
      <c r="BS331" s="99"/>
      <c r="BT331" s="99"/>
    </row>
    <row r="332" spans="1:72">
      <c r="A332" s="97"/>
      <c r="B332" s="98"/>
      <c r="C332" s="98"/>
      <c r="D332" s="98"/>
      <c r="E332" s="98"/>
      <c r="F332" s="98"/>
      <c r="G332" s="99"/>
      <c r="H332" s="99"/>
      <c r="I332" s="97"/>
      <c r="J332" s="98"/>
      <c r="K332" s="98"/>
      <c r="L332" s="98"/>
      <c r="M332" s="98"/>
      <c r="N332" s="98"/>
      <c r="O332" s="99"/>
      <c r="P332" s="99"/>
      <c r="Q332" s="97"/>
      <c r="R332" s="98"/>
      <c r="S332" s="98"/>
      <c r="T332" s="98"/>
      <c r="U332" s="98"/>
      <c r="V332" s="98"/>
      <c r="W332" s="99"/>
      <c r="X332" s="99"/>
      <c r="Y332" s="97"/>
      <c r="Z332" s="98"/>
      <c r="AA332" s="98"/>
      <c r="AB332" s="98"/>
      <c r="AC332" s="98"/>
      <c r="AD332" s="98"/>
      <c r="AE332" s="99"/>
      <c r="AF332" s="99"/>
      <c r="AG332" s="97"/>
      <c r="AH332" s="98"/>
      <c r="AI332" s="98"/>
      <c r="AJ332" s="98"/>
      <c r="AK332" s="98"/>
      <c r="AL332" s="98"/>
      <c r="AM332" s="99"/>
      <c r="AN332" s="99"/>
      <c r="AO332" s="97"/>
      <c r="AP332" s="98"/>
      <c r="AQ332" s="98"/>
      <c r="AR332" s="98"/>
      <c r="AS332" s="98"/>
      <c r="AT332" s="98"/>
      <c r="AU332" s="99"/>
      <c r="AV332" s="99"/>
      <c r="AW332" s="97"/>
      <c r="AX332" s="98"/>
      <c r="AY332" s="98"/>
      <c r="AZ332" s="98"/>
      <c r="BA332" s="98"/>
      <c r="BB332" s="98"/>
      <c r="BC332" s="99"/>
      <c r="BD332" s="99"/>
      <c r="BE332" s="97"/>
      <c r="BF332" s="98"/>
      <c r="BG332" s="98"/>
      <c r="BH332" s="98"/>
      <c r="BI332" s="98"/>
      <c r="BJ332" s="98"/>
      <c r="BK332" s="99"/>
      <c r="BL332" s="99"/>
      <c r="BM332" s="97"/>
      <c r="BN332" s="98"/>
      <c r="BO332" s="98"/>
      <c r="BP332" s="98"/>
      <c r="BQ332" s="98"/>
      <c r="BR332" s="98"/>
      <c r="BS332" s="99"/>
      <c r="BT332" s="99"/>
    </row>
    <row r="333" spans="1:72">
      <c r="A333" s="97"/>
      <c r="B333" s="98"/>
      <c r="C333" s="98"/>
      <c r="D333" s="98"/>
      <c r="E333" s="98"/>
      <c r="F333" s="98"/>
      <c r="G333" s="99"/>
      <c r="H333" s="99"/>
      <c r="I333" s="97"/>
      <c r="J333" s="98"/>
      <c r="K333" s="98"/>
      <c r="L333" s="98"/>
      <c r="M333" s="98"/>
      <c r="N333" s="98"/>
      <c r="O333" s="99"/>
      <c r="P333" s="99"/>
      <c r="Q333" s="97"/>
      <c r="R333" s="98"/>
      <c r="S333" s="98"/>
      <c r="T333" s="98"/>
      <c r="U333" s="98"/>
      <c r="V333" s="98"/>
      <c r="W333" s="99"/>
      <c r="X333" s="99"/>
      <c r="Y333" s="97"/>
      <c r="Z333" s="98"/>
      <c r="AA333" s="98"/>
      <c r="AB333" s="98"/>
      <c r="AC333" s="98"/>
      <c r="AD333" s="98"/>
      <c r="AE333" s="99"/>
      <c r="AF333" s="99"/>
      <c r="AG333" s="97"/>
      <c r="AH333" s="98"/>
      <c r="AI333" s="98"/>
      <c r="AJ333" s="98"/>
      <c r="AK333" s="98"/>
      <c r="AL333" s="98"/>
      <c r="AM333" s="99"/>
      <c r="AN333" s="99"/>
      <c r="AO333" s="97"/>
      <c r="AP333" s="98"/>
      <c r="AQ333" s="98"/>
      <c r="AR333" s="98"/>
      <c r="AS333" s="98"/>
      <c r="AT333" s="98"/>
      <c r="AU333" s="99"/>
      <c r="AV333" s="99"/>
      <c r="AW333" s="97"/>
      <c r="AX333" s="98"/>
      <c r="AY333" s="98"/>
      <c r="AZ333" s="98"/>
      <c r="BA333" s="98"/>
      <c r="BB333" s="98"/>
      <c r="BC333" s="99"/>
      <c r="BD333" s="99"/>
      <c r="BE333" s="97"/>
      <c r="BF333" s="98"/>
      <c r="BG333" s="98"/>
      <c r="BH333" s="98"/>
      <c r="BI333" s="98"/>
      <c r="BJ333" s="98"/>
      <c r="BK333" s="99"/>
      <c r="BL333" s="99"/>
      <c r="BM333" s="97"/>
      <c r="BN333" s="98"/>
      <c r="BO333" s="98"/>
      <c r="BP333" s="98"/>
      <c r="BQ333" s="98"/>
      <c r="BR333" s="98"/>
      <c r="BS333" s="99"/>
      <c r="BT333" s="99"/>
    </row>
    <row r="334" spans="1:72">
      <c r="A334" s="97"/>
      <c r="B334" s="98"/>
      <c r="C334" s="98"/>
      <c r="D334" s="98"/>
      <c r="E334" s="98"/>
      <c r="F334" s="98"/>
      <c r="G334" s="99"/>
      <c r="H334" s="99"/>
      <c r="I334" s="97"/>
      <c r="J334" s="98"/>
      <c r="K334" s="98"/>
      <c r="L334" s="98"/>
      <c r="M334" s="98"/>
      <c r="N334" s="98"/>
      <c r="O334" s="99"/>
      <c r="P334" s="99"/>
      <c r="Q334" s="97"/>
      <c r="R334" s="98"/>
      <c r="S334" s="98"/>
      <c r="T334" s="98"/>
      <c r="U334" s="98"/>
      <c r="V334" s="98"/>
      <c r="W334" s="99"/>
      <c r="X334" s="99"/>
      <c r="Y334" s="97"/>
      <c r="Z334" s="98"/>
      <c r="AA334" s="98"/>
      <c r="AB334" s="98"/>
      <c r="AC334" s="98"/>
      <c r="AD334" s="98"/>
      <c r="AE334" s="99"/>
      <c r="AF334" s="99"/>
      <c r="AG334" s="97"/>
      <c r="AH334" s="98"/>
      <c r="AI334" s="98"/>
      <c r="AJ334" s="98"/>
      <c r="AK334" s="98"/>
      <c r="AL334" s="98"/>
      <c r="AM334" s="99"/>
      <c r="AN334" s="99"/>
      <c r="AO334" s="97"/>
      <c r="AP334" s="98"/>
      <c r="AQ334" s="98"/>
      <c r="AR334" s="98"/>
      <c r="AS334" s="98"/>
      <c r="AT334" s="98"/>
      <c r="AU334" s="99"/>
      <c r="AV334" s="99"/>
      <c r="AW334" s="97"/>
      <c r="AX334" s="98"/>
      <c r="AY334" s="98"/>
      <c r="AZ334" s="98"/>
      <c r="BA334" s="98"/>
      <c r="BB334" s="98"/>
      <c r="BC334" s="99"/>
      <c r="BD334" s="99"/>
      <c r="BE334" s="97"/>
      <c r="BF334" s="98"/>
      <c r="BG334" s="98"/>
      <c r="BH334" s="98"/>
      <c r="BI334" s="98"/>
      <c r="BJ334" s="98"/>
      <c r="BK334" s="99"/>
      <c r="BL334" s="99"/>
      <c r="BM334" s="97"/>
      <c r="BN334" s="98"/>
      <c r="BO334" s="98"/>
      <c r="BP334" s="98"/>
      <c r="BQ334" s="98"/>
      <c r="BR334" s="98"/>
      <c r="BS334" s="99"/>
      <c r="BT334" s="99"/>
    </row>
    <row r="335" spans="1:72">
      <c r="A335" s="97"/>
      <c r="B335" s="98"/>
      <c r="C335" s="98"/>
      <c r="D335" s="98"/>
      <c r="E335" s="98"/>
      <c r="F335" s="98"/>
      <c r="G335" s="99"/>
      <c r="H335" s="99"/>
      <c r="I335" s="97"/>
      <c r="J335" s="98"/>
      <c r="K335" s="98"/>
      <c r="L335" s="98"/>
      <c r="M335" s="98"/>
      <c r="N335" s="98"/>
      <c r="O335" s="99"/>
      <c r="P335" s="99"/>
      <c r="Q335" s="97"/>
      <c r="R335" s="98"/>
      <c r="S335" s="98"/>
      <c r="T335" s="98"/>
      <c r="U335" s="98"/>
      <c r="V335" s="98"/>
      <c r="W335" s="99"/>
      <c r="X335" s="99"/>
      <c r="Y335" s="97"/>
      <c r="Z335" s="98"/>
      <c r="AA335" s="98"/>
      <c r="AB335" s="98"/>
      <c r="AC335" s="98"/>
      <c r="AD335" s="98"/>
      <c r="AE335" s="99"/>
      <c r="AF335" s="99"/>
      <c r="AG335" s="97"/>
      <c r="AH335" s="98"/>
      <c r="AI335" s="98"/>
      <c r="AJ335" s="98"/>
      <c r="AK335" s="98"/>
      <c r="AL335" s="98"/>
      <c r="AM335" s="99"/>
      <c r="AN335" s="99"/>
      <c r="AO335" s="97"/>
      <c r="AP335" s="98"/>
      <c r="AQ335" s="98"/>
      <c r="AR335" s="98"/>
      <c r="AS335" s="98"/>
      <c r="AT335" s="98"/>
      <c r="AU335" s="99"/>
      <c r="AV335" s="99"/>
      <c r="AW335" s="97"/>
      <c r="AX335" s="98"/>
      <c r="AY335" s="98"/>
      <c r="AZ335" s="98"/>
      <c r="BA335" s="98"/>
      <c r="BB335" s="98"/>
      <c r="BC335" s="99"/>
      <c r="BD335" s="99"/>
      <c r="BE335" s="97"/>
      <c r="BF335" s="98"/>
      <c r="BG335" s="98"/>
      <c r="BH335" s="98"/>
      <c r="BI335" s="98"/>
      <c r="BJ335" s="98"/>
      <c r="BK335" s="99"/>
      <c r="BL335" s="99"/>
      <c r="BM335" s="97"/>
      <c r="BN335" s="98"/>
      <c r="BO335" s="98"/>
      <c r="BP335" s="98"/>
      <c r="BQ335" s="98"/>
      <c r="BR335" s="98"/>
      <c r="BS335" s="99"/>
      <c r="BT335" s="99"/>
    </row>
    <row r="336" spans="1:72">
      <c r="A336" s="97"/>
      <c r="B336" s="98"/>
      <c r="C336" s="98"/>
      <c r="D336" s="98"/>
      <c r="E336" s="98"/>
      <c r="F336" s="98"/>
      <c r="G336" s="99"/>
      <c r="H336" s="99"/>
      <c r="I336" s="97"/>
      <c r="J336" s="98"/>
      <c r="K336" s="98"/>
      <c r="L336" s="98"/>
      <c r="M336" s="98"/>
      <c r="N336" s="98"/>
      <c r="O336" s="99"/>
      <c r="P336" s="99"/>
      <c r="Q336" s="97"/>
      <c r="R336" s="98"/>
      <c r="S336" s="98"/>
      <c r="T336" s="98"/>
      <c r="U336" s="98"/>
      <c r="V336" s="98"/>
      <c r="W336" s="99"/>
      <c r="X336" s="99"/>
      <c r="Y336" s="97"/>
      <c r="Z336" s="98"/>
      <c r="AA336" s="98"/>
      <c r="AB336" s="98"/>
      <c r="AC336" s="98"/>
      <c r="AD336" s="98"/>
      <c r="AE336" s="99"/>
      <c r="AF336" s="99"/>
      <c r="AG336" s="97"/>
      <c r="AH336" s="98"/>
      <c r="AI336" s="98"/>
      <c r="AJ336" s="98"/>
      <c r="AK336" s="98"/>
      <c r="AL336" s="98"/>
      <c r="AM336" s="99"/>
      <c r="AN336" s="99"/>
      <c r="AO336" s="97"/>
      <c r="AP336" s="98"/>
      <c r="AQ336" s="98"/>
      <c r="AR336" s="98"/>
      <c r="AS336" s="98"/>
      <c r="AT336" s="98"/>
      <c r="AU336" s="99"/>
      <c r="AV336" s="99"/>
      <c r="AW336" s="97"/>
      <c r="AX336" s="98"/>
      <c r="AY336" s="98"/>
      <c r="AZ336" s="98"/>
      <c r="BA336" s="98"/>
      <c r="BB336" s="98"/>
      <c r="BC336" s="99"/>
      <c r="BD336" s="99"/>
      <c r="BE336" s="97"/>
      <c r="BF336" s="98"/>
      <c r="BG336" s="98"/>
      <c r="BH336" s="98"/>
      <c r="BI336" s="98"/>
      <c r="BJ336" s="98"/>
      <c r="BK336" s="99"/>
      <c r="BL336" s="99"/>
      <c r="BM336" s="97"/>
      <c r="BN336" s="98"/>
      <c r="BO336" s="98"/>
      <c r="BP336" s="98"/>
      <c r="BQ336" s="98"/>
      <c r="BR336" s="98"/>
      <c r="BS336" s="99"/>
      <c r="BT336" s="99"/>
    </row>
    <row r="337" spans="1:72">
      <c r="A337" s="97"/>
      <c r="B337" s="98"/>
      <c r="C337" s="98"/>
      <c r="D337" s="98"/>
      <c r="E337" s="98"/>
      <c r="F337" s="98"/>
      <c r="G337" s="99"/>
      <c r="H337" s="99"/>
      <c r="I337" s="97"/>
      <c r="J337" s="98"/>
      <c r="K337" s="98"/>
      <c r="L337" s="98"/>
      <c r="M337" s="98"/>
      <c r="N337" s="98"/>
      <c r="O337" s="99"/>
      <c r="P337" s="99"/>
      <c r="Q337" s="97"/>
      <c r="R337" s="98"/>
      <c r="S337" s="98"/>
      <c r="T337" s="98"/>
      <c r="U337" s="98"/>
      <c r="V337" s="98"/>
      <c r="W337" s="99"/>
      <c r="X337" s="99"/>
      <c r="Y337" s="97"/>
      <c r="Z337" s="98"/>
      <c r="AA337" s="98"/>
      <c r="AB337" s="98"/>
      <c r="AC337" s="98"/>
      <c r="AD337" s="98"/>
      <c r="AE337" s="99"/>
      <c r="AF337" s="99"/>
      <c r="AG337" s="97"/>
      <c r="AH337" s="98"/>
      <c r="AI337" s="98"/>
      <c r="AJ337" s="98"/>
      <c r="AK337" s="98"/>
      <c r="AL337" s="98"/>
      <c r="AM337" s="99"/>
      <c r="AN337" s="99"/>
      <c r="AO337" s="97"/>
      <c r="AP337" s="98"/>
      <c r="AQ337" s="98"/>
      <c r="AR337" s="98"/>
      <c r="AS337" s="98"/>
      <c r="AT337" s="98"/>
      <c r="AU337" s="99"/>
      <c r="AV337" s="99"/>
      <c r="AW337" s="97"/>
      <c r="AX337" s="98"/>
      <c r="AY337" s="98"/>
      <c r="AZ337" s="98"/>
      <c r="BA337" s="98"/>
      <c r="BB337" s="98"/>
      <c r="BC337" s="99"/>
      <c r="BD337" s="99"/>
      <c r="BE337" s="97"/>
      <c r="BF337" s="98"/>
      <c r="BG337" s="98"/>
      <c r="BH337" s="98"/>
      <c r="BI337" s="98"/>
      <c r="BJ337" s="98"/>
      <c r="BK337" s="99"/>
      <c r="BL337" s="99"/>
      <c r="BM337" s="97"/>
      <c r="BN337" s="98"/>
      <c r="BO337" s="98"/>
      <c r="BP337" s="98"/>
      <c r="BQ337" s="98"/>
      <c r="BR337" s="98"/>
      <c r="BS337" s="99"/>
      <c r="BT337" s="99"/>
    </row>
    <row r="338" spans="1:72">
      <c r="A338" s="97"/>
      <c r="B338" s="98"/>
      <c r="C338" s="98"/>
      <c r="D338" s="98"/>
      <c r="E338" s="98"/>
      <c r="F338" s="98"/>
      <c r="G338" s="99"/>
      <c r="H338" s="99"/>
      <c r="I338" s="97"/>
      <c r="J338" s="98"/>
      <c r="K338" s="98"/>
      <c r="L338" s="98"/>
      <c r="M338" s="98"/>
      <c r="N338" s="98"/>
      <c r="O338" s="99"/>
      <c r="P338" s="99"/>
      <c r="Q338" s="97"/>
      <c r="R338" s="98"/>
      <c r="S338" s="98"/>
      <c r="T338" s="98"/>
      <c r="U338" s="98"/>
      <c r="V338" s="98"/>
      <c r="W338" s="99"/>
      <c r="X338" s="99"/>
      <c r="Y338" s="97"/>
      <c r="Z338" s="98"/>
      <c r="AA338" s="98"/>
      <c r="AB338" s="98"/>
      <c r="AC338" s="98"/>
      <c r="AD338" s="98"/>
      <c r="AE338" s="99"/>
      <c r="AF338" s="99"/>
      <c r="AG338" s="97"/>
      <c r="AH338" s="98"/>
      <c r="AI338" s="98"/>
      <c r="AJ338" s="98"/>
      <c r="AK338" s="98"/>
      <c r="AL338" s="98"/>
      <c r="AM338" s="99"/>
      <c r="AN338" s="99"/>
      <c r="AO338" s="97"/>
      <c r="AP338" s="98"/>
      <c r="AQ338" s="98"/>
      <c r="AR338" s="98"/>
      <c r="AS338" s="98"/>
      <c r="AT338" s="98"/>
      <c r="AU338" s="99"/>
      <c r="AV338" s="99"/>
      <c r="AW338" s="97"/>
      <c r="AX338" s="98"/>
      <c r="AY338" s="98"/>
      <c r="AZ338" s="98"/>
      <c r="BA338" s="98"/>
      <c r="BB338" s="98"/>
      <c r="BC338" s="99"/>
      <c r="BD338" s="99"/>
      <c r="BE338" s="97"/>
      <c r="BF338" s="98"/>
      <c r="BG338" s="98"/>
      <c r="BH338" s="98"/>
      <c r="BI338" s="98"/>
      <c r="BJ338" s="98"/>
      <c r="BK338" s="99"/>
      <c r="BL338" s="99"/>
      <c r="BM338" s="97"/>
      <c r="BN338" s="98"/>
      <c r="BO338" s="98"/>
      <c r="BP338" s="98"/>
      <c r="BQ338" s="98"/>
      <c r="BR338" s="98"/>
      <c r="BS338" s="99"/>
      <c r="BT338" s="99"/>
    </row>
    <row r="339" spans="1:72">
      <c r="A339" s="97"/>
      <c r="B339" s="98"/>
      <c r="C339" s="98"/>
      <c r="D339" s="98"/>
      <c r="E339" s="98"/>
      <c r="F339" s="98"/>
      <c r="G339" s="99"/>
      <c r="H339" s="99"/>
      <c r="I339" s="97"/>
      <c r="J339" s="98"/>
      <c r="K339" s="98"/>
      <c r="L339" s="98"/>
      <c r="M339" s="98"/>
      <c r="N339" s="98"/>
      <c r="O339" s="99"/>
      <c r="P339" s="99"/>
      <c r="Q339" s="97"/>
      <c r="R339" s="98"/>
      <c r="S339" s="98"/>
      <c r="T339" s="98"/>
      <c r="U339" s="98"/>
      <c r="V339" s="98"/>
      <c r="W339" s="99"/>
      <c r="X339" s="99"/>
      <c r="Y339" s="97"/>
      <c r="Z339" s="98"/>
      <c r="AA339" s="98"/>
      <c r="AB339" s="98"/>
      <c r="AC339" s="98"/>
      <c r="AD339" s="98"/>
      <c r="AE339" s="99"/>
      <c r="AF339" s="99"/>
      <c r="AG339" s="97"/>
      <c r="AH339" s="98"/>
      <c r="AI339" s="98"/>
      <c r="AJ339" s="98"/>
      <c r="AK339" s="98"/>
      <c r="AL339" s="98"/>
      <c r="AM339" s="99"/>
      <c r="AN339" s="99"/>
      <c r="AO339" s="97"/>
      <c r="AP339" s="98"/>
      <c r="AQ339" s="98"/>
      <c r="AR339" s="98"/>
      <c r="AS339" s="98"/>
      <c r="AT339" s="98"/>
      <c r="AU339" s="99"/>
      <c r="AV339" s="99"/>
      <c r="AW339" s="97"/>
      <c r="AX339" s="98"/>
      <c r="AY339" s="98"/>
      <c r="AZ339" s="98"/>
      <c r="BA339" s="98"/>
      <c r="BB339" s="98"/>
      <c r="BC339" s="99"/>
      <c r="BD339" s="99"/>
      <c r="BE339" s="97"/>
      <c r="BF339" s="98"/>
      <c r="BG339" s="98"/>
      <c r="BH339" s="98"/>
      <c r="BI339" s="98"/>
      <c r="BJ339" s="98"/>
      <c r="BK339" s="99"/>
      <c r="BL339" s="99"/>
      <c r="BM339" s="97"/>
      <c r="BN339" s="98"/>
      <c r="BO339" s="98"/>
      <c r="BP339" s="98"/>
      <c r="BQ339" s="98"/>
      <c r="BR339" s="98"/>
      <c r="BS339" s="99"/>
      <c r="BT339" s="99"/>
    </row>
    <row r="340" spans="1:72">
      <c r="A340" s="97"/>
      <c r="B340" s="98"/>
      <c r="C340" s="98"/>
      <c r="D340" s="98"/>
      <c r="E340" s="98"/>
      <c r="F340" s="98"/>
      <c r="G340" s="99"/>
      <c r="H340" s="99"/>
      <c r="I340" s="97"/>
      <c r="J340" s="98"/>
      <c r="K340" s="98"/>
      <c r="L340" s="98"/>
      <c r="M340" s="98"/>
      <c r="N340" s="98"/>
      <c r="O340" s="99"/>
      <c r="P340" s="99"/>
      <c r="Q340" s="97"/>
      <c r="R340" s="98"/>
      <c r="S340" s="98"/>
      <c r="T340" s="98"/>
      <c r="U340" s="98"/>
      <c r="V340" s="98"/>
      <c r="W340" s="99"/>
      <c r="X340" s="99"/>
      <c r="Y340" s="97"/>
      <c r="Z340" s="98"/>
      <c r="AA340" s="98"/>
      <c r="AB340" s="98"/>
      <c r="AC340" s="98"/>
      <c r="AD340" s="98"/>
      <c r="AE340" s="99"/>
      <c r="AF340" s="99"/>
      <c r="AG340" s="97"/>
      <c r="AH340" s="98"/>
      <c r="AI340" s="98"/>
      <c r="AJ340" s="98"/>
      <c r="AK340" s="98"/>
      <c r="AL340" s="98"/>
      <c r="AM340" s="99"/>
      <c r="AN340" s="99"/>
      <c r="AO340" s="97"/>
      <c r="AP340" s="98"/>
      <c r="AQ340" s="98"/>
      <c r="AR340" s="98"/>
      <c r="AS340" s="98"/>
      <c r="AT340" s="98"/>
      <c r="AU340" s="99"/>
      <c r="AV340" s="99"/>
      <c r="AW340" s="97"/>
      <c r="AX340" s="98"/>
      <c r="AY340" s="98"/>
      <c r="AZ340" s="98"/>
      <c r="BA340" s="98"/>
      <c r="BB340" s="98"/>
      <c r="BC340" s="99"/>
      <c r="BD340" s="99"/>
      <c r="BE340" s="97"/>
      <c r="BF340" s="98"/>
      <c r="BG340" s="98"/>
      <c r="BH340" s="98"/>
      <c r="BI340" s="98"/>
      <c r="BJ340" s="98"/>
      <c r="BK340" s="99"/>
      <c r="BL340" s="99"/>
      <c r="BM340" s="97"/>
      <c r="BN340" s="98"/>
      <c r="BO340" s="98"/>
      <c r="BP340" s="98"/>
      <c r="BQ340" s="98"/>
      <c r="BR340" s="98"/>
      <c r="BS340" s="99"/>
      <c r="BT340" s="99"/>
    </row>
    <row r="341" spans="1:72">
      <c r="A341" s="97"/>
      <c r="B341" s="98"/>
      <c r="C341" s="98"/>
      <c r="D341" s="98"/>
      <c r="E341" s="98"/>
      <c r="F341" s="98"/>
      <c r="G341" s="99"/>
      <c r="H341" s="99"/>
      <c r="I341" s="97"/>
      <c r="J341" s="98"/>
      <c r="K341" s="98"/>
      <c r="L341" s="98"/>
      <c r="M341" s="98"/>
      <c r="N341" s="98"/>
      <c r="O341" s="99"/>
      <c r="P341" s="99"/>
      <c r="Q341" s="97"/>
      <c r="R341" s="98"/>
      <c r="S341" s="98"/>
      <c r="T341" s="98"/>
      <c r="U341" s="98"/>
      <c r="V341" s="98"/>
      <c r="W341" s="99"/>
      <c r="X341" s="99"/>
      <c r="Y341" s="97"/>
      <c r="Z341" s="98"/>
      <c r="AA341" s="98"/>
      <c r="AB341" s="98"/>
      <c r="AC341" s="98"/>
      <c r="AD341" s="98"/>
      <c r="AE341" s="99"/>
      <c r="AF341" s="99"/>
      <c r="AG341" s="97"/>
      <c r="AH341" s="98"/>
      <c r="AI341" s="98"/>
      <c r="AJ341" s="98"/>
      <c r="AK341" s="98"/>
      <c r="AL341" s="98"/>
      <c r="AM341" s="99"/>
      <c r="AN341" s="99"/>
      <c r="AO341" s="97"/>
      <c r="AP341" s="98"/>
      <c r="AQ341" s="98"/>
      <c r="AR341" s="98"/>
      <c r="AS341" s="98"/>
      <c r="AT341" s="98"/>
      <c r="AU341" s="99"/>
      <c r="AV341" s="99"/>
      <c r="AW341" s="97"/>
      <c r="AX341" s="98"/>
      <c r="AY341" s="98"/>
      <c r="AZ341" s="98"/>
      <c r="BA341" s="98"/>
      <c r="BB341" s="98"/>
      <c r="BC341" s="99"/>
      <c r="BD341" s="99"/>
      <c r="BE341" s="97"/>
      <c r="BF341" s="98"/>
      <c r="BG341" s="98"/>
      <c r="BH341" s="98"/>
      <c r="BI341" s="98"/>
      <c r="BJ341" s="98"/>
      <c r="BK341" s="99"/>
      <c r="BL341" s="99"/>
      <c r="BM341" s="97"/>
      <c r="BN341" s="98"/>
      <c r="BO341" s="98"/>
      <c r="BP341" s="98"/>
      <c r="BQ341" s="98"/>
      <c r="BR341" s="98"/>
      <c r="BS341" s="99"/>
      <c r="BT341" s="99"/>
    </row>
    <row r="342" spans="1:72">
      <c r="A342" s="97"/>
      <c r="B342" s="98"/>
      <c r="C342" s="98"/>
      <c r="D342" s="98"/>
      <c r="E342" s="98"/>
      <c r="F342" s="98"/>
      <c r="G342" s="99"/>
      <c r="H342" s="99"/>
      <c r="I342" s="97"/>
      <c r="J342" s="98"/>
      <c r="K342" s="98"/>
      <c r="L342" s="98"/>
      <c r="M342" s="98"/>
      <c r="N342" s="98"/>
      <c r="O342" s="99"/>
      <c r="P342" s="99"/>
      <c r="Q342" s="97"/>
      <c r="R342" s="98"/>
      <c r="S342" s="98"/>
      <c r="T342" s="98"/>
      <c r="U342" s="98"/>
      <c r="V342" s="98"/>
      <c r="W342" s="99"/>
      <c r="X342" s="99"/>
      <c r="Y342" s="97"/>
      <c r="Z342" s="98"/>
      <c r="AA342" s="98"/>
      <c r="AB342" s="98"/>
      <c r="AC342" s="98"/>
      <c r="AD342" s="98"/>
      <c r="AE342" s="99"/>
      <c r="AF342" s="99"/>
      <c r="AG342" s="97"/>
      <c r="AH342" s="98"/>
      <c r="AI342" s="98"/>
      <c r="AJ342" s="98"/>
      <c r="AK342" s="98"/>
      <c r="AL342" s="98"/>
      <c r="AM342" s="99"/>
      <c r="AN342" s="99"/>
      <c r="AO342" s="97"/>
      <c r="AP342" s="98"/>
      <c r="AQ342" s="98"/>
      <c r="AR342" s="98"/>
      <c r="AS342" s="98"/>
      <c r="AT342" s="98"/>
      <c r="AU342" s="99"/>
      <c r="AV342" s="99"/>
      <c r="AW342" s="97"/>
      <c r="AX342" s="98"/>
      <c r="AY342" s="98"/>
      <c r="AZ342" s="98"/>
      <c r="BA342" s="98"/>
      <c r="BB342" s="98"/>
      <c r="BC342" s="99"/>
      <c r="BD342" s="99"/>
      <c r="BE342" s="97"/>
      <c r="BF342" s="98"/>
      <c r="BG342" s="98"/>
      <c r="BH342" s="98"/>
      <c r="BI342" s="98"/>
      <c r="BJ342" s="98"/>
      <c r="BK342" s="99"/>
      <c r="BL342" s="99"/>
      <c r="BM342" s="97"/>
      <c r="BN342" s="98"/>
      <c r="BO342" s="98"/>
      <c r="BP342" s="98"/>
      <c r="BQ342" s="98"/>
      <c r="BR342" s="98"/>
      <c r="BS342" s="99"/>
      <c r="BT342" s="99"/>
    </row>
    <row r="343" spans="1:72">
      <c r="A343" s="97"/>
      <c r="B343" s="98"/>
      <c r="C343" s="98"/>
      <c r="D343" s="98"/>
      <c r="E343" s="98"/>
      <c r="F343" s="98"/>
      <c r="G343" s="99"/>
      <c r="H343" s="99"/>
      <c r="I343" s="97"/>
      <c r="J343" s="98"/>
      <c r="K343" s="98"/>
      <c r="L343" s="98"/>
      <c r="M343" s="98"/>
      <c r="N343" s="98"/>
      <c r="O343" s="99"/>
      <c r="P343" s="99"/>
      <c r="Q343" s="97"/>
      <c r="R343" s="98"/>
      <c r="S343" s="98"/>
      <c r="T343" s="98"/>
      <c r="U343" s="98"/>
      <c r="V343" s="98"/>
      <c r="W343" s="99"/>
      <c r="X343" s="99"/>
      <c r="Y343" s="97"/>
      <c r="Z343" s="98"/>
      <c r="AA343" s="98"/>
      <c r="AB343" s="98"/>
      <c r="AC343" s="98"/>
      <c r="AD343" s="98"/>
      <c r="AE343" s="99"/>
      <c r="AF343" s="99"/>
      <c r="AG343" s="97"/>
      <c r="AH343" s="98"/>
      <c r="AI343" s="98"/>
      <c r="AJ343" s="98"/>
      <c r="AK343" s="98"/>
      <c r="AL343" s="98"/>
      <c r="AM343" s="99"/>
      <c r="AN343" s="99"/>
      <c r="AO343" s="97"/>
      <c r="AP343" s="98"/>
      <c r="AQ343" s="98"/>
      <c r="AR343" s="98"/>
      <c r="AS343" s="98"/>
      <c r="AT343" s="98"/>
      <c r="AU343" s="99"/>
      <c r="AV343" s="99"/>
      <c r="AW343" s="97"/>
      <c r="AX343" s="98"/>
      <c r="AY343" s="98"/>
      <c r="AZ343" s="98"/>
      <c r="BA343" s="98"/>
      <c r="BB343" s="98"/>
      <c r="BC343" s="99"/>
      <c r="BD343" s="99"/>
      <c r="BE343" s="97"/>
      <c r="BF343" s="98"/>
      <c r="BG343" s="98"/>
      <c r="BH343" s="98"/>
      <c r="BI343" s="98"/>
      <c r="BJ343" s="98"/>
      <c r="BK343" s="99"/>
      <c r="BL343" s="99"/>
      <c r="BM343" s="97"/>
      <c r="BN343" s="98"/>
      <c r="BO343" s="98"/>
      <c r="BP343" s="98"/>
      <c r="BQ343" s="98"/>
      <c r="BR343" s="98"/>
      <c r="BS343" s="99"/>
      <c r="BT343" s="99"/>
    </row>
    <row r="344" spans="1:72">
      <c r="A344" s="97"/>
      <c r="B344" s="98"/>
      <c r="C344" s="98"/>
      <c r="D344" s="98"/>
      <c r="E344" s="98"/>
      <c r="F344" s="98"/>
      <c r="G344" s="99"/>
      <c r="H344" s="99"/>
      <c r="I344" s="97"/>
      <c r="J344" s="98"/>
      <c r="K344" s="98"/>
      <c r="L344" s="98"/>
      <c r="M344" s="98"/>
      <c r="N344" s="98"/>
      <c r="O344" s="99"/>
      <c r="P344" s="99"/>
      <c r="Q344" s="97"/>
      <c r="R344" s="98"/>
      <c r="S344" s="98"/>
      <c r="T344" s="98"/>
      <c r="U344" s="98"/>
      <c r="V344" s="98"/>
      <c r="W344" s="99"/>
      <c r="X344" s="99"/>
      <c r="Y344" s="97"/>
      <c r="Z344" s="98"/>
      <c r="AA344" s="98"/>
      <c r="AB344" s="98"/>
      <c r="AC344" s="98"/>
      <c r="AD344" s="98"/>
      <c r="AE344" s="99"/>
      <c r="AF344" s="99"/>
      <c r="AG344" s="97"/>
      <c r="AH344" s="98"/>
      <c r="AI344" s="98"/>
      <c r="AJ344" s="98"/>
      <c r="AK344" s="98"/>
      <c r="AL344" s="98"/>
      <c r="AM344" s="99"/>
      <c r="AN344" s="99"/>
      <c r="AO344" s="97"/>
      <c r="AP344" s="98"/>
      <c r="AQ344" s="98"/>
      <c r="AR344" s="98"/>
      <c r="AS344" s="98"/>
      <c r="AT344" s="98"/>
      <c r="AU344" s="99"/>
      <c r="AV344" s="99"/>
      <c r="AW344" s="97"/>
      <c r="AX344" s="98"/>
      <c r="AY344" s="98"/>
      <c r="AZ344" s="98"/>
      <c r="BA344" s="98"/>
      <c r="BB344" s="98"/>
      <c r="BC344" s="99"/>
      <c r="BD344" s="99"/>
      <c r="BE344" s="97"/>
      <c r="BF344" s="98"/>
      <c r="BG344" s="98"/>
      <c r="BH344" s="98"/>
      <c r="BI344" s="98"/>
      <c r="BJ344" s="98"/>
      <c r="BK344" s="99"/>
      <c r="BL344" s="99"/>
      <c r="BM344" s="97"/>
      <c r="BN344" s="98"/>
      <c r="BO344" s="98"/>
      <c r="BP344" s="98"/>
      <c r="BQ344" s="98"/>
      <c r="BR344" s="98"/>
      <c r="BS344" s="99"/>
      <c r="BT344" s="99"/>
    </row>
    <row r="345" spans="1:72">
      <c r="A345" s="97"/>
      <c r="B345" s="98"/>
      <c r="C345" s="98"/>
      <c r="D345" s="98"/>
      <c r="E345" s="98"/>
      <c r="F345" s="98"/>
      <c r="G345" s="99"/>
      <c r="H345" s="99"/>
      <c r="I345" s="97"/>
      <c r="J345" s="98"/>
      <c r="K345" s="98"/>
      <c r="L345" s="98"/>
      <c r="M345" s="98"/>
      <c r="N345" s="98"/>
      <c r="O345" s="99"/>
      <c r="P345" s="99"/>
      <c r="Q345" s="97"/>
      <c r="R345" s="98"/>
      <c r="S345" s="98"/>
      <c r="T345" s="98"/>
      <c r="U345" s="98"/>
      <c r="V345" s="98"/>
      <c r="W345" s="99"/>
      <c r="X345" s="99"/>
      <c r="Y345" s="97"/>
      <c r="Z345" s="98"/>
      <c r="AA345" s="98"/>
      <c r="AB345" s="98"/>
      <c r="AC345" s="98"/>
      <c r="AD345" s="98"/>
      <c r="AE345" s="99"/>
      <c r="AF345" s="99"/>
      <c r="AG345" s="97"/>
      <c r="AH345" s="98"/>
      <c r="AI345" s="98"/>
      <c r="AJ345" s="98"/>
      <c r="AK345" s="98"/>
      <c r="AL345" s="98"/>
      <c r="AM345" s="99"/>
      <c r="AN345" s="99"/>
      <c r="AO345" s="97"/>
      <c r="AP345" s="98"/>
      <c r="AQ345" s="98"/>
      <c r="AR345" s="98"/>
      <c r="AS345" s="98"/>
      <c r="AT345" s="98"/>
      <c r="AU345" s="99"/>
      <c r="AV345" s="99"/>
      <c r="AW345" s="97"/>
      <c r="AX345" s="98"/>
      <c r="AY345" s="98"/>
      <c r="AZ345" s="98"/>
      <c r="BA345" s="98"/>
      <c r="BB345" s="98"/>
      <c r="BC345" s="99"/>
      <c r="BD345" s="99"/>
      <c r="BE345" s="97"/>
      <c r="BF345" s="98"/>
      <c r="BG345" s="98"/>
      <c r="BH345" s="98"/>
      <c r="BI345" s="98"/>
      <c r="BJ345" s="98"/>
      <c r="BK345" s="99"/>
      <c r="BL345" s="99"/>
      <c r="BM345" s="97"/>
      <c r="BN345" s="98"/>
      <c r="BO345" s="98"/>
      <c r="BP345" s="98"/>
      <c r="BQ345" s="98"/>
      <c r="BR345" s="98"/>
      <c r="BS345" s="99"/>
      <c r="BT345" s="99"/>
    </row>
    <row r="346" spans="1:72">
      <c r="A346" s="97"/>
      <c r="B346" s="98"/>
      <c r="C346" s="98"/>
      <c r="D346" s="98"/>
      <c r="E346" s="98"/>
      <c r="F346" s="98"/>
      <c r="G346" s="99"/>
      <c r="H346" s="99"/>
      <c r="I346" s="97"/>
      <c r="J346" s="98"/>
      <c r="K346" s="98"/>
      <c r="L346" s="98"/>
      <c r="M346" s="98"/>
      <c r="N346" s="98"/>
      <c r="O346" s="99"/>
      <c r="P346" s="99"/>
      <c r="Q346" s="97"/>
      <c r="R346" s="98"/>
      <c r="S346" s="98"/>
      <c r="T346" s="98"/>
      <c r="U346" s="98"/>
      <c r="V346" s="98"/>
      <c r="W346" s="99"/>
      <c r="X346" s="99"/>
      <c r="Y346" s="97"/>
      <c r="Z346" s="98"/>
      <c r="AA346" s="98"/>
      <c r="AB346" s="98"/>
      <c r="AC346" s="98"/>
      <c r="AD346" s="98"/>
      <c r="AE346" s="99"/>
      <c r="AF346" s="99"/>
      <c r="AG346" s="97"/>
      <c r="AH346" s="98"/>
      <c r="AI346" s="98"/>
      <c r="AJ346" s="98"/>
      <c r="AK346" s="98"/>
      <c r="AL346" s="98"/>
      <c r="AM346" s="99"/>
      <c r="AN346" s="99"/>
      <c r="AO346" s="97"/>
      <c r="AP346" s="98"/>
      <c r="AQ346" s="98"/>
      <c r="AR346" s="98"/>
      <c r="AS346" s="98"/>
      <c r="AT346" s="98"/>
      <c r="AU346" s="99"/>
      <c r="AV346" s="99"/>
      <c r="AW346" s="97"/>
      <c r="AX346" s="98"/>
      <c r="AY346" s="98"/>
      <c r="AZ346" s="98"/>
      <c r="BA346" s="98"/>
      <c r="BB346" s="98"/>
      <c r="BC346" s="99"/>
      <c r="BD346" s="99"/>
      <c r="BE346" s="97"/>
      <c r="BF346" s="98"/>
      <c r="BG346" s="98"/>
      <c r="BH346" s="98"/>
      <c r="BI346" s="98"/>
      <c r="BJ346" s="98"/>
      <c r="BK346" s="99"/>
      <c r="BL346" s="99"/>
      <c r="BM346" s="97"/>
      <c r="BN346" s="98"/>
      <c r="BO346" s="98"/>
      <c r="BP346" s="98"/>
      <c r="BQ346" s="98"/>
      <c r="BR346" s="98"/>
      <c r="BS346" s="99"/>
      <c r="BT346" s="99"/>
    </row>
    <row r="347" spans="1:72">
      <c r="A347" s="97"/>
      <c r="B347" s="98"/>
      <c r="C347" s="98"/>
      <c r="D347" s="98"/>
      <c r="E347" s="98"/>
      <c r="F347" s="98"/>
      <c r="G347" s="99"/>
      <c r="H347" s="99"/>
      <c r="I347" s="97"/>
      <c r="J347" s="98"/>
      <c r="K347" s="98"/>
      <c r="L347" s="98"/>
      <c r="M347" s="98"/>
      <c r="N347" s="98"/>
      <c r="O347" s="99"/>
      <c r="P347" s="99"/>
      <c r="Q347" s="97"/>
      <c r="R347" s="98"/>
      <c r="S347" s="98"/>
      <c r="T347" s="98"/>
      <c r="U347" s="98"/>
      <c r="V347" s="98"/>
      <c r="W347" s="99"/>
      <c r="X347" s="99"/>
      <c r="Y347" s="97"/>
      <c r="Z347" s="98"/>
      <c r="AA347" s="98"/>
      <c r="AB347" s="98"/>
      <c r="AC347" s="98"/>
      <c r="AD347" s="98"/>
      <c r="AE347" s="99"/>
      <c r="AF347" s="99"/>
      <c r="AG347" s="97"/>
      <c r="AH347" s="98"/>
      <c r="AI347" s="98"/>
      <c r="AJ347" s="98"/>
      <c r="AK347" s="98"/>
      <c r="AL347" s="98"/>
      <c r="AM347" s="99"/>
      <c r="AN347" s="99"/>
      <c r="AO347" s="97"/>
      <c r="AP347" s="98"/>
      <c r="AQ347" s="98"/>
      <c r="AR347" s="98"/>
      <c r="AS347" s="98"/>
      <c r="AT347" s="98"/>
      <c r="AU347" s="99"/>
      <c r="AV347" s="99"/>
      <c r="AW347" s="97"/>
      <c r="AX347" s="98"/>
      <c r="AY347" s="98"/>
      <c r="AZ347" s="98"/>
      <c r="BA347" s="98"/>
      <c r="BB347" s="98"/>
      <c r="BC347" s="99"/>
      <c r="BD347" s="99"/>
      <c r="BE347" s="97"/>
      <c r="BF347" s="98"/>
      <c r="BG347" s="98"/>
      <c r="BH347" s="98"/>
      <c r="BI347" s="98"/>
      <c r="BJ347" s="98"/>
      <c r="BK347" s="99"/>
      <c r="BL347" s="99"/>
      <c r="BM347" s="97"/>
      <c r="BN347" s="98"/>
      <c r="BO347" s="98"/>
      <c r="BP347" s="98"/>
      <c r="BQ347" s="98"/>
      <c r="BR347" s="98"/>
      <c r="BS347" s="99"/>
      <c r="BT347" s="99"/>
    </row>
    <row r="348" spans="1:72">
      <c r="A348" s="97"/>
      <c r="B348" s="98"/>
      <c r="C348" s="98"/>
      <c r="D348" s="98"/>
      <c r="E348" s="98"/>
      <c r="F348" s="98"/>
      <c r="G348" s="99"/>
      <c r="H348" s="99"/>
      <c r="I348" s="97"/>
      <c r="J348" s="98"/>
      <c r="K348" s="98"/>
      <c r="L348" s="98"/>
      <c r="M348" s="98"/>
      <c r="N348" s="98"/>
      <c r="O348" s="99"/>
      <c r="P348" s="99"/>
      <c r="Q348" s="97"/>
      <c r="R348" s="98"/>
      <c r="S348" s="98"/>
      <c r="T348" s="98"/>
      <c r="U348" s="98"/>
      <c r="V348" s="98"/>
      <c r="W348" s="99"/>
      <c r="X348" s="99"/>
      <c r="Y348" s="97"/>
      <c r="Z348" s="98"/>
      <c r="AA348" s="98"/>
      <c r="AB348" s="98"/>
      <c r="AC348" s="98"/>
      <c r="AD348" s="98"/>
      <c r="AE348" s="99"/>
      <c r="AF348" s="99"/>
      <c r="AG348" s="97"/>
      <c r="AH348" s="98"/>
      <c r="AI348" s="98"/>
      <c r="AJ348" s="98"/>
      <c r="AK348" s="98"/>
      <c r="AL348" s="98"/>
      <c r="AM348" s="99"/>
      <c r="AN348" s="99"/>
      <c r="AO348" s="97"/>
      <c r="AP348" s="98"/>
      <c r="AQ348" s="98"/>
      <c r="AR348" s="98"/>
      <c r="AS348" s="98"/>
      <c r="AT348" s="98"/>
      <c r="AU348" s="99"/>
      <c r="AV348" s="99"/>
      <c r="AW348" s="97"/>
      <c r="AX348" s="98"/>
      <c r="AY348" s="98"/>
      <c r="AZ348" s="98"/>
      <c r="BA348" s="98"/>
      <c r="BB348" s="98"/>
      <c r="BC348" s="99"/>
      <c r="BD348" s="99"/>
      <c r="BE348" s="97"/>
      <c r="BF348" s="98"/>
      <c r="BG348" s="98"/>
      <c r="BH348" s="98"/>
      <c r="BI348" s="98"/>
      <c r="BJ348" s="98"/>
      <c r="BK348" s="99"/>
      <c r="BL348" s="99"/>
      <c r="BM348" s="97"/>
      <c r="BN348" s="98"/>
      <c r="BO348" s="98"/>
      <c r="BP348" s="98"/>
      <c r="BQ348" s="98"/>
      <c r="BR348" s="98"/>
      <c r="BS348" s="99"/>
      <c r="BT348" s="99"/>
    </row>
    <row r="349" spans="1:72">
      <c r="A349" s="97"/>
      <c r="B349" s="98"/>
      <c r="C349" s="98"/>
      <c r="D349" s="98"/>
      <c r="E349" s="98"/>
      <c r="F349" s="98"/>
      <c r="G349" s="99"/>
      <c r="H349" s="99"/>
      <c r="I349" s="97"/>
      <c r="J349" s="98"/>
      <c r="K349" s="98"/>
      <c r="L349" s="98"/>
      <c r="M349" s="98"/>
      <c r="N349" s="98"/>
      <c r="O349" s="99"/>
      <c r="P349" s="99"/>
      <c r="Q349" s="97"/>
      <c r="R349" s="98"/>
      <c r="S349" s="98"/>
      <c r="T349" s="98"/>
      <c r="U349" s="98"/>
      <c r="V349" s="98"/>
      <c r="W349" s="99"/>
      <c r="X349" s="99"/>
      <c r="Y349" s="97"/>
      <c r="Z349" s="98"/>
      <c r="AA349" s="98"/>
      <c r="AB349" s="98"/>
      <c r="AC349" s="98"/>
      <c r="AD349" s="98"/>
      <c r="AE349" s="99"/>
      <c r="AF349" s="99"/>
      <c r="AG349" s="97"/>
      <c r="AH349" s="98"/>
      <c r="AI349" s="98"/>
      <c r="AJ349" s="98"/>
      <c r="AK349" s="98"/>
      <c r="AL349" s="98"/>
      <c r="AM349" s="99"/>
      <c r="AN349" s="99"/>
      <c r="AO349" s="97"/>
      <c r="AP349" s="98"/>
      <c r="AQ349" s="98"/>
      <c r="AR349" s="98"/>
      <c r="AS349" s="98"/>
      <c r="AT349" s="98"/>
      <c r="AU349" s="99"/>
      <c r="AV349" s="99"/>
      <c r="AW349" s="97"/>
      <c r="AX349" s="98"/>
      <c r="AY349" s="98"/>
      <c r="AZ349" s="98"/>
      <c r="BA349" s="98"/>
      <c r="BB349" s="98"/>
      <c r="BC349" s="99"/>
      <c r="BD349" s="99"/>
      <c r="BE349" s="97"/>
      <c r="BF349" s="98"/>
      <c r="BG349" s="98"/>
      <c r="BH349" s="98"/>
      <c r="BI349" s="98"/>
      <c r="BJ349" s="98"/>
      <c r="BK349" s="99"/>
      <c r="BL349" s="99"/>
      <c r="BM349" s="97"/>
      <c r="BN349" s="98"/>
      <c r="BO349" s="98"/>
      <c r="BP349" s="98"/>
      <c r="BQ349" s="98"/>
      <c r="BR349" s="98"/>
      <c r="BS349" s="99"/>
      <c r="BT349" s="99"/>
    </row>
    <row r="350" spans="1:72">
      <c r="A350" s="97"/>
      <c r="B350" s="98"/>
      <c r="C350" s="98"/>
      <c r="D350" s="98"/>
      <c r="E350" s="98"/>
      <c r="F350" s="98"/>
      <c r="G350" s="99"/>
      <c r="H350" s="99"/>
      <c r="I350" s="97"/>
      <c r="J350" s="98"/>
      <c r="K350" s="98"/>
      <c r="L350" s="98"/>
      <c r="M350" s="98"/>
      <c r="N350" s="98"/>
      <c r="O350" s="99"/>
      <c r="P350" s="99"/>
      <c r="Q350" s="97"/>
      <c r="R350" s="98"/>
      <c r="S350" s="98"/>
      <c r="T350" s="98"/>
      <c r="U350" s="98"/>
      <c r="V350" s="98"/>
      <c r="W350" s="99"/>
      <c r="X350" s="99"/>
      <c r="Y350" s="97"/>
      <c r="Z350" s="98"/>
      <c r="AA350" s="98"/>
      <c r="AB350" s="98"/>
      <c r="AC350" s="98"/>
      <c r="AD350" s="98"/>
      <c r="AE350" s="99"/>
      <c r="AF350" s="99"/>
      <c r="AG350" s="97"/>
      <c r="AH350" s="98"/>
      <c r="AI350" s="98"/>
      <c r="AJ350" s="98"/>
      <c r="AK350" s="98"/>
      <c r="AL350" s="98"/>
      <c r="AM350" s="99"/>
      <c r="AN350" s="99"/>
      <c r="AO350" s="97"/>
      <c r="AP350" s="98"/>
      <c r="AQ350" s="98"/>
      <c r="AR350" s="98"/>
      <c r="AS350" s="98"/>
      <c r="AT350" s="98"/>
      <c r="AU350" s="99"/>
      <c r="AV350" s="99"/>
      <c r="AW350" s="97"/>
      <c r="AX350" s="98"/>
      <c r="AY350" s="98"/>
      <c r="AZ350" s="98"/>
      <c r="BA350" s="98"/>
      <c r="BB350" s="98"/>
      <c r="BC350" s="99"/>
      <c r="BD350" s="99"/>
      <c r="BE350" s="97"/>
      <c r="BF350" s="98"/>
      <c r="BG350" s="98"/>
      <c r="BH350" s="98"/>
      <c r="BI350" s="98"/>
      <c r="BJ350" s="98"/>
      <c r="BK350" s="99"/>
      <c r="BL350" s="99"/>
      <c r="BM350" s="97"/>
      <c r="BN350" s="98"/>
      <c r="BO350" s="98"/>
      <c r="BP350" s="98"/>
      <c r="BQ350" s="98"/>
      <c r="BR350" s="98"/>
      <c r="BS350" s="99"/>
      <c r="BT350" s="99"/>
    </row>
    <row r="351" spans="1:72">
      <c r="A351" s="97"/>
      <c r="B351" s="98"/>
      <c r="C351" s="98"/>
      <c r="D351" s="98"/>
      <c r="E351" s="98"/>
      <c r="F351" s="98"/>
      <c r="G351" s="99"/>
      <c r="H351" s="99"/>
      <c r="I351" s="97"/>
      <c r="J351" s="98"/>
      <c r="K351" s="98"/>
      <c r="L351" s="98"/>
      <c r="M351" s="98"/>
      <c r="N351" s="98"/>
      <c r="O351" s="99"/>
      <c r="P351" s="99"/>
      <c r="Q351" s="97"/>
      <c r="R351" s="98"/>
      <c r="S351" s="98"/>
      <c r="T351" s="98"/>
      <c r="U351" s="98"/>
      <c r="V351" s="98"/>
      <c r="W351" s="99"/>
      <c r="X351" s="99"/>
      <c r="Y351" s="97"/>
      <c r="Z351" s="98"/>
      <c r="AA351" s="98"/>
      <c r="AB351" s="98"/>
      <c r="AC351" s="98"/>
      <c r="AD351" s="98"/>
      <c r="AE351" s="99"/>
      <c r="AF351" s="99"/>
      <c r="AG351" s="97"/>
      <c r="AH351" s="98"/>
      <c r="AI351" s="98"/>
      <c r="AJ351" s="98"/>
      <c r="AK351" s="98"/>
      <c r="AL351" s="98"/>
      <c r="AM351" s="99"/>
      <c r="AN351" s="99"/>
      <c r="AO351" s="97"/>
      <c r="AP351" s="98"/>
      <c r="AQ351" s="98"/>
      <c r="AR351" s="98"/>
      <c r="AS351" s="98"/>
      <c r="AT351" s="98"/>
      <c r="AU351" s="99"/>
      <c r="AV351" s="99"/>
      <c r="AW351" s="97"/>
      <c r="AX351" s="98"/>
      <c r="AY351" s="98"/>
      <c r="AZ351" s="98"/>
      <c r="BA351" s="98"/>
      <c r="BB351" s="98"/>
      <c r="BC351" s="99"/>
      <c r="BD351" s="99"/>
      <c r="BE351" s="97"/>
      <c r="BF351" s="98"/>
      <c r="BG351" s="98"/>
      <c r="BH351" s="98"/>
      <c r="BI351" s="98"/>
      <c r="BJ351" s="98"/>
      <c r="BK351" s="99"/>
      <c r="BL351" s="99"/>
      <c r="BM351" s="97"/>
      <c r="BN351" s="98"/>
      <c r="BO351" s="98"/>
      <c r="BP351" s="98"/>
      <c r="BQ351" s="98"/>
      <c r="BR351" s="98"/>
      <c r="BS351" s="99"/>
      <c r="BT351" s="99"/>
    </row>
    <row r="352" spans="1:72">
      <c r="A352" s="97"/>
      <c r="B352" s="98"/>
      <c r="C352" s="98"/>
      <c r="D352" s="98"/>
      <c r="E352" s="98"/>
      <c r="F352" s="98"/>
      <c r="G352" s="99"/>
      <c r="H352" s="99"/>
      <c r="I352" s="97"/>
      <c r="J352" s="98"/>
      <c r="K352" s="98"/>
      <c r="L352" s="98"/>
      <c r="M352" s="98"/>
      <c r="N352" s="98"/>
      <c r="O352" s="99"/>
      <c r="P352" s="99"/>
      <c r="Q352" s="97"/>
      <c r="R352" s="98"/>
      <c r="S352" s="98"/>
      <c r="T352" s="98"/>
      <c r="U352" s="98"/>
      <c r="V352" s="98"/>
      <c r="W352" s="99"/>
      <c r="X352" s="99"/>
      <c r="Y352" s="97"/>
      <c r="Z352" s="98"/>
      <c r="AA352" s="98"/>
      <c r="AB352" s="98"/>
      <c r="AC352" s="98"/>
      <c r="AD352" s="98"/>
      <c r="AE352" s="99"/>
      <c r="AF352" s="99"/>
      <c r="AG352" s="97"/>
      <c r="AH352" s="98"/>
      <c r="AI352" s="98"/>
      <c r="AJ352" s="98"/>
      <c r="AK352" s="98"/>
      <c r="AL352" s="98"/>
      <c r="AM352" s="99"/>
      <c r="AN352" s="99"/>
      <c r="AO352" s="97"/>
      <c r="AP352" s="98"/>
      <c r="AQ352" s="98"/>
      <c r="AR352" s="98"/>
      <c r="AS352" s="98"/>
      <c r="AT352" s="98"/>
      <c r="AU352" s="99"/>
      <c r="AV352" s="99"/>
      <c r="AW352" s="97"/>
      <c r="AX352" s="98"/>
      <c r="AY352" s="98"/>
      <c r="AZ352" s="98"/>
      <c r="BA352" s="98"/>
      <c r="BB352" s="98"/>
      <c r="BC352" s="99"/>
      <c r="BD352" s="99"/>
      <c r="BE352" s="97"/>
      <c r="BF352" s="98"/>
      <c r="BG352" s="98"/>
      <c r="BH352" s="98"/>
      <c r="BI352" s="98"/>
      <c r="BJ352" s="98"/>
      <c r="BK352" s="99"/>
      <c r="BL352" s="99"/>
      <c r="BM352" s="97"/>
      <c r="BN352" s="98"/>
      <c r="BO352" s="98"/>
      <c r="BP352" s="98"/>
      <c r="BQ352" s="98"/>
      <c r="BR352" s="98"/>
      <c r="BS352" s="99"/>
      <c r="BT352" s="99"/>
    </row>
    <row r="353" spans="1:72">
      <c r="A353" s="97"/>
      <c r="B353" s="98"/>
      <c r="C353" s="98"/>
      <c r="D353" s="98"/>
      <c r="E353" s="98"/>
      <c r="F353" s="98"/>
      <c r="G353" s="99"/>
      <c r="H353" s="99"/>
      <c r="I353" s="97"/>
      <c r="J353" s="98"/>
      <c r="K353" s="98"/>
      <c r="L353" s="98"/>
      <c r="M353" s="98"/>
      <c r="N353" s="98"/>
      <c r="O353" s="99"/>
      <c r="P353" s="99"/>
      <c r="Q353" s="97"/>
      <c r="R353" s="98"/>
      <c r="S353" s="98"/>
      <c r="T353" s="98"/>
      <c r="U353" s="98"/>
      <c r="V353" s="98"/>
      <c r="W353" s="99"/>
      <c r="X353" s="99"/>
      <c r="Y353" s="97"/>
      <c r="Z353" s="98"/>
      <c r="AA353" s="98"/>
      <c r="AB353" s="98"/>
      <c r="AC353" s="98"/>
      <c r="AD353" s="98"/>
      <c r="AE353" s="99"/>
      <c r="AF353" s="99"/>
      <c r="AG353" s="97"/>
      <c r="AH353" s="98"/>
      <c r="AI353" s="98"/>
      <c r="AJ353" s="98"/>
      <c r="AK353" s="98"/>
      <c r="AL353" s="98"/>
      <c r="AM353" s="99"/>
      <c r="AN353" s="99"/>
      <c r="AO353" s="97"/>
      <c r="AP353" s="98"/>
      <c r="AQ353" s="98"/>
      <c r="AR353" s="98"/>
      <c r="AS353" s="98"/>
      <c r="AT353" s="98"/>
      <c r="AU353" s="99"/>
      <c r="AV353" s="99"/>
      <c r="AW353" s="97"/>
      <c r="AX353" s="98"/>
      <c r="AY353" s="98"/>
      <c r="AZ353" s="98"/>
      <c r="BA353" s="98"/>
      <c r="BB353" s="98"/>
      <c r="BC353" s="99"/>
      <c r="BD353" s="99"/>
      <c r="BE353" s="97"/>
      <c r="BF353" s="98"/>
      <c r="BG353" s="98"/>
      <c r="BH353" s="98"/>
      <c r="BI353" s="98"/>
      <c r="BJ353" s="98"/>
      <c r="BK353" s="99"/>
      <c r="BL353" s="99"/>
      <c r="BM353" s="97"/>
      <c r="BN353" s="98"/>
      <c r="BO353" s="98"/>
      <c r="BP353" s="98"/>
      <c r="BQ353" s="98"/>
      <c r="BR353" s="98"/>
      <c r="BS353" s="99"/>
      <c r="BT353" s="99"/>
    </row>
    <row r="354" spans="1:72">
      <c r="A354" s="97"/>
      <c r="B354" s="98"/>
      <c r="C354" s="98"/>
      <c r="D354" s="98"/>
      <c r="E354" s="98"/>
      <c r="F354" s="98"/>
      <c r="G354" s="99"/>
      <c r="H354" s="99"/>
      <c r="I354" s="97"/>
      <c r="J354" s="98"/>
      <c r="K354" s="98"/>
      <c r="L354" s="98"/>
      <c r="M354" s="98"/>
      <c r="N354" s="98"/>
      <c r="O354" s="99"/>
      <c r="P354" s="99"/>
      <c r="Q354" s="97"/>
      <c r="R354" s="98"/>
      <c r="S354" s="98"/>
      <c r="T354" s="98"/>
      <c r="U354" s="98"/>
      <c r="V354" s="98"/>
      <c r="W354" s="99"/>
      <c r="X354" s="99"/>
      <c r="Y354" s="97"/>
      <c r="Z354" s="98"/>
      <c r="AA354" s="98"/>
      <c r="AB354" s="98"/>
      <c r="AC354" s="98"/>
      <c r="AD354" s="98"/>
      <c r="AE354" s="99"/>
      <c r="AF354" s="99"/>
      <c r="AG354" s="97"/>
      <c r="AH354" s="98"/>
      <c r="AI354" s="98"/>
      <c r="AJ354" s="98"/>
      <c r="AK354" s="98"/>
      <c r="AL354" s="98"/>
      <c r="AM354" s="99"/>
      <c r="AN354" s="99"/>
      <c r="AO354" s="97"/>
      <c r="AP354" s="98"/>
      <c r="AQ354" s="98"/>
      <c r="AR354" s="98"/>
      <c r="AS354" s="98"/>
      <c r="AT354" s="98"/>
      <c r="AU354" s="99"/>
      <c r="AV354" s="99"/>
      <c r="AW354" s="97"/>
      <c r="AX354" s="98"/>
      <c r="AY354" s="98"/>
      <c r="AZ354" s="98"/>
      <c r="BA354" s="98"/>
      <c r="BB354" s="98"/>
      <c r="BC354" s="99"/>
      <c r="BD354" s="99"/>
      <c r="BE354" s="97"/>
      <c r="BF354" s="98"/>
      <c r="BG354" s="98"/>
      <c r="BH354" s="98"/>
      <c r="BI354" s="98"/>
      <c r="BJ354" s="98"/>
      <c r="BK354" s="99"/>
      <c r="BL354" s="99"/>
      <c r="BM354" s="97"/>
      <c r="BN354" s="98"/>
      <c r="BO354" s="98"/>
      <c r="BP354" s="98"/>
      <c r="BQ354" s="98"/>
      <c r="BR354" s="98"/>
      <c r="BS354" s="99"/>
      <c r="BT354" s="99"/>
    </row>
    <row r="355" spans="1:72">
      <c r="A355" s="97"/>
      <c r="B355" s="98"/>
      <c r="C355" s="98"/>
      <c r="D355" s="98"/>
      <c r="E355" s="98"/>
      <c r="F355" s="98"/>
      <c r="G355" s="99"/>
      <c r="H355" s="99"/>
      <c r="I355" s="97"/>
      <c r="J355" s="98"/>
      <c r="K355" s="98"/>
      <c r="L355" s="98"/>
      <c r="M355" s="98"/>
      <c r="N355" s="98"/>
      <c r="O355" s="99"/>
      <c r="P355" s="99"/>
      <c r="Q355" s="97"/>
      <c r="R355" s="98"/>
      <c r="S355" s="98"/>
      <c r="T355" s="98"/>
      <c r="U355" s="98"/>
      <c r="V355" s="98"/>
      <c r="W355" s="99"/>
      <c r="X355" s="99"/>
      <c r="Y355" s="97"/>
      <c r="Z355" s="98"/>
      <c r="AA355" s="98"/>
      <c r="AB355" s="98"/>
      <c r="AC355" s="98"/>
      <c r="AD355" s="98"/>
      <c r="AE355" s="99"/>
      <c r="AF355" s="99"/>
      <c r="AG355" s="97"/>
      <c r="AH355" s="98"/>
      <c r="AI355" s="98"/>
      <c r="AJ355" s="98"/>
      <c r="AK355" s="98"/>
      <c r="AL355" s="98"/>
      <c r="AM355" s="99"/>
      <c r="AN355" s="99"/>
      <c r="AO355" s="97"/>
      <c r="AP355" s="98"/>
      <c r="AQ355" s="98"/>
      <c r="AR355" s="98"/>
      <c r="AS355" s="98"/>
      <c r="AT355" s="98"/>
      <c r="AU355" s="99"/>
      <c r="AV355" s="99"/>
      <c r="AW355" s="97"/>
      <c r="AX355" s="98"/>
      <c r="AY355" s="98"/>
      <c r="AZ355" s="98"/>
      <c r="BA355" s="98"/>
      <c r="BB355" s="98"/>
      <c r="BC355" s="99"/>
      <c r="BD355" s="99"/>
      <c r="BE355" s="97"/>
      <c r="BF355" s="98"/>
      <c r="BG355" s="98"/>
      <c r="BH355" s="98"/>
      <c r="BI355" s="98"/>
      <c r="BJ355" s="98"/>
      <c r="BK355" s="99"/>
      <c r="BL355" s="99"/>
      <c r="BM355" s="97"/>
      <c r="BN355" s="98"/>
      <c r="BO355" s="98"/>
      <c r="BP355" s="98"/>
      <c r="BQ355" s="98"/>
      <c r="BR355" s="98"/>
      <c r="BS355" s="99"/>
      <c r="BT355" s="99"/>
    </row>
    <row r="356" spans="1:72">
      <c r="A356" s="97"/>
      <c r="B356" s="98"/>
      <c r="C356" s="98"/>
      <c r="D356" s="98"/>
      <c r="E356" s="98"/>
      <c r="F356" s="98"/>
      <c r="G356" s="99"/>
      <c r="H356" s="99"/>
      <c r="I356" s="97"/>
      <c r="J356" s="98"/>
      <c r="K356" s="98"/>
      <c r="L356" s="98"/>
      <c r="M356" s="98"/>
      <c r="N356" s="98"/>
      <c r="O356" s="99"/>
      <c r="P356" s="99"/>
      <c r="Q356" s="97"/>
      <c r="R356" s="98"/>
      <c r="S356" s="98"/>
      <c r="T356" s="98"/>
      <c r="U356" s="98"/>
      <c r="V356" s="98"/>
      <c r="W356" s="99"/>
      <c r="X356" s="99"/>
      <c r="Y356" s="97"/>
      <c r="Z356" s="98"/>
      <c r="AA356" s="98"/>
      <c r="AB356" s="98"/>
      <c r="AC356" s="98"/>
      <c r="AD356" s="98"/>
      <c r="AE356" s="99"/>
      <c r="AF356" s="99"/>
      <c r="AG356" s="97"/>
      <c r="AH356" s="98"/>
      <c r="AI356" s="98"/>
      <c r="AJ356" s="98"/>
      <c r="AK356" s="98"/>
      <c r="AL356" s="98"/>
      <c r="AM356" s="99"/>
      <c r="AN356" s="99"/>
      <c r="AO356" s="97"/>
      <c r="AP356" s="98"/>
      <c r="AQ356" s="98"/>
      <c r="AR356" s="98"/>
      <c r="AS356" s="98"/>
      <c r="AT356" s="98"/>
      <c r="AU356" s="99"/>
      <c r="AV356" s="99"/>
      <c r="AW356" s="97"/>
      <c r="AX356" s="98"/>
      <c r="AY356" s="98"/>
      <c r="AZ356" s="98"/>
      <c r="BA356" s="98"/>
      <c r="BB356" s="98"/>
      <c r="BC356" s="99"/>
      <c r="BD356" s="99"/>
      <c r="BE356" s="97"/>
      <c r="BF356" s="98"/>
      <c r="BG356" s="98"/>
      <c r="BH356" s="98"/>
      <c r="BI356" s="98"/>
      <c r="BJ356" s="98"/>
      <c r="BK356" s="99"/>
      <c r="BL356" s="99"/>
      <c r="BM356" s="97"/>
      <c r="BN356" s="98"/>
      <c r="BO356" s="98"/>
      <c r="BP356" s="98"/>
      <c r="BQ356" s="98"/>
      <c r="BR356" s="98"/>
      <c r="BS356" s="99"/>
      <c r="BT356" s="99"/>
    </row>
    <row r="357" spans="1:72">
      <c r="A357" s="97"/>
      <c r="B357" s="98"/>
      <c r="C357" s="98"/>
      <c r="D357" s="98"/>
      <c r="E357" s="98"/>
      <c r="F357" s="98"/>
      <c r="G357" s="99"/>
      <c r="H357" s="99"/>
      <c r="I357" s="97"/>
      <c r="J357" s="98"/>
      <c r="K357" s="98"/>
      <c r="L357" s="98"/>
      <c r="M357" s="98"/>
      <c r="N357" s="98"/>
      <c r="O357" s="99"/>
      <c r="P357" s="99"/>
      <c r="Q357" s="97"/>
      <c r="R357" s="98"/>
      <c r="S357" s="98"/>
      <c r="T357" s="98"/>
      <c r="U357" s="98"/>
      <c r="V357" s="98"/>
      <c r="W357" s="99"/>
      <c r="X357" s="99"/>
      <c r="Y357" s="97"/>
      <c r="Z357" s="98"/>
      <c r="AA357" s="98"/>
      <c r="AB357" s="98"/>
      <c r="AC357" s="98"/>
      <c r="AD357" s="98"/>
      <c r="AE357" s="99"/>
      <c r="AF357" s="99"/>
      <c r="AG357" s="97"/>
      <c r="AH357" s="98"/>
      <c r="AI357" s="98"/>
      <c r="AJ357" s="98"/>
      <c r="AK357" s="98"/>
      <c r="AL357" s="98"/>
      <c r="AM357" s="99"/>
      <c r="AN357" s="99"/>
      <c r="AO357" s="97"/>
      <c r="AP357" s="98"/>
      <c r="AQ357" s="98"/>
      <c r="AR357" s="98"/>
      <c r="AS357" s="98"/>
      <c r="AT357" s="98"/>
      <c r="AU357" s="99"/>
      <c r="AV357" s="99"/>
      <c r="AW357" s="97"/>
      <c r="AX357" s="98"/>
      <c r="AY357" s="98"/>
      <c r="AZ357" s="98"/>
      <c r="BA357" s="98"/>
      <c r="BB357" s="98"/>
      <c r="BC357" s="99"/>
      <c r="BD357" s="99"/>
      <c r="BE357" s="97"/>
      <c r="BF357" s="98"/>
      <c r="BG357" s="98"/>
      <c r="BH357" s="98"/>
      <c r="BI357" s="98"/>
      <c r="BJ357" s="98"/>
      <c r="BK357" s="99"/>
      <c r="BL357" s="99"/>
      <c r="BM357" s="97"/>
      <c r="BN357" s="98"/>
      <c r="BO357" s="98"/>
      <c r="BP357" s="98"/>
      <c r="BQ357" s="98"/>
      <c r="BR357" s="98"/>
      <c r="BS357" s="99"/>
      <c r="BT357" s="99"/>
    </row>
    <row r="358" spans="1:72">
      <c r="A358" s="97"/>
      <c r="B358" s="98"/>
      <c r="C358" s="98"/>
      <c r="D358" s="98"/>
      <c r="E358" s="98"/>
      <c r="F358" s="98"/>
      <c r="G358" s="99"/>
      <c r="H358" s="99"/>
      <c r="I358" s="97"/>
      <c r="J358" s="98"/>
      <c r="K358" s="98"/>
      <c r="L358" s="98"/>
      <c r="M358" s="98"/>
      <c r="N358" s="98"/>
      <c r="O358" s="99"/>
      <c r="P358" s="99"/>
      <c r="Q358" s="97"/>
      <c r="R358" s="98"/>
      <c r="S358" s="98"/>
      <c r="T358" s="98"/>
      <c r="U358" s="98"/>
      <c r="V358" s="98"/>
      <c r="W358" s="99"/>
      <c r="X358" s="99"/>
      <c r="Y358" s="97"/>
      <c r="Z358" s="98"/>
      <c r="AA358" s="98"/>
      <c r="AB358" s="98"/>
      <c r="AC358" s="98"/>
      <c r="AD358" s="98"/>
      <c r="AE358" s="99"/>
      <c r="AF358" s="99"/>
      <c r="AG358" s="97"/>
      <c r="AH358" s="98"/>
      <c r="AI358" s="98"/>
      <c r="AJ358" s="98"/>
      <c r="AK358" s="98"/>
      <c r="AL358" s="98"/>
      <c r="AM358" s="99"/>
      <c r="AN358" s="99"/>
      <c r="AO358" s="97"/>
      <c r="AP358" s="98"/>
      <c r="AQ358" s="98"/>
      <c r="AR358" s="98"/>
      <c r="AS358" s="98"/>
      <c r="AT358" s="98"/>
      <c r="AU358" s="99"/>
      <c r="AV358" s="99"/>
      <c r="AW358" s="97"/>
      <c r="AX358" s="98"/>
      <c r="AY358" s="98"/>
      <c r="AZ358" s="98"/>
      <c r="BA358" s="98"/>
      <c r="BB358" s="98"/>
      <c r="BC358" s="99"/>
      <c r="BD358" s="99"/>
      <c r="BE358" s="97"/>
      <c r="BF358" s="98"/>
      <c r="BG358" s="98"/>
      <c r="BH358" s="98"/>
      <c r="BI358" s="98"/>
      <c r="BJ358" s="98"/>
      <c r="BK358" s="99"/>
      <c r="BL358" s="99"/>
      <c r="BM358" s="97"/>
      <c r="BN358" s="98"/>
      <c r="BO358" s="98"/>
      <c r="BP358" s="98"/>
      <c r="BQ358" s="98"/>
      <c r="BR358" s="98"/>
      <c r="BS358" s="99"/>
      <c r="BT358" s="99"/>
    </row>
    <row r="359" spans="1:72">
      <c r="A359" s="97"/>
      <c r="B359" s="98"/>
      <c r="C359" s="98"/>
      <c r="D359" s="98"/>
      <c r="E359" s="98"/>
      <c r="F359" s="98"/>
      <c r="G359" s="99"/>
      <c r="H359" s="99"/>
      <c r="I359" s="97"/>
      <c r="J359" s="98"/>
      <c r="K359" s="98"/>
      <c r="L359" s="98"/>
      <c r="M359" s="98"/>
      <c r="N359" s="98"/>
      <c r="O359" s="99"/>
      <c r="P359" s="99"/>
      <c r="Q359" s="97"/>
      <c r="R359" s="98"/>
      <c r="S359" s="98"/>
      <c r="T359" s="98"/>
      <c r="U359" s="98"/>
      <c r="V359" s="98"/>
      <c r="W359" s="99"/>
      <c r="X359" s="99"/>
      <c r="Y359" s="97"/>
      <c r="Z359" s="98"/>
      <c r="AA359" s="98"/>
      <c r="AB359" s="98"/>
      <c r="AC359" s="98"/>
      <c r="AD359" s="98"/>
      <c r="AE359" s="99"/>
      <c r="AF359" s="99"/>
      <c r="AG359" s="97"/>
      <c r="AH359" s="98"/>
      <c r="AI359" s="98"/>
      <c r="AJ359" s="98"/>
      <c r="AK359" s="98"/>
      <c r="AL359" s="98"/>
      <c r="AM359" s="99"/>
      <c r="AN359" s="99"/>
      <c r="AO359" s="97"/>
      <c r="AP359" s="98"/>
      <c r="AQ359" s="98"/>
      <c r="AR359" s="98"/>
      <c r="AS359" s="98"/>
      <c r="AT359" s="98"/>
      <c r="AU359" s="99"/>
      <c r="AV359" s="99"/>
      <c r="AW359" s="97"/>
      <c r="AX359" s="98"/>
      <c r="AY359" s="98"/>
      <c r="AZ359" s="98"/>
      <c r="BA359" s="98"/>
      <c r="BB359" s="98"/>
      <c r="BC359" s="99"/>
      <c r="BD359" s="99"/>
      <c r="BE359" s="97"/>
      <c r="BF359" s="98"/>
      <c r="BG359" s="98"/>
      <c r="BH359" s="98"/>
      <c r="BI359" s="98"/>
      <c r="BJ359" s="98"/>
      <c r="BK359" s="99"/>
      <c r="BL359" s="99"/>
      <c r="BM359" s="97"/>
      <c r="BN359" s="98"/>
      <c r="BO359" s="98"/>
      <c r="BP359" s="98"/>
      <c r="BQ359" s="98"/>
      <c r="BR359" s="98"/>
      <c r="BS359" s="99"/>
      <c r="BT359" s="99"/>
    </row>
    <row r="360" spans="1:72">
      <c r="A360" s="97"/>
      <c r="B360" s="98"/>
      <c r="C360" s="98"/>
      <c r="D360" s="98"/>
      <c r="E360" s="98"/>
      <c r="F360" s="98"/>
      <c r="G360" s="99"/>
      <c r="H360" s="99"/>
      <c r="I360" s="97"/>
      <c r="J360" s="98"/>
      <c r="K360" s="98"/>
      <c r="L360" s="98"/>
      <c r="M360" s="98"/>
      <c r="N360" s="98"/>
      <c r="O360" s="99"/>
      <c r="P360" s="99"/>
      <c r="Q360" s="97"/>
      <c r="R360" s="98"/>
      <c r="S360" s="98"/>
      <c r="T360" s="98"/>
      <c r="U360" s="98"/>
      <c r="V360" s="98"/>
      <c r="W360" s="99"/>
      <c r="X360" s="99"/>
      <c r="Y360" s="97"/>
      <c r="Z360" s="98"/>
      <c r="AA360" s="98"/>
      <c r="AB360" s="98"/>
      <c r="AC360" s="98"/>
      <c r="AD360" s="98"/>
      <c r="AE360" s="99"/>
      <c r="AF360" s="99"/>
      <c r="AG360" s="97"/>
      <c r="AH360" s="98"/>
      <c r="AI360" s="98"/>
      <c r="AJ360" s="98"/>
      <c r="AK360" s="98"/>
      <c r="AL360" s="98"/>
      <c r="AM360" s="99"/>
      <c r="AN360" s="99"/>
      <c r="AO360" s="97"/>
      <c r="AP360" s="98"/>
      <c r="AQ360" s="98"/>
      <c r="AR360" s="98"/>
      <c r="AS360" s="98"/>
      <c r="AT360" s="98"/>
      <c r="AU360" s="99"/>
      <c r="AV360" s="99"/>
      <c r="AW360" s="97"/>
      <c r="AX360" s="98"/>
      <c r="AY360" s="98"/>
      <c r="AZ360" s="98"/>
      <c r="BA360" s="98"/>
      <c r="BB360" s="98"/>
      <c r="BC360" s="99"/>
      <c r="BD360" s="99"/>
      <c r="BE360" s="97"/>
      <c r="BF360" s="98"/>
      <c r="BG360" s="98"/>
      <c r="BH360" s="98"/>
      <c r="BI360" s="98"/>
      <c r="BJ360" s="98"/>
      <c r="BK360" s="99"/>
      <c r="BL360" s="99"/>
      <c r="BM360" s="97"/>
      <c r="BN360" s="98"/>
      <c r="BO360" s="98"/>
      <c r="BP360" s="98"/>
      <c r="BQ360" s="98"/>
      <c r="BR360" s="98"/>
      <c r="BS360" s="99"/>
      <c r="BT360" s="99"/>
    </row>
    <row r="361" spans="1:72">
      <c r="A361" s="97"/>
      <c r="B361" s="98"/>
      <c r="C361" s="98"/>
      <c r="D361" s="98"/>
      <c r="E361" s="98"/>
      <c r="F361" s="98"/>
      <c r="G361" s="99"/>
      <c r="H361" s="99"/>
      <c r="I361" s="97"/>
      <c r="J361" s="98"/>
      <c r="K361" s="98"/>
      <c r="L361" s="98"/>
      <c r="M361" s="98"/>
      <c r="N361" s="98"/>
      <c r="O361" s="99"/>
      <c r="P361" s="99"/>
      <c r="Q361" s="97"/>
      <c r="R361" s="98"/>
      <c r="S361" s="98"/>
      <c r="T361" s="98"/>
      <c r="U361" s="98"/>
      <c r="V361" s="98"/>
      <c r="W361" s="99"/>
      <c r="X361" s="99"/>
      <c r="Y361" s="97"/>
      <c r="Z361" s="98"/>
      <c r="AA361" s="98"/>
      <c r="AB361" s="98"/>
      <c r="AC361" s="98"/>
      <c r="AD361" s="98"/>
      <c r="AE361" s="99"/>
      <c r="AF361" s="99"/>
      <c r="AG361" s="97"/>
      <c r="AH361" s="98"/>
      <c r="AI361" s="98"/>
      <c r="AJ361" s="98"/>
      <c r="AK361" s="98"/>
      <c r="AL361" s="98"/>
      <c r="AM361" s="99"/>
      <c r="AN361" s="99"/>
      <c r="AO361" s="97"/>
      <c r="AP361" s="98"/>
      <c r="AQ361" s="98"/>
      <c r="AR361" s="98"/>
      <c r="AS361" s="98"/>
      <c r="AT361" s="98"/>
      <c r="AU361" s="99"/>
      <c r="AV361" s="99"/>
      <c r="AW361" s="97"/>
      <c r="AX361" s="98"/>
      <c r="AY361" s="98"/>
      <c r="AZ361" s="98"/>
      <c r="BA361" s="98"/>
      <c r="BB361" s="98"/>
      <c r="BC361" s="99"/>
      <c r="BD361" s="99"/>
      <c r="BE361" s="97"/>
      <c r="BF361" s="98"/>
      <c r="BG361" s="98"/>
      <c r="BH361" s="98"/>
      <c r="BI361" s="98"/>
      <c r="BJ361" s="98"/>
      <c r="BK361" s="99"/>
      <c r="BL361" s="99"/>
      <c r="BM361" s="97"/>
      <c r="BN361" s="98"/>
      <c r="BO361" s="98"/>
      <c r="BP361" s="98"/>
      <c r="BQ361" s="98"/>
      <c r="BR361" s="98"/>
      <c r="BS361" s="99"/>
      <c r="BT361" s="99"/>
    </row>
    <row r="362" spans="1:72">
      <c r="A362" s="97"/>
      <c r="B362" s="98"/>
      <c r="C362" s="98"/>
      <c r="D362" s="98"/>
      <c r="E362" s="98"/>
      <c r="F362" s="98"/>
      <c r="G362" s="99"/>
      <c r="H362" s="99"/>
      <c r="I362" s="97"/>
      <c r="J362" s="98"/>
      <c r="K362" s="98"/>
      <c r="L362" s="98"/>
      <c r="M362" s="98"/>
      <c r="N362" s="98"/>
      <c r="O362" s="99"/>
      <c r="P362" s="99"/>
      <c r="Q362" s="97"/>
      <c r="R362" s="98"/>
      <c r="S362" s="98"/>
      <c r="T362" s="98"/>
      <c r="U362" s="98"/>
      <c r="V362" s="98"/>
      <c r="W362" s="99"/>
      <c r="X362" s="99"/>
      <c r="Y362" s="97"/>
      <c r="Z362" s="98"/>
      <c r="AA362" s="98"/>
      <c r="AB362" s="98"/>
      <c r="AC362" s="98"/>
      <c r="AD362" s="98"/>
      <c r="AE362" s="99"/>
      <c r="AF362" s="99"/>
      <c r="AG362" s="97"/>
      <c r="AH362" s="98"/>
      <c r="AI362" s="98"/>
      <c r="AJ362" s="98"/>
      <c r="AK362" s="98"/>
      <c r="AL362" s="98"/>
      <c r="AM362" s="99"/>
      <c r="AN362" s="99"/>
      <c r="AO362" s="97"/>
      <c r="AP362" s="98"/>
      <c r="AQ362" s="98"/>
      <c r="AR362" s="98"/>
      <c r="AS362" s="98"/>
      <c r="AT362" s="98"/>
      <c r="AU362" s="99"/>
      <c r="AV362" s="99"/>
      <c r="AW362" s="97"/>
      <c r="AX362" s="98"/>
      <c r="AY362" s="98"/>
      <c r="AZ362" s="98"/>
      <c r="BA362" s="98"/>
      <c r="BB362" s="98"/>
      <c r="BC362" s="99"/>
      <c r="BD362" s="99"/>
      <c r="BE362" s="97"/>
      <c r="BF362" s="98"/>
      <c r="BG362" s="98"/>
      <c r="BH362" s="98"/>
      <c r="BI362" s="98"/>
      <c r="BJ362" s="98"/>
      <c r="BK362" s="99"/>
      <c r="BL362" s="99"/>
      <c r="BM362" s="97"/>
      <c r="BN362" s="98"/>
      <c r="BO362" s="98"/>
      <c r="BP362" s="98"/>
      <c r="BQ362" s="98"/>
      <c r="BR362" s="98"/>
      <c r="BS362" s="99"/>
      <c r="BT362" s="99"/>
    </row>
    <row r="363" spans="1:72">
      <c r="A363" s="97"/>
      <c r="B363" s="98"/>
      <c r="C363" s="98"/>
      <c r="D363" s="98"/>
      <c r="E363" s="98"/>
      <c r="F363" s="98"/>
      <c r="G363" s="99"/>
      <c r="H363" s="99"/>
      <c r="I363" s="97"/>
      <c r="J363" s="98"/>
      <c r="K363" s="98"/>
      <c r="L363" s="98"/>
      <c r="M363" s="98"/>
      <c r="N363" s="98"/>
      <c r="O363" s="99"/>
      <c r="P363" s="99"/>
      <c r="Q363" s="97"/>
      <c r="R363" s="98"/>
      <c r="S363" s="98"/>
      <c r="T363" s="98"/>
      <c r="U363" s="98"/>
      <c r="V363" s="98"/>
      <c r="W363" s="99"/>
      <c r="X363" s="99"/>
      <c r="Y363" s="97"/>
      <c r="Z363" s="98"/>
      <c r="AA363" s="98"/>
      <c r="AB363" s="98"/>
      <c r="AC363" s="98"/>
      <c r="AD363" s="98"/>
      <c r="AE363" s="99"/>
      <c r="AF363" s="99"/>
      <c r="AG363" s="97"/>
      <c r="AH363" s="98"/>
      <c r="AI363" s="98"/>
      <c r="AJ363" s="98"/>
      <c r="AK363" s="98"/>
      <c r="AL363" s="98"/>
      <c r="AM363" s="99"/>
      <c r="AN363" s="99"/>
      <c r="AO363" s="97"/>
      <c r="AP363" s="98"/>
      <c r="AQ363" s="98"/>
      <c r="AR363" s="98"/>
      <c r="AS363" s="98"/>
      <c r="AT363" s="98"/>
      <c r="AU363" s="99"/>
      <c r="AV363" s="99"/>
      <c r="AW363" s="97"/>
      <c r="AX363" s="98"/>
      <c r="AY363" s="98"/>
      <c r="AZ363" s="98"/>
      <c r="BA363" s="98"/>
      <c r="BB363" s="98"/>
      <c r="BC363" s="99"/>
      <c r="BD363" s="99"/>
      <c r="BE363" s="97"/>
      <c r="BF363" s="98"/>
      <c r="BG363" s="98"/>
      <c r="BH363" s="98"/>
      <c r="BI363" s="98"/>
      <c r="BJ363" s="98"/>
      <c r="BK363" s="99"/>
      <c r="BL363" s="99"/>
      <c r="BM363" s="97"/>
      <c r="BN363" s="98"/>
      <c r="BO363" s="98"/>
      <c r="BP363" s="98"/>
      <c r="BQ363" s="98"/>
      <c r="BR363" s="98"/>
      <c r="BS363" s="99"/>
      <c r="BT363" s="99"/>
    </row>
    <row r="364" spans="1:72">
      <c r="A364" s="97"/>
      <c r="B364" s="98"/>
      <c r="C364" s="98"/>
      <c r="D364" s="98"/>
      <c r="E364" s="98"/>
      <c r="F364" s="98"/>
      <c r="G364" s="99"/>
      <c r="H364" s="99"/>
      <c r="I364" s="97"/>
      <c r="J364" s="98"/>
      <c r="K364" s="98"/>
      <c r="L364" s="98"/>
      <c r="M364" s="98"/>
      <c r="N364" s="98"/>
      <c r="O364" s="99"/>
      <c r="P364" s="99"/>
      <c r="Q364" s="97"/>
      <c r="R364" s="98"/>
      <c r="S364" s="98"/>
      <c r="T364" s="98"/>
      <c r="U364" s="98"/>
      <c r="V364" s="98"/>
      <c r="W364" s="99"/>
      <c r="X364" s="99"/>
      <c r="Y364" s="97"/>
      <c r="Z364" s="98"/>
      <c r="AA364" s="98"/>
      <c r="AB364" s="98"/>
      <c r="AC364" s="98"/>
      <c r="AD364" s="98"/>
      <c r="AE364" s="99"/>
      <c r="AF364" s="99"/>
      <c r="AG364" s="97"/>
      <c r="AH364" s="98"/>
      <c r="AI364" s="98"/>
      <c r="AJ364" s="98"/>
      <c r="AK364" s="98"/>
      <c r="AL364" s="98"/>
      <c r="AM364" s="99"/>
      <c r="AN364" s="99"/>
      <c r="AO364" s="97"/>
      <c r="AP364" s="98"/>
      <c r="AQ364" s="98"/>
      <c r="AR364" s="98"/>
      <c r="AS364" s="98"/>
      <c r="AT364" s="98"/>
      <c r="AU364" s="99"/>
      <c r="AV364" s="99"/>
      <c r="AW364" s="97"/>
      <c r="AX364" s="98"/>
      <c r="AY364" s="98"/>
      <c r="AZ364" s="98"/>
      <c r="BA364" s="98"/>
      <c r="BB364" s="98"/>
      <c r="BC364" s="99"/>
      <c r="BD364" s="99"/>
      <c r="BE364" s="97"/>
      <c r="BF364" s="98"/>
      <c r="BG364" s="98"/>
      <c r="BH364" s="98"/>
      <c r="BI364" s="98"/>
      <c r="BJ364" s="98"/>
      <c r="BK364" s="99"/>
      <c r="BL364" s="99"/>
      <c r="BM364" s="97"/>
      <c r="BN364" s="98"/>
      <c r="BO364" s="98"/>
      <c r="BP364" s="98"/>
      <c r="BQ364" s="98"/>
      <c r="BR364" s="98"/>
      <c r="BS364" s="99"/>
      <c r="BT364" s="99"/>
    </row>
    <row r="365" spans="1:72">
      <c r="A365" s="97"/>
      <c r="B365" s="98"/>
      <c r="C365" s="98"/>
      <c r="D365" s="98"/>
      <c r="E365" s="98"/>
      <c r="F365" s="98"/>
      <c r="G365" s="99"/>
      <c r="H365" s="99"/>
      <c r="I365" s="97"/>
      <c r="J365" s="98"/>
      <c r="K365" s="98"/>
      <c r="L365" s="98"/>
      <c r="M365" s="98"/>
      <c r="N365" s="98"/>
      <c r="O365" s="99"/>
      <c r="P365" s="99"/>
      <c r="Q365" s="97"/>
      <c r="R365" s="98"/>
      <c r="S365" s="98"/>
      <c r="T365" s="98"/>
      <c r="U365" s="98"/>
      <c r="V365" s="98"/>
      <c r="W365" s="99"/>
      <c r="X365" s="99"/>
      <c r="Y365" s="97"/>
      <c r="Z365" s="98"/>
      <c r="AA365" s="98"/>
      <c r="AB365" s="98"/>
      <c r="AC365" s="98"/>
      <c r="AD365" s="98"/>
      <c r="AE365" s="99"/>
      <c r="AF365" s="99"/>
      <c r="AG365" s="97"/>
      <c r="AH365" s="98"/>
      <c r="AI365" s="98"/>
      <c r="AJ365" s="98"/>
      <c r="AK365" s="98"/>
      <c r="AL365" s="98"/>
      <c r="AM365" s="99"/>
      <c r="AN365" s="99"/>
      <c r="AO365" s="97"/>
      <c r="AP365" s="98"/>
      <c r="AQ365" s="98"/>
      <c r="AR365" s="98"/>
      <c r="AS365" s="98"/>
      <c r="AT365" s="98"/>
      <c r="AU365" s="99"/>
      <c r="AV365" s="99"/>
      <c r="AW365" s="97"/>
      <c r="AX365" s="98"/>
      <c r="AY365" s="98"/>
      <c r="AZ365" s="98"/>
      <c r="BA365" s="98"/>
      <c r="BB365" s="98"/>
      <c r="BC365" s="99"/>
      <c r="BD365" s="99"/>
      <c r="BE365" s="97"/>
      <c r="BF365" s="98"/>
      <c r="BG365" s="98"/>
      <c r="BH365" s="98"/>
      <c r="BI365" s="98"/>
      <c r="BJ365" s="98"/>
      <c r="BK365" s="99"/>
      <c r="BL365" s="99"/>
      <c r="BM365" s="97"/>
      <c r="BN365" s="98"/>
      <c r="BO365" s="98"/>
      <c r="BP365" s="98"/>
      <c r="BQ365" s="98"/>
      <c r="BR365" s="98"/>
      <c r="BS365" s="99"/>
      <c r="BT365" s="99"/>
    </row>
    <row r="366" spans="1:72">
      <c r="A366" s="97"/>
      <c r="B366" s="98"/>
      <c r="C366" s="98"/>
      <c r="D366" s="98"/>
      <c r="E366" s="98"/>
      <c r="F366" s="98"/>
      <c r="G366" s="99"/>
      <c r="H366" s="99"/>
      <c r="I366" s="97"/>
      <c r="J366" s="98"/>
      <c r="K366" s="98"/>
      <c r="L366" s="98"/>
      <c r="M366" s="98"/>
      <c r="N366" s="98"/>
      <c r="O366" s="99"/>
      <c r="P366" s="99"/>
      <c r="Q366" s="97"/>
      <c r="R366" s="98"/>
      <c r="S366" s="98"/>
      <c r="T366" s="98"/>
      <c r="U366" s="98"/>
      <c r="V366" s="98"/>
      <c r="W366" s="99"/>
      <c r="X366" s="99"/>
      <c r="Y366" s="97"/>
      <c r="Z366" s="98"/>
      <c r="AA366" s="98"/>
      <c r="AB366" s="98"/>
      <c r="AC366" s="98"/>
      <c r="AD366" s="98"/>
      <c r="AE366" s="99"/>
      <c r="AF366" s="99"/>
      <c r="AG366" s="97"/>
      <c r="AH366" s="98"/>
      <c r="AI366" s="98"/>
      <c r="AJ366" s="98"/>
      <c r="AK366" s="98"/>
      <c r="AL366" s="98"/>
      <c r="AM366" s="99"/>
      <c r="AN366" s="99"/>
      <c r="AO366" s="97"/>
      <c r="AP366" s="98"/>
      <c r="AQ366" s="98"/>
      <c r="AR366" s="98"/>
      <c r="AS366" s="98"/>
      <c r="AT366" s="98"/>
      <c r="AU366" s="99"/>
      <c r="AV366" s="99"/>
      <c r="AW366" s="97"/>
      <c r="AX366" s="98"/>
      <c r="AY366" s="98"/>
      <c r="AZ366" s="98"/>
      <c r="BA366" s="98"/>
      <c r="BB366" s="98"/>
      <c r="BC366" s="99"/>
      <c r="BD366" s="99"/>
      <c r="BE366" s="97"/>
      <c r="BF366" s="98"/>
      <c r="BG366" s="98"/>
      <c r="BH366" s="98"/>
      <c r="BI366" s="98"/>
      <c r="BJ366" s="98"/>
      <c r="BK366" s="99"/>
      <c r="BL366" s="99"/>
      <c r="BM366" s="97"/>
      <c r="BN366" s="98"/>
      <c r="BO366" s="98"/>
      <c r="BP366" s="98"/>
      <c r="BQ366" s="98"/>
      <c r="BR366" s="98"/>
      <c r="BS366" s="99"/>
      <c r="BT366" s="99"/>
    </row>
    <row r="367" spans="1:72">
      <c r="A367" s="97"/>
      <c r="B367" s="98"/>
      <c r="C367" s="98"/>
      <c r="D367" s="98"/>
      <c r="E367" s="98"/>
      <c r="F367" s="98"/>
      <c r="G367" s="99"/>
      <c r="H367" s="99"/>
      <c r="I367" s="97"/>
      <c r="J367" s="98"/>
      <c r="K367" s="98"/>
      <c r="L367" s="98"/>
      <c r="M367" s="98"/>
      <c r="N367" s="98"/>
      <c r="O367" s="99"/>
      <c r="P367" s="99"/>
      <c r="Q367" s="97"/>
      <c r="R367" s="98"/>
      <c r="S367" s="98"/>
      <c r="T367" s="98"/>
      <c r="U367" s="98"/>
      <c r="V367" s="98"/>
      <c r="W367" s="99"/>
      <c r="X367" s="99"/>
      <c r="Y367" s="97"/>
      <c r="Z367" s="98"/>
      <c r="AA367" s="98"/>
      <c r="AB367" s="98"/>
      <c r="AC367" s="98"/>
      <c r="AD367" s="98"/>
      <c r="AE367" s="99"/>
      <c r="AF367" s="99"/>
      <c r="AG367" s="97"/>
      <c r="AH367" s="98"/>
      <c r="AI367" s="98"/>
      <c r="AJ367" s="98"/>
      <c r="AK367" s="98"/>
      <c r="AL367" s="98"/>
      <c r="AM367" s="99"/>
      <c r="AN367" s="99"/>
      <c r="AO367" s="97"/>
      <c r="AP367" s="98"/>
      <c r="AQ367" s="98"/>
      <c r="AR367" s="98"/>
      <c r="AS367" s="98"/>
      <c r="AT367" s="98"/>
      <c r="AU367" s="99"/>
      <c r="AV367" s="99"/>
      <c r="AW367" s="97"/>
      <c r="AX367" s="98"/>
      <c r="AY367" s="98"/>
      <c r="AZ367" s="98"/>
      <c r="BA367" s="98"/>
      <c r="BB367" s="98"/>
      <c r="BC367" s="99"/>
      <c r="BD367" s="99"/>
      <c r="BE367" s="97"/>
      <c r="BF367" s="98"/>
      <c r="BG367" s="98"/>
      <c r="BH367" s="98"/>
      <c r="BI367" s="98"/>
      <c r="BJ367" s="98"/>
      <c r="BK367" s="99"/>
      <c r="BL367" s="99"/>
      <c r="BM367" s="97"/>
      <c r="BN367" s="98"/>
      <c r="BO367" s="98"/>
      <c r="BP367" s="98"/>
      <c r="BQ367" s="98"/>
      <c r="BR367" s="98"/>
      <c r="BS367" s="99"/>
      <c r="BT367" s="99"/>
    </row>
    <row r="368" spans="1:72">
      <c r="A368" s="97"/>
      <c r="B368" s="98"/>
      <c r="C368" s="98"/>
      <c r="D368" s="98"/>
      <c r="E368" s="98"/>
      <c r="F368" s="98"/>
      <c r="G368" s="99"/>
      <c r="H368" s="99"/>
      <c r="I368" s="97"/>
      <c r="J368" s="98"/>
      <c r="K368" s="98"/>
      <c r="L368" s="98"/>
      <c r="M368" s="98"/>
      <c r="N368" s="98"/>
      <c r="O368" s="99"/>
      <c r="P368" s="99"/>
      <c r="Q368" s="97"/>
      <c r="R368" s="98"/>
      <c r="S368" s="98"/>
      <c r="T368" s="98"/>
      <c r="U368" s="98"/>
      <c r="V368" s="98"/>
      <c r="W368" s="99"/>
      <c r="X368" s="99"/>
      <c r="Y368" s="97"/>
      <c r="Z368" s="98"/>
      <c r="AA368" s="98"/>
      <c r="AB368" s="98"/>
      <c r="AC368" s="98"/>
      <c r="AD368" s="98"/>
      <c r="AE368" s="99"/>
      <c r="AF368" s="99"/>
      <c r="AG368" s="97"/>
      <c r="AH368" s="98"/>
      <c r="AI368" s="98"/>
      <c r="AJ368" s="98"/>
      <c r="AK368" s="98"/>
      <c r="AL368" s="98"/>
      <c r="AM368" s="99"/>
      <c r="AN368" s="99"/>
      <c r="AO368" s="97"/>
      <c r="AP368" s="98"/>
      <c r="AQ368" s="98"/>
      <c r="AR368" s="98"/>
      <c r="AS368" s="98"/>
      <c r="AT368" s="98"/>
      <c r="AU368" s="99"/>
      <c r="AV368" s="99"/>
      <c r="AW368" s="97"/>
      <c r="AX368" s="98"/>
      <c r="AY368" s="98"/>
      <c r="AZ368" s="98"/>
      <c r="BA368" s="98"/>
      <c r="BB368" s="98"/>
      <c r="BC368" s="99"/>
      <c r="BD368" s="99"/>
      <c r="BE368" s="97"/>
      <c r="BF368" s="98"/>
      <c r="BG368" s="98"/>
      <c r="BH368" s="98"/>
      <c r="BI368" s="98"/>
      <c r="BJ368" s="98"/>
      <c r="BK368" s="99"/>
      <c r="BL368" s="99"/>
      <c r="BM368" s="97"/>
      <c r="BN368" s="98"/>
      <c r="BO368" s="98"/>
      <c r="BP368" s="98"/>
      <c r="BQ368" s="98"/>
      <c r="BR368" s="98"/>
      <c r="BS368" s="99"/>
      <c r="BT368" s="99"/>
    </row>
    <row r="369" spans="1:72">
      <c r="A369" s="97"/>
      <c r="B369" s="98"/>
      <c r="C369" s="98"/>
      <c r="D369" s="98"/>
      <c r="E369" s="98"/>
      <c r="F369" s="98"/>
      <c r="G369" s="99"/>
      <c r="H369" s="99"/>
      <c r="I369" s="97"/>
      <c r="J369" s="98"/>
      <c r="K369" s="98"/>
      <c r="L369" s="98"/>
      <c r="M369" s="98"/>
      <c r="N369" s="98"/>
      <c r="O369" s="99"/>
      <c r="P369" s="99"/>
      <c r="Q369" s="97"/>
      <c r="R369" s="98"/>
      <c r="S369" s="98"/>
      <c r="T369" s="98"/>
      <c r="U369" s="98"/>
      <c r="V369" s="98"/>
      <c r="W369" s="99"/>
      <c r="X369" s="99"/>
      <c r="Y369" s="97"/>
      <c r="Z369" s="98"/>
      <c r="AA369" s="98"/>
      <c r="AB369" s="98"/>
      <c r="AC369" s="98"/>
      <c r="AD369" s="98"/>
      <c r="AE369" s="99"/>
      <c r="AF369" s="99"/>
      <c r="AG369" s="97"/>
      <c r="AH369" s="98"/>
      <c r="AI369" s="98"/>
      <c r="AJ369" s="98"/>
      <c r="AK369" s="98"/>
      <c r="AL369" s="98"/>
      <c r="AM369" s="99"/>
      <c r="AN369" s="99"/>
      <c r="AO369" s="97"/>
      <c r="AP369" s="98"/>
      <c r="AQ369" s="98"/>
      <c r="AR369" s="98"/>
      <c r="AS369" s="98"/>
      <c r="AT369" s="98"/>
      <c r="AU369" s="99"/>
      <c r="AV369" s="99"/>
      <c r="AW369" s="97"/>
      <c r="AX369" s="98"/>
      <c r="AY369" s="98"/>
      <c r="AZ369" s="98"/>
      <c r="BA369" s="98"/>
      <c r="BB369" s="98"/>
      <c r="BC369" s="99"/>
      <c r="BD369" s="99"/>
      <c r="BE369" s="97"/>
      <c r="BF369" s="98"/>
      <c r="BG369" s="98"/>
      <c r="BH369" s="98"/>
      <c r="BI369" s="98"/>
      <c r="BJ369" s="98"/>
      <c r="BK369" s="99"/>
      <c r="BL369" s="99"/>
      <c r="BM369" s="97"/>
      <c r="BN369" s="98"/>
      <c r="BO369" s="98"/>
      <c r="BP369" s="98"/>
      <c r="BQ369" s="98"/>
      <c r="BR369" s="98"/>
      <c r="BS369" s="99"/>
      <c r="BT369" s="99"/>
    </row>
    <row r="370" spans="1:72">
      <c r="A370" s="97"/>
      <c r="B370" s="98"/>
      <c r="C370" s="98"/>
      <c r="D370" s="98"/>
      <c r="E370" s="98"/>
      <c r="F370" s="98"/>
      <c r="G370" s="99"/>
      <c r="H370" s="99"/>
      <c r="I370" s="97"/>
      <c r="J370" s="98"/>
      <c r="K370" s="98"/>
      <c r="L370" s="98"/>
      <c r="M370" s="98"/>
      <c r="N370" s="98"/>
      <c r="O370" s="99"/>
      <c r="P370" s="99"/>
      <c r="Q370" s="97"/>
      <c r="R370" s="98"/>
      <c r="S370" s="98"/>
      <c r="T370" s="98"/>
      <c r="U370" s="98"/>
      <c r="V370" s="98"/>
      <c r="W370" s="99"/>
      <c r="X370" s="99"/>
      <c r="Y370" s="97"/>
      <c r="Z370" s="98"/>
      <c r="AA370" s="98"/>
      <c r="AB370" s="98"/>
      <c r="AC370" s="98"/>
      <c r="AD370" s="98"/>
      <c r="AE370" s="99"/>
      <c r="AF370" s="99"/>
      <c r="AG370" s="97"/>
      <c r="AH370" s="98"/>
      <c r="AI370" s="98"/>
      <c r="AJ370" s="98"/>
      <c r="AK370" s="98"/>
      <c r="AL370" s="98"/>
      <c r="AM370" s="99"/>
      <c r="AN370" s="99"/>
      <c r="AO370" s="97"/>
      <c r="AP370" s="98"/>
      <c r="AQ370" s="98"/>
      <c r="AR370" s="98"/>
      <c r="AS370" s="98"/>
      <c r="AT370" s="98"/>
      <c r="AU370" s="99"/>
      <c r="AV370" s="99"/>
      <c r="AW370" s="97"/>
      <c r="AX370" s="98"/>
      <c r="AY370" s="98"/>
      <c r="AZ370" s="98"/>
      <c r="BA370" s="98"/>
      <c r="BB370" s="98"/>
      <c r="BC370" s="99"/>
      <c r="BD370" s="99"/>
      <c r="BE370" s="97"/>
      <c r="BF370" s="98"/>
      <c r="BG370" s="98"/>
      <c r="BH370" s="98"/>
      <c r="BI370" s="98"/>
      <c r="BJ370" s="98"/>
      <c r="BK370" s="99"/>
      <c r="BL370" s="99"/>
      <c r="BM370" s="97"/>
      <c r="BN370" s="98"/>
      <c r="BO370" s="98"/>
      <c r="BP370" s="98"/>
      <c r="BQ370" s="98"/>
      <c r="BR370" s="98"/>
      <c r="BS370" s="99"/>
      <c r="BT370" s="99"/>
    </row>
    <row r="371" spans="1:72">
      <c r="A371" s="97"/>
      <c r="B371" s="98"/>
      <c r="C371" s="98"/>
      <c r="D371" s="98"/>
      <c r="E371" s="98"/>
      <c r="F371" s="98"/>
      <c r="G371" s="99"/>
      <c r="H371" s="99"/>
      <c r="I371" s="97"/>
      <c r="J371" s="98"/>
      <c r="K371" s="98"/>
      <c r="L371" s="98"/>
      <c r="M371" s="98"/>
      <c r="N371" s="98"/>
      <c r="O371" s="99"/>
      <c r="P371" s="99"/>
      <c r="Q371" s="97"/>
      <c r="R371" s="98"/>
      <c r="S371" s="98"/>
      <c r="T371" s="98"/>
      <c r="U371" s="98"/>
      <c r="V371" s="98"/>
      <c r="W371" s="99"/>
      <c r="X371" s="99"/>
      <c r="Y371" s="97"/>
      <c r="Z371" s="98"/>
      <c r="AA371" s="98"/>
      <c r="AB371" s="98"/>
      <c r="AC371" s="98"/>
      <c r="AD371" s="98"/>
      <c r="AE371" s="99"/>
      <c r="AF371" s="99"/>
      <c r="AG371" s="97"/>
      <c r="AH371" s="98"/>
      <c r="AI371" s="98"/>
      <c r="AJ371" s="98"/>
      <c r="AK371" s="98"/>
      <c r="AL371" s="98"/>
      <c r="AM371" s="99"/>
      <c r="AN371" s="99"/>
      <c r="AO371" s="97"/>
      <c r="AP371" s="98"/>
      <c r="AQ371" s="98"/>
      <c r="AR371" s="98"/>
      <c r="AS371" s="98"/>
      <c r="AT371" s="98"/>
      <c r="AU371" s="99"/>
      <c r="AV371" s="99"/>
      <c r="AW371" s="97"/>
      <c r="AX371" s="98"/>
      <c r="AY371" s="98"/>
      <c r="AZ371" s="98"/>
      <c r="BA371" s="98"/>
      <c r="BB371" s="98"/>
      <c r="BC371" s="99"/>
      <c r="BD371" s="99"/>
      <c r="BE371" s="97"/>
      <c r="BF371" s="98"/>
      <c r="BG371" s="98"/>
      <c r="BH371" s="98"/>
      <c r="BI371" s="98"/>
      <c r="BJ371" s="98"/>
      <c r="BK371" s="99"/>
      <c r="BL371" s="99"/>
      <c r="BM371" s="97"/>
      <c r="BN371" s="98"/>
      <c r="BO371" s="98"/>
      <c r="BP371" s="98"/>
      <c r="BQ371" s="98"/>
      <c r="BR371" s="98"/>
      <c r="BS371" s="99"/>
      <c r="BT371" s="99"/>
    </row>
    <row r="372" spans="1:72">
      <c r="A372" s="97"/>
      <c r="B372" s="98"/>
      <c r="C372" s="98"/>
      <c r="D372" s="98"/>
      <c r="E372" s="98"/>
      <c r="F372" s="98"/>
      <c r="G372" s="99"/>
      <c r="H372" s="99"/>
      <c r="I372" s="97"/>
      <c r="J372" s="98"/>
      <c r="K372" s="98"/>
      <c r="L372" s="98"/>
      <c r="M372" s="98"/>
      <c r="N372" s="98"/>
      <c r="O372" s="99"/>
      <c r="P372" s="99"/>
      <c r="Q372" s="97"/>
      <c r="R372" s="98"/>
      <c r="S372" s="98"/>
      <c r="T372" s="98"/>
      <c r="U372" s="98"/>
      <c r="V372" s="98"/>
      <c r="W372" s="99"/>
      <c r="X372" s="99"/>
      <c r="Y372" s="97"/>
      <c r="Z372" s="98"/>
      <c r="AA372" s="98"/>
      <c r="AB372" s="98"/>
      <c r="AC372" s="98"/>
      <c r="AD372" s="98"/>
      <c r="AE372" s="99"/>
      <c r="AF372" s="99"/>
      <c r="AG372" s="97"/>
      <c r="AH372" s="98"/>
      <c r="AI372" s="98"/>
      <c r="AJ372" s="98"/>
      <c r="AK372" s="98"/>
      <c r="AL372" s="98"/>
      <c r="AM372" s="99"/>
      <c r="AN372" s="99"/>
      <c r="AO372" s="97"/>
      <c r="AP372" s="98"/>
      <c r="AQ372" s="98"/>
      <c r="AR372" s="98"/>
      <c r="AS372" s="98"/>
      <c r="AT372" s="98"/>
      <c r="AU372" s="99"/>
      <c r="AV372" s="99"/>
      <c r="AW372" s="97"/>
      <c r="AX372" s="98"/>
      <c r="AY372" s="98"/>
      <c r="AZ372" s="98"/>
      <c r="BA372" s="98"/>
      <c r="BB372" s="98"/>
      <c r="BC372" s="99"/>
      <c r="BD372" s="99"/>
      <c r="BE372" s="97"/>
      <c r="BF372" s="98"/>
      <c r="BG372" s="98"/>
      <c r="BH372" s="98"/>
      <c r="BI372" s="98"/>
      <c r="BJ372" s="98"/>
      <c r="BK372" s="99"/>
      <c r="BL372" s="99"/>
      <c r="BM372" s="97"/>
      <c r="BN372" s="98"/>
      <c r="BO372" s="98"/>
      <c r="BP372" s="98"/>
      <c r="BQ372" s="98"/>
      <c r="BR372" s="98"/>
      <c r="BS372" s="99"/>
      <c r="BT372" s="99"/>
    </row>
    <row r="373" spans="1:72">
      <c r="A373" s="97"/>
      <c r="B373" s="98"/>
      <c r="C373" s="98"/>
      <c r="D373" s="98"/>
      <c r="E373" s="98"/>
      <c r="F373" s="98"/>
      <c r="G373" s="99"/>
      <c r="H373" s="99"/>
      <c r="I373" s="97"/>
      <c r="J373" s="98"/>
      <c r="K373" s="98"/>
      <c r="L373" s="98"/>
      <c r="M373" s="98"/>
      <c r="N373" s="98"/>
      <c r="O373" s="99"/>
      <c r="P373" s="99"/>
      <c r="Q373" s="97"/>
      <c r="R373" s="98"/>
      <c r="S373" s="98"/>
      <c r="T373" s="98"/>
      <c r="U373" s="98"/>
      <c r="V373" s="98"/>
      <c r="W373" s="99"/>
      <c r="X373" s="99"/>
      <c r="Y373" s="97"/>
      <c r="Z373" s="98"/>
      <c r="AA373" s="98"/>
      <c r="AB373" s="98"/>
      <c r="AC373" s="98"/>
      <c r="AD373" s="98"/>
      <c r="AE373" s="99"/>
      <c r="AF373" s="99"/>
      <c r="AG373" s="97"/>
      <c r="AH373" s="98"/>
      <c r="AI373" s="98"/>
      <c r="AJ373" s="98"/>
      <c r="AK373" s="98"/>
      <c r="AL373" s="98"/>
      <c r="AM373" s="99"/>
      <c r="AN373" s="99"/>
      <c r="AO373" s="97"/>
      <c r="AP373" s="98"/>
      <c r="AQ373" s="98"/>
      <c r="AR373" s="98"/>
      <c r="AS373" s="98"/>
      <c r="AT373" s="98"/>
      <c r="AU373" s="99"/>
      <c r="AV373" s="99"/>
      <c r="AW373" s="97"/>
      <c r="AX373" s="98"/>
      <c r="AY373" s="98"/>
      <c r="AZ373" s="98"/>
      <c r="BA373" s="98"/>
      <c r="BB373" s="98"/>
      <c r="BC373" s="99"/>
      <c r="BD373" s="99"/>
      <c r="BE373" s="97"/>
      <c r="BF373" s="98"/>
      <c r="BG373" s="98"/>
      <c r="BH373" s="98"/>
      <c r="BI373" s="98"/>
      <c r="BJ373" s="98"/>
      <c r="BK373" s="99"/>
      <c r="BL373" s="99"/>
      <c r="BM373" s="97"/>
      <c r="BN373" s="98"/>
      <c r="BO373" s="98"/>
      <c r="BP373" s="98"/>
      <c r="BQ373" s="98"/>
      <c r="BR373" s="98"/>
      <c r="BS373" s="99"/>
      <c r="BT373" s="99"/>
    </row>
    <row r="374" spans="1:72">
      <c r="A374" s="97"/>
      <c r="B374" s="98"/>
      <c r="C374" s="98"/>
      <c r="D374" s="98"/>
      <c r="E374" s="98"/>
      <c r="F374" s="98"/>
      <c r="G374" s="99"/>
      <c r="H374" s="99"/>
      <c r="I374" s="97"/>
      <c r="J374" s="98"/>
      <c r="K374" s="98"/>
      <c r="L374" s="98"/>
      <c r="M374" s="98"/>
      <c r="N374" s="98"/>
      <c r="O374" s="99"/>
      <c r="P374" s="99"/>
      <c r="Q374" s="97"/>
      <c r="R374" s="98"/>
      <c r="S374" s="98"/>
      <c r="T374" s="98"/>
      <c r="U374" s="98"/>
      <c r="V374" s="98"/>
      <c r="W374" s="99"/>
      <c r="X374" s="99"/>
      <c r="Y374" s="97"/>
      <c r="Z374" s="98"/>
      <c r="AA374" s="98"/>
      <c r="AB374" s="98"/>
      <c r="AC374" s="98"/>
      <c r="AD374" s="98"/>
      <c r="AE374" s="99"/>
      <c r="AF374" s="99"/>
      <c r="AG374" s="97"/>
      <c r="AH374" s="98"/>
      <c r="AI374" s="98"/>
      <c r="AJ374" s="98"/>
      <c r="AK374" s="98"/>
      <c r="AL374" s="98"/>
      <c r="AM374" s="99"/>
      <c r="AN374" s="99"/>
      <c r="AO374" s="97"/>
      <c r="AP374" s="98"/>
      <c r="AQ374" s="98"/>
      <c r="AR374" s="98"/>
      <c r="AS374" s="98"/>
      <c r="AT374" s="98"/>
      <c r="AU374" s="99"/>
      <c r="AV374" s="99"/>
      <c r="AW374" s="97"/>
      <c r="AX374" s="98"/>
      <c r="AY374" s="98"/>
      <c r="AZ374" s="98"/>
      <c r="BA374" s="98"/>
      <c r="BB374" s="98"/>
      <c r="BC374" s="99"/>
      <c r="BD374" s="99"/>
      <c r="BE374" s="97"/>
      <c r="BF374" s="98"/>
      <c r="BG374" s="98"/>
      <c r="BH374" s="98"/>
      <c r="BI374" s="98"/>
      <c r="BJ374" s="98"/>
      <c r="BK374" s="99"/>
      <c r="BL374" s="99"/>
      <c r="BM374" s="97"/>
      <c r="BN374" s="98"/>
      <c r="BO374" s="98"/>
      <c r="BP374" s="98"/>
      <c r="BQ374" s="98"/>
      <c r="BR374" s="98"/>
      <c r="BS374" s="99"/>
      <c r="BT374" s="99"/>
    </row>
    <row r="375" spans="1:72">
      <c r="A375" s="97"/>
      <c r="B375" s="98"/>
      <c r="C375" s="98"/>
      <c r="D375" s="98"/>
      <c r="E375" s="98"/>
      <c r="F375" s="98"/>
      <c r="G375" s="99"/>
      <c r="H375" s="99"/>
      <c r="I375" s="97"/>
      <c r="J375" s="98"/>
      <c r="K375" s="98"/>
      <c r="L375" s="98"/>
      <c r="M375" s="98"/>
      <c r="N375" s="98"/>
      <c r="O375" s="99"/>
      <c r="P375" s="99"/>
      <c r="Q375" s="97"/>
      <c r="R375" s="98"/>
      <c r="S375" s="98"/>
      <c r="T375" s="98"/>
      <c r="U375" s="98"/>
      <c r="V375" s="98"/>
      <c r="W375" s="99"/>
      <c r="X375" s="99"/>
      <c r="Y375" s="97"/>
      <c r="Z375" s="98"/>
      <c r="AA375" s="98"/>
      <c r="AB375" s="98"/>
      <c r="AC375" s="98"/>
      <c r="AD375" s="98"/>
      <c r="AE375" s="99"/>
      <c r="AF375" s="99"/>
      <c r="AG375" s="97"/>
      <c r="AH375" s="98"/>
      <c r="AI375" s="98"/>
      <c r="AJ375" s="98"/>
      <c r="AK375" s="98"/>
      <c r="AL375" s="98"/>
      <c r="AM375" s="99"/>
      <c r="AN375" s="99"/>
      <c r="AO375" s="97"/>
      <c r="AP375" s="98"/>
      <c r="AQ375" s="98"/>
      <c r="AR375" s="98"/>
      <c r="AS375" s="98"/>
      <c r="AT375" s="98"/>
      <c r="AU375" s="99"/>
      <c r="AV375" s="99"/>
      <c r="AW375" s="97"/>
      <c r="AX375" s="98"/>
      <c r="AY375" s="98"/>
      <c r="AZ375" s="98"/>
      <c r="BA375" s="98"/>
      <c r="BB375" s="98"/>
      <c r="BC375" s="99"/>
      <c r="BD375" s="99"/>
      <c r="BE375" s="97"/>
      <c r="BF375" s="98"/>
      <c r="BG375" s="98"/>
      <c r="BH375" s="98"/>
      <c r="BI375" s="98"/>
      <c r="BJ375" s="98"/>
      <c r="BK375" s="99"/>
      <c r="BL375" s="99"/>
      <c r="BM375" s="97"/>
      <c r="BN375" s="98"/>
      <c r="BO375" s="98"/>
      <c r="BP375" s="98"/>
      <c r="BQ375" s="98"/>
      <c r="BR375" s="98"/>
      <c r="BS375" s="99"/>
      <c r="BT375" s="99"/>
    </row>
    <row r="376" spans="1:72">
      <c r="A376" s="97"/>
      <c r="B376" s="98"/>
      <c r="C376" s="98"/>
      <c r="D376" s="98"/>
      <c r="E376" s="98"/>
      <c r="F376" s="98"/>
      <c r="G376" s="99"/>
      <c r="H376" s="99"/>
      <c r="I376" s="97"/>
      <c r="J376" s="98"/>
      <c r="K376" s="98"/>
      <c r="L376" s="98"/>
      <c r="M376" s="98"/>
      <c r="N376" s="98"/>
      <c r="O376" s="99"/>
      <c r="P376" s="99"/>
      <c r="Q376" s="97"/>
      <c r="R376" s="98"/>
      <c r="S376" s="98"/>
      <c r="T376" s="98"/>
      <c r="U376" s="98"/>
      <c r="V376" s="98"/>
      <c r="W376" s="99"/>
      <c r="X376" s="99"/>
      <c r="Y376" s="97"/>
      <c r="Z376" s="98"/>
      <c r="AA376" s="98"/>
      <c r="AB376" s="98"/>
      <c r="AC376" s="98"/>
      <c r="AD376" s="98"/>
      <c r="AE376" s="99"/>
      <c r="AF376" s="99"/>
      <c r="AG376" s="97"/>
      <c r="AH376" s="98"/>
      <c r="AI376" s="98"/>
      <c r="AJ376" s="98"/>
      <c r="AK376" s="98"/>
      <c r="AL376" s="98"/>
      <c r="AM376" s="99"/>
      <c r="AN376" s="99"/>
      <c r="AO376" s="97"/>
      <c r="AP376" s="98"/>
      <c r="AQ376" s="98"/>
      <c r="AR376" s="98"/>
      <c r="AS376" s="98"/>
      <c r="AT376" s="98"/>
      <c r="AU376" s="99"/>
      <c r="AV376" s="99"/>
      <c r="AW376" s="97"/>
      <c r="AX376" s="98"/>
      <c r="AY376" s="98"/>
      <c r="AZ376" s="98"/>
      <c r="BA376" s="98"/>
      <c r="BB376" s="98"/>
      <c r="BC376" s="99"/>
      <c r="BD376" s="99"/>
      <c r="BE376" s="97"/>
      <c r="BF376" s="98"/>
      <c r="BG376" s="98"/>
      <c r="BH376" s="98"/>
      <c r="BI376" s="98"/>
      <c r="BJ376" s="98"/>
      <c r="BK376" s="99"/>
      <c r="BL376" s="99"/>
      <c r="BM376" s="97"/>
      <c r="BN376" s="98"/>
      <c r="BO376" s="98"/>
      <c r="BP376" s="98"/>
      <c r="BQ376" s="98"/>
      <c r="BR376" s="98"/>
      <c r="BS376" s="99"/>
      <c r="BT376" s="99"/>
    </row>
    <row r="377" spans="1:72">
      <c r="A377" s="97"/>
      <c r="B377" s="98"/>
      <c r="C377" s="98"/>
      <c r="D377" s="98"/>
      <c r="E377" s="98"/>
      <c r="F377" s="98"/>
      <c r="G377" s="99"/>
      <c r="H377" s="99"/>
      <c r="I377" s="97"/>
      <c r="J377" s="98"/>
      <c r="K377" s="98"/>
      <c r="L377" s="98"/>
      <c r="M377" s="98"/>
      <c r="N377" s="98"/>
      <c r="O377" s="99"/>
      <c r="P377" s="99"/>
      <c r="Q377" s="97"/>
      <c r="R377" s="98"/>
      <c r="S377" s="98"/>
      <c r="T377" s="98"/>
      <c r="U377" s="98"/>
      <c r="V377" s="98"/>
      <c r="W377" s="99"/>
      <c r="X377" s="99"/>
      <c r="Y377" s="97"/>
      <c r="Z377" s="98"/>
      <c r="AA377" s="98"/>
      <c r="AB377" s="98"/>
      <c r="AC377" s="98"/>
      <c r="AD377" s="98"/>
      <c r="AE377" s="99"/>
      <c r="AF377" s="99"/>
      <c r="AG377" s="97"/>
      <c r="AH377" s="98"/>
      <c r="AI377" s="98"/>
      <c r="AJ377" s="98"/>
      <c r="AK377" s="98"/>
      <c r="AL377" s="98"/>
      <c r="AM377" s="99"/>
      <c r="AN377" s="99"/>
      <c r="AO377" s="97"/>
      <c r="AP377" s="98"/>
      <c r="AQ377" s="98"/>
      <c r="AR377" s="98"/>
      <c r="AS377" s="98"/>
      <c r="AT377" s="98"/>
      <c r="AU377" s="99"/>
      <c r="AV377" s="99"/>
      <c r="AW377" s="97"/>
      <c r="AX377" s="98"/>
      <c r="AY377" s="98"/>
      <c r="AZ377" s="98"/>
      <c r="BA377" s="98"/>
      <c r="BB377" s="98"/>
      <c r="BC377" s="99"/>
      <c r="BD377" s="99"/>
      <c r="BE377" s="97"/>
      <c r="BF377" s="98"/>
      <c r="BG377" s="98"/>
      <c r="BH377" s="98"/>
      <c r="BI377" s="98"/>
      <c r="BJ377" s="98"/>
      <c r="BK377" s="99"/>
      <c r="BL377" s="99"/>
      <c r="BM377" s="97"/>
      <c r="BN377" s="98"/>
      <c r="BO377" s="98"/>
      <c r="BP377" s="98"/>
      <c r="BQ377" s="98"/>
      <c r="BR377" s="98"/>
      <c r="BS377" s="99"/>
      <c r="BT377" s="99"/>
    </row>
    <row r="378" spans="1:72">
      <c r="A378" s="97"/>
      <c r="B378" s="98"/>
      <c r="C378" s="98"/>
      <c r="D378" s="98"/>
      <c r="E378" s="98"/>
      <c r="F378" s="98"/>
      <c r="G378" s="99"/>
      <c r="H378" s="99"/>
      <c r="I378" s="97"/>
      <c r="J378" s="98"/>
      <c r="K378" s="98"/>
      <c r="L378" s="98"/>
      <c r="M378" s="98"/>
      <c r="N378" s="98"/>
      <c r="O378" s="99"/>
      <c r="P378" s="99"/>
      <c r="Q378" s="97"/>
      <c r="R378" s="98"/>
      <c r="S378" s="98"/>
      <c r="T378" s="98"/>
      <c r="U378" s="98"/>
      <c r="V378" s="98"/>
      <c r="W378" s="99"/>
      <c r="X378" s="99"/>
      <c r="Y378" s="97"/>
      <c r="Z378" s="98"/>
      <c r="AA378" s="98"/>
      <c r="AB378" s="98"/>
      <c r="AC378" s="98"/>
      <c r="AD378" s="98"/>
      <c r="AE378" s="99"/>
      <c r="AF378" s="99"/>
      <c r="AG378" s="97"/>
      <c r="AH378" s="98"/>
      <c r="AI378" s="98"/>
      <c r="AJ378" s="98"/>
      <c r="AK378" s="98"/>
      <c r="AL378" s="98"/>
      <c r="AM378" s="99"/>
      <c r="AN378" s="99"/>
      <c r="AO378" s="97"/>
      <c r="AP378" s="98"/>
      <c r="AQ378" s="98"/>
      <c r="AR378" s="98"/>
      <c r="AS378" s="98"/>
      <c r="AT378" s="98"/>
      <c r="AU378" s="99"/>
      <c r="AV378" s="99"/>
      <c r="AW378" s="97"/>
      <c r="AX378" s="98"/>
      <c r="AY378" s="98"/>
      <c r="AZ378" s="98"/>
      <c r="BA378" s="98"/>
      <c r="BB378" s="98"/>
      <c r="BC378" s="99"/>
      <c r="BD378" s="99"/>
      <c r="BE378" s="97"/>
      <c r="BF378" s="98"/>
      <c r="BG378" s="98"/>
      <c r="BH378" s="98"/>
      <c r="BI378" s="98"/>
      <c r="BJ378" s="98"/>
      <c r="BK378" s="99"/>
      <c r="BL378" s="99"/>
      <c r="BM378" s="97"/>
      <c r="BN378" s="98"/>
      <c r="BO378" s="98"/>
      <c r="BP378" s="98"/>
      <c r="BQ378" s="98"/>
      <c r="BR378" s="98"/>
      <c r="BS378" s="99"/>
      <c r="BT378" s="99"/>
    </row>
    <row r="379" spans="1:72">
      <c r="A379" s="97"/>
      <c r="B379" s="98"/>
      <c r="C379" s="98"/>
      <c r="D379" s="98"/>
      <c r="E379" s="98"/>
      <c r="F379" s="98"/>
      <c r="G379" s="99"/>
      <c r="H379" s="99"/>
      <c r="I379" s="97"/>
      <c r="J379" s="98"/>
      <c r="K379" s="98"/>
      <c r="L379" s="98"/>
      <c r="M379" s="98"/>
      <c r="N379" s="98"/>
      <c r="O379" s="99"/>
      <c r="P379" s="99"/>
      <c r="Q379" s="97"/>
      <c r="R379" s="98"/>
      <c r="S379" s="98"/>
      <c r="T379" s="98"/>
      <c r="U379" s="98"/>
      <c r="V379" s="98"/>
      <c r="W379" s="99"/>
      <c r="X379" s="99"/>
      <c r="Y379" s="97"/>
      <c r="Z379" s="98"/>
      <c r="AA379" s="98"/>
      <c r="AB379" s="98"/>
      <c r="AC379" s="98"/>
      <c r="AD379" s="98"/>
      <c r="AE379" s="99"/>
      <c r="AF379" s="99"/>
      <c r="AG379" s="97"/>
      <c r="AH379" s="98"/>
      <c r="AI379" s="98"/>
      <c r="AJ379" s="98"/>
      <c r="AK379" s="98"/>
      <c r="AL379" s="98"/>
      <c r="AM379" s="99"/>
      <c r="AN379" s="99"/>
      <c r="AO379" s="97"/>
      <c r="AP379" s="98"/>
      <c r="AQ379" s="98"/>
      <c r="AR379" s="98"/>
      <c r="AS379" s="98"/>
      <c r="AT379" s="98"/>
      <c r="AU379" s="99"/>
      <c r="AV379" s="99"/>
      <c r="AW379" s="97"/>
      <c r="AX379" s="98"/>
      <c r="AY379" s="98"/>
      <c r="AZ379" s="98"/>
      <c r="BA379" s="98"/>
      <c r="BB379" s="98"/>
      <c r="BC379" s="99"/>
      <c r="BD379" s="99"/>
      <c r="BE379" s="97"/>
      <c r="BF379" s="98"/>
      <c r="BG379" s="98"/>
      <c r="BH379" s="98"/>
      <c r="BI379" s="98"/>
      <c r="BJ379" s="98"/>
      <c r="BK379" s="99"/>
      <c r="BL379" s="99"/>
      <c r="BM379" s="97"/>
      <c r="BN379" s="98"/>
      <c r="BO379" s="98"/>
      <c r="BP379" s="98"/>
      <c r="BQ379" s="98"/>
      <c r="BR379" s="98"/>
      <c r="BS379" s="99"/>
      <c r="BT379" s="99"/>
    </row>
    <row r="380" spans="1:72">
      <c r="A380" s="97"/>
      <c r="B380" s="98"/>
      <c r="C380" s="98"/>
      <c r="D380" s="98"/>
      <c r="E380" s="98"/>
      <c r="F380" s="98"/>
      <c r="G380" s="99"/>
      <c r="H380" s="99"/>
      <c r="I380" s="97"/>
      <c r="J380" s="98"/>
      <c r="K380" s="98"/>
      <c r="L380" s="98"/>
      <c r="M380" s="98"/>
      <c r="N380" s="98"/>
      <c r="O380" s="99"/>
      <c r="P380" s="99"/>
      <c r="Q380" s="97"/>
      <c r="R380" s="98"/>
      <c r="S380" s="98"/>
      <c r="T380" s="98"/>
      <c r="U380" s="98"/>
      <c r="V380" s="98"/>
      <c r="W380" s="99"/>
      <c r="X380" s="99"/>
      <c r="Y380" s="97"/>
      <c r="Z380" s="98"/>
      <c r="AA380" s="98"/>
      <c r="AB380" s="98"/>
      <c r="AC380" s="98"/>
      <c r="AD380" s="98"/>
      <c r="AE380" s="99"/>
      <c r="AF380" s="99"/>
      <c r="AG380" s="97"/>
      <c r="AH380" s="98"/>
      <c r="AI380" s="98"/>
      <c r="AJ380" s="98"/>
      <c r="AK380" s="98"/>
      <c r="AL380" s="98"/>
      <c r="AM380" s="99"/>
      <c r="AN380" s="99"/>
      <c r="AO380" s="97"/>
      <c r="AP380" s="98"/>
      <c r="AQ380" s="98"/>
      <c r="AR380" s="98"/>
      <c r="AS380" s="98"/>
      <c r="AT380" s="98"/>
      <c r="AU380" s="99"/>
      <c r="AV380" s="99"/>
      <c r="AW380" s="97"/>
      <c r="AX380" s="98"/>
      <c r="AY380" s="98"/>
      <c r="AZ380" s="98"/>
      <c r="BA380" s="98"/>
      <c r="BB380" s="98"/>
      <c r="BC380" s="99"/>
      <c r="BD380" s="99"/>
      <c r="BE380" s="97"/>
      <c r="BF380" s="98"/>
      <c r="BG380" s="98"/>
      <c r="BH380" s="98"/>
      <c r="BI380" s="98"/>
      <c r="BJ380" s="98"/>
      <c r="BK380" s="99"/>
      <c r="BL380" s="99"/>
      <c r="BM380" s="97"/>
      <c r="BN380" s="98"/>
      <c r="BO380" s="98"/>
      <c r="BP380" s="98"/>
      <c r="BQ380" s="98"/>
      <c r="BR380" s="98"/>
      <c r="BS380" s="99"/>
      <c r="BT380" s="99"/>
    </row>
    <row r="381" spans="1:72">
      <c r="A381" s="97"/>
      <c r="B381" s="98"/>
      <c r="C381" s="98"/>
      <c r="D381" s="98"/>
      <c r="E381" s="98"/>
      <c r="F381" s="98"/>
      <c r="G381" s="99"/>
      <c r="H381" s="99"/>
      <c r="I381" s="97"/>
      <c r="J381" s="98"/>
      <c r="K381" s="98"/>
      <c r="L381" s="98"/>
      <c r="M381" s="98"/>
      <c r="N381" s="98"/>
      <c r="O381" s="99"/>
      <c r="P381" s="99"/>
      <c r="Q381" s="97"/>
      <c r="R381" s="98"/>
      <c r="S381" s="98"/>
      <c r="T381" s="98"/>
      <c r="U381" s="98"/>
      <c r="V381" s="98"/>
      <c r="W381" s="99"/>
      <c r="X381" s="99"/>
      <c r="Y381" s="97"/>
      <c r="Z381" s="98"/>
      <c r="AA381" s="98"/>
      <c r="AB381" s="98"/>
      <c r="AC381" s="98"/>
      <c r="AD381" s="98"/>
      <c r="AE381" s="99"/>
      <c r="AF381" s="99"/>
      <c r="AG381" s="97"/>
      <c r="AH381" s="98"/>
      <c r="AI381" s="98"/>
      <c r="AJ381" s="98"/>
      <c r="AK381" s="98"/>
      <c r="AL381" s="98"/>
      <c r="AM381" s="99"/>
      <c r="AN381" s="99"/>
      <c r="AO381" s="97"/>
      <c r="AP381" s="98"/>
      <c r="AQ381" s="98"/>
      <c r="AR381" s="98"/>
      <c r="AS381" s="98"/>
      <c r="AT381" s="98"/>
      <c r="AU381" s="99"/>
      <c r="AV381" s="99"/>
      <c r="AW381" s="97"/>
      <c r="AX381" s="98"/>
      <c r="AY381" s="98"/>
      <c r="AZ381" s="98"/>
      <c r="BA381" s="98"/>
      <c r="BB381" s="98"/>
      <c r="BC381" s="99"/>
      <c r="BD381" s="99"/>
      <c r="BE381" s="97"/>
      <c r="BF381" s="98"/>
      <c r="BG381" s="98"/>
      <c r="BH381" s="98"/>
      <c r="BI381" s="98"/>
      <c r="BJ381" s="98"/>
      <c r="BK381" s="99"/>
      <c r="BL381" s="99"/>
      <c r="BM381" s="97"/>
      <c r="BN381" s="98"/>
      <c r="BO381" s="98"/>
      <c r="BP381" s="98"/>
      <c r="BQ381" s="98"/>
      <c r="BR381" s="98"/>
      <c r="BS381" s="99"/>
      <c r="BT381" s="99"/>
    </row>
    <row r="382" spans="1:72">
      <c r="A382" s="97"/>
      <c r="B382" s="98"/>
      <c r="C382" s="98"/>
      <c r="D382" s="98"/>
      <c r="E382" s="98"/>
      <c r="F382" s="98"/>
      <c r="G382" s="99"/>
      <c r="H382" s="99"/>
      <c r="I382" s="97"/>
      <c r="J382" s="98"/>
      <c r="K382" s="98"/>
      <c r="L382" s="98"/>
      <c r="M382" s="98"/>
      <c r="N382" s="98"/>
      <c r="O382" s="99"/>
      <c r="P382" s="99"/>
      <c r="Q382" s="97"/>
      <c r="R382" s="98"/>
      <c r="S382" s="98"/>
      <c r="T382" s="98"/>
      <c r="U382" s="98"/>
      <c r="V382" s="98"/>
      <c r="W382" s="99"/>
      <c r="X382" s="99"/>
      <c r="Y382" s="97"/>
      <c r="Z382" s="98"/>
      <c r="AA382" s="98"/>
      <c r="AB382" s="98"/>
      <c r="AC382" s="98"/>
      <c r="AD382" s="98"/>
      <c r="AE382" s="99"/>
      <c r="AF382" s="99"/>
      <c r="AG382" s="97"/>
      <c r="AH382" s="98"/>
      <c r="AI382" s="98"/>
      <c r="AJ382" s="98"/>
      <c r="AK382" s="98"/>
      <c r="AL382" s="98"/>
      <c r="AM382" s="99"/>
      <c r="AN382" s="99"/>
      <c r="AO382" s="97"/>
      <c r="AP382" s="98"/>
      <c r="AQ382" s="98"/>
      <c r="AR382" s="98"/>
      <c r="AS382" s="98"/>
      <c r="AT382" s="98"/>
      <c r="AU382" s="99"/>
      <c r="AV382" s="99"/>
      <c r="AW382" s="97"/>
      <c r="AX382" s="98"/>
      <c r="AY382" s="98"/>
      <c r="AZ382" s="98"/>
      <c r="BA382" s="98"/>
      <c r="BB382" s="98"/>
      <c r="BC382" s="99"/>
      <c r="BD382" s="99"/>
      <c r="BE382" s="97"/>
      <c r="BF382" s="98"/>
      <c r="BG382" s="98"/>
      <c r="BH382" s="98"/>
      <c r="BI382" s="98"/>
      <c r="BJ382" s="98"/>
      <c r="BK382" s="99"/>
      <c r="BL382" s="99"/>
      <c r="BM382" s="97"/>
      <c r="BN382" s="98"/>
      <c r="BO382" s="98"/>
      <c r="BP382" s="98"/>
      <c r="BQ382" s="98"/>
      <c r="BR382" s="98"/>
      <c r="BS382" s="99"/>
      <c r="BT382" s="99"/>
    </row>
    <row r="383" spans="1:72">
      <c r="A383" s="97"/>
      <c r="B383" s="98"/>
      <c r="C383" s="98"/>
      <c r="D383" s="98"/>
      <c r="E383" s="98"/>
      <c r="F383" s="98"/>
      <c r="G383" s="99"/>
      <c r="H383" s="99"/>
      <c r="I383" s="97"/>
      <c r="J383" s="98"/>
      <c r="K383" s="98"/>
      <c r="L383" s="98"/>
      <c r="M383" s="98"/>
      <c r="N383" s="98"/>
      <c r="O383" s="99"/>
      <c r="P383" s="99"/>
      <c r="Q383" s="97"/>
      <c r="R383" s="98"/>
      <c r="S383" s="98"/>
      <c r="T383" s="98"/>
      <c r="U383" s="98"/>
      <c r="V383" s="98"/>
      <c r="W383" s="99"/>
      <c r="X383" s="99"/>
      <c r="Y383" s="97"/>
      <c r="Z383" s="98"/>
      <c r="AA383" s="98"/>
      <c r="AB383" s="98"/>
      <c r="AC383" s="98"/>
      <c r="AD383" s="98"/>
      <c r="AE383" s="99"/>
      <c r="AF383" s="99"/>
      <c r="AG383" s="97"/>
      <c r="AH383" s="98"/>
      <c r="AI383" s="98"/>
      <c r="AJ383" s="98"/>
      <c r="AK383" s="98"/>
      <c r="AL383" s="98"/>
      <c r="AM383" s="99"/>
      <c r="AN383" s="99"/>
      <c r="AO383" s="97"/>
      <c r="AP383" s="98"/>
      <c r="AQ383" s="98"/>
      <c r="AR383" s="98"/>
      <c r="AS383" s="98"/>
      <c r="AT383" s="98"/>
      <c r="AU383" s="99"/>
      <c r="AV383" s="99"/>
      <c r="AW383" s="97"/>
      <c r="AX383" s="98"/>
      <c r="AY383" s="98"/>
      <c r="AZ383" s="98"/>
      <c r="BA383" s="98"/>
      <c r="BB383" s="98"/>
      <c r="BC383" s="99"/>
      <c r="BD383" s="99"/>
      <c r="BE383" s="97"/>
      <c r="BF383" s="98"/>
      <c r="BG383" s="98"/>
      <c r="BH383" s="98"/>
      <c r="BI383" s="98"/>
      <c r="BJ383" s="98"/>
      <c r="BK383" s="99"/>
      <c r="BL383" s="99"/>
      <c r="BM383" s="97"/>
      <c r="BN383" s="98"/>
      <c r="BO383" s="98"/>
      <c r="BP383" s="98"/>
      <c r="BQ383" s="98"/>
      <c r="BR383" s="98"/>
      <c r="BS383" s="99"/>
      <c r="BT383" s="99"/>
    </row>
    <row r="384" spans="1:72">
      <c r="A384" s="97"/>
      <c r="B384" s="98"/>
      <c r="C384" s="98"/>
      <c r="D384" s="98"/>
      <c r="E384" s="98"/>
      <c r="F384" s="98"/>
      <c r="G384" s="99"/>
      <c r="H384" s="99"/>
      <c r="I384" s="97"/>
      <c r="J384" s="98"/>
      <c r="K384" s="98"/>
      <c r="L384" s="98"/>
      <c r="M384" s="98"/>
      <c r="N384" s="98"/>
      <c r="O384" s="99"/>
      <c r="P384" s="99"/>
      <c r="Q384" s="97"/>
      <c r="R384" s="98"/>
      <c r="S384" s="98"/>
      <c r="T384" s="98"/>
      <c r="U384" s="98"/>
      <c r="V384" s="98"/>
      <c r="W384" s="99"/>
      <c r="X384" s="99"/>
      <c r="Y384" s="97"/>
      <c r="Z384" s="98"/>
      <c r="AA384" s="98"/>
      <c r="AB384" s="98"/>
      <c r="AC384" s="98"/>
      <c r="AD384" s="98"/>
      <c r="AE384" s="99"/>
      <c r="AF384" s="99"/>
      <c r="AG384" s="97"/>
      <c r="AH384" s="98"/>
      <c r="AI384" s="98"/>
      <c r="AJ384" s="98"/>
      <c r="AK384" s="98"/>
      <c r="AL384" s="98"/>
      <c r="AM384" s="99"/>
      <c r="AN384" s="99"/>
      <c r="AO384" s="97"/>
      <c r="AP384" s="98"/>
      <c r="AQ384" s="98"/>
      <c r="AR384" s="98"/>
      <c r="AS384" s="98"/>
      <c r="AT384" s="98"/>
      <c r="AU384" s="99"/>
      <c r="AV384" s="99"/>
      <c r="AW384" s="97"/>
      <c r="AX384" s="98"/>
      <c r="AY384" s="98"/>
      <c r="AZ384" s="98"/>
      <c r="BA384" s="98"/>
      <c r="BB384" s="98"/>
      <c r="BC384" s="99"/>
      <c r="BD384" s="99"/>
      <c r="BE384" s="97"/>
      <c r="BF384" s="98"/>
      <c r="BG384" s="98"/>
      <c r="BH384" s="98"/>
      <c r="BI384" s="98"/>
      <c r="BJ384" s="98"/>
      <c r="BK384" s="99"/>
      <c r="BL384" s="99"/>
      <c r="BM384" s="97"/>
      <c r="BN384" s="98"/>
      <c r="BO384" s="98"/>
      <c r="BP384" s="98"/>
      <c r="BQ384" s="98"/>
      <c r="BR384" s="98"/>
      <c r="BS384" s="99"/>
      <c r="BT384" s="99"/>
    </row>
    <row r="385" spans="1:72">
      <c r="A385" s="97"/>
      <c r="B385" s="98"/>
      <c r="C385" s="98"/>
      <c r="D385" s="98"/>
      <c r="E385" s="98"/>
      <c r="F385" s="98"/>
      <c r="G385" s="99"/>
      <c r="H385" s="99"/>
      <c r="I385" s="97"/>
      <c r="J385" s="98"/>
      <c r="K385" s="98"/>
      <c r="L385" s="98"/>
      <c r="M385" s="98"/>
      <c r="N385" s="98"/>
      <c r="O385" s="99"/>
      <c r="P385" s="99"/>
      <c r="Q385" s="97"/>
      <c r="R385" s="98"/>
      <c r="S385" s="98"/>
      <c r="T385" s="98"/>
      <c r="U385" s="98"/>
      <c r="V385" s="98"/>
      <c r="W385" s="99"/>
      <c r="X385" s="99"/>
      <c r="Y385" s="97"/>
      <c r="Z385" s="98"/>
      <c r="AA385" s="98"/>
      <c r="AB385" s="98"/>
      <c r="AC385" s="98"/>
      <c r="AD385" s="98"/>
      <c r="AE385" s="99"/>
      <c r="AF385" s="99"/>
      <c r="AG385" s="97"/>
      <c r="AH385" s="98"/>
      <c r="AI385" s="98"/>
      <c r="AJ385" s="98"/>
      <c r="AK385" s="98"/>
      <c r="AL385" s="98"/>
      <c r="AM385" s="99"/>
      <c r="AN385" s="99"/>
      <c r="AO385" s="97"/>
      <c r="AP385" s="98"/>
      <c r="AQ385" s="98"/>
      <c r="AR385" s="98"/>
      <c r="AS385" s="98"/>
      <c r="AT385" s="98"/>
      <c r="AU385" s="99"/>
      <c r="AV385" s="99"/>
      <c r="AW385" s="97"/>
      <c r="AX385" s="98"/>
      <c r="AY385" s="98"/>
      <c r="AZ385" s="98"/>
      <c r="BA385" s="98"/>
      <c r="BB385" s="98"/>
      <c r="BC385" s="99"/>
      <c r="BD385" s="99"/>
      <c r="BE385" s="97"/>
      <c r="BF385" s="98"/>
      <c r="BG385" s="98"/>
      <c r="BH385" s="98"/>
      <c r="BI385" s="98"/>
      <c r="BJ385" s="98"/>
      <c r="BK385" s="99"/>
      <c r="BL385" s="99"/>
      <c r="BM385" s="97"/>
      <c r="BN385" s="98"/>
      <c r="BO385" s="98"/>
      <c r="BP385" s="98"/>
      <c r="BQ385" s="98"/>
      <c r="BR385" s="98"/>
      <c r="BS385" s="99"/>
      <c r="BT385" s="99"/>
    </row>
    <row r="386" spans="1:72">
      <c r="A386" s="97"/>
      <c r="B386" s="98"/>
      <c r="C386" s="98"/>
      <c r="D386" s="98"/>
      <c r="E386" s="98"/>
      <c r="F386" s="98"/>
      <c r="G386" s="99"/>
      <c r="H386" s="99"/>
      <c r="I386" s="97"/>
      <c r="J386" s="98"/>
      <c r="K386" s="98"/>
      <c r="L386" s="98"/>
      <c r="M386" s="98"/>
      <c r="N386" s="98"/>
      <c r="O386" s="99"/>
      <c r="P386" s="99"/>
      <c r="Q386" s="97"/>
      <c r="R386" s="98"/>
      <c r="S386" s="98"/>
      <c r="T386" s="98"/>
      <c r="U386" s="98"/>
      <c r="V386" s="98"/>
      <c r="W386" s="99"/>
      <c r="X386" s="99"/>
      <c r="Y386" s="97"/>
      <c r="Z386" s="98"/>
      <c r="AA386" s="98"/>
      <c r="AB386" s="98"/>
      <c r="AC386" s="98"/>
      <c r="AD386" s="98"/>
      <c r="AE386" s="99"/>
      <c r="AF386" s="99"/>
      <c r="AG386" s="97"/>
      <c r="AH386" s="98"/>
      <c r="AI386" s="98"/>
      <c r="AJ386" s="98"/>
      <c r="AK386" s="98"/>
      <c r="AL386" s="98"/>
      <c r="AM386" s="99"/>
      <c r="AN386" s="99"/>
      <c r="AO386" s="97"/>
      <c r="AP386" s="98"/>
      <c r="AQ386" s="98"/>
      <c r="AR386" s="98"/>
      <c r="AS386" s="98"/>
      <c r="AT386" s="98"/>
      <c r="AU386" s="99"/>
      <c r="AV386" s="99"/>
      <c r="AW386" s="97"/>
      <c r="AX386" s="98"/>
      <c r="AY386" s="98"/>
      <c r="AZ386" s="98"/>
      <c r="BA386" s="98"/>
      <c r="BB386" s="98"/>
      <c r="BC386" s="99"/>
      <c r="BD386" s="99"/>
      <c r="BE386" s="97"/>
      <c r="BF386" s="98"/>
      <c r="BG386" s="98"/>
      <c r="BH386" s="98"/>
      <c r="BI386" s="98"/>
      <c r="BJ386" s="98"/>
      <c r="BK386" s="99"/>
      <c r="BL386" s="99"/>
      <c r="BM386" s="97"/>
      <c r="BN386" s="98"/>
      <c r="BO386" s="98"/>
      <c r="BP386" s="98"/>
      <c r="BQ386" s="98"/>
      <c r="BR386" s="98"/>
      <c r="BS386" s="99"/>
      <c r="BT386" s="99"/>
    </row>
    <row r="387" spans="1:72">
      <c r="A387" s="97"/>
      <c r="B387" s="98"/>
      <c r="C387" s="98"/>
      <c r="D387" s="98"/>
      <c r="E387" s="98"/>
      <c r="F387" s="98"/>
      <c r="G387" s="99"/>
      <c r="H387" s="99"/>
      <c r="I387" s="97"/>
      <c r="J387" s="98"/>
      <c r="K387" s="98"/>
      <c r="L387" s="98"/>
      <c r="M387" s="98"/>
      <c r="N387" s="98"/>
      <c r="O387" s="99"/>
      <c r="P387" s="99"/>
      <c r="Q387" s="97"/>
      <c r="R387" s="98"/>
      <c r="S387" s="98"/>
      <c r="T387" s="98"/>
      <c r="U387" s="98"/>
      <c r="V387" s="98"/>
      <c r="W387" s="99"/>
      <c r="X387" s="99"/>
      <c r="Y387" s="97"/>
      <c r="Z387" s="98"/>
      <c r="AA387" s="98"/>
      <c r="AB387" s="98"/>
      <c r="AC387" s="98"/>
      <c r="AD387" s="98"/>
      <c r="AE387" s="99"/>
      <c r="AF387" s="99"/>
      <c r="AG387" s="97"/>
      <c r="AH387" s="98"/>
      <c r="AI387" s="98"/>
      <c r="AJ387" s="98"/>
      <c r="AK387" s="98"/>
      <c r="AL387" s="98"/>
      <c r="AM387" s="99"/>
      <c r="AN387" s="99"/>
      <c r="AO387" s="97"/>
      <c r="AP387" s="98"/>
      <c r="AQ387" s="98"/>
      <c r="AR387" s="98"/>
      <c r="AS387" s="98"/>
      <c r="AT387" s="98"/>
      <c r="AU387" s="99"/>
      <c r="AV387" s="99"/>
      <c r="AW387" s="97"/>
      <c r="AX387" s="98"/>
      <c r="AY387" s="98"/>
      <c r="AZ387" s="98"/>
      <c r="BA387" s="98"/>
      <c r="BB387" s="98"/>
      <c r="BC387" s="99"/>
      <c r="BD387" s="99"/>
      <c r="BE387" s="97"/>
      <c r="BF387" s="98"/>
      <c r="BG387" s="98"/>
      <c r="BH387" s="98"/>
      <c r="BI387" s="98"/>
      <c r="BJ387" s="98"/>
      <c r="BK387" s="99"/>
      <c r="BL387" s="99"/>
      <c r="BM387" s="97"/>
      <c r="BN387" s="98"/>
      <c r="BO387" s="98"/>
      <c r="BP387" s="98"/>
      <c r="BQ387" s="98"/>
      <c r="BR387" s="98"/>
      <c r="BS387" s="99"/>
      <c r="BT387" s="99"/>
    </row>
    <row r="388" spans="1:72">
      <c r="A388" s="97"/>
      <c r="B388" s="98"/>
      <c r="C388" s="98"/>
      <c r="D388" s="98"/>
      <c r="E388" s="98"/>
      <c r="F388" s="98"/>
      <c r="G388" s="99"/>
      <c r="H388" s="99"/>
      <c r="I388" s="97"/>
      <c r="J388" s="98"/>
      <c r="K388" s="98"/>
      <c r="L388" s="98"/>
      <c r="M388" s="98"/>
      <c r="N388" s="98"/>
      <c r="O388" s="99"/>
      <c r="P388" s="99"/>
      <c r="Q388" s="97"/>
      <c r="R388" s="98"/>
      <c r="S388" s="98"/>
      <c r="T388" s="98"/>
      <c r="U388" s="98"/>
      <c r="V388" s="98"/>
      <c r="W388" s="99"/>
      <c r="X388" s="99"/>
      <c r="Y388" s="97"/>
      <c r="Z388" s="98"/>
      <c r="AA388" s="98"/>
      <c r="AB388" s="98"/>
      <c r="AC388" s="98"/>
      <c r="AD388" s="98"/>
      <c r="AE388" s="99"/>
      <c r="AF388" s="99"/>
      <c r="AG388" s="97"/>
      <c r="AH388" s="98"/>
      <c r="AI388" s="98"/>
      <c r="AJ388" s="98"/>
      <c r="AK388" s="98"/>
      <c r="AL388" s="98"/>
      <c r="AM388" s="99"/>
      <c r="AN388" s="99"/>
      <c r="AO388" s="97"/>
      <c r="AP388" s="98"/>
      <c r="AQ388" s="98"/>
      <c r="AR388" s="98"/>
      <c r="AS388" s="98"/>
      <c r="AT388" s="98"/>
      <c r="AU388" s="99"/>
      <c r="AV388" s="99"/>
      <c r="AW388" s="97"/>
      <c r="AX388" s="98"/>
      <c r="AY388" s="98"/>
      <c r="AZ388" s="98"/>
      <c r="BA388" s="98"/>
      <c r="BB388" s="98"/>
      <c r="BC388" s="99"/>
      <c r="BD388" s="99"/>
      <c r="BE388" s="97"/>
      <c r="BF388" s="98"/>
      <c r="BG388" s="98"/>
      <c r="BH388" s="98"/>
      <c r="BI388" s="98"/>
      <c r="BJ388" s="98"/>
      <c r="BK388" s="99"/>
      <c r="BL388" s="99"/>
      <c r="BM388" s="97"/>
      <c r="BN388" s="98"/>
      <c r="BO388" s="98"/>
      <c r="BP388" s="98"/>
      <c r="BQ388" s="98"/>
      <c r="BR388" s="98"/>
      <c r="BS388" s="99"/>
      <c r="BT388" s="99"/>
    </row>
    <row r="389" spans="1:72">
      <c r="A389" s="97"/>
      <c r="B389" s="98"/>
      <c r="C389" s="98"/>
      <c r="D389" s="98"/>
      <c r="E389" s="98"/>
      <c r="F389" s="98"/>
      <c r="G389" s="99"/>
      <c r="H389" s="99"/>
      <c r="I389" s="97"/>
      <c r="J389" s="98"/>
      <c r="K389" s="98"/>
      <c r="L389" s="98"/>
      <c r="M389" s="98"/>
      <c r="N389" s="98"/>
      <c r="O389" s="99"/>
      <c r="P389" s="99"/>
      <c r="Q389" s="97"/>
      <c r="R389" s="98"/>
      <c r="S389" s="98"/>
      <c r="T389" s="98"/>
      <c r="U389" s="98"/>
      <c r="V389" s="98"/>
      <c r="W389" s="99"/>
      <c r="X389" s="99"/>
      <c r="Y389" s="97"/>
      <c r="Z389" s="98"/>
      <c r="AA389" s="98"/>
      <c r="AB389" s="98"/>
      <c r="AC389" s="98"/>
      <c r="AD389" s="98"/>
      <c r="AE389" s="99"/>
      <c r="AF389" s="99"/>
      <c r="AG389" s="97"/>
      <c r="AH389" s="98"/>
      <c r="AI389" s="98"/>
      <c r="AJ389" s="98"/>
      <c r="AK389" s="98"/>
      <c r="AL389" s="98"/>
      <c r="AM389" s="99"/>
      <c r="AN389" s="99"/>
      <c r="AO389" s="97"/>
      <c r="AP389" s="98"/>
      <c r="AQ389" s="98"/>
      <c r="AR389" s="98"/>
      <c r="AS389" s="98"/>
      <c r="AT389" s="98"/>
      <c r="AU389" s="99"/>
      <c r="AV389" s="99"/>
      <c r="AW389" s="97"/>
      <c r="AX389" s="98"/>
      <c r="AY389" s="98"/>
      <c r="AZ389" s="98"/>
      <c r="BA389" s="98"/>
      <c r="BB389" s="98"/>
      <c r="BC389" s="99"/>
      <c r="BD389" s="99"/>
      <c r="BE389" s="97"/>
      <c r="BF389" s="98"/>
      <c r="BG389" s="98"/>
      <c r="BH389" s="98"/>
      <c r="BI389" s="98"/>
      <c r="BJ389" s="98"/>
      <c r="BK389" s="99"/>
      <c r="BL389" s="99"/>
      <c r="BM389" s="97"/>
      <c r="BN389" s="98"/>
      <c r="BO389" s="98"/>
      <c r="BP389" s="98"/>
      <c r="BQ389" s="98"/>
      <c r="BR389" s="98"/>
      <c r="BS389" s="99"/>
      <c r="BT389" s="99"/>
    </row>
    <row r="390" spans="1:72">
      <c r="A390" s="97"/>
      <c r="B390" s="98"/>
      <c r="C390" s="98"/>
      <c r="D390" s="98"/>
      <c r="E390" s="98"/>
      <c r="F390" s="98"/>
      <c r="G390" s="99"/>
      <c r="H390" s="99"/>
      <c r="I390" s="97"/>
      <c r="J390" s="98"/>
      <c r="K390" s="98"/>
      <c r="L390" s="98"/>
      <c r="M390" s="98"/>
      <c r="N390" s="98"/>
      <c r="O390" s="99"/>
      <c r="P390" s="99"/>
      <c r="Q390" s="97"/>
      <c r="R390" s="98"/>
      <c r="S390" s="98"/>
      <c r="T390" s="98"/>
      <c r="U390" s="98"/>
      <c r="V390" s="98"/>
      <c r="W390" s="99"/>
      <c r="X390" s="99"/>
      <c r="Y390" s="97"/>
      <c r="Z390" s="98"/>
      <c r="AA390" s="98"/>
      <c r="AB390" s="98"/>
      <c r="AC390" s="98"/>
      <c r="AD390" s="98"/>
      <c r="AE390" s="99"/>
      <c r="AF390" s="99"/>
      <c r="AG390" s="97"/>
      <c r="AH390" s="98"/>
      <c r="AI390" s="98"/>
      <c r="AJ390" s="98"/>
      <c r="AK390" s="98"/>
      <c r="AL390" s="98"/>
      <c r="AM390" s="99"/>
      <c r="AN390" s="99"/>
      <c r="AO390" s="97"/>
      <c r="AP390" s="98"/>
      <c r="AQ390" s="98"/>
      <c r="AR390" s="98"/>
      <c r="AS390" s="98"/>
      <c r="AT390" s="98"/>
      <c r="AU390" s="99"/>
      <c r="AV390" s="99"/>
      <c r="AW390" s="97"/>
      <c r="AX390" s="98"/>
      <c r="AY390" s="98"/>
      <c r="AZ390" s="98"/>
      <c r="BA390" s="98"/>
      <c r="BB390" s="98"/>
      <c r="BC390" s="99"/>
      <c r="BD390" s="99"/>
      <c r="BE390" s="97"/>
      <c r="BF390" s="98"/>
      <c r="BG390" s="98"/>
      <c r="BH390" s="98"/>
      <c r="BI390" s="98"/>
      <c r="BJ390" s="98"/>
      <c r="BK390" s="99"/>
      <c r="BL390" s="99"/>
      <c r="BM390" s="97"/>
      <c r="BN390" s="98"/>
      <c r="BO390" s="98"/>
      <c r="BP390" s="98"/>
      <c r="BQ390" s="98"/>
      <c r="BR390" s="98"/>
      <c r="BS390" s="99"/>
      <c r="BT390" s="99"/>
    </row>
    <row r="391" spans="1:72">
      <c r="A391" s="97"/>
      <c r="B391" s="98"/>
      <c r="C391" s="98"/>
      <c r="D391" s="98"/>
      <c r="E391" s="98"/>
      <c r="F391" s="98"/>
      <c r="G391" s="99"/>
      <c r="H391" s="99"/>
      <c r="I391" s="97"/>
      <c r="J391" s="98"/>
      <c r="K391" s="98"/>
      <c r="L391" s="98"/>
      <c r="M391" s="98"/>
      <c r="N391" s="98"/>
      <c r="O391" s="99"/>
      <c r="P391" s="99"/>
      <c r="Q391" s="97"/>
      <c r="R391" s="98"/>
      <c r="S391" s="98"/>
      <c r="T391" s="98"/>
      <c r="U391" s="98"/>
      <c r="V391" s="98"/>
      <c r="W391" s="99"/>
      <c r="X391" s="99"/>
      <c r="Y391" s="97"/>
      <c r="Z391" s="98"/>
      <c r="AA391" s="98"/>
      <c r="AB391" s="98"/>
      <c r="AC391" s="98"/>
      <c r="AD391" s="98"/>
      <c r="AE391" s="99"/>
      <c r="AF391" s="99"/>
      <c r="AG391" s="97"/>
      <c r="AH391" s="98"/>
      <c r="AI391" s="98"/>
      <c r="AJ391" s="98"/>
      <c r="AK391" s="98"/>
      <c r="AL391" s="98"/>
      <c r="AM391" s="99"/>
      <c r="AN391" s="99"/>
      <c r="AO391" s="97"/>
      <c r="AP391" s="98"/>
      <c r="AQ391" s="98"/>
      <c r="AR391" s="98"/>
      <c r="AS391" s="98"/>
      <c r="AT391" s="98"/>
      <c r="AU391" s="99"/>
      <c r="AV391" s="99"/>
      <c r="AW391" s="97"/>
      <c r="AX391" s="98"/>
      <c r="AY391" s="98"/>
      <c r="AZ391" s="98"/>
      <c r="BA391" s="98"/>
      <c r="BB391" s="98"/>
      <c r="BC391" s="99"/>
      <c r="BD391" s="99"/>
      <c r="BE391" s="97"/>
      <c r="BF391" s="98"/>
      <c r="BG391" s="98"/>
      <c r="BH391" s="98"/>
      <c r="BI391" s="98"/>
      <c r="BJ391" s="98"/>
      <c r="BK391" s="99"/>
      <c r="BL391" s="99"/>
      <c r="BM391" s="97"/>
      <c r="BN391" s="98"/>
      <c r="BO391" s="98"/>
      <c r="BP391" s="98"/>
      <c r="BQ391" s="98"/>
      <c r="BR391" s="98"/>
      <c r="BS391" s="99"/>
      <c r="BT391" s="99"/>
    </row>
    <row r="392" spans="1:72">
      <c r="A392" s="97"/>
      <c r="B392" s="98"/>
      <c r="C392" s="98"/>
      <c r="D392" s="98"/>
      <c r="E392" s="98"/>
      <c r="F392" s="98"/>
      <c r="G392" s="99"/>
      <c r="H392" s="99"/>
      <c r="I392" s="97"/>
      <c r="J392" s="98"/>
      <c r="K392" s="98"/>
      <c r="L392" s="98"/>
      <c r="M392" s="98"/>
      <c r="N392" s="98"/>
      <c r="O392" s="99"/>
      <c r="P392" s="99"/>
      <c r="Q392" s="97"/>
      <c r="R392" s="98"/>
      <c r="S392" s="98"/>
      <c r="T392" s="98"/>
      <c r="U392" s="98"/>
      <c r="V392" s="98"/>
      <c r="W392" s="99"/>
      <c r="X392" s="99"/>
      <c r="Y392" s="97"/>
      <c r="Z392" s="98"/>
      <c r="AA392" s="98"/>
      <c r="AB392" s="98"/>
      <c r="AC392" s="98"/>
      <c r="AD392" s="98"/>
      <c r="AE392" s="99"/>
      <c r="AF392" s="99"/>
      <c r="AG392" s="97"/>
      <c r="AH392" s="98"/>
      <c r="AI392" s="98"/>
      <c r="AJ392" s="98"/>
      <c r="AK392" s="98"/>
      <c r="AL392" s="98"/>
      <c r="AM392" s="99"/>
      <c r="AN392" s="99"/>
      <c r="AO392" s="97"/>
      <c r="AP392" s="98"/>
      <c r="AQ392" s="98"/>
      <c r="AR392" s="98"/>
      <c r="AS392" s="98"/>
      <c r="AT392" s="98"/>
      <c r="AU392" s="99"/>
      <c r="AV392" s="99"/>
      <c r="AW392" s="97"/>
      <c r="AX392" s="98"/>
      <c r="AY392" s="98"/>
      <c r="AZ392" s="98"/>
      <c r="BA392" s="98"/>
      <c r="BB392" s="98"/>
      <c r="BC392" s="99"/>
      <c r="BD392" s="99"/>
      <c r="BE392" s="97"/>
      <c r="BF392" s="98"/>
      <c r="BG392" s="98"/>
      <c r="BH392" s="98"/>
      <c r="BI392" s="98"/>
      <c r="BJ392" s="98"/>
      <c r="BK392" s="99"/>
      <c r="BL392" s="99"/>
      <c r="BM392" s="97"/>
      <c r="BN392" s="98"/>
      <c r="BO392" s="98"/>
      <c r="BP392" s="98"/>
      <c r="BQ392" s="98"/>
      <c r="BR392" s="98"/>
      <c r="BS392" s="99"/>
      <c r="BT392" s="99"/>
    </row>
    <row r="393" spans="1:72">
      <c r="A393" s="97"/>
      <c r="B393" s="98"/>
      <c r="C393" s="98"/>
      <c r="D393" s="98"/>
      <c r="E393" s="98"/>
      <c r="F393" s="98"/>
      <c r="G393" s="99"/>
      <c r="H393" s="99"/>
      <c r="I393" s="97"/>
      <c r="J393" s="98"/>
      <c r="K393" s="98"/>
      <c r="L393" s="98"/>
      <c r="M393" s="98"/>
      <c r="N393" s="98"/>
      <c r="O393" s="99"/>
      <c r="P393" s="99"/>
      <c r="Q393" s="97"/>
      <c r="R393" s="98"/>
      <c r="S393" s="98"/>
      <c r="T393" s="98"/>
      <c r="U393" s="98"/>
      <c r="V393" s="98"/>
      <c r="W393" s="99"/>
      <c r="X393" s="99"/>
      <c r="Y393" s="97"/>
      <c r="Z393" s="98"/>
      <c r="AA393" s="98"/>
      <c r="AB393" s="98"/>
      <c r="AC393" s="98"/>
      <c r="AD393" s="98"/>
      <c r="AE393" s="99"/>
      <c r="AF393" s="99"/>
      <c r="AG393" s="97"/>
      <c r="AH393" s="98"/>
      <c r="AI393" s="98"/>
      <c r="AJ393" s="98"/>
      <c r="AK393" s="98"/>
      <c r="AL393" s="98"/>
      <c r="AM393" s="99"/>
      <c r="AN393" s="99"/>
      <c r="AO393" s="97"/>
      <c r="AP393" s="98"/>
      <c r="AQ393" s="98"/>
      <c r="AR393" s="98"/>
      <c r="AS393" s="98"/>
      <c r="AT393" s="98"/>
      <c r="AU393" s="99"/>
      <c r="AV393" s="99"/>
      <c r="AW393" s="97"/>
      <c r="AX393" s="98"/>
      <c r="AY393" s="98"/>
      <c r="AZ393" s="98"/>
      <c r="BA393" s="98"/>
      <c r="BB393" s="98"/>
      <c r="BC393" s="99"/>
      <c r="BD393" s="99"/>
      <c r="BE393" s="97"/>
      <c r="BF393" s="98"/>
      <c r="BG393" s="98"/>
      <c r="BH393" s="98"/>
      <c r="BI393" s="98"/>
      <c r="BJ393" s="98"/>
      <c r="BK393" s="99"/>
      <c r="BL393" s="99"/>
      <c r="BM393" s="97"/>
      <c r="BN393" s="98"/>
      <c r="BO393" s="98"/>
      <c r="BP393" s="98"/>
      <c r="BQ393" s="98"/>
      <c r="BR393" s="98"/>
      <c r="BS393" s="99"/>
      <c r="BT393" s="99"/>
    </row>
    <row r="394" spans="1:72">
      <c r="A394" s="97"/>
      <c r="B394" s="98"/>
      <c r="C394" s="98"/>
      <c r="D394" s="98"/>
      <c r="E394" s="98"/>
      <c r="F394" s="98"/>
      <c r="G394" s="99"/>
      <c r="H394" s="99"/>
      <c r="I394" s="97"/>
      <c r="J394" s="98"/>
      <c r="K394" s="98"/>
      <c r="L394" s="98"/>
      <c r="M394" s="98"/>
      <c r="N394" s="98"/>
      <c r="O394" s="99"/>
      <c r="P394" s="99"/>
      <c r="Q394" s="97"/>
      <c r="R394" s="98"/>
      <c r="S394" s="98"/>
      <c r="T394" s="98"/>
      <c r="U394" s="98"/>
      <c r="V394" s="98"/>
      <c r="W394" s="99"/>
      <c r="X394" s="99"/>
      <c r="Y394" s="97"/>
      <c r="Z394" s="98"/>
      <c r="AA394" s="98"/>
      <c r="AB394" s="98"/>
      <c r="AC394" s="98"/>
      <c r="AD394" s="98"/>
      <c r="AE394" s="99"/>
      <c r="AF394" s="99"/>
      <c r="AG394" s="97"/>
      <c r="AH394" s="98"/>
      <c r="AI394" s="98"/>
      <c r="AJ394" s="98"/>
      <c r="AK394" s="98"/>
      <c r="AL394" s="98"/>
      <c r="AM394" s="99"/>
      <c r="AN394" s="99"/>
      <c r="AO394" s="97"/>
      <c r="AP394" s="98"/>
      <c r="AQ394" s="98"/>
      <c r="AR394" s="98"/>
      <c r="AS394" s="98"/>
      <c r="AT394" s="98"/>
      <c r="AU394" s="99"/>
      <c r="AV394" s="99"/>
      <c r="AW394" s="97"/>
      <c r="AX394" s="98"/>
      <c r="AY394" s="98"/>
      <c r="AZ394" s="98"/>
      <c r="BA394" s="98"/>
      <c r="BB394" s="98"/>
      <c r="BC394" s="99"/>
      <c r="BD394" s="99"/>
      <c r="BE394" s="97"/>
      <c r="BF394" s="98"/>
      <c r="BG394" s="98"/>
      <c r="BH394" s="98"/>
      <c r="BI394" s="98"/>
      <c r="BJ394" s="98"/>
      <c r="BK394" s="99"/>
      <c r="BL394" s="99"/>
      <c r="BM394" s="97"/>
      <c r="BN394" s="98"/>
      <c r="BO394" s="98"/>
      <c r="BP394" s="98"/>
      <c r="BQ394" s="98"/>
      <c r="BR394" s="98"/>
      <c r="BS394" s="99"/>
      <c r="BT394" s="99"/>
    </row>
    <row r="395" spans="1:72">
      <c r="A395" s="97"/>
      <c r="B395" s="98"/>
      <c r="C395" s="98"/>
      <c r="D395" s="98"/>
      <c r="E395" s="98"/>
      <c r="F395" s="98"/>
      <c r="G395" s="99"/>
      <c r="H395" s="99"/>
      <c r="I395" s="97"/>
      <c r="J395" s="98"/>
      <c r="K395" s="98"/>
      <c r="L395" s="98"/>
      <c r="M395" s="98"/>
      <c r="N395" s="98"/>
      <c r="O395" s="99"/>
      <c r="P395" s="99"/>
      <c r="Q395" s="97"/>
      <c r="R395" s="98"/>
      <c r="S395" s="98"/>
      <c r="T395" s="98"/>
      <c r="U395" s="98"/>
      <c r="V395" s="98"/>
      <c r="W395" s="99"/>
      <c r="X395" s="99"/>
      <c r="Y395" s="97"/>
      <c r="Z395" s="98"/>
      <c r="AA395" s="98"/>
      <c r="AB395" s="98"/>
      <c r="AC395" s="98"/>
      <c r="AD395" s="98"/>
      <c r="AE395" s="99"/>
      <c r="AF395" s="99"/>
      <c r="AG395" s="97"/>
      <c r="AH395" s="98"/>
      <c r="AI395" s="98"/>
      <c r="AJ395" s="98"/>
      <c r="AK395" s="98"/>
      <c r="AL395" s="98"/>
      <c r="AM395" s="99"/>
      <c r="AN395" s="99"/>
      <c r="AO395" s="97"/>
      <c r="AP395" s="98"/>
      <c r="AQ395" s="98"/>
      <c r="AR395" s="98"/>
      <c r="AS395" s="98"/>
      <c r="AT395" s="98"/>
      <c r="AU395" s="99"/>
      <c r="AV395" s="99"/>
      <c r="AW395" s="97"/>
      <c r="AX395" s="98"/>
      <c r="AY395" s="98"/>
      <c r="AZ395" s="98"/>
      <c r="BA395" s="98"/>
      <c r="BB395" s="98"/>
      <c r="BC395" s="99"/>
      <c r="BD395" s="99"/>
      <c r="BE395" s="97"/>
      <c r="BF395" s="98"/>
      <c r="BG395" s="98"/>
      <c r="BH395" s="98"/>
      <c r="BI395" s="98"/>
      <c r="BJ395" s="98"/>
      <c r="BK395" s="99"/>
      <c r="BL395" s="99"/>
      <c r="BM395" s="97"/>
      <c r="BN395" s="98"/>
      <c r="BO395" s="98"/>
      <c r="BP395" s="98"/>
      <c r="BQ395" s="98"/>
      <c r="BR395" s="98"/>
      <c r="BS395" s="99"/>
      <c r="BT395" s="99"/>
    </row>
    <row r="396" spans="1:72">
      <c r="A396" s="97"/>
      <c r="B396" s="98"/>
      <c r="C396" s="98"/>
      <c r="D396" s="98"/>
      <c r="E396" s="98"/>
      <c r="F396" s="98"/>
      <c r="G396" s="99"/>
      <c r="H396" s="99"/>
      <c r="I396" s="97"/>
      <c r="J396" s="98"/>
      <c r="K396" s="98"/>
      <c r="L396" s="98"/>
      <c r="M396" s="98"/>
      <c r="N396" s="98"/>
      <c r="O396" s="99"/>
      <c r="P396" s="99"/>
      <c r="Q396" s="97"/>
      <c r="R396" s="98"/>
      <c r="S396" s="98"/>
      <c r="T396" s="98"/>
      <c r="U396" s="98"/>
      <c r="V396" s="98"/>
      <c r="W396" s="99"/>
      <c r="X396" s="99"/>
      <c r="Y396" s="97"/>
      <c r="Z396" s="98"/>
      <c r="AA396" s="98"/>
      <c r="AB396" s="98"/>
      <c r="AC396" s="98"/>
      <c r="AD396" s="98"/>
      <c r="AE396" s="99"/>
      <c r="AF396" s="99"/>
      <c r="AG396" s="97"/>
      <c r="AH396" s="98"/>
      <c r="AI396" s="98"/>
      <c r="AJ396" s="98"/>
      <c r="AK396" s="98"/>
      <c r="AL396" s="98"/>
      <c r="AM396" s="99"/>
      <c r="AN396" s="99"/>
      <c r="AO396" s="97"/>
      <c r="AP396" s="98"/>
      <c r="AQ396" s="98"/>
      <c r="AR396" s="98"/>
      <c r="AS396" s="98"/>
      <c r="AT396" s="98"/>
      <c r="AU396" s="99"/>
      <c r="AV396" s="99"/>
      <c r="AW396" s="97"/>
      <c r="AX396" s="98"/>
      <c r="AY396" s="98"/>
      <c r="AZ396" s="98"/>
      <c r="BA396" s="98"/>
      <c r="BB396" s="98"/>
      <c r="BC396" s="99"/>
      <c r="BD396" s="99"/>
      <c r="BE396" s="97"/>
      <c r="BF396" s="98"/>
      <c r="BG396" s="98"/>
      <c r="BH396" s="98"/>
      <c r="BI396" s="98"/>
      <c r="BJ396" s="98"/>
      <c r="BK396" s="99"/>
      <c r="BL396" s="99"/>
      <c r="BM396" s="97"/>
      <c r="BN396" s="98"/>
      <c r="BO396" s="98"/>
      <c r="BP396" s="98"/>
      <c r="BQ396" s="98"/>
      <c r="BR396" s="98"/>
      <c r="BS396" s="99"/>
      <c r="BT396" s="99"/>
    </row>
    <row r="397" spans="1:72">
      <c r="A397" s="97"/>
      <c r="B397" s="98"/>
      <c r="C397" s="98"/>
      <c r="D397" s="98"/>
      <c r="E397" s="98"/>
      <c r="F397" s="98"/>
      <c r="G397" s="99"/>
      <c r="H397" s="99"/>
      <c r="I397" s="97"/>
      <c r="J397" s="98"/>
      <c r="K397" s="98"/>
      <c r="L397" s="98"/>
      <c r="M397" s="98"/>
      <c r="N397" s="98"/>
      <c r="O397" s="99"/>
      <c r="P397" s="99"/>
      <c r="Q397" s="97"/>
      <c r="R397" s="98"/>
      <c r="S397" s="98"/>
      <c r="T397" s="98"/>
      <c r="U397" s="98"/>
      <c r="V397" s="98"/>
      <c r="W397" s="99"/>
      <c r="X397" s="99"/>
      <c r="Y397" s="97"/>
      <c r="Z397" s="98"/>
      <c r="AA397" s="98"/>
      <c r="AB397" s="98"/>
      <c r="AC397" s="98"/>
      <c r="AD397" s="98"/>
      <c r="AE397" s="99"/>
      <c r="AF397" s="99"/>
      <c r="AG397" s="97"/>
      <c r="AH397" s="98"/>
      <c r="AI397" s="98"/>
      <c r="AJ397" s="98"/>
      <c r="AK397" s="98"/>
      <c r="AL397" s="98"/>
      <c r="AM397" s="99"/>
      <c r="AN397" s="99"/>
      <c r="AO397" s="97"/>
      <c r="AP397" s="98"/>
      <c r="AQ397" s="98"/>
      <c r="AR397" s="98"/>
      <c r="AS397" s="98"/>
      <c r="AT397" s="98"/>
      <c r="AU397" s="99"/>
      <c r="AV397" s="99"/>
      <c r="AW397" s="97"/>
      <c r="AX397" s="98"/>
      <c r="AY397" s="98"/>
      <c r="AZ397" s="98"/>
      <c r="BA397" s="98"/>
      <c r="BB397" s="98"/>
      <c r="BC397" s="99"/>
      <c r="BD397" s="99"/>
      <c r="BE397" s="97"/>
      <c r="BF397" s="98"/>
      <c r="BG397" s="98"/>
      <c r="BH397" s="98"/>
      <c r="BI397" s="98"/>
      <c r="BJ397" s="98"/>
      <c r="BK397" s="99"/>
      <c r="BL397" s="99"/>
      <c r="BM397" s="97"/>
      <c r="BN397" s="98"/>
      <c r="BO397" s="98"/>
      <c r="BP397" s="98"/>
      <c r="BQ397" s="98"/>
      <c r="BR397" s="98"/>
      <c r="BS397" s="99"/>
      <c r="BT397" s="99"/>
    </row>
    <row r="398" spans="1:72">
      <c r="A398" s="97"/>
      <c r="B398" s="98"/>
      <c r="C398" s="98"/>
      <c r="D398" s="98"/>
      <c r="E398" s="98"/>
      <c r="F398" s="98"/>
      <c r="G398" s="99"/>
      <c r="H398" s="99"/>
      <c r="I398" s="97"/>
      <c r="J398" s="98"/>
      <c r="K398" s="98"/>
      <c r="L398" s="98"/>
      <c r="M398" s="98"/>
      <c r="N398" s="98"/>
      <c r="O398" s="99"/>
      <c r="P398" s="99"/>
      <c r="Q398" s="97"/>
      <c r="R398" s="98"/>
      <c r="S398" s="98"/>
      <c r="T398" s="98"/>
      <c r="U398" s="98"/>
      <c r="V398" s="98"/>
      <c r="W398" s="99"/>
      <c r="X398" s="99"/>
      <c r="Y398" s="97"/>
      <c r="Z398" s="98"/>
      <c r="AA398" s="98"/>
      <c r="AB398" s="98"/>
      <c r="AC398" s="98"/>
      <c r="AD398" s="98"/>
      <c r="AE398" s="99"/>
      <c r="AF398" s="99"/>
      <c r="AG398" s="97"/>
      <c r="AH398" s="98"/>
      <c r="AI398" s="98"/>
      <c r="AJ398" s="98"/>
      <c r="AK398" s="98"/>
      <c r="AL398" s="98"/>
      <c r="AM398" s="99"/>
      <c r="AN398" s="99"/>
      <c r="AO398" s="97"/>
      <c r="AP398" s="98"/>
      <c r="AQ398" s="98"/>
      <c r="AR398" s="98"/>
      <c r="AS398" s="98"/>
      <c r="AT398" s="98"/>
      <c r="AU398" s="99"/>
      <c r="AV398" s="99"/>
      <c r="AW398" s="97"/>
      <c r="AX398" s="98"/>
      <c r="AY398" s="98"/>
      <c r="AZ398" s="98"/>
      <c r="BA398" s="98"/>
      <c r="BB398" s="98"/>
      <c r="BC398" s="99"/>
      <c r="BD398" s="99"/>
      <c r="BE398" s="97"/>
      <c r="BF398" s="98"/>
      <c r="BG398" s="98"/>
      <c r="BH398" s="98"/>
      <c r="BI398" s="98"/>
      <c r="BJ398" s="98"/>
      <c r="BK398" s="99"/>
      <c r="BL398" s="99"/>
      <c r="BM398" s="97"/>
      <c r="BN398" s="98"/>
      <c r="BO398" s="98"/>
      <c r="BP398" s="98"/>
      <c r="BQ398" s="98"/>
      <c r="BR398" s="98"/>
      <c r="BS398" s="99"/>
      <c r="BT398" s="99"/>
    </row>
    <row r="399" spans="1:72">
      <c r="A399" s="97"/>
      <c r="B399" s="98"/>
      <c r="C399" s="98"/>
      <c r="D399" s="98"/>
      <c r="E399" s="98"/>
      <c r="F399" s="98"/>
      <c r="G399" s="99"/>
      <c r="H399" s="99"/>
      <c r="I399" s="97"/>
      <c r="J399" s="98"/>
      <c r="K399" s="98"/>
      <c r="L399" s="98"/>
      <c r="M399" s="98"/>
      <c r="N399" s="98"/>
      <c r="O399" s="99"/>
      <c r="P399" s="99"/>
      <c r="Q399" s="97"/>
      <c r="R399" s="98"/>
      <c r="S399" s="98"/>
      <c r="T399" s="98"/>
      <c r="U399" s="98"/>
      <c r="V399" s="98"/>
      <c r="W399" s="99"/>
      <c r="X399" s="99"/>
      <c r="Y399" s="97"/>
      <c r="Z399" s="98"/>
      <c r="AA399" s="98"/>
      <c r="AB399" s="98"/>
      <c r="AC399" s="98"/>
      <c r="AD399" s="98"/>
      <c r="AE399" s="99"/>
      <c r="AF399" s="99"/>
      <c r="AG399" s="97"/>
      <c r="AH399" s="98"/>
      <c r="AI399" s="98"/>
      <c r="AJ399" s="98"/>
      <c r="AK399" s="98"/>
      <c r="AL399" s="98"/>
      <c r="AM399" s="99"/>
      <c r="AN399" s="99"/>
      <c r="AO399" s="97"/>
      <c r="AP399" s="98"/>
      <c r="AQ399" s="98"/>
      <c r="AR399" s="98"/>
      <c r="AS399" s="98"/>
      <c r="AT399" s="98"/>
      <c r="AU399" s="99"/>
      <c r="AV399" s="99"/>
      <c r="AW399" s="97"/>
      <c r="AX399" s="98"/>
      <c r="AY399" s="98"/>
      <c r="AZ399" s="98"/>
      <c r="BA399" s="98"/>
      <c r="BB399" s="98"/>
      <c r="BC399" s="99"/>
      <c r="BD399" s="99"/>
      <c r="BE399" s="97"/>
      <c r="BF399" s="98"/>
      <c r="BG399" s="98"/>
      <c r="BH399" s="98"/>
      <c r="BI399" s="98"/>
      <c r="BJ399" s="98"/>
      <c r="BK399" s="99"/>
      <c r="BL399" s="99"/>
      <c r="BM399" s="97"/>
      <c r="BN399" s="98"/>
      <c r="BO399" s="98"/>
      <c r="BP399" s="98"/>
      <c r="BQ399" s="98"/>
      <c r="BR399" s="98"/>
      <c r="BS399" s="99"/>
      <c r="BT399" s="99"/>
    </row>
    <row r="400" spans="1:72">
      <c r="A400" s="97"/>
      <c r="B400" s="98"/>
      <c r="C400" s="98"/>
      <c r="D400" s="98"/>
      <c r="E400" s="98"/>
      <c r="F400" s="98"/>
      <c r="G400" s="99"/>
      <c r="H400" s="99"/>
      <c r="I400" s="97"/>
      <c r="J400" s="98"/>
      <c r="K400" s="98"/>
      <c r="L400" s="98"/>
      <c r="M400" s="98"/>
      <c r="N400" s="98"/>
      <c r="O400" s="99"/>
      <c r="P400" s="99"/>
      <c r="Q400" s="97"/>
      <c r="R400" s="98"/>
      <c r="S400" s="98"/>
      <c r="T400" s="98"/>
      <c r="U400" s="98"/>
      <c r="V400" s="98"/>
      <c r="W400" s="99"/>
      <c r="X400" s="99"/>
      <c r="Y400" s="97"/>
      <c r="Z400" s="98"/>
      <c r="AA400" s="98"/>
      <c r="AB400" s="98"/>
      <c r="AC400" s="98"/>
      <c r="AD400" s="98"/>
      <c r="AE400" s="99"/>
      <c r="AF400" s="99"/>
      <c r="AG400" s="97"/>
      <c r="AH400" s="98"/>
      <c r="AI400" s="98"/>
      <c r="AJ400" s="98"/>
      <c r="AK400" s="98"/>
      <c r="AL400" s="98"/>
      <c r="AM400" s="99"/>
      <c r="AN400" s="99"/>
      <c r="AO400" s="97"/>
      <c r="AP400" s="98"/>
      <c r="AQ400" s="98"/>
      <c r="AR400" s="98"/>
      <c r="AS400" s="98"/>
      <c r="AT400" s="98"/>
      <c r="AU400" s="99"/>
      <c r="AV400" s="99"/>
      <c r="AW400" s="97"/>
      <c r="AX400" s="98"/>
      <c r="AY400" s="98"/>
      <c r="AZ400" s="98"/>
      <c r="BA400" s="98"/>
      <c r="BB400" s="98"/>
      <c r="BC400" s="99"/>
      <c r="BD400" s="99"/>
      <c r="BE400" s="97"/>
      <c r="BF400" s="98"/>
      <c r="BG400" s="98"/>
      <c r="BH400" s="98"/>
      <c r="BI400" s="98"/>
      <c r="BJ400" s="98"/>
      <c r="BK400" s="99"/>
      <c r="BL400" s="99"/>
      <c r="BM400" s="97"/>
      <c r="BN400" s="98"/>
      <c r="BO400" s="98"/>
      <c r="BP400" s="98"/>
      <c r="BQ400" s="98"/>
      <c r="BR400" s="98"/>
      <c r="BS400" s="99"/>
      <c r="BT400" s="99"/>
    </row>
    <row r="401" spans="1:72">
      <c r="A401" s="97"/>
      <c r="B401" s="98"/>
      <c r="C401" s="98"/>
      <c r="D401" s="98"/>
      <c r="E401" s="98"/>
      <c r="F401" s="98"/>
      <c r="G401" s="99"/>
      <c r="H401" s="99"/>
      <c r="I401" s="97"/>
      <c r="J401" s="98"/>
      <c r="K401" s="98"/>
      <c r="L401" s="98"/>
      <c r="M401" s="98"/>
      <c r="N401" s="98"/>
      <c r="O401" s="99"/>
      <c r="P401" s="99"/>
      <c r="Q401" s="97"/>
      <c r="R401" s="98"/>
      <c r="S401" s="98"/>
      <c r="T401" s="98"/>
      <c r="U401" s="98"/>
      <c r="V401" s="98"/>
      <c r="W401" s="99"/>
      <c r="X401" s="99"/>
      <c r="Y401" s="97"/>
      <c r="Z401" s="98"/>
      <c r="AA401" s="98"/>
      <c r="AB401" s="98"/>
      <c r="AC401" s="98"/>
      <c r="AD401" s="98"/>
      <c r="AE401" s="99"/>
      <c r="AF401" s="99"/>
      <c r="AG401" s="97"/>
      <c r="AH401" s="98"/>
      <c r="AI401" s="98"/>
      <c r="AJ401" s="98"/>
      <c r="AK401" s="98"/>
      <c r="AL401" s="98"/>
      <c r="AM401" s="99"/>
      <c r="AN401" s="99"/>
      <c r="AO401" s="97"/>
      <c r="AP401" s="98"/>
      <c r="AQ401" s="98"/>
      <c r="AR401" s="98"/>
      <c r="AS401" s="98"/>
      <c r="AT401" s="98"/>
      <c r="AU401" s="99"/>
      <c r="AV401" s="99"/>
      <c r="AW401" s="97"/>
      <c r="AX401" s="98"/>
      <c r="AY401" s="98"/>
      <c r="AZ401" s="98"/>
      <c r="BA401" s="98"/>
      <c r="BB401" s="98"/>
      <c r="BC401" s="99"/>
      <c r="BD401" s="99"/>
      <c r="BE401" s="97"/>
      <c r="BF401" s="98"/>
      <c r="BG401" s="98"/>
      <c r="BH401" s="98"/>
      <c r="BI401" s="98"/>
      <c r="BJ401" s="98"/>
      <c r="BK401" s="99"/>
      <c r="BL401" s="99"/>
      <c r="BM401" s="97"/>
      <c r="BN401" s="98"/>
      <c r="BO401" s="98"/>
      <c r="BP401" s="98"/>
      <c r="BQ401" s="98"/>
      <c r="BR401" s="98"/>
      <c r="BS401" s="99"/>
      <c r="BT401" s="99"/>
    </row>
    <row r="402" spans="1:72">
      <c r="A402" s="97"/>
      <c r="B402" s="98"/>
      <c r="C402" s="98"/>
      <c r="D402" s="98"/>
      <c r="E402" s="98"/>
      <c r="F402" s="98"/>
      <c r="G402" s="99"/>
      <c r="H402" s="99"/>
      <c r="I402" s="97"/>
      <c r="J402" s="98"/>
      <c r="K402" s="98"/>
      <c r="L402" s="98"/>
      <c r="M402" s="98"/>
      <c r="N402" s="98"/>
      <c r="O402" s="99"/>
      <c r="P402" s="99"/>
      <c r="Q402" s="97"/>
      <c r="R402" s="98"/>
      <c r="S402" s="98"/>
      <c r="T402" s="98"/>
      <c r="U402" s="98"/>
      <c r="V402" s="98"/>
      <c r="W402" s="99"/>
      <c r="X402" s="99"/>
      <c r="Y402" s="97"/>
      <c r="Z402" s="98"/>
      <c r="AA402" s="98"/>
      <c r="AB402" s="98"/>
      <c r="AC402" s="98"/>
      <c r="AD402" s="98"/>
      <c r="AE402" s="99"/>
      <c r="AF402" s="99"/>
      <c r="AG402" s="97"/>
      <c r="AH402" s="98"/>
      <c r="AI402" s="98"/>
      <c r="AJ402" s="98"/>
      <c r="AK402" s="98"/>
      <c r="AL402" s="98"/>
      <c r="AM402" s="99"/>
      <c r="AN402" s="99"/>
      <c r="AO402" s="97"/>
      <c r="AP402" s="98"/>
      <c r="AQ402" s="98"/>
      <c r="AR402" s="98"/>
      <c r="AS402" s="98"/>
      <c r="AT402" s="98"/>
      <c r="AU402" s="99"/>
      <c r="AV402" s="99"/>
      <c r="AW402" s="97"/>
      <c r="AX402" s="98"/>
      <c r="AY402" s="98"/>
      <c r="AZ402" s="98"/>
      <c r="BA402" s="98"/>
      <c r="BB402" s="98"/>
      <c r="BC402" s="99"/>
      <c r="BD402" s="99"/>
      <c r="BE402" s="97"/>
      <c r="BF402" s="98"/>
      <c r="BG402" s="98"/>
      <c r="BH402" s="98"/>
      <c r="BI402" s="98"/>
      <c r="BJ402" s="98"/>
      <c r="BK402" s="99"/>
      <c r="BL402" s="99"/>
      <c r="BM402" s="97"/>
      <c r="BN402" s="98"/>
      <c r="BO402" s="98"/>
      <c r="BP402" s="98"/>
      <c r="BQ402" s="98"/>
      <c r="BR402" s="98"/>
      <c r="BS402" s="99"/>
      <c r="BT402" s="99"/>
    </row>
    <row r="403" spans="1:72">
      <c r="A403" s="97"/>
      <c r="B403" s="98"/>
      <c r="C403" s="98"/>
      <c r="D403" s="98"/>
      <c r="E403" s="98"/>
      <c r="F403" s="98"/>
      <c r="G403" s="99"/>
      <c r="H403" s="99"/>
      <c r="I403" s="97"/>
      <c r="J403" s="98"/>
      <c r="K403" s="98"/>
      <c r="L403" s="98"/>
      <c r="M403" s="98"/>
      <c r="N403" s="98"/>
      <c r="O403" s="99"/>
      <c r="P403" s="99"/>
      <c r="Q403" s="97"/>
      <c r="R403" s="98"/>
      <c r="S403" s="98"/>
      <c r="T403" s="98"/>
      <c r="U403" s="98"/>
      <c r="V403" s="98"/>
      <c r="W403" s="99"/>
      <c r="X403" s="99"/>
      <c r="Y403" s="97"/>
      <c r="Z403" s="98"/>
      <c r="AA403" s="98"/>
      <c r="AB403" s="98"/>
      <c r="AC403" s="98"/>
      <c r="AD403" s="98"/>
      <c r="AE403" s="99"/>
      <c r="AF403" s="99"/>
      <c r="AG403" s="97"/>
      <c r="AH403" s="98"/>
      <c r="AI403" s="98"/>
      <c r="AJ403" s="98"/>
      <c r="AK403" s="98"/>
      <c r="AL403" s="98"/>
      <c r="AM403" s="99"/>
      <c r="AN403" s="99"/>
      <c r="AO403" s="97"/>
      <c r="AP403" s="98"/>
      <c r="AQ403" s="98"/>
      <c r="AR403" s="98"/>
      <c r="AS403" s="98"/>
      <c r="AT403" s="98"/>
      <c r="AU403" s="99"/>
      <c r="AV403" s="99"/>
      <c r="AW403" s="97"/>
      <c r="AX403" s="98"/>
      <c r="AY403" s="98"/>
      <c r="AZ403" s="98"/>
      <c r="BA403" s="98"/>
      <c r="BB403" s="98"/>
      <c r="BC403" s="99"/>
      <c r="BD403" s="99"/>
      <c r="BE403" s="97"/>
      <c r="BF403" s="98"/>
      <c r="BG403" s="98"/>
      <c r="BH403" s="98"/>
      <c r="BI403" s="98"/>
      <c r="BJ403" s="98"/>
      <c r="BK403" s="99"/>
      <c r="BL403" s="99"/>
      <c r="BM403" s="97"/>
      <c r="BN403" s="98"/>
      <c r="BO403" s="98"/>
      <c r="BP403" s="98"/>
      <c r="BQ403" s="98"/>
      <c r="BR403" s="98"/>
      <c r="BS403" s="99"/>
      <c r="BT403" s="99"/>
    </row>
    <row r="404" spans="1:72">
      <c r="A404" s="97"/>
      <c r="B404" s="98"/>
      <c r="C404" s="98"/>
      <c r="D404" s="98"/>
      <c r="E404" s="98"/>
      <c r="F404" s="98"/>
      <c r="G404" s="99"/>
      <c r="H404" s="99"/>
      <c r="I404" s="97"/>
      <c r="J404" s="98"/>
      <c r="K404" s="98"/>
      <c r="L404" s="98"/>
      <c r="M404" s="98"/>
      <c r="N404" s="98"/>
      <c r="O404" s="99"/>
      <c r="P404" s="99"/>
      <c r="Q404" s="97"/>
      <c r="R404" s="98"/>
      <c r="S404" s="98"/>
      <c r="T404" s="98"/>
      <c r="U404" s="98"/>
      <c r="V404" s="98"/>
      <c r="W404" s="99"/>
      <c r="X404" s="99"/>
      <c r="Y404" s="97"/>
      <c r="Z404" s="98"/>
      <c r="AA404" s="98"/>
      <c r="AB404" s="98"/>
      <c r="AC404" s="98"/>
      <c r="AD404" s="98"/>
      <c r="AE404" s="99"/>
      <c r="AF404" s="99"/>
      <c r="AG404" s="97"/>
      <c r="AH404" s="98"/>
      <c r="AI404" s="98"/>
      <c r="AJ404" s="98"/>
      <c r="AK404" s="98"/>
      <c r="AL404" s="98"/>
      <c r="AM404" s="99"/>
      <c r="AN404" s="99"/>
      <c r="AO404" s="97"/>
      <c r="AP404" s="98"/>
      <c r="AQ404" s="98"/>
      <c r="AR404" s="98"/>
      <c r="AS404" s="98"/>
      <c r="AT404" s="98"/>
      <c r="AU404" s="99"/>
      <c r="AV404" s="99"/>
      <c r="AW404" s="97"/>
      <c r="AX404" s="98"/>
      <c r="AY404" s="98"/>
      <c r="AZ404" s="98"/>
      <c r="BA404" s="98"/>
      <c r="BB404" s="98"/>
      <c r="BC404" s="99"/>
      <c r="BD404" s="99"/>
      <c r="BE404" s="97"/>
      <c r="BF404" s="98"/>
      <c r="BG404" s="98"/>
      <c r="BH404" s="98"/>
      <c r="BI404" s="98"/>
      <c r="BJ404" s="98"/>
      <c r="BK404" s="99"/>
      <c r="BL404" s="99"/>
      <c r="BM404" s="97"/>
      <c r="BN404" s="98"/>
      <c r="BO404" s="98"/>
      <c r="BP404" s="98"/>
      <c r="BQ404" s="98"/>
      <c r="BR404" s="98"/>
      <c r="BS404" s="99"/>
      <c r="BT404" s="99"/>
    </row>
    <row r="405" spans="1:72">
      <c r="A405" s="97"/>
      <c r="B405" s="98"/>
      <c r="C405" s="98"/>
      <c r="D405" s="98"/>
      <c r="E405" s="98"/>
      <c r="F405" s="98"/>
      <c r="G405" s="99"/>
      <c r="H405" s="99"/>
      <c r="I405" s="97"/>
      <c r="J405" s="98"/>
      <c r="K405" s="98"/>
      <c r="L405" s="98"/>
      <c r="M405" s="98"/>
      <c r="N405" s="98"/>
      <c r="O405" s="99"/>
      <c r="P405" s="99"/>
      <c r="Q405" s="97"/>
      <c r="R405" s="98"/>
      <c r="S405" s="98"/>
      <c r="T405" s="98"/>
      <c r="U405" s="98"/>
      <c r="V405" s="98"/>
      <c r="W405" s="99"/>
      <c r="X405" s="99"/>
      <c r="Y405" s="97"/>
      <c r="Z405" s="98"/>
      <c r="AA405" s="98"/>
      <c r="AB405" s="98"/>
      <c r="AC405" s="98"/>
      <c r="AD405" s="98"/>
      <c r="AE405" s="99"/>
      <c r="AF405" s="99"/>
      <c r="AG405" s="97"/>
      <c r="AH405" s="98"/>
      <c r="AI405" s="98"/>
      <c r="AJ405" s="98"/>
      <c r="AK405" s="98"/>
      <c r="AL405" s="98"/>
      <c r="AM405" s="99"/>
      <c r="AN405" s="99"/>
      <c r="AO405" s="97"/>
      <c r="AP405" s="98"/>
      <c r="AQ405" s="98"/>
      <c r="AR405" s="98"/>
      <c r="AS405" s="98"/>
      <c r="AT405" s="98"/>
      <c r="AU405" s="99"/>
      <c r="AV405" s="99"/>
      <c r="AW405" s="97"/>
      <c r="AX405" s="98"/>
      <c r="AY405" s="98"/>
      <c r="AZ405" s="98"/>
      <c r="BA405" s="98"/>
      <c r="BB405" s="98"/>
      <c r="BC405" s="99"/>
      <c r="BD405" s="99"/>
      <c r="BE405" s="97"/>
      <c r="BF405" s="98"/>
      <c r="BG405" s="98"/>
      <c r="BH405" s="98"/>
      <c r="BI405" s="98"/>
      <c r="BJ405" s="98"/>
      <c r="BK405" s="99"/>
      <c r="BL405" s="99"/>
      <c r="BM405" s="97"/>
      <c r="BN405" s="98"/>
      <c r="BO405" s="98"/>
      <c r="BP405" s="98"/>
      <c r="BQ405" s="98"/>
      <c r="BR405" s="98"/>
      <c r="BS405" s="99"/>
      <c r="BT405" s="99"/>
    </row>
    <row r="406" spans="1:72">
      <c r="A406" s="97"/>
      <c r="B406" s="98"/>
      <c r="C406" s="98"/>
      <c r="D406" s="98"/>
      <c r="E406" s="98"/>
      <c r="F406" s="98"/>
      <c r="G406" s="99"/>
      <c r="H406" s="99"/>
      <c r="I406" s="97"/>
      <c r="J406" s="98"/>
      <c r="K406" s="98"/>
      <c r="L406" s="98"/>
      <c r="M406" s="98"/>
      <c r="N406" s="98"/>
      <c r="O406" s="99"/>
      <c r="P406" s="99"/>
      <c r="Q406" s="97"/>
      <c r="R406" s="98"/>
      <c r="S406" s="98"/>
      <c r="T406" s="98"/>
      <c r="U406" s="98"/>
      <c r="V406" s="98"/>
      <c r="W406" s="99"/>
      <c r="X406" s="99"/>
      <c r="Y406" s="97"/>
      <c r="Z406" s="98"/>
      <c r="AA406" s="98"/>
      <c r="AB406" s="98"/>
      <c r="AC406" s="98"/>
      <c r="AD406" s="98"/>
      <c r="AE406" s="99"/>
      <c r="AF406" s="99"/>
      <c r="AG406" s="97"/>
      <c r="AH406" s="98"/>
      <c r="AI406" s="98"/>
      <c r="AJ406" s="98"/>
      <c r="AK406" s="98"/>
      <c r="AL406" s="98"/>
      <c r="AM406" s="99"/>
      <c r="AN406" s="99"/>
      <c r="AO406" s="97"/>
      <c r="AP406" s="98"/>
      <c r="AQ406" s="98"/>
      <c r="AR406" s="98"/>
      <c r="AS406" s="98"/>
      <c r="AT406" s="98"/>
      <c r="AU406" s="99"/>
      <c r="AV406" s="99"/>
      <c r="AW406" s="97"/>
      <c r="AX406" s="98"/>
      <c r="AY406" s="98"/>
      <c r="AZ406" s="98"/>
      <c r="BA406" s="98"/>
      <c r="BB406" s="98"/>
      <c r="BC406" s="99"/>
      <c r="BD406" s="99"/>
      <c r="BE406" s="97"/>
      <c r="BF406" s="98"/>
      <c r="BG406" s="98"/>
      <c r="BH406" s="98"/>
      <c r="BI406" s="98"/>
      <c r="BJ406" s="98"/>
      <c r="BK406" s="99"/>
      <c r="BL406" s="99"/>
      <c r="BM406" s="97"/>
      <c r="BN406" s="98"/>
      <c r="BO406" s="98"/>
      <c r="BP406" s="98"/>
      <c r="BQ406" s="98"/>
      <c r="BR406" s="98"/>
      <c r="BS406" s="99"/>
      <c r="BT406" s="99"/>
    </row>
    <row r="407" spans="1:72">
      <c r="A407" s="97"/>
      <c r="B407" s="98"/>
      <c r="C407" s="98"/>
      <c r="D407" s="98"/>
      <c r="E407" s="98"/>
      <c r="F407" s="98"/>
      <c r="G407" s="99"/>
      <c r="H407" s="99"/>
      <c r="I407" s="97"/>
      <c r="J407" s="98"/>
      <c r="K407" s="98"/>
      <c r="L407" s="98"/>
      <c r="M407" s="98"/>
      <c r="N407" s="98"/>
      <c r="O407" s="99"/>
      <c r="P407" s="99"/>
      <c r="Q407" s="97"/>
      <c r="R407" s="98"/>
      <c r="S407" s="98"/>
      <c r="T407" s="98"/>
      <c r="U407" s="98"/>
      <c r="V407" s="98"/>
      <c r="W407" s="99"/>
      <c r="X407" s="99"/>
      <c r="Y407" s="97"/>
      <c r="Z407" s="98"/>
      <c r="AA407" s="98"/>
      <c r="AB407" s="98"/>
      <c r="AC407" s="98"/>
      <c r="AD407" s="98"/>
      <c r="AE407" s="99"/>
      <c r="AF407" s="99"/>
      <c r="AG407" s="97"/>
      <c r="AH407" s="98"/>
      <c r="AI407" s="98"/>
      <c r="AJ407" s="98"/>
      <c r="AK407" s="98"/>
      <c r="AL407" s="98"/>
      <c r="AM407" s="99"/>
      <c r="AN407" s="99"/>
      <c r="AO407" s="97"/>
      <c r="AP407" s="98"/>
      <c r="AQ407" s="98"/>
      <c r="AR407" s="98"/>
      <c r="AS407" s="98"/>
      <c r="AT407" s="98"/>
      <c r="AU407" s="99"/>
      <c r="AV407" s="99"/>
      <c r="AW407" s="97"/>
      <c r="AX407" s="98"/>
      <c r="AY407" s="98"/>
      <c r="AZ407" s="98"/>
      <c r="BA407" s="98"/>
      <c r="BB407" s="98"/>
      <c r="BC407" s="99"/>
      <c r="BD407" s="99"/>
      <c r="BE407" s="97"/>
      <c r="BF407" s="98"/>
      <c r="BG407" s="98"/>
      <c r="BH407" s="98"/>
      <c r="BI407" s="98"/>
      <c r="BJ407" s="98"/>
      <c r="BK407" s="99"/>
      <c r="BL407" s="99"/>
      <c r="BM407" s="97"/>
      <c r="BN407" s="98"/>
      <c r="BO407" s="98"/>
      <c r="BP407" s="98"/>
      <c r="BQ407" s="98"/>
      <c r="BR407" s="98"/>
      <c r="BS407" s="99"/>
      <c r="BT407" s="99"/>
    </row>
    <row r="408" spans="1:72">
      <c r="A408" s="97"/>
      <c r="B408" s="98"/>
      <c r="C408" s="98"/>
      <c r="D408" s="98"/>
      <c r="E408" s="98"/>
      <c r="F408" s="98"/>
      <c r="G408" s="99"/>
      <c r="H408" s="99"/>
      <c r="I408" s="97"/>
      <c r="J408" s="98"/>
      <c r="K408" s="98"/>
      <c r="L408" s="98"/>
      <c r="M408" s="98"/>
      <c r="N408" s="98"/>
      <c r="O408" s="99"/>
      <c r="P408" s="99"/>
      <c r="Q408" s="97"/>
      <c r="R408" s="98"/>
      <c r="S408" s="98"/>
      <c r="T408" s="98"/>
      <c r="U408" s="98"/>
      <c r="V408" s="98"/>
      <c r="W408" s="99"/>
      <c r="X408" s="99"/>
      <c r="Y408" s="97"/>
      <c r="Z408" s="98"/>
      <c r="AA408" s="98"/>
      <c r="AB408" s="98"/>
      <c r="AC408" s="98"/>
      <c r="AD408" s="98"/>
      <c r="AE408" s="99"/>
      <c r="AF408" s="99"/>
      <c r="AG408" s="97"/>
      <c r="AH408" s="98"/>
      <c r="AI408" s="98"/>
      <c r="AJ408" s="98"/>
      <c r="AK408" s="98"/>
      <c r="AL408" s="98"/>
      <c r="AM408" s="99"/>
      <c r="AN408" s="99"/>
      <c r="AO408" s="97"/>
      <c r="AP408" s="98"/>
      <c r="AQ408" s="98"/>
      <c r="AR408" s="98"/>
      <c r="AS408" s="98"/>
      <c r="AT408" s="98"/>
      <c r="AU408" s="99"/>
      <c r="AV408" s="99"/>
      <c r="AW408" s="97"/>
      <c r="AX408" s="98"/>
      <c r="AY408" s="98"/>
      <c r="AZ408" s="98"/>
      <c r="BA408" s="98"/>
      <c r="BB408" s="98"/>
      <c r="BC408" s="99"/>
      <c r="BD408" s="99"/>
      <c r="BE408" s="97"/>
      <c r="BF408" s="98"/>
      <c r="BG408" s="98"/>
      <c r="BH408" s="98"/>
      <c r="BI408" s="98"/>
      <c r="BJ408" s="98"/>
      <c r="BK408" s="99"/>
      <c r="BL408" s="99"/>
      <c r="BM408" s="97"/>
      <c r="BN408" s="98"/>
      <c r="BO408" s="98"/>
      <c r="BP408" s="98"/>
      <c r="BQ408" s="98"/>
      <c r="BR408" s="98"/>
      <c r="BS408" s="99"/>
      <c r="BT408" s="99"/>
    </row>
    <row r="409" spans="1:72">
      <c r="A409" s="97"/>
      <c r="B409" s="98"/>
      <c r="C409" s="98"/>
      <c r="D409" s="98"/>
      <c r="E409" s="98"/>
      <c r="F409" s="98"/>
      <c r="G409" s="99"/>
      <c r="H409" s="99"/>
      <c r="I409" s="97"/>
      <c r="J409" s="98"/>
      <c r="K409" s="98"/>
      <c r="L409" s="98"/>
      <c r="M409" s="98"/>
      <c r="N409" s="98"/>
      <c r="O409" s="99"/>
      <c r="P409" s="99"/>
      <c r="Q409" s="97"/>
      <c r="R409" s="98"/>
      <c r="S409" s="98"/>
      <c r="T409" s="98"/>
      <c r="U409" s="98"/>
      <c r="V409" s="98"/>
      <c r="W409" s="99"/>
      <c r="X409" s="99"/>
      <c r="Y409" s="97"/>
      <c r="Z409" s="98"/>
      <c r="AA409" s="98"/>
      <c r="AB409" s="98"/>
      <c r="AC409" s="98"/>
      <c r="AD409" s="98"/>
      <c r="AE409" s="99"/>
      <c r="AF409" s="99"/>
      <c r="AG409" s="97"/>
      <c r="AH409" s="98"/>
      <c r="AI409" s="98"/>
      <c r="AJ409" s="98"/>
      <c r="AK409" s="98"/>
      <c r="AL409" s="98"/>
      <c r="AM409" s="99"/>
      <c r="AN409" s="99"/>
      <c r="AO409" s="97"/>
      <c r="AP409" s="98"/>
      <c r="AQ409" s="98"/>
      <c r="AR409" s="98"/>
      <c r="AS409" s="98"/>
      <c r="AT409" s="98"/>
      <c r="AU409" s="99"/>
      <c r="AV409" s="99"/>
      <c r="AW409" s="97"/>
      <c r="AX409" s="98"/>
      <c r="AY409" s="98"/>
      <c r="AZ409" s="98"/>
      <c r="BA409" s="98"/>
      <c r="BB409" s="98"/>
      <c r="BC409" s="99"/>
      <c r="BD409" s="99"/>
      <c r="BE409" s="97"/>
      <c r="BF409" s="98"/>
      <c r="BG409" s="98"/>
      <c r="BH409" s="98"/>
      <c r="BI409" s="98"/>
      <c r="BJ409" s="98"/>
      <c r="BK409" s="99"/>
      <c r="BL409" s="99"/>
      <c r="BM409" s="97"/>
      <c r="BN409" s="98"/>
      <c r="BO409" s="98"/>
      <c r="BP409" s="98"/>
      <c r="BQ409" s="98"/>
      <c r="BR409" s="98"/>
      <c r="BS409" s="99"/>
      <c r="BT409" s="99"/>
    </row>
    <row r="410" spans="1:72">
      <c r="A410" s="97"/>
      <c r="B410" s="98"/>
      <c r="C410" s="98"/>
      <c r="D410" s="98"/>
      <c r="E410" s="98"/>
      <c r="F410" s="98"/>
      <c r="G410" s="99"/>
      <c r="H410" s="99"/>
      <c r="I410" s="97"/>
      <c r="J410" s="98"/>
      <c r="K410" s="98"/>
      <c r="L410" s="98"/>
      <c r="M410" s="98"/>
      <c r="N410" s="98"/>
      <c r="O410" s="99"/>
      <c r="P410" s="99"/>
      <c r="Q410" s="97"/>
      <c r="R410" s="98"/>
      <c r="S410" s="98"/>
      <c r="T410" s="98"/>
      <c r="U410" s="98"/>
      <c r="V410" s="98"/>
      <c r="W410" s="99"/>
      <c r="X410" s="99"/>
      <c r="Y410" s="97"/>
      <c r="Z410" s="98"/>
      <c r="AA410" s="98"/>
      <c r="AB410" s="98"/>
      <c r="AC410" s="98"/>
      <c r="AD410" s="98"/>
      <c r="AE410" s="99"/>
      <c r="AF410" s="99"/>
      <c r="AG410" s="97"/>
      <c r="AH410" s="98"/>
      <c r="AI410" s="98"/>
      <c r="AJ410" s="98"/>
      <c r="AK410" s="98"/>
      <c r="AL410" s="98"/>
      <c r="AM410" s="99"/>
      <c r="AN410" s="99"/>
      <c r="AO410" s="97"/>
      <c r="AP410" s="98"/>
      <c r="AQ410" s="98"/>
      <c r="AR410" s="98"/>
      <c r="AS410" s="98"/>
      <c r="AT410" s="98"/>
      <c r="AU410" s="99"/>
      <c r="AV410" s="99"/>
      <c r="AW410" s="97"/>
      <c r="AX410" s="98"/>
      <c r="AY410" s="98"/>
      <c r="AZ410" s="98"/>
      <c r="BA410" s="98"/>
      <c r="BB410" s="98"/>
      <c r="BC410" s="99"/>
      <c r="BD410" s="99"/>
      <c r="BE410" s="97"/>
      <c r="BF410" s="98"/>
      <c r="BG410" s="98"/>
      <c r="BH410" s="98"/>
      <c r="BI410" s="98"/>
      <c r="BJ410" s="98"/>
      <c r="BK410" s="99"/>
      <c r="BL410" s="99"/>
      <c r="BM410" s="97"/>
      <c r="BN410" s="98"/>
      <c r="BO410" s="98"/>
      <c r="BP410" s="98"/>
      <c r="BQ410" s="98"/>
      <c r="BR410" s="98"/>
      <c r="BS410" s="99"/>
      <c r="BT410" s="99"/>
    </row>
    <row r="411" spans="1:72">
      <c r="A411" s="97"/>
      <c r="B411" s="98"/>
      <c r="C411" s="98"/>
      <c r="D411" s="98"/>
      <c r="E411" s="98"/>
      <c r="F411" s="98"/>
      <c r="G411" s="99"/>
      <c r="H411" s="99"/>
      <c r="I411" s="97"/>
      <c r="J411" s="98"/>
      <c r="K411" s="98"/>
      <c r="L411" s="98"/>
      <c r="M411" s="98"/>
      <c r="N411" s="98"/>
      <c r="O411" s="99"/>
      <c r="P411" s="99"/>
      <c r="Q411" s="97"/>
      <c r="R411" s="98"/>
      <c r="S411" s="98"/>
      <c r="T411" s="98"/>
      <c r="U411" s="98"/>
      <c r="V411" s="98"/>
      <c r="W411" s="99"/>
      <c r="X411" s="99"/>
      <c r="Y411" s="97"/>
      <c r="Z411" s="98"/>
      <c r="AA411" s="98"/>
      <c r="AB411" s="98"/>
      <c r="AC411" s="98"/>
      <c r="AD411" s="98"/>
      <c r="AE411" s="99"/>
      <c r="AF411" s="99"/>
      <c r="AG411" s="97"/>
      <c r="AH411" s="98"/>
      <c r="AI411" s="98"/>
      <c r="AJ411" s="98"/>
      <c r="AK411" s="98"/>
      <c r="AL411" s="98"/>
      <c r="AM411" s="99"/>
      <c r="AN411" s="99"/>
      <c r="AO411" s="97"/>
      <c r="AP411" s="98"/>
      <c r="AQ411" s="98"/>
      <c r="AR411" s="98"/>
      <c r="AS411" s="98"/>
      <c r="AT411" s="98"/>
      <c r="AU411" s="99"/>
      <c r="AV411" s="99"/>
      <c r="AW411" s="97"/>
      <c r="AX411" s="98"/>
      <c r="AY411" s="98"/>
      <c r="AZ411" s="98"/>
      <c r="BA411" s="98"/>
      <c r="BB411" s="98"/>
      <c r="BC411" s="99"/>
      <c r="BD411" s="99"/>
      <c r="BE411" s="97"/>
      <c r="BF411" s="98"/>
      <c r="BG411" s="98"/>
      <c r="BH411" s="98"/>
      <c r="BI411" s="98"/>
      <c r="BJ411" s="98"/>
      <c r="BK411" s="99"/>
      <c r="BL411" s="99"/>
      <c r="BM411" s="97"/>
      <c r="BN411" s="98"/>
      <c r="BO411" s="98"/>
      <c r="BP411" s="98"/>
      <c r="BQ411" s="98"/>
      <c r="BR411" s="98"/>
      <c r="BS411" s="99"/>
      <c r="BT411" s="99"/>
    </row>
    <row r="412" spans="1:72">
      <c r="A412" s="97"/>
      <c r="B412" s="98"/>
      <c r="C412" s="98"/>
      <c r="D412" s="98"/>
      <c r="E412" s="98"/>
      <c r="F412" s="98"/>
      <c r="G412" s="99"/>
      <c r="H412" s="99"/>
      <c r="I412" s="97"/>
      <c r="J412" s="98"/>
      <c r="K412" s="98"/>
      <c r="L412" s="98"/>
      <c r="M412" s="98"/>
      <c r="N412" s="98"/>
      <c r="O412" s="99"/>
      <c r="P412" s="99"/>
      <c r="Q412" s="97"/>
      <c r="R412" s="98"/>
      <c r="S412" s="98"/>
      <c r="T412" s="98"/>
      <c r="U412" s="98"/>
      <c r="V412" s="98"/>
      <c r="W412" s="99"/>
      <c r="X412" s="99"/>
      <c r="Y412" s="97"/>
      <c r="Z412" s="98"/>
      <c r="AA412" s="98"/>
      <c r="AB412" s="98"/>
      <c r="AC412" s="98"/>
      <c r="AD412" s="98"/>
      <c r="AE412" s="99"/>
      <c r="AF412" s="99"/>
      <c r="AG412" s="97"/>
      <c r="AH412" s="98"/>
      <c r="AI412" s="98"/>
      <c r="AJ412" s="98"/>
      <c r="AK412" s="98"/>
      <c r="AL412" s="98"/>
      <c r="AM412" s="99"/>
      <c r="AN412" s="99"/>
      <c r="AO412" s="97"/>
      <c r="AP412" s="98"/>
      <c r="AQ412" s="98"/>
      <c r="AR412" s="98"/>
      <c r="AS412" s="98"/>
      <c r="AT412" s="98"/>
      <c r="AU412" s="99"/>
      <c r="AV412" s="99"/>
      <c r="AW412" s="97"/>
      <c r="AX412" s="98"/>
      <c r="AY412" s="98"/>
      <c r="AZ412" s="98"/>
      <c r="BA412" s="98"/>
      <c r="BB412" s="98"/>
      <c r="BC412" s="99"/>
      <c r="BD412" s="99"/>
      <c r="BE412" s="97"/>
      <c r="BF412" s="98"/>
      <c r="BG412" s="98"/>
      <c r="BH412" s="98"/>
      <c r="BI412" s="98"/>
      <c r="BJ412" s="98"/>
      <c r="BK412" s="99"/>
      <c r="BL412" s="99"/>
      <c r="BM412" s="97"/>
      <c r="BN412" s="98"/>
      <c r="BO412" s="98"/>
      <c r="BP412" s="98"/>
      <c r="BQ412" s="98"/>
      <c r="BR412" s="98"/>
      <c r="BS412" s="99"/>
      <c r="BT412" s="99"/>
    </row>
    <row r="413" spans="1:72">
      <c r="A413" s="97"/>
      <c r="B413" s="98"/>
      <c r="C413" s="98"/>
      <c r="D413" s="98"/>
      <c r="E413" s="98"/>
      <c r="F413" s="98"/>
      <c r="G413" s="99"/>
      <c r="H413" s="99"/>
      <c r="I413" s="97"/>
      <c r="J413" s="98"/>
      <c r="K413" s="98"/>
      <c r="L413" s="98"/>
      <c r="M413" s="98"/>
      <c r="N413" s="98"/>
      <c r="O413" s="99"/>
      <c r="P413" s="99"/>
      <c r="Q413" s="97"/>
      <c r="R413" s="98"/>
      <c r="S413" s="98"/>
      <c r="T413" s="98"/>
      <c r="U413" s="98"/>
      <c r="V413" s="98"/>
      <c r="W413" s="99"/>
      <c r="X413" s="99"/>
      <c r="Y413" s="97"/>
      <c r="Z413" s="98"/>
      <c r="AA413" s="98"/>
      <c r="AB413" s="98"/>
      <c r="AC413" s="98"/>
      <c r="AD413" s="98"/>
      <c r="AE413" s="99"/>
      <c r="AF413" s="99"/>
      <c r="AG413" s="97"/>
      <c r="AH413" s="98"/>
      <c r="AI413" s="98"/>
      <c r="AJ413" s="98"/>
      <c r="AK413" s="98"/>
      <c r="AL413" s="98"/>
      <c r="AM413" s="99"/>
      <c r="AN413" s="99"/>
      <c r="AO413" s="97"/>
      <c r="AP413" s="98"/>
      <c r="AQ413" s="98"/>
      <c r="AR413" s="98"/>
      <c r="AS413" s="98"/>
      <c r="AT413" s="98"/>
      <c r="AU413" s="99"/>
      <c r="AV413" s="99"/>
      <c r="AW413" s="97"/>
      <c r="AX413" s="98"/>
      <c r="AY413" s="98"/>
      <c r="AZ413" s="98"/>
      <c r="BA413" s="98"/>
      <c r="BB413" s="98"/>
      <c r="BC413" s="99"/>
      <c r="BD413" s="99"/>
      <c r="BE413" s="97"/>
      <c r="BF413" s="98"/>
      <c r="BG413" s="98"/>
      <c r="BH413" s="98"/>
      <c r="BI413" s="98"/>
      <c r="BJ413" s="98"/>
      <c r="BK413" s="99"/>
      <c r="BL413" s="99"/>
      <c r="BM413" s="97"/>
      <c r="BN413" s="98"/>
      <c r="BO413" s="98"/>
      <c r="BP413" s="98"/>
      <c r="BQ413" s="98"/>
      <c r="BR413" s="98"/>
      <c r="BS413" s="99"/>
      <c r="BT413" s="99"/>
    </row>
    <row r="414" spans="1:72">
      <c r="A414" s="97"/>
      <c r="B414" s="98"/>
      <c r="C414" s="98"/>
      <c r="D414" s="98"/>
      <c r="E414" s="98"/>
      <c r="F414" s="98"/>
      <c r="G414" s="99"/>
      <c r="H414" s="99"/>
      <c r="I414" s="97"/>
      <c r="J414" s="98"/>
      <c r="K414" s="98"/>
      <c r="L414" s="98"/>
      <c r="M414" s="98"/>
      <c r="N414" s="98"/>
      <c r="O414" s="99"/>
      <c r="P414" s="99"/>
      <c r="Q414" s="97"/>
      <c r="R414" s="98"/>
      <c r="S414" s="98"/>
      <c r="T414" s="98"/>
      <c r="U414" s="98"/>
      <c r="V414" s="98"/>
      <c r="W414" s="99"/>
      <c r="X414" s="99"/>
      <c r="Y414" s="97"/>
      <c r="Z414" s="98"/>
      <c r="AA414" s="98"/>
      <c r="AB414" s="98"/>
      <c r="AC414" s="98"/>
      <c r="AD414" s="98"/>
      <c r="AE414" s="99"/>
      <c r="AF414" s="99"/>
      <c r="AG414" s="97"/>
      <c r="AH414" s="98"/>
      <c r="AI414" s="98"/>
      <c r="AJ414" s="98"/>
      <c r="AK414" s="98"/>
      <c r="AL414" s="98"/>
      <c r="AM414" s="99"/>
      <c r="AN414" s="99"/>
      <c r="AO414" s="97"/>
      <c r="AP414" s="98"/>
      <c r="AQ414" s="98"/>
      <c r="AR414" s="98"/>
      <c r="AS414" s="98"/>
      <c r="AT414" s="98"/>
      <c r="AU414" s="99"/>
      <c r="AV414" s="99"/>
      <c r="AW414" s="97"/>
      <c r="AX414" s="98"/>
      <c r="AY414" s="98"/>
      <c r="AZ414" s="98"/>
      <c r="BA414" s="98"/>
      <c r="BB414" s="98"/>
      <c r="BC414" s="99"/>
      <c r="BD414" s="99"/>
      <c r="BE414" s="97"/>
      <c r="BF414" s="98"/>
      <c r="BG414" s="98"/>
      <c r="BH414" s="98"/>
      <c r="BI414" s="98"/>
      <c r="BJ414" s="98"/>
      <c r="BK414" s="99"/>
      <c r="BL414" s="99"/>
      <c r="BM414" s="97"/>
      <c r="BN414" s="98"/>
      <c r="BO414" s="98"/>
      <c r="BP414" s="98"/>
      <c r="BQ414" s="98"/>
      <c r="BR414" s="98"/>
      <c r="BS414" s="99"/>
      <c r="BT414" s="99"/>
    </row>
    <row r="415" spans="1:72">
      <c r="A415" s="97"/>
      <c r="B415" s="98"/>
      <c r="C415" s="98"/>
      <c r="D415" s="98"/>
      <c r="E415" s="98"/>
      <c r="F415" s="98"/>
      <c r="G415" s="99"/>
      <c r="H415" s="99"/>
      <c r="I415" s="97"/>
      <c r="J415" s="98"/>
      <c r="K415" s="98"/>
      <c r="L415" s="98"/>
      <c r="M415" s="98"/>
      <c r="N415" s="98"/>
      <c r="O415" s="99"/>
      <c r="P415" s="99"/>
      <c r="Q415" s="97"/>
      <c r="R415" s="98"/>
      <c r="S415" s="98"/>
      <c r="T415" s="98"/>
      <c r="U415" s="98"/>
      <c r="V415" s="98"/>
      <c r="W415" s="99"/>
      <c r="X415" s="99"/>
      <c r="Y415" s="97"/>
      <c r="Z415" s="98"/>
      <c r="AA415" s="98"/>
      <c r="AB415" s="98"/>
      <c r="AC415" s="98"/>
      <c r="AD415" s="98"/>
      <c r="AE415" s="99"/>
      <c r="AF415" s="99"/>
      <c r="AG415" s="97"/>
      <c r="AH415" s="98"/>
      <c r="AI415" s="98"/>
      <c r="AJ415" s="98"/>
      <c r="AK415" s="98"/>
      <c r="AL415" s="98"/>
      <c r="AM415" s="99"/>
      <c r="AN415" s="99"/>
      <c r="AO415" s="97"/>
      <c r="AP415" s="98"/>
      <c r="AQ415" s="98"/>
      <c r="AR415" s="98"/>
      <c r="AS415" s="98"/>
      <c r="AT415" s="98"/>
      <c r="AU415" s="99"/>
      <c r="AV415" s="99"/>
      <c r="AW415" s="97"/>
      <c r="AX415" s="98"/>
      <c r="AY415" s="98"/>
      <c r="AZ415" s="98"/>
      <c r="BA415" s="98"/>
      <c r="BB415" s="98"/>
      <c r="BC415" s="99"/>
      <c r="BD415" s="99"/>
      <c r="BE415" s="97"/>
      <c r="BF415" s="98"/>
      <c r="BG415" s="98"/>
      <c r="BH415" s="98"/>
      <c r="BI415" s="98"/>
      <c r="BJ415" s="98"/>
      <c r="BK415" s="99"/>
      <c r="BL415" s="99"/>
      <c r="BM415" s="97"/>
      <c r="BN415" s="98"/>
      <c r="BO415" s="98"/>
      <c r="BP415" s="98"/>
      <c r="BQ415" s="98"/>
      <c r="BR415" s="98"/>
      <c r="BS415" s="99"/>
      <c r="BT415" s="99"/>
    </row>
    <row r="416" spans="1:72">
      <c r="A416" s="97"/>
      <c r="B416" s="98"/>
      <c r="C416" s="98"/>
      <c r="D416" s="98"/>
      <c r="E416" s="98"/>
      <c r="F416" s="98"/>
      <c r="G416" s="99"/>
      <c r="H416" s="99"/>
      <c r="I416" s="97"/>
      <c r="J416" s="98"/>
      <c r="K416" s="98"/>
      <c r="L416" s="98"/>
      <c r="M416" s="98"/>
      <c r="N416" s="98"/>
      <c r="O416" s="99"/>
      <c r="P416" s="99"/>
      <c r="Q416" s="97"/>
      <c r="R416" s="98"/>
      <c r="S416" s="98"/>
      <c r="T416" s="98"/>
      <c r="U416" s="98"/>
      <c r="V416" s="98"/>
      <c r="W416" s="99"/>
      <c r="X416" s="99"/>
      <c r="Y416" s="97"/>
      <c r="Z416" s="98"/>
      <c r="AA416" s="98"/>
      <c r="AB416" s="98"/>
      <c r="AC416" s="98"/>
      <c r="AD416" s="98"/>
      <c r="AE416" s="99"/>
      <c r="AF416" s="99"/>
      <c r="AG416" s="97"/>
      <c r="AH416" s="98"/>
      <c r="AI416" s="98"/>
      <c r="AJ416" s="98"/>
      <c r="AK416" s="98"/>
      <c r="AL416" s="98"/>
      <c r="AM416" s="99"/>
      <c r="AN416" s="99"/>
      <c r="AO416" s="97"/>
      <c r="AP416" s="98"/>
      <c r="AQ416" s="98"/>
      <c r="AR416" s="98"/>
      <c r="AS416" s="98"/>
      <c r="AT416" s="98"/>
      <c r="AU416" s="99"/>
      <c r="AV416" s="99"/>
      <c r="AW416" s="97"/>
      <c r="AX416" s="98"/>
      <c r="AY416" s="98"/>
      <c r="AZ416" s="98"/>
      <c r="BA416" s="98"/>
      <c r="BB416" s="98"/>
      <c r="BC416" s="99"/>
      <c r="BD416" s="99"/>
      <c r="BE416" s="97"/>
      <c r="BF416" s="98"/>
      <c r="BG416" s="98"/>
      <c r="BH416" s="98"/>
      <c r="BI416" s="98"/>
      <c r="BJ416" s="98"/>
      <c r="BK416" s="99"/>
      <c r="BL416" s="99"/>
      <c r="BM416" s="97"/>
      <c r="BN416" s="98"/>
      <c r="BO416" s="98"/>
      <c r="BP416" s="98"/>
      <c r="BQ416" s="98"/>
      <c r="BR416" s="98"/>
      <c r="BS416" s="99"/>
      <c r="BT416" s="99"/>
    </row>
    <row r="417" spans="1:72">
      <c r="A417" s="97"/>
      <c r="B417" s="98"/>
      <c r="C417" s="98"/>
      <c r="D417" s="98"/>
      <c r="E417" s="98"/>
      <c r="F417" s="98"/>
      <c r="G417" s="99"/>
      <c r="H417" s="99"/>
      <c r="I417" s="97"/>
      <c r="J417" s="98"/>
      <c r="K417" s="98"/>
      <c r="L417" s="98"/>
      <c r="M417" s="98"/>
      <c r="N417" s="98"/>
      <c r="O417" s="99"/>
      <c r="P417" s="99"/>
      <c r="Q417" s="97"/>
      <c r="R417" s="98"/>
      <c r="S417" s="98"/>
      <c r="T417" s="98"/>
      <c r="U417" s="98"/>
      <c r="V417" s="98"/>
      <c r="W417" s="99"/>
      <c r="X417" s="99"/>
      <c r="Y417" s="97"/>
      <c r="Z417" s="98"/>
      <c r="AA417" s="98"/>
      <c r="AB417" s="98"/>
      <c r="AC417" s="98"/>
      <c r="AD417" s="98"/>
      <c r="AE417" s="99"/>
      <c r="AF417" s="99"/>
      <c r="AG417" s="97"/>
      <c r="AH417" s="98"/>
      <c r="AI417" s="98"/>
      <c r="AJ417" s="98"/>
      <c r="AK417" s="98"/>
      <c r="AL417" s="98"/>
      <c r="AM417" s="99"/>
      <c r="AN417" s="99"/>
      <c r="AO417" s="97"/>
      <c r="AP417" s="98"/>
      <c r="AQ417" s="98"/>
      <c r="AR417" s="98"/>
      <c r="AS417" s="98"/>
      <c r="AT417" s="98"/>
      <c r="AU417" s="99"/>
      <c r="AV417" s="99"/>
      <c r="AW417" s="97"/>
      <c r="AX417" s="98"/>
      <c r="AY417" s="98"/>
      <c r="AZ417" s="98"/>
      <c r="BA417" s="98"/>
      <c r="BB417" s="98"/>
      <c r="BC417" s="99"/>
      <c r="BD417" s="99"/>
      <c r="BE417" s="97"/>
      <c r="BF417" s="98"/>
      <c r="BG417" s="98"/>
      <c r="BH417" s="98"/>
      <c r="BI417" s="98"/>
      <c r="BJ417" s="98"/>
      <c r="BK417" s="99"/>
      <c r="BL417" s="99"/>
      <c r="BM417" s="97"/>
      <c r="BN417" s="98"/>
      <c r="BO417" s="98"/>
      <c r="BP417" s="98"/>
      <c r="BQ417" s="98"/>
      <c r="BR417" s="98"/>
      <c r="BS417" s="99"/>
      <c r="BT417" s="99"/>
    </row>
    <row r="418" spans="1:72">
      <c r="A418" s="97"/>
      <c r="B418" s="98"/>
      <c r="C418" s="98"/>
      <c r="D418" s="98"/>
      <c r="E418" s="98"/>
      <c r="F418" s="98"/>
      <c r="G418" s="99"/>
      <c r="H418" s="99"/>
      <c r="I418" s="97"/>
      <c r="J418" s="98"/>
      <c r="K418" s="98"/>
      <c r="L418" s="98"/>
      <c r="M418" s="98"/>
      <c r="N418" s="98"/>
      <c r="O418" s="99"/>
      <c r="P418" s="99"/>
      <c r="Q418" s="97"/>
      <c r="R418" s="98"/>
      <c r="S418" s="98"/>
      <c r="T418" s="98"/>
      <c r="U418" s="98"/>
      <c r="V418" s="98"/>
      <c r="W418" s="99"/>
      <c r="X418" s="99"/>
      <c r="Y418" s="97"/>
      <c r="Z418" s="98"/>
      <c r="AA418" s="98"/>
      <c r="AB418" s="98"/>
      <c r="AC418" s="98"/>
      <c r="AD418" s="98"/>
      <c r="AE418" s="99"/>
      <c r="AF418" s="99"/>
      <c r="AG418" s="97"/>
      <c r="AH418" s="98"/>
      <c r="AI418" s="98"/>
      <c r="AJ418" s="98"/>
      <c r="AK418" s="98"/>
      <c r="AL418" s="98"/>
      <c r="AM418" s="99"/>
      <c r="AN418" s="99"/>
      <c r="AO418" s="97"/>
      <c r="AP418" s="98"/>
      <c r="AQ418" s="98"/>
      <c r="AR418" s="98"/>
      <c r="AS418" s="98"/>
      <c r="AT418" s="98"/>
      <c r="AU418" s="99"/>
      <c r="AV418" s="99"/>
      <c r="AW418" s="97"/>
      <c r="AX418" s="98"/>
      <c r="AY418" s="98"/>
      <c r="AZ418" s="98"/>
      <c r="BA418" s="98"/>
      <c r="BB418" s="98"/>
      <c r="BC418" s="99"/>
      <c r="BD418" s="99"/>
      <c r="BE418" s="97"/>
      <c r="BF418" s="98"/>
      <c r="BG418" s="98"/>
      <c r="BH418" s="98"/>
      <c r="BI418" s="98"/>
      <c r="BJ418" s="98"/>
      <c r="BK418" s="99"/>
      <c r="BL418" s="99"/>
      <c r="BM418" s="97"/>
      <c r="BN418" s="98"/>
      <c r="BO418" s="98"/>
      <c r="BP418" s="98"/>
      <c r="BQ418" s="98"/>
      <c r="BR418" s="98"/>
      <c r="BS418" s="99"/>
      <c r="BT418" s="99"/>
    </row>
    <row r="419" spans="1:72">
      <c r="A419" s="97"/>
      <c r="B419" s="98"/>
      <c r="C419" s="98"/>
      <c r="D419" s="98"/>
      <c r="E419" s="98"/>
      <c r="F419" s="98"/>
      <c r="G419" s="99"/>
      <c r="H419" s="99"/>
      <c r="I419" s="97"/>
      <c r="J419" s="98"/>
      <c r="K419" s="98"/>
      <c r="L419" s="98"/>
      <c r="M419" s="98"/>
      <c r="N419" s="98"/>
      <c r="O419" s="99"/>
      <c r="P419" s="99"/>
      <c r="Q419" s="97"/>
      <c r="R419" s="98"/>
      <c r="S419" s="98"/>
      <c r="T419" s="98"/>
      <c r="U419" s="98"/>
      <c r="V419" s="98"/>
      <c r="W419" s="99"/>
      <c r="X419" s="99"/>
      <c r="Y419" s="97"/>
      <c r="Z419" s="98"/>
      <c r="AA419" s="98"/>
      <c r="AB419" s="98"/>
      <c r="AC419" s="98"/>
      <c r="AD419" s="98"/>
      <c r="AE419" s="99"/>
      <c r="AF419" s="99"/>
      <c r="AG419" s="97"/>
      <c r="AH419" s="98"/>
      <c r="AI419" s="98"/>
      <c r="AJ419" s="98"/>
      <c r="AK419" s="98"/>
      <c r="AL419" s="98"/>
      <c r="AM419" s="99"/>
      <c r="AN419" s="99"/>
      <c r="AO419" s="97"/>
      <c r="AP419" s="98"/>
      <c r="AQ419" s="98"/>
      <c r="AR419" s="98"/>
      <c r="AS419" s="98"/>
      <c r="AT419" s="98"/>
      <c r="AU419" s="99"/>
      <c r="AV419" s="99"/>
      <c r="AW419" s="97"/>
      <c r="AX419" s="98"/>
      <c r="AY419" s="98"/>
      <c r="AZ419" s="98"/>
      <c r="BA419" s="98"/>
      <c r="BB419" s="98"/>
      <c r="BC419" s="99"/>
      <c r="BD419" s="99"/>
      <c r="BE419" s="97"/>
      <c r="BF419" s="98"/>
      <c r="BG419" s="98"/>
      <c r="BH419" s="98"/>
      <c r="BI419" s="98"/>
      <c r="BJ419" s="98"/>
      <c r="BK419" s="99"/>
      <c r="BL419" s="99"/>
      <c r="BM419" s="97"/>
      <c r="BN419" s="98"/>
      <c r="BO419" s="98"/>
      <c r="BP419" s="98"/>
      <c r="BQ419" s="98"/>
      <c r="BR419" s="98"/>
      <c r="BS419" s="99"/>
      <c r="BT419" s="99"/>
    </row>
    <row r="420" spans="1:72">
      <c r="A420" s="97"/>
      <c r="B420" s="98"/>
      <c r="C420" s="98"/>
      <c r="D420" s="98"/>
      <c r="E420" s="98"/>
      <c r="F420" s="98"/>
      <c r="G420" s="99"/>
      <c r="H420" s="99"/>
      <c r="I420" s="97"/>
      <c r="J420" s="98"/>
      <c r="K420" s="98"/>
      <c r="L420" s="98"/>
      <c r="M420" s="98"/>
      <c r="N420" s="98"/>
      <c r="O420" s="99"/>
      <c r="P420" s="99"/>
      <c r="Q420" s="97"/>
      <c r="R420" s="98"/>
      <c r="S420" s="98"/>
      <c r="T420" s="98"/>
      <c r="U420" s="98"/>
      <c r="V420" s="98"/>
      <c r="W420" s="99"/>
      <c r="X420" s="99"/>
      <c r="Y420" s="97"/>
      <c r="Z420" s="98"/>
      <c r="AA420" s="98"/>
      <c r="AB420" s="98"/>
      <c r="AC420" s="98"/>
      <c r="AD420" s="98"/>
      <c r="AE420" s="99"/>
      <c r="AF420" s="99"/>
      <c r="AG420" s="97"/>
      <c r="AH420" s="98"/>
      <c r="AI420" s="98"/>
      <c r="AJ420" s="98"/>
      <c r="AK420" s="98"/>
      <c r="AL420" s="98"/>
      <c r="AM420" s="99"/>
      <c r="AN420" s="99"/>
      <c r="AO420" s="97"/>
      <c r="AP420" s="98"/>
      <c r="AQ420" s="98"/>
      <c r="AR420" s="98"/>
      <c r="AS420" s="98"/>
      <c r="AT420" s="98"/>
      <c r="AU420" s="99"/>
      <c r="AV420" s="99"/>
      <c r="AW420" s="97"/>
      <c r="AX420" s="98"/>
      <c r="AY420" s="98"/>
      <c r="AZ420" s="98"/>
      <c r="BA420" s="98"/>
      <c r="BB420" s="98"/>
      <c r="BC420" s="99"/>
      <c r="BD420" s="99"/>
      <c r="BE420" s="97"/>
      <c r="BF420" s="98"/>
      <c r="BG420" s="98"/>
      <c r="BH420" s="98"/>
      <c r="BI420" s="98"/>
      <c r="BJ420" s="98"/>
      <c r="BK420" s="99"/>
      <c r="BL420" s="99"/>
      <c r="BM420" s="97"/>
      <c r="BN420" s="98"/>
      <c r="BO420" s="98"/>
      <c r="BP420" s="98"/>
      <c r="BQ420" s="98"/>
      <c r="BR420" s="98"/>
      <c r="BS420" s="99"/>
      <c r="BT420" s="99"/>
    </row>
    <row r="421" spans="1:72">
      <c r="A421" s="97"/>
      <c r="B421" s="98"/>
      <c r="C421" s="98"/>
      <c r="D421" s="98"/>
      <c r="E421" s="98"/>
      <c r="F421" s="98"/>
      <c r="G421" s="99"/>
      <c r="H421" s="99"/>
      <c r="I421" s="97"/>
      <c r="J421" s="98"/>
      <c r="K421" s="98"/>
      <c r="L421" s="98"/>
      <c r="M421" s="98"/>
      <c r="N421" s="98"/>
      <c r="O421" s="99"/>
      <c r="P421" s="99"/>
      <c r="Q421" s="97"/>
      <c r="R421" s="98"/>
      <c r="S421" s="98"/>
      <c r="T421" s="98"/>
      <c r="U421" s="98"/>
      <c r="V421" s="98"/>
      <c r="W421" s="99"/>
      <c r="X421" s="99"/>
      <c r="Y421" s="97"/>
      <c r="Z421" s="98"/>
      <c r="AA421" s="98"/>
      <c r="AB421" s="98"/>
      <c r="AC421" s="98"/>
      <c r="AD421" s="98"/>
      <c r="AE421" s="99"/>
      <c r="AF421" s="99"/>
      <c r="AG421" s="97"/>
      <c r="AH421" s="98"/>
      <c r="AI421" s="98"/>
      <c r="AJ421" s="98"/>
      <c r="AK421" s="98"/>
      <c r="AL421" s="98"/>
      <c r="AM421" s="99"/>
      <c r="AN421" s="99"/>
      <c r="AO421" s="97"/>
      <c r="AP421" s="98"/>
      <c r="AQ421" s="98"/>
      <c r="AR421" s="98"/>
      <c r="AS421" s="98"/>
      <c r="AT421" s="98"/>
      <c r="AU421" s="99"/>
      <c r="AV421" s="99"/>
      <c r="AW421" s="97"/>
      <c r="AX421" s="98"/>
      <c r="AY421" s="98"/>
      <c r="AZ421" s="98"/>
      <c r="BA421" s="98"/>
      <c r="BB421" s="98"/>
      <c r="BC421" s="99"/>
      <c r="BD421" s="99"/>
      <c r="BE421" s="97"/>
      <c r="BF421" s="98"/>
      <c r="BG421" s="98"/>
      <c r="BH421" s="98"/>
      <c r="BI421" s="98"/>
      <c r="BJ421" s="98"/>
      <c r="BK421" s="99"/>
      <c r="BL421" s="99"/>
      <c r="BM421" s="97"/>
      <c r="BN421" s="98"/>
      <c r="BO421" s="98"/>
      <c r="BP421" s="98"/>
      <c r="BQ421" s="98"/>
      <c r="BR421" s="98"/>
      <c r="BS421" s="99"/>
      <c r="BT421" s="99"/>
    </row>
    <row r="422" spans="1:72">
      <c r="A422" s="97"/>
      <c r="B422" s="98"/>
      <c r="C422" s="98"/>
      <c r="D422" s="98"/>
      <c r="E422" s="98"/>
      <c r="F422" s="98"/>
      <c r="G422" s="99"/>
      <c r="H422" s="99"/>
      <c r="I422" s="97"/>
      <c r="J422" s="98"/>
      <c r="K422" s="98"/>
      <c r="L422" s="98"/>
      <c r="M422" s="98"/>
      <c r="N422" s="98"/>
      <c r="O422" s="99"/>
      <c r="P422" s="99"/>
      <c r="Q422" s="97"/>
      <c r="R422" s="98"/>
      <c r="S422" s="98"/>
      <c r="T422" s="98"/>
      <c r="U422" s="98"/>
      <c r="V422" s="98"/>
      <c r="W422" s="99"/>
      <c r="X422" s="99"/>
      <c r="Y422" s="97"/>
      <c r="Z422" s="98"/>
      <c r="AA422" s="98"/>
      <c r="AB422" s="98"/>
      <c r="AC422" s="98"/>
      <c r="AD422" s="98"/>
      <c r="AE422" s="99"/>
      <c r="AF422" s="99"/>
      <c r="AG422" s="97"/>
      <c r="AH422" s="98"/>
      <c r="AI422" s="98"/>
      <c r="AJ422" s="98"/>
      <c r="AK422" s="98"/>
      <c r="AL422" s="98"/>
      <c r="AM422" s="99"/>
      <c r="AN422" s="99"/>
      <c r="AO422" s="97"/>
      <c r="AP422" s="98"/>
      <c r="AQ422" s="98"/>
      <c r="AR422" s="98"/>
      <c r="AS422" s="98"/>
      <c r="AT422" s="98"/>
      <c r="AU422" s="99"/>
      <c r="AV422" s="99"/>
      <c r="AW422" s="97"/>
      <c r="AX422" s="98"/>
      <c r="AY422" s="98"/>
      <c r="AZ422" s="98"/>
      <c r="BA422" s="98"/>
      <c r="BB422" s="98"/>
      <c r="BC422" s="99"/>
      <c r="BD422" s="99"/>
      <c r="BE422" s="97"/>
      <c r="BF422" s="98"/>
      <c r="BG422" s="98"/>
      <c r="BH422" s="98"/>
      <c r="BI422" s="98"/>
      <c r="BJ422" s="98"/>
      <c r="BK422" s="99"/>
      <c r="BL422" s="99"/>
      <c r="BM422" s="97"/>
      <c r="BN422" s="98"/>
      <c r="BO422" s="98"/>
      <c r="BP422" s="98"/>
      <c r="BQ422" s="98"/>
      <c r="BR422" s="98"/>
      <c r="BS422" s="99"/>
      <c r="BT422" s="99"/>
    </row>
    <row r="423" spans="1:72">
      <c r="A423" s="97"/>
      <c r="B423" s="98"/>
      <c r="C423" s="98"/>
      <c r="D423" s="98"/>
      <c r="E423" s="98"/>
      <c r="F423" s="98"/>
      <c r="G423" s="99"/>
      <c r="H423" s="99"/>
      <c r="I423" s="97"/>
      <c r="J423" s="98"/>
      <c r="K423" s="98"/>
      <c r="L423" s="98"/>
      <c r="M423" s="98"/>
      <c r="N423" s="98"/>
      <c r="O423" s="99"/>
      <c r="P423" s="99"/>
      <c r="Q423" s="97"/>
      <c r="R423" s="98"/>
      <c r="S423" s="98"/>
      <c r="T423" s="98"/>
      <c r="U423" s="98"/>
      <c r="V423" s="98"/>
      <c r="W423" s="99"/>
      <c r="X423" s="99"/>
      <c r="Y423" s="97"/>
      <c r="Z423" s="98"/>
      <c r="AA423" s="98"/>
      <c r="AB423" s="98"/>
      <c r="AC423" s="98"/>
      <c r="AD423" s="98"/>
      <c r="AE423" s="99"/>
      <c r="AF423" s="99"/>
      <c r="AG423" s="97"/>
      <c r="AH423" s="98"/>
      <c r="AI423" s="98"/>
      <c r="AJ423" s="98"/>
      <c r="AK423" s="98"/>
      <c r="AL423" s="98"/>
      <c r="AM423" s="99"/>
      <c r="AN423" s="99"/>
      <c r="AO423" s="97"/>
      <c r="AP423" s="98"/>
      <c r="AQ423" s="98"/>
      <c r="AR423" s="98"/>
      <c r="AS423" s="98"/>
      <c r="AT423" s="98"/>
      <c r="AU423" s="99"/>
      <c r="AV423" s="99"/>
      <c r="AW423" s="97"/>
      <c r="AX423" s="98"/>
      <c r="AY423" s="98"/>
      <c r="AZ423" s="98"/>
      <c r="BA423" s="98"/>
      <c r="BB423" s="98"/>
      <c r="BC423" s="99"/>
      <c r="BD423" s="99"/>
      <c r="BE423" s="97"/>
      <c r="BF423" s="98"/>
      <c r="BG423" s="98"/>
      <c r="BH423" s="98"/>
      <c r="BI423" s="98"/>
      <c r="BJ423" s="98"/>
      <c r="BK423" s="99"/>
      <c r="BL423" s="99"/>
      <c r="BM423" s="97"/>
      <c r="BN423" s="98"/>
      <c r="BO423" s="98"/>
      <c r="BP423" s="98"/>
      <c r="BQ423" s="98"/>
      <c r="BR423" s="98"/>
      <c r="BS423" s="99"/>
      <c r="BT423" s="99"/>
    </row>
    <row r="424" spans="1:72">
      <c r="A424" s="97"/>
      <c r="B424" s="98"/>
      <c r="C424" s="98"/>
      <c r="D424" s="98"/>
      <c r="E424" s="98"/>
      <c r="F424" s="98"/>
      <c r="G424" s="99"/>
      <c r="H424" s="99"/>
      <c r="I424" s="97"/>
      <c r="J424" s="98"/>
      <c r="K424" s="98"/>
      <c r="L424" s="98"/>
      <c r="M424" s="98"/>
      <c r="N424" s="98"/>
      <c r="O424" s="99"/>
      <c r="P424" s="99"/>
      <c r="Q424" s="97"/>
      <c r="R424" s="98"/>
      <c r="S424" s="98"/>
      <c r="T424" s="98"/>
      <c r="U424" s="98"/>
      <c r="V424" s="98"/>
      <c r="W424" s="99"/>
      <c r="X424" s="99"/>
      <c r="Y424" s="97"/>
      <c r="Z424" s="98"/>
      <c r="AA424" s="98"/>
      <c r="AB424" s="98"/>
      <c r="AC424" s="98"/>
      <c r="AD424" s="98"/>
      <c r="AE424" s="99"/>
      <c r="AF424" s="99"/>
      <c r="AG424" s="97"/>
      <c r="AH424" s="98"/>
      <c r="AI424" s="98"/>
      <c r="AJ424" s="98"/>
      <c r="AK424" s="98"/>
      <c r="AL424" s="98"/>
      <c r="AM424" s="99"/>
      <c r="AN424" s="99"/>
      <c r="AO424" s="97"/>
      <c r="AP424" s="98"/>
      <c r="AQ424" s="98"/>
      <c r="AR424" s="98"/>
      <c r="AS424" s="98"/>
      <c r="AT424" s="98"/>
      <c r="AU424" s="99"/>
      <c r="AV424" s="99"/>
      <c r="AW424" s="97"/>
      <c r="AX424" s="98"/>
      <c r="AY424" s="98"/>
      <c r="AZ424" s="98"/>
      <c r="BA424" s="98"/>
      <c r="BB424" s="98"/>
      <c r="BC424" s="99"/>
      <c r="BD424" s="99"/>
      <c r="BE424" s="97"/>
      <c r="BF424" s="98"/>
      <c r="BG424" s="98"/>
      <c r="BH424" s="98"/>
      <c r="BI424" s="98"/>
      <c r="BJ424" s="98"/>
      <c r="BK424" s="99"/>
      <c r="BL424" s="99"/>
      <c r="BM424" s="97"/>
      <c r="BN424" s="98"/>
      <c r="BO424" s="98"/>
      <c r="BP424" s="98"/>
      <c r="BQ424" s="98"/>
      <c r="BR424" s="98"/>
      <c r="BS424" s="99"/>
      <c r="BT424" s="99"/>
    </row>
    <row r="425" spans="1:72">
      <c r="A425" s="97"/>
      <c r="B425" s="98"/>
      <c r="C425" s="98"/>
      <c r="D425" s="98"/>
      <c r="E425" s="98"/>
      <c r="F425" s="98"/>
      <c r="G425" s="99"/>
      <c r="H425" s="99"/>
      <c r="I425" s="97"/>
      <c r="J425" s="98"/>
      <c r="K425" s="98"/>
      <c r="L425" s="98"/>
      <c r="M425" s="98"/>
      <c r="N425" s="98"/>
      <c r="O425" s="99"/>
      <c r="P425" s="99"/>
      <c r="Q425" s="97"/>
      <c r="R425" s="98"/>
      <c r="S425" s="98"/>
      <c r="T425" s="98"/>
      <c r="U425" s="98"/>
      <c r="V425" s="98"/>
      <c r="W425" s="99"/>
      <c r="X425" s="99"/>
      <c r="Y425" s="97"/>
      <c r="Z425" s="98"/>
      <c r="AA425" s="98"/>
      <c r="AB425" s="98"/>
      <c r="AC425" s="98"/>
      <c r="AD425" s="98"/>
      <c r="AE425" s="99"/>
      <c r="AF425" s="99"/>
      <c r="AG425" s="97"/>
      <c r="AH425" s="98"/>
      <c r="AI425" s="98"/>
      <c r="AJ425" s="98"/>
      <c r="AK425" s="98"/>
      <c r="AL425" s="98"/>
      <c r="AM425" s="99"/>
      <c r="AN425" s="99"/>
      <c r="AO425" s="97"/>
      <c r="AP425" s="98"/>
      <c r="AQ425" s="98"/>
      <c r="AR425" s="98"/>
      <c r="AS425" s="98"/>
      <c r="AT425" s="98"/>
      <c r="AU425" s="99"/>
      <c r="AV425" s="99"/>
      <c r="AW425" s="97"/>
      <c r="AX425" s="98"/>
      <c r="AY425" s="98"/>
      <c r="AZ425" s="98"/>
      <c r="BA425" s="98"/>
      <c r="BB425" s="98"/>
      <c r="BC425" s="99"/>
      <c r="BD425" s="99"/>
      <c r="BE425" s="97"/>
      <c r="BF425" s="98"/>
      <c r="BG425" s="98"/>
      <c r="BH425" s="98"/>
      <c r="BI425" s="98"/>
      <c r="BJ425" s="98"/>
      <c r="BK425" s="99"/>
      <c r="BL425" s="99"/>
      <c r="BM425" s="97"/>
      <c r="BN425" s="98"/>
      <c r="BO425" s="98"/>
      <c r="BP425" s="98"/>
      <c r="BQ425" s="98"/>
      <c r="BR425" s="98"/>
      <c r="BS425" s="99"/>
      <c r="BT425" s="99"/>
    </row>
    <row r="426" spans="1:72">
      <c r="A426" s="97"/>
      <c r="B426" s="98"/>
      <c r="C426" s="98"/>
      <c r="D426" s="98"/>
      <c r="E426" s="98"/>
      <c r="F426" s="98"/>
      <c r="G426" s="99"/>
      <c r="H426" s="99"/>
      <c r="I426" s="97"/>
      <c r="J426" s="98"/>
      <c r="K426" s="98"/>
      <c r="L426" s="98"/>
      <c r="M426" s="98"/>
      <c r="N426" s="98"/>
      <c r="O426" s="99"/>
      <c r="P426" s="99"/>
      <c r="Q426" s="97"/>
      <c r="R426" s="98"/>
      <c r="S426" s="98"/>
      <c r="T426" s="98"/>
      <c r="U426" s="98"/>
      <c r="V426" s="98"/>
      <c r="W426" s="99"/>
      <c r="X426" s="99"/>
      <c r="Y426" s="97"/>
      <c r="Z426" s="98"/>
      <c r="AA426" s="98"/>
      <c r="AB426" s="98"/>
      <c r="AC426" s="98"/>
      <c r="AD426" s="98"/>
      <c r="AE426" s="99"/>
      <c r="AF426" s="99"/>
      <c r="AG426" s="97"/>
      <c r="AH426" s="98"/>
      <c r="AI426" s="98"/>
      <c r="AJ426" s="98"/>
      <c r="AK426" s="98"/>
      <c r="AL426" s="98"/>
      <c r="AM426" s="99"/>
      <c r="AN426" s="99"/>
      <c r="AO426" s="97"/>
      <c r="AP426" s="98"/>
      <c r="AQ426" s="98"/>
      <c r="AR426" s="98"/>
      <c r="AS426" s="98"/>
      <c r="AT426" s="98"/>
      <c r="AU426" s="99"/>
      <c r="AV426" s="99"/>
      <c r="AW426" s="97"/>
      <c r="AX426" s="98"/>
      <c r="AY426" s="98"/>
      <c r="AZ426" s="98"/>
      <c r="BA426" s="98"/>
      <c r="BB426" s="98"/>
      <c r="BC426" s="99"/>
      <c r="BD426" s="99"/>
      <c r="BE426" s="97"/>
      <c r="BF426" s="98"/>
      <c r="BG426" s="98"/>
      <c r="BH426" s="98"/>
      <c r="BI426" s="98"/>
      <c r="BJ426" s="98"/>
      <c r="BK426" s="99"/>
      <c r="BL426" s="99"/>
      <c r="BM426" s="97"/>
      <c r="BN426" s="98"/>
      <c r="BO426" s="98"/>
      <c r="BP426" s="98"/>
      <c r="BQ426" s="98"/>
      <c r="BR426" s="98"/>
      <c r="BS426" s="99"/>
      <c r="BT426" s="99"/>
    </row>
    <row r="427" spans="1:72">
      <c r="A427" s="97"/>
      <c r="B427" s="98"/>
      <c r="C427" s="98"/>
      <c r="D427" s="98"/>
      <c r="E427" s="98"/>
      <c r="F427" s="98"/>
      <c r="G427" s="99"/>
      <c r="H427" s="99"/>
      <c r="I427" s="97"/>
      <c r="J427" s="98"/>
      <c r="K427" s="98"/>
      <c r="L427" s="98"/>
      <c r="M427" s="98"/>
      <c r="N427" s="98"/>
      <c r="O427" s="99"/>
      <c r="P427" s="99"/>
      <c r="Q427" s="97"/>
      <c r="R427" s="98"/>
      <c r="S427" s="98"/>
      <c r="T427" s="98"/>
      <c r="U427" s="98"/>
      <c r="V427" s="98"/>
      <c r="W427" s="99"/>
      <c r="X427" s="99"/>
      <c r="Y427" s="97"/>
      <c r="Z427" s="98"/>
      <c r="AA427" s="98"/>
      <c r="AB427" s="98"/>
      <c r="AC427" s="98"/>
      <c r="AD427" s="98"/>
      <c r="AE427" s="99"/>
      <c r="AF427" s="99"/>
      <c r="AG427" s="97"/>
      <c r="AH427" s="98"/>
      <c r="AI427" s="98"/>
      <c r="AJ427" s="98"/>
      <c r="AK427" s="98"/>
      <c r="AL427" s="98"/>
      <c r="AM427" s="99"/>
      <c r="AN427" s="99"/>
      <c r="AO427" s="97"/>
      <c r="AP427" s="98"/>
      <c r="AQ427" s="98"/>
      <c r="AR427" s="98"/>
      <c r="AS427" s="98"/>
      <c r="AT427" s="98"/>
      <c r="AU427" s="99"/>
      <c r="AV427" s="99"/>
      <c r="AW427" s="97"/>
      <c r="AX427" s="98"/>
      <c r="AY427" s="98"/>
      <c r="AZ427" s="98"/>
      <c r="BA427" s="98"/>
      <c r="BB427" s="98"/>
      <c r="BC427" s="99"/>
      <c r="BD427" s="99"/>
      <c r="BE427" s="97"/>
      <c r="BF427" s="98"/>
      <c r="BG427" s="98"/>
      <c r="BH427" s="98"/>
      <c r="BI427" s="98"/>
      <c r="BJ427" s="98"/>
      <c r="BK427" s="99"/>
      <c r="BL427" s="99"/>
      <c r="BM427" s="97"/>
      <c r="BN427" s="98"/>
      <c r="BO427" s="98"/>
      <c r="BP427" s="98"/>
      <c r="BQ427" s="98"/>
      <c r="BR427" s="98"/>
      <c r="BS427" s="99"/>
      <c r="BT427" s="99"/>
    </row>
    <row r="428" spans="1:72">
      <c r="A428" s="97"/>
      <c r="B428" s="98"/>
      <c r="C428" s="98"/>
      <c r="D428" s="98"/>
      <c r="E428" s="98"/>
      <c r="F428" s="98"/>
      <c r="G428" s="99"/>
      <c r="H428" s="99"/>
      <c r="I428" s="97"/>
      <c r="J428" s="98"/>
      <c r="K428" s="98"/>
      <c r="L428" s="98"/>
      <c r="M428" s="98"/>
      <c r="N428" s="98"/>
      <c r="O428" s="99"/>
      <c r="P428" s="99"/>
      <c r="Q428" s="97"/>
      <c r="R428" s="98"/>
      <c r="S428" s="98"/>
      <c r="T428" s="98"/>
      <c r="U428" s="98"/>
      <c r="V428" s="98"/>
      <c r="W428" s="99"/>
      <c r="X428" s="99"/>
      <c r="Y428" s="97"/>
      <c r="Z428" s="98"/>
      <c r="AA428" s="98"/>
      <c r="AB428" s="98"/>
      <c r="AC428" s="98"/>
      <c r="AD428" s="98"/>
      <c r="AE428" s="99"/>
      <c r="AF428" s="99"/>
      <c r="AG428" s="97"/>
      <c r="AH428" s="98"/>
      <c r="AI428" s="98"/>
      <c r="AJ428" s="98"/>
      <c r="AK428" s="98"/>
      <c r="AL428" s="98"/>
      <c r="AM428" s="99"/>
      <c r="AN428" s="99"/>
      <c r="AO428" s="97"/>
      <c r="AP428" s="98"/>
      <c r="AQ428" s="98"/>
      <c r="AR428" s="98"/>
      <c r="AS428" s="98"/>
      <c r="AT428" s="98"/>
      <c r="AU428" s="99"/>
      <c r="AV428" s="99"/>
      <c r="AW428" s="97"/>
      <c r="AX428" s="98"/>
      <c r="AY428" s="98"/>
      <c r="AZ428" s="98"/>
      <c r="BA428" s="98"/>
      <c r="BB428" s="98"/>
      <c r="BC428" s="99"/>
      <c r="BD428" s="99"/>
      <c r="BE428" s="97"/>
      <c r="BF428" s="98"/>
      <c r="BG428" s="98"/>
      <c r="BH428" s="98"/>
      <c r="BI428" s="98"/>
      <c r="BJ428" s="98"/>
      <c r="BK428" s="99"/>
      <c r="BL428" s="99"/>
      <c r="BM428" s="97"/>
      <c r="BN428" s="98"/>
      <c r="BO428" s="98"/>
      <c r="BP428" s="98"/>
      <c r="BQ428" s="98"/>
      <c r="BR428" s="98"/>
      <c r="BS428" s="99"/>
      <c r="BT428" s="99"/>
    </row>
    <row r="429" spans="1:72">
      <c r="A429" s="97"/>
      <c r="B429" s="98"/>
      <c r="C429" s="98"/>
      <c r="D429" s="98"/>
      <c r="E429" s="98"/>
      <c r="F429" s="98"/>
      <c r="G429" s="99"/>
      <c r="H429" s="99"/>
      <c r="I429" s="97"/>
      <c r="J429" s="98"/>
      <c r="K429" s="98"/>
      <c r="L429" s="98"/>
      <c r="M429" s="98"/>
      <c r="N429" s="98"/>
      <c r="O429" s="99"/>
      <c r="P429" s="99"/>
      <c r="Q429" s="97"/>
      <c r="R429" s="98"/>
      <c r="S429" s="98"/>
      <c r="T429" s="98"/>
      <c r="U429" s="98"/>
      <c r="V429" s="98"/>
      <c r="W429" s="99"/>
      <c r="X429" s="99"/>
      <c r="Y429" s="97"/>
      <c r="Z429" s="98"/>
      <c r="AA429" s="98"/>
      <c r="AB429" s="98"/>
      <c r="AC429" s="98"/>
      <c r="AD429" s="98"/>
      <c r="AE429" s="99"/>
      <c r="AF429" s="99"/>
      <c r="AG429" s="97"/>
      <c r="AH429" s="98"/>
      <c r="AI429" s="98"/>
      <c r="AJ429" s="98"/>
      <c r="AK429" s="98"/>
      <c r="AL429" s="98"/>
      <c r="AM429" s="99"/>
      <c r="AN429" s="99"/>
      <c r="AO429" s="97"/>
      <c r="AP429" s="98"/>
      <c r="AQ429" s="98"/>
      <c r="AR429" s="98"/>
      <c r="AS429" s="98"/>
      <c r="AT429" s="98"/>
      <c r="AU429" s="99"/>
      <c r="AV429" s="99"/>
      <c r="AW429" s="97"/>
      <c r="AX429" s="98"/>
      <c r="AY429" s="98"/>
      <c r="AZ429" s="98"/>
      <c r="BA429" s="98"/>
      <c r="BB429" s="98"/>
      <c r="BC429" s="99"/>
      <c r="BD429" s="99"/>
      <c r="BE429" s="97"/>
      <c r="BF429" s="98"/>
      <c r="BG429" s="98"/>
      <c r="BH429" s="98"/>
      <c r="BI429" s="98"/>
      <c r="BJ429" s="98"/>
      <c r="BK429" s="99"/>
      <c r="BL429" s="99"/>
      <c r="BM429" s="97"/>
      <c r="BN429" s="98"/>
      <c r="BO429" s="98"/>
      <c r="BP429" s="98"/>
      <c r="BQ429" s="98"/>
      <c r="BR429" s="98"/>
      <c r="BS429" s="99"/>
      <c r="BT429" s="99"/>
    </row>
    <row r="430" spans="1:72">
      <c r="A430" s="97"/>
      <c r="B430" s="98"/>
      <c r="C430" s="98"/>
      <c r="D430" s="98"/>
      <c r="E430" s="98"/>
      <c r="F430" s="98"/>
      <c r="G430" s="99"/>
      <c r="H430" s="99"/>
      <c r="I430" s="97"/>
      <c r="J430" s="98"/>
      <c r="K430" s="98"/>
      <c r="L430" s="98"/>
      <c r="M430" s="98"/>
      <c r="N430" s="98"/>
      <c r="O430" s="99"/>
      <c r="P430" s="99"/>
      <c r="Q430" s="97"/>
      <c r="R430" s="98"/>
      <c r="S430" s="98"/>
      <c r="T430" s="98"/>
      <c r="U430" s="98"/>
      <c r="V430" s="98"/>
      <c r="W430" s="99"/>
      <c r="X430" s="99"/>
      <c r="Y430" s="97"/>
      <c r="Z430" s="98"/>
      <c r="AA430" s="98"/>
      <c r="AB430" s="98"/>
      <c r="AC430" s="98"/>
      <c r="AD430" s="98"/>
      <c r="AE430" s="99"/>
      <c r="AF430" s="99"/>
      <c r="AG430" s="97"/>
      <c r="AH430" s="98"/>
      <c r="AI430" s="98"/>
      <c r="AJ430" s="98"/>
      <c r="AK430" s="98"/>
      <c r="AL430" s="98"/>
      <c r="AM430" s="99"/>
      <c r="AN430" s="99"/>
      <c r="AO430" s="97"/>
      <c r="AP430" s="98"/>
      <c r="AQ430" s="98"/>
      <c r="AR430" s="98"/>
      <c r="AS430" s="98"/>
      <c r="AT430" s="98"/>
      <c r="AU430" s="99"/>
      <c r="AV430" s="99"/>
      <c r="AW430" s="97"/>
      <c r="AX430" s="98"/>
      <c r="AY430" s="98"/>
      <c r="AZ430" s="98"/>
      <c r="BA430" s="98"/>
      <c r="BB430" s="98"/>
      <c r="BC430" s="99"/>
      <c r="BD430" s="99"/>
      <c r="BE430" s="97"/>
      <c r="BF430" s="98"/>
      <c r="BG430" s="98"/>
      <c r="BH430" s="98"/>
      <c r="BI430" s="98"/>
      <c r="BJ430" s="98"/>
      <c r="BK430" s="99"/>
      <c r="BL430" s="99"/>
      <c r="BM430" s="97"/>
      <c r="BN430" s="98"/>
      <c r="BO430" s="98"/>
      <c r="BP430" s="98"/>
      <c r="BQ430" s="98"/>
      <c r="BR430" s="98"/>
      <c r="BS430" s="99"/>
      <c r="BT430" s="99"/>
    </row>
    <row r="431" spans="1:72">
      <c r="A431" s="97"/>
      <c r="B431" s="98"/>
      <c r="C431" s="98"/>
      <c r="D431" s="98"/>
      <c r="E431" s="98"/>
      <c r="F431" s="98"/>
      <c r="G431" s="99"/>
      <c r="H431" s="99"/>
      <c r="I431" s="97"/>
      <c r="J431" s="98"/>
      <c r="K431" s="98"/>
      <c r="L431" s="98"/>
      <c r="M431" s="98"/>
      <c r="N431" s="98"/>
      <c r="O431" s="99"/>
      <c r="P431" s="99"/>
      <c r="Q431" s="97"/>
      <c r="R431" s="98"/>
      <c r="S431" s="98"/>
      <c r="T431" s="98"/>
      <c r="U431" s="98"/>
      <c r="V431" s="98"/>
      <c r="W431" s="99"/>
      <c r="X431" s="99"/>
      <c r="Y431" s="97"/>
      <c r="Z431" s="98"/>
      <c r="AA431" s="98"/>
      <c r="AB431" s="98"/>
      <c r="AC431" s="98"/>
      <c r="AD431" s="98"/>
      <c r="AE431" s="99"/>
      <c r="AF431" s="99"/>
      <c r="AG431" s="97"/>
      <c r="AH431" s="98"/>
      <c r="AI431" s="98"/>
      <c r="AJ431" s="98"/>
      <c r="AK431" s="98"/>
      <c r="AL431" s="98"/>
      <c r="AM431" s="99"/>
      <c r="AN431" s="99"/>
      <c r="AO431" s="97"/>
      <c r="AP431" s="98"/>
      <c r="AQ431" s="98"/>
      <c r="AR431" s="98"/>
      <c r="AS431" s="98"/>
      <c r="AT431" s="98"/>
      <c r="AU431" s="99"/>
      <c r="AV431" s="99"/>
      <c r="AW431" s="97"/>
      <c r="AX431" s="98"/>
      <c r="AY431" s="98"/>
      <c r="AZ431" s="98"/>
      <c r="BA431" s="98"/>
      <c r="BB431" s="98"/>
      <c r="BC431" s="99"/>
      <c r="BD431" s="99"/>
      <c r="BE431" s="97"/>
      <c r="BF431" s="98"/>
      <c r="BG431" s="98"/>
      <c r="BH431" s="98"/>
      <c r="BI431" s="98"/>
      <c r="BJ431" s="98"/>
      <c r="BK431" s="99"/>
      <c r="BL431" s="99"/>
      <c r="BM431" s="97"/>
      <c r="BN431" s="98"/>
      <c r="BO431" s="98"/>
      <c r="BP431" s="98"/>
      <c r="BQ431" s="98"/>
      <c r="BR431" s="98"/>
      <c r="BS431" s="99"/>
      <c r="BT431" s="99"/>
    </row>
    <row r="432" spans="1:72">
      <c r="A432" s="97"/>
      <c r="B432" s="98"/>
      <c r="C432" s="98"/>
      <c r="D432" s="98"/>
      <c r="E432" s="98"/>
      <c r="F432" s="98"/>
      <c r="G432" s="99"/>
      <c r="H432" s="99"/>
      <c r="I432" s="97"/>
      <c r="J432" s="98"/>
      <c r="K432" s="98"/>
      <c r="L432" s="98"/>
      <c r="M432" s="98"/>
      <c r="N432" s="98"/>
      <c r="O432" s="99"/>
      <c r="P432" s="99"/>
      <c r="Q432" s="97"/>
      <c r="R432" s="98"/>
      <c r="S432" s="98"/>
      <c r="T432" s="98"/>
      <c r="U432" s="98"/>
      <c r="V432" s="98"/>
      <c r="W432" s="99"/>
      <c r="X432" s="99"/>
      <c r="Y432" s="97"/>
      <c r="Z432" s="98"/>
      <c r="AA432" s="98"/>
      <c r="AB432" s="98"/>
      <c r="AC432" s="98"/>
      <c r="AD432" s="98"/>
      <c r="AE432" s="99"/>
      <c r="AF432" s="99"/>
      <c r="AG432" s="97"/>
      <c r="AH432" s="98"/>
      <c r="AI432" s="98"/>
      <c r="AJ432" s="98"/>
      <c r="AK432" s="98"/>
      <c r="AL432" s="98"/>
      <c r="AM432" s="99"/>
      <c r="AN432" s="99"/>
      <c r="AO432" s="97"/>
      <c r="AP432" s="98"/>
      <c r="AQ432" s="98"/>
      <c r="AR432" s="98"/>
      <c r="AS432" s="98"/>
      <c r="AT432" s="98"/>
      <c r="AU432" s="99"/>
      <c r="AV432" s="99"/>
      <c r="AW432" s="97"/>
      <c r="AX432" s="98"/>
      <c r="AY432" s="98"/>
      <c r="AZ432" s="98"/>
      <c r="BA432" s="98"/>
      <c r="BB432" s="98"/>
      <c r="BC432" s="99"/>
      <c r="BD432" s="99"/>
      <c r="BE432" s="97"/>
      <c r="BF432" s="98"/>
      <c r="BG432" s="98"/>
      <c r="BH432" s="98"/>
      <c r="BI432" s="98"/>
      <c r="BJ432" s="98"/>
      <c r="BK432" s="99"/>
      <c r="BL432" s="99"/>
      <c r="BM432" s="97"/>
      <c r="BN432" s="98"/>
      <c r="BO432" s="98"/>
      <c r="BP432" s="98"/>
      <c r="BQ432" s="98"/>
      <c r="BR432" s="98"/>
      <c r="BS432" s="99"/>
      <c r="BT432" s="99"/>
    </row>
    <row r="433" spans="1:72">
      <c r="A433" s="97"/>
      <c r="B433" s="98"/>
      <c r="C433" s="98"/>
      <c r="D433" s="98"/>
      <c r="E433" s="98"/>
      <c r="F433" s="98"/>
      <c r="G433" s="99"/>
      <c r="H433" s="99"/>
      <c r="I433" s="97"/>
      <c r="J433" s="98"/>
      <c r="K433" s="98"/>
      <c r="L433" s="98"/>
      <c r="M433" s="98"/>
      <c r="N433" s="98"/>
      <c r="O433" s="99"/>
      <c r="P433" s="99"/>
      <c r="Q433" s="97"/>
      <c r="R433" s="98"/>
      <c r="S433" s="98"/>
      <c r="T433" s="98"/>
      <c r="U433" s="98"/>
      <c r="V433" s="98"/>
      <c r="W433" s="99"/>
      <c r="X433" s="99"/>
      <c r="Y433" s="97"/>
      <c r="Z433" s="98"/>
      <c r="AA433" s="98"/>
      <c r="AB433" s="98"/>
      <c r="AC433" s="98"/>
      <c r="AD433" s="98"/>
      <c r="AE433" s="99"/>
      <c r="AF433" s="99"/>
      <c r="AG433" s="97"/>
      <c r="AH433" s="98"/>
      <c r="AI433" s="98"/>
      <c r="AJ433" s="98"/>
      <c r="AK433" s="98"/>
      <c r="AL433" s="98"/>
      <c r="AM433" s="99"/>
      <c r="AN433" s="99"/>
      <c r="AO433" s="97"/>
      <c r="AP433" s="98"/>
      <c r="AQ433" s="98"/>
      <c r="AR433" s="98"/>
      <c r="AS433" s="98"/>
      <c r="AT433" s="98"/>
      <c r="AU433" s="99"/>
      <c r="AV433" s="99"/>
      <c r="AW433" s="97"/>
      <c r="AX433" s="98"/>
      <c r="AY433" s="98"/>
      <c r="AZ433" s="98"/>
      <c r="BA433" s="98"/>
      <c r="BB433" s="98"/>
      <c r="BC433" s="99"/>
      <c r="BD433" s="99"/>
      <c r="BE433" s="97"/>
      <c r="BF433" s="98"/>
      <c r="BG433" s="98"/>
      <c r="BH433" s="98"/>
      <c r="BI433" s="98"/>
      <c r="BJ433" s="98"/>
      <c r="BK433" s="99"/>
      <c r="BL433" s="99"/>
      <c r="BM433" s="97"/>
      <c r="BN433" s="98"/>
      <c r="BO433" s="98"/>
      <c r="BP433" s="98"/>
      <c r="BQ433" s="98"/>
      <c r="BR433" s="98"/>
      <c r="BS433" s="99"/>
      <c r="BT433" s="99"/>
    </row>
    <row r="434" spans="1:72">
      <c r="A434" s="97"/>
      <c r="B434" s="98"/>
      <c r="C434" s="98"/>
      <c r="D434" s="98"/>
      <c r="E434" s="98"/>
      <c r="F434" s="98"/>
      <c r="G434" s="99"/>
      <c r="H434" s="99"/>
      <c r="I434" s="97"/>
      <c r="J434" s="98"/>
      <c r="K434" s="98"/>
      <c r="L434" s="98"/>
      <c r="M434" s="98"/>
      <c r="N434" s="98"/>
      <c r="O434" s="99"/>
      <c r="P434" s="99"/>
      <c r="Q434" s="97"/>
      <c r="R434" s="98"/>
      <c r="S434" s="98"/>
      <c r="T434" s="98"/>
      <c r="U434" s="98"/>
      <c r="V434" s="98"/>
      <c r="W434" s="99"/>
      <c r="X434" s="99"/>
      <c r="Y434" s="97"/>
      <c r="Z434" s="98"/>
      <c r="AA434" s="98"/>
      <c r="AB434" s="98"/>
      <c r="AC434" s="98"/>
      <c r="AD434" s="98"/>
      <c r="AE434" s="99"/>
      <c r="AF434" s="99"/>
      <c r="AG434" s="97"/>
      <c r="AH434" s="98"/>
      <c r="AI434" s="98"/>
      <c r="AJ434" s="98"/>
      <c r="AK434" s="98"/>
      <c r="AL434" s="98"/>
      <c r="AM434" s="99"/>
      <c r="AN434" s="99"/>
      <c r="AO434" s="97"/>
      <c r="AP434" s="98"/>
      <c r="AQ434" s="98"/>
      <c r="AR434" s="98"/>
      <c r="AS434" s="98"/>
      <c r="AT434" s="98"/>
      <c r="AU434" s="99"/>
      <c r="AV434" s="99"/>
      <c r="AW434" s="97"/>
      <c r="AX434" s="98"/>
      <c r="AY434" s="98"/>
      <c r="AZ434" s="98"/>
      <c r="BA434" s="98"/>
      <c r="BB434" s="98"/>
      <c r="BC434" s="99"/>
      <c r="BD434" s="99"/>
      <c r="BE434" s="97"/>
      <c r="BF434" s="98"/>
      <c r="BG434" s="98"/>
      <c r="BH434" s="98"/>
      <c r="BI434" s="98"/>
      <c r="BJ434" s="98"/>
      <c r="BK434" s="99"/>
      <c r="BL434" s="99"/>
      <c r="BM434" s="97"/>
      <c r="BN434" s="98"/>
      <c r="BO434" s="98"/>
      <c r="BP434" s="98"/>
      <c r="BQ434" s="98"/>
      <c r="BR434" s="98"/>
      <c r="BS434" s="99"/>
      <c r="BT434" s="99"/>
    </row>
    <row r="435" spans="1:72">
      <c r="A435" s="97"/>
      <c r="B435" s="98"/>
      <c r="C435" s="98"/>
      <c r="D435" s="98"/>
      <c r="E435" s="98"/>
      <c r="F435" s="98"/>
      <c r="G435" s="99"/>
      <c r="H435" s="99"/>
      <c r="I435" s="97"/>
      <c r="J435" s="98"/>
      <c r="K435" s="98"/>
      <c r="L435" s="98"/>
      <c r="M435" s="98"/>
      <c r="N435" s="98"/>
      <c r="O435" s="99"/>
      <c r="P435" s="99"/>
      <c r="Q435" s="97"/>
      <c r="R435" s="98"/>
      <c r="S435" s="98"/>
      <c r="T435" s="98"/>
      <c r="U435" s="98"/>
      <c r="V435" s="98"/>
      <c r="W435" s="99"/>
      <c r="X435" s="99"/>
      <c r="Y435" s="97"/>
      <c r="Z435" s="98"/>
      <c r="AA435" s="98"/>
      <c r="AB435" s="98"/>
      <c r="AC435" s="98"/>
      <c r="AD435" s="98"/>
      <c r="AE435" s="99"/>
      <c r="AF435" s="99"/>
      <c r="AG435" s="97"/>
      <c r="AH435" s="98"/>
      <c r="AI435" s="98"/>
      <c r="AJ435" s="98"/>
      <c r="AK435" s="98"/>
      <c r="AL435" s="98"/>
      <c r="AM435" s="99"/>
      <c r="AN435" s="99"/>
      <c r="AO435" s="97"/>
      <c r="AP435" s="98"/>
      <c r="AQ435" s="98"/>
      <c r="AR435" s="98"/>
      <c r="AS435" s="98"/>
      <c r="AT435" s="98"/>
      <c r="AU435" s="99"/>
      <c r="AV435" s="99"/>
      <c r="AW435" s="97"/>
      <c r="AX435" s="98"/>
      <c r="AY435" s="98"/>
      <c r="AZ435" s="98"/>
      <c r="BA435" s="98"/>
      <c r="BB435" s="98"/>
      <c r="BC435" s="99"/>
      <c r="BD435" s="99"/>
      <c r="BE435" s="97"/>
      <c r="BF435" s="98"/>
      <c r="BG435" s="98"/>
      <c r="BH435" s="98"/>
      <c r="BI435" s="98"/>
      <c r="BJ435" s="98"/>
      <c r="BK435" s="99"/>
      <c r="BL435" s="99"/>
      <c r="BM435" s="97"/>
      <c r="BN435" s="98"/>
      <c r="BO435" s="98"/>
      <c r="BP435" s="98"/>
      <c r="BQ435" s="98"/>
      <c r="BR435" s="98"/>
      <c r="BS435" s="99"/>
      <c r="BT435" s="99"/>
    </row>
    <row r="436" spans="1:72">
      <c r="A436" s="97"/>
      <c r="B436" s="98"/>
      <c r="C436" s="98"/>
      <c r="D436" s="98"/>
      <c r="E436" s="98"/>
      <c r="F436" s="98"/>
      <c r="G436" s="99"/>
      <c r="H436" s="99"/>
      <c r="I436" s="97"/>
      <c r="J436" s="98"/>
      <c r="K436" s="98"/>
      <c r="L436" s="98"/>
      <c r="M436" s="98"/>
      <c r="N436" s="98"/>
      <c r="O436" s="99"/>
      <c r="P436" s="99"/>
      <c r="Q436" s="97"/>
      <c r="R436" s="98"/>
      <c r="S436" s="98"/>
      <c r="T436" s="98"/>
      <c r="U436" s="98"/>
      <c r="V436" s="98"/>
      <c r="W436" s="99"/>
      <c r="X436" s="99"/>
      <c r="Y436" s="97"/>
      <c r="Z436" s="98"/>
      <c r="AA436" s="98"/>
      <c r="AB436" s="98"/>
      <c r="AC436" s="98"/>
      <c r="AD436" s="98"/>
      <c r="AE436" s="99"/>
      <c r="AF436" s="99"/>
      <c r="AG436" s="97"/>
      <c r="AH436" s="98"/>
      <c r="AI436" s="98"/>
      <c r="AJ436" s="98"/>
      <c r="AK436" s="98"/>
      <c r="AL436" s="98"/>
      <c r="AM436" s="99"/>
      <c r="AN436" s="99"/>
      <c r="AO436" s="97"/>
      <c r="AP436" s="98"/>
      <c r="AQ436" s="98"/>
      <c r="AR436" s="98"/>
      <c r="AS436" s="98"/>
      <c r="AT436" s="98"/>
      <c r="AU436" s="99"/>
      <c r="AV436" s="99"/>
      <c r="AW436" s="97"/>
      <c r="AX436" s="98"/>
      <c r="AY436" s="98"/>
      <c r="AZ436" s="98"/>
      <c r="BA436" s="98"/>
      <c r="BB436" s="98"/>
      <c r="BC436" s="99"/>
      <c r="BD436" s="99"/>
      <c r="BE436" s="97"/>
      <c r="BF436" s="98"/>
      <c r="BG436" s="98"/>
      <c r="BH436" s="98"/>
      <c r="BI436" s="98"/>
      <c r="BJ436" s="98"/>
      <c r="BK436" s="99"/>
      <c r="BL436" s="99"/>
      <c r="BM436" s="97"/>
      <c r="BN436" s="98"/>
      <c r="BO436" s="98"/>
      <c r="BP436" s="98"/>
      <c r="BQ436" s="98"/>
      <c r="BR436" s="98"/>
      <c r="BS436" s="99"/>
      <c r="BT436" s="99"/>
    </row>
    <row r="437" spans="1:72">
      <c r="A437" s="97"/>
      <c r="B437" s="98"/>
      <c r="C437" s="98"/>
      <c r="D437" s="98"/>
      <c r="E437" s="98"/>
      <c r="F437" s="98"/>
      <c r="G437" s="99"/>
      <c r="H437" s="99"/>
      <c r="I437" s="97"/>
      <c r="J437" s="98"/>
      <c r="K437" s="98"/>
      <c r="L437" s="98"/>
      <c r="M437" s="98"/>
      <c r="N437" s="98"/>
      <c r="O437" s="99"/>
      <c r="P437" s="99"/>
      <c r="Q437" s="97"/>
      <c r="R437" s="98"/>
      <c r="S437" s="98"/>
      <c r="T437" s="98"/>
      <c r="U437" s="98"/>
      <c r="V437" s="98"/>
      <c r="W437" s="99"/>
      <c r="X437" s="99"/>
      <c r="Y437" s="97"/>
      <c r="Z437" s="98"/>
      <c r="AA437" s="98"/>
      <c r="AB437" s="98"/>
      <c r="AC437" s="98"/>
      <c r="AD437" s="98"/>
      <c r="AE437" s="99"/>
      <c r="AF437" s="99"/>
      <c r="AG437" s="97"/>
      <c r="AH437" s="98"/>
      <c r="AI437" s="98"/>
      <c r="AJ437" s="98"/>
      <c r="AK437" s="98"/>
      <c r="AL437" s="98"/>
      <c r="AM437" s="99"/>
      <c r="AN437" s="99"/>
      <c r="AO437" s="97"/>
      <c r="AP437" s="98"/>
      <c r="AQ437" s="98"/>
      <c r="AR437" s="98"/>
      <c r="AS437" s="98"/>
      <c r="AT437" s="98"/>
      <c r="AU437" s="99"/>
      <c r="AV437" s="99"/>
      <c r="AW437" s="97"/>
      <c r="AX437" s="98"/>
      <c r="AY437" s="98"/>
      <c r="AZ437" s="98"/>
      <c r="BA437" s="98"/>
      <c r="BB437" s="98"/>
      <c r="BC437" s="99"/>
      <c r="BD437" s="99"/>
      <c r="BE437" s="97"/>
      <c r="BF437" s="98"/>
      <c r="BG437" s="98"/>
      <c r="BH437" s="98"/>
      <c r="BI437" s="98"/>
      <c r="BJ437" s="98"/>
      <c r="BK437" s="99"/>
      <c r="BL437" s="99"/>
      <c r="BM437" s="97"/>
      <c r="BN437" s="98"/>
      <c r="BO437" s="98"/>
      <c r="BP437" s="98"/>
      <c r="BQ437" s="98"/>
      <c r="BR437" s="98"/>
      <c r="BS437" s="99"/>
      <c r="BT437" s="99"/>
    </row>
    <row r="438" spans="1:72">
      <c r="A438" s="97"/>
      <c r="B438" s="98"/>
      <c r="C438" s="98"/>
      <c r="D438" s="98"/>
      <c r="E438" s="98"/>
      <c r="F438" s="98"/>
      <c r="G438" s="99"/>
      <c r="H438" s="99"/>
      <c r="I438" s="97"/>
      <c r="J438" s="98"/>
      <c r="K438" s="98"/>
      <c r="L438" s="98"/>
      <c r="M438" s="98"/>
      <c r="N438" s="98"/>
      <c r="O438" s="99"/>
      <c r="P438" s="99"/>
      <c r="Q438" s="97"/>
      <c r="R438" s="98"/>
      <c r="S438" s="98"/>
      <c r="T438" s="98"/>
      <c r="U438" s="98"/>
      <c r="V438" s="98"/>
      <c r="W438" s="99"/>
      <c r="X438" s="99"/>
      <c r="Y438" s="97"/>
      <c r="Z438" s="98"/>
      <c r="AA438" s="98"/>
      <c r="AB438" s="98"/>
      <c r="AC438" s="98"/>
      <c r="AD438" s="98"/>
      <c r="AE438" s="99"/>
      <c r="AF438" s="99"/>
      <c r="AG438" s="97"/>
      <c r="AH438" s="98"/>
      <c r="AI438" s="98"/>
      <c r="AJ438" s="98"/>
      <c r="AK438" s="98"/>
      <c r="AL438" s="98"/>
      <c r="AM438" s="99"/>
      <c r="AN438" s="99"/>
      <c r="AO438" s="97"/>
      <c r="AP438" s="98"/>
      <c r="AQ438" s="98"/>
      <c r="AR438" s="98"/>
      <c r="AS438" s="98"/>
      <c r="AT438" s="98"/>
      <c r="AU438" s="99"/>
      <c r="AV438" s="99"/>
      <c r="AW438" s="97"/>
      <c r="AX438" s="98"/>
      <c r="AY438" s="98"/>
      <c r="AZ438" s="98"/>
      <c r="BA438" s="98"/>
      <c r="BB438" s="98"/>
      <c r="BC438" s="99"/>
      <c r="BD438" s="99"/>
      <c r="BE438" s="97"/>
      <c r="BF438" s="98"/>
      <c r="BG438" s="98"/>
      <c r="BH438" s="98"/>
      <c r="BI438" s="98"/>
      <c r="BJ438" s="98"/>
      <c r="BK438" s="99"/>
      <c r="BL438" s="99"/>
      <c r="BM438" s="97"/>
      <c r="BN438" s="98"/>
      <c r="BO438" s="98"/>
      <c r="BP438" s="98"/>
      <c r="BQ438" s="98"/>
      <c r="BR438" s="98"/>
      <c r="BS438" s="99"/>
      <c r="BT438" s="99"/>
    </row>
    <row r="439" spans="1:72">
      <c r="A439" s="97"/>
      <c r="B439" s="98"/>
      <c r="C439" s="98"/>
      <c r="D439" s="98"/>
      <c r="E439" s="98"/>
      <c r="F439" s="98"/>
      <c r="G439" s="99"/>
      <c r="H439" s="99"/>
      <c r="I439" s="97"/>
      <c r="J439" s="98"/>
      <c r="K439" s="98"/>
      <c r="L439" s="98"/>
      <c r="M439" s="98"/>
      <c r="N439" s="98"/>
      <c r="O439" s="99"/>
      <c r="P439" s="99"/>
      <c r="Q439" s="97"/>
      <c r="R439" s="98"/>
      <c r="S439" s="98"/>
      <c r="T439" s="98"/>
      <c r="U439" s="98"/>
      <c r="V439" s="98"/>
      <c r="W439" s="99"/>
      <c r="X439" s="99"/>
      <c r="Y439" s="97"/>
      <c r="Z439" s="98"/>
      <c r="AA439" s="98"/>
      <c r="AB439" s="98"/>
      <c r="AC439" s="98"/>
      <c r="AD439" s="98"/>
      <c r="AE439" s="99"/>
      <c r="AF439" s="99"/>
      <c r="AG439" s="97"/>
      <c r="AH439" s="98"/>
      <c r="AI439" s="98"/>
      <c r="AJ439" s="98"/>
      <c r="AK439" s="98"/>
      <c r="AL439" s="98"/>
      <c r="AM439" s="99"/>
      <c r="AN439" s="99"/>
      <c r="AO439" s="97"/>
      <c r="AP439" s="98"/>
      <c r="AQ439" s="98"/>
      <c r="AR439" s="98"/>
      <c r="AS439" s="98"/>
      <c r="AT439" s="98"/>
      <c r="AU439" s="99"/>
      <c r="AV439" s="99"/>
      <c r="AW439" s="97"/>
      <c r="AX439" s="98"/>
      <c r="AY439" s="98"/>
      <c r="AZ439" s="98"/>
      <c r="BA439" s="98"/>
      <c r="BB439" s="98"/>
      <c r="BC439" s="99"/>
      <c r="BD439" s="99"/>
      <c r="BE439" s="97"/>
      <c r="BF439" s="98"/>
      <c r="BG439" s="98"/>
      <c r="BH439" s="98"/>
      <c r="BI439" s="98"/>
      <c r="BJ439" s="98"/>
      <c r="BK439" s="99"/>
      <c r="BL439" s="99"/>
      <c r="BM439" s="97"/>
      <c r="BN439" s="98"/>
      <c r="BO439" s="98"/>
      <c r="BP439" s="98"/>
      <c r="BQ439" s="98"/>
      <c r="BR439" s="98"/>
      <c r="BS439" s="99"/>
      <c r="BT439" s="99"/>
    </row>
    <row r="440" spans="1:72">
      <c r="A440" s="97"/>
      <c r="B440" s="98"/>
      <c r="C440" s="98"/>
      <c r="D440" s="98"/>
      <c r="E440" s="98"/>
      <c r="F440" s="98"/>
      <c r="G440" s="99"/>
      <c r="H440" s="99"/>
      <c r="I440" s="97"/>
      <c r="J440" s="98"/>
      <c r="K440" s="98"/>
      <c r="L440" s="98"/>
      <c r="M440" s="98"/>
      <c r="N440" s="98"/>
      <c r="O440" s="99"/>
      <c r="P440" s="99"/>
      <c r="Q440" s="97"/>
      <c r="R440" s="98"/>
      <c r="S440" s="98"/>
      <c r="T440" s="98"/>
      <c r="U440" s="98"/>
      <c r="V440" s="98"/>
      <c r="W440" s="99"/>
      <c r="X440" s="99"/>
      <c r="Y440" s="97"/>
      <c r="Z440" s="98"/>
      <c r="AA440" s="98"/>
      <c r="AB440" s="98"/>
      <c r="AC440" s="98"/>
      <c r="AD440" s="98"/>
      <c r="AE440" s="99"/>
      <c r="AF440" s="99"/>
      <c r="AG440" s="97"/>
      <c r="AH440" s="98"/>
      <c r="AI440" s="98"/>
      <c r="AJ440" s="98"/>
      <c r="AK440" s="98"/>
      <c r="AL440" s="98"/>
      <c r="AM440" s="99"/>
      <c r="AN440" s="99"/>
      <c r="AO440" s="97"/>
      <c r="AP440" s="98"/>
      <c r="AQ440" s="98"/>
      <c r="AR440" s="98"/>
      <c r="AS440" s="98"/>
      <c r="AT440" s="98"/>
      <c r="AU440" s="99"/>
      <c r="AV440" s="99"/>
      <c r="AW440" s="97"/>
      <c r="AX440" s="98"/>
      <c r="AY440" s="98"/>
      <c r="AZ440" s="98"/>
      <c r="BA440" s="98"/>
      <c r="BB440" s="98"/>
      <c r="BC440" s="99"/>
      <c r="BD440" s="99"/>
      <c r="BE440" s="97"/>
      <c r="BF440" s="98"/>
      <c r="BG440" s="98"/>
      <c r="BH440" s="98"/>
      <c r="BI440" s="98"/>
      <c r="BJ440" s="98"/>
      <c r="BK440" s="99"/>
      <c r="BL440" s="99"/>
      <c r="BM440" s="97"/>
      <c r="BN440" s="98"/>
      <c r="BO440" s="98"/>
      <c r="BP440" s="98"/>
      <c r="BQ440" s="98"/>
      <c r="BR440" s="98"/>
      <c r="BS440" s="99"/>
      <c r="BT440" s="99"/>
    </row>
    <row r="441" spans="1:72">
      <c r="A441" s="97"/>
      <c r="B441" s="98"/>
      <c r="C441" s="98"/>
      <c r="D441" s="98"/>
      <c r="E441" s="98"/>
      <c r="F441" s="98"/>
      <c r="G441" s="99"/>
      <c r="H441" s="99"/>
      <c r="I441" s="97"/>
      <c r="J441" s="98"/>
      <c r="K441" s="98"/>
      <c r="L441" s="98"/>
      <c r="M441" s="98"/>
      <c r="N441" s="98"/>
      <c r="O441" s="99"/>
      <c r="P441" s="99"/>
      <c r="Q441" s="97"/>
      <c r="R441" s="98"/>
      <c r="S441" s="98"/>
      <c r="T441" s="98"/>
      <c r="U441" s="98"/>
      <c r="V441" s="98"/>
      <c r="W441" s="99"/>
      <c r="X441" s="99"/>
      <c r="Y441" s="97"/>
      <c r="Z441" s="98"/>
      <c r="AA441" s="98"/>
      <c r="AB441" s="98"/>
      <c r="AC441" s="98"/>
      <c r="AD441" s="98"/>
      <c r="AE441" s="99"/>
      <c r="AF441" s="99"/>
      <c r="AG441" s="97"/>
      <c r="AH441" s="98"/>
      <c r="AI441" s="98"/>
      <c r="AJ441" s="98"/>
      <c r="AK441" s="98"/>
      <c r="AL441" s="98"/>
      <c r="AM441" s="99"/>
      <c r="AN441" s="99"/>
      <c r="AO441" s="97"/>
      <c r="AP441" s="98"/>
      <c r="AQ441" s="98"/>
      <c r="AR441" s="98"/>
      <c r="AS441" s="98"/>
      <c r="AT441" s="98"/>
      <c r="AU441" s="99"/>
      <c r="AV441" s="99"/>
      <c r="AW441" s="97"/>
      <c r="AX441" s="98"/>
      <c r="AY441" s="98"/>
      <c r="AZ441" s="98"/>
      <c r="BA441" s="98"/>
      <c r="BB441" s="98"/>
      <c r="BC441" s="99"/>
      <c r="BD441" s="99"/>
      <c r="BE441" s="97"/>
      <c r="BF441" s="98"/>
      <c r="BG441" s="98"/>
      <c r="BH441" s="98"/>
      <c r="BI441" s="98"/>
      <c r="BJ441" s="98"/>
      <c r="BK441" s="99"/>
      <c r="BL441" s="99"/>
      <c r="BM441" s="97"/>
      <c r="BN441" s="98"/>
      <c r="BO441" s="98"/>
      <c r="BP441" s="98"/>
      <c r="BQ441" s="98"/>
      <c r="BR441" s="98"/>
      <c r="BS441" s="99"/>
      <c r="BT441" s="99"/>
    </row>
    <row r="442" spans="1:72">
      <c r="A442" s="97"/>
      <c r="B442" s="98"/>
      <c r="C442" s="98"/>
      <c r="D442" s="98"/>
      <c r="E442" s="98"/>
      <c r="F442" s="98"/>
      <c r="G442" s="99"/>
      <c r="H442" s="99"/>
      <c r="I442" s="97"/>
      <c r="J442" s="98"/>
      <c r="K442" s="98"/>
      <c r="L442" s="98"/>
      <c r="M442" s="98"/>
      <c r="N442" s="98"/>
      <c r="O442" s="99"/>
      <c r="P442" s="99"/>
      <c r="Q442" s="97"/>
      <c r="R442" s="98"/>
      <c r="S442" s="98"/>
      <c r="T442" s="98"/>
      <c r="U442" s="98"/>
      <c r="V442" s="98"/>
      <c r="W442" s="99"/>
      <c r="X442" s="99"/>
      <c r="Y442" s="97"/>
      <c r="Z442" s="98"/>
      <c r="AA442" s="98"/>
      <c r="AB442" s="98"/>
      <c r="AC442" s="98"/>
      <c r="AD442" s="98"/>
      <c r="AE442" s="99"/>
      <c r="AF442" s="99"/>
      <c r="AG442" s="97"/>
      <c r="AH442" s="98"/>
      <c r="AI442" s="98"/>
      <c r="AJ442" s="98"/>
      <c r="AK442" s="98"/>
      <c r="AL442" s="98"/>
      <c r="AM442" s="99"/>
      <c r="AN442" s="99"/>
      <c r="AO442" s="97"/>
      <c r="AP442" s="98"/>
      <c r="AQ442" s="98"/>
      <c r="AR442" s="98"/>
      <c r="AS442" s="98"/>
      <c r="AT442" s="98"/>
      <c r="AU442" s="99"/>
      <c r="AV442" s="99"/>
      <c r="AW442" s="97"/>
      <c r="AX442" s="98"/>
      <c r="AY442" s="98"/>
      <c r="AZ442" s="98"/>
      <c r="BA442" s="98"/>
      <c r="BB442" s="98"/>
      <c r="BC442" s="99"/>
      <c r="BD442" s="99"/>
      <c r="BE442" s="97"/>
      <c r="BF442" s="98"/>
      <c r="BG442" s="98"/>
      <c r="BH442" s="98"/>
      <c r="BI442" s="98"/>
      <c r="BJ442" s="98"/>
      <c r="BK442" s="99"/>
      <c r="BL442" s="99"/>
      <c r="BM442" s="97"/>
      <c r="BN442" s="98"/>
      <c r="BO442" s="98"/>
      <c r="BP442" s="98"/>
      <c r="BQ442" s="98"/>
      <c r="BR442" s="98"/>
      <c r="BS442" s="99"/>
      <c r="BT442" s="99"/>
    </row>
    <row r="443" spans="1:72">
      <c r="A443" s="97"/>
      <c r="B443" s="98"/>
      <c r="C443" s="98"/>
      <c r="D443" s="98"/>
      <c r="E443" s="98"/>
      <c r="F443" s="98"/>
      <c r="G443" s="99"/>
      <c r="H443" s="99"/>
      <c r="I443" s="97"/>
      <c r="J443" s="98"/>
      <c r="K443" s="98"/>
      <c r="L443" s="98"/>
      <c r="M443" s="98"/>
      <c r="N443" s="98"/>
      <c r="O443" s="99"/>
      <c r="P443" s="99"/>
      <c r="Q443" s="97"/>
      <c r="R443" s="98"/>
      <c r="S443" s="98"/>
      <c r="T443" s="98"/>
      <c r="U443" s="98"/>
      <c r="V443" s="98"/>
      <c r="W443" s="99"/>
      <c r="X443" s="99"/>
      <c r="Y443" s="97"/>
      <c r="Z443" s="98"/>
      <c r="AA443" s="98"/>
      <c r="AB443" s="98"/>
      <c r="AC443" s="98"/>
      <c r="AD443" s="98"/>
      <c r="AE443" s="99"/>
      <c r="AF443" s="99"/>
      <c r="AG443" s="97"/>
      <c r="AH443" s="98"/>
      <c r="AI443" s="98"/>
      <c r="AJ443" s="98"/>
      <c r="AK443" s="98"/>
      <c r="AL443" s="98"/>
      <c r="AM443" s="99"/>
      <c r="AN443" s="99"/>
      <c r="AO443" s="97"/>
      <c r="AP443" s="98"/>
      <c r="AQ443" s="98"/>
      <c r="AR443" s="98"/>
      <c r="AS443" s="98"/>
      <c r="AT443" s="98"/>
      <c r="AU443" s="99"/>
      <c r="AV443" s="99"/>
      <c r="AW443" s="97"/>
      <c r="AX443" s="98"/>
      <c r="AY443" s="98"/>
      <c r="AZ443" s="98"/>
      <c r="BA443" s="98"/>
      <c r="BB443" s="98"/>
      <c r="BC443" s="99"/>
      <c r="BD443" s="99"/>
      <c r="BE443" s="97"/>
      <c r="BF443" s="98"/>
      <c r="BG443" s="98"/>
      <c r="BH443" s="98"/>
      <c r="BI443" s="98"/>
      <c r="BJ443" s="98"/>
      <c r="BK443" s="99"/>
      <c r="BL443" s="99"/>
      <c r="BM443" s="97"/>
      <c r="BN443" s="98"/>
      <c r="BO443" s="98"/>
      <c r="BP443" s="98"/>
      <c r="BQ443" s="98"/>
      <c r="BR443" s="98"/>
      <c r="BS443" s="99"/>
      <c r="BT443" s="99"/>
    </row>
    <row r="444" spans="1:72">
      <c r="A444" s="97"/>
      <c r="B444" s="98"/>
      <c r="C444" s="98"/>
      <c r="D444" s="98"/>
      <c r="E444" s="98"/>
      <c r="F444" s="98"/>
      <c r="G444" s="99"/>
      <c r="H444" s="99"/>
      <c r="I444" s="97"/>
      <c r="J444" s="98"/>
      <c r="K444" s="98"/>
      <c r="L444" s="98"/>
      <c r="M444" s="98"/>
      <c r="N444" s="98"/>
      <c r="O444" s="99"/>
      <c r="P444" s="99"/>
      <c r="Q444" s="97"/>
      <c r="R444" s="98"/>
      <c r="S444" s="98"/>
      <c r="T444" s="98"/>
      <c r="U444" s="98"/>
      <c r="V444" s="98"/>
      <c r="W444" s="99"/>
      <c r="X444" s="99"/>
      <c r="Y444" s="97"/>
      <c r="Z444" s="98"/>
      <c r="AA444" s="98"/>
      <c r="AB444" s="98"/>
      <c r="AC444" s="98"/>
      <c r="AD444" s="98"/>
      <c r="AE444" s="99"/>
      <c r="AF444" s="99"/>
      <c r="AG444" s="97"/>
      <c r="AH444" s="98"/>
      <c r="AI444" s="98"/>
      <c r="AJ444" s="98"/>
      <c r="AK444" s="98"/>
      <c r="AL444" s="98"/>
      <c r="AM444" s="99"/>
      <c r="AN444" s="99"/>
      <c r="AO444" s="97"/>
      <c r="AP444" s="98"/>
      <c r="AQ444" s="98"/>
      <c r="AR444" s="98"/>
      <c r="AS444" s="98"/>
      <c r="AT444" s="98"/>
      <c r="AU444" s="99"/>
      <c r="AV444" s="99"/>
      <c r="AW444" s="97"/>
      <c r="AX444" s="98"/>
      <c r="AY444" s="98"/>
      <c r="AZ444" s="98"/>
      <c r="BA444" s="98"/>
      <c r="BB444" s="98"/>
      <c r="BC444" s="99"/>
      <c r="BD444" s="99"/>
      <c r="BE444" s="97"/>
      <c r="BF444" s="98"/>
      <c r="BG444" s="98"/>
      <c r="BH444" s="98"/>
      <c r="BI444" s="98"/>
      <c r="BJ444" s="98"/>
      <c r="BK444" s="99"/>
      <c r="BL444" s="99"/>
      <c r="BM444" s="97"/>
      <c r="BN444" s="98"/>
      <c r="BO444" s="98"/>
      <c r="BP444" s="98"/>
      <c r="BQ444" s="98"/>
      <c r="BR444" s="98"/>
      <c r="BS444" s="99"/>
      <c r="BT444" s="99"/>
    </row>
    <row r="445" spans="1:72">
      <c r="A445" s="97"/>
      <c r="B445" s="98"/>
      <c r="C445" s="98"/>
      <c r="D445" s="98"/>
      <c r="E445" s="98"/>
      <c r="F445" s="98"/>
      <c r="G445" s="99"/>
      <c r="H445" s="99"/>
      <c r="I445" s="97"/>
      <c r="J445" s="98"/>
      <c r="K445" s="98"/>
      <c r="L445" s="98"/>
      <c r="M445" s="98"/>
      <c r="N445" s="98"/>
      <c r="O445" s="99"/>
      <c r="P445" s="99"/>
      <c r="Q445" s="97"/>
      <c r="R445" s="98"/>
      <c r="S445" s="98"/>
      <c r="T445" s="98"/>
      <c r="U445" s="98"/>
      <c r="V445" s="98"/>
      <c r="W445" s="99"/>
      <c r="X445" s="99"/>
      <c r="Y445" s="97"/>
      <c r="Z445" s="98"/>
      <c r="AA445" s="98"/>
      <c r="AB445" s="98"/>
      <c r="AC445" s="98"/>
      <c r="AD445" s="98"/>
      <c r="AE445" s="99"/>
      <c r="AF445" s="99"/>
      <c r="AG445" s="97"/>
      <c r="AH445" s="98"/>
      <c r="AI445" s="98"/>
      <c r="AJ445" s="98"/>
      <c r="AK445" s="98"/>
      <c r="AL445" s="98"/>
      <c r="AM445" s="99"/>
      <c r="AN445" s="99"/>
      <c r="AO445" s="97"/>
      <c r="AP445" s="98"/>
      <c r="AQ445" s="98"/>
      <c r="AR445" s="98"/>
      <c r="AS445" s="98"/>
      <c r="AT445" s="98"/>
      <c r="AU445" s="99"/>
      <c r="AV445" s="99"/>
      <c r="AW445" s="97"/>
      <c r="AX445" s="98"/>
      <c r="AY445" s="98"/>
      <c r="AZ445" s="98"/>
      <c r="BA445" s="98"/>
      <c r="BB445" s="98"/>
      <c r="BC445" s="99"/>
      <c r="BD445" s="99"/>
      <c r="BE445" s="97"/>
      <c r="BF445" s="98"/>
      <c r="BG445" s="98"/>
      <c r="BH445" s="98"/>
      <c r="BI445" s="98"/>
      <c r="BJ445" s="98"/>
      <c r="BK445" s="99"/>
      <c r="BL445" s="99"/>
      <c r="BM445" s="97"/>
      <c r="BN445" s="98"/>
      <c r="BO445" s="98"/>
      <c r="BP445" s="98"/>
      <c r="BQ445" s="98"/>
      <c r="BR445" s="98"/>
      <c r="BS445" s="99"/>
      <c r="BT445" s="99"/>
    </row>
    <row r="446" spans="1:72">
      <c r="A446" s="97"/>
      <c r="B446" s="98"/>
      <c r="C446" s="98"/>
      <c r="D446" s="98"/>
      <c r="E446" s="98"/>
      <c r="F446" s="98"/>
      <c r="G446" s="99"/>
      <c r="H446" s="99"/>
      <c r="I446" s="97"/>
      <c r="J446" s="98"/>
      <c r="K446" s="98"/>
      <c r="L446" s="98"/>
      <c r="M446" s="98"/>
      <c r="N446" s="98"/>
      <c r="O446" s="99"/>
      <c r="P446" s="99"/>
      <c r="Q446" s="97"/>
      <c r="R446" s="98"/>
      <c r="S446" s="98"/>
      <c r="T446" s="98"/>
      <c r="U446" s="98"/>
      <c r="V446" s="98"/>
      <c r="W446" s="99"/>
      <c r="X446" s="99"/>
      <c r="Y446" s="97"/>
      <c r="Z446" s="98"/>
      <c r="AA446" s="98"/>
      <c r="AB446" s="98"/>
      <c r="AC446" s="98"/>
      <c r="AD446" s="98"/>
      <c r="AE446" s="99"/>
      <c r="AF446" s="99"/>
      <c r="AG446" s="97"/>
      <c r="AH446" s="98"/>
      <c r="AI446" s="98"/>
      <c r="AJ446" s="98"/>
      <c r="AK446" s="98"/>
      <c r="AL446" s="98"/>
      <c r="AM446" s="99"/>
      <c r="AN446" s="99"/>
      <c r="AO446" s="97"/>
      <c r="AP446" s="98"/>
      <c r="AQ446" s="98"/>
      <c r="AR446" s="98"/>
      <c r="AS446" s="98"/>
      <c r="AT446" s="98"/>
      <c r="AU446" s="99"/>
      <c r="AV446" s="99"/>
      <c r="AW446" s="97"/>
      <c r="AX446" s="98"/>
      <c r="AY446" s="98"/>
      <c r="AZ446" s="98"/>
      <c r="BA446" s="98"/>
      <c r="BB446" s="98"/>
      <c r="BC446" s="99"/>
      <c r="BD446" s="99"/>
      <c r="BE446" s="97"/>
      <c r="BF446" s="98"/>
      <c r="BG446" s="98"/>
      <c r="BH446" s="98"/>
      <c r="BI446" s="98"/>
      <c r="BJ446" s="98"/>
      <c r="BK446" s="99"/>
      <c r="BL446" s="99"/>
      <c r="BM446" s="97"/>
      <c r="BN446" s="98"/>
      <c r="BO446" s="98"/>
      <c r="BP446" s="98"/>
      <c r="BQ446" s="98"/>
      <c r="BR446" s="98"/>
      <c r="BS446" s="99"/>
      <c r="BT446" s="99"/>
    </row>
    <row r="447" spans="1:72">
      <c r="A447" s="97"/>
      <c r="B447" s="98"/>
      <c r="C447" s="98"/>
      <c r="D447" s="98"/>
      <c r="E447" s="98"/>
      <c r="F447" s="98"/>
      <c r="G447" s="99"/>
      <c r="H447" s="99"/>
      <c r="I447" s="97"/>
      <c r="J447" s="98"/>
      <c r="K447" s="98"/>
      <c r="L447" s="98"/>
      <c r="M447" s="98"/>
      <c r="N447" s="98"/>
      <c r="O447" s="99"/>
      <c r="P447" s="99"/>
      <c r="Q447" s="97"/>
      <c r="R447" s="98"/>
      <c r="S447" s="98"/>
      <c r="T447" s="98"/>
      <c r="U447" s="98"/>
      <c r="V447" s="98"/>
      <c r="W447" s="99"/>
      <c r="X447" s="99"/>
      <c r="Y447" s="97"/>
      <c r="Z447" s="98"/>
      <c r="AA447" s="98"/>
      <c r="AB447" s="98"/>
      <c r="AC447" s="98"/>
      <c r="AD447" s="98"/>
      <c r="AE447" s="99"/>
      <c r="AF447" s="99"/>
      <c r="AG447" s="97"/>
      <c r="AH447" s="98"/>
      <c r="AI447" s="98"/>
      <c r="AJ447" s="98"/>
      <c r="AK447" s="98"/>
      <c r="AL447" s="98"/>
      <c r="AM447" s="99"/>
      <c r="AN447" s="99"/>
      <c r="AO447" s="97"/>
      <c r="AP447" s="98"/>
      <c r="AQ447" s="98"/>
      <c r="AR447" s="98"/>
      <c r="AS447" s="98"/>
      <c r="AT447" s="98"/>
      <c r="AU447" s="99"/>
      <c r="AV447" s="99"/>
      <c r="AW447" s="97"/>
      <c r="AX447" s="98"/>
      <c r="AY447" s="98"/>
      <c r="AZ447" s="98"/>
      <c r="BA447" s="98"/>
      <c r="BB447" s="98"/>
      <c r="BC447" s="99"/>
      <c r="BD447" s="99"/>
      <c r="BE447" s="97"/>
      <c r="BF447" s="98"/>
      <c r="BG447" s="98"/>
      <c r="BH447" s="98"/>
      <c r="BI447" s="98"/>
      <c r="BJ447" s="98"/>
      <c r="BK447" s="99"/>
      <c r="BL447" s="99"/>
      <c r="BM447" s="97"/>
      <c r="BN447" s="98"/>
      <c r="BO447" s="98"/>
      <c r="BP447" s="98"/>
      <c r="BQ447" s="98"/>
      <c r="BR447" s="98"/>
      <c r="BS447" s="99"/>
      <c r="BT447" s="99"/>
    </row>
    <row r="448" spans="1:72">
      <c r="A448" s="97"/>
      <c r="B448" s="98"/>
      <c r="C448" s="98"/>
      <c r="D448" s="98"/>
      <c r="E448" s="98"/>
      <c r="F448" s="98"/>
      <c r="G448" s="99"/>
      <c r="H448" s="99"/>
      <c r="I448" s="97"/>
      <c r="J448" s="98"/>
      <c r="K448" s="98"/>
      <c r="L448" s="98"/>
      <c r="M448" s="98"/>
      <c r="N448" s="98"/>
      <c r="O448" s="99"/>
      <c r="P448" s="99"/>
      <c r="Q448" s="97"/>
      <c r="R448" s="98"/>
      <c r="S448" s="98"/>
      <c r="T448" s="98"/>
      <c r="U448" s="98"/>
      <c r="V448" s="98"/>
      <c r="W448" s="99"/>
      <c r="X448" s="99"/>
      <c r="Y448" s="97"/>
      <c r="Z448" s="98"/>
      <c r="AA448" s="98"/>
      <c r="AB448" s="98"/>
      <c r="AC448" s="98"/>
      <c r="AD448" s="98"/>
      <c r="AE448" s="99"/>
      <c r="AF448" s="99"/>
      <c r="AG448" s="97"/>
      <c r="AH448" s="98"/>
      <c r="AI448" s="98"/>
      <c r="AJ448" s="98"/>
      <c r="AK448" s="98"/>
      <c r="AL448" s="98"/>
      <c r="AM448" s="99"/>
      <c r="AN448" s="99"/>
      <c r="AO448" s="97"/>
      <c r="AP448" s="98"/>
      <c r="AQ448" s="98"/>
      <c r="AR448" s="98"/>
      <c r="AS448" s="98"/>
      <c r="AT448" s="98"/>
      <c r="AU448" s="99"/>
      <c r="AV448" s="99"/>
      <c r="AW448" s="97"/>
      <c r="AX448" s="98"/>
      <c r="AY448" s="98"/>
      <c r="AZ448" s="98"/>
      <c r="BA448" s="98"/>
      <c r="BB448" s="98"/>
      <c r="BC448" s="99"/>
      <c r="BD448" s="99"/>
      <c r="BE448" s="97"/>
      <c r="BF448" s="98"/>
      <c r="BG448" s="98"/>
      <c r="BH448" s="98"/>
      <c r="BI448" s="98"/>
      <c r="BJ448" s="98"/>
      <c r="BK448" s="99"/>
      <c r="BL448" s="99"/>
      <c r="BM448" s="97"/>
      <c r="BN448" s="98"/>
      <c r="BO448" s="98"/>
      <c r="BP448" s="98"/>
      <c r="BQ448" s="98"/>
      <c r="BR448" s="98"/>
      <c r="BS448" s="99"/>
      <c r="BT448" s="99"/>
    </row>
    <row r="449" spans="1:72">
      <c r="A449" s="97"/>
      <c r="B449" s="98"/>
      <c r="C449" s="98"/>
      <c r="D449" s="98"/>
      <c r="E449" s="98"/>
      <c r="F449" s="98"/>
      <c r="G449" s="99"/>
      <c r="H449" s="99"/>
      <c r="I449" s="97"/>
      <c r="J449" s="98"/>
      <c r="K449" s="98"/>
      <c r="L449" s="98"/>
      <c r="M449" s="98"/>
      <c r="N449" s="98"/>
      <c r="O449" s="99"/>
      <c r="P449" s="99"/>
      <c r="Q449" s="97"/>
      <c r="R449" s="98"/>
      <c r="S449" s="98"/>
      <c r="T449" s="98"/>
      <c r="U449" s="98"/>
      <c r="V449" s="98"/>
      <c r="W449" s="99"/>
      <c r="X449" s="99"/>
      <c r="Y449" s="97"/>
      <c r="Z449" s="98"/>
      <c r="AA449" s="98"/>
      <c r="AB449" s="98"/>
      <c r="AC449" s="98"/>
      <c r="AD449" s="98"/>
      <c r="AE449" s="99"/>
      <c r="AF449" s="99"/>
      <c r="AG449" s="97"/>
      <c r="AH449" s="98"/>
      <c r="AI449" s="98"/>
      <c r="AJ449" s="98"/>
      <c r="AK449" s="98"/>
      <c r="AL449" s="98"/>
      <c r="AM449" s="99"/>
      <c r="AN449" s="99"/>
      <c r="AO449" s="97"/>
      <c r="AP449" s="98"/>
      <c r="AQ449" s="98"/>
      <c r="AR449" s="98"/>
      <c r="AS449" s="98"/>
      <c r="AT449" s="98"/>
      <c r="AU449" s="99"/>
      <c r="AV449" s="99"/>
      <c r="AW449" s="97"/>
      <c r="AX449" s="98"/>
      <c r="AY449" s="98"/>
      <c r="AZ449" s="98"/>
      <c r="BA449" s="98"/>
      <c r="BB449" s="98"/>
      <c r="BC449" s="99"/>
      <c r="BD449" s="99"/>
      <c r="BE449" s="97"/>
      <c r="BF449" s="98"/>
      <c r="BG449" s="98"/>
      <c r="BH449" s="98"/>
      <c r="BI449" s="98"/>
      <c r="BJ449" s="98"/>
      <c r="BK449" s="99"/>
      <c r="BL449" s="99"/>
      <c r="BM449" s="97"/>
      <c r="BN449" s="98"/>
      <c r="BO449" s="98"/>
      <c r="BP449" s="98"/>
      <c r="BQ449" s="98"/>
      <c r="BR449" s="98"/>
      <c r="BS449" s="99"/>
      <c r="BT449" s="99"/>
    </row>
    <row r="450" spans="1:72">
      <c r="A450" s="97"/>
      <c r="B450" s="98"/>
      <c r="C450" s="98"/>
      <c r="D450" s="98"/>
      <c r="E450" s="98"/>
      <c r="F450" s="98"/>
      <c r="G450" s="99"/>
      <c r="H450" s="99"/>
      <c r="I450" s="97"/>
      <c r="J450" s="98"/>
      <c r="K450" s="98"/>
      <c r="L450" s="98"/>
      <c r="M450" s="98"/>
      <c r="N450" s="98"/>
      <c r="O450" s="99"/>
      <c r="P450" s="99"/>
      <c r="Q450" s="97"/>
      <c r="R450" s="98"/>
      <c r="S450" s="98"/>
      <c r="T450" s="98"/>
      <c r="U450" s="98"/>
      <c r="V450" s="98"/>
      <c r="W450" s="99"/>
      <c r="X450" s="99"/>
      <c r="Y450" s="97"/>
      <c r="Z450" s="98"/>
      <c r="AA450" s="98"/>
      <c r="AB450" s="98"/>
      <c r="AC450" s="98"/>
      <c r="AD450" s="98"/>
      <c r="AE450" s="99"/>
      <c r="AF450" s="99"/>
      <c r="AG450" s="97"/>
      <c r="AH450" s="98"/>
      <c r="AI450" s="98"/>
      <c r="AJ450" s="98"/>
      <c r="AK450" s="98"/>
      <c r="AL450" s="98"/>
      <c r="AM450" s="99"/>
      <c r="AN450" s="99"/>
      <c r="AO450" s="97"/>
      <c r="AP450" s="98"/>
      <c r="AQ450" s="98"/>
      <c r="AR450" s="98"/>
      <c r="AS450" s="98"/>
      <c r="AT450" s="98"/>
      <c r="AU450" s="99"/>
      <c r="AV450" s="99"/>
      <c r="AW450" s="97"/>
      <c r="AX450" s="98"/>
      <c r="AY450" s="98"/>
      <c r="AZ450" s="98"/>
      <c r="BA450" s="98"/>
      <c r="BB450" s="98"/>
      <c r="BC450" s="99"/>
      <c r="BD450" s="99"/>
      <c r="BE450" s="97"/>
      <c r="BF450" s="98"/>
      <c r="BG450" s="98"/>
      <c r="BH450" s="98"/>
      <c r="BI450" s="98"/>
      <c r="BJ450" s="98"/>
      <c r="BK450" s="99"/>
      <c r="BL450" s="99"/>
      <c r="BM450" s="97"/>
      <c r="BN450" s="98"/>
      <c r="BO450" s="98"/>
      <c r="BP450" s="98"/>
      <c r="BQ450" s="98"/>
      <c r="BR450" s="98"/>
      <c r="BS450" s="99"/>
      <c r="BT450" s="99"/>
    </row>
    <row r="451" spans="1:72">
      <c r="A451" s="97"/>
      <c r="B451" s="98"/>
      <c r="C451" s="98"/>
      <c r="D451" s="98"/>
      <c r="E451" s="98"/>
      <c r="F451" s="98"/>
      <c r="G451" s="99"/>
      <c r="H451" s="99"/>
      <c r="I451" s="97"/>
      <c r="J451" s="98"/>
      <c r="K451" s="98"/>
      <c r="L451" s="98"/>
      <c r="M451" s="98"/>
      <c r="N451" s="98"/>
      <c r="O451" s="99"/>
      <c r="P451" s="99"/>
      <c r="Q451" s="97"/>
      <c r="R451" s="98"/>
      <c r="S451" s="98"/>
      <c r="T451" s="98"/>
      <c r="U451" s="98"/>
      <c r="V451" s="98"/>
      <c r="W451" s="99"/>
      <c r="X451" s="99"/>
      <c r="Y451" s="97"/>
      <c r="Z451" s="98"/>
      <c r="AA451" s="98"/>
      <c r="AB451" s="98"/>
      <c r="AC451" s="98"/>
      <c r="AD451" s="98"/>
      <c r="AE451" s="99"/>
      <c r="AF451" s="99"/>
      <c r="AG451" s="97"/>
      <c r="AH451" s="98"/>
      <c r="AI451" s="98"/>
      <c r="AJ451" s="98"/>
      <c r="AK451" s="98"/>
      <c r="AL451" s="98"/>
      <c r="AM451" s="99"/>
      <c r="AN451" s="99"/>
      <c r="AO451" s="97"/>
      <c r="AP451" s="98"/>
      <c r="AQ451" s="98"/>
      <c r="AR451" s="98"/>
      <c r="AS451" s="98"/>
      <c r="AT451" s="98"/>
      <c r="AU451" s="99"/>
      <c r="AV451" s="99"/>
      <c r="AW451" s="97"/>
      <c r="AX451" s="98"/>
      <c r="AY451" s="98"/>
      <c r="AZ451" s="98"/>
      <c r="BA451" s="98"/>
      <c r="BB451" s="98"/>
      <c r="BC451" s="99"/>
      <c r="BD451" s="99"/>
      <c r="BE451" s="97"/>
      <c r="BF451" s="98"/>
      <c r="BG451" s="98"/>
      <c r="BH451" s="98"/>
      <c r="BI451" s="98"/>
      <c r="BJ451" s="98"/>
      <c r="BK451" s="99"/>
      <c r="BL451" s="99"/>
      <c r="BM451" s="97"/>
      <c r="BN451" s="98"/>
      <c r="BO451" s="98"/>
      <c r="BP451" s="98"/>
      <c r="BQ451" s="98"/>
      <c r="BR451" s="98"/>
      <c r="BS451" s="99"/>
      <c r="BT451" s="99"/>
    </row>
    <row r="452" spans="1:72">
      <c r="A452" s="97"/>
      <c r="B452" s="98"/>
      <c r="C452" s="98"/>
      <c r="D452" s="98"/>
      <c r="E452" s="98"/>
      <c r="F452" s="98"/>
      <c r="G452" s="99"/>
      <c r="H452" s="99"/>
      <c r="I452" s="97"/>
      <c r="J452" s="98"/>
      <c r="K452" s="98"/>
      <c r="L452" s="98"/>
      <c r="M452" s="98"/>
      <c r="N452" s="98"/>
      <c r="O452" s="99"/>
      <c r="P452" s="99"/>
      <c r="Q452" s="97"/>
      <c r="R452" s="98"/>
      <c r="S452" s="98"/>
      <c r="T452" s="98"/>
      <c r="U452" s="98"/>
      <c r="V452" s="98"/>
      <c r="W452" s="99"/>
      <c r="X452" s="99"/>
      <c r="Y452" s="97"/>
      <c r="Z452" s="98"/>
      <c r="AA452" s="98"/>
      <c r="AB452" s="98"/>
      <c r="AC452" s="98"/>
      <c r="AD452" s="98"/>
      <c r="AE452" s="99"/>
      <c r="AF452" s="99"/>
      <c r="AG452" s="97"/>
      <c r="AH452" s="98"/>
      <c r="AI452" s="98"/>
      <c r="AJ452" s="98"/>
      <c r="AK452" s="98"/>
      <c r="AL452" s="98"/>
      <c r="AM452" s="99"/>
      <c r="AN452" s="99"/>
      <c r="AO452" s="97"/>
      <c r="AP452" s="98"/>
      <c r="AQ452" s="98"/>
      <c r="AR452" s="98"/>
      <c r="AS452" s="98"/>
      <c r="AT452" s="98"/>
      <c r="AU452" s="99"/>
      <c r="AV452" s="99"/>
      <c r="AW452" s="97"/>
      <c r="AX452" s="98"/>
      <c r="AY452" s="98"/>
      <c r="AZ452" s="98"/>
      <c r="BA452" s="98"/>
      <c r="BB452" s="98"/>
      <c r="BC452" s="99"/>
      <c r="BD452" s="99"/>
      <c r="BE452" s="97"/>
      <c r="BF452" s="98"/>
      <c r="BG452" s="98"/>
      <c r="BH452" s="98"/>
      <c r="BI452" s="98"/>
      <c r="BJ452" s="98"/>
      <c r="BK452" s="99"/>
      <c r="BL452" s="99"/>
      <c r="BM452" s="97"/>
      <c r="BN452" s="98"/>
      <c r="BO452" s="98"/>
      <c r="BP452" s="98"/>
      <c r="BQ452" s="98"/>
      <c r="BR452" s="98"/>
      <c r="BS452" s="99"/>
      <c r="BT452" s="99"/>
    </row>
    <row r="453" spans="1:72">
      <c r="A453" s="97"/>
      <c r="B453" s="98"/>
      <c r="C453" s="98"/>
      <c r="D453" s="98"/>
      <c r="E453" s="98"/>
      <c r="F453" s="98"/>
      <c r="G453" s="99"/>
      <c r="H453" s="99"/>
      <c r="I453" s="97"/>
      <c r="J453" s="98"/>
      <c r="K453" s="98"/>
      <c r="L453" s="98"/>
      <c r="M453" s="98"/>
      <c r="N453" s="98"/>
      <c r="O453" s="99"/>
      <c r="P453" s="99"/>
      <c r="Q453" s="97"/>
      <c r="R453" s="98"/>
      <c r="S453" s="98"/>
      <c r="T453" s="98"/>
      <c r="U453" s="98"/>
      <c r="V453" s="98"/>
      <c r="W453" s="99"/>
      <c r="X453" s="99"/>
      <c r="Y453" s="97"/>
      <c r="Z453" s="98"/>
      <c r="AA453" s="98"/>
      <c r="AB453" s="98"/>
      <c r="AC453" s="98"/>
      <c r="AD453" s="98"/>
      <c r="AE453" s="99"/>
      <c r="AF453" s="99"/>
      <c r="AG453" s="97"/>
      <c r="AH453" s="98"/>
      <c r="AI453" s="98"/>
      <c r="AJ453" s="98"/>
      <c r="AK453" s="98"/>
      <c r="AL453" s="98"/>
      <c r="AM453" s="99"/>
      <c r="AN453" s="99"/>
      <c r="AO453" s="97"/>
      <c r="AP453" s="98"/>
      <c r="AQ453" s="98"/>
      <c r="AR453" s="98"/>
      <c r="AS453" s="98"/>
      <c r="AT453" s="98"/>
      <c r="AU453" s="99"/>
      <c r="AV453" s="99"/>
      <c r="AW453" s="97"/>
      <c r="AX453" s="98"/>
      <c r="AY453" s="98"/>
      <c r="AZ453" s="98"/>
      <c r="BA453" s="98"/>
      <c r="BB453" s="98"/>
      <c r="BC453" s="99"/>
      <c r="BD453" s="99"/>
      <c r="BE453" s="97"/>
      <c r="BF453" s="98"/>
      <c r="BG453" s="98"/>
      <c r="BH453" s="98"/>
      <c r="BI453" s="98"/>
      <c r="BJ453" s="98"/>
      <c r="BK453" s="99"/>
      <c r="BL453" s="99"/>
      <c r="BM453" s="97"/>
      <c r="BN453" s="98"/>
      <c r="BO453" s="98"/>
      <c r="BP453" s="98"/>
      <c r="BQ453" s="98"/>
      <c r="BR453" s="98"/>
      <c r="BS453" s="99"/>
      <c r="BT453" s="99"/>
    </row>
    <row r="454" spans="1:72">
      <c r="A454" s="97"/>
      <c r="B454" s="98"/>
      <c r="C454" s="98"/>
      <c r="D454" s="98"/>
      <c r="E454" s="98"/>
      <c r="F454" s="98"/>
      <c r="G454" s="99"/>
      <c r="H454" s="99"/>
      <c r="I454" s="97"/>
      <c r="J454" s="98"/>
      <c r="K454" s="98"/>
      <c r="L454" s="98"/>
      <c r="M454" s="98"/>
      <c r="N454" s="98"/>
      <c r="O454" s="99"/>
      <c r="P454" s="99"/>
      <c r="Q454" s="97"/>
      <c r="R454" s="98"/>
      <c r="S454" s="98"/>
      <c r="T454" s="98"/>
      <c r="U454" s="98"/>
      <c r="V454" s="98"/>
      <c r="W454" s="99"/>
      <c r="X454" s="99"/>
      <c r="Y454" s="97"/>
      <c r="Z454" s="98"/>
      <c r="AA454" s="98"/>
      <c r="AB454" s="98"/>
      <c r="AC454" s="98"/>
      <c r="AD454" s="98"/>
      <c r="AE454" s="99"/>
      <c r="AF454" s="99"/>
      <c r="AG454" s="97"/>
      <c r="AH454" s="98"/>
      <c r="AI454" s="98"/>
      <c r="AJ454" s="98"/>
      <c r="AK454" s="98"/>
      <c r="AL454" s="98"/>
      <c r="AM454" s="99"/>
      <c r="AN454" s="99"/>
      <c r="AO454" s="97"/>
      <c r="AP454" s="98"/>
      <c r="AQ454" s="98"/>
      <c r="AR454" s="98"/>
      <c r="AS454" s="98"/>
      <c r="AT454" s="98"/>
      <c r="AU454" s="99"/>
      <c r="AV454" s="99"/>
      <c r="AW454" s="97"/>
      <c r="AX454" s="98"/>
      <c r="AY454" s="98"/>
      <c r="AZ454" s="98"/>
      <c r="BA454" s="98"/>
      <c r="BB454" s="98"/>
      <c r="BC454" s="99"/>
      <c r="BD454" s="99"/>
      <c r="BE454" s="97"/>
      <c r="BF454" s="98"/>
      <c r="BG454" s="98"/>
      <c r="BH454" s="98"/>
      <c r="BI454" s="98"/>
      <c r="BJ454" s="98"/>
      <c r="BK454" s="99"/>
      <c r="BL454" s="99"/>
      <c r="BM454" s="97"/>
      <c r="BN454" s="98"/>
      <c r="BO454" s="98"/>
      <c r="BP454" s="98"/>
      <c r="BQ454" s="98"/>
      <c r="BR454" s="98"/>
      <c r="BS454" s="99"/>
      <c r="BT454" s="99"/>
    </row>
    <row r="455" spans="1:72">
      <c r="A455" s="97"/>
      <c r="B455" s="98"/>
      <c r="C455" s="98"/>
      <c r="D455" s="98"/>
      <c r="E455" s="98"/>
      <c r="F455" s="98"/>
      <c r="G455" s="99"/>
      <c r="H455" s="99"/>
      <c r="I455" s="97"/>
      <c r="J455" s="98"/>
      <c r="K455" s="98"/>
      <c r="L455" s="98"/>
      <c r="M455" s="98"/>
      <c r="N455" s="98"/>
      <c r="O455" s="99"/>
      <c r="P455" s="99"/>
      <c r="Q455" s="97"/>
      <c r="R455" s="98"/>
      <c r="S455" s="98"/>
      <c r="T455" s="98"/>
      <c r="U455" s="98"/>
      <c r="V455" s="98"/>
      <c r="W455" s="99"/>
      <c r="X455" s="99"/>
      <c r="Y455" s="97"/>
      <c r="Z455" s="98"/>
      <c r="AA455" s="98"/>
      <c r="AB455" s="98"/>
      <c r="AC455" s="98"/>
      <c r="AD455" s="98"/>
      <c r="AE455" s="99"/>
      <c r="AF455" s="99"/>
      <c r="AG455" s="97"/>
      <c r="AH455" s="98"/>
      <c r="AI455" s="98"/>
      <c r="AJ455" s="98"/>
      <c r="AK455" s="98"/>
      <c r="AL455" s="98"/>
      <c r="AM455" s="99"/>
      <c r="AN455" s="99"/>
      <c r="AO455" s="97"/>
      <c r="AP455" s="98"/>
      <c r="AQ455" s="98"/>
      <c r="AR455" s="98"/>
      <c r="AS455" s="98"/>
      <c r="AT455" s="98"/>
      <c r="AU455" s="99"/>
      <c r="AV455" s="99"/>
      <c r="AW455" s="97"/>
      <c r="AX455" s="98"/>
      <c r="AY455" s="98"/>
      <c r="AZ455" s="98"/>
      <c r="BA455" s="98"/>
      <c r="BB455" s="98"/>
      <c r="BC455" s="99"/>
      <c r="BD455" s="99"/>
      <c r="BE455" s="97"/>
      <c r="BF455" s="98"/>
      <c r="BG455" s="98"/>
      <c r="BH455" s="98"/>
      <c r="BI455" s="98"/>
      <c r="BJ455" s="98"/>
      <c r="BK455" s="99"/>
      <c r="BL455" s="99"/>
      <c r="BM455" s="97"/>
      <c r="BN455" s="98"/>
      <c r="BO455" s="98"/>
      <c r="BP455" s="98"/>
      <c r="BQ455" s="98"/>
      <c r="BR455" s="98"/>
      <c r="BS455" s="99"/>
      <c r="BT455" s="99"/>
    </row>
    <row r="456" spans="1:72">
      <c r="A456" s="97"/>
      <c r="B456" s="98"/>
      <c r="C456" s="98"/>
      <c r="D456" s="98"/>
      <c r="E456" s="98"/>
      <c r="F456" s="98"/>
      <c r="G456" s="99"/>
      <c r="H456" s="99"/>
      <c r="I456" s="97"/>
      <c r="J456" s="98"/>
      <c r="K456" s="98"/>
      <c r="L456" s="98"/>
      <c r="M456" s="98"/>
      <c r="N456" s="98"/>
      <c r="O456" s="99"/>
      <c r="P456" s="99"/>
      <c r="Q456" s="97"/>
      <c r="R456" s="98"/>
      <c r="S456" s="98"/>
      <c r="T456" s="98"/>
      <c r="U456" s="98"/>
      <c r="V456" s="98"/>
      <c r="W456" s="99"/>
      <c r="X456" s="99"/>
      <c r="Y456" s="97"/>
      <c r="Z456" s="98"/>
      <c r="AA456" s="98"/>
      <c r="AB456" s="98"/>
      <c r="AC456" s="98"/>
      <c r="AD456" s="98"/>
      <c r="AE456" s="99"/>
      <c r="AF456" s="99"/>
      <c r="AG456" s="97"/>
      <c r="AH456" s="98"/>
      <c r="AI456" s="98"/>
      <c r="AJ456" s="98"/>
      <c r="AK456" s="98"/>
      <c r="AL456" s="98"/>
      <c r="AM456" s="99"/>
      <c r="AN456" s="99"/>
      <c r="AO456" s="97"/>
      <c r="AP456" s="98"/>
      <c r="AQ456" s="98"/>
      <c r="AR456" s="98"/>
      <c r="AS456" s="98"/>
      <c r="AT456" s="98"/>
      <c r="AU456" s="99"/>
      <c r="AV456" s="99"/>
      <c r="AW456" s="97"/>
      <c r="AX456" s="98"/>
      <c r="AY456" s="98"/>
      <c r="AZ456" s="98"/>
      <c r="BA456" s="98"/>
      <c r="BB456" s="98"/>
      <c r="BC456" s="99"/>
      <c r="BD456" s="99"/>
      <c r="BE456" s="97"/>
      <c r="BF456" s="98"/>
      <c r="BG456" s="98"/>
      <c r="BH456" s="98"/>
      <c r="BI456" s="98"/>
      <c r="BJ456" s="98"/>
      <c r="BK456" s="99"/>
      <c r="BL456" s="99"/>
      <c r="BM456" s="97"/>
      <c r="BN456" s="98"/>
      <c r="BO456" s="98"/>
      <c r="BP456" s="98"/>
      <c r="BQ456" s="98"/>
      <c r="BR456" s="98"/>
      <c r="BS456" s="99"/>
      <c r="BT456" s="99"/>
    </row>
    <row r="457" spans="1:72">
      <c r="A457" s="97"/>
      <c r="B457" s="98"/>
      <c r="C457" s="98"/>
      <c r="D457" s="98"/>
      <c r="E457" s="98"/>
      <c r="F457" s="98"/>
      <c r="G457" s="99"/>
      <c r="H457" s="99"/>
      <c r="I457" s="97"/>
      <c r="J457" s="98"/>
      <c r="K457" s="98"/>
      <c r="L457" s="98"/>
      <c r="M457" s="98"/>
      <c r="N457" s="98"/>
      <c r="O457" s="99"/>
      <c r="P457" s="99"/>
      <c r="Q457" s="97"/>
      <c r="R457" s="98"/>
      <c r="S457" s="98"/>
      <c r="T457" s="98"/>
      <c r="U457" s="98"/>
      <c r="V457" s="98"/>
      <c r="W457" s="99"/>
      <c r="X457" s="99"/>
      <c r="Y457" s="97"/>
      <c r="Z457" s="98"/>
      <c r="AA457" s="98"/>
      <c r="AB457" s="98"/>
      <c r="AC457" s="98"/>
      <c r="AD457" s="98"/>
      <c r="AE457" s="99"/>
      <c r="AF457" s="99"/>
      <c r="AG457" s="97"/>
      <c r="AH457" s="98"/>
      <c r="AI457" s="98"/>
      <c r="AJ457" s="98"/>
      <c r="AK457" s="98"/>
      <c r="AL457" s="98"/>
      <c r="AM457" s="99"/>
      <c r="AN457" s="99"/>
      <c r="AO457" s="97"/>
      <c r="AP457" s="98"/>
      <c r="AQ457" s="98"/>
      <c r="AR457" s="98"/>
      <c r="AS457" s="98"/>
      <c r="AT457" s="98"/>
      <c r="AU457" s="99"/>
      <c r="AV457" s="99"/>
      <c r="AW457" s="97"/>
      <c r="AX457" s="98"/>
      <c r="AY457" s="98"/>
      <c r="AZ457" s="98"/>
      <c r="BA457" s="98"/>
      <c r="BB457" s="98"/>
      <c r="BC457" s="99"/>
      <c r="BD457" s="99"/>
      <c r="BE457" s="97"/>
      <c r="BF457" s="98"/>
      <c r="BG457" s="98"/>
      <c r="BH457" s="98"/>
      <c r="BI457" s="98"/>
      <c r="BJ457" s="98"/>
      <c r="BK457" s="99"/>
      <c r="BL457" s="99"/>
      <c r="BM457" s="97"/>
      <c r="BN457" s="98"/>
      <c r="BO457" s="98"/>
      <c r="BP457" s="98"/>
      <c r="BQ457" s="98"/>
      <c r="BR457" s="98"/>
      <c r="BS457" s="99"/>
      <c r="BT457" s="99"/>
    </row>
    <row r="458" spans="1:72">
      <c r="A458" s="97"/>
      <c r="B458" s="98"/>
      <c r="C458" s="98"/>
      <c r="D458" s="98"/>
      <c r="E458" s="98"/>
      <c r="F458" s="98"/>
      <c r="G458" s="99"/>
      <c r="H458" s="99"/>
      <c r="I458" s="97"/>
      <c r="J458" s="98"/>
      <c r="K458" s="98"/>
      <c r="L458" s="98"/>
      <c r="M458" s="98"/>
      <c r="N458" s="98"/>
      <c r="O458" s="99"/>
      <c r="P458" s="99"/>
      <c r="Q458" s="97"/>
      <c r="R458" s="98"/>
      <c r="S458" s="98"/>
      <c r="T458" s="98"/>
      <c r="U458" s="98"/>
      <c r="V458" s="98"/>
      <c r="W458" s="99"/>
      <c r="X458" s="99"/>
      <c r="Y458" s="97"/>
      <c r="Z458" s="98"/>
      <c r="AA458" s="98"/>
      <c r="AB458" s="98"/>
      <c r="AC458" s="98"/>
      <c r="AD458" s="98"/>
      <c r="AE458" s="99"/>
      <c r="AF458" s="99"/>
      <c r="AG458" s="97"/>
      <c r="AH458" s="98"/>
      <c r="AI458" s="98"/>
      <c r="AJ458" s="98"/>
      <c r="AK458" s="98"/>
      <c r="AL458" s="98"/>
      <c r="AM458" s="99"/>
      <c r="AN458" s="99"/>
      <c r="AO458" s="97"/>
      <c r="AP458" s="98"/>
      <c r="AQ458" s="98"/>
      <c r="AR458" s="98"/>
      <c r="AS458" s="98"/>
      <c r="AT458" s="98"/>
      <c r="AU458" s="99"/>
      <c r="AV458" s="99"/>
      <c r="AW458" s="97"/>
      <c r="AX458" s="98"/>
      <c r="AY458" s="98"/>
      <c r="AZ458" s="98"/>
      <c r="BA458" s="98"/>
      <c r="BB458" s="98"/>
      <c r="BC458" s="99"/>
      <c r="BD458" s="99"/>
      <c r="BE458" s="97"/>
      <c r="BF458" s="98"/>
      <c r="BG458" s="98"/>
      <c r="BH458" s="98"/>
      <c r="BI458" s="98"/>
      <c r="BJ458" s="98"/>
      <c r="BK458" s="99"/>
      <c r="BL458" s="99"/>
      <c r="BM458" s="97"/>
      <c r="BN458" s="98"/>
      <c r="BO458" s="98"/>
      <c r="BP458" s="98"/>
      <c r="BQ458" s="98"/>
      <c r="BR458" s="98"/>
      <c r="BS458" s="99"/>
      <c r="BT458" s="99"/>
    </row>
    <row r="459" spans="1:72">
      <c r="A459" s="97"/>
      <c r="B459" s="98"/>
      <c r="C459" s="98"/>
      <c r="D459" s="98"/>
      <c r="E459" s="98"/>
      <c r="F459" s="98"/>
      <c r="G459" s="99"/>
      <c r="H459" s="99"/>
      <c r="I459" s="97"/>
      <c r="J459" s="98"/>
      <c r="K459" s="98"/>
      <c r="L459" s="98"/>
      <c r="M459" s="98"/>
      <c r="N459" s="98"/>
      <c r="O459" s="99"/>
      <c r="P459" s="99"/>
      <c r="Q459" s="97"/>
      <c r="R459" s="98"/>
      <c r="S459" s="98"/>
      <c r="T459" s="98"/>
      <c r="U459" s="98"/>
      <c r="V459" s="98"/>
      <c r="W459" s="99"/>
      <c r="X459" s="99"/>
      <c r="Y459" s="97"/>
      <c r="Z459" s="98"/>
      <c r="AA459" s="98"/>
      <c r="AB459" s="98"/>
      <c r="AC459" s="98"/>
      <c r="AD459" s="98"/>
      <c r="AE459" s="99"/>
      <c r="AF459" s="99"/>
      <c r="AG459" s="97"/>
      <c r="AH459" s="98"/>
      <c r="AI459" s="98"/>
      <c r="AJ459" s="98"/>
      <c r="AK459" s="98"/>
      <c r="AL459" s="98"/>
      <c r="AM459" s="99"/>
      <c r="AN459" s="99"/>
      <c r="AO459" s="97"/>
      <c r="AP459" s="98"/>
      <c r="AQ459" s="98"/>
      <c r="AR459" s="98"/>
      <c r="AS459" s="98"/>
      <c r="AT459" s="98"/>
      <c r="AU459" s="99"/>
      <c r="AV459" s="99"/>
      <c r="AW459" s="97"/>
      <c r="AX459" s="98"/>
      <c r="AY459" s="98"/>
      <c r="AZ459" s="98"/>
      <c r="BA459" s="98"/>
      <c r="BB459" s="98"/>
      <c r="BC459" s="99"/>
      <c r="BD459" s="99"/>
      <c r="BE459" s="97"/>
      <c r="BF459" s="98"/>
      <c r="BG459" s="98"/>
      <c r="BH459" s="98"/>
      <c r="BI459" s="98"/>
      <c r="BJ459" s="98"/>
      <c r="BK459" s="99"/>
      <c r="BL459" s="99"/>
      <c r="BM459" s="97"/>
      <c r="BN459" s="98"/>
      <c r="BO459" s="98"/>
      <c r="BP459" s="98"/>
      <c r="BQ459" s="98"/>
      <c r="BR459" s="98"/>
      <c r="BS459" s="99"/>
      <c r="BT459" s="99"/>
    </row>
    <row r="460" spans="1:72">
      <c r="A460" s="97"/>
      <c r="B460" s="98"/>
      <c r="C460" s="98"/>
      <c r="D460" s="98"/>
      <c r="E460" s="98"/>
      <c r="F460" s="98"/>
      <c r="G460" s="99"/>
      <c r="H460" s="99"/>
      <c r="I460" s="97"/>
      <c r="J460" s="98"/>
      <c r="K460" s="98"/>
      <c r="L460" s="98"/>
      <c r="M460" s="98"/>
      <c r="N460" s="98"/>
      <c r="O460" s="99"/>
      <c r="P460" s="99"/>
      <c r="Q460" s="97"/>
      <c r="R460" s="98"/>
      <c r="S460" s="98"/>
      <c r="T460" s="98"/>
      <c r="U460" s="98"/>
      <c r="V460" s="98"/>
      <c r="W460" s="99"/>
      <c r="X460" s="99"/>
      <c r="Y460" s="97"/>
      <c r="Z460" s="98"/>
      <c r="AA460" s="98"/>
      <c r="AB460" s="98"/>
      <c r="AC460" s="98"/>
      <c r="AD460" s="98"/>
      <c r="AE460" s="99"/>
      <c r="AF460" s="99"/>
      <c r="AG460" s="97"/>
      <c r="AH460" s="98"/>
      <c r="AI460" s="98"/>
      <c r="AJ460" s="98"/>
      <c r="AK460" s="98"/>
      <c r="AL460" s="98"/>
      <c r="AM460" s="99"/>
      <c r="AN460" s="99"/>
      <c r="AO460" s="97"/>
      <c r="AP460" s="98"/>
      <c r="AQ460" s="98"/>
      <c r="AR460" s="98"/>
      <c r="AS460" s="98"/>
      <c r="AT460" s="98"/>
      <c r="AU460" s="99"/>
      <c r="AV460" s="99"/>
      <c r="AW460" s="97"/>
      <c r="AX460" s="98"/>
      <c r="AY460" s="98"/>
      <c r="AZ460" s="98"/>
      <c r="BA460" s="98"/>
      <c r="BB460" s="98"/>
      <c r="BC460" s="99"/>
      <c r="BD460" s="99"/>
      <c r="BE460" s="97"/>
      <c r="BF460" s="98"/>
      <c r="BG460" s="98"/>
      <c r="BH460" s="98"/>
      <c r="BI460" s="98"/>
      <c r="BJ460" s="98"/>
      <c r="BK460" s="99"/>
      <c r="BL460" s="99"/>
      <c r="BM460" s="97"/>
      <c r="BN460" s="98"/>
      <c r="BO460" s="98"/>
      <c r="BP460" s="98"/>
      <c r="BQ460" s="98"/>
      <c r="BR460" s="98"/>
      <c r="BS460" s="99"/>
      <c r="BT460" s="99"/>
    </row>
    <row r="461" spans="1:72">
      <c r="A461" s="97"/>
      <c r="B461" s="98"/>
      <c r="C461" s="98"/>
      <c r="D461" s="98"/>
      <c r="E461" s="98"/>
      <c r="F461" s="98"/>
      <c r="G461" s="99"/>
      <c r="H461" s="99"/>
      <c r="I461" s="97"/>
      <c r="J461" s="98"/>
      <c r="K461" s="98"/>
      <c r="L461" s="98"/>
      <c r="M461" s="98"/>
      <c r="N461" s="98"/>
      <c r="O461" s="99"/>
      <c r="P461" s="99"/>
      <c r="Q461" s="97"/>
      <c r="R461" s="98"/>
      <c r="S461" s="98"/>
      <c r="T461" s="98"/>
      <c r="U461" s="98"/>
      <c r="V461" s="98"/>
      <c r="W461" s="99"/>
      <c r="X461" s="99"/>
      <c r="Y461" s="97"/>
      <c r="Z461" s="98"/>
      <c r="AA461" s="98"/>
      <c r="AB461" s="98"/>
      <c r="AC461" s="98"/>
      <c r="AD461" s="98"/>
      <c r="AE461" s="99"/>
      <c r="AF461" s="99"/>
      <c r="AG461" s="97"/>
      <c r="AH461" s="98"/>
      <c r="AI461" s="98"/>
      <c r="AJ461" s="98"/>
      <c r="AK461" s="98"/>
      <c r="AL461" s="98"/>
      <c r="AM461" s="99"/>
      <c r="AN461" s="99"/>
      <c r="AO461" s="97"/>
      <c r="AP461" s="98"/>
      <c r="AQ461" s="98"/>
      <c r="AR461" s="98"/>
      <c r="AS461" s="98"/>
      <c r="AT461" s="98"/>
      <c r="AU461" s="99"/>
      <c r="AV461" s="99"/>
      <c r="AW461" s="97"/>
      <c r="AX461" s="98"/>
      <c r="AY461" s="98"/>
      <c r="AZ461" s="98"/>
      <c r="BA461" s="98"/>
      <c r="BB461" s="98"/>
      <c r="BC461" s="99"/>
      <c r="BD461" s="99"/>
      <c r="BE461" s="97"/>
      <c r="BF461" s="98"/>
      <c r="BG461" s="98"/>
      <c r="BH461" s="98"/>
      <c r="BI461" s="98"/>
      <c r="BJ461" s="98"/>
      <c r="BK461" s="99"/>
      <c r="BL461" s="99"/>
      <c r="BM461" s="97"/>
      <c r="BN461" s="98"/>
      <c r="BO461" s="98"/>
      <c r="BP461" s="98"/>
      <c r="BQ461" s="98"/>
      <c r="BR461" s="98"/>
      <c r="BS461" s="99"/>
      <c r="BT461" s="99"/>
    </row>
    <row r="462" spans="1:72">
      <c r="A462" s="97"/>
      <c r="B462" s="98"/>
      <c r="C462" s="98"/>
      <c r="D462" s="98"/>
      <c r="E462" s="98"/>
      <c r="F462" s="98"/>
      <c r="G462" s="99"/>
      <c r="H462" s="99"/>
      <c r="I462" s="97"/>
      <c r="J462" s="98"/>
      <c r="K462" s="98"/>
      <c r="L462" s="98"/>
      <c r="M462" s="98"/>
      <c r="N462" s="98"/>
      <c r="O462" s="99"/>
      <c r="P462" s="99"/>
      <c r="Q462" s="97"/>
      <c r="R462" s="98"/>
      <c r="S462" s="98"/>
      <c r="T462" s="98"/>
      <c r="U462" s="98"/>
      <c r="V462" s="98"/>
      <c r="W462" s="99"/>
      <c r="X462" s="99"/>
      <c r="Y462" s="97"/>
      <c r="Z462" s="98"/>
      <c r="AA462" s="98"/>
      <c r="AB462" s="98"/>
      <c r="AC462" s="98"/>
      <c r="AD462" s="98"/>
      <c r="AE462" s="99"/>
      <c r="AF462" s="99"/>
      <c r="AG462" s="97"/>
      <c r="AH462" s="98"/>
      <c r="AI462" s="98"/>
      <c r="AJ462" s="98"/>
      <c r="AK462" s="98"/>
      <c r="AL462" s="98"/>
      <c r="AM462" s="99"/>
      <c r="AN462" s="99"/>
      <c r="AO462" s="97"/>
      <c r="AP462" s="98"/>
      <c r="AQ462" s="98"/>
      <c r="AR462" s="98"/>
      <c r="AS462" s="98"/>
      <c r="AT462" s="98"/>
      <c r="AU462" s="99"/>
      <c r="AV462" s="99"/>
      <c r="AW462" s="97"/>
      <c r="AX462" s="98"/>
      <c r="AY462" s="98"/>
      <c r="AZ462" s="98"/>
      <c r="BA462" s="98"/>
      <c r="BB462" s="98"/>
      <c r="BC462" s="99"/>
      <c r="BD462" s="99"/>
      <c r="BE462" s="97"/>
      <c r="BF462" s="98"/>
      <c r="BG462" s="98"/>
      <c r="BH462" s="98"/>
      <c r="BI462" s="98"/>
      <c r="BJ462" s="98"/>
      <c r="BK462" s="99"/>
      <c r="BL462" s="99"/>
      <c r="BM462" s="97"/>
      <c r="BN462" s="98"/>
      <c r="BO462" s="98"/>
      <c r="BP462" s="98"/>
      <c r="BQ462" s="98"/>
      <c r="BR462" s="98"/>
      <c r="BS462" s="99"/>
      <c r="BT462" s="99"/>
    </row>
    <row r="463" spans="1:72">
      <c r="A463" s="97"/>
      <c r="B463" s="98"/>
      <c r="C463" s="98"/>
      <c r="D463" s="98"/>
      <c r="E463" s="98"/>
      <c r="F463" s="98"/>
      <c r="G463" s="99"/>
      <c r="H463" s="99"/>
      <c r="I463" s="97"/>
      <c r="J463" s="98"/>
      <c r="K463" s="98"/>
      <c r="L463" s="98"/>
      <c r="M463" s="98"/>
      <c r="N463" s="98"/>
      <c r="O463" s="99"/>
      <c r="P463" s="99"/>
      <c r="Q463" s="97"/>
      <c r="R463" s="98"/>
      <c r="S463" s="98"/>
      <c r="T463" s="98"/>
      <c r="U463" s="98"/>
      <c r="V463" s="98"/>
      <c r="W463" s="99"/>
      <c r="X463" s="99"/>
      <c r="Y463" s="97"/>
      <c r="Z463" s="98"/>
      <c r="AA463" s="98"/>
      <c r="AB463" s="98"/>
      <c r="AC463" s="98"/>
      <c r="AD463" s="98"/>
      <c r="AE463" s="99"/>
      <c r="AF463" s="99"/>
      <c r="AG463" s="97"/>
      <c r="AH463" s="98"/>
      <c r="AI463" s="98"/>
      <c r="AJ463" s="98"/>
      <c r="AK463" s="98"/>
      <c r="AL463" s="98"/>
      <c r="AM463" s="99"/>
      <c r="AN463" s="99"/>
      <c r="AO463" s="97"/>
      <c r="AP463" s="98"/>
      <c r="AQ463" s="98"/>
      <c r="AR463" s="98"/>
      <c r="AS463" s="98"/>
      <c r="AT463" s="98"/>
      <c r="AU463" s="99"/>
      <c r="AV463" s="99"/>
      <c r="AW463" s="97"/>
      <c r="AX463" s="98"/>
      <c r="AY463" s="98"/>
      <c r="AZ463" s="98"/>
      <c r="BA463" s="98"/>
      <c r="BB463" s="98"/>
      <c r="BC463" s="99"/>
      <c r="BD463" s="99"/>
      <c r="BE463" s="97"/>
      <c r="BF463" s="98"/>
      <c r="BG463" s="98"/>
      <c r="BH463" s="98"/>
      <c r="BI463" s="98"/>
      <c r="BJ463" s="98"/>
      <c r="BK463" s="99"/>
      <c r="BL463" s="99"/>
      <c r="BM463" s="97"/>
      <c r="BN463" s="98"/>
      <c r="BO463" s="98"/>
      <c r="BP463" s="98"/>
      <c r="BQ463" s="98"/>
      <c r="BR463" s="98"/>
      <c r="BS463" s="99"/>
      <c r="BT463" s="99"/>
    </row>
    <row r="464" spans="1:72">
      <c r="A464" s="97"/>
      <c r="B464" s="98"/>
      <c r="C464" s="98"/>
      <c r="D464" s="98"/>
      <c r="E464" s="98"/>
      <c r="F464" s="98"/>
      <c r="G464" s="99"/>
      <c r="H464" s="99"/>
      <c r="I464" s="97"/>
      <c r="J464" s="98"/>
      <c r="K464" s="98"/>
      <c r="L464" s="98"/>
      <c r="M464" s="98"/>
      <c r="N464" s="98"/>
      <c r="O464" s="99"/>
      <c r="P464" s="99"/>
      <c r="Q464" s="97"/>
      <c r="R464" s="98"/>
      <c r="S464" s="98"/>
      <c r="T464" s="98"/>
      <c r="U464" s="98"/>
      <c r="V464" s="98"/>
      <c r="W464" s="99"/>
      <c r="X464" s="99"/>
      <c r="Y464" s="97"/>
      <c r="Z464" s="98"/>
      <c r="AA464" s="98"/>
      <c r="AB464" s="98"/>
      <c r="AC464" s="98"/>
      <c r="AD464" s="98"/>
      <c r="AE464" s="99"/>
      <c r="AF464" s="99"/>
      <c r="AG464" s="97"/>
      <c r="AH464" s="98"/>
      <c r="AI464" s="98"/>
      <c r="AJ464" s="98"/>
      <c r="AK464" s="98"/>
      <c r="AL464" s="98"/>
      <c r="AM464" s="99"/>
      <c r="AN464" s="99"/>
      <c r="AO464" s="97"/>
      <c r="AP464" s="98"/>
      <c r="AQ464" s="98"/>
      <c r="AR464" s="98"/>
      <c r="AS464" s="98"/>
      <c r="AT464" s="98"/>
      <c r="AU464" s="99"/>
      <c r="AV464" s="99"/>
      <c r="AW464" s="97"/>
      <c r="AX464" s="98"/>
      <c r="AY464" s="98"/>
      <c r="AZ464" s="98"/>
      <c r="BA464" s="98"/>
      <c r="BB464" s="98"/>
      <c r="BC464" s="99"/>
      <c r="BD464" s="99"/>
      <c r="BE464" s="97"/>
      <c r="BF464" s="98"/>
      <c r="BG464" s="98"/>
      <c r="BH464" s="98"/>
      <c r="BI464" s="98"/>
      <c r="BJ464" s="98"/>
      <c r="BK464" s="99"/>
      <c r="BL464" s="99"/>
      <c r="BM464" s="97"/>
      <c r="BN464" s="98"/>
      <c r="BO464" s="98"/>
      <c r="BP464" s="98"/>
      <c r="BQ464" s="98"/>
      <c r="BR464" s="98"/>
      <c r="BS464" s="99"/>
      <c r="BT464" s="99"/>
    </row>
    <row r="465" spans="1:72">
      <c r="A465" s="97"/>
      <c r="B465" s="98"/>
      <c r="C465" s="98"/>
      <c r="D465" s="98"/>
      <c r="E465" s="98"/>
      <c r="F465" s="98"/>
      <c r="G465" s="99"/>
      <c r="H465" s="99"/>
      <c r="I465" s="97"/>
      <c r="J465" s="98"/>
      <c r="K465" s="98"/>
      <c r="L465" s="98"/>
      <c r="M465" s="98"/>
      <c r="N465" s="98"/>
      <c r="O465" s="99"/>
      <c r="P465" s="99"/>
      <c r="Q465" s="97"/>
      <c r="R465" s="98"/>
      <c r="S465" s="98"/>
      <c r="T465" s="98"/>
      <c r="U465" s="98"/>
      <c r="V465" s="98"/>
      <c r="W465" s="99"/>
      <c r="X465" s="99"/>
      <c r="Y465" s="97"/>
      <c r="Z465" s="98"/>
      <c r="AA465" s="98"/>
      <c r="AB465" s="98"/>
      <c r="AC465" s="98"/>
      <c r="AD465" s="98"/>
      <c r="AE465" s="99"/>
      <c r="AF465" s="99"/>
      <c r="AG465" s="97"/>
      <c r="AH465" s="98"/>
      <c r="AI465" s="98"/>
      <c r="AJ465" s="98"/>
      <c r="AK465" s="98"/>
      <c r="AL465" s="98"/>
      <c r="AM465" s="99"/>
      <c r="AN465" s="99"/>
      <c r="AO465" s="97"/>
      <c r="AP465" s="98"/>
      <c r="AQ465" s="98"/>
      <c r="AR465" s="98"/>
      <c r="AS465" s="98"/>
      <c r="AT465" s="98"/>
      <c r="AU465" s="99"/>
      <c r="AV465" s="99"/>
      <c r="AW465" s="97"/>
      <c r="AX465" s="98"/>
      <c r="AY465" s="98"/>
      <c r="AZ465" s="98"/>
      <c r="BA465" s="98"/>
      <c r="BB465" s="98"/>
      <c r="BC465" s="99"/>
      <c r="BD465" s="99"/>
      <c r="BE465" s="97"/>
      <c r="BF465" s="98"/>
      <c r="BG465" s="98"/>
      <c r="BH465" s="98"/>
      <c r="BI465" s="98"/>
      <c r="BJ465" s="98"/>
      <c r="BK465" s="99"/>
      <c r="BL465" s="99"/>
      <c r="BM465" s="97"/>
      <c r="BN465" s="98"/>
      <c r="BO465" s="98"/>
      <c r="BP465" s="98"/>
      <c r="BQ465" s="98"/>
      <c r="BR465" s="98"/>
      <c r="BS465" s="99"/>
      <c r="BT465" s="99"/>
    </row>
    <row r="466" spans="1:72">
      <c r="A466" s="97"/>
      <c r="B466" s="98"/>
      <c r="C466" s="98"/>
      <c r="D466" s="98"/>
      <c r="E466" s="98"/>
      <c r="F466" s="98"/>
      <c r="G466" s="99"/>
      <c r="H466" s="99"/>
      <c r="I466" s="97"/>
      <c r="J466" s="98"/>
      <c r="K466" s="98"/>
      <c r="L466" s="98"/>
      <c r="M466" s="98"/>
      <c r="N466" s="98"/>
      <c r="O466" s="99"/>
      <c r="P466" s="99"/>
      <c r="Q466" s="97"/>
      <c r="R466" s="98"/>
      <c r="S466" s="98"/>
      <c r="T466" s="98"/>
      <c r="U466" s="98"/>
      <c r="V466" s="98"/>
      <c r="W466" s="99"/>
      <c r="X466" s="99"/>
      <c r="Y466" s="97"/>
      <c r="Z466" s="98"/>
      <c r="AA466" s="98"/>
      <c r="AB466" s="98"/>
      <c r="AC466" s="98"/>
      <c r="AD466" s="98"/>
      <c r="AE466" s="99"/>
      <c r="AF466" s="99"/>
      <c r="AG466" s="97"/>
      <c r="AH466" s="98"/>
      <c r="AI466" s="98"/>
      <c r="AJ466" s="98"/>
      <c r="AK466" s="98"/>
      <c r="AL466" s="98"/>
      <c r="AM466" s="99"/>
      <c r="AN466" s="99"/>
      <c r="AO466" s="97"/>
      <c r="AP466" s="98"/>
      <c r="AQ466" s="98"/>
      <c r="AR466" s="98"/>
      <c r="AS466" s="98"/>
      <c r="AT466" s="98"/>
      <c r="AU466" s="99"/>
      <c r="AV466" s="99"/>
      <c r="AW466" s="97"/>
      <c r="AX466" s="98"/>
      <c r="AY466" s="98"/>
      <c r="AZ466" s="98"/>
      <c r="BA466" s="98"/>
      <c r="BB466" s="98"/>
      <c r="BC466" s="99"/>
      <c r="BD466" s="99"/>
      <c r="BE466" s="97"/>
      <c r="BF466" s="98"/>
      <c r="BG466" s="98"/>
      <c r="BH466" s="98"/>
      <c r="BI466" s="98"/>
      <c r="BJ466" s="98"/>
      <c r="BK466" s="99"/>
      <c r="BL466" s="99"/>
      <c r="BM466" s="97"/>
      <c r="BN466" s="98"/>
      <c r="BO466" s="98"/>
      <c r="BP466" s="98"/>
      <c r="BQ466" s="98"/>
      <c r="BR466" s="98"/>
      <c r="BS466" s="99"/>
      <c r="BT466" s="99"/>
    </row>
    <row r="467" spans="1:72">
      <c r="A467" s="97"/>
      <c r="B467" s="98"/>
      <c r="C467" s="98"/>
      <c r="D467" s="98"/>
      <c r="E467" s="98"/>
      <c r="F467" s="98"/>
      <c r="G467" s="99"/>
      <c r="H467" s="99"/>
      <c r="I467" s="97"/>
      <c r="J467" s="98"/>
      <c r="K467" s="98"/>
      <c r="L467" s="98"/>
      <c r="M467" s="98"/>
      <c r="N467" s="98"/>
      <c r="O467" s="99"/>
      <c r="P467" s="99"/>
      <c r="Q467" s="97"/>
      <c r="R467" s="98"/>
      <c r="S467" s="98"/>
      <c r="T467" s="98"/>
      <c r="U467" s="98"/>
      <c r="V467" s="98"/>
      <c r="W467" s="99"/>
      <c r="X467" s="99"/>
      <c r="Y467" s="97"/>
      <c r="Z467" s="98"/>
      <c r="AA467" s="98"/>
      <c r="AB467" s="98"/>
      <c r="AC467" s="98"/>
      <c r="AD467" s="98"/>
      <c r="AE467" s="99"/>
      <c r="AF467" s="99"/>
      <c r="AG467" s="97"/>
      <c r="AH467" s="98"/>
      <c r="AI467" s="98"/>
      <c r="AJ467" s="98"/>
      <c r="AK467" s="98"/>
      <c r="AL467" s="98"/>
      <c r="AM467" s="99"/>
      <c r="AN467" s="99"/>
      <c r="AO467" s="97"/>
      <c r="AP467" s="98"/>
      <c r="AQ467" s="98"/>
      <c r="AR467" s="98"/>
      <c r="AS467" s="98"/>
      <c r="AT467" s="98"/>
      <c r="AU467" s="99"/>
      <c r="AV467" s="99"/>
      <c r="AW467" s="97"/>
      <c r="AX467" s="98"/>
      <c r="AY467" s="98"/>
      <c r="AZ467" s="98"/>
      <c r="BA467" s="98"/>
      <c r="BB467" s="98"/>
      <c r="BC467" s="99"/>
      <c r="BD467" s="99"/>
      <c r="BE467" s="97"/>
      <c r="BF467" s="98"/>
      <c r="BG467" s="98"/>
      <c r="BH467" s="98"/>
      <c r="BI467" s="98"/>
      <c r="BJ467" s="98"/>
      <c r="BK467" s="99"/>
      <c r="BL467" s="99"/>
      <c r="BM467" s="97"/>
      <c r="BN467" s="98"/>
      <c r="BO467" s="98"/>
      <c r="BP467" s="98"/>
      <c r="BQ467" s="98"/>
      <c r="BR467" s="98"/>
      <c r="BS467" s="99"/>
      <c r="BT467" s="99"/>
    </row>
    <row r="468" spans="1:72">
      <c r="A468" s="97"/>
      <c r="B468" s="98"/>
      <c r="C468" s="98"/>
      <c r="D468" s="98"/>
      <c r="E468" s="98"/>
      <c r="F468" s="98"/>
      <c r="G468" s="99"/>
      <c r="H468" s="99"/>
      <c r="I468" s="97"/>
      <c r="J468" s="98"/>
      <c r="K468" s="98"/>
      <c r="L468" s="98"/>
      <c r="M468" s="98"/>
      <c r="N468" s="98"/>
      <c r="O468" s="99"/>
      <c r="P468" s="99"/>
      <c r="Q468" s="97"/>
      <c r="R468" s="98"/>
      <c r="S468" s="98"/>
      <c r="T468" s="98"/>
      <c r="U468" s="98"/>
      <c r="V468" s="98"/>
      <c r="W468" s="99"/>
      <c r="X468" s="99"/>
      <c r="Y468" s="97"/>
      <c r="Z468" s="98"/>
      <c r="AA468" s="98"/>
      <c r="AB468" s="98"/>
      <c r="AC468" s="98"/>
      <c r="AD468" s="98"/>
      <c r="AE468" s="99"/>
      <c r="AF468" s="99"/>
      <c r="AG468" s="97"/>
      <c r="AH468" s="98"/>
      <c r="AI468" s="98"/>
      <c r="AJ468" s="98"/>
      <c r="AK468" s="98"/>
      <c r="AL468" s="98"/>
      <c r="AM468" s="99"/>
      <c r="AN468" s="99"/>
      <c r="AO468" s="97"/>
      <c r="AP468" s="98"/>
      <c r="AQ468" s="98"/>
      <c r="AR468" s="98"/>
      <c r="AS468" s="98"/>
      <c r="AT468" s="98"/>
      <c r="AU468" s="99"/>
      <c r="AV468" s="99"/>
      <c r="AW468" s="97"/>
      <c r="AX468" s="98"/>
      <c r="AY468" s="98"/>
      <c r="AZ468" s="98"/>
      <c r="BA468" s="98"/>
      <c r="BB468" s="98"/>
      <c r="BC468" s="99"/>
      <c r="BD468" s="99"/>
      <c r="BE468" s="97"/>
      <c r="BF468" s="98"/>
      <c r="BG468" s="98"/>
      <c r="BH468" s="98"/>
      <c r="BI468" s="98"/>
      <c r="BJ468" s="98"/>
      <c r="BK468" s="99"/>
      <c r="BL468" s="99"/>
      <c r="BM468" s="97"/>
      <c r="BN468" s="98"/>
      <c r="BO468" s="98"/>
      <c r="BP468" s="98"/>
      <c r="BQ468" s="98"/>
      <c r="BR468" s="98"/>
      <c r="BS468" s="99"/>
      <c r="BT468" s="99"/>
    </row>
    <row r="469" spans="1:72">
      <c r="A469" s="97"/>
      <c r="B469" s="98"/>
      <c r="C469" s="98"/>
      <c r="D469" s="98"/>
      <c r="E469" s="98"/>
      <c r="F469" s="98"/>
      <c r="G469" s="99"/>
      <c r="H469" s="99"/>
      <c r="I469" s="97"/>
      <c r="J469" s="98"/>
      <c r="K469" s="98"/>
      <c r="L469" s="98"/>
      <c r="M469" s="98"/>
      <c r="N469" s="98"/>
      <c r="O469" s="99"/>
      <c r="P469" s="99"/>
      <c r="Q469" s="97"/>
      <c r="R469" s="98"/>
      <c r="S469" s="98"/>
      <c r="T469" s="98"/>
      <c r="U469" s="98"/>
      <c r="V469" s="98"/>
      <c r="W469" s="99"/>
      <c r="X469" s="99"/>
      <c r="Y469" s="97"/>
      <c r="Z469" s="98"/>
      <c r="AA469" s="98"/>
      <c r="AB469" s="98"/>
      <c r="AC469" s="98"/>
      <c r="AD469" s="98"/>
      <c r="AE469" s="99"/>
      <c r="AF469" s="99"/>
      <c r="AG469" s="97"/>
      <c r="AH469" s="98"/>
      <c r="AI469" s="98"/>
      <c r="AJ469" s="98"/>
      <c r="AK469" s="98"/>
      <c r="AL469" s="98"/>
      <c r="AM469" s="99"/>
      <c r="AN469" s="99"/>
      <c r="AO469" s="97"/>
      <c r="AP469" s="98"/>
      <c r="AQ469" s="98"/>
      <c r="AR469" s="98"/>
      <c r="AS469" s="98"/>
      <c r="AT469" s="98"/>
      <c r="AU469" s="99"/>
      <c r="AV469" s="99"/>
      <c r="AW469" s="97"/>
      <c r="AX469" s="98"/>
      <c r="AY469" s="98"/>
      <c r="AZ469" s="98"/>
      <c r="BA469" s="98"/>
      <c r="BB469" s="98"/>
      <c r="BC469" s="99"/>
      <c r="BD469" s="99"/>
      <c r="BE469" s="97"/>
      <c r="BF469" s="98"/>
      <c r="BG469" s="98"/>
      <c r="BH469" s="98"/>
      <c r="BI469" s="98"/>
      <c r="BJ469" s="98"/>
      <c r="BK469" s="99"/>
      <c r="BL469" s="99"/>
      <c r="BM469" s="97"/>
      <c r="BN469" s="98"/>
      <c r="BO469" s="98"/>
      <c r="BP469" s="98"/>
      <c r="BQ469" s="98"/>
      <c r="BR469" s="98"/>
      <c r="BS469" s="99"/>
      <c r="BT469" s="99"/>
    </row>
    <row r="470" spans="1:72">
      <c r="A470" s="97"/>
      <c r="B470" s="98"/>
      <c r="C470" s="98"/>
      <c r="D470" s="98"/>
      <c r="E470" s="98"/>
      <c r="F470" s="98"/>
      <c r="G470" s="99"/>
      <c r="H470" s="99"/>
      <c r="I470" s="97"/>
      <c r="J470" s="98"/>
      <c r="K470" s="98"/>
      <c r="L470" s="98"/>
      <c r="M470" s="98"/>
      <c r="N470" s="98"/>
      <c r="O470" s="99"/>
      <c r="P470" s="99"/>
      <c r="Q470" s="97"/>
      <c r="R470" s="98"/>
      <c r="S470" s="98"/>
      <c r="T470" s="98"/>
      <c r="U470" s="98"/>
      <c r="V470" s="98"/>
      <c r="W470" s="99"/>
      <c r="X470" s="99"/>
      <c r="Y470" s="97"/>
      <c r="Z470" s="98"/>
      <c r="AA470" s="98"/>
      <c r="AB470" s="98"/>
      <c r="AC470" s="98"/>
      <c r="AD470" s="98"/>
      <c r="AE470" s="99"/>
      <c r="AF470" s="99"/>
      <c r="AG470" s="97"/>
      <c r="AH470" s="98"/>
      <c r="AI470" s="98"/>
      <c r="AJ470" s="98"/>
      <c r="AK470" s="98"/>
      <c r="AL470" s="98"/>
      <c r="AM470" s="99"/>
      <c r="AN470" s="99"/>
      <c r="AO470" s="97"/>
      <c r="AP470" s="98"/>
      <c r="AQ470" s="98"/>
      <c r="AR470" s="98"/>
      <c r="AS470" s="98"/>
      <c r="AT470" s="98"/>
      <c r="AU470" s="99"/>
      <c r="AV470" s="99"/>
      <c r="AW470" s="97"/>
      <c r="AX470" s="98"/>
      <c r="AY470" s="98"/>
      <c r="AZ470" s="98"/>
      <c r="BA470" s="98"/>
      <c r="BB470" s="98"/>
      <c r="BC470" s="99"/>
      <c r="BD470" s="99"/>
      <c r="BE470" s="97"/>
      <c r="BF470" s="98"/>
      <c r="BG470" s="98"/>
      <c r="BH470" s="98"/>
      <c r="BI470" s="98"/>
      <c r="BJ470" s="98"/>
      <c r="BK470" s="99"/>
      <c r="BL470" s="99"/>
      <c r="BM470" s="97"/>
      <c r="BN470" s="98"/>
      <c r="BO470" s="98"/>
      <c r="BP470" s="98"/>
      <c r="BQ470" s="98"/>
      <c r="BR470" s="98"/>
      <c r="BS470" s="99"/>
      <c r="BT470" s="99"/>
    </row>
    <row r="471" spans="1:72">
      <c r="A471" s="97"/>
      <c r="B471" s="98"/>
      <c r="C471" s="98"/>
      <c r="D471" s="98"/>
      <c r="E471" s="98"/>
      <c r="F471" s="98"/>
      <c r="G471" s="99"/>
      <c r="H471" s="99"/>
      <c r="I471" s="97"/>
      <c r="J471" s="98"/>
      <c r="K471" s="98"/>
      <c r="L471" s="98"/>
      <c r="M471" s="98"/>
      <c r="N471" s="98"/>
      <c r="O471" s="99"/>
      <c r="P471" s="99"/>
      <c r="Q471" s="97"/>
      <c r="R471" s="98"/>
      <c r="S471" s="98"/>
      <c r="T471" s="98"/>
      <c r="U471" s="98"/>
      <c r="V471" s="98"/>
      <c r="W471" s="99"/>
      <c r="X471" s="99"/>
      <c r="Y471" s="97"/>
      <c r="Z471" s="98"/>
      <c r="AA471" s="98"/>
      <c r="AB471" s="98"/>
      <c r="AC471" s="98"/>
      <c r="AD471" s="98"/>
      <c r="AE471" s="99"/>
      <c r="AF471" s="99"/>
      <c r="AG471" s="97"/>
      <c r="AH471" s="98"/>
      <c r="AI471" s="98"/>
      <c r="AJ471" s="98"/>
      <c r="AK471" s="98"/>
      <c r="AL471" s="98"/>
      <c r="AM471" s="99"/>
      <c r="AN471" s="99"/>
      <c r="AO471" s="97"/>
      <c r="AP471" s="98"/>
      <c r="AQ471" s="98"/>
      <c r="AR471" s="98"/>
      <c r="AS471" s="98"/>
      <c r="AT471" s="98"/>
      <c r="AU471" s="99"/>
      <c r="AV471" s="99"/>
      <c r="AW471" s="97"/>
      <c r="AX471" s="98"/>
      <c r="AY471" s="98"/>
      <c r="AZ471" s="98"/>
      <c r="BA471" s="98"/>
      <c r="BB471" s="98"/>
      <c r="BC471" s="99"/>
      <c r="BD471" s="99"/>
      <c r="BE471" s="97"/>
      <c r="BF471" s="98"/>
      <c r="BG471" s="98"/>
      <c r="BH471" s="98"/>
      <c r="BI471" s="98"/>
      <c r="BJ471" s="98"/>
      <c r="BK471" s="99"/>
      <c r="BL471" s="99"/>
      <c r="BM471" s="97"/>
      <c r="BN471" s="98"/>
      <c r="BO471" s="98"/>
      <c r="BP471" s="98"/>
      <c r="BQ471" s="98"/>
      <c r="BR471" s="98"/>
      <c r="BS471" s="99"/>
      <c r="BT471" s="99"/>
    </row>
    <row r="472" spans="1:72">
      <c r="A472" s="97"/>
      <c r="B472" s="98"/>
      <c r="C472" s="98"/>
      <c r="D472" s="98"/>
      <c r="E472" s="98"/>
      <c r="F472" s="98"/>
      <c r="G472" s="99"/>
      <c r="H472" s="99"/>
      <c r="I472" s="97"/>
      <c r="J472" s="98"/>
      <c r="K472" s="98"/>
      <c r="L472" s="98"/>
      <c r="M472" s="98"/>
      <c r="N472" s="98"/>
      <c r="O472" s="99"/>
      <c r="P472" s="99"/>
      <c r="Q472" s="97"/>
      <c r="R472" s="98"/>
      <c r="S472" s="98"/>
      <c r="T472" s="98"/>
      <c r="U472" s="98"/>
      <c r="V472" s="98"/>
      <c r="W472" s="99"/>
      <c r="X472" s="99"/>
      <c r="Y472" s="97"/>
      <c r="Z472" s="98"/>
      <c r="AA472" s="98"/>
      <c r="AB472" s="98"/>
      <c r="AC472" s="98"/>
      <c r="AD472" s="98"/>
      <c r="AE472" s="99"/>
      <c r="AF472" s="99"/>
      <c r="AG472" s="97"/>
      <c r="AH472" s="98"/>
      <c r="AI472" s="98"/>
      <c r="AJ472" s="98"/>
      <c r="AK472" s="98"/>
      <c r="AL472" s="98"/>
      <c r="AM472" s="99"/>
      <c r="AN472" s="99"/>
      <c r="AO472" s="97"/>
      <c r="AP472" s="98"/>
      <c r="AQ472" s="98"/>
      <c r="AR472" s="98"/>
      <c r="AS472" s="98"/>
      <c r="AT472" s="98"/>
      <c r="AU472" s="99"/>
      <c r="AV472" s="99"/>
      <c r="AW472" s="97"/>
      <c r="AX472" s="98"/>
      <c r="AY472" s="98"/>
      <c r="AZ472" s="98"/>
      <c r="BA472" s="98"/>
      <c r="BB472" s="98"/>
      <c r="BC472" s="99"/>
      <c r="BD472" s="99"/>
      <c r="BE472" s="97"/>
      <c r="BF472" s="98"/>
      <c r="BG472" s="98"/>
      <c r="BH472" s="98"/>
      <c r="BI472" s="98"/>
      <c r="BJ472" s="98"/>
      <c r="BK472" s="99"/>
      <c r="BL472" s="99"/>
      <c r="BM472" s="97"/>
      <c r="BN472" s="98"/>
      <c r="BO472" s="98"/>
      <c r="BP472" s="98"/>
      <c r="BQ472" s="98"/>
      <c r="BR472" s="98"/>
      <c r="BS472" s="99"/>
      <c r="BT472" s="99"/>
    </row>
    <row r="473" spans="1:72">
      <c r="A473" s="97"/>
      <c r="B473" s="98"/>
      <c r="C473" s="98"/>
      <c r="D473" s="98"/>
      <c r="E473" s="98"/>
      <c r="F473" s="98"/>
      <c r="G473" s="99"/>
      <c r="H473" s="99"/>
      <c r="I473" s="97"/>
      <c r="J473" s="98"/>
      <c r="K473" s="98"/>
      <c r="L473" s="98"/>
      <c r="M473" s="98"/>
      <c r="N473" s="98"/>
      <c r="O473" s="99"/>
      <c r="P473" s="99"/>
      <c r="Q473" s="97"/>
      <c r="R473" s="98"/>
      <c r="S473" s="98"/>
      <c r="T473" s="98"/>
      <c r="U473" s="98"/>
      <c r="V473" s="98"/>
      <c r="W473" s="99"/>
      <c r="X473" s="99"/>
      <c r="Y473" s="97"/>
      <c r="Z473" s="98"/>
      <c r="AA473" s="98"/>
      <c r="AB473" s="98"/>
      <c r="AC473" s="98"/>
      <c r="AD473" s="98"/>
      <c r="AE473" s="99"/>
      <c r="AF473" s="99"/>
      <c r="AG473" s="97"/>
      <c r="AH473" s="98"/>
      <c r="AI473" s="98"/>
      <c r="AJ473" s="98"/>
      <c r="AK473" s="98"/>
      <c r="AL473" s="98"/>
      <c r="AM473" s="99"/>
      <c r="AN473" s="99"/>
      <c r="AO473" s="97"/>
      <c r="AP473" s="98"/>
      <c r="AQ473" s="98"/>
      <c r="AR473" s="98"/>
      <c r="AS473" s="98"/>
      <c r="AT473" s="98"/>
      <c r="AU473" s="99"/>
      <c r="AV473" s="99"/>
      <c r="AW473" s="97"/>
      <c r="AX473" s="98"/>
      <c r="AY473" s="98"/>
      <c r="AZ473" s="98"/>
      <c r="BA473" s="98"/>
      <c r="BB473" s="98"/>
      <c r="BC473" s="99"/>
      <c r="BD473" s="99"/>
      <c r="BE473" s="97"/>
      <c r="BF473" s="98"/>
      <c r="BG473" s="98"/>
      <c r="BH473" s="98"/>
      <c r="BI473" s="98"/>
      <c r="BJ473" s="98"/>
      <c r="BK473" s="99"/>
      <c r="BL473" s="99"/>
      <c r="BM473" s="97"/>
      <c r="BN473" s="98"/>
      <c r="BO473" s="98"/>
      <c r="BP473" s="98"/>
      <c r="BQ473" s="98"/>
      <c r="BR473" s="98"/>
      <c r="BS473" s="99"/>
      <c r="BT473" s="99"/>
    </row>
    <row r="474" spans="1:72">
      <c r="A474" s="97"/>
      <c r="B474" s="98"/>
      <c r="C474" s="98"/>
      <c r="D474" s="98"/>
      <c r="E474" s="98"/>
      <c r="F474" s="98"/>
      <c r="G474" s="99"/>
      <c r="H474" s="99"/>
      <c r="I474" s="97"/>
      <c r="J474" s="98"/>
      <c r="K474" s="98"/>
      <c r="L474" s="98"/>
      <c r="M474" s="98"/>
      <c r="N474" s="98"/>
      <c r="O474" s="99"/>
      <c r="P474" s="99"/>
      <c r="Q474" s="97"/>
      <c r="R474" s="98"/>
      <c r="S474" s="98"/>
      <c r="T474" s="98"/>
      <c r="U474" s="98"/>
      <c r="V474" s="98"/>
      <c r="W474" s="99"/>
      <c r="X474" s="99"/>
      <c r="Y474" s="97"/>
      <c r="Z474" s="98"/>
      <c r="AA474" s="98"/>
      <c r="AB474" s="98"/>
      <c r="AC474" s="98"/>
      <c r="AD474" s="98"/>
      <c r="AE474" s="99"/>
      <c r="AF474" s="99"/>
      <c r="AG474" s="97"/>
      <c r="AH474" s="98"/>
      <c r="AI474" s="98"/>
      <c r="AJ474" s="98"/>
      <c r="AK474" s="98"/>
      <c r="AL474" s="98"/>
      <c r="AM474" s="99"/>
      <c r="AN474" s="99"/>
      <c r="AO474" s="97"/>
      <c r="AP474" s="98"/>
      <c r="AQ474" s="98"/>
      <c r="AR474" s="98"/>
      <c r="AS474" s="98"/>
      <c r="AT474" s="98"/>
      <c r="AU474" s="99"/>
      <c r="AV474" s="99"/>
      <c r="AW474" s="97"/>
      <c r="AX474" s="98"/>
      <c r="AY474" s="98"/>
      <c r="AZ474" s="98"/>
      <c r="BA474" s="98"/>
      <c r="BB474" s="98"/>
      <c r="BC474" s="99"/>
      <c r="BD474" s="99"/>
      <c r="BE474" s="97"/>
      <c r="BF474" s="98"/>
      <c r="BG474" s="98"/>
      <c r="BH474" s="98"/>
      <c r="BI474" s="98"/>
      <c r="BJ474" s="98"/>
      <c r="BK474" s="99"/>
      <c r="BL474" s="99"/>
      <c r="BM474" s="97"/>
      <c r="BN474" s="98"/>
      <c r="BO474" s="98"/>
      <c r="BP474" s="98"/>
      <c r="BQ474" s="98"/>
      <c r="BR474" s="98"/>
      <c r="BS474" s="99"/>
      <c r="BT474" s="99"/>
    </row>
    <row r="475" spans="1:72">
      <c r="A475" s="97"/>
      <c r="B475" s="98"/>
      <c r="C475" s="98"/>
      <c r="D475" s="98"/>
      <c r="E475" s="98"/>
      <c r="F475" s="98"/>
      <c r="G475" s="99"/>
      <c r="H475" s="99"/>
      <c r="I475" s="97"/>
      <c r="J475" s="98"/>
      <c r="K475" s="98"/>
      <c r="L475" s="98"/>
      <c r="M475" s="98"/>
      <c r="N475" s="98"/>
      <c r="O475" s="99"/>
      <c r="P475" s="99"/>
      <c r="Q475" s="97"/>
      <c r="R475" s="98"/>
      <c r="S475" s="98"/>
      <c r="T475" s="98"/>
      <c r="U475" s="98"/>
      <c r="V475" s="98"/>
      <c r="W475" s="99"/>
      <c r="X475" s="99"/>
      <c r="Y475" s="97"/>
      <c r="Z475" s="98"/>
      <c r="AA475" s="98"/>
      <c r="AB475" s="98"/>
      <c r="AC475" s="98"/>
      <c r="AD475" s="98"/>
      <c r="AE475" s="99"/>
      <c r="AF475" s="99"/>
      <c r="AG475" s="97"/>
      <c r="AH475" s="98"/>
      <c r="AI475" s="98"/>
      <c r="AJ475" s="98"/>
      <c r="AK475" s="98"/>
      <c r="AL475" s="98"/>
      <c r="AM475" s="99"/>
      <c r="AN475" s="99"/>
      <c r="AO475" s="97"/>
      <c r="AP475" s="98"/>
      <c r="AQ475" s="98"/>
      <c r="AR475" s="98"/>
      <c r="AS475" s="98"/>
      <c r="AT475" s="98"/>
      <c r="AU475" s="99"/>
      <c r="AV475" s="99"/>
      <c r="AW475" s="97"/>
      <c r="AX475" s="98"/>
      <c r="AY475" s="98"/>
      <c r="AZ475" s="98"/>
      <c r="BA475" s="98"/>
      <c r="BB475" s="98"/>
      <c r="BC475" s="99"/>
      <c r="BD475" s="99"/>
      <c r="BE475" s="97"/>
      <c r="BF475" s="98"/>
      <c r="BG475" s="98"/>
      <c r="BH475" s="98"/>
      <c r="BI475" s="98"/>
      <c r="BJ475" s="98"/>
      <c r="BK475" s="99"/>
      <c r="BL475" s="99"/>
      <c r="BM475" s="97"/>
      <c r="BN475" s="98"/>
      <c r="BO475" s="98"/>
      <c r="BP475" s="98"/>
      <c r="BQ475" s="98"/>
      <c r="BR475" s="98"/>
      <c r="BS475" s="99"/>
      <c r="BT475" s="99"/>
    </row>
    <row r="476" spans="1:72">
      <c r="A476" s="97"/>
      <c r="B476" s="98"/>
      <c r="C476" s="98"/>
      <c r="D476" s="98"/>
      <c r="E476" s="98"/>
      <c r="F476" s="98"/>
      <c r="G476" s="99"/>
      <c r="H476" s="99"/>
      <c r="I476" s="97"/>
      <c r="J476" s="98"/>
      <c r="K476" s="98"/>
      <c r="L476" s="98"/>
      <c r="M476" s="98"/>
      <c r="N476" s="98"/>
      <c r="O476" s="99"/>
      <c r="P476" s="99"/>
      <c r="Q476" s="97"/>
      <c r="R476" s="98"/>
      <c r="S476" s="98"/>
      <c r="T476" s="98"/>
      <c r="U476" s="98"/>
      <c r="V476" s="98"/>
      <c r="W476" s="99"/>
      <c r="X476" s="99"/>
      <c r="Y476" s="97"/>
      <c r="Z476" s="98"/>
      <c r="AA476" s="98"/>
      <c r="AB476" s="98"/>
      <c r="AC476" s="98"/>
      <c r="AD476" s="98"/>
      <c r="AE476" s="99"/>
      <c r="AF476" s="99"/>
      <c r="AG476" s="97"/>
      <c r="AH476" s="98"/>
      <c r="AI476" s="98"/>
      <c r="AJ476" s="98"/>
      <c r="AK476" s="98"/>
      <c r="AL476" s="98"/>
      <c r="AM476" s="99"/>
      <c r="AN476" s="99"/>
      <c r="AO476" s="97"/>
      <c r="AP476" s="98"/>
      <c r="AQ476" s="98"/>
      <c r="AR476" s="98"/>
      <c r="AS476" s="98"/>
      <c r="AT476" s="98"/>
      <c r="AU476" s="99"/>
      <c r="AV476" s="99"/>
      <c r="AW476" s="97"/>
      <c r="AX476" s="98"/>
      <c r="AY476" s="98"/>
      <c r="AZ476" s="98"/>
      <c r="BA476" s="98"/>
      <c r="BB476" s="98"/>
      <c r="BC476" s="99"/>
      <c r="BD476" s="99"/>
      <c r="BE476" s="97"/>
      <c r="BF476" s="98"/>
      <c r="BG476" s="98"/>
      <c r="BH476" s="98"/>
      <c r="BI476" s="98"/>
      <c r="BJ476" s="98"/>
      <c r="BK476" s="99"/>
      <c r="BL476" s="99"/>
      <c r="BM476" s="97"/>
      <c r="BN476" s="98"/>
      <c r="BO476" s="98"/>
      <c r="BP476" s="98"/>
      <c r="BQ476" s="98"/>
      <c r="BR476" s="98"/>
      <c r="BS476" s="99"/>
      <c r="BT476" s="99"/>
    </row>
    <row r="477" spans="1:72">
      <c r="A477" s="97"/>
      <c r="B477" s="98"/>
      <c r="C477" s="98"/>
      <c r="D477" s="98"/>
      <c r="E477" s="98"/>
      <c r="F477" s="98"/>
      <c r="G477" s="99"/>
      <c r="H477" s="99"/>
      <c r="I477" s="97"/>
      <c r="J477" s="98"/>
      <c r="K477" s="98"/>
      <c r="L477" s="98"/>
      <c r="M477" s="98"/>
      <c r="N477" s="98"/>
      <c r="O477" s="99"/>
      <c r="P477" s="99"/>
      <c r="Q477" s="97"/>
      <c r="R477" s="98"/>
      <c r="S477" s="98"/>
      <c r="T477" s="98"/>
      <c r="U477" s="98"/>
      <c r="V477" s="98"/>
      <c r="W477" s="99"/>
      <c r="X477" s="99"/>
      <c r="Y477" s="97"/>
      <c r="Z477" s="98"/>
      <c r="AA477" s="98"/>
      <c r="AB477" s="98"/>
      <c r="AC477" s="98"/>
      <c r="AD477" s="98"/>
      <c r="AE477" s="99"/>
      <c r="AF477" s="99"/>
      <c r="AG477" s="97"/>
      <c r="AH477" s="98"/>
      <c r="AI477" s="98"/>
      <c r="AJ477" s="98"/>
      <c r="AK477" s="98"/>
      <c r="AL477" s="98"/>
      <c r="AM477" s="99"/>
      <c r="AN477" s="99"/>
      <c r="AO477" s="97"/>
      <c r="AP477" s="98"/>
      <c r="AQ477" s="98"/>
      <c r="AR477" s="98"/>
      <c r="AS477" s="98"/>
      <c r="AT477" s="98"/>
      <c r="AU477" s="99"/>
      <c r="AV477" s="99"/>
      <c r="AW477" s="97"/>
      <c r="AX477" s="98"/>
      <c r="AY477" s="98"/>
      <c r="AZ477" s="98"/>
      <c r="BA477" s="98"/>
      <c r="BB477" s="98"/>
      <c r="BC477" s="99"/>
      <c r="BD477" s="99"/>
      <c r="BE477" s="97"/>
      <c r="BF477" s="98"/>
      <c r="BG477" s="98"/>
      <c r="BH477" s="98"/>
      <c r="BI477" s="98"/>
      <c r="BJ477" s="98"/>
      <c r="BK477" s="99"/>
      <c r="BL477" s="99"/>
      <c r="BM477" s="97"/>
      <c r="BN477" s="98"/>
      <c r="BO477" s="98"/>
      <c r="BP477" s="98"/>
      <c r="BQ477" s="98"/>
      <c r="BR477" s="98"/>
      <c r="BS477" s="99"/>
      <c r="BT477" s="99"/>
    </row>
    <row r="478" spans="1:72">
      <c r="A478" s="97"/>
      <c r="B478" s="98"/>
      <c r="C478" s="98"/>
      <c r="D478" s="98"/>
      <c r="E478" s="98"/>
      <c r="F478" s="98"/>
      <c r="G478" s="99"/>
      <c r="H478" s="99"/>
      <c r="I478" s="97"/>
      <c r="J478" s="98"/>
      <c r="K478" s="98"/>
      <c r="L478" s="98"/>
      <c r="M478" s="98"/>
      <c r="N478" s="98"/>
      <c r="O478" s="99"/>
      <c r="P478" s="99"/>
      <c r="Q478" s="97"/>
      <c r="R478" s="98"/>
      <c r="S478" s="98"/>
      <c r="T478" s="98"/>
      <c r="U478" s="98"/>
      <c r="V478" s="98"/>
      <c r="W478" s="99"/>
      <c r="X478" s="99"/>
      <c r="Y478" s="97"/>
      <c r="Z478" s="98"/>
      <c r="AA478" s="98"/>
      <c r="AB478" s="98"/>
      <c r="AC478" s="98"/>
      <c r="AD478" s="98"/>
      <c r="AE478" s="99"/>
      <c r="AF478" s="99"/>
      <c r="AG478" s="97"/>
      <c r="AH478" s="98"/>
      <c r="AI478" s="98"/>
      <c r="AJ478" s="98"/>
      <c r="AK478" s="98"/>
      <c r="AL478" s="98"/>
      <c r="AM478" s="99"/>
      <c r="AN478" s="99"/>
      <c r="AO478" s="97"/>
      <c r="AP478" s="98"/>
      <c r="AQ478" s="98"/>
      <c r="AR478" s="98"/>
      <c r="AS478" s="98"/>
      <c r="AT478" s="98"/>
      <c r="AU478" s="99"/>
      <c r="AV478" s="99"/>
      <c r="AW478" s="97"/>
      <c r="AX478" s="98"/>
      <c r="AY478" s="98"/>
      <c r="AZ478" s="98"/>
      <c r="BA478" s="98"/>
      <c r="BB478" s="98"/>
      <c r="BC478" s="99"/>
      <c r="BD478" s="99"/>
      <c r="BE478" s="97"/>
      <c r="BF478" s="98"/>
      <c r="BG478" s="98"/>
      <c r="BH478" s="98"/>
      <c r="BI478" s="98"/>
      <c r="BJ478" s="98"/>
      <c r="BK478" s="99"/>
      <c r="BL478" s="99"/>
      <c r="BM478" s="97"/>
      <c r="BN478" s="98"/>
      <c r="BO478" s="98"/>
      <c r="BP478" s="98"/>
      <c r="BQ478" s="98"/>
      <c r="BR478" s="98"/>
      <c r="BS478" s="99"/>
      <c r="BT478" s="99"/>
    </row>
    <row r="479" spans="1:72">
      <c r="A479" s="97"/>
      <c r="B479" s="98"/>
      <c r="C479" s="98"/>
      <c r="D479" s="98"/>
      <c r="E479" s="98"/>
      <c r="F479" s="98"/>
      <c r="G479" s="99"/>
      <c r="H479" s="99"/>
      <c r="I479" s="97"/>
      <c r="J479" s="98"/>
      <c r="K479" s="98"/>
      <c r="L479" s="98"/>
      <c r="M479" s="98"/>
      <c r="N479" s="98"/>
      <c r="O479" s="99"/>
      <c r="P479" s="99"/>
      <c r="Q479" s="97"/>
      <c r="R479" s="98"/>
      <c r="S479" s="98"/>
      <c r="T479" s="98"/>
      <c r="U479" s="98"/>
      <c r="V479" s="98"/>
      <c r="W479" s="99"/>
      <c r="X479" s="99"/>
      <c r="Y479" s="97"/>
      <c r="Z479" s="98"/>
      <c r="AA479" s="98"/>
      <c r="AB479" s="98"/>
      <c r="AC479" s="98"/>
      <c r="AD479" s="98"/>
      <c r="AE479" s="99"/>
      <c r="AF479" s="99"/>
      <c r="AG479" s="97"/>
      <c r="AH479" s="98"/>
      <c r="AI479" s="98"/>
      <c r="AJ479" s="98"/>
      <c r="AK479" s="98"/>
      <c r="AL479" s="98"/>
      <c r="AM479" s="99"/>
      <c r="AN479" s="99"/>
      <c r="AO479" s="97"/>
      <c r="AP479" s="98"/>
      <c r="AQ479" s="98"/>
      <c r="AR479" s="98"/>
      <c r="AS479" s="98"/>
      <c r="AT479" s="98"/>
      <c r="AU479" s="99"/>
      <c r="AV479" s="99"/>
      <c r="AW479" s="97"/>
      <c r="AX479" s="98"/>
      <c r="AY479" s="98"/>
      <c r="AZ479" s="98"/>
      <c r="BA479" s="98"/>
      <c r="BB479" s="98"/>
      <c r="BC479" s="99"/>
      <c r="BD479" s="99"/>
      <c r="BE479" s="97"/>
      <c r="BF479" s="98"/>
      <c r="BG479" s="98"/>
      <c r="BH479" s="98"/>
      <c r="BI479" s="98"/>
      <c r="BJ479" s="98"/>
      <c r="BK479" s="99"/>
      <c r="BL479" s="99"/>
      <c r="BM479" s="97"/>
      <c r="BN479" s="98"/>
      <c r="BO479" s="98"/>
      <c r="BP479" s="98"/>
      <c r="BQ479" s="98"/>
      <c r="BR479" s="98"/>
      <c r="BS479" s="99"/>
      <c r="BT479" s="99"/>
    </row>
    <row r="480" spans="1:72">
      <c r="A480" s="97"/>
      <c r="B480" s="98"/>
      <c r="C480" s="98"/>
      <c r="D480" s="98"/>
      <c r="E480" s="98"/>
      <c r="F480" s="98"/>
      <c r="G480" s="99"/>
      <c r="H480" s="99"/>
      <c r="I480" s="97"/>
      <c r="J480" s="98"/>
      <c r="K480" s="98"/>
      <c r="L480" s="98"/>
      <c r="M480" s="98"/>
      <c r="N480" s="98"/>
      <c r="O480" s="99"/>
      <c r="P480" s="99"/>
      <c r="Q480" s="97"/>
      <c r="R480" s="98"/>
      <c r="S480" s="98"/>
      <c r="T480" s="98"/>
      <c r="U480" s="98"/>
      <c r="V480" s="98"/>
      <c r="W480" s="99"/>
      <c r="X480" s="99"/>
      <c r="Y480" s="97"/>
      <c r="Z480" s="98"/>
      <c r="AA480" s="98"/>
      <c r="AB480" s="98"/>
      <c r="AC480" s="98"/>
      <c r="AD480" s="98"/>
      <c r="AE480" s="99"/>
      <c r="AF480" s="99"/>
      <c r="AG480" s="97"/>
      <c r="AH480" s="98"/>
      <c r="AI480" s="98"/>
      <c r="AJ480" s="98"/>
      <c r="AK480" s="98"/>
      <c r="AL480" s="98"/>
      <c r="AM480" s="99"/>
      <c r="AN480" s="99"/>
      <c r="AO480" s="97"/>
      <c r="AP480" s="98"/>
      <c r="AQ480" s="98"/>
      <c r="AR480" s="98"/>
      <c r="AS480" s="98"/>
      <c r="AT480" s="98"/>
      <c r="AU480" s="99"/>
      <c r="AV480" s="99"/>
      <c r="AW480" s="97"/>
      <c r="AX480" s="98"/>
      <c r="AY480" s="98"/>
      <c r="AZ480" s="98"/>
      <c r="BA480" s="98"/>
      <c r="BB480" s="98"/>
      <c r="BC480" s="99"/>
      <c r="BD480" s="99"/>
      <c r="BE480" s="97"/>
      <c r="BF480" s="98"/>
      <c r="BG480" s="98"/>
      <c r="BH480" s="98"/>
      <c r="BI480" s="98"/>
      <c r="BJ480" s="98"/>
      <c r="BK480" s="99"/>
      <c r="BL480" s="99"/>
      <c r="BM480" s="97"/>
      <c r="BN480" s="98"/>
      <c r="BO480" s="98"/>
      <c r="BP480" s="98"/>
      <c r="BQ480" s="98"/>
      <c r="BR480" s="98"/>
      <c r="BS480" s="99"/>
      <c r="BT480" s="99"/>
    </row>
    <row r="481" spans="1:72">
      <c r="A481" s="97"/>
      <c r="B481" s="98"/>
      <c r="C481" s="98"/>
      <c r="D481" s="98"/>
      <c r="E481" s="98"/>
      <c r="F481" s="98"/>
      <c r="G481" s="99"/>
      <c r="H481" s="99"/>
      <c r="I481" s="97"/>
      <c r="J481" s="98"/>
      <c r="K481" s="98"/>
      <c r="L481" s="98"/>
      <c r="M481" s="98"/>
      <c r="N481" s="98"/>
      <c r="O481" s="99"/>
      <c r="P481" s="99"/>
      <c r="Q481" s="97"/>
      <c r="R481" s="98"/>
      <c r="S481" s="98"/>
      <c r="T481" s="98"/>
      <c r="U481" s="98"/>
      <c r="V481" s="98"/>
      <c r="W481" s="99"/>
      <c r="X481" s="99"/>
      <c r="Y481" s="97"/>
      <c r="Z481" s="98"/>
      <c r="AA481" s="98"/>
      <c r="AB481" s="98"/>
      <c r="AC481" s="98"/>
      <c r="AD481" s="98"/>
      <c r="AE481" s="99"/>
      <c r="AF481" s="99"/>
      <c r="AG481" s="97"/>
      <c r="AH481" s="98"/>
      <c r="AI481" s="98"/>
      <c r="AJ481" s="98"/>
      <c r="AK481" s="98"/>
      <c r="AL481" s="98"/>
      <c r="AM481" s="99"/>
      <c r="AN481" s="99"/>
      <c r="AO481" s="97"/>
      <c r="AP481" s="98"/>
      <c r="AQ481" s="98"/>
      <c r="AR481" s="98"/>
      <c r="AS481" s="98"/>
      <c r="AT481" s="98"/>
      <c r="AU481" s="99"/>
      <c r="AV481" s="99"/>
      <c r="AW481" s="97"/>
      <c r="AX481" s="98"/>
      <c r="AY481" s="98"/>
      <c r="AZ481" s="98"/>
      <c r="BA481" s="98"/>
      <c r="BB481" s="98"/>
      <c r="BC481" s="99"/>
      <c r="BD481" s="99"/>
      <c r="BE481" s="97"/>
      <c r="BF481" s="98"/>
      <c r="BG481" s="98"/>
      <c r="BH481" s="98"/>
      <c r="BI481" s="98"/>
      <c r="BJ481" s="98"/>
      <c r="BK481" s="99"/>
      <c r="BL481" s="99"/>
      <c r="BM481" s="97"/>
      <c r="BN481" s="98"/>
      <c r="BO481" s="98"/>
      <c r="BP481" s="98"/>
      <c r="BQ481" s="98"/>
      <c r="BR481" s="98"/>
      <c r="BS481" s="99"/>
      <c r="BT481" s="99"/>
    </row>
    <row r="482" spans="1:72">
      <c r="A482" s="97"/>
      <c r="B482" s="98"/>
      <c r="C482" s="98"/>
      <c r="D482" s="98"/>
      <c r="E482" s="98"/>
      <c r="F482" s="98"/>
      <c r="G482" s="99"/>
      <c r="H482" s="99"/>
      <c r="I482" s="97"/>
      <c r="J482" s="98"/>
      <c r="K482" s="98"/>
      <c r="L482" s="98"/>
      <c r="M482" s="98"/>
      <c r="N482" s="98"/>
      <c r="O482" s="99"/>
      <c r="P482" s="99"/>
      <c r="Q482" s="97"/>
      <c r="R482" s="98"/>
      <c r="S482" s="98"/>
      <c r="T482" s="98"/>
      <c r="U482" s="98"/>
      <c r="V482" s="98"/>
      <c r="W482" s="99"/>
      <c r="X482" s="99"/>
      <c r="Y482" s="97"/>
      <c r="Z482" s="98"/>
      <c r="AA482" s="98"/>
      <c r="AB482" s="98"/>
      <c r="AC482" s="98"/>
      <c r="AD482" s="98"/>
      <c r="AE482" s="99"/>
      <c r="AF482" s="99"/>
      <c r="AG482" s="97"/>
      <c r="AH482" s="98"/>
      <c r="AI482" s="98"/>
      <c r="AJ482" s="98"/>
      <c r="AK482" s="98"/>
      <c r="AL482" s="98"/>
      <c r="AM482" s="99"/>
      <c r="AN482" s="99"/>
      <c r="AO482" s="97"/>
      <c r="AP482" s="98"/>
      <c r="AQ482" s="98"/>
      <c r="AR482" s="98"/>
      <c r="AS482" s="98"/>
      <c r="AT482" s="98"/>
      <c r="AU482" s="99"/>
      <c r="AV482" s="99"/>
      <c r="AW482" s="97"/>
      <c r="AX482" s="98"/>
      <c r="AY482" s="98"/>
      <c r="AZ482" s="98"/>
      <c r="BA482" s="98"/>
      <c r="BB482" s="98"/>
      <c r="BC482" s="99"/>
      <c r="BD482" s="99"/>
      <c r="BE482" s="97"/>
      <c r="BF482" s="98"/>
      <c r="BG482" s="98"/>
      <c r="BH482" s="98"/>
      <c r="BI482" s="98"/>
      <c r="BJ482" s="98"/>
      <c r="BK482" s="99"/>
      <c r="BL482" s="99"/>
      <c r="BM482" s="97"/>
      <c r="BN482" s="98"/>
      <c r="BO482" s="98"/>
      <c r="BP482" s="98"/>
      <c r="BQ482" s="98"/>
      <c r="BR482" s="98"/>
      <c r="BS482" s="99"/>
      <c r="BT482" s="99"/>
    </row>
    <row r="483" spans="1:72">
      <c r="A483" s="97"/>
      <c r="B483" s="98"/>
      <c r="C483" s="98"/>
      <c r="D483" s="98"/>
      <c r="E483" s="98"/>
      <c r="F483" s="98"/>
      <c r="G483" s="99"/>
      <c r="H483" s="99"/>
      <c r="I483" s="97"/>
      <c r="J483" s="98"/>
      <c r="K483" s="98"/>
      <c r="L483" s="98"/>
      <c r="M483" s="98"/>
      <c r="N483" s="98"/>
      <c r="O483" s="99"/>
      <c r="P483" s="99"/>
      <c r="Q483" s="97"/>
      <c r="R483" s="98"/>
      <c r="S483" s="98"/>
      <c r="T483" s="98"/>
      <c r="U483" s="98"/>
      <c r="V483" s="98"/>
      <c r="W483" s="99"/>
      <c r="X483" s="99"/>
      <c r="Y483" s="97"/>
      <c r="Z483" s="98"/>
      <c r="AA483" s="98"/>
      <c r="AB483" s="98"/>
      <c r="AC483" s="98"/>
      <c r="AD483" s="98"/>
      <c r="AE483" s="99"/>
      <c r="AF483" s="99"/>
      <c r="AG483" s="97"/>
      <c r="AH483" s="98"/>
      <c r="AI483" s="98"/>
      <c r="AJ483" s="98"/>
      <c r="AK483" s="98"/>
      <c r="AL483" s="98"/>
      <c r="AM483" s="99"/>
      <c r="AN483" s="99"/>
      <c r="AO483" s="97"/>
      <c r="AP483" s="98"/>
      <c r="AQ483" s="98"/>
      <c r="AR483" s="98"/>
      <c r="AS483" s="98"/>
      <c r="AT483" s="98"/>
      <c r="AU483" s="99"/>
      <c r="AV483" s="99"/>
      <c r="AW483" s="97"/>
      <c r="AX483" s="98"/>
      <c r="AY483" s="98"/>
      <c r="AZ483" s="98"/>
      <c r="BA483" s="98"/>
      <c r="BB483" s="98"/>
      <c r="BC483" s="99"/>
      <c r="BD483" s="99"/>
      <c r="BE483" s="97"/>
      <c r="BF483" s="98"/>
      <c r="BG483" s="98"/>
      <c r="BH483" s="98"/>
      <c r="BI483" s="98"/>
      <c r="BJ483" s="98"/>
      <c r="BK483" s="99"/>
      <c r="BL483" s="99"/>
      <c r="BM483" s="97"/>
      <c r="BN483" s="98"/>
      <c r="BO483" s="98"/>
      <c r="BP483" s="98"/>
      <c r="BQ483" s="98"/>
      <c r="BR483" s="98"/>
      <c r="BS483" s="99"/>
      <c r="BT483" s="99"/>
    </row>
    <row r="484" spans="1:72">
      <c r="A484" s="97"/>
      <c r="B484" s="98"/>
      <c r="C484" s="98"/>
      <c r="D484" s="98"/>
      <c r="E484" s="98"/>
      <c r="F484" s="98"/>
      <c r="G484" s="99"/>
      <c r="H484" s="99"/>
      <c r="I484" s="97"/>
      <c r="J484" s="98"/>
      <c r="K484" s="98"/>
      <c r="L484" s="98"/>
      <c r="M484" s="98"/>
      <c r="N484" s="98"/>
      <c r="O484" s="99"/>
      <c r="P484" s="99"/>
      <c r="Q484" s="97"/>
      <c r="R484" s="98"/>
      <c r="S484" s="98"/>
      <c r="T484" s="98"/>
      <c r="U484" s="98"/>
      <c r="V484" s="98"/>
      <c r="W484" s="99"/>
      <c r="X484" s="99"/>
      <c r="Y484" s="97"/>
      <c r="Z484" s="98"/>
      <c r="AA484" s="98"/>
      <c r="AB484" s="98"/>
      <c r="AC484" s="98"/>
      <c r="AD484" s="98"/>
      <c r="AE484" s="99"/>
      <c r="AF484" s="99"/>
      <c r="AG484" s="97"/>
      <c r="AH484" s="98"/>
      <c r="AI484" s="98"/>
      <c r="AJ484" s="98"/>
      <c r="AK484" s="98"/>
      <c r="AL484" s="98"/>
      <c r="AM484" s="99"/>
      <c r="AN484" s="99"/>
      <c r="AO484" s="97"/>
      <c r="AP484" s="98"/>
      <c r="AQ484" s="98"/>
      <c r="AR484" s="98"/>
      <c r="AS484" s="98"/>
      <c r="AT484" s="98"/>
      <c r="AU484" s="99"/>
      <c r="AV484" s="99"/>
      <c r="AW484" s="97"/>
      <c r="AX484" s="98"/>
      <c r="AY484" s="98"/>
      <c r="AZ484" s="98"/>
      <c r="BA484" s="98"/>
      <c r="BB484" s="98"/>
      <c r="BC484" s="99"/>
      <c r="BD484" s="99"/>
      <c r="BE484" s="97"/>
      <c r="BF484" s="98"/>
      <c r="BG484" s="98"/>
      <c r="BH484" s="98"/>
      <c r="BI484" s="98"/>
      <c r="BJ484" s="98"/>
      <c r="BK484" s="99"/>
      <c r="BL484" s="99"/>
      <c r="BM484" s="97"/>
      <c r="BN484" s="98"/>
      <c r="BO484" s="98"/>
      <c r="BP484" s="98"/>
      <c r="BQ484" s="98"/>
      <c r="BR484" s="98"/>
      <c r="BS484" s="99"/>
      <c r="BT484" s="99"/>
    </row>
    <row r="485" spans="1:72">
      <c r="A485" s="97"/>
      <c r="B485" s="98"/>
      <c r="C485" s="98"/>
      <c r="D485" s="98"/>
      <c r="E485" s="98"/>
      <c r="F485" s="98"/>
      <c r="G485" s="99"/>
      <c r="H485" s="99"/>
      <c r="I485" s="97"/>
      <c r="J485" s="98"/>
      <c r="K485" s="98"/>
      <c r="L485" s="98"/>
      <c r="M485" s="98"/>
      <c r="N485" s="98"/>
      <c r="O485" s="99"/>
      <c r="P485" s="99"/>
      <c r="Q485" s="97"/>
      <c r="R485" s="98"/>
      <c r="S485" s="98"/>
      <c r="T485" s="98"/>
      <c r="U485" s="98"/>
      <c r="V485" s="98"/>
      <c r="W485" s="99"/>
      <c r="X485" s="99"/>
      <c r="Y485" s="97"/>
      <c r="Z485" s="98"/>
      <c r="AA485" s="98"/>
      <c r="AB485" s="98"/>
      <c r="AC485" s="98"/>
      <c r="AD485" s="98"/>
      <c r="AE485" s="99"/>
      <c r="AF485" s="99"/>
      <c r="AG485" s="97"/>
      <c r="AH485" s="98"/>
      <c r="AI485" s="98"/>
      <c r="AJ485" s="98"/>
      <c r="AK485" s="98"/>
      <c r="AL485" s="98"/>
      <c r="AM485" s="99"/>
      <c r="AN485" s="99"/>
      <c r="AO485" s="97"/>
      <c r="AP485" s="98"/>
      <c r="AQ485" s="98"/>
      <c r="AR485" s="98"/>
      <c r="AS485" s="98"/>
      <c r="AT485" s="98"/>
      <c r="AU485" s="99"/>
      <c r="AV485" s="99"/>
      <c r="AW485" s="97"/>
      <c r="AX485" s="98"/>
      <c r="AY485" s="98"/>
      <c r="AZ485" s="98"/>
      <c r="BA485" s="98"/>
      <c r="BB485" s="98"/>
      <c r="BC485" s="99"/>
      <c r="BD485" s="99"/>
      <c r="BE485" s="97"/>
      <c r="BF485" s="98"/>
      <c r="BG485" s="98"/>
      <c r="BH485" s="98"/>
      <c r="BI485" s="98"/>
      <c r="BJ485" s="98"/>
      <c r="BK485" s="99"/>
      <c r="BL485" s="99"/>
      <c r="BM485" s="97"/>
      <c r="BN485" s="98"/>
      <c r="BO485" s="98"/>
      <c r="BP485" s="98"/>
      <c r="BQ485" s="98"/>
      <c r="BR485" s="98"/>
      <c r="BS485" s="99"/>
      <c r="BT485" s="99"/>
    </row>
    <row r="486" spans="1:72">
      <c r="A486" s="97"/>
      <c r="B486" s="98"/>
      <c r="C486" s="98"/>
      <c r="D486" s="98"/>
      <c r="E486" s="98"/>
      <c r="F486" s="98"/>
      <c r="G486" s="99"/>
      <c r="H486" s="99"/>
      <c r="I486" s="97"/>
      <c r="J486" s="98"/>
      <c r="K486" s="98"/>
      <c r="L486" s="98"/>
      <c r="M486" s="98"/>
      <c r="N486" s="98"/>
      <c r="O486" s="99"/>
      <c r="P486" s="99"/>
      <c r="Q486" s="97"/>
      <c r="R486" s="98"/>
      <c r="S486" s="98"/>
      <c r="T486" s="98"/>
      <c r="U486" s="98"/>
      <c r="V486" s="98"/>
      <c r="W486" s="99"/>
      <c r="X486" s="99"/>
      <c r="Y486" s="97"/>
      <c r="Z486" s="98"/>
      <c r="AA486" s="98"/>
      <c r="AB486" s="98"/>
      <c r="AC486" s="98"/>
      <c r="AD486" s="98"/>
      <c r="AE486" s="99"/>
      <c r="AF486" s="99"/>
      <c r="AG486" s="97"/>
      <c r="AH486" s="98"/>
      <c r="AI486" s="98"/>
      <c r="AJ486" s="98"/>
      <c r="AK486" s="98"/>
      <c r="AL486" s="98"/>
      <c r="AM486" s="99"/>
      <c r="AN486" s="99"/>
      <c r="AO486" s="97"/>
      <c r="AP486" s="98"/>
      <c r="AQ486" s="98"/>
      <c r="AR486" s="98"/>
      <c r="AS486" s="98"/>
      <c r="AT486" s="98"/>
      <c r="AU486" s="99"/>
      <c r="AV486" s="99"/>
      <c r="AW486" s="97"/>
      <c r="AX486" s="98"/>
      <c r="AY486" s="98"/>
      <c r="AZ486" s="98"/>
      <c r="BA486" s="98"/>
      <c r="BB486" s="98"/>
      <c r="BC486" s="99"/>
      <c r="BD486" s="99"/>
      <c r="BE486" s="97"/>
      <c r="BF486" s="98"/>
      <c r="BG486" s="98"/>
      <c r="BH486" s="98"/>
      <c r="BI486" s="98"/>
      <c r="BJ486" s="98"/>
      <c r="BK486" s="99"/>
      <c r="BL486" s="99"/>
      <c r="BM486" s="97"/>
      <c r="BN486" s="98"/>
      <c r="BO486" s="98"/>
      <c r="BP486" s="98"/>
      <c r="BQ486" s="98"/>
      <c r="BR486" s="98"/>
      <c r="BS486" s="99"/>
      <c r="BT486" s="99"/>
    </row>
    <row r="487" spans="1:72">
      <c r="A487" s="97"/>
      <c r="B487" s="98"/>
      <c r="C487" s="98"/>
      <c r="D487" s="98"/>
      <c r="E487" s="98"/>
      <c r="F487" s="98"/>
      <c r="G487" s="99"/>
      <c r="H487" s="99"/>
      <c r="I487" s="97"/>
      <c r="J487" s="98"/>
      <c r="K487" s="98"/>
      <c r="L487" s="98"/>
      <c r="M487" s="98"/>
      <c r="N487" s="98"/>
      <c r="O487" s="99"/>
      <c r="P487" s="99"/>
      <c r="Q487" s="97"/>
      <c r="R487" s="98"/>
      <c r="S487" s="98"/>
      <c r="T487" s="98"/>
      <c r="U487" s="98"/>
      <c r="V487" s="98"/>
      <c r="W487" s="99"/>
      <c r="X487" s="99"/>
      <c r="Y487" s="97"/>
      <c r="Z487" s="98"/>
      <c r="AA487" s="98"/>
      <c r="AB487" s="98"/>
      <c r="AC487" s="98"/>
      <c r="AD487" s="98"/>
      <c r="AE487" s="99"/>
      <c r="AF487" s="99"/>
      <c r="AG487" s="97"/>
      <c r="AH487" s="98"/>
      <c r="AI487" s="98"/>
      <c r="AJ487" s="98"/>
      <c r="AK487" s="98"/>
      <c r="AL487" s="98"/>
      <c r="AM487" s="99"/>
      <c r="AN487" s="99"/>
      <c r="AO487" s="97"/>
      <c r="AP487" s="98"/>
      <c r="AQ487" s="98"/>
      <c r="AR487" s="98"/>
      <c r="AS487" s="98"/>
      <c r="AT487" s="98"/>
      <c r="AU487" s="99"/>
      <c r="AV487" s="99"/>
      <c r="AW487" s="97"/>
      <c r="AX487" s="98"/>
      <c r="AY487" s="98"/>
      <c r="AZ487" s="98"/>
      <c r="BA487" s="98"/>
      <c r="BB487" s="98"/>
      <c r="BC487" s="99"/>
      <c r="BD487" s="99"/>
      <c r="BE487" s="97"/>
      <c r="BF487" s="98"/>
      <c r="BG487" s="98"/>
      <c r="BH487" s="98"/>
      <c r="BI487" s="98"/>
      <c r="BJ487" s="98"/>
      <c r="BK487" s="99"/>
      <c r="BL487" s="99"/>
      <c r="BM487" s="97"/>
      <c r="BN487" s="98"/>
      <c r="BO487" s="98"/>
      <c r="BP487" s="98"/>
      <c r="BQ487" s="98"/>
      <c r="BR487" s="98"/>
      <c r="BS487" s="99"/>
      <c r="BT487" s="99"/>
    </row>
    <row r="488" spans="1:72">
      <c r="A488" s="97"/>
      <c r="B488" s="98"/>
      <c r="C488" s="98"/>
      <c r="D488" s="98"/>
      <c r="E488" s="98"/>
      <c r="F488" s="98"/>
      <c r="G488" s="99"/>
      <c r="H488" s="99"/>
      <c r="I488" s="97"/>
      <c r="J488" s="98"/>
      <c r="K488" s="98"/>
      <c r="L488" s="98"/>
      <c r="M488" s="98"/>
      <c r="N488" s="98"/>
      <c r="O488" s="99"/>
      <c r="P488" s="99"/>
      <c r="Q488" s="97"/>
      <c r="R488" s="98"/>
      <c r="S488" s="98"/>
      <c r="T488" s="98"/>
      <c r="U488" s="98"/>
      <c r="V488" s="98"/>
      <c r="W488" s="99"/>
      <c r="X488" s="99"/>
      <c r="Y488" s="97"/>
      <c r="Z488" s="98"/>
      <c r="AA488" s="98"/>
      <c r="AB488" s="98"/>
      <c r="AC488" s="98"/>
      <c r="AD488" s="98"/>
      <c r="AE488" s="99"/>
      <c r="AF488" s="99"/>
      <c r="AG488" s="97"/>
      <c r="AH488" s="98"/>
      <c r="AI488" s="98"/>
      <c r="AJ488" s="98"/>
      <c r="AK488" s="98"/>
      <c r="AL488" s="98"/>
      <c r="AM488" s="99"/>
      <c r="AN488" s="99"/>
      <c r="AO488" s="97"/>
      <c r="AP488" s="98"/>
      <c r="AQ488" s="98"/>
      <c r="AR488" s="98"/>
      <c r="AS488" s="98"/>
      <c r="AT488" s="98"/>
      <c r="AU488" s="99"/>
      <c r="AV488" s="99"/>
      <c r="AW488" s="97"/>
      <c r="AX488" s="98"/>
      <c r="AY488" s="98"/>
      <c r="AZ488" s="98"/>
      <c r="BA488" s="98"/>
      <c r="BB488" s="98"/>
      <c r="BC488" s="99"/>
      <c r="BD488" s="99"/>
      <c r="BE488" s="97"/>
      <c r="BF488" s="98"/>
      <c r="BG488" s="98"/>
      <c r="BH488" s="98"/>
      <c r="BI488" s="98"/>
      <c r="BJ488" s="98"/>
      <c r="BK488" s="99"/>
      <c r="BL488" s="99"/>
      <c r="BM488" s="97"/>
      <c r="BN488" s="98"/>
      <c r="BO488" s="98"/>
      <c r="BP488" s="98"/>
      <c r="BQ488" s="98"/>
      <c r="BR488" s="98"/>
      <c r="BS488" s="99"/>
      <c r="BT488" s="99"/>
    </row>
    <row r="489" spans="1:72">
      <c r="A489" s="97"/>
      <c r="B489" s="98"/>
      <c r="C489" s="98"/>
      <c r="D489" s="98"/>
      <c r="E489" s="98"/>
      <c r="F489" s="98"/>
      <c r="G489" s="99"/>
      <c r="H489" s="99"/>
      <c r="I489" s="97"/>
      <c r="J489" s="98"/>
      <c r="K489" s="98"/>
      <c r="L489" s="98"/>
      <c r="M489" s="98"/>
      <c r="N489" s="98"/>
      <c r="O489" s="99"/>
      <c r="P489" s="99"/>
      <c r="Q489" s="97"/>
      <c r="R489" s="98"/>
      <c r="S489" s="98"/>
      <c r="T489" s="98"/>
      <c r="U489" s="98"/>
      <c r="V489" s="98"/>
      <c r="W489" s="99"/>
      <c r="X489" s="99"/>
      <c r="Y489" s="97"/>
      <c r="Z489" s="98"/>
      <c r="AA489" s="98"/>
      <c r="AB489" s="98"/>
      <c r="AC489" s="98"/>
      <c r="AD489" s="98"/>
      <c r="AE489" s="99"/>
      <c r="AF489" s="99"/>
      <c r="AG489" s="97"/>
      <c r="AH489" s="98"/>
      <c r="AI489" s="98"/>
      <c r="AJ489" s="98"/>
      <c r="AK489" s="98"/>
      <c r="AL489" s="98"/>
      <c r="AM489" s="99"/>
      <c r="AN489" s="99"/>
      <c r="AO489" s="97"/>
      <c r="AP489" s="98"/>
      <c r="AQ489" s="98"/>
      <c r="AR489" s="98"/>
      <c r="AS489" s="98"/>
      <c r="AT489" s="98"/>
      <c r="AU489" s="99"/>
      <c r="AV489" s="99"/>
      <c r="AW489" s="97"/>
      <c r="AX489" s="98"/>
      <c r="AY489" s="98"/>
      <c r="AZ489" s="98"/>
      <c r="BA489" s="98"/>
      <c r="BB489" s="98"/>
      <c r="BC489" s="99"/>
      <c r="BD489" s="99"/>
      <c r="BE489" s="97"/>
      <c r="BF489" s="98"/>
      <c r="BG489" s="98"/>
      <c r="BH489" s="98"/>
      <c r="BI489" s="98"/>
      <c r="BJ489" s="98"/>
      <c r="BK489" s="99"/>
      <c r="BL489" s="99"/>
      <c r="BM489" s="97"/>
      <c r="BN489" s="98"/>
      <c r="BO489" s="98"/>
      <c r="BP489" s="98"/>
      <c r="BQ489" s="98"/>
      <c r="BR489" s="98"/>
      <c r="BS489" s="99"/>
      <c r="BT489" s="99"/>
    </row>
    <row r="490" spans="1:72">
      <c r="A490" s="97"/>
      <c r="B490" s="98"/>
      <c r="C490" s="98"/>
      <c r="D490" s="98"/>
      <c r="E490" s="98"/>
      <c r="F490" s="98"/>
      <c r="G490" s="99"/>
      <c r="H490" s="99"/>
      <c r="I490" s="97"/>
      <c r="J490" s="98"/>
      <c r="K490" s="98"/>
      <c r="L490" s="98"/>
      <c r="M490" s="98"/>
      <c r="N490" s="98"/>
      <c r="O490" s="99"/>
      <c r="P490" s="99"/>
      <c r="Q490" s="97"/>
      <c r="R490" s="98"/>
      <c r="S490" s="98"/>
      <c r="T490" s="98"/>
      <c r="U490" s="98"/>
      <c r="V490" s="98"/>
      <c r="W490" s="99"/>
      <c r="X490" s="99"/>
      <c r="Y490" s="97"/>
      <c r="Z490" s="98"/>
      <c r="AA490" s="98"/>
      <c r="AB490" s="98"/>
      <c r="AC490" s="98"/>
      <c r="AD490" s="98"/>
      <c r="AE490" s="99"/>
      <c r="AF490" s="99"/>
      <c r="AG490" s="97"/>
      <c r="AH490" s="98"/>
      <c r="AI490" s="98"/>
      <c r="AJ490" s="98"/>
      <c r="AK490" s="98"/>
      <c r="AL490" s="98"/>
      <c r="AM490" s="99"/>
      <c r="AN490" s="99"/>
      <c r="AO490" s="97"/>
      <c r="AP490" s="98"/>
      <c r="AQ490" s="98"/>
      <c r="AR490" s="98"/>
      <c r="AS490" s="98"/>
      <c r="AT490" s="98"/>
      <c r="AU490" s="99"/>
      <c r="AV490" s="99"/>
      <c r="AW490" s="97"/>
      <c r="AX490" s="98"/>
      <c r="AY490" s="98"/>
      <c r="AZ490" s="98"/>
      <c r="BA490" s="98"/>
      <c r="BB490" s="98"/>
      <c r="BC490" s="99"/>
      <c r="BD490" s="99"/>
      <c r="BE490" s="97"/>
      <c r="BF490" s="98"/>
      <c r="BG490" s="98"/>
      <c r="BH490" s="98"/>
      <c r="BI490" s="98"/>
      <c r="BJ490" s="98"/>
      <c r="BK490" s="99"/>
      <c r="BL490" s="99"/>
      <c r="BM490" s="97"/>
      <c r="BN490" s="98"/>
      <c r="BO490" s="98"/>
      <c r="BP490" s="98"/>
      <c r="BQ490" s="98"/>
      <c r="BR490" s="98"/>
      <c r="BS490" s="99"/>
      <c r="BT490" s="99"/>
    </row>
    <row r="491" spans="1:72">
      <c r="A491" s="97"/>
      <c r="B491" s="98"/>
      <c r="C491" s="98"/>
      <c r="D491" s="98"/>
      <c r="E491" s="98"/>
      <c r="F491" s="98"/>
      <c r="G491" s="99"/>
      <c r="H491" s="99"/>
      <c r="I491" s="97"/>
      <c r="J491" s="98"/>
      <c r="K491" s="98"/>
      <c r="L491" s="98"/>
      <c r="M491" s="98"/>
      <c r="N491" s="98"/>
      <c r="O491" s="99"/>
      <c r="P491" s="99"/>
      <c r="Q491" s="97"/>
      <c r="R491" s="98"/>
      <c r="S491" s="98"/>
      <c r="T491" s="98"/>
      <c r="U491" s="98"/>
      <c r="V491" s="98"/>
      <c r="W491" s="99"/>
      <c r="X491" s="99"/>
      <c r="Y491" s="97"/>
      <c r="Z491" s="98"/>
      <c r="AA491" s="98"/>
      <c r="AB491" s="98"/>
      <c r="AC491" s="98"/>
      <c r="AD491" s="98"/>
      <c r="AE491" s="99"/>
      <c r="AF491" s="99"/>
      <c r="AG491" s="97"/>
      <c r="AH491" s="98"/>
      <c r="AI491" s="98"/>
      <c r="AJ491" s="98"/>
      <c r="AK491" s="98"/>
      <c r="AL491" s="98"/>
      <c r="AM491" s="99"/>
      <c r="AN491" s="99"/>
      <c r="AO491" s="97"/>
      <c r="AP491" s="98"/>
      <c r="AQ491" s="98"/>
      <c r="AR491" s="98"/>
      <c r="AS491" s="98"/>
      <c r="AT491" s="98"/>
      <c r="AU491" s="99"/>
      <c r="AV491" s="99"/>
      <c r="AW491" s="97"/>
      <c r="AX491" s="98"/>
      <c r="AY491" s="98"/>
      <c r="AZ491" s="98"/>
      <c r="BA491" s="98"/>
      <c r="BB491" s="98"/>
      <c r="BC491" s="99"/>
      <c r="BD491" s="99"/>
      <c r="BE491" s="97"/>
      <c r="BF491" s="98"/>
      <c r="BG491" s="98"/>
      <c r="BH491" s="98"/>
      <c r="BI491" s="98"/>
      <c r="BJ491" s="98"/>
      <c r="BK491" s="99"/>
      <c r="BL491" s="99"/>
      <c r="BM491" s="97"/>
      <c r="BN491" s="98"/>
      <c r="BO491" s="98"/>
      <c r="BP491" s="98"/>
      <c r="BQ491" s="98"/>
      <c r="BR491" s="98"/>
      <c r="BS491" s="99"/>
      <c r="BT491" s="99"/>
    </row>
    <row r="492" spans="1:72" ht="14.25" thickBot="1">
      <c r="A492" s="100"/>
      <c r="B492" s="101"/>
      <c r="C492" s="101"/>
      <c r="D492" s="101"/>
      <c r="E492" s="101"/>
      <c r="F492" s="101"/>
      <c r="G492" s="102"/>
      <c r="H492" s="102"/>
      <c r="I492" s="100"/>
      <c r="J492" s="101"/>
      <c r="K492" s="101"/>
      <c r="L492" s="101"/>
      <c r="M492" s="101"/>
      <c r="N492" s="101"/>
      <c r="O492" s="102"/>
      <c r="P492" s="102"/>
      <c r="Q492" s="100"/>
      <c r="R492" s="101"/>
      <c r="S492" s="101"/>
      <c r="T492" s="101"/>
      <c r="U492" s="101"/>
      <c r="V492" s="101"/>
      <c r="W492" s="102"/>
      <c r="X492" s="102"/>
      <c r="Y492" s="100"/>
      <c r="Z492" s="101"/>
      <c r="AA492" s="101"/>
      <c r="AB492" s="101"/>
      <c r="AC492" s="101"/>
      <c r="AD492" s="101"/>
      <c r="AE492" s="102"/>
      <c r="AF492" s="102"/>
      <c r="AG492" s="100"/>
      <c r="AH492" s="101"/>
      <c r="AI492" s="101"/>
      <c r="AJ492" s="101"/>
      <c r="AK492" s="101"/>
      <c r="AL492" s="101"/>
      <c r="AM492" s="102"/>
      <c r="AN492" s="102"/>
      <c r="AO492" s="100"/>
      <c r="AP492" s="101"/>
      <c r="AQ492" s="101"/>
      <c r="AR492" s="101"/>
      <c r="AS492" s="101"/>
      <c r="AT492" s="101"/>
      <c r="AU492" s="102"/>
      <c r="AV492" s="102"/>
      <c r="AW492" s="100"/>
      <c r="AX492" s="101"/>
      <c r="AY492" s="101"/>
      <c r="AZ492" s="101"/>
      <c r="BA492" s="101"/>
      <c r="BB492" s="101"/>
      <c r="BC492" s="102"/>
      <c r="BD492" s="102"/>
      <c r="BE492" s="100"/>
      <c r="BF492" s="101"/>
      <c r="BG492" s="101"/>
      <c r="BH492" s="101"/>
      <c r="BI492" s="101"/>
      <c r="BJ492" s="101"/>
      <c r="BK492" s="102"/>
      <c r="BL492" s="102"/>
      <c r="BM492" s="100"/>
      <c r="BN492" s="101"/>
      <c r="BO492" s="101"/>
      <c r="BP492" s="101"/>
      <c r="BQ492" s="101"/>
      <c r="BR492" s="101"/>
      <c r="BS492" s="102"/>
      <c r="BT492" s="102"/>
    </row>
  </sheetData>
  <mergeCells count="27">
    <mergeCell ref="AW1:AZ1"/>
    <mergeCell ref="BE1:BH1"/>
    <mergeCell ref="BM1:BP1"/>
    <mergeCell ref="AW2:AZ2"/>
    <mergeCell ref="BE2:BH2"/>
    <mergeCell ref="BM2:BP2"/>
    <mergeCell ref="A1:G2"/>
    <mergeCell ref="I1:J1"/>
    <mergeCell ref="L1:N1"/>
    <mergeCell ref="I2:J2"/>
    <mergeCell ref="L2:N2"/>
    <mergeCell ref="Q1:R1"/>
    <mergeCell ref="T1:V1"/>
    <mergeCell ref="Q2:R2"/>
    <mergeCell ref="T2:V2"/>
    <mergeCell ref="Y1:Z1"/>
    <mergeCell ref="Y2:Z2"/>
    <mergeCell ref="AO1:AP1"/>
    <mergeCell ref="AR1:AT1"/>
    <mergeCell ref="AO2:AP2"/>
    <mergeCell ref="AR2:AT2"/>
    <mergeCell ref="AB1:AD1"/>
    <mergeCell ref="AB2:AD2"/>
    <mergeCell ref="AG1:AH1"/>
    <mergeCell ref="AJ1:AL1"/>
    <mergeCell ref="AG2:AH2"/>
    <mergeCell ref="AJ2:AL2"/>
  </mergeCells>
  <phoneticPr fontId="15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9"/>
  <sheetViews>
    <sheetView workbookViewId="0">
      <selection activeCell="A5" sqref="A5"/>
    </sheetView>
  </sheetViews>
  <sheetFormatPr defaultColWidth="8.875" defaultRowHeight="13.5"/>
  <cols>
    <col min="1" max="1" width="9" customWidth="1"/>
    <col min="64" max="67" width="16.5" bestFit="1" customWidth="1"/>
    <col min="68" max="70" width="17.625" bestFit="1" customWidth="1"/>
    <col min="71" max="79" width="16.5" bestFit="1" customWidth="1"/>
    <col min="80" max="82" width="17.625" bestFit="1" customWidth="1"/>
    <col min="83" max="91" width="16.5" bestFit="1" customWidth="1"/>
    <col min="92" max="94" width="17.625" bestFit="1" customWidth="1"/>
    <col min="95" max="103" width="16.5" bestFit="1" customWidth="1"/>
    <col min="104" max="106" width="17.625" bestFit="1" customWidth="1"/>
    <col min="107" max="110" width="16.5" bestFit="1" customWidth="1"/>
  </cols>
  <sheetData>
    <row r="1" spans="1:133" ht="14.25" thickBot="1"/>
    <row r="2" spans="1:133" ht="14.25" thickBot="1">
      <c r="C2" s="703"/>
      <c r="D2" s="704"/>
      <c r="E2" s="704"/>
      <c r="F2" s="704"/>
      <c r="G2" s="704"/>
      <c r="H2" s="704"/>
      <c r="I2" s="704"/>
      <c r="J2" s="704"/>
      <c r="K2" s="704"/>
      <c r="L2" s="704"/>
      <c r="M2" s="705"/>
      <c r="N2" s="706"/>
      <c r="O2" s="707"/>
      <c r="P2" s="707"/>
      <c r="Q2" s="707"/>
      <c r="R2" s="707"/>
      <c r="S2" s="707"/>
      <c r="T2" s="707"/>
      <c r="U2" s="707"/>
      <c r="V2" s="707"/>
      <c r="W2" s="707"/>
      <c r="X2" s="707"/>
      <c r="Y2" s="708"/>
      <c r="Z2" s="703"/>
      <c r="AA2" s="704"/>
      <c r="AB2" s="704"/>
      <c r="AC2" s="704"/>
      <c r="AD2" s="704"/>
      <c r="AE2" s="704"/>
      <c r="AF2" s="704"/>
      <c r="AG2" s="704"/>
      <c r="AH2" s="704"/>
      <c r="AI2" s="704"/>
      <c r="AJ2" s="704"/>
      <c r="AK2" s="705"/>
      <c r="AL2" s="706"/>
      <c r="AM2" s="707"/>
      <c r="AN2" s="707"/>
      <c r="AO2" s="707"/>
      <c r="AP2" s="707"/>
      <c r="AQ2" s="707"/>
      <c r="AR2" s="707"/>
      <c r="AS2" s="707"/>
      <c r="AT2" s="707"/>
      <c r="AU2" s="707"/>
      <c r="AV2" s="707"/>
      <c r="AW2" s="708"/>
      <c r="AX2" s="703"/>
      <c r="AY2" s="704"/>
      <c r="AZ2" s="704"/>
      <c r="BA2" s="704"/>
      <c r="BB2" s="704"/>
      <c r="BC2" s="704"/>
      <c r="BD2" s="704"/>
      <c r="BE2" s="704"/>
      <c r="BF2" s="704"/>
      <c r="BG2" s="704"/>
      <c r="BH2" s="704"/>
      <c r="BI2" s="705"/>
      <c r="BJ2" s="706"/>
      <c r="BK2" s="707"/>
      <c r="BL2" s="707"/>
      <c r="BM2" s="707"/>
      <c r="BN2" s="707"/>
      <c r="BO2" s="707"/>
      <c r="BP2" s="707"/>
      <c r="BQ2" s="707"/>
      <c r="BR2" s="707"/>
      <c r="BS2" s="707"/>
      <c r="BT2" s="707"/>
      <c r="BU2" s="708"/>
      <c r="BV2" s="703"/>
      <c r="BW2" s="704"/>
      <c r="BX2" s="704"/>
      <c r="BY2" s="704"/>
      <c r="BZ2" s="704"/>
      <c r="CA2" s="704"/>
      <c r="CB2" s="704"/>
      <c r="CC2" s="704"/>
      <c r="CD2" s="704"/>
      <c r="CE2" s="704"/>
      <c r="CF2" s="704"/>
      <c r="CG2" s="705"/>
      <c r="CH2" s="706"/>
      <c r="CI2" s="707"/>
      <c r="CJ2" s="707"/>
      <c r="CK2" s="707"/>
      <c r="CL2" s="707"/>
      <c r="CM2" s="707"/>
      <c r="CN2" s="707"/>
      <c r="CO2" s="707"/>
      <c r="CP2" s="707"/>
      <c r="CQ2" s="707"/>
      <c r="CR2" s="707"/>
      <c r="CS2" s="708"/>
      <c r="CT2" s="703"/>
      <c r="CU2" s="704"/>
      <c r="CV2" s="704"/>
      <c r="CW2" s="704"/>
      <c r="CX2" s="704"/>
      <c r="CY2" s="704"/>
      <c r="CZ2" s="704"/>
      <c r="DA2" s="704"/>
      <c r="DB2" s="704"/>
      <c r="DC2" s="704"/>
      <c r="DD2" s="704"/>
      <c r="DE2" s="705"/>
      <c r="DF2" s="706"/>
      <c r="DG2" s="707"/>
      <c r="DH2" s="707"/>
      <c r="DI2" s="707"/>
      <c r="DJ2" s="707"/>
      <c r="DK2" s="707"/>
      <c r="DL2" s="707"/>
      <c r="DM2" s="707"/>
      <c r="DN2" s="707"/>
      <c r="DO2" s="707"/>
      <c r="DP2" s="707"/>
      <c r="DQ2" s="708"/>
      <c r="DR2" s="703"/>
      <c r="DS2" s="704"/>
      <c r="DT2" s="704"/>
      <c r="DU2" s="704"/>
      <c r="DV2" s="704"/>
      <c r="DW2" s="704"/>
      <c r="DX2" s="704"/>
      <c r="DY2" s="704"/>
      <c r="DZ2" s="704"/>
      <c r="EA2" s="704"/>
      <c r="EB2" s="704"/>
      <c r="EC2" s="705"/>
    </row>
    <row r="3" spans="1:133" ht="14.25" thickBot="1">
      <c r="A3" s="88"/>
      <c r="B3" s="117" t="s">
        <v>281</v>
      </c>
      <c r="C3" s="121">
        <v>40688</v>
      </c>
      <c r="D3" s="121">
        <v>40719</v>
      </c>
      <c r="E3" s="121">
        <v>40749</v>
      </c>
      <c r="F3" s="121">
        <v>40780</v>
      </c>
      <c r="G3" s="121">
        <v>40811</v>
      </c>
      <c r="H3" s="121">
        <v>40841</v>
      </c>
      <c r="I3" s="121">
        <v>40872</v>
      </c>
      <c r="J3" s="121">
        <v>40902</v>
      </c>
      <c r="K3" s="121">
        <v>40933</v>
      </c>
      <c r="L3" s="121">
        <v>40964</v>
      </c>
      <c r="M3" s="121">
        <v>40993</v>
      </c>
      <c r="N3" s="121">
        <v>41024</v>
      </c>
      <c r="O3" s="121">
        <v>41054</v>
      </c>
      <c r="P3" s="121">
        <v>41085</v>
      </c>
      <c r="Q3" s="121">
        <v>41115</v>
      </c>
      <c r="R3" s="121">
        <v>41146</v>
      </c>
      <c r="S3" s="121">
        <v>41177</v>
      </c>
      <c r="T3" s="121">
        <v>41207</v>
      </c>
      <c r="U3" s="121">
        <v>41238</v>
      </c>
      <c r="V3" s="121">
        <v>41268</v>
      </c>
      <c r="W3" s="121">
        <v>41299</v>
      </c>
      <c r="X3" s="121">
        <v>41330</v>
      </c>
      <c r="Y3" s="121">
        <v>41358</v>
      </c>
      <c r="Z3" s="121">
        <v>41389</v>
      </c>
      <c r="AA3" s="121">
        <v>41419</v>
      </c>
      <c r="AB3" s="121">
        <v>41450</v>
      </c>
      <c r="AC3" s="121">
        <v>41480</v>
      </c>
      <c r="AD3" s="121">
        <v>41511</v>
      </c>
      <c r="AE3" s="121">
        <v>41542</v>
      </c>
      <c r="AF3" s="121">
        <v>41572</v>
      </c>
      <c r="AG3" s="121">
        <v>41603</v>
      </c>
      <c r="AH3" s="121">
        <v>41633</v>
      </c>
      <c r="AI3" s="121">
        <v>41664</v>
      </c>
      <c r="AJ3" s="121">
        <v>41695</v>
      </c>
      <c r="AK3" s="121">
        <v>41723</v>
      </c>
      <c r="AL3" s="122">
        <v>41754</v>
      </c>
      <c r="AM3" s="122">
        <v>41784</v>
      </c>
      <c r="AN3" s="122">
        <v>41815</v>
      </c>
      <c r="AO3" s="122">
        <v>41845</v>
      </c>
      <c r="AP3" s="122">
        <v>41876</v>
      </c>
      <c r="AQ3" s="122">
        <v>41907</v>
      </c>
      <c r="AR3" s="122">
        <v>41937</v>
      </c>
      <c r="AS3" s="122">
        <v>41968</v>
      </c>
      <c r="AT3" s="122">
        <v>41998</v>
      </c>
      <c r="AU3" s="122">
        <v>42029</v>
      </c>
      <c r="AV3" s="122">
        <v>42060</v>
      </c>
      <c r="AW3" s="122">
        <v>42088</v>
      </c>
      <c r="AX3" s="122">
        <v>42119</v>
      </c>
      <c r="AY3" s="122">
        <v>42149</v>
      </c>
      <c r="AZ3" s="122">
        <v>42180</v>
      </c>
      <c r="BA3" s="122">
        <v>42210</v>
      </c>
      <c r="BB3" s="122">
        <v>42241</v>
      </c>
      <c r="BC3" s="122">
        <v>42272</v>
      </c>
      <c r="BD3" s="122">
        <v>42302</v>
      </c>
      <c r="BE3" s="122">
        <v>42333</v>
      </c>
      <c r="BF3" s="122">
        <v>42363</v>
      </c>
      <c r="BG3" s="122">
        <v>42394</v>
      </c>
      <c r="BH3" s="122">
        <v>42425</v>
      </c>
      <c r="BI3" s="122">
        <v>42454</v>
      </c>
      <c r="BJ3" s="122">
        <v>42485</v>
      </c>
      <c r="BK3" s="123">
        <v>42515</v>
      </c>
      <c r="BL3" s="124">
        <v>42546</v>
      </c>
      <c r="BM3" s="124">
        <v>42576</v>
      </c>
      <c r="BN3" s="124">
        <v>42607</v>
      </c>
      <c r="BO3" s="124">
        <v>42638</v>
      </c>
      <c r="BP3" s="124">
        <v>42668</v>
      </c>
      <c r="BQ3" s="124">
        <v>42699</v>
      </c>
      <c r="BR3" s="124">
        <v>42729</v>
      </c>
      <c r="BS3" s="124">
        <v>42760</v>
      </c>
      <c r="BT3" s="124">
        <v>42791</v>
      </c>
      <c r="BU3" s="124">
        <v>42819</v>
      </c>
      <c r="BV3" s="124">
        <v>42850</v>
      </c>
      <c r="BW3" s="124">
        <v>42880</v>
      </c>
      <c r="BX3" s="124">
        <v>42911</v>
      </c>
      <c r="BY3" s="124">
        <v>42941</v>
      </c>
      <c r="BZ3" s="124">
        <v>42972</v>
      </c>
      <c r="CA3" s="124">
        <v>43003</v>
      </c>
      <c r="CB3" s="124">
        <v>43033</v>
      </c>
      <c r="CC3" s="124">
        <v>43064</v>
      </c>
      <c r="CD3" s="124">
        <v>43094</v>
      </c>
      <c r="CE3" s="124">
        <v>43125</v>
      </c>
      <c r="CF3" s="124">
        <v>43156</v>
      </c>
      <c r="CG3" s="124">
        <v>43184</v>
      </c>
      <c r="CH3" s="124">
        <v>43215</v>
      </c>
      <c r="CI3" s="124">
        <v>43245</v>
      </c>
      <c r="CJ3" s="124">
        <v>43276</v>
      </c>
      <c r="CK3" s="124">
        <v>43306</v>
      </c>
      <c r="CL3" s="124">
        <v>43337</v>
      </c>
      <c r="CM3" s="124">
        <v>43368</v>
      </c>
      <c r="CN3" s="124">
        <v>43398</v>
      </c>
      <c r="CO3" s="124">
        <v>43429</v>
      </c>
      <c r="CP3" s="124">
        <v>43459</v>
      </c>
      <c r="CQ3" s="124">
        <v>43490</v>
      </c>
      <c r="CR3" s="124">
        <v>43521</v>
      </c>
      <c r="CS3" s="124">
        <v>43549</v>
      </c>
      <c r="CT3" s="124">
        <v>43580</v>
      </c>
      <c r="CU3" s="124">
        <v>43610</v>
      </c>
      <c r="CV3" s="124">
        <v>43641</v>
      </c>
      <c r="CW3" s="124">
        <v>43671</v>
      </c>
      <c r="CX3" s="124">
        <v>43702</v>
      </c>
      <c r="CY3" s="124">
        <v>43733</v>
      </c>
      <c r="CZ3" s="124">
        <v>43763</v>
      </c>
      <c r="DA3" s="124">
        <v>43794</v>
      </c>
      <c r="DB3" s="124">
        <v>43824</v>
      </c>
      <c r="DC3" s="124">
        <v>43855</v>
      </c>
      <c r="DD3" s="124">
        <v>43886</v>
      </c>
      <c r="DE3" s="124">
        <v>43915</v>
      </c>
      <c r="DF3" s="124">
        <v>43946</v>
      </c>
      <c r="DG3" s="124"/>
      <c r="DH3" s="124"/>
      <c r="DI3" s="124"/>
      <c r="DJ3" s="124"/>
      <c r="DK3" s="125"/>
      <c r="DL3" s="125"/>
      <c r="DM3" s="125"/>
      <c r="DN3" s="125"/>
      <c r="DO3" s="125"/>
      <c r="DP3" s="125"/>
      <c r="DQ3" s="125"/>
      <c r="DR3" s="125"/>
      <c r="DS3" s="125"/>
      <c r="DT3" s="125"/>
      <c r="DU3" s="125"/>
      <c r="DV3" s="125"/>
    </row>
    <row r="4" spans="1:133" ht="14.25" thickBot="1">
      <c r="A4" s="88"/>
      <c r="B4" s="117" t="s">
        <v>282</v>
      </c>
      <c r="C4" s="78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  <c r="AN4" s="119"/>
      <c r="AO4" s="119"/>
      <c r="AP4" s="119"/>
      <c r="AQ4" s="119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119"/>
      <c r="BE4" s="119"/>
      <c r="BF4" s="119"/>
      <c r="BG4" s="119"/>
      <c r="BH4" s="119"/>
      <c r="BI4" s="119"/>
      <c r="BJ4" s="119"/>
      <c r="BK4" s="119"/>
      <c r="BL4" s="78"/>
      <c r="BM4" s="78"/>
      <c r="BN4" s="78"/>
      <c r="BO4" s="78"/>
      <c r="BP4" s="78"/>
      <c r="BQ4" s="78"/>
      <c r="BR4" s="78"/>
      <c r="BS4" s="78"/>
      <c r="BT4" s="78"/>
      <c r="BU4" s="78"/>
      <c r="BV4" s="78"/>
      <c r="BW4" s="78"/>
      <c r="BX4" s="78"/>
      <c r="BY4" s="78"/>
      <c r="BZ4" s="78"/>
      <c r="CA4" s="78"/>
      <c r="CB4" s="78"/>
      <c r="CC4" s="78"/>
      <c r="CD4" s="78"/>
      <c r="CE4" s="78"/>
      <c r="CF4" s="78"/>
      <c r="CG4" s="78"/>
      <c r="CH4" s="78"/>
      <c r="CI4" s="78"/>
      <c r="CJ4" s="78"/>
      <c r="CK4" s="78"/>
      <c r="CL4" s="78"/>
      <c r="CM4" s="78"/>
      <c r="CN4" s="78"/>
      <c r="CO4" s="78"/>
      <c r="CP4" s="78"/>
      <c r="CQ4" s="78"/>
      <c r="CR4" s="78"/>
      <c r="CS4" s="78"/>
      <c r="CT4" s="78"/>
      <c r="CU4" s="78"/>
      <c r="CV4" s="78"/>
      <c r="CW4" s="78"/>
      <c r="CX4" s="78"/>
      <c r="CY4" s="78"/>
      <c r="CZ4" s="78"/>
      <c r="DA4" s="78"/>
      <c r="DB4" s="78"/>
      <c r="DC4" s="78"/>
      <c r="DD4" s="78"/>
      <c r="DE4" s="78"/>
      <c r="DF4" s="78"/>
      <c r="DG4" s="78"/>
      <c r="DH4" s="78"/>
      <c r="DI4" s="78"/>
      <c r="DJ4" s="78"/>
    </row>
    <row r="5" spans="1:133" ht="14.25" thickBot="1">
      <c r="A5" s="105"/>
      <c r="B5" s="110" t="s">
        <v>283</v>
      </c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  <c r="AK5" s="120"/>
      <c r="AL5" s="120"/>
      <c r="AM5" s="120"/>
      <c r="AN5" s="120"/>
      <c r="AO5" s="120"/>
      <c r="AP5" s="120"/>
      <c r="AQ5" s="120"/>
      <c r="AR5" s="120"/>
      <c r="AS5" s="120"/>
      <c r="AT5" s="120"/>
      <c r="AU5" s="120"/>
      <c r="AV5" s="120"/>
      <c r="AW5" s="120"/>
      <c r="AX5" s="120"/>
      <c r="AY5" s="120"/>
      <c r="AZ5" s="120"/>
      <c r="BA5" s="120"/>
      <c r="BB5" s="120"/>
      <c r="BC5" s="120"/>
      <c r="BD5" s="120"/>
      <c r="BE5" s="120"/>
      <c r="BF5" s="120"/>
      <c r="BG5" s="120"/>
      <c r="BH5" s="120"/>
      <c r="BI5" s="120"/>
      <c r="BJ5" s="120"/>
      <c r="BK5" s="120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78"/>
      <c r="DH5" s="78"/>
      <c r="DI5" s="78"/>
      <c r="DJ5" s="78"/>
    </row>
    <row r="6" spans="1:133" ht="14.25" thickBot="1">
      <c r="A6" s="106" t="s">
        <v>279</v>
      </c>
      <c r="B6" s="110" t="s">
        <v>284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0"/>
      <c r="AU6" s="120"/>
      <c r="AV6" s="120"/>
      <c r="AW6" s="120"/>
      <c r="AX6" s="120"/>
      <c r="AY6" s="120"/>
      <c r="AZ6" s="120"/>
      <c r="BA6" s="120"/>
      <c r="BB6" s="120"/>
      <c r="BC6" s="120"/>
      <c r="BD6" s="120"/>
      <c r="BE6" s="120"/>
      <c r="BF6" s="120"/>
      <c r="BG6" s="120"/>
      <c r="BH6" s="120"/>
      <c r="BI6" s="120"/>
      <c r="BJ6" s="120"/>
      <c r="BK6" s="120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78"/>
      <c r="DH6" s="78"/>
      <c r="DI6" s="78"/>
      <c r="DJ6" s="78"/>
    </row>
    <row r="7" spans="1:133" ht="14.25" thickBot="1">
      <c r="A7" s="106"/>
      <c r="B7" s="110" t="s">
        <v>285</v>
      </c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0"/>
      <c r="AN7" s="120"/>
      <c r="AO7" s="120"/>
      <c r="AP7" s="120"/>
      <c r="AQ7" s="120"/>
      <c r="AR7" s="120"/>
      <c r="AS7" s="120"/>
      <c r="AT7" s="120"/>
      <c r="AU7" s="120"/>
      <c r="AV7" s="120"/>
      <c r="AW7" s="120"/>
      <c r="AX7" s="120"/>
      <c r="AY7" s="120"/>
      <c r="AZ7" s="120"/>
      <c r="BA7" s="120"/>
      <c r="BB7" s="120"/>
      <c r="BC7" s="120"/>
      <c r="BD7" s="120"/>
      <c r="BE7" s="120"/>
      <c r="BF7" s="120"/>
      <c r="BG7" s="120"/>
      <c r="BH7" s="120"/>
      <c r="BI7" s="120"/>
      <c r="BJ7" s="120"/>
      <c r="BK7" s="120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78"/>
      <c r="DH7" s="78"/>
      <c r="DI7" s="78"/>
      <c r="DJ7" s="78"/>
    </row>
    <row r="8" spans="1:133" ht="14.25" thickBot="1">
      <c r="A8" s="107"/>
      <c r="B8" s="110" t="s">
        <v>286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0"/>
      <c r="AK8" s="120"/>
      <c r="AL8" s="120"/>
      <c r="AM8" s="120"/>
      <c r="AN8" s="120"/>
      <c r="AO8" s="120"/>
      <c r="AP8" s="120"/>
      <c r="AQ8" s="120"/>
      <c r="AR8" s="120"/>
      <c r="AS8" s="120"/>
      <c r="AT8" s="120"/>
      <c r="AU8" s="120"/>
      <c r="AV8" s="120"/>
      <c r="AW8" s="120"/>
      <c r="AX8" s="120"/>
      <c r="AY8" s="120"/>
      <c r="AZ8" s="120"/>
      <c r="BA8" s="120"/>
      <c r="BB8" s="120"/>
      <c r="BC8" s="120"/>
      <c r="BD8" s="120"/>
      <c r="BE8" s="120"/>
      <c r="BF8" s="120"/>
      <c r="BG8" s="120"/>
      <c r="BH8" s="120"/>
      <c r="BI8" s="120"/>
      <c r="BJ8" s="120"/>
      <c r="BK8" s="120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78"/>
      <c r="DH8" s="78"/>
      <c r="DI8" s="78"/>
      <c r="DJ8" s="78"/>
    </row>
    <row r="9" spans="1:133">
      <c r="A9" s="107"/>
      <c r="B9" s="118" t="s">
        <v>287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20"/>
      <c r="BH9" s="120"/>
      <c r="BI9" s="120"/>
      <c r="BJ9" s="120"/>
      <c r="BK9" s="120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78"/>
      <c r="DH9" s="78"/>
      <c r="DI9" s="78"/>
      <c r="DJ9" s="78"/>
    </row>
  </sheetData>
  <mergeCells count="11">
    <mergeCell ref="C2:M2"/>
    <mergeCell ref="N2:Y2"/>
    <mergeCell ref="Z2:AK2"/>
    <mergeCell ref="AL2:AW2"/>
    <mergeCell ref="DR2:EC2"/>
    <mergeCell ref="AX2:BI2"/>
    <mergeCell ref="BJ2:BU2"/>
    <mergeCell ref="BV2:CG2"/>
    <mergeCell ref="CH2:CS2"/>
    <mergeCell ref="CT2:DE2"/>
    <mergeCell ref="DF2:DQ2"/>
  </mergeCells>
  <phoneticPr fontId="2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"/>
  <sheetViews>
    <sheetView workbookViewId="0">
      <selection activeCell="I37" sqref="I37"/>
    </sheetView>
  </sheetViews>
  <sheetFormatPr defaultColWidth="8.875" defaultRowHeight="13.5"/>
  <cols>
    <col min="1" max="1" width="2.875" customWidth="1"/>
  </cols>
  <sheetData>
    <row r="2" spans="1:2">
      <c r="A2" t="s">
        <v>411</v>
      </c>
    </row>
    <row r="3" spans="1:2">
      <c r="B3" t="s">
        <v>412</v>
      </c>
    </row>
    <row r="4" spans="1:2">
      <c r="B4" t="s">
        <v>413</v>
      </c>
    </row>
    <row r="5" spans="1:2">
      <c r="B5" t="s">
        <v>414</v>
      </c>
    </row>
  </sheetData>
  <phoneticPr fontId="2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15</vt:i4>
      </vt:variant>
      <vt:variant>
        <vt:lpstr>名前付き一覧</vt:lpstr>
      </vt:variant>
      <vt:variant>
        <vt:i4>1</vt:i4>
      </vt:variant>
    </vt:vector>
  </HeadingPairs>
  <TitlesOfParts>
    <vt:vector size="16" baseType="lpstr">
      <vt:lpstr>事業評価【A案・税引前】</vt:lpstr>
      <vt:lpstr>事業評価【A案・税引後】</vt:lpstr>
      <vt:lpstr>予備</vt:lpstr>
      <vt:lpstr>売上計画 </vt:lpstr>
      <vt:lpstr>営業権譲渡関連</vt:lpstr>
      <vt:lpstr>Sheet2</vt:lpstr>
      <vt:lpstr>基礎</vt:lpstr>
      <vt:lpstr>PL</vt:lpstr>
      <vt:lpstr>CF</vt:lpstr>
      <vt:lpstr>BS</vt:lpstr>
      <vt:lpstr>店舗初期投資</vt:lpstr>
      <vt:lpstr>店舗投資詳細</vt:lpstr>
      <vt:lpstr>金融借入</vt:lpstr>
      <vt:lpstr>金融借入（移行計算）</vt:lpstr>
      <vt:lpstr>Sheet1</vt:lpstr>
      <vt:lpstr>基礎!Print_Area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31702</dc:creator>
  <cp:lastModifiedBy>yamauchi</cp:lastModifiedBy>
  <cp:lastPrinted>2016-12-07T05:43:32Z</cp:lastPrinted>
  <dcterms:created xsi:type="dcterms:W3CDTF">2011-03-25T02:06:05Z</dcterms:created>
  <dcterms:modified xsi:type="dcterms:W3CDTF">2016-12-15T10:30:27Z</dcterms:modified>
</cp:coreProperties>
</file>