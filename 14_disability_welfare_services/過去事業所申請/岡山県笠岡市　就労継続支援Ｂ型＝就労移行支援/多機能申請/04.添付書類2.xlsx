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C:\Users\user\Desktop\多機能申請\"/>
    </mc:Choice>
  </mc:AlternateContent>
  <xr:revisionPtr revIDLastSave="0" documentId="13_ncr:1_{BD514DFE-D7CE-4C6D-91D9-A27F999A9A7D}" xr6:coauthVersionLast="37" xr6:coauthVersionMax="37" xr10:uidLastSave="{00000000-0000-0000-0000-000000000000}"/>
  <bookViews>
    <workbookView xWindow="0" yWindow="0" windowWidth="28800" windowHeight="12135" tabRatio="851" firstSheet="1" activeTab="14" xr2:uid="{00000000-000D-0000-FFFF-FFFF00000000}"/>
  </bookViews>
  <sheets>
    <sheet name="目次" sheetId="33" r:id="rId1"/>
    <sheet name="02役員等名簿(新規)" sheetId="39" r:id="rId2"/>
    <sheet name="8平面図 (2)" sheetId="34" r:id="rId3"/>
    <sheet name="10設備備品一覧 (2)" sheetId="35" r:id="rId4"/>
    <sheet name="11-1建築関連協議録(表)" sheetId="4" state="hidden" r:id="rId5"/>
    <sheet name="11-1建築関連協議録(裏)" sheetId="5" state="hidden" r:id="rId6"/>
    <sheet name="11-2建築関連協議録(表)" sheetId="6" state="hidden" r:id="rId7"/>
    <sheet name="11-2建築関連協議録(裏)" sheetId="7" state="hidden" r:id="rId8"/>
    <sheet name="11-3建築関連協議録" sheetId="8" state="hidden" r:id="rId9"/>
    <sheet name="12～15経歴書" sheetId="18" r:id="rId10"/>
    <sheet name="12～15経歴書 (2)" sheetId="41" r:id="rId11"/>
    <sheet name="16就任承諾書" sheetId="19" r:id="rId12"/>
    <sheet name="17-1サビ提誓約書(同行援護)" sheetId="26" state="hidden" r:id="rId13"/>
    <sheet name="17-2サビ提誓約書(行動援護)" sheetId="28" state="hidden" r:id="rId14"/>
    <sheet name="17-2サビ管誓約書(新規)" sheetId="30" r:id="rId15"/>
    <sheet name="17-2サビ管誓約書(やむを得ない事由)" sheetId="31" state="hidden" r:id="rId16"/>
    <sheet name="18実務経験証明書" sheetId="20" state="hidden" r:id="rId17"/>
    <sheet name="20苦情解決措置" sheetId="40" r:id="rId18"/>
    <sheet name="21勤務形態一覧(就労継続支援Ｂ型)" sheetId="36" r:id="rId19"/>
    <sheet name="21勤務形態一覧(移行支援2)" sheetId="37" r:id="rId20"/>
    <sheet name="21勤務形態一覧(訪問系以外)" sheetId="9" state="hidden" r:id="rId21"/>
    <sheet name="21勤務形態一覧(訪問系)" sheetId="10" state="hidden" r:id="rId22"/>
    <sheet name="25従業者誓約書(同行援護)" sheetId="27" state="hidden" r:id="rId23"/>
    <sheet name="25従業者誓約書(行動援護)" sheetId="29" state="hidden" r:id="rId24"/>
    <sheet name="28関係機関" sheetId="23" r:id="rId25"/>
    <sheet name="30主たる対象者" sheetId="22" state="hidden" r:id="rId26"/>
    <sheet name="37GH体制" sheetId="15" state="hidden" r:id="rId27"/>
    <sheet name="38障害支援区分" sheetId="12" state="hidden" r:id="rId28"/>
    <sheet name="39原本証明" sheetId="32" r:id="rId29"/>
  </sheets>
  <definedNames>
    <definedName name="_xlnm.Print_Area" localSheetId="1">'02役員等名簿(新規)'!$A$1:$I$41</definedName>
    <definedName name="_xlnm.Print_Area" localSheetId="3">'10設備備品一覧 (2)'!$A$1:$C$50</definedName>
    <definedName name="_xlnm.Print_Area" localSheetId="5">'11-1建築関連協議録(裏)'!$A$1:$F$24</definedName>
    <definedName name="_xlnm.Print_Area" localSheetId="6">'11-2建築関連協議録(表)'!$A$1:$E$36</definedName>
    <definedName name="_xlnm.Print_Area" localSheetId="7">'11-2建築関連協議録(裏)'!$A$1:$E$33</definedName>
    <definedName name="_xlnm.Print_Area" localSheetId="8">'11-3建築関連協議録'!$A$1:$E$31</definedName>
    <definedName name="_xlnm.Print_Area" localSheetId="9">'12～15経歴書'!$A$1:$I$52</definedName>
    <definedName name="_xlnm.Print_Area" localSheetId="10">'12～15経歴書 (2)'!$A$1:$I$52</definedName>
    <definedName name="_xlnm.Print_Area" localSheetId="17">'20苦情解決措置'!$A$1:$I$52</definedName>
    <definedName name="_xlnm.Print_Area" localSheetId="19">'21勤務形態一覧(移行支援2)'!$A$1:$BF$38</definedName>
    <definedName name="_xlnm.Print_Area" localSheetId="18">'21勤務形態一覧(就労継続支援Ｂ型)'!$A$1:$BF$38</definedName>
    <definedName name="_xlnm.Print_Area" localSheetId="21">'21勤務形態一覧(訪問系)'!$A$1:$BL$39</definedName>
    <definedName name="_xlnm.Print_Area" localSheetId="20">'21勤務形態一覧(訪問系以外)'!$A$1:$BF$38</definedName>
    <definedName name="_xlnm.Print_Area" localSheetId="26">'37GH体制'!$B$1:$AF$41</definedName>
    <definedName name="_xlnm.Print_Area" localSheetId="27">'38障害支援区分'!$B$1:$AJ$38</definedName>
    <definedName name="_xlnm.Print_Area" localSheetId="2">'8平面図 (2)'!$A$1:$S$36</definedName>
    <definedName name="_xlnm.Print_Area" localSheetId="0">目次!$A$1:$C$25</definedName>
  </definedName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U14" i="37" l="1"/>
  <c r="AU14" i="36"/>
  <c r="BT14" i="36"/>
  <c r="BD14" i="37" l="1"/>
  <c r="AX14" i="37"/>
  <c r="BU8" i="37"/>
  <c r="AX14" i="36"/>
  <c r="BA14" i="36" s="1"/>
  <c r="BD11" i="36" l="1"/>
  <c r="BA11" i="36"/>
  <c r="AX11" i="36"/>
  <c r="AU11" i="36"/>
  <c r="AU24" i="37" l="1"/>
  <c r="AU23" i="37"/>
  <c r="BA16" i="37"/>
  <c r="BD16" i="37" s="1"/>
  <c r="BA11" i="37"/>
  <c r="AX11" i="37"/>
  <c r="AU11" i="37"/>
  <c r="BD10" i="37"/>
  <c r="BA10" i="37"/>
  <c r="AX10" i="37"/>
  <c r="AU10" i="37"/>
  <c r="AU24" i="36"/>
  <c r="AU23" i="36"/>
  <c r="BD14" i="36"/>
  <c r="BA16" i="36"/>
  <c r="BD16" i="36" s="1"/>
  <c r="BD13" i="36"/>
  <c r="BD10" i="36"/>
  <c r="BA10" i="36"/>
  <c r="AX10" i="36"/>
  <c r="AU10"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C00-000001000000}">
      <text>
        <r>
          <rPr>
            <b/>
            <sz val="9"/>
            <color indexed="81"/>
            <rFont val="ＭＳ Ｐゴシック"/>
            <family val="3"/>
            <charset val="128"/>
          </rPr>
          <t xml:space="preserve">事業開始の日から起算して１年間の間で修了するよう設定すること。
</t>
        </r>
      </text>
    </comment>
    <comment ref="B21" authorId="0" shapeId="0" xr:uid="{00000000-0006-0000-0C00-00000200000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<sst xmlns="http://schemas.openxmlformats.org/spreadsheetml/2006/main" count="1648" uniqueCount="742">
  <si>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</si>
  <si>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</si>
  <si>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</si>
  <si>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</si>
  <si>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</si>
  <si>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</si>
  <si>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</si>
  <si>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</si>
  <si>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　地上　　　　階／地下　　　　階</t>
    <rPh sb="1" eb="3">
      <t>チジョウ</t>
    </rPh>
    <rPh sb="7" eb="8">
      <t>カイ</t>
    </rPh>
    <rPh sb="9" eb="11">
      <t>チカ</t>
    </rPh>
    <rPh sb="15" eb="16">
      <t>カイ</t>
    </rPh>
    <phoneticPr fontId="5"/>
  </si>
  <si>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</si>
  <si>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</si>
  <si>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</si>
  <si>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</si>
  <si>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</si>
  <si>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</si>
  <si>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</si>
  <si>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</si>
  <si>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</si>
  <si>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</si>
  <si>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</si>
  <si>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</si>
  <si>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</si>
  <si>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</si>
  <si>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</si>
  <si>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</si>
  <si>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</si>
  <si>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</si>
  <si>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</si>
  <si>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</si>
  <si>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</si>
  <si>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</si>
  <si>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</si>
  <si>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</si>
  <si>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</si>
  <si>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</si>
  <si>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</si>
  <si>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</si>
  <si>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</si>
  <si>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</si>
  <si>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</si>
  <si>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</si>
  <si>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 xml:space="preserve">
　□　生活介護
　□　自立訓練
　□　就労移行支援
　□　就労継続支援</t>
    <rPh sb="24" eb="26">
      <t>シエン</t>
    </rPh>
    <rPh sb="34" eb="36">
      <t>シエン</t>
    </rPh>
    <phoneticPr fontId="5"/>
  </si>
  <si>
    <t>□障害福祉サービス事業</t>
    <rPh sb="1" eb="3">
      <t>ショウガイ</t>
    </rPh>
    <rPh sb="3" eb="5">
      <t>フクシ</t>
    </rPh>
    <rPh sb="9" eb="11">
      <t>ジギョウ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</si>
  <si>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</si>
  <si>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</si>
  <si>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</si>
  <si>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</si>
  <si>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</si>
  <si>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</si>
  <si>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</si>
  <si>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</si>
  <si>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</si>
  <si>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</si>
  <si>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</si>
  <si>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</si>
  <si>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</si>
  <si>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</si>
  <si>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</si>
  <si>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</si>
  <si>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</si>
  <si>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</si>
  <si>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</si>
  <si>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</si>
  <si>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</si>
  <si>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</si>
  <si>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</si>
  <si>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</si>
  <si>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</si>
  <si>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</si>
  <si>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</si>
  <si>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</si>
  <si>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</si>
  <si>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</si>
  <si>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</si>
  <si>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</si>
  <si>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</si>
  <si>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</si>
  <si>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</si>
  <si>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</si>
  <si>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</si>
  <si>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</si>
  <si>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</si>
  <si>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</si>
  <si>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</si>
  <si>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</si>
  <si>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</si>
  <si>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</si>
  <si>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</si>
  <si>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</si>
  <si>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</si>
  <si>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</si>
  <si>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</si>
  <si>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</si>
  <si>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</si>
  <si>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</si>
  <si>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</si>
  <si>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</si>
  <si>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</si>
  <si>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</si>
  <si>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</si>
  <si>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</si>
  <si>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</si>
  <si>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</si>
  <si>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</si>
  <si>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</si>
  <si>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</si>
  <si>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</si>
  <si>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</si>
  <si>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</si>
  <si>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</si>
  <si>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</si>
  <si>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</si>
  <si>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</si>
  <si>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</si>
  <si>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</si>
  <si>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</si>
  <si>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</si>
  <si>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</si>
  <si>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</si>
  <si>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</si>
  <si>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</si>
  <si>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</si>
  <si>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</si>
  <si>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</si>
  <si>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</si>
  <si>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</si>
  <si>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</si>
  <si>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</si>
  <si>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</si>
  <si>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</si>
  <si>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</si>
  <si>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</si>
  <si>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</si>
  <si>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</si>
  <si>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</si>
  <si>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</si>
  <si>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</si>
  <si>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</si>
  <si>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</si>
  <si>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</si>
  <si>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</si>
  <si>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</si>
  <si>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</si>
  <si>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</si>
  <si>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</si>
  <si>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</si>
  <si>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</si>
  <si>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</si>
  <si>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</si>
  <si>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</si>
  <si>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</si>
  <si>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</si>
  <si>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</si>
  <si>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</si>
  <si>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</si>
  <si>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</si>
  <si>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</si>
  <si>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</si>
  <si>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</si>
  <si>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</si>
  <si>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</si>
  <si>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</si>
  <si>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</si>
  <si>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</si>
  <si>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</si>
  <si>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</si>
  <si>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</si>
  <si>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</si>
  <si>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</si>
  <si>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</si>
  <si>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</si>
  <si>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</si>
  <si>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</si>
  <si>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</si>
  <si>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</si>
  <si>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</si>
  <si>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</si>
  <si>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</si>
  <si>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</si>
  <si>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</si>
  <si>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</si>
  <si>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</si>
  <si>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</si>
  <si>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</si>
  <si>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</si>
  <si>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</si>
  <si>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</si>
  <si>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</si>
  <si>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</si>
  <si>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</si>
  <si>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</si>
  <si>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</si>
  <si>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</si>
  <si>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</si>
  <si>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</si>
  <si>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</si>
  <si>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</si>
  <si>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</si>
  <si>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</si>
  <si>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</si>
  <si>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</si>
  <si>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</si>
  <si>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</si>
  <si>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</si>
  <si>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</si>
  <si>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</si>
  <si>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</si>
  <si>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</si>
  <si>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</si>
  <si>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</si>
  <si>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</si>
  <si>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</si>
  <si>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</si>
  <si>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</si>
  <si>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</si>
  <si>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</si>
  <si>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</si>
  <si>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</si>
  <si>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</si>
  <si>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</si>
  <si>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</si>
  <si>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</si>
  <si>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</si>
  <si>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</si>
  <si>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</si>
  <si>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</si>
  <si>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</si>
  <si>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</si>
  <si>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</si>
  <si>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</si>
  <si>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</si>
  <si>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</si>
  <si>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</si>
  <si>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</si>
  <si>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</si>
  <si>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</si>
  <si>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</si>
  <si>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</si>
  <si>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</si>
  <si>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</si>
  <si>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</si>
  <si>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</si>
  <si>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</si>
  <si>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</si>
  <si>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</si>
  <si>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</si>
  <si>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</si>
  <si>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</si>
  <si>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</si>
  <si>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</si>
  <si>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</si>
  <si>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</si>
  <si>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</si>
  <si>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</si>
  <si>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</si>
  <si>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</si>
  <si>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</si>
  <si>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</si>
  <si>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</si>
  <si>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</si>
  <si>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</si>
  <si>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</si>
  <si>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</si>
  <si>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</si>
  <si>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</si>
  <si>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</si>
  <si>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</si>
  <si>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</si>
  <si>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</si>
  <si>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</si>
  <si>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</si>
  <si>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</si>
  <si>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</si>
  <si>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</si>
  <si>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</si>
  <si>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</si>
  <si>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</si>
  <si>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</si>
  <si>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</si>
  <si>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</si>
  <si>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</si>
  <si>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</si>
  <si>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</si>
  <si>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</si>
  <si>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</si>
  <si>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</si>
  <si>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</si>
  <si>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</si>
  <si>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</si>
  <si>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</si>
  <si>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</si>
  <si>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</si>
  <si>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</si>
  <si>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</si>
  <si>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</si>
  <si>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</si>
  <si>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</si>
  <si>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</si>
  <si>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</si>
  <si>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</si>
  <si>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</si>
  <si>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</si>
  <si>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</si>
  <si>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</si>
  <si>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</si>
  <si>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</si>
  <si>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</si>
  <si>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</si>
  <si>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</si>
  <si>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</si>
  <si>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</si>
  <si>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</si>
  <si>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</si>
  <si>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</si>
  <si>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</si>
  <si>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</si>
  <si>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</si>
  <si>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</si>
  <si>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</si>
  <si>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</si>
  <si>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</si>
  <si>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</si>
  <si>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</si>
  <si>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</si>
  <si>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</si>
  <si>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</si>
  <si>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</si>
  <si>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</si>
  <si>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</si>
  <si>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</si>
  <si>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</si>
  <si>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</si>
  <si>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</si>
  <si>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</si>
  <si>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</si>
  <si>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</si>
  <si>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</si>
  <si>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</si>
  <si>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</si>
  <si>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</si>
  <si>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</si>
  <si>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</si>
  <si>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</si>
  <si>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</si>
  <si>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</si>
  <si>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</si>
  <si>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</si>
  <si>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</si>
  <si>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</si>
  <si>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</si>
  <si>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</si>
  <si>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</si>
  <si>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</si>
  <si>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</si>
  <si>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</si>
  <si>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</si>
  <si>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</si>
  <si>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</si>
  <si>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</si>
  <si>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</si>
  <si>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</si>
  <si>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</si>
  <si>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</si>
  <si>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</si>
  <si>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</si>
  <si>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</si>
  <si>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</si>
  <si>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</si>
  <si>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</si>
  <si>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</si>
  <si>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</si>
  <si>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</si>
  <si>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</si>
  <si>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</si>
  <si>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</si>
  <si>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</si>
  <si>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</si>
  <si>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</si>
  <si>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</si>
  <si>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</si>
  <si>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</si>
  <si>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</si>
  <si>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</si>
  <si>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</si>
  <si>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</si>
  <si>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</si>
  <si>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</si>
  <si>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</si>
  <si>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</si>
  <si>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</si>
  <si>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</si>
  <si>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</si>
  <si>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</si>
  <si>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</si>
  <si>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</si>
  <si>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</si>
  <si>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</si>
  <si>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</si>
  <si>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</si>
  <si>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</si>
  <si>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</si>
  <si>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</si>
  <si>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</si>
  <si>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</si>
  <si>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</si>
  <si>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</si>
  <si>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</si>
  <si>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</si>
  <si>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</si>
  <si>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</si>
  <si>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</si>
  <si>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</si>
  <si>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</si>
  <si>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</si>
  <si>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</si>
  <si>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</si>
  <si>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</si>
  <si>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</si>
  <si>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</si>
  <si>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</si>
  <si>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</si>
  <si>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</si>
  <si>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</si>
  <si>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</si>
  <si>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</si>
  <si>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5"/>
  </si>
  <si>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5"/>
  </si>
  <si>
    <t>　記載してください。</t>
    <rPh sb="1" eb="3">
      <t>キサイ</t>
    </rPh>
    <phoneticPr fontId="55"/>
  </si>
  <si>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5"/>
  </si>
  <si>
    <t>備 考</t>
    <rPh sb="0" eb="1">
      <t>ソナエ</t>
    </rPh>
    <rPh sb="2" eb="3">
      <t>コウ</t>
    </rPh>
    <phoneticPr fontId="55"/>
  </si>
  <si>
    <t>連携・支援体制の内容</t>
    <rPh sb="0" eb="2">
      <t>レンケイ</t>
    </rPh>
    <rPh sb="3" eb="5">
      <t>シエン</t>
    </rPh>
    <rPh sb="5" eb="7">
      <t>タイセイ</t>
    </rPh>
    <rPh sb="8" eb="10">
      <t>ナイヨウ</t>
    </rPh>
    <phoneticPr fontId="55"/>
  </si>
  <si>
    <t>　　　　　　　　ｋｍ （徒歩　　　　分、車　　　　分）</t>
    <rPh sb="12" eb="14">
      <t>トホ</t>
    </rPh>
    <rPh sb="18" eb="19">
      <t>フン</t>
    </rPh>
    <rPh sb="20" eb="21">
      <t>クルマ</t>
    </rPh>
    <rPh sb="25" eb="26">
      <t>フン</t>
    </rPh>
    <phoneticPr fontId="55"/>
  </si>
  <si>
    <t>事業所から施設までの距離</t>
    <rPh sb="0" eb="3">
      <t>ジギョウショ</t>
    </rPh>
    <rPh sb="5" eb="7">
      <t>シセツ</t>
    </rPh>
    <rPh sb="10" eb="12">
      <t>キョリ</t>
    </rPh>
    <phoneticPr fontId="2"/>
  </si>
  <si>
    <t>所在地</t>
    <rPh sb="0" eb="3">
      <t>ショザイチ</t>
    </rPh>
    <phoneticPr fontId="55"/>
  </si>
  <si>
    <t>経 営 主 体</t>
    <rPh sb="0" eb="1">
      <t>キョウ</t>
    </rPh>
    <rPh sb="2" eb="3">
      <t>エイ</t>
    </rPh>
    <rPh sb="4" eb="5">
      <t>シュ</t>
    </rPh>
    <rPh sb="6" eb="7">
      <t>カラダ</t>
    </rPh>
    <phoneticPr fontId="55"/>
  </si>
  <si>
    <t>名　　　称</t>
    <rPh sb="0" eb="1">
      <t>ナ</t>
    </rPh>
    <rPh sb="4" eb="5">
      <t>ショウ</t>
    </rPh>
    <phoneticPr fontId="55"/>
  </si>
  <si>
    <t>種　　　別</t>
    <rPh sb="0" eb="1">
      <t>タネ</t>
    </rPh>
    <rPh sb="4" eb="5">
      <t>ベツ</t>
    </rPh>
    <phoneticPr fontId="55"/>
  </si>
  <si>
    <t>連携施設等がある場合は
記入すること</t>
    <rPh sb="0" eb="2">
      <t>レンケイ</t>
    </rPh>
    <rPh sb="2" eb="4">
      <t>シセツ</t>
    </rPh>
    <rPh sb="4" eb="5">
      <t>トウ</t>
    </rPh>
    <rPh sb="8" eb="10">
      <t>バアイ</t>
    </rPh>
    <rPh sb="12" eb="14">
      <t>キニュウ</t>
    </rPh>
    <phoneticPr fontId="55"/>
  </si>
  <si>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5"/>
  </si>
  <si>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</si>
  <si>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</si>
  <si>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</si>
  <si>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</si>
  <si>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</si>
  <si>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</si>
  <si>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</si>
  <si>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</si>
  <si>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</si>
  <si>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</si>
  <si>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</si>
  <si>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</si>
  <si>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</si>
  <si>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</si>
  <si>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</si>
  <si>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</si>
  <si>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</si>
  <si>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</si>
  <si>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</si>
  <si>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</si>
  <si>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</si>
  <si>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</si>
  <si>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</si>
  <si>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</si>
  <si>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</si>
  <si>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</si>
  <si>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</si>
  <si>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</si>
  <si>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</si>
  <si>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</si>
  <si>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</si>
  <si>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</si>
  <si>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</si>
  <si>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</si>
  <si>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</si>
  <si>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</si>
  <si>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</si>
  <si>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</si>
  <si>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</si>
  <si>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</si>
  <si>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</si>
  <si>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</si>
  <si>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</si>
  <si>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</si>
  <si>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</si>
  <si>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</si>
  <si>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</si>
  <si>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</si>
  <si>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</si>
  <si>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</si>
  <si>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</si>
  <si>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</si>
  <si>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</si>
  <si>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</si>
  <si>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</si>
  <si>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</si>
  <si>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</si>
  <si>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</si>
  <si>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</si>
  <si>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</si>
  <si>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</si>
  <si>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</si>
  <si>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</si>
  <si>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</si>
  <si>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</si>
  <si>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</si>
  <si>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</si>
  <si>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</si>
  <si>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</si>
  <si>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</si>
  <si>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</si>
  <si>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</si>
  <si>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</si>
  <si>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</si>
  <si>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</si>
  <si>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</si>
  <si>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</si>
  <si>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</si>
  <si>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</si>
  <si>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</si>
  <si>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</si>
  <si>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</si>
  <si>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</si>
  <si>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</si>
  <si>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</si>
  <si>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</si>
  <si>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</si>
  <si>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</si>
  <si>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</si>
  <si>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</si>
  <si>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</si>
  <si>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</si>
  <si>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</si>
  <si>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</si>
  <si>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</si>
  <si>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</si>
  <si>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</si>
  <si>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</si>
  <si>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</si>
  <si>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</si>
  <si>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</si>
  <si>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</si>
  <si>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</si>
  <si>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</si>
  <si>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</si>
  <si>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</si>
  <si>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</si>
  <si>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</si>
  <si>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</si>
  <si>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</si>
  <si>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</si>
  <si>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</si>
  <si>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</si>
  <si>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</si>
  <si>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</si>
  <si>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</si>
  <si>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</si>
  <si>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</si>
  <si>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</si>
  <si>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</si>
  <si>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</si>
  <si>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</si>
  <si>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</si>
  <si>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</si>
  <si>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</si>
  <si>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</si>
  <si>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</si>
  <si>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</si>
  <si>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</si>
  <si>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</si>
  <si>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</si>
  <si>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</si>
  <si>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</si>
  <si>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</si>
  <si>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</si>
  <si>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シェル</t>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</si>
  <si>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</si>
  <si>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サービス種類（　就労移行支援　　　 　　　　　　　）</t>
    <rPh sb="8" eb="10">
      <t>シュウロウ</t>
    </rPh>
    <rPh sb="10" eb="12">
      <t>イコウ</t>
    </rPh>
    <rPh sb="12" eb="14">
      <t>シエン</t>
    </rPh>
    <phoneticPr fontId="2"/>
  </si>
  <si>
    <t>訓練作業室①</t>
    <rPh sb="0" eb="5">
      <t>クンレンs</t>
    </rPh>
    <phoneticPr fontId="2"/>
  </si>
  <si>
    <t>作業訓練に必要な広さと設備を備えている。</t>
    <rPh sb="0" eb="8">
      <t>サギョ</t>
    </rPh>
    <rPh sb="8" eb="11">
      <t>ヒロs</t>
    </rPh>
    <phoneticPr fontId="2"/>
  </si>
  <si>
    <t>利用者のプライバシーに配慮し、独立した部屋を</t>
    <rPh sb="0" eb="3">
      <t>リヨウシャ</t>
    </rPh>
    <rPh sb="11" eb="13">
      <t>ハイリョ</t>
    </rPh>
    <rPh sb="15" eb="17">
      <t>ドクリツ</t>
    </rPh>
    <rPh sb="19" eb="21">
      <t>ヘヤ</t>
    </rPh>
    <phoneticPr fontId="2"/>
  </si>
  <si>
    <t>設けている。</t>
    <rPh sb="0" eb="1">
      <t>モウ</t>
    </rPh>
    <phoneticPr fontId="2"/>
  </si>
  <si>
    <t>利用者の個人ファイルは、鍵付きのキャビネットに</t>
    <rPh sb="0" eb="3">
      <t>リヨウシャ</t>
    </rPh>
    <rPh sb="4" eb="6">
      <t>コジン</t>
    </rPh>
    <rPh sb="12" eb="13">
      <t>カギ</t>
    </rPh>
    <rPh sb="13" eb="14">
      <t>ツ</t>
    </rPh>
    <phoneticPr fontId="2"/>
  </si>
  <si>
    <t>保管している。</t>
    <rPh sb="0" eb="2">
      <t>ホカン</t>
    </rPh>
    <phoneticPr fontId="2"/>
  </si>
  <si>
    <t>必要に応じたトイレを備えている。</t>
    <rPh sb="0" eb="3">
      <t>ヒツヨウ</t>
    </rPh>
    <rPh sb="3" eb="6">
      <t>ショウg</t>
    </rPh>
    <rPh sb="10" eb="16">
      <t>ソナ</t>
    </rPh>
    <phoneticPr fontId="2"/>
  </si>
  <si>
    <t>手洗い</t>
    <rPh sb="0" eb="3">
      <t>テアラ</t>
    </rPh>
    <phoneticPr fontId="2"/>
  </si>
  <si>
    <t>手指洗浄設備として衛生備品を備えている。</t>
    <rPh sb="0" eb="1">
      <t>テ</t>
    </rPh>
    <rPh sb="1" eb="2">
      <t>ユビ</t>
    </rPh>
    <rPh sb="2" eb="4">
      <t>センジョウ</t>
    </rPh>
    <rPh sb="4" eb="6">
      <t>セツビ</t>
    </rPh>
    <rPh sb="9" eb="11">
      <t>エイセイ</t>
    </rPh>
    <rPh sb="11" eb="13">
      <t>ビヒン</t>
    </rPh>
    <rPh sb="14" eb="15">
      <t>ソナ</t>
    </rPh>
    <phoneticPr fontId="2"/>
  </si>
  <si>
    <t>消火器･･･１台</t>
    <rPh sb="0" eb="3">
      <t>ショウカキ</t>
    </rPh>
    <rPh sb="7" eb="8">
      <t>ダイ</t>
    </rPh>
    <phoneticPr fontId="2"/>
  </si>
  <si>
    <t>多目的室①</t>
    <rPh sb="0" eb="4">
      <t>タモクテk</t>
    </rPh>
    <phoneticPr fontId="2"/>
  </si>
  <si>
    <t>利用者の交流の場、作業訓練以外の部屋として利用する。</t>
    <rPh sb="0" eb="4">
      <t>リヨ</t>
    </rPh>
    <rPh sb="4" eb="9">
      <t>コウリュ</t>
    </rPh>
    <rPh sb="9" eb="13">
      <t>サギョウクンr</t>
    </rPh>
    <rPh sb="13" eb="16">
      <t>イガ</t>
    </rPh>
    <rPh sb="16" eb="18">
      <t>ヘy</t>
    </rPh>
    <rPh sb="21" eb="23">
      <t>リヨ</t>
    </rPh>
    <phoneticPr fontId="2"/>
  </si>
  <si>
    <t>利用者の交流の場、作業訓練以外の部屋及び給湯スペース</t>
    <rPh sb="0" eb="4">
      <t>リヨ</t>
    </rPh>
    <rPh sb="4" eb="9">
      <t>コウリュ</t>
    </rPh>
    <rPh sb="9" eb="13">
      <t>サギョウクンレ</t>
    </rPh>
    <rPh sb="13" eb="16">
      <t>イガ</t>
    </rPh>
    <rPh sb="16" eb="18">
      <t>ヘy</t>
    </rPh>
    <rPh sb="18" eb="20">
      <t>オヨb</t>
    </rPh>
    <rPh sb="20" eb="22">
      <t>キュウt</t>
    </rPh>
    <phoneticPr fontId="2"/>
  </si>
  <si>
    <t>として利用する。</t>
    <rPh sb="3" eb="5">
      <t>リヨ</t>
    </rPh>
    <phoneticPr fontId="2"/>
  </si>
  <si>
    <t>パソコン8台、机、イス</t>
    <rPh sb="5" eb="6">
      <t>ダイ</t>
    </rPh>
    <rPh sb="7" eb="8">
      <t>ツk</t>
    </rPh>
    <phoneticPr fontId="2"/>
  </si>
  <si>
    <t>相談室</t>
    <rPh sb="0" eb="3">
      <t>ソウダンシツ</t>
    </rPh>
    <phoneticPr fontId="2"/>
  </si>
  <si>
    <t>机１，イス2，本棚</t>
    <rPh sb="0" eb="1">
      <t>ツクエ</t>
    </rPh>
    <rPh sb="7" eb="9">
      <t>ホンダナ</t>
    </rPh>
    <phoneticPr fontId="2"/>
  </si>
  <si>
    <t>事務室</t>
    <rPh sb="0" eb="3">
      <t>ジムシツ</t>
    </rPh>
    <phoneticPr fontId="2"/>
  </si>
  <si>
    <t>机1，イス2，電話１，ＦＡＸ１</t>
    <rPh sb="0" eb="1">
      <t>ツクエ</t>
    </rPh>
    <rPh sb="7" eb="9">
      <t>デンワ</t>
    </rPh>
    <phoneticPr fontId="2"/>
  </si>
  <si>
    <t>パソコン1</t>
    <phoneticPr fontId="2"/>
  </si>
  <si>
    <t>鍵付きキャビネット1，ロッカー２</t>
    <rPh sb="0" eb="1">
      <t>カギ</t>
    </rPh>
    <rPh sb="1" eb="2">
      <t>ツ</t>
    </rPh>
    <phoneticPr fontId="2"/>
  </si>
  <si>
    <t>トイレ</t>
    <phoneticPr fontId="2"/>
  </si>
  <si>
    <t>洋式トイレ</t>
    <rPh sb="0" eb="2">
      <t>ヨウsh</t>
    </rPh>
    <phoneticPr fontId="2"/>
  </si>
  <si>
    <t>ペーパータオル，アルコール消毒剤</t>
    <rPh sb="13" eb="16">
      <t>ショウドクザイ</t>
    </rPh>
    <phoneticPr fontId="2"/>
  </si>
  <si>
    <t>机、イス</t>
    <rPh sb="0" eb="2">
      <t>ツク</t>
    </rPh>
    <phoneticPr fontId="2"/>
  </si>
  <si>
    <t>多目的室②</t>
    <rPh sb="0" eb="4">
      <t>タモク</t>
    </rPh>
    <phoneticPr fontId="2"/>
  </si>
  <si>
    <t>岡山県笠岡市用之江８１０番地１</t>
    <rPh sb="0" eb="3">
      <t>オカヤマケン</t>
    </rPh>
    <rPh sb="3" eb="6">
      <t>カサオカシ</t>
    </rPh>
    <rPh sb="6" eb="9">
      <t>モチノエ</t>
    </rPh>
    <rPh sb="12" eb="14">
      <t>バンチ</t>
    </rPh>
    <phoneticPr fontId="2"/>
  </si>
  <si>
    <t>一般社団法人アンマー</t>
    <rPh sb="0" eb="2">
      <t>イッパン</t>
    </rPh>
    <rPh sb="2" eb="4">
      <t>シャダン</t>
    </rPh>
    <rPh sb="4" eb="6">
      <t>ホウジン</t>
    </rPh>
    <phoneticPr fontId="2"/>
  </si>
  <si>
    <t>代表理事　村越　啓介</t>
    <rPh sb="0" eb="2">
      <t>ダイヒョウ</t>
    </rPh>
    <rPh sb="2" eb="4">
      <t>リジ</t>
    </rPh>
    <rPh sb="5" eb="7">
      <t>ムラコシ</t>
    </rPh>
    <rPh sb="8" eb="10">
      <t>ケイスケ</t>
    </rPh>
    <phoneticPr fontId="2"/>
  </si>
  <si>
    <t>永井　美幸</t>
    <rPh sb="0" eb="2">
      <t>ナガイ</t>
    </rPh>
    <rPh sb="3" eb="5">
      <t>ミユキ</t>
    </rPh>
    <phoneticPr fontId="2"/>
  </si>
  <si>
    <t>従業者の勤務の体制及び勤務形態一覧表（平成３０年　１１月分）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7" eb="28">
      <t>ガt</t>
    </rPh>
    <rPh sb="28" eb="29">
      <t>ブン</t>
    </rPh>
    <phoneticPr fontId="2"/>
  </si>
  <si>
    <t>就労継続支援B型</t>
    <rPh sb="0" eb="2">
      <t>シュウロウ</t>
    </rPh>
    <rPh sb="2" eb="4">
      <t>ケイゾク</t>
    </rPh>
    <rPh sb="4" eb="6">
      <t>シエン</t>
    </rPh>
    <rPh sb="7" eb="8">
      <t>ガタ</t>
    </rPh>
    <phoneticPr fontId="2"/>
  </si>
  <si>
    <r>
      <t>就労継続支援</t>
    </r>
    <r>
      <rPr>
        <sz val="12"/>
        <rFont val="ヒラギノ丸ゴ ProN W4"/>
        <family val="1"/>
        <charset val="128"/>
      </rPr>
      <t>Ｂ型サービス費Ⅰ（7:5:1）</t>
    </r>
    <rPh sb="0" eb="6">
      <t>シュウロ</t>
    </rPh>
    <rPh sb="7" eb="8">
      <t>ガタ</t>
    </rPh>
    <rPh sb="12" eb="13">
      <t>ヒ</t>
    </rPh>
    <phoneticPr fontId="5"/>
  </si>
  <si>
    <t>送迎加算Ⅱ、</t>
    <rPh sb="0" eb="4">
      <t>ソウゲイカサン</t>
    </rPh>
    <phoneticPr fontId="5"/>
  </si>
  <si>
    <t>木</t>
    <rPh sb="0" eb="1">
      <t>モク</t>
    </rPh>
    <phoneticPr fontId="2"/>
  </si>
  <si>
    <t>土</t>
  </si>
  <si>
    <t>日</t>
  </si>
  <si>
    <t>月</t>
  </si>
  <si>
    <t>火</t>
  </si>
  <si>
    <t>水</t>
  </si>
  <si>
    <t>木</t>
  </si>
  <si>
    <t>金</t>
  </si>
  <si>
    <t>貝畑　明典</t>
    <rPh sb="0" eb="2">
      <t>カイハタ</t>
    </rPh>
    <rPh sb="3" eb="5">
      <t>アキノリ</t>
    </rPh>
    <phoneticPr fontId="5"/>
  </si>
  <si>
    <t>A</t>
    <phoneticPr fontId="2"/>
  </si>
  <si>
    <t>サービス管理責任者</t>
    <rPh sb="4" eb="6">
      <t>カンリ</t>
    </rPh>
    <rPh sb="6" eb="8">
      <t>セキニン</t>
    </rPh>
    <rPh sb="8" eb="9">
      <t>シャ</t>
    </rPh>
    <phoneticPr fontId="2"/>
  </si>
  <si>
    <t>職業指導員</t>
    <rPh sb="0" eb="2">
      <t>ショクギョウ</t>
    </rPh>
    <rPh sb="2" eb="5">
      <t>シドウイン</t>
    </rPh>
    <phoneticPr fontId="2"/>
  </si>
  <si>
    <t>生活支援員</t>
    <rPh sb="0" eb="2">
      <t>セイカツ</t>
    </rPh>
    <rPh sb="2" eb="4">
      <t>シエン</t>
    </rPh>
    <rPh sb="4" eb="5">
      <t>イン</t>
    </rPh>
    <phoneticPr fontId="2"/>
  </si>
  <si>
    <t>山内　ノリ子</t>
    <rPh sb="0" eb="2">
      <t>ヤマウチ</t>
    </rPh>
    <rPh sb="5" eb="6">
      <t>コ</t>
    </rPh>
    <phoneticPr fontId="2"/>
  </si>
  <si>
    <t>B</t>
    <phoneticPr fontId="2"/>
  </si>
  <si>
    <t>サービス提供時間：９時３０分から１５時３０分</t>
    <rPh sb="4" eb="9">
      <t>テイキョウジカン</t>
    </rPh>
    <rPh sb="10" eb="11">
      <t>j</t>
    </rPh>
    <rPh sb="13" eb="16">
      <t>フンカr</t>
    </rPh>
    <rPh sb="18" eb="19">
      <t>j</t>
    </rPh>
    <rPh sb="21" eb="22">
      <t>フン</t>
    </rPh>
    <phoneticPr fontId="5"/>
  </si>
  <si>
    <t>就労移行支援</t>
    <rPh sb="0" eb="2">
      <t>シュウロウ</t>
    </rPh>
    <rPh sb="2" eb="4">
      <t>イコウ</t>
    </rPh>
    <rPh sb="4" eb="6">
      <t>シエン</t>
    </rPh>
    <phoneticPr fontId="2"/>
  </si>
  <si>
    <t>永井　美幸</t>
    <rPh sb="0" eb="2">
      <t>ナガイ</t>
    </rPh>
    <rPh sb="3" eb="5">
      <t>ミユキ</t>
    </rPh>
    <phoneticPr fontId="2"/>
  </si>
  <si>
    <t>山内　雄司</t>
    <rPh sb="0" eb="2">
      <t>ヤマウチ</t>
    </rPh>
    <rPh sb="3" eb="4">
      <t>ユウ</t>
    </rPh>
    <rPh sb="4" eb="5">
      <t>ツカサ</t>
    </rPh>
    <phoneticPr fontId="2"/>
  </si>
  <si>
    <t>C</t>
    <phoneticPr fontId="2"/>
  </si>
  <si>
    <t>就労支援員</t>
    <rPh sb="0" eb="2">
      <t>シュウロウ</t>
    </rPh>
    <rPh sb="2" eb="4">
      <t>シエン</t>
    </rPh>
    <rPh sb="4" eb="5">
      <t>イン</t>
    </rPh>
    <phoneticPr fontId="2"/>
  </si>
  <si>
    <t>相談，苦情に関する常設窓口として山内ノリ子 を受付担当者としている。また，</t>
    <rPh sb="0" eb="2">
      <t>ソウダン</t>
    </rPh>
    <rPh sb="3" eb="5">
      <t>クジョウ</t>
    </rPh>
    <rPh sb="6" eb="7">
      <t>カン</t>
    </rPh>
    <rPh sb="9" eb="11">
      <t>ジョウセツ</t>
    </rPh>
    <rPh sb="11" eb="13">
      <t>マドグチ</t>
    </rPh>
    <rPh sb="16" eb="20">
      <t>ヤm</t>
    </rPh>
    <rPh sb="20" eb="21">
      <t>コ</t>
    </rPh>
    <rPh sb="23" eb="25">
      <t>ウケツケ</t>
    </rPh>
    <rPh sb="25" eb="28">
      <t>タントウシャ</t>
    </rPh>
    <phoneticPr fontId="2"/>
  </si>
  <si>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2"/>
  </si>
  <si>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2"/>
  </si>
  <si>
    <t>・苦情受付担当者　生活支援員　山内ノリ子</t>
    <rPh sb="1" eb="3">
      <t>クジョウ</t>
    </rPh>
    <rPh sb="3" eb="5">
      <t>ウケツケ</t>
    </rPh>
    <rPh sb="5" eb="8">
      <t>タントウシャ</t>
    </rPh>
    <rPh sb="9" eb="14">
      <t>セイカツシエンイン</t>
    </rPh>
    <rPh sb="15" eb="17">
      <t>ヤマウch</t>
    </rPh>
    <rPh sb="19" eb="20">
      <t>コ</t>
    </rPh>
    <phoneticPr fontId="2"/>
  </si>
  <si>
    <t>・苦情解決責任者　管理者　貝畑　明典</t>
    <rPh sb="1" eb="3">
      <t>クジョウ</t>
    </rPh>
    <rPh sb="3" eb="5">
      <t>カイケツ</t>
    </rPh>
    <rPh sb="5" eb="8">
      <t>セキニンシャ</t>
    </rPh>
    <rPh sb="9" eb="12">
      <t>カンリシャ</t>
    </rPh>
    <rPh sb="13" eb="15">
      <t>カイハタ</t>
    </rPh>
    <rPh sb="16" eb="17">
      <t>アカ</t>
    </rPh>
    <rPh sb="17" eb="18">
      <t>テン</t>
    </rPh>
    <phoneticPr fontId="2"/>
  </si>
  <si>
    <t>・電話：０８６５－６１－４３５１</t>
    <rPh sb="1" eb="3">
      <t>デンワ</t>
    </rPh>
    <phoneticPr fontId="2"/>
  </si>
  <si>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2"/>
  </si>
  <si>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2"/>
  </si>
  <si>
    <t>※利用者には、この内容を印刷し、配布周知することとする。</t>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</si>
  <si>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</si>
  <si>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</si>
  <si>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</si>
  <si>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　決定する。</t>
    <rPh sb="1" eb="3">
      <t>ケッテイ</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</si>
  <si>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</si>
  <si>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　結果報告を行う。</t>
    <rPh sb="1" eb="3">
      <t>ケッカ</t>
    </rPh>
    <rPh sb="3" eb="5">
      <t>ホウコク</t>
    </rPh>
    <rPh sb="6" eb="7">
      <t>オコナ</t>
    </rPh>
    <phoneticPr fontId="2"/>
  </si>
  <si>
    <t>・苦情又は相談があった場合利用者の状況を詳細に把握するよう、必要に応じ状況</t>
    <phoneticPr fontId="2"/>
  </si>
  <si>
    <t>　の聞き取りのための訪問を実施し、事情の確認を行う。</t>
  </si>
  <si>
    <t>・対応内容に基づき、必要に応じて関係者への連絡調整を行うとともに、利用者へ</t>
  </si>
  <si>
    <t>　は必ず対応方法を含めた結果報告を行う、笠岡市の苦情窓口へ連絡する。</t>
    <rPh sb="20" eb="23">
      <t>カサオk</t>
    </rPh>
    <phoneticPr fontId="68"/>
  </si>
  <si>
    <t>　（時間を要する内容もその旨を翌日までに連絡する）</t>
  </si>
  <si>
    <t>・苦情受付シートの記録は５年間保管を行う</t>
    <rPh sb="3" eb="5">
      <t>ウケツk</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</si>
  <si>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</si>
  <si>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</si>
  <si>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【外部相談窓口】</t>
    <rPh sb="1" eb="3">
      <t>ガイブ</t>
    </rPh>
    <rPh sb="3" eb="5">
      <t>ソウダン</t>
    </rPh>
    <rPh sb="5" eb="7">
      <t>マドグチ</t>
    </rPh>
    <phoneticPr fontId="2"/>
  </si>
  <si>
    <t>・岡山県運営適正化委員会　電話：086-226-9400、FAX：086-226-9400</t>
    <rPh sb="1" eb="4">
      <t>オカヤマケン</t>
    </rPh>
    <rPh sb="4" eb="6">
      <t>ウンエイ</t>
    </rPh>
    <rPh sb="6" eb="9">
      <t>テキセイカ</t>
    </rPh>
    <rPh sb="9" eb="12">
      <t>イインカイ</t>
    </rPh>
    <rPh sb="13" eb="16">
      <t>デンw</t>
    </rPh>
    <phoneticPr fontId="2"/>
  </si>
  <si>
    <t>　　　住所：岡山県岡山市北区南方二丁目１３番1号　きらめきプラザ3階</t>
    <rPh sb="3" eb="6">
      <t>10sh</t>
    </rPh>
    <rPh sb="6" eb="9">
      <t>オカヤマケン</t>
    </rPh>
    <rPh sb="16" eb="17">
      <t>②</t>
    </rPh>
    <rPh sb="21" eb="22">
      <t>バン</t>
    </rPh>
    <rPh sb="23" eb="24">
      <t>ゴ</t>
    </rPh>
    <rPh sb="33" eb="34">
      <t>カイ</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</si>
  <si>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</si>
  <si>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【市町村担当窓口】</t>
    <rPh sb="1" eb="4">
      <t>シチョウソン</t>
    </rPh>
    <rPh sb="4" eb="6">
      <t>タントウ</t>
    </rPh>
    <rPh sb="6" eb="8">
      <t>マドグチ</t>
    </rPh>
    <phoneticPr fontId="2"/>
  </si>
  <si>
    <t>・笠岡市地域福祉課　障がい福祉係　電話：0865-69-2133、FAX：0865-69-2182</t>
    <rPh sb="1" eb="4">
      <t>カサオカシ</t>
    </rPh>
    <rPh sb="4" eb="6">
      <t>チイキ</t>
    </rPh>
    <rPh sb="6" eb="9">
      <t>フクシカ</t>
    </rPh>
    <rPh sb="10" eb="11">
      <t>ショウ</t>
    </rPh>
    <rPh sb="13" eb="15">
      <t>フクシ</t>
    </rPh>
    <rPh sb="15" eb="16">
      <t>カカ</t>
    </rPh>
    <rPh sb="17" eb="20">
      <t>デンw</t>
    </rPh>
    <phoneticPr fontId="2"/>
  </si>
  <si>
    <t>　　住所：岡山県笠岡市中央町1-1</t>
    <rPh sb="2" eb="5">
      <t>10sh</t>
    </rPh>
    <phoneticPr fontId="2"/>
  </si>
  <si>
    <t>平成</t>
    <rPh sb="0" eb="2">
      <t>ヘイセイ</t>
    </rPh>
    <phoneticPr fontId="2"/>
  </si>
  <si>
    <t>役員等名簿</t>
    <rPh sb="0" eb="1">
      <t>エキ</t>
    </rPh>
    <rPh sb="1" eb="2">
      <t>イン</t>
    </rPh>
    <rPh sb="2" eb="3">
      <t>ナド</t>
    </rPh>
    <rPh sb="3" eb="4">
      <t>メイ</t>
    </rPh>
    <rPh sb="4" eb="5">
      <t>ボ</t>
    </rPh>
    <phoneticPr fontId="2"/>
  </si>
  <si>
    <t>申請者（法人）名　（　　　　　　　　　　　　　　　　　　　　　　）</t>
    <rPh sb="0" eb="3">
      <t>シンセイシャ</t>
    </rPh>
    <rPh sb="4" eb="6">
      <t>ホウジン</t>
    </rPh>
    <rPh sb="7" eb="8">
      <t>メイ</t>
    </rPh>
    <phoneticPr fontId="2"/>
  </si>
  <si>
    <t>一般社団法人アンマー　　）</t>
    <phoneticPr fontId="2"/>
  </si>
  <si>
    <t>（フリガナ）</t>
    <phoneticPr fontId="2"/>
  </si>
  <si>
    <t>住所（フリガナ）</t>
    <rPh sb="0" eb="2">
      <t>ジュウショ</t>
    </rPh>
    <phoneticPr fontId="2"/>
  </si>
  <si>
    <t>氏　　　　　　名</t>
    <rPh sb="0" eb="1">
      <t>シ</t>
    </rPh>
    <rPh sb="7" eb="8">
      <t>メイ</t>
    </rPh>
    <phoneticPr fontId="2"/>
  </si>
  <si>
    <t>役職名・呼称</t>
    <rPh sb="0" eb="3">
      <t>ヤクショクメイ</t>
    </rPh>
    <rPh sb="4" eb="6">
      <t>コショウ</t>
    </rPh>
    <phoneticPr fontId="2"/>
  </si>
  <si>
    <t>ＴＥＬ</t>
    <phoneticPr fontId="2"/>
  </si>
  <si>
    <t>ＦＡＸ</t>
    <phoneticPr fontId="2"/>
  </si>
  <si>
    <t>ムラコシ　ケイスケ</t>
    <phoneticPr fontId="2"/>
  </si>
  <si>
    <t>広島県福山市神辺町大字下竹田２４３８番地２３</t>
    <rPh sb="0" eb="22">
      <t>ヒロシマケンフクヤマシカンナベチョウオオアザシモタケダ　　　　　　　　　バンチ</t>
    </rPh>
    <phoneticPr fontId="2"/>
  </si>
  <si>
    <t>村越　啓介</t>
    <phoneticPr fontId="2"/>
  </si>
  <si>
    <t>代表理事</t>
    <rPh sb="0" eb="2">
      <t>ダイヒョウ</t>
    </rPh>
    <rPh sb="2" eb="4">
      <t>リジ</t>
    </rPh>
    <phoneticPr fontId="2"/>
  </si>
  <si>
    <t>080-3052-7684</t>
    <phoneticPr fontId="2"/>
  </si>
  <si>
    <t>-</t>
    <phoneticPr fontId="2"/>
  </si>
  <si>
    <t>カイハタ　アキノリ</t>
    <phoneticPr fontId="2"/>
  </si>
  <si>
    <t>岡山県浅口市鴨方町小坂西５０５２番地３</t>
    <rPh sb="0" eb="19">
      <t>オカヤマケンアサクチシカモガタチョウコサカニシ　　　　　　　　バンチ</t>
    </rPh>
    <phoneticPr fontId="2"/>
  </si>
  <si>
    <t>貝畑　明典</t>
    <rPh sb="0" eb="1">
      <t>カイ</t>
    </rPh>
    <rPh sb="1" eb="2">
      <t>ハタ</t>
    </rPh>
    <rPh sb="3" eb="5">
      <t>アキノリ</t>
    </rPh>
    <phoneticPr fontId="2"/>
  </si>
  <si>
    <t>専務理事</t>
    <rPh sb="0" eb="2">
      <t>センム</t>
    </rPh>
    <rPh sb="2" eb="4">
      <t>リジ</t>
    </rPh>
    <phoneticPr fontId="2"/>
  </si>
  <si>
    <t>080-5419-2741</t>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</si>
  <si>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</si>
  <si>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</si>
  <si>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中島　一</t>
    <rPh sb="0" eb="2">
      <t>ナカシマ</t>
    </rPh>
    <rPh sb="3" eb="4">
      <t>ハジメ</t>
    </rPh>
    <phoneticPr fontId="2"/>
  </si>
  <si>
    <t>080-2914-2301</t>
    <phoneticPr fontId="2"/>
  </si>
  <si>
    <t>050-3737-4510</t>
    <phoneticPr fontId="2"/>
  </si>
  <si>
    <t>ニシハラ　サトル</t>
    <phoneticPr fontId="2"/>
  </si>
  <si>
    <t>西原　悟</t>
    <rPh sb="0" eb="2">
      <t>ニシハラ</t>
    </rPh>
    <rPh sb="3" eb="4">
      <t>サトル</t>
    </rPh>
    <phoneticPr fontId="2"/>
  </si>
  <si>
    <t>監事</t>
    <rPh sb="0" eb="2">
      <t>カンジ</t>
    </rPh>
    <phoneticPr fontId="2"/>
  </si>
  <si>
    <t>090-4186-5401</t>
    <phoneticPr fontId="2"/>
  </si>
  <si>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</si>
  <si>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シェル</t>
    <phoneticPr fontId="2"/>
  </si>
  <si>
    <t>カイハタ　アキノリ</t>
    <phoneticPr fontId="2"/>
  </si>
  <si>
    <t>貝畑　明典</t>
    <rPh sb="0" eb="2">
      <t>カイハタ</t>
    </rPh>
    <rPh sb="3" eb="5">
      <t>アキノリ</t>
    </rPh>
    <phoneticPr fontId="2"/>
  </si>
  <si>
    <t>（郵便番号　719－0231）
　　岡山県浅口市鴨方町小坂西５０５２番地３</t>
    <rPh sb="1" eb="3">
      <t>ユウビン</t>
    </rPh>
    <rPh sb="3" eb="5">
      <t>バンゴウ</t>
    </rPh>
    <rPh sb="18" eb="21">
      <t>オカヤマケン</t>
    </rPh>
    <rPh sb="21" eb="24">
      <t>アサクチシ</t>
    </rPh>
    <rPh sb="24" eb="27">
      <t>カモガタチョウ</t>
    </rPh>
    <rPh sb="27" eb="29">
      <t>オサカ</t>
    </rPh>
    <rPh sb="29" eb="30">
      <t>ニシ</t>
    </rPh>
    <rPh sb="34" eb="36">
      <t>バンチ</t>
    </rPh>
    <phoneticPr fontId="2"/>
  </si>
  <si>
    <t>080-5419-2741</t>
    <phoneticPr fontId="2"/>
  </si>
  <si>
    <t>平成２１年３月～平成２２年２月</t>
    <rPh sb="0" eb="2">
      <t>ヘイセイ</t>
    </rPh>
    <rPh sb="4" eb="5">
      <t>ネン</t>
    </rPh>
    <rPh sb="6" eb="7">
      <t>ガツ</t>
    </rPh>
    <rPh sb="8" eb="10">
      <t>ヘイセイ</t>
    </rPh>
    <rPh sb="12" eb="13">
      <t>ネン</t>
    </rPh>
    <rPh sb="14" eb="15">
      <t>ガツ</t>
    </rPh>
    <phoneticPr fontId="2"/>
  </si>
  <si>
    <t>株式会社はれコーポレーション</t>
    <rPh sb="0" eb="4">
      <t>カブシキガイシャ</t>
    </rPh>
    <phoneticPr fontId="2"/>
  </si>
  <si>
    <t>平成２９年１１月～</t>
    <rPh sb="0" eb="2">
      <t>ヘイセイ</t>
    </rPh>
    <rPh sb="4" eb="5">
      <t>ネン</t>
    </rPh>
    <rPh sb="7" eb="8">
      <t>ガツ</t>
    </rPh>
    <phoneticPr fontId="2"/>
  </si>
  <si>
    <t>就労継続支援B型　管理者</t>
    <rPh sb="0" eb="6">
      <t>シュウロウケイゾクシエン</t>
    </rPh>
    <rPh sb="7" eb="8">
      <t>ガタ</t>
    </rPh>
    <rPh sb="9" eb="12">
      <t>カンリシャ</t>
    </rPh>
    <phoneticPr fontId="2"/>
  </si>
  <si>
    <t>永井　美幸</t>
    <rPh sb="0" eb="2">
      <t>ナガイ</t>
    </rPh>
    <rPh sb="3" eb="5">
      <t>ミユキ</t>
    </rPh>
    <phoneticPr fontId="2"/>
  </si>
  <si>
    <t>ナガイ　ミユキ</t>
    <phoneticPr fontId="2"/>
  </si>
  <si>
    <t>（郵便番号　714-0062）
　　岡山県笠岡市茂平1839-3</t>
    <rPh sb="1" eb="3">
      <t>ユウビン</t>
    </rPh>
    <rPh sb="3" eb="5">
      <t>バンゴウ</t>
    </rPh>
    <rPh sb="18" eb="21">
      <t>オカヤマケン</t>
    </rPh>
    <rPh sb="21" eb="24">
      <t>カサオカシ</t>
    </rPh>
    <rPh sb="24" eb="26">
      <t>モヘイ</t>
    </rPh>
    <phoneticPr fontId="2"/>
  </si>
  <si>
    <t>0865-66-3519</t>
    <phoneticPr fontId="2"/>
  </si>
  <si>
    <t>昭和５１年６月～平成２８年２月</t>
    <rPh sb="0" eb="2">
      <t>ショウワ</t>
    </rPh>
    <rPh sb="4" eb="5">
      <t>ネン</t>
    </rPh>
    <rPh sb="6" eb="7">
      <t>ガツ</t>
    </rPh>
    <rPh sb="8" eb="10">
      <t>ヘイセイ</t>
    </rPh>
    <rPh sb="12" eb="13">
      <t>ネン</t>
    </rPh>
    <rPh sb="14" eb="15">
      <t>ガツ</t>
    </rPh>
    <phoneticPr fontId="2"/>
  </si>
  <si>
    <t>大門あかつき病院（旧多田病院）</t>
    <rPh sb="0" eb="2">
      <t>ダイモン</t>
    </rPh>
    <rPh sb="6" eb="8">
      <t>ビョウイン</t>
    </rPh>
    <rPh sb="9" eb="10">
      <t>キュウ</t>
    </rPh>
    <rPh sb="10" eb="12">
      <t>タダ</t>
    </rPh>
    <rPh sb="12" eb="14">
      <t>ビョウイン</t>
    </rPh>
    <phoneticPr fontId="2"/>
  </si>
  <si>
    <t>看護師・看護師長</t>
    <rPh sb="0" eb="3">
      <t>カンゴシ</t>
    </rPh>
    <rPh sb="4" eb="7">
      <t>カンゴシ</t>
    </rPh>
    <rPh sb="7" eb="8">
      <t>チョウ</t>
    </rPh>
    <phoneticPr fontId="2"/>
  </si>
  <si>
    <t>サービス管理責任者経歴書</t>
    <rPh sb="4" eb="6">
      <t>カンリ</t>
    </rPh>
    <rPh sb="6" eb="8">
      <t>セキニン</t>
    </rPh>
    <rPh sb="8" eb="9">
      <t>シャ</t>
    </rPh>
    <rPh sb="9" eb="12">
      <t>ケイレキショ</t>
    </rPh>
    <phoneticPr fontId="2"/>
  </si>
  <si>
    <t>永井　美幸</t>
    <rPh sb="0" eb="2">
      <t>ナガイ</t>
    </rPh>
    <rPh sb="3" eb="5">
      <t>ミユキ</t>
    </rPh>
    <phoneticPr fontId="2"/>
  </si>
  <si>
    <t>5.4 （推定値）</t>
    <rPh sb="5" eb="9">
      <t>スイt</t>
    </rPh>
    <phoneticPr fontId="5"/>
  </si>
  <si>
    <t>（指定基準）0.9（報酬基準）0.9</t>
    <rPh sb="1" eb="6">
      <t>シテイキジュン</t>
    </rPh>
    <rPh sb="10" eb="15">
      <t>ホウシュウキジュン</t>
    </rPh>
    <phoneticPr fontId="5"/>
  </si>
  <si>
    <t>営業日：月曜日から土曜日の指定する日（ただし、祝日、８月１３日〜１６日、１２月２９日〜１月４日を除く）　９時００分から１６時１５分（４５分休憩）</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rPh sb="68" eb="72">
      <t>フンキュ</t>
    </rPh>
    <phoneticPr fontId="5"/>
  </si>
  <si>
    <t>坂本　浩二</t>
    <rPh sb="0" eb="2">
      <t>サカモト</t>
    </rPh>
    <rPh sb="3" eb="5">
      <t>コウジ</t>
    </rPh>
    <phoneticPr fontId="2"/>
  </si>
  <si>
    <t>➀</t>
    <phoneticPr fontId="2"/>
  </si>
  <si>
    <t>　</t>
    <phoneticPr fontId="2"/>
  </si>
  <si>
    <t>岡山県笠岡市用之江810番地１</t>
    <rPh sb="0" eb="9">
      <t>オカヤマケンカサオカシモチノエ</t>
    </rPh>
    <rPh sb="12" eb="14">
      <t>バンチ</t>
    </rPh>
    <phoneticPr fontId="2"/>
  </si>
  <si>
    <t>一般社団法人アンマー</t>
    <rPh sb="0" eb="6">
      <t>イッパンシャダンホウジン</t>
    </rPh>
    <phoneticPr fontId="2"/>
  </si>
  <si>
    <t>3.4（推定値）</t>
    <rPh sb="4" eb="8">
      <t>スイt</t>
    </rPh>
    <phoneticPr fontId="5"/>
  </si>
  <si>
    <t>（指定基準）0.34（報酬基準）0.45</t>
    <rPh sb="1" eb="6">
      <t>シテイキジュン</t>
    </rPh>
    <rPh sb="11" eb="16">
      <t>ホウシュウキジュン</t>
    </rPh>
    <phoneticPr fontId="5"/>
  </si>
  <si>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92" eb="194">
      <t>ジカン</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</si>
  <si>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</si>
  <si>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事業所の名称
　シェル</t>
    <rPh sb="0" eb="3">
      <t>ジギョウショ</t>
    </rPh>
    <rPh sb="4" eb="6">
      <t>メイショウ</t>
    </rPh>
    <phoneticPr fontId="2"/>
  </si>
  <si>
    <t>平成２９年１月～</t>
    <rPh sb="0" eb="2">
      <t>ヘイセイ</t>
    </rPh>
    <rPh sb="4" eb="5">
      <t>ネン</t>
    </rPh>
    <rPh sb="6" eb="7">
      <t>ガツ</t>
    </rPh>
    <phoneticPr fontId="2"/>
  </si>
  <si>
    <t>就労移行支援　管理者</t>
    <rPh sb="0" eb="2">
      <t>シュウロウ</t>
    </rPh>
    <rPh sb="2" eb="4">
      <t>イコウ</t>
    </rPh>
    <rPh sb="4" eb="6">
      <t>シエン</t>
    </rPh>
    <rPh sb="7" eb="10">
      <t>カンリシャ</t>
    </rPh>
    <phoneticPr fontId="2"/>
  </si>
  <si>
    <t>備考（研修等の受講の状況等）
　平成２９年１月より一般社団法人アンマー経営者として専務理事に就任</t>
    <rPh sb="0" eb="2">
      <t>ビコウ</t>
    </rPh>
    <rPh sb="3" eb="5">
      <t>ケンシュウ</t>
    </rPh>
    <rPh sb="5" eb="6">
      <t>トウ</t>
    </rPh>
    <rPh sb="7" eb="9">
      <t>ジュコウ</t>
    </rPh>
    <rPh sb="10" eb="12">
      <t>ジョウキョウ</t>
    </rPh>
    <rPh sb="12" eb="13">
      <t>トウ</t>
    </rPh>
    <rPh sb="16" eb="18">
      <t>ヘイセイ</t>
    </rPh>
    <rPh sb="20" eb="21">
      <t>ネン</t>
    </rPh>
    <rPh sb="22" eb="23">
      <t>ガツ</t>
    </rPh>
    <rPh sb="25" eb="27">
      <t>イッパン</t>
    </rPh>
    <rPh sb="27" eb="29">
      <t>シャダン</t>
    </rPh>
    <rPh sb="29" eb="31">
      <t>ホウジン</t>
    </rPh>
    <rPh sb="35" eb="38">
      <t>ケイエイシャ</t>
    </rPh>
    <rPh sb="41" eb="43">
      <t>センム</t>
    </rPh>
    <rPh sb="43" eb="45">
      <t>リジ</t>
    </rPh>
    <rPh sb="46" eb="48">
      <t>シュウニン</t>
    </rPh>
    <phoneticPr fontId="2"/>
  </si>
  <si>
    <t>福祉 スタッフ</t>
    <rPh sb="0" eb="2">
      <t>フクシ</t>
    </rPh>
    <phoneticPr fontId="2"/>
  </si>
  <si>
    <t>平成３０年５月～</t>
    <rPh sb="0" eb="2">
      <t>ヘイセイ</t>
    </rPh>
    <rPh sb="4" eb="5">
      <t>ネン</t>
    </rPh>
    <rPh sb="6" eb="7">
      <t>ガツ</t>
    </rPh>
    <phoneticPr fontId="2"/>
  </si>
  <si>
    <t>平成３０年１１月～　（予定）</t>
    <rPh sb="0" eb="2">
      <t>ヘイセイ</t>
    </rPh>
    <rPh sb="11" eb="13">
      <t>ヨテイ</t>
    </rPh>
    <phoneticPr fontId="2"/>
  </si>
  <si>
    <t>平成３０年１１月１日～　　（予定）</t>
    <rPh sb="0" eb="2">
      <t>ヘイセイ</t>
    </rPh>
    <rPh sb="4" eb="5">
      <t>ネン</t>
    </rPh>
    <rPh sb="7" eb="8">
      <t>ガツ</t>
    </rPh>
    <rPh sb="9" eb="10">
      <t>ニチ</t>
    </rPh>
    <rPh sb="14" eb="16">
      <t>ヨテイ</t>
    </rPh>
    <phoneticPr fontId="2"/>
  </si>
  <si>
    <t>理事</t>
    <rPh sb="0" eb="2">
      <t>リジ</t>
    </rPh>
    <phoneticPr fontId="2"/>
  </si>
  <si>
    <t>就労移行訓練作業室</t>
    <rPh sb="0" eb="2">
      <t>シュウロウ</t>
    </rPh>
    <rPh sb="2" eb="4">
      <t>イコウ</t>
    </rPh>
    <rPh sb="4" eb="9">
      <t>クンレンs</t>
    </rPh>
    <phoneticPr fontId="2"/>
  </si>
  <si>
    <t>相談室（共用）</t>
    <rPh sb="0" eb="3">
      <t>ソウダンシツ</t>
    </rPh>
    <rPh sb="4" eb="6">
      <t>キョウヨウ</t>
    </rPh>
    <phoneticPr fontId="2"/>
  </si>
  <si>
    <t>事務室（共用）</t>
    <rPh sb="0" eb="3">
      <t>ジムシツ</t>
    </rPh>
    <rPh sb="4" eb="6">
      <t>キョウヨウ</t>
    </rPh>
    <phoneticPr fontId="2"/>
  </si>
  <si>
    <t>トイレ（共用）</t>
    <phoneticPr fontId="2"/>
  </si>
  <si>
    <t>手洗い（共用）</t>
    <rPh sb="0" eb="3">
      <t>テアラ</t>
    </rPh>
    <phoneticPr fontId="2"/>
  </si>
  <si>
    <t>多目的室（共用）</t>
    <rPh sb="0" eb="4">
      <t>タモクテk</t>
    </rPh>
    <phoneticPr fontId="2"/>
  </si>
  <si>
    <t>多目的室（台所）</t>
    <rPh sb="0" eb="4">
      <t>タモクテk</t>
    </rPh>
    <rPh sb="5" eb="7">
      <t>ダイドコロ</t>
    </rPh>
    <phoneticPr fontId="2"/>
  </si>
  <si>
    <t>事　業　所　名　　　（　シ　　　ェ　　　ル　）</t>
    <rPh sb="0" eb="5">
      <t>ジギョウショ</t>
    </rPh>
    <rPh sb="6" eb="7">
      <t>メイ</t>
    </rPh>
    <phoneticPr fontId="2"/>
  </si>
  <si>
    <t>　実務経験の要件を満たす次の者を，サービス管理責任者として暫定的に配置しますが，平成３１年３月３１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6" eb="47">
      <t>ガツ</t>
    </rPh>
    <rPh sb="49" eb="50">
      <t>ニチ</t>
    </rPh>
    <rPh sb="53" eb="54">
      <t>アイダ</t>
    </rPh>
    <rPh sb="56" eb="58">
      <t>ソウダン</t>
    </rPh>
    <rPh sb="58" eb="60">
      <t>シエン</t>
    </rPh>
    <rPh sb="60" eb="63">
      <t>ジュウジシャ</t>
    </rPh>
    <rPh sb="63" eb="65">
      <t>ケンシュウ</t>
    </rPh>
    <rPh sb="66" eb="68">
      <t>コウギ</t>
    </rPh>
    <rPh sb="68" eb="70">
      <t>ブブン</t>
    </rPh>
    <rPh sb="73" eb="75">
      <t>ジュコウ</t>
    </rPh>
    <rPh sb="84" eb="86">
      <t>カンリ</t>
    </rPh>
    <rPh sb="86" eb="89">
      <t>セキニンシャ</t>
    </rPh>
    <rPh sb="89" eb="91">
      <t>ケンシュウ</t>
    </rPh>
    <rPh sb="93" eb="95">
      <t>シュウリョウ</t>
    </rPh>
    <phoneticPr fontId="2"/>
  </si>
  <si>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３１年３月３１日までの間に「相談支援従事者研修(講義部分）」を受講し、かつ、当該事業所等において提供されるいずれかの障害福祉サービスの「サービス管理責任者研修」を修了させ、平成３１年３月３１日までの間にすべての障害福祉サービスの「サービス管理責任者研修」を修了させます。</t>
    <rPh sb="67" eb="69">
      <t>がいとう</t>
    </rPh>
    <rPh sb="129" eb="131">
      <t>そうだん</t>
    </rPh>
    <rPh sb="131" eb="133">
      <t>しえん</t>
    </rPh>
    <rPh sb="133" eb="136">
      <t>じゅうじしゃ</t>
    </rPh>
    <rPh sb="136" eb="138">
      <t>けんしゅう</t>
    </rPh>
    <rPh sb="139" eb="141">
      <t>こうぎ</t>
    </rPh>
    <rPh sb="141" eb="143">
      <t>ぶぶん</t>
    </rPh>
    <rPh sb="146" eb="148">
      <t>じゅこう</t>
    </rPh>
    <rPh sb="196" eb="198">
      <t>しゅうりょう</t>
    </rPh>
    <rPh sb="234" eb="236">
      <t>かんり</t>
    </rPh>
    <rPh sb="236" eb="239">
      <t>せきにんしゃ</t>
    </rPh>
    <rPh sb="239" eb="241">
      <t>けんしゅう</t>
    </rPh>
    <rPh sb="243" eb="245">
      <t>しゅうりょう</t>
    </rPh>
    <phoneticPr fontId="2" type="Hiragana" alignment="distributed"/>
  </si>
</sst>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_ "/>
    <numFmt numFmtId="178" formatCode="0.0"/>
    <numFmt numFmtId="179" formatCode="0.00_ "/>
  </numFmts>
  <fonts count="7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1"/>
      <color rgb="FFFF0000"/>
      <name val="ＭＳ 明朝"/>
      <family val="1"/>
      <charset val="128"/>
    </font>
    <font>
      <sz val="12"/>
      <name val="ヒラギノ丸ゴ ProN W4"/>
      <family val="1"/>
      <charset val="128"/>
    </font>
    <font>
      <sz val="11"/>
      <name val="HGPｺﾞｼｯｸE"/>
      <family val="3"/>
      <charset val="128"/>
    </font>
    <font>
      <b/>
      <sz val="12"/>
      <name val="HGPｺﾞｼｯｸE"/>
      <family val="3"/>
      <charset val="128"/>
    </font>
    <font>
      <b/>
      <sz val="11"/>
      <name val="HGPｺﾞｼｯｸE"/>
      <family val="3"/>
      <charset val="128"/>
    </font>
    <font>
      <sz val="10"/>
      <name val="HGPｺﾞｼｯｸE"/>
      <family val="3"/>
      <charset val="128"/>
    </font>
    <font>
      <sz val="14"/>
      <name val="ＭＳ Ｐゴシック"/>
      <family val="3"/>
      <charset val="128"/>
    </font>
    <font>
      <sz val="18"/>
      <name val="ＭＳ Ｐ明朝"/>
      <family val="1"/>
      <charset val="128"/>
    </font>
    <font>
      <sz val="11"/>
      <name val="ＭＳ Ｐ明朝"/>
      <family val="1"/>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46">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top style="dotted">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hair">
        <color indexed="64"/>
      </left>
      <right style="mediumDashed">
        <color indexed="64"/>
      </right>
      <top style="hair">
        <color indexed="64"/>
      </top>
      <bottom style="mediumDashed">
        <color indexed="64"/>
      </bottom>
      <diagonal/>
    </border>
    <border>
      <left style="hair">
        <color indexed="64"/>
      </left>
      <right style="hair">
        <color indexed="64"/>
      </right>
      <top style="hair">
        <color indexed="64"/>
      </top>
      <bottom style="mediumDashed">
        <color indexed="64"/>
      </bottom>
      <diagonal/>
    </border>
    <border>
      <left style="thin">
        <color indexed="64"/>
      </left>
      <right style="hair">
        <color indexed="64"/>
      </right>
      <top style="hair">
        <color indexed="64"/>
      </top>
      <bottom style="mediumDashed">
        <color indexed="64"/>
      </bottom>
      <diagonal/>
    </border>
    <border>
      <left style="thin">
        <color indexed="64"/>
      </left>
      <right style="thin">
        <color indexed="64"/>
      </right>
      <top style="thin">
        <color indexed="64"/>
      </top>
      <bottom style="mediumDashed">
        <color indexed="64"/>
      </bottom>
      <diagonal/>
    </border>
    <border>
      <left style="mediumDashed">
        <color indexed="64"/>
      </left>
      <right style="thin">
        <color indexed="64"/>
      </right>
      <top style="thin">
        <color indexed="64"/>
      </top>
      <bottom style="mediumDashed">
        <color indexed="64"/>
      </bottom>
      <diagonal/>
    </border>
    <border>
      <left style="hair">
        <color indexed="64"/>
      </left>
      <right style="mediumDashed">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Dashed">
        <color indexed="64"/>
      </left>
      <right style="thin">
        <color indexed="64"/>
      </right>
      <top style="thin">
        <color indexed="64"/>
      </top>
      <bottom style="thin">
        <color indexed="64"/>
      </bottom>
      <diagonal/>
    </border>
    <border>
      <left style="hair">
        <color indexed="64"/>
      </left>
      <right style="mediumDashed">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style="mediumDashed">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auto="1"/>
      </left>
      <right style="thin">
        <color auto="1"/>
      </right>
      <top/>
      <bottom/>
      <diagonal/>
    </border>
  </borders>
  <cellStyleXfs count="7">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1" fillId="0" borderId="0" applyNumberFormat="0" applyFill="0" applyBorder="0" applyAlignment="0" applyProtection="0">
      <alignment vertical="top"/>
      <protection locked="0"/>
    </xf>
  </cellStyleXfs>
  <cellXfs count="985">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1"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6" fillId="0" borderId="0" xfId="0" applyFont="1"/>
    <xf numFmtId="0" fontId="56"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4" xfId="0" applyFont="1" applyBorder="1" applyAlignment="1">
      <alignment vertical="center"/>
    </xf>
    <xf numFmtId="0" fontId="38" fillId="0" borderId="116"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7"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59"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09"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3" xfId="5" applyNumberFormat="1" applyFont="1" applyBorder="1" applyAlignment="1">
      <alignment horizontal="left" vertical="center"/>
    </xf>
    <xf numFmtId="49" fontId="37" fillId="0" borderId="140"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1" fillId="0" borderId="9" xfId="6" applyNumberFormat="1" applyBorder="1" applyAlignment="1" applyProtection="1">
      <alignment horizontal="left" vertical="center" wrapText="1" indent="1"/>
      <protection locked="0"/>
    </xf>
    <xf numFmtId="49" fontId="61"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40" fillId="0" borderId="0" xfId="0" applyFont="1" applyAlignment="1">
      <alignment horizontal="center"/>
    </xf>
    <xf numFmtId="0" fontId="54" fillId="0" borderId="0" xfId="0" applyFont="1" applyAlignment="1">
      <alignment horizontal="center"/>
    </xf>
    <xf numFmtId="0" fontId="30" fillId="0" borderId="0" xfId="3" applyFont="1" applyAlignment="1">
      <alignment horizontal="left" vertical="center"/>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30" fillId="0" borderId="0" xfId="3" applyFont="1" applyAlignment="1">
      <alignment vertical="center" wrapText="1"/>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39" fillId="0" borderId="7" xfId="0" applyFont="1" applyBorder="1"/>
    <xf numFmtId="0" fontId="32" fillId="0" borderId="7" xfId="0" applyFont="1" applyBorder="1"/>
    <xf numFmtId="0" fontId="31" fillId="0" borderId="22" xfId="0" applyFont="1" applyBorder="1" applyAlignment="1">
      <alignment horizontal="center"/>
    </xf>
    <xf numFmtId="0" fontId="31" fillId="0" borderId="16" xfId="0" applyFont="1" applyBorder="1"/>
    <xf numFmtId="0" fontId="31" fillId="0" borderId="22" xfId="0" applyFont="1" applyBorder="1" applyAlignment="1">
      <alignment horizontal="center" vertical="center"/>
    </xf>
    <xf numFmtId="0" fontId="31" fillId="0" borderId="145" xfId="0" applyFont="1" applyBorder="1" applyAlignment="1"/>
    <xf numFmtId="0" fontId="31" fillId="0" borderId="145" xfId="0" applyFont="1" applyBorder="1" applyAlignment="1">
      <alignment horizontal="center"/>
    </xf>
    <xf numFmtId="0" fontId="62" fillId="0" borderId="16" xfId="0" applyFont="1" applyBorder="1"/>
    <xf numFmtId="0" fontId="40" fillId="0" borderId="93" xfId="0" applyFont="1" applyBorder="1" applyAlignment="1">
      <alignment horizontal="center"/>
    </xf>
    <xf numFmtId="0" fontId="40" fillId="0" borderId="22" xfId="0" applyFont="1" applyBorder="1" applyAlignment="1">
      <alignment horizontal="center"/>
    </xf>
    <xf numFmtId="0" fontId="31" fillId="0" borderId="22" xfId="0" applyFont="1" applyBorder="1"/>
    <xf numFmtId="0" fontId="64" fillId="0" borderId="0" xfId="0" applyFont="1"/>
    <xf numFmtId="0" fontId="67" fillId="0" borderId="22" xfId="0" applyFont="1" applyBorder="1"/>
    <xf numFmtId="0" fontId="64" fillId="0" borderId="0" xfId="0" applyFont="1" applyBorder="1"/>
    <xf numFmtId="0" fontId="64" fillId="0" borderId="21" xfId="0" applyFont="1" applyBorder="1"/>
    <xf numFmtId="0" fontId="64" fillId="0" borderId="22" xfId="0" applyFont="1" applyBorder="1"/>
    <xf numFmtId="0" fontId="64" fillId="0" borderId="0" xfId="0" applyFont="1" applyBorder="1" applyAlignment="1"/>
    <xf numFmtId="0" fontId="64" fillId="0" borderId="20" xfId="0" applyFont="1" applyBorder="1"/>
    <xf numFmtId="0" fontId="64" fillId="0" borderId="19" xfId="0" applyFont="1" applyBorder="1"/>
    <xf numFmtId="0" fontId="64" fillId="0" borderId="18" xfId="0" applyFont="1" applyBorder="1"/>
    <xf numFmtId="0" fontId="67" fillId="0" borderId="0" xfId="0" applyFont="1"/>
    <xf numFmtId="0" fontId="70" fillId="0" borderId="0" xfId="0" applyFont="1"/>
    <xf numFmtId="0" fontId="40" fillId="0" borderId="10" xfId="0" applyFont="1" applyBorder="1" applyAlignment="1">
      <alignment horizontal="distributed" vertical="center"/>
    </xf>
    <xf numFmtId="0" fontId="29" fillId="0" borderId="39"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31" fillId="0" borderId="145" xfId="0" applyFont="1" applyBorder="1" applyAlignment="1">
      <alignment horizontal="center" vertical="center"/>
    </xf>
    <xf numFmtId="0" fontId="31" fillId="0" borderId="22" xfId="0" applyFont="1" applyBorder="1" applyAlignment="1">
      <alignment horizontal="center" shrinkToFit="1"/>
    </xf>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69" fillId="0" borderId="0" xfId="0" applyFont="1" applyAlignment="1">
      <alignment horizontal="center"/>
    </xf>
    <xf numFmtId="0" fontId="70" fillId="0" borderId="11" xfId="0" applyFont="1" applyBorder="1" applyAlignment="1">
      <alignment horizontal="center"/>
    </xf>
    <xf numFmtId="0" fontId="70" fillId="0" borderId="9" xfId="0" applyFont="1" applyBorder="1" applyAlignment="1">
      <alignment horizontal="center"/>
    </xf>
    <xf numFmtId="0" fontId="70" fillId="0" borderId="9" xfId="0" applyFont="1" applyBorder="1" applyAlignment="1">
      <alignment horizontal="center" vertical="center"/>
    </xf>
    <xf numFmtId="0" fontId="70" fillId="0" borderId="10" xfId="0" applyFont="1" applyBorder="1" applyAlignment="1">
      <alignment horizontal="center"/>
    </xf>
    <xf numFmtId="0" fontId="70" fillId="0" borderId="5" xfId="0" applyFont="1" applyBorder="1" applyAlignment="1">
      <alignment horizontal="center"/>
    </xf>
    <xf numFmtId="0" fontId="70" fillId="0" borderId="8" xfId="0" applyFont="1" applyBorder="1" applyAlignment="1">
      <alignment horizontal="center"/>
    </xf>
    <xf numFmtId="58" fontId="70" fillId="0" borderId="9" xfId="0" applyNumberFormat="1" applyFont="1" applyBorder="1" applyAlignment="1">
      <alignment horizontal="center" vertical="center"/>
    </xf>
    <xf numFmtId="0" fontId="70" fillId="0" borderId="9" xfId="0" applyFont="1" applyBorder="1" applyAlignment="1">
      <alignment horizontal="center" vertical="center" shrinkToFit="1"/>
    </xf>
    <xf numFmtId="0" fontId="70" fillId="0" borderId="9" xfId="0" applyFont="1" applyBorder="1" applyAlignment="1"/>
    <xf numFmtId="0" fontId="70" fillId="0" borderId="6" xfId="0" applyFont="1" applyBorder="1" applyAlignment="1">
      <alignment horizontal="center" vertical="center"/>
    </xf>
    <xf numFmtId="0" fontId="70" fillId="0" borderId="4" xfId="0" applyFont="1" applyBorder="1" applyAlignment="1">
      <alignment horizontal="center" vertical="center"/>
    </xf>
    <xf numFmtId="0" fontId="70" fillId="0" borderId="9" xfId="0" applyFont="1" applyBorder="1" applyAlignment="1">
      <alignment shrinkToFit="1"/>
    </xf>
    <xf numFmtId="0" fontId="70" fillId="0" borderId="0" xfId="0" applyFont="1" applyAlignment="1">
      <alignment horizontal="left" vertical="top" wrapText="1"/>
    </xf>
    <xf numFmtId="0" fontId="0" fillId="0" borderId="0" xfId="0" applyFont="1" applyAlignment="1">
      <alignment horizontal="left" vertical="top" wrapText="1"/>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8" fillId="0" borderId="0" xfId="0" applyFont="1" applyAlignment="1">
      <alignment horizontal="left" vertical="top" wrapText="1"/>
    </xf>
    <xf numFmtId="0" fontId="40" fillId="0" borderId="0" xfId="0" applyFont="1" applyAlignment="1">
      <alignment horizontal="left" vertical="center" indent="17"/>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41" fillId="0" borderId="0" xfId="0" applyFont="1" applyAlignment="1">
      <alignment vertical="top" wrapText="1"/>
    </xf>
    <xf numFmtId="0" fontId="0" fillId="0" borderId="0" xfId="0" applyAlignment="1">
      <alignment vertical="top"/>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16" fillId="0" borderId="0" xfId="1" applyFont="1" applyBorder="1" applyAlignment="1">
      <alignment horizontal="center" vertical="center"/>
    </xf>
    <xf numFmtId="0" fontId="28" fillId="0" borderId="3" xfId="1" applyFont="1" applyBorder="1" applyAlignment="1">
      <alignment horizontal="center" vertic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31" fontId="40" fillId="0" borderId="1" xfId="0" applyNumberFormat="1"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5" xfId="0" applyFont="1" applyBorder="1" applyAlignment="1">
      <alignment horizontal="left" vertical="top" wrapText="1"/>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6" xfId="0" applyFont="1" applyBorder="1" applyAlignment="1">
      <alignment horizontal="distributed" vertical="center"/>
    </xf>
    <xf numFmtId="0" fontId="40" fillId="0" borderId="0" xfId="0" applyFont="1" applyAlignment="1">
      <alignment horizontal="center"/>
    </xf>
    <xf numFmtId="0" fontId="40" fillId="0" borderId="101" xfId="0" applyFont="1" applyBorder="1" applyAlignment="1">
      <alignment horizontal="center"/>
    </xf>
    <xf numFmtId="0" fontId="43" fillId="0" borderId="106" xfId="0" applyFont="1" applyBorder="1" applyAlignment="1">
      <alignment horizontal="left" shrinkToFit="1"/>
    </xf>
    <xf numFmtId="0" fontId="43" fillId="0" borderId="105" xfId="0" applyFont="1" applyBorder="1" applyAlignment="1">
      <alignment horizontal="left" shrinkToFit="1"/>
    </xf>
    <xf numFmtId="0" fontId="43" fillId="0" borderId="104" xfId="0" applyFont="1" applyBorder="1" applyAlignment="1">
      <alignment horizontal="left" shrinkToFit="1"/>
    </xf>
    <xf numFmtId="0" fontId="40" fillId="0" borderId="106" xfId="0" applyFont="1" applyBorder="1" applyAlignment="1">
      <alignment horizontal="left" shrinkToFit="1"/>
    </xf>
    <xf numFmtId="0" fontId="40" fillId="0" borderId="105" xfId="0" applyFont="1" applyBorder="1" applyAlignment="1">
      <alignment horizontal="left" shrinkToFit="1"/>
    </xf>
    <xf numFmtId="0" fontId="40" fillId="0" borderId="104" xfId="0" applyFont="1" applyBorder="1" applyAlignment="1">
      <alignment horizontal="left" shrinkToFit="1"/>
    </xf>
    <xf numFmtId="0" fontId="40" fillId="0" borderId="102" xfId="0" applyFont="1" applyBorder="1" applyAlignment="1">
      <alignment horizontal="left" shrinkToFit="1"/>
    </xf>
    <xf numFmtId="0" fontId="40" fillId="0" borderId="101" xfId="0" applyFont="1" applyBorder="1" applyAlignment="1">
      <alignment horizontal="left" shrinkToFit="1"/>
    </xf>
    <xf numFmtId="0" fontId="40" fillId="0" borderId="100" xfId="0" applyFont="1" applyBorder="1" applyAlignment="1">
      <alignment horizontal="left" shrinkToFit="1"/>
    </xf>
    <xf numFmtId="0" fontId="40" fillId="0" borderId="102" xfId="0" applyFont="1" applyBorder="1" applyAlignment="1">
      <alignment horizontal="center" shrinkToFit="1"/>
    </xf>
    <xf numFmtId="0" fontId="40" fillId="0" borderId="101" xfId="0" applyFont="1" applyBorder="1" applyAlignment="1">
      <alignment horizontal="center" shrinkToFit="1"/>
    </xf>
    <xf numFmtId="0" fontId="40" fillId="0" borderId="100" xfId="0" applyFont="1" applyBorder="1" applyAlignment="1">
      <alignment horizontal="center" shrinkToFit="1"/>
    </xf>
    <xf numFmtId="0" fontId="40" fillId="0" borderId="102" xfId="0" applyFont="1" applyBorder="1" applyAlignment="1">
      <alignment horizontal="center"/>
    </xf>
    <xf numFmtId="0" fontId="40" fillId="0" borderId="100"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5" fillId="0" borderId="0" xfId="0" applyFont="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1" fillId="0" borderId="106" xfId="0" applyFont="1" applyBorder="1" applyAlignment="1">
      <alignment horizontal="left" vertical="center"/>
    </xf>
    <xf numFmtId="0" fontId="41" fillId="0" borderId="105" xfId="0" applyFont="1" applyBorder="1" applyAlignment="1">
      <alignment horizontal="left" vertical="center"/>
    </xf>
    <xf numFmtId="0" fontId="41" fillId="0" borderId="104" xfId="0" applyFont="1" applyBorder="1" applyAlignment="1">
      <alignment horizontal="left" vertical="center"/>
    </xf>
    <xf numFmtId="0" fontId="43" fillId="0" borderId="106" xfId="0" applyFont="1" applyBorder="1" applyAlignment="1">
      <alignment horizontal="left" vertical="center"/>
    </xf>
    <xf numFmtId="0" fontId="43" fillId="0" borderId="105" xfId="0" applyFont="1" applyBorder="1" applyAlignment="1">
      <alignment horizontal="left" vertical="center"/>
    </xf>
    <xf numFmtId="0" fontId="43" fillId="0" borderId="104" xfId="0" applyFont="1" applyBorder="1" applyAlignment="1">
      <alignment horizontal="left" vertical="center"/>
    </xf>
    <xf numFmtId="0" fontId="40" fillId="0" borderId="105" xfId="0" applyFont="1" applyBorder="1" applyAlignment="1">
      <alignment horizontal="left"/>
    </xf>
    <xf numFmtId="0" fontId="40" fillId="0" borderId="104" xfId="0" applyFont="1" applyBorder="1" applyAlignment="1">
      <alignment horizontal="left"/>
    </xf>
    <xf numFmtId="0" fontId="41" fillId="0" borderId="102" xfId="0" applyFont="1" applyBorder="1" applyAlignment="1">
      <alignment horizontal="left"/>
    </xf>
    <xf numFmtId="0" fontId="41" fillId="0" borderId="101" xfId="0" applyFont="1" applyBorder="1" applyAlignment="1">
      <alignment horizontal="left"/>
    </xf>
    <xf numFmtId="0" fontId="41" fillId="0" borderId="100" xfId="0" applyFont="1" applyBorder="1" applyAlignment="1">
      <alignment horizontal="left"/>
    </xf>
    <xf numFmtId="0" fontId="40" fillId="0" borderId="102" xfId="0" applyFont="1" applyBorder="1" applyAlignment="1">
      <alignment horizontal="left"/>
    </xf>
    <xf numFmtId="0" fontId="40" fillId="0" borderId="101" xfId="0" applyFont="1" applyBorder="1" applyAlignment="1">
      <alignment horizontal="left"/>
    </xf>
    <xf numFmtId="0" fontId="40" fillId="0" borderId="100" xfId="0" applyFont="1" applyBorder="1" applyAlignment="1">
      <alignment horizontal="left"/>
    </xf>
    <xf numFmtId="0" fontId="40" fillId="0" borderId="5" xfId="0" applyFont="1" applyBorder="1" applyAlignment="1">
      <alignment horizontal="left" vertical="top"/>
    </xf>
    <xf numFmtId="58" fontId="40" fillId="0" borderId="5" xfId="0" applyNumberFormat="1" applyFont="1" applyBorder="1" applyAlignment="1">
      <alignment horizontal="left" vertical="top"/>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19" xfId="0" applyFont="1" applyBorder="1" applyAlignment="1">
      <alignment horizontal="left" vertical="center"/>
    </xf>
    <xf numFmtId="0" fontId="38" fillId="0" borderId="118" xfId="0" applyFont="1" applyBorder="1" applyAlignment="1">
      <alignment horizontal="left" vertical="center"/>
    </xf>
    <xf numFmtId="0" fontId="38" fillId="0" borderId="117" xfId="0" applyFont="1" applyBorder="1" applyAlignment="1">
      <alignment horizontal="left" vertical="center"/>
    </xf>
    <xf numFmtId="0" fontId="38" fillId="0" borderId="0" xfId="0" applyFont="1" applyBorder="1" applyAlignment="1">
      <alignment horizontal="left" vertical="center" wrapText="1"/>
    </xf>
    <xf numFmtId="0" fontId="38" fillId="0" borderId="115" xfId="0" applyFont="1" applyBorder="1" applyAlignment="1">
      <alignment horizontal="left" vertical="center" wrapText="1"/>
    </xf>
    <xf numFmtId="0" fontId="38" fillId="0" borderId="113" xfId="0" applyFont="1" applyBorder="1" applyAlignment="1">
      <alignment horizontal="left" vertical="center" wrapText="1"/>
    </xf>
    <xf numFmtId="0" fontId="38" fillId="0" borderId="112" xfId="0" applyFont="1" applyBorder="1" applyAlignment="1">
      <alignment horizontal="left" vertical="center" wrapText="1"/>
    </xf>
    <xf numFmtId="0" fontId="38" fillId="0" borderId="3" xfId="0" applyFont="1" applyBorder="1" applyAlignment="1">
      <alignment horizontal="center" vertical="center"/>
    </xf>
    <xf numFmtId="0" fontId="46" fillId="0" borderId="3" xfId="0" applyFont="1" applyBorder="1" applyAlignment="1">
      <alignment horizontal="left" vertical="center" indent="1"/>
    </xf>
    <xf numFmtId="58" fontId="46" fillId="0" borderId="3" xfId="0" applyNumberFormat="1" applyFont="1" applyBorder="1" applyAlignment="1">
      <alignment horizontal="left" vertical="center"/>
    </xf>
    <xf numFmtId="0" fontId="46" fillId="0" borderId="3" xfId="0" applyFont="1" applyBorder="1" applyAlignment="1">
      <alignment horizontal="left" vertical="center"/>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58" fontId="46" fillId="0" borderId="0" xfId="0" applyNumberFormat="1" applyFont="1" applyAlignment="1">
      <alignment horizontal="center" vertical="center"/>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3" xfId="0" applyFont="1" applyBorder="1" applyAlignment="1">
      <alignment horizontal="center" vertical="center" wrapText="1"/>
    </xf>
    <xf numFmtId="0" fontId="38" fillId="0" borderId="128" xfId="0" applyFont="1" applyBorder="1" applyAlignment="1">
      <alignment horizontal="center" vertical="center" wrapText="1"/>
    </xf>
    <xf numFmtId="0" fontId="38" fillId="0" borderId="9" xfId="0" applyFont="1" applyBorder="1" applyAlignment="1">
      <alignment horizontal="center" vertical="center" wrapText="1"/>
    </xf>
    <xf numFmtId="58" fontId="38" fillId="0" borderId="9" xfId="0" applyNumberFormat="1" applyFont="1" applyBorder="1" applyAlignment="1">
      <alignment horizontal="center" vertical="center" wrapText="1"/>
    </xf>
    <xf numFmtId="0" fontId="38" fillId="0" borderId="132" xfId="0" applyFont="1" applyBorder="1" applyAlignment="1">
      <alignment horizontal="center" vertical="center" wrapText="1"/>
    </xf>
    <xf numFmtId="0" fontId="38" fillId="0" borderId="128" xfId="0" applyFont="1" applyBorder="1" applyAlignment="1">
      <alignment horizontal="center" vertical="center"/>
    </xf>
    <xf numFmtId="0" fontId="38" fillId="0" borderId="9" xfId="0" applyFont="1" applyBorder="1" applyAlignment="1">
      <alignment horizontal="center" vertical="center"/>
    </xf>
    <xf numFmtId="0" fontId="38" fillId="0" borderId="124" xfId="0" applyFont="1" applyBorder="1" applyAlignment="1">
      <alignment horizontal="center" vertical="center"/>
    </xf>
    <xf numFmtId="0" fontId="38" fillId="0" borderId="123" xfId="0" applyFont="1" applyBorder="1" applyAlignment="1">
      <alignment horizontal="center" vertical="center"/>
    </xf>
    <xf numFmtId="0" fontId="38" fillId="0" borderId="131" xfId="0" applyFont="1" applyBorder="1" applyAlignment="1">
      <alignment horizontal="center" vertical="center" wrapText="1"/>
    </xf>
    <xf numFmtId="0" fontId="38" fillId="0" borderId="130" xfId="0" applyFont="1" applyBorder="1" applyAlignment="1">
      <alignment horizontal="center" vertical="center" wrapText="1"/>
    </xf>
    <xf numFmtId="0" fontId="38" fillId="0" borderId="129" xfId="0" applyFont="1" applyBorder="1" applyAlignment="1">
      <alignment horizontal="center" vertical="center"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0" fontId="38" fillId="0" borderId="122" xfId="0" applyFont="1" applyBorder="1" applyAlignment="1">
      <alignment horizontal="center" vertical="top" wrapText="1"/>
    </xf>
    <xf numFmtId="0" fontId="38" fillId="0" borderId="121" xfId="0" applyFont="1" applyBorder="1" applyAlignment="1">
      <alignment horizontal="center" vertical="top" wrapText="1"/>
    </xf>
    <xf numFmtId="0" fontId="38" fillId="0" borderId="120" xfId="0" applyFont="1" applyBorder="1" applyAlignment="1">
      <alignment horizontal="center" vertical="top" wrapText="1"/>
    </xf>
    <xf numFmtId="0" fontId="46" fillId="0" borderId="3" xfId="0" applyFont="1" applyBorder="1" applyAlignment="1">
      <alignment horizontal="center"/>
    </xf>
    <xf numFmtId="0" fontId="46" fillId="0" borderId="138" xfId="0" applyFont="1" applyBorder="1" applyAlignment="1">
      <alignment horizontal="center"/>
    </xf>
    <xf numFmtId="0" fontId="46" fillId="0" borderId="137" xfId="0" applyFont="1" applyBorder="1" applyAlignment="1">
      <alignment horizontal="center"/>
    </xf>
    <xf numFmtId="0" fontId="46" fillId="0" borderId="136" xfId="0" applyFont="1" applyBorder="1" applyAlignment="1">
      <alignment horizont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08"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07"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2" xfId="5" applyNumberFormat="1" applyFont="1" applyBorder="1" applyAlignment="1">
      <alignment horizontal="left" vertical="center" wrapText="1"/>
    </xf>
    <xf numFmtId="49" fontId="37" fillId="0" borderId="143" xfId="5" applyNumberFormat="1" applyFont="1" applyBorder="1" applyAlignment="1">
      <alignment horizontal="left" vertical="center" wrapText="1"/>
    </xf>
    <xf numFmtId="49" fontId="37" fillId="0" borderId="144"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39" xfId="5" applyNumberFormat="1" applyFont="1" applyBorder="1" applyAlignment="1">
      <alignment horizontal="left" vertical="center" wrapText="1"/>
    </xf>
    <xf numFmtId="49" fontId="37" fillId="0" borderId="103" xfId="5" applyNumberFormat="1" applyFont="1" applyBorder="1" applyAlignment="1">
      <alignment horizontal="left" vertical="center" wrapText="1"/>
    </xf>
    <xf numFmtId="49" fontId="37" fillId="0" borderId="140" xfId="5" applyNumberFormat="1" applyFont="1" applyBorder="1" applyAlignment="1">
      <alignment horizontal="left" vertical="center" wrapText="1"/>
    </xf>
    <xf numFmtId="49" fontId="37" fillId="0" borderId="141" xfId="5" applyNumberFormat="1" applyFont="1" applyBorder="1" applyAlignment="1">
      <alignment horizontal="right" vertical="center"/>
    </xf>
    <xf numFmtId="49" fontId="37" fillId="0" borderId="103" xfId="5" applyNumberFormat="1" applyFont="1" applyBorder="1" applyAlignment="1">
      <alignment horizontal="right" vertical="center"/>
    </xf>
    <xf numFmtId="49" fontId="59"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0"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09" xfId="1" applyNumberFormat="1" applyFont="1" applyBorder="1" applyAlignment="1">
      <alignment horizontal="center" vertic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0" fontId="64" fillId="0" borderId="0" xfId="0" applyFont="1" applyBorder="1" applyAlignment="1">
      <alignment horizontal="center" shrinkToFit="1"/>
    </xf>
    <xf numFmtId="0" fontId="64" fillId="0" borderId="21" xfId="0" applyFont="1" applyBorder="1" applyAlignment="1">
      <alignment horizontal="center" shrinkToFit="1"/>
    </xf>
    <xf numFmtId="0" fontId="64" fillId="0" borderId="0" xfId="0" applyFont="1" applyAlignment="1">
      <alignment shrinkToFit="1"/>
    </xf>
    <xf numFmtId="0" fontId="64" fillId="0" borderId="21" xfId="0" applyFont="1" applyBorder="1" applyAlignment="1">
      <alignment shrinkToFit="1"/>
    </xf>
    <xf numFmtId="0" fontId="64" fillId="0" borderId="0" xfId="0" applyFont="1" applyBorder="1" applyAlignment="1">
      <alignment vertical="center" shrinkToFit="1"/>
    </xf>
    <xf numFmtId="0" fontId="64" fillId="0" borderId="21" xfId="0" applyFont="1" applyBorder="1" applyAlignment="1">
      <alignment vertical="center" shrinkToFit="1"/>
    </xf>
    <xf numFmtId="0" fontId="54" fillId="0" borderId="0" xfId="0" applyFont="1" applyAlignment="1">
      <alignment horizontal="center"/>
    </xf>
    <xf numFmtId="0" fontId="64" fillId="0" borderId="45" xfId="0" applyFont="1" applyBorder="1" applyAlignment="1">
      <alignment horizontal="left"/>
    </xf>
    <xf numFmtId="0" fontId="64" fillId="0" borderId="41" xfId="0" applyFont="1" applyBorder="1" applyAlignment="1">
      <alignment horizontal="left"/>
    </xf>
    <xf numFmtId="0" fontId="65" fillId="0" borderId="41" xfId="0" applyFont="1" applyBorder="1" applyAlignment="1">
      <alignment horizontal="center"/>
    </xf>
    <xf numFmtId="0" fontId="65" fillId="0" borderId="40" xfId="0" applyFont="1" applyBorder="1" applyAlignment="1">
      <alignment horizontal="center"/>
    </xf>
    <xf numFmtId="0" fontId="64" fillId="0" borderId="95" xfId="0" applyFont="1" applyBorder="1" applyAlignment="1">
      <alignment horizontal="left"/>
    </xf>
    <xf numFmtId="0" fontId="64" fillId="0" borderId="87" xfId="0" applyFont="1" applyBorder="1" applyAlignment="1">
      <alignment horizontal="left"/>
    </xf>
    <xf numFmtId="0" fontId="65" fillId="0" borderId="87" xfId="0" applyFont="1" applyBorder="1" applyAlignment="1">
      <alignment horizontal="center"/>
    </xf>
    <xf numFmtId="0" fontId="65" fillId="0" borderId="92" xfId="0" applyFont="1" applyBorder="1" applyAlignment="1">
      <alignment horizontal="center"/>
    </xf>
    <xf numFmtId="0" fontId="66" fillId="0" borderId="89" xfId="0" applyFont="1" applyBorder="1" applyAlignment="1">
      <alignment horizontal="center"/>
    </xf>
    <xf numFmtId="0" fontId="66" fillId="0" borderId="63" xfId="0" applyFont="1" applyBorder="1" applyAlignment="1">
      <alignment horizontal="center"/>
    </xf>
    <xf numFmtId="0" fontId="66" fillId="0" borderId="62" xfId="0" applyFont="1" applyBorder="1" applyAlignment="1">
      <alignment horizontal="center"/>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29" fillId="0" borderId="34" xfId="3" applyFont="1" applyFill="1" applyBorder="1" applyAlignment="1">
      <alignment horizontal="center" vertical="center"/>
    </xf>
    <xf numFmtId="0" fontId="29" fillId="0" borderId="30" xfId="3" applyFont="1" applyFill="1" applyBorder="1" applyAlignment="1">
      <alignment horizontal="center" vertical="center"/>
    </xf>
    <xf numFmtId="0" fontId="29" fillId="0" borderId="34" xfId="3" applyFont="1" applyFill="1" applyBorder="1" applyAlignment="1">
      <alignment horizontal="center" vertical="center" shrinkToFit="1"/>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29"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4"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41"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9" fillId="0" borderId="40" xfId="3" applyFont="1" applyFill="1" applyBorder="1" applyAlignment="1">
      <alignment horizontal="center" vertical="center" wrapText="1"/>
    </xf>
    <xf numFmtId="0" fontId="29" fillId="0" borderId="38" xfId="3" applyFont="1" applyFill="1" applyBorder="1" applyAlignment="1">
      <alignment horizontal="center" vertical="center" wrapText="1"/>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0" fontId="29" fillId="0" borderId="50" xfId="3" applyFont="1" applyFill="1" applyBorder="1" applyAlignment="1">
      <alignment horizontal="center" vertical="center"/>
    </xf>
    <xf numFmtId="0" fontId="29" fillId="0" borderId="48"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9"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15" xfId="3" applyFont="1" applyFill="1" applyBorder="1" applyAlignment="1">
      <alignment horizontal="center"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37" xfId="3" applyNumberFormat="1" applyFont="1" applyFill="1" applyBorder="1" applyAlignment="1">
      <alignment horizontal="center" vertical="center"/>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177" fontId="29" fillId="0" borderId="14" xfId="3" applyNumberFormat="1" applyFont="1" applyFill="1" applyBorder="1" applyAlignment="1">
      <alignment horizontal="center" vertical="center"/>
    </xf>
    <xf numFmtId="179" fontId="29" fillId="0" borderId="15" xfId="3" applyNumberFormat="1" applyFont="1" applyFill="1" applyBorder="1" applyAlignment="1">
      <alignment horizontal="center" vertical="center"/>
    </xf>
    <xf numFmtId="179" fontId="29" fillId="0" borderId="12" xfId="3" applyNumberFormat="1" applyFont="1" applyFill="1" applyBorder="1" applyAlignment="1">
      <alignment horizontal="center" vertical="center"/>
    </xf>
    <xf numFmtId="179" fontId="29" fillId="0" borderId="14" xfId="3" applyNumberFormat="1" applyFont="1" applyFill="1" applyBorder="1" applyAlignment="1">
      <alignment horizontal="center" vertical="center"/>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0" fontId="29" fillId="0" borderId="36"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29" fillId="0" borderId="25" xfId="3" applyFont="1" applyFill="1" applyBorder="1" applyAlignment="1">
      <alignment horizontal="center" vertical="center"/>
    </xf>
    <xf numFmtId="0" fontId="30" fillId="0" borderId="0" xfId="3" applyFont="1" applyAlignment="1">
      <alignment horizontal="left" vertical="center"/>
    </xf>
    <xf numFmtId="0" fontId="30" fillId="0" borderId="0" xfId="3" applyFont="1" applyAlignment="1">
      <alignment horizontal="left" vertical="center" wrapText="1"/>
    </xf>
    <xf numFmtId="0" fontId="0" fillId="0" borderId="0" xfId="0" applyAlignment="1">
      <alignment horizontal="left" vertical="center" wrapText="1"/>
    </xf>
    <xf numFmtId="0" fontId="30" fillId="0" borderId="0" xfId="3" applyFont="1" applyAlignment="1">
      <alignment vertical="center" wrapText="1"/>
    </xf>
    <xf numFmtId="0" fontId="30" fillId="0" borderId="17" xfId="3" applyFont="1" applyBorder="1" applyAlignment="1">
      <alignment horizontal="center" vertical="center" wrapText="1"/>
    </xf>
    <xf numFmtId="0" fontId="30" fillId="0" borderId="17" xfId="3" applyFont="1" applyBorder="1" applyAlignment="1">
      <alignment horizontal="left" vertical="center" wrapText="1"/>
    </xf>
    <xf numFmtId="0" fontId="30" fillId="0" borderId="0" xfId="3" applyFont="1" applyAlignment="1">
      <alignment horizontal="left" vertical="center" wrapText="1" shrinkToFi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3" fillId="0" borderId="12" xfId="0" applyFont="1" applyBorder="1" applyAlignment="1">
      <alignment horizontal="center" vertical="center"/>
    </xf>
    <xf numFmtId="0" fontId="29"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3" fillId="0" borderId="0" xfId="0" applyFont="1" applyAlignment="1">
      <alignment horizontal="left" vertical="center" wrapTex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9" fillId="0" borderId="17" xfId="3" applyFont="1" applyFill="1" applyBorder="1" applyAlignment="1">
      <alignment horizontal="center" vertical="center" wrapText="1"/>
    </xf>
    <xf numFmtId="0" fontId="29" fillId="0" borderId="17"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41" xfId="3" applyFont="1" applyFill="1" applyBorder="1" applyAlignment="1">
      <alignment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9" fillId="0" borderId="43"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29" fillId="0" borderId="61" xfId="3" applyFont="1" applyFill="1" applyBorder="1" applyAlignment="1">
      <alignment vertical="center"/>
    </xf>
    <xf numFmtId="0" fontId="29" fillId="0" borderId="3" xfId="3" applyFont="1" applyFill="1" applyBorder="1" applyAlignment="1">
      <alignment vertical="center"/>
    </xf>
    <xf numFmtId="0" fontId="3" fillId="0" borderId="3" xfId="0" applyFont="1" applyBorder="1" applyAlignment="1">
      <alignment vertical="center"/>
    </xf>
    <xf numFmtId="0" fontId="29" fillId="0" borderId="57"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12" xfId="3" applyFont="1" applyFill="1" applyBorder="1" applyAlignment="1">
      <alignment vertical="center"/>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38" xfId="3" applyFont="1" applyFill="1" applyBorder="1" applyAlignment="1">
      <alignment horizontal="center"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6" fillId="0" borderId="0" xfId="3" applyFont="1" applyAlignment="1">
      <alignment horizontal="lef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13" fillId="0" borderId="0" xfId="3" applyFont="1" applyFill="1" applyAlignment="1">
      <alignment horizontal="center" vertical="center"/>
    </xf>
    <xf numFmtId="0" fontId="29" fillId="0" borderId="87" xfId="3" applyFont="1" applyFill="1" applyBorder="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92" xfId="3" applyFont="1" applyFill="1" applyBorder="1" applyAlignment="1">
      <alignment horizontal="center" vertical="center"/>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9" xfId="3" applyFont="1" applyBorder="1" applyAlignment="1">
      <alignment horizontal="center" vertical="center"/>
    </xf>
    <xf numFmtId="0" fontId="29" fillId="0" borderId="15" xfId="3" applyFont="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8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60" fillId="0" borderId="1" xfId="0" applyFont="1" applyBorder="1" applyAlignment="1">
      <alignment horizontal="center"/>
    </xf>
    <xf numFmtId="0" fontId="60" fillId="0" borderId="0" xfId="0" applyFont="1" applyBorder="1" applyAlignment="1">
      <alignment horizontal="center"/>
    </xf>
    <xf numFmtId="0" fontId="60" fillId="0" borderId="2" xfId="0" applyFont="1" applyBorder="1" applyAlignment="1">
      <alignment horizontal="center"/>
    </xf>
  </cellXfs>
  <cellStyles count="7">
    <cellStyle name="ハイパーリンク" xfId="6" builtinId="8"/>
    <cellStyle name="標準" xfId="0" builtinId="0"/>
    <cellStyle name="標準 2" xfId="1" xr:uid="{00000000-0005-0000-0000-000002000000}"/>
    <cellStyle name="標準 3" xfId="2" xr:uid="{00000000-0005-0000-0000-000003000000}"/>
    <cellStyle name="標準 4" xfId="4" xr:uid="{00000000-0005-0000-0000-000004000000}"/>
    <cellStyle name="標準_1237372486_733516_3880_11722_misc" xfId="5" xr:uid="{00000000-0005-0000-0000-000005000000}"/>
    <cellStyle name="標準_③-２加算様式（就労）" xfId="3"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136070</xdr:rowOff>
    </xdr:from>
    <xdr:to>
      <xdr:col>18</xdr:col>
      <xdr:colOff>122464</xdr:colOff>
      <xdr:row>33</xdr:row>
      <xdr:rowOff>140857</xdr:rowOff>
    </xdr:to>
    <xdr:pic>
      <xdr:nvPicPr>
        <xdr:cNvPr id="2" name="図 1">
          <a:extLst>
            <a:ext uri="{FF2B5EF4-FFF2-40B4-BE49-F238E27FC236}">
              <a16:creationId xmlns:a16="http://schemas.microsoft.com/office/drawing/2014/main" id="{67C01016-60DD-47B9-B262-95C7915D01A2}"/>
            </a:ext>
          </a:extLst>
        </xdr:cNvPr>
        <xdr:cNvPicPr>
          <a:picLocks noChangeAspect="1"/>
        </xdr:cNvPicPr>
      </xdr:nvPicPr>
      <xdr:blipFill>
        <a:blip xmlns:r="http://schemas.openxmlformats.org/officeDocument/2006/relationships" r:embed="rId1"/>
        <a:stretch>
          <a:fillRect/>
        </a:stretch>
      </xdr:blipFill>
      <xdr:spPr>
        <a:xfrm>
          <a:off x="0" y="1336220"/>
          <a:ext cx="6351814" cy="8977337"/>
        </a:xfrm>
        <a:prstGeom prst="rect">
          <a:avLst/>
        </a:prstGeom>
      </xdr:spPr>
    </xdr:pic>
    <xdr:clientData/>
  </xdr:twoCellAnchor>
  <xdr:twoCellAnchor>
    <xdr:from>
      <xdr:col>11</xdr:col>
      <xdr:colOff>168613</xdr:colOff>
      <xdr:row>15</xdr:row>
      <xdr:rowOff>176892</xdr:rowOff>
    </xdr:from>
    <xdr:to>
      <xdr:col>14</xdr:col>
      <xdr:colOff>217714</xdr:colOff>
      <xdr:row>18</xdr:row>
      <xdr:rowOff>95249</xdr:rowOff>
    </xdr:to>
    <xdr:grpSp>
      <xdr:nvGrpSpPr>
        <xdr:cNvPr id="3" name="グループ化 2">
          <a:extLst>
            <a:ext uri="{FF2B5EF4-FFF2-40B4-BE49-F238E27FC236}">
              <a16:creationId xmlns:a16="http://schemas.microsoft.com/office/drawing/2014/main" id="{FED7F20E-81D8-404C-BDF5-2E78FBB18553}"/>
            </a:ext>
          </a:extLst>
        </xdr:cNvPr>
        <xdr:cNvGrpSpPr/>
      </xdr:nvGrpSpPr>
      <xdr:grpSpPr>
        <a:xfrm>
          <a:off x="4060256" y="3510642"/>
          <a:ext cx="1110458" cy="530678"/>
          <a:chOff x="7633607" y="2612571"/>
          <a:chExt cx="928745" cy="530679"/>
        </a:xfrm>
      </xdr:grpSpPr>
      <xdr:sp macro="" textlink="">
        <xdr:nvSpPr>
          <xdr:cNvPr id="4" name="テキスト ボックス 3">
            <a:extLst>
              <a:ext uri="{FF2B5EF4-FFF2-40B4-BE49-F238E27FC236}">
                <a16:creationId xmlns:a16="http://schemas.microsoft.com/office/drawing/2014/main" id="{A50B7CFE-1B70-4FB7-A0BE-731C1548D721}"/>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5" name="直線矢印コネクタ 4">
            <a:extLst>
              <a:ext uri="{FF2B5EF4-FFF2-40B4-BE49-F238E27FC236}">
                <a16:creationId xmlns:a16="http://schemas.microsoft.com/office/drawing/2014/main" id="{319DB529-E28F-44CA-A026-9441B03300BE}"/>
              </a:ext>
            </a:extLst>
          </xdr:cNvPr>
          <xdr:cNvCxnSpPr/>
        </xdr:nvCxnSpPr>
        <xdr:spPr>
          <a:xfrm>
            <a:off x="8160575" y="2884714"/>
            <a:ext cx="401777"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6" name="グループ化 5">
          <a:extLst>
            <a:ext uri="{FF2B5EF4-FFF2-40B4-BE49-F238E27FC236}">
              <a16:creationId xmlns:a16="http://schemas.microsoft.com/office/drawing/2014/main" id="{157DF313-921C-4268-858D-9240A5721F80}"/>
            </a:ext>
          </a:extLst>
        </xdr:cNvPr>
        <xdr:cNvGrpSpPr/>
      </xdr:nvGrpSpPr>
      <xdr:grpSpPr>
        <a:xfrm>
          <a:off x="2598965" y="4234543"/>
          <a:ext cx="1118507" cy="530679"/>
          <a:chOff x="7113814" y="2612571"/>
          <a:chExt cx="1118507" cy="530679"/>
        </a:xfrm>
      </xdr:grpSpPr>
      <xdr:sp macro="" textlink="">
        <xdr:nvSpPr>
          <xdr:cNvPr id="7" name="テキスト ボックス 6">
            <a:extLst>
              <a:ext uri="{FF2B5EF4-FFF2-40B4-BE49-F238E27FC236}">
                <a16:creationId xmlns:a16="http://schemas.microsoft.com/office/drawing/2014/main" id="{FA472BBD-9F66-4C76-9500-779945C54CD9}"/>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8" name="直線矢印コネクタ 7">
            <a:extLst>
              <a:ext uri="{FF2B5EF4-FFF2-40B4-BE49-F238E27FC236}">
                <a16:creationId xmlns:a16="http://schemas.microsoft.com/office/drawing/2014/main" id="{C50420BD-C3BA-46E6-B60E-C9779A23D1A3}"/>
              </a:ext>
            </a:extLst>
          </xdr:cNvPr>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9" name="グループ化 8">
          <a:extLst>
            <a:ext uri="{FF2B5EF4-FFF2-40B4-BE49-F238E27FC236}">
              <a16:creationId xmlns:a16="http://schemas.microsoft.com/office/drawing/2014/main" id="{F8EE486C-E9F6-47F6-BAC0-9C5F85B81178}"/>
            </a:ext>
          </a:extLst>
        </xdr:cNvPr>
        <xdr:cNvGrpSpPr/>
      </xdr:nvGrpSpPr>
      <xdr:grpSpPr>
        <a:xfrm>
          <a:off x="3034393" y="3442607"/>
          <a:ext cx="862693" cy="549728"/>
          <a:chOff x="7369628" y="2593521"/>
          <a:chExt cx="862693" cy="549729"/>
        </a:xfrm>
      </xdr:grpSpPr>
      <xdr:sp macro="" textlink="">
        <xdr:nvSpPr>
          <xdr:cNvPr id="10" name="テキスト ボックス 9">
            <a:extLst>
              <a:ext uri="{FF2B5EF4-FFF2-40B4-BE49-F238E27FC236}">
                <a16:creationId xmlns:a16="http://schemas.microsoft.com/office/drawing/2014/main" id="{C52B883E-3E44-4BE9-A60F-760D32217B9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1" name="直線矢印コネクタ 10">
            <a:extLst>
              <a:ext uri="{FF2B5EF4-FFF2-40B4-BE49-F238E27FC236}">
                <a16:creationId xmlns:a16="http://schemas.microsoft.com/office/drawing/2014/main" id="{2190E399-B163-4A45-B42C-2CC91066F5B7}"/>
              </a:ext>
            </a:extLst>
          </xdr:cNvPr>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12" name="グループ化 11">
          <a:extLst>
            <a:ext uri="{FF2B5EF4-FFF2-40B4-BE49-F238E27FC236}">
              <a16:creationId xmlns:a16="http://schemas.microsoft.com/office/drawing/2014/main" id="{1416EB5B-D60D-4BAF-9663-CB9242F7C4C2}"/>
            </a:ext>
          </a:extLst>
        </xdr:cNvPr>
        <xdr:cNvGrpSpPr/>
      </xdr:nvGrpSpPr>
      <xdr:grpSpPr>
        <a:xfrm>
          <a:off x="1592035" y="2177143"/>
          <a:ext cx="802822" cy="693964"/>
          <a:chOff x="7633607" y="2612571"/>
          <a:chExt cx="802822" cy="693964"/>
        </a:xfrm>
      </xdr:grpSpPr>
      <xdr:sp macro="" textlink="">
        <xdr:nvSpPr>
          <xdr:cNvPr id="13" name="テキスト ボックス 12">
            <a:extLst>
              <a:ext uri="{FF2B5EF4-FFF2-40B4-BE49-F238E27FC236}">
                <a16:creationId xmlns:a16="http://schemas.microsoft.com/office/drawing/2014/main" id="{172474E3-C2DA-4316-A3BF-36A2BF503B0E}"/>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14" name="直線矢印コネクタ 13">
            <a:extLst>
              <a:ext uri="{FF2B5EF4-FFF2-40B4-BE49-F238E27FC236}">
                <a16:creationId xmlns:a16="http://schemas.microsoft.com/office/drawing/2014/main" id="{16F1C322-1BB8-42D9-BCFE-E1D21965CDB2}"/>
              </a:ext>
            </a:extLst>
          </xdr:cNvPr>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15" name="グループ化 14">
          <a:extLst>
            <a:ext uri="{FF2B5EF4-FFF2-40B4-BE49-F238E27FC236}">
              <a16:creationId xmlns:a16="http://schemas.microsoft.com/office/drawing/2014/main" id="{FBCB835F-60B5-476C-9476-B7E116A30FE0}"/>
            </a:ext>
          </a:extLst>
        </xdr:cNvPr>
        <xdr:cNvGrpSpPr/>
      </xdr:nvGrpSpPr>
      <xdr:grpSpPr>
        <a:xfrm>
          <a:off x="3211286" y="1877785"/>
          <a:ext cx="680357" cy="843644"/>
          <a:chOff x="7551964" y="2612571"/>
          <a:chExt cx="680357" cy="843644"/>
        </a:xfrm>
      </xdr:grpSpPr>
      <xdr:sp macro="" textlink="">
        <xdr:nvSpPr>
          <xdr:cNvPr id="16" name="テキスト ボックス 15">
            <a:extLst>
              <a:ext uri="{FF2B5EF4-FFF2-40B4-BE49-F238E27FC236}">
                <a16:creationId xmlns:a16="http://schemas.microsoft.com/office/drawing/2014/main" id="{CB609F21-0D75-4413-AFD0-2AAB6AC39842}"/>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17" name="直線矢印コネクタ 16">
            <a:extLst>
              <a:ext uri="{FF2B5EF4-FFF2-40B4-BE49-F238E27FC236}">
                <a16:creationId xmlns:a16="http://schemas.microsoft.com/office/drawing/2014/main" id="{B16E3906-9C77-42E0-B845-D7030880EF08}"/>
              </a:ext>
            </a:extLst>
          </xdr:cNvPr>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18" name="グループ化 17">
          <a:extLst>
            <a:ext uri="{FF2B5EF4-FFF2-40B4-BE49-F238E27FC236}">
              <a16:creationId xmlns:a16="http://schemas.microsoft.com/office/drawing/2014/main" id="{7D5A6EBA-1B0A-48F7-BECE-0F1858F044D7}"/>
            </a:ext>
          </a:extLst>
        </xdr:cNvPr>
        <xdr:cNvGrpSpPr/>
      </xdr:nvGrpSpPr>
      <xdr:grpSpPr>
        <a:xfrm>
          <a:off x="1660072" y="3415393"/>
          <a:ext cx="775607" cy="707571"/>
          <a:chOff x="7633607" y="2435678"/>
          <a:chExt cx="775607" cy="707572"/>
        </a:xfrm>
      </xdr:grpSpPr>
      <xdr:sp macro="" textlink="">
        <xdr:nvSpPr>
          <xdr:cNvPr id="19" name="テキスト ボックス 18">
            <a:extLst>
              <a:ext uri="{FF2B5EF4-FFF2-40B4-BE49-F238E27FC236}">
                <a16:creationId xmlns:a16="http://schemas.microsoft.com/office/drawing/2014/main" id="{D83A900E-E1F2-4AD1-85CD-A4C6FD3D77A8}"/>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0" name="直線矢印コネクタ 19">
            <a:extLst>
              <a:ext uri="{FF2B5EF4-FFF2-40B4-BE49-F238E27FC236}">
                <a16:creationId xmlns:a16="http://schemas.microsoft.com/office/drawing/2014/main" id="{0F6EA037-0B61-482B-9359-BC586EBA8806}"/>
              </a:ext>
            </a:extLst>
          </xdr:cNvPr>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190500</xdr:colOff>
      <xdr:row>23</xdr:row>
      <xdr:rowOff>149679</xdr:rowOff>
    </xdr:from>
    <xdr:to>
      <xdr:col>3</xdr:col>
      <xdr:colOff>176893</xdr:colOff>
      <xdr:row>26</xdr:row>
      <xdr:rowOff>176893</xdr:rowOff>
    </xdr:to>
    <xdr:grpSp>
      <xdr:nvGrpSpPr>
        <xdr:cNvPr id="21" name="グループ化 20">
          <a:extLst>
            <a:ext uri="{FF2B5EF4-FFF2-40B4-BE49-F238E27FC236}">
              <a16:creationId xmlns:a16="http://schemas.microsoft.com/office/drawing/2014/main" id="{71B6F436-DB12-4FA2-9370-C8C73C925578}"/>
            </a:ext>
          </a:extLst>
        </xdr:cNvPr>
        <xdr:cNvGrpSpPr/>
      </xdr:nvGrpSpPr>
      <xdr:grpSpPr>
        <a:xfrm>
          <a:off x="190500" y="5116286"/>
          <a:ext cx="1047750" cy="639536"/>
          <a:chOff x="7728857" y="2422071"/>
          <a:chExt cx="1047750" cy="639535"/>
        </a:xfrm>
      </xdr:grpSpPr>
      <xdr:sp macro="" textlink="">
        <xdr:nvSpPr>
          <xdr:cNvPr id="22" name="テキスト ボックス 21">
            <a:extLst>
              <a:ext uri="{FF2B5EF4-FFF2-40B4-BE49-F238E27FC236}">
                <a16:creationId xmlns:a16="http://schemas.microsoft.com/office/drawing/2014/main" id="{F7B7E20B-B2BA-4548-937D-5D55874DB514}"/>
              </a:ext>
            </a:extLst>
          </xdr:cNvPr>
          <xdr:cNvSpPr txBox="1"/>
        </xdr:nvSpPr>
        <xdr:spPr>
          <a:xfrm>
            <a:off x="7728857" y="24220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23" name="直線矢印コネクタ 22">
            <a:extLst>
              <a:ext uri="{FF2B5EF4-FFF2-40B4-BE49-F238E27FC236}">
                <a16:creationId xmlns:a16="http://schemas.microsoft.com/office/drawing/2014/main" id="{457378D4-EA1B-42BB-A662-F7B63A6D54E0}"/>
              </a:ext>
            </a:extLst>
          </xdr:cNvPr>
          <xdr:cNvCxnSpPr/>
        </xdr:nvCxnSpPr>
        <xdr:spPr>
          <a:xfrm>
            <a:off x="8245928" y="2735036"/>
            <a:ext cx="530679" cy="3265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58964</xdr:colOff>
      <xdr:row>25</xdr:row>
      <xdr:rowOff>13608</xdr:rowOff>
    </xdr:from>
    <xdr:to>
      <xdr:col>11</xdr:col>
      <xdr:colOff>45357</xdr:colOff>
      <xdr:row>27</xdr:row>
      <xdr:rowOff>136072</xdr:rowOff>
    </xdr:to>
    <xdr:grpSp>
      <xdr:nvGrpSpPr>
        <xdr:cNvPr id="24" name="グループ化 23">
          <a:extLst>
            <a:ext uri="{FF2B5EF4-FFF2-40B4-BE49-F238E27FC236}">
              <a16:creationId xmlns:a16="http://schemas.microsoft.com/office/drawing/2014/main" id="{F879D23B-CBBC-428F-99E0-8BC9E9D6A29E}"/>
            </a:ext>
          </a:extLst>
        </xdr:cNvPr>
        <xdr:cNvGrpSpPr/>
      </xdr:nvGrpSpPr>
      <xdr:grpSpPr>
        <a:xfrm>
          <a:off x="2889250" y="5388429"/>
          <a:ext cx="1047750" cy="530679"/>
          <a:chOff x="7184571" y="2612571"/>
          <a:chExt cx="1047750" cy="530679"/>
        </a:xfrm>
      </xdr:grpSpPr>
      <xdr:sp macro="" textlink="">
        <xdr:nvSpPr>
          <xdr:cNvPr id="25" name="テキスト ボックス 24">
            <a:extLst>
              <a:ext uri="{FF2B5EF4-FFF2-40B4-BE49-F238E27FC236}">
                <a16:creationId xmlns:a16="http://schemas.microsoft.com/office/drawing/2014/main" id="{78716225-1C86-4579-B627-B617F6DF41C7}"/>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26" name="直線矢印コネクタ 25">
            <a:extLst>
              <a:ext uri="{FF2B5EF4-FFF2-40B4-BE49-F238E27FC236}">
                <a16:creationId xmlns:a16="http://schemas.microsoft.com/office/drawing/2014/main" id="{E3317EA6-9E5C-4B2E-A139-8D43F2A608E4}"/>
              </a:ext>
            </a:extLst>
          </xdr:cNvPr>
          <xdr:cNvCxnSpPr>
            <a:stCxn id="25"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xdr:colOff>
      <xdr:row>28</xdr:row>
      <xdr:rowOff>13608</xdr:rowOff>
    </xdr:from>
    <xdr:to>
      <xdr:col>11</xdr:col>
      <xdr:colOff>163285</xdr:colOff>
      <xdr:row>31</xdr:row>
      <xdr:rowOff>13607</xdr:rowOff>
    </xdr:to>
    <xdr:grpSp>
      <xdr:nvGrpSpPr>
        <xdr:cNvPr id="27" name="グループ化 26">
          <a:extLst>
            <a:ext uri="{FF2B5EF4-FFF2-40B4-BE49-F238E27FC236}">
              <a16:creationId xmlns:a16="http://schemas.microsoft.com/office/drawing/2014/main" id="{D2D03DBF-C312-46E1-9806-C736D8DEF862}"/>
            </a:ext>
          </a:extLst>
        </xdr:cNvPr>
        <xdr:cNvGrpSpPr/>
      </xdr:nvGrpSpPr>
      <xdr:grpSpPr>
        <a:xfrm>
          <a:off x="3211285" y="6000751"/>
          <a:ext cx="843643" cy="612320"/>
          <a:chOff x="7388678" y="2612571"/>
          <a:chExt cx="843643" cy="612321"/>
        </a:xfrm>
      </xdr:grpSpPr>
      <xdr:sp macro="" textlink="">
        <xdr:nvSpPr>
          <xdr:cNvPr id="28" name="テキスト ボックス 27">
            <a:extLst>
              <a:ext uri="{FF2B5EF4-FFF2-40B4-BE49-F238E27FC236}">
                <a16:creationId xmlns:a16="http://schemas.microsoft.com/office/drawing/2014/main" id="{9739BE14-01F1-4156-9EA7-D583D716DD8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29" name="直線矢印コネクタ 28">
            <a:extLst>
              <a:ext uri="{FF2B5EF4-FFF2-40B4-BE49-F238E27FC236}">
                <a16:creationId xmlns:a16="http://schemas.microsoft.com/office/drawing/2014/main" id="{0554A8B7-E97D-4403-87C2-C6515C2E8FF4}"/>
              </a:ext>
            </a:extLst>
          </xdr:cNvPr>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0" name="グループ化 29">
          <a:extLst>
            <a:ext uri="{FF2B5EF4-FFF2-40B4-BE49-F238E27FC236}">
              <a16:creationId xmlns:a16="http://schemas.microsoft.com/office/drawing/2014/main" id="{8580D1A1-7CC8-4ADF-A655-1EF08F2FEA31}"/>
            </a:ext>
          </a:extLst>
        </xdr:cNvPr>
        <xdr:cNvGrpSpPr/>
      </xdr:nvGrpSpPr>
      <xdr:grpSpPr>
        <a:xfrm>
          <a:off x="3007179" y="8300357"/>
          <a:ext cx="911676" cy="530679"/>
          <a:chOff x="7320645" y="2612571"/>
          <a:chExt cx="911676" cy="530679"/>
        </a:xfrm>
      </xdr:grpSpPr>
      <xdr:sp macro="" textlink="">
        <xdr:nvSpPr>
          <xdr:cNvPr id="31" name="テキスト ボックス 30">
            <a:extLst>
              <a:ext uri="{FF2B5EF4-FFF2-40B4-BE49-F238E27FC236}">
                <a16:creationId xmlns:a16="http://schemas.microsoft.com/office/drawing/2014/main" id="{5CDC9137-A817-4E45-B76C-BAF3AD76E6C5}"/>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32" name="直線矢印コネクタ 31">
            <a:extLst>
              <a:ext uri="{FF2B5EF4-FFF2-40B4-BE49-F238E27FC236}">
                <a16:creationId xmlns:a16="http://schemas.microsoft.com/office/drawing/2014/main" id="{484A416D-E928-4CCE-8E2F-30CCE55F46CA}"/>
              </a:ext>
            </a:extLst>
          </xdr:cNvPr>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272143</xdr:colOff>
      <xdr:row>24</xdr:row>
      <xdr:rowOff>95252</xdr:rowOff>
    </xdr:from>
    <xdr:to>
      <xdr:col>6</xdr:col>
      <xdr:colOff>136069</xdr:colOff>
      <xdr:row>28</xdr:row>
      <xdr:rowOff>163285</xdr:rowOff>
    </xdr:to>
    <xdr:grpSp>
      <xdr:nvGrpSpPr>
        <xdr:cNvPr id="33" name="グループ化 32">
          <a:extLst>
            <a:ext uri="{FF2B5EF4-FFF2-40B4-BE49-F238E27FC236}">
              <a16:creationId xmlns:a16="http://schemas.microsoft.com/office/drawing/2014/main" id="{80A5511A-0FAD-465B-82B2-4201A305DDBD}"/>
            </a:ext>
          </a:extLst>
        </xdr:cNvPr>
        <xdr:cNvGrpSpPr/>
      </xdr:nvGrpSpPr>
      <xdr:grpSpPr>
        <a:xfrm>
          <a:off x="1333500" y="5265966"/>
          <a:ext cx="925283" cy="884462"/>
          <a:chOff x="7307038" y="2612571"/>
          <a:chExt cx="925283" cy="884463"/>
        </a:xfrm>
      </xdr:grpSpPr>
      <xdr:sp macro="" textlink="">
        <xdr:nvSpPr>
          <xdr:cNvPr id="34" name="テキスト ボックス 33">
            <a:extLst>
              <a:ext uri="{FF2B5EF4-FFF2-40B4-BE49-F238E27FC236}">
                <a16:creationId xmlns:a16="http://schemas.microsoft.com/office/drawing/2014/main" id="{6EA5E2A6-3BD0-4BF5-8C07-D228DA259DF3}"/>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35" name="直線矢印コネクタ 34">
            <a:extLst>
              <a:ext uri="{FF2B5EF4-FFF2-40B4-BE49-F238E27FC236}">
                <a16:creationId xmlns:a16="http://schemas.microsoft.com/office/drawing/2014/main" id="{AEA5D60F-A9B8-4F19-905D-82ACF3DA9CC8}"/>
              </a:ext>
            </a:extLst>
          </xdr:cNvPr>
          <xdr:cNvCxnSpPr/>
        </xdr:nvCxnSpPr>
        <xdr:spPr>
          <a:xfrm flipH="1">
            <a:off x="7307038" y="3129642"/>
            <a:ext cx="462641"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36" name="グループ化 35">
          <a:extLst>
            <a:ext uri="{FF2B5EF4-FFF2-40B4-BE49-F238E27FC236}">
              <a16:creationId xmlns:a16="http://schemas.microsoft.com/office/drawing/2014/main" id="{402E14AF-86A1-45CF-9046-0B9784F6A6A9}"/>
            </a:ext>
          </a:extLst>
        </xdr:cNvPr>
        <xdr:cNvGrpSpPr/>
      </xdr:nvGrpSpPr>
      <xdr:grpSpPr>
        <a:xfrm>
          <a:off x="775607" y="3864429"/>
          <a:ext cx="653143" cy="952501"/>
          <a:chOff x="7579178" y="2190749"/>
          <a:chExt cx="653143" cy="952501"/>
        </a:xfrm>
      </xdr:grpSpPr>
      <xdr:sp macro="" textlink="">
        <xdr:nvSpPr>
          <xdr:cNvPr id="37" name="テキスト ボックス 36">
            <a:extLst>
              <a:ext uri="{FF2B5EF4-FFF2-40B4-BE49-F238E27FC236}">
                <a16:creationId xmlns:a16="http://schemas.microsoft.com/office/drawing/2014/main" id="{EDFD31A1-7474-4FB6-AE8A-5B68DDF4CC7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38" name="直線矢印コネクタ 37">
            <a:extLst>
              <a:ext uri="{FF2B5EF4-FFF2-40B4-BE49-F238E27FC236}">
                <a16:creationId xmlns:a16="http://schemas.microsoft.com/office/drawing/2014/main" id="{347D581F-58C3-4B1A-8445-63B7FEE83CB1}"/>
              </a:ext>
            </a:extLst>
          </xdr:cNvPr>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39" name="グループ化 38">
          <a:extLst>
            <a:ext uri="{FF2B5EF4-FFF2-40B4-BE49-F238E27FC236}">
              <a16:creationId xmlns:a16="http://schemas.microsoft.com/office/drawing/2014/main" id="{EB641A98-E540-41EC-8A27-799365527313}"/>
            </a:ext>
          </a:extLst>
        </xdr:cNvPr>
        <xdr:cNvGrpSpPr/>
      </xdr:nvGrpSpPr>
      <xdr:grpSpPr>
        <a:xfrm>
          <a:off x="149680" y="1891394"/>
          <a:ext cx="1156606" cy="925285"/>
          <a:chOff x="7361466" y="2612571"/>
          <a:chExt cx="1156606" cy="925285"/>
        </a:xfrm>
      </xdr:grpSpPr>
      <xdr:sp macro="" textlink="">
        <xdr:nvSpPr>
          <xdr:cNvPr id="40" name="テキスト ボックス 39">
            <a:extLst>
              <a:ext uri="{FF2B5EF4-FFF2-40B4-BE49-F238E27FC236}">
                <a16:creationId xmlns:a16="http://schemas.microsoft.com/office/drawing/2014/main" id="{0868531E-A00D-4D15-8D11-F7384022B169}"/>
              </a:ext>
            </a:extLst>
          </xdr:cNvPr>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41" name="直線矢印コネクタ 40">
            <a:extLst>
              <a:ext uri="{FF2B5EF4-FFF2-40B4-BE49-F238E27FC236}">
                <a16:creationId xmlns:a16="http://schemas.microsoft.com/office/drawing/2014/main" id="{5F8A654A-321B-4CBA-88BC-9A1850B0A117}"/>
              </a:ext>
            </a:extLst>
          </xdr:cNvPr>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231321</xdr:colOff>
      <xdr:row>15</xdr:row>
      <xdr:rowOff>149681</xdr:rowOff>
    </xdr:from>
    <xdr:to>
      <xdr:col>19</xdr:col>
      <xdr:colOff>68035</xdr:colOff>
      <xdr:row>18</xdr:row>
      <xdr:rowOff>191002</xdr:rowOff>
    </xdr:to>
    <xdr:grpSp>
      <xdr:nvGrpSpPr>
        <xdr:cNvPr id="42" name="グループ化 41">
          <a:extLst>
            <a:ext uri="{FF2B5EF4-FFF2-40B4-BE49-F238E27FC236}">
              <a16:creationId xmlns:a16="http://schemas.microsoft.com/office/drawing/2014/main" id="{2FC8EB4F-C048-4CF7-8228-B196BF0FF9BF}"/>
            </a:ext>
          </a:extLst>
        </xdr:cNvPr>
        <xdr:cNvGrpSpPr/>
      </xdr:nvGrpSpPr>
      <xdr:grpSpPr>
        <a:xfrm>
          <a:off x="5538107" y="3483431"/>
          <a:ext cx="1156607" cy="653642"/>
          <a:chOff x="7075714" y="2612571"/>
          <a:chExt cx="1156607" cy="530679"/>
        </a:xfrm>
      </xdr:grpSpPr>
      <xdr:sp macro="" textlink="">
        <xdr:nvSpPr>
          <xdr:cNvPr id="43" name="テキスト ボックス 42">
            <a:extLst>
              <a:ext uri="{FF2B5EF4-FFF2-40B4-BE49-F238E27FC236}">
                <a16:creationId xmlns:a16="http://schemas.microsoft.com/office/drawing/2014/main" id="{D5649E99-0CEF-4185-9BC0-A90448B44F46}"/>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A</a:t>
            </a:r>
            <a:endParaRPr kumimoji="1" lang="ja-JP" altLang="en-US" sz="4000"/>
          </a:p>
        </xdr:txBody>
      </xdr:sp>
      <xdr:cxnSp macro="">
        <xdr:nvCxnSpPr>
          <xdr:cNvPr id="44" name="直線矢印コネクタ 43">
            <a:extLst>
              <a:ext uri="{FF2B5EF4-FFF2-40B4-BE49-F238E27FC236}">
                <a16:creationId xmlns:a16="http://schemas.microsoft.com/office/drawing/2014/main" id="{08ECE1D7-B7C0-4806-9CE0-CE271A319993}"/>
              </a:ext>
            </a:extLst>
          </xdr:cNvPr>
          <xdr:cNvCxnSpPr/>
        </xdr:nvCxnSpPr>
        <xdr:spPr>
          <a:xfrm flipH="1">
            <a:off x="7075714" y="2878112"/>
            <a:ext cx="544286" cy="220543"/>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45" name="グループ化 44">
          <a:extLst>
            <a:ext uri="{FF2B5EF4-FFF2-40B4-BE49-F238E27FC236}">
              <a16:creationId xmlns:a16="http://schemas.microsoft.com/office/drawing/2014/main" id="{99ADADF9-E3E8-4C91-A245-3D75F1022EC0}"/>
            </a:ext>
          </a:extLst>
        </xdr:cNvPr>
        <xdr:cNvGrpSpPr/>
      </xdr:nvGrpSpPr>
      <xdr:grpSpPr>
        <a:xfrm>
          <a:off x="8667750" y="830036"/>
          <a:ext cx="598714" cy="1374322"/>
          <a:chOff x="7633607" y="2612571"/>
          <a:chExt cx="598714" cy="1115786"/>
        </a:xfrm>
      </xdr:grpSpPr>
      <xdr:sp macro="" textlink="">
        <xdr:nvSpPr>
          <xdr:cNvPr id="46" name="テキスト ボックス 45">
            <a:extLst>
              <a:ext uri="{FF2B5EF4-FFF2-40B4-BE49-F238E27FC236}">
                <a16:creationId xmlns:a16="http://schemas.microsoft.com/office/drawing/2014/main" id="{50B32921-C831-41B9-9AD1-B8C48B935955}"/>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47" name="直線矢印コネクタ 46">
            <a:extLst>
              <a:ext uri="{FF2B5EF4-FFF2-40B4-BE49-F238E27FC236}">
                <a16:creationId xmlns:a16="http://schemas.microsoft.com/office/drawing/2014/main" id="{AA5C09C9-2D0D-4BC3-8517-BDAEE0C304AC}"/>
              </a:ext>
            </a:extLst>
          </xdr:cNvPr>
          <xdr:cNvCxnSpPr>
            <a:stCxn id="46"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48" name="グループ化 47">
          <a:extLst>
            <a:ext uri="{FF2B5EF4-FFF2-40B4-BE49-F238E27FC236}">
              <a16:creationId xmlns:a16="http://schemas.microsoft.com/office/drawing/2014/main" id="{88CA08E0-22B8-42D4-945C-87BA5156E974}"/>
            </a:ext>
          </a:extLst>
        </xdr:cNvPr>
        <xdr:cNvGrpSpPr/>
      </xdr:nvGrpSpPr>
      <xdr:grpSpPr>
        <a:xfrm>
          <a:off x="9348107" y="830036"/>
          <a:ext cx="598714" cy="1374322"/>
          <a:chOff x="7633607" y="2612571"/>
          <a:chExt cx="598714" cy="1115786"/>
        </a:xfrm>
      </xdr:grpSpPr>
      <xdr:sp macro="" textlink="">
        <xdr:nvSpPr>
          <xdr:cNvPr id="49" name="テキスト ボックス 48">
            <a:extLst>
              <a:ext uri="{FF2B5EF4-FFF2-40B4-BE49-F238E27FC236}">
                <a16:creationId xmlns:a16="http://schemas.microsoft.com/office/drawing/2014/main" id="{3FAE968B-9E4A-4F38-B9AB-A1D10FBBCDA2}"/>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0" name="直線矢印コネクタ 49">
            <a:extLst>
              <a:ext uri="{FF2B5EF4-FFF2-40B4-BE49-F238E27FC236}">
                <a16:creationId xmlns:a16="http://schemas.microsoft.com/office/drawing/2014/main" id="{233C84FD-30BE-4D58-A3AE-ED2990D4B6CD}"/>
              </a:ext>
            </a:extLst>
          </xdr:cNvPr>
          <xdr:cNvCxnSpPr>
            <a:stCxn id="4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51" name="グループ化 50">
          <a:extLst>
            <a:ext uri="{FF2B5EF4-FFF2-40B4-BE49-F238E27FC236}">
              <a16:creationId xmlns:a16="http://schemas.microsoft.com/office/drawing/2014/main" id="{13A6658C-987D-4565-8CA6-A5FB3386CCD6}"/>
            </a:ext>
          </a:extLst>
        </xdr:cNvPr>
        <xdr:cNvGrpSpPr/>
      </xdr:nvGrpSpPr>
      <xdr:grpSpPr>
        <a:xfrm>
          <a:off x="10028464" y="830036"/>
          <a:ext cx="598714" cy="1374322"/>
          <a:chOff x="7633607" y="2612571"/>
          <a:chExt cx="598714" cy="1115786"/>
        </a:xfrm>
      </xdr:grpSpPr>
      <xdr:sp macro="" textlink="">
        <xdr:nvSpPr>
          <xdr:cNvPr id="52" name="テキスト ボックス 51">
            <a:extLst>
              <a:ext uri="{FF2B5EF4-FFF2-40B4-BE49-F238E27FC236}">
                <a16:creationId xmlns:a16="http://schemas.microsoft.com/office/drawing/2014/main" id="{591C0268-7A80-4D5C-8982-4863F0369E68}"/>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3" name="直線矢印コネクタ 52">
            <a:extLst>
              <a:ext uri="{FF2B5EF4-FFF2-40B4-BE49-F238E27FC236}">
                <a16:creationId xmlns:a16="http://schemas.microsoft.com/office/drawing/2014/main" id="{B9980FB3-F7F0-41FE-A515-7E98ABC6273D}"/>
              </a:ext>
            </a:extLst>
          </xdr:cNvPr>
          <xdr:cNvCxnSpPr>
            <a:stCxn id="5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54" name="グループ化 53">
          <a:extLst>
            <a:ext uri="{FF2B5EF4-FFF2-40B4-BE49-F238E27FC236}">
              <a16:creationId xmlns:a16="http://schemas.microsoft.com/office/drawing/2014/main" id="{BC4A9982-9CB7-48A4-BDBA-16F2E0F7FE5A}"/>
            </a:ext>
          </a:extLst>
        </xdr:cNvPr>
        <xdr:cNvGrpSpPr/>
      </xdr:nvGrpSpPr>
      <xdr:grpSpPr>
        <a:xfrm>
          <a:off x="10708821" y="1034143"/>
          <a:ext cx="598714" cy="1374322"/>
          <a:chOff x="7633607" y="2612571"/>
          <a:chExt cx="598714" cy="1115786"/>
        </a:xfrm>
      </xdr:grpSpPr>
      <xdr:sp macro="" textlink="">
        <xdr:nvSpPr>
          <xdr:cNvPr id="55" name="テキスト ボックス 54">
            <a:extLst>
              <a:ext uri="{FF2B5EF4-FFF2-40B4-BE49-F238E27FC236}">
                <a16:creationId xmlns:a16="http://schemas.microsoft.com/office/drawing/2014/main" id="{0B39C015-7C56-4B13-B7ED-CF889BC6028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6" name="直線矢印コネクタ 55">
            <a:extLst>
              <a:ext uri="{FF2B5EF4-FFF2-40B4-BE49-F238E27FC236}">
                <a16:creationId xmlns:a16="http://schemas.microsoft.com/office/drawing/2014/main" id="{62DF0475-2421-4B57-A4B9-3C3335848AFE}"/>
              </a:ext>
            </a:extLst>
          </xdr:cNvPr>
          <xdr:cNvCxnSpPr>
            <a:stCxn id="5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57" name="グループ化 56">
          <a:extLst>
            <a:ext uri="{FF2B5EF4-FFF2-40B4-BE49-F238E27FC236}">
              <a16:creationId xmlns:a16="http://schemas.microsoft.com/office/drawing/2014/main" id="{CB68B350-61A1-4602-8110-172DDAD1F188}"/>
            </a:ext>
          </a:extLst>
        </xdr:cNvPr>
        <xdr:cNvGrpSpPr/>
      </xdr:nvGrpSpPr>
      <xdr:grpSpPr>
        <a:xfrm>
          <a:off x="11389179" y="830036"/>
          <a:ext cx="598714" cy="1374322"/>
          <a:chOff x="7633607" y="2612571"/>
          <a:chExt cx="598714" cy="1115786"/>
        </a:xfrm>
      </xdr:grpSpPr>
      <xdr:sp macro="" textlink="">
        <xdr:nvSpPr>
          <xdr:cNvPr id="58" name="テキスト ボックス 57">
            <a:extLst>
              <a:ext uri="{FF2B5EF4-FFF2-40B4-BE49-F238E27FC236}">
                <a16:creationId xmlns:a16="http://schemas.microsoft.com/office/drawing/2014/main" id="{0735AD4D-089F-4B88-8C06-9DBF831E81D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9" name="直線矢印コネクタ 58">
            <a:extLst>
              <a:ext uri="{FF2B5EF4-FFF2-40B4-BE49-F238E27FC236}">
                <a16:creationId xmlns:a16="http://schemas.microsoft.com/office/drawing/2014/main" id="{9AF59958-DBF0-4BC9-A826-083D9BC21E92}"/>
              </a:ext>
            </a:extLst>
          </xdr:cNvPr>
          <xdr:cNvCxnSpPr>
            <a:stCxn id="5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190501</xdr:colOff>
      <xdr:row>32</xdr:row>
      <xdr:rowOff>1020536</xdr:rowOff>
    </xdr:from>
    <xdr:to>
      <xdr:col>3</xdr:col>
      <xdr:colOff>122466</xdr:colOff>
      <xdr:row>32</xdr:row>
      <xdr:rowOff>1850572</xdr:rowOff>
    </xdr:to>
    <xdr:grpSp>
      <xdr:nvGrpSpPr>
        <xdr:cNvPr id="60" name="グループ化 59">
          <a:extLst>
            <a:ext uri="{FF2B5EF4-FFF2-40B4-BE49-F238E27FC236}">
              <a16:creationId xmlns:a16="http://schemas.microsoft.com/office/drawing/2014/main" id="{C4AE23D3-0A14-4839-ABA9-1C8A5EFC1D07}"/>
            </a:ext>
          </a:extLst>
        </xdr:cNvPr>
        <xdr:cNvGrpSpPr/>
      </xdr:nvGrpSpPr>
      <xdr:grpSpPr>
        <a:xfrm>
          <a:off x="190501" y="8014607"/>
          <a:ext cx="993322" cy="830036"/>
          <a:chOff x="6885215" y="2340428"/>
          <a:chExt cx="977038" cy="830036"/>
        </a:xfrm>
      </xdr:grpSpPr>
      <xdr:sp macro="" textlink="">
        <xdr:nvSpPr>
          <xdr:cNvPr id="61" name="テキスト ボックス 60">
            <a:extLst>
              <a:ext uri="{FF2B5EF4-FFF2-40B4-BE49-F238E27FC236}">
                <a16:creationId xmlns:a16="http://schemas.microsoft.com/office/drawing/2014/main" id="{98DAC8CF-71EE-454B-9A61-32234741323D}"/>
              </a:ext>
            </a:extLst>
          </xdr:cNvPr>
          <xdr:cNvSpPr txBox="1"/>
        </xdr:nvSpPr>
        <xdr:spPr>
          <a:xfrm>
            <a:off x="6885215" y="2639785"/>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62" name="直線矢印コネクタ 61">
            <a:extLst>
              <a:ext uri="{FF2B5EF4-FFF2-40B4-BE49-F238E27FC236}">
                <a16:creationId xmlns:a16="http://schemas.microsoft.com/office/drawing/2014/main" id="{1A95310D-AD0A-40CC-B170-3D9D51E0FCFE}"/>
              </a:ext>
            </a:extLst>
          </xdr:cNvPr>
          <xdr:cNvCxnSpPr/>
        </xdr:nvCxnSpPr>
        <xdr:spPr>
          <a:xfrm flipV="1">
            <a:off x="7326890" y="2340428"/>
            <a:ext cx="535363"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63" name="グループ化 62">
          <a:extLst>
            <a:ext uri="{FF2B5EF4-FFF2-40B4-BE49-F238E27FC236}">
              <a16:creationId xmlns:a16="http://schemas.microsoft.com/office/drawing/2014/main" id="{525ACDC5-9698-41BF-B4AD-44F66A4D87EC}"/>
            </a:ext>
          </a:extLst>
        </xdr:cNvPr>
        <xdr:cNvGrpSpPr/>
      </xdr:nvGrpSpPr>
      <xdr:grpSpPr>
        <a:xfrm>
          <a:off x="3986894" y="4816928"/>
          <a:ext cx="802820" cy="598714"/>
          <a:chOff x="7633607" y="2612571"/>
          <a:chExt cx="802820" cy="598715"/>
        </a:xfrm>
      </xdr:grpSpPr>
      <xdr:sp macro="" textlink="">
        <xdr:nvSpPr>
          <xdr:cNvPr id="64" name="テキスト ボックス 63">
            <a:extLst>
              <a:ext uri="{FF2B5EF4-FFF2-40B4-BE49-F238E27FC236}">
                <a16:creationId xmlns:a16="http://schemas.microsoft.com/office/drawing/2014/main" id="{F9981320-0F74-4FE9-88D0-3C860FC6026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65" name="直線矢印コネクタ 64">
            <a:extLst>
              <a:ext uri="{FF2B5EF4-FFF2-40B4-BE49-F238E27FC236}">
                <a16:creationId xmlns:a16="http://schemas.microsoft.com/office/drawing/2014/main" id="{549E65D5-4C99-4758-A815-10672F785CD0}"/>
              </a:ext>
            </a:extLst>
          </xdr:cNvPr>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66" name="グループ化 65">
          <a:extLst>
            <a:ext uri="{FF2B5EF4-FFF2-40B4-BE49-F238E27FC236}">
              <a16:creationId xmlns:a16="http://schemas.microsoft.com/office/drawing/2014/main" id="{3E55E76D-FB5B-4FB9-8F77-59A0201A66F5}"/>
            </a:ext>
          </a:extLst>
        </xdr:cNvPr>
        <xdr:cNvGrpSpPr/>
      </xdr:nvGrpSpPr>
      <xdr:grpSpPr>
        <a:xfrm>
          <a:off x="4912179" y="4816929"/>
          <a:ext cx="734785" cy="625927"/>
          <a:chOff x="7497536" y="2612571"/>
          <a:chExt cx="734785" cy="625928"/>
        </a:xfrm>
      </xdr:grpSpPr>
      <xdr:sp macro="" textlink="">
        <xdr:nvSpPr>
          <xdr:cNvPr id="67" name="テキスト ボックス 66">
            <a:extLst>
              <a:ext uri="{FF2B5EF4-FFF2-40B4-BE49-F238E27FC236}">
                <a16:creationId xmlns:a16="http://schemas.microsoft.com/office/drawing/2014/main" id="{C54DB160-D865-48FE-BC39-016EFF10301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68" name="直線矢印コネクタ 67">
            <a:extLst>
              <a:ext uri="{FF2B5EF4-FFF2-40B4-BE49-F238E27FC236}">
                <a16:creationId xmlns:a16="http://schemas.microsoft.com/office/drawing/2014/main" id="{4CF13320-C15C-4726-87E6-91F9A2D18C3F}"/>
              </a:ext>
            </a:extLst>
          </xdr:cNvPr>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69" name="グループ化 68">
          <a:extLst>
            <a:ext uri="{FF2B5EF4-FFF2-40B4-BE49-F238E27FC236}">
              <a16:creationId xmlns:a16="http://schemas.microsoft.com/office/drawing/2014/main" id="{3F827035-499B-470B-8997-EFD1676F7EA4}"/>
            </a:ext>
          </a:extLst>
        </xdr:cNvPr>
        <xdr:cNvGrpSpPr/>
      </xdr:nvGrpSpPr>
      <xdr:grpSpPr>
        <a:xfrm>
          <a:off x="5157107" y="5538106"/>
          <a:ext cx="938892" cy="530680"/>
          <a:chOff x="7293429" y="2462892"/>
          <a:chExt cx="938892" cy="530679"/>
        </a:xfrm>
      </xdr:grpSpPr>
      <xdr:sp macro="" textlink="">
        <xdr:nvSpPr>
          <xdr:cNvPr id="70" name="テキスト ボックス 69">
            <a:extLst>
              <a:ext uri="{FF2B5EF4-FFF2-40B4-BE49-F238E27FC236}">
                <a16:creationId xmlns:a16="http://schemas.microsoft.com/office/drawing/2014/main" id="{796B1773-FC9B-4C03-A7EB-AD1BD6782484}"/>
              </a:ext>
            </a:extLst>
          </xdr:cNvPr>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71" name="直線矢印コネクタ 70">
            <a:extLst>
              <a:ext uri="{FF2B5EF4-FFF2-40B4-BE49-F238E27FC236}">
                <a16:creationId xmlns:a16="http://schemas.microsoft.com/office/drawing/2014/main" id="{7C644399-AF03-450C-9428-F6A93FDE0E98}"/>
              </a:ext>
            </a:extLst>
          </xdr:cNvPr>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72" name="グループ化 71">
          <a:extLst>
            <a:ext uri="{FF2B5EF4-FFF2-40B4-BE49-F238E27FC236}">
              <a16:creationId xmlns:a16="http://schemas.microsoft.com/office/drawing/2014/main" id="{11AE4CCB-7E59-46D8-BE7D-E7678408A33E}"/>
            </a:ext>
          </a:extLst>
        </xdr:cNvPr>
        <xdr:cNvGrpSpPr/>
      </xdr:nvGrpSpPr>
      <xdr:grpSpPr>
        <a:xfrm>
          <a:off x="3973285" y="5551713"/>
          <a:ext cx="857251" cy="530680"/>
          <a:chOff x="7633607" y="2612571"/>
          <a:chExt cx="857251" cy="530679"/>
        </a:xfrm>
      </xdr:grpSpPr>
      <xdr:sp macro="" textlink="">
        <xdr:nvSpPr>
          <xdr:cNvPr id="73" name="テキスト ボックス 72">
            <a:extLst>
              <a:ext uri="{FF2B5EF4-FFF2-40B4-BE49-F238E27FC236}">
                <a16:creationId xmlns:a16="http://schemas.microsoft.com/office/drawing/2014/main" id="{0BE4B010-0350-488E-A1CC-07B1F1B9054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74" name="直線矢印コネクタ 73">
            <a:extLst>
              <a:ext uri="{FF2B5EF4-FFF2-40B4-BE49-F238E27FC236}">
                <a16:creationId xmlns:a16="http://schemas.microsoft.com/office/drawing/2014/main" id="{0C05A0E5-914E-416C-8F1E-037D7CE5367E}"/>
              </a:ext>
            </a:extLst>
          </xdr:cNvPr>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75" name="グループ化 74">
          <a:extLst>
            <a:ext uri="{FF2B5EF4-FFF2-40B4-BE49-F238E27FC236}">
              <a16:creationId xmlns:a16="http://schemas.microsoft.com/office/drawing/2014/main" id="{7650D690-BED7-4E2A-8879-5FFDD80D6F71}"/>
            </a:ext>
          </a:extLst>
        </xdr:cNvPr>
        <xdr:cNvGrpSpPr/>
      </xdr:nvGrpSpPr>
      <xdr:grpSpPr>
        <a:xfrm>
          <a:off x="4068536" y="6245679"/>
          <a:ext cx="598714" cy="857249"/>
          <a:chOff x="7633607" y="2612571"/>
          <a:chExt cx="598714" cy="857250"/>
        </a:xfrm>
      </xdr:grpSpPr>
      <xdr:sp macro="" textlink="">
        <xdr:nvSpPr>
          <xdr:cNvPr id="76" name="テキスト ボックス 75">
            <a:extLst>
              <a:ext uri="{FF2B5EF4-FFF2-40B4-BE49-F238E27FC236}">
                <a16:creationId xmlns:a16="http://schemas.microsoft.com/office/drawing/2014/main" id="{607C6192-3CE3-405F-8A7D-865D240AAFFD}"/>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77" name="直線矢印コネクタ 76">
            <a:extLst>
              <a:ext uri="{FF2B5EF4-FFF2-40B4-BE49-F238E27FC236}">
                <a16:creationId xmlns:a16="http://schemas.microsoft.com/office/drawing/2014/main" id="{17F4669C-214A-4C8F-B14B-462C8B112EF6}"/>
              </a:ext>
            </a:extLst>
          </xdr:cNvPr>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78" name="グループ化 77">
          <a:extLst>
            <a:ext uri="{FF2B5EF4-FFF2-40B4-BE49-F238E27FC236}">
              <a16:creationId xmlns:a16="http://schemas.microsoft.com/office/drawing/2014/main" id="{E4F80AA8-F390-4E2B-9599-9EA6DD4C4CD7}"/>
            </a:ext>
          </a:extLst>
        </xdr:cNvPr>
        <xdr:cNvGrpSpPr/>
      </xdr:nvGrpSpPr>
      <xdr:grpSpPr>
        <a:xfrm>
          <a:off x="4041321" y="8422820"/>
          <a:ext cx="598714" cy="966108"/>
          <a:chOff x="7633607" y="2177142"/>
          <a:chExt cx="598714" cy="966108"/>
        </a:xfrm>
      </xdr:grpSpPr>
      <xdr:sp macro="" textlink="">
        <xdr:nvSpPr>
          <xdr:cNvPr id="79" name="テキスト ボックス 78">
            <a:extLst>
              <a:ext uri="{FF2B5EF4-FFF2-40B4-BE49-F238E27FC236}">
                <a16:creationId xmlns:a16="http://schemas.microsoft.com/office/drawing/2014/main" id="{4AEC2EEB-C2E0-4C0D-A8F0-B75C34CA1C37}"/>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80" name="直線矢印コネクタ 79">
            <a:extLst>
              <a:ext uri="{FF2B5EF4-FFF2-40B4-BE49-F238E27FC236}">
                <a16:creationId xmlns:a16="http://schemas.microsoft.com/office/drawing/2014/main" id="{F8C824F2-8583-4E43-9CD7-1F87EFB3C5EA}"/>
              </a:ext>
            </a:extLst>
          </xdr:cNvPr>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81" name="グループ化 80">
          <a:extLst>
            <a:ext uri="{FF2B5EF4-FFF2-40B4-BE49-F238E27FC236}">
              <a16:creationId xmlns:a16="http://schemas.microsoft.com/office/drawing/2014/main" id="{0A5F1313-3243-4A76-922A-C41B8EEE2F43}"/>
            </a:ext>
          </a:extLst>
        </xdr:cNvPr>
        <xdr:cNvGrpSpPr/>
      </xdr:nvGrpSpPr>
      <xdr:grpSpPr>
        <a:xfrm>
          <a:off x="3456214" y="9375321"/>
          <a:ext cx="1156608" cy="530679"/>
          <a:chOff x="7075713" y="2612571"/>
          <a:chExt cx="1156608" cy="530679"/>
        </a:xfrm>
      </xdr:grpSpPr>
      <xdr:sp macro="" textlink="">
        <xdr:nvSpPr>
          <xdr:cNvPr id="82" name="テキスト ボックス 81">
            <a:extLst>
              <a:ext uri="{FF2B5EF4-FFF2-40B4-BE49-F238E27FC236}">
                <a16:creationId xmlns:a16="http://schemas.microsoft.com/office/drawing/2014/main" id="{5303A53A-C72D-471C-8061-0447DEEDA43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83" name="直線矢印コネクタ 82">
            <a:extLst>
              <a:ext uri="{FF2B5EF4-FFF2-40B4-BE49-F238E27FC236}">
                <a16:creationId xmlns:a16="http://schemas.microsoft.com/office/drawing/2014/main" id="{144E9E09-EE11-4333-B53F-2822E11B683E}"/>
              </a:ext>
            </a:extLst>
          </xdr:cNvPr>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163285</xdr:colOff>
      <xdr:row>7</xdr:row>
      <xdr:rowOff>163284</xdr:rowOff>
    </xdr:from>
    <xdr:to>
      <xdr:col>4</xdr:col>
      <xdr:colOff>340177</xdr:colOff>
      <xdr:row>12</xdr:row>
      <xdr:rowOff>16329</xdr:rowOff>
    </xdr:to>
    <xdr:grpSp>
      <xdr:nvGrpSpPr>
        <xdr:cNvPr id="84" name="グループ化 83">
          <a:extLst>
            <a:ext uri="{FF2B5EF4-FFF2-40B4-BE49-F238E27FC236}">
              <a16:creationId xmlns:a16="http://schemas.microsoft.com/office/drawing/2014/main" id="{CDE0E573-4BDB-4924-B70E-73ADD2C03842}"/>
            </a:ext>
          </a:extLst>
        </xdr:cNvPr>
        <xdr:cNvGrpSpPr/>
      </xdr:nvGrpSpPr>
      <xdr:grpSpPr>
        <a:xfrm>
          <a:off x="517071" y="1864177"/>
          <a:ext cx="1238249" cy="873581"/>
          <a:chOff x="7345136" y="2269671"/>
          <a:chExt cx="1238249" cy="873579"/>
        </a:xfrm>
      </xdr:grpSpPr>
      <xdr:sp macro="" textlink="">
        <xdr:nvSpPr>
          <xdr:cNvPr id="85" name="テキスト ボックス 84">
            <a:extLst>
              <a:ext uri="{FF2B5EF4-FFF2-40B4-BE49-F238E27FC236}">
                <a16:creationId xmlns:a16="http://schemas.microsoft.com/office/drawing/2014/main" id="{F261394F-C204-4830-9C10-FB037EBC34FF}"/>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86" name="直線矢印コネクタ 85">
            <a:extLst>
              <a:ext uri="{FF2B5EF4-FFF2-40B4-BE49-F238E27FC236}">
                <a16:creationId xmlns:a16="http://schemas.microsoft.com/office/drawing/2014/main" id="{BE30E5C2-6B7F-432C-B0B3-CC0876F31522}"/>
              </a:ext>
            </a:extLst>
          </xdr:cNvPr>
          <xdr:cNvCxnSpPr/>
        </xdr:nvCxnSpPr>
        <xdr:spPr>
          <a:xfrm flipV="1">
            <a:off x="7943851" y="2269671"/>
            <a:ext cx="13607" cy="4762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5</xdr:row>
      <xdr:rowOff>84369</xdr:rowOff>
    </xdr:from>
    <xdr:to>
      <xdr:col>2</xdr:col>
      <xdr:colOff>190500</xdr:colOff>
      <xdr:row>7</xdr:row>
      <xdr:rowOff>122465</xdr:rowOff>
    </xdr:to>
    <xdr:grpSp>
      <xdr:nvGrpSpPr>
        <xdr:cNvPr id="87" name="グループ化 86">
          <a:extLst>
            <a:ext uri="{FF2B5EF4-FFF2-40B4-BE49-F238E27FC236}">
              <a16:creationId xmlns:a16="http://schemas.microsoft.com/office/drawing/2014/main" id="{A3380A16-7199-4119-AB8B-2BC042457AC5}"/>
            </a:ext>
          </a:extLst>
        </xdr:cNvPr>
        <xdr:cNvGrpSpPr/>
      </xdr:nvGrpSpPr>
      <xdr:grpSpPr>
        <a:xfrm>
          <a:off x="0" y="1118512"/>
          <a:ext cx="898071" cy="704846"/>
          <a:chOff x="7633607" y="2612571"/>
          <a:chExt cx="898071" cy="572250"/>
        </a:xfrm>
      </xdr:grpSpPr>
      <xdr:sp macro="" textlink="">
        <xdr:nvSpPr>
          <xdr:cNvPr id="88" name="テキスト ボックス 87">
            <a:extLst>
              <a:ext uri="{FF2B5EF4-FFF2-40B4-BE49-F238E27FC236}">
                <a16:creationId xmlns:a16="http://schemas.microsoft.com/office/drawing/2014/main" id="{B36ACBC6-3E9E-430F-88A8-322735A146A3}"/>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B</a:t>
            </a:r>
          </a:p>
        </xdr:txBody>
      </xdr:sp>
      <xdr:cxnSp macro="">
        <xdr:nvCxnSpPr>
          <xdr:cNvPr id="89" name="直線矢印コネクタ 88">
            <a:extLst>
              <a:ext uri="{FF2B5EF4-FFF2-40B4-BE49-F238E27FC236}">
                <a16:creationId xmlns:a16="http://schemas.microsoft.com/office/drawing/2014/main" id="{848693A5-56E1-453C-A747-449ECD9F3304}"/>
              </a:ext>
            </a:extLst>
          </xdr:cNvPr>
          <xdr:cNvCxnSpPr/>
        </xdr:nvCxnSpPr>
        <xdr:spPr>
          <a:xfrm>
            <a:off x="8041821" y="2963873"/>
            <a:ext cx="489857" cy="2209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16063</xdr:colOff>
      <xdr:row>32</xdr:row>
      <xdr:rowOff>2326823</xdr:rowOff>
    </xdr:from>
    <xdr:to>
      <xdr:col>8</xdr:col>
      <xdr:colOff>46261</xdr:colOff>
      <xdr:row>33</xdr:row>
      <xdr:rowOff>19554</xdr:rowOff>
    </xdr:to>
    <xdr:grpSp>
      <xdr:nvGrpSpPr>
        <xdr:cNvPr id="90" name="グループ化 89">
          <a:extLst>
            <a:ext uri="{FF2B5EF4-FFF2-40B4-BE49-F238E27FC236}">
              <a16:creationId xmlns:a16="http://schemas.microsoft.com/office/drawing/2014/main" id="{DC60544C-E4FC-4876-962B-D35CED4BBE07}"/>
            </a:ext>
          </a:extLst>
        </xdr:cNvPr>
        <xdr:cNvGrpSpPr/>
      </xdr:nvGrpSpPr>
      <xdr:grpSpPr>
        <a:xfrm>
          <a:off x="2138777" y="9320894"/>
          <a:ext cx="737770" cy="1012874"/>
          <a:chOff x="7633607" y="2320918"/>
          <a:chExt cx="598714" cy="822332"/>
        </a:xfrm>
      </xdr:grpSpPr>
      <xdr:sp macro="" textlink="">
        <xdr:nvSpPr>
          <xdr:cNvPr id="91" name="テキスト ボックス 90">
            <a:extLst>
              <a:ext uri="{FF2B5EF4-FFF2-40B4-BE49-F238E27FC236}">
                <a16:creationId xmlns:a16="http://schemas.microsoft.com/office/drawing/2014/main" id="{AE1EA477-945B-496F-9B4D-880F2DA29796}"/>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C</a:t>
            </a:r>
          </a:p>
        </xdr:txBody>
      </xdr:sp>
      <xdr:cxnSp macro="">
        <xdr:nvCxnSpPr>
          <xdr:cNvPr id="92" name="直線矢印コネクタ 91">
            <a:extLst>
              <a:ext uri="{FF2B5EF4-FFF2-40B4-BE49-F238E27FC236}">
                <a16:creationId xmlns:a16="http://schemas.microsoft.com/office/drawing/2014/main" id="{56A761C7-786B-438B-9932-610767464F52}"/>
              </a:ext>
            </a:extLst>
          </xdr:cNvPr>
          <xdr:cNvCxnSpPr/>
        </xdr:nvCxnSpPr>
        <xdr:spPr>
          <a:xfrm flipH="1" flipV="1">
            <a:off x="7742037" y="2320918"/>
            <a:ext cx="190928" cy="3472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274864</xdr:colOff>
      <xdr:row>10</xdr:row>
      <xdr:rowOff>108857</xdr:rowOff>
    </xdr:from>
    <xdr:to>
      <xdr:col>15</xdr:col>
      <xdr:colOff>97970</xdr:colOff>
      <xdr:row>14</xdr:row>
      <xdr:rowOff>46264</xdr:rowOff>
    </xdr:to>
    <xdr:grpSp>
      <xdr:nvGrpSpPr>
        <xdr:cNvPr id="93" name="グループ化 92">
          <a:extLst>
            <a:ext uri="{FF2B5EF4-FFF2-40B4-BE49-F238E27FC236}">
              <a16:creationId xmlns:a16="http://schemas.microsoft.com/office/drawing/2014/main" id="{A828F08D-483E-455C-BAC8-805413E188AD}"/>
            </a:ext>
          </a:extLst>
        </xdr:cNvPr>
        <xdr:cNvGrpSpPr/>
      </xdr:nvGrpSpPr>
      <xdr:grpSpPr>
        <a:xfrm>
          <a:off x="4166507" y="2422071"/>
          <a:ext cx="1238249" cy="753836"/>
          <a:chOff x="7345136" y="2389415"/>
          <a:chExt cx="1238249" cy="753835"/>
        </a:xfrm>
      </xdr:grpSpPr>
      <xdr:sp macro="" textlink="">
        <xdr:nvSpPr>
          <xdr:cNvPr id="94" name="テキスト ボックス 93">
            <a:extLst>
              <a:ext uri="{FF2B5EF4-FFF2-40B4-BE49-F238E27FC236}">
                <a16:creationId xmlns:a16="http://schemas.microsoft.com/office/drawing/2014/main" id="{23EAFA96-ACF8-4387-BFC6-999346DAC64F}"/>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23</a:t>
            </a:r>
            <a:endParaRPr kumimoji="1" lang="ja-JP" altLang="en-US" sz="3200"/>
          </a:p>
        </xdr:txBody>
      </xdr:sp>
      <xdr:cxnSp macro="">
        <xdr:nvCxnSpPr>
          <xdr:cNvPr id="95" name="直線矢印コネクタ 94">
            <a:extLst>
              <a:ext uri="{FF2B5EF4-FFF2-40B4-BE49-F238E27FC236}">
                <a16:creationId xmlns:a16="http://schemas.microsoft.com/office/drawing/2014/main" id="{D5FB0010-9391-484C-B0A2-E4D601CEC49C}"/>
              </a:ext>
            </a:extLst>
          </xdr:cNvPr>
          <xdr:cNvCxnSpPr/>
        </xdr:nvCxnSpPr>
        <xdr:spPr>
          <a:xfrm flipV="1">
            <a:off x="8134351" y="2389415"/>
            <a:ext cx="310242" cy="41093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209550</xdr:colOff>
      <xdr:row>32</xdr:row>
      <xdr:rowOff>1817915</xdr:rowOff>
    </xdr:from>
    <xdr:to>
      <xdr:col>12</xdr:col>
      <xdr:colOff>32656</xdr:colOff>
      <xdr:row>32</xdr:row>
      <xdr:rowOff>2680609</xdr:rowOff>
    </xdr:to>
    <xdr:grpSp>
      <xdr:nvGrpSpPr>
        <xdr:cNvPr id="96" name="グループ化 95">
          <a:extLst>
            <a:ext uri="{FF2B5EF4-FFF2-40B4-BE49-F238E27FC236}">
              <a16:creationId xmlns:a16="http://schemas.microsoft.com/office/drawing/2014/main" id="{E247928B-A2BF-4E06-946C-739D67F1C4DD}"/>
            </a:ext>
          </a:extLst>
        </xdr:cNvPr>
        <xdr:cNvGrpSpPr/>
      </xdr:nvGrpSpPr>
      <xdr:grpSpPr>
        <a:xfrm>
          <a:off x="3039836" y="8811986"/>
          <a:ext cx="1238249" cy="862694"/>
          <a:chOff x="7345136" y="2612571"/>
          <a:chExt cx="1238249" cy="862692"/>
        </a:xfrm>
      </xdr:grpSpPr>
      <xdr:sp macro="" textlink="">
        <xdr:nvSpPr>
          <xdr:cNvPr id="97" name="テキスト ボックス 96">
            <a:extLst>
              <a:ext uri="{FF2B5EF4-FFF2-40B4-BE49-F238E27FC236}">
                <a16:creationId xmlns:a16="http://schemas.microsoft.com/office/drawing/2014/main" id="{E6C23217-F39F-4085-B678-AE5EFCF89765}"/>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24</a:t>
            </a:r>
            <a:endParaRPr kumimoji="1" lang="ja-JP" altLang="en-US" sz="3200"/>
          </a:p>
        </xdr:txBody>
      </xdr:sp>
      <xdr:cxnSp macro="">
        <xdr:nvCxnSpPr>
          <xdr:cNvPr id="98" name="直線矢印コネクタ 97">
            <a:extLst>
              <a:ext uri="{FF2B5EF4-FFF2-40B4-BE49-F238E27FC236}">
                <a16:creationId xmlns:a16="http://schemas.microsoft.com/office/drawing/2014/main" id="{97EB8876-4D59-4731-80A3-F7D1B2A9F2BC}"/>
              </a:ext>
            </a:extLst>
          </xdr:cNvPr>
          <xdr:cNvCxnSpPr/>
        </xdr:nvCxnSpPr>
        <xdr:spPr>
          <a:xfrm flipH="1">
            <a:off x="7965622" y="2950028"/>
            <a:ext cx="19051" cy="525235"/>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22</xdr:row>
      <xdr:rowOff>145143</xdr:rowOff>
    </xdr:from>
    <xdr:to>
      <xdr:col>11</xdr:col>
      <xdr:colOff>36285</xdr:colOff>
      <xdr:row>25</xdr:row>
      <xdr:rowOff>54428</xdr:rowOff>
    </xdr:to>
    <xdr:sp macro="" textlink="">
      <xdr:nvSpPr>
        <xdr:cNvPr id="99" name="ひし形 98">
          <a:extLst>
            <a:ext uri="{FF2B5EF4-FFF2-40B4-BE49-F238E27FC236}">
              <a16:creationId xmlns:a16="http://schemas.microsoft.com/office/drawing/2014/main" id="{7384DC7C-C9E8-43A3-90F8-B5DF59F30D62}"/>
            </a:ext>
          </a:extLst>
        </xdr:cNvPr>
        <xdr:cNvSpPr/>
      </xdr:nvSpPr>
      <xdr:spPr>
        <a:xfrm>
          <a:off x="3443968" y="4802868"/>
          <a:ext cx="468992" cy="509360"/>
        </a:xfrm>
        <a:prstGeom prst="diamond">
          <a:avLst/>
        </a:prstGeom>
        <a:solidFill>
          <a:srgbClr val="ED7D3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308430</xdr:colOff>
      <xdr:row>23</xdr:row>
      <xdr:rowOff>18143</xdr:rowOff>
    </xdr:from>
    <xdr:to>
      <xdr:col>10</xdr:col>
      <xdr:colOff>163288</xdr:colOff>
      <xdr:row>24</xdr:row>
      <xdr:rowOff>145143</xdr:rowOff>
    </xdr:to>
    <xdr:sp macro="" textlink="">
      <xdr:nvSpPr>
        <xdr:cNvPr id="100" name="正方形/長方形 99">
          <a:extLst>
            <a:ext uri="{FF2B5EF4-FFF2-40B4-BE49-F238E27FC236}">
              <a16:creationId xmlns:a16="http://schemas.microsoft.com/office/drawing/2014/main" id="{F9C184C0-80C3-4B4B-AE1E-D57FA54EAC51}"/>
            </a:ext>
          </a:extLst>
        </xdr:cNvPr>
        <xdr:cNvSpPr/>
      </xdr:nvSpPr>
      <xdr:spPr>
        <a:xfrm>
          <a:off x="2775405" y="4875893"/>
          <a:ext cx="912133" cy="32702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kumimoji="1" lang="ja-JP" altLang="en-US" sz="1400">
              <a:ln>
                <a:noFill/>
              </a:ln>
              <a:solidFill>
                <a:srgbClr val="000000"/>
              </a:solidFill>
            </a:rPr>
            <a:t>消化器</a:t>
          </a:r>
        </a:p>
      </xdr:txBody>
    </xdr:sp>
    <xdr:clientData/>
  </xdr:twoCellAnchor>
  <xdr:twoCellAnchor>
    <xdr:from>
      <xdr:col>9</xdr:col>
      <xdr:colOff>95251</xdr:colOff>
      <xdr:row>32</xdr:row>
      <xdr:rowOff>2830286</xdr:rowOff>
    </xdr:from>
    <xdr:to>
      <xdr:col>11</xdr:col>
      <xdr:colOff>272143</xdr:colOff>
      <xdr:row>33</xdr:row>
      <xdr:rowOff>27214</xdr:rowOff>
    </xdr:to>
    <xdr:sp macro="" textlink="">
      <xdr:nvSpPr>
        <xdr:cNvPr id="101" name="テキスト ボックス 100">
          <a:extLst>
            <a:ext uri="{FF2B5EF4-FFF2-40B4-BE49-F238E27FC236}">
              <a16:creationId xmlns:a16="http://schemas.microsoft.com/office/drawing/2014/main" id="{A665EDBB-2DF3-43FA-AA3F-B687FBB157C9}"/>
            </a:ext>
          </a:extLst>
        </xdr:cNvPr>
        <xdr:cNvSpPr txBox="1"/>
      </xdr:nvSpPr>
      <xdr:spPr>
        <a:xfrm>
          <a:off x="3267076" y="9688286"/>
          <a:ext cx="881742" cy="51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手洗い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C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3"/>
  <sheetViews>
    <sheetView view="pageBreakPreview" topLeftCell="A10" zoomScaleNormal="100" zoomScaleSheetLayoutView="100" workbookViewId="0">
      <selection activeCell="D3" sqref="D3"/>
    </sheetView>
  </sheetViews>
  <sheetFormatPr defaultRowHeight="13.5"/>
  <cols>
    <col min="1" max="1" width="8.5" style="272" bestFit="1" customWidth="1"/>
    <col min="2" max="2" width="14.125" style="265" bestFit="1" customWidth="1"/>
    <col min="3" max="3" width="70.625" style="267" customWidth="1"/>
    <col min="4" max="17" width="9" style="234"/>
    <col min="18" max="26" width="9" style="231"/>
  </cols>
  <sheetData>
    <row r="1" spans="1:26" s="229" customFormat="1" ht="32.1" customHeight="1">
      <c r="A1" s="269" t="s">
        <v>532</v>
      </c>
      <c r="B1" s="266" t="s">
        <v>502</v>
      </c>
      <c r="C1" s="276" t="s">
        <v>527</v>
      </c>
      <c r="D1" s="233"/>
      <c r="E1" s="233"/>
      <c r="F1" s="233"/>
      <c r="G1" s="233"/>
      <c r="H1" s="233"/>
      <c r="I1" s="233"/>
      <c r="J1" s="233"/>
      <c r="K1" s="233"/>
      <c r="L1" s="233"/>
      <c r="M1" s="233"/>
      <c r="N1" s="233"/>
      <c r="O1" s="233"/>
      <c r="P1" s="233"/>
      <c r="Q1" s="233"/>
      <c r="R1" s="230"/>
      <c r="S1" s="230"/>
      <c r="T1" s="230"/>
      <c r="U1" s="230"/>
      <c r="V1" s="230"/>
      <c r="W1" s="230"/>
      <c r="X1" s="230"/>
      <c r="Y1" s="230"/>
      <c r="Z1" s="230"/>
    </row>
    <row r="2" spans="1:26" s="229" customFormat="1" ht="32.1" customHeight="1">
      <c r="A2" s="273">
        <v>8</v>
      </c>
      <c r="B2" s="268" t="s">
        <v>528</v>
      </c>
      <c r="C2" s="274" t="s">
        <v>529</v>
      </c>
      <c r="D2" s="233"/>
      <c r="E2" s="233"/>
      <c r="F2" s="233"/>
      <c r="G2" s="233"/>
      <c r="H2" s="233"/>
      <c r="I2" s="233"/>
      <c r="J2" s="233"/>
      <c r="K2" s="233"/>
      <c r="L2" s="233"/>
      <c r="M2" s="233"/>
      <c r="N2" s="233"/>
      <c r="O2" s="233"/>
      <c r="P2" s="233"/>
      <c r="Q2" s="233"/>
      <c r="R2" s="230"/>
      <c r="S2" s="230"/>
      <c r="T2" s="230"/>
      <c r="U2" s="230"/>
      <c r="V2" s="230"/>
      <c r="W2" s="230"/>
      <c r="X2" s="230"/>
      <c r="Y2" s="230"/>
      <c r="Z2" s="230"/>
    </row>
    <row r="3" spans="1:26" s="229" customFormat="1" ht="32.1" customHeight="1">
      <c r="A3" s="273">
        <v>10</v>
      </c>
      <c r="B3" s="268" t="s">
        <v>531</v>
      </c>
      <c r="C3" s="275" t="s">
        <v>530</v>
      </c>
      <c r="D3" s="233"/>
      <c r="E3" s="233"/>
      <c r="F3" s="233"/>
      <c r="G3" s="233"/>
      <c r="H3" s="233"/>
      <c r="I3" s="233"/>
      <c r="J3" s="233"/>
      <c r="K3" s="233"/>
      <c r="L3" s="233"/>
      <c r="M3" s="233"/>
      <c r="N3" s="233"/>
      <c r="O3" s="233"/>
      <c r="P3" s="233"/>
      <c r="Q3" s="233"/>
      <c r="R3" s="230"/>
      <c r="S3" s="230"/>
      <c r="T3" s="230"/>
      <c r="U3" s="230"/>
      <c r="V3" s="230"/>
      <c r="W3" s="230"/>
      <c r="X3" s="230"/>
      <c r="Y3" s="230"/>
      <c r="Z3" s="230"/>
    </row>
    <row r="4" spans="1:26" s="229" customFormat="1" ht="32.1" customHeight="1">
      <c r="A4" s="316" t="s">
        <v>533</v>
      </c>
      <c r="B4" s="318" t="s">
        <v>534</v>
      </c>
      <c r="C4" s="275" t="s">
        <v>503</v>
      </c>
      <c r="D4" s="233"/>
      <c r="E4" s="233"/>
      <c r="F4" s="233"/>
      <c r="G4" s="233"/>
      <c r="H4" s="233"/>
      <c r="I4" s="233"/>
      <c r="J4" s="233"/>
      <c r="K4" s="233"/>
      <c r="L4" s="233"/>
      <c r="M4" s="233"/>
      <c r="N4" s="233"/>
      <c r="O4" s="233"/>
      <c r="P4" s="233"/>
      <c r="Q4" s="233"/>
      <c r="R4" s="230"/>
      <c r="S4" s="230"/>
      <c r="T4" s="230"/>
      <c r="U4" s="230"/>
      <c r="V4" s="230"/>
      <c r="W4" s="230"/>
      <c r="X4" s="230"/>
      <c r="Y4" s="230"/>
      <c r="Z4" s="230"/>
    </row>
    <row r="5" spans="1:26" s="229" customFormat="1" ht="45" customHeight="1">
      <c r="A5" s="316"/>
      <c r="B5" s="318"/>
      <c r="C5" s="317" t="s">
        <v>526</v>
      </c>
      <c r="D5" s="235"/>
      <c r="E5" s="235"/>
      <c r="F5" s="235"/>
      <c r="G5" s="235"/>
      <c r="H5" s="235"/>
      <c r="I5" s="235"/>
      <c r="J5" s="235"/>
      <c r="K5" s="235"/>
      <c r="L5" s="235"/>
      <c r="M5" s="235"/>
      <c r="N5" s="235"/>
      <c r="O5" s="233"/>
      <c r="P5" s="233"/>
      <c r="Q5" s="233"/>
      <c r="R5" s="230"/>
      <c r="S5" s="230"/>
      <c r="T5" s="230"/>
      <c r="U5" s="230"/>
      <c r="V5" s="230"/>
      <c r="W5" s="230"/>
      <c r="X5" s="230"/>
      <c r="Y5" s="230"/>
      <c r="Z5" s="230"/>
    </row>
    <row r="6" spans="1:26" s="229" customFormat="1" ht="45" customHeight="1">
      <c r="A6" s="316"/>
      <c r="B6" s="318"/>
      <c r="C6" s="317"/>
      <c r="D6" s="235"/>
      <c r="E6" s="235"/>
      <c r="F6" s="235"/>
      <c r="G6" s="235"/>
      <c r="H6" s="235"/>
      <c r="I6" s="235"/>
      <c r="J6" s="235"/>
      <c r="K6" s="235"/>
      <c r="L6" s="235"/>
      <c r="M6" s="235"/>
      <c r="N6" s="235"/>
      <c r="O6" s="233"/>
      <c r="P6" s="233"/>
      <c r="Q6" s="233"/>
      <c r="R6" s="230"/>
      <c r="S6" s="230"/>
      <c r="T6" s="230"/>
      <c r="U6" s="230"/>
      <c r="V6" s="230"/>
      <c r="W6" s="230"/>
      <c r="X6" s="230"/>
      <c r="Y6" s="230"/>
      <c r="Z6" s="230"/>
    </row>
    <row r="7" spans="1:26" s="229" customFormat="1" ht="32.1" customHeight="1">
      <c r="A7" s="273" t="s">
        <v>538</v>
      </c>
      <c r="B7" s="268" t="s">
        <v>535</v>
      </c>
      <c r="C7" s="275" t="s">
        <v>536</v>
      </c>
      <c r="D7" s="233"/>
      <c r="E7" s="233"/>
      <c r="F7" s="233"/>
      <c r="G7" s="233"/>
      <c r="H7" s="233"/>
      <c r="I7" s="233"/>
      <c r="J7" s="233"/>
      <c r="K7" s="233"/>
      <c r="L7" s="233"/>
      <c r="M7" s="233"/>
      <c r="N7" s="233"/>
      <c r="O7" s="233"/>
      <c r="P7" s="233"/>
      <c r="Q7" s="233"/>
      <c r="R7" s="230"/>
      <c r="S7" s="230"/>
      <c r="T7" s="230"/>
      <c r="U7" s="230"/>
      <c r="V7" s="230"/>
      <c r="W7" s="230"/>
      <c r="X7" s="230"/>
      <c r="Y7" s="230"/>
      <c r="Z7" s="230"/>
    </row>
    <row r="8" spans="1:26" s="229" customFormat="1" ht="35.1" customHeight="1">
      <c r="A8" s="273">
        <v>16</v>
      </c>
      <c r="B8" s="268" t="s">
        <v>537</v>
      </c>
      <c r="C8" s="275" t="s">
        <v>539</v>
      </c>
      <c r="D8" s="233"/>
      <c r="E8" s="233"/>
      <c r="F8" s="233"/>
      <c r="G8" s="233"/>
      <c r="H8" s="233"/>
      <c r="I8" s="233"/>
      <c r="J8" s="233"/>
      <c r="K8" s="233"/>
      <c r="L8" s="233"/>
      <c r="M8" s="233"/>
      <c r="N8" s="233"/>
      <c r="O8" s="233"/>
      <c r="P8" s="233"/>
      <c r="Q8" s="233"/>
      <c r="R8" s="230"/>
      <c r="S8" s="230"/>
      <c r="T8" s="230"/>
      <c r="U8" s="230"/>
      <c r="V8" s="230"/>
      <c r="W8" s="230"/>
      <c r="X8" s="230"/>
      <c r="Y8" s="230"/>
      <c r="Z8" s="230"/>
    </row>
    <row r="9" spans="1:26" s="229" customFormat="1" ht="32.1" customHeight="1">
      <c r="A9" s="270" t="s">
        <v>541</v>
      </c>
      <c r="B9" s="268" t="s">
        <v>540</v>
      </c>
      <c r="C9" s="275" t="s">
        <v>542</v>
      </c>
      <c r="D9" s="233"/>
      <c r="E9" s="233"/>
      <c r="F9" s="233"/>
      <c r="G9" s="233"/>
      <c r="H9" s="233"/>
      <c r="I9" s="233"/>
      <c r="J9" s="233"/>
      <c r="K9" s="233"/>
      <c r="L9" s="233"/>
      <c r="M9" s="233"/>
      <c r="N9" s="233"/>
      <c r="O9" s="233"/>
      <c r="P9" s="233"/>
      <c r="Q9" s="233"/>
      <c r="R9" s="230"/>
      <c r="S9" s="230"/>
      <c r="T9" s="230"/>
      <c r="U9" s="230"/>
      <c r="V9" s="230"/>
      <c r="W9" s="230"/>
      <c r="X9" s="230"/>
      <c r="Y9" s="230"/>
      <c r="Z9" s="230"/>
    </row>
    <row r="10" spans="1:26" s="229" customFormat="1" ht="32.1" customHeight="1">
      <c r="A10" s="270" t="s">
        <v>543</v>
      </c>
      <c r="B10" s="268" t="s">
        <v>546</v>
      </c>
      <c r="C10" s="275" t="s">
        <v>547</v>
      </c>
      <c r="D10" s="233"/>
      <c r="E10" s="233"/>
      <c r="F10" s="233"/>
      <c r="G10" s="233"/>
      <c r="H10" s="233"/>
      <c r="I10" s="233"/>
      <c r="J10" s="233"/>
      <c r="K10" s="233"/>
      <c r="L10" s="233"/>
      <c r="M10" s="233"/>
      <c r="N10" s="233"/>
      <c r="O10" s="233"/>
      <c r="P10" s="233"/>
      <c r="Q10" s="233"/>
      <c r="R10" s="230"/>
      <c r="S10" s="230"/>
      <c r="T10" s="230"/>
      <c r="U10" s="230"/>
      <c r="V10" s="230"/>
      <c r="W10" s="230"/>
      <c r="X10" s="230"/>
      <c r="Y10" s="230"/>
      <c r="Z10" s="230"/>
    </row>
    <row r="11" spans="1:26" s="229" customFormat="1" ht="32.1" customHeight="1">
      <c r="A11" s="270" t="s">
        <v>548</v>
      </c>
      <c r="B11" s="268" t="s">
        <v>545</v>
      </c>
      <c r="C11" s="275" t="s">
        <v>549</v>
      </c>
      <c r="D11" s="233"/>
      <c r="E11" s="233"/>
      <c r="F11" s="233"/>
      <c r="G11" s="233"/>
      <c r="H11" s="233"/>
      <c r="I11" s="233"/>
      <c r="J11" s="233"/>
      <c r="K11" s="233"/>
      <c r="L11" s="233"/>
      <c r="M11" s="233"/>
      <c r="N11" s="233"/>
      <c r="O11" s="233"/>
      <c r="P11" s="233"/>
      <c r="Q11" s="233"/>
      <c r="R11" s="230"/>
      <c r="S11" s="230"/>
      <c r="T11" s="230"/>
      <c r="U11" s="230"/>
      <c r="V11" s="230"/>
      <c r="W11" s="230"/>
      <c r="X11" s="230"/>
      <c r="Y11" s="230"/>
      <c r="Z11" s="230"/>
    </row>
    <row r="12" spans="1:26" s="229" customFormat="1" ht="32.1" customHeight="1">
      <c r="A12" s="270" t="s">
        <v>548</v>
      </c>
      <c r="B12" s="268" t="s">
        <v>545</v>
      </c>
      <c r="C12" s="275" t="s">
        <v>573</v>
      </c>
      <c r="D12" s="233"/>
      <c r="E12" s="233"/>
      <c r="F12" s="233"/>
      <c r="G12" s="233"/>
      <c r="H12" s="233"/>
      <c r="I12" s="233"/>
      <c r="J12" s="233"/>
      <c r="K12" s="233"/>
      <c r="L12" s="233"/>
      <c r="M12" s="233"/>
      <c r="N12" s="233"/>
      <c r="O12" s="233"/>
      <c r="P12" s="233"/>
      <c r="Q12" s="233"/>
      <c r="R12" s="230"/>
      <c r="S12" s="230"/>
      <c r="T12" s="230"/>
      <c r="U12" s="230"/>
      <c r="V12" s="230"/>
      <c r="W12" s="230"/>
      <c r="X12" s="230"/>
      <c r="Y12" s="230"/>
      <c r="Z12" s="230"/>
    </row>
    <row r="13" spans="1:26" s="229" customFormat="1" ht="32.1" customHeight="1">
      <c r="A13" s="273">
        <v>18</v>
      </c>
      <c r="B13" s="268" t="s">
        <v>550</v>
      </c>
      <c r="C13" s="275" t="s">
        <v>551</v>
      </c>
      <c r="D13" s="233"/>
      <c r="E13" s="233"/>
      <c r="F13" s="233"/>
      <c r="G13" s="233"/>
      <c r="H13" s="233"/>
      <c r="I13" s="233"/>
      <c r="J13" s="233"/>
      <c r="K13" s="233"/>
      <c r="L13" s="233"/>
      <c r="M13" s="233"/>
      <c r="N13" s="233"/>
      <c r="O13" s="233"/>
      <c r="P13" s="233"/>
      <c r="Q13" s="233"/>
      <c r="R13" s="230"/>
      <c r="S13" s="230"/>
      <c r="T13" s="230"/>
      <c r="U13" s="230"/>
      <c r="V13" s="230"/>
      <c r="W13" s="230"/>
      <c r="X13" s="230"/>
      <c r="Y13" s="230"/>
      <c r="Z13" s="230"/>
    </row>
    <row r="14" spans="1:26" s="229" customFormat="1" ht="35.1" customHeight="1">
      <c r="A14" s="273">
        <v>20</v>
      </c>
      <c r="B14" s="268" t="s">
        <v>552</v>
      </c>
      <c r="C14" s="275" t="s">
        <v>553</v>
      </c>
      <c r="D14" s="233"/>
      <c r="E14" s="233"/>
      <c r="F14" s="233"/>
      <c r="G14" s="233"/>
      <c r="H14" s="233"/>
      <c r="I14" s="233"/>
      <c r="J14" s="233"/>
      <c r="K14" s="233"/>
      <c r="L14" s="233"/>
      <c r="M14" s="233"/>
      <c r="N14" s="233"/>
      <c r="O14" s="233"/>
      <c r="P14" s="233"/>
      <c r="Q14" s="233"/>
      <c r="R14" s="230"/>
      <c r="S14" s="230"/>
      <c r="T14" s="230"/>
      <c r="U14" s="230"/>
      <c r="V14" s="230"/>
      <c r="W14" s="230"/>
      <c r="X14" s="230"/>
      <c r="Y14" s="230"/>
      <c r="Z14" s="230"/>
    </row>
    <row r="15" spans="1:26" s="229" customFormat="1" ht="32.1" customHeight="1">
      <c r="A15" s="316">
        <v>21</v>
      </c>
      <c r="B15" s="268" t="s">
        <v>554</v>
      </c>
      <c r="C15" s="275" t="s">
        <v>570</v>
      </c>
      <c r="D15" s="233"/>
      <c r="E15" s="233"/>
      <c r="F15" s="233"/>
      <c r="G15" s="233"/>
      <c r="H15" s="233"/>
      <c r="I15" s="233"/>
      <c r="J15" s="233"/>
      <c r="K15" s="233"/>
      <c r="L15" s="233"/>
      <c r="M15" s="233"/>
      <c r="N15" s="233"/>
      <c r="O15" s="233"/>
      <c r="P15" s="233"/>
      <c r="Q15" s="233"/>
      <c r="R15" s="230"/>
      <c r="S15" s="230"/>
      <c r="T15" s="230"/>
      <c r="U15" s="230"/>
      <c r="V15" s="230"/>
      <c r="W15" s="230"/>
      <c r="X15" s="230"/>
      <c r="Y15" s="230"/>
      <c r="Z15" s="230"/>
    </row>
    <row r="16" spans="1:26" s="229" customFormat="1" ht="32.1" customHeight="1">
      <c r="A16" s="316"/>
      <c r="B16" s="268" t="s">
        <v>554</v>
      </c>
      <c r="C16" s="275" t="s">
        <v>571</v>
      </c>
      <c r="D16" s="233"/>
      <c r="E16" s="233"/>
      <c r="F16" s="233"/>
      <c r="G16" s="233"/>
      <c r="H16" s="233"/>
      <c r="I16" s="233"/>
      <c r="J16" s="233"/>
      <c r="K16" s="233"/>
      <c r="L16" s="233"/>
      <c r="M16" s="233"/>
      <c r="N16" s="233"/>
      <c r="O16" s="233"/>
      <c r="P16" s="233"/>
      <c r="Q16" s="233"/>
      <c r="R16" s="230"/>
      <c r="S16" s="230"/>
      <c r="T16" s="230"/>
      <c r="U16" s="230"/>
      <c r="V16" s="230"/>
      <c r="W16" s="230"/>
      <c r="X16" s="230"/>
      <c r="Y16" s="230"/>
      <c r="Z16" s="230"/>
    </row>
    <row r="17" spans="1:26" s="229" customFormat="1" ht="35.1" customHeight="1">
      <c r="A17" s="316">
        <v>25</v>
      </c>
      <c r="B17" s="268" t="s">
        <v>555</v>
      </c>
      <c r="C17" s="275" t="s">
        <v>558</v>
      </c>
      <c r="D17" s="233"/>
      <c r="E17" s="233"/>
      <c r="F17" s="233"/>
      <c r="G17" s="233"/>
      <c r="H17" s="233"/>
      <c r="I17" s="233"/>
      <c r="J17" s="233"/>
      <c r="K17" s="233"/>
      <c r="L17" s="233"/>
      <c r="M17" s="233"/>
      <c r="N17" s="233"/>
      <c r="O17" s="233"/>
      <c r="P17" s="233"/>
      <c r="Q17" s="233"/>
      <c r="R17" s="230"/>
      <c r="S17" s="230"/>
      <c r="T17" s="230"/>
      <c r="U17" s="230"/>
      <c r="V17" s="230"/>
      <c r="W17" s="230"/>
      <c r="X17" s="230"/>
      <c r="Y17" s="230"/>
      <c r="Z17" s="230"/>
    </row>
    <row r="18" spans="1:26" s="229" customFormat="1" ht="35.1" customHeight="1">
      <c r="A18" s="316"/>
      <c r="B18" s="268" t="s">
        <v>556</v>
      </c>
      <c r="C18" s="275" t="s">
        <v>557</v>
      </c>
      <c r="D18" s="233"/>
      <c r="E18" s="233"/>
      <c r="F18" s="233"/>
      <c r="G18" s="233"/>
      <c r="H18" s="233"/>
      <c r="I18" s="233"/>
      <c r="J18" s="233"/>
      <c r="K18" s="233"/>
      <c r="L18" s="233"/>
      <c r="M18" s="233"/>
      <c r="N18" s="233"/>
      <c r="O18" s="233"/>
      <c r="P18" s="233"/>
      <c r="Q18" s="233"/>
      <c r="R18" s="230"/>
      <c r="S18" s="230"/>
      <c r="T18" s="230"/>
      <c r="U18" s="230"/>
      <c r="V18" s="230"/>
      <c r="W18" s="230"/>
      <c r="X18" s="230"/>
      <c r="Y18" s="230"/>
      <c r="Z18" s="230"/>
    </row>
    <row r="19" spans="1:26" s="229" customFormat="1" ht="32.1" customHeight="1">
      <c r="A19" s="273">
        <v>28</v>
      </c>
      <c r="B19" s="268" t="s">
        <v>559</v>
      </c>
      <c r="C19" s="275" t="s">
        <v>560</v>
      </c>
      <c r="D19" s="233"/>
      <c r="E19" s="233"/>
      <c r="F19" s="233"/>
      <c r="G19" s="233"/>
      <c r="H19" s="233"/>
      <c r="I19" s="233"/>
      <c r="J19" s="233"/>
      <c r="K19" s="233"/>
      <c r="L19" s="233"/>
      <c r="M19" s="233"/>
      <c r="N19" s="233"/>
      <c r="O19" s="233"/>
      <c r="P19" s="233"/>
      <c r="Q19" s="233"/>
      <c r="R19" s="230"/>
      <c r="S19" s="230"/>
      <c r="T19" s="230"/>
      <c r="U19" s="230"/>
      <c r="V19" s="230"/>
      <c r="W19" s="230"/>
      <c r="X19" s="230"/>
      <c r="Y19" s="230"/>
      <c r="Z19" s="230"/>
    </row>
    <row r="20" spans="1:26" s="229" customFormat="1" ht="32.1" customHeight="1">
      <c r="A20" s="273">
        <v>30</v>
      </c>
      <c r="B20" s="268" t="s">
        <v>561</v>
      </c>
      <c r="C20" s="275" t="s">
        <v>562</v>
      </c>
      <c r="D20" s="233"/>
      <c r="E20" s="233"/>
      <c r="F20" s="233"/>
      <c r="G20" s="233"/>
      <c r="H20" s="233"/>
      <c r="I20" s="233"/>
      <c r="J20" s="233"/>
      <c r="K20" s="233"/>
      <c r="L20" s="233"/>
      <c r="M20" s="233"/>
      <c r="N20" s="233"/>
      <c r="O20" s="233"/>
      <c r="P20" s="233"/>
      <c r="Q20" s="233"/>
      <c r="R20" s="230"/>
      <c r="S20" s="230"/>
      <c r="T20" s="230"/>
      <c r="U20" s="230"/>
      <c r="V20" s="230"/>
      <c r="W20" s="230"/>
      <c r="X20" s="230"/>
      <c r="Y20" s="230"/>
      <c r="Z20" s="230"/>
    </row>
    <row r="21" spans="1:26" s="229" customFormat="1" ht="32.1" customHeight="1">
      <c r="A21" s="273">
        <v>37</v>
      </c>
      <c r="B21" s="268" t="s">
        <v>563</v>
      </c>
      <c r="C21" s="275" t="s">
        <v>564</v>
      </c>
      <c r="D21" s="233"/>
      <c r="E21" s="233"/>
      <c r="F21" s="233"/>
      <c r="G21" s="233"/>
      <c r="H21" s="233"/>
      <c r="I21" s="233"/>
      <c r="J21" s="233"/>
      <c r="K21" s="233"/>
      <c r="L21" s="233"/>
      <c r="M21" s="233"/>
      <c r="N21" s="233"/>
      <c r="O21" s="233"/>
      <c r="P21" s="233"/>
      <c r="Q21" s="233"/>
      <c r="R21" s="230"/>
      <c r="S21" s="230"/>
      <c r="T21" s="230"/>
      <c r="U21" s="230"/>
      <c r="V21" s="230"/>
      <c r="W21" s="230"/>
      <c r="X21" s="230"/>
      <c r="Y21" s="230"/>
      <c r="Z21" s="230"/>
    </row>
    <row r="22" spans="1:26" s="229" customFormat="1" ht="32.1" customHeight="1">
      <c r="A22" s="273">
        <v>38</v>
      </c>
      <c r="B22" s="268" t="s">
        <v>565</v>
      </c>
      <c r="C22" s="275" t="s">
        <v>566</v>
      </c>
      <c r="D22" s="233"/>
      <c r="E22" s="233"/>
      <c r="F22" s="233"/>
      <c r="G22" s="233"/>
      <c r="H22" s="233"/>
      <c r="I22" s="233"/>
      <c r="J22" s="233"/>
      <c r="K22" s="233"/>
      <c r="L22" s="233"/>
      <c r="M22" s="233"/>
      <c r="N22" s="233"/>
      <c r="O22" s="233"/>
      <c r="P22" s="233"/>
      <c r="Q22" s="233"/>
      <c r="R22" s="230"/>
      <c r="S22" s="230"/>
      <c r="T22" s="230"/>
      <c r="U22" s="230"/>
      <c r="V22" s="230"/>
      <c r="W22" s="230"/>
      <c r="X22" s="230"/>
      <c r="Y22" s="230"/>
      <c r="Z22" s="230"/>
    </row>
    <row r="23" spans="1:26" s="229" customFormat="1" ht="32.1" customHeight="1">
      <c r="A23" s="273">
        <v>39</v>
      </c>
      <c r="B23" s="268" t="s">
        <v>544</v>
      </c>
      <c r="C23" s="275" t="s">
        <v>567</v>
      </c>
      <c r="D23" s="233"/>
      <c r="E23" s="233"/>
      <c r="F23" s="233"/>
      <c r="G23" s="233"/>
      <c r="H23" s="233"/>
      <c r="I23" s="233"/>
      <c r="J23" s="233"/>
      <c r="K23" s="233"/>
      <c r="L23" s="233"/>
      <c r="M23" s="233"/>
      <c r="N23" s="233"/>
      <c r="O23" s="233"/>
      <c r="P23" s="233"/>
      <c r="Q23" s="233"/>
      <c r="R23" s="230"/>
      <c r="S23" s="230"/>
      <c r="T23" s="230"/>
      <c r="U23" s="230"/>
      <c r="V23" s="230"/>
      <c r="W23" s="230"/>
      <c r="X23" s="230"/>
      <c r="Y23" s="230"/>
      <c r="Z23" s="230"/>
    </row>
    <row r="24" spans="1:26" s="229" customFormat="1" ht="30" customHeight="1">
      <c r="A24" s="273" t="s">
        <v>568</v>
      </c>
      <c r="B24" s="315" t="s">
        <v>569</v>
      </c>
      <c r="C24" s="315"/>
      <c r="D24" s="233"/>
      <c r="E24" s="233"/>
      <c r="F24" s="233"/>
      <c r="G24" s="233"/>
      <c r="H24" s="233"/>
      <c r="I24" s="233"/>
      <c r="J24" s="233"/>
      <c r="K24" s="233"/>
      <c r="L24" s="233"/>
      <c r="M24" s="233"/>
      <c r="N24" s="233"/>
      <c r="O24" s="233"/>
      <c r="P24" s="233"/>
      <c r="Q24" s="233"/>
      <c r="R24" s="230"/>
      <c r="S24" s="230"/>
      <c r="T24" s="230"/>
      <c r="U24" s="230"/>
      <c r="V24" s="230"/>
      <c r="W24" s="230"/>
      <c r="X24" s="230"/>
      <c r="Y24" s="230"/>
      <c r="Z24" s="230"/>
    </row>
    <row r="25" spans="1:26" s="229" customFormat="1" ht="30" customHeight="1">
      <c r="A25" s="273">
        <v>43</v>
      </c>
      <c r="B25" s="315" t="s">
        <v>569</v>
      </c>
      <c r="C25" s="315"/>
      <c r="D25" s="233"/>
      <c r="E25" s="233"/>
      <c r="F25" s="233"/>
      <c r="G25" s="233"/>
      <c r="H25" s="233"/>
      <c r="I25" s="233"/>
      <c r="J25" s="233"/>
      <c r="K25" s="233"/>
      <c r="L25" s="233"/>
      <c r="M25" s="233"/>
      <c r="N25" s="233"/>
      <c r="O25" s="233"/>
      <c r="P25" s="233"/>
      <c r="Q25" s="233"/>
      <c r="R25" s="230"/>
      <c r="S25" s="230"/>
      <c r="T25" s="230"/>
      <c r="U25" s="230"/>
      <c r="V25" s="230"/>
      <c r="W25" s="230"/>
      <c r="X25" s="230"/>
      <c r="Y25" s="230"/>
      <c r="Z25" s="230"/>
    </row>
    <row r="26" spans="1:26" s="229" customFormat="1" ht="19.5" customHeight="1">
      <c r="A26" s="271"/>
      <c r="B26" s="232"/>
      <c r="C26" s="235"/>
      <c r="D26" s="233"/>
      <c r="E26" s="233"/>
      <c r="F26" s="233"/>
      <c r="G26" s="233"/>
      <c r="H26" s="233"/>
      <c r="I26" s="233"/>
      <c r="J26" s="233"/>
      <c r="K26" s="233"/>
      <c r="L26" s="233"/>
      <c r="M26" s="233"/>
      <c r="N26" s="233"/>
      <c r="O26" s="233"/>
      <c r="P26" s="233"/>
      <c r="Q26" s="233"/>
      <c r="R26" s="230"/>
      <c r="S26" s="230"/>
      <c r="T26" s="230"/>
      <c r="U26" s="230"/>
      <c r="V26" s="230"/>
      <c r="W26" s="230"/>
      <c r="X26" s="230"/>
      <c r="Y26" s="230"/>
      <c r="Z26" s="230"/>
    </row>
    <row r="27" spans="1:26" s="229" customFormat="1" ht="19.5" customHeight="1">
      <c r="A27" s="271"/>
      <c r="B27" s="232"/>
      <c r="C27" s="235"/>
      <c r="D27" s="233"/>
      <c r="E27" s="233"/>
      <c r="F27" s="233"/>
      <c r="G27" s="233"/>
      <c r="H27" s="233"/>
      <c r="I27" s="233"/>
      <c r="J27" s="233"/>
      <c r="K27" s="233"/>
      <c r="L27" s="233"/>
      <c r="M27" s="233"/>
      <c r="N27" s="233"/>
      <c r="O27" s="233"/>
      <c r="P27" s="233"/>
      <c r="Q27" s="233"/>
      <c r="R27" s="230"/>
      <c r="S27" s="230"/>
      <c r="T27" s="230"/>
      <c r="U27" s="230"/>
      <c r="V27" s="230"/>
      <c r="W27" s="230"/>
      <c r="X27" s="230"/>
      <c r="Y27" s="230"/>
      <c r="Z27" s="230"/>
    </row>
    <row r="28" spans="1:26" s="229" customFormat="1" ht="19.5" customHeight="1">
      <c r="A28" s="271"/>
      <c r="B28" s="232"/>
      <c r="C28" s="235"/>
      <c r="D28" s="233"/>
      <c r="E28" s="233"/>
      <c r="F28" s="233"/>
      <c r="G28" s="233"/>
      <c r="H28" s="233"/>
      <c r="I28" s="233"/>
      <c r="J28" s="233"/>
      <c r="K28" s="233"/>
      <c r="L28" s="233"/>
      <c r="M28" s="233"/>
      <c r="N28" s="233"/>
      <c r="O28" s="233"/>
      <c r="P28" s="233"/>
      <c r="Q28" s="233"/>
      <c r="R28" s="230"/>
      <c r="S28" s="230"/>
      <c r="T28" s="230"/>
      <c r="U28" s="230"/>
      <c r="V28" s="230"/>
      <c r="W28" s="230"/>
      <c r="X28" s="230"/>
      <c r="Y28" s="230"/>
      <c r="Z28" s="230"/>
    </row>
    <row r="29" spans="1:26" s="229" customFormat="1" ht="19.5" customHeight="1">
      <c r="A29" s="271"/>
      <c r="B29" s="232"/>
      <c r="C29" s="235"/>
      <c r="D29" s="233"/>
      <c r="E29" s="233"/>
      <c r="F29" s="233"/>
      <c r="G29" s="233"/>
      <c r="H29" s="233"/>
      <c r="I29" s="233"/>
      <c r="J29" s="233"/>
      <c r="K29" s="233"/>
      <c r="L29" s="233"/>
      <c r="M29" s="233"/>
      <c r="N29" s="233"/>
      <c r="O29" s="233"/>
      <c r="P29" s="233"/>
      <c r="Q29" s="233"/>
      <c r="R29" s="230"/>
      <c r="S29" s="230"/>
      <c r="T29" s="230"/>
      <c r="U29" s="230"/>
      <c r="V29" s="230"/>
      <c r="W29" s="230"/>
      <c r="X29" s="230"/>
      <c r="Y29" s="230"/>
      <c r="Z29" s="230"/>
    </row>
    <row r="30" spans="1:26" s="229" customFormat="1" ht="19.5" customHeight="1">
      <c r="A30" s="271"/>
      <c r="B30" s="232"/>
      <c r="C30" s="235"/>
      <c r="D30" s="233"/>
      <c r="E30" s="233"/>
      <c r="F30" s="233"/>
      <c r="G30" s="233"/>
      <c r="H30" s="233"/>
      <c r="I30" s="233"/>
      <c r="J30" s="233"/>
      <c r="K30" s="233"/>
      <c r="L30" s="233"/>
      <c r="M30" s="233"/>
      <c r="N30" s="233"/>
      <c r="O30" s="233"/>
      <c r="P30" s="233"/>
      <c r="Q30" s="233"/>
      <c r="R30" s="230"/>
      <c r="S30" s="230"/>
      <c r="T30" s="230"/>
      <c r="U30" s="230"/>
      <c r="V30" s="230"/>
      <c r="W30" s="230"/>
      <c r="X30" s="230"/>
      <c r="Y30" s="230"/>
      <c r="Z30" s="230"/>
    </row>
    <row r="31" spans="1:26" s="229" customFormat="1" ht="19.5" customHeight="1">
      <c r="A31" s="271"/>
      <c r="B31" s="232"/>
      <c r="C31" s="235"/>
      <c r="D31" s="233"/>
      <c r="E31" s="233"/>
      <c r="F31" s="233"/>
      <c r="G31" s="233"/>
      <c r="H31" s="233"/>
      <c r="I31" s="233"/>
      <c r="J31" s="233"/>
      <c r="K31" s="233"/>
      <c r="L31" s="233"/>
      <c r="M31" s="233"/>
      <c r="N31" s="233"/>
      <c r="O31" s="233"/>
      <c r="P31" s="233"/>
      <c r="Q31" s="233"/>
      <c r="R31" s="230"/>
      <c r="S31" s="230"/>
      <c r="T31" s="230"/>
      <c r="U31" s="230"/>
      <c r="V31" s="230"/>
      <c r="W31" s="230"/>
      <c r="X31" s="230"/>
      <c r="Y31" s="230"/>
      <c r="Z31" s="230"/>
    </row>
    <row r="32" spans="1:26" s="229" customFormat="1" ht="19.5" customHeight="1">
      <c r="A32" s="271"/>
      <c r="B32" s="232"/>
      <c r="C32" s="235"/>
      <c r="D32" s="233"/>
      <c r="E32" s="233"/>
      <c r="F32" s="233"/>
      <c r="G32" s="233"/>
      <c r="H32" s="233"/>
      <c r="I32" s="233"/>
      <c r="J32" s="233"/>
      <c r="K32" s="233"/>
      <c r="L32" s="233"/>
      <c r="M32" s="233"/>
      <c r="N32" s="233"/>
      <c r="O32" s="233"/>
      <c r="P32" s="233"/>
      <c r="Q32" s="233"/>
      <c r="R32" s="230"/>
      <c r="S32" s="230"/>
      <c r="T32" s="230"/>
      <c r="U32" s="230"/>
      <c r="V32" s="230"/>
      <c r="W32" s="230"/>
      <c r="X32" s="230"/>
      <c r="Y32" s="230"/>
      <c r="Z32" s="230"/>
    </row>
    <row r="33" spans="1:26" s="229" customFormat="1" ht="19.5" customHeight="1">
      <c r="A33" s="271"/>
      <c r="B33" s="232"/>
      <c r="C33" s="235"/>
      <c r="D33" s="233"/>
      <c r="E33" s="233"/>
      <c r="F33" s="233"/>
      <c r="G33" s="233"/>
      <c r="H33" s="233"/>
      <c r="I33" s="233"/>
      <c r="J33" s="233"/>
      <c r="K33" s="233"/>
      <c r="L33" s="233"/>
      <c r="M33" s="233"/>
      <c r="N33" s="233"/>
      <c r="O33" s="233"/>
      <c r="P33" s="233"/>
      <c r="Q33" s="233"/>
      <c r="R33" s="230"/>
      <c r="S33" s="230"/>
      <c r="T33" s="230"/>
      <c r="U33" s="230"/>
      <c r="V33" s="230"/>
      <c r="W33" s="230"/>
      <c r="X33" s="230"/>
      <c r="Y33" s="230"/>
      <c r="Z33" s="230"/>
    </row>
    <row r="34" spans="1:26" s="229" customFormat="1" ht="19.5" customHeight="1">
      <c r="A34" s="271"/>
      <c r="B34" s="232"/>
      <c r="C34" s="235"/>
      <c r="D34" s="233"/>
      <c r="E34" s="233"/>
      <c r="F34" s="233"/>
      <c r="G34" s="233"/>
      <c r="H34" s="233"/>
      <c r="I34" s="233"/>
      <c r="J34" s="233"/>
      <c r="K34" s="233"/>
      <c r="L34" s="233"/>
      <c r="M34" s="233"/>
      <c r="N34" s="233"/>
      <c r="O34" s="233"/>
      <c r="P34" s="233"/>
      <c r="Q34" s="233"/>
      <c r="R34" s="230"/>
      <c r="S34" s="230"/>
      <c r="T34" s="230"/>
      <c r="U34" s="230"/>
      <c r="V34" s="230"/>
      <c r="W34" s="230"/>
      <c r="X34" s="230"/>
      <c r="Y34" s="230"/>
      <c r="Z34" s="230"/>
    </row>
    <row r="35" spans="1:26" s="229" customFormat="1" ht="19.5" customHeight="1">
      <c r="A35" s="271"/>
      <c r="B35" s="232"/>
      <c r="C35" s="235"/>
      <c r="D35" s="233"/>
      <c r="E35" s="233"/>
      <c r="F35" s="233"/>
      <c r="G35" s="233"/>
      <c r="H35" s="233"/>
      <c r="I35" s="233"/>
      <c r="J35" s="233"/>
      <c r="K35" s="233"/>
      <c r="L35" s="233"/>
      <c r="M35" s="233"/>
      <c r="N35" s="233"/>
      <c r="O35" s="233"/>
      <c r="P35" s="233"/>
      <c r="Q35" s="233"/>
      <c r="R35" s="230"/>
      <c r="S35" s="230"/>
      <c r="T35" s="230"/>
      <c r="U35" s="230"/>
      <c r="V35" s="230"/>
      <c r="W35" s="230"/>
      <c r="X35" s="230"/>
      <c r="Y35" s="230"/>
      <c r="Z35" s="230"/>
    </row>
    <row r="36" spans="1:26" s="229" customFormat="1" ht="19.5" customHeight="1">
      <c r="A36" s="271"/>
      <c r="B36" s="232"/>
      <c r="C36" s="235"/>
      <c r="D36" s="233"/>
      <c r="E36" s="233"/>
      <c r="F36" s="233"/>
      <c r="G36" s="233"/>
      <c r="H36" s="233"/>
      <c r="I36" s="233"/>
      <c r="J36" s="233"/>
      <c r="K36" s="233"/>
      <c r="L36" s="233"/>
      <c r="M36" s="233"/>
      <c r="N36" s="233"/>
      <c r="O36" s="233"/>
      <c r="P36" s="233"/>
      <c r="Q36" s="233"/>
      <c r="R36" s="230"/>
      <c r="S36" s="230"/>
      <c r="T36" s="230"/>
      <c r="U36" s="230"/>
      <c r="V36" s="230"/>
      <c r="W36" s="230"/>
      <c r="X36" s="230"/>
      <c r="Y36" s="230"/>
      <c r="Z36" s="230"/>
    </row>
    <row r="37" spans="1:26" s="229" customFormat="1" ht="19.5" customHeight="1">
      <c r="A37" s="271"/>
      <c r="B37" s="232"/>
      <c r="C37" s="235"/>
      <c r="D37" s="233"/>
      <c r="E37" s="233"/>
      <c r="F37" s="233"/>
      <c r="G37" s="233"/>
      <c r="H37" s="233"/>
      <c r="I37" s="233"/>
      <c r="J37" s="233"/>
      <c r="K37" s="233"/>
      <c r="L37" s="233"/>
      <c r="M37" s="233"/>
      <c r="N37" s="233"/>
      <c r="O37" s="233"/>
      <c r="P37" s="233"/>
      <c r="Q37" s="233"/>
      <c r="R37" s="230"/>
      <c r="S37" s="230"/>
      <c r="T37" s="230"/>
      <c r="U37" s="230"/>
      <c r="V37" s="230"/>
      <c r="W37" s="230"/>
      <c r="X37" s="230"/>
      <c r="Y37" s="230"/>
      <c r="Z37" s="230"/>
    </row>
    <row r="38" spans="1:26" s="229" customFormat="1" ht="19.5" customHeight="1">
      <c r="A38" s="271"/>
      <c r="B38" s="232"/>
      <c r="C38" s="235"/>
      <c r="D38" s="233"/>
      <c r="E38" s="233"/>
      <c r="F38" s="233"/>
      <c r="G38" s="233"/>
      <c r="H38" s="233"/>
      <c r="I38" s="233"/>
      <c r="J38" s="233"/>
      <c r="K38" s="233"/>
      <c r="L38" s="233"/>
      <c r="M38" s="233"/>
      <c r="N38" s="233"/>
      <c r="O38" s="233"/>
      <c r="P38" s="233"/>
      <c r="Q38" s="233"/>
      <c r="R38" s="230"/>
      <c r="S38" s="230"/>
      <c r="T38" s="230"/>
      <c r="U38" s="230"/>
      <c r="V38" s="230"/>
      <c r="W38" s="230"/>
      <c r="X38" s="230"/>
      <c r="Y38" s="230"/>
      <c r="Z38" s="230"/>
    </row>
    <row r="39" spans="1:26" s="229" customFormat="1" ht="19.5" customHeight="1">
      <c r="A39" s="271"/>
      <c r="B39" s="232"/>
      <c r="C39" s="235"/>
      <c r="D39" s="233"/>
      <c r="E39" s="233"/>
      <c r="F39" s="233"/>
      <c r="G39" s="233"/>
      <c r="H39" s="233"/>
      <c r="I39" s="233"/>
      <c r="J39" s="233"/>
      <c r="K39" s="233"/>
      <c r="L39" s="233"/>
      <c r="M39" s="233"/>
      <c r="N39" s="233"/>
      <c r="O39" s="233"/>
      <c r="P39" s="233"/>
      <c r="Q39" s="233"/>
      <c r="R39" s="230"/>
      <c r="S39" s="230"/>
      <c r="T39" s="230"/>
      <c r="U39" s="230"/>
      <c r="V39" s="230"/>
      <c r="W39" s="230"/>
      <c r="X39" s="230"/>
      <c r="Y39" s="230"/>
      <c r="Z39" s="230"/>
    </row>
    <row r="40" spans="1:26" s="229" customFormat="1" ht="19.5" customHeight="1">
      <c r="A40" s="271"/>
      <c r="B40" s="232"/>
      <c r="C40" s="235"/>
      <c r="D40" s="233"/>
      <c r="E40" s="233"/>
      <c r="F40" s="233"/>
      <c r="G40" s="233"/>
      <c r="H40" s="233"/>
      <c r="I40" s="233"/>
      <c r="J40" s="233"/>
      <c r="K40" s="233"/>
      <c r="L40" s="233"/>
      <c r="M40" s="233"/>
      <c r="N40" s="233"/>
      <c r="O40" s="233"/>
      <c r="P40" s="233"/>
      <c r="Q40" s="233"/>
      <c r="R40" s="230"/>
      <c r="S40" s="230"/>
      <c r="T40" s="230"/>
      <c r="U40" s="230"/>
      <c r="V40" s="230"/>
      <c r="W40" s="230"/>
      <c r="X40" s="230"/>
      <c r="Y40" s="230"/>
      <c r="Z40" s="230"/>
    </row>
    <row r="41" spans="1:26" s="229" customFormat="1" ht="19.5" customHeight="1">
      <c r="A41" s="271"/>
      <c r="B41" s="232"/>
      <c r="C41" s="235"/>
      <c r="D41" s="233"/>
      <c r="E41" s="233"/>
      <c r="F41" s="233"/>
      <c r="G41" s="233"/>
      <c r="H41" s="233"/>
      <c r="I41" s="233"/>
      <c r="J41" s="233"/>
      <c r="K41" s="233"/>
      <c r="L41" s="233"/>
      <c r="M41" s="233"/>
      <c r="N41" s="233"/>
      <c r="O41" s="233"/>
      <c r="P41" s="233"/>
      <c r="Q41" s="233"/>
      <c r="R41" s="230"/>
      <c r="S41" s="230"/>
      <c r="T41" s="230"/>
      <c r="U41" s="230"/>
      <c r="V41" s="230"/>
      <c r="W41" s="230"/>
      <c r="X41" s="230"/>
      <c r="Y41" s="230"/>
      <c r="Z41" s="230"/>
    </row>
    <row r="42" spans="1:26" s="229" customFormat="1" ht="19.5" customHeight="1">
      <c r="A42" s="271"/>
      <c r="B42" s="232"/>
      <c r="C42" s="235"/>
      <c r="D42" s="233"/>
      <c r="E42" s="233"/>
      <c r="F42" s="233"/>
      <c r="G42" s="233"/>
      <c r="H42" s="233"/>
      <c r="I42" s="233"/>
      <c r="J42" s="233"/>
      <c r="K42" s="233"/>
      <c r="L42" s="233"/>
      <c r="M42" s="233"/>
      <c r="N42" s="233"/>
      <c r="O42" s="233"/>
      <c r="P42" s="233"/>
      <c r="Q42" s="233"/>
      <c r="R42" s="230"/>
      <c r="S42" s="230"/>
      <c r="T42" s="230"/>
      <c r="U42" s="230"/>
      <c r="V42" s="230"/>
      <c r="W42" s="230"/>
      <c r="X42" s="230"/>
      <c r="Y42" s="230"/>
      <c r="Z42" s="230"/>
    </row>
    <row r="43" spans="1:26" s="229" customFormat="1" ht="19.5" customHeight="1">
      <c r="A43" s="271"/>
      <c r="B43" s="232"/>
      <c r="C43" s="235"/>
      <c r="D43" s="233"/>
      <c r="E43" s="233"/>
      <c r="F43" s="233"/>
      <c r="G43" s="233"/>
      <c r="H43" s="233"/>
      <c r="I43" s="233"/>
      <c r="J43" s="233"/>
      <c r="K43" s="233"/>
      <c r="L43" s="233"/>
      <c r="M43" s="233"/>
      <c r="N43" s="233"/>
      <c r="O43" s="233"/>
      <c r="P43" s="233"/>
      <c r="Q43" s="233"/>
      <c r="R43" s="230"/>
      <c r="S43" s="230"/>
      <c r="T43" s="230"/>
      <c r="U43" s="230"/>
      <c r="V43" s="230"/>
      <c r="W43" s="230"/>
      <c r="X43" s="230"/>
      <c r="Y43" s="230"/>
      <c r="Z43" s="230"/>
    </row>
    <row r="44" spans="1:26" s="229" customFormat="1" ht="19.5" customHeight="1">
      <c r="A44" s="271"/>
      <c r="B44" s="232"/>
      <c r="C44" s="235"/>
      <c r="D44" s="233"/>
      <c r="E44" s="233"/>
      <c r="F44" s="233"/>
      <c r="G44" s="233"/>
      <c r="H44" s="233"/>
      <c r="I44" s="233"/>
      <c r="J44" s="233"/>
      <c r="K44" s="233"/>
      <c r="L44" s="233"/>
      <c r="M44" s="233"/>
      <c r="N44" s="233"/>
      <c r="O44" s="233"/>
      <c r="P44" s="233"/>
      <c r="Q44" s="233"/>
      <c r="R44" s="230"/>
      <c r="S44" s="230"/>
      <c r="T44" s="230"/>
      <c r="U44" s="230"/>
      <c r="V44" s="230"/>
      <c r="W44" s="230"/>
      <c r="X44" s="230"/>
      <c r="Y44" s="230"/>
      <c r="Z44" s="230"/>
    </row>
    <row r="45" spans="1:26" s="229" customFormat="1" ht="19.5" customHeight="1">
      <c r="A45" s="271"/>
      <c r="B45" s="232"/>
      <c r="C45" s="235"/>
      <c r="D45" s="233"/>
      <c r="E45" s="233"/>
      <c r="F45" s="233"/>
      <c r="G45" s="233"/>
      <c r="H45" s="233"/>
      <c r="I45" s="233"/>
      <c r="J45" s="233"/>
      <c r="K45" s="233"/>
      <c r="L45" s="233"/>
      <c r="M45" s="233"/>
      <c r="N45" s="233"/>
      <c r="O45" s="233"/>
      <c r="P45" s="233"/>
      <c r="Q45" s="233"/>
      <c r="R45" s="230"/>
      <c r="S45" s="230"/>
      <c r="T45" s="230"/>
      <c r="U45" s="230"/>
      <c r="V45" s="230"/>
      <c r="W45" s="230"/>
      <c r="X45" s="230"/>
      <c r="Y45" s="230"/>
      <c r="Z45" s="230"/>
    </row>
    <row r="46" spans="1:26" s="229" customFormat="1" ht="19.5" customHeight="1">
      <c r="A46" s="271"/>
      <c r="B46" s="232"/>
      <c r="C46" s="235"/>
      <c r="D46" s="233"/>
      <c r="E46" s="233"/>
      <c r="F46" s="233"/>
      <c r="G46" s="233"/>
      <c r="H46" s="233"/>
      <c r="I46" s="233"/>
      <c r="J46" s="233"/>
      <c r="K46" s="233"/>
      <c r="L46" s="233"/>
      <c r="M46" s="233"/>
      <c r="N46" s="233"/>
      <c r="O46" s="233"/>
      <c r="P46" s="233"/>
      <c r="Q46" s="233"/>
      <c r="R46" s="230"/>
      <c r="S46" s="230"/>
      <c r="T46" s="230"/>
      <c r="U46" s="230"/>
      <c r="V46" s="230"/>
      <c r="W46" s="230"/>
      <c r="X46" s="230"/>
      <c r="Y46" s="230"/>
      <c r="Z46" s="230"/>
    </row>
    <row r="47" spans="1:26" s="229" customFormat="1" ht="19.5" customHeight="1">
      <c r="A47" s="271"/>
      <c r="B47" s="232"/>
      <c r="C47" s="235"/>
      <c r="D47" s="233"/>
      <c r="E47" s="233"/>
      <c r="F47" s="233"/>
      <c r="G47" s="233"/>
      <c r="H47" s="233"/>
      <c r="I47" s="233"/>
      <c r="J47" s="233"/>
      <c r="K47" s="233"/>
      <c r="L47" s="233"/>
      <c r="M47" s="233"/>
      <c r="N47" s="233"/>
      <c r="O47" s="233"/>
      <c r="P47" s="233"/>
      <c r="Q47" s="233"/>
      <c r="R47" s="230"/>
      <c r="S47" s="230"/>
      <c r="T47" s="230"/>
      <c r="U47" s="230"/>
      <c r="V47" s="230"/>
      <c r="W47" s="230"/>
      <c r="X47" s="230"/>
      <c r="Y47" s="230"/>
      <c r="Z47" s="230"/>
    </row>
    <row r="48" spans="1:26" s="229" customFormat="1" ht="19.5" customHeight="1">
      <c r="A48" s="271"/>
      <c r="B48" s="232"/>
      <c r="C48" s="235"/>
      <c r="D48" s="233"/>
      <c r="E48" s="233"/>
      <c r="F48" s="233"/>
      <c r="G48" s="233"/>
      <c r="H48" s="233"/>
      <c r="I48" s="233"/>
      <c r="J48" s="233"/>
      <c r="K48" s="233"/>
      <c r="L48" s="233"/>
      <c r="M48" s="233"/>
      <c r="N48" s="233"/>
      <c r="O48" s="233"/>
      <c r="P48" s="233"/>
      <c r="Q48" s="233"/>
      <c r="R48" s="230"/>
      <c r="S48" s="230"/>
      <c r="T48" s="230"/>
      <c r="U48" s="230"/>
      <c r="V48" s="230"/>
      <c r="W48" s="230"/>
      <c r="X48" s="230"/>
      <c r="Y48" s="230"/>
      <c r="Z48" s="230"/>
    </row>
    <row r="49" spans="1:26" s="229" customFormat="1" ht="19.5" customHeight="1">
      <c r="A49" s="271"/>
      <c r="B49" s="232"/>
      <c r="C49" s="235"/>
      <c r="D49" s="233"/>
      <c r="E49" s="233"/>
      <c r="F49" s="233"/>
      <c r="G49" s="233"/>
      <c r="H49" s="233"/>
      <c r="I49" s="233"/>
      <c r="J49" s="233"/>
      <c r="K49" s="233"/>
      <c r="L49" s="233"/>
      <c r="M49" s="233"/>
      <c r="N49" s="233"/>
      <c r="O49" s="233"/>
      <c r="P49" s="233"/>
      <c r="Q49" s="233"/>
      <c r="R49" s="230"/>
      <c r="S49" s="230"/>
      <c r="T49" s="230"/>
      <c r="U49" s="230"/>
      <c r="V49" s="230"/>
      <c r="W49" s="230"/>
      <c r="X49" s="230"/>
      <c r="Y49" s="230"/>
      <c r="Z49" s="230"/>
    </row>
    <row r="50" spans="1:26" s="229" customFormat="1" ht="19.5" customHeight="1">
      <c r="A50" s="271"/>
      <c r="B50" s="232"/>
      <c r="C50" s="235"/>
      <c r="D50" s="233"/>
      <c r="E50" s="233"/>
      <c r="F50" s="233"/>
      <c r="G50" s="233"/>
      <c r="H50" s="233"/>
      <c r="I50" s="233"/>
      <c r="J50" s="233"/>
      <c r="K50" s="233"/>
      <c r="L50" s="233"/>
      <c r="M50" s="233"/>
      <c r="N50" s="233"/>
      <c r="O50" s="233"/>
      <c r="P50" s="233"/>
      <c r="Q50" s="233"/>
      <c r="R50" s="230"/>
      <c r="S50" s="230"/>
      <c r="T50" s="230"/>
      <c r="U50" s="230"/>
      <c r="V50" s="230"/>
      <c r="W50" s="230"/>
      <c r="X50" s="230"/>
      <c r="Y50" s="230"/>
      <c r="Z50" s="230"/>
    </row>
    <row r="51" spans="1:26" s="229" customFormat="1" ht="19.5" customHeight="1">
      <c r="A51" s="271"/>
      <c r="B51" s="232"/>
      <c r="C51" s="235"/>
      <c r="D51" s="233"/>
      <c r="E51" s="233"/>
      <c r="F51" s="233"/>
      <c r="G51" s="233"/>
      <c r="H51" s="233"/>
      <c r="I51" s="233"/>
      <c r="J51" s="233"/>
      <c r="K51" s="233"/>
      <c r="L51" s="233"/>
      <c r="M51" s="233"/>
      <c r="N51" s="233"/>
      <c r="O51" s="233"/>
      <c r="P51" s="233"/>
      <c r="Q51" s="233"/>
      <c r="R51" s="230"/>
      <c r="S51" s="230"/>
      <c r="T51" s="230"/>
      <c r="U51" s="230"/>
      <c r="V51" s="230"/>
      <c r="W51" s="230"/>
      <c r="X51" s="230"/>
      <c r="Y51" s="230"/>
      <c r="Z51" s="230"/>
    </row>
    <row r="52" spans="1:26" s="229" customFormat="1" ht="19.5" customHeight="1">
      <c r="A52" s="271"/>
      <c r="B52" s="232"/>
      <c r="C52" s="235"/>
      <c r="D52" s="233"/>
      <c r="E52" s="233"/>
      <c r="F52" s="233"/>
      <c r="G52" s="233"/>
      <c r="H52" s="233"/>
      <c r="I52" s="233"/>
      <c r="J52" s="233"/>
      <c r="K52" s="233"/>
      <c r="L52" s="233"/>
      <c r="M52" s="233"/>
      <c r="N52" s="233"/>
      <c r="O52" s="233"/>
      <c r="P52" s="233"/>
      <c r="Q52" s="233"/>
      <c r="R52" s="230"/>
      <c r="S52" s="230"/>
      <c r="T52" s="230"/>
      <c r="U52" s="230"/>
      <c r="V52" s="230"/>
      <c r="W52" s="230"/>
      <c r="X52" s="230"/>
      <c r="Y52" s="230"/>
      <c r="Z52" s="230"/>
    </row>
    <row r="53" spans="1:26" s="229" customFormat="1" ht="19.5" customHeight="1">
      <c r="A53" s="271"/>
      <c r="B53" s="232"/>
      <c r="C53" s="235"/>
      <c r="D53" s="233"/>
      <c r="E53" s="233"/>
      <c r="F53" s="233"/>
      <c r="G53" s="233"/>
      <c r="H53" s="233"/>
      <c r="I53" s="233"/>
      <c r="J53" s="233"/>
      <c r="K53" s="233"/>
      <c r="L53" s="233"/>
      <c r="M53" s="233"/>
      <c r="N53" s="233"/>
      <c r="O53" s="233"/>
      <c r="P53" s="233"/>
      <c r="Q53" s="233"/>
      <c r="R53" s="230"/>
      <c r="S53" s="230"/>
      <c r="T53" s="230"/>
      <c r="U53" s="230"/>
      <c r="V53" s="230"/>
      <c r="W53" s="230"/>
      <c r="X53" s="230"/>
      <c r="Y53" s="230"/>
      <c r="Z53" s="230"/>
    </row>
    <row r="54" spans="1:26" s="229" customFormat="1" ht="19.5" customHeight="1">
      <c r="A54" s="271"/>
      <c r="B54" s="232"/>
      <c r="C54" s="235"/>
      <c r="D54" s="233"/>
      <c r="E54" s="233"/>
      <c r="F54" s="233"/>
      <c r="G54" s="233"/>
      <c r="H54" s="233"/>
      <c r="I54" s="233"/>
      <c r="J54" s="233"/>
      <c r="K54" s="233"/>
      <c r="L54" s="233"/>
      <c r="M54" s="233"/>
      <c r="N54" s="233"/>
      <c r="O54" s="233"/>
      <c r="P54" s="233"/>
      <c r="Q54" s="233"/>
      <c r="R54" s="230"/>
      <c r="S54" s="230"/>
      <c r="T54" s="230"/>
      <c r="U54" s="230"/>
      <c r="V54" s="230"/>
      <c r="W54" s="230"/>
      <c r="X54" s="230"/>
      <c r="Y54" s="230"/>
      <c r="Z54" s="230"/>
    </row>
    <row r="55" spans="1:26" s="229" customFormat="1" ht="19.5" customHeight="1">
      <c r="A55" s="271"/>
      <c r="B55" s="232"/>
      <c r="C55" s="235"/>
      <c r="D55" s="233"/>
      <c r="E55" s="233"/>
      <c r="F55" s="233"/>
      <c r="G55" s="233"/>
      <c r="H55" s="233"/>
      <c r="I55" s="233"/>
      <c r="J55" s="233"/>
      <c r="K55" s="233"/>
      <c r="L55" s="233"/>
      <c r="M55" s="233"/>
      <c r="N55" s="233"/>
      <c r="O55" s="233"/>
      <c r="P55" s="233"/>
      <c r="Q55" s="233"/>
      <c r="R55" s="230"/>
      <c r="S55" s="230"/>
      <c r="T55" s="230"/>
      <c r="U55" s="230"/>
      <c r="V55" s="230"/>
      <c r="W55" s="230"/>
      <c r="X55" s="230"/>
      <c r="Y55" s="230"/>
      <c r="Z55" s="230"/>
    </row>
    <row r="56" spans="1:26" s="229" customFormat="1" ht="19.5" customHeight="1">
      <c r="A56" s="271"/>
      <c r="B56" s="232"/>
      <c r="C56" s="235"/>
      <c r="D56" s="233"/>
      <c r="E56" s="233"/>
      <c r="F56" s="233"/>
      <c r="G56" s="233"/>
      <c r="H56" s="233"/>
      <c r="I56" s="233"/>
      <c r="J56" s="233"/>
      <c r="K56" s="233"/>
      <c r="L56" s="233"/>
      <c r="M56" s="233"/>
      <c r="N56" s="233"/>
      <c r="O56" s="233"/>
      <c r="P56" s="233"/>
      <c r="Q56" s="233"/>
      <c r="R56" s="230"/>
      <c r="S56" s="230"/>
      <c r="T56" s="230"/>
      <c r="U56" s="230"/>
      <c r="V56" s="230"/>
      <c r="W56" s="230"/>
      <c r="X56" s="230"/>
      <c r="Y56" s="230"/>
      <c r="Z56" s="230"/>
    </row>
    <row r="57" spans="1:26" s="229" customFormat="1" ht="19.5" customHeight="1">
      <c r="A57" s="271"/>
      <c r="B57" s="232"/>
      <c r="C57" s="235"/>
      <c r="D57" s="233"/>
      <c r="E57" s="233"/>
      <c r="F57" s="233"/>
      <c r="G57" s="233"/>
      <c r="H57" s="233"/>
      <c r="I57" s="233"/>
      <c r="J57" s="233"/>
      <c r="K57" s="233"/>
      <c r="L57" s="233"/>
      <c r="M57" s="233"/>
      <c r="N57" s="233"/>
      <c r="O57" s="233"/>
      <c r="P57" s="233"/>
      <c r="Q57" s="233"/>
      <c r="R57" s="230"/>
      <c r="S57" s="230"/>
      <c r="T57" s="230"/>
      <c r="U57" s="230"/>
      <c r="V57" s="230"/>
      <c r="W57" s="230"/>
      <c r="X57" s="230"/>
      <c r="Y57" s="230"/>
      <c r="Z57" s="230"/>
    </row>
    <row r="58" spans="1:26" s="229" customFormat="1" ht="19.5" customHeight="1">
      <c r="A58" s="271"/>
      <c r="B58" s="232"/>
      <c r="C58" s="235"/>
      <c r="D58" s="233"/>
      <c r="E58" s="233"/>
      <c r="F58" s="233"/>
      <c r="G58" s="233"/>
      <c r="H58" s="233"/>
      <c r="I58" s="233"/>
      <c r="J58" s="233"/>
      <c r="K58" s="233"/>
      <c r="L58" s="233"/>
      <c r="M58" s="233"/>
      <c r="N58" s="233"/>
      <c r="O58" s="233"/>
      <c r="P58" s="233"/>
      <c r="Q58" s="233"/>
      <c r="R58" s="230"/>
      <c r="S58" s="230"/>
      <c r="T58" s="230"/>
      <c r="U58" s="230"/>
      <c r="V58" s="230"/>
      <c r="W58" s="230"/>
      <c r="X58" s="230"/>
      <c r="Y58" s="230"/>
      <c r="Z58" s="230"/>
    </row>
    <row r="59" spans="1:26" s="229" customFormat="1" ht="19.5" customHeight="1">
      <c r="A59" s="271"/>
      <c r="B59" s="232"/>
      <c r="C59" s="235"/>
      <c r="D59" s="233"/>
      <c r="E59" s="233"/>
      <c r="F59" s="233"/>
      <c r="G59" s="233"/>
      <c r="H59" s="233"/>
      <c r="I59" s="233"/>
      <c r="J59" s="233"/>
      <c r="K59" s="233"/>
      <c r="L59" s="233"/>
      <c r="M59" s="233"/>
      <c r="N59" s="233"/>
      <c r="O59" s="233"/>
      <c r="P59" s="233"/>
      <c r="Q59" s="233"/>
      <c r="R59" s="230"/>
      <c r="S59" s="230"/>
      <c r="T59" s="230"/>
      <c r="U59" s="230"/>
      <c r="V59" s="230"/>
      <c r="W59" s="230"/>
      <c r="X59" s="230"/>
      <c r="Y59" s="230"/>
      <c r="Z59" s="230"/>
    </row>
    <row r="60" spans="1:26" s="229" customFormat="1" ht="19.5" customHeight="1">
      <c r="A60" s="271"/>
      <c r="B60" s="232"/>
      <c r="C60" s="235"/>
      <c r="D60" s="233"/>
      <c r="E60" s="233"/>
      <c r="F60" s="233"/>
      <c r="G60" s="233"/>
      <c r="H60" s="233"/>
      <c r="I60" s="233"/>
      <c r="J60" s="233"/>
      <c r="K60" s="233"/>
      <c r="L60" s="233"/>
      <c r="M60" s="233"/>
      <c r="N60" s="233"/>
      <c r="O60" s="233"/>
      <c r="P60" s="233"/>
      <c r="Q60" s="233"/>
      <c r="R60" s="230"/>
      <c r="S60" s="230"/>
      <c r="T60" s="230"/>
      <c r="U60" s="230"/>
      <c r="V60" s="230"/>
      <c r="W60" s="230"/>
      <c r="X60" s="230"/>
      <c r="Y60" s="230"/>
      <c r="Z60" s="230"/>
    </row>
    <row r="61" spans="1:26" s="229" customFormat="1" ht="19.5" customHeight="1">
      <c r="A61" s="271"/>
      <c r="B61" s="232"/>
      <c r="C61" s="235"/>
      <c r="D61" s="233"/>
      <c r="E61" s="233"/>
      <c r="F61" s="233"/>
      <c r="G61" s="233"/>
      <c r="H61" s="233"/>
      <c r="I61" s="233"/>
      <c r="J61" s="233"/>
      <c r="K61" s="233"/>
      <c r="L61" s="233"/>
      <c r="M61" s="233"/>
      <c r="N61" s="233"/>
      <c r="O61" s="233"/>
      <c r="P61" s="233"/>
      <c r="Q61" s="233"/>
      <c r="R61" s="230"/>
      <c r="S61" s="230"/>
      <c r="T61" s="230"/>
      <c r="U61" s="230"/>
      <c r="V61" s="230"/>
      <c r="W61" s="230"/>
      <c r="X61" s="230"/>
      <c r="Y61" s="230"/>
      <c r="Z61" s="230"/>
    </row>
    <row r="62" spans="1:26" s="229" customFormat="1" ht="19.5" customHeight="1">
      <c r="A62" s="271"/>
      <c r="B62" s="232"/>
      <c r="C62" s="235"/>
      <c r="D62" s="233"/>
      <c r="E62" s="233"/>
      <c r="F62" s="233"/>
      <c r="G62" s="233"/>
      <c r="H62" s="233"/>
      <c r="I62" s="233"/>
      <c r="J62" s="233"/>
      <c r="K62" s="233"/>
      <c r="L62" s="233"/>
      <c r="M62" s="233"/>
      <c r="N62" s="233"/>
      <c r="O62" s="233"/>
      <c r="P62" s="233"/>
      <c r="Q62" s="233"/>
      <c r="R62" s="230"/>
      <c r="S62" s="230"/>
      <c r="T62" s="230"/>
      <c r="U62" s="230"/>
      <c r="V62" s="230"/>
      <c r="W62" s="230"/>
      <c r="X62" s="230"/>
      <c r="Y62" s="230"/>
      <c r="Z62" s="230"/>
    </row>
    <row r="63" spans="1:26" s="229" customFormat="1" ht="19.5" customHeight="1">
      <c r="A63" s="271"/>
      <c r="B63" s="232"/>
      <c r="C63" s="235"/>
      <c r="D63" s="233"/>
      <c r="E63" s="233"/>
      <c r="F63" s="233"/>
      <c r="G63" s="233"/>
      <c r="H63" s="233"/>
      <c r="I63" s="233"/>
      <c r="J63" s="233"/>
      <c r="K63" s="233"/>
      <c r="L63" s="233"/>
      <c r="M63" s="233"/>
      <c r="N63" s="233"/>
      <c r="O63" s="233"/>
      <c r="P63" s="233"/>
      <c r="Q63" s="233"/>
      <c r="R63" s="230"/>
      <c r="S63" s="230"/>
      <c r="T63" s="230"/>
      <c r="U63" s="230"/>
      <c r="V63" s="230"/>
      <c r="W63" s="230"/>
      <c r="X63" s="230"/>
      <c r="Y63" s="230"/>
      <c r="Z63" s="230"/>
    </row>
    <row r="64" spans="1:26" s="229" customFormat="1" ht="19.5" customHeight="1">
      <c r="A64" s="271"/>
      <c r="B64" s="232"/>
      <c r="C64" s="235"/>
      <c r="D64" s="233"/>
      <c r="E64" s="233"/>
      <c r="F64" s="233"/>
      <c r="G64" s="233"/>
      <c r="H64" s="233"/>
      <c r="I64" s="233"/>
      <c r="J64" s="233"/>
      <c r="K64" s="233"/>
      <c r="L64" s="233"/>
      <c r="M64" s="233"/>
      <c r="N64" s="233"/>
      <c r="O64" s="233"/>
      <c r="P64" s="233"/>
      <c r="Q64" s="233"/>
      <c r="R64" s="230"/>
      <c r="S64" s="230"/>
      <c r="T64" s="230"/>
      <c r="U64" s="230"/>
      <c r="V64" s="230"/>
      <c r="W64" s="230"/>
      <c r="X64" s="230"/>
      <c r="Y64" s="230"/>
      <c r="Z64" s="230"/>
    </row>
    <row r="65" spans="1:26" s="229" customFormat="1" ht="19.5" customHeight="1">
      <c r="A65" s="271"/>
      <c r="B65" s="232"/>
      <c r="C65" s="235"/>
      <c r="D65" s="233"/>
      <c r="E65" s="233"/>
      <c r="F65" s="233"/>
      <c r="G65" s="233"/>
      <c r="H65" s="233"/>
      <c r="I65" s="233"/>
      <c r="J65" s="233"/>
      <c r="K65" s="233"/>
      <c r="L65" s="233"/>
      <c r="M65" s="233"/>
      <c r="N65" s="233"/>
      <c r="O65" s="233"/>
      <c r="P65" s="233"/>
      <c r="Q65" s="233"/>
      <c r="R65" s="230"/>
      <c r="S65" s="230"/>
      <c r="T65" s="230"/>
      <c r="U65" s="230"/>
      <c r="V65" s="230"/>
      <c r="W65" s="230"/>
      <c r="X65" s="230"/>
      <c r="Y65" s="230"/>
      <c r="Z65" s="230"/>
    </row>
    <row r="66" spans="1:26" s="229" customFormat="1" ht="19.5" customHeight="1">
      <c r="A66" s="271"/>
      <c r="B66" s="232"/>
      <c r="C66" s="235"/>
      <c r="D66" s="233"/>
      <c r="E66" s="233"/>
      <c r="F66" s="233"/>
      <c r="G66" s="233"/>
      <c r="H66" s="233"/>
      <c r="I66" s="233"/>
      <c r="J66" s="233"/>
      <c r="K66" s="233"/>
      <c r="L66" s="233"/>
      <c r="M66" s="233"/>
      <c r="N66" s="233"/>
      <c r="O66" s="233"/>
      <c r="P66" s="233"/>
      <c r="Q66" s="233"/>
      <c r="R66" s="230"/>
      <c r="S66" s="230"/>
      <c r="T66" s="230"/>
      <c r="U66" s="230"/>
      <c r="V66" s="230"/>
      <c r="W66" s="230"/>
      <c r="X66" s="230"/>
      <c r="Y66" s="230"/>
      <c r="Z66" s="230"/>
    </row>
    <row r="67" spans="1:26" s="229" customFormat="1" ht="19.5" customHeight="1">
      <c r="A67" s="271"/>
      <c r="B67" s="232"/>
      <c r="C67" s="235"/>
      <c r="D67" s="233"/>
      <c r="E67" s="233"/>
      <c r="F67" s="233"/>
      <c r="G67" s="233"/>
      <c r="H67" s="233"/>
      <c r="I67" s="233"/>
      <c r="J67" s="233"/>
      <c r="K67" s="233"/>
      <c r="L67" s="233"/>
      <c r="M67" s="233"/>
      <c r="N67" s="233"/>
      <c r="O67" s="233"/>
      <c r="P67" s="233"/>
      <c r="Q67" s="233"/>
      <c r="R67" s="230"/>
      <c r="S67" s="230"/>
      <c r="T67" s="230"/>
      <c r="U67" s="230"/>
      <c r="V67" s="230"/>
      <c r="W67" s="230"/>
      <c r="X67" s="230"/>
      <c r="Y67" s="230"/>
      <c r="Z67" s="230"/>
    </row>
    <row r="68" spans="1:26" s="229" customFormat="1" ht="19.5" customHeight="1">
      <c r="A68" s="271"/>
      <c r="B68" s="232"/>
      <c r="C68" s="235"/>
      <c r="D68" s="233"/>
      <c r="E68" s="233"/>
      <c r="F68" s="233"/>
      <c r="G68" s="233"/>
      <c r="H68" s="233"/>
      <c r="I68" s="233"/>
      <c r="J68" s="233"/>
      <c r="K68" s="233"/>
      <c r="L68" s="233"/>
      <c r="M68" s="233"/>
      <c r="N68" s="233"/>
      <c r="O68" s="233"/>
      <c r="P68" s="233"/>
      <c r="Q68" s="233"/>
      <c r="R68" s="230"/>
      <c r="S68" s="230"/>
      <c r="T68" s="230"/>
      <c r="U68" s="230"/>
      <c r="V68" s="230"/>
      <c r="W68" s="230"/>
      <c r="X68" s="230"/>
      <c r="Y68" s="230"/>
      <c r="Z68" s="230"/>
    </row>
    <row r="69" spans="1:26" s="229" customFormat="1" ht="19.5" customHeight="1">
      <c r="A69" s="271"/>
      <c r="B69" s="232"/>
      <c r="C69" s="235"/>
      <c r="D69" s="233"/>
      <c r="E69" s="233"/>
      <c r="F69" s="233"/>
      <c r="G69" s="233"/>
      <c r="H69" s="233"/>
      <c r="I69" s="233"/>
      <c r="J69" s="233"/>
      <c r="K69" s="233"/>
      <c r="L69" s="233"/>
      <c r="M69" s="233"/>
      <c r="N69" s="233"/>
      <c r="O69" s="233"/>
      <c r="P69" s="233"/>
      <c r="Q69" s="233"/>
      <c r="R69" s="230"/>
      <c r="S69" s="230"/>
      <c r="T69" s="230"/>
      <c r="U69" s="230"/>
      <c r="V69" s="230"/>
      <c r="W69" s="230"/>
      <c r="X69" s="230"/>
      <c r="Y69" s="230"/>
      <c r="Z69" s="230"/>
    </row>
    <row r="70" spans="1:26" s="229" customFormat="1" ht="19.5" customHeight="1">
      <c r="A70" s="271"/>
      <c r="B70" s="232"/>
      <c r="C70" s="235"/>
      <c r="D70" s="233"/>
      <c r="E70" s="233"/>
      <c r="F70" s="233"/>
      <c r="G70" s="233"/>
      <c r="H70" s="233"/>
      <c r="I70" s="233"/>
      <c r="J70" s="233"/>
      <c r="K70" s="233"/>
      <c r="L70" s="233"/>
      <c r="M70" s="233"/>
      <c r="N70" s="233"/>
      <c r="O70" s="233"/>
      <c r="P70" s="233"/>
      <c r="Q70" s="233"/>
      <c r="R70" s="230"/>
      <c r="S70" s="230"/>
      <c r="T70" s="230"/>
      <c r="U70" s="230"/>
      <c r="V70" s="230"/>
      <c r="W70" s="230"/>
      <c r="X70" s="230"/>
      <c r="Y70" s="230"/>
      <c r="Z70" s="230"/>
    </row>
    <row r="71" spans="1:26" s="229" customFormat="1" ht="19.5" customHeight="1">
      <c r="A71" s="271"/>
      <c r="B71" s="232"/>
      <c r="C71" s="235"/>
      <c r="D71" s="233"/>
      <c r="E71" s="233"/>
      <c r="F71" s="233"/>
      <c r="G71" s="233"/>
      <c r="H71" s="233"/>
      <c r="I71" s="233"/>
      <c r="J71" s="233"/>
      <c r="K71" s="233"/>
      <c r="L71" s="233"/>
      <c r="M71" s="233"/>
      <c r="N71" s="233"/>
      <c r="O71" s="233"/>
      <c r="P71" s="233"/>
      <c r="Q71" s="233"/>
      <c r="R71" s="230"/>
      <c r="S71" s="230"/>
      <c r="T71" s="230"/>
      <c r="U71" s="230"/>
      <c r="V71" s="230"/>
      <c r="W71" s="230"/>
      <c r="X71" s="230"/>
      <c r="Y71" s="230"/>
      <c r="Z71" s="230"/>
    </row>
    <row r="72" spans="1:26" s="229" customFormat="1" ht="19.5" customHeight="1">
      <c r="A72" s="271"/>
      <c r="B72" s="232"/>
      <c r="C72" s="235"/>
      <c r="D72" s="233"/>
      <c r="E72" s="233"/>
      <c r="F72" s="233"/>
      <c r="G72" s="233"/>
      <c r="H72" s="233"/>
      <c r="I72" s="233"/>
      <c r="J72" s="233"/>
      <c r="K72" s="233"/>
      <c r="L72" s="233"/>
      <c r="M72" s="233"/>
      <c r="N72" s="233"/>
      <c r="O72" s="233"/>
      <c r="P72" s="233"/>
      <c r="Q72" s="233"/>
      <c r="R72" s="230"/>
      <c r="S72" s="230"/>
      <c r="T72" s="230"/>
      <c r="U72" s="230"/>
      <c r="V72" s="230"/>
      <c r="W72" s="230"/>
      <c r="X72" s="230"/>
      <c r="Y72" s="230"/>
      <c r="Z72" s="230"/>
    </row>
    <row r="73" spans="1:26" s="229" customFormat="1" ht="19.5" customHeight="1">
      <c r="A73" s="271"/>
      <c r="B73" s="232"/>
      <c r="C73" s="235"/>
      <c r="D73" s="233"/>
      <c r="E73" s="233"/>
      <c r="F73" s="233"/>
      <c r="G73" s="233"/>
      <c r="H73" s="233"/>
      <c r="I73" s="233"/>
      <c r="J73" s="233"/>
      <c r="K73" s="233"/>
      <c r="L73" s="233"/>
      <c r="M73" s="233"/>
      <c r="N73" s="233"/>
      <c r="O73" s="233"/>
      <c r="P73" s="233"/>
      <c r="Q73" s="233"/>
      <c r="R73" s="230"/>
      <c r="S73" s="230"/>
      <c r="T73" s="230"/>
      <c r="U73" s="230"/>
      <c r="V73" s="230"/>
      <c r="W73" s="230"/>
      <c r="X73" s="230"/>
      <c r="Y73" s="230"/>
      <c r="Z73" s="230"/>
    </row>
    <row r="74" spans="1:26" s="229" customFormat="1" ht="19.5" customHeight="1">
      <c r="A74" s="271"/>
      <c r="B74" s="232"/>
      <c r="C74" s="235"/>
      <c r="D74" s="233"/>
      <c r="E74" s="233"/>
      <c r="F74" s="233"/>
      <c r="G74" s="233"/>
      <c r="H74" s="233"/>
      <c r="I74" s="233"/>
      <c r="J74" s="233"/>
      <c r="K74" s="233"/>
      <c r="L74" s="233"/>
      <c r="M74" s="233"/>
      <c r="N74" s="233"/>
      <c r="O74" s="233"/>
      <c r="P74" s="233"/>
      <c r="Q74" s="233"/>
      <c r="R74" s="230"/>
      <c r="S74" s="230"/>
      <c r="T74" s="230"/>
      <c r="U74" s="230"/>
      <c r="V74" s="230"/>
      <c r="W74" s="230"/>
      <c r="X74" s="230"/>
      <c r="Y74" s="230"/>
      <c r="Z74" s="230"/>
    </row>
    <row r="75" spans="1:26" s="229" customFormat="1" ht="19.5" customHeight="1">
      <c r="A75" s="271"/>
      <c r="B75" s="232"/>
      <c r="C75" s="235"/>
      <c r="D75" s="233"/>
      <c r="E75" s="233"/>
      <c r="F75" s="233"/>
      <c r="G75" s="233"/>
      <c r="H75" s="233"/>
      <c r="I75" s="233"/>
      <c r="J75" s="233"/>
      <c r="K75" s="233"/>
      <c r="L75" s="233"/>
      <c r="M75" s="233"/>
      <c r="N75" s="233"/>
      <c r="O75" s="233"/>
      <c r="P75" s="233"/>
      <c r="Q75" s="233"/>
      <c r="R75" s="230"/>
      <c r="S75" s="230"/>
      <c r="T75" s="230"/>
      <c r="U75" s="230"/>
      <c r="V75" s="230"/>
      <c r="W75" s="230"/>
      <c r="X75" s="230"/>
      <c r="Y75" s="230"/>
      <c r="Z75" s="230"/>
    </row>
    <row r="76" spans="1:26" s="229" customFormat="1" ht="19.5" customHeight="1">
      <c r="A76" s="271"/>
      <c r="B76" s="232"/>
      <c r="C76" s="235"/>
      <c r="D76" s="233"/>
      <c r="E76" s="233"/>
      <c r="F76" s="233"/>
      <c r="G76" s="233"/>
      <c r="H76" s="233"/>
      <c r="I76" s="233"/>
      <c r="J76" s="233"/>
      <c r="K76" s="233"/>
      <c r="L76" s="233"/>
      <c r="M76" s="233"/>
      <c r="N76" s="233"/>
      <c r="O76" s="233"/>
      <c r="P76" s="233"/>
      <c r="Q76" s="233"/>
      <c r="R76" s="230"/>
      <c r="S76" s="230"/>
      <c r="T76" s="230"/>
      <c r="U76" s="230"/>
      <c r="V76" s="230"/>
      <c r="W76" s="230"/>
      <c r="X76" s="230"/>
      <c r="Y76" s="230"/>
      <c r="Z76" s="230"/>
    </row>
    <row r="77" spans="1:26" s="229" customFormat="1" ht="19.5" customHeight="1">
      <c r="A77" s="271"/>
      <c r="B77" s="232"/>
      <c r="C77" s="235"/>
      <c r="D77" s="233"/>
      <c r="E77" s="233"/>
      <c r="F77" s="233"/>
      <c r="G77" s="233"/>
      <c r="H77" s="233"/>
      <c r="I77" s="233"/>
      <c r="J77" s="233"/>
      <c r="K77" s="233"/>
      <c r="L77" s="233"/>
      <c r="M77" s="233"/>
      <c r="N77" s="233"/>
      <c r="O77" s="233"/>
      <c r="P77" s="233"/>
      <c r="Q77" s="233"/>
      <c r="R77" s="230"/>
      <c r="S77" s="230"/>
      <c r="T77" s="230"/>
      <c r="U77" s="230"/>
      <c r="V77" s="230"/>
      <c r="W77" s="230"/>
      <c r="X77" s="230"/>
      <c r="Y77" s="230"/>
      <c r="Z77" s="230"/>
    </row>
    <row r="78" spans="1:26" s="229" customFormat="1" ht="19.5" customHeight="1">
      <c r="A78" s="271"/>
      <c r="B78" s="232"/>
      <c r="C78" s="235"/>
      <c r="D78" s="233"/>
      <c r="E78" s="233"/>
      <c r="F78" s="233"/>
      <c r="G78" s="233"/>
      <c r="H78" s="233"/>
      <c r="I78" s="233"/>
      <c r="J78" s="233"/>
      <c r="K78" s="233"/>
      <c r="L78" s="233"/>
      <c r="M78" s="233"/>
      <c r="N78" s="233"/>
      <c r="O78" s="233"/>
      <c r="P78" s="233"/>
      <c r="Q78" s="233"/>
      <c r="R78" s="230"/>
      <c r="S78" s="230"/>
      <c r="T78" s="230"/>
      <c r="U78" s="230"/>
      <c r="V78" s="230"/>
      <c r="W78" s="230"/>
      <c r="X78" s="230"/>
      <c r="Y78" s="230"/>
      <c r="Z78" s="230"/>
    </row>
    <row r="79" spans="1:26" s="229" customFormat="1" ht="19.5" customHeight="1">
      <c r="A79" s="271"/>
      <c r="B79" s="232"/>
      <c r="C79" s="235"/>
      <c r="D79" s="233"/>
      <c r="E79" s="233"/>
      <c r="F79" s="233"/>
      <c r="G79" s="233"/>
      <c r="H79" s="233"/>
      <c r="I79" s="233"/>
      <c r="J79" s="233"/>
      <c r="K79" s="233"/>
      <c r="L79" s="233"/>
      <c r="M79" s="233"/>
      <c r="N79" s="233"/>
      <c r="O79" s="233"/>
      <c r="P79" s="233"/>
      <c r="Q79" s="233"/>
      <c r="R79" s="230"/>
      <c r="S79" s="230"/>
      <c r="T79" s="230"/>
      <c r="U79" s="230"/>
      <c r="V79" s="230"/>
      <c r="W79" s="230"/>
      <c r="X79" s="230"/>
      <c r="Y79" s="230"/>
      <c r="Z79" s="230"/>
    </row>
    <row r="80" spans="1:26" s="229" customFormat="1" ht="19.5" customHeight="1">
      <c r="A80" s="271"/>
      <c r="B80" s="232"/>
      <c r="C80" s="235"/>
      <c r="D80" s="233"/>
      <c r="E80" s="233"/>
      <c r="F80" s="233"/>
      <c r="G80" s="233"/>
      <c r="H80" s="233"/>
      <c r="I80" s="233"/>
      <c r="J80" s="233"/>
      <c r="K80" s="233"/>
      <c r="L80" s="233"/>
      <c r="M80" s="233"/>
      <c r="N80" s="233"/>
      <c r="O80" s="233"/>
      <c r="P80" s="233"/>
      <c r="Q80" s="233"/>
      <c r="R80" s="230"/>
      <c r="S80" s="230"/>
      <c r="T80" s="230"/>
      <c r="U80" s="230"/>
      <c r="V80" s="230"/>
      <c r="W80" s="230"/>
      <c r="X80" s="230"/>
      <c r="Y80" s="230"/>
      <c r="Z80" s="230"/>
    </row>
    <row r="81" spans="1:26" s="229" customFormat="1" ht="19.5" customHeight="1">
      <c r="A81" s="271"/>
      <c r="B81" s="232"/>
      <c r="C81" s="235"/>
      <c r="D81" s="233"/>
      <c r="E81" s="233"/>
      <c r="F81" s="233"/>
      <c r="G81" s="233"/>
      <c r="H81" s="233"/>
      <c r="I81" s="233"/>
      <c r="J81" s="233"/>
      <c r="K81" s="233"/>
      <c r="L81" s="233"/>
      <c r="M81" s="233"/>
      <c r="N81" s="233"/>
      <c r="O81" s="233"/>
      <c r="P81" s="233"/>
      <c r="Q81" s="233"/>
      <c r="R81" s="230"/>
      <c r="S81" s="230"/>
      <c r="T81" s="230"/>
      <c r="U81" s="230"/>
      <c r="V81" s="230"/>
      <c r="W81" s="230"/>
      <c r="X81" s="230"/>
      <c r="Y81" s="230"/>
      <c r="Z81" s="230"/>
    </row>
    <row r="82" spans="1:26" s="229" customFormat="1" ht="19.5" customHeight="1">
      <c r="A82" s="271"/>
      <c r="B82" s="232"/>
      <c r="C82" s="235"/>
      <c r="D82" s="233"/>
      <c r="E82" s="233"/>
      <c r="F82" s="233"/>
      <c r="G82" s="233"/>
      <c r="H82" s="233"/>
      <c r="I82" s="233"/>
      <c r="J82" s="233"/>
      <c r="K82" s="233"/>
      <c r="L82" s="233"/>
      <c r="M82" s="233"/>
      <c r="N82" s="233"/>
      <c r="O82" s="233"/>
      <c r="P82" s="233"/>
      <c r="Q82" s="233"/>
      <c r="R82" s="230"/>
      <c r="S82" s="230"/>
      <c r="T82" s="230"/>
      <c r="U82" s="230"/>
      <c r="V82" s="230"/>
      <c r="W82" s="230"/>
      <c r="X82" s="230"/>
      <c r="Y82" s="230"/>
      <c r="Z82" s="230"/>
    </row>
    <row r="83" spans="1:26" s="229" customFormat="1" ht="19.5" customHeight="1">
      <c r="A83" s="271"/>
      <c r="B83" s="232"/>
      <c r="C83" s="235"/>
      <c r="D83" s="233"/>
      <c r="E83" s="233"/>
      <c r="F83" s="233"/>
      <c r="G83" s="233"/>
      <c r="H83" s="233"/>
      <c r="I83" s="233"/>
      <c r="J83" s="233"/>
      <c r="K83" s="233"/>
      <c r="L83" s="233"/>
      <c r="M83" s="233"/>
      <c r="N83" s="233"/>
      <c r="O83" s="233"/>
      <c r="P83" s="233"/>
      <c r="Q83" s="233"/>
      <c r="R83" s="230"/>
      <c r="S83" s="230"/>
      <c r="T83" s="230"/>
      <c r="U83" s="230"/>
      <c r="V83" s="230"/>
      <c r="W83" s="230"/>
      <c r="X83" s="230"/>
      <c r="Y83" s="230"/>
      <c r="Z83" s="230"/>
    </row>
    <row r="84" spans="1:26" s="229" customFormat="1" ht="19.5" customHeight="1">
      <c r="A84" s="271"/>
      <c r="B84" s="232"/>
      <c r="C84" s="235"/>
      <c r="D84" s="233"/>
      <c r="E84" s="233"/>
      <c r="F84" s="233"/>
      <c r="G84" s="233"/>
      <c r="H84" s="233"/>
      <c r="I84" s="233"/>
      <c r="J84" s="233"/>
      <c r="K84" s="233"/>
      <c r="L84" s="233"/>
      <c r="M84" s="233"/>
      <c r="N84" s="233"/>
      <c r="O84" s="233"/>
      <c r="P84" s="233"/>
      <c r="Q84" s="233"/>
      <c r="R84" s="230"/>
      <c r="S84" s="230"/>
      <c r="T84" s="230"/>
      <c r="U84" s="230"/>
      <c r="V84" s="230"/>
      <c r="W84" s="230"/>
      <c r="X84" s="230"/>
      <c r="Y84" s="230"/>
      <c r="Z84" s="230"/>
    </row>
    <row r="85" spans="1:26" s="229" customFormat="1" ht="19.5" customHeight="1">
      <c r="A85" s="271"/>
      <c r="B85" s="232"/>
      <c r="C85" s="235"/>
      <c r="D85" s="233"/>
      <c r="E85" s="233"/>
      <c r="F85" s="233"/>
      <c r="G85" s="233"/>
      <c r="H85" s="233"/>
      <c r="I85" s="233"/>
      <c r="J85" s="233"/>
      <c r="K85" s="233"/>
      <c r="L85" s="233"/>
      <c r="M85" s="233"/>
      <c r="N85" s="233"/>
      <c r="O85" s="233"/>
      <c r="P85" s="233"/>
      <c r="Q85" s="233"/>
      <c r="R85" s="230"/>
      <c r="S85" s="230"/>
      <c r="T85" s="230"/>
      <c r="U85" s="230"/>
      <c r="V85" s="230"/>
      <c r="W85" s="230"/>
      <c r="X85" s="230"/>
      <c r="Y85" s="230"/>
      <c r="Z85" s="230"/>
    </row>
    <row r="86" spans="1:26" s="229" customFormat="1" ht="19.5" customHeight="1">
      <c r="A86" s="271"/>
      <c r="B86" s="232"/>
      <c r="C86" s="235"/>
      <c r="D86" s="233"/>
      <c r="E86" s="233"/>
      <c r="F86" s="233"/>
      <c r="G86" s="233"/>
      <c r="H86" s="233"/>
      <c r="I86" s="233"/>
      <c r="J86" s="233"/>
      <c r="K86" s="233"/>
      <c r="L86" s="233"/>
      <c r="M86" s="233"/>
      <c r="N86" s="233"/>
      <c r="O86" s="233"/>
      <c r="P86" s="233"/>
      <c r="Q86" s="233"/>
      <c r="R86" s="230"/>
      <c r="S86" s="230"/>
      <c r="T86" s="230"/>
      <c r="U86" s="230"/>
      <c r="V86" s="230"/>
      <c r="W86" s="230"/>
      <c r="X86" s="230"/>
      <c r="Y86" s="230"/>
      <c r="Z86" s="230"/>
    </row>
    <row r="87" spans="1:26" s="229" customFormat="1" ht="19.5" customHeight="1">
      <c r="A87" s="271"/>
      <c r="B87" s="232"/>
      <c r="C87" s="235"/>
      <c r="D87" s="233"/>
      <c r="E87" s="233"/>
      <c r="F87" s="233"/>
      <c r="G87" s="233"/>
      <c r="H87" s="233"/>
      <c r="I87" s="233"/>
      <c r="J87" s="233"/>
      <c r="K87" s="233"/>
      <c r="L87" s="233"/>
      <c r="M87" s="233"/>
      <c r="N87" s="233"/>
      <c r="O87" s="233"/>
      <c r="P87" s="233"/>
      <c r="Q87" s="233"/>
      <c r="R87" s="230"/>
      <c r="S87" s="230"/>
      <c r="T87" s="230"/>
      <c r="U87" s="230"/>
      <c r="V87" s="230"/>
      <c r="W87" s="230"/>
      <c r="X87" s="230"/>
      <c r="Y87" s="230"/>
      <c r="Z87" s="230"/>
    </row>
    <row r="88" spans="1:26" s="229" customFormat="1" ht="19.5" customHeight="1">
      <c r="A88" s="271"/>
      <c r="B88" s="232"/>
      <c r="C88" s="235"/>
      <c r="D88" s="233"/>
      <c r="E88" s="233"/>
      <c r="F88" s="233"/>
      <c r="G88" s="233"/>
      <c r="H88" s="233"/>
      <c r="I88" s="233"/>
      <c r="J88" s="233"/>
      <c r="K88" s="233"/>
      <c r="L88" s="233"/>
      <c r="M88" s="233"/>
      <c r="N88" s="233"/>
      <c r="O88" s="233"/>
      <c r="P88" s="233"/>
      <c r="Q88" s="233"/>
      <c r="R88" s="230"/>
      <c r="S88" s="230"/>
      <c r="T88" s="230"/>
      <c r="U88" s="230"/>
      <c r="V88" s="230"/>
      <c r="W88" s="230"/>
      <c r="X88" s="230"/>
      <c r="Y88" s="230"/>
      <c r="Z88" s="230"/>
    </row>
    <row r="89" spans="1:26" s="229" customFormat="1" ht="19.5" customHeight="1">
      <c r="A89" s="271"/>
      <c r="B89" s="232"/>
      <c r="C89" s="235"/>
      <c r="D89" s="233"/>
      <c r="E89" s="233"/>
      <c r="F89" s="233"/>
      <c r="G89" s="233"/>
      <c r="H89" s="233"/>
      <c r="I89" s="233"/>
      <c r="J89" s="233"/>
      <c r="K89" s="233"/>
      <c r="L89" s="233"/>
      <c r="M89" s="233"/>
      <c r="N89" s="233"/>
      <c r="O89" s="233"/>
      <c r="P89" s="233"/>
      <c r="Q89" s="233"/>
      <c r="R89" s="230"/>
      <c r="S89" s="230"/>
      <c r="T89" s="230"/>
      <c r="U89" s="230"/>
      <c r="V89" s="230"/>
      <c r="W89" s="230"/>
      <c r="X89" s="230"/>
      <c r="Y89" s="230"/>
      <c r="Z89" s="230"/>
    </row>
    <row r="90" spans="1:26" s="229" customFormat="1" ht="19.5" customHeight="1">
      <c r="A90" s="271"/>
      <c r="B90" s="232"/>
      <c r="C90" s="235"/>
      <c r="D90" s="233"/>
      <c r="E90" s="233"/>
      <c r="F90" s="233"/>
      <c r="G90" s="233"/>
      <c r="H90" s="233"/>
      <c r="I90" s="233"/>
      <c r="J90" s="233"/>
      <c r="K90" s="233"/>
      <c r="L90" s="233"/>
      <c r="M90" s="233"/>
      <c r="N90" s="233"/>
      <c r="O90" s="233"/>
      <c r="P90" s="233"/>
      <c r="Q90" s="233"/>
      <c r="R90" s="230"/>
      <c r="S90" s="230"/>
      <c r="T90" s="230"/>
      <c r="U90" s="230"/>
      <c r="V90" s="230"/>
      <c r="W90" s="230"/>
      <c r="X90" s="230"/>
      <c r="Y90" s="230"/>
      <c r="Z90" s="230"/>
    </row>
    <row r="91" spans="1:26" s="229" customFormat="1" ht="19.5" customHeight="1">
      <c r="A91" s="271"/>
      <c r="B91" s="232"/>
      <c r="C91" s="235"/>
      <c r="D91" s="233"/>
      <c r="E91" s="233"/>
      <c r="F91" s="233"/>
      <c r="G91" s="233"/>
      <c r="H91" s="233"/>
      <c r="I91" s="233"/>
      <c r="J91" s="233"/>
      <c r="K91" s="233"/>
      <c r="L91" s="233"/>
      <c r="M91" s="233"/>
      <c r="N91" s="233"/>
      <c r="O91" s="233"/>
      <c r="P91" s="233"/>
      <c r="Q91" s="233"/>
      <c r="R91" s="230"/>
      <c r="S91" s="230"/>
      <c r="T91" s="230"/>
      <c r="U91" s="230"/>
      <c r="V91" s="230"/>
      <c r="W91" s="230"/>
      <c r="X91" s="230"/>
      <c r="Y91" s="230"/>
      <c r="Z91" s="230"/>
    </row>
    <row r="92" spans="1:26" s="229" customFormat="1" ht="19.5" customHeight="1">
      <c r="A92" s="271"/>
      <c r="B92" s="232"/>
      <c r="C92" s="235"/>
      <c r="D92" s="233"/>
      <c r="E92" s="233"/>
      <c r="F92" s="233"/>
      <c r="G92" s="233"/>
      <c r="H92" s="233"/>
      <c r="I92" s="233"/>
      <c r="J92" s="233"/>
      <c r="K92" s="233"/>
      <c r="L92" s="233"/>
      <c r="M92" s="233"/>
      <c r="N92" s="233"/>
      <c r="O92" s="233"/>
      <c r="P92" s="233"/>
      <c r="Q92" s="233"/>
      <c r="R92" s="230"/>
      <c r="S92" s="230"/>
      <c r="T92" s="230"/>
      <c r="U92" s="230"/>
      <c r="V92" s="230"/>
      <c r="W92" s="230"/>
      <c r="X92" s="230"/>
      <c r="Y92" s="230"/>
      <c r="Z92" s="230"/>
    </row>
    <row r="93" spans="1:26" s="229" customFormat="1" ht="19.5" customHeight="1">
      <c r="A93" s="271"/>
      <c r="B93" s="232"/>
      <c r="C93" s="235"/>
      <c r="D93" s="233"/>
      <c r="E93" s="233"/>
      <c r="F93" s="233"/>
      <c r="G93" s="233"/>
      <c r="H93" s="233"/>
      <c r="I93" s="233"/>
      <c r="J93" s="233"/>
      <c r="K93" s="233"/>
      <c r="L93" s="233"/>
      <c r="M93" s="233"/>
      <c r="N93" s="233"/>
      <c r="O93" s="233"/>
      <c r="P93" s="233"/>
      <c r="Q93" s="233"/>
      <c r="R93" s="230"/>
      <c r="S93" s="230"/>
      <c r="T93" s="230"/>
      <c r="U93" s="230"/>
      <c r="V93" s="230"/>
      <c r="W93" s="230"/>
      <c r="X93" s="230"/>
      <c r="Y93" s="230"/>
      <c r="Z93" s="230"/>
    </row>
    <row r="94" spans="1:26" s="229" customFormat="1" ht="19.5" customHeight="1">
      <c r="A94" s="271"/>
      <c r="B94" s="232"/>
      <c r="C94" s="235"/>
      <c r="D94" s="233"/>
      <c r="E94" s="233"/>
      <c r="F94" s="233"/>
      <c r="G94" s="233"/>
      <c r="H94" s="233"/>
      <c r="I94" s="233"/>
      <c r="J94" s="233"/>
      <c r="K94" s="233"/>
      <c r="L94" s="233"/>
      <c r="M94" s="233"/>
      <c r="N94" s="233"/>
      <c r="O94" s="233"/>
      <c r="P94" s="233"/>
      <c r="Q94" s="233"/>
      <c r="R94" s="230"/>
      <c r="S94" s="230"/>
      <c r="T94" s="230"/>
      <c r="U94" s="230"/>
      <c r="V94" s="230"/>
      <c r="W94" s="230"/>
      <c r="X94" s="230"/>
      <c r="Y94" s="230"/>
      <c r="Z94" s="230"/>
    </row>
    <row r="95" spans="1:26" s="229" customFormat="1" ht="19.5" customHeight="1">
      <c r="A95" s="271"/>
      <c r="B95" s="232"/>
      <c r="C95" s="235"/>
      <c r="D95" s="233"/>
      <c r="E95" s="233"/>
      <c r="F95" s="233"/>
      <c r="G95" s="233"/>
      <c r="H95" s="233"/>
      <c r="I95" s="233"/>
      <c r="J95" s="233"/>
      <c r="K95" s="233"/>
      <c r="L95" s="233"/>
      <c r="M95" s="233"/>
      <c r="N95" s="233"/>
      <c r="O95" s="233"/>
      <c r="P95" s="233"/>
      <c r="Q95" s="233"/>
      <c r="R95" s="230"/>
      <c r="S95" s="230"/>
      <c r="T95" s="230"/>
      <c r="U95" s="230"/>
      <c r="V95" s="230"/>
      <c r="W95" s="230"/>
      <c r="X95" s="230"/>
      <c r="Y95" s="230"/>
      <c r="Z95" s="230"/>
    </row>
    <row r="96" spans="1:26" s="229" customFormat="1" ht="19.5" customHeight="1">
      <c r="A96" s="271"/>
      <c r="B96" s="232"/>
      <c r="C96" s="235"/>
      <c r="D96" s="233"/>
      <c r="E96" s="233"/>
      <c r="F96" s="233"/>
      <c r="G96" s="233"/>
      <c r="H96" s="233"/>
      <c r="I96" s="233"/>
      <c r="J96" s="233"/>
      <c r="K96" s="233"/>
      <c r="L96" s="233"/>
      <c r="M96" s="233"/>
      <c r="N96" s="233"/>
      <c r="O96" s="233"/>
      <c r="P96" s="233"/>
      <c r="Q96" s="233"/>
      <c r="R96" s="230"/>
      <c r="S96" s="230"/>
      <c r="T96" s="230"/>
      <c r="U96" s="230"/>
      <c r="V96" s="230"/>
      <c r="W96" s="230"/>
      <c r="X96" s="230"/>
      <c r="Y96" s="230"/>
      <c r="Z96" s="230"/>
    </row>
    <row r="97" spans="1:26" s="229" customFormat="1" ht="19.5" customHeight="1">
      <c r="A97" s="271"/>
      <c r="B97" s="232"/>
      <c r="C97" s="235"/>
      <c r="D97" s="233"/>
      <c r="E97" s="233"/>
      <c r="F97" s="233"/>
      <c r="G97" s="233"/>
      <c r="H97" s="233"/>
      <c r="I97" s="233"/>
      <c r="J97" s="233"/>
      <c r="K97" s="233"/>
      <c r="L97" s="233"/>
      <c r="M97" s="233"/>
      <c r="N97" s="233"/>
      <c r="O97" s="233"/>
      <c r="P97" s="233"/>
      <c r="Q97" s="233"/>
      <c r="R97" s="230"/>
      <c r="S97" s="230"/>
      <c r="T97" s="230"/>
      <c r="U97" s="230"/>
      <c r="V97" s="230"/>
      <c r="W97" s="230"/>
      <c r="X97" s="230"/>
      <c r="Y97" s="230"/>
      <c r="Z97" s="230"/>
    </row>
    <row r="98" spans="1:26" s="229" customFormat="1" ht="19.5" customHeight="1">
      <c r="A98" s="271"/>
      <c r="B98" s="232"/>
      <c r="C98" s="235"/>
      <c r="D98" s="233"/>
      <c r="E98" s="233"/>
      <c r="F98" s="233"/>
      <c r="G98" s="233"/>
      <c r="H98" s="233"/>
      <c r="I98" s="233"/>
      <c r="J98" s="233"/>
      <c r="K98" s="233"/>
      <c r="L98" s="233"/>
      <c r="M98" s="233"/>
      <c r="N98" s="233"/>
      <c r="O98" s="233"/>
      <c r="P98" s="233"/>
      <c r="Q98" s="233"/>
      <c r="R98" s="230"/>
      <c r="S98" s="230"/>
      <c r="T98" s="230"/>
      <c r="U98" s="230"/>
      <c r="V98" s="230"/>
      <c r="W98" s="230"/>
      <c r="X98" s="230"/>
      <c r="Y98" s="230"/>
      <c r="Z98" s="230"/>
    </row>
    <row r="99" spans="1:26" s="229" customFormat="1" ht="19.5" customHeight="1">
      <c r="A99" s="271"/>
      <c r="B99" s="232"/>
      <c r="C99" s="235"/>
      <c r="D99" s="233"/>
      <c r="E99" s="233"/>
      <c r="F99" s="233"/>
      <c r="G99" s="233"/>
      <c r="H99" s="233"/>
      <c r="I99" s="233"/>
      <c r="J99" s="233"/>
      <c r="K99" s="233"/>
      <c r="L99" s="233"/>
      <c r="M99" s="233"/>
      <c r="N99" s="233"/>
      <c r="O99" s="233"/>
      <c r="P99" s="233"/>
      <c r="Q99" s="233"/>
      <c r="R99" s="230"/>
      <c r="S99" s="230"/>
      <c r="T99" s="230"/>
      <c r="U99" s="230"/>
      <c r="V99" s="230"/>
      <c r="W99" s="230"/>
      <c r="X99" s="230"/>
      <c r="Y99" s="230"/>
      <c r="Z99" s="230"/>
    </row>
    <row r="100" spans="1:26" s="229" customFormat="1" ht="19.5" customHeight="1">
      <c r="A100" s="271"/>
      <c r="B100" s="232"/>
      <c r="C100" s="235"/>
      <c r="D100" s="233"/>
      <c r="E100" s="233"/>
      <c r="F100" s="233"/>
      <c r="G100" s="233"/>
      <c r="H100" s="233"/>
      <c r="I100" s="233"/>
      <c r="J100" s="233"/>
      <c r="K100" s="233"/>
      <c r="L100" s="233"/>
      <c r="M100" s="233"/>
      <c r="N100" s="233"/>
      <c r="O100" s="233"/>
      <c r="P100" s="233"/>
      <c r="Q100" s="233"/>
      <c r="R100" s="230"/>
      <c r="S100" s="230"/>
      <c r="T100" s="230"/>
      <c r="U100" s="230"/>
      <c r="V100" s="230"/>
      <c r="W100" s="230"/>
      <c r="X100" s="230"/>
      <c r="Y100" s="230"/>
      <c r="Z100" s="230"/>
    </row>
    <row r="101" spans="1:26" s="229" customFormat="1" ht="19.5" customHeight="1">
      <c r="A101" s="271"/>
      <c r="B101" s="232"/>
      <c r="C101" s="235"/>
      <c r="D101" s="233"/>
      <c r="E101" s="233"/>
      <c r="F101" s="233"/>
      <c r="G101" s="233"/>
      <c r="H101" s="233"/>
      <c r="I101" s="233"/>
      <c r="J101" s="233"/>
      <c r="K101" s="233"/>
      <c r="L101" s="233"/>
      <c r="M101" s="233"/>
      <c r="N101" s="233"/>
      <c r="O101" s="233"/>
      <c r="P101" s="233"/>
      <c r="Q101" s="233"/>
      <c r="R101" s="230"/>
      <c r="S101" s="230"/>
      <c r="T101" s="230"/>
      <c r="U101" s="230"/>
      <c r="V101" s="230"/>
      <c r="W101" s="230"/>
      <c r="X101" s="230"/>
      <c r="Y101" s="230"/>
      <c r="Z101" s="230"/>
    </row>
    <row r="102" spans="1:26" s="229" customFormat="1" ht="19.5" customHeight="1">
      <c r="A102" s="271"/>
      <c r="B102" s="232"/>
      <c r="C102" s="235"/>
      <c r="D102" s="233"/>
      <c r="E102" s="233"/>
      <c r="F102" s="233"/>
      <c r="G102" s="233"/>
      <c r="H102" s="233"/>
      <c r="I102" s="233"/>
      <c r="J102" s="233"/>
      <c r="K102" s="233"/>
      <c r="L102" s="233"/>
      <c r="M102" s="233"/>
      <c r="N102" s="233"/>
      <c r="O102" s="233"/>
      <c r="P102" s="233"/>
      <c r="Q102" s="233"/>
      <c r="R102" s="230"/>
      <c r="S102" s="230"/>
      <c r="T102" s="230"/>
      <c r="U102" s="230"/>
      <c r="V102" s="230"/>
      <c r="W102" s="230"/>
      <c r="X102" s="230"/>
      <c r="Y102" s="230"/>
      <c r="Z102" s="230"/>
    </row>
    <row r="103" spans="1:26" s="229" customFormat="1" ht="19.5" customHeight="1">
      <c r="A103" s="271"/>
      <c r="B103" s="232"/>
      <c r="C103" s="235"/>
      <c r="D103" s="233"/>
      <c r="E103" s="233"/>
      <c r="F103" s="233"/>
      <c r="G103" s="233"/>
      <c r="H103" s="233"/>
      <c r="I103" s="233"/>
      <c r="J103" s="233"/>
      <c r="K103" s="233"/>
      <c r="L103" s="233"/>
      <c r="M103" s="233"/>
      <c r="N103" s="233"/>
      <c r="O103" s="233"/>
      <c r="P103" s="233"/>
      <c r="Q103" s="233"/>
      <c r="R103" s="230"/>
      <c r="S103" s="230"/>
      <c r="T103" s="230"/>
      <c r="U103" s="230"/>
      <c r="V103" s="230"/>
      <c r="W103" s="230"/>
      <c r="X103" s="230"/>
      <c r="Y103" s="230"/>
      <c r="Z103" s="230"/>
    </row>
    <row r="104" spans="1:26" s="229" customFormat="1" ht="19.5" customHeight="1">
      <c r="A104" s="271"/>
      <c r="B104" s="232"/>
      <c r="C104" s="235"/>
      <c r="D104" s="233"/>
      <c r="E104" s="233"/>
      <c r="F104" s="233"/>
      <c r="G104" s="233"/>
      <c r="H104" s="233"/>
      <c r="I104" s="233"/>
      <c r="J104" s="233"/>
      <c r="K104" s="233"/>
      <c r="L104" s="233"/>
      <c r="M104" s="233"/>
      <c r="N104" s="233"/>
      <c r="O104" s="233"/>
      <c r="P104" s="233"/>
      <c r="Q104" s="233"/>
      <c r="R104" s="230"/>
      <c r="S104" s="230"/>
      <c r="T104" s="230"/>
      <c r="U104" s="230"/>
      <c r="V104" s="230"/>
      <c r="W104" s="230"/>
      <c r="X104" s="230"/>
      <c r="Y104" s="230"/>
      <c r="Z104" s="230"/>
    </row>
    <row r="105" spans="1:26" s="229" customFormat="1" ht="19.5" customHeight="1">
      <c r="A105" s="271"/>
      <c r="B105" s="232"/>
      <c r="C105" s="235"/>
      <c r="D105" s="233"/>
      <c r="E105" s="233"/>
      <c r="F105" s="233"/>
      <c r="G105" s="233"/>
      <c r="H105" s="233"/>
      <c r="I105" s="233"/>
      <c r="J105" s="233"/>
      <c r="K105" s="233"/>
      <c r="L105" s="233"/>
      <c r="M105" s="233"/>
      <c r="N105" s="233"/>
      <c r="O105" s="233"/>
      <c r="P105" s="233"/>
      <c r="Q105" s="233"/>
      <c r="R105" s="230"/>
      <c r="S105" s="230"/>
      <c r="T105" s="230"/>
      <c r="U105" s="230"/>
      <c r="V105" s="230"/>
      <c r="W105" s="230"/>
      <c r="X105" s="230"/>
      <c r="Y105" s="230"/>
      <c r="Z105" s="230"/>
    </row>
    <row r="106" spans="1:26" s="229" customFormat="1" ht="19.5" customHeight="1">
      <c r="A106" s="271"/>
      <c r="B106" s="232"/>
      <c r="C106" s="235"/>
      <c r="D106" s="233"/>
      <c r="E106" s="233"/>
      <c r="F106" s="233"/>
      <c r="G106" s="233"/>
      <c r="H106" s="233"/>
      <c r="I106" s="233"/>
      <c r="J106" s="233"/>
      <c r="K106" s="233"/>
      <c r="L106" s="233"/>
      <c r="M106" s="233"/>
      <c r="N106" s="233"/>
      <c r="O106" s="233"/>
      <c r="P106" s="233"/>
      <c r="Q106" s="233"/>
      <c r="R106" s="230"/>
      <c r="S106" s="230"/>
      <c r="T106" s="230"/>
      <c r="U106" s="230"/>
      <c r="V106" s="230"/>
      <c r="W106" s="230"/>
      <c r="X106" s="230"/>
      <c r="Y106" s="230"/>
      <c r="Z106" s="230"/>
    </row>
    <row r="107" spans="1:26" s="229" customFormat="1" ht="19.5" customHeight="1">
      <c r="A107" s="271"/>
      <c r="B107" s="232"/>
      <c r="C107" s="235"/>
      <c r="D107" s="233"/>
      <c r="E107" s="233"/>
      <c r="F107" s="233"/>
      <c r="G107" s="233"/>
      <c r="H107" s="233"/>
      <c r="I107" s="233"/>
      <c r="J107" s="233"/>
      <c r="K107" s="233"/>
      <c r="L107" s="233"/>
      <c r="M107" s="233"/>
      <c r="N107" s="233"/>
      <c r="O107" s="233"/>
      <c r="P107" s="233"/>
      <c r="Q107" s="233"/>
      <c r="R107" s="230"/>
      <c r="S107" s="230"/>
      <c r="T107" s="230"/>
      <c r="U107" s="230"/>
      <c r="V107" s="230"/>
      <c r="W107" s="230"/>
      <c r="X107" s="230"/>
      <c r="Y107" s="230"/>
      <c r="Z107" s="230"/>
    </row>
    <row r="108" spans="1:26" s="229" customFormat="1" ht="19.5" customHeight="1">
      <c r="A108" s="271"/>
      <c r="B108" s="232"/>
      <c r="C108" s="235"/>
      <c r="D108" s="233"/>
      <c r="E108" s="233"/>
      <c r="F108" s="233"/>
      <c r="G108" s="233"/>
      <c r="H108" s="233"/>
      <c r="I108" s="233"/>
      <c r="J108" s="233"/>
      <c r="K108" s="233"/>
      <c r="L108" s="233"/>
      <c r="M108" s="233"/>
      <c r="N108" s="233"/>
      <c r="O108" s="233"/>
      <c r="P108" s="233"/>
      <c r="Q108" s="233"/>
      <c r="R108" s="230"/>
      <c r="S108" s="230"/>
      <c r="T108" s="230"/>
      <c r="U108" s="230"/>
      <c r="V108" s="230"/>
      <c r="W108" s="230"/>
      <c r="X108" s="230"/>
      <c r="Y108" s="230"/>
      <c r="Z108" s="230"/>
    </row>
    <row r="109" spans="1:26" s="229" customFormat="1" ht="19.5" customHeight="1">
      <c r="A109" s="271"/>
      <c r="B109" s="232"/>
      <c r="C109" s="235"/>
      <c r="D109" s="233"/>
      <c r="E109" s="233"/>
      <c r="F109" s="233"/>
      <c r="G109" s="233"/>
      <c r="H109" s="233"/>
      <c r="I109" s="233"/>
      <c r="J109" s="233"/>
      <c r="K109" s="233"/>
      <c r="L109" s="233"/>
      <c r="M109" s="233"/>
      <c r="N109" s="233"/>
      <c r="O109" s="233"/>
      <c r="P109" s="233"/>
      <c r="Q109" s="233"/>
      <c r="R109" s="230"/>
      <c r="S109" s="230"/>
      <c r="T109" s="230"/>
      <c r="U109" s="230"/>
      <c r="V109" s="230"/>
      <c r="W109" s="230"/>
      <c r="X109" s="230"/>
      <c r="Y109" s="230"/>
      <c r="Z109" s="230"/>
    </row>
    <row r="110" spans="1:26" s="229" customFormat="1" ht="19.5" customHeight="1">
      <c r="A110" s="271"/>
      <c r="B110" s="232"/>
      <c r="C110" s="235"/>
      <c r="D110" s="233"/>
      <c r="E110" s="233"/>
      <c r="F110" s="233"/>
      <c r="G110" s="233"/>
      <c r="H110" s="233"/>
      <c r="I110" s="233"/>
      <c r="J110" s="233"/>
      <c r="K110" s="233"/>
      <c r="L110" s="233"/>
      <c r="M110" s="233"/>
      <c r="N110" s="233"/>
      <c r="O110" s="233"/>
      <c r="P110" s="233"/>
      <c r="Q110" s="233"/>
      <c r="R110" s="230"/>
      <c r="S110" s="230"/>
      <c r="T110" s="230"/>
      <c r="U110" s="230"/>
      <c r="V110" s="230"/>
      <c r="W110" s="230"/>
      <c r="X110" s="230"/>
      <c r="Y110" s="230"/>
      <c r="Z110" s="230"/>
    </row>
    <row r="111" spans="1:26" s="229" customFormat="1" ht="19.5" customHeight="1">
      <c r="A111" s="271"/>
      <c r="B111" s="232"/>
      <c r="C111" s="235"/>
      <c r="D111" s="233"/>
      <c r="E111" s="233"/>
      <c r="F111" s="233"/>
      <c r="G111" s="233"/>
      <c r="H111" s="233"/>
      <c r="I111" s="233"/>
      <c r="J111" s="233"/>
      <c r="K111" s="233"/>
      <c r="L111" s="233"/>
      <c r="M111" s="233"/>
      <c r="N111" s="233"/>
      <c r="O111" s="233"/>
      <c r="P111" s="233"/>
      <c r="Q111" s="233"/>
      <c r="R111" s="230"/>
      <c r="S111" s="230"/>
      <c r="T111" s="230"/>
      <c r="U111" s="230"/>
      <c r="V111" s="230"/>
      <c r="W111" s="230"/>
      <c r="X111" s="230"/>
      <c r="Y111" s="230"/>
      <c r="Z111" s="230"/>
    </row>
    <row r="112" spans="1:26" s="229" customFormat="1" ht="19.5" customHeight="1">
      <c r="A112" s="271"/>
      <c r="B112" s="232"/>
      <c r="C112" s="235"/>
      <c r="D112" s="233"/>
      <c r="E112" s="233"/>
      <c r="F112" s="233"/>
      <c r="G112" s="233"/>
      <c r="H112" s="233"/>
      <c r="I112" s="233"/>
      <c r="J112" s="233"/>
      <c r="K112" s="233"/>
      <c r="L112" s="233"/>
      <c r="M112" s="233"/>
      <c r="N112" s="233"/>
      <c r="O112" s="233"/>
      <c r="P112" s="233"/>
      <c r="Q112" s="233"/>
      <c r="R112" s="230"/>
      <c r="S112" s="230"/>
      <c r="T112" s="230"/>
      <c r="U112" s="230"/>
      <c r="V112" s="230"/>
      <c r="W112" s="230"/>
      <c r="X112" s="230"/>
      <c r="Y112" s="230"/>
      <c r="Z112" s="230"/>
    </row>
    <row r="113" spans="1:26" s="229" customFormat="1" ht="19.5" customHeight="1">
      <c r="A113" s="271"/>
      <c r="B113" s="232"/>
      <c r="C113" s="235"/>
      <c r="D113" s="233"/>
      <c r="E113" s="233"/>
      <c r="F113" s="233"/>
      <c r="G113" s="233"/>
      <c r="H113" s="233"/>
      <c r="I113" s="233"/>
      <c r="J113" s="233"/>
      <c r="K113" s="233"/>
      <c r="L113" s="233"/>
      <c r="M113" s="233"/>
      <c r="N113" s="233"/>
      <c r="O113" s="233"/>
      <c r="P113" s="233"/>
      <c r="Q113" s="233"/>
      <c r="R113" s="230"/>
      <c r="S113" s="230"/>
      <c r="T113" s="230"/>
      <c r="U113" s="230"/>
      <c r="V113" s="230"/>
      <c r="W113" s="230"/>
      <c r="X113" s="230"/>
      <c r="Y113" s="230"/>
      <c r="Z113" s="230"/>
    </row>
    <row r="114" spans="1:26" s="229" customFormat="1" ht="19.5" customHeight="1">
      <c r="A114" s="271"/>
      <c r="B114" s="232"/>
      <c r="C114" s="235"/>
      <c r="D114" s="233"/>
      <c r="E114" s="233"/>
      <c r="F114" s="233"/>
      <c r="G114" s="233"/>
      <c r="H114" s="233"/>
      <c r="I114" s="233"/>
      <c r="J114" s="233"/>
      <c r="K114" s="233"/>
      <c r="L114" s="233"/>
      <c r="M114" s="233"/>
      <c r="N114" s="233"/>
      <c r="O114" s="233"/>
      <c r="P114" s="233"/>
      <c r="Q114" s="233"/>
      <c r="R114" s="230"/>
      <c r="S114" s="230"/>
      <c r="T114" s="230"/>
      <c r="U114" s="230"/>
      <c r="V114" s="230"/>
      <c r="W114" s="230"/>
      <c r="X114" s="230"/>
      <c r="Y114" s="230"/>
      <c r="Z114" s="230"/>
    </row>
    <row r="115" spans="1:26" s="229" customFormat="1" ht="19.5" customHeight="1">
      <c r="A115" s="271"/>
      <c r="B115" s="232"/>
      <c r="C115" s="235"/>
      <c r="D115" s="233"/>
      <c r="E115" s="233"/>
      <c r="F115" s="233"/>
      <c r="G115" s="233"/>
      <c r="H115" s="233"/>
      <c r="I115" s="233"/>
      <c r="J115" s="233"/>
      <c r="K115" s="233"/>
      <c r="L115" s="233"/>
      <c r="M115" s="233"/>
      <c r="N115" s="233"/>
      <c r="O115" s="233"/>
      <c r="P115" s="233"/>
      <c r="Q115" s="233"/>
      <c r="R115" s="230"/>
      <c r="S115" s="230"/>
      <c r="T115" s="230"/>
      <c r="U115" s="230"/>
      <c r="V115" s="230"/>
      <c r="W115" s="230"/>
      <c r="X115" s="230"/>
      <c r="Y115" s="230"/>
      <c r="Z115" s="230"/>
    </row>
    <row r="116" spans="1:26" s="229" customFormat="1" ht="19.5" customHeight="1">
      <c r="A116" s="271"/>
      <c r="B116" s="232"/>
      <c r="C116" s="235"/>
      <c r="D116" s="233"/>
      <c r="E116" s="233"/>
      <c r="F116" s="233"/>
      <c r="G116" s="233"/>
      <c r="H116" s="233"/>
      <c r="I116" s="233"/>
      <c r="J116" s="233"/>
      <c r="K116" s="233"/>
      <c r="L116" s="233"/>
      <c r="M116" s="233"/>
      <c r="N116" s="233"/>
      <c r="O116" s="233"/>
      <c r="P116" s="233"/>
      <c r="Q116" s="233"/>
      <c r="R116" s="230"/>
      <c r="S116" s="230"/>
      <c r="T116" s="230"/>
      <c r="U116" s="230"/>
      <c r="V116" s="230"/>
      <c r="W116" s="230"/>
      <c r="X116" s="230"/>
      <c r="Y116" s="230"/>
      <c r="Z116" s="230"/>
    </row>
    <row r="117" spans="1:26" s="229" customFormat="1" ht="19.5" customHeight="1">
      <c r="A117" s="271"/>
      <c r="B117" s="232"/>
      <c r="C117" s="235"/>
      <c r="D117" s="233"/>
      <c r="E117" s="233"/>
      <c r="F117" s="233"/>
      <c r="G117" s="233"/>
      <c r="H117" s="233"/>
      <c r="I117" s="233"/>
      <c r="J117" s="233"/>
      <c r="K117" s="233"/>
      <c r="L117" s="233"/>
      <c r="M117" s="233"/>
      <c r="N117" s="233"/>
      <c r="O117" s="233"/>
      <c r="P117" s="233"/>
      <c r="Q117" s="233"/>
      <c r="R117" s="230"/>
      <c r="S117" s="230"/>
      <c r="T117" s="230"/>
      <c r="U117" s="230"/>
      <c r="V117" s="230"/>
      <c r="W117" s="230"/>
      <c r="X117" s="230"/>
      <c r="Y117" s="230"/>
      <c r="Z117" s="230"/>
    </row>
    <row r="118" spans="1:26" s="229" customFormat="1" ht="19.5" customHeight="1">
      <c r="A118" s="271"/>
      <c r="B118" s="232"/>
      <c r="C118" s="235"/>
      <c r="D118" s="233"/>
      <c r="E118" s="233"/>
      <c r="F118" s="233"/>
      <c r="G118" s="233"/>
      <c r="H118" s="233"/>
      <c r="I118" s="233"/>
      <c r="J118" s="233"/>
      <c r="K118" s="233"/>
      <c r="L118" s="233"/>
      <c r="M118" s="233"/>
      <c r="N118" s="233"/>
      <c r="O118" s="233"/>
      <c r="P118" s="233"/>
      <c r="Q118" s="233"/>
      <c r="R118" s="230"/>
      <c r="S118" s="230"/>
      <c r="T118" s="230"/>
      <c r="U118" s="230"/>
      <c r="V118" s="230"/>
      <c r="W118" s="230"/>
      <c r="X118" s="230"/>
      <c r="Y118" s="230"/>
      <c r="Z118" s="230"/>
    </row>
    <row r="119" spans="1:26" s="229" customFormat="1" ht="19.5" customHeight="1">
      <c r="A119" s="271"/>
      <c r="B119" s="232"/>
      <c r="C119" s="235"/>
      <c r="D119" s="233"/>
      <c r="E119" s="233"/>
      <c r="F119" s="233"/>
      <c r="G119" s="233"/>
      <c r="H119" s="233"/>
      <c r="I119" s="233"/>
      <c r="J119" s="233"/>
      <c r="K119" s="233"/>
      <c r="L119" s="233"/>
      <c r="M119" s="233"/>
      <c r="N119" s="233"/>
      <c r="O119" s="233"/>
      <c r="P119" s="233"/>
      <c r="Q119" s="233"/>
      <c r="R119" s="230"/>
      <c r="S119" s="230"/>
      <c r="T119" s="230"/>
      <c r="U119" s="230"/>
      <c r="V119" s="230"/>
      <c r="W119" s="230"/>
      <c r="X119" s="230"/>
      <c r="Y119" s="230"/>
      <c r="Z119" s="230"/>
    </row>
    <row r="120" spans="1:26" s="229" customFormat="1" ht="19.5" customHeight="1">
      <c r="A120" s="271"/>
      <c r="B120" s="232"/>
      <c r="C120" s="235"/>
      <c r="D120" s="233"/>
      <c r="E120" s="233"/>
      <c r="F120" s="233"/>
      <c r="G120" s="233"/>
      <c r="H120" s="233"/>
      <c r="I120" s="233"/>
      <c r="J120" s="233"/>
      <c r="K120" s="233"/>
      <c r="L120" s="233"/>
      <c r="M120" s="233"/>
      <c r="N120" s="233"/>
      <c r="O120" s="233"/>
      <c r="P120" s="233"/>
      <c r="Q120" s="233"/>
      <c r="R120" s="230"/>
      <c r="S120" s="230"/>
      <c r="T120" s="230"/>
      <c r="U120" s="230"/>
      <c r="V120" s="230"/>
      <c r="W120" s="230"/>
      <c r="X120" s="230"/>
      <c r="Y120" s="230"/>
      <c r="Z120" s="230"/>
    </row>
    <row r="121" spans="1:26" s="229" customFormat="1" ht="19.5" customHeight="1">
      <c r="A121" s="271"/>
      <c r="B121" s="232"/>
      <c r="C121" s="235"/>
      <c r="D121" s="233"/>
      <c r="E121" s="233"/>
      <c r="F121" s="233"/>
      <c r="G121" s="233"/>
      <c r="H121" s="233"/>
      <c r="I121" s="233"/>
      <c r="J121" s="233"/>
      <c r="K121" s="233"/>
      <c r="L121" s="233"/>
      <c r="M121" s="233"/>
      <c r="N121" s="233"/>
      <c r="O121" s="233"/>
      <c r="P121" s="233"/>
      <c r="Q121" s="233"/>
      <c r="R121" s="230"/>
      <c r="S121" s="230"/>
      <c r="T121" s="230"/>
      <c r="U121" s="230"/>
      <c r="V121" s="230"/>
      <c r="W121" s="230"/>
      <c r="X121" s="230"/>
      <c r="Y121" s="230"/>
      <c r="Z121" s="230"/>
    </row>
    <row r="122" spans="1:26" s="229" customFormat="1" ht="19.5" customHeight="1">
      <c r="A122" s="271"/>
      <c r="B122" s="232"/>
      <c r="C122" s="235"/>
      <c r="D122" s="233"/>
      <c r="E122" s="233"/>
      <c r="F122" s="233"/>
      <c r="G122" s="233"/>
      <c r="H122" s="233"/>
      <c r="I122" s="233"/>
      <c r="J122" s="233"/>
      <c r="K122" s="233"/>
      <c r="L122" s="233"/>
      <c r="M122" s="233"/>
      <c r="N122" s="233"/>
      <c r="O122" s="233"/>
      <c r="P122" s="233"/>
      <c r="Q122" s="233"/>
      <c r="R122" s="230"/>
      <c r="S122" s="230"/>
      <c r="T122" s="230"/>
      <c r="U122" s="230"/>
      <c r="V122" s="230"/>
      <c r="W122" s="230"/>
      <c r="X122" s="230"/>
      <c r="Y122" s="230"/>
      <c r="Z122" s="230"/>
    </row>
    <row r="123" spans="1:26" s="229" customFormat="1" ht="19.5" customHeight="1">
      <c r="A123" s="271"/>
      <c r="B123" s="232"/>
      <c r="C123" s="235"/>
      <c r="D123" s="233"/>
      <c r="E123" s="233"/>
      <c r="F123" s="233"/>
      <c r="G123" s="233"/>
      <c r="H123" s="233"/>
      <c r="I123" s="233"/>
      <c r="J123" s="233"/>
      <c r="K123" s="233"/>
      <c r="L123" s="233"/>
      <c r="M123" s="233"/>
      <c r="N123" s="233"/>
      <c r="O123" s="233"/>
      <c r="P123" s="233"/>
      <c r="Q123" s="233"/>
      <c r="R123" s="230"/>
      <c r="S123" s="230"/>
      <c r="T123" s="230"/>
      <c r="U123" s="230"/>
      <c r="V123" s="230"/>
      <c r="W123" s="230"/>
      <c r="X123" s="230"/>
      <c r="Y123" s="230"/>
      <c r="Z123" s="230"/>
    </row>
    <row r="124" spans="1:26" s="229" customFormat="1" ht="19.5" customHeight="1">
      <c r="A124" s="271"/>
      <c r="B124" s="232"/>
      <c r="C124" s="235"/>
      <c r="D124" s="233"/>
      <c r="E124" s="233"/>
      <c r="F124" s="233"/>
      <c r="G124" s="233"/>
      <c r="H124" s="233"/>
      <c r="I124" s="233"/>
      <c r="J124" s="233"/>
      <c r="K124" s="233"/>
      <c r="L124" s="233"/>
      <c r="M124" s="233"/>
      <c r="N124" s="233"/>
      <c r="O124" s="233"/>
      <c r="P124" s="233"/>
      <c r="Q124" s="233"/>
      <c r="R124" s="230"/>
      <c r="S124" s="230"/>
      <c r="T124" s="230"/>
      <c r="U124" s="230"/>
      <c r="V124" s="230"/>
      <c r="W124" s="230"/>
      <c r="X124" s="230"/>
      <c r="Y124" s="230"/>
      <c r="Z124" s="230"/>
    </row>
    <row r="125" spans="1:26" s="229" customFormat="1" ht="19.5" customHeight="1">
      <c r="A125" s="271"/>
      <c r="B125" s="232"/>
      <c r="C125" s="235"/>
      <c r="D125" s="233"/>
      <c r="E125" s="233"/>
      <c r="F125" s="233"/>
      <c r="G125" s="233"/>
      <c r="H125" s="233"/>
      <c r="I125" s="233"/>
      <c r="J125" s="233"/>
      <c r="K125" s="233"/>
      <c r="L125" s="233"/>
      <c r="M125" s="233"/>
      <c r="N125" s="233"/>
      <c r="O125" s="233"/>
      <c r="P125" s="233"/>
      <c r="Q125" s="233"/>
      <c r="R125" s="230"/>
      <c r="S125" s="230"/>
      <c r="T125" s="230"/>
      <c r="U125" s="230"/>
      <c r="V125" s="230"/>
      <c r="W125" s="230"/>
      <c r="X125" s="230"/>
      <c r="Y125" s="230"/>
      <c r="Z125" s="230"/>
    </row>
    <row r="126" spans="1:26" s="229" customFormat="1" ht="19.5" customHeight="1">
      <c r="A126" s="271"/>
      <c r="B126" s="232"/>
      <c r="C126" s="235"/>
      <c r="D126" s="233"/>
      <c r="E126" s="233"/>
      <c r="F126" s="233"/>
      <c r="G126" s="233"/>
      <c r="H126" s="233"/>
      <c r="I126" s="233"/>
      <c r="J126" s="233"/>
      <c r="K126" s="233"/>
      <c r="L126" s="233"/>
      <c r="M126" s="233"/>
      <c r="N126" s="233"/>
      <c r="O126" s="233"/>
      <c r="P126" s="233"/>
      <c r="Q126" s="233"/>
      <c r="R126" s="230"/>
      <c r="S126" s="230"/>
      <c r="T126" s="230"/>
      <c r="U126" s="230"/>
      <c r="V126" s="230"/>
      <c r="W126" s="230"/>
      <c r="X126" s="230"/>
      <c r="Y126" s="230"/>
      <c r="Z126" s="230"/>
    </row>
    <row r="127" spans="1:26" s="229" customFormat="1" ht="19.5" customHeight="1">
      <c r="A127" s="271"/>
      <c r="B127" s="232"/>
      <c r="C127" s="235"/>
      <c r="D127" s="233"/>
      <c r="E127" s="233"/>
      <c r="F127" s="233"/>
      <c r="G127" s="233"/>
      <c r="H127" s="233"/>
      <c r="I127" s="233"/>
      <c r="J127" s="233"/>
      <c r="K127" s="233"/>
      <c r="L127" s="233"/>
      <c r="M127" s="233"/>
      <c r="N127" s="233"/>
      <c r="O127" s="233"/>
      <c r="P127" s="233"/>
      <c r="Q127" s="233"/>
      <c r="R127" s="230"/>
      <c r="S127" s="230"/>
      <c r="T127" s="230"/>
      <c r="U127" s="230"/>
      <c r="V127" s="230"/>
      <c r="W127" s="230"/>
      <c r="X127" s="230"/>
      <c r="Y127" s="230"/>
      <c r="Z127" s="230"/>
    </row>
    <row r="128" spans="1:26" s="229" customFormat="1" ht="19.5" customHeight="1">
      <c r="A128" s="271"/>
      <c r="B128" s="232"/>
      <c r="C128" s="235"/>
      <c r="D128" s="233"/>
      <c r="E128" s="233"/>
      <c r="F128" s="233"/>
      <c r="G128" s="233"/>
      <c r="H128" s="233"/>
      <c r="I128" s="233"/>
      <c r="J128" s="233"/>
      <c r="K128" s="233"/>
      <c r="L128" s="233"/>
      <c r="M128" s="233"/>
      <c r="N128" s="233"/>
      <c r="O128" s="233"/>
      <c r="P128" s="233"/>
      <c r="Q128" s="233"/>
      <c r="R128" s="230"/>
      <c r="S128" s="230"/>
      <c r="T128" s="230"/>
      <c r="U128" s="230"/>
      <c r="V128" s="230"/>
      <c r="W128" s="230"/>
      <c r="X128" s="230"/>
      <c r="Y128" s="230"/>
      <c r="Z128" s="230"/>
    </row>
    <row r="129" spans="1:26" s="229" customFormat="1" ht="19.5" customHeight="1">
      <c r="A129" s="271"/>
      <c r="B129" s="232"/>
      <c r="C129" s="235"/>
      <c r="D129" s="233"/>
      <c r="E129" s="233"/>
      <c r="F129" s="233"/>
      <c r="G129" s="233"/>
      <c r="H129" s="233"/>
      <c r="I129" s="233"/>
      <c r="J129" s="233"/>
      <c r="K129" s="233"/>
      <c r="L129" s="233"/>
      <c r="M129" s="233"/>
      <c r="N129" s="233"/>
      <c r="O129" s="233"/>
      <c r="P129" s="233"/>
      <c r="Q129" s="233"/>
      <c r="R129" s="230"/>
      <c r="S129" s="230"/>
      <c r="T129" s="230"/>
      <c r="U129" s="230"/>
      <c r="V129" s="230"/>
      <c r="W129" s="230"/>
      <c r="X129" s="230"/>
      <c r="Y129" s="230"/>
      <c r="Z129" s="230"/>
    </row>
    <row r="130" spans="1:26" s="229" customFormat="1" ht="19.5" customHeight="1">
      <c r="A130" s="271"/>
      <c r="B130" s="232"/>
      <c r="C130" s="235"/>
      <c r="D130" s="233"/>
      <c r="E130" s="233"/>
      <c r="F130" s="233"/>
      <c r="G130" s="233"/>
      <c r="H130" s="233"/>
      <c r="I130" s="233"/>
      <c r="J130" s="233"/>
      <c r="K130" s="233"/>
      <c r="L130" s="233"/>
      <c r="M130" s="233"/>
      <c r="N130" s="233"/>
      <c r="O130" s="233"/>
      <c r="P130" s="233"/>
      <c r="Q130" s="233"/>
      <c r="R130" s="230"/>
      <c r="S130" s="230"/>
      <c r="T130" s="230"/>
      <c r="U130" s="230"/>
      <c r="V130" s="230"/>
      <c r="W130" s="230"/>
      <c r="X130" s="230"/>
      <c r="Y130" s="230"/>
      <c r="Z130" s="230"/>
    </row>
    <row r="131" spans="1:26" s="229" customFormat="1" ht="19.5" customHeight="1">
      <c r="A131" s="271"/>
      <c r="B131" s="232"/>
      <c r="C131" s="235"/>
      <c r="D131" s="233"/>
      <c r="E131" s="233"/>
      <c r="F131" s="233"/>
      <c r="G131" s="233"/>
      <c r="H131" s="233"/>
      <c r="I131" s="233"/>
      <c r="J131" s="233"/>
      <c r="K131" s="233"/>
      <c r="L131" s="233"/>
      <c r="M131" s="233"/>
      <c r="N131" s="233"/>
      <c r="O131" s="233"/>
      <c r="P131" s="233"/>
      <c r="Q131" s="233"/>
      <c r="R131" s="230"/>
      <c r="S131" s="230"/>
      <c r="T131" s="230"/>
      <c r="U131" s="230"/>
      <c r="V131" s="230"/>
      <c r="W131" s="230"/>
      <c r="X131" s="230"/>
      <c r="Y131" s="230"/>
      <c r="Z131" s="230"/>
    </row>
    <row r="132" spans="1:26" s="229" customFormat="1" ht="19.5" customHeight="1">
      <c r="A132" s="271"/>
      <c r="B132" s="232"/>
      <c r="C132" s="235"/>
      <c r="D132" s="233"/>
      <c r="E132" s="233"/>
      <c r="F132" s="233"/>
      <c r="G132" s="233"/>
      <c r="H132" s="233"/>
      <c r="I132" s="233"/>
      <c r="J132" s="233"/>
      <c r="K132" s="233"/>
      <c r="L132" s="233"/>
      <c r="M132" s="233"/>
      <c r="N132" s="233"/>
      <c r="O132" s="233"/>
      <c r="P132" s="233"/>
      <c r="Q132" s="233"/>
      <c r="R132" s="230"/>
      <c r="S132" s="230"/>
      <c r="T132" s="230"/>
      <c r="U132" s="230"/>
      <c r="V132" s="230"/>
      <c r="W132" s="230"/>
      <c r="X132" s="230"/>
      <c r="Y132" s="230"/>
      <c r="Z132" s="230"/>
    </row>
    <row r="133" spans="1:26" s="229" customFormat="1" ht="19.5" customHeight="1">
      <c r="A133" s="271"/>
      <c r="B133" s="232"/>
      <c r="C133" s="235"/>
      <c r="D133" s="233"/>
      <c r="E133" s="233"/>
      <c r="F133" s="233"/>
      <c r="G133" s="233"/>
      <c r="H133" s="233"/>
      <c r="I133" s="233"/>
      <c r="J133" s="233"/>
      <c r="K133" s="233"/>
      <c r="L133" s="233"/>
      <c r="M133" s="233"/>
      <c r="N133" s="233"/>
      <c r="O133" s="233"/>
      <c r="P133" s="233"/>
      <c r="Q133" s="233"/>
      <c r="R133" s="230"/>
      <c r="S133" s="230"/>
      <c r="T133" s="230"/>
      <c r="U133" s="230"/>
      <c r="V133" s="230"/>
      <c r="W133" s="230"/>
      <c r="X133" s="230"/>
      <c r="Y133" s="230"/>
      <c r="Z133" s="230"/>
    </row>
    <row r="134" spans="1:26" s="229" customFormat="1" ht="19.5" customHeight="1">
      <c r="A134" s="271"/>
      <c r="B134" s="232"/>
      <c r="C134" s="235"/>
      <c r="D134" s="233"/>
      <c r="E134" s="233"/>
      <c r="F134" s="233"/>
      <c r="G134" s="233"/>
      <c r="H134" s="233"/>
      <c r="I134" s="233"/>
      <c r="J134" s="233"/>
      <c r="K134" s="233"/>
      <c r="L134" s="233"/>
      <c r="M134" s="233"/>
      <c r="N134" s="233"/>
      <c r="O134" s="233"/>
      <c r="P134" s="233"/>
      <c r="Q134" s="233"/>
      <c r="R134" s="230"/>
      <c r="S134" s="230"/>
      <c r="T134" s="230"/>
      <c r="U134" s="230"/>
      <c r="V134" s="230"/>
      <c r="W134" s="230"/>
      <c r="X134" s="230"/>
      <c r="Y134" s="230"/>
      <c r="Z134" s="230"/>
    </row>
    <row r="135" spans="1:26" s="229" customFormat="1" ht="19.5" customHeight="1">
      <c r="A135" s="271"/>
      <c r="B135" s="232"/>
      <c r="C135" s="235"/>
      <c r="D135" s="233"/>
      <c r="E135" s="233"/>
      <c r="F135" s="233"/>
      <c r="G135" s="233"/>
      <c r="H135" s="233"/>
      <c r="I135" s="233"/>
      <c r="J135" s="233"/>
      <c r="K135" s="233"/>
      <c r="L135" s="233"/>
      <c r="M135" s="233"/>
      <c r="N135" s="233"/>
      <c r="O135" s="233"/>
      <c r="P135" s="233"/>
      <c r="Q135" s="233"/>
      <c r="R135" s="230"/>
      <c r="S135" s="230"/>
      <c r="T135" s="230"/>
      <c r="U135" s="230"/>
      <c r="V135" s="230"/>
      <c r="W135" s="230"/>
      <c r="X135" s="230"/>
      <c r="Y135" s="230"/>
      <c r="Z135" s="230"/>
    </row>
    <row r="136" spans="1:26" s="229" customFormat="1" ht="19.5" customHeight="1">
      <c r="A136" s="271"/>
      <c r="B136" s="232"/>
      <c r="C136" s="235"/>
      <c r="D136" s="233"/>
      <c r="E136" s="233"/>
      <c r="F136" s="233"/>
      <c r="G136" s="233"/>
      <c r="H136" s="233"/>
      <c r="I136" s="233"/>
      <c r="J136" s="233"/>
      <c r="K136" s="233"/>
      <c r="L136" s="233"/>
      <c r="M136" s="233"/>
      <c r="N136" s="233"/>
      <c r="O136" s="233"/>
      <c r="P136" s="233"/>
      <c r="Q136" s="233"/>
      <c r="R136" s="230"/>
      <c r="S136" s="230"/>
      <c r="T136" s="230"/>
      <c r="U136" s="230"/>
      <c r="V136" s="230"/>
      <c r="W136" s="230"/>
      <c r="X136" s="230"/>
      <c r="Y136" s="230"/>
      <c r="Z136" s="230"/>
    </row>
    <row r="137" spans="1:26" s="229" customFormat="1" ht="19.5" customHeight="1">
      <c r="A137" s="271"/>
      <c r="B137" s="232"/>
      <c r="C137" s="235"/>
      <c r="D137" s="233"/>
      <c r="E137" s="233"/>
      <c r="F137" s="233"/>
      <c r="G137" s="233"/>
      <c r="H137" s="233"/>
      <c r="I137" s="233"/>
      <c r="J137" s="233"/>
      <c r="K137" s="233"/>
      <c r="L137" s="233"/>
      <c r="M137" s="233"/>
      <c r="N137" s="233"/>
      <c r="O137" s="233"/>
      <c r="P137" s="233"/>
      <c r="Q137" s="233"/>
      <c r="R137" s="230"/>
      <c r="S137" s="230"/>
      <c r="T137" s="230"/>
      <c r="U137" s="230"/>
      <c r="V137" s="230"/>
      <c r="W137" s="230"/>
      <c r="X137" s="230"/>
      <c r="Y137" s="230"/>
      <c r="Z137" s="230"/>
    </row>
    <row r="138" spans="1:26" s="229" customFormat="1" ht="19.5" customHeight="1">
      <c r="A138" s="271"/>
      <c r="B138" s="232"/>
      <c r="C138" s="235"/>
      <c r="D138" s="233"/>
      <c r="E138" s="233"/>
      <c r="F138" s="233"/>
      <c r="G138" s="233"/>
      <c r="H138" s="233"/>
      <c r="I138" s="233"/>
      <c r="J138" s="233"/>
      <c r="K138" s="233"/>
      <c r="L138" s="233"/>
      <c r="M138" s="233"/>
      <c r="N138" s="233"/>
      <c r="O138" s="233"/>
      <c r="P138" s="233"/>
      <c r="Q138" s="233"/>
      <c r="R138" s="230"/>
      <c r="S138" s="230"/>
      <c r="T138" s="230"/>
      <c r="U138" s="230"/>
      <c r="V138" s="230"/>
      <c r="W138" s="230"/>
      <c r="X138" s="230"/>
      <c r="Y138" s="230"/>
      <c r="Z138" s="230"/>
    </row>
    <row r="139" spans="1:26" s="229" customFormat="1" ht="19.5" customHeight="1">
      <c r="A139" s="271"/>
      <c r="B139" s="232"/>
      <c r="C139" s="235"/>
      <c r="D139" s="233"/>
      <c r="E139" s="233"/>
      <c r="F139" s="233"/>
      <c r="G139" s="233"/>
      <c r="H139" s="233"/>
      <c r="I139" s="233"/>
      <c r="J139" s="233"/>
      <c r="K139" s="233"/>
      <c r="L139" s="233"/>
      <c r="M139" s="233"/>
      <c r="N139" s="233"/>
      <c r="O139" s="233"/>
      <c r="P139" s="233"/>
      <c r="Q139" s="233"/>
      <c r="R139" s="230"/>
      <c r="S139" s="230"/>
      <c r="T139" s="230"/>
      <c r="U139" s="230"/>
      <c r="V139" s="230"/>
      <c r="W139" s="230"/>
      <c r="X139" s="230"/>
      <c r="Y139" s="230"/>
      <c r="Z139" s="230"/>
    </row>
    <row r="140" spans="1:26" s="229" customFormat="1" ht="19.5" customHeight="1">
      <c r="A140" s="271"/>
      <c r="B140" s="232"/>
      <c r="C140" s="235"/>
      <c r="D140" s="233"/>
      <c r="E140" s="233"/>
      <c r="F140" s="233"/>
      <c r="G140" s="233"/>
      <c r="H140" s="233"/>
      <c r="I140" s="233"/>
      <c r="J140" s="233"/>
      <c r="K140" s="233"/>
      <c r="L140" s="233"/>
      <c r="M140" s="233"/>
      <c r="N140" s="233"/>
      <c r="O140" s="233"/>
      <c r="P140" s="233"/>
      <c r="Q140" s="233"/>
      <c r="R140" s="230"/>
      <c r="S140" s="230"/>
      <c r="T140" s="230"/>
      <c r="U140" s="230"/>
      <c r="V140" s="230"/>
      <c r="W140" s="230"/>
      <c r="X140" s="230"/>
      <c r="Y140" s="230"/>
      <c r="Z140" s="230"/>
    </row>
    <row r="141" spans="1:26" s="229" customFormat="1" ht="19.5" customHeight="1">
      <c r="A141" s="271"/>
      <c r="B141" s="232"/>
      <c r="C141" s="235"/>
      <c r="D141" s="233"/>
      <c r="E141" s="233"/>
      <c r="F141" s="233"/>
      <c r="G141" s="233"/>
      <c r="H141" s="233"/>
      <c r="I141" s="233"/>
      <c r="J141" s="233"/>
      <c r="K141" s="233"/>
      <c r="L141" s="233"/>
      <c r="M141" s="233"/>
      <c r="N141" s="233"/>
      <c r="O141" s="233"/>
      <c r="P141" s="233"/>
      <c r="Q141" s="233"/>
      <c r="R141" s="230"/>
      <c r="S141" s="230"/>
      <c r="T141" s="230"/>
      <c r="U141" s="230"/>
      <c r="V141" s="230"/>
      <c r="W141" s="230"/>
      <c r="X141" s="230"/>
      <c r="Y141" s="230"/>
      <c r="Z141" s="230"/>
    </row>
    <row r="142" spans="1:26" s="229" customFormat="1" ht="19.5" customHeight="1">
      <c r="A142" s="271"/>
      <c r="B142" s="232"/>
      <c r="C142" s="235"/>
      <c r="D142" s="233"/>
      <c r="E142" s="233"/>
      <c r="F142" s="233"/>
      <c r="G142" s="233"/>
      <c r="H142" s="233"/>
      <c r="I142" s="233"/>
      <c r="J142" s="233"/>
      <c r="K142" s="233"/>
      <c r="L142" s="233"/>
      <c r="M142" s="233"/>
      <c r="N142" s="233"/>
      <c r="O142" s="233"/>
      <c r="P142" s="233"/>
      <c r="Q142" s="233"/>
      <c r="R142" s="230"/>
      <c r="S142" s="230"/>
      <c r="T142" s="230"/>
      <c r="U142" s="230"/>
      <c r="V142" s="230"/>
      <c r="W142" s="230"/>
      <c r="X142" s="230"/>
      <c r="Y142" s="230"/>
      <c r="Z142" s="230"/>
    </row>
    <row r="143" spans="1:26" s="229" customFormat="1" ht="19.5" customHeight="1">
      <c r="A143" s="271"/>
      <c r="B143" s="232"/>
      <c r="C143" s="235"/>
      <c r="D143" s="233"/>
      <c r="E143" s="233"/>
      <c r="F143" s="233"/>
      <c r="G143" s="233"/>
      <c r="H143" s="233"/>
      <c r="I143" s="233"/>
      <c r="J143" s="233"/>
      <c r="K143" s="233"/>
      <c r="L143" s="233"/>
      <c r="M143" s="233"/>
      <c r="N143" s="233"/>
      <c r="O143" s="233"/>
      <c r="P143" s="233"/>
      <c r="Q143" s="233"/>
      <c r="R143" s="230"/>
      <c r="S143" s="230"/>
      <c r="T143" s="230"/>
      <c r="U143" s="230"/>
      <c r="V143" s="230"/>
      <c r="W143" s="230"/>
      <c r="X143" s="230"/>
      <c r="Y143" s="230"/>
      <c r="Z143" s="230"/>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2" location="'38障害支援区分'!A1" display="利用者の障害支援区分 " xr:uid="{00000000-0004-0000-0000-000002000000}"/>
    <hyperlink ref="C21" location="'37GH体制'!A1" display="共同生活援助に係る体制 " xr:uid="{00000000-0004-0000-0000-000003000000}"/>
    <hyperlink ref="C2" location="'8平面図'!A1" display="事業所の平面図 " xr:uid="{00000000-0004-0000-0000-000004000000}"/>
    <hyperlink ref="C3" location="'10設備備品一覧'!A1" display="事業所の設備・備品等一覧表 " xr:uid="{00000000-0004-0000-0000-000005000000}"/>
    <hyperlink ref="C7" location="'12～15経歴書'!A1" display="管理者等の経歴書  " xr:uid="{00000000-0004-0000-0000-000006000000}"/>
    <hyperlink ref="C8" location="'16就任承諾書'!A1" display="管理者・サービス提供責任者・サービス管理責任者・相談支援専門員の就任承諾書 " xr:uid="{00000000-0004-0000-0000-000007000000}"/>
    <hyperlink ref="C13" location="'18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9" location="'28関係機関'!A1" display="関係機関との連携体制その他適切な支援体制（バックアップ施設等）の概要 " xr:uid="{00000000-0004-0000-0000-00000A000000}"/>
    <hyperlink ref="C9" location="'17-1サビ提誓約書(同行援護)'!A1" display="【同行援護】 サービス提供責任者の配置要件に係る誓約書　" xr:uid="{00000000-0004-0000-0000-00000B000000}"/>
    <hyperlink ref="C10" location="'17-2サビ提誓約書(行動援護)'!A1" display="【行動援護】 サービス提供責任者の配置要件に係る誓約書　 " xr:uid="{00000000-0004-0000-0000-00000C000000}"/>
    <hyperlink ref="C11" location="'17-2サビ管誓約書(新規)'!A1" display="【新      規】 サービス管理責任者の配置要件に係る誓約書" xr:uid="{00000000-0004-0000-0000-00000D000000}"/>
    <hyperlink ref="C23" location="'39原本証明'!A1" display="原本証明 " xr:uid="{00000000-0004-0000-0000-00000E000000}"/>
    <hyperlink ref="C17" location="'25従業者誓約書(同行援護)'!A1" display="【同行援護】 サービス管理責任者の配置要件に係る誓約書（やむを得ない事由）" xr:uid="{00000000-0004-0000-0000-00000F000000}"/>
    <hyperlink ref="C18" location="'25従業者誓約書(行動援護)'!A1" display="【行動援護】 サービス管理責任者の配置要件に係る誓約書（やむを得ない事由）" xr:uid="{00000000-0004-0000-0000-000010000000}"/>
    <hyperlink ref="C20" location="'30主たる対象者'!A1" display="指定障害者福祉サービスの主たる対象者を特定する理由等 " xr:uid="{00000000-0004-0000-0000-000011000000}"/>
    <hyperlink ref="C15" location="'21勤務形態一覧(通所系)'!A1" display="【訪問系以外】 従業者の勤務の体制及び勤務形態一覧表" xr:uid="{00000000-0004-0000-0000-000012000000}"/>
    <hyperlink ref="C12" location="'17-2サビ管誓約書(やむを得ない事由)'!A1" display="【やむを得ない事由】 サービス管理責任者の配置要件に係る誓約書" xr:uid="{00000000-0004-0000-0000-000013000000}"/>
  </hyperlinks>
  <printOptions horizontalCentered="1" verticalCentered="1"/>
  <pageMargins left="0.51181102362204722" right="0" top="0.35433070866141736" bottom="0.15748031496062992" header="0.31496062992125984" footer="0.31496062992125984"/>
  <pageSetup paperSize="9" fitToHeight="0" orientation="portrait" r:id="rId1"/>
  <ignoredErrors>
    <ignoredError sqref="A4" numberStoredAsText="1"/>
    <ignoredError sqref="A9:A1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ACD6-C475-467F-A929-5E5C52D6B8B7}">
  <sheetPr>
    <tabColor rgb="FF00B0F0"/>
  </sheetPr>
  <dimension ref="A2:I41"/>
  <sheetViews>
    <sheetView view="pageBreakPreview" zoomScaleSheetLayoutView="100" workbookViewId="0">
      <selection activeCell="C15" sqref="C15:D15"/>
    </sheetView>
  </sheetViews>
  <sheetFormatPr defaultColWidth="8.875" defaultRowHeight="13.5"/>
  <cols>
    <col min="1" max="8" width="8.875" style="308"/>
    <col min="9" max="9" width="12.875" style="308" customWidth="1"/>
    <col min="10" max="16384" width="8.875" style="308"/>
  </cols>
  <sheetData>
    <row r="2" spans="1:9" ht="21">
      <c r="A2" s="319" t="s">
        <v>663</v>
      </c>
      <c r="B2" s="319"/>
      <c r="C2" s="319"/>
      <c r="D2" s="319"/>
      <c r="E2" s="319"/>
      <c r="F2" s="319"/>
      <c r="G2" s="319"/>
      <c r="H2" s="319"/>
      <c r="I2" s="319"/>
    </row>
    <row r="5" spans="1:9">
      <c r="E5" s="308" t="s">
        <v>664</v>
      </c>
      <c r="G5" s="308" t="s">
        <v>665</v>
      </c>
    </row>
    <row r="7" spans="1:9" ht="20.100000000000001" customHeight="1">
      <c r="A7" s="320" t="s">
        <v>666</v>
      </c>
      <c r="B7" s="320"/>
      <c r="C7" s="321" t="s">
        <v>3</v>
      </c>
      <c r="D7" s="321"/>
      <c r="E7" s="321" t="s">
        <v>667</v>
      </c>
      <c r="F7" s="321"/>
      <c r="G7" s="321"/>
      <c r="H7" s="321"/>
      <c r="I7" s="322" t="s">
        <v>2</v>
      </c>
    </row>
    <row r="8" spans="1:9" ht="20.100000000000001" customHeight="1">
      <c r="A8" s="323" t="s">
        <v>668</v>
      </c>
      <c r="B8" s="323"/>
      <c r="C8" s="321" t="s">
        <v>669</v>
      </c>
      <c r="D8" s="321"/>
      <c r="E8" s="321" t="s">
        <v>670</v>
      </c>
      <c r="F8" s="321"/>
      <c r="G8" s="321" t="s">
        <v>671</v>
      </c>
      <c r="H8" s="321"/>
      <c r="I8" s="322"/>
    </row>
    <row r="9" spans="1:9" ht="20.100000000000001" customHeight="1">
      <c r="A9" s="324" t="s">
        <v>672</v>
      </c>
      <c r="B9" s="325"/>
      <c r="C9" s="326">
        <v>26894</v>
      </c>
      <c r="D9" s="322"/>
      <c r="E9" s="327" t="s" ph="1">
        <v>673</v>
      </c>
      <c r="F9" s="327" ph="1"/>
      <c r="G9" s="327" ph="1"/>
      <c r="H9" s="327" ph="1"/>
      <c r="I9" s="328"/>
    </row>
    <row r="10" spans="1:9" ht="20.100000000000001" customHeight="1">
      <c r="A10" s="329" t="s">
        <v>674</v>
      </c>
      <c r="B10" s="330"/>
      <c r="C10" s="322" t="s">
        <v>675</v>
      </c>
      <c r="D10" s="322"/>
      <c r="E10" s="327" t="s">
        <v>676</v>
      </c>
      <c r="F10" s="327"/>
      <c r="G10" s="327" t="s">
        <v>677</v>
      </c>
      <c r="H10" s="327"/>
      <c r="I10" s="328"/>
    </row>
    <row r="11" spans="1:9" ht="20.100000000000001" customHeight="1">
      <c r="A11" s="324" t="s">
        <v>678</v>
      </c>
      <c r="B11" s="325"/>
      <c r="C11" s="326">
        <v>25496</v>
      </c>
      <c r="D11" s="322"/>
      <c r="E11" s="327" t="s" ph="1">
        <v>679</v>
      </c>
      <c r="F11" s="327" ph="1"/>
      <c r="G11" s="327" ph="1"/>
      <c r="H11" s="327" ph="1"/>
      <c r="I11" s="328"/>
    </row>
    <row r="12" spans="1:9" ht="20.100000000000001" customHeight="1">
      <c r="A12" s="329" t="s">
        <v>680</v>
      </c>
      <c r="B12" s="330"/>
      <c r="C12" s="322" t="s">
        <v>681</v>
      </c>
      <c r="D12" s="322"/>
      <c r="E12" s="327" t="s">
        <v>682</v>
      </c>
      <c r="F12" s="327"/>
      <c r="G12" s="327" t="s">
        <v>677</v>
      </c>
      <c r="H12" s="327"/>
      <c r="I12" s="328"/>
    </row>
    <row r="13" spans="1:9" ht="20.100000000000001" customHeight="1">
      <c r="A13" s="324" t="s">
        <v>683</v>
      </c>
      <c r="B13" s="325"/>
      <c r="C13" s="326">
        <v>30019</v>
      </c>
      <c r="D13" s="322"/>
      <c r="E13" s="327" t="s" ph="1">
        <v>684</v>
      </c>
      <c r="F13" s="327" ph="1"/>
      <c r="G13" s="327" ph="1"/>
      <c r="H13" s="327" ph="1"/>
      <c r="I13" s="328"/>
    </row>
    <row r="14" spans="1:9" ht="20.100000000000001" customHeight="1">
      <c r="A14" s="329" t="s">
        <v>685</v>
      </c>
      <c r="B14" s="330"/>
      <c r="C14" s="326" t="s">
        <v>731</v>
      </c>
      <c r="D14" s="322"/>
      <c r="E14" s="327" t="s">
        <v>686</v>
      </c>
      <c r="F14" s="327"/>
      <c r="G14" s="327" t="s">
        <v>687</v>
      </c>
      <c r="H14" s="327"/>
      <c r="I14" s="328"/>
    </row>
    <row r="15" spans="1:9" ht="20.100000000000001" customHeight="1">
      <c r="A15" s="324" t="s">
        <v>688</v>
      </c>
      <c r="B15" s="325"/>
      <c r="C15" s="326">
        <v>26973</v>
      </c>
      <c r="D15" s="322"/>
      <c r="E15" s="327" t="s" ph="1">
        <v>673</v>
      </c>
      <c r="F15" s="327" ph="1"/>
      <c r="G15" s="327" ph="1"/>
      <c r="H15" s="327" ph="1"/>
      <c r="I15" s="328"/>
    </row>
    <row r="16" spans="1:9" ht="20.100000000000001" customHeight="1">
      <c r="A16" s="329" t="s">
        <v>689</v>
      </c>
      <c r="B16" s="330"/>
      <c r="C16" s="322" t="s">
        <v>690</v>
      </c>
      <c r="D16" s="322"/>
      <c r="E16" s="327" t="s">
        <v>691</v>
      </c>
      <c r="F16" s="327"/>
      <c r="G16" s="327" t="s">
        <v>677</v>
      </c>
      <c r="H16" s="327"/>
      <c r="I16" s="328"/>
    </row>
    <row r="17" spans="1:9" ht="20.100000000000001" customHeight="1">
      <c r="A17" s="324" t="s">
        <v>678</v>
      </c>
      <c r="B17" s="325"/>
      <c r="C17" s="326">
        <v>25496</v>
      </c>
      <c r="D17" s="322"/>
      <c r="E17" s="327" t="s" ph="1">
        <v>679</v>
      </c>
      <c r="F17" s="327" ph="1"/>
      <c r="G17" s="327" ph="1"/>
      <c r="H17" s="327" ph="1"/>
      <c r="I17" s="328"/>
    </row>
    <row r="18" spans="1:9" ht="20.100000000000001" customHeight="1">
      <c r="A18" s="329" t="s">
        <v>680</v>
      </c>
      <c r="B18" s="330"/>
      <c r="C18" s="322" t="s">
        <v>224</v>
      </c>
      <c r="D18" s="322"/>
      <c r="E18" s="327" t="s">
        <v>682</v>
      </c>
      <c r="F18" s="327"/>
      <c r="G18" s="327" t="s">
        <v>677</v>
      </c>
      <c r="H18" s="327"/>
      <c r="I18" s="328"/>
    </row>
    <row r="19" spans="1:9" ht="20.100000000000001" customHeight="1">
      <c r="A19" s="328"/>
      <c r="B19" s="328"/>
      <c r="C19" s="322"/>
      <c r="D19" s="322"/>
      <c r="E19" s="327"/>
      <c r="F19" s="327"/>
      <c r="G19" s="327"/>
      <c r="H19" s="327"/>
      <c r="I19" s="328"/>
    </row>
    <row r="20" spans="1:9" ht="20.100000000000001" customHeight="1">
      <c r="A20" s="328"/>
      <c r="B20" s="328"/>
      <c r="C20" s="322"/>
      <c r="D20" s="322"/>
      <c r="E20" s="327"/>
      <c r="F20" s="327"/>
      <c r="G20" s="327"/>
      <c r="H20" s="327"/>
      <c r="I20" s="328"/>
    </row>
    <row r="21" spans="1:9" ht="20.100000000000001" customHeight="1">
      <c r="A21" s="328"/>
      <c r="B21" s="328"/>
      <c r="C21" s="322"/>
      <c r="D21" s="322"/>
      <c r="E21" s="327"/>
      <c r="F21" s="327"/>
      <c r="G21" s="327"/>
      <c r="H21" s="327"/>
      <c r="I21" s="328"/>
    </row>
    <row r="22" spans="1:9" ht="20.100000000000001" customHeight="1">
      <c r="A22" s="328"/>
      <c r="B22" s="328"/>
      <c r="C22" s="322"/>
      <c r="D22" s="322"/>
      <c r="E22" s="327"/>
      <c r="F22" s="327"/>
      <c r="G22" s="327"/>
      <c r="H22" s="327"/>
      <c r="I22" s="328"/>
    </row>
    <row r="23" spans="1:9" ht="20.100000000000001" customHeight="1">
      <c r="A23" s="328"/>
      <c r="B23" s="328"/>
      <c r="C23" s="328"/>
      <c r="D23" s="328"/>
      <c r="E23" s="331"/>
      <c r="F23" s="331"/>
      <c r="G23" s="331"/>
      <c r="H23" s="331"/>
      <c r="I23" s="328"/>
    </row>
    <row r="24" spans="1:9" ht="20.100000000000001" customHeight="1">
      <c r="A24" s="328"/>
      <c r="B24" s="328"/>
      <c r="C24" s="328"/>
      <c r="D24" s="328"/>
      <c r="E24" s="331"/>
      <c r="F24" s="331"/>
      <c r="G24" s="331"/>
      <c r="H24" s="331"/>
      <c r="I24" s="328"/>
    </row>
    <row r="25" spans="1:9" ht="20.100000000000001" customHeight="1">
      <c r="A25" s="328"/>
      <c r="B25" s="328"/>
      <c r="C25" s="328"/>
      <c r="D25" s="328"/>
      <c r="E25" s="328"/>
      <c r="F25" s="328"/>
      <c r="G25" s="328"/>
      <c r="H25" s="328"/>
      <c r="I25" s="328"/>
    </row>
    <row r="26" spans="1:9" ht="20.100000000000001" customHeight="1">
      <c r="A26" s="328"/>
      <c r="B26" s="328"/>
      <c r="C26" s="328"/>
      <c r="D26" s="328"/>
      <c r="E26" s="328"/>
      <c r="F26" s="328"/>
      <c r="G26" s="328"/>
      <c r="H26" s="328"/>
      <c r="I26" s="328"/>
    </row>
    <row r="27" spans="1:9" ht="20.100000000000001" customHeight="1">
      <c r="A27" s="328"/>
      <c r="B27" s="328"/>
      <c r="C27" s="328"/>
      <c r="D27" s="328"/>
      <c r="E27" s="328"/>
      <c r="F27" s="328"/>
      <c r="G27" s="328"/>
      <c r="H27" s="328"/>
      <c r="I27" s="328"/>
    </row>
    <row r="28" spans="1:9" ht="20.100000000000001" customHeight="1">
      <c r="A28" s="328"/>
      <c r="B28" s="328"/>
      <c r="C28" s="328"/>
      <c r="D28" s="328"/>
      <c r="E28" s="328"/>
      <c r="F28" s="328"/>
      <c r="G28" s="328"/>
      <c r="H28" s="328"/>
      <c r="I28" s="328"/>
    </row>
    <row r="29" spans="1:9" ht="20.100000000000001" customHeight="1">
      <c r="A29" s="328"/>
      <c r="B29" s="328"/>
      <c r="C29" s="328"/>
      <c r="D29" s="328"/>
      <c r="E29" s="328"/>
      <c r="F29" s="328"/>
      <c r="G29" s="328"/>
      <c r="H29" s="328"/>
      <c r="I29" s="328"/>
    </row>
    <row r="30" spans="1:9" ht="20.100000000000001" customHeight="1">
      <c r="A30" s="328"/>
      <c r="B30" s="328"/>
      <c r="C30" s="328"/>
      <c r="D30" s="328"/>
      <c r="E30" s="328"/>
      <c r="F30" s="328"/>
      <c r="G30" s="328"/>
      <c r="H30" s="328"/>
      <c r="I30" s="328"/>
    </row>
    <row r="31" spans="1:9" ht="20.100000000000001" customHeight="1">
      <c r="A31" s="328"/>
      <c r="B31" s="328"/>
      <c r="C31" s="328"/>
      <c r="D31" s="328"/>
      <c r="E31" s="328"/>
      <c r="F31" s="328"/>
      <c r="G31" s="328"/>
      <c r="H31" s="328"/>
      <c r="I31" s="328"/>
    </row>
    <row r="32" spans="1:9" ht="20.100000000000001" customHeight="1">
      <c r="A32" s="328"/>
      <c r="B32" s="328"/>
      <c r="C32" s="328"/>
      <c r="D32" s="328"/>
      <c r="E32" s="328"/>
      <c r="F32" s="328"/>
      <c r="G32" s="328"/>
      <c r="H32" s="328"/>
      <c r="I32" s="328"/>
    </row>
    <row r="33" spans="1:9" ht="20.100000000000001" customHeight="1">
      <c r="A33" s="328"/>
      <c r="B33" s="328"/>
      <c r="C33" s="328"/>
      <c r="D33" s="328"/>
      <c r="E33" s="328"/>
      <c r="F33" s="328"/>
      <c r="G33" s="328"/>
      <c r="H33" s="328"/>
      <c r="I33" s="328"/>
    </row>
    <row r="34" spans="1:9" ht="20.100000000000001" customHeight="1">
      <c r="A34" s="328"/>
      <c r="B34" s="328"/>
      <c r="C34" s="328"/>
      <c r="D34" s="328"/>
      <c r="E34" s="328"/>
      <c r="F34" s="328"/>
      <c r="G34" s="328"/>
      <c r="H34" s="328"/>
      <c r="I34" s="328"/>
    </row>
    <row r="35" spans="1:9" ht="20.100000000000001" customHeight="1">
      <c r="A35" s="328"/>
      <c r="B35" s="328"/>
      <c r="C35" s="328"/>
      <c r="D35" s="328"/>
      <c r="E35" s="328"/>
      <c r="F35" s="328"/>
      <c r="G35" s="328"/>
      <c r="H35" s="328"/>
      <c r="I35" s="328"/>
    </row>
    <row r="36" spans="1:9" ht="20.100000000000001" customHeight="1">
      <c r="A36" s="328"/>
      <c r="B36" s="328"/>
      <c r="C36" s="328"/>
      <c r="D36" s="328"/>
      <c r="E36" s="328"/>
      <c r="F36" s="328"/>
      <c r="G36" s="328"/>
      <c r="H36" s="328"/>
      <c r="I36" s="328"/>
    </row>
    <row r="38" spans="1:9">
      <c r="A38" s="332" t="s">
        <v>692</v>
      </c>
      <c r="B38" s="333"/>
      <c r="C38" s="333"/>
      <c r="D38" s="333"/>
      <c r="E38" s="333"/>
      <c r="F38" s="333"/>
      <c r="G38" s="333"/>
      <c r="H38" s="333"/>
      <c r="I38" s="333"/>
    </row>
    <row r="39" spans="1:9">
      <c r="A39" s="333"/>
      <c r="B39" s="333"/>
      <c r="C39" s="333"/>
      <c r="D39" s="333"/>
      <c r="E39" s="333"/>
      <c r="F39" s="333"/>
      <c r="G39" s="333"/>
      <c r="H39" s="333"/>
      <c r="I39" s="333"/>
    </row>
    <row r="40" spans="1:9">
      <c r="A40" s="333"/>
      <c r="B40" s="333"/>
      <c r="C40" s="333"/>
      <c r="D40" s="333"/>
      <c r="E40" s="333"/>
      <c r="F40" s="333"/>
      <c r="G40" s="333"/>
      <c r="H40" s="333"/>
      <c r="I40" s="333"/>
    </row>
    <row r="41" spans="1:9">
      <c r="A41" s="333"/>
      <c r="B41" s="333"/>
      <c r="C41" s="333"/>
      <c r="D41" s="333"/>
      <c r="E41" s="333"/>
      <c r="F41" s="333"/>
      <c r="G41" s="333"/>
      <c r="H41" s="333"/>
      <c r="I41" s="333"/>
    </row>
  </sheetData>
  <mergeCells count="113">
    <mergeCell ref="A38:I41"/>
    <mergeCell ref="A35:B36"/>
    <mergeCell ref="C35:D35"/>
    <mergeCell ref="E35:H35"/>
    <mergeCell ref="I35:I36"/>
    <mergeCell ref="C36:D36"/>
    <mergeCell ref="E36:F36"/>
    <mergeCell ref="G36:H36"/>
    <mergeCell ref="A33:B34"/>
    <mergeCell ref="C33:D33"/>
    <mergeCell ref="E33:H33"/>
    <mergeCell ref="I33:I34"/>
    <mergeCell ref="C34:D34"/>
    <mergeCell ref="E34:F34"/>
    <mergeCell ref="G34:H34"/>
    <mergeCell ref="A31:B32"/>
    <mergeCell ref="C31:D31"/>
    <mergeCell ref="E31:H31"/>
    <mergeCell ref="I31:I32"/>
    <mergeCell ref="C32:D32"/>
    <mergeCell ref="E32:F32"/>
    <mergeCell ref="G32:H32"/>
    <mergeCell ref="A29:B30"/>
    <mergeCell ref="C29:D29"/>
    <mergeCell ref="E29:H29"/>
    <mergeCell ref="I29:I30"/>
    <mergeCell ref="C30:D30"/>
    <mergeCell ref="E30:F30"/>
    <mergeCell ref="G30:H30"/>
    <mergeCell ref="A27:B28"/>
    <mergeCell ref="C27:D27"/>
    <mergeCell ref="E27:H27"/>
    <mergeCell ref="I27:I28"/>
    <mergeCell ref="C28:D28"/>
    <mergeCell ref="E28:F28"/>
    <mergeCell ref="G28:H28"/>
    <mergeCell ref="A25:B26"/>
    <mergeCell ref="C25:D25"/>
    <mergeCell ref="E25:H25"/>
    <mergeCell ref="I25:I26"/>
    <mergeCell ref="C26:D26"/>
    <mergeCell ref="E26:F26"/>
    <mergeCell ref="G26:H26"/>
    <mergeCell ref="A23:B24"/>
    <mergeCell ref="C23:D23"/>
    <mergeCell ref="E23:H23"/>
    <mergeCell ref="I23:I24"/>
    <mergeCell ref="C24:D24"/>
    <mergeCell ref="E24:F24"/>
    <mergeCell ref="G24:H24"/>
    <mergeCell ref="A21:B22"/>
    <mergeCell ref="C21:D21"/>
    <mergeCell ref="E21:H21"/>
    <mergeCell ref="I21:I22"/>
    <mergeCell ref="C22:D22"/>
    <mergeCell ref="E22:F22"/>
    <mergeCell ref="G22:H22"/>
    <mergeCell ref="A19:B20"/>
    <mergeCell ref="C19:D19"/>
    <mergeCell ref="E19:H19"/>
    <mergeCell ref="I19:I20"/>
    <mergeCell ref="C20:D20"/>
    <mergeCell ref="E20:F20"/>
    <mergeCell ref="G20:H20"/>
    <mergeCell ref="A17:B17"/>
    <mergeCell ref="C17:D17"/>
    <mergeCell ref="E17:H17"/>
    <mergeCell ref="I17:I18"/>
    <mergeCell ref="A18:B18"/>
    <mergeCell ref="C18:D18"/>
    <mergeCell ref="E18:F18"/>
    <mergeCell ref="G18:H18"/>
    <mergeCell ref="A15:B15"/>
    <mergeCell ref="C15:D15"/>
    <mergeCell ref="E15:H15"/>
    <mergeCell ref="I15:I16"/>
    <mergeCell ref="A16:B16"/>
    <mergeCell ref="C16:D16"/>
    <mergeCell ref="E16:F16"/>
    <mergeCell ref="G16:H16"/>
    <mergeCell ref="A13:B13"/>
    <mergeCell ref="C13:D13"/>
    <mergeCell ref="E13:H13"/>
    <mergeCell ref="I13:I14"/>
    <mergeCell ref="A14:B14"/>
    <mergeCell ref="C14:D14"/>
    <mergeCell ref="E14:F14"/>
    <mergeCell ref="G14:H14"/>
    <mergeCell ref="A11:B11"/>
    <mergeCell ref="C11:D11"/>
    <mergeCell ref="E11:H11"/>
    <mergeCell ref="I11:I12"/>
    <mergeCell ref="A12:B12"/>
    <mergeCell ref="C12:D12"/>
    <mergeCell ref="E12:F12"/>
    <mergeCell ref="G12:H12"/>
    <mergeCell ref="A9:B9"/>
    <mergeCell ref="C9:D9"/>
    <mergeCell ref="E9:H9"/>
    <mergeCell ref="I9:I10"/>
    <mergeCell ref="A10:B10"/>
    <mergeCell ref="C10:D10"/>
    <mergeCell ref="E10:F10"/>
    <mergeCell ref="G10:H10"/>
    <mergeCell ref="A2:I2"/>
    <mergeCell ref="A7:B7"/>
    <mergeCell ref="C7:D7"/>
    <mergeCell ref="E7:H7"/>
    <mergeCell ref="I7:I8"/>
    <mergeCell ref="A8:B8"/>
    <mergeCell ref="C8:D8"/>
    <mergeCell ref="E8:F8"/>
    <mergeCell ref="G8:H8"/>
  </mergeCells>
  <phoneticPr fontId="2"/>
  <pageMargins left="0.59314960629921254" right="0.59314960629921254" top="0.39314960629921264" bottom="0.39000000000000007" header="0.31314960629921262" footer="0.31314960629921262"/>
  <pageSetup paperSize="9" scale="9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35FB-C85C-4632-83C5-94DF05EB69B9}">
  <sheetPr>
    <tabColor rgb="FF00B0F0"/>
    <pageSetUpPr fitToPage="1"/>
  </sheetPr>
  <dimension ref="A1:S36"/>
  <sheetViews>
    <sheetView view="pageBreakPreview" zoomScale="70" zoomScaleSheetLayoutView="70" workbookViewId="0">
      <selection activeCell="A3" sqref="A3:XFD3"/>
    </sheetView>
  </sheetViews>
  <sheetFormatPr defaultColWidth="8.875" defaultRowHeight="15.95" customHeight="1"/>
  <cols>
    <col min="1" max="17" width="4.625" style="133" customWidth="1"/>
    <col min="18" max="18" width="3.125" style="133" customWidth="1"/>
    <col min="19" max="19" width="4.875" style="133" customWidth="1"/>
    <col min="20" max="16384" width="8.875" style="133"/>
  </cols>
  <sheetData>
    <row r="1" spans="1:19" ht="15.95" customHeight="1">
      <c r="A1" s="144" t="s">
        <v>339</v>
      </c>
    </row>
    <row r="3" spans="1:19" ht="17.25">
      <c r="B3" s="144" t="s">
        <v>338</v>
      </c>
    </row>
    <row r="5" spans="1:19" ht="15.95" customHeight="1">
      <c r="B5" s="334" t="s">
        <v>334</v>
      </c>
      <c r="C5" s="335"/>
      <c r="D5" s="335"/>
      <c r="E5" s="336"/>
      <c r="F5" s="337" t="s">
        <v>574</v>
      </c>
      <c r="G5" s="338"/>
      <c r="H5" s="338"/>
      <c r="I5" s="338"/>
      <c r="J5" s="338"/>
      <c r="K5" s="338"/>
      <c r="L5" s="338"/>
      <c r="M5" s="338"/>
      <c r="N5" s="338"/>
      <c r="O5" s="339"/>
    </row>
    <row r="7" spans="1:19" ht="36" customHeight="1">
      <c r="A7" s="143"/>
      <c r="B7" s="287"/>
      <c r="C7" s="142"/>
      <c r="D7" s="142"/>
      <c r="E7" s="288"/>
      <c r="F7" s="142"/>
      <c r="G7" s="142"/>
      <c r="H7" s="142"/>
      <c r="I7" s="142"/>
      <c r="J7" s="142"/>
      <c r="K7" s="142"/>
      <c r="L7" s="142"/>
      <c r="M7" s="142"/>
      <c r="N7" s="142"/>
      <c r="O7" s="142"/>
      <c r="P7" s="142"/>
      <c r="Q7" s="142"/>
      <c r="R7" s="142"/>
      <c r="S7" s="141"/>
    </row>
    <row r="8" spans="1:19" ht="15.95" customHeight="1">
      <c r="A8" s="140"/>
      <c r="B8" s="139"/>
      <c r="C8" s="139"/>
      <c r="D8" s="139"/>
      <c r="E8" s="139"/>
      <c r="F8" s="139"/>
      <c r="G8" s="139"/>
      <c r="H8" s="139"/>
      <c r="I8" s="139"/>
      <c r="J8" s="139"/>
      <c r="K8" s="139"/>
      <c r="L8" s="139"/>
      <c r="M8" s="139"/>
      <c r="N8" s="139"/>
      <c r="O8" s="139"/>
      <c r="P8" s="139"/>
      <c r="Q8" s="139"/>
      <c r="R8" s="139"/>
      <c r="S8" s="138"/>
    </row>
    <row r="9" spans="1:19" ht="15.95" customHeight="1">
      <c r="A9" s="140"/>
      <c r="B9" s="139"/>
      <c r="C9" s="139"/>
      <c r="D9" s="139"/>
      <c r="E9" s="139"/>
      <c r="F9" s="139"/>
      <c r="G9" s="139"/>
      <c r="H9" s="139"/>
      <c r="I9" s="139"/>
      <c r="J9" s="139"/>
      <c r="K9" s="139"/>
      <c r="L9" s="139"/>
      <c r="M9" s="139"/>
      <c r="N9" s="139"/>
      <c r="O9" s="139"/>
      <c r="P9" s="139"/>
      <c r="Q9" s="139"/>
      <c r="R9" s="139"/>
      <c r="S9" s="138"/>
    </row>
    <row r="10" spans="1:19" ht="15.95" customHeight="1">
      <c r="A10" s="140"/>
      <c r="B10" s="139"/>
      <c r="C10" s="139"/>
      <c r="D10" s="139"/>
      <c r="E10" s="139"/>
      <c r="F10" s="139"/>
      <c r="G10" s="139"/>
      <c r="H10" s="139"/>
      <c r="I10" s="139"/>
      <c r="J10" s="139"/>
      <c r="K10" s="139"/>
      <c r="L10" s="139"/>
      <c r="M10" s="139"/>
      <c r="N10" s="139"/>
      <c r="O10" s="139"/>
      <c r="P10" s="139"/>
      <c r="Q10" s="139"/>
      <c r="R10" s="139"/>
      <c r="S10" s="138"/>
    </row>
    <row r="11" spans="1:19" ht="15.95" customHeight="1">
      <c r="A11" s="140"/>
      <c r="B11" s="139"/>
      <c r="C11" s="139"/>
      <c r="D11" s="139"/>
      <c r="E11" s="139"/>
      <c r="F11" s="139"/>
      <c r="G11" s="139"/>
      <c r="H11" s="139"/>
      <c r="I11" s="139"/>
      <c r="J11" s="139"/>
      <c r="K11" s="139"/>
      <c r="L11" s="139"/>
      <c r="M11" s="139"/>
      <c r="N11" s="139"/>
      <c r="O11" s="139"/>
      <c r="P11" s="139"/>
      <c r="Q11" s="139"/>
      <c r="R11" s="139"/>
      <c r="S11" s="138"/>
    </row>
    <row r="12" spans="1:19" ht="15.95" customHeight="1">
      <c r="A12" s="140"/>
      <c r="B12" s="139"/>
      <c r="C12" s="139"/>
      <c r="D12" s="139"/>
      <c r="E12" s="139"/>
      <c r="F12" s="139"/>
      <c r="G12" s="139"/>
      <c r="H12" s="139"/>
      <c r="I12" s="139"/>
      <c r="J12" s="139"/>
      <c r="K12" s="139"/>
      <c r="L12" s="139"/>
      <c r="M12" s="139"/>
      <c r="N12" s="139"/>
      <c r="O12" s="139"/>
      <c r="P12" s="139"/>
      <c r="Q12" s="139"/>
      <c r="R12" s="139"/>
      <c r="S12" s="138"/>
    </row>
    <row r="13" spans="1:19" ht="15.95" customHeight="1">
      <c r="A13" s="140"/>
      <c r="B13" s="139"/>
      <c r="C13" s="139"/>
      <c r="D13" s="139"/>
      <c r="E13" s="139"/>
      <c r="F13" s="139"/>
      <c r="G13" s="139"/>
      <c r="H13" s="139"/>
      <c r="I13" s="139"/>
      <c r="J13" s="139"/>
      <c r="K13" s="139"/>
      <c r="L13" s="139"/>
      <c r="M13" s="139"/>
      <c r="N13" s="139"/>
      <c r="O13" s="139"/>
      <c r="P13" s="139"/>
      <c r="Q13" s="139"/>
      <c r="R13" s="139"/>
      <c r="S13" s="138"/>
    </row>
    <row r="14" spans="1:19" ht="15.95" customHeight="1">
      <c r="A14" s="140"/>
      <c r="B14" s="139"/>
      <c r="C14" s="139"/>
      <c r="D14" s="139"/>
      <c r="E14" s="139"/>
      <c r="F14" s="139"/>
      <c r="G14" s="139"/>
      <c r="H14" s="139"/>
      <c r="I14" s="139"/>
      <c r="J14" s="139"/>
      <c r="K14" s="139"/>
      <c r="L14" s="139"/>
      <c r="M14" s="139"/>
      <c r="N14" s="139"/>
      <c r="O14" s="139"/>
      <c r="P14" s="139"/>
      <c r="Q14" s="139"/>
      <c r="R14" s="139"/>
      <c r="S14" s="138"/>
    </row>
    <row r="15" spans="1:19" ht="15.95" customHeight="1">
      <c r="A15" s="140"/>
      <c r="B15" s="139"/>
      <c r="C15" s="139"/>
      <c r="D15" s="139"/>
      <c r="E15" s="139"/>
      <c r="F15" s="139"/>
      <c r="G15" s="139"/>
      <c r="H15" s="139"/>
      <c r="I15" s="139"/>
      <c r="J15" s="139"/>
      <c r="K15" s="139"/>
      <c r="L15" s="139"/>
      <c r="M15" s="139"/>
      <c r="N15" s="139"/>
      <c r="O15" s="139"/>
      <c r="P15" s="139"/>
      <c r="Q15" s="139"/>
      <c r="R15" s="139"/>
      <c r="S15" s="138"/>
    </row>
    <row r="16" spans="1:19" ht="15.95" customHeight="1">
      <c r="A16" s="140"/>
      <c r="B16" s="139"/>
      <c r="C16" s="139"/>
      <c r="D16" s="139"/>
      <c r="E16" s="139"/>
      <c r="F16" s="139"/>
      <c r="G16" s="139"/>
      <c r="H16" s="139"/>
      <c r="I16" s="139"/>
      <c r="J16" s="139"/>
      <c r="K16" s="139"/>
      <c r="L16" s="139"/>
      <c r="M16" s="139"/>
      <c r="N16" s="139"/>
      <c r="O16" s="139"/>
      <c r="P16" s="139"/>
      <c r="Q16" s="139"/>
      <c r="R16" s="139"/>
      <c r="S16" s="138"/>
    </row>
    <row r="17" spans="1:19" ht="15.95" customHeight="1">
      <c r="A17" s="140"/>
      <c r="B17" s="139"/>
      <c r="C17" s="139"/>
      <c r="D17" s="139"/>
      <c r="E17" s="139"/>
      <c r="F17" s="139"/>
      <c r="G17" s="139"/>
      <c r="H17" s="139"/>
      <c r="I17" s="139"/>
      <c r="J17" s="139"/>
      <c r="K17" s="139"/>
      <c r="L17" s="139"/>
      <c r="M17" s="139"/>
      <c r="N17" s="139"/>
      <c r="O17" s="139"/>
      <c r="P17" s="139"/>
      <c r="Q17" s="139"/>
      <c r="R17" s="139"/>
      <c r="S17" s="138"/>
    </row>
    <row r="18" spans="1:19" ht="15.95" customHeight="1">
      <c r="A18" s="140"/>
      <c r="B18" s="139"/>
      <c r="C18" s="139"/>
      <c r="D18" s="139"/>
      <c r="E18" s="139"/>
      <c r="F18" s="139"/>
      <c r="G18" s="139"/>
      <c r="H18" s="139"/>
      <c r="I18" s="139"/>
      <c r="J18" s="139"/>
      <c r="K18" s="139"/>
      <c r="L18" s="139"/>
      <c r="M18" s="139"/>
      <c r="N18" s="139"/>
      <c r="O18" s="139"/>
      <c r="P18" s="139"/>
      <c r="Q18" s="139"/>
      <c r="R18" s="139"/>
      <c r="S18" s="138"/>
    </row>
    <row r="19" spans="1:19" ht="15.95" customHeight="1">
      <c r="A19" s="140"/>
      <c r="B19" s="139"/>
      <c r="C19" s="139"/>
      <c r="D19" s="139"/>
      <c r="E19" s="139"/>
      <c r="F19" s="139"/>
      <c r="G19" s="139"/>
      <c r="H19" s="139"/>
      <c r="I19" s="139"/>
      <c r="J19" s="139"/>
      <c r="K19" s="139"/>
      <c r="L19" s="139"/>
      <c r="M19" s="139"/>
      <c r="N19" s="139"/>
      <c r="O19" s="139"/>
      <c r="P19" s="139"/>
      <c r="Q19" s="139"/>
      <c r="R19" s="139"/>
      <c r="S19" s="138"/>
    </row>
    <row r="20" spans="1:19" ht="15.95" customHeight="1">
      <c r="A20" s="140"/>
      <c r="B20" s="139"/>
      <c r="C20" s="139"/>
      <c r="D20" s="139"/>
      <c r="E20" s="139"/>
      <c r="F20" s="139"/>
      <c r="G20" s="139"/>
      <c r="H20" s="139"/>
      <c r="I20" s="139"/>
      <c r="J20" s="139"/>
      <c r="K20" s="139"/>
      <c r="L20" s="139"/>
      <c r="M20" s="139"/>
      <c r="N20" s="139"/>
      <c r="O20" s="139"/>
      <c r="P20" s="139"/>
      <c r="Q20" s="139"/>
      <c r="R20" s="139"/>
      <c r="S20" s="138"/>
    </row>
    <row r="21" spans="1:19" ht="15.95" customHeight="1">
      <c r="A21" s="140"/>
      <c r="B21" s="139"/>
      <c r="C21" s="139"/>
      <c r="D21" s="139"/>
      <c r="E21" s="139"/>
      <c r="F21" s="139"/>
      <c r="G21" s="139"/>
      <c r="H21" s="139"/>
      <c r="I21" s="139"/>
      <c r="J21" s="139"/>
      <c r="K21" s="139"/>
      <c r="L21" s="139"/>
      <c r="M21" s="139"/>
      <c r="N21" s="139"/>
      <c r="O21" s="139"/>
      <c r="P21" s="139"/>
      <c r="Q21" s="139"/>
      <c r="R21" s="139"/>
      <c r="S21" s="138"/>
    </row>
    <row r="22" spans="1:19" ht="15.95" customHeight="1">
      <c r="A22" s="140"/>
      <c r="B22" s="139"/>
      <c r="C22" s="139"/>
      <c r="D22" s="139"/>
      <c r="E22" s="139"/>
      <c r="F22" s="139"/>
      <c r="G22" s="139"/>
      <c r="H22" s="139"/>
      <c r="I22" s="139"/>
      <c r="J22" s="139"/>
      <c r="K22" s="139"/>
      <c r="L22" s="139"/>
      <c r="M22" s="139"/>
      <c r="N22" s="139"/>
      <c r="O22" s="139"/>
      <c r="P22" s="139"/>
      <c r="Q22" s="139"/>
      <c r="R22" s="139"/>
      <c r="S22" s="138"/>
    </row>
    <row r="23" spans="1:19" ht="15.95" customHeight="1">
      <c r="A23" s="140"/>
      <c r="B23" s="139"/>
      <c r="C23" s="139"/>
      <c r="D23" s="139"/>
      <c r="E23" s="139"/>
      <c r="F23" s="139"/>
      <c r="G23" s="139"/>
      <c r="H23" s="139"/>
      <c r="I23" s="139"/>
      <c r="J23" s="139"/>
      <c r="K23" s="139"/>
      <c r="L23" s="139"/>
      <c r="M23" s="139"/>
      <c r="N23" s="139"/>
      <c r="O23" s="139"/>
      <c r="P23" s="139"/>
      <c r="Q23" s="139"/>
      <c r="R23" s="139"/>
      <c r="S23" s="138"/>
    </row>
    <row r="24" spans="1:19" ht="15.95" customHeight="1">
      <c r="A24" s="140"/>
      <c r="B24" s="139"/>
      <c r="C24" s="139"/>
      <c r="D24" s="139"/>
      <c r="E24" s="139"/>
      <c r="F24" s="139"/>
      <c r="G24" s="139"/>
      <c r="H24" s="139"/>
      <c r="I24" s="139"/>
      <c r="J24" s="139"/>
      <c r="K24" s="139"/>
      <c r="L24" s="139"/>
      <c r="M24" s="139"/>
      <c r="N24" s="139"/>
      <c r="O24" s="139"/>
      <c r="P24" s="139"/>
      <c r="Q24" s="139"/>
      <c r="R24" s="139"/>
      <c r="S24" s="138"/>
    </row>
    <row r="25" spans="1:19" ht="15.95" customHeight="1">
      <c r="A25" s="140"/>
      <c r="B25" s="139"/>
      <c r="C25" s="139"/>
      <c r="D25" s="139"/>
      <c r="E25" s="139"/>
      <c r="F25" s="139"/>
      <c r="G25" s="139"/>
      <c r="H25" s="139"/>
      <c r="I25" s="139"/>
      <c r="J25" s="139"/>
      <c r="K25" s="139"/>
      <c r="L25" s="139"/>
      <c r="M25" s="139"/>
      <c r="N25" s="139"/>
      <c r="O25" s="139"/>
      <c r="P25" s="139"/>
      <c r="Q25" s="139"/>
      <c r="R25" s="139"/>
      <c r="S25" s="138"/>
    </row>
    <row r="26" spans="1:19" ht="15.95" customHeight="1">
      <c r="A26" s="140"/>
      <c r="B26" s="139"/>
      <c r="C26" s="139"/>
      <c r="D26" s="139"/>
      <c r="E26" s="139"/>
      <c r="F26" s="139"/>
      <c r="G26" s="139"/>
      <c r="H26" s="139"/>
      <c r="I26" s="139"/>
      <c r="J26" s="139"/>
      <c r="K26" s="139"/>
      <c r="L26" s="139"/>
      <c r="M26" s="139"/>
      <c r="N26" s="139"/>
      <c r="O26" s="139"/>
      <c r="P26" s="139"/>
      <c r="Q26" s="139"/>
      <c r="R26" s="139"/>
      <c r="S26" s="138"/>
    </row>
    <row r="27" spans="1:19" ht="15.95" customHeight="1">
      <c r="A27" s="140"/>
      <c r="B27" s="139"/>
      <c r="C27" s="139"/>
      <c r="D27" s="139"/>
      <c r="E27" s="139"/>
      <c r="F27" s="139"/>
      <c r="G27" s="139"/>
      <c r="H27" s="139"/>
      <c r="I27" s="139"/>
      <c r="J27" s="139"/>
      <c r="K27" s="139"/>
      <c r="L27" s="139"/>
      <c r="M27" s="139"/>
      <c r="N27" s="139"/>
      <c r="O27" s="139"/>
      <c r="P27" s="139"/>
      <c r="Q27" s="139"/>
      <c r="R27" s="139"/>
      <c r="S27" s="138"/>
    </row>
    <row r="28" spans="1:19" ht="15.95" customHeight="1">
      <c r="A28" s="140"/>
      <c r="B28" s="139"/>
      <c r="C28" s="139"/>
      <c r="D28" s="139"/>
      <c r="E28" s="139"/>
      <c r="F28" s="139"/>
      <c r="G28" s="139"/>
      <c r="H28" s="139"/>
      <c r="I28" s="139"/>
      <c r="J28" s="139"/>
      <c r="K28" s="139"/>
      <c r="L28" s="139"/>
      <c r="M28" s="139"/>
      <c r="N28" s="139"/>
      <c r="O28" s="139"/>
      <c r="P28" s="139"/>
      <c r="Q28" s="139"/>
      <c r="R28" s="139"/>
      <c r="S28" s="138"/>
    </row>
    <row r="29" spans="1:19" ht="15.95" customHeight="1">
      <c r="A29" s="140"/>
      <c r="B29" s="139"/>
      <c r="C29" s="139"/>
      <c r="D29" s="139"/>
      <c r="E29" s="139"/>
      <c r="F29" s="139"/>
      <c r="G29" s="139"/>
      <c r="H29" s="139"/>
      <c r="I29" s="139"/>
      <c r="J29" s="139"/>
      <c r="K29" s="139"/>
      <c r="L29" s="139"/>
      <c r="M29" s="139"/>
      <c r="N29" s="139"/>
      <c r="O29" s="139"/>
      <c r="P29" s="139"/>
      <c r="Q29" s="139"/>
      <c r="R29" s="139"/>
      <c r="S29" s="138"/>
    </row>
    <row r="30" spans="1:19" ht="15.95" customHeight="1">
      <c r="A30" s="140"/>
      <c r="B30" s="139"/>
      <c r="C30" s="139"/>
      <c r="D30" s="139"/>
      <c r="E30" s="139"/>
      <c r="F30" s="139"/>
      <c r="G30" s="139"/>
      <c r="H30" s="139"/>
      <c r="I30" s="139"/>
      <c r="J30" s="139"/>
      <c r="K30" s="139"/>
      <c r="L30" s="139"/>
      <c r="M30" s="139"/>
      <c r="N30" s="139"/>
      <c r="O30" s="139"/>
      <c r="P30" s="139"/>
      <c r="Q30" s="139"/>
      <c r="R30" s="139"/>
      <c r="S30" s="138"/>
    </row>
    <row r="31" spans="1:19" ht="15.95" customHeight="1">
      <c r="A31" s="140"/>
      <c r="B31" s="139"/>
      <c r="C31" s="139"/>
      <c r="D31" s="139"/>
      <c r="E31" s="139"/>
      <c r="F31" s="139"/>
      <c r="G31" s="139"/>
      <c r="H31" s="139"/>
      <c r="I31" s="139"/>
      <c r="J31" s="139"/>
      <c r="K31" s="139"/>
      <c r="L31" s="139"/>
      <c r="M31" s="139"/>
      <c r="N31" s="139"/>
      <c r="O31" s="139"/>
      <c r="P31" s="139"/>
      <c r="Q31" s="139"/>
      <c r="R31" s="139"/>
      <c r="S31" s="138"/>
    </row>
    <row r="32" spans="1:19" ht="31.5" customHeight="1">
      <c r="A32" s="140"/>
      <c r="B32" s="139"/>
      <c r="C32" s="139"/>
      <c r="D32" s="139"/>
      <c r="E32" s="139"/>
      <c r="F32" s="139"/>
      <c r="G32" s="139"/>
      <c r="H32" s="139"/>
      <c r="I32" s="139"/>
      <c r="J32" s="139"/>
      <c r="K32" s="139"/>
      <c r="L32" s="139"/>
      <c r="M32" s="139"/>
      <c r="N32" s="139"/>
      <c r="O32" s="139"/>
      <c r="P32" s="139"/>
      <c r="Q32" s="139"/>
      <c r="R32" s="139"/>
      <c r="S32" s="138"/>
    </row>
    <row r="33" spans="1:19" ht="261" customHeight="1">
      <c r="A33" s="137"/>
      <c r="B33" s="136"/>
      <c r="C33" s="136"/>
      <c r="D33" s="136"/>
      <c r="E33" s="136"/>
      <c r="F33" s="136"/>
      <c r="G33" s="136"/>
      <c r="H33" s="136"/>
      <c r="I33" s="136"/>
      <c r="J33" s="136"/>
      <c r="K33" s="136"/>
      <c r="L33" s="136"/>
      <c r="M33" s="136"/>
      <c r="N33" s="136"/>
      <c r="O33" s="136"/>
      <c r="P33" s="136"/>
      <c r="Q33" s="136"/>
      <c r="R33" s="136"/>
      <c r="S33" s="135"/>
    </row>
    <row r="34" spans="1:19" ht="15.95" customHeight="1">
      <c r="A34" s="134" t="s">
        <v>337</v>
      </c>
    </row>
    <row r="35" spans="1:19" ht="29.25" customHeight="1">
      <c r="A35" s="340" t="s">
        <v>575</v>
      </c>
      <c r="B35" s="340"/>
      <c r="C35" s="340"/>
      <c r="D35" s="340"/>
      <c r="E35" s="340"/>
      <c r="F35" s="340"/>
      <c r="G35" s="340"/>
      <c r="H35" s="340"/>
      <c r="I35" s="340"/>
      <c r="J35" s="340"/>
      <c r="K35" s="340"/>
      <c r="L35" s="340"/>
      <c r="M35" s="340"/>
      <c r="N35" s="340"/>
      <c r="O35" s="340"/>
      <c r="P35" s="340"/>
      <c r="Q35" s="340"/>
      <c r="R35" s="340"/>
      <c r="S35" s="340"/>
    </row>
    <row r="36" spans="1:19" ht="15.75" hidden="1" customHeight="1"/>
  </sheetData>
  <mergeCells count="3">
    <mergeCell ref="B5:E5"/>
    <mergeCell ref="F5:O5"/>
    <mergeCell ref="A35:S35"/>
  </mergeCells>
  <phoneticPr fontId="2"/>
  <pageMargins left="0.78740157480314965" right="0.78740157480314965" top="0.68" bottom="0.53" header="0.51181102362204722" footer="0.51181102362204722"/>
  <pageSetup paperSize="9" scale="9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8358-0D4C-42D9-B778-2E1244381C92}">
  <sheetPr>
    <tabColor rgb="FF00B0F0"/>
    <pageSetUpPr fitToPage="1"/>
  </sheetPr>
  <dimension ref="A1:C50"/>
  <sheetViews>
    <sheetView view="pageBreakPreview" workbookViewId="0">
      <selection activeCell="B16" sqref="B16"/>
    </sheetView>
  </sheetViews>
  <sheetFormatPr defaultColWidth="8.875" defaultRowHeight="13.5"/>
  <cols>
    <col min="1" max="1" width="19" style="145" customWidth="1"/>
    <col min="2" max="2" width="52.625" style="145" customWidth="1"/>
    <col min="3" max="3" width="15.5" style="145" customWidth="1"/>
    <col min="4" max="16384" width="8.875" style="145"/>
  </cols>
  <sheetData>
    <row r="1" spans="1:3" ht="17.25">
      <c r="A1" s="161" t="s">
        <v>353</v>
      </c>
    </row>
    <row r="3" spans="1:3" ht="17.25">
      <c r="A3" s="160" t="s">
        <v>352</v>
      </c>
    </row>
    <row r="4" spans="1:3">
      <c r="A4" s="341" t="s">
        <v>576</v>
      </c>
      <c r="B4" s="341"/>
      <c r="C4" s="341"/>
    </row>
    <row r="5" spans="1:3" ht="14.25" thickBot="1">
      <c r="A5" s="341" t="s">
        <v>739</v>
      </c>
      <c r="B5" s="341"/>
      <c r="C5" s="341"/>
    </row>
    <row r="6" spans="1:3" s="277" customFormat="1">
      <c r="A6" s="159" t="s">
        <v>351</v>
      </c>
      <c r="B6" s="158" t="s">
        <v>350</v>
      </c>
      <c r="C6" s="157" t="s">
        <v>349</v>
      </c>
    </row>
    <row r="7" spans="1:3" ht="27">
      <c r="A7" s="156" t="s">
        <v>348</v>
      </c>
      <c r="B7" s="149"/>
      <c r="C7" s="342"/>
    </row>
    <row r="8" spans="1:3">
      <c r="A8" s="150"/>
      <c r="B8" s="149"/>
      <c r="C8" s="343"/>
    </row>
    <row r="9" spans="1:3">
      <c r="A9" s="314" t="s">
        <v>732</v>
      </c>
      <c r="B9" s="290" t="s">
        <v>578</v>
      </c>
      <c r="C9" s="343"/>
    </row>
    <row r="10" spans="1:3">
      <c r="A10" s="291"/>
      <c r="B10" s="290"/>
      <c r="C10" s="343"/>
    </row>
    <row r="11" spans="1:3">
      <c r="A11" s="313" t="s">
        <v>733</v>
      </c>
      <c r="B11" s="290" t="s">
        <v>579</v>
      </c>
      <c r="C11" s="343"/>
    </row>
    <row r="12" spans="1:3">
      <c r="A12" s="292"/>
      <c r="B12" s="290" t="s">
        <v>580</v>
      </c>
      <c r="C12" s="343"/>
    </row>
    <row r="13" spans="1:3">
      <c r="A13" s="292"/>
      <c r="B13" s="290"/>
      <c r="C13" s="343"/>
    </row>
    <row r="14" spans="1:3">
      <c r="A14" s="293" t="s">
        <v>734</v>
      </c>
      <c r="B14" s="290" t="s">
        <v>581</v>
      </c>
      <c r="C14" s="343"/>
    </row>
    <row r="15" spans="1:3">
      <c r="A15" s="292"/>
      <c r="B15" s="290" t="s">
        <v>582</v>
      </c>
      <c r="C15" s="343"/>
    </row>
    <row r="16" spans="1:3">
      <c r="A16" s="292"/>
      <c r="B16" s="290"/>
      <c r="C16" s="343"/>
    </row>
    <row r="17" spans="1:3">
      <c r="A17" s="292" t="s">
        <v>735</v>
      </c>
      <c r="B17" s="290" t="s">
        <v>583</v>
      </c>
      <c r="C17" s="343"/>
    </row>
    <row r="18" spans="1:3">
      <c r="A18" s="293" t="s">
        <v>736</v>
      </c>
      <c r="B18" s="290" t="s">
        <v>585</v>
      </c>
      <c r="C18" s="343"/>
    </row>
    <row r="19" spans="1:3">
      <c r="A19" s="150"/>
      <c r="B19" s="290"/>
      <c r="C19" s="343"/>
    </row>
    <row r="20" spans="1:3">
      <c r="A20" s="291" t="s">
        <v>347</v>
      </c>
      <c r="B20" s="290" t="s">
        <v>586</v>
      </c>
      <c r="C20" s="343"/>
    </row>
    <row r="21" spans="1:3">
      <c r="A21" s="150"/>
      <c r="B21" s="294"/>
      <c r="C21" s="343"/>
    </row>
    <row r="22" spans="1:3">
      <c r="A22" s="289" t="s">
        <v>737</v>
      </c>
      <c r="B22" s="290" t="s">
        <v>588</v>
      </c>
      <c r="C22" s="343"/>
    </row>
    <row r="23" spans="1:3">
      <c r="A23" s="150"/>
      <c r="B23" s="149"/>
      <c r="C23" s="343"/>
    </row>
    <row r="24" spans="1:3">
      <c r="A24" s="289" t="s">
        <v>738</v>
      </c>
      <c r="B24" s="290" t="s">
        <v>589</v>
      </c>
      <c r="C24" s="343"/>
    </row>
    <row r="25" spans="1:3">
      <c r="A25" s="150"/>
      <c r="B25" s="290" t="s">
        <v>590</v>
      </c>
      <c r="C25" s="343"/>
    </row>
    <row r="26" spans="1:3">
      <c r="A26" s="155"/>
      <c r="B26" s="154"/>
      <c r="C26" s="343"/>
    </row>
    <row r="27" spans="1:3">
      <c r="A27" s="153" t="s">
        <v>346</v>
      </c>
      <c r="B27" s="152" t="s">
        <v>345</v>
      </c>
      <c r="C27" s="343"/>
    </row>
    <row r="28" spans="1:3">
      <c r="A28" s="295"/>
      <c r="B28" s="151"/>
      <c r="C28" s="343"/>
    </row>
    <row r="29" spans="1:3">
      <c r="A29" s="289" t="s">
        <v>577</v>
      </c>
      <c r="B29" s="290" t="s">
        <v>591</v>
      </c>
      <c r="C29" s="343"/>
    </row>
    <row r="30" spans="1:3">
      <c r="A30" s="289"/>
      <c r="B30" s="290"/>
      <c r="C30" s="343"/>
    </row>
    <row r="31" spans="1:3">
      <c r="A31" s="289" t="s">
        <v>592</v>
      </c>
      <c r="B31" s="290" t="s">
        <v>593</v>
      </c>
      <c r="C31" s="343"/>
    </row>
    <row r="32" spans="1:3">
      <c r="A32" s="289"/>
      <c r="B32" s="290"/>
      <c r="C32" s="343"/>
    </row>
    <row r="33" spans="1:3">
      <c r="A33" s="289" t="s">
        <v>594</v>
      </c>
      <c r="B33" s="290" t="s">
        <v>595</v>
      </c>
      <c r="C33" s="343"/>
    </row>
    <row r="34" spans="1:3">
      <c r="A34" s="289"/>
      <c r="B34" s="290" t="s">
        <v>596</v>
      </c>
      <c r="C34" s="343"/>
    </row>
    <row r="35" spans="1:3">
      <c r="A35" s="289"/>
      <c r="B35" s="290" t="s">
        <v>597</v>
      </c>
      <c r="C35" s="343"/>
    </row>
    <row r="36" spans="1:3">
      <c r="A36" s="289"/>
      <c r="B36" s="290"/>
      <c r="C36" s="343"/>
    </row>
    <row r="37" spans="1:3">
      <c r="A37" s="289" t="s">
        <v>598</v>
      </c>
      <c r="B37" s="290" t="s">
        <v>599</v>
      </c>
      <c r="C37" s="343"/>
    </row>
    <row r="38" spans="1:3">
      <c r="A38" s="289"/>
      <c r="B38" s="290"/>
      <c r="C38" s="343"/>
    </row>
    <row r="39" spans="1:3">
      <c r="A39" s="289" t="s">
        <v>584</v>
      </c>
      <c r="B39" s="290" t="s">
        <v>600</v>
      </c>
      <c r="C39" s="343"/>
    </row>
    <row r="40" spans="1:3">
      <c r="A40" s="296"/>
      <c r="B40" s="149"/>
      <c r="C40" s="343"/>
    </row>
    <row r="41" spans="1:3">
      <c r="A41" s="289" t="s">
        <v>587</v>
      </c>
      <c r="B41" s="290" t="s">
        <v>601</v>
      </c>
      <c r="C41" s="343"/>
    </row>
    <row r="42" spans="1:3">
      <c r="A42" s="297"/>
      <c r="B42" s="290"/>
      <c r="C42" s="343"/>
    </row>
    <row r="43" spans="1:3">
      <c r="A43" s="289" t="s">
        <v>602</v>
      </c>
      <c r="B43" s="290" t="s">
        <v>601</v>
      </c>
      <c r="C43" s="343"/>
    </row>
    <row r="44" spans="1:3">
      <c r="A44" s="150"/>
      <c r="B44" s="149"/>
      <c r="C44" s="343"/>
    </row>
    <row r="45" spans="1:3" ht="14.25" thickBot="1">
      <c r="A45" s="148"/>
      <c r="B45" s="147"/>
      <c r="C45" s="344"/>
    </row>
    <row r="46" spans="1:3" s="146" customFormat="1" ht="11.25">
      <c r="A46" s="345" t="s">
        <v>344</v>
      </c>
      <c r="B46" s="345"/>
      <c r="C46" s="345"/>
    </row>
    <row r="47" spans="1:3" s="146" customFormat="1" ht="11.25">
      <c r="A47" s="146" t="s">
        <v>343</v>
      </c>
    </row>
    <row r="48" spans="1:3" s="146" customFormat="1" ht="11.25">
      <c r="A48" s="146" t="s">
        <v>342</v>
      </c>
    </row>
    <row r="49" spans="1:3" s="146" customFormat="1" ht="11.25">
      <c r="A49" s="146" t="s">
        <v>341</v>
      </c>
    </row>
    <row r="50" spans="1:3" ht="65.099999999999994" customHeight="1">
      <c r="A50" s="346" t="s">
        <v>340</v>
      </c>
      <c r="B50" s="347"/>
      <c r="C50" s="347"/>
    </row>
  </sheetData>
  <mergeCells count="5">
    <mergeCell ref="A4:C4"/>
    <mergeCell ref="A5:C5"/>
    <mergeCell ref="C7:C45"/>
    <mergeCell ref="A46:C46"/>
    <mergeCell ref="A50:C50"/>
  </mergeCells>
  <phoneticPr fontId="2"/>
  <pageMargins left="0.79000000000000015" right="0.79000000000000015" top="0.79000000000000015" bottom="0.79000000000000015" header="0.51" footer="0.51"/>
  <pageSetup paperSize="9" scale="9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zoomScaleNormal="100" zoomScaleSheetLayoutView="100" workbookViewId="0">
      <selection sqref="A1:E1"/>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351" t="s">
        <v>25</v>
      </c>
      <c r="C2" s="351"/>
      <c r="D2" s="351"/>
      <c r="E2" s="351"/>
    </row>
    <row r="3" spans="1:5" ht="39.75" customHeight="1">
      <c r="A3" s="352" t="s">
        <v>24</v>
      </c>
      <c r="B3" s="352"/>
      <c r="C3" s="352"/>
      <c r="D3" s="352"/>
      <c r="E3" s="352"/>
    </row>
    <row r="4" spans="1:5" ht="9.9499999999999993" customHeight="1"/>
    <row r="5" spans="1:5" ht="199.5" customHeight="1">
      <c r="A5" s="354" t="s">
        <v>23</v>
      </c>
      <c r="B5" s="354"/>
      <c r="C5" s="354"/>
      <c r="D5" s="354"/>
      <c r="E5" s="354"/>
    </row>
    <row r="6" spans="1:5" ht="30.75" customHeight="1">
      <c r="A6" s="354"/>
      <c r="B6" s="354"/>
      <c r="C6" s="354"/>
      <c r="D6" s="354"/>
      <c r="E6" s="354"/>
    </row>
    <row r="7" spans="1:5" ht="30.75" customHeight="1">
      <c r="A7" s="354"/>
      <c r="B7" s="354"/>
      <c r="C7" s="354"/>
      <c r="D7" s="354"/>
      <c r="E7" s="354"/>
    </row>
    <row r="8" spans="1:5" ht="30.75" customHeight="1">
      <c r="A8" s="354"/>
      <c r="B8" s="354"/>
      <c r="C8" s="354"/>
      <c r="D8" s="354"/>
      <c r="E8" s="354"/>
    </row>
    <row r="9" spans="1:5" ht="38.25" customHeight="1">
      <c r="A9" s="354"/>
      <c r="B9" s="354"/>
      <c r="C9" s="354"/>
      <c r="D9" s="354"/>
      <c r="E9" s="354"/>
    </row>
    <row r="10" spans="1:5" ht="63" customHeight="1">
      <c r="A10" s="354"/>
      <c r="B10" s="354"/>
      <c r="C10" s="354"/>
      <c r="D10" s="354"/>
      <c r="E10" s="354"/>
    </row>
    <row r="11" spans="1:5" ht="63" customHeight="1">
      <c r="A11" s="354"/>
      <c r="B11" s="354"/>
      <c r="C11" s="354"/>
      <c r="D11" s="354"/>
      <c r="E11" s="354"/>
    </row>
    <row r="12" spans="1:5" ht="9.9499999999999993" customHeight="1" thickBot="1">
      <c r="A12" s="355"/>
      <c r="B12" s="355"/>
      <c r="C12" s="355"/>
      <c r="D12" s="355"/>
      <c r="E12" s="355"/>
    </row>
    <row r="13" spans="1:5" ht="60" customHeight="1" thickTop="1">
      <c r="A13" s="353" t="s">
        <v>22</v>
      </c>
      <c r="B13" s="353"/>
      <c r="C13" s="353"/>
      <c r="D13" s="353"/>
      <c r="E13" s="353"/>
    </row>
    <row r="14" spans="1:5" ht="39.950000000000003" customHeight="1">
      <c r="A14" s="356" t="s">
        <v>21</v>
      </c>
      <c r="B14" s="357"/>
      <c r="C14" s="357"/>
      <c r="D14" s="357"/>
      <c r="E14" s="350"/>
    </row>
    <row r="15" spans="1:5" ht="26.25" customHeight="1">
      <c r="A15" s="5" t="s">
        <v>20</v>
      </c>
      <c r="B15" s="5"/>
      <c r="C15" s="8"/>
      <c r="D15" s="6"/>
      <c r="E15" s="6"/>
    </row>
    <row r="16" spans="1:5" ht="26.25" customHeight="1">
      <c r="A16" s="5" t="s">
        <v>19</v>
      </c>
      <c r="B16" s="5"/>
      <c r="C16" s="8"/>
      <c r="D16" s="10" t="s">
        <v>18</v>
      </c>
      <c r="E16" s="9"/>
    </row>
    <row r="17" spans="1:5" ht="26.25" customHeight="1">
      <c r="A17" s="5" t="s">
        <v>17</v>
      </c>
      <c r="B17" s="5"/>
      <c r="C17" s="8"/>
      <c r="D17" s="12" t="s">
        <v>16</v>
      </c>
      <c r="E17" s="11"/>
    </row>
    <row r="18" spans="1:5" ht="26.25" customHeight="1">
      <c r="A18" s="5" t="s">
        <v>15</v>
      </c>
      <c r="B18" s="5"/>
      <c r="C18" s="8"/>
      <c r="D18" s="6"/>
      <c r="E18" s="6"/>
    </row>
    <row r="19" spans="1:5" ht="30" customHeight="1">
      <c r="A19" s="5" t="s">
        <v>14</v>
      </c>
      <c r="B19" s="5"/>
      <c r="C19" s="8"/>
      <c r="D19" s="2"/>
      <c r="E19" s="2"/>
    </row>
    <row r="20" spans="1:5" ht="30" customHeight="1">
      <c r="A20" s="5" t="s">
        <v>13</v>
      </c>
      <c r="B20" s="5"/>
      <c r="C20" s="8"/>
      <c r="D20" s="10" t="s">
        <v>12</v>
      </c>
      <c r="E20" s="9"/>
    </row>
    <row r="21" spans="1:5" ht="26.25" customHeight="1">
      <c r="A21" s="5" t="s">
        <v>11</v>
      </c>
      <c r="B21" s="5"/>
      <c r="C21" s="8"/>
      <c r="D21" s="358" t="s">
        <v>10</v>
      </c>
      <c r="E21" s="359"/>
    </row>
    <row r="22" spans="1:5" ht="26.25" customHeight="1">
      <c r="A22" s="5" t="s">
        <v>9</v>
      </c>
      <c r="B22" s="5"/>
      <c r="C22" s="8"/>
      <c r="D22" s="7" t="s">
        <v>8</v>
      </c>
      <c r="E22" s="6"/>
    </row>
    <row r="23" spans="1:5" ht="26.25" customHeight="1">
      <c r="A23" s="5" t="s">
        <v>7</v>
      </c>
      <c r="B23" s="4"/>
      <c r="C23" s="3"/>
      <c r="D23" s="2"/>
      <c r="E23" s="2" t="s">
        <v>6</v>
      </c>
    </row>
    <row r="24" spans="1:5" ht="26.25" customHeight="1">
      <c r="A24" s="5" t="s">
        <v>5</v>
      </c>
      <c r="B24" s="4"/>
      <c r="C24" s="3"/>
      <c r="D24" s="2"/>
      <c r="E24" s="2"/>
    </row>
    <row r="25" spans="1:5" ht="26.25" customHeight="1">
      <c r="A25" s="348" t="s">
        <v>4</v>
      </c>
      <c r="B25" s="349"/>
      <c r="C25" s="349"/>
      <c r="D25" s="349"/>
      <c r="E25" s="349"/>
    </row>
    <row r="26" spans="1:5" ht="26.25" customHeight="1">
      <c r="A26" s="350"/>
      <c r="B26" s="350"/>
      <c r="C26" s="350"/>
      <c r="D26" s="350"/>
      <c r="E26" s="350"/>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F30"/>
  <sheetViews>
    <sheetView view="pageBreakPreview" zoomScaleNormal="100" zoomScaleSheetLayoutView="100" workbookViewId="0">
      <selection sqref="A1:E1"/>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360" t="s">
        <v>80</v>
      </c>
      <c r="B2" s="361"/>
      <c r="C2" s="361"/>
      <c r="D2" s="361"/>
    </row>
    <row r="3" spans="1:6" ht="39.75" customHeight="1">
      <c r="A3" s="22" t="s">
        <v>39</v>
      </c>
      <c r="B3" s="362" t="s">
        <v>79</v>
      </c>
      <c r="C3" s="362"/>
      <c r="D3" s="362"/>
      <c r="E3" s="362"/>
      <c r="F3" s="362"/>
    </row>
    <row r="4" spans="1:6" ht="27" customHeight="1">
      <c r="A4" s="33"/>
      <c r="B4" s="14" t="s">
        <v>78</v>
      </c>
      <c r="C4" s="20" t="s">
        <v>77</v>
      </c>
      <c r="D4" s="19" t="s">
        <v>76</v>
      </c>
      <c r="E4" s="363"/>
      <c r="F4" s="364"/>
    </row>
    <row r="5" spans="1:6" ht="224.25" customHeight="1">
      <c r="A5" s="21"/>
      <c r="B5" s="30" t="s">
        <v>75</v>
      </c>
      <c r="C5" s="32" t="s">
        <v>74</v>
      </c>
      <c r="D5" s="32" t="s">
        <v>73</v>
      </c>
      <c r="E5" s="24"/>
      <c r="F5" s="23"/>
    </row>
    <row r="6" spans="1:6" ht="30.75" customHeight="1">
      <c r="A6" s="21"/>
      <c r="B6" s="30" t="s">
        <v>72</v>
      </c>
      <c r="C6" s="29" t="s">
        <v>71</v>
      </c>
      <c r="D6" s="31" t="s">
        <v>70</v>
      </c>
      <c r="E6" s="24"/>
      <c r="F6" s="23"/>
    </row>
    <row r="7" spans="1:6" ht="38.25" customHeight="1">
      <c r="A7" s="21"/>
      <c r="B7" s="30" t="s">
        <v>69</v>
      </c>
      <c r="C7" s="32" t="s">
        <v>68</v>
      </c>
      <c r="D7" s="32" t="s">
        <v>67</v>
      </c>
      <c r="E7" s="24"/>
      <c r="F7" s="23"/>
    </row>
    <row r="8" spans="1:6" ht="63" customHeight="1">
      <c r="A8" s="21"/>
      <c r="B8" s="30" t="s">
        <v>66</v>
      </c>
      <c r="C8" s="32" t="s">
        <v>65</v>
      </c>
      <c r="D8" s="32" t="s">
        <v>64</v>
      </c>
      <c r="E8" s="24"/>
      <c r="F8" s="23"/>
    </row>
    <row r="9" spans="1:6" ht="30.75" customHeight="1">
      <c r="A9" s="21"/>
      <c r="B9" s="30" t="s">
        <v>63</v>
      </c>
      <c r="C9" s="29" t="s">
        <v>62</v>
      </c>
      <c r="D9" s="31" t="s">
        <v>61</v>
      </c>
      <c r="E9" s="24"/>
      <c r="F9" s="23"/>
    </row>
    <row r="10" spans="1:6" ht="101.1" customHeight="1">
      <c r="A10" s="21"/>
      <c r="B10" s="30" t="s">
        <v>60</v>
      </c>
      <c r="C10" s="32" t="s">
        <v>59</v>
      </c>
      <c r="D10" s="32" t="s">
        <v>58</v>
      </c>
      <c r="E10" s="24"/>
      <c r="F10" s="23"/>
    </row>
    <row r="11" spans="1:6" ht="25.35" customHeight="1">
      <c r="A11" s="21"/>
      <c r="B11" s="30" t="s">
        <v>57</v>
      </c>
      <c r="C11" s="29" t="s">
        <v>56</v>
      </c>
      <c r="D11" s="31" t="s">
        <v>55</v>
      </c>
      <c r="E11" s="24"/>
      <c r="F11" s="23"/>
    </row>
    <row r="12" spans="1:6" ht="26.25" customHeight="1">
      <c r="A12" s="21"/>
      <c r="B12" s="30" t="s">
        <v>54</v>
      </c>
      <c r="C12" s="29" t="s">
        <v>53</v>
      </c>
      <c r="D12" s="28" t="s">
        <v>52</v>
      </c>
      <c r="E12" s="24"/>
      <c r="F12" s="23"/>
    </row>
    <row r="13" spans="1:6" ht="26.25" customHeight="1">
      <c r="A13" s="21"/>
      <c r="B13" s="27" t="s">
        <v>51</v>
      </c>
      <c r="C13" s="26" t="s">
        <v>50</v>
      </c>
      <c r="D13" s="25" t="s">
        <v>49</v>
      </c>
      <c r="E13" s="24"/>
      <c r="F13" s="23"/>
    </row>
    <row r="14" spans="1:6" ht="26.25" customHeight="1">
      <c r="A14" s="21"/>
      <c r="B14" s="27" t="s">
        <v>48</v>
      </c>
      <c r="C14" s="26" t="s">
        <v>47</v>
      </c>
      <c r="D14" s="25" t="s">
        <v>46</v>
      </c>
      <c r="E14" s="24"/>
      <c r="F14" s="23"/>
    </row>
    <row r="15" spans="1:6" ht="26.25" customHeight="1">
      <c r="A15" s="21"/>
      <c r="B15" s="27" t="s">
        <v>45</v>
      </c>
      <c r="C15" s="26" t="s">
        <v>44</v>
      </c>
      <c r="D15" s="25" t="s">
        <v>43</v>
      </c>
      <c r="E15" s="24"/>
      <c r="F15" s="23"/>
    </row>
    <row r="16" spans="1:6" ht="30" customHeight="1">
      <c r="A16" s="21"/>
      <c r="B16" s="366" t="s">
        <v>42</v>
      </c>
      <c r="C16" s="367" t="s">
        <v>41</v>
      </c>
      <c r="D16" s="367" t="s">
        <v>40</v>
      </c>
      <c r="E16" s="363"/>
      <c r="F16" s="364"/>
    </row>
    <row r="17" spans="1:6" ht="30" customHeight="1">
      <c r="A17" s="21"/>
      <c r="B17" s="366"/>
      <c r="C17" s="367"/>
      <c r="D17" s="367"/>
      <c r="E17" s="363"/>
      <c r="F17" s="364"/>
    </row>
    <row r="18" spans="1:6" ht="26.25" customHeight="1">
      <c r="A18" s="21"/>
      <c r="B18" s="21"/>
      <c r="C18" s="21"/>
      <c r="D18" s="21"/>
      <c r="E18" s="21"/>
      <c r="F18" s="21"/>
    </row>
    <row r="19" spans="1:6" ht="26.25" customHeight="1">
      <c r="A19" s="22" t="s">
        <v>39</v>
      </c>
      <c r="B19" s="365" t="s">
        <v>38</v>
      </c>
      <c r="C19" s="365"/>
      <c r="D19" s="365"/>
      <c r="E19" s="365"/>
      <c r="F19" s="365"/>
    </row>
    <row r="20" spans="1:6" ht="26.25" customHeight="1">
      <c r="A20" s="21"/>
      <c r="B20" s="365"/>
      <c r="C20" s="365"/>
      <c r="D20" s="365"/>
      <c r="E20" s="365"/>
      <c r="F20" s="365"/>
    </row>
    <row r="21" spans="1:6" ht="26.25" customHeight="1">
      <c r="B21" s="20" t="s">
        <v>37</v>
      </c>
      <c r="C21" s="20" t="s">
        <v>36</v>
      </c>
      <c r="D21" s="19" t="s">
        <v>35</v>
      </c>
      <c r="E21" s="18" t="s">
        <v>34</v>
      </c>
      <c r="F21" s="18" t="s">
        <v>33</v>
      </c>
    </row>
    <row r="22" spans="1:6" ht="109.5" customHeight="1">
      <c r="B22" s="17" t="s">
        <v>32</v>
      </c>
      <c r="C22" s="16" t="s">
        <v>31</v>
      </c>
      <c r="D22" s="16" t="s">
        <v>30</v>
      </c>
      <c r="E22" s="15"/>
      <c r="F22" s="15"/>
    </row>
    <row r="23" spans="1:6" ht="72.75" customHeight="1">
      <c r="B23" s="17" t="s">
        <v>29</v>
      </c>
      <c r="C23" s="16" t="s">
        <v>28</v>
      </c>
      <c r="D23" s="16" t="s">
        <v>27</v>
      </c>
      <c r="E23" s="15"/>
      <c r="F23" s="15"/>
    </row>
    <row r="24" spans="1:6" ht="50.45" customHeight="1">
      <c r="B24" s="14" t="s">
        <v>26</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373" t="s">
        <v>109</v>
      </c>
      <c r="B2" s="373"/>
      <c r="C2" s="373"/>
      <c r="D2" s="374"/>
      <c r="E2" s="44"/>
    </row>
    <row r="3" spans="1:5" ht="25.5" customHeight="1">
      <c r="A3" s="348" t="s">
        <v>108</v>
      </c>
      <c r="B3" s="348"/>
      <c r="C3" s="348"/>
      <c r="D3" s="348"/>
      <c r="E3" s="348"/>
    </row>
    <row r="4" spans="1:5" ht="25.5" customHeight="1">
      <c r="A4" s="348"/>
      <c r="B4" s="348"/>
      <c r="C4" s="348"/>
      <c r="D4" s="348"/>
      <c r="E4" s="348"/>
    </row>
    <row r="5" spans="1:5" ht="25.5" customHeight="1">
      <c r="A5" s="348"/>
      <c r="B5" s="348"/>
      <c r="C5" s="348"/>
      <c r="D5" s="348"/>
      <c r="E5" s="348"/>
    </row>
    <row r="6" spans="1:5" ht="38.25" customHeight="1">
      <c r="A6" s="368" t="s">
        <v>107</v>
      </c>
      <c r="B6" s="368"/>
      <c r="C6" s="368"/>
      <c r="D6" s="368"/>
      <c r="E6" s="368"/>
    </row>
    <row r="7" spans="1:5" ht="38.25" customHeight="1">
      <c r="A7" s="368" t="s">
        <v>106</v>
      </c>
      <c r="B7" s="368"/>
      <c r="C7" s="368"/>
      <c r="D7" s="368"/>
      <c r="E7" s="368"/>
    </row>
    <row r="8" spans="1:5" ht="38.25" customHeight="1">
      <c r="A8" s="368" t="s">
        <v>105</v>
      </c>
      <c r="B8" s="368"/>
      <c r="C8" s="368"/>
      <c r="D8" s="368"/>
      <c r="E8" s="368"/>
    </row>
    <row r="9" spans="1:5" ht="11.25" customHeight="1">
      <c r="A9" s="43"/>
      <c r="B9" s="43"/>
      <c r="C9" s="43"/>
      <c r="D9" s="43"/>
      <c r="E9" s="43"/>
    </row>
    <row r="10" spans="1:5" ht="25.5" customHeight="1">
      <c r="A10" s="41" t="s">
        <v>104</v>
      </c>
      <c r="B10" s="41"/>
      <c r="C10" s="41"/>
    </row>
    <row r="11" spans="1:5" ht="20.25" customHeight="1">
      <c r="A11" s="1" t="s">
        <v>97</v>
      </c>
    </row>
    <row r="12" spans="1:5" ht="25.5" customHeight="1">
      <c r="A12" s="369" t="s">
        <v>96</v>
      </c>
      <c r="B12" s="370"/>
      <c r="C12" s="40" t="s">
        <v>95</v>
      </c>
      <c r="D12" s="40" t="s">
        <v>94</v>
      </c>
      <c r="E12" s="13"/>
    </row>
    <row r="13" spans="1:5" ht="25.5" customHeight="1">
      <c r="A13" s="371"/>
      <c r="B13" s="372"/>
      <c r="C13" s="40" t="s">
        <v>93</v>
      </c>
      <c r="D13" s="40" t="s">
        <v>92</v>
      </c>
      <c r="E13" s="39" t="s">
        <v>91</v>
      </c>
    </row>
    <row r="14" spans="1:5" ht="45" customHeight="1">
      <c r="A14" s="376" t="s">
        <v>103</v>
      </c>
      <c r="B14" s="380" t="s">
        <v>102</v>
      </c>
      <c r="C14" s="381"/>
      <c r="D14" s="381"/>
      <c r="E14" s="382"/>
    </row>
    <row r="15" spans="1:5" ht="22.5" customHeight="1">
      <c r="A15" s="377"/>
      <c r="B15" s="383" t="s">
        <v>101</v>
      </c>
      <c r="C15" s="384"/>
      <c r="D15" s="384"/>
      <c r="E15" s="385"/>
    </row>
    <row r="16" spans="1:5" ht="22.5" customHeight="1">
      <c r="A16" s="378"/>
      <c r="B16" s="386"/>
      <c r="C16" s="387"/>
      <c r="D16" s="387"/>
      <c r="E16" s="388"/>
    </row>
    <row r="17" spans="1:10" ht="25.5" customHeight="1">
      <c r="A17" s="378"/>
      <c r="B17" s="389" t="s">
        <v>82</v>
      </c>
      <c r="C17" s="390"/>
      <c r="D17" s="390"/>
      <c r="E17" s="391"/>
    </row>
    <row r="18" spans="1:10" ht="25.5" customHeight="1">
      <c r="A18" s="379"/>
      <c r="B18" s="392"/>
      <c r="C18" s="393"/>
      <c r="D18" s="393"/>
      <c r="E18" s="394"/>
    </row>
    <row r="19" spans="1:10" ht="27.75" customHeight="1">
      <c r="A19" s="1" t="s">
        <v>81</v>
      </c>
    </row>
    <row r="20" spans="1:10" ht="25.5" customHeight="1">
      <c r="A20" s="375"/>
      <c r="B20" s="375"/>
      <c r="C20" s="375"/>
      <c r="D20" s="375"/>
      <c r="E20" s="375"/>
    </row>
    <row r="21" spans="1:10" ht="20.25" customHeight="1">
      <c r="A21" s="375"/>
      <c r="B21" s="375"/>
      <c r="C21" s="375"/>
      <c r="D21" s="375"/>
      <c r="E21" s="375"/>
    </row>
    <row r="22" spans="1:10" s="42" customFormat="1" ht="20.25" customHeight="1">
      <c r="A22" s="395" t="s">
        <v>100</v>
      </c>
      <c r="B22" s="397" t="s">
        <v>99</v>
      </c>
      <c r="C22" s="398"/>
      <c r="D22" s="398"/>
      <c r="E22" s="398"/>
    </row>
    <row r="23" spans="1:10" s="42" customFormat="1" ht="20.25" customHeight="1">
      <c r="A23" s="396"/>
      <c r="B23" s="399"/>
      <c r="C23" s="399"/>
      <c r="D23" s="399"/>
      <c r="E23" s="399"/>
    </row>
    <row r="24" spans="1:10" ht="20.25" customHeight="1"/>
    <row r="25" spans="1:10" ht="25.5" customHeight="1">
      <c r="A25" s="41" t="s">
        <v>98</v>
      </c>
      <c r="B25" s="41"/>
      <c r="C25" s="41"/>
    </row>
    <row r="26" spans="1:10" ht="21" customHeight="1">
      <c r="A26" s="1" t="s">
        <v>97</v>
      </c>
    </row>
    <row r="27" spans="1:10" ht="25.5" customHeight="1">
      <c r="A27" s="369" t="s">
        <v>96</v>
      </c>
      <c r="B27" s="370"/>
      <c r="C27" s="40" t="s">
        <v>95</v>
      </c>
      <c r="D27" s="40" t="s">
        <v>94</v>
      </c>
      <c r="E27" s="13"/>
    </row>
    <row r="28" spans="1:10" ht="25.5" customHeight="1">
      <c r="A28" s="371"/>
      <c r="B28" s="372"/>
      <c r="C28" s="40" t="s">
        <v>93</v>
      </c>
      <c r="D28" s="40" t="s">
        <v>92</v>
      </c>
      <c r="E28" s="39" t="s">
        <v>91</v>
      </c>
    </row>
    <row r="29" spans="1:10" ht="35.25" customHeight="1">
      <c r="A29" s="400" t="s">
        <v>90</v>
      </c>
      <c r="B29" s="401"/>
      <c r="C29" s="402"/>
      <c r="D29" s="403"/>
      <c r="E29" s="404"/>
      <c r="F29" s="8"/>
      <c r="G29" s="8"/>
      <c r="H29" s="8"/>
      <c r="I29" s="8"/>
      <c r="J29" s="8"/>
    </row>
    <row r="30" spans="1:10" ht="27" customHeight="1">
      <c r="A30" s="405" t="s">
        <v>89</v>
      </c>
      <c r="B30" s="408" t="s">
        <v>88</v>
      </c>
      <c r="C30" s="409" t="s">
        <v>87</v>
      </c>
      <c r="D30" s="410"/>
      <c r="E30" s="411"/>
      <c r="F30" s="8"/>
      <c r="G30" s="8"/>
      <c r="H30" s="8"/>
      <c r="I30" s="8"/>
      <c r="J30" s="8"/>
    </row>
    <row r="31" spans="1:10" ht="27" customHeight="1">
      <c r="A31" s="406"/>
      <c r="B31" s="407"/>
      <c r="C31" s="412"/>
      <c r="D31" s="413"/>
      <c r="E31" s="414"/>
      <c r="F31" s="8"/>
      <c r="G31" s="8"/>
      <c r="H31" s="8"/>
      <c r="I31" s="8"/>
      <c r="J31" s="8"/>
    </row>
    <row r="32" spans="1:10" ht="54" customHeight="1">
      <c r="A32" s="407"/>
      <c r="B32" s="38" t="s">
        <v>86</v>
      </c>
      <c r="C32" s="415" t="s">
        <v>85</v>
      </c>
      <c r="D32" s="416"/>
      <c r="E32" s="417"/>
      <c r="F32" s="8"/>
      <c r="G32" s="8"/>
      <c r="H32" s="8"/>
      <c r="I32" s="8"/>
      <c r="J32" s="8"/>
    </row>
    <row r="33" spans="1:10" ht="54" customHeight="1">
      <c r="A33" s="378" t="s">
        <v>84</v>
      </c>
      <c r="B33" s="380" t="s">
        <v>83</v>
      </c>
      <c r="C33" s="381"/>
      <c r="D33" s="381"/>
      <c r="E33" s="382"/>
      <c r="F33" s="8"/>
      <c r="G33" s="8"/>
      <c r="H33" s="8"/>
      <c r="I33" s="8"/>
      <c r="J33" s="8"/>
    </row>
    <row r="34" spans="1:10" ht="48.75" customHeight="1">
      <c r="A34" s="379"/>
      <c r="B34" s="418" t="s">
        <v>82</v>
      </c>
      <c r="C34" s="419"/>
      <c r="D34" s="419"/>
      <c r="E34" s="420"/>
      <c r="F34" s="8"/>
      <c r="G34" s="8"/>
      <c r="H34" s="8"/>
      <c r="I34" s="8"/>
      <c r="J34" s="8"/>
    </row>
    <row r="35" spans="1:10" ht="27.75" customHeight="1">
      <c r="A35" s="1" t="s">
        <v>81</v>
      </c>
      <c r="F35" s="8"/>
      <c r="G35" s="8"/>
      <c r="H35" s="8"/>
      <c r="I35" s="8"/>
      <c r="J35" s="8"/>
    </row>
    <row r="36" spans="1:10" ht="45" customHeight="1">
      <c r="A36" s="421"/>
      <c r="B36" s="422"/>
      <c r="C36" s="422"/>
      <c r="D36" s="422"/>
      <c r="E36" s="423"/>
      <c r="F36" s="8"/>
      <c r="G36" s="8"/>
      <c r="H36" s="8"/>
      <c r="I36" s="8"/>
      <c r="J36" s="8"/>
    </row>
    <row r="37" spans="1:10" ht="22.5" customHeight="1"/>
    <row r="38" spans="1:10" ht="22.5" customHeight="1"/>
    <row r="39" spans="1:10" ht="25.5" customHeight="1">
      <c r="A39" s="424"/>
      <c r="B39" s="424"/>
      <c r="C39" s="36"/>
      <c r="D39" s="36"/>
      <c r="E39" s="8"/>
    </row>
    <row r="40" spans="1:10" ht="25.5" customHeight="1">
      <c r="A40" s="424"/>
      <c r="B40" s="424"/>
      <c r="C40" s="36"/>
      <c r="D40" s="36"/>
      <c r="E40" s="35"/>
    </row>
    <row r="41" spans="1:10" ht="60.75" customHeight="1">
      <c r="A41" s="428"/>
      <c r="B41" s="429"/>
      <c r="C41" s="429"/>
      <c r="D41" s="429"/>
      <c r="E41" s="429"/>
    </row>
    <row r="42" spans="1:10" ht="60.75" customHeight="1">
      <c r="A42" s="428"/>
      <c r="B42" s="430"/>
      <c r="C42" s="430"/>
      <c r="D42" s="430"/>
      <c r="E42" s="430"/>
    </row>
    <row r="43" spans="1:10" ht="27.75" customHeight="1">
      <c r="A43" s="8"/>
      <c r="B43" s="8"/>
      <c r="C43" s="8"/>
      <c r="D43" s="8"/>
      <c r="E43" s="8"/>
    </row>
    <row r="44" spans="1:10" ht="50.25" customHeight="1">
      <c r="A44" s="431"/>
      <c r="B44" s="431"/>
      <c r="C44" s="431"/>
      <c r="D44" s="431"/>
      <c r="E44" s="431"/>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424"/>
      <c r="B48" s="424"/>
      <c r="C48" s="36"/>
      <c r="D48" s="36"/>
      <c r="E48" s="8"/>
    </row>
    <row r="49" spans="1:5" ht="25.5" customHeight="1">
      <c r="A49" s="424"/>
      <c r="B49" s="424"/>
      <c r="C49" s="36"/>
      <c r="D49" s="36"/>
      <c r="E49" s="35"/>
    </row>
    <row r="50" spans="1:5" ht="60.75" customHeight="1">
      <c r="A50" s="428"/>
      <c r="B50" s="429"/>
      <c r="C50" s="429"/>
      <c r="D50" s="429"/>
      <c r="E50" s="429"/>
    </row>
    <row r="51" spans="1:5" ht="60.75" customHeight="1">
      <c r="A51" s="428"/>
      <c r="B51" s="430"/>
      <c r="C51" s="430"/>
      <c r="D51" s="430"/>
      <c r="E51" s="430"/>
    </row>
    <row r="52" spans="1:5" ht="27.75" customHeight="1">
      <c r="A52" s="8"/>
      <c r="B52" s="8"/>
      <c r="C52" s="8"/>
      <c r="D52" s="8"/>
      <c r="E52" s="8"/>
    </row>
    <row r="53" spans="1:5" ht="50.25" customHeight="1">
      <c r="A53" s="425"/>
      <c r="B53" s="425"/>
      <c r="C53" s="425"/>
      <c r="D53" s="425"/>
      <c r="E53" s="425"/>
    </row>
    <row r="54" spans="1:5" ht="8.25" customHeight="1">
      <c r="A54" s="8"/>
      <c r="B54" s="8"/>
      <c r="C54" s="8"/>
      <c r="D54" s="8"/>
      <c r="E54" s="8"/>
    </row>
    <row r="55" spans="1:5" ht="28.5" customHeight="1">
      <c r="A55" s="35"/>
      <c r="B55" s="426"/>
      <c r="C55" s="426"/>
      <c r="D55" s="426"/>
      <c r="E55" s="426"/>
    </row>
    <row r="56" spans="1:5" ht="30" customHeight="1">
      <c r="A56" s="34"/>
      <c r="B56" s="348"/>
      <c r="C56" s="348"/>
      <c r="D56" s="348"/>
      <c r="E56" s="348"/>
    </row>
    <row r="57" spans="1:5" ht="57" customHeight="1">
      <c r="A57" s="34"/>
      <c r="B57" s="427"/>
      <c r="C57" s="427"/>
      <c r="D57" s="427"/>
      <c r="E57" s="427"/>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373" t="s">
        <v>118</v>
      </c>
      <c r="B1" s="373"/>
      <c r="C1" s="373"/>
      <c r="D1" s="374"/>
    </row>
    <row r="2" spans="1:5" ht="25.5" customHeight="1">
      <c r="A2" s="451" t="s">
        <v>117</v>
      </c>
      <c r="B2" s="451"/>
      <c r="C2" s="451"/>
    </row>
    <row r="3" spans="1:5" ht="25.5" customHeight="1">
      <c r="A3" s="1" t="s">
        <v>97</v>
      </c>
    </row>
    <row r="4" spans="1:5" ht="25.5" customHeight="1">
      <c r="A4" s="452" t="s">
        <v>96</v>
      </c>
      <c r="B4" s="452"/>
      <c r="C4" s="40" t="s">
        <v>95</v>
      </c>
      <c r="D4" s="40" t="s">
        <v>94</v>
      </c>
      <c r="E4" s="13"/>
    </row>
    <row r="5" spans="1:5" ht="25.5" customHeight="1">
      <c r="A5" s="452"/>
      <c r="B5" s="452"/>
      <c r="C5" s="40" t="s">
        <v>93</v>
      </c>
      <c r="D5" s="40" t="s">
        <v>92</v>
      </c>
      <c r="E5" s="39" t="s">
        <v>91</v>
      </c>
    </row>
    <row r="6" spans="1:5" ht="38.25" customHeight="1">
      <c r="A6" s="386" t="s">
        <v>116</v>
      </c>
      <c r="B6" s="387"/>
      <c r="C6" s="387"/>
      <c r="D6" s="387"/>
      <c r="E6" s="388"/>
    </row>
    <row r="7" spans="1:5" ht="38.25" customHeight="1">
      <c r="A7" s="437" t="s">
        <v>84</v>
      </c>
      <c r="B7" s="380" t="s">
        <v>115</v>
      </c>
      <c r="C7" s="453"/>
      <c r="D7" s="453"/>
      <c r="E7" s="454"/>
    </row>
    <row r="8" spans="1:5" ht="38.25" customHeight="1">
      <c r="A8" s="455"/>
      <c r="B8" s="389" t="s">
        <v>82</v>
      </c>
      <c r="C8" s="390"/>
      <c r="D8" s="390"/>
      <c r="E8" s="391"/>
    </row>
    <row r="9" spans="1:5" ht="11.25" customHeight="1">
      <c r="A9" s="456"/>
      <c r="B9" s="392"/>
      <c r="C9" s="393"/>
      <c r="D9" s="393"/>
      <c r="E9" s="394"/>
    </row>
    <row r="10" spans="1:5" ht="25.5" customHeight="1">
      <c r="A10" s="47" t="s">
        <v>81</v>
      </c>
      <c r="B10" s="47"/>
      <c r="C10" s="47"/>
      <c r="D10" s="47"/>
      <c r="E10" s="47"/>
    </row>
    <row r="11" spans="1:5" ht="20.25" customHeight="1">
      <c r="A11" s="369"/>
      <c r="B11" s="438"/>
      <c r="C11" s="438"/>
      <c r="D11" s="438"/>
      <c r="E11" s="370"/>
    </row>
    <row r="12" spans="1:5" ht="25.5" customHeight="1">
      <c r="A12" s="371"/>
      <c r="B12" s="439"/>
      <c r="C12" s="439"/>
      <c r="D12" s="439"/>
      <c r="E12" s="372"/>
    </row>
    <row r="13" spans="1:5" ht="25.5" customHeight="1"/>
    <row r="14" spans="1:5" ht="45" customHeight="1">
      <c r="A14" s="441" t="s">
        <v>114</v>
      </c>
      <c r="B14" s="442"/>
      <c r="C14" s="442"/>
      <c r="D14" s="442"/>
      <c r="E14" s="442"/>
    </row>
    <row r="15" spans="1:5" ht="22.5" customHeight="1">
      <c r="A15" s="440" t="s">
        <v>113</v>
      </c>
      <c r="B15" s="440"/>
      <c r="C15" s="440"/>
      <c r="D15" s="440"/>
      <c r="E15" s="3"/>
    </row>
    <row r="16" spans="1:5" ht="22.5" customHeight="1">
      <c r="A16" s="435"/>
      <c r="B16" s="435"/>
      <c r="C16" s="435"/>
      <c r="D16" s="435"/>
    </row>
    <row r="17" spans="1:10" ht="25.5" customHeight="1">
      <c r="A17" s="369" t="s">
        <v>96</v>
      </c>
      <c r="B17" s="370"/>
      <c r="C17" s="40" t="s">
        <v>95</v>
      </c>
      <c r="D17" s="40" t="s">
        <v>94</v>
      </c>
      <c r="E17" s="13"/>
    </row>
    <row r="18" spans="1:10" ht="25.5" customHeight="1">
      <c r="A18" s="371"/>
      <c r="B18" s="372"/>
      <c r="C18" s="40" t="s">
        <v>93</v>
      </c>
      <c r="D18" s="40" t="s">
        <v>92</v>
      </c>
      <c r="E18" s="39" t="s">
        <v>91</v>
      </c>
    </row>
    <row r="19" spans="1:10" ht="27.75" customHeight="1">
      <c r="A19" s="437" t="s">
        <v>84</v>
      </c>
      <c r="B19" s="432" t="s">
        <v>112</v>
      </c>
      <c r="C19" s="397"/>
      <c r="D19" s="397"/>
      <c r="E19" s="433"/>
    </row>
    <row r="20" spans="1:10" ht="25.5" customHeight="1">
      <c r="A20" s="378"/>
      <c r="B20" s="434"/>
      <c r="C20" s="435"/>
      <c r="D20" s="435"/>
      <c r="E20" s="436"/>
    </row>
    <row r="21" spans="1:10" ht="20.25" customHeight="1">
      <c r="A21" s="378"/>
      <c r="B21" s="389"/>
      <c r="C21" s="390"/>
      <c r="D21" s="390"/>
      <c r="E21" s="391"/>
    </row>
    <row r="22" spans="1:10" ht="20.25" customHeight="1">
      <c r="A22" s="379"/>
      <c r="B22" s="392"/>
      <c r="C22" s="393"/>
      <c r="D22" s="393"/>
      <c r="E22" s="394"/>
    </row>
    <row r="23" spans="1:10" ht="25.5" customHeight="1">
      <c r="A23" s="1" t="s">
        <v>81</v>
      </c>
    </row>
    <row r="24" spans="1:10" ht="21" customHeight="1">
      <c r="A24" s="443"/>
      <c r="B24" s="444"/>
      <c r="C24" s="444"/>
      <c r="D24" s="444"/>
      <c r="E24" s="445"/>
    </row>
    <row r="25" spans="1:10" ht="25.5" customHeight="1">
      <c r="A25" s="446"/>
      <c r="B25" s="447"/>
      <c r="C25" s="447"/>
      <c r="D25" s="447"/>
      <c r="E25" s="448"/>
    </row>
    <row r="26" spans="1:10" ht="40.5" customHeight="1">
      <c r="A26" s="34" t="s">
        <v>111</v>
      </c>
      <c r="B26" s="348" t="s">
        <v>110</v>
      </c>
      <c r="C26" s="399"/>
      <c r="D26" s="399"/>
      <c r="E26" s="399"/>
      <c r="F26" s="8"/>
      <c r="G26" s="8"/>
      <c r="H26" s="8"/>
      <c r="I26" s="8"/>
      <c r="J26" s="8"/>
    </row>
    <row r="27" spans="1:10" ht="27" customHeight="1">
      <c r="A27" s="450"/>
      <c r="B27" s="368"/>
      <c r="C27" s="449"/>
      <c r="D27" s="449"/>
      <c r="E27" s="449"/>
      <c r="F27" s="8"/>
      <c r="G27" s="8"/>
      <c r="H27" s="8"/>
      <c r="I27" s="8"/>
      <c r="J27" s="8"/>
    </row>
    <row r="28" spans="1:10" ht="27" customHeight="1">
      <c r="A28" s="396"/>
      <c r="B28" s="449"/>
      <c r="C28" s="449"/>
      <c r="D28" s="449"/>
      <c r="E28" s="449"/>
      <c r="F28" s="8"/>
      <c r="G28" s="8"/>
      <c r="H28" s="8"/>
      <c r="I28" s="8"/>
      <c r="J28" s="8"/>
    </row>
    <row r="29" spans="1:10" ht="54" customHeight="1">
      <c r="A29" s="34"/>
      <c r="B29" s="348"/>
      <c r="C29" s="399"/>
      <c r="D29" s="399"/>
      <c r="E29" s="399"/>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425"/>
      <c r="B32" s="425"/>
      <c r="C32" s="425"/>
      <c r="D32" s="425"/>
      <c r="E32" s="425"/>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zoomScaleNormal="100" zoomScaleSheetLayoutView="100" workbookViewId="0">
      <selection sqref="A1:E1"/>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463" t="s">
        <v>188</v>
      </c>
      <c r="B1" s="364"/>
      <c r="C1" s="364"/>
      <c r="D1" s="364"/>
      <c r="E1" s="364"/>
    </row>
    <row r="2" spans="1:10" ht="30" customHeight="1">
      <c r="A2" s="464" t="s">
        <v>187</v>
      </c>
      <c r="B2" s="464"/>
      <c r="C2" s="464"/>
      <c r="D2" s="464"/>
      <c r="E2" s="464"/>
    </row>
    <row r="3" spans="1:10" ht="19.5" customHeight="1">
      <c r="A3" s="61" t="s">
        <v>186</v>
      </c>
      <c r="B3" s="61" t="s">
        <v>185</v>
      </c>
      <c r="C3" s="61" t="s">
        <v>184</v>
      </c>
      <c r="D3" s="61" t="s">
        <v>183</v>
      </c>
      <c r="E3" s="60" t="s">
        <v>182</v>
      </c>
    </row>
    <row r="4" spans="1:10" ht="25.5" customHeight="1">
      <c r="A4" s="460" t="s">
        <v>181</v>
      </c>
      <c r="B4" s="457" t="s">
        <v>180</v>
      </c>
      <c r="C4" s="457" t="s">
        <v>179</v>
      </c>
      <c r="D4" s="51" t="s">
        <v>178</v>
      </c>
      <c r="E4" s="457" t="s">
        <v>177</v>
      </c>
    </row>
    <row r="5" spans="1:10" ht="25.5" customHeight="1">
      <c r="A5" s="461"/>
      <c r="B5" s="458"/>
      <c r="C5" s="458"/>
      <c r="D5" s="58" t="s">
        <v>176</v>
      </c>
      <c r="E5" s="458"/>
      <c r="J5" s="1" t="s">
        <v>175</v>
      </c>
    </row>
    <row r="6" spans="1:10" ht="25.5" customHeight="1">
      <c r="A6" s="461"/>
      <c r="B6" s="458"/>
      <c r="C6" s="458"/>
      <c r="D6" s="58" t="s">
        <v>174</v>
      </c>
      <c r="E6" s="458"/>
    </row>
    <row r="7" spans="1:10" ht="25.5" customHeight="1">
      <c r="A7" s="461"/>
      <c r="B7" s="458"/>
      <c r="C7" s="458"/>
      <c r="D7" s="58" t="s">
        <v>173</v>
      </c>
      <c r="E7" s="458"/>
    </row>
    <row r="8" spans="1:10" ht="25.5" customHeight="1">
      <c r="A8" s="461"/>
      <c r="B8" s="458"/>
      <c r="C8" s="458"/>
      <c r="D8" s="58" t="s">
        <v>172</v>
      </c>
      <c r="E8" s="458"/>
    </row>
    <row r="9" spans="1:10" ht="25.5" customHeight="1">
      <c r="A9" s="462"/>
      <c r="B9" s="459"/>
      <c r="C9" s="459"/>
      <c r="D9" s="59" t="s">
        <v>171</v>
      </c>
      <c r="E9" s="459"/>
    </row>
    <row r="10" spans="1:10" ht="25.5" customHeight="1">
      <c r="A10" s="460" t="s">
        <v>170</v>
      </c>
      <c r="B10" s="457" t="s">
        <v>169</v>
      </c>
      <c r="C10" s="457" t="s">
        <v>168</v>
      </c>
      <c r="D10" s="58" t="s">
        <v>130</v>
      </c>
      <c r="E10" s="457" t="s">
        <v>167</v>
      </c>
    </row>
    <row r="11" spans="1:10" ht="25.5" customHeight="1">
      <c r="A11" s="461"/>
      <c r="B11" s="458"/>
      <c r="C11" s="458"/>
      <c r="D11" s="58" t="s">
        <v>166</v>
      </c>
      <c r="E11" s="458"/>
    </row>
    <row r="12" spans="1:10" ht="25.5" customHeight="1">
      <c r="A12" s="461"/>
      <c r="B12" s="458"/>
      <c r="C12" s="458"/>
      <c r="D12" s="58" t="s">
        <v>165</v>
      </c>
      <c r="E12" s="458"/>
    </row>
    <row r="13" spans="1:10" ht="25.5" customHeight="1">
      <c r="A13" s="461"/>
      <c r="B13" s="458"/>
      <c r="C13" s="458"/>
      <c r="D13" s="58" t="s">
        <v>164</v>
      </c>
      <c r="E13" s="458"/>
    </row>
    <row r="14" spans="1:10" ht="25.5" customHeight="1">
      <c r="A14" s="461"/>
      <c r="B14" s="458"/>
      <c r="C14" s="458"/>
      <c r="D14" s="58" t="s">
        <v>163</v>
      </c>
      <c r="E14" s="458"/>
    </row>
    <row r="15" spans="1:10" ht="37.5" customHeight="1">
      <c r="A15" s="462"/>
      <c r="B15" s="459"/>
      <c r="C15" s="458"/>
      <c r="D15" s="57" t="s">
        <v>162</v>
      </c>
      <c r="E15" s="459"/>
    </row>
    <row r="16" spans="1:10" ht="36" customHeight="1">
      <c r="A16" s="55" t="s">
        <v>161</v>
      </c>
      <c r="B16" s="51" t="s">
        <v>149</v>
      </c>
      <c r="C16" s="54" t="s">
        <v>160</v>
      </c>
      <c r="D16" s="49" t="s">
        <v>119</v>
      </c>
      <c r="E16" s="51" t="s">
        <v>159</v>
      </c>
    </row>
    <row r="17" spans="1:5" ht="36" customHeight="1">
      <c r="A17" s="55" t="s">
        <v>158</v>
      </c>
      <c r="B17" s="54" t="s">
        <v>157</v>
      </c>
      <c r="C17" s="54" t="s">
        <v>156</v>
      </c>
      <c r="D17" s="49" t="s">
        <v>155</v>
      </c>
      <c r="E17" s="54" t="s">
        <v>154</v>
      </c>
    </row>
    <row r="18" spans="1:5" ht="36" customHeight="1">
      <c r="A18" s="55" t="s">
        <v>153</v>
      </c>
      <c r="B18" s="54" t="s">
        <v>152</v>
      </c>
      <c r="C18" s="54" t="s">
        <v>151</v>
      </c>
      <c r="D18" s="49" t="s">
        <v>126</v>
      </c>
      <c r="E18" s="54" t="s">
        <v>151</v>
      </c>
    </row>
    <row r="19" spans="1:5" ht="36" customHeight="1">
      <c r="A19" s="55" t="s">
        <v>150</v>
      </c>
      <c r="B19" s="457" t="s">
        <v>149</v>
      </c>
      <c r="C19" s="56" t="s">
        <v>147</v>
      </c>
      <c r="D19" s="52" t="s">
        <v>148</v>
      </c>
      <c r="E19" s="56" t="s">
        <v>147</v>
      </c>
    </row>
    <row r="20" spans="1:5" ht="36">
      <c r="A20" s="55" t="s">
        <v>146</v>
      </c>
      <c r="B20" s="458"/>
      <c r="C20" s="54" t="s">
        <v>144</v>
      </c>
      <c r="D20" s="52" t="s">
        <v>145</v>
      </c>
      <c r="E20" s="54" t="s">
        <v>144</v>
      </c>
    </row>
    <row r="21" spans="1:5" ht="25.5" customHeight="1">
      <c r="A21" s="49" t="s">
        <v>143</v>
      </c>
      <c r="B21" s="458"/>
      <c r="C21" s="457" t="s">
        <v>141</v>
      </c>
      <c r="D21" s="52" t="s">
        <v>142</v>
      </c>
      <c r="E21" s="457" t="s">
        <v>141</v>
      </c>
    </row>
    <row r="22" spans="1:5" ht="25.5" customHeight="1">
      <c r="A22" s="55" t="s">
        <v>140</v>
      </c>
      <c r="B22" s="458"/>
      <c r="C22" s="458"/>
      <c r="D22" s="52" t="s">
        <v>139</v>
      </c>
      <c r="E22" s="458"/>
    </row>
    <row r="23" spans="1:5" ht="25.5" customHeight="1">
      <c r="A23" s="55" t="s">
        <v>138</v>
      </c>
      <c r="B23" s="458"/>
      <c r="C23" s="458"/>
      <c r="D23" s="52" t="s">
        <v>137</v>
      </c>
      <c r="E23" s="458"/>
    </row>
    <row r="24" spans="1:5" ht="48">
      <c r="A24" s="55" t="s">
        <v>136</v>
      </c>
      <c r="B24" s="458"/>
      <c r="C24" s="459"/>
      <c r="D24" s="52" t="s">
        <v>135</v>
      </c>
      <c r="E24" s="459"/>
    </row>
    <row r="25" spans="1:5" ht="25.5" customHeight="1">
      <c r="A25" s="55" t="s">
        <v>134</v>
      </c>
      <c r="B25" s="458"/>
      <c r="C25" s="457" t="s">
        <v>132</v>
      </c>
      <c r="D25" s="52" t="s">
        <v>133</v>
      </c>
      <c r="E25" s="457" t="s">
        <v>132</v>
      </c>
    </row>
    <row r="26" spans="1:5" ht="36">
      <c r="A26" s="54" t="s">
        <v>131</v>
      </c>
      <c r="B26" s="458"/>
      <c r="C26" s="458"/>
      <c r="D26" s="53" t="s">
        <v>130</v>
      </c>
      <c r="E26" s="458"/>
    </row>
    <row r="27" spans="1:5" ht="25.5" customHeight="1">
      <c r="A27" s="49" t="s">
        <v>129</v>
      </c>
      <c r="B27" s="458"/>
      <c r="C27" s="458"/>
      <c r="D27" s="52" t="s">
        <v>128</v>
      </c>
      <c r="E27" s="458"/>
    </row>
    <row r="28" spans="1:5" ht="36" customHeight="1">
      <c r="A28" s="49" t="s">
        <v>127</v>
      </c>
      <c r="B28" s="458"/>
      <c r="C28" s="459"/>
      <c r="D28" s="52" t="s">
        <v>126</v>
      </c>
      <c r="E28" s="459"/>
    </row>
    <row r="29" spans="1:5" ht="27">
      <c r="A29" s="50" t="s">
        <v>125</v>
      </c>
      <c r="B29" s="458"/>
      <c r="C29" s="457" t="s">
        <v>123</v>
      </c>
      <c r="D29" s="51" t="s">
        <v>124</v>
      </c>
      <c r="E29" s="457" t="s">
        <v>123</v>
      </c>
    </row>
    <row r="30" spans="1:5" ht="27">
      <c r="A30" s="50" t="s">
        <v>122</v>
      </c>
      <c r="B30" s="458"/>
      <c r="C30" s="458"/>
      <c r="D30" s="51" t="s">
        <v>121</v>
      </c>
      <c r="E30" s="458"/>
    </row>
    <row r="31" spans="1:5" ht="67.5">
      <c r="A31" s="50" t="s">
        <v>120</v>
      </c>
      <c r="B31" s="459"/>
      <c r="C31" s="459"/>
      <c r="D31" s="49" t="s">
        <v>119</v>
      </c>
      <c r="E31" s="459"/>
    </row>
    <row r="32" spans="1:5">
      <c r="C32" s="48"/>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topLeftCell="A7" zoomScaleNormal="100" workbookViewId="0">
      <selection activeCell="A28" sqref="A28:I28"/>
    </sheetView>
  </sheetViews>
  <sheetFormatPr defaultRowHeight="13.5"/>
  <cols>
    <col min="1" max="9" width="9.625" style="145" customWidth="1"/>
    <col min="10" max="16384" width="9" style="145"/>
  </cols>
  <sheetData>
    <row r="1" spans="1:9" ht="17.25">
      <c r="A1" s="160" t="s">
        <v>368</v>
      </c>
    </row>
    <row r="2" spans="1:9" ht="17.25">
      <c r="A2" s="160"/>
      <c r="C2" s="507" t="s">
        <v>224</v>
      </c>
      <c r="D2" s="507"/>
      <c r="E2" s="507"/>
      <c r="F2" s="507"/>
      <c r="G2" s="507"/>
    </row>
    <row r="4" spans="1:9" ht="15" customHeight="1">
      <c r="A4" s="468" t="s">
        <v>334</v>
      </c>
      <c r="B4" s="469"/>
      <c r="C4" s="465" t="s">
        <v>693</v>
      </c>
      <c r="D4" s="466"/>
      <c r="E4" s="466"/>
      <c r="F4" s="466"/>
      <c r="G4" s="466"/>
      <c r="H4" s="466"/>
      <c r="I4" s="467"/>
    </row>
    <row r="5" spans="1:9" ht="15" customHeight="1">
      <c r="A5" s="164" t="s">
        <v>367</v>
      </c>
      <c r="B5" s="486" t="s">
        <v>694</v>
      </c>
      <c r="C5" s="486"/>
      <c r="D5" s="486"/>
      <c r="E5" s="486"/>
      <c r="F5" s="484" t="s">
        <v>3</v>
      </c>
      <c r="G5" s="470">
        <v>25496</v>
      </c>
      <c r="H5" s="471"/>
      <c r="I5" s="472"/>
    </row>
    <row r="6" spans="1:9" ht="15" customHeight="1">
      <c r="A6" s="474" t="s">
        <v>240</v>
      </c>
      <c r="B6" s="485" t="s">
        <v>695</v>
      </c>
      <c r="C6" s="485"/>
      <c r="D6" s="485"/>
      <c r="E6" s="485"/>
      <c r="F6" s="484"/>
      <c r="G6" s="473"/>
      <c r="H6" s="471"/>
      <c r="I6" s="472"/>
    </row>
    <row r="7" spans="1:9" ht="15" customHeight="1">
      <c r="A7" s="475"/>
      <c r="B7" s="485"/>
      <c r="C7" s="485"/>
      <c r="D7" s="485"/>
      <c r="E7" s="485"/>
      <c r="F7" s="484"/>
      <c r="G7" s="473"/>
      <c r="H7" s="471"/>
      <c r="I7" s="472"/>
    </row>
    <row r="8" spans="1:9" ht="15" customHeight="1">
      <c r="A8" s="476" t="s">
        <v>330</v>
      </c>
      <c r="B8" s="478" t="s">
        <v>696</v>
      </c>
      <c r="C8" s="479"/>
      <c r="D8" s="479"/>
      <c r="E8" s="479"/>
      <c r="F8" s="479"/>
      <c r="G8" s="479"/>
      <c r="H8" s="479"/>
      <c r="I8" s="480"/>
    </row>
    <row r="9" spans="1:9" ht="15" customHeight="1">
      <c r="A9" s="477"/>
      <c r="B9" s="481"/>
      <c r="C9" s="482"/>
      <c r="D9" s="482"/>
      <c r="E9" s="482"/>
      <c r="F9" s="482"/>
      <c r="G9" s="482"/>
      <c r="H9" s="482"/>
      <c r="I9" s="483"/>
    </row>
    <row r="10" spans="1:9" ht="15" customHeight="1">
      <c r="A10" s="163" t="s">
        <v>320</v>
      </c>
      <c r="B10" s="465" t="s">
        <v>697</v>
      </c>
      <c r="C10" s="466"/>
      <c r="D10" s="466"/>
      <c r="E10" s="466"/>
      <c r="F10" s="466"/>
      <c r="G10" s="466"/>
      <c r="H10" s="466"/>
      <c r="I10" s="467"/>
    </row>
    <row r="11" spans="1:9" ht="15" customHeight="1">
      <c r="A11" s="465" t="s">
        <v>366</v>
      </c>
      <c r="B11" s="466"/>
      <c r="C11" s="466"/>
      <c r="D11" s="466"/>
      <c r="E11" s="466"/>
      <c r="F11" s="466"/>
      <c r="G11" s="466"/>
      <c r="H11" s="466"/>
      <c r="I11" s="467"/>
    </row>
    <row r="12" spans="1:9" ht="15" customHeight="1">
      <c r="A12" s="465" t="s">
        <v>365</v>
      </c>
      <c r="B12" s="466"/>
      <c r="C12" s="467"/>
      <c r="D12" s="465" t="s">
        <v>364</v>
      </c>
      <c r="E12" s="466"/>
      <c r="F12" s="467"/>
      <c r="G12" s="466" t="s">
        <v>363</v>
      </c>
      <c r="H12" s="466"/>
      <c r="I12" s="467"/>
    </row>
    <row r="13" spans="1:9" ht="15" customHeight="1">
      <c r="A13" s="487" t="s">
        <v>698</v>
      </c>
      <c r="B13" s="488"/>
      <c r="C13" s="489"/>
      <c r="D13" s="490" t="s">
        <v>699</v>
      </c>
      <c r="E13" s="491"/>
      <c r="F13" s="492"/>
      <c r="G13" s="491" t="s">
        <v>727</v>
      </c>
      <c r="H13" s="491"/>
      <c r="I13" s="492"/>
    </row>
    <row r="14" spans="1:9" ht="15" customHeight="1">
      <c r="A14" s="493" t="s">
        <v>724</v>
      </c>
      <c r="B14" s="494"/>
      <c r="C14" s="495"/>
      <c r="D14" s="493" t="s">
        <v>604</v>
      </c>
      <c r="E14" s="494"/>
      <c r="F14" s="495"/>
      <c r="G14" s="494" t="s">
        <v>681</v>
      </c>
      <c r="H14" s="494"/>
      <c r="I14" s="495"/>
    </row>
    <row r="15" spans="1:9" ht="15" customHeight="1">
      <c r="A15" s="493" t="s">
        <v>700</v>
      </c>
      <c r="B15" s="494"/>
      <c r="C15" s="495"/>
      <c r="D15" s="493" t="s">
        <v>574</v>
      </c>
      <c r="E15" s="494"/>
      <c r="F15" s="495"/>
      <c r="G15" s="494" t="s">
        <v>701</v>
      </c>
      <c r="H15" s="494"/>
      <c r="I15" s="495"/>
    </row>
    <row r="16" spans="1:9" ht="15" customHeight="1">
      <c r="A16" s="493" t="s">
        <v>730</v>
      </c>
      <c r="B16" s="494"/>
      <c r="C16" s="495"/>
      <c r="D16" s="493" t="s">
        <v>574</v>
      </c>
      <c r="E16" s="494"/>
      <c r="F16" s="495"/>
      <c r="G16" s="494" t="s">
        <v>725</v>
      </c>
      <c r="H16" s="494"/>
      <c r="I16" s="495"/>
    </row>
    <row r="17" spans="1:9" ht="15" customHeight="1">
      <c r="A17" s="493"/>
      <c r="B17" s="494"/>
      <c r="C17" s="495"/>
      <c r="D17" s="493"/>
      <c r="E17" s="494"/>
      <c r="F17" s="495"/>
      <c r="G17" s="494"/>
      <c r="H17" s="494"/>
      <c r="I17" s="495"/>
    </row>
    <row r="18" spans="1:9" ht="15" customHeight="1">
      <c r="A18" s="496"/>
      <c r="B18" s="497"/>
      <c r="C18" s="498"/>
      <c r="D18" s="496"/>
      <c r="E18" s="497"/>
      <c r="F18" s="498"/>
      <c r="G18" s="497"/>
      <c r="H18" s="497"/>
      <c r="I18" s="498"/>
    </row>
    <row r="19" spans="1:9" ht="15" customHeight="1">
      <c r="A19" s="496"/>
      <c r="B19" s="497"/>
      <c r="C19" s="498"/>
      <c r="D19" s="496"/>
      <c r="E19" s="497"/>
      <c r="F19" s="498"/>
      <c r="G19" s="497"/>
      <c r="H19" s="497"/>
      <c r="I19" s="498"/>
    </row>
    <row r="20" spans="1:9" ht="15" customHeight="1">
      <c r="A20" s="496"/>
      <c r="B20" s="497"/>
      <c r="C20" s="498"/>
      <c r="D20" s="496"/>
      <c r="E20" s="497"/>
      <c r="F20" s="498"/>
      <c r="G20" s="497"/>
      <c r="H20" s="497"/>
      <c r="I20" s="498"/>
    </row>
    <row r="21" spans="1:9" ht="15" customHeight="1">
      <c r="A21" s="496"/>
      <c r="B21" s="497"/>
      <c r="C21" s="498"/>
      <c r="D21" s="496"/>
      <c r="E21" s="497"/>
      <c r="F21" s="498"/>
      <c r="G21" s="497"/>
      <c r="H21" s="497"/>
      <c r="I21" s="498"/>
    </row>
    <row r="22" spans="1:9" ht="15" customHeight="1">
      <c r="A22" s="496"/>
      <c r="B22" s="497"/>
      <c r="C22" s="498"/>
      <c r="D22" s="496"/>
      <c r="E22" s="497"/>
      <c r="F22" s="498"/>
      <c r="G22" s="497"/>
      <c r="H22" s="497"/>
      <c r="I22" s="498"/>
    </row>
    <row r="23" spans="1:9" ht="15" customHeight="1">
      <c r="A23" s="496"/>
      <c r="B23" s="497"/>
      <c r="C23" s="498"/>
      <c r="D23" s="496"/>
      <c r="E23" s="497"/>
      <c r="F23" s="498"/>
      <c r="G23" s="497"/>
      <c r="H23" s="497"/>
      <c r="I23" s="498"/>
    </row>
    <row r="24" spans="1:9" ht="15" customHeight="1">
      <c r="A24" s="496"/>
      <c r="B24" s="497"/>
      <c r="C24" s="498"/>
      <c r="D24" s="496"/>
      <c r="E24" s="497"/>
      <c r="F24" s="498"/>
      <c r="G24" s="497"/>
      <c r="H24" s="497"/>
      <c r="I24" s="498"/>
    </row>
    <row r="25" spans="1:9" ht="15" customHeight="1">
      <c r="A25" s="496"/>
      <c r="B25" s="497"/>
      <c r="C25" s="498"/>
      <c r="D25" s="496"/>
      <c r="E25" s="497"/>
      <c r="F25" s="498"/>
      <c r="G25" s="497"/>
      <c r="H25" s="497"/>
      <c r="I25" s="498"/>
    </row>
    <row r="26" spans="1:9" ht="15" customHeight="1">
      <c r="A26" s="499"/>
      <c r="B26" s="486"/>
      <c r="C26" s="500"/>
      <c r="D26" s="499"/>
      <c r="E26" s="486"/>
      <c r="F26" s="500"/>
      <c r="G26" s="486"/>
      <c r="H26" s="486"/>
      <c r="I26" s="500"/>
    </row>
    <row r="27" spans="1:9" ht="15" customHeight="1">
      <c r="A27" s="501"/>
      <c r="B27" s="502"/>
      <c r="C27" s="503"/>
      <c r="D27" s="501"/>
      <c r="E27" s="502"/>
      <c r="F27" s="503"/>
      <c r="G27" s="501"/>
      <c r="H27" s="502"/>
      <c r="I27" s="503"/>
    </row>
    <row r="28" spans="1:9" ht="15" customHeight="1">
      <c r="A28" s="465" t="s">
        <v>362</v>
      </c>
      <c r="B28" s="466"/>
      <c r="C28" s="466"/>
      <c r="D28" s="466"/>
      <c r="E28" s="466"/>
      <c r="F28" s="466"/>
      <c r="G28" s="466"/>
      <c r="H28" s="466"/>
      <c r="I28" s="467"/>
    </row>
    <row r="29" spans="1:9" ht="15" customHeight="1">
      <c r="A29" s="465" t="s">
        <v>361</v>
      </c>
      <c r="B29" s="466"/>
      <c r="C29" s="466"/>
      <c r="D29" s="467"/>
      <c r="E29" s="465" t="s">
        <v>360</v>
      </c>
      <c r="F29" s="466"/>
      <c r="G29" s="466"/>
      <c r="H29" s="466"/>
      <c r="I29" s="467"/>
    </row>
    <row r="30" spans="1:9" ht="15" customHeight="1">
      <c r="A30" s="508"/>
      <c r="B30" s="509"/>
      <c r="C30" s="509"/>
      <c r="D30" s="510"/>
      <c r="E30" s="508"/>
      <c r="F30" s="509"/>
      <c r="G30" s="509"/>
      <c r="H30" s="509"/>
      <c r="I30" s="510"/>
    </row>
    <row r="31" spans="1:9" ht="15" customHeight="1">
      <c r="A31" s="511"/>
      <c r="B31" s="512"/>
      <c r="C31" s="512"/>
      <c r="D31" s="513"/>
      <c r="E31" s="511"/>
      <c r="F31" s="512"/>
      <c r="G31" s="512"/>
      <c r="H31" s="512"/>
      <c r="I31" s="513"/>
    </row>
    <row r="32" spans="1:9" ht="15" customHeight="1">
      <c r="A32" s="511"/>
      <c r="B32" s="512"/>
      <c r="C32" s="512"/>
      <c r="D32" s="513"/>
      <c r="E32" s="511"/>
      <c r="F32" s="512"/>
      <c r="G32" s="512"/>
      <c r="H32" s="512"/>
      <c r="I32" s="513"/>
    </row>
    <row r="33" spans="1:9" ht="15" customHeight="1">
      <c r="A33" s="511"/>
      <c r="B33" s="512"/>
      <c r="C33" s="512"/>
      <c r="D33" s="513"/>
      <c r="E33" s="511"/>
      <c r="F33" s="512"/>
      <c r="G33" s="512"/>
      <c r="H33" s="512"/>
      <c r="I33" s="513"/>
    </row>
    <row r="34" spans="1:9" ht="15" customHeight="1">
      <c r="A34" s="511"/>
      <c r="B34" s="512"/>
      <c r="C34" s="512"/>
      <c r="D34" s="513"/>
      <c r="E34" s="511"/>
      <c r="F34" s="512"/>
      <c r="G34" s="512"/>
      <c r="H34" s="512"/>
      <c r="I34" s="513"/>
    </row>
    <row r="35" spans="1:9" ht="15" customHeight="1">
      <c r="A35" s="511"/>
      <c r="B35" s="512"/>
      <c r="C35" s="512"/>
      <c r="D35" s="513"/>
      <c r="E35" s="511"/>
      <c r="F35" s="512"/>
      <c r="G35" s="512"/>
      <c r="H35" s="512"/>
      <c r="I35" s="513"/>
    </row>
    <row r="36" spans="1:9" ht="15" customHeight="1">
      <c r="A36" s="501"/>
      <c r="B36" s="502"/>
      <c r="C36" s="502"/>
      <c r="D36" s="503"/>
      <c r="E36" s="501"/>
      <c r="F36" s="502"/>
      <c r="G36" s="502"/>
      <c r="H36" s="502"/>
      <c r="I36" s="503"/>
    </row>
    <row r="37" spans="1:9" ht="15" customHeight="1">
      <c r="A37" s="478" t="s">
        <v>726</v>
      </c>
      <c r="B37" s="479"/>
      <c r="C37" s="479"/>
      <c r="D37" s="479"/>
      <c r="E37" s="479"/>
      <c r="F37" s="479"/>
      <c r="G37" s="479"/>
      <c r="H37" s="479"/>
      <c r="I37" s="480"/>
    </row>
    <row r="38" spans="1:9" ht="15" customHeight="1">
      <c r="A38" s="504"/>
      <c r="B38" s="505"/>
      <c r="C38" s="505"/>
      <c r="D38" s="505"/>
      <c r="E38" s="505"/>
      <c r="F38" s="505"/>
      <c r="G38" s="505"/>
      <c r="H38" s="505"/>
      <c r="I38" s="506"/>
    </row>
    <row r="39" spans="1:9" ht="15" customHeight="1">
      <c r="A39" s="504"/>
      <c r="B39" s="505"/>
      <c r="C39" s="505"/>
      <c r="D39" s="505"/>
      <c r="E39" s="505"/>
      <c r="F39" s="505"/>
      <c r="G39" s="505"/>
      <c r="H39" s="505"/>
      <c r="I39" s="506"/>
    </row>
    <row r="40" spans="1:9" ht="15" customHeight="1">
      <c r="A40" s="504"/>
      <c r="B40" s="505"/>
      <c r="C40" s="505"/>
      <c r="D40" s="505"/>
      <c r="E40" s="505"/>
      <c r="F40" s="505"/>
      <c r="G40" s="505"/>
      <c r="H40" s="505"/>
      <c r="I40" s="506"/>
    </row>
    <row r="41" spans="1:9" ht="15" customHeight="1">
      <c r="A41" s="504"/>
      <c r="B41" s="505"/>
      <c r="C41" s="505"/>
      <c r="D41" s="505"/>
      <c r="E41" s="505"/>
      <c r="F41" s="505"/>
      <c r="G41" s="505"/>
      <c r="H41" s="505"/>
      <c r="I41" s="506"/>
    </row>
    <row r="42" spans="1:9" ht="15" customHeight="1">
      <c r="A42" s="481"/>
      <c r="B42" s="482"/>
      <c r="C42" s="482"/>
      <c r="D42" s="482"/>
      <c r="E42" s="482"/>
      <c r="F42" s="482"/>
      <c r="G42" s="482"/>
      <c r="H42" s="482"/>
      <c r="I42" s="483"/>
    </row>
    <row r="43" spans="1:9">
      <c r="A43" s="162" t="s">
        <v>358</v>
      </c>
    </row>
    <row r="44" spans="1:9">
      <c r="A44" s="162" t="s">
        <v>357</v>
      </c>
    </row>
    <row r="45" spans="1:9">
      <c r="A45" s="162" t="s">
        <v>356</v>
      </c>
    </row>
    <row r="46" spans="1:9">
      <c r="A46" s="162" t="s">
        <v>355</v>
      </c>
    </row>
    <row r="47" spans="1:9">
      <c r="A47" s="162" t="s">
        <v>354</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57FC-29FE-4355-8126-019EAFC983D5}">
  <sheetPr>
    <tabColor rgb="FF00B0F0"/>
  </sheetPr>
  <dimension ref="A1:I47"/>
  <sheetViews>
    <sheetView view="pageBreakPreview" zoomScaleNormal="100" workbookViewId="0">
      <selection activeCell="A28" sqref="A28:I28"/>
    </sheetView>
  </sheetViews>
  <sheetFormatPr defaultRowHeight="13.5"/>
  <cols>
    <col min="1" max="9" width="9.625" style="145" customWidth="1"/>
    <col min="10" max="16384" width="9" style="145"/>
  </cols>
  <sheetData>
    <row r="1" spans="1:9" ht="17.25">
      <c r="A1" s="160" t="s">
        <v>368</v>
      </c>
    </row>
    <row r="2" spans="1:9" ht="17.25">
      <c r="A2" s="160"/>
      <c r="C2" s="507" t="s">
        <v>709</v>
      </c>
      <c r="D2" s="507"/>
      <c r="E2" s="507"/>
      <c r="F2" s="507"/>
      <c r="G2" s="507"/>
    </row>
    <row r="4" spans="1:9" ht="15" customHeight="1">
      <c r="A4" s="468" t="s">
        <v>334</v>
      </c>
      <c r="B4" s="469"/>
      <c r="C4" s="465" t="s">
        <v>693</v>
      </c>
      <c r="D4" s="466"/>
      <c r="E4" s="466"/>
      <c r="F4" s="466"/>
      <c r="G4" s="466"/>
      <c r="H4" s="466"/>
      <c r="I4" s="467"/>
    </row>
    <row r="5" spans="1:9" ht="15" customHeight="1">
      <c r="A5" s="309" t="s">
        <v>367</v>
      </c>
      <c r="B5" s="486" t="s">
        <v>703</v>
      </c>
      <c r="C5" s="486"/>
      <c r="D5" s="486"/>
      <c r="E5" s="486"/>
      <c r="F5" s="484" t="s">
        <v>3</v>
      </c>
      <c r="G5" s="470">
        <v>18685</v>
      </c>
      <c r="H5" s="471"/>
      <c r="I5" s="472"/>
    </row>
    <row r="6" spans="1:9" ht="15" customHeight="1">
      <c r="A6" s="474" t="s">
        <v>240</v>
      </c>
      <c r="B6" s="485" t="s">
        <v>702</v>
      </c>
      <c r="C6" s="485"/>
      <c r="D6" s="485"/>
      <c r="E6" s="485"/>
      <c r="F6" s="484"/>
      <c r="G6" s="473"/>
      <c r="H6" s="471"/>
      <c r="I6" s="472"/>
    </row>
    <row r="7" spans="1:9" ht="15" customHeight="1">
      <c r="A7" s="475"/>
      <c r="B7" s="485"/>
      <c r="C7" s="485"/>
      <c r="D7" s="485"/>
      <c r="E7" s="485"/>
      <c r="F7" s="484"/>
      <c r="G7" s="473"/>
      <c r="H7" s="471"/>
      <c r="I7" s="472"/>
    </row>
    <row r="8" spans="1:9" ht="15" customHeight="1">
      <c r="A8" s="476" t="s">
        <v>330</v>
      </c>
      <c r="B8" s="478" t="s">
        <v>704</v>
      </c>
      <c r="C8" s="479"/>
      <c r="D8" s="479"/>
      <c r="E8" s="479"/>
      <c r="F8" s="479"/>
      <c r="G8" s="479"/>
      <c r="H8" s="479"/>
      <c r="I8" s="480"/>
    </row>
    <row r="9" spans="1:9" ht="15" customHeight="1">
      <c r="A9" s="477"/>
      <c r="B9" s="481"/>
      <c r="C9" s="482"/>
      <c r="D9" s="482"/>
      <c r="E9" s="482"/>
      <c r="F9" s="482"/>
      <c r="G9" s="482"/>
      <c r="H9" s="482"/>
      <c r="I9" s="483"/>
    </row>
    <row r="10" spans="1:9" ht="15" customHeight="1">
      <c r="A10" s="163" t="s">
        <v>320</v>
      </c>
      <c r="B10" s="465" t="s">
        <v>705</v>
      </c>
      <c r="C10" s="466"/>
      <c r="D10" s="466"/>
      <c r="E10" s="466"/>
      <c r="F10" s="466"/>
      <c r="G10" s="466"/>
      <c r="H10" s="466"/>
      <c r="I10" s="467"/>
    </row>
    <row r="11" spans="1:9" ht="15" customHeight="1">
      <c r="A11" s="465" t="s">
        <v>366</v>
      </c>
      <c r="B11" s="466"/>
      <c r="C11" s="466"/>
      <c r="D11" s="466"/>
      <c r="E11" s="466"/>
      <c r="F11" s="466"/>
      <c r="G11" s="466"/>
      <c r="H11" s="466"/>
      <c r="I11" s="467"/>
    </row>
    <row r="12" spans="1:9" ht="15" customHeight="1">
      <c r="A12" s="465" t="s">
        <v>365</v>
      </c>
      <c r="B12" s="466"/>
      <c r="C12" s="467"/>
      <c r="D12" s="465" t="s">
        <v>364</v>
      </c>
      <c r="E12" s="466"/>
      <c r="F12" s="467"/>
      <c r="G12" s="466" t="s">
        <v>363</v>
      </c>
      <c r="H12" s="466"/>
      <c r="I12" s="467"/>
    </row>
    <row r="13" spans="1:9" ht="15" customHeight="1">
      <c r="A13" s="514" t="s">
        <v>706</v>
      </c>
      <c r="B13" s="515"/>
      <c r="C13" s="516"/>
      <c r="D13" s="517" t="s">
        <v>707</v>
      </c>
      <c r="E13" s="518"/>
      <c r="F13" s="519"/>
      <c r="G13" s="520" t="s">
        <v>708</v>
      </c>
      <c r="H13" s="520"/>
      <c r="I13" s="521"/>
    </row>
    <row r="14" spans="1:9" ht="15" customHeight="1">
      <c r="A14" s="522" t="s">
        <v>728</v>
      </c>
      <c r="B14" s="523"/>
      <c r="C14" s="524"/>
      <c r="D14" s="525" t="s">
        <v>574</v>
      </c>
      <c r="E14" s="526"/>
      <c r="F14" s="527"/>
      <c r="G14" s="526" t="s">
        <v>701</v>
      </c>
      <c r="H14" s="526"/>
      <c r="I14" s="527"/>
    </row>
    <row r="15" spans="1:9" ht="15" customHeight="1">
      <c r="A15" s="522" t="s">
        <v>729</v>
      </c>
      <c r="B15" s="523"/>
      <c r="C15" s="524"/>
      <c r="D15" s="525" t="s">
        <v>574</v>
      </c>
      <c r="E15" s="526"/>
      <c r="F15" s="527"/>
      <c r="G15" s="526" t="s">
        <v>725</v>
      </c>
      <c r="H15" s="526"/>
      <c r="I15" s="527"/>
    </row>
    <row r="16" spans="1:9" ht="15" customHeight="1">
      <c r="A16" s="525"/>
      <c r="B16" s="526"/>
      <c r="C16" s="527"/>
      <c r="D16" s="525"/>
      <c r="E16" s="526"/>
      <c r="F16" s="527"/>
      <c r="G16" s="526"/>
      <c r="H16" s="526"/>
      <c r="I16" s="527"/>
    </row>
    <row r="17" spans="1:9" ht="15" customHeight="1">
      <c r="A17" s="499"/>
      <c r="B17" s="486"/>
      <c r="C17" s="500"/>
      <c r="D17" s="499"/>
      <c r="E17" s="486"/>
      <c r="F17" s="500"/>
      <c r="G17" s="486"/>
      <c r="H17" s="486"/>
      <c r="I17" s="500"/>
    </row>
    <row r="18" spans="1:9" ht="15" customHeight="1">
      <c r="A18" s="499"/>
      <c r="B18" s="486"/>
      <c r="C18" s="500"/>
      <c r="D18" s="499"/>
      <c r="E18" s="486"/>
      <c r="F18" s="500"/>
      <c r="G18" s="486"/>
      <c r="H18" s="486"/>
      <c r="I18" s="500"/>
    </row>
    <row r="19" spans="1:9" ht="15" customHeight="1">
      <c r="A19" s="499"/>
      <c r="B19" s="486"/>
      <c r="C19" s="500"/>
      <c r="D19" s="499"/>
      <c r="E19" s="486"/>
      <c r="F19" s="500"/>
      <c r="G19" s="486"/>
      <c r="H19" s="486"/>
      <c r="I19" s="500"/>
    </row>
    <row r="20" spans="1:9" ht="15" customHeight="1">
      <c r="A20" s="499"/>
      <c r="B20" s="486"/>
      <c r="C20" s="500"/>
      <c r="D20" s="499"/>
      <c r="E20" s="486"/>
      <c r="F20" s="500"/>
      <c r="G20" s="486"/>
      <c r="H20" s="486"/>
      <c r="I20" s="500"/>
    </row>
    <row r="21" spans="1:9" ht="15" customHeight="1">
      <c r="A21" s="499"/>
      <c r="B21" s="486"/>
      <c r="C21" s="500"/>
      <c r="D21" s="499"/>
      <c r="E21" s="486"/>
      <c r="F21" s="500"/>
      <c r="G21" s="486"/>
      <c r="H21" s="486"/>
      <c r="I21" s="500"/>
    </row>
    <row r="22" spans="1:9" ht="15" customHeight="1">
      <c r="A22" s="499"/>
      <c r="B22" s="486"/>
      <c r="C22" s="500"/>
      <c r="D22" s="499"/>
      <c r="E22" s="486"/>
      <c r="F22" s="500"/>
      <c r="G22" s="486"/>
      <c r="H22" s="486"/>
      <c r="I22" s="500"/>
    </row>
    <row r="23" spans="1:9" ht="15" customHeight="1">
      <c r="A23" s="499"/>
      <c r="B23" s="486"/>
      <c r="C23" s="500"/>
      <c r="D23" s="499"/>
      <c r="E23" s="486"/>
      <c r="F23" s="500"/>
      <c r="G23" s="486"/>
      <c r="H23" s="486"/>
      <c r="I23" s="500"/>
    </row>
    <row r="24" spans="1:9" ht="15" customHeight="1">
      <c r="A24" s="499"/>
      <c r="B24" s="486"/>
      <c r="C24" s="500"/>
      <c r="D24" s="499"/>
      <c r="E24" s="486"/>
      <c r="F24" s="500"/>
      <c r="G24" s="486"/>
      <c r="H24" s="486"/>
      <c r="I24" s="500"/>
    </row>
    <row r="25" spans="1:9" ht="15" customHeight="1">
      <c r="A25" s="499"/>
      <c r="B25" s="486"/>
      <c r="C25" s="500"/>
      <c r="D25" s="499"/>
      <c r="E25" s="486"/>
      <c r="F25" s="500"/>
      <c r="G25" s="486"/>
      <c r="H25" s="486"/>
      <c r="I25" s="500"/>
    </row>
    <row r="26" spans="1:9" ht="15" customHeight="1">
      <c r="A26" s="499"/>
      <c r="B26" s="486"/>
      <c r="C26" s="500"/>
      <c r="D26" s="499"/>
      <c r="E26" s="486"/>
      <c r="F26" s="500"/>
      <c r="G26" s="486"/>
      <c r="H26" s="486"/>
      <c r="I26" s="500"/>
    </row>
    <row r="27" spans="1:9" ht="15" customHeight="1">
      <c r="A27" s="501"/>
      <c r="B27" s="502"/>
      <c r="C27" s="503"/>
      <c r="D27" s="501"/>
      <c r="E27" s="502"/>
      <c r="F27" s="503"/>
      <c r="G27" s="501"/>
      <c r="H27" s="502"/>
      <c r="I27" s="503"/>
    </row>
    <row r="28" spans="1:9" ht="15" customHeight="1">
      <c r="A28" s="465" t="s">
        <v>362</v>
      </c>
      <c r="B28" s="466"/>
      <c r="C28" s="466"/>
      <c r="D28" s="466"/>
      <c r="E28" s="466"/>
      <c r="F28" s="466"/>
      <c r="G28" s="466"/>
      <c r="H28" s="466"/>
      <c r="I28" s="467"/>
    </row>
    <row r="29" spans="1:9" ht="15" customHeight="1">
      <c r="A29" s="465" t="s">
        <v>361</v>
      </c>
      <c r="B29" s="466"/>
      <c r="C29" s="466"/>
      <c r="D29" s="467"/>
      <c r="E29" s="465" t="s">
        <v>360</v>
      </c>
      <c r="F29" s="466"/>
      <c r="G29" s="466"/>
      <c r="H29" s="466"/>
      <c r="I29" s="467"/>
    </row>
    <row r="30" spans="1:9" ht="15" customHeight="1">
      <c r="A30" s="528" t="s">
        <v>219</v>
      </c>
      <c r="B30" s="479"/>
      <c r="C30" s="479"/>
      <c r="D30" s="480"/>
      <c r="E30" s="529">
        <v>26942</v>
      </c>
      <c r="F30" s="479"/>
      <c r="G30" s="479"/>
      <c r="H30" s="479"/>
      <c r="I30" s="480"/>
    </row>
    <row r="31" spans="1:9" ht="15" customHeight="1">
      <c r="A31" s="504"/>
      <c r="B31" s="505"/>
      <c r="C31" s="505"/>
      <c r="D31" s="506"/>
      <c r="E31" s="504"/>
      <c r="F31" s="505"/>
      <c r="G31" s="505"/>
      <c r="H31" s="505"/>
      <c r="I31" s="506"/>
    </row>
    <row r="32" spans="1:9" ht="15" customHeight="1">
      <c r="A32" s="504"/>
      <c r="B32" s="505"/>
      <c r="C32" s="505"/>
      <c r="D32" s="506"/>
      <c r="E32" s="504"/>
      <c r="F32" s="505"/>
      <c r="G32" s="505"/>
      <c r="H32" s="505"/>
      <c r="I32" s="506"/>
    </row>
    <row r="33" spans="1:9" ht="15" customHeight="1">
      <c r="A33" s="504"/>
      <c r="B33" s="505"/>
      <c r="C33" s="505"/>
      <c r="D33" s="506"/>
      <c r="E33" s="504"/>
      <c r="F33" s="505"/>
      <c r="G33" s="505"/>
      <c r="H33" s="505"/>
      <c r="I33" s="506"/>
    </row>
    <row r="34" spans="1:9" ht="15" customHeight="1">
      <c r="A34" s="504"/>
      <c r="B34" s="505"/>
      <c r="C34" s="505"/>
      <c r="D34" s="506"/>
      <c r="E34" s="504"/>
      <c r="F34" s="505"/>
      <c r="G34" s="505"/>
      <c r="H34" s="505"/>
      <c r="I34" s="506"/>
    </row>
    <row r="35" spans="1:9" ht="15" customHeight="1">
      <c r="A35" s="504"/>
      <c r="B35" s="505"/>
      <c r="C35" s="505"/>
      <c r="D35" s="506"/>
      <c r="E35" s="504"/>
      <c r="F35" s="505"/>
      <c r="G35" s="505"/>
      <c r="H35" s="505"/>
      <c r="I35" s="506"/>
    </row>
    <row r="36" spans="1:9" ht="15" customHeight="1">
      <c r="A36" s="481"/>
      <c r="B36" s="482"/>
      <c r="C36" s="482"/>
      <c r="D36" s="483"/>
      <c r="E36" s="481"/>
      <c r="F36" s="482"/>
      <c r="G36" s="482"/>
      <c r="H36" s="482"/>
      <c r="I36" s="483"/>
    </row>
    <row r="37" spans="1:9" ht="15" customHeight="1">
      <c r="A37" s="528" t="s">
        <v>359</v>
      </c>
      <c r="B37" s="479"/>
      <c r="C37" s="479"/>
      <c r="D37" s="479"/>
      <c r="E37" s="479"/>
      <c r="F37" s="479"/>
      <c r="G37" s="479"/>
      <c r="H37" s="479"/>
      <c r="I37" s="480"/>
    </row>
    <row r="38" spans="1:9" ht="15" customHeight="1">
      <c r="A38" s="504"/>
      <c r="B38" s="505"/>
      <c r="C38" s="505"/>
      <c r="D38" s="505"/>
      <c r="E38" s="505"/>
      <c r="F38" s="505"/>
      <c r="G38" s="505"/>
      <c r="H38" s="505"/>
      <c r="I38" s="506"/>
    </row>
    <row r="39" spans="1:9" ht="15" customHeight="1">
      <c r="A39" s="504"/>
      <c r="B39" s="505"/>
      <c r="C39" s="505"/>
      <c r="D39" s="505"/>
      <c r="E39" s="505"/>
      <c r="F39" s="505"/>
      <c r="G39" s="505"/>
      <c r="H39" s="505"/>
      <c r="I39" s="506"/>
    </row>
    <row r="40" spans="1:9" ht="15" customHeight="1">
      <c r="A40" s="504"/>
      <c r="B40" s="505"/>
      <c r="C40" s="505"/>
      <c r="D40" s="505"/>
      <c r="E40" s="505"/>
      <c r="F40" s="505"/>
      <c r="G40" s="505"/>
      <c r="H40" s="505"/>
      <c r="I40" s="506"/>
    </row>
    <row r="41" spans="1:9" ht="15" customHeight="1">
      <c r="A41" s="504"/>
      <c r="B41" s="505"/>
      <c r="C41" s="505"/>
      <c r="D41" s="505"/>
      <c r="E41" s="505"/>
      <c r="F41" s="505"/>
      <c r="G41" s="505"/>
      <c r="H41" s="505"/>
      <c r="I41" s="506"/>
    </row>
    <row r="42" spans="1:9" ht="15" customHeight="1">
      <c r="A42" s="481"/>
      <c r="B42" s="482"/>
      <c r="C42" s="482"/>
      <c r="D42" s="482"/>
      <c r="E42" s="482"/>
      <c r="F42" s="482"/>
      <c r="G42" s="482"/>
      <c r="H42" s="482"/>
      <c r="I42" s="483"/>
    </row>
    <row r="43" spans="1:9">
      <c r="A43" s="162" t="s">
        <v>358</v>
      </c>
    </row>
    <row r="44" spans="1:9">
      <c r="A44" s="162" t="s">
        <v>357</v>
      </c>
    </row>
    <row r="45" spans="1:9">
      <c r="A45" s="162" t="s">
        <v>356</v>
      </c>
    </row>
    <row r="46" spans="1:9">
      <c r="A46" s="162" t="s">
        <v>355</v>
      </c>
    </row>
    <row r="47" spans="1:9">
      <c r="A47" s="162" t="s">
        <v>354</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view="pageBreakPreview" zoomScaleNormal="100" workbookViewId="0">
      <selection activeCell="B28" sqref="B28"/>
    </sheetView>
  </sheetViews>
  <sheetFormatPr defaultRowHeight="18" customHeight="1"/>
  <cols>
    <col min="1" max="1" width="2.125" style="165" customWidth="1"/>
    <col min="2" max="2" width="4.5" style="165" customWidth="1"/>
    <col min="3" max="3" width="4.625" style="166" customWidth="1"/>
    <col min="4" max="18" width="4.625" style="165" customWidth="1"/>
    <col min="19" max="19" width="6.125" style="165" customWidth="1"/>
    <col min="20" max="26" width="4.625" style="165" customWidth="1"/>
    <col min="27" max="16384" width="9" style="165"/>
  </cols>
  <sheetData>
    <row r="1" spans="1:19" ht="18" customHeight="1">
      <c r="A1" s="144" t="s">
        <v>385</v>
      </c>
      <c r="B1" s="144"/>
    </row>
    <row r="3" spans="1:19" ht="18" customHeight="1">
      <c r="A3" s="530" t="s">
        <v>384</v>
      </c>
      <c r="B3" s="530"/>
      <c r="C3" s="530"/>
      <c r="D3" s="530"/>
      <c r="E3" s="530"/>
      <c r="F3" s="530"/>
      <c r="G3" s="530"/>
      <c r="H3" s="530"/>
      <c r="I3" s="530"/>
      <c r="J3" s="530"/>
      <c r="K3" s="530"/>
      <c r="L3" s="530"/>
      <c r="M3" s="530"/>
      <c r="N3" s="530"/>
      <c r="O3" s="530"/>
      <c r="P3" s="530"/>
      <c r="Q3" s="530"/>
      <c r="R3" s="530"/>
      <c r="S3" s="530"/>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383</v>
      </c>
    </row>
    <row r="6" spans="1:19" ht="18" customHeight="1">
      <c r="A6" s="181" t="s">
        <v>382</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c r="I7" s="181"/>
      <c r="J7" s="181" t="s">
        <v>381</v>
      </c>
      <c r="K7" s="182"/>
      <c r="L7" s="533"/>
      <c r="M7" s="533"/>
      <c r="N7" s="533"/>
      <c r="O7" s="533"/>
      <c r="P7" s="533"/>
      <c r="Q7" s="533"/>
      <c r="R7" s="533"/>
      <c r="S7" s="533"/>
    </row>
    <row r="8" spans="1:19" ht="18" customHeight="1">
      <c r="A8" s="185"/>
      <c r="B8" s="185"/>
      <c r="C8" s="185"/>
      <c r="D8" s="185"/>
      <c r="E8" s="185"/>
      <c r="F8" s="185"/>
      <c r="G8" s="185"/>
      <c r="H8" s="181"/>
      <c r="I8" s="181"/>
      <c r="J8" s="181"/>
      <c r="K8" s="182"/>
      <c r="L8" s="533"/>
      <c r="M8" s="533"/>
      <c r="N8" s="533"/>
      <c r="O8" s="533"/>
      <c r="P8" s="533"/>
      <c r="Q8" s="533"/>
      <c r="R8" s="533"/>
      <c r="S8" s="533"/>
    </row>
    <row r="9" spans="1:19" ht="18" customHeight="1">
      <c r="A9" s="185"/>
      <c r="B9" s="185"/>
      <c r="C9" s="185"/>
      <c r="D9" s="185"/>
      <c r="E9" s="185"/>
      <c r="F9" s="185"/>
      <c r="G9" s="185"/>
      <c r="H9" s="181"/>
      <c r="I9" s="181"/>
      <c r="J9" s="181" t="s">
        <v>380</v>
      </c>
      <c r="R9" s="184" t="s">
        <v>309</v>
      </c>
      <c r="S9" s="133"/>
    </row>
    <row r="10" spans="1:19" ht="18" customHeight="1">
      <c r="A10" s="133"/>
      <c r="B10" s="133"/>
      <c r="C10" s="179"/>
      <c r="D10" s="133"/>
      <c r="E10" s="133"/>
      <c r="F10" s="133"/>
      <c r="G10" s="133"/>
      <c r="H10" s="183"/>
      <c r="I10" s="183"/>
      <c r="K10" s="182"/>
      <c r="L10" s="534"/>
      <c r="M10" s="534"/>
      <c r="N10" s="534"/>
      <c r="O10" s="534"/>
      <c r="P10" s="534"/>
      <c r="Q10" s="534"/>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35" t="s">
        <v>379</v>
      </c>
      <c r="B13" s="535"/>
      <c r="C13" s="535"/>
      <c r="D13" s="535"/>
      <c r="E13" s="535"/>
      <c r="F13" s="535"/>
      <c r="G13" s="535"/>
      <c r="H13" s="535"/>
      <c r="I13" s="535"/>
      <c r="J13" s="535"/>
      <c r="K13" s="535"/>
      <c r="L13" s="535"/>
      <c r="M13" s="535"/>
      <c r="N13" s="535"/>
      <c r="O13" s="535"/>
      <c r="P13" s="535"/>
      <c r="Q13" s="535"/>
      <c r="R13" s="535"/>
      <c r="S13" s="535"/>
    </row>
    <row r="14" spans="1:19" ht="18" customHeight="1">
      <c r="A14" s="535"/>
      <c r="B14" s="535"/>
      <c r="C14" s="535"/>
      <c r="D14" s="535"/>
      <c r="E14" s="535"/>
      <c r="F14" s="535"/>
      <c r="G14" s="535"/>
      <c r="H14" s="535"/>
      <c r="I14" s="535"/>
      <c r="J14" s="535"/>
      <c r="K14" s="535"/>
      <c r="L14" s="535"/>
      <c r="M14" s="535"/>
      <c r="N14" s="535"/>
      <c r="O14" s="535"/>
      <c r="P14" s="535"/>
      <c r="Q14" s="535"/>
      <c r="R14" s="535"/>
      <c r="S14" s="535"/>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19" ht="18.75" customHeight="1">
      <c r="A17" s="174"/>
      <c r="B17" s="174"/>
      <c r="C17" s="174"/>
      <c r="D17" s="174"/>
      <c r="E17" s="174"/>
      <c r="F17" s="174"/>
      <c r="G17" s="174"/>
      <c r="H17" s="174"/>
      <c r="I17" s="174"/>
      <c r="J17" s="174"/>
      <c r="K17" s="174"/>
      <c r="L17" s="174"/>
      <c r="M17" s="174"/>
      <c r="N17" s="174"/>
      <c r="O17" s="174"/>
      <c r="P17" s="174"/>
      <c r="Q17" s="174"/>
      <c r="R17" s="174"/>
      <c r="S17" s="174"/>
    </row>
    <row r="18" spans="1:19" ht="18" customHeight="1">
      <c r="A18" s="169"/>
      <c r="B18" s="531"/>
      <c r="C18" s="531"/>
      <c r="D18" s="531"/>
      <c r="E18" s="531"/>
      <c r="F18" s="531"/>
      <c r="G18" s="531"/>
      <c r="H18" s="531"/>
      <c r="I18" s="531"/>
      <c r="J18" s="531"/>
      <c r="K18" s="531"/>
      <c r="L18" s="531"/>
      <c r="M18" s="531"/>
      <c r="N18" s="531"/>
      <c r="O18" s="531"/>
      <c r="P18" s="531"/>
      <c r="Q18" s="531"/>
      <c r="R18" s="531"/>
      <c r="S18" s="531"/>
    </row>
    <row r="19" spans="1:19" ht="18" customHeight="1">
      <c r="A19" s="169"/>
      <c r="B19" s="172"/>
      <c r="C19" s="173"/>
      <c r="D19" s="172"/>
      <c r="E19" s="172"/>
      <c r="F19" s="172"/>
      <c r="G19" s="172"/>
      <c r="H19" s="172"/>
      <c r="I19" s="172"/>
      <c r="J19" s="172"/>
      <c r="K19" s="172"/>
      <c r="L19" s="172"/>
      <c r="M19" s="172"/>
      <c r="N19" s="172"/>
      <c r="O19" s="172"/>
      <c r="P19" s="172"/>
      <c r="Q19" s="172"/>
      <c r="R19" s="172"/>
      <c r="S19" s="172"/>
    </row>
    <row r="20" spans="1:19" ht="29.25" customHeight="1">
      <c r="A20" s="169" t="s">
        <v>378</v>
      </c>
      <c r="B20" s="532" t="s">
        <v>377</v>
      </c>
      <c r="C20" s="532"/>
      <c r="D20" s="532"/>
      <c r="E20" s="532"/>
      <c r="F20" s="532"/>
      <c r="G20" s="532"/>
      <c r="H20" s="532"/>
      <c r="I20" s="532"/>
      <c r="J20" s="532"/>
      <c r="K20" s="532"/>
      <c r="L20" s="532"/>
      <c r="M20" s="532"/>
      <c r="N20" s="532"/>
      <c r="O20" s="532"/>
      <c r="P20" s="532"/>
      <c r="Q20" s="532"/>
      <c r="R20" s="532"/>
      <c r="S20" s="532"/>
    </row>
    <row r="21" spans="1:19" ht="18" customHeight="1">
      <c r="C21" s="166" t="s">
        <v>376</v>
      </c>
    </row>
    <row r="22" spans="1:19" ht="27.75" customHeight="1">
      <c r="N22" s="171" t="s">
        <v>375</v>
      </c>
    </row>
    <row r="23" spans="1:19" ht="11.25" customHeight="1"/>
    <row r="24" spans="1:19" ht="18" customHeight="1">
      <c r="A24" s="169"/>
      <c r="B24" s="167"/>
      <c r="C24" s="168"/>
      <c r="D24" s="167"/>
      <c r="E24" s="167"/>
      <c r="F24" s="167"/>
      <c r="G24" s="167"/>
      <c r="H24" s="167"/>
      <c r="I24" s="167"/>
      <c r="J24" s="167"/>
      <c r="K24" s="167"/>
      <c r="L24" s="167"/>
      <c r="M24" s="167"/>
      <c r="N24" s="167"/>
      <c r="O24" s="167"/>
      <c r="P24" s="167"/>
      <c r="Q24" s="167"/>
      <c r="R24" s="167"/>
      <c r="S24" s="167"/>
    </row>
    <row r="25" spans="1:19" ht="18" customHeight="1">
      <c r="A25" s="169"/>
      <c r="B25" s="167"/>
      <c r="D25" s="167"/>
      <c r="E25" s="167"/>
      <c r="F25" s="167"/>
      <c r="G25" s="167"/>
      <c r="H25" s="167"/>
      <c r="I25" s="167"/>
      <c r="J25" s="167"/>
      <c r="K25" s="167"/>
      <c r="L25" s="167"/>
      <c r="M25" s="167"/>
      <c r="N25" s="167"/>
      <c r="O25" s="167"/>
      <c r="P25" s="167"/>
      <c r="Q25" s="167"/>
      <c r="R25" s="167"/>
      <c r="S25" s="167"/>
    </row>
    <row r="26" spans="1:19" ht="18" customHeight="1">
      <c r="A26" s="169" t="s">
        <v>374</v>
      </c>
      <c r="B26" s="532" t="s">
        <v>723</v>
      </c>
      <c r="C26" s="532"/>
      <c r="D26" s="532"/>
      <c r="E26" s="532"/>
      <c r="F26" s="532"/>
      <c r="G26" s="532"/>
      <c r="H26" s="532"/>
      <c r="I26" s="532"/>
      <c r="J26" s="532"/>
      <c r="K26" s="532"/>
      <c r="L26" s="532"/>
      <c r="M26" s="532"/>
      <c r="N26" s="532"/>
      <c r="O26" s="532"/>
      <c r="P26" s="532"/>
      <c r="Q26" s="532"/>
      <c r="R26" s="532"/>
      <c r="S26" s="532"/>
    </row>
    <row r="27" spans="1:19" ht="18" customHeight="1">
      <c r="A27" s="169"/>
      <c r="B27" s="532"/>
      <c r="C27" s="532"/>
      <c r="D27" s="532"/>
      <c r="E27" s="532"/>
      <c r="F27" s="532"/>
      <c r="G27" s="532"/>
      <c r="H27" s="532"/>
      <c r="I27" s="532"/>
      <c r="J27" s="532"/>
      <c r="K27" s="532"/>
      <c r="L27" s="532"/>
      <c r="M27" s="532"/>
      <c r="N27" s="532"/>
      <c r="O27" s="532"/>
      <c r="P27" s="532"/>
      <c r="Q27" s="532"/>
      <c r="R27" s="532"/>
      <c r="S27" s="532"/>
    </row>
    <row r="28" spans="1:19" ht="18" customHeight="1">
      <c r="A28" s="169"/>
      <c r="B28" s="167"/>
      <c r="C28" s="168"/>
      <c r="D28" s="167"/>
      <c r="E28" s="167"/>
      <c r="F28" s="167"/>
      <c r="G28" s="167"/>
      <c r="H28" s="167"/>
      <c r="I28" s="167"/>
      <c r="J28" s="167"/>
      <c r="K28" s="167"/>
      <c r="L28" s="167"/>
      <c r="M28" s="167"/>
      <c r="N28" s="167"/>
      <c r="O28" s="167"/>
      <c r="P28" s="167"/>
      <c r="Q28" s="167"/>
      <c r="R28" s="167"/>
      <c r="S28" s="167"/>
    </row>
    <row r="29" spans="1:19" ht="18" customHeight="1">
      <c r="A29" s="169"/>
      <c r="B29" s="167"/>
      <c r="C29" s="170"/>
      <c r="D29" s="167"/>
      <c r="E29" s="167"/>
      <c r="F29" s="167"/>
      <c r="G29" s="167"/>
      <c r="H29" s="167"/>
      <c r="I29" s="167"/>
      <c r="J29" s="167"/>
      <c r="K29" s="167"/>
      <c r="L29" s="167"/>
      <c r="M29" s="167"/>
      <c r="N29" s="167"/>
      <c r="O29" s="167"/>
      <c r="P29" s="167"/>
      <c r="Q29" s="167"/>
      <c r="R29" s="167"/>
      <c r="S29" s="167"/>
    </row>
    <row r="30" spans="1:19" ht="18" customHeight="1">
      <c r="A30" s="169"/>
      <c r="B30" s="167"/>
      <c r="C30" s="168"/>
      <c r="D30" s="167"/>
      <c r="E30" s="167"/>
      <c r="F30" s="167"/>
      <c r="G30" s="167"/>
      <c r="H30" s="167"/>
      <c r="I30" s="167"/>
      <c r="J30" s="167"/>
      <c r="K30" s="167"/>
      <c r="L30" s="167"/>
      <c r="M30" s="167"/>
      <c r="N30" s="167"/>
      <c r="O30" s="167"/>
      <c r="P30" s="167"/>
      <c r="Q30" s="167"/>
      <c r="R30" s="167"/>
      <c r="S30" s="167"/>
    </row>
    <row r="31" spans="1:19" ht="18" customHeight="1">
      <c r="A31" s="169"/>
      <c r="B31" s="167"/>
      <c r="C31" s="170"/>
      <c r="D31" s="167"/>
      <c r="E31" s="167"/>
      <c r="F31" s="167"/>
      <c r="G31" s="167"/>
      <c r="H31" s="167"/>
      <c r="I31" s="167"/>
      <c r="J31" s="167"/>
      <c r="K31" s="167"/>
      <c r="L31" s="167"/>
      <c r="M31" s="167"/>
      <c r="N31" s="167"/>
      <c r="O31" s="167"/>
      <c r="P31" s="167"/>
      <c r="Q31" s="167"/>
      <c r="R31" s="167"/>
      <c r="S31" s="167"/>
    </row>
    <row r="32" spans="1:19" ht="24" customHeight="1">
      <c r="A32" s="169"/>
      <c r="B32" s="167"/>
      <c r="C32" s="168"/>
      <c r="D32" s="167"/>
      <c r="E32" s="167"/>
      <c r="F32" s="167"/>
      <c r="G32" s="167"/>
      <c r="H32" s="167"/>
      <c r="I32" s="167"/>
      <c r="J32" s="167"/>
      <c r="K32" s="167"/>
      <c r="L32" s="167"/>
      <c r="M32" s="167"/>
      <c r="N32" s="167"/>
      <c r="O32" s="167"/>
      <c r="P32" s="167"/>
      <c r="Q32" s="167"/>
      <c r="R32" s="167"/>
      <c r="S32" s="167"/>
    </row>
    <row r="33" spans="1:19" ht="18" customHeight="1">
      <c r="A33" s="169" t="s">
        <v>373</v>
      </c>
      <c r="B33" s="532" t="s">
        <v>372</v>
      </c>
      <c r="C33" s="532"/>
      <c r="D33" s="532"/>
      <c r="E33" s="532"/>
      <c r="F33" s="532"/>
      <c r="G33" s="532"/>
      <c r="H33" s="532"/>
      <c r="I33" s="532"/>
      <c r="J33" s="532"/>
      <c r="K33" s="532"/>
      <c r="L33" s="532"/>
      <c r="M33" s="532"/>
      <c r="N33" s="532"/>
      <c r="O33" s="532"/>
      <c r="P33" s="532"/>
      <c r="Q33" s="532"/>
      <c r="R33" s="532"/>
      <c r="S33" s="532"/>
    </row>
    <row r="34" spans="1:19" ht="18" customHeight="1">
      <c r="A34" s="169"/>
      <c r="B34" s="532"/>
      <c r="C34" s="532"/>
      <c r="D34" s="532"/>
      <c r="E34" s="532"/>
      <c r="F34" s="532"/>
      <c r="G34" s="532"/>
      <c r="H34" s="532"/>
      <c r="I34" s="532"/>
      <c r="J34" s="532"/>
      <c r="K34" s="532"/>
      <c r="L34" s="532"/>
      <c r="M34" s="532"/>
      <c r="N34" s="532"/>
      <c r="O34" s="532"/>
      <c r="P34" s="532"/>
      <c r="Q34" s="532"/>
      <c r="R34" s="532"/>
      <c r="S34" s="532"/>
    </row>
    <row r="35" spans="1:19" ht="18" customHeight="1">
      <c r="A35" s="169"/>
      <c r="B35" s="167"/>
      <c r="C35" s="168" t="s">
        <v>662</v>
      </c>
      <c r="D35" s="167">
        <v>30</v>
      </c>
      <c r="E35" s="167" t="s">
        <v>371</v>
      </c>
      <c r="F35" s="167">
        <v>11</v>
      </c>
      <c r="G35" s="167" t="s">
        <v>370</v>
      </c>
      <c r="H35" s="167">
        <v>1</v>
      </c>
      <c r="I35" s="167" t="s">
        <v>369</v>
      </c>
      <c r="J35" s="167"/>
      <c r="K35" s="167"/>
      <c r="L35" s="167"/>
      <c r="M35" s="167"/>
      <c r="N35" s="167"/>
      <c r="O35" s="167"/>
      <c r="P35" s="167"/>
      <c r="Q35" s="167"/>
      <c r="R35" s="167"/>
      <c r="S35" s="167"/>
    </row>
    <row r="36" spans="1:19" ht="24"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68"/>
      <c r="D37" s="167"/>
      <c r="E37" s="167"/>
      <c r="F37" s="167"/>
      <c r="G37" s="167"/>
      <c r="H37" s="167"/>
      <c r="I37" s="167"/>
      <c r="J37" s="167"/>
      <c r="K37" s="167"/>
      <c r="L37" s="167"/>
      <c r="M37" s="167"/>
      <c r="N37" s="167"/>
      <c r="O37" s="167"/>
      <c r="P37" s="167"/>
      <c r="Q37" s="167"/>
      <c r="R37" s="167"/>
      <c r="S37" s="167"/>
    </row>
    <row r="38" spans="1:19" ht="18"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51" spans="1:17" ht="18" customHeight="1">
      <c r="J51" s="165" ph="1"/>
    </row>
    <row r="53" spans="1:17" ht="18" customHeight="1">
      <c r="A53" s="165" ph="1"/>
      <c r="B53" s="165" ph="1"/>
      <c r="C53" s="166" ph="1"/>
      <c r="D53" s="165" ph="1"/>
      <c r="J53" s="165" ph="1"/>
      <c r="K53" s="165" ph="1"/>
      <c r="L53" s="165" ph="1"/>
      <c r="M53" s="165" ph="1"/>
      <c r="N53" s="165" ph="1"/>
      <c r="O53" s="165" ph="1"/>
      <c r="P53" s="165" ph="1"/>
      <c r="Q53" s="165" ph="1"/>
    </row>
    <row r="54" spans="1:17" ht="18" customHeight="1">
      <c r="A54" s="165" ph="1"/>
      <c r="B54" s="165" ph="1"/>
      <c r="C54" s="166" ph="1"/>
      <c r="D54" s="165" ph="1"/>
    </row>
    <row r="55" spans="1:17" ht="18" customHeight="1">
      <c r="A55" s="165" ph="1"/>
      <c r="B55" s="165" ph="1"/>
      <c r="C55" s="166" ph="1"/>
      <c r="D55" s="165" ph="1"/>
      <c r="J55" s="165" ph="1"/>
      <c r="K55" s="165" ph="1"/>
      <c r="L55" s="165" ph="1"/>
      <c r="M55" s="165" ph="1"/>
      <c r="N55" s="165" ph="1"/>
      <c r="O55" s="165" ph="1"/>
      <c r="P55" s="165" ph="1"/>
      <c r="Q55" s="165" ph="1"/>
    </row>
    <row r="56" spans="1:17" ht="18" customHeight="1">
      <c r="A56" s="165" ph="1"/>
      <c r="B56" s="165" ph="1"/>
      <c r="C56" s="166" ph="1"/>
      <c r="D56" s="165" ph="1"/>
    </row>
    <row r="57" spans="1:17" ht="18" customHeight="1">
      <c r="A57" s="165" ph="1"/>
      <c r="B57" s="165" ph="1"/>
      <c r="C57" s="166" ph="1"/>
      <c r="D57" s="165" ph="1"/>
      <c r="J57" s="165" ph="1"/>
      <c r="K57" s="165" ph="1"/>
      <c r="L57" s="165" ph="1"/>
      <c r="M57" s="165" ph="1"/>
      <c r="N57" s="165" ph="1"/>
      <c r="O57" s="165" ph="1"/>
      <c r="P57" s="165" ph="1"/>
      <c r="Q57" s="165" ph="1"/>
    </row>
    <row r="58" spans="1:17" ht="18" customHeight="1">
      <c r="A58" s="165" ph="1"/>
      <c r="B58" s="165" ph="1"/>
      <c r="C58" s="166" ph="1"/>
      <c r="D58" s="165" ph="1"/>
    </row>
    <row r="59" spans="1:17" ht="18" customHeight="1">
      <c r="A59" s="165" ph="1"/>
      <c r="B59" s="165" ph="1"/>
      <c r="C59" s="166" ph="1"/>
      <c r="D59" s="165" ph="1"/>
      <c r="J59" s="165" ph="1"/>
      <c r="K59" s="165" ph="1"/>
      <c r="L59" s="165" ph="1"/>
      <c r="M59" s="165" ph="1"/>
      <c r="N59" s="165" ph="1"/>
      <c r="O59" s="165" ph="1"/>
      <c r="P59" s="165" ph="1"/>
      <c r="Q59" s="165" ph="1"/>
    </row>
    <row r="60" spans="1:17" ht="18" customHeight="1">
      <c r="A60" s="165" ph="1"/>
      <c r="B60" s="165" ph="1"/>
      <c r="C60" s="166" ph="1"/>
      <c r="D60" s="165" ph="1"/>
    </row>
    <row r="61" spans="1:17" ht="18" customHeight="1">
      <c r="A61" s="165" ph="1"/>
      <c r="B61" s="165" ph="1"/>
      <c r="C61" s="166" ph="1"/>
      <c r="D61" s="165" ph="1"/>
      <c r="J61" s="165" ph="1"/>
      <c r="K61" s="165" ph="1"/>
      <c r="L61" s="165" ph="1"/>
      <c r="M61" s="165" ph="1"/>
      <c r="N61" s="165" ph="1"/>
      <c r="O61" s="165" ph="1"/>
      <c r="P61" s="165" ph="1"/>
      <c r="Q61" s="165" ph="1"/>
    </row>
    <row r="62" spans="1:17" ht="18" customHeight="1">
      <c r="A62" s="165" ph="1"/>
      <c r="B62" s="165" ph="1"/>
      <c r="C62" s="166" ph="1"/>
      <c r="D62" s="165" ph="1"/>
    </row>
    <row r="63" spans="1:17" ht="18" customHeight="1">
      <c r="A63" s="165" ph="1"/>
      <c r="B63" s="165" ph="1"/>
      <c r="C63" s="166" ph="1"/>
      <c r="D63" s="165" ph="1"/>
      <c r="J63" s="165" ph="1"/>
      <c r="K63" s="165" ph="1"/>
      <c r="L63" s="165" ph="1"/>
      <c r="M63" s="165" ph="1"/>
      <c r="N63" s="165" ph="1"/>
      <c r="O63" s="165" ph="1"/>
      <c r="P63" s="165" ph="1"/>
      <c r="Q63" s="165" ph="1"/>
    </row>
    <row r="64" spans="1:17"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row>
    <row r="86" spans="1:17" ht="18" customHeight="1">
      <c r="A86" s="165" ph="1"/>
      <c r="B86" s="165" ph="1"/>
      <c r="C86" s="166" ph="1"/>
      <c r="D86" s="165"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453</v>
      </c>
      <c r="B1" s="144"/>
    </row>
    <row r="3" spans="1:19" ht="18" customHeight="1">
      <c r="A3" s="530" t="s">
        <v>452</v>
      </c>
      <c r="B3" s="530"/>
      <c r="C3" s="530"/>
      <c r="D3" s="530"/>
      <c r="E3" s="530"/>
      <c r="F3" s="530"/>
      <c r="G3" s="530"/>
      <c r="H3" s="530"/>
      <c r="I3" s="530"/>
      <c r="J3" s="530"/>
      <c r="K3" s="530"/>
      <c r="L3" s="530"/>
      <c r="M3" s="530"/>
      <c r="N3" s="530"/>
      <c r="O3" s="530"/>
      <c r="P3" s="530"/>
      <c r="Q3" s="530"/>
      <c r="R3" s="530"/>
      <c r="S3" s="530"/>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383</v>
      </c>
    </row>
    <row r="6" spans="1:19" ht="18" customHeight="1">
      <c r="A6" s="181" t="s">
        <v>382</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451</v>
      </c>
      <c r="K7" s="182"/>
      <c r="L7" s="533"/>
      <c r="M7" s="533"/>
      <c r="N7" s="533"/>
      <c r="O7" s="533"/>
      <c r="P7" s="533"/>
      <c r="Q7" s="533"/>
      <c r="R7" s="533"/>
      <c r="S7" s="533"/>
    </row>
    <row r="8" spans="1:19" ht="18" customHeight="1">
      <c r="A8" s="185"/>
      <c r="B8" s="185"/>
      <c r="C8" s="185"/>
      <c r="D8" s="185"/>
      <c r="E8" s="185"/>
      <c r="F8" s="185"/>
      <c r="G8" s="185"/>
      <c r="H8" s="181"/>
      <c r="I8" s="181"/>
      <c r="J8" s="181" t="s">
        <v>450</v>
      </c>
      <c r="K8" s="182"/>
      <c r="L8" s="533"/>
      <c r="M8" s="533"/>
      <c r="N8" s="533"/>
      <c r="O8" s="533"/>
      <c r="P8" s="533"/>
      <c r="Q8" s="533"/>
      <c r="R8" s="533"/>
      <c r="S8" s="533"/>
    </row>
    <row r="9" spans="1:19" ht="18" customHeight="1">
      <c r="A9" s="185"/>
      <c r="B9" s="185"/>
      <c r="C9" s="185"/>
      <c r="D9" s="185"/>
      <c r="E9" s="185"/>
      <c r="F9" s="185"/>
      <c r="G9" s="185"/>
      <c r="H9" s="181"/>
      <c r="I9" s="181"/>
      <c r="J9" s="181" t="s">
        <v>449</v>
      </c>
      <c r="R9" s="184" t="s">
        <v>309</v>
      </c>
      <c r="S9" s="133"/>
    </row>
    <row r="10" spans="1:19" ht="18" customHeight="1">
      <c r="A10" s="133"/>
      <c r="B10" s="133"/>
      <c r="C10" s="179"/>
      <c r="D10" s="133"/>
      <c r="E10" s="133"/>
      <c r="F10" s="133"/>
      <c r="G10" s="133"/>
      <c r="H10" s="183"/>
      <c r="I10" s="183"/>
      <c r="K10" s="182"/>
      <c r="L10" s="534"/>
      <c r="M10" s="534"/>
      <c r="N10" s="534"/>
      <c r="O10" s="534"/>
      <c r="P10" s="534"/>
      <c r="Q10" s="534"/>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35" t="s">
        <v>448</v>
      </c>
      <c r="B13" s="535"/>
      <c r="C13" s="535"/>
      <c r="D13" s="535"/>
      <c r="E13" s="535"/>
      <c r="F13" s="535"/>
      <c r="G13" s="535"/>
      <c r="H13" s="535"/>
      <c r="I13" s="535"/>
      <c r="J13" s="535"/>
      <c r="K13" s="535"/>
      <c r="L13" s="535"/>
      <c r="M13" s="535"/>
      <c r="N13" s="535"/>
      <c r="O13" s="535"/>
      <c r="P13" s="535"/>
      <c r="Q13" s="535"/>
      <c r="R13" s="535"/>
      <c r="S13" s="535"/>
    </row>
    <row r="14" spans="1:19" ht="18" customHeight="1">
      <c r="A14" s="535"/>
      <c r="B14" s="535"/>
      <c r="C14" s="535"/>
      <c r="D14" s="535"/>
      <c r="E14" s="535"/>
      <c r="F14" s="535"/>
      <c r="G14" s="535"/>
      <c r="H14" s="535"/>
      <c r="I14" s="535"/>
      <c r="J14" s="535"/>
      <c r="K14" s="535"/>
      <c r="L14" s="535"/>
      <c r="M14" s="535"/>
      <c r="N14" s="535"/>
      <c r="O14" s="535"/>
      <c r="P14" s="535"/>
      <c r="Q14" s="535"/>
      <c r="R14" s="535"/>
      <c r="S14" s="535"/>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537" t="s">
        <v>447</v>
      </c>
      <c r="C18" s="537"/>
      <c r="D18" s="537"/>
      <c r="E18" s="537"/>
      <c r="F18" s="537"/>
      <c r="G18" s="537"/>
      <c r="H18" s="537"/>
      <c r="I18" s="537"/>
      <c r="J18" s="537"/>
      <c r="K18" s="537"/>
      <c r="L18" s="537"/>
      <c r="M18" s="537"/>
      <c r="N18" s="537"/>
      <c r="O18" s="537"/>
      <c r="P18" s="537"/>
      <c r="Q18" s="537"/>
      <c r="R18" s="537"/>
      <c r="S18" s="537"/>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538" t="s">
        <v>446</v>
      </c>
      <c r="C20" s="539"/>
      <c r="D20" s="539"/>
      <c r="E20" s="539"/>
      <c r="F20" s="539"/>
      <c r="G20" s="539"/>
      <c r="H20" s="539"/>
      <c r="I20" s="539"/>
      <c r="J20" s="539"/>
      <c r="K20" s="539"/>
      <c r="L20" s="539"/>
      <c r="M20" s="539"/>
      <c r="N20" s="539"/>
      <c r="O20" s="539"/>
      <c r="P20" s="539"/>
      <c r="Q20" s="539"/>
      <c r="R20" s="539"/>
      <c r="S20" s="540"/>
      <c r="T20" s="197"/>
    </row>
    <row r="21" spans="1:20" ht="27.75" customHeight="1">
      <c r="A21" s="215"/>
      <c r="B21" s="217"/>
      <c r="C21" s="541" t="s">
        <v>445</v>
      </c>
      <c r="D21" s="541"/>
      <c r="E21" s="541"/>
      <c r="F21" s="541"/>
      <c r="G21" s="541"/>
      <c r="H21" s="541"/>
      <c r="I21" s="541"/>
      <c r="J21" s="541"/>
      <c r="K21" s="541"/>
      <c r="L21" s="541"/>
      <c r="M21" s="541"/>
      <c r="N21" s="541"/>
      <c r="O21" s="541"/>
      <c r="P21" s="541"/>
      <c r="Q21" s="541"/>
      <c r="R21" s="541"/>
      <c r="S21" s="542"/>
      <c r="T21" s="197"/>
    </row>
    <row r="22" spans="1:20" ht="27.75" customHeight="1">
      <c r="A22" s="215"/>
      <c r="B22" s="217"/>
      <c r="C22" s="541" t="s">
        <v>444</v>
      </c>
      <c r="D22" s="541"/>
      <c r="E22" s="541"/>
      <c r="F22" s="541"/>
      <c r="G22" s="541"/>
      <c r="H22" s="541"/>
      <c r="I22" s="541"/>
      <c r="J22" s="541"/>
      <c r="K22" s="541"/>
      <c r="L22" s="541"/>
      <c r="M22" s="541"/>
      <c r="N22" s="541"/>
      <c r="O22" s="541"/>
      <c r="P22" s="541"/>
      <c r="Q22" s="541"/>
      <c r="R22" s="541"/>
      <c r="S22" s="542"/>
      <c r="T22" s="197"/>
    </row>
    <row r="23" spans="1:20" ht="27.75" customHeight="1" thickBot="1">
      <c r="A23" s="215"/>
      <c r="B23" s="216"/>
      <c r="C23" s="543" t="s">
        <v>443</v>
      </c>
      <c r="D23" s="543"/>
      <c r="E23" s="543"/>
      <c r="F23" s="543"/>
      <c r="G23" s="543"/>
      <c r="H23" s="543"/>
      <c r="I23" s="543"/>
      <c r="J23" s="543"/>
      <c r="K23" s="543"/>
      <c r="L23" s="543"/>
      <c r="M23" s="543"/>
      <c r="N23" s="543"/>
      <c r="O23" s="543"/>
      <c r="P23" s="543"/>
      <c r="Q23" s="543"/>
      <c r="R23" s="543"/>
      <c r="S23" s="544"/>
      <c r="T23" s="197"/>
    </row>
    <row r="24" spans="1:20" ht="9.75" customHeight="1">
      <c r="A24" s="215"/>
      <c r="B24" s="172"/>
      <c r="C24" s="173"/>
      <c r="D24" s="172"/>
      <c r="E24" s="172"/>
      <c r="F24" s="172"/>
      <c r="G24" s="172"/>
      <c r="H24" s="172"/>
      <c r="I24" s="172"/>
      <c r="J24" s="172"/>
      <c r="K24" s="172"/>
      <c r="L24" s="172"/>
      <c r="M24" s="172"/>
      <c r="N24" s="172"/>
      <c r="O24" s="172"/>
      <c r="P24" s="172"/>
      <c r="Q24" s="172"/>
      <c r="R24" s="172"/>
      <c r="S24" s="172"/>
      <c r="T24" s="197"/>
    </row>
    <row r="25" spans="1:20" ht="40.5" customHeight="1">
      <c r="A25" s="215" t="s">
        <v>378</v>
      </c>
      <c r="B25" s="532" t="s">
        <v>442</v>
      </c>
      <c r="C25" s="532"/>
      <c r="D25" s="532"/>
      <c r="E25" s="532"/>
      <c r="F25" s="532"/>
      <c r="G25" s="532"/>
      <c r="H25" s="532"/>
      <c r="I25" s="532"/>
      <c r="J25" s="532"/>
      <c r="K25" s="532"/>
      <c r="L25" s="532"/>
      <c r="M25" s="532"/>
      <c r="N25" s="532"/>
      <c r="O25" s="532"/>
      <c r="P25" s="532"/>
      <c r="Q25" s="532"/>
      <c r="R25" s="532"/>
      <c r="S25" s="532"/>
      <c r="T25" s="197"/>
    </row>
    <row r="26" spans="1:20" ht="13.5" customHeight="1">
      <c r="A26" s="200"/>
      <c r="B26" s="198"/>
      <c r="C26" s="170"/>
      <c r="D26" s="198"/>
      <c r="E26" s="198"/>
      <c r="F26" s="198"/>
      <c r="G26" s="198"/>
      <c r="H26" s="198"/>
      <c r="I26" s="198"/>
      <c r="J26" s="198"/>
      <c r="K26" s="198"/>
      <c r="L26" s="198"/>
      <c r="M26" s="198"/>
      <c r="N26" s="198"/>
      <c r="O26" s="198"/>
      <c r="P26" s="198"/>
      <c r="Q26" s="198"/>
      <c r="R26" s="198"/>
      <c r="S26" s="198"/>
      <c r="T26" s="197"/>
    </row>
    <row r="27" spans="1:20" ht="16.5" customHeight="1">
      <c r="A27" s="215"/>
      <c r="B27" s="198"/>
      <c r="C27" s="214" t="s">
        <v>441</v>
      </c>
      <c r="D27" s="203"/>
      <c r="E27" s="203"/>
      <c r="F27" s="203"/>
      <c r="G27" s="203"/>
      <c r="H27" s="203"/>
      <c r="I27" s="203"/>
      <c r="J27" s="203"/>
      <c r="K27" s="203"/>
      <c r="L27" s="203"/>
      <c r="M27" s="203"/>
      <c r="N27" s="203"/>
      <c r="O27" s="203"/>
      <c r="P27" s="203"/>
      <c r="Q27" s="198"/>
      <c r="R27" s="198"/>
      <c r="S27" s="198"/>
      <c r="T27" s="197"/>
    </row>
    <row r="28" spans="1:20" ht="11.25" customHeight="1" thickBot="1">
      <c r="A28" s="196"/>
      <c r="B28" s="194"/>
      <c r="C28" s="213"/>
      <c r="D28" s="194"/>
      <c r="E28" s="194"/>
      <c r="F28" s="194"/>
      <c r="G28" s="194"/>
      <c r="H28" s="194"/>
      <c r="I28" s="194"/>
      <c r="J28" s="194"/>
      <c r="K28" s="194"/>
      <c r="L28" s="194"/>
      <c r="M28" s="194"/>
      <c r="N28" s="194"/>
      <c r="O28" s="194"/>
      <c r="P28" s="194"/>
      <c r="Q28" s="194"/>
      <c r="R28" s="194"/>
      <c r="S28" s="194"/>
      <c r="T28" s="193"/>
    </row>
    <row r="29" spans="1:20" ht="11.25" customHeight="1"/>
    <row r="30" spans="1:20" ht="18" customHeight="1">
      <c r="A30" s="169"/>
      <c r="B30" s="167"/>
      <c r="D30" s="167"/>
      <c r="E30" s="167"/>
      <c r="F30" s="167"/>
      <c r="G30" s="167"/>
      <c r="H30" s="167"/>
      <c r="I30" s="167"/>
      <c r="J30" s="167"/>
      <c r="K30" s="167"/>
      <c r="L30" s="167"/>
      <c r="M30" s="167"/>
      <c r="N30" s="167"/>
      <c r="O30" s="167"/>
      <c r="P30" s="167"/>
      <c r="Q30" s="167"/>
      <c r="R30" s="167"/>
      <c r="S30" s="167"/>
    </row>
    <row r="31" spans="1:20" ht="18" customHeight="1">
      <c r="A31" s="169" t="s">
        <v>374</v>
      </c>
      <c r="B31" s="532" t="s">
        <v>440</v>
      </c>
      <c r="C31" s="532"/>
      <c r="D31" s="532"/>
      <c r="E31" s="532"/>
      <c r="F31" s="532"/>
      <c r="G31" s="532"/>
      <c r="H31" s="532"/>
      <c r="I31" s="532"/>
      <c r="J31" s="532"/>
      <c r="K31" s="532"/>
      <c r="L31" s="532"/>
      <c r="M31" s="532"/>
      <c r="N31" s="532"/>
      <c r="O31" s="532"/>
      <c r="P31" s="532"/>
      <c r="Q31" s="532"/>
      <c r="R31" s="532"/>
      <c r="S31" s="532"/>
    </row>
    <row r="32" spans="1:20" ht="18" customHeight="1">
      <c r="A32" s="169"/>
      <c r="B32" s="532"/>
      <c r="C32" s="532"/>
      <c r="D32" s="532"/>
      <c r="E32" s="532"/>
      <c r="F32" s="532"/>
      <c r="G32" s="532"/>
      <c r="H32" s="532"/>
      <c r="I32" s="532"/>
      <c r="J32" s="532"/>
      <c r="K32" s="532"/>
      <c r="L32" s="532"/>
      <c r="M32" s="532"/>
      <c r="N32" s="532"/>
      <c r="O32" s="532"/>
      <c r="P32" s="532"/>
      <c r="Q32" s="532"/>
      <c r="R32" s="532"/>
      <c r="S32" s="532"/>
    </row>
    <row r="33" spans="1:19" ht="18" customHeight="1">
      <c r="A33" s="169"/>
      <c r="B33" s="167"/>
      <c r="C33" s="168"/>
      <c r="D33" s="167"/>
      <c r="E33" s="167"/>
      <c r="F33" s="167"/>
      <c r="G33" s="167"/>
      <c r="H33" s="167"/>
      <c r="I33" s="167"/>
      <c r="J33" s="167"/>
      <c r="K33" s="167"/>
      <c r="L33" s="167"/>
      <c r="M33" s="167"/>
      <c r="N33" s="167"/>
      <c r="O33" s="167"/>
      <c r="P33" s="167"/>
      <c r="Q33" s="167"/>
      <c r="R33" s="167"/>
      <c r="S33" s="167"/>
    </row>
    <row r="34" spans="1:19" ht="18" customHeight="1">
      <c r="A34" s="169"/>
      <c r="B34" s="167"/>
      <c r="C34" s="170"/>
      <c r="D34" s="167"/>
      <c r="E34" s="167"/>
      <c r="F34" s="167"/>
      <c r="G34" s="167"/>
      <c r="H34" s="167"/>
      <c r="I34" s="167"/>
      <c r="J34" s="167"/>
      <c r="K34" s="167"/>
      <c r="L34" s="167"/>
      <c r="M34" s="167"/>
      <c r="N34" s="167"/>
      <c r="O34" s="167"/>
      <c r="P34" s="167"/>
      <c r="Q34" s="167"/>
      <c r="R34" s="167"/>
      <c r="S34" s="167"/>
    </row>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24" customHeight="1">
      <c r="A37" s="169"/>
      <c r="B37" s="167"/>
      <c r="C37" s="168"/>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6" spans="1:19" ht="18" customHeight="1">
      <c r="J56" s="165" ph="1"/>
    </row>
    <row r="58" spans="1:19" ht="18" customHeight="1">
      <c r="A58" s="165" ph="1"/>
      <c r="B58" s="165" ph="1"/>
      <c r="C58" s="166" ph="1"/>
      <c r="D58" s="165" ph="1"/>
      <c r="J58" s="165" ph="1"/>
      <c r="K58" s="165" ph="1"/>
      <c r="L58" s="165" ph="1"/>
      <c r="M58" s="165" ph="1"/>
      <c r="N58" s="165" ph="1"/>
      <c r="O58" s="165" ph="1"/>
      <c r="P58" s="165" ph="1"/>
      <c r="Q58" s="165" ph="1"/>
    </row>
    <row r="59" spans="1:19" ht="18" customHeight="1">
      <c r="A59" s="165" ph="1"/>
      <c r="B59" s="165" ph="1"/>
      <c r="C59" s="166" ph="1"/>
      <c r="D59"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c r="J101" s="165" ph="1"/>
      <c r="K101" s="165" ph="1"/>
      <c r="L101" s="165" ph="1"/>
      <c r="M101" s="165" ph="1"/>
      <c r="N101" s="165" ph="1"/>
      <c r="O101" s="165" ph="1"/>
      <c r="P101" s="165" ph="1"/>
      <c r="Q101" s="165"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01"/>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467</v>
      </c>
      <c r="B1" s="144"/>
    </row>
    <row r="3" spans="1:19" ht="18" customHeight="1">
      <c r="A3" s="530" t="s">
        <v>452</v>
      </c>
      <c r="B3" s="530"/>
      <c r="C3" s="530"/>
      <c r="D3" s="530"/>
      <c r="E3" s="530"/>
      <c r="F3" s="530"/>
      <c r="G3" s="530"/>
      <c r="H3" s="530"/>
      <c r="I3" s="530"/>
      <c r="J3" s="530"/>
      <c r="K3" s="530"/>
      <c r="L3" s="530"/>
      <c r="M3" s="530"/>
      <c r="N3" s="530"/>
      <c r="O3" s="530"/>
      <c r="P3" s="530"/>
      <c r="Q3" s="530"/>
      <c r="R3" s="530"/>
      <c r="S3" s="530"/>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383</v>
      </c>
    </row>
    <row r="6" spans="1:19" ht="18" customHeight="1">
      <c r="A6" s="181" t="s">
        <v>382</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451</v>
      </c>
      <c r="K7" s="182"/>
      <c r="L7" s="533"/>
      <c r="M7" s="533"/>
      <c r="N7" s="533"/>
      <c r="O7" s="533"/>
      <c r="P7" s="533"/>
      <c r="Q7" s="533"/>
      <c r="R7" s="533"/>
      <c r="S7" s="533"/>
    </row>
    <row r="8" spans="1:19" ht="18" customHeight="1">
      <c r="A8" s="185"/>
      <c r="B8" s="185"/>
      <c r="C8" s="185"/>
      <c r="D8" s="185"/>
      <c r="E8" s="185"/>
      <c r="F8" s="185"/>
      <c r="G8" s="185"/>
      <c r="H8" s="181"/>
      <c r="I8" s="181"/>
      <c r="J8" s="181" t="s">
        <v>450</v>
      </c>
      <c r="K8" s="182"/>
      <c r="L8" s="533"/>
      <c r="M8" s="533"/>
      <c r="N8" s="533"/>
      <c r="O8" s="533"/>
      <c r="P8" s="533"/>
      <c r="Q8" s="533"/>
      <c r="R8" s="533"/>
      <c r="S8" s="533"/>
    </row>
    <row r="9" spans="1:19" ht="18" customHeight="1">
      <c r="A9" s="185"/>
      <c r="B9" s="185"/>
      <c r="C9" s="185"/>
      <c r="D9" s="185"/>
      <c r="E9" s="185"/>
      <c r="F9" s="185"/>
      <c r="G9" s="185"/>
      <c r="H9" s="181"/>
      <c r="I9" s="181"/>
      <c r="J9" s="181" t="s">
        <v>449</v>
      </c>
      <c r="R9" s="184" t="s">
        <v>309</v>
      </c>
      <c r="S9" s="133"/>
    </row>
    <row r="10" spans="1:19" ht="18" customHeight="1">
      <c r="A10" s="133"/>
      <c r="B10" s="133"/>
      <c r="C10" s="179"/>
      <c r="D10" s="133"/>
      <c r="E10" s="133"/>
      <c r="F10" s="133"/>
      <c r="G10" s="133"/>
      <c r="H10" s="183"/>
      <c r="I10" s="183"/>
      <c r="K10" s="182"/>
      <c r="L10" s="534"/>
      <c r="M10" s="534"/>
      <c r="N10" s="534"/>
      <c r="O10" s="534"/>
      <c r="P10" s="534"/>
      <c r="Q10" s="534"/>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35" t="s">
        <v>448</v>
      </c>
      <c r="B13" s="535"/>
      <c r="C13" s="535"/>
      <c r="D13" s="535"/>
      <c r="E13" s="535"/>
      <c r="F13" s="535"/>
      <c r="G13" s="535"/>
      <c r="H13" s="535"/>
      <c r="I13" s="535"/>
      <c r="J13" s="535"/>
      <c r="K13" s="535"/>
      <c r="L13" s="535"/>
      <c r="M13" s="535"/>
      <c r="N13" s="535"/>
      <c r="O13" s="535"/>
      <c r="P13" s="535"/>
      <c r="Q13" s="535"/>
      <c r="R13" s="535"/>
      <c r="S13" s="535"/>
    </row>
    <row r="14" spans="1:19" ht="18" customHeight="1">
      <c r="A14" s="535"/>
      <c r="B14" s="535"/>
      <c r="C14" s="535"/>
      <c r="D14" s="535"/>
      <c r="E14" s="535"/>
      <c r="F14" s="535"/>
      <c r="G14" s="535"/>
      <c r="H14" s="535"/>
      <c r="I14" s="535"/>
      <c r="J14" s="535"/>
      <c r="K14" s="535"/>
      <c r="L14" s="535"/>
      <c r="M14" s="535"/>
      <c r="N14" s="535"/>
      <c r="O14" s="535"/>
      <c r="P14" s="535"/>
      <c r="Q14" s="535"/>
      <c r="R14" s="535"/>
      <c r="S14" s="535"/>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537" t="s">
        <v>466</v>
      </c>
      <c r="C18" s="537"/>
      <c r="D18" s="537"/>
      <c r="E18" s="537"/>
      <c r="F18" s="537"/>
      <c r="G18" s="537"/>
      <c r="H18" s="537"/>
      <c r="I18" s="537"/>
      <c r="J18" s="537"/>
      <c r="K18" s="537"/>
      <c r="L18" s="537"/>
      <c r="M18" s="537"/>
      <c r="N18" s="537"/>
      <c r="O18" s="537"/>
      <c r="P18" s="537"/>
      <c r="Q18" s="537"/>
      <c r="R18" s="537"/>
      <c r="S18" s="537"/>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538" t="s">
        <v>465</v>
      </c>
      <c r="C20" s="539"/>
      <c r="D20" s="539"/>
      <c r="E20" s="539"/>
      <c r="F20" s="539"/>
      <c r="G20" s="539"/>
      <c r="H20" s="539"/>
      <c r="I20" s="539"/>
      <c r="J20" s="539"/>
      <c r="K20" s="539"/>
      <c r="L20" s="539"/>
      <c r="M20" s="539"/>
      <c r="N20" s="539"/>
      <c r="O20" s="539"/>
      <c r="P20" s="539"/>
      <c r="Q20" s="539"/>
      <c r="R20" s="539"/>
      <c r="S20" s="540"/>
      <c r="T20" s="197"/>
    </row>
    <row r="21" spans="1:20" ht="34.5" customHeight="1">
      <c r="A21" s="215"/>
      <c r="B21" s="217"/>
      <c r="C21" s="541" t="s">
        <v>464</v>
      </c>
      <c r="D21" s="541"/>
      <c r="E21" s="541"/>
      <c r="F21" s="541"/>
      <c r="G21" s="541"/>
      <c r="H21" s="541"/>
      <c r="I21" s="541"/>
      <c r="J21" s="541"/>
      <c r="K21" s="541"/>
      <c r="L21" s="541"/>
      <c r="M21" s="541"/>
      <c r="N21" s="541"/>
      <c r="O21" s="541"/>
      <c r="P21" s="541"/>
      <c r="Q21" s="541"/>
      <c r="R21" s="541"/>
      <c r="S21" s="542"/>
      <c r="T21" s="197"/>
    </row>
    <row r="22" spans="1:20" ht="60" customHeight="1">
      <c r="A22" s="215"/>
      <c r="B22" s="217"/>
      <c r="C22" s="541" t="s">
        <v>463</v>
      </c>
      <c r="D22" s="541"/>
      <c r="E22" s="541"/>
      <c r="F22" s="541"/>
      <c r="G22" s="541"/>
      <c r="H22" s="541"/>
      <c r="I22" s="541"/>
      <c r="J22" s="541"/>
      <c r="K22" s="541"/>
      <c r="L22" s="541"/>
      <c r="M22" s="541"/>
      <c r="N22" s="541"/>
      <c r="O22" s="541"/>
      <c r="P22" s="541"/>
      <c r="Q22" s="541"/>
      <c r="R22" s="541"/>
      <c r="S22" s="542"/>
      <c r="T22" s="197"/>
    </row>
    <row r="23" spans="1:20" ht="6" customHeight="1" thickBot="1">
      <c r="A23" s="215"/>
      <c r="B23" s="216"/>
      <c r="C23" s="543"/>
      <c r="D23" s="543"/>
      <c r="E23" s="543"/>
      <c r="F23" s="543"/>
      <c r="G23" s="543"/>
      <c r="H23" s="543"/>
      <c r="I23" s="543"/>
      <c r="J23" s="543"/>
      <c r="K23" s="543"/>
      <c r="L23" s="543"/>
      <c r="M23" s="543"/>
      <c r="N23" s="543"/>
      <c r="O23" s="543"/>
      <c r="P23" s="543"/>
      <c r="Q23" s="543"/>
      <c r="R23" s="543"/>
      <c r="S23" s="544"/>
      <c r="T23" s="197"/>
    </row>
    <row r="24" spans="1:20" ht="9.75" customHeight="1">
      <c r="A24" s="215"/>
      <c r="B24" s="172"/>
      <c r="C24" s="173"/>
      <c r="D24" s="172"/>
      <c r="E24" s="172"/>
      <c r="F24" s="172"/>
      <c r="G24" s="172"/>
      <c r="H24" s="172"/>
      <c r="I24" s="172"/>
      <c r="J24" s="172"/>
      <c r="K24" s="172"/>
      <c r="L24" s="172"/>
      <c r="M24" s="172"/>
      <c r="N24" s="172"/>
      <c r="O24" s="172"/>
      <c r="P24" s="172"/>
      <c r="Q24" s="172"/>
      <c r="R24" s="172"/>
      <c r="S24" s="172"/>
      <c r="T24" s="197"/>
    </row>
    <row r="25" spans="1:20" ht="40.5" customHeight="1">
      <c r="A25" s="215" t="s">
        <v>378</v>
      </c>
      <c r="B25" s="532" t="s">
        <v>462</v>
      </c>
      <c r="C25" s="532"/>
      <c r="D25" s="532"/>
      <c r="E25" s="532"/>
      <c r="F25" s="532"/>
      <c r="G25" s="532"/>
      <c r="H25" s="532"/>
      <c r="I25" s="532"/>
      <c r="J25" s="532"/>
      <c r="K25" s="532"/>
      <c r="L25" s="532"/>
      <c r="M25" s="532"/>
      <c r="N25" s="532"/>
      <c r="O25" s="532"/>
      <c r="P25" s="532"/>
      <c r="Q25" s="532"/>
      <c r="R25" s="532"/>
      <c r="S25" s="532"/>
      <c r="T25" s="197"/>
    </row>
    <row r="26" spans="1:20" ht="13.5" customHeight="1">
      <c r="A26" s="200"/>
      <c r="B26" s="198"/>
      <c r="C26" s="170"/>
      <c r="D26" s="198"/>
      <c r="E26" s="198"/>
      <c r="F26" s="198"/>
      <c r="G26" s="198"/>
      <c r="H26" s="198"/>
      <c r="I26" s="198"/>
      <c r="J26" s="198"/>
      <c r="K26" s="198"/>
      <c r="L26" s="198"/>
      <c r="M26" s="198"/>
      <c r="N26" s="198"/>
      <c r="O26" s="198"/>
      <c r="P26" s="198"/>
      <c r="Q26" s="198"/>
      <c r="R26" s="198"/>
      <c r="S26" s="198"/>
      <c r="T26" s="197"/>
    </row>
    <row r="27" spans="1:20" ht="16.5" customHeight="1">
      <c r="A27" s="215"/>
      <c r="B27" s="198"/>
      <c r="C27" s="214" t="s">
        <v>441</v>
      </c>
      <c r="D27" s="203"/>
      <c r="E27" s="203"/>
      <c r="F27" s="203"/>
      <c r="G27" s="203"/>
      <c r="H27" s="203"/>
      <c r="I27" s="203"/>
      <c r="J27" s="203"/>
      <c r="K27" s="203"/>
      <c r="L27" s="203"/>
      <c r="M27" s="203"/>
      <c r="N27" s="203"/>
      <c r="O27" s="203"/>
      <c r="P27" s="203"/>
      <c r="Q27" s="198"/>
      <c r="R27" s="198"/>
      <c r="S27" s="198"/>
      <c r="T27" s="197"/>
    </row>
    <row r="28" spans="1:20" ht="11.25" customHeight="1" thickBot="1">
      <c r="A28" s="196"/>
      <c r="B28" s="194"/>
      <c r="C28" s="213"/>
      <c r="D28" s="194"/>
      <c r="E28" s="194"/>
      <c r="F28" s="194"/>
      <c r="G28" s="194"/>
      <c r="H28" s="194"/>
      <c r="I28" s="194"/>
      <c r="J28" s="194"/>
      <c r="K28" s="194"/>
      <c r="L28" s="194"/>
      <c r="M28" s="194"/>
      <c r="N28" s="194"/>
      <c r="O28" s="194"/>
      <c r="P28" s="194"/>
      <c r="Q28" s="194"/>
      <c r="R28" s="194"/>
      <c r="S28" s="194"/>
      <c r="T28" s="193"/>
    </row>
    <row r="29" spans="1:20" ht="11.25" customHeight="1"/>
    <row r="30" spans="1:20" ht="18" customHeight="1">
      <c r="A30" s="169"/>
      <c r="B30" s="167"/>
      <c r="D30" s="167"/>
      <c r="E30" s="167"/>
      <c r="F30" s="167"/>
      <c r="G30" s="167"/>
      <c r="H30" s="167"/>
      <c r="I30" s="167"/>
      <c r="J30" s="167"/>
      <c r="K30" s="167"/>
      <c r="L30" s="167"/>
      <c r="M30" s="167"/>
      <c r="N30" s="167"/>
      <c r="O30" s="167"/>
      <c r="P30" s="167"/>
      <c r="Q30" s="167"/>
      <c r="R30" s="167"/>
      <c r="S30" s="167"/>
    </row>
    <row r="31" spans="1:20" ht="18" customHeight="1">
      <c r="A31" s="169" t="s">
        <v>374</v>
      </c>
      <c r="B31" s="532" t="s">
        <v>440</v>
      </c>
      <c r="C31" s="532"/>
      <c r="D31" s="532"/>
      <c r="E31" s="532"/>
      <c r="F31" s="532"/>
      <c r="G31" s="532"/>
      <c r="H31" s="532"/>
      <c r="I31" s="532"/>
      <c r="J31" s="532"/>
      <c r="K31" s="532"/>
      <c r="L31" s="532"/>
      <c r="M31" s="532"/>
      <c r="N31" s="532"/>
      <c r="O31" s="532"/>
      <c r="P31" s="532"/>
      <c r="Q31" s="532"/>
      <c r="R31" s="532"/>
      <c r="S31" s="532"/>
    </row>
    <row r="32" spans="1:20" ht="18" customHeight="1">
      <c r="A32" s="169"/>
      <c r="B32" s="532"/>
      <c r="C32" s="532"/>
      <c r="D32" s="532"/>
      <c r="E32" s="532"/>
      <c r="F32" s="532"/>
      <c r="G32" s="532"/>
      <c r="H32" s="532"/>
      <c r="I32" s="532"/>
      <c r="J32" s="532"/>
      <c r="K32" s="532"/>
      <c r="L32" s="532"/>
      <c r="M32" s="532"/>
      <c r="N32" s="532"/>
      <c r="O32" s="532"/>
      <c r="P32" s="532"/>
      <c r="Q32" s="532"/>
      <c r="R32" s="532"/>
      <c r="S32" s="532"/>
    </row>
    <row r="33" spans="1:19" ht="18" customHeight="1">
      <c r="A33" s="169"/>
      <c r="B33" s="167"/>
      <c r="C33" s="168"/>
      <c r="D33" s="167"/>
      <c r="E33" s="167"/>
      <c r="F33" s="167"/>
      <c r="G33" s="167"/>
      <c r="H33" s="167"/>
      <c r="I33" s="167"/>
      <c r="J33" s="167"/>
      <c r="K33" s="167"/>
      <c r="L33" s="167"/>
      <c r="M33" s="167"/>
      <c r="N33" s="167"/>
      <c r="O33" s="167"/>
      <c r="P33" s="167"/>
      <c r="Q33" s="167"/>
      <c r="R33" s="167"/>
      <c r="S33" s="167"/>
    </row>
    <row r="34" spans="1:19" ht="18" customHeight="1">
      <c r="A34" s="169"/>
      <c r="B34" s="167"/>
      <c r="C34" s="170"/>
      <c r="D34" s="167"/>
      <c r="E34" s="167"/>
      <c r="F34" s="167"/>
      <c r="G34" s="167"/>
      <c r="H34" s="167"/>
      <c r="I34" s="167"/>
      <c r="J34" s="167"/>
      <c r="K34" s="167"/>
      <c r="L34" s="167"/>
      <c r="M34" s="167"/>
      <c r="N34" s="167"/>
      <c r="O34" s="167"/>
      <c r="P34" s="167"/>
      <c r="Q34" s="167"/>
      <c r="R34" s="167"/>
      <c r="S34" s="167"/>
    </row>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24" customHeight="1">
      <c r="A37" s="169"/>
      <c r="B37" s="167"/>
      <c r="C37" s="168"/>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6" spans="1:19" ht="18" customHeight="1">
      <c r="J56" s="165" ph="1"/>
    </row>
    <row r="58" spans="1:19" ht="18" customHeight="1">
      <c r="A58" s="165" ph="1"/>
      <c r="B58" s="165" ph="1"/>
      <c r="C58" s="166" ph="1"/>
      <c r="D58" s="165" ph="1"/>
      <c r="J58" s="165" ph="1"/>
      <c r="K58" s="165" ph="1"/>
      <c r="L58" s="165" ph="1"/>
      <c r="M58" s="165" ph="1"/>
      <c r="N58" s="165" ph="1"/>
      <c r="O58" s="165" ph="1"/>
      <c r="P58" s="165" ph="1"/>
      <c r="Q58" s="165" ph="1"/>
    </row>
    <row r="59" spans="1:19" ht="18" customHeight="1">
      <c r="A59" s="165" ph="1"/>
      <c r="B59" s="165" ph="1"/>
      <c r="C59" s="166" ph="1"/>
      <c r="D59"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c r="J101" s="165" ph="1"/>
      <c r="K101" s="165" ph="1"/>
      <c r="L101" s="165" ph="1"/>
      <c r="M101" s="165" ph="1"/>
      <c r="N101" s="165" ph="1"/>
      <c r="O101" s="165" ph="1"/>
      <c r="P101" s="165" ph="1"/>
      <c r="Q101" s="165"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T111"/>
  <sheetViews>
    <sheetView tabSelected="1" view="pageBreakPreview" zoomScale="115" zoomScaleNormal="100" workbookViewId="0">
      <selection activeCell="O6" sqref="O6"/>
    </sheetView>
  </sheetViews>
  <sheetFormatPr defaultRowHeight="18" customHeight="1"/>
  <cols>
    <col min="1" max="1" width="3.375" style="165" customWidth="1"/>
    <col min="2" max="2" width="4.5" style="165" customWidth="1"/>
    <col min="3" max="3" width="4.625" style="166" customWidth="1"/>
    <col min="4" max="18" width="4.625" style="165" customWidth="1"/>
    <col min="19" max="19" width="6.125" style="165" customWidth="1"/>
    <col min="20" max="20" width="1.75" style="165" customWidth="1"/>
    <col min="21" max="26" width="4.625" style="165" customWidth="1"/>
    <col min="27" max="16384" width="9" style="165"/>
  </cols>
  <sheetData>
    <row r="1" spans="1:19" ht="18" customHeight="1">
      <c r="A1" s="144" t="s">
        <v>493</v>
      </c>
      <c r="B1" s="144"/>
    </row>
    <row r="2" spans="1:19" ht="27.75" customHeight="1"/>
    <row r="3" spans="1:19" ht="45.75" customHeight="1">
      <c r="A3" s="530" t="s">
        <v>492</v>
      </c>
      <c r="B3" s="530"/>
      <c r="C3" s="530"/>
      <c r="D3" s="530"/>
      <c r="E3" s="530"/>
      <c r="F3" s="530"/>
      <c r="G3" s="530"/>
      <c r="H3" s="530"/>
      <c r="I3" s="530"/>
      <c r="J3" s="530"/>
      <c r="K3" s="530"/>
      <c r="L3" s="530"/>
      <c r="M3" s="530"/>
      <c r="N3" s="530"/>
      <c r="O3" s="530"/>
      <c r="P3" s="530"/>
      <c r="Q3" s="530"/>
      <c r="R3" s="530"/>
      <c r="S3" s="530"/>
    </row>
    <row r="4" spans="1:19" ht="24" customHeight="1">
      <c r="A4" s="187"/>
      <c r="B4" s="187"/>
      <c r="C4" s="187"/>
      <c r="D4" s="187"/>
      <c r="E4" s="187"/>
      <c r="F4" s="187"/>
      <c r="G4" s="187"/>
      <c r="H4" s="187"/>
      <c r="I4" s="187"/>
      <c r="J4" s="187"/>
      <c r="K4" s="187"/>
      <c r="L4" s="187"/>
      <c r="M4" s="187"/>
      <c r="N4" s="187"/>
      <c r="O4" s="187"/>
      <c r="P4" s="187"/>
      <c r="Q4" s="187"/>
      <c r="R4" s="187"/>
    </row>
    <row r="5" spans="1:19" ht="24" customHeight="1">
      <c r="A5" s="185"/>
      <c r="B5" s="185"/>
      <c r="C5" s="185"/>
      <c r="D5" s="185"/>
      <c r="E5" s="185"/>
      <c r="F5" s="185"/>
      <c r="G5" s="185"/>
      <c r="H5" s="185"/>
      <c r="I5" s="185"/>
      <c r="J5" s="185"/>
      <c r="K5" s="185"/>
      <c r="L5" s="185"/>
      <c r="M5" s="185"/>
      <c r="N5" s="185"/>
      <c r="O5" s="553">
        <v>43391</v>
      </c>
      <c r="P5" s="553"/>
      <c r="Q5" s="553"/>
      <c r="R5" s="553"/>
      <c r="S5" s="553"/>
    </row>
    <row r="6" spans="1:19" ht="24" customHeight="1">
      <c r="A6" s="181" t="s">
        <v>491</v>
      </c>
      <c r="B6" s="185"/>
      <c r="C6" s="185"/>
      <c r="D6" s="185"/>
      <c r="E6" s="185"/>
      <c r="F6" s="185"/>
      <c r="G6" s="185"/>
      <c r="H6" s="185"/>
      <c r="I6" s="185"/>
      <c r="J6" s="185"/>
      <c r="K6" s="185"/>
      <c r="L6" s="185"/>
      <c r="M6" s="185"/>
      <c r="N6" s="185"/>
      <c r="O6" s="185"/>
      <c r="P6" s="185"/>
      <c r="Q6" s="185"/>
      <c r="R6" s="185"/>
      <c r="S6" s="133"/>
    </row>
    <row r="7" spans="1:19" ht="24" customHeight="1">
      <c r="A7" s="181"/>
      <c r="B7" s="185"/>
      <c r="C7" s="185"/>
      <c r="D7" s="185"/>
      <c r="E7" s="185"/>
      <c r="F7" s="185"/>
      <c r="G7" s="185"/>
      <c r="H7" s="185"/>
      <c r="I7" s="185"/>
      <c r="J7" s="185"/>
      <c r="K7" s="185"/>
      <c r="L7" s="185"/>
      <c r="M7" s="185"/>
      <c r="N7" s="185"/>
      <c r="O7" s="185"/>
      <c r="P7" s="185"/>
      <c r="Q7" s="185"/>
      <c r="R7" s="185"/>
      <c r="S7" s="133"/>
    </row>
    <row r="8" spans="1:19" ht="24" customHeight="1">
      <c r="A8" s="181"/>
      <c r="B8" s="185"/>
      <c r="C8" s="185"/>
      <c r="D8" s="185"/>
      <c r="E8" s="185"/>
      <c r="F8" s="185"/>
      <c r="G8" s="185"/>
      <c r="H8" s="185"/>
      <c r="I8" s="185"/>
      <c r="J8" s="185"/>
      <c r="K8" s="185"/>
      <c r="L8" s="185"/>
      <c r="M8" s="185"/>
      <c r="N8" s="185"/>
      <c r="O8" s="185"/>
      <c r="P8" s="185"/>
      <c r="Q8" s="185"/>
      <c r="R8" s="185"/>
      <c r="S8" s="133"/>
    </row>
    <row r="9" spans="1:19" ht="24" customHeight="1">
      <c r="A9" s="133"/>
      <c r="B9" s="185"/>
      <c r="C9" s="185"/>
      <c r="D9" s="185"/>
      <c r="E9" s="185"/>
      <c r="F9" s="185"/>
      <c r="G9" s="185"/>
      <c r="H9" s="181" t="s">
        <v>0</v>
      </c>
      <c r="I9" s="181"/>
      <c r="J9" s="551" t="s">
        <v>451</v>
      </c>
      <c r="K9" s="551"/>
      <c r="L9" s="533" t="s">
        <v>603</v>
      </c>
      <c r="M9" s="533"/>
      <c r="N9" s="533"/>
      <c r="O9" s="533"/>
      <c r="P9" s="533"/>
      <c r="Q9" s="533"/>
      <c r="R9" s="533"/>
      <c r="S9" s="533"/>
    </row>
    <row r="10" spans="1:19" ht="24" customHeight="1">
      <c r="A10" s="185"/>
      <c r="B10" s="185"/>
      <c r="C10" s="185"/>
      <c r="D10" s="185"/>
      <c r="E10" s="185"/>
      <c r="F10" s="185"/>
      <c r="G10" s="185"/>
      <c r="H10" s="181"/>
      <c r="I10" s="181"/>
      <c r="J10" s="551" t="s">
        <v>450</v>
      </c>
      <c r="K10" s="551"/>
      <c r="L10" s="533" t="s">
        <v>604</v>
      </c>
      <c r="M10" s="533"/>
      <c r="N10" s="533"/>
      <c r="O10" s="533"/>
      <c r="P10" s="533"/>
      <c r="Q10" s="533"/>
      <c r="R10" s="533"/>
      <c r="S10" s="533"/>
    </row>
    <row r="11" spans="1:19" ht="24" customHeight="1">
      <c r="A11" s="185"/>
      <c r="B11" s="185"/>
      <c r="C11" s="185"/>
      <c r="D11" s="185"/>
      <c r="E11" s="185"/>
      <c r="F11" s="185"/>
      <c r="G11" s="185"/>
      <c r="H11" s="181"/>
      <c r="I11" s="181"/>
      <c r="J11" s="552" t="s">
        <v>490</v>
      </c>
      <c r="K11" s="552"/>
      <c r="L11" s="552"/>
      <c r="M11" s="183" t="s">
        <v>605</v>
      </c>
      <c r="R11" s="184" t="s">
        <v>309</v>
      </c>
      <c r="S11" s="133"/>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49" t="s">
        <v>489</v>
      </c>
      <c r="B13" s="549"/>
      <c r="C13" s="549"/>
      <c r="D13" s="549"/>
      <c r="E13" s="549"/>
      <c r="F13" s="549"/>
      <c r="G13" s="549"/>
      <c r="H13" s="549"/>
      <c r="I13" s="549"/>
      <c r="J13" s="549"/>
      <c r="K13" s="549"/>
      <c r="L13" s="549"/>
      <c r="M13" s="549"/>
      <c r="N13" s="549"/>
      <c r="O13" s="549"/>
      <c r="P13" s="549"/>
      <c r="Q13" s="549"/>
      <c r="R13" s="549"/>
      <c r="S13" s="549"/>
    </row>
    <row r="14" spans="1:19" ht="18" customHeight="1">
      <c r="A14" s="549"/>
      <c r="B14" s="549"/>
      <c r="C14" s="549"/>
      <c r="D14" s="549"/>
      <c r="E14" s="549"/>
      <c r="F14" s="549"/>
      <c r="G14" s="549"/>
      <c r="H14" s="549"/>
      <c r="I14" s="549"/>
      <c r="J14" s="549"/>
      <c r="K14" s="549"/>
      <c r="L14" s="549"/>
      <c r="M14" s="549"/>
      <c r="N14" s="549"/>
      <c r="O14" s="549"/>
      <c r="P14" s="549"/>
      <c r="Q14" s="549"/>
      <c r="R14" s="549"/>
      <c r="S14" s="549"/>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 customHeight="1">
      <c r="A17" s="169"/>
      <c r="B17" s="224"/>
      <c r="C17" s="224"/>
      <c r="D17" s="224"/>
      <c r="E17" s="224"/>
      <c r="F17" s="224"/>
      <c r="G17" s="224"/>
      <c r="H17" s="224"/>
      <c r="I17" s="224"/>
      <c r="J17" s="224"/>
      <c r="K17" s="224"/>
      <c r="L17" s="224"/>
      <c r="M17" s="224"/>
      <c r="N17" s="224"/>
      <c r="O17" s="224"/>
      <c r="P17" s="224"/>
      <c r="Q17" s="224"/>
      <c r="R17" s="224"/>
      <c r="S17" s="224"/>
    </row>
    <row r="18" spans="1:20" ht="18" customHeight="1">
      <c r="A18" s="550" t="s">
        <v>488</v>
      </c>
      <c r="B18" s="550"/>
      <c r="C18" s="550"/>
      <c r="D18" s="550"/>
      <c r="E18" s="550"/>
      <c r="F18" s="550"/>
      <c r="G18" s="550"/>
      <c r="H18" s="550"/>
      <c r="I18" s="550"/>
      <c r="J18" s="550"/>
      <c r="K18" s="550"/>
      <c r="L18" s="550"/>
      <c r="M18" s="550"/>
      <c r="N18" s="550"/>
      <c r="O18" s="550"/>
      <c r="P18" s="550"/>
      <c r="Q18" s="550"/>
      <c r="R18" s="550"/>
      <c r="S18" s="550"/>
      <c r="T18" s="550"/>
    </row>
    <row r="19" spans="1:20" ht="18" customHeight="1">
      <c r="A19" s="550"/>
      <c r="B19" s="550"/>
      <c r="C19" s="550"/>
      <c r="D19" s="550"/>
      <c r="E19" s="550"/>
      <c r="F19" s="550"/>
      <c r="G19" s="550"/>
      <c r="H19" s="550"/>
      <c r="I19" s="550"/>
      <c r="J19" s="550"/>
      <c r="K19" s="550"/>
      <c r="L19" s="550"/>
      <c r="M19" s="550"/>
      <c r="N19" s="550"/>
      <c r="O19" s="550"/>
      <c r="P19" s="550"/>
      <c r="Q19" s="550"/>
      <c r="R19" s="550"/>
      <c r="S19" s="550"/>
      <c r="T19" s="550"/>
    </row>
    <row r="20" spans="1:20" ht="54.75" customHeight="1">
      <c r="A20" s="220" t="s">
        <v>487</v>
      </c>
      <c r="B20" s="541" t="s">
        <v>740</v>
      </c>
      <c r="C20" s="541"/>
      <c r="D20" s="541"/>
      <c r="E20" s="541"/>
      <c r="F20" s="541"/>
      <c r="G20" s="541"/>
      <c r="H20" s="541"/>
      <c r="I20" s="541"/>
      <c r="J20" s="541"/>
      <c r="K20" s="541"/>
      <c r="L20" s="541"/>
      <c r="M20" s="541"/>
      <c r="N20" s="541"/>
      <c r="O20" s="541"/>
      <c r="P20" s="541"/>
      <c r="Q20" s="541"/>
      <c r="R20" s="541"/>
      <c r="S20" s="541"/>
      <c r="T20" s="198"/>
    </row>
    <row r="21" spans="1:20" ht="95.25" customHeight="1">
      <c r="A21" s="220" t="s">
        <v>485</v>
      </c>
      <c r="B21" s="541" t="s">
        <v>741</v>
      </c>
      <c r="C21" s="541"/>
      <c r="D21" s="541"/>
      <c r="E21" s="541"/>
      <c r="F21" s="541"/>
      <c r="G21" s="541"/>
      <c r="H21" s="541"/>
      <c r="I21" s="541"/>
      <c r="J21" s="541"/>
      <c r="K21" s="541"/>
      <c r="L21" s="541"/>
      <c r="M21" s="541"/>
      <c r="N21" s="541"/>
      <c r="O21" s="541"/>
      <c r="P21" s="541"/>
      <c r="Q21" s="541"/>
      <c r="R21" s="541"/>
      <c r="S21" s="541"/>
      <c r="T21" s="198"/>
    </row>
    <row r="22" spans="1:20" ht="7.5" customHeight="1">
      <c r="A22" s="198"/>
      <c r="B22" s="198"/>
      <c r="C22" s="170"/>
      <c r="D22" s="198"/>
      <c r="E22" s="198"/>
      <c r="F22" s="198"/>
      <c r="G22" s="198"/>
      <c r="H22" s="198"/>
      <c r="I22" s="198"/>
      <c r="J22" s="198"/>
      <c r="K22" s="198"/>
      <c r="L22" s="198"/>
      <c r="M22" s="198"/>
      <c r="N22" s="198"/>
      <c r="O22" s="198"/>
      <c r="P22" s="198"/>
      <c r="Q22" s="198"/>
      <c r="R22" s="198"/>
      <c r="S22" s="198"/>
      <c r="T22" s="198"/>
    </row>
    <row r="23" spans="1:20" ht="31.5" customHeight="1">
      <c r="A23" s="198"/>
      <c r="B23" s="198"/>
      <c r="C23" s="545" t="s">
        <v>484</v>
      </c>
      <c r="D23" s="545"/>
      <c r="E23" s="545"/>
      <c r="F23" s="545"/>
      <c r="G23" s="545"/>
      <c r="H23" s="545"/>
      <c r="I23" s="547">
        <v>43405</v>
      </c>
      <c r="J23" s="548"/>
      <c r="K23" s="548"/>
      <c r="L23" s="548"/>
      <c r="M23" s="548"/>
      <c r="N23" s="548"/>
      <c r="O23" s="548"/>
      <c r="P23" s="548"/>
      <c r="Q23" s="548"/>
      <c r="R23" s="198"/>
      <c r="S23" s="198"/>
      <c r="T23" s="198"/>
    </row>
    <row r="24" spans="1:20" ht="31.5" customHeight="1">
      <c r="A24" s="169"/>
      <c r="B24" s="198"/>
      <c r="C24" s="545" t="s">
        <v>483</v>
      </c>
      <c r="D24" s="545"/>
      <c r="E24" s="545"/>
      <c r="F24" s="545"/>
      <c r="G24" s="545"/>
      <c r="H24" s="545"/>
      <c r="I24" s="546" t="s">
        <v>606</v>
      </c>
      <c r="J24" s="546"/>
      <c r="K24" s="546"/>
      <c r="L24" s="546"/>
      <c r="M24" s="546"/>
      <c r="N24" s="546"/>
      <c r="O24" s="546"/>
      <c r="P24" s="546"/>
      <c r="Q24" s="546"/>
      <c r="R24" s="198"/>
      <c r="S24" s="198"/>
      <c r="T24" s="198"/>
    </row>
    <row r="25" spans="1:20" ht="26.25" customHeight="1">
      <c r="A25" s="198"/>
      <c r="B25" s="198"/>
      <c r="C25" s="170"/>
      <c r="D25" s="198"/>
      <c r="E25" s="198"/>
      <c r="F25" s="198"/>
      <c r="G25" s="198"/>
      <c r="H25" s="198"/>
      <c r="I25" s="198"/>
      <c r="J25" s="198"/>
      <c r="K25" s="198"/>
      <c r="L25" s="198"/>
      <c r="M25" s="198"/>
      <c r="N25" s="198"/>
      <c r="O25" s="198"/>
      <c r="P25" s="198"/>
      <c r="Q25" s="198"/>
      <c r="R25" s="198"/>
      <c r="S25" s="198"/>
      <c r="T25" s="198"/>
    </row>
    <row r="26" spans="1:20" ht="34.5" customHeight="1">
      <c r="A26" s="554" t="s">
        <v>482</v>
      </c>
      <c r="B26" s="554"/>
      <c r="C26" s="554"/>
      <c r="D26" s="554"/>
      <c r="E26" s="554"/>
      <c r="F26" s="554"/>
      <c r="G26" s="554"/>
      <c r="H26" s="554"/>
      <c r="I26" s="554"/>
      <c r="J26" s="554"/>
      <c r="K26" s="554"/>
      <c r="L26" s="554"/>
      <c r="M26" s="554"/>
      <c r="N26" s="554"/>
      <c r="O26" s="554"/>
      <c r="P26" s="554"/>
      <c r="Q26" s="554"/>
      <c r="R26" s="554"/>
      <c r="S26" s="554"/>
      <c r="T26" s="554"/>
    </row>
    <row r="27" spans="1:20" ht="9.75" customHeight="1">
      <c r="A27" s="555"/>
      <c r="B27" s="555"/>
      <c r="C27" s="555"/>
      <c r="D27" s="555"/>
      <c r="E27" s="555"/>
      <c r="F27" s="555"/>
      <c r="G27" s="555"/>
      <c r="H27" s="555"/>
      <c r="I27" s="555"/>
      <c r="J27" s="555"/>
      <c r="K27" s="555"/>
      <c r="L27" s="555"/>
      <c r="M27" s="555"/>
      <c r="N27" s="555"/>
      <c r="O27" s="555"/>
      <c r="P27" s="555"/>
      <c r="Q27" s="555"/>
      <c r="R27" s="555"/>
      <c r="S27" s="555"/>
    </row>
    <row r="28" spans="1:20" ht="18" customHeight="1" thickBot="1">
      <c r="A28" s="169"/>
      <c r="B28" s="541" t="s">
        <v>481</v>
      </c>
      <c r="C28" s="541"/>
      <c r="D28" s="541"/>
      <c r="E28" s="541"/>
      <c r="F28" s="541"/>
      <c r="G28" s="541"/>
      <c r="H28" s="541"/>
      <c r="I28" s="541"/>
      <c r="J28" s="541"/>
      <c r="K28" s="541"/>
      <c r="L28" s="541"/>
      <c r="M28" s="541"/>
      <c r="N28" s="541"/>
      <c r="O28" s="541"/>
      <c r="Q28" s="222"/>
      <c r="R28" s="222"/>
      <c r="S28" s="222"/>
      <c r="T28" s="183"/>
    </row>
    <row r="29" spans="1:20" ht="20.25" customHeight="1">
      <c r="A29" s="169"/>
      <c r="B29" s="223"/>
      <c r="C29" s="556" t="s">
        <v>480</v>
      </c>
      <c r="D29" s="557"/>
      <c r="E29" s="557"/>
      <c r="F29" s="557"/>
      <c r="G29" s="557"/>
      <c r="H29" s="557" t="s">
        <v>479</v>
      </c>
      <c r="I29" s="557"/>
      <c r="J29" s="557"/>
      <c r="K29" s="557" t="s">
        <v>478</v>
      </c>
      <c r="L29" s="557"/>
      <c r="M29" s="557"/>
      <c r="N29" s="557"/>
      <c r="O29" s="557"/>
      <c r="P29" s="558"/>
      <c r="Q29" s="222"/>
      <c r="R29" s="222"/>
      <c r="S29" s="222"/>
      <c r="T29" s="183"/>
    </row>
    <row r="30" spans="1:20" ht="20.25" customHeight="1">
      <c r="A30" s="169"/>
      <c r="B30" s="223"/>
      <c r="C30" s="559" t="s">
        <v>477</v>
      </c>
      <c r="D30" s="560"/>
      <c r="E30" s="560"/>
      <c r="F30" s="560"/>
      <c r="G30" s="560"/>
      <c r="H30" s="560" t="s">
        <v>476</v>
      </c>
      <c r="I30" s="560"/>
      <c r="J30" s="560"/>
      <c r="K30" s="561">
        <v>43364</v>
      </c>
      <c r="L30" s="560"/>
      <c r="M30" s="560"/>
      <c r="N30" s="560"/>
      <c r="O30" s="560"/>
      <c r="P30" s="562"/>
      <c r="Q30" s="222"/>
      <c r="R30" s="222"/>
      <c r="S30" s="222"/>
      <c r="T30" s="183"/>
    </row>
    <row r="31" spans="1:20" ht="20.25" customHeight="1">
      <c r="A31" s="169"/>
      <c r="B31" s="222"/>
      <c r="C31" s="563" t="s">
        <v>475</v>
      </c>
      <c r="D31" s="564"/>
      <c r="E31" s="564"/>
      <c r="F31" s="564"/>
      <c r="G31" s="564"/>
      <c r="H31" s="567"/>
      <c r="I31" s="568"/>
      <c r="J31" s="568"/>
      <c r="K31" s="568"/>
      <c r="L31" s="568"/>
      <c r="M31" s="568"/>
      <c r="N31" s="568"/>
      <c r="O31" s="568"/>
      <c r="P31" s="569"/>
      <c r="Q31" s="222"/>
      <c r="R31" s="222"/>
      <c r="S31" s="222"/>
      <c r="T31" s="183"/>
    </row>
    <row r="32" spans="1:20" ht="20.25" customHeight="1">
      <c r="A32" s="169"/>
      <c r="B32" s="167"/>
      <c r="C32" s="563"/>
      <c r="D32" s="564"/>
      <c r="E32" s="564"/>
      <c r="F32" s="564"/>
      <c r="G32" s="564"/>
      <c r="H32" s="570"/>
      <c r="I32" s="571"/>
      <c r="J32" s="571"/>
      <c r="K32" s="571"/>
      <c r="L32" s="571"/>
      <c r="M32" s="571"/>
      <c r="N32" s="571"/>
      <c r="O32" s="571"/>
      <c r="P32" s="572"/>
      <c r="Q32" s="167"/>
      <c r="R32" s="167"/>
      <c r="S32" s="167"/>
    </row>
    <row r="33" spans="1:19" ht="20.25" customHeight="1" thickBot="1">
      <c r="A33" s="169"/>
      <c r="B33" s="167"/>
      <c r="C33" s="565"/>
      <c r="D33" s="566"/>
      <c r="E33" s="566"/>
      <c r="F33" s="566"/>
      <c r="G33" s="566"/>
      <c r="H33" s="573"/>
      <c r="I33" s="574"/>
      <c r="J33" s="574"/>
      <c r="K33" s="574"/>
      <c r="L33" s="574"/>
      <c r="M33" s="574"/>
      <c r="N33" s="574"/>
      <c r="O33" s="574"/>
      <c r="P33" s="575"/>
      <c r="Q33" s="167"/>
      <c r="R33" s="167"/>
      <c r="S33" s="167"/>
    </row>
    <row r="34" spans="1:19" ht="11.25" customHeight="1"/>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18" customHeight="1">
      <c r="A37" s="169"/>
      <c r="B37" s="167"/>
      <c r="C37" s="168"/>
      <c r="D37" s="167"/>
      <c r="E37" s="167"/>
      <c r="F37" s="167"/>
      <c r="G37" s="167"/>
      <c r="H37" s="167"/>
      <c r="I37" s="167"/>
      <c r="J37" s="167"/>
      <c r="K37" s="167"/>
      <c r="L37" s="167"/>
      <c r="M37" s="167"/>
      <c r="N37" s="167"/>
      <c r="O37" s="167"/>
      <c r="P37" s="167"/>
      <c r="Q37" s="167"/>
      <c r="R37" s="167"/>
      <c r="S37" s="167"/>
    </row>
    <row r="38" spans="1:19" ht="18" customHeight="1">
      <c r="A38" s="169"/>
      <c r="B38" s="167"/>
      <c r="C38" s="170"/>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24"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24"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2" spans="1:19" ht="18" customHeight="1">
      <c r="A52" s="169"/>
      <c r="B52" s="167"/>
      <c r="C52" s="168"/>
      <c r="D52" s="167"/>
      <c r="E52" s="167"/>
      <c r="F52" s="167"/>
      <c r="G52" s="167"/>
      <c r="H52" s="167"/>
      <c r="I52" s="167"/>
      <c r="J52" s="167"/>
      <c r="K52" s="167"/>
      <c r="L52" s="167"/>
      <c r="M52" s="167"/>
      <c r="N52" s="167"/>
      <c r="O52" s="167"/>
      <c r="P52" s="167"/>
      <c r="Q52" s="167"/>
      <c r="R52" s="167"/>
      <c r="S52" s="167"/>
    </row>
    <row r="58" spans="1:19" ht="18" customHeight="1">
      <c r="J58"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c r="J90" s="165" ph="1"/>
      <c r="K90" s="165" ph="1"/>
      <c r="L90" s="165" ph="1"/>
      <c r="M90" s="165" ph="1"/>
      <c r="N90" s="165" ph="1"/>
      <c r="O90" s="165" ph="1"/>
      <c r="P90" s="165" ph="1"/>
      <c r="Q90" s="165" ph="1"/>
    </row>
    <row r="91" spans="1:17" ht="18" customHeight="1">
      <c r="A91" s="165" ph="1"/>
      <c r="B91" s="165" ph="1"/>
      <c r="C91" s="166" ph="1"/>
      <c r="D91" s="165" ph="1"/>
    </row>
    <row r="92" spans="1:17" ht="18" customHeight="1">
      <c r="A92" s="165" ph="1"/>
      <c r="B92" s="165" ph="1"/>
      <c r="C92" s="166" ph="1"/>
      <c r="D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row>
    <row r="102" spans="1:17" ht="18" customHeight="1">
      <c r="A102" s="165" ph="1"/>
      <c r="B102" s="165" ph="1"/>
      <c r="C102" s="166" ph="1"/>
      <c r="D102" s="165" ph="1"/>
      <c r="J102" s="165" ph="1"/>
      <c r="K102" s="165" ph="1"/>
      <c r="L102" s="165" ph="1"/>
      <c r="M102" s="165" ph="1"/>
      <c r="N102" s="165" ph="1"/>
      <c r="O102" s="165" ph="1"/>
      <c r="P102" s="165" ph="1"/>
      <c r="Q102" s="165" ph="1"/>
    </row>
    <row r="103" spans="1:17" ht="18" customHeight="1">
      <c r="A103" s="165" ph="1"/>
      <c r="B103" s="165" ph="1"/>
      <c r="C103" s="166" ph="1"/>
      <c r="D103" s="165" ph="1"/>
    </row>
    <row r="104" spans="1:17" ht="18" customHeight="1">
      <c r="A104" s="165" ph="1"/>
      <c r="B104" s="165" ph="1"/>
      <c r="C104" s="166" ph="1"/>
      <c r="D104" s="165" ph="1"/>
    </row>
    <row r="105" spans="1:17" ht="18" customHeight="1">
      <c r="A105" s="165" ph="1"/>
      <c r="B105" s="165" ph="1"/>
      <c r="C105" s="166" ph="1"/>
      <c r="D105" s="165" ph="1"/>
      <c r="J105" s="165" ph="1"/>
      <c r="K105" s="165" ph="1"/>
      <c r="L105" s="165" ph="1"/>
      <c r="M105" s="165" ph="1"/>
      <c r="N105" s="165" ph="1"/>
      <c r="O105" s="165" ph="1"/>
      <c r="P105" s="165" ph="1"/>
      <c r="Q105" s="165" ph="1"/>
    </row>
    <row r="106" spans="1:17" ht="18" customHeight="1">
      <c r="A106" s="165" ph="1"/>
      <c r="B106" s="165" ph="1"/>
      <c r="C106" s="166" ph="1"/>
      <c r="D106" s="165" ph="1"/>
      <c r="J106" s="165" ph="1"/>
      <c r="K106" s="165" ph="1"/>
      <c r="L106" s="165" ph="1"/>
      <c r="M106" s="165" ph="1"/>
      <c r="N106" s="165" ph="1"/>
      <c r="O106" s="165" ph="1"/>
      <c r="P106" s="165" ph="1"/>
      <c r="Q106" s="165" ph="1"/>
    </row>
    <row r="107" spans="1:17" ht="18" customHeight="1">
      <c r="A107" s="165" ph="1"/>
      <c r="B107" s="165" ph="1"/>
      <c r="C107" s="166" ph="1"/>
      <c r="D107" s="165" ph="1"/>
      <c r="J107" s="165" ph="1"/>
      <c r="K107" s="165" ph="1"/>
      <c r="L107" s="165" ph="1"/>
      <c r="M107" s="165" ph="1"/>
      <c r="N107" s="165" ph="1"/>
      <c r="O107" s="165" ph="1"/>
      <c r="P107" s="165" ph="1"/>
      <c r="Q107" s="165" ph="1"/>
    </row>
    <row r="108" spans="1:17" ht="18" customHeight="1">
      <c r="A108" s="165" ph="1"/>
      <c r="B108" s="165" ph="1"/>
      <c r="C108" s="166" ph="1"/>
      <c r="D108" s="165" ph="1"/>
    </row>
    <row r="109" spans="1:17" ht="18" customHeight="1">
      <c r="A109" s="165" ph="1"/>
      <c r="B109" s="165" ph="1"/>
      <c r="C109" s="166" ph="1"/>
      <c r="D109" s="165" ph="1"/>
      <c r="J109" s="165" ph="1"/>
      <c r="K109" s="165" ph="1"/>
      <c r="L109" s="165" ph="1"/>
      <c r="M109" s="165" ph="1"/>
      <c r="N109" s="165" ph="1"/>
      <c r="O109" s="165" ph="1"/>
      <c r="P109" s="165" ph="1"/>
      <c r="Q109" s="165" ph="1"/>
    </row>
    <row r="110" spans="1:17" ht="18" customHeight="1">
      <c r="A110" s="165" ph="1"/>
      <c r="B110" s="165" ph="1"/>
      <c r="C110" s="166" ph="1"/>
      <c r="D110" s="165" ph="1"/>
    </row>
    <row r="111" spans="1:17" ht="18" customHeight="1">
      <c r="A111" s="165" ph="1"/>
      <c r="B111" s="165" ph="1"/>
      <c r="C111" s="166" ph="1"/>
      <c r="D111" s="165" ph="1"/>
      <c r="J111" s="165" ph="1"/>
      <c r="K111" s="165" ph="1"/>
      <c r="L111" s="165" ph="1"/>
      <c r="M111" s="165" ph="1"/>
      <c r="N111" s="165" ph="1"/>
      <c r="O111" s="165" ph="1"/>
      <c r="P111" s="165" ph="1"/>
      <c r="Q111" s="165" ph="1"/>
    </row>
  </sheetData>
  <mergeCells count="32">
    <mergeCell ref="C30:G30"/>
    <mergeCell ref="H30:J30"/>
    <mergeCell ref="K30:P30"/>
    <mergeCell ref="C31:G33"/>
    <mergeCell ref="H31:J31"/>
    <mergeCell ref="K31:P31"/>
    <mergeCell ref="H32:J32"/>
    <mergeCell ref="K32:P32"/>
    <mergeCell ref="H33:J33"/>
    <mergeCell ref="K33:P33"/>
    <mergeCell ref="A26:T26"/>
    <mergeCell ref="A27:S27"/>
    <mergeCell ref="B28:O28"/>
    <mergeCell ref="C29:G29"/>
    <mergeCell ref="H29:J29"/>
    <mergeCell ref="K29:P29"/>
    <mergeCell ref="A13:S14"/>
    <mergeCell ref="A16:S16"/>
    <mergeCell ref="A18:T19"/>
    <mergeCell ref="B20:S20"/>
    <mergeCell ref="A3:S3"/>
    <mergeCell ref="J9:K9"/>
    <mergeCell ref="L9:S9"/>
    <mergeCell ref="J10:K10"/>
    <mergeCell ref="L10:S10"/>
    <mergeCell ref="J11:L11"/>
    <mergeCell ref="O5:S5"/>
    <mergeCell ref="B21:S21"/>
    <mergeCell ref="C24:H24"/>
    <mergeCell ref="I24:Q24"/>
    <mergeCell ref="C23:H23"/>
    <mergeCell ref="I23:Q23"/>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zoomScale="115" zoomScaleNormal="100" workbookViewId="0"/>
  </sheetViews>
  <sheetFormatPr defaultRowHeight="18" customHeight="1"/>
  <cols>
    <col min="1" max="1" width="3.375" style="165" customWidth="1"/>
    <col min="2" max="2" width="4.5" style="165" customWidth="1"/>
    <col min="3" max="3" width="4.625" style="166" customWidth="1"/>
    <col min="4" max="18" width="4.625" style="165" customWidth="1"/>
    <col min="19" max="19" width="6.125" style="165" customWidth="1"/>
    <col min="20" max="20" width="1.75" style="165" customWidth="1"/>
    <col min="21" max="26" width="4.625" style="165" customWidth="1"/>
    <col min="27" max="16384" width="9" style="165"/>
  </cols>
  <sheetData>
    <row r="1" spans="1:19" ht="18" customHeight="1">
      <c r="A1" s="144" t="s">
        <v>493</v>
      </c>
      <c r="B1" s="144"/>
    </row>
    <row r="2" spans="1:19" ht="27.75" customHeight="1"/>
    <row r="3" spans="1:19" ht="35.25" customHeight="1">
      <c r="A3" s="530" t="s">
        <v>492</v>
      </c>
      <c r="B3" s="530"/>
      <c r="C3" s="530"/>
      <c r="D3" s="530"/>
      <c r="E3" s="530"/>
      <c r="F3" s="530"/>
      <c r="G3" s="530"/>
      <c r="H3" s="530"/>
      <c r="I3" s="530"/>
      <c r="J3" s="530"/>
      <c r="K3" s="530"/>
      <c r="L3" s="530"/>
      <c r="M3" s="530"/>
      <c r="N3" s="530"/>
      <c r="O3" s="530"/>
      <c r="P3" s="530"/>
      <c r="Q3" s="530"/>
      <c r="R3" s="530"/>
      <c r="S3" s="530"/>
    </row>
    <row r="4" spans="1:19" ht="15" customHeight="1">
      <c r="A4" s="187"/>
      <c r="B4" s="187"/>
      <c r="C4" s="187"/>
      <c r="D4" s="187"/>
      <c r="E4" s="187"/>
      <c r="F4" s="187"/>
      <c r="G4" s="187"/>
      <c r="H4" s="187"/>
      <c r="I4" s="187"/>
      <c r="J4" s="187"/>
      <c r="K4" s="187"/>
      <c r="L4" s="187"/>
      <c r="M4" s="187"/>
      <c r="N4" s="187"/>
      <c r="O4" s="187"/>
      <c r="P4" s="187"/>
      <c r="Q4" s="187"/>
      <c r="R4" s="187"/>
    </row>
    <row r="5" spans="1:19" ht="24" customHeight="1">
      <c r="A5" s="185"/>
      <c r="B5" s="185"/>
      <c r="C5" s="185"/>
      <c r="D5" s="185"/>
      <c r="E5" s="185"/>
      <c r="F5" s="185"/>
      <c r="G5" s="185"/>
      <c r="H5" s="185"/>
      <c r="I5" s="185"/>
      <c r="J5" s="185"/>
      <c r="K5" s="185"/>
      <c r="L5" s="185"/>
      <c r="M5" s="185"/>
      <c r="N5" s="185"/>
      <c r="O5" s="185"/>
      <c r="P5" s="185"/>
      <c r="Q5" s="185"/>
      <c r="R5" s="185"/>
      <c r="S5" s="186" t="s">
        <v>383</v>
      </c>
    </row>
    <row r="6" spans="1:19" ht="24" customHeight="1">
      <c r="A6" s="181" t="s">
        <v>491</v>
      </c>
      <c r="B6" s="185"/>
      <c r="C6" s="185"/>
      <c r="D6" s="185"/>
      <c r="E6" s="185"/>
      <c r="F6" s="185"/>
      <c r="G6" s="185"/>
      <c r="H6" s="185"/>
      <c r="I6" s="185"/>
      <c r="J6" s="185"/>
      <c r="K6" s="185"/>
      <c r="L6" s="185"/>
      <c r="M6" s="185"/>
      <c r="N6" s="185"/>
      <c r="O6" s="185"/>
      <c r="P6" s="185"/>
      <c r="Q6" s="185"/>
      <c r="R6" s="185"/>
      <c r="S6" s="133"/>
    </row>
    <row r="7" spans="1:19" ht="24" customHeight="1">
      <c r="A7" s="181"/>
      <c r="B7" s="185"/>
      <c r="C7" s="185"/>
      <c r="D7" s="185"/>
      <c r="E7" s="185"/>
      <c r="F7" s="185"/>
      <c r="G7" s="185"/>
      <c r="H7" s="185"/>
      <c r="I7" s="185"/>
      <c r="J7" s="185"/>
      <c r="K7" s="185"/>
      <c r="L7" s="185"/>
      <c r="M7" s="185"/>
      <c r="N7" s="185"/>
      <c r="O7" s="185"/>
      <c r="P7" s="185"/>
      <c r="Q7" s="185"/>
      <c r="R7" s="185"/>
      <c r="S7" s="133"/>
    </row>
    <row r="8" spans="1:19" ht="12.75" customHeight="1">
      <c r="A8" s="181"/>
      <c r="B8" s="185"/>
      <c r="C8" s="185"/>
      <c r="D8" s="185"/>
      <c r="E8" s="185"/>
      <c r="F8" s="185"/>
      <c r="G8" s="185"/>
      <c r="H8" s="185"/>
      <c r="I8" s="185"/>
      <c r="J8" s="185"/>
      <c r="K8" s="185"/>
      <c r="L8" s="185"/>
      <c r="M8" s="185"/>
      <c r="N8" s="185"/>
      <c r="O8" s="185"/>
      <c r="P8" s="185"/>
      <c r="Q8" s="185"/>
      <c r="R8" s="185"/>
      <c r="S8" s="133"/>
    </row>
    <row r="9" spans="1:19" ht="24" customHeight="1">
      <c r="A9" s="133"/>
      <c r="B9" s="185"/>
      <c r="C9" s="185"/>
      <c r="D9" s="185"/>
      <c r="E9" s="185"/>
      <c r="F9" s="185"/>
      <c r="G9" s="185"/>
      <c r="H9" s="181" t="s">
        <v>0</v>
      </c>
      <c r="I9" s="181"/>
      <c r="J9" s="551" t="s">
        <v>451</v>
      </c>
      <c r="K9" s="551"/>
      <c r="L9" s="533"/>
      <c r="M9" s="533"/>
      <c r="N9" s="533"/>
      <c r="O9" s="533"/>
      <c r="P9" s="533"/>
      <c r="Q9" s="533"/>
      <c r="R9" s="533"/>
      <c r="S9" s="533"/>
    </row>
    <row r="10" spans="1:19" ht="24" customHeight="1">
      <c r="A10" s="185"/>
      <c r="B10" s="185"/>
      <c r="C10" s="185"/>
      <c r="D10" s="185"/>
      <c r="E10" s="185"/>
      <c r="F10" s="185"/>
      <c r="G10" s="185"/>
      <c r="H10" s="181"/>
      <c r="I10" s="181"/>
      <c r="J10" s="551" t="s">
        <v>450</v>
      </c>
      <c r="K10" s="551"/>
      <c r="L10" s="533"/>
      <c r="M10" s="533"/>
      <c r="N10" s="533"/>
      <c r="O10" s="533"/>
      <c r="P10" s="533"/>
      <c r="Q10" s="533"/>
      <c r="R10" s="533"/>
      <c r="S10" s="533"/>
    </row>
    <row r="11" spans="1:19" ht="24" customHeight="1">
      <c r="A11" s="185"/>
      <c r="B11" s="185"/>
      <c r="C11" s="185"/>
      <c r="D11" s="185"/>
      <c r="E11" s="185"/>
      <c r="F11" s="185"/>
      <c r="G11" s="185"/>
      <c r="H11" s="181"/>
      <c r="I11" s="181"/>
      <c r="J11" s="552" t="s">
        <v>490</v>
      </c>
      <c r="K11" s="552"/>
      <c r="L11" s="552"/>
      <c r="R11" s="184" t="s">
        <v>309</v>
      </c>
      <c r="S11" s="133"/>
    </row>
    <row r="12" spans="1:19" ht="14.25" customHeight="1">
      <c r="A12" s="133"/>
      <c r="B12" s="133"/>
      <c r="C12" s="179"/>
      <c r="D12" s="133"/>
      <c r="E12" s="133"/>
      <c r="F12" s="133"/>
      <c r="G12" s="133"/>
      <c r="H12" s="183"/>
      <c r="I12" s="183"/>
      <c r="K12" s="182"/>
      <c r="L12" s="534"/>
      <c r="M12" s="534"/>
      <c r="N12" s="534"/>
      <c r="O12" s="534"/>
      <c r="P12" s="534"/>
      <c r="Q12" s="534"/>
      <c r="S12" s="181"/>
    </row>
    <row r="13" spans="1:19" ht="18" customHeight="1">
      <c r="A13" s="549" t="s">
        <v>489</v>
      </c>
      <c r="B13" s="549"/>
      <c r="C13" s="549"/>
      <c r="D13" s="549"/>
      <c r="E13" s="549"/>
      <c r="F13" s="549"/>
      <c r="G13" s="549"/>
      <c r="H13" s="549"/>
      <c r="I13" s="549"/>
      <c r="J13" s="549"/>
      <c r="K13" s="549"/>
      <c r="L13" s="549"/>
      <c r="M13" s="549"/>
      <c r="N13" s="549"/>
      <c r="O13" s="549"/>
      <c r="P13" s="549"/>
      <c r="Q13" s="549"/>
      <c r="R13" s="549"/>
      <c r="S13" s="549"/>
    </row>
    <row r="14" spans="1:19" ht="18" customHeight="1">
      <c r="A14" s="549"/>
      <c r="B14" s="549"/>
      <c r="C14" s="549"/>
      <c r="D14" s="549"/>
      <c r="E14" s="549"/>
      <c r="F14" s="549"/>
      <c r="G14" s="549"/>
      <c r="H14" s="549"/>
      <c r="I14" s="549"/>
      <c r="J14" s="549"/>
      <c r="K14" s="549"/>
      <c r="L14" s="549"/>
      <c r="M14" s="549"/>
      <c r="N14" s="549"/>
      <c r="O14" s="549"/>
      <c r="P14" s="549"/>
      <c r="Q14" s="549"/>
      <c r="R14" s="549"/>
      <c r="S14" s="549"/>
    </row>
    <row r="15" spans="1:19" ht="10.5"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 customHeight="1">
      <c r="A17" s="169"/>
      <c r="B17" s="224"/>
      <c r="C17" s="224"/>
      <c r="D17" s="224"/>
      <c r="E17" s="224"/>
      <c r="F17" s="224"/>
      <c r="G17" s="224"/>
      <c r="H17" s="224"/>
      <c r="I17" s="224"/>
      <c r="J17" s="224"/>
      <c r="K17" s="224"/>
      <c r="L17" s="224"/>
      <c r="M17" s="224"/>
      <c r="N17" s="224"/>
      <c r="O17" s="224"/>
      <c r="P17" s="224"/>
      <c r="Q17" s="224"/>
      <c r="R17" s="224"/>
      <c r="S17" s="224"/>
    </row>
    <row r="18" spans="1:20" ht="12" customHeight="1">
      <c r="A18" s="550" t="s">
        <v>488</v>
      </c>
      <c r="B18" s="550"/>
      <c r="C18" s="550"/>
      <c r="D18" s="550"/>
      <c r="E18" s="550"/>
      <c r="F18" s="550"/>
      <c r="G18" s="550"/>
      <c r="H18" s="550"/>
      <c r="I18" s="550"/>
      <c r="J18" s="550"/>
      <c r="K18" s="550"/>
      <c r="L18" s="550"/>
      <c r="M18" s="550"/>
      <c r="N18" s="550"/>
      <c r="O18" s="550"/>
      <c r="P18" s="550"/>
      <c r="Q18" s="550"/>
      <c r="R18" s="550"/>
      <c r="S18" s="550"/>
      <c r="T18" s="550"/>
    </row>
    <row r="19" spans="1:20" ht="12" customHeight="1">
      <c r="A19" s="550"/>
      <c r="B19" s="550"/>
      <c r="C19" s="550"/>
      <c r="D19" s="550"/>
      <c r="E19" s="550"/>
      <c r="F19" s="550"/>
      <c r="G19" s="550"/>
      <c r="H19" s="550"/>
      <c r="I19" s="550"/>
      <c r="J19" s="550"/>
      <c r="K19" s="550"/>
      <c r="L19" s="550"/>
      <c r="M19" s="550"/>
      <c r="N19" s="550"/>
      <c r="O19" s="550"/>
      <c r="P19" s="550"/>
      <c r="Q19" s="550"/>
      <c r="R19" s="550"/>
      <c r="S19" s="550"/>
      <c r="T19" s="550"/>
    </row>
    <row r="20" spans="1:20" ht="65.25" customHeight="1">
      <c r="A20" s="227" t="s">
        <v>487</v>
      </c>
      <c r="B20" s="541" t="s">
        <v>486</v>
      </c>
      <c r="C20" s="541"/>
      <c r="D20" s="541"/>
      <c r="E20" s="541"/>
      <c r="F20" s="541"/>
      <c r="G20" s="541"/>
      <c r="H20" s="541"/>
      <c r="I20" s="541"/>
      <c r="J20" s="541"/>
      <c r="K20" s="541"/>
      <c r="L20" s="541"/>
      <c r="M20" s="541"/>
      <c r="N20" s="541"/>
      <c r="O20" s="541"/>
      <c r="P20" s="541"/>
      <c r="Q20" s="541"/>
      <c r="R20" s="541"/>
      <c r="S20" s="541"/>
      <c r="T20" s="198"/>
    </row>
    <row r="21" spans="1:20" ht="22.5" customHeight="1">
      <c r="A21" s="550" t="s">
        <v>495</v>
      </c>
      <c r="B21" s="550"/>
      <c r="C21" s="550"/>
      <c r="D21" s="550"/>
      <c r="E21" s="550"/>
      <c r="F21" s="550"/>
      <c r="G21" s="550"/>
      <c r="H21" s="550"/>
      <c r="I21" s="550"/>
      <c r="J21" s="550"/>
      <c r="K21" s="550"/>
      <c r="L21" s="550"/>
      <c r="M21" s="550"/>
      <c r="N21" s="550"/>
      <c r="O21" s="550"/>
      <c r="P21" s="550"/>
      <c r="Q21" s="550"/>
      <c r="R21" s="550"/>
      <c r="S21" s="550"/>
      <c r="T21" s="550"/>
    </row>
    <row r="22" spans="1:20" ht="92.25" customHeight="1">
      <c r="A22" s="198"/>
      <c r="B22" s="577"/>
      <c r="C22" s="578"/>
      <c r="D22" s="578"/>
      <c r="E22" s="578"/>
      <c r="F22" s="578"/>
      <c r="G22" s="578"/>
      <c r="H22" s="578"/>
      <c r="I22" s="578"/>
      <c r="J22" s="578"/>
      <c r="K22" s="578"/>
      <c r="L22" s="578"/>
      <c r="M22" s="578"/>
      <c r="N22" s="578"/>
      <c r="O22" s="578"/>
      <c r="P22" s="578"/>
      <c r="Q22" s="578"/>
      <c r="R22" s="578"/>
      <c r="S22" s="579"/>
      <c r="T22" s="198"/>
    </row>
    <row r="23" spans="1:20" ht="9" customHeight="1">
      <c r="A23" s="198"/>
      <c r="B23" s="226"/>
      <c r="C23" s="226"/>
      <c r="D23" s="226"/>
      <c r="E23" s="226"/>
      <c r="F23" s="226"/>
      <c r="G23" s="226"/>
      <c r="H23" s="226"/>
      <c r="I23" s="226"/>
      <c r="J23" s="226"/>
      <c r="K23" s="226"/>
      <c r="L23" s="226"/>
      <c r="M23" s="226"/>
      <c r="N23" s="226"/>
      <c r="O23" s="226"/>
      <c r="P23" s="226"/>
      <c r="Q23" s="226"/>
      <c r="R23" s="226"/>
      <c r="S23" s="226"/>
      <c r="T23" s="198"/>
    </row>
    <row r="24" spans="1:20" ht="26.25" customHeight="1">
      <c r="A24" s="198"/>
      <c r="B24" s="198"/>
      <c r="C24" s="545" t="s">
        <v>494</v>
      </c>
      <c r="D24" s="545"/>
      <c r="E24" s="545"/>
      <c r="F24" s="545"/>
      <c r="G24" s="545"/>
      <c r="H24" s="545"/>
      <c r="I24" s="548" t="s">
        <v>323</v>
      </c>
      <c r="J24" s="548"/>
      <c r="K24" s="548"/>
      <c r="L24" s="548"/>
      <c r="M24" s="548"/>
      <c r="N24" s="548"/>
      <c r="O24" s="548"/>
      <c r="P24" s="548"/>
      <c r="Q24" s="548"/>
      <c r="R24" s="198"/>
      <c r="S24" s="198"/>
      <c r="T24" s="198"/>
    </row>
    <row r="25" spans="1:20" ht="26.25" customHeight="1">
      <c r="A25" s="169"/>
      <c r="B25" s="198"/>
      <c r="C25" s="545" t="s">
        <v>483</v>
      </c>
      <c r="D25" s="545"/>
      <c r="E25" s="545"/>
      <c r="F25" s="545"/>
      <c r="G25" s="545"/>
      <c r="H25" s="545"/>
      <c r="I25" s="576"/>
      <c r="J25" s="576"/>
      <c r="K25" s="576"/>
      <c r="L25" s="576"/>
      <c r="M25" s="576"/>
      <c r="N25" s="576"/>
      <c r="O25" s="576"/>
      <c r="P25" s="576"/>
      <c r="Q25" s="576"/>
      <c r="R25" s="198"/>
      <c r="S25" s="198"/>
      <c r="T25" s="198"/>
    </row>
    <row r="26" spans="1:20" ht="17.25" customHeight="1">
      <c r="A26" s="198"/>
      <c r="B26" s="198"/>
      <c r="C26" s="170"/>
      <c r="D26" s="198"/>
      <c r="E26" s="198"/>
      <c r="F26" s="198"/>
      <c r="G26" s="198"/>
      <c r="H26" s="198"/>
      <c r="I26" s="198"/>
      <c r="J26" s="198"/>
      <c r="K26" s="198"/>
      <c r="L26" s="198"/>
      <c r="M26" s="198"/>
      <c r="N26" s="198"/>
      <c r="O26" s="198"/>
      <c r="P26" s="198"/>
      <c r="Q26" s="198"/>
      <c r="R26" s="198"/>
      <c r="S26" s="198"/>
      <c r="T26" s="198"/>
    </row>
    <row r="27" spans="1:20" ht="34.5" customHeight="1">
      <c r="A27" s="554" t="s">
        <v>482</v>
      </c>
      <c r="B27" s="554"/>
      <c r="C27" s="554"/>
      <c r="D27" s="554"/>
      <c r="E27" s="554"/>
      <c r="F27" s="554"/>
      <c r="G27" s="554"/>
      <c r="H27" s="554"/>
      <c r="I27" s="554"/>
      <c r="J27" s="554"/>
      <c r="K27" s="554"/>
      <c r="L27" s="554"/>
      <c r="M27" s="554"/>
      <c r="N27" s="554"/>
      <c r="O27" s="554"/>
      <c r="P27" s="554"/>
      <c r="Q27" s="554"/>
      <c r="R27" s="554"/>
      <c r="S27" s="554"/>
      <c r="T27" s="554"/>
    </row>
    <row r="28" spans="1:20" ht="16.5" customHeight="1">
      <c r="A28" s="225"/>
      <c r="B28" s="225"/>
      <c r="C28" s="225"/>
      <c r="D28" s="225"/>
      <c r="E28" s="225"/>
      <c r="F28" s="225"/>
      <c r="G28" s="225"/>
      <c r="H28" s="225"/>
      <c r="I28" s="225"/>
      <c r="J28" s="225"/>
      <c r="K28" s="225"/>
      <c r="L28" s="225"/>
      <c r="M28" s="225"/>
      <c r="N28" s="225"/>
      <c r="O28" s="225"/>
      <c r="P28" s="225"/>
      <c r="Q28" s="225"/>
      <c r="R28" s="225"/>
      <c r="S28" s="225"/>
      <c r="T28" s="225"/>
    </row>
    <row r="29" spans="1:20" ht="19.5" customHeight="1" thickBot="1">
      <c r="A29" s="169"/>
      <c r="B29" s="541" t="s">
        <v>481</v>
      </c>
      <c r="C29" s="541"/>
      <c r="D29" s="541"/>
      <c r="E29" s="541"/>
      <c r="F29" s="541"/>
      <c r="G29" s="541"/>
      <c r="H29" s="541"/>
      <c r="I29" s="541"/>
      <c r="J29" s="541"/>
      <c r="K29" s="541"/>
      <c r="L29" s="541"/>
      <c r="M29" s="541"/>
      <c r="N29" s="541"/>
      <c r="O29" s="541"/>
      <c r="Q29" s="222"/>
      <c r="R29" s="222"/>
      <c r="S29" s="222"/>
      <c r="T29" s="183"/>
    </row>
    <row r="30" spans="1:20" ht="19.5" customHeight="1">
      <c r="A30" s="169"/>
      <c r="B30" s="223"/>
      <c r="C30" s="556" t="s">
        <v>480</v>
      </c>
      <c r="D30" s="557"/>
      <c r="E30" s="557"/>
      <c r="F30" s="557"/>
      <c r="G30" s="557"/>
      <c r="H30" s="557" t="s">
        <v>479</v>
      </c>
      <c r="I30" s="557"/>
      <c r="J30" s="557"/>
      <c r="K30" s="557" t="s">
        <v>478</v>
      </c>
      <c r="L30" s="557"/>
      <c r="M30" s="557"/>
      <c r="N30" s="557"/>
      <c r="O30" s="557"/>
      <c r="P30" s="558"/>
      <c r="Q30" s="222"/>
      <c r="R30" s="222"/>
      <c r="S30" s="222"/>
      <c r="T30" s="183"/>
    </row>
    <row r="31" spans="1:20" ht="19.5" customHeight="1">
      <c r="A31" s="169"/>
      <c r="B31" s="223"/>
      <c r="C31" s="559" t="s">
        <v>477</v>
      </c>
      <c r="D31" s="560"/>
      <c r="E31" s="560"/>
      <c r="F31" s="560"/>
      <c r="G31" s="560"/>
      <c r="H31" s="560" t="s">
        <v>476</v>
      </c>
      <c r="I31" s="560"/>
      <c r="J31" s="560"/>
      <c r="K31" s="560"/>
      <c r="L31" s="560"/>
      <c r="M31" s="560"/>
      <c r="N31" s="560"/>
      <c r="O31" s="560"/>
      <c r="P31" s="562"/>
      <c r="Q31" s="222"/>
      <c r="R31" s="222"/>
      <c r="S31" s="222"/>
      <c r="T31" s="183"/>
    </row>
    <row r="32" spans="1:20" ht="19.5" customHeight="1">
      <c r="A32" s="169"/>
      <c r="B32" s="222"/>
      <c r="C32" s="563" t="s">
        <v>475</v>
      </c>
      <c r="D32" s="564"/>
      <c r="E32" s="564"/>
      <c r="F32" s="564"/>
      <c r="G32" s="564"/>
      <c r="H32" s="567"/>
      <c r="I32" s="568"/>
      <c r="J32" s="568"/>
      <c r="K32" s="568"/>
      <c r="L32" s="568"/>
      <c r="M32" s="568"/>
      <c r="N32" s="568"/>
      <c r="O32" s="568"/>
      <c r="P32" s="569"/>
      <c r="Q32" s="222"/>
      <c r="R32" s="222"/>
      <c r="S32" s="222"/>
      <c r="T32" s="183"/>
    </row>
    <row r="33" spans="1:19" ht="19.5" customHeight="1">
      <c r="A33" s="169"/>
      <c r="B33" s="167"/>
      <c r="C33" s="563"/>
      <c r="D33" s="564"/>
      <c r="E33" s="564"/>
      <c r="F33" s="564"/>
      <c r="G33" s="564"/>
      <c r="H33" s="570"/>
      <c r="I33" s="571"/>
      <c r="J33" s="571"/>
      <c r="K33" s="571"/>
      <c r="L33" s="571"/>
      <c r="M33" s="571"/>
      <c r="N33" s="571"/>
      <c r="O33" s="571"/>
      <c r="P33" s="572"/>
      <c r="Q33" s="167"/>
      <c r="R33" s="167"/>
      <c r="S33" s="167"/>
    </row>
    <row r="34" spans="1:19" ht="19.5" customHeight="1" thickBot="1">
      <c r="A34" s="169"/>
      <c r="B34" s="167"/>
      <c r="C34" s="565"/>
      <c r="D34" s="566"/>
      <c r="E34" s="566"/>
      <c r="F34" s="566"/>
      <c r="G34" s="566"/>
      <c r="H34" s="573"/>
      <c r="I34" s="574"/>
      <c r="J34" s="574"/>
      <c r="K34" s="574"/>
      <c r="L34" s="574"/>
      <c r="M34" s="574"/>
      <c r="N34" s="574"/>
      <c r="O34" s="574"/>
      <c r="P34" s="575"/>
      <c r="Q34" s="167"/>
      <c r="R34" s="167"/>
      <c r="S34" s="167"/>
    </row>
    <row r="35" spans="1:19" ht="11.25" customHeight="1"/>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18"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70"/>
      <c r="D39" s="167"/>
      <c r="E39" s="167"/>
      <c r="F39" s="167"/>
      <c r="G39" s="167"/>
      <c r="H39" s="167"/>
      <c r="I39" s="167"/>
      <c r="J39" s="167"/>
      <c r="K39" s="167"/>
      <c r="L39" s="167"/>
      <c r="M39" s="167"/>
      <c r="N39" s="167"/>
      <c r="O39" s="167"/>
      <c r="P39" s="167"/>
      <c r="Q39" s="167"/>
      <c r="R39" s="167"/>
      <c r="S39" s="167"/>
    </row>
    <row r="40" spans="1:19" ht="24"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24"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2" spans="1:19" ht="18" customHeight="1">
      <c r="A52" s="169"/>
      <c r="B52" s="167"/>
      <c r="C52" s="168"/>
      <c r="D52" s="167"/>
      <c r="E52" s="167"/>
      <c r="F52" s="167"/>
      <c r="G52" s="167"/>
      <c r="H52" s="167"/>
      <c r="I52" s="167"/>
      <c r="J52" s="167"/>
      <c r="K52" s="167"/>
      <c r="L52" s="167"/>
      <c r="M52" s="167"/>
      <c r="N52" s="167"/>
      <c r="O52" s="167"/>
      <c r="P52" s="167"/>
      <c r="Q52" s="167"/>
      <c r="R52" s="167"/>
      <c r="S52" s="167"/>
    </row>
    <row r="53" spans="1:19" ht="18" customHeight="1">
      <c r="A53" s="169"/>
      <c r="B53" s="167"/>
      <c r="C53" s="168"/>
      <c r="D53" s="167"/>
      <c r="E53" s="167"/>
      <c r="F53" s="167"/>
      <c r="G53" s="167"/>
      <c r="H53" s="167"/>
      <c r="I53" s="167"/>
      <c r="J53" s="167"/>
      <c r="K53" s="167"/>
      <c r="L53" s="167"/>
      <c r="M53" s="167"/>
      <c r="N53" s="167"/>
      <c r="O53" s="167"/>
      <c r="P53" s="167"/>
      <c r="Q53" s="167"/>
      <c r="R53" s="167"/>
      <c r="S53" s="167"/>
    </row>
    <row r="59" spans="1:19" ht="18" customHeight="1">
      <c r="J59"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row>
    <row r="103" spans="1:17" ht="18" customHeight="1">
      <c r="A103" s="165" ph="1"/>
      <c r="B103" s="165" ph="1"/>
      <c r="C103" s="166" ph="1"/>
      <c r="D103" s="165" ph="1"/>
      <c r="J103" s="165" ph="1"/>
      <c r="K103" s="165" ph="1"/>
      <c r="L103" s="165" ph="1"/>
      <c r="M103" s="165" ph="1"/>
      <c r="N103" s="165" ph="1"/>
      <c r="O103" s="165" ph="1"/>
      <c r="P103" s="165" ph="1"/>
      <c r="Q103" s="165" ph="1"/>
    </row>
    <row r="104" spans="1:17" ht="18" customHeight="1">
      <c r="A104" s="165" ph="1"/>
      <c r="B104" s="165" ph="1"/>
      <c r="C104" s="166" ph="1"/>
      <c r="D104" s="165" ph="1"/>
    </row>
    <row r="105" spans="1:17" ht="18" customHeight="1">
      <c r="A105" s="165" ph="1"/>
      <c r="B105" s="165" ph="1"/>
      <c r="C105" s="166" ph="1"/>
      <c r="D105" s="165" ph="1"/>
    </row>
    <row r="106" spans="1:17" ht="18" customHeight="1">
      <c r="A106" s="165" ph="1"/>
      <c r="B106" s="165" ph="1"/>
      <c r="C106" s="166" ph="1"/>
      <c r="D106" s="165" ph="1"/>
      <c r="J106" s="165" ph="1"/>
      <c r="K106" s="165" ph="1"/>
      <c r="L106" s="165" ph="1"/>
      <c r="M106" s="165" ph="1"/>
      <c r="N106" s="165" ph="1"/>
      <c r="O106" s="165" ph="1"/>
      <c r="P106" s="165" ph="1"/>
      <c r="Q106" s="165" ph="1"/>
    </row>
    <row r="107" spans="1:17" ht="18" customHeight="1">
      <c r="A107" s="165" ph="1"/>
      <c r="B107" s="165" ph="1"/>
      <c r="C107" s="166" ph="1"/>
      <c r="D107" s="165" ph="1"/>
      <c r="J107" s="165" ph="1"/>
      <c r="K107" s="165" ph="1"/>
      <c r="L107" s="165" ph="1"/>
      <c r="M107" s="165" ph="1"/>
      <c r="N107" s="165" ph="1"/>
      <c r="O107" s="165" ph="1"/>
      <c r="P107" s="165" ph="1"/>
      <c r="Q107" s="165" ph="1"/>
    </row>
    <row r="108" spans="1:17" ht="18" customHeight="1">
      <c r="A108" s="165" ph="1"/>
      <c r="B108" s="165" ph="1"/>
      <c r="C108" s="166" ph="1"/>
      <c r="D108" s="165" ph="1"/>
      <c r="J108" s="165" ph="1"/>
      <c r="K108" s="165" ph="1"/>
      <c r="L108" s="165" ph="1"/>
      <c r="M108" s="165" ph="1"/>
      <c r="N108" s="165" ph="1"/>
      <c r="O108" s="165" ph="1"/>
      <c r="P108" s="165" ph="1"/>
      <c r="Q108" s="165" ph="1"/>
    </row>
    <row r="109" spans="1:17" ht="18" customHeight="1">
      <c r="A109" s="165" ph="1"/>
      <c r="B109" s="165" ph="1"/>
      <c r="C109" s="166" ph="1"/>
      <c r="D109" s="165" ph="1"/>
    </row>
    <row r="110" spans="1:17" ht="18" customHeight="1">
      <c r="A110" s="165" ph="1"/>
      <c r="B110" s="165" ph="1"/>
      <c r="C110" s="166" ph="1"/>
      <c r="D110" s="165" ph="1"/>
      <c r="J110" s="165" ph="1"/>
      <c r="K110" s="165" ph="1"/>
      <c r="L110" s="165" ph="1"/>
      <c r="M110" s="165" ph="1"/>
      <c r="N110" s="165" ph="1"/>
      <c r="O110" s="165" ph="1"/>
      <c r="P110" s="165" ph="1"/>
      <c r="Q110" s="165" ph="1"/>
    </row>
    <row r="111" spans="1:17" ht="18" customHeight="1">
      <c r="A111" s="165" ph="1"/>
      <c r="B111" s="165" ph="1"/>
      <c r="C111" s="166" ph="1"/>
      <c r="D111" s="165" ph="1"/>
    </row>
    <row r="112" spans="1:17" ht="18" customHeight="1">
      <c r="A112" s="165" ph="1"/>
      <c r="B112" s="165" ph="1"/>
      <c r="C112" s="166" ph="1"/>
      <c r="D112" s="165" ph="1"/>
    </row>
    <row r="113" spans="1:17" ht="18" customHeight="1">
      <c r="A113" s="165" ph="1"/>
      <c r="B113" s="165" ph="1"/>
      <c r="C113" s="166" ph="1"/>
      <c r="D113" s="165" ph="1"/>
      <c r="J113" s="165" ph="1"/>
      <c r="K113" s="165" ph="1"/>
      <c r="L113" s="165" ph="1"/>
      <c r="M113" s="165" ph="1"/>
      <c r="N113" s="165" ph="1"/>
      <c r="O113" s="165" ph="1"/>
      <c r="P113" s="165" ph="1"/>
      <c r="Q113" s="165" ph="1"/>
    </row>
  </sheetData>
  <mergeCells count="32">
    <mergeCell ref="C32:G34"/>
    <mergeCell ref="H32:J32"/>
    <mergeCell ref="K32:P32"/>
    <mergeCell ref="H33:J33"/>
    <mergeCell ref="K33:P33"/>
    <mergeCell ref="H34:J34"/>
    <mergeCell ref="K34:P34"/>
    <mergeCell ref="A3:S3"/>
    <mergeCell ref="J9:K9"/>
    <mergeCell ref="L9:S9"/>
    <mergeCell ref="J10:K10"/>
    <mergeCell ref="L10:S10"/>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J11:L11"/>
    <mergeCell ref="L12:Q12"/>
    <mergeCell ref="A13:S14"/>
    <mergeCell ref="A16:S16"/>
    <mergeCell ref="A18:T19"/>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M55"/>
  <sheetViews>
    <sheetView view="pageBreakPreview" zoomScaleNormal="100" workbookViewId="0"/>
  </sheetViews>
  <sheetFormatPr defaultRowHeight="19.5" customHeight="1"/>
  <cols>
    <col min="1" max="1" width="2.625" style="237" customWidth="1"/>
    <col min="2" max="2" width="2.25" style="237" customWidth="1"/>
    <col min="3" max="3" width="4.75" style="237" customWidth="1"/>
    <col min="4" max="4" width="6.375" style="237" customWidth="1"/>
    <col min="5" max="5" width="4.375" style="237" customWidth="1"/>
    <col min="6" max="6" width="7.875" style="237" customWidth="1"/>
    <col min="7" max="7" width="9.125" style="237" customWidth="1"/>
    <col min="8" max="8" width="8.75" style="237" customWidth="1"/>
    <col min="9" max="11" width="10" style="237" customWidth="1"/>
    <col min="12" max="12" width="10.625" style="237" customWidth="1"/>
    <col min="13" max="13" width="5" style="237" customWidth="1"/>
    <col min="14" max="16384" width="9" style="237"/>
  </cols>
  <sheetData>
    <row r="1" spans="1:13" ht="19.5" customHeight="1">
      <c r="A1" s="236" t="s">
        <v>397</v>
      </c>
      <c r="B1" s="236"/>
      <c r="C1" s="236"/>
      <c r="D1" s="236"/>
      <c r="E1" s="236"/>
      <c r="F1" s="236"/>
      <c r="G1" s="236"/>
      <c r="H1" s="236"/>
      <c r="I1" s="236"/>
      <c r="J1" s="236"/>
      <c r="K1" s="236"/>
      <c r="L1" s="236"/>
    </row>
    <row r="2" spans="1:13" ht="30" customHeight="1">
      <c r="A2" s="629" t="s">
        <v>396</v>
      </c>
      <c r="B2" s="629"/>
      <c r="C2" s="629"/>
      <c r="D2" s="629"/>
      <c r="E2" s="629"/>
      <c r="F2" s="629"/>
      <c r="G2" s="629"/>
      <c r="H2" s="629"/>
      <c r="I2" s="629"/>
      <c r="J2" s="629"/>
      <c r="K2" s="629"/>
      <c r="L2" s="629"/>
      <c r="M2" s="238"/>
    </row>
    <row r="3" spans="1:13" ht="15" customHeight="1">
      <c r="A3" s="239"/>
      <c r="B3" s="239"/>
      <c r="C3" s="239"/>
      <c r="D3" s="239"/>
      <c r="E3" s="239"/>
      <c r="F3" s="239"/>
      <c r="G3" s="239"/>
      <c r="H3" s="239"/>
      <c r="I3" s="239"/>
      <c r="J3" s="239"/>
      <c r="K3" s="239"/>
      <c r="L3" s="239"/>
      <c r="M3" s="240"/>
    </row>
    <row r="4" spans="1:13" ht="22.5" customHeight="1">
      <c r="A4" s="236"/>
      <c r="B4" s="236"/>
      <c r="C4" s="236"/>
      <c r="D4" s="236"/>
      <c r="E4" s="236"/>
      <c r="F4" s="236"/>
      <c r="G4" s="236"/>
      <c r="H4" s="236"/>
      <c r="I4" s="236"/>
      <c r="J4" s="236"/>
      <c r="K4" s="236"/>
      <c r="L4" s="241" t="s">
        <v>395</v>
      </c>
    </row>
    <row r="5" spans="1:13" ht="22.5" customHeight="1">
      <c r="A5" s="630" t="s">
        <v>504</v>
      </c>
      <c r="B5" s="630"/>
      <c r="C5" s="630"/>
      <c r="D5" s="630"/>
      <c r="E5" s="630"/>
      <c r="F5" s="630"/>
      <c r="G5" s="236"/>
      <c r="H5" s="236"/>
      <c r="I5" s="236"/>
      <c r="J5" s="236"/>
      <c r="K5" s="236"/>
      <c r="L5" s="241" t="s">
        <v>323</v>
      </c>
    </row>
    <row r="6" spans="1:13" ht="22.5" customHeight="1">
      <c r="A6" s="236"/>
      <c r="B6" s="236"/>
      <c r="C6" s="236"/>
      <c r="D6" s="236"/>
      <c r="E6" s="236"/>
      <c r="F6" s="236"/>
      <c r="G6" s="236"/>
      <c r="H6" s="236"/>
      <c r="I6" s="236"/>
      <c r="J6" s="236"/>
      <c r="K6" s="236"/>
      <c r="L6" s="236"/>
    </row>
    <row r="7" spans="1:13" ht="22.5" customHeight="1">
      <c r="A7" s="236"/>
      <c r="B7" s="236"/>
      <c r="C7" s="236"/>
      <c r="D7" s="236"/>
      <c r="E7" s="236"/>
      <c r="F7" s="236"/>
      <c r="G7" s="236" t="s">
        <v>394</v>
      </c>
      <c r="H7" s="236"/>
      <c r="I7" s="236"/>
      <c r="J7" s="236"/>
      <c r="K7" s="236"/>
      <c r="L7" s="236"/>
    </row>
    <row r="8" spans="1:13" ht="22.5" customHeight="1">
      <c r="A8" s="236"/>
      <c r="B8" s="236"/>
      <c r="C8" s="236"/>
      <c r="D8" s="236"/>
      <c r="E8" s="236"/>
      <c r="F8" s="236"/>
      <c r="G8" s="236"/>
      <c r="H8" s="236"/>
      <c r="I8" s="236"/>
      <c r="J8" s="236"/>
      <c r="K8" s="236"/>
      <c r="L8" s="236"/>
    </row>
    <row r="9" spans="1:13" ht="22.5" customHeight="1">
      <c r="A9" s="236"/>
      <c r="B9" s="236"/>
      <c r="C9" s="236"/>
      <c r="D9" s="236"/>
      <c r="E9" s="236"/>
      <c r="F9" s="236"/>
      <c r="G9" s="236" t="s">
        <v>322</v>
      </c>
      <c r="H9" s="236"/>
      <c r="I9" s="236"/>
      <c r="J9" s="236"/>
      <c r="K9" s="236"/>
      <c r="L9" s="242" t="s">
        <v>309</v>
      </c>
    </row>
    <row r="10" spans="1:13" ht="22.5" customHeight="1">
      <c r="A10" s="236"/>
      <c r="B10" s="236"/>
      <c r="C10" s="236"/>
      <c r="D10" s="236"/>
      <c r="E10" s="236"/>
      <c r="F10" s="236"/>
      <c r="G10" s="236" t="s">
        <v>320</v>
      </c>
      <c r="H10" s="236"/>
      <c r="I10" s="236"/>
      <c r="J10" s="236"/>
      <c r="K10" s="236"/>
      <c r="L10" s="236"/>
    </row>
    <row r="11" spans="1:13" ht="22.5" customHeight="1">
      <c r="A11" s="236"/>
      <c r="B11" s="236"/>
      <c r="C11" s="236"/>
      <c r="D11" s="236"/>
      <c r="E11" s="236"/>
      <c r="F11" s="236"/>
      <c r="G11" s="236"/>
      <c r="H11" s="236"/>
      <c r="I11" s="236"/>
      <c r="J11" s="236"/>
      <c r="K11" s="236"/>
      <c r="L11" s="236"/>
    </row>
    <row r="12" spans="1:13" ht="22.5" customHeight="1">
      <c r="A12" s="236" t="s">
        <v>505</v>
      </c>
      <c r="B12" s="236"/>
      <c r="C12" s="236"/>
      <c r="D12" s="236"/>
      <c r="E12" s="236"/>
      <c r="F12" s="236"/>
      <c r="G12" s="236"/>
      <c r="H12" s="236"/>
      <c r="I12" s="236"/>
      <c r="J12" s="236"/>
      <c r="K12" s="236"/>
      <c r="L12" s="236"/>
    </row>
    <row r="13" spans="1:13" ht="6.75" customHeight="1" thickBot="1">
      <c r="A13" s="236"/>
      <c r="B13" s="236"/>
      <c r="C13" s="236"/>
      <c r="D13" s="236"/>
      <c r="E13" s="236"/>
      <c r="F13" s="236"/>
      <c r="G13" s="236"/>
      <c r="H13" s="236"/>
      <c r="I13" s="236"/>
      <c r="J13" s="236"/>
      <c r="K13" s="236"/>
      <c r="L13" s="236"/>
    </row>
    <row r="14" spans="1:13" ht="30" customHeight="1">
      <c r="A14" s="631" t="s">
        <v>393</v>
      </c>
      <c r="B14" s="632"/>
      <c r="C14" s="632"/>
      <c r="D14" s="632"/>
      <c r="E14" s="633"/>
      <c r="F14" s="243"/>
      <c r="G14" s="243"/>
      <c r="H14" s="243"/>
      <c r="I14" s="634" t="s">
        <v>506</v>
      </c>
      <c r="J14" s="634"/>
      <c r="K14" s="634"/>
      <c r="L14" s="635"/>
    </row>
    <row r="15" spans="1:13" ht="30" customHeight="1" thickBot="1">
      <c r="A15" s="636" t="s">
        <v>392</v>
      </c>
      <c r="B15" s="637"/>
      <c r="C15" s="637"/>
      <c r="D15" s="637"/>
      <c r="E15" s="638"/>
      <c r="F15" s="244"/>
      <c r="G15" s="244"/>
      <c r="H15" s="244"/>
      <c r="I15" s="244"/>
      <c r="J15" s="244"/>
      <c r="K15" s="244"/>
      <c r="L15" s="245"/>
    </row>
    <row r="16" spans="1:13" ht="30" customHeight="1" thickTop="1">
      <c r="A16" s="598" t="s">
        <v>391</v>
      </c>
      <c r="B16" s="599"/>
      <c r="C16" s="599"/>
      <c r="D16" s="600"/>
      <c r="E16" s="601"/>
      <c r="F16" s="246"/>
      <c r="G16" s="246"/>
      <c r="H16" s="246"/>
      <c r="I16" s="246"/>
      <c r="J16" s="246"/>
      <c r="K16" s="246"/>
      <c r="L16" s="247"/>
    </row>
    <row r="17" spans="1:12" ht="22.5" customHeight="1">
      <c r="A17" s="602"/>
      <c r="B17" s="603"/>
      <c r="C17" s="603"/>
      <c r="D17" s="603"/>
      <c r="E17" s="604"/>
      <c r="F17" s="605" t="s">
        <v>390</v>
      </c>
      <c r="G17" s="606"/>
      <c r="H17" s="606"/>
      <c r="I17" s="606" t="s">
        <v>507</v>
      </c>
      <c r="J17" s="606"/>
      <c r="K17" s="606"/>
      <c r="L17" s="607"/>
    </row>
    <row r="18" spans="1:12" ht="30" customHeight="1">
      <c r="A18" s="614" t="s">
        <v>389</v>
      </c>
      <c r="B18" s="615"/>
      <c r="C18" s="615"/>
      <c r="D18" s="616"/>
      <c r="E18" s="617"/>
      <c r="F18" s="248"/>
      <c r="G18" s="249"/>
      <c r="H18" s="249"/>
      <c r="I18" s="249"/>
      <c r="J18" s="249"/>
      <c r="K18" s="249"/>
      <c r="L18" s="250"/>
    </row>
    <row r="19" spans="1:12" s="188" customFormat="1" ht="30" customHeight="1">
      <c r="A19" s="618" t="s">
        <v>508</v>
      </c>
      <c r="B19" s="619"/>
      <c r="C19" s="619"/>
      <c r="D19" s="619"/>
      <c r="E19" s="620"/>
      <c r="F19" s="621" t="s">
        <v>509</v>
      </c>
      <c r="G19" s="622"/>
      <c r="H19" s="622"/>
      <c r="I19" s="622"/>
      <c r="J19" s="622"/>
      <c r="K19" s="622"/>
      <c r="L19" s="623"/>
    </row>
    <row r="20" spans="1:12" s="188" customFormat="1" ht="30" customHeight="1">
      <c r="A20" s="251"/>
      <c r="B20" s="624" t="s">
        <v>510</v>
      </c>
      <c r="C20" s="625"/>
      <c r="D20" s="625"/>
      <c r="E20" s="626"/>
      <c r="F20" s="627"/>
      <c r="G20" s="628"/>
      <c r="H20" s="252" t="s">
        <v>511</v>
      </c>
      <c r="I20" s="252"/>
      <c r="J20" s="252"/>
      <c r="K20" s="252"/>
      <c r="L20" s="253"/>
    </row>
    <row r="21" spans="1:12" s="188" customFormat="1" ht="30" customHeight="1">
      <c r="A21" s="254"/>
      <c r="B21" s="608" t="s">
        <v>512</v>
      </c>
      <c r="C21" s="609"/>
      <c r="D21" s="609"/>
      <c r="E21" s="610"/>
      <c r="F21" s="611" t="s">
        <v>509</v>
      </c>
      <c r="G21" s="612"/>
      <c r="H21" s="612"/>
      <c r="I21" s="612"/>
      <c r="J21" s="612"/>
      <c r="K21" s="612"/>
      <c r="L21" s="613"/>
    </row>
    <row r="22" spans="1:12" ht="30" customHeight="1">
      <c r="A22" s="580" t="s">
        <v>386</v>
      </c>
      <c r="B22" s="581"/>
      <c r="C22" s="581"/>
      <c r="D22" s="581"/>
      <c r="E22" s="582"/>
      <c r="F22" s="589" t="s">
        <v>513</v>
      </c>
      <c r="G22" s="590"/>
      <c r="H22" s="590"/>
      <c r="I22" s="590"/>
      <c r="J22" s="255" t="s">
        <v>388</v>
      </c>
      <c r="K22" s="255" t="s">
        <v>387</v>
      </c>
      <c r="L22" s="256"/>
    </row>
    <row r="23" spans="1:12" ht="30" customHeight="1">
      <c r="A23" s="583"/>
      <c r="B23" s="584"/>
      <c r="C23" s="584"/>
      <c r="D23" s="584"/>
      <c r="E23" s="585"/>
      <c r="F23" s="591"/>
      <c r="G23" s="592"/>
      <c r="H23" s="592"/>
      <c r="I23" s="592"/>
      <c r="J23" s="592"/>
      <c r="K23" s="592"/>
      <c r="L23" s="593"/>
    </row>
    <row r="24" spans="1:12" ht="30" customHeight="1" thickBot="1">
      <c r="A24" s="586"/>
      <c r="B24" s="587"/>
      <c r="C24" s="587"/>
      <c r="D24" s="587"/>
      <c r="E24" s="588"/>
      <c r="F24" s="594"/>
      <c r="G24" s="595"/>
      <c r="H24" s="595"/>
      <c r="I24" s="595"/>
      <c r="J24" s="595"/>
      <c r="K24" s="595"/>
      <c r="L24" s="596"/>
    </row>
    <row r="25" spans="1:12" ht="10.5" customHeight="1">
      <c r="A25" s="236"/>
      <c r="B25" s="236"/>
      <c r="C25" s="236"/>
      <c r="D25" s="236"/>
      <c r="E25" s="236"/>
      <c r="F25" s="236"/>
      <c r="G25" s="236"/>
      <c r="H25" s="236"/>
      <c r="I25" s="236"/>
      <c r="J25" s="236"/>
      <c r="K25" s="236"/>
      <c r="L25" s="236"/>
    </row>
    <row r="26" spans="1:12" ht="18" customHeight="1">
      <c r="A26" s="597" t="s">
        <v>514</v>
      </c>
      <c r="B26" s="597"/>
      <c r="C26" s="257"/>
      <c r="D26" s="257"/>
      <c r="E26" s="257"/>
      <c r="F26" s="257"/>
      <c r="G26" s="257"/>
      <c r="H26" s="236"/>
      <c r="I26" s="236"/>
      <c r="J26" s="236"/>
      <c r="K26" s="236"/>
      <c r="L26" s="236"/>
    </row>
    <row r="27" spans="1:12" s="259" customFormat="1" ht="19.5" customHeight="1">
      <c r="A27" s="258" t="s">
        <v>515</v>
      </c>
      <c r="B27" s="639" t="s">
        <v>516</v>
      </c>
      <c r="C27" s="639"/>
      <c r="D27" s="639"/>
      <c r="E27" s="639"/>
      <c r="F27" s="639"/>
      <c r="G27" s="639"/>
      <c r="H27" s="639"/>
      <c r="I27" s="639"/>
      <c r="J27" s="639"/>
      <c r="K27" s="639"/>
      <c r="L27" s="639"/>
    </row>
    <row r="28" spans="1:12" s="259" customFormat="1" ht="18.75" customHeight="1">
      <c r="A28" s="258" t="s">
        <v>517</v>
      </c>
      <c r="B28" s="639" t="s">
        <v>518</v>
      </c>
      <c r="C28" s="639"/>
      <c r="D28" s="639"/>
      <c r="E28" s="639"/>
      <c r="F28" s="639"/>
      <c r="G28" s="639"/>
      <c r="H28" s="639"/>
      <c r="I28" s="639"/>
      <c r="J28" s="639"/>
      <c r="K28" s="639"/>
      <c r="L28" s="639"/>
    </row>
    <row r="29" spans="1:12" s="259" customFormat="1" ht="15" customHeight="1">
      <c r="A29" s="260"/>
      <c r="B29" s="640" t="s">
        <v>519</v>
      </c>
      <c r="C29" s="640"/>
      <c r="D29" s="640"/>
      <c r="E29" s="640"/>
      <c r="F29" s="640"/>
      <c r="G29" s="640"/>
      <c r="H29" s="640"/>
      <c r="I29" s="640"/>
      <c r="J29" s="640"/>
      <c r="K29" s="640"/>
      <c r="L29" s="640"/>
    </row>
    <row r="30" spans="1:12" s="259" customFormat="1" ht="12.75" customHeight="1">
      <c r="A30" s="260"/>
      <c r="B30" s="640"/>
      <c r="C30" s="640"/>
      <c r="D30" s="640"/>
      <c r="E30" s="640"/>
      <c r="F30" s="640"/>
      <c r="G30" s="640"/>
      <c r="H30" s="640"/>
      <c r="I30" s="640"/>
      <c r="J30" s="640"/>
      <c r="K30" s="640"/>
      <c r="L30" s="640"/>
    </row>
    <row r="31" spans="1:12" s="259" customFormat="1" ht="15" customHeight="1">
      <c r="A31" s="261"/>
      <c r="B31" s="639" t="s">
        <v>520</v>
      </c>
      <c r="C31" s="639"/>
      <c r="D31" s="639"/>
      <c r="E31" s="639"/>
      <c r="F31" s="639"/>
      <c r="G31" s="639"/>
      <c r="H31" s="639"/>
      <c r="I31" s="639"/>
      <c r="J31" s="639"/>
      <c r="K31" s="639"/>
      <c r="L31" s="639"/>
    </row>
    <row r="32" spans="1:12" s="259" customFormat="1" ht="15" customHeight="1">
      <c r="A32" s="261"/>
      <c r="B32" s="639"/>
      <c r="C32" s="639"/>
      <c r="D32" s="639"/>
      <c r="E32" s="639"/>
      <c r="F32" s="639"/>
      <c r="G32" s="639"/>
      <c r="H32" s="639"/>
      <c r="I32" s="639"/>
      <c r="J32" s="639"/>
      <c r="K32" s="639"/>
      <c r="L32" s="639"/>
    </row>
    <row r="33" spans="1:12" s="259" customFormat="1" ht="15" customHeight="1">
      <c r="A33" s="258" t="s">
        <v>521</v>
      </c>
      <c r="B33" s="639" t="s">
        <v>522</v>
      </c>
      <c r="C33" s="639"/>
      <c r="D33" s="639"/>
      <c r="E33" s="639"/>
      <c r="F33" s="639"/>
      <c r="G33" s="639"/>
      <c r="H33" s="639"/>
      <c r="I33" s="639"/>
      <c r="J33" s="639"/>
      <c r="K33" s="639"/>
      <c r="L33" s="639"/>
    </row>
    <row r="34" spans="1:12" s="259" customFormat="1" ht="15" customHeight="1">
      <c r="A34" s="258"/>
      <c r="B34" s="639"/>
      <c r="C34" s="639"/>
      <c r="D34" s="639"/>
      <c r="E34" s="639"/>
      <c r="F34" s="639"/>
      <c r="G34" s="639"/>
      <c r="H34" s="639"/>
      <c r="I34" s="639"/>
      <c r="J34" s="639"/>
      <c r="K34" s="639"/>
      <c r="L34" s="639"/>
    </row>
    <row r="35" spans="1:12" s="259" customFormat="1" ht="7.5" customHeight="1">
      <c r="A35" s="261"/>
      <c r="B35" s="639"/>
      <c r="C35" s="639"/>
      <c r="D35" s="639"/>
      <c r="E35" s="639"/>
      <c r="F35" s="639"/>
      <c r="G35" s="639"/>
      <c r="H35" s="639"/>
      <c r="I35" s="639"/>
      <c r="J35" s="639"/>
      <c r="K35" s="639"/>
      <c r="L35" s="639"/>
    </row>
    <row r="36" spans="1:12" s="259" customFormat="1" ht="17.25" customHeight="1">
      <c r="A36" s="261"/>
      <c r="B36" s="639" t="s">
        <v>523</v>
      </c>
      <c r="C36" s="639"/>
      <c r="D36" s="639"/>
      <c r="E36" s="639"/>
      <c r="F36" s="639"/>
      <c r="G36" s="639"/>
      <c r="H36" s="639"/>
      <c r="I36" s="639"/>
      <c r="J36" s="639"/>
      <c r="K36" s="639"/>
      <c r="L36" s="639"/>
    </row>
    <row r="37" spans="1:12" s="259" customFormat="1" ht="15" customHeight="1">
      <c r="A37" s="258" t="s">
        <v>524</v>
      </c>
      <c r="B37" s="639" t="s">
        <v>525</v>
      </c>
      <c r="C37" s="639"/>
      <c r="D37" s="639"/>
      <c r="E37" s="639"/>
      <c r="F37" s="639"/>
      <c r="G37" s="639"/>
      <c r="H37" s="639"/>
      <c r="I37" s="639"/>
      <c r="J37" s="639"/>
      <c r="K37" s="639"/>
      <c r="L37" s="639"/>
    </row>
    <row r="38" spans="1:12" s="259" customFormat="1" ht="15" customHeight="1">
      <c r="A38" s="261"/>
      <c r="B38" s="639"/>
      <c r="C38" s="639"/>
      <c r="D38" s="639"/>
      <c r="E38" s="639"/>
      <c r="F38" s="639"/>
      <c r="G38" s="639"/>
      <c r="H38" s="639"/>
      <c r="I38" s="639"/>
      <c r="J38" s="639"/>
      <c r="K38" s="639"/>
      <c r="L38" s="639"/>
    </row>
    <row r="39" spans="1:12" s="259" customFormat="1" ht="15" customHeight="1">
      <c r="D39" s="262"/>
      <c r="E39" s="263"/>
      <c r="F39" s="263"/>
      <c r="G39" s="263"/>
      <c r="H39" s="263"/>
      <c r="I39" s="263"/>
      <c r="J39" s="263"/>
      <c r="K39" s="263"/>
      <c r="L39" s="263"/>
    </row>
    <row r="40" spans="1:12" s="259" customFormat="1" ht="15" customHeight="1">
      <c r="D40" s="262"/>
      <c r="E40" s="263"/>
      <c r="F40" s="263"/>
      <c r="G40" s="263"/>
      <c r="H40" s="263"/>
      <c r="I40" s="263"/>
      <c r="J40" s="263"/>
      <c r="K40" s="263"/>
      <c r="L40" s="263"/>
    </row>
    <row r="41" spans="1:12" s="259" customFormat="1" ht="15" customHeight="1">
      <c r="D41" s="262"/>
      <c r="E41" s="263"/>
      <c r="F41" s="263"/>
      <c r="G41" s="263"/>
      <c r="H41" s="263"/>
      <c r="I41" s="263"/>
      <c r="J41" s="263"/>
      <c r="K41" s="263"/>
      <c r="L41" s="263"/>
    </row>
    <row r="42" spans="1:12" s="259" customFormat="1" ht="15" customHeight="1">
      <c r="D42" s="262"/>
      <c r="E42" s="263"/>
      <c r="F42" s="263"/>
      <c r="G42" s="263"/>
      <c r="H42" s="263"/>
      <c r="I42" s="263"/>
      <c r="J42" s="263"/>
      <c r="K42" s="263"/>
      <c r="L42" s="263"/>
    </row>
    <row r="43" spans="1:12" s="259" customFormat="1" ht="15" customHeight="1">
      <c r="D43" s="264"/>
    </row>
    <row r="44" spans="1:12" s="259" customFormat="1" ht="15" customHeight="1"/>
    <row r="45" spans="1:12" s="259" customFormat="1" ht="15" customHeight="1"/>
    <row r="46" spans="1:12" s="259" customFormat="1" ht="15" customHeight="1"/>
    <row r="47" spans="1:12" s="259" customFormat="1" ht="15" customHeight="1"/>
    <row r="48" spans="1:12" s="259" customFormat="1" ht="15" customHeight="1"/>
    <row r="49" s="259" customFormat="1" ht="15" customHeight="1"/>
    <row r="50" s="259" customFormat="1" ht="15" customHeight="1"/>
    <row r="51" s="259" customFormat="1" ht="15" customHeight="1"/>
    <row r="52" s="259" customFormat="1" ht="15" customHeight="1"/>
    <row r="53" s="259" customFormat="1" ht="15" customHeight="1"/>
    <row r="54" s="259" customFormat="1" ht="15" customHeight="1"/>
    <row r="55" s="259" customFormat="1" ht="15" customHeight="1"/>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75FF-4C53-4AF4-ACA5-087AF751CCCA}">
  <sheetPr>
    <tabColor rgb="FF00B0F0"/>
    <pageSetUpPr fitToPage="1"/>
  </sheetPr>
  <dimension ref="A1:I52"/>
  <sheetViews>
    <sheetView view="pageBreakPreview" topLeftCell="A13" workbookViewId="0">
      <selection activeCell="F33" sqref="F33"/>
    </sheetView>
  </sheetViews>
  <sheetFormatPr defaultColWidth="8.875" defaultRowHeight="13.5"/>
  <cols>
    <col min="1" max="8" width="8.875" style="145"/>
    <col min="9" max="9" width="12.5" style="145" customWidth="1"/>
    <col min="10" max="16384" width="8.875" style="145"/>
  </cols>
  <sheetData>
    <row r="1" spans="1:9" ht="17.25">
      <c r="A1" s="160" t="s">
        <v>408</v>
      </c>
    </row>
    <row r="2" spans="1:9" ht="17.25">
      <c r="A2" s="160"/>
    </row>
    <row r="3" spans="1:9" ht="14.25">
      <c r="A3" s="647" t="s">
        <v>407</v>
      </c>
      <c r="B3" s="647"/>
      <c r="C3" s="647"/>
      <c r="D3" s="647"/>
      <c r="E3" s="647"/>
      <c r="F3" s="647"/>
      <c r="G3" s="647"/>
      <c r="H3" s="647"/>
      <c r="I3" s="647"/>
    </row>
    <row r="4" spans="1:9" ht="15" thickBot="1">
      <c r="B4" s="278"/>
      <c r="C4" s="278"/>
      <c r="D4" s="278"/>
      <c r="E4" s="278"/>
      <c r="F4" s="278"/>
      <c r="G4" s="278"/>
      <c r="H4" s="278"/>
    </row>
    <row r="5" spans="1:9" ht="14.25">
      <c r="A5" s="648" t="s">
        <v>406</v>
      </c>
      <c r="B5" s="649"/>
      <c r="C5" s="649"/>
      <c r="D5" s="650" t="s">
        <v>574</v>
      </c>
      <c r="E5" s="650"/>
      <c r="F5" s="650"/>
      <c r="G5" s="650"/>
      <c r="H5" s="650"/>
      <c r="I5" s="651"/>
    </row>
    <row r="6" spans="1:9" ht="15" thickBot="1">
      <c r="A6" s="652" t="s">
        <v>405</v>
      </c>
      <c r="B6" s="653"/>
      <c r="C6" s="653"/>
      <c r="D6" s="654" t="s">
        <v>627</v>
      </c>
      <c r="E6" s="654"/>
      <c r="F6" s="654"/>
      <c r="G6" s="654"/>
      <c r="H6" s="654"/>
      <c r="I6" s="655"/>
    </row>
    <row r="7" spans="1:9" ht="14.25" thickBot="1">
      <c r="A7" s="298"/>
      <c r="B7" s="298"/>
      <c r="C7" s="298"/>
      <c r="D7" s="298"/>
      <c r="E7" s="298"/>
      <c r="F7" s="298"/>
      <c r="G7" s="298"/>
      <c r="H7" s="298"/>
      <c r="I7" s="298"/>
    </row>
    <row r="8" spans="1:9">
      <c r="A8" s="656" t="s">
        <v>404</v>
      </c>
      <c r="B8" s="657"/>
      <c r="C8" s="657"/>
      <c r="D8" s="657"/>
      <c r="E8" s="657"/>
      <c r="F8" s="657"/>
      <c r="G8" s="657"/>
      <c r="H8" s="657"/>
      <c r="I8" s="658"/>
    </row>
    <row r="9" spans="1:9">
      <c r="A9" s="299" t="s">
        <v>403</v>
      </c>
      <c r="B9" s="300"/>
      <c r="C9" s="300"/>
      <c r="D9" s="300"/>
      <c r="E9" s="300"/>
      <c r="F9" s="300"/>
      <c r="G9" s="300"/>
      <c r="H9" s="300"/>
      <c r="I9" s="301"/>
    </row>
    <row r="10" spans="1:9">
      <c r="A10" s="302"/>
      <c r="B10" s="300"/>
      <c r="C10" s="300"/>
      <c r="D10" s="300"/>
      <c r="E10" s="300"/>
      <c r="F10" s="300"/>
      <c r="G10" s="300"/>
      <c r="H10" s="300"/>
      <c r="I10" s="301"/>
    </row>
    <row r="11" spans="1:9">
      <c r="A11" s="302"/>
      <c r="B11" s="300" t="s">
        <v>632</v>
      </c>
      <c r="C11" s="300"/>
      <c r="D11" s="300"/>
      <c r="E11" s="300"/>
      <c r="F11" s="300"/>
      <c r="G11" s="300"/>
      <c r="H11" s="300"/>
      <c r="I11" s="301"/>
    </row>
    <row r="12" spans="1:9">
      <c r="A12" s="302"/>
      <c r="B12" s="300" t="s">
        <v>633</v>
      </c>
      <c r="C12" s="300"/>
      <c r="D12" s="300"/>
      <c r="E12" s="300"/>
      <c r="F12" s="300"/>
      <c r="G12" s="300"/>
      <c r="H12" s="300"/>
      <c r="I12" s="301"/>
    </row>
    <row r="13" spans="1:9">
      <c r="A13" s="302"/>
      <c r="B13" s="300" t="s">
        <v>634</v>
      </c>
      <c r="C13" s="300"/>
      <c r="D13" s="300"/>
      <c r="E13" s="300"/>
      <c r="F13" s="300"/>
      <c r="G13" s="300"/>
      <c r="H13" s="300"/>
      <c r="I13" s="301"/>
    </row>
    <row r="14" spans="1:9">
      <c r="A14" s="302"/>
      <c r="B14" s="300" t="s">
        <v>635</v>
      </c>
      <c r="C14" s="300"/>
      <c r="D14" s="300"/>
      <c r="E14" s="300"/>
      <c r="F14" s="300"/>
      <c r="G14" s="300"/>
      <c r="H14" s="300"/>
      <c r="I14" s="301"/>
    </row>
    <row r="15" spans="1:9">
      <c r="A15" s="302"/>
      <c r="B15" s="300" t="s">
        <v>636</v>
      </c>
      <c r="C15" s="300"/>
      <c r="D15" s="300"/>
      <c r="E15" s="300"/>
      <c r="F15" s="300"/>
      <c r="G15" s="300"/>
      <c r="H15" s="300"/>
      <c r="I15" s="301"/>
    </row>
    <row r="16" spans="1:9">
      <c r="A16" s="302"/>
      <c r="B16" s="300" t="s">
        <v>637</v>
      </c>
      <c r="C16" s="300"/>
      <c r="D16" s="300"/>
      <c r="E16" s="300"/>
      <c r="F16" s="300"/>
      <c r="G16" s="300"/>
      <c r="H16" s="300"/>
      <c r="I16" s="301"/>
    </row>
    <row r="17" spans="1:9">
      <c r="A17" s="302"/>
      <c r="B17" s="300" t="s">
        <v>638</v>
      </c>
      <c r="C17" s="300"/>
      <c r="D17" s="300"/>
      <c r="E17" s="300"/>
      <c r="F17" s="300"/>
      <c r="G17" s="300"/>
      <c r="H17" s="300"/>
      <c r="I17" s="301"/>
    </row>
    <row r="18" spans="1:9">
      <c r="A18" s="302"/>
      <c r="B18" s="641" t="s">
        <v>639</v>
      </c>
      <c r="C18" s="641"/>
      <c r="D18" s="641"/>
      <c r="E18" s="641"/>
      <c r="F18" s="641"/>
      <c r="G18" s="641"/>
      <c r="H18" s="641"/>
      <c r="I18" s="642"/>
    </row>
    <row r="19" spans="1:9">
      <c r="A19" s="302"/>
      <c r="B19" s="300" t="s">
        <v>640</v>
      </c>
      <c r="C19" s="300"/>
      <c r="D19" s="300"/>
      <c r="E19" s="300"/>
      <c r="F19" s="300"/>
      <c r="G19" s="300"/>
      <c r="H19" s="300"/>
      <c r="I19" s="301"/>
    </row>
    <row r="20" spans="1:9">
      <c r="A20" s="299" t="s">
        <v>402</v>
      </c>
      <c r="B20" s="300"/>
      <c r="C20" s="300"/>
      <c r="D20" s="300"/>
      <c r="E20" s="300"/>
      <c r="F20" s="300"/>
      <c r="G20" s="300"/>
      <c r="H20" s="300"/>
      <c r="I20" s="301"/>
    </row>
    <row r="21" spans="1:9">
      <c r="A21" s="302"/>
      <c r="B21" s="300"/>
      <c r="C21" s="300"/>
      <c r="D21" s="300"/>
      <c r="E21" s="300"/>
      <c r="F21" s="300"/>
      <c r="G21" s="300"/>
      <c r="H21" s="300"/>
      <c r="I21" s="301"/>
    </row>
    <row r="22" spans="1:9">
      <c r="A22" s="302"/>
      <c r="B22" s="300" t="s">
        <v>641</v>
      </c>
      <c r="C22" s="300"/>
      <c r="D22" s="300"/>
      <c r="E22" s="300"/>
      <c r="F22" s="300"/>
      <c r="G22" s="300"/>
      <c r="H22" s="300"/>
      <c r="I22" s="301"/>
    </row>
    <row r="23" spans="1:9">
      <c r="A23" s="302"/>
      <c r="B23" s="300" t="s">
        <v>642</v>
      </c>
      <c r="C23" s="300"/>
      <c r="D23" s="300"/>
      <c r="E23" s="300"/>
      <c r="F23" s="300"/>
      <c r="G23" s="300"/>
      <c r="H23" s="300"/>
      <c r="I23" s="301"/>
    </row>
    <row r="24" spans="1:9">
      <c r="A24" s="302"/>
      <c r="B24" s="300" t="s">
        <v>643</v>
      </c>
      <c r="C24" s="300"/>
      <c r="D24" s="300"/>
      <c r="E24" s="300"/>
      <c r="F24" s="300"/>
      <c r="G24" s="300"/>
      <c r="H24" s="300"/>
      <c r="I24" s="301"/>
    </row>
    <row r="25" spans="1:9">
      <c r="A25" s="302"/>
      <c r="B25" s="300" t="s">
        <v>644</v>
      </c>
      <c r="C25" s="300"/>
      <c r="D25" s="300"/>
      <c r="E25" s="300"/>
      <c r="F25" s="300"/>
      <c r="G25" s="300"/>
      <c r="H25" s="300"/>
      <c r="I25" s="301"/>
    </row>
    <row r="26" spans="1:9">
      <c r="A26" s="302"/>
      <c r="B26" s="300" t="s">
        <v>645</v>
      </c>
      <c r="C26" s="300"/>
      <c r="D26" s="300"/>
      <c r="E26" s="300"/>
      <c r="F26" s="300"/>
      <c r="G26" s="300"/>
      <c r="H26" s="300"/>
      <c r="I26" s="301"/>
    </row>
    <row r="27" spans="1:9">
      <c r="A27" s="302"/>
      <c r="B27" s="300" t="s">
        <v>646</v>
      </c>
      <c r="C27" s="300"/>
      <c r="D27" s="300"/>
      <c r="E27" s="300"/>
      <c r="F27" s="300"/>
      <c r="G27" s="300"/>
      <c r="H27" s="300"/>
      <c r="I27" s="301"/>
    </row>
    <row r="28" spans="1:9">
      <c r="A28" s="302"/>
      <c r="B28" s="300"/>
      <c r="C28" s="300"/>
      <c r="D28" s="300"/>
      <c r="E28" s="300"/>
      <c r="F28" s="300"/>
      <c r="G28" s="300"/>
      <c r="H28" s="300"/>
      <c r="I28" s="301"/>
    </row>
    <row r="29" spans="1:9">
      <c r="A29" s="299" t="s">
        <v>401</v>
      </c>
      <c r="B29" s="300"/>
      <c r="C29" s="300"/>
      <c r="D29" s="300"/>
      <c r="E29" s="300"/>
      <c r="F29" s="300"/>
      <c r="G29" s="300"/>
      <c r="H29" s="300"/>
      <c r="I29" s="301"/>
    </row>
    <row r="30" spans="1:9">
      <c r="A30" s="302"/>
      <c r="B30" s="303" t="s">
        <v>647</v>
      </c>
      <c r="C30" s="300"/>
      <c r="D30" s="300"/>
      <c r="E30" s="300"/>
      <c r="F30" s="300"/>
      <c r="G30" s="300"/>
      <c r="H30" s="300"/>
      <c r="I30" s="301"/>
    </row>
    <row r="31" spans="1:9">
      <c r="A31" s="302"/>
      <c r="B31" s="303" t="s">
        <v>648</v>
      </c>
      <c r="C31" s="300"/>
      <c r="D31" s="300"/>
      <c r="E31" s="300"/>
      <c r="F31" s="300"/>
      <c r="G31" s="300"/>
      <c r="H31" s="300"/>
      <c r="I31" s="301"/>
    </row>
    <row r="32" spans="1:9">
      <c r="A32" s="302"/>
      <c r="B32" s="303" t="s">
        <v>649</v>
      </c>
      <c r="C32" s="300"/>
      <c r="D32" s="300"/>
      <c r="E32" s="300"/>
      <c r="F32" s="300"/>
      <c r="G32" s="300"/>
      <c r="H32" s="300"/>
      <c r="I32" s="301"/>
    </row>
    <row r="33" spans="1:9">
      <c r="A33" s="302"/>
      <c r="B33" s="303" t="s">
        <v>650</v>
      </c>
      <c r="C33" s="300"/>
      <c r="D33" s="300"/>
      <c r="E33" s="300"/>
      <c r="F33" s="300"/>
      <c r="G33" s="300"/>
      <c r="H33" s="300"/>
      <c r="I33" s="301"/>
    </row>
    <row r="34" spans="1:9">
      <c r="A34" s="302"/>
      <c r="B34" s="303" t="s">
        <v>651</v>
      </c>
      <c r="C34" s="300"/>
      <c r="D34" s="300"/>
      <c r="E34" s="300"/>
      <c r="F34" s="300"/>
      <c r="G34" s="300"/>
      <c r="H34" s="300"/>
      <c r="I34" s="301"/>
    </row>
    <row r="35" spans="1:9">
      <c r="A35" s="302"/>
      <c r="B35" s="303" t="s">
        <v>652</v>
      </c>
      <c r="C35" s="300"/>
      <c r="D35" s="300"/>
      <c r="E35" s="300"/>
      <c r="F35" s="300"/>
      <c r="G35" s="300"/>
      <c r="H35" s="300"/>
      <c r="I35" s="301"/>
    </row>
    <row r="36" spans="1:9">
      <c r="A36" s="302"/>
      <c r="B36" s="300"/>
      <c r="C36" s="300"/>
      <c r="D36" s="300"/>
      <c r="E36" s="300"/>
      <c r="F36" s="300"/>
      <c r="G36" s="300"/>
      <c r="H36" s="300"/>
      <c r="I36" s="301"/>
    </row>
    <row r="37" spans="1:9">
      <c r="A37" s="299" t="s">
        <v>400</v>
      </c>
      <c r="B37" s="300"/>
      <c r="C37" s="300"/>
      <c r="D37" s="300"/>
      <c r="E37" s="300"/>
      <c r="F37" s="300"/>
      <c r="G37" s="300"/>
      <c r="H37" s="300"/>
      <c r="I37" s="301"/>
    </row>
    <row r="38" spans="1:9">
      <c r="A38" s="302"/>
      <c r="B38" s="300" t="s">
        <v>653</v>
      </c>
      <c r="C38" s="300"/>
      <c r="D38" s="300"/>
      <c r="E38" s="300"/>
      <c r="F38" s="300"/>
      <c r="G38" s="300"/>
      <c r="H38" s="300"/>
      <c r="I38" s="301"/>
    </row>
    <row r="39" spans="1:9">
      <c r="A39" s="302"/>
      <c r="B39" s="300" t="s">
        <v>654</v>
      </c>
      <c r="C39" s="300"/>
      <c r="D39" s="300"/>
      <c r="E39" s="300"/>
      <c r="F39" s="300"/>
      <c r="G39" s="300"/>
      <c r="H39" s="300"/>
      <c r="I39" s="301"/>
    </row>
    <row r="40" spans="1:9">
      <c r="A40" s="302"/>
      <c r="B40" s="300"/>
      <c r="C40" s="300"/>
      <c r="D40" s="300"/>
      <c r="E40" s="300"/>
      <c r="F40" s="300"/>
      <c r="G40" s="300"/>
      <c r="H40" s="300"/>
      <c r="I40" s="301"/>
    </row>
    <row r="41" spans="1:9">
      <c r="A41" s="302"/>
      <c r="B41" s="300" t="s">
        <v>655</v>
      </c>
      <c r="C41" s="300"/>
      <c r="D41" s="300"/>
      <c r="E41" s="300"/>
      <c r="F41" s="300"/>
      <c r="G41" s="300"/>
      <c r="H41" s="300"/>
      <c r="I41" s="301"/>
    </row>
    <row r="42" spans="1:9">
      <c r="A42" s="302"/>
      <c r="B42" s="300" t="s">
        <v>656</v>
      </c>
      <c r="C42" s="300"/>
      <c r="D42" s="300"/>
      <c r="E42" s="300"/>
      <c r="F42" s="300"/>
      <c r="G42" s="300"/>
      <c r="H42" s="300"/>
      <c r="I42" s="301"/>
    </row>
    <row r="43" spans="1:9">
      <c r="A43" s="302"/>
      <c r="B43" s="300" t="s">
        <v>657</v>
      </c>
      <c r="C43" s="300"/>
      <c r="D43" s="300"/>
      <c r="E43" s="300"/>
      <c r="F43" s="300"/>
      <c r="G43" s="300"/>
      <c r="H43" s="300"/>
      <c r="I43" s="301"/>
    </row>
    <row r="44" spans="1:9">
      <c r="A44" s="302"/>
      <c r="B44" s="643" t="s">
        <v>658</v>
      </c>
      <c r="C44" s="643"/>
      <c r="D44" s="643"/>
      <c r="E44" s="643"/>
      <c r="F44" s="643"/>
      <c r="G44" s="643"/>
      <c r="H44" s="643"/>
      <c r="I44" s="644"/>
    </row>
    <row r="45" spans="1:9">
      <c r="A45" s="302"/>
      <c r="B45" s="300" t="s">
        <v>659</v>
      </c>
      <c r="C45" s="300"/>
      <c r="D45" s="300"/>
      <c r="E45" s="300"/>
      <c r="F45" s="300"/>
      <c r="G45" s="300"/>
      <c r="H45" s="300"/>
      <c r="I45" s="301"/>
    </row>
    <row r="46" spans="1:9">
      <c r="A46" s="302"/>
      <c r="B46" s="300" t="s">
        <v>660</v>
      </c>
      <c r="C46" s="300"/>
      <c r="D46" s="300"/>
      <c r="E46" s="300"/>
      <c r="F46" s="300"/>
      <c r="G46" s="300"/>
      <c r="H46" s="300"/>
      <c r="I46" s="301"/>
    </row>
    <row r="47" spans="1:9">
      <c r="A47" s="302"/>
      <c r="B47" s="300" t="s">
        <v>661</v>
      </c>
      <c r="C47" s="300"/>
      <c r="D47" s="300"/>
      <c r="E47" s="300"/>
      <c r="F47" s="300"/>
      <c r="G47" s="300"/>
      <c r="H47" s="300"/>
      <c r="I47" s="301"/>
    </row>
    <row r="48" spans="1:9">
      <c r="A48" s="302"/>
      <c r="B48" s="645" t="s">
        <v>658</v>
      </c>
      <c r="C48" s="645"/>
      <c r="D48" s="645"/>
      <c r="E48" s="645"/>
      <c r="F48" s="645"/>
      <c r="G48" s="645"/>
      <c r="H48" s="645"/>
      <c r="I48" s="646"/>
    </row>
    <row r="49" spans="1:9">
      <c r="A49" s="302"/>
      <c r="B49" s="300"/>
      <c r="C49" s="300"/>
      <c r="D49" s="300"/>
      <c r="E49" s="300"/>
      <c r="F49" s="300"/>
      <c r="G49" s="300"/>
      <c r="H49" s="300"/>
      <c r="I49" s="301"/>
    </row>
    <row r="50" spans="1:9" ht="14.25" thickBot="1">
      <c r="A50" s="304"/>
      <c r="B50" s="305"/>
      <c r="C50" s="305"/>
      <c r="D50" s="305"/>
      <c r="E50" s="305"/>
      <c r="F50" s="305"/>
      <c r="G50" s="305"/>
      <c r="H50" s="305"/>
      <c r="I50" s="306"/>
    </row>
    <row r="51" spans="1:9">
      <c r="A51" s="307" t="s">
        <v>399</v>
      </c>
      <c r="B51" s="298"/>
      <c r="C51" s="298"/>
      <c r="D51" s="298"/>
      <c r="E51" s="298"/>
      <c r="F51" s="298"/>
      <c r="G51" s="298"/>
      <c r="H51" s="298"/>
      <c r="I51" s="298"/>
    </row>
    <row r="52" spans="1:9">
      <c r="A52" s="189" t="s">
        <v>398</v>
      </c>
    </row>
  </sheetData>
  <mergeCells count="9">
    <mergeCell ref="B18:I18"/>
    <mergeCell ref="B44:I44"/>
    <mergeCell ref="B48:I48"/>
    <mergeCell ref="A3:I3"/>
    <mergeCell ref="A5:C5"/>
    <mergeCell ref="D5:I5"/>
    <mergeCell ref="A6:C6"/>
    <mergeCell ref="D6:I6"/>
    <mergeCell ref="A8:I8"/>
  </mergeCells>
  <phoneticPr fontId="2"/>
  <pageMargins left="0.79000000000000015" right="0.79000000000000015" top="0.98" bottom="0.98" header="0.51" footer="0.51"/>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95E6-0879-41F9-88C8-7167BB71F8DB}">
  <sheetPr>
    <tabColor rgb="FF00B0F0"/>
    <pageSetUpPr fitToPage="1"/>
  </sheetPr>
  <dimension ref="A1:BT38"/>
  <sheetViews>
    <sheetView showGridLines="0" view="pageBreakPreview" topLeftCell="A7" zoomScale="85" zoomScaleNormal="70" zoomScaleSheetLayoutView="85" zoomScalePageLayoutView="70" workbookViewId="0">
      <selection activeCell="BD16" sqref="BD16:BF16"/>
    </sheetView>
  </sheetViews>
  <sheetFormatPr defaultColWidth="8.875" defaultRowHeight="21" customHeight="1"/>
  <cols>
    <col min="1" max="4" width="2.75" style="63" customWidth="1"/>
    <col min="5" max="18" width="2.75" style="62" customWidth="1"/>
    <col min="19" max="46" width="2.875" style="62" customWidth="1"/>
    <col min="47" max="71" width="2.75" style="62" customWidth="1"/>
    <col min="72" max="16384" width="8.875" style="62"/>
  </cols>
  <sheetData>
    <row r="1" spans="1:72"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row>
    <row r="2" spans="1:72" ht="21" customHeight="1">
      <c r="A2" s="659" t="s">
        <v>607</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59"/>
      <c r="AO2" s="659"/>
      <c r="AP2" s="659"/>
      <c r="AQ2" s="659"/>
      <c r="AR2" s="659"/>
      <c r="AS2" s="659"/>
      <c r="AT2" s="659"/>
      <c r="AU2" s="659"/>
      <c r="AV2" s="659"/>
      <c r="AW2" s="659"/>
      <c r="AX2" s="659"/>
      <c r="AY2" s="659"/>
      <c r="AZ2" s="659"/>
      <c r="BA2" s="659"/>
      <c r="BB2" s="659"/>
      <c r="BC2" s="659"/>
      <c r="BD2" s="659"/>
      <c r="BE2" s="659"/>
      <c r="BF2" s="659"/>
    </row>
    <row r="3" spans="1:72" ht="9.75" customHeight="1" thickBot="1">
      <c r="A3" s="94"/>
      <c r="B3" s="94"/>
      <c r="C3" s="94"/>
      <c r="D3" s="94"/>
      <c r="E3" s="94"/>
    </row>
    <row r="4" spans="1:72" ht="21" customHeight="1" thickBot="1">
      <c r="A4" s="660" t="s">
        <v>253</v>
      </c>
      <c r="B4" s="661"/>
      <c r="C4" s="661"/>
      <c r="D4" s="661"/>
      <c r="E4" s="661"/>
      <c r="F4" s="661"/>
      <c r="G4" s="661"/>
      <c r="H4" s="661"/>
      <c r="I4" s="661"/>
      <c r="J4" s="661"/>
      <c r="K4" s="661"/>
      <c r="L4" s="661"/>
      <c r="M4" s="661"/>
      <c r="N4" s="661"/>
      <c r="O4" s="661"/>
      <c r="P4" s="661"/>
      <c r="Q4" s="661"/>
      <c r="R4" s="661"/>
      <c r="S4" s="661" t="s">
        <v>608</v>
      </c>
      <c r="T4" s="661"/>
      <c r="U4" s="661"/>
      <c r="V4" s="661"/>
      <c r="W4" s="661"/>
      <c r="X4" s="661"/>
      <c r="Y4" s="661"/>
      <c r="Z4" s="661"/>
      <c r="AA4" s="661"/>
      <c r="AB4" s="661"/>
      <c r="AC4" s="661"/>
      <c r="AD4" s="661"/>
      <c r="AE4" s="661"/>
      <c r="AF4" s="661" t="s">
        <v>251</v>
      </c>
      <c r="AG4" s="661"/>
      <c r="AH4" s="661"/>
      <c r="AI4" s="661"/>
      <c r="AJ4" s="661"/>
      <c r="AK4" s="661"/>
      <c r="AL4" s="661"/>
      <c r="AM4" s="661"/>
      <c r="AN4" s="661" t="s">
        <v>574</v>
      </c>
      <c r="AO4" s="661"/>
      <c r="AP4" s="661"/>
      <c r="AQ4" s="661"/>
      <c r="AR4" s="661"/>
      <c r="AS4" s="661"/>
      <c r="AT4" s="661"/>
      <c r="AU4" s="661"/>
      <c r="AV4" s="661"/>
      <c r="AW4" s="661"/>
      <c r="AX4" s="661"/>
      <c r="AY4" s="661"/>
      <c r="AZ4" s="661"/>
      <c r="BA4" s="661"/>
      <c r="BB4" s="661"/>
      <c r="BC4" s="661"/>
      <c r="BD4" s="661"/>
      <c r="BE4" s="661"/>
      <c r="BF4" s="662"/>
    </row>
    <row r="5" spans="1:72" ht="21" customHeight="1" thickBot="1">
      <c r="A5" s="663" t="s">
        <v>249</v>
      </c>
      <c r="B5" s="664"/>
      <c r="C5" s="664"/>
      <c r="D5" s="664"/>
      <c r="E5" s="664"/>
      <c r="F5" s="664"/>
      <c r="G5" s="664"/>
      <c r="H5" s="665">
        <v>14</v>
      </c>
      <c r="I5" s="666"/>
      <c r="J5" s="666"/>
      <c r="K5" s="666"/>
      <c r="L5" s="666"/>
      <c r="M5" s="666"/>
      <c r="N5" s="666"/>
      <c r="O5" s="666"/>
      <c r="P5" s="666"/>
      <c r="Q5" s="666"/>
      <c r="R5" s="666"/>
      <c r="S5" s="667" t="s">
        <v>248</v>
      </c>
      <c r="T5" s="668"/>
      <c r="U5" s="668"/>
      <c r="V5" s="668"/>
      <c r="W5" s="668"/>
      <c r="X5" s="668"/>
      <c r="Y5" s="668"/>
      <c r="Z5" s="669"/>
      <c r="AA5" s="665" t="s">
        <v>719</v>
      </c>
      <c r="AB5" s="666"/>
      <c r="AC5" s="666"/>
      <c r="AD5" s="666"/>
      <c r="AE5" s="666"/>
      <c r="AF5" s="666"/>
      <c r="AG5" s="666"/>
      <c r="AH5" s="666"/>
      <c r="AI5" s="666"/>
      <c r="AJ5" s="670"/>
      <c r="AK5" s="665" t="s">
        <v>247</v>
      </c>
      <c r="AL5" s="666"/>
      <c r="AM5" s="666"/>
      <c r="AN5" s="666"/>
      <c r="AO5" s="666"/>
      <c r="AP5" s="666"/>
      <c r="AQ5" s="666"/>
      <c r="AR5" s="666"/>
      <c r="AS5" s="670"/>
      <c r="AT5" s="690" t="s">
        <v>720</v>
      </c>
      <c r="AU5" s="691"/>
      <c r="AV5" s="691"/>
      <c r="AW5" s="691"/>
      <c r="AX5" s="691"/>
      <c r="AY5" s="691"/>
      <c r="AZ5" s="691"/>
      <c r="BA5" s="691"/>
      <c r="BB5" s="691"/>
      <c r="BC5" s="691"/>
      <c r="BD5" s="691"/>
      <c r="BE5" s="691"/>
      <c r="BF5" s="692"/>
    </row>
    <row r="6" spans="1:72" ht="21" customHeight="1" thickBot="1">
      <c r="A6" s="693" t="s">
        <v>246</v>
      </c>
      <c r="B6" s="694"/>
      <c r="C6" s="694"/>
      <c r="D6" s="694"/>
      <c r="E6" s="694"/>
      <c r="F6" s="694"/>
      <c r="G6" s="694"/>
      <c r="H6" s="694"/>
      <c r="I6" s="694"/>
      <c r="J6" s="694"/>
      <c r="K6" s="694"/>
      <c r="L6" s="694"/>
      <c r="M6" s="694"/>
      <c r="N6" s="694"/>
      <c r="O6" s="694"/>
      <c r="P6" s="694"/>
      <c r="Q6" s="694"/>
      <c r="R6" s="694"/>
      <c r="S6" s="667" t="s">
        <v>609</v>
      </c>
      <c r="T6" s="668"/>
      <c r="U6" s="668"/>
      <c r="V6" s="668"/>
      <c r="W6" s="668"/>
      <c r="X6" s="668"/>
      <c r="Y6" s="668"/>
      <c r="Z6" s="668"/>
      <c r="AA6" s="668"/>
      <c r="AB6" s="668"/>
      <c r="AC6" s="668"/>
      <c r="AD6" s="668"/>
      <c r="AE6" s="669"/>
      <c r="AF6" s="694" t="s">
        <v>244</v>
      </c>
      <c r="AG6" s="694"/>
      <c r="AH6" s="694"/>
      <c r="AI6" s="694"/>
      <c r="AJ6" s="694"/>
      <c r="AK6" s="694"/>
      <c r="AL6" s="694"/>
      <c r="AM6" s="694"/>
      <c r="AN6" s="694" t="s">
        <v>610</v>
      </c>
      <c r="AO6" s="694"/>
      <c r="AP6" s="694"/>
      <c r="AQ6" s="694"/>
      <c r="AR6" s="694"/>
      <c r="AS6" s="694"/>
      <c r="AT6" s="694"/>
      <c r="AU6" s="694"/>
      <c r="AV6" s="694"/>
      <c r="AW6" s="694"/>
      <c r="AX6" s="694"/>
      <c r="AY6" s="694"/>
      <c r="AZ6" s="694"/>
      <c r="BA6" s="694"/>
      <c r="BB6" s="694"/>
      <c r="BC6" s="694"/>
      <c r="BD6" s="694"/>
      <c r="BE6" s="694"/>
      <c r="BF6" s="695"/>
    </row>
    <row r="7" spans="1:72" ht="21" customHeight="1">
      <c r="A7" s="671" t="s">
        <v>242</v>
      </c>
      <c r="B7" s="672"/>
      <c r="C7" s="672"/>
      <c r="D7" s="672"/>
      <c r="E7" s="672"/>
      <c r="F7" s="672"/>
      <c r="G7" s="676" t="s">
        <v>241</v>
      </c>
      <c r="H7" s="676"/>
      <c r="I7" s="676"/>
      <c r="J7" s="676"/>
      <c r="K7" s="676"/>
      <c r="L7" s="672" t="s">
        <v>240</v>
      </c>
      <c r="M7" s="672"/>
      <c r="N7" s="672"/>
      <c r="O7" s="672"/>
      <c r="P7" s="672"/>
      <c r="Q7" s="672"/>
      <c r="R7" s="698"/>
      <c r="S7" s="671" t="s">
        <v>239</v>
      </c>
      <c r="T7" s="672"/>
      <c r="U7" s="672"/>
      <c r="V7" s="672"/>
      <c r="W7" s="672"/>
      <c r="X7" s="672"/>
      <c r="Y7" s="673"/>
      <c r="Z7" s="671" t="s">
        <v>238</v>
      </c>
      <c r="AA7" s="672"/>
      <c r="AB7" s="672"/>
      <c r="AC7" s="672"/>
      <c r="AD7" s="672"/>
      <c r="AE7" s="672"/>
      <c r="AF7" s="673"/>
      <c r="AG7" s="671" t="s">
        <v>237</v>
      </c>
      <c r="AH7" s="672"/>
      <c r="AI7" s="672"/>
      <c r="AJ7" s="672"/>
      <c r="AK7" s="672"/>
      <c r="AL7" s="672"/>
      <c r="AM7" s="673"/>
      <c r="AN7" s="674" t="s">
        <v>236</v>
      </c>
      <c r="AO7" s="672"/>
      <c r="AP7" s="672"/>
      <c r="AQ7" s="672"/>
      <c r="AR7" s="672"/>
      <c r="AS7" s="672"/>
      <c r="AT7" s="673"/>
      <c r="AU7" s="675" t="s">
        <v>235</v>
      </c>
      <c r="AV7" s="676"/>
      <c r="AW7" s="676"/>
      <c r="AX7" s="676" t="s">
        <v>234</v>
      </c>
      <c r="AY7" s="676"/>
      <c r="AZ7" s="676"/>
      <c r="BA7" s="679" t="s">
        <v>233</v>
      </c>
      <c r="BB7" s="680"/>
      <c r="BC7" s="681"/>
      <c r="BD7" s="676" t="s">
        <v>232</v>
      </c>
      <c r="BE7" s="676"/>
      <c r="BF7" s="688"/>
    </row>
    <row r="8" spans="1:72" ht="21" customHeight="1">
      <c r="A8" s="696"/>
      <c r="B8" s="697"/>
      <c r="C8" s="697"/>
      <c r="D8" s="697"/>
      <c r="E8" s="697"/>
      <c r="F8" s="697"/>
      <c r="G8" s="678"/>
      <c r="H8" s="678"/>
      <c r="I8" s="678"/>
      <c r="J8" s="678"/>
      <c r="K8" s="678"/>
      <c r="L8" s="697"/>
      <c r="M8" s="697"/>
      <c r="N8" s="697"/>
      <c r="O8" s="697"/>
      <c r="P8" s="697"/>
      <c r="Q8" s="697"/>
      <c r="R8" s="699"/>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77"/>
      <c r="AV8" s="678"/>
      <c r="AW8" s="678"/>
      <c r="AX8" s="678"/>
      <c r="AY8" s="678"/>
      <c r="AZ8" s="678"/>
      <c r="BA8" s="682"/>
      <c r="BB8" s="683"/>
      <c r="BC8" s="684"/>
      <c r="BD8" s="678"/>
      <c r="BE8" s="678"/>
      <c r="BF8" s="689"/>
    </row>
    <row r="9" spans="1:72" ht="21" customHeight="1">
      <c r="A9" s="696"/>
      <c r="B9" s="697"/>
      <c r="C9" s="697"/>
      <c r="D9" s="697"/>
      <c r="E9" s="697"/>
      <c r="F9" s="697"/>
      <c r="G9" s="678"/>
      <c r="H9" s="678"/>
      <c r="I9" s="678"/>
      <c r="J9" s="678"/>
      <c r="K9" s="678"/>
      <c r="L9" s="697"/>
      <c r="M9" s="697"/>
      <c r="N9" s="697"/>
      <c r="O9" s="697"/>
      <c r="P9" s="697"/>
      <c r="Q9" s="697"/>
      <c r="R9" s="699"/>
      <c r="S9" s="280" t="s">
        <v>611</v>
      </c>
      <c r="T9" s="90" t="s">
        <v>226</v>
      </c>
      <c r="U9" s="90" t="s">
        <v>612</v>
      </c>
      <c r="V9" s="90" t="s">
        <v>613</v>
      </c>
      <c r="W9" s="90" t="s">
        <v>614</v>
      </c>
      <c r="X9" s="90" t="s">
        <v>615</v>
      </c>
      <c r="Y9" s="89" t="s">
        <v>616</v>
      </c>
      <c r="Z9" s="280" t="s">
        <v>617</v>
      </c>
      <c r="AA9" s="90" t="s">
        <v>618</v>
      </c>
      <c r="AB9" s="90" t="s">
        <v>612</v>
      </c>
      <c r="AC9" s="90" t="s">
        <v>613</v>
      </c>
      <c r="AD9" s="90" t="s">
        <v>614</v>
      </c>
      <c r="AE9" s="90" t="s">
        <v>615</v>
      </c>
      <c r="AF9" s="89" t="s">
        <v>616</v>
      </c>
      <c r="AG9" s="280" t="s">
        <v>617</v>
      </c>
      <c r="AH9" s="90" t="s">
        <v>618</v>
      </c>
      <c r="AI9" s="90" t="s">
        <v>612</v>
      </c>
      <c r="AJ9" s="90" t="s">
        <v>613</v>
      </c>
      <c r="AK9" s="90" t="s">
        <v>614</v>
      </c>
      <c r="AL9" s="90" t="s">
        <v>615</v>
      </c>
      <c r="AM9" s="89" t="s">
        <v>616</v>
      </c>
      <c r="AN9" s="280" t="s">
        <v>617</v>
      </c>
      <c r="AO9" s="90" t="s">
        <v>618</v>
      </c>
      <c r="AP9" s="90" t="s">
        <v>612</v>
      </c>
      <c r="AQ9" s="90" t="s">
        <v>613</v>
      </c>
      <c r="AR9" s="90" t="s">
        <v>614</v>
      </c>
      <c r="AS9" s="90" t="s">
        <v>615</v>
      </c>
      <c r="AT9" s="89" t="s">
        <v>616</v>
      </c>
      <c r="AU9" s="677"/>
      <c r="AV9" s="678"/>
      <c r="AW9" s="678"/>
      <c r="AX9" s="678"/>
      <c r="AY9" s="678"/>
      <c r="AZ9" s="678"/>
      <c r="BA9" s="685"/>
      <c r="BB9" s="686"/>
      <c r="BC9" s="687"/>
      <c r="BD9" s="678"/>
      <c r="BE9" s="678"/>
      <c r="BF9" s="689"/>
    </row>
    <row r="10" spans="1:72" ht="17.25" customHeight="1">
      <c r="A10" s="703" t="s">
        <v>224</v>
      </c>
      <c r="B10" s="704"/>
      <c r="C10" s="704"/>
      <c r="D10" s="704"/>
      <c r="E10" s="704"/>
      <c r="F10" s="704"/>
      <c r="G10" s="704" t="s">
        <v>292</v>
      </c>
      <c r="H10" s="704"/>
      <c r="I10" s="704"/>
      <c r="J10" s="704"/>
      <c r="K10" s="704"/>
      <c r="L10" s="697" t="s">
        <v>619</v>
      </c>
      <c r="M10" s="697"/>
      <c r="N10" s="697"/>
      <c r="O10" s="697"/>
      <c r="P10" s="697"/>
      <c r="Q10" s="697"/>
      <c r="R10" s="699"/>
      <c r="S10" s="283" t="s">
        <v>620</v>
      </c>
      <c r="T10" s="286" t="s">
        <v>620</v>
      </c>
      <c r="U10" s="286"/>
      <c r="V10" s="286"/>
      <c r="W10" s="286" t="s">
        <v>620</v>
      </c>
      <c r="X10" s="286" t="s">
        <v>620</v>
      </c>
      <c r="Y10" s="285" t="s">
        <v>620</v>
      </c>
      <c r="Z10" s="283" t="s">
        <v>620</v>
      </c>
      <c r="AA10" s="286" t="s">
        <v>620</v>
      </c>
      <c r="AB10" s="286"/>
      <c r="AC10" s="286"/>
      <c r="AD10" s="286" t="s">
        <v>620</v>
      </c>
      <c r="AE10" s="286" t="s">
        <v>620</v>
      </c>
      <c r="AF10" s="285" t="s">
        <v>620</v>
      </c>
      <c r="AG10" s="283" t="s">
        <v>620</v>
      </c>
      <c r="AH10" s="286" t="s">
        <v>620</v>
      </c>
      <c r="AI10" s="286"/>
      <c r="AJ10" s="286"/>
      <c r="AK10" s="286" t="s">
        <v>620</v>
      </c>
      <c r="AL10" s="286" t="s">
        <v>620</v>
      </c>
      <c r="AM10" s="285" t="s">
        <v>620</v>
      </c>
      <c r="AN10" s="283" t="s">
        <v>620</v>
      </c>
      <c r="AO10" s="286"/>
      <c r="AP10" s="286" t="s">
        <v>620</v>
      </c>
      <c r="AQ10" s="286"/>
      <c r="AR10" s="286" t="s">
        <v>620</v>
      </c>
      <c r="AS10" s="286" t="s">
        <v>620</v>
      </c>
      <c r="AT10" s="285" t="s">
        <v>620</v>
      </c>
      <c r="AU10" s="705">
        <f>6.5*20</f>
        <v>130</v>
      </c>
      <c r="AV10" s="705"/>
      <c r="AW10" s="706"/>
      <c r="AX10" s="700">
        <f>6.5*5</f>
        <v>32.5</v>
      </c>
      <c r="AY10" s="701"/>
      <c r="AZ10" s="707"/>
      <c r="BA10" s="700">
        <f>6.5*5</f>
        <v>32.5</v>
      </c>
      <c r="BB10" s="701"/>
      <c r="BC10" s="707"/>
      <c r="BD10" s="700">
        <f>BA10/AU23</f>
        <v>1</v>
      </c>
      <c r="BE10" s="701"/>
      <c r="BF10" s="702"/>
    </row>
    <row r="11" spans="1:72" ht="17.25" customHeight="1">
      <c r="A11" s="703" t="s">
        <v>621</v>
      </c>
      <c r="B11" s="704"/>
      <c r="C11" s="704"/>
      <c r="D11" s="704"/>
      <c r="E11" s="704"/>
      <c r="F11" s="704"/>
      <c r="G11" s="704" t="s">
        <v>292</v>
      </c>
      <c r="H11" s="704"/>
      <c r="I11" s="704"/>
      <c r="J11" s="704"/>
      <c r="K11" s="704"/>
      <c r="L11" s="697" t="s">
        <v>710</v>
      </c>
      <c r="M11" s="697"/>
      <c r="N11" s="697"/>
      <c r="O11" s="697"/>
      <c r="P11" s="697"/>
      <c r="Q11" s="697"/>
      <c r="R11" s="699"/>
      <c r="S11" s="310" t="s">
        <v>620</v>
      </c>
      <c r="T11" s="312" t="s">
        <v>620</v>
      </c>
      <c r="U11" s="312"/>
      <c r="V11" s="312"/>
      <c r="W11" s="312" t="s">
        <v>620</v>
      </c>
      <c r="X11" s="312" t="s">
        <v>620</v>
      </c>
      <c r="Y11" s="311" t="s">
        <v>620</v>
      </c>
      <c r="Z11" s="310" t="s">
        <v>620</v>
      </c>
      <c r="AA11" s="312" t="s">
        <v>620</v>
      </c>
      <c r="AB11" s="312"/>
      <c r="AC11" s="312"/>
      <c r="AD11" s="312" t="s">
        <v>620</v>
      </c>
      <c r="AE11" s="312" t="s">
        <v>620</v>
      </c>
      <c r="AF11" s="311" t="s">
        <v>620</v>
      </c>
      <c r="AG11" s="310" t="s">
        <v>620</v>
      </c>
      <c r="AH11" s="312" t="s">
        <v>620</v>
      </c>
      <c r="AI11" s="312"/>
      <c r="AJ11" s="312"/>
      <c r="AK11" s="312" t="s">
        <v>620</v>
      </c>
      <c r="AL11" s="312" t="s">
        <v>620</v>
      </c>
      <c r="AM11" s="311" t="s">
        <v>620</v>
      </c>
      <c r="AN11" s="310" t="s">
        <v>620</v>
      </c>
      <c r="AO11" s="312"/>
      <c r="AP11" s="312" t="s">
        <v>620</v>
      </c>
      <c r="AQ11" s="312"/>
      <c r="AR11" s="312" t="s">
        <v>620</v>
      </c>
      <c r="AS11" s="312" t="s">
        <v>620</v>
      </c>
      <c r="AT11" s="311" t="s">
        <v>620</v>
      </c>
      <c r="AU11" s="705">
        <f>6.5*20</f>
        <v>130</v>
      </c>
      <c r="AV11" s="705"/>
      <c r="AW11" s="706"/>
      <c r="AX11" s="700">
        <f>6.5*5</f>
        <v>32.5</v>
      </c>
      <c r="AY11" s="701"/>
      <c r="AZ11" s="707"/>
      <c r="BA11" s="700">
        <f>6.5*5</f>
        <v>32.5</v>
      </c>
      <c r="BB11" s="701"/>
      <c r="BC11" s="707"/>
      <c r="BD11" s="700">
        <f>BA11/AU23</f>
        <v>1</v>
      </c>
      <c r="BE11" s="701"/>
      <c r="BF11" s="702"/>
    </row>
    <row r="12" spans="1:72" ht="17.25" customHeight="1">
      <c r="A12" s="703" t="s">
        <v>220</v>
      </c>
      <c r="B12" s="704"/>
      <c r="C12" s="704"/>
      <c r="D12" s="704"/>
      <c r="E12" s="704"/>
      <c r="F12" s="704"/>
      <c r="G12" s="697"/>
      <c r="H12" s="697"/>
      <c r="I12" s="697"/>
      <c r="J12" s="697"/>
      <c r="K12" s="697"/>
      <c r="L12" s="697"/>
      <c r="M12" s="697"/>
      <c r="N12" s="697"/>
      <c r="O12" s="697"/>
      <c r="P12" s="697"/>
      <c r="Q12" s="697"/>
      <c r="R12" s="699"/>
      <c r="S12" s="283"/>
      <c r="T12" s="281"/>
      <c r="U12" s="281"/>
      <c r="V12" s="281"/>
      <c r="W12" s="281"/>
      <c r="X12" s="281"/>
      <c r="Y12" s="285"/>
      <c r="Z12" s="283"/>
      <c r="AA12" s="281"/>
      <c r="AB12" s="281"/>
      <c r="AC12" s="281"/>
      <c r="AD12" s="281"/>
      <c r="AE12" s="281"/>
      <c r="AF12" s="285"/>
      <c r="AG12" s="283"/>
      <c r="AH12" s="281"/>
      <c r="AI12" s="281"/>
      <c r="AJ12" s="281"/>
      <c r="AK12" s="281"/>
      <c r="AL12" s="281"/>
      <c r="AM12" s="285"/>
      <c r="AN12" s="283"/>
      <c r="AO12" s="281"/>
      <c r="AP12" s="281"/>
      <c r="AQ12" s="281"/>
      <c r="AR12" s="281"/>
      <c r="AS12" s="281"/>
      <c r="AT12" s="285"/>
      <c r="AU12" s="705"/>
      <c r="AV12" s="705"/>
      <c r="AW12" s="706"/>
      <c r="AX12" s="700"/>
      <c r="AY12" s="701"/>
      <c r="AZ12" s="707"/>
      <c r="BA12" s="700"/>
      <c r="BB12" s="701"/>
      <c r="BC12" s="707"/>
      <c r="BD12" s="700"/>
      <c r="BE12" s="701"/>
      <c r="BF12" s="702"/>
    </row>
    <row r="13" spans="1:72" ht="17.25" customHeight="1">
      <c r="A13" s="703" t="s">
        <v>622</v>
      </c>
      <c r="B13" s="704"/>
      <c r="C13" s="704"/>
      <c r="D13" s="704"/>
      <c r="E13" s="704"/>
      <c r="F13" s="704"/>
      <c r="G13" s="704" t="s">
        <v>292</v>
      </c>
      <c r="H13" s="704"/>
      <c r="I13" s="704"/>
      <c r="J13" s="704"/>
      <c r="K13" s="704"/>
      <c r="L13" s="697" t="s">
        <v>619</v>
      </c>
      <c r="M13" s="697"/>
      <c r="N13" s="697"/>
      <c r="O13" s="697"/>
      <c r="P13" s="697"/>
      <c r="Q13" s="697"/>
      <c r="R13" s="699"/>
      <c r="S13" s="283" t="s">
        <v>620</v>
      </c>
      <c r="T13" s="286" t="s">
        <v>620</v>
      </c>
      <c r="U13" s="286"/>
      <c r="V13" s="286"/>
      <c r="W13" s="286" t="s">
        <v>620</v>
      </c>
      <c r="X13" s="286" t="s">
        <v>620</v>
      </c>
      <c r="Y13" s="285" t="s">
        <v>620</v>
      </c>
      <c r="Z13" s="283" t="s">
        <v>620</v>
      </c>
      <c r="AA13" s="286" t="s">
        <v>620</v>
      </c>
      <c r="AB13" s="286"/>
      <c r="AC13" s="286"/>
      <c r="AD13" s="286" t="s">
        <v>620</v>
      </c>
      <c r="AE13" s="286" t="s">
        <v>620</v>
      </c>
      <c r="AF13" s="285" t="s">
        <v>620</v>
      </c>
      <c r="AG13" s="283" t="s">
        <v>620</v>
      </c>
      <c r="AH13" s="286" t="s">
        <v>620</v>
      </c>
      <c r="AI13" s="286"/>
      <c r="AJ13" s="286"/>
      <c r="AK13" s="286" t="s">
        <v>620</v>
      </c>
      <c r="AL13" s="286" t="s">
        <v>620</v>
      </c>
      <c r="AM13" s="285" t="s">
        <v>620</v>
      </c>
      <c r="AN13" s="283" t="s">
        <v>620</v>
      </c>
      <c r="AO13" s="286"/>
      <c r="AP13" s="286" t="s">
        <v>620</v>
      </c>
      <c r="AQ13" s="286"/>
      <c r="AR13" s="286" t="s">
        <v>620</v>
      </c>
      <c r="AS13" s="286" t="s">
        <v>620</v>
      </c>
      <c r="AT13" s="285" t="s">
        <v>620</v>
      </c>
      <c r="AU13" s="705">
        <v>130</v>
      </c>
      <c r="AV13" s="705"/>
      <c r="AW13" s="706"/>
      <c r="AX13" s="700">
        <v>32.5</v>
      </c>
      <c r="AY13" s="701"/>
      <c r="AZ13" s="707"/>
      <c r="BA13" s="700">
        <v>32.5</v>
      </c>
      <c r="BB13" s="701"/>
      <c r="BC13" s="707"/>
      <c r="BD13" s="700">
        <f>BA13/AU23</f>
        <v>1</v>
      </c>
      <c r="BE13" s="701"/>
      <c r="BF13" s="702"/>
    </row>
    <row r="14" spans="1:72" ht="16.5" customHeight="1">
      <c r="A14" s="703" t="s">
        <v>623</v>
      </c>
      <c r="B14" s="704"/>
      <c r="C14" s="704"/>
      <c r="D14" s="704"/>
      <c r="E14" s="704"/>
      <c r="F14" s="704"/>
      <c r="G14" s="704" t="s">
        <v>218</v>
      </c>
      <c r="H14" s="704"/>
      <c r="I14" s="704"/>
      <c r="J14" s="704"/>
      <c r="K14" s="704"/>
      <c r="L14" s="697" t="s">
        <v>624</v>
      </c>
      <c r="M14" s="697"/>
      <c r="N14" s="697"/>
      <c r="O14" s="697"/>
      <c r="P14" s="697"/>
      <c r="Q14" s="697"/>
      <c r="R14" s="699"/>
      <c r="S14" s="283" t="s">
        <v>625</v>
      </c>
      <c r="T14" s="286" t="s">
        <v>625</v>
      </c>
      <c r="U14" s="286"/>
      <c r="V14" s="286"/>
      <c r="W14" s="286" t="s">
        <v>625</v>
      </c>
      <c r="X14" s="286" t="s">
        <v>625</v>
      </c>
      <c r="Y14" s="285" t="s">
        <v>625</v>
      </c>
      <c r="Z14" s="283" t="s">
        <v>625</v>
      </c>
      <c r="AA14" s="286" t="s">
        <v>625</v>
      </c>
      <c r="AB14" s="286"/>
      <c r="AC14" s="286"/>
      <c r="AD14" s="286" t="s">
        <v>625</v>
      </c>
      <c r="AE14" s="286" t="s">
        <v>625</v>
      </c>
      <c r="AF14" s="285" t="s">
        <v>625</v>
      </c>
      <c r="AG14" s="283" t="s">
        <v>625</v>
      </c>
      <c r="AH14" s="286" t="s">
        <v>625</v>
      </c>
      <c r="AI14" s="286"/>
      <c r="AJ14" s="286"/>
      <c r="AK14" s="286" t="s">
        <v>625</v>
      </c>
      <c r="AL14" s="286" t="s">
        <v>625</v>
      </c>
      <c r="AM14" s="285" t="s">
        <v>625</v>
      </c>
      <c r="AN14" s="283" t="s">
        <v>625</v>
      </c>
      <c r="AO14" s="286"/>
      <c r="AP14" s="286" t="s">
        <v>625</v>
      </c>
      <c r="AQ14" s="286"/>
      <c r="AR14" s="286" t="s">
        <v>625</v>
      </c>
      <c r="AS14" s="286" t="s">
        <v>625</v>
      </c>
      <c r="AT14" s="285" t="s">
        <v>625</v>
      </c>
      <c r="AU14" s="705">
        <f>3.5*5*4</f>
        <v>70</v>
      </c>
      <c r="AV14" s="705"/>
      <c r="AW14" s="706"/>
      <c r="AX14" s="708">
        <f>AU14/4</f>
        <v>17.5</v>
      </c>
      <c r="AY14" s="709"/>
      <c r="AZ14" s="710"/>
      <c r="BA14" s="708">
        <f>AX14</f>
        <v>17.5</v>
      </c>
      <c r="BB14" s="709"/>
      <c r="BC14" s="710"/>
      <c r="BD14" s="700">
        <f>BA14/AU23</f>
        <v>0.53846153846153844</v>
      </c>
      <c r="BE14" s="701"/>
      <c r="BF14" s="702"/>
      <c r="BT14" s="62">
        <f>3.4/7.5</f>
        <v>0.45333333333333331</v>
      </c>
    </row>
    <row r="15" spans="1:72" ht="17.25" hidden="1" customHeight="1">
      <c r="A15" s="703"/>
      <c r="B15" s="704"/>
      <c r="C15" s="704"/>
      <c r="D15" s="704"/>
      <c r="E15" s="704"/>
      <c r="F15" s="704"/>
      <c r="G15" s="704"/>
      <c r="H15" s="704"/>
      <c r="I15" s="704"/>
      <c r="J15" s="704"/>
      <c r="K15" s="704"/>
      <c r="L15" s="697"/>
      <c r="M15" s="697"/>
      <c r="N15" s="697"/>
      <c r="O15" s="697"/>
      <c r="P15" s="697"/>
      <c r="Q15" s="697"/>
      <c r="R15" s="699"/>
      <c r="S15" s="283"/>
      <c r="T15" s="286"/>
      <c r="U15" s="286"/>
      <c r="V15" s="286"/>
      <c r="W15" s="286"/>
      <c r="X15" s="286"/>
      <c r="Y15" s="285"/>
      <c r="Z15" s="283"/>
      <c r="AA15" s="286"/>
      <c r="AB15" s="286"/>
      <c r="AC15" s="286"/>
      <c r="AD15" s="286"/>
      <c r="AE15" s="286"/>
      <c r="AF15" s="285"/>
      <c r="AG15" s="286"/>
      <c r="AH15" s="286"/>
      <c r="AI15" s="286"/>
      <c r="AJ15" s="286"/>
      <c r="AK15" s="286"/>
      <c r="AL15" s="286"/>
      <c r="AM15" s="285"/>
      <c r="AN15" s="286"/>
      <c r="AO15" s="286"/>
      <c r="AP15" s="286"/>
      <c r="AQ15" s="286"/>
      <c r="AR15" s="286"/>
      <c r="AS15" s="286"/>
      <c r="AT15" s="285"/>
      <c r="AU15" s="705"/>
      <c r="AV15" s="705"/>
      <c r="AW15" s="706"/>
      <c r="AX15" s="700"/>
      <c r="AY15" s="701"/>
      <c r="AZ15" s="707"/>
      <c r="BA15" s="700"/>
      <c r="BB15" s="701"/>
      <c r="BC15" s="707"/>
      <c r="BD15" s="700"/>
      <c r="BE15" s="701"/>
      <c r="BF15" s="702"/>
    </row>
    <row r="16" spans="1:72" ht="17.25" customHeight="1">
      <c r="A16" s="703" t="s">
        <v>213</v>
      </c>
      <c r="B16" s="704"/>
      <c r="C16" s="704"/>
      <c r="D16" s="704"/>
      <c r="E16" s="704"/>
      <c r="F16" s="704"/>
      <c r="G16" s="704"/>
      <c r="H16" s="704"/>
      <c r="I16" s="704"/>
      <c r="J16" s="704"/>
      <c r="K16" s="704"/>
      <c r="L16" s="697"/>
      <c r="M16" s="697"/>
      <c r="N16" s="697"/>
      <c r="O16" s="697"/>
      <c r="P16" s="697"/>
      <c r="Q16" s="697"/>
      <c r="R16" s="699"/>
      <c r="S16" s="283"/>
      <c r="T16" s="286"/>
      <c r="U16" s="286"/>
      <c r="V16" s="286"/>
      <c r="W16" s="286"/>
      <c r="X16" s="286"/>
      <c r="Y16" s="285"/>
      <c r="Z16" s="283"/>
      <c r="AA16" s="286"/>
      <c r="AB16" s="286"/>
      <c r="AC16" s="286"/>
      <c r="AD16" s="286"/>
      <c r="AE16" s="286"/>
      <c r="AF16" s="285"/>
      <c r="AG16" s="283"/>
      <c r="AH16" s="286"/>
      <c r="AI16" s="286"/>
      <c r="AJ16" s="286"/>
      <c r="AK16" s="286"/>
      <c r="AL16" s="286"/>
      <c r="AM16" s="285"/>
      <c r="AN16" s="282"/>
      <c r="AO16" s="286"/>
      <c r="AP16" s="286"/>
      <c r="AQ16" s="286"/>
      <c r="AR16" s="286"/>
      <c r="AS16" s="286"/>
      <c r="AT16" s="285"/>
      <c r="AU16" s="705"/>
      <c r="AV16" s="705"/>
      <c r="AW16" s="706"/>
      <c r="AX16" s="700"/>
      <c r="AY16" s="701"/>
      <c r="AZ16" s="707"/>
      <c r="BA16" s="700">
        <f>SUM(BA13:BC15)</f>
        <v>50</v>
      </c>
      <c r="BB16" s="701"/>
      <c r="BC16" s="707"/>
      <c r="BD16" s="700">
        <f>BA16/32.5</f>
        <v>1.5384615384615385</v>
      </c>
      <c r="BE16" s="701"/>
      <c r="BF16" s="702"/>
    </row>
    <row r="17" spans="1:58" ht="17.25" customHeight="1">
      <c r="A17" s="703"/>
      <c r="B17" s="704"/>
      <c r="C17" s="704"/>
      <c r="D17" s="704"/>
      <c r="E17" s="704"/>
      <c r="F17" s="704"/>
      <c r="G17" s="704"/>
      <c r="H17" s="704"/>
      <c r="I17" s="704"/>
      <c r="J17" s="704"/>
      <c r="K17" s="704"/>
      <c r="L17" s="697"/>
      <c r="M17" s="697"/>
      <c r="N17" s="697"/>
      <c r="O17" s="697"/>
      <c r="P17" s="697"/>
      <c r="Q17" s="697"/>
      <c r="R17" s="699"/>
      <c r="S17" s="283"/>
      <c r="T17" s="286"/>
      <c r="U17" s="286"/>
      <c r="V17" s="286"/>
      <c r="W17" s="286"/>
      <c r="X17" s="286"/>
      <c r="Y17" s="285"/>
      <c r="Z17" s="283"/>
      <c r="AA17" s="286"/>
      <c r="AB17" s="286"/>
      <c r="AC17" s="286"/>
      <c r="AD17" s="286"/>
      <c r="AE17" s="286"/>
      <c r="AF17" s="285"/>
      <c r="AG17" s="283"/>
      <c r="AH17" s="286"/>
      <c r="AI17" s="286"/>
      <c r="AJ17" s="286"/>
      <c r="AK17" s="286"/>
      <c r="AL17" s="286"/>
      <c r="AM17" s="285"/>
      <c r="AN17" s="282"/>
      <c r="AO17" s="286"/>
      <c r="AP17" s="286"/>
      <c r="AQ17" s="286"/>
      <c r="AR17" s="286"/>
      <c r="AS17" s="286"/>
      <c r="AT17" s="285"/>
      <c r="AU17" s="705"/>
      <c r="AV17" s="705"/>
      <c r="AW17" s="706"/>
      <c r="AX17" s="700"/>
      <c r="AY17" s="701"/>
      <c r="AZ17" s="707"/>
      <c r="BA17" s="700"/>
      <c r="BB17" s="701"/>
      <c r="BC17" s="707"/>
      <c r="BD17" s="700"/>
      <c r="BE17" s="701"/>
      <c r="BF17" s="702"/>
    </row>
    <row r="18" spans="1:58" ht="17.25" customHeight="1">
      <c r="A18" s="703"/>
      <c r="B18" s="704"/>
      <c r="C18" s="704"/>
      <c r="D18" s="704"/>
      <c r="E18" s="704"/>
      <c r="F18" s="704"/>
      <c r="G18" s="697"/>
      <c r="H18" s="697"/>
      <c r="I18" s="697"/>
      <c r="J18" s="697"/>
      <c r="K18" s="697"/>
      <c r="L18" s="697"/>
      <c r="M18" s="697"/>
      <c r="N18" s="697"/>
      <c r="O18" s="697"/>
      <c r="P18" s="697"/>
      <c r="Q18" s="697"/>
      <c r="R18" s="699"/>
      <c r="S18" s="283"/>
      <c r="T18" s="281"/>
      <c r="U18" s="281"/>
      <c r="V18" s="281"/>
      <c r="W18" s="281"/>
      <c r="X18" s="281"/>
      <c r="Y18" s="285"/>
      <c r="Z18" s="283"/>
      <c r="AA18" s="281"/>
      <c r="AB18" s="281"/>
      <c r="AC18" s="281"/>
      <c r="AD18" s="281"/>
      <c r="AE18" s="281"/>
      <c r="AF18" s="285"/>
      <c r="AG18" s="283"/>
      <c r="AH18" s="281"/>
      <c r="AI18" s="281"/>
      <c r="AJ18" s="281"/>
      <c r="AK18" s="281"/>
      <c r="AL18" s="281"/>
      <c r="AM18" s="285"/>
      <c r="AN18" s="282"/>
      <c r="AO18" s="281"/>
      <c r="AP18" s="281"/>
      <c r="AQ18" s="281"/>
      <c r="AR18" s="281"/>
      <c r="AS18" s="281"/>
      <c r="AT18" s="285"/>
      <c r="AU18" s="705"/>
      <c r="AV18" s="705"/>
      <c r="AW18" s="706"/>
      <c r="AX18" s="700"/>
      <c r="AY18" s="701"/>
      <c r="AZ18" s="707"/>
      <c r="BA18" s="700"/>
      <c r="BB18" s="701"/>
      <c r="BC18" s="707"/>
      <c r="BD18" s="700"/>
      <c r="BE18" s="701"/>
      <c r="BF18" s="702"/>
    </row>
    <row r="19" spans="1:58" ht="17.25" customHeight="1">
      <c r="A19" s="703"/>
      <c r="B19" s="704"/>
      <c r="C19" s="704"/>
      <c r="D19" s="704"/>
      <c r="E19" s="704"/>
      <c r="F19" s="704"/>
      <c r="G19" s="697"/>
      <c r="H19" s="697"/>
      <c r="I19" s="697"/>
      <c r="J19" s="697"/>
      <c r="K19" s="697"/>
      <c r="L19" s="697"/>
      <c r="M19" s="697"/>
      <c r="N19" s="697"/>
      <c r="O19" s="697"/>
      <c r="P19" s="697"/>
      <c r="Q19" s="697"/>
      <c r="R19" s="699"/>
      <c r="S19" s="283"/>
      <c r="T19" s="281"/>
      <c r="U19" s="281"/>
      <c r="V19" s="281"/>
      <c r="W19" s="281"/>
      <c r="X19" s="281"/>
      <c r="Y19" s="285"/>
      <c r="Z19" s="283"/>
      <c r="AA19" s="281"/>
      <c r="AB19" s="281"/>
      <c r="AC19" s="281"/>
      <c r="AD19" s="281"/>
      <c r="AE19" s="281"/>
      <c r="AF19" s="285"/>
      <c r="AG19" s="283"/>
      <c r="AH19" s="281"/>
      <c r="AI19" s="281"/>
      <c r="AJ19" s="281"/>
      <c r="AK19" s="281"/>
      <c r="AL19" s="281"/>
      <c r="AM19" s="285"/>
      <c r="AN19" s="282"/>
      <c r="AO19" s="281"/>
      <c r="AP19" s="281"/>
      <c r="AQ19" s="281"/>
      <c r="AR19" s="281"/>
      <c r="AS19" s="281"/>
      <c r="AT19" s="285"/>
      <c r="AU19" s="705"/>
      <c r="AV19" s="705"/>
      <c r="AW19" s="706"/>
      <c r="AX19" s="700"/>
      <c r="AY19" s="701"/>
      <c r="AZ19" s="707"/>
      <c r="BA19" s="700"/>
      <c r="BB19" s="701"/>
      <c r="BC19" s="707"/>
      <c r="BD19" s="700"/>
      <c r="BE19" s="701"/>
      <c r="BF19" s="702"/>
    </row>
    <row r="20" spans="1:58" ht="17.25" customHeight="1">
      <c r="A20" s="703"/>
      <c r="B20" s="704"/>
      <c r="C20" s="704"/>
      <c r="D20" s="704"/>
      <c r="E20" s="704"/>
      <c r="F20" s="704"/>
      <c r="G20" s="697"/>
      <c r="H20" s="697"/>
      <c r="I20" s="697"/>
      <c r="J20" s="697"/>
      <c r="K20" s="697"/>
      <c r="L20" s="697"/>
      <c r="M20" s="697"/>
      <c r="N20" s="697"/>
      <c r="O20" s="697"/>
      <c r="P20" s="697"/>
      <c r="Q20" s="697"/>
      <c r="R20" s="699"/>
      <c r="S20" s="283"/>
      <c r="T20" s="281"/>
      <c r="U20" s="281"/>
      <c r="V20" s="281"/>
      <c r="W20" s="281"/>
      <c r="X20" s="281"/>
      <c r="Y20" s="285"/>
      <c r="Z20" s="283"/>
      <c r="AA20" s="281"/>
      <c r="AB20" s="281"/>
      <c r="AC20" s="281"/>
      <c r="AD20" s="281"/>
      <c r="AE20" s="281"/>
      <c r="AF20" s="285"/>
      <c r="AG20" s="283"/>
      <c r="AH20" s="281"/>
      <c r="AI20" s="281"/>
      <c r="AJ20" s="281"/>
      <c r="AK20" s="281"/>
      <c r="AL20" s="281"/>
      <c r="AM20" s="285"/>
      <c r="AN20" s="282"/>
      <c r="AO20" s="281"/>
      <c r="AP20" s="281"/>
      <c r="AQ20" s="281"/>
      <c r="AR20" s="281"/>
      <c r="AS20" s="281"/>
      <c r="AT20" s="285"/>
      <c r="AU20" s="705"/>
      <c r="AV20" s="705"/>
      <c r="AW20" s="706"/>
      <c r="AX20" s="700"/>
      <c r="AY20" s="701"/>
      <c r="AZ20" s="707"/>
      <c r="BA20" s="700"/>
      <c r="BB20" s="701"/>
      <c r="BC20" s="707"/>
      <c r="BD20" s="700"/>
      <c r="BE20" s="701"/>
      <c r="BF20" s="702"/>
    </row>
    <row r="21" spans="1:58" ht="17.25" customHeight="1">
      <c r="A21" s="703" t="s">
        <v>212</v>
      </c>
      <c r="B21" s="704"/>
      <c r="C21" s="704"/>
      <c r="D21" s="704"/>
      <c r="E21" s="704"/>
      <c r="F21" s="704"/>
      <c r="G21" s="697"/>
      <c r="H21" s="697"/>
      <c r="I21" s="697"/>
      <c r="J21" s="697"/>
      <c r="K21" s="697"/>
      <c r="L21" s="697"/>
      <c r="M21" s="697"/>
      <c r="N21" s="697"/>
      <c r="O21" s="697"/>
      <c r="P21" s="697"/>
      <c r="Q21" s="697"/>
      <c r="R21" s="699"/>
      <c r="S21" s="283"/>
      <c r="T21" s="281"/>
      <c r="U21" s="281"/>
      <c r="V21" s="281"/>
      <c r="W21" s="281"/>
      <c r="X21" s="281"/>
      <c r="Y21" s="285"/>
      <c r="Z21" s="283"/>
      <c r="AA21" s="281"/>
      <c r="AB21" s="281"/>
      <c r="AC21" s="281"/>
      <c r="AD21" s="281"/>
      <c r="AE21" s="281"/>
      <c r="AF21" s="285"/>
      <c r="AG21" s="283"/>
      <c r="AH21" s="281"/>
      <c r="AI21" s="281"/>
      <c r="AJ21" s="281"/>
      <c r="AK21" s="281"/>
      <c r="AL21" s="281"/>
      <c r="AM21" s="285"/>
      <c r="AN21" s="282"/>
      <c r="AO21" s="281"/>
      <c r="AP21" s="281"/>
      <c r="AQ21" s="281"/>
      <c r="AR21" s="281"/>
      <c r="AS21" s="281"/>
      <c r="AT21" s="285"/>
      <c r="AU21" s="705"/>
      <c r="AV21" s="705"/>
      <c r="AW21" s="706"/>
      <c r="AX21" s="700"/>
      <c r="AY21" s="701"/>
      <c r="AZ21" s="707"/>
      <c r="BA21" s="700"/>
      <c r="BB21" s="701"/>
      <c r="BC21" s="707"/>
      <c r="BD21" s="700"/>
      <c r="BE21" s="701"/>
      <c r="BF21" s="702"/>
    </row>
    <row r="22" spans="1:58" ht="17.25" customHeight="1" thickBot="1">
      <c r="A22" s="703"/>
      <c r="B22" s="704"/>
      <c r="C22" s="704"/>
      <c r="D22" s="704"/>
      <c r="E22" s="704"/>
      <c r="F22" s="704"/>
      <c r="G22" s="697"/>
      <c r="H22" s="697"/>
      <c r="I22" s="697"/>
      <c r="J22" s="697"/>
      <c r="K22" s="697"/>
      <c r="L22" s="697"/>
      <c r="M22" s="697"/>
      <c r="N22" s="697"/>
      <c r="O22" s="697"/>
      <c r="P22" s="697"/>
      <c r="Q22" s="697"/>
      <c r="R22" s="699"/>
      <c r="S22" s="283"/>
      <c r="T22" s="281"/>
      <c r="U22" s="281"/>
      <c r="V22" s="281"/>
      <c r="W22" s="281"/>
      <c r="X22" s="281"/>
      <c r="Y22" s="285"/>
      <c r="Z22" s="283"/>
      <c r="AA22" s="281"/>
      <c r="AB22" s="281"/>
      <c r="AC22" s="281"/>
      <c r="AD22" s="281"/>
      <c r="AE22" s="281"/>
      <c r="AF22" s="285"/>
      <c r="AG22" s="283"/>
      <c r="AH22" s="281"/>
      <c r="AI22" s="281"/>
      <c r="AJ22" s="281"/>
      <c r="AK22" s="281"/>
      <c r="AL22" s="281"/>
      <c r="AM22" s="285"/>
      <c r="AN22" s="282"/>
      <c r="AO22" s="281"/>
      <c r="AP22" s="281"/>
      <c r="AQ22" s="281"/>
      <c r="AR22" s="281"/>
      <c r="AS22" s="281"/>
      <c r="AT22" s="285"/>
      <c r="AU22" s="705"/>
      <c r="AV22" s="705"/>
      <c r="AW22" s="706"/>
      <c r="AX22" s="700"/>
      <c r="AY22" s="701"/>
      <c r="AZ22" s="707"/>
      <c r="BA22" s="700"/>
      <c r="BB22" s="701"/>
      <c r="BC22" s="707"/>
      <c r="BD22" s="700"/>
      <c r="BE22" s="701"/>
      <c r="BF22" s="702"/>
    </row>
    <row r="23" spans="1:58" ht="21" customHeight="1" thickBot="1">
      <c r="A23" s="711" t="s">
        <v>207</v>
      </c>
      <c r="B23" s="712"/>
      <c r="C23" s="712"/>
      <c r="D23" s="712"/>
      <c r="E23" s="712"/>
      <c r="F23" s="712"/>
      <c r="G23" s="712"/>
      <c r="H23" s="712"/>
      <c r="I23" s="712"/>
      <c r="J23" s="712"/>
      <c r="K23" s="712"/>
      <c r="L23" s="712"/>
      <c r="M23" s="712"/>
      <c r="N23" s="712"/>
      <c r="O23" s="712"/>
      <c r="P23" s="712"/>
      <c r="Q23" s="712"/>
      <c r="R23" s="712"/>
      <c r="S23" s="712"/>
      <c r="T23" s="712"/>
      <c r="U23" s="712"/>
      <c r="V23" s="712"/>
      <c r="W23" s="712"/>
      <c r="X23" s="712"/>
      <c r="Y23" s="712"/>
      <c r="Z23" s="712"/>
      <c r="AA23" s="712"/>
      <c r="AB23" s="712"/>
      <c r="AC23" s="712"/>
      <c r="AD23" s="712"/>
      <c r="AE23" s="712"/>
      <c r="AF23" s="712"/>
      <c r="AG23" s="712"/>
      <c r="AH23" s="712"/>
      <c r="AI23" s="712"/>
      <c r="AJ23" s="712"/>
      <c r="AK23" s="712"/>
      <c r="AL23" s="712"/>
      <c r="AM23" s="712"/>
      <c r="AN23" s="712"/>
      <c r="AO23" s="712"/>
      <c r="AP23" s="712"/>
      <c r="AQ23" s="712"/>
      <c r="AR23" s="712"/>
      <c r="AS23" s="712"/>
      <c r="AT23" s="713"/>
      <c r="AU23" s="714">
        <f>6.5*5</f>
        <v>32.5</v>
      </c>
      <c r="AV23" s="666"/>
      <c r="AW23" s="666"/>
      <c r="AX23" s="666"/>
      <c r="AY23" s="666"/>
      <c r="AZ23" s="666"/>
      <c r="BA23" s="666"/>
      <c r="BB23" s="666"/>
      <c r="BC23" s="666"/>
      <c r="BD23" s="666"/>
      <c r="BE23" s="666"/>
      <c r="BF23" s="715"/>
    </row>
    <row r="24" spans="1:58" ht="21" customHeight="1" thickBot="1">
      <c r="A24" s="716" t="s">
        <v>206</v>
      </c>
      <c r="B24" s="717"/>
      <c r="C24" s="717"/>
      <c r="D24" s="717"/>
      <c r="E24" s="717"/>
      <c r="F24" s="717"/>
      <c r="G24" s="717"/>
      <c r="H24" s="717"/>
      <c r="I24" s="717"/>
      <c r="J24" s="717"/>
      <c r="K24" s="717"/>
      <c r="L24" s="717"/>
      <c r="M24" s="717"/>
      <c r="N24" s="717"/>
      <c r="O24" s="717"/>
      <c r="P24" s="717"/>
      <c r="Q24" s="717"/>
      <c r="R24" s="667"/>
      <c r="S24" s="79"/>
      <c r="T24" s="78"/>
      <c r="U24" s="78"/>
      <c r="V24" s="78"/>
      <c r="W24" s="78">
        <v>6</v>
      </c>
      <c r="X24" s="78">
        <v>6</v>
      </c>
      <c r="Y24" s="80"/>
      <c r="Z24" s="79">
        <v>6</v>
      </c>
      <c r="AA24" s="78">
        <v>6</v>
      </c>
      <c r="AB24" s="78">
        <v>6</v>
      </c>
      <c r="AC24" s="78">
        <v>6</v>
      </c>
      <c r="AD24" s="78">
        <v>6</v>
      </c>
      <c r="AE24" s="78">
        <v>6</v>
      </c>
      <c r="AF24" s="77"/>
      <c r="AG24" s="79">
        <v>6</v>
      </c>
      <c r="AH24" s="78">
        <v>6</v>
      </c>
      <c r="AI24" s="78">
        <v>6</v>
      </c>
      <c r="AJ24" s="78">
        <v>6</v>
      </c>
      <c r="AK24" s="78">
        <v>6</v>
      </c>
      <c r="AL24" s="78">
        <v>6</v>
      </c>
      <c r="AM24" s="77"/>
      <c r="AN24" s="79">
        <v>6</v>
      </c>
      <c r="AO24" s="78">
        <v>6</v>
      </c>
      <c r="AP24" s="78">
        <v>6</v>
      </c>
      <c r="AQ24" s="78">
        <v>6</v>
      </c>
      <c r="AR24" s="78">
        <v>6</v>
      </c>
      <c r="AS24" s="78">
        <v>6</v>
      </c>
      <c r="AT24" s="77"/>
      <c r="AU24" s="666">
        <f>6*20</f>
        <v>120</v>
      </c>
      <c r="AV24" s="666"/>
      <c r="AW24" s="670"/>
      <c r="AX24" s="718"/>
      <c r="AY24" s="719"/>
      <c r="AZ24" s="720"/>
      <c r="BA24" s="718"/>
      <c r="BB24" s="719"/>
      <c r="BC24" s="720"/>
      <c r="BD24" s="718"/>
      <c r="BE24" s="719"/>
      <c r="BF24" s="721"/>
    </row>
    <row r="25" spans="1:58" customFormat="1" ht="21" customHeigh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row>
    <row r="26" spans="1:58" customFormat="1" ht="21" customHeight="1">
      <c r="A26" s="73"/>
      <c r="B26" s="72" t="s">
        <v>205</v>
      </c>
      <c r="C26" s="72"/>
      <c r="D26" s="72"/>
      <c r="E26" s="72"/>
      <c r="F26" s="72"/>
      <c r="G26" s="72"/>
      <c r="H26" s="72"/>
      <c r="I26" s="72" t="s">
        <v>713</v>
      </c>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row>
    <row r="27" spans="1:58" customFormat="1" ht="21" customHeight="1" thickBot="1">
      <c r="A27" s="70"/>
      <c r="B27" s="69"/>
      <c r="C27" s="69"/>
      <c r="D27" s="69"/>
      <c r="E27" s="69"/>
      <c r="F27" s="69"/>
      <c r="G27" s="69"/>
      <c r="H27" s="69"/>
      <c r="I27" s="69" t="s">
        <v>626</v>
      </c>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row>
    <row r="28" spans="1:58" ht="28.5" customHeight="1">
      <c r="A28" s="726" t="s">
        <v>202</v>
      </c>
      <c r="B28" s="726"/>
      <c r="C28" s="727" t="s">
        <v>201</v>
      </c>
      <c r="D28" s="727"/>
      <c r="E28" s="727"/>
      <c r="F28" s="727"/>
      <c r="G28" s="727"/>
      <c r="H28" s="727"/>
      <c r="I28" s="727"/>
      <c r="J28" s="727"/>
      <c r="K28" s="727"/>
      <c r="L28" s="727"/>
      <c r="M28" s="727"/>
      <c r="N28" s="727"/>
      <c r="O28" s="727"/>
      <c r="P28" s="727"/>
      <c r="Q28" s="727"/>
      <c r="R28" s="727"/>
      <c r="S28" s="727"/>
      <c r="T28" s="727"/>
      <c r="U28" s="727"/>
      <c r="V28" s="727"/>
      <c r="W28" s="727"/>
      <c r="X28" s="727"/>
      <c r="Y28" s="727"/>
      <c r="Z28" s="727"/>
      <c r="AA28" s="727"/>
      <c r="AB28" s="727"/>
      <c r="AC28" s="727"/>
      <c r="AD28" s="727"/>
      <c r="AE28" s="727"/>
      <c r="AF28" s="727"/>
      <c r="AG28" s="727"/>
      <c r="AH28" s="727"/>
      <c r="AI28" s="727"/>
      <c r="AJ28" s="727"/>
      <c r="AK28" s="727"/>
      <c r="AL28" s="727"/>
      <c r="AM28" s="727"/>
      <c r="AN28" s="727"/>
      <c r="AO28" s="727"/>
      <c r="AP28" s="727"/>
      <c r="AQ28" s="727"/>
      <c r="AR28" s="727"/>
      <c r="AS28" s="727"/>
      <c r="AT28" s="727"/>
      <c r="AU28" s="727"/>
      <c r="AV28" s="727"/>
      <c r="AW28" s="727"/>
      <c r="AX28" s="727"/>
      <c r="AY28" s="727"/>
      <c r="AZ28" s="727"/>
      <c r="BA28" s="727"/>
      <c r="BB28" s="727"/>
      <c r="BC28" s="727"/>
      <c r="BD28" s="727"/>
      <c r="BE28" s="727"/>
      <c r="BF28" s="727"/>
    </row>
    <row r="29" spans="1:58" ht="18" customHeight="1">
      <c r="A29" s="65"/>
      <c r="B29" s="65"/>
      <c r="C29" s="722" t="s">
        <v>200</v>
      </c>
      <c r="D29" s="722"/>
      <c r="E29" s="722"/>
      <c r="F29" s="722"/>
      <c r="G29" s="722"/>
      <c r="H29" s="722"/>
      <c r="I29" s="722"/>
      <c r="J29" s="722"/>
      <c r="K29" s="722"/>
      <c r="L29" s="722"/>
      <c r="M29" s="722"/>
      <c r="N29" s="722"/>
      <c r="O29" s="722"/>
      <c r="P29" s="722"/>
      <c r="Q29" s="722"/>
      <c r="R29" s="722"/>
      <c r="S29" s="722"/>
      <c r="T29" s="722"/>
      <c r="U29" s="722"/>
      <c r="V29" s="722"/>
      <c r="W29" s="722"/>
      <c r="X29" s="722"/>
      <c r="Y29" s="722"/>
      <c r="Z29" s="722"/>
      <c r="AA29" s="722"/>
      <c r="AB29" s="722"/>
      <c r="AC29" s="722"/>
      <c r="AD29" s="722"/>
      <c r="AE29" s="722"/>
      <c r="AF29" s="722"/>
      <c r="AG29" s="722"/>
      <c r="AH29" s="722"/>
      <c r="AI29" s="722"/>
      <c r="AJ29" s="722"/>
      <c r="AK29" s="722"/>
      <c r="AL29" s="722"/>
      <c r="AM29" s="722"/>
      <c r="AN29" s="722"/>
      <c r="AO29" s="722"/>
      <c r="AP29" s="722"/>
      <c r="AQ29" s="722"/>
      <c r="AR29" s="722"/>
      <c r="AS29" s="722"/>
      <c r="AT29" s="722"/>
      <c r="AU29" s="722"/>
      <c r="AV29" s="722"/>
      <c r="AW29" s="722"/>
      <c r="AX29" s="722"/>
      <c r="AY29" s="722"/>
      <c r="AZ29" s="722"/>
      <c r="BA29" s="722"/>
      <c r="BB29" s="722"/>
      <c r="BC29" s="722"/>
      <c r="BD29" s="722"/>
      <c r="BE29" s="722"/>
      <c r="BF29" s="722"/>
    </row>
    <row r="30" spans="1:58" ht="27.75" customHeight="1">
      <c r="A30" s="67"/>
      <c r="B30" s="67"/>
      <c r="C30" s="728" t="s">
        <v>199</v>
      </c>
      <c r="D30" s="728"/>
      <c r="E30" s="728"/>
      <c r="F30" s="728"/>
      <c r="G30" s="728"/>
      <c r="H30" s="728"/>
      <c r="I30" s="728"/>
      <c r="J30" s="728"/>
      <c r="K30" s="728"/>
      <c r="L30" s="728"/>
      <c r="M30" s="728"/>
      <c r="N30" s="728"/>
      <c r="O30" s="728"/>
      <c r="P30" s="728"/>
      <c r="Q30" s="728"/>
      <c r="R30" s="728"/>
      <c r="S30" s="728"/>
      <c r="T30" s="728"/>
      <c r="U30" s="728"/>
      <c r="V30" s="728"/>
      <c r="W30" s="728"/>
      <c r="X30" s="728"/>
      <c r="Y30" s="728"/>
      <c r="Z30" s="728"/>
      <c r="AA30" s="728"/>
      <c r="AB30" s="728"/>
      <c r="AC30" s="728"/>
      <c r="AD30" s="728"/>
      <c r="AE30" s="728"/>
      <c r="AF30" s="728"/>
      <c r="AG30" s="728"/>
      <c r="AH30" s="728"/>
      <c r="AI30" s="728"/>
      <c r="AJ30" s="728"/>
      <c r="AK30" s="728"/>
      <c r="AL30" s="728"/>
      <c r="AM30" s="728"/>
      <c r="AN30" s="728"/>
      <c r="AO30" s="728"/>
      <c r="AP30" s="728"/>
      <c r="AQ30" s="728"/>
      <c r="AR30" s="728"/>
      <c r="AS30" s="728"/>
      <c r="AT30" s="728"/>
      <c r="AU30" s="728"/>
      <c r="AV30" s="728"/>
      <c r="AW30" s="728"/>
      <c r="AX30" s="728"/>
      <c r="AY30" s="728"/>
      <c r="AZ30" s="728"/>
      <c r="BA30" s="728"/>
      <c r="BB30" s="728"/>
      <c r="BC30" s="728"/>
      <c r="BD30" s="728"/>
      <c r="BE30" s="728"/>
      <c r="BF30" s="728"/>
    </row>
    <row r="31" spans="1:58" ht="29.25" customHeight="1">
      <c r="A31" s="284"/>
      <c r="B31" s="284"/>
      <c r="C31" s="723" t="s">
        <v>198</v>
      </c>
      <c r="D31" s="723"/>
      <c r="E31" s="723"/>
      <c r="F31" s="723"/>
      <c r="G31" s="723"/>
      <c r="H31" s="723"/>
      <c r="I31" s="723"/>
      <c r="J31" s="723"/>
      <c r="K31" s="723"/>
      <c r="L31" s="723"/>
      <c r="M31" s="723"/>
      <c r="N31" s="723"/>
      <c r="O31" s="723"/>
      <c r="P31" s="723"/>
      <c r="Q31" s="723"/>
      <c r="R31" s="723"/>
      <c r="S31" s="723"/>
      <c r="T31" s="723"/>
      <c r="U31" s="723"/>
      <c r="V31" s="723"/>
      <c r="W31" s="723"/>
      <c r="X31" s="723"/>
      <c r="Y31" s="723"/>
      <c r="Z31" s="723"/>
      <c r="AA31" s="723"/>
      <c r="AB31" s="723"/>
      <c r="AC31" s="723"/>
      <c r="AD31" s="723"/>
      <c r="AE31" s="723"/>
      <c r="AF31" s="723"/>
      <c r="AG31" s="723"/>
      <c r="AH31" s="723"/>
      <c r="AI31" s="723"/>
      <c r="AJ31" s="723"/>
      <c r="AK31" s="723"/>
      <c r="AL31" s="723"/>
      <c r="AM31" s="723"/>
      <c r="AN31" s="723"/>
      <c r="AO31" s="723"/>
      <c r="AP31" s="723"/>
      <c r="AQ31" s="723"/>
      <c r="AR31" s="723"/>
      <c r="AS31" s="723"/>
      <c r="AT31" s="723"/>
      <c r="AU31" s="723"/>
      <c r="AV31" s="723"/>
      <c r="AW31" s="723"/>
      <c r="AX31" s="723"/>
      <c r="AY31" s="723"/>
      <c r="AZ31" s="723"/>
      <c r="BA31" s="723"/>
      <c r="BB31" s="723"/>
      <c r="BC31" s="723"/>
      <c r="BD31" s="723"/>
      <c r="BE31" s="723"/>
      <c r="BF31" s="723"/>
    </row>
    <row r="32" spans="1:58" ht="42.75" customHeight="1">
      <c r="A32" s="284"/>
      <c r="B32" s="284"/>
      <c r="C32" s="723" t="s">
        <v>721</v>
      </c>
      <c r="D32" s="723"/>
      <c r="E32" s="723"/>
      <c r="F32" s="723"/>
      <c r="G32" s="723"/>
      <c r="H32" s="723"/>
      <c r="I32" s="723"/>
      <c r="J32" s="723"/>
      <c r="K32" s="723"/>
      <c r="L32" s="723"/>
      <c r="M32" s="723"/>
      <c r="N32" s="723"/>
      <c r="O32" s="723"/>
      <c r="P32" s="723"/>
      <c r="Q32" s="723"/>
      <c r="R32" s="723"/>
      <c r="S32" s="723"/>
      <c r="T32" s="723"/>
      <c r="U32" s="723"/>
      <c r="V32" s="723"/>
      <c r="W32" s="723"/>
      <c r="X32" s="723"/>
      <c r="Y32" s="723"/>
      <c r="Z32" s="723"/>
      <c r="AA32" s="723"/>
      <c r="AB32" s="723"/>
      <c r="AC32" s="723"/>
      <c r="AD32" s="723"/>
      <c r="AE32" s="723"/>
      <c r="AF32" s="723"/>
      <c r="AG32" s="723"/>
      <c r="AH32" s="723"/>
      <c r="AI32" s="723"/>
      <c r="AJ32" s="723"/>
      <c r="AK32" s="723"/>
      <c r="AL32" s="723"/>
      <c r="AM32" s="723"/>
      <c r="AN32" s="723"/>
      <c r="AO32" s="723"/>
      <c r="AP32" s="723"/>
      <c r="AQ32" s="723"/>
      <c r="AR32" s="723"/>
      <c r="AS32" s="723"/>
      <c r="AT32" s="723"/>
      <c r="AU32" s="723"/>
      <c r="AV32" s="723"/>
      <c r="AW32" s="723"/>
      <c r="AX32" s="723"/>
      <c r="AY32" s="723"/>
      <c r="AZ32" s="723"/>
      <c r="BA32" s="723"/>
      <c r="BB32" s="723"/>
      <c r="BC32" s="723"/>
      <c r="BD32" s="723"/>
      <c r="BE32" s="723"/>
      <c r="BF32" s="723"/>
    </row>
    <row r="33" spans="1:58" ht="18" customHeight="1">
      <c r="A33" s="65"/>
      <c r="B33" s="65"/>
      <c r="C33" s="722" t="s">
        <v>196</v>
      </c>
      <c r="D33" s="722"/>
      <c r="E33" s="722"/>
      <c r="F33" s="722"/>
      <c r="G33" s="722"/>
      <c r="H33" s="722"/>
      <c r="I33" s="722"/>
      <c r="J33" s="722"/>
      <c r="K33" s="722"/>
      <c r="L33" s="722"/>
      <c r="M33" s="722"/>
      <c r="N33" s="722"/>
      <c r="O33" s="722"/>
      <c r="P33" s="722"/>
      <c r="Q33" s="722"/>
      <c r="R33" s="722"/>
      <c r="S33" s="722"/>
      <c r="T33" s="722"/>
      <c r="U33" s="722"/>
      <c r="V33" s="722"/>
      <c r="W33" s="722"/>
      <c r="X33" s="722"/>
      <c r="Y33" s="722"/>
      <c r="Z33" s="722"/>
      <c r="AA33" s="722"/>
      <c r="AB33" s="722"/>
      <c r="AC33" s="722"/>
      <c r="AD33" s="722"/>
      <c r="AE33" s="722"/>
      <c r="AF33" s="722"/>
      <c r="AG33" s="722"/>
      <c r="AH33" s="722"/>
      <c r="AI33" s="722"/>
      <c r="AJ33" s="722"/>
      <c r="AK33" s="722"/>
      <c r="AL33" s="722"/>
      <c r="AM33" s="722"/>
      <c r="AN33" s="722"/>
      <c r="AO33" s="722"/>
      <c r="AP33" s="722"/>
      <c r="AQ33" s="722"/>
      <c r="AR33" s="722"/>
      <c r="AS33" s="722"/>
      <c r="AT33" s="722"/>
      <c r="AU33" s="722"/>
      <c r="AV33" s="722"/>
      <c r="AW33" s="722"/>
      <c r="AX33" s="722"/>
      <c r="AY33" s="722"/>
      <c r="AZ33" s="722"/>
      <c r="BA33" s="722"/>
      <c r="BB33" s="722"/>
      <c r="BC33" s="722"/>
      <c r="BD33" s="722"/>
      <c r="BE33" s="722"/>
      <c r="BF33" s="722"/>
    </row>
    <row r="34" spans="1:58" ht="14.25">
      <c r="A34" s="65"/>
      <c r="B34" s="65"/>
      <c r="C34" s="279"/>
      <c r="D34" s="279"/>
      <c r="E34" s="279" t="s">
        <v>195</v>
      </c>
      <c r="F34" s="279"/>
      <c r="G34" s="279"/>
      <c r="H34" s="279"/>
      <c r="I34" s="279"/>
      <c r="J34" s="279" t="s">
        <v>194</v>
      </c>
      <c r="K34" s="279"/>
      <c r="L34" s="279"/>
      <c r="M34" s="279"/>
      <c r="N34" s="279"/>
      <c r="O34" s="279"/>
      <c r="P34" s="279"/>
      <c r="Q34" s="279"/>
      <c r="R34" s="279"/>
      <c r="S34" s="279"/>
      <c r="T34" s="279"/>
      <c r="U34" s="279"/>
      <c r="V34" s="279"/>
      <c r="W34" s="279"/>
      <c r="X34" s="279" t="s">
        <v>193</v>
      </c>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row>
    <row r="35" spans="1:58" ht="28.5" customHeight="1">
      <c r="A35" s="65"/>
      <c r="B35" s="65"/>
      <c r="C35" s="279"/>
      <c r="D35" s="279"/>
      <c r="E35" s="723" t="s">
        <v>192</v>
      </c>
      <c r="F35" s="724"/>
      <c r="G35" s="724"/>
      <c r="H35" s="724"/>
      <c r="I35" s="724"/>
      <c r="J35" s="724"/>
      <c r="K35" s="724"/>
      <c r="L35" s="724"/>
      <c r="M35" s="724"/>
      <c r="N35" s="724"/>
      <c r="O35" s="724"/>
      <c r="P35" s="724"/>
      <c r="Q35" s="724"/>
      <c r="R35" s="724"/>
      <c r="S35" s="724"/>
      <c r="T35" s="724"/>
      <c r="U35" s="724"/>
      <c r="V35" s="724"/>
      <c r="W35" s="724"/>
      <c r="X35" s="724"/>
      <c r="Y35" s="724"/>
      <c r="Z35" s="724"/>
      <c r="AA35" s="724"/>
      <c r="AB35" s="724"/>
      <c r="AC35" s="724"/>
      <c r="AD35" s="724"/>
      <c r="AE35" s="724"/>
      <c r="AF35" s="724"/>
      <c r="AG35" s="724"/>
      <c r="AH35" s="724"/>
      <c r="AI35" s="724"/>
      <c r="AJ35" s="724"/>
      <c r="AK35" s="724"/>
      <c r="AL35" s="724"/>
      <c r="AM35" s="724"/>
      <c r="AN35" s="724"/>
      <c r="AO35" s="724"/>
      <c r="AP35" s="724"/>
      <c r="AQ35" s="724"/>
      <c r="AR35" s="724"/>
      <c r="AS35" s="724"/>
      <c r="AT35" s="724"/>
      <c r="AU35" s="724"/>
      <c r="AV35" s="724"/>
      <c r="AW35" s="724"/>
      <c r="AX35" s="724"/>
      <c r="AY35" s="724"/>
      <c r="AZ35" s="724"/>
      <c r="BA35" s="724"/>
      <c r="BB35" s="724"/>
      <c r="BC35" s="724"/>
      <c r="BD35" s="724"/>
      <c r="BE35" s="724"/>
      <c r="BF35" s="724"/>
    </row>
    <row r="36" spans="1:58" ht="18" customHeight="1">
      <c r="A36" s="65"/>
      <c r="B36" s="65"/>
      <c r="C36" s="723" t="s">
        <v>191</v>
      </c>
      <c r="D36" s="723"/>
      <c r="E36" s="723"/>
      <c r="F36" s="723"/>
      <c r="G36" s="723"/>
      <c r="H36" s="723"/>
      <c r="I36" s="723"/>
      <c r="J36" s="723"/>
      <c r="K36" s="723"/>
      <c r="L36" s="723"/>
      <c r="M36" s="723"/>
      <c r="N36" s="723"/>
      <c r="O36" s="723"/>
      <c r="P36" s="723"/>
      <c r="Q36" s="723"/>
      <c r="R36" s="723"/>
      <c r="S36" s="723"/>
      <c r="T36" s="723"/>
      <c r="U36" s="723"/>
      <c r="V36" s="723"/>
      <c r="W36" s="723"/>
      <c r="X36" s="723"/>
      <c r="Y36" s="723"/>
      <c r="Z36" s="723"/>
      <c r="AA36" s="723"/>
      <c r="AB36" s="723"/>
      <c r="AC36" s="723"/>
      <c r="AD36" s="723"/>
      <c r="AE36" s="723"/>
      <c r="AF36" s="723"/>
      <c r="AG36" s="723"/>
      <c r="AH36" s="723"/>
      <c r="AI36" s="723"/>
      <c r="AJ36" s="723"/>
      <c r="AK36" s="723"/>
      <c r="AL36" s="723"/>
      <c r="AM36" s="723"/>
      <c r="AN36" s="723"/>
      <c r="AO36" s="723"/>
      <c r="AP36" s="723"/>
      <c r="AQ36" s="723"/>
      <c r="AR36" s="723"/>
      <c r="AS36" s="723"/>
      <c r="AT36" s="723"/>
      <c r="AU36" s="723"/>
      <c r="AV36" s="723"/>
      <c r="AW36" s="723"/>
      <c r="AX36" s="723"/>
      <c r="AY36" s="723"/>
      <c r="AZ36" s="723"/>
      <c r="BA36" s="723"/>
      <c r="BB36" s="723"/>
      <c r="BC36" s="723"/>
      <c r="BD36" s="723"/>
      <c r="BE36" s="723"/>
      <c r="BF36" s="723"/>
    </row>
    <row r="37" spans="1:58" ht="28.5" customHeight="1">
      <c r="A37" s="65"/>
      <c r="B37" s="65"/>
      <c r="C37" s="723" t="s">
        <v>190</v>
      </c>
      <c r="D37" s="723"/>
      <c r="E37" s="723"/>
      <c r="F37" s="723"/>
      <c r="G37" s="723"/>
      <c r="H37" s="723"/>
      <c r="I37" s="723"/>
      <c r="J37" s="723"/>
      <c r="K37" s="723"/>
      <c r="L37" s="723"/>
      <c r="M37" s="723"/>
      <c r="N37" s="723"/>
      <c r="O37" s="723"/>
      <c r="P37" s="723"/>
      <c r="Q37" s="723"/>
      <c r="R37" s="723"/>
      <c r="S37" s="723"/>
      <c r="T37" s="723"/>
      <c r="U37" s="723"/>
      <c r="V37" s="723"/>
      <c r="W37" s="723"/>
      <c r="X37" s="723"/>
      <c r="Y37" s="723"/>
      <c r="Z37" s="723"/>
      <c r="AA37" s="723"/>
      <c r="AB37" s="723"/>
      <c r="AC37" s="723"/>
      <c r="AD37" s="723"/>
      <c r="AE37" s="723"/>
      <c r="AF37" s="723"/>
      <c r="AG37" s="723"/>
      <c r="AH37" s="723"/>
      <c r="AI37" s="723"/>
      <c r="AJ37" s="723"/>
      <c r="AK37" s="723"/>
      <c r="AL37" s="723"/>
      <c r="AM37" s="723"/>
      <c r="AN37" s="723"/>
      <c r="AO37" s="723"/>
      <c r="AP37" s="723"/>
      <c r="AQ37" s="723"/>
      <c r="AR37" s="723"/>
      <c r="AS37" s="723"/>
      <c r="AT37" s="723"/>
      <c r="AU37" s="723"/>
      <c r="AV37" s="723"/>
      <c r="AW37" s="723"/>
      <c r="AX37" s="723"/>
      <c r="AY37" s="723"/>
      <c r="AZ37" s="723"/>
      <c r="BA37" s="723"/>
      <c r="BB37" s="723"/>
      <c r="BC37" s="723"/>
      <c r="BD37" s="723"/>
      <c r="BE37" s="723"/>
      <c r="BF37" s="723"/>
    </row>
    <row r="38" spans="1:58" ht="28.5" customHeight="1">
      <c r="A38" s="284"/>
      <c r="B38" s="284"/>
      <c r="C38" s="725" t="s">
        <v>189</v>
      </c>
      <c r="D38" s="725"/>
      <c r="E38" s="725"/>
      <c r="F38" s="725"/>
      <c r="G38" s="725"/>
      <c r="H38" s="725"/>
      <c r="I38" s="725"/>
      <c r="J38" s="725"/>
      <c r="K38" s="725"/>
      <c r="L38" s="725"/>
      <c r="M38" s="725"/>
      <c r="N38" s="725"/>
      <c r="O38" s="725"/>
      <c r="P38" s="725"/>
      <c r="Q38" s="725"/>
      <c r="R38" s="725"/>
      <c r="S38" s="725"/>
      <c r="T38" s="725"/>
      <c r="U38" s="725"/>
      <c r="V38" s="725"/>
      <c r="W38" s="725"/>
      <c r="X38" s="725"/>
      <c r="Y38" s="725"/>
      <c r="Z38" s="725"/>
      <c r="AA38" s="725"/>
      <c r="AB38" s="725"/>
      <c r="AC38" s="725"/>
      <c r="AD38" s="725"/>
      <c r="AE38" s="725"/>
      <c r="AF38" s="725"/>
      <c r="AG38" s="725"/>
      <c r="AH38" s="725"/>
      <c r="AI38" s="725"/>
      <c r="AJ38" s="725"/>
      <c r="AK38" s="725"/>
      <c r="AL38" s="725"/>
      <c r="AM38" s="725"/>
      <c r="AN38" s="725"/>
      <c r="AO38" s="725"/>
      <c r="AP38" s="725"/>
      <c r="AQ38" s="725"/>
      <c r="AR38" s="725"/>
      <c r="AS38" s="725"/>
      <c r="AT38" s="725"/>
      <c r="AU38" s="725"/>
      <c r="AV38" s="725"/>
      <c r="AW38" s="725"/>
      <c r="AX38" s="725"/>
      <c r="AY38" s="725"/>
      <c r="AZ38" s="725"/>
      <c r="BA38" s="725"/>
      <c r="BB38" s="725"/>
      <c r="BC38" s="725"/>
      <c r="BD38" s="725"/>
      <c r="BE38" s="725"/>
      <c r="BF38" s="725"/>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2"/>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6A1A-C428-4D82-A660-6C527E53824E}">
  <sheetPr>
    <tabColor rgb="FF00B0F0"/>
    <pageSetUpPr fitToPage="1"/>
  </sheetPr>
  <dimension ref="A1:BU38"/>
  <sheetViews>
    <sheetView showGridLines="0" view="pageBreakPreview" zoomScale="85" zoomScaleNormal="70" zoomScaleSheetLayoutView="85" zoomScalePageLayoutView="70" workbookViewId="0">
      <selection activeCell="BD14" sqref="BD14:BF14"/>
    </sheetView>
  </sheetViews>
  <sheetFormatPr defaultColWidth="8.875" defaultRowHeight="21" customHeight="1"/>
  <cols>
    <col min="1" max="4" width="2.75" style="63" customWidth="1"/>
    <col min="5" max="18" width="2.75" style="62" customWidth="1"/>
    <col min="19" max="46" width="2.875" style="62" customWidth="1"/>
    <col min="47" max="71" width="2.75" style="62" customWidth="1"/>
    <col min="72" max="16384" width="8.875" style="62"/>
  </cols>
  <sheetData>
    <row r="1" spans="1:73"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row>
    <row r="2" spans="1:73" ht="21" customHeight="1">
      <c r="A2" s="659" t="s">
        <v>607</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59"/>
      <c r="AO2" s="659"/>
      <c r="AP2" s="659"/>
      <c r="AQ2" s="659"/>
      <c r="AR2" s="659"/>
      <c r="AS2" s="659"/>
      <c r="AT2" s="659"/>
      <c r="AU2" s="659"/>
      <c r="AV2" s="659"/>
      <c r="AW2" s="659"/>
      <c r="AX2" s="659"/>
      <c r="AY2" s="659"/>
      <c r="AZ2" s="659"/>
      <c r="BA2" s="659"/>
      <c r="BB2" s="659"/>
      <c r="BC2" s="659"/>
      <c r="BD2" s="659"/>
      <c r="BE2" s="659"/>
      <c r="BF2" s="659"/>
    </row>
    <row r="3" spans="1:73" ht="9.75" customHeight="1" thickBot="1">
      <c r="A3" s="94"/>
      <c r="B3" s="94"/>
      <c r="C3" s="94"/>
      <c r="D3" s="94"/>
      <c r="E3" s="94"/>
    </row>
    <row r="4" spans="1:73" ht="21" customHeight="1" thickBot="1">
      <c r="A4" s="660" t="s">
        <v>253</v>
      </c>
      <c r="B4" s="661"/>
      <c r="C4" s="661"/>
      <c r="D4" s="661"/>
      <c r="E4" s="661"/>
      <c r="F4" s="661"/>
      <c r="G4" s="661"/>
      <c r="H4" s="661"/>
      <c r="I4" s="661"/>
      <c r="J4" s="661"/>
      <c r="K4" s="661"/>
      <c r="L4" s="661"/>
      <c r="M4" s="661"/>
      <c r="N4" s="661"/>
      <c r="O4" s="661"/>
      <c r="P4" s="661"/>
      <c r="Q4" s="661"/>
      <c r="R4" s="661"/>
      <c r="S4" s="661" t="s">
        <v>627</v>
      </c>
      <c r="T4" s="661"/>
      <c r="U4" s="661"/>
      <c r="V4" s="661"/>
      <c r="W4" s="661"/>
      <c r="X4" s="661"/>
      <c r="Y4" s="661"/>
      <c r="Z4" s="661"/>
      <c r="AA4" s="661"/>
      <c r="AB4" s="661"/>
      <c r="AC4" s="661"/>
      <c r="AD4" s="661"/>
      <c r="AE4" s="661"/>
      <c r="AF4" s="661" t="s">
        <v>251</v>
      </c>
      <c r="AG4" s="661"/>
      <c r="AH4" s="661"/>
      <c r="AI4" s="661"/>
      <c r="AJ4" s="661"/>
      <c r="AK4" s="661"/>
      <c r="AL4" s="661"/>
      <c r="AM4" s="661"/>
      <c r="AN4" s="661" t="s">
        <v>574</v>
      </c>
      <c r="AO4" s="661"/>
      <c r="AP4" s="661"/>
      <c r="AQ4" s="661"/>
      <c r="AR4" s="661"/>
      <c r="AS4" s="661"/>
      <c r="AT4" s="661"/>
      <c r="AU4" s="661"/>
      <c r="AV4" s="661"/>
      <c r="AW4" s="661"/>
      <c r="AX4" s="661"/>
      <c r="AY4" s="661"/>
      <c r="AZ4" s="661"/>
      <c r="BA4" s="661"/>
      <c r="BB4" s="661"/>
      <c r="BC4" s="661"/>
      <c r="BD4" s="661"/>
      <c r="BE4" s="661"/>
      <c r="BF4" s="662"/>
    </row>
    <row r="5" spans="1:73" ht="21" customHeight="1" thickBot="1">
      <c r="A5" s="663" t="s">
        <v>249</v>
      </c>
      <c r="B5" s="664"/>
      <c r="C5" s="664"/>
      <c r="D5" s="664"/>
      <c r="E5" s="664"/>
      <c r="F5" s="664"/>
      <c r="G5" s="664"/>
      <c r="H5" s="665">
        <v>6</v>
      </c>
      <c r="I5" s="666"/>
      <c r="J5" s="666"/>
      <c r="K5" s="666"/>
      <c r="L5" s="666"/>
      <c r="M5" s="666"/>
      <c r="N5" s="666"/>
      <c r="O5" s="666"/>
      <c r="P5" s="666"/>
      <c r="Q5" s="666"/>
      <c r="R5" s="666"/>
      <c r="S5" s="667" t="s">
        <v>248</v>
      </c>
      <c r="T5" s="668"/>
      <c r="U5" s="668"/>
      <c r="V5" s="668"/>
      <c r="W5" s="668"/>
      <c r="X5" s="668"/>
      <c r="Y5" s="668"/>
      <c r="Z5" s="669"/>
      <c r="AA5" s="665" t="s">
        <v>711</v>
      </c>
      <c r="AB5" s="666"/>
      <c r="AC5" s="666"/>
      <c r="AD5" s="666"/>
      <c r="AE5" s="666"/>
      <c r="AF5" s="666"/>
      <c r="AG5" s="666"/>
      <c r="AH5" s="666"/>
      <c r="AI5" s="666"/>
      <c r="AJ5" s="670"/>
      <c r="AK5" s="665" t="s">
        <v>247</v>
      </c>
      <c r="AL5" s="666"/>
      <c r="AM5" s="666"/>
      <c r="AN5" s="666"/>
      <c r="AO5" s="666"/>
      <c r="AP5" s="666"/>
      <c r="AQ5" s="666"/>
      <c r="AR5" s="666"/>
      <c r="AS5" s="670"/>
      <c r="AT5" s="690" t="s">
        <v>712</v>
      </c>
      <c r="AU5" s="691"/>
      <c r="AV5" s="691"/>
      <c r="AW5" s="691"/>
      <c r="AX5" s="691"/>
      <c r="AY5" s="691"/>
      <c r="AZ5" s="691"/>
      <c r="BA5" s="691"/>
      <c r="BB5" s="691"/>
      <c r="BC5" s="691"/>
      <c r="BD5" s="691"/>
      <c r="BE5" s="691"/>
      <c r="BF5" s="692"/>
    </row>
    <row r="6" spans="1:73" ht="21" customHeight="1" thickBot="1">
      <c r="A6" s="693" t="s">
        <v>246</v>
      </c>
      <c r="B6" s="694"/>
      <c r="C6" s="694"/>
      <c r="D6" s="694"/>
      <c r="E6" s="694"/>
      <c r="F6" s="694"/>
      <c r="G6" s="694"/>
      <c r="H6" s="694"/>
      <c r="I6" s="694"/>
      <c r="J6" s="694"/>
      <c r="K6" s="694"/>
      <c r="L6" s="694"/>
      <c r="M6" s="694"/>
      <c r="N6" s="694"/>
      <c r="O6" s="694"/>
      <c r="P6" s="694"/>
      <c r="Q6" s="694"/>
      <c r="R6" s="694"/>
      <c r="S6" s="667"/>
      <c r="T6" s="668"/>
      <c r="U6" s="668"/>
      <c r="V6" s="668"/>
      <c r="W6" s="668"/>
      <c r="X6" s="668"/>
      <c r="Y6" s="668"/>
      <c r="Z6" s="668"/>
      <c r="AA6" s="668"/>
      <c r="AB6" s="668"/>
      <c r="AC6" s="668"/>
      <c r="AD6" s="668"/>
      <c r="AE6" s="669"/>
      <c r="AF6" s="694" t="s">
        <v>244</v>
      </c>
      <c r="AG6" s="694"/>
      <c r="AH6" s="694"/>
      <c r="AI6" s="694"/>
      <c r="AJ6" s="694"/>
      <c r="AK6" s="694"/>
      <c r="AL6" s="694"/>
      <c r="AM6" s="694"/>
      <c r="AN6" s="694" t="s">
        <v>610</v>
      </c>
      <c r="AO6" s="694"/>
      <c r="AP6" s="694"/>
      <c r="AQ6" s="694"/>
      <c r="AR6" s="694"/>
      <c r="AS6" s="694"/>
      <c r="AT6" s="694"/>
      <c r="AU6" s="694"/>
      <c r="AV6" s="694"/>
      <c r="AW6" s="694"/>
      <c r="AX6" s="694"/>
      <c r="AY6" s="694"/>
      <c r="AZ6" s="694"/>
      <c r="BA6" s="694"/>
      <c r="BB6" s="694"/>
      <c r="BC6" s="694"/>
      <c r="BD6" s="694"/>
      <c r="BE6" s="694"/>
      <c r="BF6" s="695"/>
    </row>
    <row r="7" spans="1:73" ht="21" customHeight="1">
      <c r="A7" s="671" t="s">
        <v>242</v>
      </c>
      <c r="B7" s="672"/>
      <c r="C7" s="672"/>
      <c r="D7" s="672"/>
      <c r="E7" s="672"/>
      <c r="F7" s="672"/>
      <c r="G7" s="676" t="s">
        <v>241</v>
      </c>
      <c r="H7" s="676"/>
      <c r="I7" s="676"/>
      <c r="J7" s="676"/>
      <c r="K7" s="676"/>
      <c r="L7" s="672" t="s">
        <v>240</v>
      </c>
      <c r="M7" s="672"/>
      <c r="N7" s="672"/>
      <c r="O7" s="672"/>
      <c r="P7" s="672"/>
      <c r="Q7" s="672"/>
      <c r="R7" s="698"/>
      <c r="S7" s="671" t="s">
        <v>239</v>
      </c>
      <c r="T7" s="672"/>
      <c r="U7" s="672"/>
      <c r="V7" s="672"/>
      <c r="W7" s="672"/>
      <c r="X7" s="672"/>
      <c r="Y7" s="673"/>
      <c r="Z7" s="671" t="s">
        <v>238</v>
      </c>
      <c r="AA7" s="672"/>
      <c r="AB7" s="672"/>
      <c r="AC7" s="672"/>
      <c r="AD7" s="672"/>
      <c r="AE7" s="672"/>
      <c r="AF7" s="673"/>
      <c r="AG7" s="671" t="s">
        <v>237</v>
      </c>
      <c r="AH7" s="672"/>
      <c r="AI7" s="672"/>
      <c r="AJ7" s="672"/>
      <c r="AK7" s="672"/>
      <c r="AL7" s="672"/>
      <c r="AM7" s="673"/>
      <c r="AN7" s="674" t="s">
        <v>236</v>
      </c>
      <c r="AO7" s="672"/>
      <c r="AP7" s="672"/>
      <c r="AQ7" s="672"/>
      <c r="AR7" s="672"/>
      <c r="AS7" s="672"/>
      <c r="AT7" s="673"/>
      <c r="AU7" s="675" t="s">
        <v>235</v>
      </c>
      <c r="AV7" s="676"/>
      <c r="AW7" s="676"/>
      <c r="AX7" s="676" t="s">
        <v>234</v>
      </c>
      <c r="AY7" s="676"/>
      <c r="AZ7" s="676"/>
      <c r="BA7" s="679" t="s">
        <v>233</v>
      </c>
      <c r="BB7" s="680"/>
      <c r="BC7" s="681"/>
      <c r="BD7" s="676" t="s">
        <v>232</v>
      </c>
      <c r="BE7" s="676"/>
      <c r="BF7" s="688"/>
    </row>
    <row r="8" spans="1:73" ht="21" customHeight="1">
      <c r="A8" s="696"/>
      <c r="B8" s="697"/>
      <c r="C8" s="697"/>
      <c r="D8" s="697"/>
      <c r="E8" s="697"/>
      <c r="F8" s="697"/>
      <c r="G8" s="678"/>
      <c r="H8" s="678"/>
      <c r="I8" s="678"/>
      <c r="J8" s="678"/>
      <c r="K8" s="678"/>
      <c r="L8" s="697"/>
      <c r="M8" s="697"/>
      <c r="N8" s="697"/>
      <c r="O8" s="697"/>
      <c r="P8" s="697"/>
      <c r="Q8" s="697"/>
      <c r="R8" s="699"/>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77"/>
      <c r="AV8" s="678"/>
      <c r="AW8" s="678"/>
      <c r="AX8" s="678"/>
      <c r="AY8" s="678"/>
      <c r="AZ8" s="678"/>
      <c r="BA8" s="682"/>
      <c r="BB8" s="683"/>
      <c r="BC8" s="684"/>
      <c r="BD8" s="678"/>
      <c r="BE8" s="678"/>
      <c r="BF8" s="689"/>
      <c r="BU8" s="62">
        <f>5.4/6</f>
        <v>0.9</v>
      </c>
    </row>
    <row r="9" spans="1:73" ht="21" customHeight="1">
      <c r="A9" s="696"/>
      <c r="B9" s="697"/>
      <c r="C9" s="697"/>
      <c r="D9" s="697"/>
      <c r="E9" s="697"/>
      <c r="F9" s="697"/>
      <c r="G9" s="678"/>
      <c r="H9" s="678"/>
      <c r="I9" s="678"/>
      <c r="J9" s="678"/>
      <c r="K9" s="678"/>
      <c r="L9" s="697"/>
      <c r="M9" s="697"/>
      <c r="N9" s="697"/>
      <c r="O9" s="697"/>
      <c r="P9" s="697"/>
      <c r="Q9" s="697"/>
      <c r="R9" s="699"/>
      <c r="S9" s="280" t="s">
        <v>611</v>
      </c>
      <c r="T9" s="90" t="s">
        <v>226</v>
      </c>
      <c r="U9" s="90" t="s">
        <v>612</v>
      </c>
      <c r="V9" s="90" t="s">
        <v>613</v>
      </c>
      <c r="W9" s="90" t="s">
        <v>614</v>
      </c>
      <c r="X9" s="90" t="s">
        <v>615</v>
      </c>
      <c r="Y9" s="89" t="s">
        <v>616</v>
      </c>
      <c r="Z9" s="280" t="s">
        <v>617</v>
      </c>
      <c r="AA9" s="90" t="s">
        <v>618</v>
      </c>
      <c r="AB9" s="90" t="s">
        <v>612</v>
      </c>
      <c r="AC9" s="90" t="s">
        <v>613</v>
      </c>
      <c r="AD9" s="90" t="s">
        <v>614</v>
      </c>
      <c r="AE9" s="90" t="s">
        <v>615</v>
      </c>
      <c r="AF9" s="89" t="s">
        <v>616</v>
      </c>
      <c r="AG9" s="280" t="s">
        <v>617</v>
      </c>
      <c r="AH9" s="90" t="s">
        <v>618</v>
      </c>
      <c r="AI9" s="90" t="s">
        <v>612</v>
      </c>
      <c r="AJ9" s="90" t="s">
        <v>613</v>
      </c>
      <c r="AK9" s="90" t="s">
        <v>614</v>
      </c>
      <c r="AL9" s="90" t="s">
        <v>615</v>
      </c>
      <c r="AM9" s="89" t="s">
        <v>616</v>
      </c>
      <c r="AN9" s="280" t="s">
        <v>617</v>
      </c>
      <c r="AO9" s="90" t="s">
        <v>618</v>
      </c>
      <c r="AP9" s="90" t="s">
        <v>612</v>
      </c>
      <c r="AQ9" s="90" t="s">
        <v>613</v>
      </c>
      <c r="AR9" s="90" t="s">
        <v>614</v>
      </c>
      <c r="AS9" s="90" t="s">
        <v>615</v>
      </c>
      <c r="AT9" s="89" t="s">
        <v>616</v>
      </c>
      <c r="AU9" s="677"/>
      <c r="AV9" s="678"/>
      <c r="AW9" s="678"/>
      <c r="AX9" s="678"/>
      <c r="AY9" s="678"/>
      <c r="AZ9" s="678"/>
      <c r="BA9" s="685"/>
      <c r="BB9" s="686"/>
      <c r="BC9" s="687"/>
      <c r="BD9" s="678"/>
      <c r="BE9" s="678"/>
      <c r="BF9" s="689"/>
    </row>
    <row r="10" spans="1:73" ht="17.25" customHeight="1">
      <c r="A10" s="703" t="s">
        <v>224</v>
      </c>
      <c r="B10" s="704"/>
      <c r="C10" s="704"/>
      <c r="D10" s="704"/>
      <c r="E10" s="704"/>
      <c r="F10" s="704"/>
      <c r="G10" s="704" t="s">
        <v>292</v>
      </c>
      <c r="H10" s="704"/>
      <c r="I10" s="704"/>
      <c r="J10" s="704"/>
      <c r="K10" s="704"/>
      <c r="L10" s="697" t="s">
        <v>619</v>
      </c>
      <c r="M10" s="697"/>
      <c r="N10" s="697"/>
      <c r="O10" s="697"/>
      <c r="P10" s="697"/>
      <c r="Q10" s="697"/>
      <c r="R10" s="699"/>
      <c r="S10" s="283" t="s">
        <v>620</v>
      </c>
      <c r="T10" s="286" t="s">
        <v>620</v>
      </c>
      <c r="U10" s="286"/>
      <c r="V10" s="286"/>
      <c r="W10" s="286" t="s">
        <v>620</v>
      </c>
      <c r="X10" s="286" t="s">
        <v>620</v>
      </c>
      <c r="Y10" s="285" t="s">
        <v>620</v>
      </c>
      <c r="Z10" s="283" t="s">
        <v>620</v>
      </c>
      <c r="AA10" s="286" t="s">
        <v>620</v>
      </c>
      <c r="AB10" s="286"/>
      <c r="AC10" s="286"/>
      <c r="AD10" s="286" t="s">
        <v>620</v>
      </c>
      <c r="AE10" s="286" t="s">
        <v>620</v>
      </c>
      <c r="AF10" s="285" t="s">
        <v>620</v>
      </c>
      <c r="AG10" s="283" t="s">
        <v>620</v>
      </c>
      <c r="AH10" s="286" t="s">
        <v>620</v>
      </c>
      <c r="AI10" s="286"/>
      <c r="AJ10" s="286"/>
      <c r="AK10" s="286" t="s">
        <v>620</v>
      </c>
      <c r="AL10" s="286" t="s">
        <v>620</v>
      </c>
      <c r="AM10" s="285" t="s">
        <v>620</v>
      </c>
      <c r="AN10" s="283" t="s">
        <v>620</v>
      </c>
      <c r="AO10" s="286"/>
      <c r="AP10" s="286" t="s">
        <v>620</v>
      </c>
      <c r="AQ10" s="286"/>
      <c r="AR10" s="286" t="s">
        <v>620</v>
      </c>
      <c r="AS10" s="286" t="s">
        <v>620</v>
      </c>
      <c r="AT10" s="285" t="s">
        <v>620</v>
      </c>
      <c r="AU10" s="705">
        <f>6.5*20</f>
        <v>130</v>
      </c>
      <c r="AV10" s="705"/>
      <c r="AW10" s="706"/>
      <c r="AX10" s="700">
        <f>6.5*5</f>
        <v>32.5</v>
      </c>
      <c r="AY10" s="701"/>
      <c r="AZ10" s="707"/>
      <c r="BA10" s="700">
        <f>6.5*5</f>
        <v>32.5</v>
      </c>
      <c r="BB10" s="701"/>
      <c r="BC10" s="707"/>
      <c r="BD10" s="700">
        <f>BA10/AU23</f>
        <v>1</v>
      </c>
      <c r="BE10" s="701"/>
      <c r="BF10" s="702"/>
    </row>
    <row r="11" spans="1:73" ht="17.25" customHeight="1">
      <c r="A11" s="703" t="s">
        <v>621</v>
      </c>
      <c r="B11" s="704"/>
      <c r="C11" s="704"/>
      <c r="D11" s="704"/>
      <c r="E11" s="704"/>
      <c r="F11" s="704"/>
      <c r="G11" s="704" t="s">
        <v>292</v>
      </c>
      <c r="H11" s="704"/>
      <c r="I11" s="704"/>
      <c r="J11" s="704"/>
      <c r="K11" s="704"/>
      <c r="L11" s="697" t="s">
        <v>628</v>
      </c>
      <c r="M11" s="697"/>
      <c r="N11" s="697"/>
      <c r="O11" s="697"/>
      <c r="P11" s="697"/>
      <c r="Q11" s="697"/>
      <c r="R11" s="699"/>
      <c r="S11" s="283" t="s">
        <v>620</v>
      </c>
      <c r="T11" s="286" t="s">
        <v>620</v>
      </c>
      <c r="U11" s="286"/>
      <c r="V11" s="286"/>
      <c r="W11" s="286" t="s">
        <v>620</v>
      </c>
      <c r="X11" s="286" t="s">
        <v>620</v>
      </c>
      <c r="Y11" s="285" t="s">
        <v>620</v>
      </c>
      <c r="Z11" s="283" t="s">
        <v>620</v>
      </c>
      <c r="AA11" s="286" t="s">
        <v>620</v>
      </c>
      <c r="AB11" s="286"/>
      <c r="AC11" s="286"/>
      <c r="AD11" s="286" t="s">
        <v>620</v>
      </c>
      <c r="AE11" s="286" t="s">
        <v>620</v>
      </c>
      <c r="AF11" s="285" t="s">
        <v>620</v>
      </c>
      <c r="AG11" s="283" t="s">
        <v>620</v>
      </c>
      <c r="AH11" s="286" t="s">
        <v>620</v>
      </c>
      <c r="AI11" s="286"/>
      <c r="AJ11" s="286"/>
      <c r="AK11" s="286" t="s">
        <v>620</v>
      </c>
      <c r="AL11" s="286" t="s">
        <v>620</v>
      </c>
      <c r="AM11" s="285" t="s">
        <v>620</v>
      </c>
      <c r="AN11" s="283" t="s">
        <v>620</v>
      </c>
      <c r="AO11" s="286"/>
      <c r="AP11" s="286" t="s">
        <v>620</v>
      </c>
      <c r="AQ11" s="286"/>
      <c r="AR11" s="286" t="s">
        <v>620</v>
      </c>
      <c r="AS11" s="286" t="s">
        <v>620</v>
      </c>
      <c r="AT11" s="285" t="s">
        <v>620</v>
      </c>
      <c r="AU11" s="705">
        <f>6.5*20</f>
        <v>130</v>
      </c>
      <c r="AV11" s="705"/>
      <c r="AW11" s="706"/>
      <c r="AX11" s="700">
        <f>6.5*5</f>
        <v>32.5</v>
      </c>
      <c r="AY11" s="701"/>
      <c r="AZ11" s="707"/>
      <c r="BA11" s="700">
        <f>6.5*5</f>
        <v>32.5</v>
      </c>
      <c r="BB11" s="701"/>
      <c r="BC11" s="707"/>
      <c r="BD11" s="700">
        <v>1</v>
      </c>
      <c r="BE11" s="701"/>
      <c r="BF11" s="702"/>
    </row>
    <row r="12" spans="1:73" ht="17.25" customHeight="1">
      <c r="A12" s="703" t="s">
        <v>220</v>
      </c>
      <c r="B12" s="704"/>
      <c r="C12" s="704"/>
      <c r="D12" s="704"/>
      <c r="E12" s="704"/>
      <c r="F12" s="704"/>
      <c r="G12" s="697"/>
      <c r="H12" s="697"/>
      <c r="I12" s="697"/>
      <c r="J12" s="697"/>
      <c r="K12" s="697"/>
      <c r="L12" s="697"/>
      <c r="M12" s="697"/>
      <c r="N12" s="697"/>
      <c r="O12" s="697"/>
      <c r="P12" s="697"/>
      <c r="Q12" s="697"/>
      <c r="R12" s="699"/>
      <c r="S12" s="283"/>
      <c r="T12" s="281"/>
      <c r="U12" s="281"/>
      <c r="V12" s="281"/>
      <c r="W12" s="281"/>
      <c r="X12" s="281"/>
      <c r="Y12" s="285"/>
      <c r="Z12" s="283"/>
      <c r="AA12" s="281"/>
      <c r="AB12" s="281"/>
      <c r="AC12" s="281"/>
      <c r="AD12" s="281"/>
      <c r="AE12" s="281"/>
      <c r="AF12" s="285"/>
      <c r="AG12" s="283"/>
      <c r="AH12" s="281"/>
      <c r="AI12" s="281"/>
      <c r="AJ12" s="281"/>
      <c r="AK12" s="281"/>
      <c r="AL12" s="281"/>
      <c r="AM12" s="285"/>
      <c r="AN12" s="283"/>
      <c r="AO12" s="281"/>
      <c r="AP12" s="281"/>
      <c r="AQ12" s="281"/>
      <c r="AR12" s="281"/>
      <c r="AS12" s="281"/>
      <c r="AT12" s="285"/>
      <c r="AU12" s="705"/>
      <c r="AV12" s="705"/>
      <c r="AW12" s="706"/>
      <c r="AX12" s="700"/>
      <c r="AY12" s="701"/>
      <c r="AZ12" s="707"/>
      <c r="BA12" s="700"/>
      <c r="BB12" s="701"/>
      <c r="BC12" s="707"/>
      <c r="BD12" s="700"/>
      <c r="BE12" s="701"/>
      <c r="BF12" s="702"/>
    </row>
    <row r="13" spans="1:73" ht="15.75" customHeight="1">
      <c r="A13" s="703" t="s">
        <v>622</v>
      </c>
      <c r="B13" s="704"/>
      <c r="C13" s="704"/>
      <c r="D13" s="704"/>
      <c r="E13" s="704"/>
      <c r="F13" s="704"/>
      <c r="G13" s="704" t="s">
        <v>715</v>
      </c>
      <c r="H13" s="704"/>
      <c r="I13" s="704"/>
      <c r="J13" s="704"/>
      <c r="K13" s="704"/>
      <c r="L13" s="697" t="s">
        <v>714</v>
      </c>
      <c r="M13" s="697"/>
      <c r="N13" s="697"/>
      <c r="O13" s="697"/>
      <c r="P13" s="697"/>
      <c r="Q13" s="697"/>
      <c r="R13" s="699"/>
      <c r="S13" s="310" t="s">
        <v>620</v>
      </c>
      <c r="T13" s="312" t="s">
        <v>620</v>
      </c>
      <c r="U13" s="312"/>
      <c r="V13" s="312"/>
      <c r="W13" s="312" t="s">
        <v>620</v>
      </c>
      <c r="X13" s="312" t="s">
        <v>620</v>
      </c>
      <c r="Y13" s="311" t="s">
        <v>620</v>
      </c>
      <c r="Z13" s="310" t="s">
        <v>620</v>
      </c>
      <c r="AA13" s="312" t="s">
        <v>620</v>
      </c>
      <c r="AB13" s="312"/>
      <c r="AC13" s="312"/>
      <c r="AD13" s="312" t="s">
        <v>620</v>
      </c>
      <c r="AE13" s="312" t="s">
        <v>620</v>
      </c>
      <c r="AF13" s="311" t="s">
        <v>620</v>
      </c>
      <c r="AG13" s="310" t="s">
        <v>620</v>
      </c>
      <c r="AH13" s="312" t="s">
        <v>620</v>
      </c>
      <c r="AI13" s="312"/>
      <c r="AJ13" s="312"/>
      <c r="AK13" s="312" t="s">
        <v>620</v>
      </c>
      <c r="AL13" s="312" t="s">
        <v>620</v>
      </c>
      <c r="AM13" s="311" t="s">
        <v>620</v>
      </c>
      <c r="AN13" s="310" t="s">
        <v>620</v>
      </c>
      <c r="AO13" s="312"/>
      <c r="AP13" s="312" t="s">
        <v>620</v>
      </c>
      <c r="AQ13" s="312"/>
      <c r="AR13" s="312" t="s">
        <v>620</v>
      </c>
      <c r="AS13" s="312" t="s">
        <v>620</v>
      </c>
      <c r="AT13" s="311" t="s">
        <v>620</v>
      </c>
      <c r="AU13" s="705">
        <v>130</v>
      </c>
      <c r="AV13" s="705"/>
      <c r="AW13" s="706"/>
      <c r="AX13" s="708">
        <v>32.5</v>
      </c>
      <c r="AY13" s="709"/>
      <c r="AZ13" s="710"/>
      <c r="BA13" s="708">
        <v>32.5</v>
      </c>
      <c r="BB13" s="709"/>
      <c r="BC13" s="710"/>
      <c r="BD13" s="700">
        <v>1</v>
      </c>
      <c r="BE13" s="701"/>
      <c r="BF13" s="702"/>
    </row>
    <row r="14" spans="1:73" ht="15.75" customHeight="1">
      <c r="A14" s="703" t="s">
        <v>623</v>
      </c>
      <c r="B14" s="704"/>
      <c r="C14" s="704"/>
      <c r="D14" s="704"/>
      <c r="E14" s="704"/>
      <c r="F14" s="704"/>
      <c r="G14" s="704" t="s">
        <v>292</v>
      </c>
      <c r="H14" s="704"/>
      <c r="I14" s="704"/>
      <c r="J14" s="704"/>
      <c r="K14" s="704"/>
      <c r="L14" s="697" t="s">
        <v>624</v>
      </c>
      <c r="M14" s="697"/>
      <c r="N14" s="697"/>
      <c r="O14" s="697"/>
      <c r="P14" s="697"/>
      <c r="Q14" s="697"/>
      <c r="R14" s="699"/>
      <c r="S14" s="283" t="s">
        <v>630</v>
      </c>
      <c r="T14" s="286" t="s">
        <v>630</v>
      </c>
      <c r="U14" s="286"/>
      <c r="V14" s="286"/>
      <c r="W14" s="286" t="s">
        <v>630</v>
      </c>
      <c r="X14" s="286" t="s">
        <v>630</v>
      </c>
      <c r="Y14" s="285" t="s">
        <v>630</v>
      </c>
      <c r="Z14" s="283" t="s">
        <v>630</v>
      </c>
      <c r="AA14" s="286" t="s">
        <v>630</v>
      </c>
      <c r="AB14" s="286"/>
      <c r="AC14" s="286"/>
      <c r="AD14" s="286" t="s">
        <v>630</v>
      </c>
      <c r="AE14" s="286" t="s">
        <v>630</v>
      </c>
      <c r="AF14" s="285" t="s">
        <v>630</v>
      </c>
      <c r="AG14" s="283" t="s">
        <v>630</v>
      </c>
      <c r="AH14" s="286" t="s">
        <v>630</v>
      </c>
      <c r="AI14" s="286"/>
      <c r="AJ14" s="286"/>
      <c r="AK14" s="286" t="s">
        <v>630</v>
      </c>
      <c r="AL14" s="286" t="s">
        <v>630</v>
      </c>
      <c r="AM14" s="285" t="s">
        <v>630</v>
      </c>
      <c r="AN14" s="283" t="s">
        <v>630</v>
      </c>
      <c r="AO14" s="286"/>
      <c r="AP14" s="286" t="s">
        <v>630</v>
      </c>
      <c r="AQ14" s="286"/>
      <c r="AR14" s="286" t="s">
        <v>630</v>
      </c>
      <c r="AS14" s="286" t="s">
        <v>630</v>
      </c>
      <c r="AT14" s="285" t="s">
        <v>630</v>
      </c>
      <c r="AU14" s="705">
        <f>3*4*5</f>
        <v>60</v>
      </c>
      <c r="AV14" s="705"/>
      <c r="AW14" s="706"/>
      <c r="AX14" s="708">
        <f>AU14/4</f>
        <v>15</v>
      </c>
      <c r="AY14" s="709"/>
      <c r="AZ14" s="710"/>
      <c r="BA14" s="708">
        <v>15</v>
      </c>
      <c r="BB14" s="709"/>
      <c r="BC14" s="710"/>
      <c r="BD14" s="700">
        <f>BA14/AU23</f>
        <v>0.46153846153846156</v>
      </c>
      <c r="BE14" s="701"/>
      <c r="BF14" s="702"/>
    </row>
    <row r="15" spans="1:73" ht="0.75" customHeight="1">
      <c r="A15" s="703"/>
      <c r="B15" s="704"/>
      <c r="C15" s="704"/>
      <c r="D15" s="704"/>
      <c r="E15" s="704"/>
      <c r="F15" s="704"/>
      <c r="G15" s="704"/>
      <c r="H15" s="704"/>
      <c r="I15" s="704"/>
      <c r="J15" s="704"/>
      <c r="K15" s="704"/>
      <c r="L15" s="697"/>
      <c r="M15" s="697"/>
      <c r="N15" s="697"/>
      <c r="O15" s="697"/>
      <c r="P15" s="697"/>
      <c r="Q15" s="697"/>
      <c r="R15" s="699"/>
      <c r="S15" s="283"/>
      <c r="T15" s="286"/>
      <c r="U15" s="286"/>
      <c r="V15" s="286"/>
      <c r="W15" s="286"/>
      <c r="X15" s="286"/>
      <c r="Y15" s="285"/>
      <c r="Z15" s="283"/>
      <c r="AA15" s="286"/>
      <c r="AB15" s="286"/>
      <c r="AC15" s="286"/>
      <c r="AD15" s="286"/>
      <c r="AE15" s="286"/>
      <c r="AF15" s="285"/>
      <c r="AG15" s="283"/>
      <c r="AH15" s="286"/>
      <c r="AI15" s="286"/>
      <c r="AJ15" s="286"/>
      <c r="AK15" s="286"/>
      <c r="AL15" s="286"/>
      <c r="AM15" s="285"/>
      <c r="AN15" s="283"/>
      <c r="AO15" s="286"/>
      <c r="AP15" s="286"/>
      <c r="AQ15" s="286"/>
      <c r="AR15" s="286"/>
      <c r="AS15" s="286"/>
      <c r="AT15" s="285"/>
      <c r="AU15" s="705"/>
      <c r="AV15" s="705"/>
      <c r="AW15" s="706"/>
      <c r="AX15" s="708"/>
      <c r="AY15" s="709"/>
      <c r="AZ15" s="710"/>
      <c r="BA15" s="708"/>
      <c r="BB15" s="709"/>
      <c r="BC15" s="710"/>
      <c r="BD15" s="700"/>
      <c r="BE15" s="701"/>
      <c r="BF15" s="702"/>
    </row>
    <row r="16" spans="1:73" ht="17.25" customHeight="1">
      <c r="A16" s="703" t="s">
        <v>213</v>
      </c>
      <c r="B16" s="704"/>
      <c r="C16" s="704"/>
      <c r="D16" s="704"/>
      <c r="E16" s="704"/>
      <c r="F16" s="704"/>
      <c r="G16" s="704"/>
      <c r="H16" s="704"/>
      <c r="I16" s="704"/>
      <c r="J16" s="704"/>
      <c r="K16" s="704"/>
      <c r="L16" s="697"/>
      <c r="M16" s="697"/>
      <c r="N16" s="697"/>
      <c r="O16" s="697"/>
      <c r="P16" s="697"/>
      <c r="Q16" s="697"/>
      <c r="R16" s="699"/>
      <c r="S16" s="283"/>
      <c r="T16" s="286"/>
      <c r="U16" s="286"/>
      <c r="V16" s="286"/>
      <c r="W16" s="286"/>
      <c r="X16" s="286"/>
      <c r="Y16" s="285"/>
      <c r="Z16" s="283"/>
      <c r="AA16" s="286"/>
      <c r="AB16" s="286"/>
      <c r="AC16" s="286"/>
      <c r="AD16" s="286"/>
      <c r="AE16" s="286"/>
      <c r="AF16" s="285"/>
      <c r="AG16" s="283"/>
      <c r="AH16" s="286"/>
      <c r="AI16" s="286"/>
      <c r="AJ16" s="286"/>
      <c r="AK16" s="286"/>
      <c r="AL16" s="286"/>
      <c r="AM16" s="285"/>
      <c r="AN16" s="282"/>
      <c r="AO16" s="286"/>
      <c r="AP16" s="286"/>
      <c r="AQ16" s="286"/>
      <c r="AR16" s="286"/>
      <c r="AS16" s="286"/>
      <c r="AT16" s="285"/>
      <c r="AU16" s="705"/>
      <c r="AV16" s="705"/>
      <c r="AW16" s="706"/>
      <c r="AX16" s="700"/>
      <c r="AY16" s="701"/>
      <c r="AZ16" s="707"/>
      <c r="BA16" s="700">
        <f>SUM(BA13:BC15)</f>
        <v>47.5</v>
      </c>
      <c r="BB16" s="701"/>
      <c r="BC16" s="707"/>
      <c r="BD16" s="700">
        <f>BA16/32.5</f>
        <v>1.4615384615384615</v>
      </c>
      <c r="BE16" s="701"/>
      <c r="BF16" s="702"/>
    </row>
    <row r="17" spans="1:58" ht="17.25" customHeight="1">
      <c r="A17" s="703" t="s">
        <v>631</v>
      </c>
      <c r="B17" s="704"/>
      <c r="C17" s="704"/>
      <c r="D17" s="704"/>
      <c r="E17" s="704"/>
      <c r="F17" s="704"/>
      <c r="G17" s="704" t="s">
        <v>715</v>
      </c>
      <c r="H17" s="704"/>
      <c r="I17" s="704"/>
      <c r="J17" s="704"/>
      <c r="K17" s="704"/>
      <c r="L17" s="697" t="s">
        <v>629</v>
      </c>
      <c r="M17" s="697"/>
      <c r="N17" s="697"/>
      <c r="O17" s="697"/>
      <c r="P17" s="697"/>
      <c r="Q17" s="697"/>
      <c r="R17" s="699"/>
      <c r="S17" s="310" t="s">
        <v>620</v>
      </c>
      <c r="T17" s="312" t="s">
        <v>620</v>
      </c>
      <c r="U17" s="312"/>
      <c r="V17" s="312"/>
      <c r="W17" s="312" t="s">
        <v>620</v>
      </c>
      <c r="X17" s="312" t="s">
        <v>620</v>
      </c>
      <c r="Y17" s="311" t="s">
        <v>620</v>
      </c>
      <c r="Z17" s="310" t="s">
        <v>620</v>
      </c>
      <c r="AA17" s="312" t="s">
        <v>620</v>
      </c>
      <c r="AB17" s="312"/>
      <c r="AC17" s="312"/>
      <c r="AD17" s="312" t="s">
        <v>620</v>
      </c>
      <c r="AE17" s="312" t="s">
        <v>620</v>
      </c>
      <c r="AF17" s="311" t="s">
        <v>620</v>
      </c>
      <c r="AG17" s="310" t="s">
        <v>620</v>
      </c>
      <c r="AH17" s="312" t="s">
        <v>620</v>
      </c>
      <c r="AI17" s="312"/>
      <c r="AJ17" s="312"/>
      <c r="AK17" s="312" t="s">
        <v>620</v>
      </c>
      <c r="AL17" s="312" t="s">
        <v>620</v>
      </c>
      <c r="AM17" s="311" t="s">
        <v>620</v>
      </c>
      <c r="AN17" s="310" t="s">
        <v>620</v>
      </c>
      <c r="AO17" s="312"/>
      <c r="AP17" s="312" t="s">
        <v>620</v>
      </c>
      <c r="AQ17" s="312"/>
      <c r="AR17" s="312" t="s">
        <v>620</v>
      </c>
      <c r="AS17" s="312" t="s">
        <v>620</v>
      </c>
      <c r="AT17" s="311" t="s">
        <v>620</v>
      </c>
      <c r="AU17" s="705">
        <v>130</v>
      </c>
      <c r="AV17" s="705"/>
      <c r="AW17" s="706"/>
      <c r="AX17" s="708">
        <v>32.5</v>
      </c>
      <c r="AY17" s="709"/>
      <c r="AZ17" s="710"/>
      <c r="BA17" s="708">
        <v>32.5</v>
      </c>
      <c r="BB17" s="709"/>
      <c r="BC17" s="710"/>
      <c r="BD17" s="700">
        <v>1</v>
      </c>
      <c r="BE17" s="701"/>
      <c r="BF17" s="702"/>
    </row>
    <row r="18" spans="1:58" ht="17.25" customHeight="1">
      <c r="A18" s="703"/>
      <c r="B18" s="704"/>
      <c r="C18" s="704"/>
      <c r="D18" s="704"/>
      <c r="E18" s="704"/>
      <c r="F18" s="704"/>
      <c r="G18" s="697"/>
      <c r="H18" s="697"/>
      <c r="I18" s="697"/>
      <c r="J18" s="697"/>
      <c r="K18" s="697"/>
      <c r="L18" s="697"/>
      <c r="M18" s="697"/>
      <c r="N18" s="697"/>
      <c r="O18" s="697"/>
      <c r="P18" s="697"/>
      <c r="Q18" s="697"/>
      <c r="R18" s="699"/>
      <c r="S18" s="283"/>
      <c r="T18" s="281"/>
      <c r="U18" s="281"/>
      <c r="V18" s="281"/>
      <c r="W18" s="281"/>
      <c r="X18" s="281"/>
      <c r="Y18" s="285"/>
      <c r="Z18" s="283"/>
      <c r="AA18" s="281"/>
      <c r="AB18" s="281"/>
      <c r="AC18" s="281"/>
      <c r="AD18" s="281"/>
      <c r="AE18" s="281"/>
      <c r="AF18" s="285"/>
      <c r="AG18" s="283"/>
      <c r="AH18" s="281"/>
      <c r="AI18" s="281"/>
      <c r="AJ18" s="281"/>
      <c r="AK18" s="281"/>
      <c r="AL18" s="281"/>
      <c r="AM18" s="285"/>
      <c r="AN18" s="282"/>
      <c r="AO18" s="281"/>
      <c r="AP18" s="281"/>
      <c r="AQ18" s="281"/>
      <c r="AR18" s="281"/>
      <c r="AS18" s="281"/>
      <c r="AT18" s="285"/>
      <c r="AU18" s="705"/>
      <c r="AV18" s="705"/>
      <c r="AW18" s="706"/>
      <c r="AX18" s="700"/>
      <c r="AY18" s="701"/>
      <c r="AZ18" s="707"/>
      <c r="BA18" s="700"/>
      <c r="BB18" s="701"/>
      <c r="BC18" s="707"/>
      <c r="BD18" s="700"/>
      <c r="BE18" s="701"/>
      <c r="BF18" s="702"/>
    </row>
    <row r="19" spans="1:58" ht="17.25" customHeight="1">
      <c r="A19" s="703"/>
      <c r="B19" s="704"/>
      <c r="C19" s="704"/>
      <c r="D19" s="704"/>
      <c r="E19" s="704"/>
      <c r="F19" s="704"/>
      <c r="G19" s="697"/>
      <c r="H19" s="697"/>
      <c r="I19" s="697"/>
      <c r="J19" s="697"/>
      <c r="K19" s="697"/>
      <c r="L19" s="697"/>
      <c r="M19" s="697"/>
      <c r="N19" s="697"/>
      <c r="O19" s="697"/>
      <c r="P19" s="697"/>
      <c r="Q19" s="697"/>
      <c r="R19" s="699"/>
      <c r="S19" s="283"/>
      <c r="T19" s="281"/>
      <c r="U19" s="281"/>
      <c r="V19" s="281"/>
      <c r="W19" s="281"/>
      <c r="X19" s="281"/>
      <c r="Y19" s="285"/>
      <c r="Z19" s="283"/>
      <c r="AA19" s="281"/>
      <c r="AB19" s="281"/>
      <c r="AC19" s="281"/>
      <c r="AD19" s="281"/>
      <c r="AE19" s="281"/>
      <c r="AF19" s="285"/>
      <c r="AG19" s="283"/>
      <c r="AH19" s="281"/>
      <c r="AI19" s="281"/>
      <c r="AJ19" s="281"/>
      <c r="AK19" s="281"/>
      <c r="AL19" s="281"/>
      <c r="AM19" s="285"/>
      <c r="AN19" s="282"/>
      <c r="AO19" s="281"/>
      <c r="AP19" s="281"/>
      <c r="AQ19" s="281"/>
      <c r="AR19" s="281"/>
      <c r="AS19" s="281"/>
      <c r="AT19" s="285"/>
      <c r="AU19" s="705"/>
      <c r="AV19" s="705"/>
      <c r="AW19" s="706"/>
      <c r="AX19" s="700"/>
      <c r="AY19" s="701"/>
      <c r="AZ19" s="707"/>
      <c r="BA19" s="700"/>
      <c r="BB19" s="701"/>
      <c r="BC19" s="707"/>
      <c r="BD19" s="700"/>
      <c r="BE19" s="701"/>
      <c r="BF19" s="702"/>
    </row>
    <row r="20" spans="1:58" ht="17.25" customHeight="1">
      <c r="A20" s="703"/>
      <c r="B20" s="704"/>
      <c r="C20" s="704"/>
      <c r="D20" s="704"/>
      <c r="E20" s="704"/>
      <c r="F20" s="704"/>
      <c r="G20" s="697"/>
      <c r="H20" s="697"/>
      <c r="I20" s="697"/>
      <c r="J20" s="697"/>
      <c r="K20" s="697"/>
      <c r="L20" s="697"/>
      <c r="M20" s="697"/>
      <c r="N20" s="697"/>
      <c r="O20" s="697"/>
      <c r="P20" s="697"/>
      <c r="Q20" s="697"/>
      <c r="R20" s="699"/>
      <c r="S20" s="283"/>
      <c r="T20" s="281"/>
      <c r="U20" s="281"/>
      <c r="V20" s="281"/>
      <c r="W20" s="281"/>
      <c r="X20" s="281"/>
      <c r="Y20" s="285"/>
      <c r="Z20" s="283"/>
      <c r="AA20" s="281"/>
      <c r="AB20" s="281"/>
      <c r="AC20" s="281"/>
      <c r="AD20" s="281"/>
      <c r="AE20" s="281"/>
      <c r="AF20" s="285"/>
      <c r="AG20" s="283"/>
      <c r="AH20" s="281"/>
      <c r="AI20" s="281"/>
      <c r="AJ20" s="281"/>
      <c r="AK20" s="281"/>
      <c r="AL20" s="281"/>
      <c r="AM20" s="285"/>
      <c r="AN20" s="282"/>
      <c r="AO20" s="281"/>
      <c r="AP20" s="281"/>
      <c r="AQ20" s="281"/>
      <c r="AR20" s="281"/>
      <c r="AS20" s="281"/>
      <c r="AT20" s="285"/>
      <c r="AU20" s="705"/>
      <c r="AV20" s="705"/>
      <c r="AW20" s="706"/>
      <c r="AX20" s="700"/>
      <c r="AY20" s="701"/>
      <c r="AZ20" s="707"/>
      <c r="BA20" s="700"/>
      <c r="BB20" s="701"/>
      <c r="BC20" s="707"/>
      <c r="BD20" s="700"/>
      <c r="BE20" s="701"/>
      <c r="BF20" s="702"/>
    </row>
    <row r="21" spans="1:58" ht="17.25" customHeight="1">
      <c r="A21" s="703" t="s">
        <v>212</v>
      </c>
      <c r="B21" s="704"/>
      <c r="C21" s="704"/>
      <c r="D21" s="704"/>
      <c r="E21" s="704"/>
      <c r="F21" s="704"/>
      <c r="G21" s="697"/>
      <c r="H21" s="697"/>
      <c r="I21" s="697"/>
      <c r="J21" s="697"/>
      <c r="K21" s="697"/>
      <c r="L21" s="697"/>
      <c r="M21" s="697"/>
      <c r="N21" s="697"/>
      <c r="O21" s="697"/>
      <c r="P21" s="697"/>
      <c r="Q21" s="697"/>
      <c r="R21" s="699"/>
      <c r="S21" s="283"/>
      <c r="T21" s="281"/>
      <c r="U21" s="281"/>
      <c r="V21" s="281"/>
      <c r="W21" s="281"/>
      <c r="X21" s="281"/>
      <c r="Y21" s="285"/>
      <c r="Z21" s="283"/>
      <c r="AA21" s="281"/>
      <c r="AB21" s="281"/>
      <c r="AC21" s="281"/>
      <c r="AD21" s="281"/>
      <c r="AE21" s="281"/>
      <c r="AF21" s="285"/>
      <c r="AG21" s="283"/>
      <c r="AH21" s="281"/>
      <c r="AI21" s="281"/>
      <c r="AJ21" s="281"/>
      <c r="AK21" s="281"/>
      <c r="AL21" s="281"/>
      <c r="AM21" s="285"/>
      <c r="AN21" s="282"/>
      <c r="AO21" s="281"/>
      <c r="AP21" s="281"/>
      <c r="AQ21" s="281"/>
      <c r="AR21" s="281"/>
      <c r="AS21" s="281"/>
      <c r="AT21" s="285"/>
      <c r="AU21" s="705"/>
      <c r="AV21" s="705"/>
      <c r="AW21" s="706"/>
      <c r="AX21" s="700"/>
      <c r="AY21" s="701"/>
      <c r="AZ21" s="707"/>
      <c r="BA21" s="700"/>
      <c r="BB21" s="701"/>
      <c r="BC21" s="707"/>
      <c r="BD21" s="700"/>
      <c r="BE21" s="701"/>
      <c r="BF21" s="702"/>
    </row>
    <row r="22" spans="1:58" ht="17.25" customHeight="1" thickBot="1">
      <c r="A22" s="703"/>
      <c r="B22" s="704"/>
      <c r="C22" s="704"/>
      <c r="D22" s="704"/>
      <c r="E22" s="704"/>
      <c r="F22" s="704"/>
      <c r="G22" s="697"/>
      <c r="H22" s="697"/>
      <c r="I22" s="697"/>
      <c r="J22" s="697"/>
      <c r="K22" s="697"/>
      <c r="L22" s="697"/>
      <c r="M22" s="697"/>
      <c r="N22" s="697"/>
      <c r="O22" s="697"/>
      <c r="P22" s="697"/>
      <c r="Q22" s="697"/>
      <c r="R22" s="699"/>
      <c r="S22" s="283"/>
      <c r="T22" s="281"/>
      <c r="U22" s="281"/>
      <c r="V22" s="281"/>
      <c r="W22" s="281"/>
      <c r="X22" s="281"/>
      <c r="Y22" s="285"/>
      <c r="Z22" s="283"/>
      <c r="AA22" s="281"/>
      <c r="AB22" s="281"/>
      <c r="AC22" s="281"/>
      <c r="AD22" s="281"/>
      <c r="AE22" s="281"/>
      <c r="AF22" s="285"/>
      <c r="AG22" s="283"/>
      <c r="AH22" s="281"/>
      <c r="AI22" s="281"/>
      <c r="AJ22" s="281"/>
      <c r="AK22" s="281"/>
      <c r="AL22" s="281"/>
      <c r="AM22" s="285"/>
      <c r="AN22" s="282"/>
      <c r="AO22" s="281"/>
      <c r="AP22" s="281"/>
      <c r="AQ22" s="281"/>
      <c r="AR22" s="281"/>
      <c r="AS22" s="281"/>
      <c r="AT22" s="285"/>
      <c r="AU22" s="705"/>
      <c r="AV22" s="705"/>
      <c r="AW22" s="706"/>
      <c r="AX22" s="700"/>
      <c r="AY22" s="701"/>
      <c r="AZ22" s="707"/>
      <c r="BA22" s="700"/>
      <c r="BB22" s="701"/>
      <c r="BC22" s="707"/>
      <c r="BD22" s="700"/>
      <c r="BE22" s="701"/>
      <c r="BF22" s="702"/>
    </row>
    <row r="23" spans="1:58" ht="21" customHeight="1" thickBot="1">
      <c r="A23" s="711" t="s">
        <v>207</v>
      </c>
      <c r="B23" s="712"/>
      <c r="C23" s="712"/>
      <c r="D23" s="712"/>
      <c r="E23" s="712"/>
      <c r="F23" s="712"/>
      <c r="G23" s="712"/>
      <c r="H23" s="712"/>
      <c r="I23" s="712"/>
      <c r="J23" s="712"/>
      <c r="K23" s="712"/>
      <c r="L23" s="712"/>
      <c r="M23" s="712"/>
      <c r="N23" s="712"/>
      <c r="O23" s="712"/>
      <c r="P23" s="712"/>
      <c r="Q23" s="712"/>
      <c r="R23" s="712"/>
      <c r="S23" s="712"/>
      <c r="T23" s="712"/>
      <c r="U23" s="712"/>
      <c r="V23" s="712"/>
      <c r="W23" s="712"/>
      <c r="X23" s="712"/>
      <c r="Y23" s="712"/>
      <c r="Z23" s="712"/>
      <c r="AA23" s="712"/>
      <c r="AB23" s="712"/>
      <c r="AC23" s="712"/>
      <c r="AD23" s="712"/>
      <c r="AE23" s="712"/>
      <c r="AF23" s="712"/>
      <c r="AG23" s="712"/>
      <c r="AH23" s="712"/>
      <c r="AI23" s="712"/>
      <c r="AJ23" s="712"/>
      <c r="AK23" s="712"/>
      <c r="AL23" s="712"/>
      <c r="AM23" s="712"/>
      <c r="AN23" s="712"/>
      <c r="AO23" s="712"/>
      <c r="AP23" s="712"/>
      <c r="AQ23" s="712"/>
      <c r="AR23" s="712"/>
      <c r="AS23" s="712"/>
      <c r="AT23" s="713"/>
      <c r="AU23" s="714">
        <f>6.5*5</f>
        <v>32.5</v>
      </c>
      <c r="AV23" s="666"/>
      <c r="AW23" s="666"/>
      <c r="AX23" s="666"/>
      <c r="AY23" s="666"/>
      <c r="AZ23" s="666"/>
      <c r="BA23" s="666"/>
      <c r="BB23" s="666"/>
      <c r="BC23" s="666"/>
      <c r="BD23" s="666"/>
      <c r="BE23" s="666"/>
      <c r="BF23" s="715"/>
    </row>
    <row r="24" spans="1:58" ht="21" customHeight="1" thickBot="1">
      <c r="A24" s="716" t="s">
        <v>206</v>
      </c>
      <c r="B24" s="717"/>
      <c r="C24" s="717"/>
      <c r="D24" s="717"/>
      <c r="E24" s="717"/>
      <c r="F24" s="717"/>
      <c r="G24" s="717"/>
      <c r="H24" s="717"/>
      <c r="I24" s="717"/>
      <c r="J24" s="717"/>
      <c r="K24" s="717"/>
      <c r="L24" s="717"/>
      <c r="M24" s="717"/>
      <c r="N24" s="717"/>
      <c r="O24" s="717"/>
      <c r="P24" s="717"/>
      <c r="Q24" s="717"/>
      <c r="R24" s="667"/>
      <c r="S24" s="79">
        <v>6</v>
      </c>
      <c r="T24" s="78">
        <v>6</v>
      </c>
      <c r="U24" s="78"/>
      <c r="V24" s="78"/>
      <c r="W24" s="78">
        <v>6</v>
      </c>
      <c r="X24" s="78">
        <v>6</v>
      </c>
      <c r="Y24" s="80">
        <v>6</v>
      </c>
      <c r="Z24" s="79">
        <v>6</v>
      </c>
      <c r="AA24" s="78">
        <v>6</v>
      </c>
      <c r="AB24" s="78"/>
      <c r="AC24" s="78"/>
      <c r="AD24" s="78">
        <v>6</v>
      </c>
      <c r="AE24" s="78">
        <v>6</v>
      </c>
      <c r="AF24" s="77">
        <v>6</v>
      </c>
      <c r="AG24" s="79">
        <v>6</v>
      </c>
      <c r="AH24" s="78">
        <v>6</v>
      </c>
      <c r="AI24" s="78"/>
      <c r="AJ24" s="78"/>
      <c r="AK24" s="78">
        <v>6</v>
      </c>
      <c r="AL24" s="78">
        <v>6</v>
      </c>
      <c r="AM24" s="77">
        <v>6</v>
      </c>
      <c r="AN24" s="79">
        <v>6</v>
      </c>
      <c r="AO24" s="78"/>
      <c r="AP24" s="78">
        <v>6</v>
      </c>
      <c r="AQ24" s="78"/>
      <c r="AR24" s="78">
        <v>6</v>
      </c>
      <c r="AS24" s="78">
        <v>6</v>
      </c>
      <c r="AT24" s="77">
        <v>6</v>
      </c>
      <c r="AU24" s="666">
        <f>6*20</f>
        <v>120</v>
      </c>
      <c r="AV24" s="666"/>
      <c r="AW24" s="670"/>
      <c r="AX24" s="718"/>
      <c r="AY24" s="719"/>
      <c r="AZ24" s="720"/>
      <c r="BA24" s="718"/>
      <c r="BB24" s="719"/>
      <c r="BC24" s="720"/>
      <c r="BD24" s="718"/>
      <c r="BE24" s="719"/>
      <c r="BF24" s="721"/>
    </row>
    <row r="25" spans="1:58" customFormat="1" ht="21" customHeigh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row>
    <row r="26" spans="1:58" customFormat="1" ht="21" customHeight="1">
      <c r="A26" s="73"/>
      <c r="B26" s="72" t="s">
        <v>205</v>
      </c>
      <c r="C26" s="72"/>
      <c r="D26" s="72"/>
      <c r="E26" s="72"/>
      <c r="F26" s="72"/>
      <c r="G26" s="72"/>
      <c r="H26" s="72"/>
      <c r="I26" s="72" t="s">
        <v>713</v>
      </c>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row>
    <row r="27" spans="1:58" customFormat="1" ht="21" customHeight="1" thickBot="1">
      <c r="A27" s="70"/>
      <c r="B27" s="69"/>
      <c r="C27" s="69"/>
      <c r="D27" s="69"/>
      <c r="E27" s="69"/>
      <c r="F27" s="69"/>
      <c r="G27" s="69"/>
      <c r="H27" s="69"/>
      <c r="I27" s="69" t="s">
        <v>626</v>
      </c>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row>
    <row r="28" spans="1:58" ht="28.5" customHeight="1">
      <c r="A28" s="726" t="s">
        <v>202</v>
      </c>
      <c r="B28" s="726"/>
      <c r="C28" s="727" t="s">
        <v>201</v>
      </c>
      <c r="D28" s="727"/>
      <c r="E28" s="727"/>
      <c r="F28" s="727"/>
      <c r="G28" s="727"/>
      <c r="H28" s="727"/>
      <c r="I28" s="727"/>
      <c r="J28" s="727"/>
      <c r="K28" s="727"/>
      <c r="L28" s="727"/>
      <c r="M28" s="727"/>
      <c r="N28" s="727"/>
      <c r="O28" s="727"/>
      <c r="P28" s="727"/>
      <c r="Q28" s="727"/>
      <c r="R28" s="727"/>
      <c r="S28" s="727"/>
      <c r="T28" s="727"/>
      <c r="U28" s="727"/>
      <c r="V28" s="727"/>
      <c r="W28" s="727"/>
      <c r="X28" s="727"/>
      <c r="Y28" s="727"/>
      <c r="Z28" s="727"/>
      <c r="AA28" s="727"/>
      <c r="AB28" s="727"/>
      <c r="AC28" s="727"/>
      <c r="AD28" s="727"/>
      <c r="AE28" s="727"/>
      <c r="AF28" s="727"/>
      <c r="AG28" s="727"/>
      <c r="AH28" s="727"/>
      <c r="AI28" s="727"/>
      <c r="AJ28" s="727"/>
      <c r="AK28" s="727"/>
      <c r="AL28" s="727"/>
      <c r="AM28" s="727"/>
      <c r="AN28" s="727"/>
      <c r="AO28" s="727"/>
      <c r="AP28" s="727"/>
      <c r="AQ28" s="727"/>
      <c r="AR28" s="727"/>
      <c r="AS28" s="727"/>
      <c r="AT28" s="727"/>
      <c r="AU28" s="727"/>
      <c r="AV28" s="727"/>
      <c r="AW28" s="727"/>
      <c r="AX28" s="727"/>
      <c r="AY28" s="727"/>
      <c r="AZ28" s="727"/>
      <c r="BA28" s="727"/>
      <c r="BB28" s="727"/>
      <c r="BC28" s="727"/>
      <c r="BD28" s="727"/>
      <c r="BE28" s="727"/>
      <c r="BF28" s="727"/>
    </row>
    <row r="29" spans="1:58" ht="18" customHeight="1">
      <c r="A29" s="65"/>
      <c r="B29" s="65"/>
      <c r="C29" s="722" t="s">
        <v>200</v>
      </c>
      <c r="D29" s="722"/>
      <c r="E29" s="722"/>
      <c r="F29" s="722"/>
      <c r="G29" s="722"/>
      <c r="H29" s="722"/>
      <c r="I29" s="722"/>
      <c r="J29" s="722"/>
      <c r="K29" s="722"/>
      <c r="L29" s="722"/>
      <c r="M29" s="722"/>
      <c r="N29" s="722"/>
      <c r="O29" s="722"/>
      <c r="P29" s="722"/>
      <c r="Q29" s="722"/>
      <c r="R29" s="722"/>
      <c r="S29" s="722"/>
      <c r="T29" s="722"/>
      <c r="U29" s="722"/>
      <c r="V29" s="722"/>
      <c r="W29" s="722"/>
      <c r="X29" s="722"/>
      <c r="Y29" s="722"/>
      <c r="Z29" s="722"/>
      <c r="AA29" s="722"/>
      <c r="AB29" s="722"/>
      <c r="AC29" s="722"/>
      <c r="AD29" s="722"/>
      <c r="AE29" s="722"/>
      <c r="AF29" s="722"/>
      <c r="AG29" s="722"/>
      <c r="AH29" s="722"/>
      <c r="AI29" s="722"/>
      <c r="AJ29" s="722"/>
      <c r="AK29" s="722"/>
      <c r="AL29" s="722"/>
      <c r="AM29" s="722"/>
      <c r="AN29" s="722"/>
      <c r="AO29" s="722"/>
      <c r="AP29" s="722"/>
      <c r="AQ29" s="722"/>
      <c r="AR29" s="722"/>
      <c r="AS29" s="722"/>
      <c r="AT29" s="722"/>
      <c r="AU29" s="722"/>
      <c r="AV29" s="722"/>
      <c r="AW29" s="722"/>
      <c r="AX29" s="722"/>
      <c r="AY29" s="722"/>
      <c r="AZ29" s="722"/>
      <c r="BA29" s="722"/>
      <c r="BB29" s="722"/>
      <c r="BC29" s="722"/>
      <c r="BD29" s="722"/>
      <c r="BE29" s="722"/>
      <c r="BF29" s="722"/>
    </row>
    <row r="30" spans="1:58" ht="27.75" customHeight="1">
      <c r="A30" s="67"/>
      <c r="B30" s="67"/>
      <c r="C30" s="728" t="s">
        <v>199</v>
      </c>
      <c r="D30" s="728"/>
      <c r="E30" s="728"/>
      <c r="F30" s="728"/>
      <c r="G30" s="728"/>
      <c r="H30" s="728"/>
      <c r="I30" s="728"/>
      <c r="J30" s="728"/>
      <c r="K30" s="728"/>
      <c r="L30" s="728"/>
      <c r="M30" s="728"/>
      <c r="N30" s="728"/>
      <c r="O30" s="728"/>
      <c r="P30" s="728"/>
      <c r="Q30" s="728"/>
      <c r="R30" s="728"/>
      <c r="S30" s="728"/>
      <c r="T30" s="728"/>
      <c r="U30" s="728"/>
      <c r="V30" s="728"/>
      <c r="W30" s="728"/>
      <c r="X30" s="728"/>
      <c r="Y30" s="728"/>
      <c r="Z30" s="728"/>
      <c r="AA30" s="728"/>
      <c r="AB30" s="728"/>
      <c r="AC30" s="728"/>
      <c r="AD30" s="728"/>
      <c r="AE30" s="728"/>
      <c r="AF30" s="728"/>
      <c r="AG30" s="728"/>
      <c r="AH30" s="728"/>
      <c r="AI30" s="728"/>
      <c r="AJ30" s="728"/>
      <c r="AK30" s="728"/>
      <c r="AL30" s="728"/>
      <c r="AM30" s="728"/>
      <c r="AN30" s="728"/>
      <c r="AO30" s="728"/>
      <c r="AP30" s="728"/>
      <c r="AQ30" s="728"/>
      <c r="AR30" s="728"/>
      <c r="AS30" s="728"/>
      <c r="AT30" s="728"/>
      <c r="AU30" s="728"/>
      <c r="AV30" s="728"/>
      <c r="AW30" s="728"/>
      <c r="AX30" s="728"/>
      <c r="AY30" s="728"/>
      <c r="AZ30" s="728"/>
      <c r="BA30" s="728"/>
      <c r="BB30" s="728"/>
      <c r="BC30" s="728"/>
      <c r="BD30" s="728"/>
      <c r="BE30" s="728"/>
      <c r="BF30" s="728"/>
    </row>
    <row r="31" spans="1:58" ht="29.25" customHeight="1">
      <c r="A31" s="284"/>
      <c r="B31" s="284"/>
      <c r="C31" s="723" t="s">
        <v>198</v>
      </c>
      <c r="D31" s="723"/>
      <c r="E31" s="723"/>
      <c r="F31" s="723"/>
      <c r="G31" s="723"/>
      <c r="H31" s="723"/>
      <c r="I31" s="723"/>
      <c r="J31" s="723"/>
      <c r="K31" s="723"/>
      <c r="L31" s="723"/>
      <c r="M31" s="723"/>
      <c r="N31" s="723"/>
      <c r="O31" s="723"/>
      <c r="P31" s="723"/>
      <c r="Q31" s="723"/>
      <c r="R31" s="723"/>
      <c r="S31" s="723"/>
      <c r="T31" s="723"/>
      <c r="U31" s="723"/>
      <c r="V31" s="723"/>
      <c r="W31" s="723"/>
      <c r="X31" s="723"/>
      <c r="Y31" s="723"/>
      <c r="Z31" s="723"/>
      <c r="AA31" s="723"/>
      <c r="AB31" s="723"/>
      <c r="AC31" s="723"/>
      <c r="AD31" s="723"/>
      <c r="AE31" s="723"/>
      <c r="AF31" s="723"/>
      <c r="AG31" s="723"/>
      <c r="AH31" s="723"/>
      <c r="AI31" s="723"/>
      <c r="AJ31" s="723"/>
      <c r="AK31" s="723"/>
      <c r="AL31" s="723"/>
      <c r="AM31" s="723"/>
      <c r="AN31" s="723"/>
      <c r="AO31" s="723"/>
      <c r="AP31" s="723"/>
      <c r="AQ31" s="723"/>
      <c r="AR31" s="723"/>
      <c r="AS31" s="723"/>
      <c r="AT31" s="723"/>
      <c r="AU31" s="723"/>
      <c r="AV31" s="723"/>
      <c r="AW31" s="723"/>
      <c r="AX31" s="723"/>
      <c r="AY31" s="723"/>
      <c r="AZ31" s="723"/>
      <c r="BA31" s="723"/>
      <c r="BB31" s="723"/>
      <c r="BC31" s="723"/>
      <c r="BD31" s="723"/>
      <c r="BE31" s="723"/>
      <c r="BF31" s="723"/>
    </row>
    <row r="32" spans="1:58" ht="42.75" customHeight="1">
      <c r="A32" s="284"/>
      <c r="B32" s="284"/>
      <c r="C32" s="723" t="s">
        <v>722</v>
      </c>
      <c r="D32" s="723"/>
      <c r="E32" s="723"/>
      <c r="F32" s="723"/>
      <c r="G32" s="723"/>
      <c r="H32" s="723"/>
      <c r="I32" s="723"/>
      <c r="J32" s="723"/>
      <c r="K32" s="723"/>
      <c r="L32" s="723"/>
      <c r="M32" s="723"/>
      <c r="N32" s="723"/>
      <c r="O32" s="723"/>
      <c r="P32" s="723"/>
      <c r="Q32" s="723"/>
      <c r="R32" s="723"/>
      <c r="S32" s="723"/>
      <c r="T32" s="723"/>
      <c r="U32" s="723"/>
      <c r="V32" s="723"/>
      <c r="W32" s="723"/>
      <c r="X32" s="723"/>
      <c r="Y32" s="723"/>
      <c r="Z32" s="723"/>
      <c r="AA32" s="723"/>
      <c r="AB32" s="723"/>
      <c r="AC32" s="723"/>
      <c r="AD32" s="723"/>
      <c r="AE32" s="723"/>
      <c r="AF32" s="723"/>
      <c r="AG32" s="723"/>
      <c r="AH32" s="723"/>
      <c r="AI32" s="723"/>
      <c r="AJ32" s="723"/>
      <c r="AK32" s="723"/>
      <c r="AL32" s="723"/>
      <c r="AM32" s="723"/>
      <c r="AN32" s="723"/>
      <c r="AO32" s="723"/>
      <c r="AP32" s="723"/>
      <c r="AQ32" s="723"/>
      <c r="AR32" s="723"/>
      <c r="AS32" s="723"/>
      <c r="AT32" s="723"/>
      <c r="AU32" s="723"/>
      <c r="AV32" s="723"/>
      <c r="AW32" s="723"/>
      <c r="AX32" s="723"/>
      <c r="AY32" s="723"/>
      <c r="AZ32" s="723"/>
      <c r="BA32" s="723"/>
      <c r="BB32" s="723"/>
      <c r="BC32" s="723"/>
      <c r="BD32" s="723"/>
      <c r="BE32" s="723"/>
      <c r="BF32" s="723"/>
    </row>
    <row r="33" spans="1:58" ht="18" customHeight="1">
      <c r="A33" s="65"/>
      <c r="B33" s="65"/>
      <c r="C33" s="722" t="s">
        <v>196</v>
      </c>
      <c r="D33" s="722"/>
      <c r="E33" s="722"/>
      <c r="F33" s="722"/>
      <c r="G33" s="722"/>
      <c r="H33" s="722"/>
      <c r="I33" s="722"/>
      <c r="J33" s="722"/>
      <c r="K33" s="722"/>
      <c r="L33" s="722"/>
      <c r="M33" s="722"/>
      <c r="N33" s="722"/>
      <c r="O33" s="722"/>
      <c r="P33" s="722"/>
      <c r="Q33" s="722"/>
      <c r="R33" s="722"/>
      <c r="S33" s="722"/>
      <c r="T33" s="722"/>
      <c r="U33" s="722"/>
      <c r="V33" s="722"/>
      <c r="W33" s="722"/>
      <c r="X33" s="722"/>
      <c r="Y33" s="722"/>
      <c r="Z33" s="722"/>
      <c r="AA33" s="722"/>
      <c r="AB33" s="722"/>
      <c r="AC33" s="722"/>
      <c r="AD33" s="722"/>
      <c r="AE33" s="722"/>
      <c r="AF33" s="722"/>
      <c r="AG33" s="722"/>
      <c r="AH33" s="722"/>
      <c r="AI33" s="722"/>
      <c r="AJ33" s="722"/>
      <c r="AK33" s="722"/>
      <c r="AL33" s="722"/>
      <c r="AM33" s="722"/>
      <c r="AN33" s="722"/>
      <c r="AO33" s="722"/>
      <c r="AP33" s="722"/>
      <c r="AQ33" s="722"/>
      <c r="AR33" s="722"/>
      <c r="AS33" s="722"/>
      <c r="AT33" s="722"/>
      <c r="AU33" s="722"/>
      <c r="AV33" s="722"/>
      <c r="AW33" s="722"/>
      <c r="AX33" s="722"/>
      <c r="AY33" s="722"/>
      <c r="AZ33" s="722"/>
      <c r="BA33" s="722"/>
      <c r="BB33" s="722"/>
      <c r="BC33" s="722"/>
      <c r="BD33" s="722"/>
      <c r="BE33" s="722"/>
      <c r="BF33" s="722"/>
    </row>
    <row r="34" spans="1:58" ht="14.25">
      <c r="A34" s="65"/>
      <c r="B34" s="65"/>
      <c r="C34" s="279"/>
      <c r="D34" s="279"/>
      <c r="E34" s="279" t="s">
        <v>195</v>
      </c>
      <c r="F34" s="279"/>
      <c r="G34" s="279"/>
      <c r="H34" s="279"/>
      <c r="I34" s="279"/>
      <c r="J34" s="279" t="s">
        <v>194</v>
      </c>
      <c r="K34" s="279"/>
      <c r="L34" s="279"/>
      <c r="M34" s="279"/>
      <c r="N34" s="279"/>
      <c r="O34" s="279"/>
      <c r="P34" s="279"/>
      <c r="Q34" s="279"/>
      <c r="R34" s="279"/>
      <c r="S34" s="279"/>
      <c r="T34" s="279"/>
      <c r="U34" s="279"/>
      <c r="V34" s="279"/>
      <c r="W34" s="279"/>
      <c r="X34" s="279" t="s">
        <v>193</v>
      </c>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row>
    <row r="35" spans="1:58" ht="28.5" customHeight="1">
      <c r="A35" s="65"/>
      <c r="B35" s="65"/>
      <c r="C35" s="279"/>
      <c r="D35" s="279"/>
      <c r="E35" s="723" t="s">
        <v>192</v>
      </c>
      <c r="F35" s="724"/>
      <c r="G35" s="724"/>
      <c r="H35" s="724"/>
      <c r="I35" s="724"/>
      <c r="J35" s="724"/>
      <c r="K35" s="724"/>
      <c r="L35" s="724"/>
      <c r="M35" s="724"/>
      <c r="N35" s="724"/>
      <c r="O35" s="724"/>
      <c r="P35" s="724"/>
      <c r="Q35" s="724"/>
      <c r="R35" s="724"/>
      <c r="S35" s="724"/>
      <c r="T35" s="724"/>
      <c r="U35" s="724"/>
      <c r="V35" s="724"/>
      <c r="W35" s="724"/>
      <c r="X35" s="724"/>
      <c r="Y35" s="724"/>
      <c r="Z35" s="724"/>
      <c r="AA35" s="724"/>
      <c r="AB35" s="724"/>
      <c r="AC35" s="724"/>
      <c r="AD35" s="724"/>
      <c r="AE35" s="724"/>
      <c r="AF35" s="724"/>
      <c r="AG35" s="724"/>
      <c r="AH35" s="724"/>
      <c r="AI35" s="724"/>
      <c r="AJ35" s="724"/>
      <c r="AK35" s="724"/>
      <c r="AL35" s="724"/>
      <c r="AM35" s="724"/>
      <c r="AN35" s="724"/>
      <c r="AO35" s="724"/>
      <c r="AP35" s="724"/>
      <c r="AQ35" s="724"/>
      <c r="AR35" s="724"/>
      <c r="AS35" s="724"/>
      <c r="AT35" s="724"/>
      <c r="AU35" s="724"/>
      <c r="AV35" s="724"/>
      <c r="AW35" s="724"/>
      <c r="AX35" s="724"/>
      <c r="AY35" s="724"/>
      <c r="AZ35" s="724"/>
      <c r="BA35" s="724"/>
      <c r="BB35" s="724"/>
      <c r="BC35" s="724"/>
      <c r="BD35" s="724"/>
      <c r="BE35" s="724"/>
      <c r="BF35" s="724"/>
    </row>
    <row r="36" spans="1:58" ht="18" customHeight="1">
      <c r="A36" s="65"/>
      <c r="B36" s="65"/>
      <c r="C36" s="723" t="s">
        <v>191</v>
      </c>
      <c r="D36" s="723"/>
      <c r="E36" s="723"/>
      <c r="F36" s="723"/>
      <c r="G36" s="723"/>
      <c r="H36" s="723"/>
      <c r="I36" s="723"/>
      <c r="J36" s="723"/>
      <c r="K36" s="723"/>
      <c r="L36" s="723"/>
      <c r="M36" s="723"/>
      <c r="N36" s="723"/>
      <c r="O36" s="723"/>
      <c r="P36" s="723"/>
      <c r="Q36" s="723"/>
      <c r="R36" s="723"/>
      <c r="S36" s="723"/>
      <c r="T36" s="723"/>
      <c r="U36" s="723"/>
      <c r="V36" s="723"/>
      <c r="W36" s="723"/>
      <c r="X36" s="723"/>
      <c r="Y36" s="723"/>
      <c r="Z36" s="723"/>
      <c r="AA36" s="723"/>
      <c r="AB36" s="723"/>
      <c r="AC36" s="723"/>
      <c r="AD36" s="723"/>
      <c r="AE36" s="723"/>
      <c r="AF36" s="723"/>
      <c r="AG36" s="723"/>
      <c r="AH36" s="723"/>
      <c r="AI36" s="723"/>
      <c r="AJ36" s="723"/>
      <c r="AK36" s="723"/>
      <c r="AL36" s="723"/>
      <c r="AM36" s="723"/>
      <c r="AN36" s="723"/>
      <c r="AO36" s="723"/>
      <c r="AP36" s="723"/>
      <c r="AQ36" s="723"/>
      <c r="AR36" s="723"/>
      <c r="AS36" s="723"/>
      <c r="AT36" s="723"/>
      <c r="AU36" s="723"/>
      <c r="AV36" s="723"/>
      <c r="AW36" s="723"/>
      <c r="AX36" s="723"/>
      <c r="AY36" s="723"/>
      <c r="AZ36" s="723"/>
      <c r="BA36" s="723"/>
      <c r="BB36" s="723"/>
      <c r="BC36" s="723"/>
      <c r="BD36" s="723"/>
      <c r="BE36" s="723"/>
      <c r="BF36" s="723"/>
    </row>
    <row r="37" spans="1:58" ht="28.5" customHeight="1">
      <c r="A37" s="65"/>
      <c r="B37" s="65"/>
      <c r="C37" s="723" t="s">
        <v>190</v>
      </c>
      <c r="D37" s="723"/>
      <c r="E37" s="723"/>
      <c r="F37" s="723"/>
      <c r="G37" s="723"/>
      <c r="H37" s="723"/>
      <c r="I37" s="723"/>
      <c r="J37" s="723"/>
      <c r="K37" s="723"/>
      <c r="L37" s="723"/>
      <c r="M37" s="723"/>
      <c r="N37" s="723"/>
      <c r="O37" s="723"/>
      <c r="P37" s="723"/>
      <c r="Q37" s="723"/>
      <c r="R37" s="723"/>
      <c r="S37" s="723"/>
      <c r="T37" s="723"/>
      <c r="U37" s="723"/>
      <c r="V37" s="723"/>
      <c r="W37" s="723"/>
      <c r="X37" s="723"/>
      <c r="Y37" s="723"/>
      <c r="Z37" s="723"/>
      <c r="AA37" s="723"/>
      <c r="AB37" s="723"/>
      <c r="AC37" s="723"/>
      <c r="AD37" s="723"/>
      <c r="AE37" s="723"/>
      <c r="AF37" s="723"/>
      <c r="AG37" s="723"/>
      <c r="AH37" s="723"/>
      <c r="AI37" s="723"/>
      <c r="AJ37" s="723"/>
      <c r="AK37" s="723"/>
      <c r="AL37" s="723"/>
      <c r="AM37" s="723"/>
      <c r="AN37" s="723"/>
      <c r="AO37" s="723"/>
      <c r="AP37" s="723"/>
      <c r="AQ37" s="723"/>
      <c r="AR37" s="723"/>
      <c r="AS37" s="723"/>
      <c r="AT37" s="723"/>
      <c r="AU37" s="723"/>
      <c r="AV37" s="723"/>
      <c r="AW37" s="723"/>
      <c r="AX37" s="723"/>
      <c r="AY37" s="723"/>
      <c r="AZ37" s="723"/>
      <c r="BA37" s="723"/>
      <c r="BB37" s="723"/>
      <c r="BC37" s="723"/>
      <c r="BD37" s="723"/>
      <c r="BE37" s="723"/>
      <c r="BF37" s="723"/>
    </row>
    <row r="38" spans="1:58" ht="28.5" customHeight="1">
      <c r="A38" s="284"/>
      <c r="B38" s="284"/>
      <c r="C38" s="725" t="s">
        <v>189</v>
      </c>
      <c r="D38" s="725"/>
      <c r="E38" s="725"/>
      <c r="F38" s="725"/>
      <c r="G38" s="725"/>
      <c r="H38" s="725"/>
      <c r="I38" s="725"/>
      <c r="J38" s="725"/>
      <c r="K38" s="725"/>
      <c r="L38" s="725"/>
      <c r="M38" s="725"/>
      <c r="N38" s="725"/>
      <c r="O38" s="725"/>
      <c r="P38" s="725"/>
      <c r="Q38" s="725"/>
      <c r="R38" s="725"/>
      <c r="S38" s="725"/>
      <c r="T38" s="725"/>
      <c r="U38" s="725"/>
      <c r="V38" s="725"/>
      <c r="W38" s="725"/>
      <c r="X38" s="725"/>
      <c r="Y38" s="725"/>
      <c r="Z38" s="725"/>
      <c r="AA38" s="725"/>
      <c r="AB38" s="725"/>
      <c r="AC38" s="725"/>
      <c r="AD38" s="725"/>
      <c r="AE38" s="725"/>
      <c r="AF38" s="725"/>
      <c r="AG38" s="725"/>
      <c r="AH38" s="725"/>
      <c r="AI38" s="725"/>
      <c r="AJ38" s="725"/>
      <c r="AK38" s="725"/>
      <c r="AL38" s="725"/>
      <c r="AM38" s="725"/>
      <c r="AN38" s="725"/>
      <c r="AO38" s="725"/>
      <c r="AP38" s="725"/>
      <c r="AQ38" s="725"/>
      <c r="AR38" s="725"/>
      <c r="AS38" s="725"/>
      <c r="AT38" s="725"/>
      <c r="AU38" s="725"/>
      <c r="AV38" s="725"/>
      <c r="AW38" s="725"/>
      <c r="AX38" s="725"/>
      <c r="AY38" s="725"/>
      <c r="AZ38" s="725"/>
      <c r="BA38" s="725"/>
      <c r="BB38" s="725"/>
      <c r="BC38" s="725"/>
      <c r="BD38" s="725"/>
      <c r="BE38" s="725"/>
      <c r="BF38" s="725"/>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2"/>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39"/>
  <sheetViews>
    <sheetView showGridLines="0" view="pageBreakPreview" zoomScale="70" zoomScaleNormal="70" zoomScaleSheetLayoutView="70" workbookViewId="0"/>
  </sheetViews>
  <sheetFormatPr defaultRowHeight="21" customHeight="1"/>
  <cols>
    <col min="1" max="4" width="2.625" style="63" customWidth="1"/>
    <col min="5" max="18" width="2.625" style="62" customWidth="1"/>
    <col min="19" max="46" width="2.875" style="62" customWidth="1"/>
    <col min="47" max="59" width="2.625" style="62" customWidth="1"/>
    <col min="60" max="63" width="2.625" style="63" customWidth="1"/>
    <col min="64" max="77" width="2.625" style="62" customWidth="1"/>
    <col min="78" max="105" width="2.875" style="62" customWidth="1"/>
    <col min="106" max="130" width="2.625" style="62" customWidth="1"/>
    <col min="131" max="16384" width="9" style="62"/>
  </cols>
  <sheetData>
    <row r="1" spans="1:117"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257</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256</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59" t="s">
        <v>255</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59"/>
      <c r="AO2" s="659"/>
      <c r="AP2" s="659"/>
      <c r="AQ2" s="659"/>
      <c r="AR2" s="659"/>
      <c r="AS2" s="659"/>
      <c r="AT2" s="659"/>
      <c r="AU2" s="659"/>
      <c r="AV2" s="659"/>
      <c r="AW2" s="659"/>
      <c r="AX2" s="659"/>
      <c r="AY2" s="659"/>
      <c r="AZ2" s="659"/>
      <c r="BA2" s="659"/>
      <c r="BB2" s="659"/>
      <c r="BC2" s="659"/>
      <c r="BD2" s="659"/>
      <c r="BE2" s="659"/>
      <c r="BF2" s="659"/>
      <c r="BH2" s="659" t="s">
        <v>254</v>
      </c>
      <c r="BI2" s="659"/>
      <c r="BJ2" s="659"/>
      <c r="BK2" s="659"/>
      <c r="BL2" s="659"/>
      <c r="BM2" s="659"/>
      <c r="BN2" s="659"/>
      <c r="BO2" s="659"/>
      <c r="BP2" s="659"/>
      <c r="BQ2" s="659"/>
      <c r="BR2" s="659"/>
      <c r="BS2" s="659"/>
      <c r="BT2" s="659"/>
      <c r="BU2" s="659"/>
      <c r="BV2" s="659"/>
      <c r="BW2" s="659"/>
      <c r="BX2" s="659"/>
      <c r="BY2" s="659"/>
      <c r="BZ2" s="659"/>
      <c r="CA2" s="659"/>
      <c r="CB2" s="659"/>
      <c r="CC2" s="659"/>
      <c r="CD2" s="659"/>
      <c r="CE2" s="659"/>
      <c r="CF2" s="659"/>
      <c r="CG2" s="659"/>
      <c r="CH2" s="659"/>
      <c r="CI2" s="659"/>
      <c r="CJ2" s="659"/>
      <c r="CK2" s="659"/>
      <c r="CL2" s="659"/>
      <c r="CM2" s="659"/>
      <c r="CN2" s="659"/>
      <c r="CO2" s="659"/>
      <c r="CP2" s="659"/>
      <c r="CQ2" s="659"/>
      <c r="CR2" s="659"/>
      <c r="CS2" s="659"/>
      <c r="CT2" s="659"/>
      <c r="CU2" s="659"/>
      <c r="CV2" s="659"/>
      <c r="CW2" s="659"/>
      <c r="CX2" s="659"/>
      <c r="CY2" s="659"/>
      <c r="CZ2" s="659"/>
      <c r="DA2" s="659"/>
      <c r="DB2" s="659"/>
      <c r="DC2" s="659"/>
      <c r="DD2" s="659"/>
      <c r="DE2" s="659"/>
      <c r="DF2" s="659"/>
      <c r="DG2" s="659"/>
      <c r="DH2" s="659"/>
      <c r="DI2" s="659"/>
      <c r="DJ2" s="659"/>
      <c r="DK2" s="659"/>
      <c r="DL2" s="659"/>
      <c r="DM2" s="659"/>
    </row>
    <row r="3" spans="1:117" ht="9.75" customHeight="1" thickBot="1">
      <c r="A3" s="94"/>
      <c r="B3" s="94"/>
      <c r="C3" s="94"/>
      <c r="D3" s="94"/>
      <c r="E3" s="94"/>
      <c r="BH3" s="94"/>
      <c r="BI3" s="94"/>
      <c r="BJ3" s="94"/>
      <c r="BK3" s="94"/>
      <c r="BL3" s="94"/>
    </row>
    <row r="4" spans="1:117" ht="21" customHeight="1" thickBot="1">
      <c r="A4" s="660" t="s">
        <v>253</v>
      </c>
      <c r="B4" s="661"/>
      <c r="C4" s="661"/>
      <c r="D4" s="661"/>
      <c r="E4" s="661"/>
      <c r="F4" s="661"/>
      <c r="G4" s="661"/>
      <c r="H4" s="661"/>
      <c r="I4" s="661"/>
      <c r="J4" s="661"/>
      <c r="K4" s="661"/>
      <c r="L4" s="661"/>
      <c r="M4" s="661"/>
      <c r="N4" s="661"/>
      <c r="O4" s="661"/>
      <c r="P4" s="661"/>
      <c r="Q4" s="661"/>
      <c r="R4" s="661"/>
      <c r="S4" s="661"/>
      <c r="T4" s="661"/>
      <c r="U4" s="661"/>
      <c r="V4" s="661"/>
      <c r="W4" s="661"/>
      <c r="X4" s="661"/>
      <c r="Y4" s="661"/>
      <c r="Z4" s="661"/>
      <c r="AA4" s="661"/>
      <c r="AB4" s="661"/>
      <c r="AC4" s="661"/>
      <c r="AD4" s="661"/>
      <c r="AE4" s="661"/>
      <c r="AF4" s="661" t="s">
        <v>251</v>
      </c>
      <c r="AG4" s="661"/>
      <c r="AH4" s="661"/>
      <c r="AI4" s="661"/>
      <c r="AJ4" s="661"/>
      <c r="AK4" s="661"/>
      <c r="AL4" s="661"/>
      <c r="AM4" s="661"/>
      <c r="AN4" s="661"/>
      <c r="AO4" s="661"/>
      <c r="AP4" s="661"/>
      <c r="AQ4" s="661"/>
      <c r="AR4" s="661"/>
      <c r="AS4" s="661"/>
      <c r="AT4" s="661"/>
      <c r="AU4" s="661"/>
      <c r="AV4" s="661"/>
      <c r="AW4" s="661"/>
      <c r="AX4" s="661"/>
      <c r="AY4" s="661"/>
      <c r="AZ4" s="661"/>
      <c r="BA4" s="661"/>
      <c r="BB4" s="661"/>
      <c r="BC4" s="661"/>
      <c r="BD4" s="661"/>
      <c r="BE4" s="661"/>
      <c r="BF4" s="662"/>
      <c r="BH4" s="660" t="s">
        <v>253</v>
      </c>
      <c r="BI4" s="661"/>
      <c r="BJ4" s="661"/>
      <c r="BK4" s="661"/>
      <c r="BL4" s="661"/>
      <c r="BM4" s="661"/>
      <c r="BN4" s="661"/>
      <c r="BO4" s="661"/>
      <c r="BP4" s="661"/>
      <c r="BQ4" s="661"/>
      <c r="BR4" s="661"/>
      <c r="BS4" s="661"/>
      <c r="BT4" s="661"/>
      <c r="BU4" s="661"/>
      <c r="BV4" s="661"/>
      <c r="BW4" s="661"/>
      <c r="BX4" s="661"/>
      <c r="BY4" s="661"/>
      <c r="BZ4" s="661" t="s">
        <v>252</v>
      </c>
      <c r="CA4" s="661"/>
      <c r="CB4" s="661"/>
      <c r="CC4" s="661"/>
      <c r="CD4" s="661"/>
      <c r="CE4" s="661"/>
      <c r="CF4" s="661"/>
      <c r="CG4" s="661"/>
      <c r="CH4" s="661"/>
      <c r="CI4" s="661"/>
      <c r="CJ4" s="661"/>
      <c r="CK4" s="661"/>
      <c r="CL4" s="661"/>
      <c r="CM4" s="661" t="s">
        <v>251</v>
      </c>
      <c r="CN4" s="661"/>
      <c r="CO4" s="661"/>
      <c r="CP4" s="661"/>
      <c r="CQ4" s="661"/>
      <c r="CR4" s="661"/>
      <c r="CS4" s="661"/>
      <c r="CT4" s="661"/>
      <c r="CU4" s="661" t="s">
        <v>250</v>
      </c>
      <c r="CV4" s="661"/>
      <c r="CW4" s="661"/>
      <c r="CX4" s="661"/>
      <c r="CY4" s="661"/>
      <c r="CZ4" s="661"/>
      <c r="DA4" s="661"/>
      <c r="DB4" s="661"/>
      <c r="DC4" s="661"/>
      <c r="DD4" s="661"/>
      <c r="DE4" s="661"/>
      <c r="DF4" s="661"/>
      <c r="DG4" s="661"/>
      <c r="DH4" s="661"/>
      <c r="DI4" s="661"/>
      <c r="DJ4" s="661"/>
      <c r="DK4" s="661"/>
      <c r="DL4" s="661"/>
      <c r="DM4" s="662"/>
    </row>
    <row r="5" spans="1:117" ht="21" customHeight="1" thickBot="1">
      <c r="A5" s="663" t="s">
        <v>249</v>
      </c>
      <c r="B5" s="664"/>
      <c r="C5" s="664"/>
      <c r="D5" s="664"/>
      <c r="E5" s="664"/>
      <c r="F5" s="664"/>
      <c r="G5" s="664"/>
      <c r="H5" s="665"/>
      <c r="I5" s="666"/>
      <c r="J5" s="666"/>
      <c r="K5" s="666"/>
      <c r="L5" s="666"/>
      <c r="M5" s="666"/>
      <c r="N5" s="666"/>
      <c r="O5" s="666"/>
      <c r="P5" s="666"/>
      <c r="Q5" s="666"/>
      <c r="R5" s="666"/>
      <c r="S5" s="667" t="s">
        <v>248</v>
      </c>
      <c r="T5" s="668"/>
      <c r="U5" s="668"/>
      <c r="V5" s="668"/>
      <c r="W5" s="668"/>
      <c r="X5" s="668"/>
      <c r="Y5" s="668"/>
      <c r="Z5" s="669"/>
      <c r="AA5" s="665"/>
      <c r="AB5" s="666"/>
      <c r="AC5" s="666"/>
      <c r="AD5" s="666"/>
      <c r="AE5" s="666"/>
      <c r="AF5" s="666"/>
      <c r="AG5" s="666"/>
      <c r="AH5" s="666"/>
      <c r="AI5" s="666"/>
      <c r="AJ5" s="670"/>
      <c r="AK5" s="665" t="s">
        <v>247</v>
      </c>
      <c r="AL5" s="666"/>
      <c r="AM5" s="666"/>
      <c r="AN5" s="666"/>
      <c r="AO5" s="666"/>
      <c r="AP5" s="666"/>
      <c r="AQ5" s="666"/>
      <c r="AR5" s="666"/>
      <c r="AS5" s="670"/>
      <c r="AT5" s="665"/>
      <c r="AU5" s="666"/>
      <c r="AV5" s="666"/>
      <c r="AW5" s="666"/>
      <c r="AX5" s="666"/>
      <c r="AY5" s="666"/>
      <c r="AZ5" s="666"/>
      <c r="BA5" s="666"/>
      <c r="BB5" s="666"/>
      <c r="BC5" s="666"/>
      <c r="BD5" s="666"/>
      <c r="BE5" s="666"/>
      <c r="BF5" s="715"/>
      <c r="BH5" s="663" t="s">
        <v>249</v>
      </c>
      <c r="BI5" s="664"/>
      <c r="BJ5" s="664"/>
      <c r="BK5" s="664"/>
      <c r="BL5" s="664"/>
      <c r="BM5" s="664"/>
      <c r="BN5" s="664"/>
      <c r="BO5" s="665">
        <v>20</v>
      </c>
      <c r="BP5" s="666"/>
      <c r="BQ5" s="666"/>
      <c r="BR5" s="666"/>
      <c r="BS5" s="666"/>
      <c r="BT5" s="666"/>
      <c r="BU5" s="666"/>
      <c r="BV5" s="666"/>
      <c r="BW5" s="666"/>
      <c r="BX5" s="666"/>
      <c r="BY5" s="666"/>
      <c r="BZ5" s="667" t="s">
        <v>248</v>
      </c>
      <c r="CA5" s="668"/>
      <c r="CB5" s="668"/>
      <c r="CC5" s="668"/>
      <c r="CD5" s="668"/>
      <c r="CE5" s="668"/>
      <c r="CF5" s="668"/>
      <c r="CG5" s="669"/>
      <c r="CH5" s="665">
        <v>18</v>
      </c>
      <c r="CI5" s="666"/>
      <c r="CJ5" s="666"/>
      <c r="CK5" s="666"/>
      <c r="CL5" s="666"/>
      <c r="CM5" s="666"/>
      <c r="CN5" s="666"/>
      <c r="CO5" s="666"/>
      <c r="CP5" s="666"/>
      <c r="CQ5" s="670"/>
      <c r="CR5" s="665" t="s">
        <v>247</v>
      </c>
      <c r="CS5" s="666"/>
      <c r="CT5" s="666"/>
      <c r="CU5" s="666"/>
      <c r="CV5" s="666"/>
      <c r="CW5" s="666"/>
      <c r="CX5" s="666"/>
      <c r="CY5" s="666"/>
      <c r="CZ5" s="670"/>
      <c r="DA5" s="665">
        <v>5.0999999999999996</v>
      </c>
      <c r="DB5" s="666"/>
      <c r="DC5" s="666"/>
      <c r="DD5" s="666"/>
      <c r="DE5" s="666"/>
      <c r="DF5" s="666"/>
      <c r="DG5" s="666"/>
      <c r="DH5" s="666"/>
      <c r="DI5" s="666"/>
      <c r="DJ5" s="666"/>
      <c r="DK5" s="666"/>
      <c r="DL5" s="666"/>
      <c r="DM5" s="715"/>
    </row>
    <row r="6" spans="1:117" ht="21" customHeight="1" thickBot="1">
      <c r="A6" s="693" t="s">
        <v>246</v>
      </c>
      <c r="B6" s="694"/>
      <c r="C6" s="694"/>
      <c r="D6" s="694"/>
      <c r="E6" s="694"/>
      <c r="F6" s="694"/>
      <c r="G6" s="694"/>
      <c r="H6" s="694"/>
      <c r="I6" s="694"/>
      <c r="J6" s="694"/>
      <c r="K6" s="694"/>
      <c r="L6" s="694"/>
      <c r="M6" s="694"/>
      <c r="N6" s="694"/>
      <c r="O6" s="694"/>
      <c r="P6" s="694"/>
      <c r="Q6" s="694"/>
      <c r="R6" s="694"/>
      <c r="S6" s="661"/>
      <c r="T6" s="661"/>
      <c r="U6" s="661"/>
      <c r="V6" s="661"/>
      <c r="W6" s="661"/>
      <c r="X6" s="661"/>
      <c r="Y6" s="661"/>
      <c r="Z6" s="661"/>
      <c r="AA6" s="661"/>
      <c r="AB6" s="661"/>
      <c r="AC6" s="661"/>
      <c r="AD6" s="661"/>
      <c r="AE6" s="661"/>
      <c r="AF6" s="694" t="s">
        <v>244</v>
      </c>
      <c r="AG6" s="694"/>
      <c r="AH6" s="694"/>
      <c r="AI6" s="694"/>
      <c r="AJ6" s="694"/>
      <c r="AK6" s="694"/>
      <c r="AL6" s="694"/>
      <c r="AM6" s="694"/>
      <c r="AN6" s="694"/>
      <c r="AO6" s="694"/>
      <c r="AP6" s="694"/>
      <c r="AQ6" s="694"/>
      <c r="AR6" s="694"/>
      <c r="AS6" s="694"/>
      <c r="AT6" s="694"/>
      <c r="AU6" s="694"/>
      <c r="AV6" s="694"/>
      <c r="AW6" s="694"/>
      <c r="AX6" s="694"/>
      <c r="AY6" s="694"/>
      <c r="AZ6" s="694"/>
      <c r="BA6" s="694"/>
      <c r="BB6" s="694"/>
      <c r="BC6" s="694"/>
      <c r="BD6" s="694"/>
      <c r="BE6" s="694"/>
      <c r="BF6" s="695"/>
      <c r="BH6" s="693" t="s">
        <v>246</v>
      </c>
      <c r="BI6" s="694"/>
      <c r="BJ6" s="694"/>
      <c r="BK6" s="694"/>
      <c r="BL6" s="694"/>
      <c r="BM6" s="694"/>
      <c r="BN6" s="694"/>
      <c r="BO6" s="694"/>
      <c r="BP6" s="694"/>
      <c r="BQ6" s="694"/>
      <c r="BR6" s="694"/>
      <c r="BS6" s="694"/>
      <c r="BT6" s="694"/>
      <c r="BU6" s="694"/>
      <c r="BV6" s="694"/>
      <c r="BW6" s="694"/>
      <c r="BX6" s="694"/>
      <c r="BY6" s="694"/>
      <c r="BZ6" s="661" t="s">
        <v>245</v>
      </c>
      <c r="CA6" s="661"/>
      <c r="CB6" s="661"/>
      <c r="CC6" s="661"/>
      <c r="CD6" s="661"/>
      <c r="CE6" s="661"/>
      <c r="CF6" s="661"/>
      <c r="CG6" s="661"/>
      <c r="CH6" s="661"/>
      <c r="CI6" s="661"/>
      <c r="CJ6" s="661"/>
      <c r="CK6" s="661"/>
      <c r="CL6" s="661"/>
      <c r="CM6" s="694" t="s">
        <v>244</v>
      </c>
      <c r="CN6" s="694"/>
      <c r="CO6" s="694"/>
      <c r="CP6" s="694"/>
      <c r="CQ6" s="694"/>
      <c r="CR6" s="694"/>
      <c r="CS6" s="694"/>
      <c r="CT6" s="694"/>
      <c r="CU6" s="694" t="s">
        <v>243</v>
      </c>
      <c r="CV6" s="694"/>
      <c r="CW6" s="694"/>
      <c r="CX6" s="694"/>
      <c r="CY6" s="694"/>
      <c r="CZ6" s="694"/>
      <c r="DA6" s="694"/>
      <c r="DB6" s="694"/>
      <c r="DC6" s="694"/>
      <c r="DD6" s="694"/>
      <c r="DE6" s="694"/>
      <c r="DF6" s="694"/>
      <c r="DG6" s="694"/>
      <c r="DH6" s="694"/>
      <c r="DI6" s="694"/>
      <c r="DJ6" s="694"/>
      <c r="DK6" s="694"/>
      <c r="DL6" s="694"/>
      <c r="DM6" s="695"/>
    </row>
    <row r="7" spans="1:117" ht="21" customHeight="1">
      <c r="A7" s="671" t="s">
        <v>242</v>
      </c>
      <c r="B7" s="672"/>
      <c r="C7" s="672"/>
      <c r="D7" s="672"/>
      <c r="E7" s="672"/>
      <c r="F7" s="672"/>
      <c r="G7" s="676" t="s">
        <v>241</v>
      </c>
      <c r="H7" s="676"/>
      <c r="I7" s="676"/>
      <c r="J7" s="676"/>
      <c r="K7" s="676"/>
      <c r="L7" s="672" t="s">
        <v>240</v>
      </c>
      <c r="M7" s="672"/>
      <c r="N7" s="672"/>
      <c r="O7" s="672"/>
      <c r="P7" s="672"/>
      <c r="Q7" s="672"/>
      <c r="R7" s="698"/>
      <c r="S7" s="671" t="s">
        <v>239</v>
      </c>
      <c r="T7" s="672"/>
      <c r="U7" s="672"/>
      <c r="V7" s="672"/>
      <c r="W7" s="672"/>
      <c r="X7" s="672"/>
      <c r="Y7" s="673"/>
      <c r="Z7" s="671" t="s">
        <v>238</v>
      </c>
      <c r="AA7" s="672"/>
      <c r="AB7" s="672"/>
      <c r="AC7" s="672"/>
      <c r="AD7" s="672"/>
      <c r="AE7" s="672"/>
      <c r="AF7" s="673"/>
      <c r="AG7" s="671" t="s">
        <v>237</v>
      </c>
      <c r="AH7" s="672"/>
      <c r="AI7" s="672"/>
      <c r="AJ7" s="672"/>
      <c r="AK7" s="672"/>
      <c r="AL7" s="672"/>
      <c r="AM7" s="673"/>
      <c r="AN7" s="674" t="s">
        <v>236</v>
      </c>
      <c r="AO7" s="672"/>
      <c r="AP7" s="672"/>
      <c r="AQ7" s="672"/>
      <c r="AR7" s="672"/>
      <c r="AS7" s="672"/>
      <c r="AT7" s="673"/>
      <c r="AU7" s="675" t="s">
        <v>235</v>
      </c>
      <c r="AV7" s="676"/>
      <c r="AW7" s="676"/>
      <c r="AX7" s="676" t="s">
        <v>234</v>
      </c>
      <c r="AY7" s="676"/>
      <c r="AZ7" s="676"/>
      <c r="BA7" s="679" t="s">
        <v>233</v>
      </c>
      <c r="BB7" s="680"/>
      <c r="BC7" s="681"/>
      <c r="BD7" s="676" t="s">
        <v>232</v>
      </c>
      <c r="BE7" s="676"/>
      <c r="BF7" s="688"/>
      <c r="BH7" s="671" t="s">
        <v>242</v>
      </c>
      <c r="BI7" s="672"/>
      <c r="BJ7" s="672"/>
      <c r="BK7" s="672"/>
      <c r="BL7" s="672"/>
      <c r="BM7" s="672"/>
      <c r="BN7" s="676" t="s">
        <v>241</v>
      </c>
      <c r="BO7" s="676"/>
      <c r="BP7" s="676"/>
      <c r="BQ7" s="676"/>
      <c r="BR7" s="676"/>
      <c r="BS7" s="672" t="s">
        <v>240</v>
      </c>
      <c r="BT7" s="672"/>
      <c r="BU7" s="672"/>
      <c r="BV7" s="672"/>
      <c r="BW7" s="672"/>
      <c r="BX7" s="672"/>
      <c r="BY7" s="698"/>
      <c r="BZ7" s="671" t="s">
        <v>239</v>
      </c>
      <c r="CA7" s="672"/>
      <c r="CB7" s="672"/>
      <c r="CC7" s="672"/>
      <c r="CD7" s="672"/>
      <c r="CE7" s="672"/>
      <c r="CF7" s="673"/>
      <c r="CG7" s="671" t="s">
        <v>238</v>
      </c>
      <c r="CH7" s="672"/>
      <c r="CI7" s="672"/>
      <c r="CJ7" s="672"/>
      <c r="CK7" s="672"/>
      <c r="CL7" s="672"/>
      <c r="CM7" s="673"/>
      <c r="CN7" s="671" t="s">
        <v>237</v>
      </c>
      <c r="CO7" s="672"/>
      <c r="CP7" s="672"/>
      <c r="CQ7" s="672"/>
      <c r="CR7" s="672"/>
      <c r="CS7" s="672"/>
      <c r="CT7" s="673"/>
      <c r="CU7" s="674" t="s">
        <v>236</v>
      </c>
      <c r="CV7" s="672"/>
      <c r="CW7" s="672"/>
      <c r="CX7" s="672"/>
      <c r="CY7" s="672"/>
      <c r="CZ7" s="672"/>
      <c r="DA7" s="673"/>
      <c r="DB7" s="675" t="s">
        <v>235</v>
      </c>
      <c r="DC7" s="676"/>
      <c r="DD7" s="676"/>
      <c r="DE7" s="676" t="s">
        <v>234</v>
      </c>
      <c r="DF7" s="676"/>
      <c r="DG7" s="676"/>
      <c r="DH7" s="679" t="s">
        <v>233</v>
      </c>
      <c r="DI7" s="680"/>
      <c r="DJ7" s="681"/>
      <c r="DK7" s="676" t="s">
        <v>232</v>
      </c>
      <c r="DL7" s="676"/>
      <c r="DM7" s="688"/>
    </row>
    <row r="8" spans="1:117" ht="21" customHeight="1">
      <c r="A8" s="696"/>
      <c r="B8" s="697"/>
      <c r="C8" s="697"/>
      <c r="D8" s="697"/>
      <c r="E8" s="697"/>
      <c r="F8" s="697"/>
      <c r="G8" s="678"/>
      <c r="H8" s="678"/>
      <c r="I8" s="678"/>
      <c r="J8" s="678"/>
      <c r="K8" s="678"/>
      <c r="L8" s="697"/>
      <c r="M8" s="697"/>
      <c r="N8" s="697"/>
      <c r="O8" s="697"/>
      <c r="P8" s="697"/>
      <c r="Q8" s="697"/>
      <c r="R8" s="699"/>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77"/>
      <c r="AV8" s="678"/>
      <c r="AW8" s="678"/>
      <c r="AX8" s="678"/>
      <c r="AY8" s="678"/>
      <c r="AZ8" s="678"/>
      <c r="BA8" s="682"/>
      <c r="BB8" s="683"/>
      <c r="BC8" s="684"/>
      <c r="BD8" s="678"/>
      <c r="BE8" s="678"/>
      <c r="BF8" s="689"/>
      <c r="BH8" s="696"/>
      <c r="BI8" s="697"/>
      <c r="BJ8" s="697"/>
      <c r="BK8" s="697"/>
      <c r="BL8" s="697"/>
      <c r="BM8" s="697"/>
      <c r="BN8" s="678"/>
      <c r="BO8" s="678"/>
      <c r="BP8" s="678"/>
      <c r="BQ8" s="678"/>
      <c r="BR8" s="678"/>
      <c r="BS8" s="697"/>
      <c r="BT8" s="697"/>
      <c r="BU8" s="697"/>
      <c r="BV8" s="697"/>
      <c r="BW8" s="697"/>
      <c r="BX8" s="697"/>
      <c r="BY8" s="699"/>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77"/>
      <c r="DC8" s="678"/>
      <c r="DD8" s="678"/>
      <c r="DE8" s="678"/>
      <c r="DF8" s="678"/>
      <c r="DG8" s="678"/>
      <c r="DH8" s="682"/>
      <c r="DI8" s="683"/>
      <c r="DJ8" s="684"/>
      <c r="DK8" s="678"/>
      <c r="DL8" s="678"/>
      <c r="DM8" s="689"/>
    </row>
    <row r="9" spans="1:117" ht="21" customHeight="1">
      <c r="A9" s="696"/>
      <c r="B9" s="697"/>
      <c r="C9" s="697"/>
      <c r="D9" s="697"/>
      <c r="E9" s="697"/>
      <c r="F9" s="697"/>
      <c r="G9" s="678"/>
      <c r="H9" s="678"/>
      <c r="I9" s="678"/>
      <c r="J9" s="678"/>
      <c r="K9" s="678"/>
      <c r="L9" s="697"/>
      <c r="M9" s="697"/>
      <c r="N9" s="697"/>
      <c r="O9" s="697"/>
      <c r="P9" s="697"/>
      <c r="Q9" s="697"/>
      <c r="R9" s="699"/>
      <c r="S9" s="91" t="s">
        <v>231</v>
      </c>
      <c r="T9" s="90" t="s">
        <v>230</v>
      </c>
      <c r="U9" s="90" t="s">
        <v>229</v>
      </c>
      <c r="V9" s="90" t="s">
        <v>228</v>
      </c>
      <c r="W9" s="90" t="s">
        <v>227</v>
      </c>
      <c r="X9" s="90" t="s">
        <v>226</v>
      </c>
      <c r="Y9" s="89" t="s">
        <v>225</v>
      </c>
      <c r="Z9" s="91" t="s">
        <v>231</v>
      </c>
      <c r="AA9" s="90" t="s">
        <v>230</v>
      </c>
      <c r="AB9" s="90" t="s">
        <v>229</v>
      </c>
      <c r="AC9" s="90" t="s">
        <v>228</v>
      </c>
      <c r="AD9" s="90" t="s">
        <v>227</v>
      </c>
      <c r="AE9" s="90" t="s">
        <v>226</v>
      </c>
      <c r="AF9" s="89" t="s">
        <v>225</v>
      </c>
      <c r="AG9" s="91" t="s">
        <v>231</v>
      </c>
      <c r="AH9" s="90" t="s">
        <v>230</v>
      </c>
      <c r="AI9" s="90" t="s">
        <v>229</v>
      </c>
      <c r="AJ9" s="90" t="s">
        <v>228</v>
      </c>
      <c r="AK9" s="90" t="s">
        <v>227</v>
      </c>
      <c r="AL9" s="90" t="s">
        <v>226</v>
      </c>
      <c r="AM9" s="89" t="s">
        <v>225</v>
      </c>
      <c r="AN9" s="91" t="s">
        <v>231</v>
      </c>
      <c r="AO9" s="90" t="s">
        <v>230</v>
      </c>
      <c r="AP9" s="90" t="s">
        <v>229</v>
      </c>
      <c r="AQ9" s="90" t="s">
        <v>228</v>
      </c>
      <c r="AR9" s="90" t="s">
        <v>227</v>
      </c>
      <c r="AS9" s="90" t="s">
        <v>226</v>
      </c>
      <c r="AT9" s="89" t="s">
        <v>225</v>
      </c>
      <c r="AU9" s="677"/>
      <c r="AV9" s="678"/>
      <c r="AW9" s="678"/>
      <c r="AX9" s="678"/>
      <c r="AY9" s="678"/>
      <c r="AZ9" s="678"/>
      <c r="BA9" s="685"/>
      <c r="BB9" s="686"/>
      <c r="BC9" s="687"/>
      <c r="BD9" s="678"/>
      <c r="BE9" s="678"/>
      <c r="BF9" s="689"/>
      <c r="BH9" s="696"/>
      <c r="BI9" s="697"/>
      <c r="BJ9" s="697"/>
      <c r="BK9" s="697"/>
      <c r="BL9" s="697"/>
      <c r="BM9" s="697"/>
      <c r="BN9" s="678"/>
      <c r="BO9" s="678"/>
      <c r="BP9" s="678"/>
      <c r="BQ9" s="678"/>
      <c r="BR9" s="678"/>
      <c r="BS9" s="697"/>
      <c r="BT9" s="697"/>
      <c r="BU9" s="697"/>
      <c r="BV9" s="697"/>
      <c r="BW9" s="697"/>
      <c r="BX9" s="697"/>
      <c r="BY9" s="699"/>
      <c r="BZ9" s="91" t="s">
        <v>231</v>
      </c>
      <c r="CA9" s="90" t="s">
        <v>230</v>
      </c>
      <c r="CB9" s="90" t="s">
        <v>229</v>
      </c>
      <c r="CC9" s="90" t="s">
        <v>228</v>
      </c>
      <c r="CD9" s="90" t="s">
        <v>227</v>
      </c>
      <c r="CE9" s="90" t="s">
        <v>226</v>
      </c>
      <c r="CF9" s="89" t="s">
        <v>225</v>
      </c>
      <c r="CG9" s="91" t="s">
        <v>231</v>
      </c>
      <c r="CH9" s="90" t="s">
        <v>230</v>
      </c>
      <c r="CI9" s="90" t="s">
        <v>229</v>
      </c>
      <c r="CJ9" s="90" t="s">
        <v>228</v>
      </c>
      <c r="CK9" s="90" t="s">
        <v>227</v>
      </c>
      <c r="CL9" s="90" t="s">
        <v>226</v>
      </c>
      <c r="CM9" s="89" t="s">
        <v>225</v>
      </c>
      <c r="CN9" s="91" t="s">
        <v>231</v>
      </c>
      <c r="CO9" s="90" t="s">
        <v>230</v>
      </c>
      <c r="CP9" s="90" t="s">
        <v>229</v>
      </c>
      <c r="CQ9" s="90" t="s">
        <v>228</v>
      </c>
      <c r="CR9" s="90" t="s">
        <v>227</v>
      </c>
      <c r="CS9" s="90" t="s">
        <v>226</v>
      </c>
      <c r="CT9" s="89" t="s">
        <v>225</v>
      </c>
      <c r="CU9" s="91" t="s">
        <v>231</v>
      </c>
      <c r="CV9" s="90" t="s">
        <v>230</v>
      </c>
      <c r="CW9" s="90" t="s">
        <v>229</v>
      </c>
      <c r="CX9" s="90" t="s">
        <v>228</v>
      </c>
      <c r="CY9" s="90" t="s">
        <v>227</v>
      </c>
      <c r="CZ9" s="90" t="s">
        <v>226</v>
      </c>
      <c r="DA9" s="89" t="s">
        <v>225</v>
      </c>
      <c r="DB9" s="677"/>
      <c r="DC9" s="678"/>
      <c r="DD9" s="678"/>
      <c r="DE9" s="678"/>
      <c r="DF9" s="678"/>
      <c r="DG9" s="678"/>
      <c r="DH9" s="685"/>
      <c r="DI9" s="686"/>
      <c r="DJ9" s="687"/>
      <c r="DK9" s="678"/>
      <c r="DL9" s="678"/>
      <c r="DM9" s="689"/>
    </row>
    <row r="10" spans="1:117" ht="17.25" customHeight="1">
      <c r="A10" s="703"/>
      <c r="B10" s="704"/>
      <c r="C10" s="704"/>
      <c r="D10" s="704"/>
      <c r="E10" s="704"/>
      <c r="F10" s="704"/>
      <c r="G10" s="704"/>
      <c r="H10" s="704"/>
      <c r="I10" s="704"/>
      <c r="J10" s="704"/>
      <c r="K10" s="704"/>
      <c r="L10" s="697"/>
      <c r="M10" s="697"/>
      <c r="N10" s="697"/>
      <c r="O10" s="697"/>
      <c r="P10" s="697"/>
      <c r="Q10" s="697"/>
      <c r="R10" s="699"/>
      <c r="S10" s="84"/>
      <c r="T10" s="82"/>
      <c r="U10" s="82"/>
      <c r="V10" s="82"/>
      <c r="W10" s="82"/>
      <c r="X10" s="82"/>
      <c r="Y10" s="81"/>
      <c r="Z10" s="84"/>
      <c r="AA10" s="82"/>
      <c r="AB10" s="82"/>
      <c r="AC10" s="82"/>
      <c r="AD10" s="82"/>
      <c r="AE10" s="82"/>
      <c r="AF10" s="81"/>
      <c r="AG10" s="84"/>
      <c r="AH10" s="82"/>
      <c r="AI10" s="82"/>
      <c r="AJ10" s="82"/>
      <c r="AK10" s="82"/>
      <c r="AL10" s="82"/>
      <c r="AM10" s="81"/>
      <c r="AN10" s="83"/>
      <c r="AO10" s="82"/>
      <c r="AP10" s="82"/>
      <c r="AQ10" s="82"/>
      <c r="AR10" s="82"/>
      <c r="AS10" s="82"/>
      <c r="AT10" s="81"/>
      <c r="AU10" s="705"/>
      <c r="AV10" s="705"/>
      <c r="AW10" s="706"/>
      <c r="AX10" s="700"/>
      <c r="AY10" s="701"/>
      <c r="AZ10" s="707"/>
      <c r="BA10" s="700"/>
      <c r="BB10" s="701"/>
      <c r="BC10" s="707"/>
      <c r="BD10" s="700"/>
      <c r="BE10" s="701"/>
      <c r="BF10" s="702"/>
      <c r="BH10" s="703" t="s">
        <v>224</v>
      </c>
      <c r="BI10" s="704"/>
      <c r="BJ10" s="704"/>
      <c r="BK10" s="704"/>
      <c r="BL10" s="704"/>
      <c r="BM10" s="704"/>
      <c r="BN10" s="704" t="s">
        <v>218</v>
      </c>
      <c r="BO10" s="704"/>
      <c r="BP10" s="704"/>
      <c r="BQ10" s="704"/>
      <c r="BR10" s="704"/>
      <c r="BS10" s="697" t="s">
        <v>209</v>
      </c>
      <c r="BT10" s="697"/>
      <c r="BU10" s="697"/>
      <c r="BV10" s="697"/>
      <c r="BW10" s="697"/>
      <c r="BX10" s="697"/>
      <c r="BY10" s="699"/>
      <c r="BZ10" s="84"/>
      <c r="CA10" s="82" t="s">
        <v>217</v>
      </c>
      <c r="CB10" s="82" t="s">
        <v>217</v>
      </c>
      <c r="CC10" s="82" t="s">
        <v>217</v>
      </c>
      <c r="CD10" s="82" t="s">
        <v>217</v>
      </c>
      <c r="CE10" s="82" t="s">
        <v>217</v>
      </c>
      <c r="CF10" s="81"/>
      <c r="CG10" s="84"/>
      <c r="CH10" s="82" t="s">
        <v>217</v>
      </c>
      <c r="CI10" s="82" t="s">
        <v>217</v>
      </c>
      <c r="CJ10" s="82" t="s">
        <v>217</v>
      </c>
      <c r="CK10" s="82" t="s">
        <v>217</v>
      </c>
      <c r="CL10" s="82" t="s">
        <v>217</v>
      </c>
      <c r="CM10" s="81"/>
      <c r="CN10" s="84"/>
      <c r="CO10" s="82" t="s">
        <v>217</v>
      </c>
      <c r="CP10" s="82" t="s">
        <v>217</v>
      </c>
      <c r="CQ10" s="82" t="s">
        <v>217</v>
      </c>
      <c r="CR10" s="82" t="s">
        <v>217</v>
      </c>
      <c r="CS10" s="82" t="s">
        <v>217</v>
      </c>
      <c r="CT10" s="81"/>
      <c r="CU10" s="83"/>
      <c r="CV10" s="82" t="s">
        <v>217</v>
      </c>
      <c r="CW10" s="82" t="s">
        <v>217</v>
      </c>
      <c r="CX10" s="82" t="s">
        <v>217</v>
      </c>
      <c r="CY10" s="82" t="s">
        <v>217</v>
      </c>
      <c r="CZ10" s="82" t="s">
        <v>217</v>
      </c>
      <c r="DA10" s="81"/>
      <c r="DB10" s="705">
        <v>160</v>
      </c>
      <c r="DC10" s="705"/>
      <c r="DD10" s="706"/>
      <c r="DE10" s="700">
        <v>40</v>
      </c>
      <c r="DF10" s="701"/>
      <c r="DG10" s="707"/>
      <c r="DH10" s="700">
        <v>40</v>
      </c>
      <c r="DI10" s="701"/>
      <c r="DJ10" s="707"/>
      <c r="DK10" s="700"/>
      <c r="DL10" s="701"/>
      <c r="DM10" s="702"/>
    </row>
    <row r="11" spans="1:117" ht="17.25" customHeight="1">
      <c r="A11" s="703"/>
      <c r="B11" s="704"/>
      <c r="C11" s="704"/>
      <c r="D11" s="704"/>
      <c r="E11" s="704"/>
      <c r="F11" s="704"/>
      <c r="G11" s="704"/>
      <c r="H11" s="704"/>
      <c r="I11" s="704"/>
      <c r="J11" s="704"/>
      <c r="K11" s="704"/>
      <c r="L11" s="697"/>
      <c r="M11" s="697"/>
      <c r="N11" s="697"/>
      <c r="O11" s="697"/>
      <c r="P11" s="697"/>
      <c r="Q11" s="697"/>
      <c r="R11" s="699"/>
      <c r="S11" s="84"/>
      <c r="T11" s="82"/>
      <c r="U11" s="82"/>
      <c r="V11" s="82"/>
      <c r="W11" s="82"/>
      <c r="X11" s="82"/>
      <c r="Y11" s="81"/>
      <c r="Z11" s="84"/>
      <c r="AA11" s="82"/>
      <c r="AB11" s="82"/>
      <c r="AC11" s="82"/>
      <c r="AD11" s="82"/>
      <c r="AE11" s="82"/>
      <c r="AF11" s="81"/>
      <c r="AG11" s="84"/>
      <c r="AH11" s="82"/>
      <c r="AI11" s="82"/>
      <c r="AJ11" s="82"/>
      <c r="AK11" s="82"/>
      <c r="AL11" s="82"/>
      <c r="AM11" s="81"/>
      <c r="AN11" s="83"/>
      <c r="AO11" s="82"/>
      <c r="AP11" s="82"/>
      <c r="AQ11" s="82"/>
      <c r="AR11" s="82"/>
      <c r="AS11" s="82"/>
      <c r="AT11" s="81"/>
      <c r="AU11" s="705"/>
      <c r="AV11" s="705"/>
      <c r="AW11" s="706"/>
      <c r="AX11" s="700"/>
      <c r="AY11" s="701"/>
      <c r="AZ11" s="707"/>
      <c r="BA11" s="700"/>
      <c r="BB11" s="701"/>
      <c r="BC11" s="707"/>
      <c r="BD11" s="700"/>
      <c r="BE11" s="701"/>
      <c r="BF11" s="702"/>
      <c r="BH11" s="703" t="s">
        <v>223</v>
      </c>
      <c r="BI11" s="704"/>
      <c r="BJ11" s="704"/>
      <c r="BK11" s="704"/>
      <c r="BL11" s="704"/>
      <c r="BM11" s="704"/>
      <c r="BN11" s="704" t="s">
        <v>218</v>
      </c>
      <c r="BO11" s="704"/>
      <c r="BP11" s="704"/>
      <c r="BQ11" s="704"/>
      <c r="BR11" s="704"/>
      <c r="BS11" s="697" t="s">
        <v>209</v>
      </c>
      <c r="BT11" s="697"/>
      <c r="BU11" s="697"/>
      <c r="BV11" s="697"/>
      <c r="BW11" s="697"/>
      <c r="BX11" s="697"/>
      <c r="BY11" s="699"/>
      <c r="BZ11" s="84"/>
      <c r="CA11" s="82" t="s">
        <v>217</v>
      </c>
      <c r="CB11" s="82" t="s">
        <v>217</v>
      </c>
      <c r="CC11" s="82" t="s">
        <v>217</v>
      </c>
      <c r="CD11" s="82" t="s">
        <v>217</v>
      </c>
      <c r="CE11" s="82" t="s">
        <v>217</v>
      </c>
      <c r="CF11" s="81"/>
      <c r="CG11" s="84"/>
      <c r="CH11" s="82" t="s">
        <v>217</v>
      </c>
      <c r="CI11" s="82" t="s">
        <v>217</v>
      </c>
      <c r="CJ11" s="82" t="s">
        <v>217</v>
      </c>
      <c r="CK11" s="82" t="s">
        <v>217</v>
      </c>
      <c r="CL11" s="82" t="s">
        <v>217</v>
      </c>
      <c r="CM11" s="81"/>
      <c r="CN11" s="84"/>
      <c r="CO11" s="82" t="s">
        <v>217</v>
      </c>
      <c r="CP11" s="82" t="s">
        <v>217</v>
      </c>
      <c r="CQ11" s="82" t="s">
        <v>217</v>
      </c>
      <c r="CR11" s="82" t="s">
        <v>217</v>
      </c>
      <c r="CS11" s="82" t="s">
        <v>217</v>
      </c>
      <c r="CT11" s="81"/>
      <c r="CU11" s="83"/>
      <c r="CV11" s="82" t="s">
        <v>217</v>
      </c>
      <c r="CW11" s="82" t="s">
        <v>217</v>
      </c>
      <c r="CX11" s="82" t="s">
        <v>217</v>
      </c>
      <c r="CY11" s="82" t="s">
        <v>217</v>
      </c>
      <c r="CZ11" s="82" t="s">
        <v>217</v>
      </c>
      <c r="DA11" s="81"/>
      <c r="DB11" s="705">
        <v>160</v>
      </c>
      <c r="DC11" s="705"/>
      <c r="DD11" s="706"/>
      <c r="DE11" s="700">
        <v>40</v>
      </c>
      <c r="DF11" s="701"/>
      <c r="DG11" s="707"/>
      <c r="DH11" s="700">
        <v>40</v>
      </c>
      <c r="DI11" s="701"/>
      <c r="DJ11" s="707"/>
      <c r="DK11" s="700"/>
      <c r="DL11" s="701"/>
      <c r="DM11" s="702"/>
    </row>
    <row r="12" spans="1:117" ht="17.25" customHeight="1">
      <c r="A12" s="703" t="s">
        <v>220</v>
      </c>
      <c r="B12" s="704"/>
      <c r="C12" s="704"/>
      <c r="D12" s="704"/>
      <c r="E12" s="704"/>
      <c r="F12" s="704"/>
      <c r="G12" s="697"/>
      <c r="H12" s="697"/>
      <c r="I12" s="697"/>
      <c r="J12" s="697"/>
      <c r="K12" s="697"/>
      <c r="L12" s="697"/>
      <c r="M12" s="697"/>
      <c r="N12" s="697"/>
      <c r="O12" s="697"/>
      <c r="P12" s="697"/>
      <c r="Q12" s="697"/>
      <c r="R12" s="699"/>
      <c r="S12" s="84"/>
      <c r="T12" s="85"/>
      <c r="U12" s="85"/>
      <c r="V12" s="85"/>
      <c r="W12" s="85"/>
      <c r="X12" s="85"/>
      <c r="Y12" s="81"/>
      <c r="Z12" s="84"/>
      <c r="AA12" s="85"/>
      <c r="AB12" s="85"/>
      <c r="AC12" s="85"/>
      <c r="AD12" s="85"/>
      <c r="AE12" s="85"/>
      <c r="AF12" s="81"/>
      <c r="AG12" s="84"/>
      <c r="AH12" s="85"/>
      <c r="AI12" s="85"/>
      <c r="AJ12" s="85"/>
      <c r="AK12" s="85"/>
      <c r="AL12" s="85"/>
      <c r="AM12" s="81"/>
      <c r="AN12" s="83"/>
      <c r="AO12" s="85"/>
      <c r="AP12" s="85"/>
      <c r="AQ12" s="85"/>
      <c r="AR12" s="85"/>
      <c r="AS12" s="85"/>
      <c r="AT12" s="81"/>
      <c r="AU12" s="705"/>
      <c r="AV12" s="705"/>
      <c r="AW12" s="706"/>
      <c r="AX12" s="700"/>
      <c r="AY12" s="701"/>
      <c r="AZ12" s="707"/>
      <c r="BA12" s="700"/>
      <c r="BB12" s="701"/>
      <c r="BC12" s="707"/>
      <c r="BD12" s="700"/>
      <c r="BE12" s="701"/>
      <c r="BF12" s="702"/>
      <c r="BH12" s="703" t="s">
        <v>222</v>
      </c>
      <c r="BI12" s="704"/>
      <c r="BJ12" s="704"/>
      <c r="BK12" s="704"/>
      <c r="BL12" s="704"/>
      <c r="BM12" s="704"/>
      <c r="BN12" s="697" t="s">
        <v>221</v>
      </c>
      <c r="BO12" s="697"/>
      <c r="BP12" s="697"/>
      <c r="BQ12" s="697"/>
      <c r="BR12" s="697"/>
      <c r="BS12" s="697" t="s">
        <v>209</v>
      </c>
      <c r="BT12" s="697"/>
      <c r="BU12" s="697"/>
      <c r="BV12" s="697"/>
      <c r="BW12" s="697"/>
      <c r="BX12" s="697"/>
      <c r="BY12" s="699"/>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705">
        <v>4</v>
      </c>
      <c r="DC12" s="705"/>
      <c r="DD12" s="706"/>
      <c r="DE12" s="700">
        <v>1</v>
      </c>
      <c r="DF12" s="701"/>
      <c r="DG12" s="707"/>
      <c r="DH12" s="700">
        <v>1</v>
      </c>
      <c r="DI12" s="701"/>
      <c r="DJ12" s="707"/>
      <c r="DK12" s="88"/>
      <c r="DL12" s="87"/>
      <c r="DM12" s="86"/>
    </row>
    <row r="13" spans="1:117" ht="17.25" customHeight="1">
      <c r="A13" s="703"/>
      <c r="B13" s="704"/>
      <c r="C13" s="704"/>
      <c r="D13" s="704"/>
      <c r="E13" s="704"/>
      <c r="F13" s="704"/>
      <c r="G13" s="704"/>
      <c r="H13" s="704"/>
      <c r="I13" s="704"/>
      <c r="J13" s="704"/>
      <c r="K13" s="704"/>
      <c r="L13" s="697"/>
      <c r="M13" s="697"/>
      <c r="N13" s="697"/>
      <c r="O13" s="697"/>
      <c r="P13" s="697"/>
      <c r="Q13" s="697"/>
      <c r="R13" s="699"/>
      <c r="S13" s="84"/>
      <c r="T13" s="82"/>
      <c r="U13" s="82"/>
      <c r="V13" s="82"/>
      <c r="W13" s="82"/>
      <c r="X13" s="82"/>
      <c r="Y13" s="81"/>
      <c r="Z13" s="84"/>
      <c r="AA13" s="82"/>
      <c r="AB13" s="82"/>
      <c r="AC13" s="82"/>
      <c r="AD13" s="82"/>
      <c r="AE13" s="82"/>
      <c r="AF13" s="81"/>
      <c r="AG13" s="84"/>
      <c r="AH13" s="82"/>
      <c r="AI13" s="82"/>
      <c r="AJ13" s="82"/>
      <c r="AK13" s="82"/>
      <c r="AL13" s="82"/>
      <c r="AM13" s="81"/>
      <c r="AN13" s="83"/>
      <c r="AO13" s="82"/>
      <c r="AP13" s="82"/>
      <c r="AQ13" s="82"/>
      <c r="AR13" s="82"/>
      <c r="AS13" s="82"/>
      <c r="AT13" s="81"/>
      <c r="AU13" s="705"/>
      <c r="AV13" s="705"/>
      <c r="AW13" s="706"/>
      <c r="AX13" s="700"/>
      <c r="AY13" s="701"/>
      <c r="AZ13" s="707"/>
      <c r="BA13" s="700"/>
      <c r="BB13" s="701"/>
      <c r="BC13" s="707"/>
      <c r="BD13" s="700"/>
      <c r="BE13" s="701"/>
      <c r="BF13" s="702"/>
      <c r="BH13" s="703" t="s">
        <v>220</v>
      </c>
      <c r="BI13" s="704"/>
      <c r="BJ13" s="704"/>
      <c r="BK13" s="704"/>
      <c r="BL13" s="704"/>
      <c r="BM13" s="704"/>
      <c r="BN13" s="697"/>
      <c r="BO13" s="697"/>
      <c r="BP13" s="697"/>
      <c r="BQ13" s="697"/>
      <c r="BR13" s="697"/>
      <c r="BS13" s="697"/>
      <c r="BT13" s="697"/>
      <c r="BU13" s="697"/>
      <c r="BV13" s="697"/>
      <c r="BW13" s="697"/>
      <c r="BX13" s="697"/>
      <c r="BY13" s="699"/>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705"/>
      <c r="DC13" s="705"/>
      <c r="DD13" s="706"/>
      <c r="DE13" s="700"/>
      <c r="DF13" s="701"/>
      <c r="DG13" s="707"/>
      <c r="DH13" s="700"/>
      <c r="DI13" s="701"/>
      <c r="DJ13" s="707"/>
      <c r="DK13" s="700"/>
      <c r="DL13" s="701"/>
      <c r="DM13" s="702"/>
    </row>
    <row r="14" spans="1:117" ht="17.25" customHeight="1">
      <c r="A14" s="703"/>
      <c r="B14" s="704"/>
      <c r="C14" s="704"/>
      <c r="D14" s="704"/>
      <c r="E14" s="704"/>
      <c r="F14" s="704"/>
      <c r="G14" s="704"/>
      <c r="H14" s="704"/>
      <c r="I14" s="704"/>
      <c r="J14" s="704"/>
      <c r="K14" s="704"/>
      <c r="L14" s="697"/>
      <c r="M14" s="697"/>
      <c r="N14" s="697"/>
      <c r="O14" s="697"/>
      <c r="P14" s="697"/>
      <c r="Q14" s="697"/>
      <c r="R14" s="699"/>
      <c r="S14" s="84"/>
      <c r="T14" s="82"/>
      <c r="U14" s="82"/>
      <c r="V14" s="82"/>
      <c r="W14" s="82"/>
      <c r="X14" s="82"/>
      <c r="Y14" s="81"/>
      <c r="Z14" s="84"/>
      <c r="AA14" s="82"/>
      <c r="AB14" s="82"/>
      <c r="AC14" s="82"/>
      <c r="AD14" s="82"/>
      <c r="AE14" s="82"/>
      <c r="AF14" s="81"/>
      <c r="AG14" s="84"/>
      <c r="AH14" s="82"/>
      <c r="AI14" s="82"/>
      <c r="AJ14" s="82"/>
      <c r="AK14" s="82"/>
      <c r="AL14" s="82"/>
      <c r="AM14" s="81"/>
      <c r="AN14" s="83"/>
      <c r="AO14" s="82"/>
      <c r="AP14" s="82"/>
      <c r="AQ14" s="82"/>
      <c r="AR14" s="82"/>
      <c r="AS14" s="82"/>
      <c r="AT14" s="81"/>
      <c r="AU14" s="705"/>
      <c r="AV14" s="705"/>
      <c r="AW14" s="706"/>
      <c r="AX14" s="700"/>
      <c r="AY14" s="701"/>
      <c r="AZ14" s="707"/>
      <c r="BA14" s="700"/>
      <c r="BB14" s="701"/>
      <c r="BC14" s="707"/>
      <c r="BD14" s="700"/>
      <c r="BE14" s="701"/>
      <c r="BF14" s="702"/>
      <c r="BH14" s="703" t="s">
        <v>219</v>
      </c>
      <c r="BI14" s="704"/>
      <c r="BJ14" s="704"/>
      <c r="BK14" s="704"/>
      <c r="BL14" s="704"/>
      <c r="BM14" s="704"/>
      <c r="BN14" s="704" t="s">
        <v>218</v>
      </c>
      <c r="BO14" s="704"/>
      <c r="BP14" s="704"/>
      <c r="BQ14" s="704"/>
      <c r="BR14" s="704"/>
      <c r="BS14" s="697" t="s">
        <v>209</v>
      </c>
      <c r="BT14" s="697"/>
      <c r="BU14" s="697"/>
      <c r="BV14" s="697"/>
      <c r="BW14" s="697"/>
      <c r="BX14" s="697"/>
      <c r="BY14" s="699"/>
      <c r="BZ14" s="84"/>
      <c r="CA14" s="82" t="s">
        <v>217</v>
      </c>
      <c r="CB14" s="82" t="s">
        <v>217</v>
      </c>
      <c r="CC14" s="82" t="s">
        <v>217</v>
      </c>
      <c r="CD14" s="82" t="s">
        <v>217</v>
      </c>
      <c r="CE14" s="82" t="s">
        <v>217</v>
      </c>
      <c r="CF14" s="81"/>
      <c r="CG14" s="84"/>
      <c r="CH14" s="82" t="s">
        <v>217</v>
      </c>
      <c r="CI14" s="82" t="s">
        <v>217</v>
      </c>
      <c r="CJ14" s="82" t="s">
        <v>217</v>
      </c>
      <c r="CK14" s="82" t="s">
        <v>217</v>
      </c>
      <c r="CL14" s="82" t="s">
        <v>217</v>
      </c>
      <c r="CM14" s="81"/>
      <c r="CN14" s="84"/>
      <c r="CO14" s="82" t="s">
        <v>217</v>
      </c>
      <c r="CP14" s="82" t="s">
        <v>217</v>
      </c>
      <c r="CQ14" s="82" t="s">
        <v>217</v>
      </c>
      <c r="CR14" s="82" t="s">
        <v>217</v>
      </c>
      <c r="CS14" s="82" t="s">
        <v>217</v>
      </c>
      <c r="CT14" s="81"/>
      <c r="CU14" s="83"/>
      <c r="CV14" s="82" t="s">
        <v>217</v>
      </c>
      <c r="CW14" s="82" t="s">
        <v>217</v>
      </c>
      <c r="CX14" s="82" t="s">
        <v>217</v>
      </c>
      <c r="CY14" s="82" t="s">
        <v>217</v>
      </c>
      <c r="CZ14" s="82" t="s">
        <v>217</v>
      </c>
      <c r="DA14" s="81"/>
      <c r="DB14" s="705">
        <v>160</v>
      </c>
      <c r="DC14" s="705"/>
      <c r="DD14" s="706"/>
      <c r="DE14" s="700">
        <v>40</v>
      </c>
      <c r="DF14" s="701"/>
      <c r="DG14" s="707"/>
      <c r="DH14" s="700">
        <v>40</v>
      </c>
      <c r="DI14" s="701"/>
      <c r="DJ14" s="707"/>
      <c r="DK14" s="700"/>
      <c r="DL14" s="701"/>
      <c r="DM14" s="702"/>
    </row>
    <row r="15" spans="1:117" ht="17.25" customHeight="1">
      <c r="A15" s="703"/>
      <c r="B15" s="704"/>
      <c r="C15" s="704"/>
      <c r="D15" s="704"/>
      <c r="E15" s="704"/>
      <c r="F15" s="704"/>
      <c r="G15" s="704"/>
      <c r="H15" s="704"/>
      <c r="I15" s="704"/>
      <c r="J15" s="704"/>
      <c r="K15" s="704"/>
      <c r="L15" s="697"/>
      <c r="M15" s="697"/>
      <c r="N15" s="697"/>
      <c r="O15" s="697"/>
      <c r="P15" s="697"/>
      <c r="Q15" s="697"/>
      <c r="R15" s="699"/>
      <c r="S15" s="84"/>
      <c r="T15" s="82"/>
      <c r="U15" s="82"/>
      <c r="V15" s="82"/>
      <c r="W15" s="82"/>
      <c r="X15" s="82"/>
      <c r="Y15" s="81"/>
      <c r="Z15" s="84"/>
      <c r="AA15" s="82"/>
      <c r="AB15" s="82"/>
      <c r="AC15" s="82"/>
      <c r="AD15" s="82"/>
      <c r="AE15" s="82"/>
      <c r="AF15" s="81"/>
      <c r="AG15" s="84"/>
      <c r="AH15" s="82"/>
      <c r="AI15" s="82"/>
      <c r="AJ15" s="82"/>
      <c r="AK15" s="82"/>
      <c r="AL15" s="82"/>
      <c r="AM15" s="81"/>
      <c r="AN15" s="83"/>
      <c r="AO15" s="82"/>
      <c r="AP15" s="82"/>
      <c r="AQ15" s="82"/>
      <c r="AR15" s="82"/>
      <c r="AS15" s="82"/>
      <c r="AT15" s="81"/>
      <c r="AU15" s="705"/>
      <c r="AV15" s="705"/>
      <c r="AW15" s="706"/>
      <c r="AX15" s="700"/>
      <c r="AY15" s="701"/>
      <c r="AZ15" s="707"/>
      <c r="BA15" s="700"/>
      <c r="BB15" s="701"/>
      <c r="BC15" s="707"/>
      <c r="BD15" s="700"/>
      <c r="BE15" s="701"/>
      <c r="BF15" s="702"/>
      <c r="BH15" s="703" t="s">
        <v>216</v>
      </c>
      <c r="BI15" s="704"/>
      <c r="BJ15" s="704"/>
      <c r="BK15" s="704"/>
      <c r="BL15" s="704"/>
      <c r="BM15" s="704"/>
      <c r="BN15" s="704" t="s">
        <v>218</v>
      </c>
      <c r="BO15" s="704"/>
      <c r="BP15" s="704"/>
      <c r="BQ15" s="704"/>
      <c r="BR15" s="704"/>
      <c r="BS15" s="697" t="s">
        <v>209</v>
      </c>
      <c r="BT15" s="697"/>
      <c r="BU15" s="697"/>
      <c r="BV15" s="697"/>
      <c r="BW15" s="697"/>
      <c r="BX15" s="697"/>
      <c r="BY15" s="699"/>
      <c r="BZ15" s="84"/>
      <c r="CA15" s="82" t="s">
        <v>217</v>
      </c>
      <c r="CB15" s="82" t="s">
        <v>217</v>
      </c>
      <c r="CC15" s="82" t="s">
        <v>217</v>
      </c>
      <c r="CD15" s="82" t="s">
        <v>217</v>
      </c>
      <c r="CE15" s="82" t="s">
        <v>217</v>
      </c>
      <c r="CF15" s="81"/>
      <c r="CG15" s="84"/>
      <c r="CH15" s="82" t="s">
        <v>217</v>
      </c>
      <c r="CI15" s="82" t="s">
        <v>217</v>
      </c>
      <c r="CJ15" s="82" t="s">
        <v>217</v>
      </c>
      <c r="CK15" s="82" t="s">
        <v>217</v>
      </c>
      <c r="CL15" s="82" t="s">
        <v>217</v>
      </c>
      <c r="CM15" s="81"/>
      <c r="CN15" s="84"/>
      <c r="CO15" s="82" t="s">
        <v>217</v>
      </c>
      <c r="CP15" s="82" t="s">
        <v>217</v>
      </c>
      <c r="CQ15" s="82" t="s">
        <v>217</v>
      </c>
      <c r="CR15" s="82" t="s">
        <v>217</v>
      </c>
      <c r="CS15" s="82" t="s">
        <v>217</v>
      </c>
      <c r="CT15" s="81"/>
      <c r="CU15" s="83"/>
      <c r="CV15" s="82" t="s">
        <v>217</v>
      </c>
      <c r="CW15" s="82" t="s">
        <v>217</v>
      </c>
      <c r="CX15" s="82" t="s">
        <v>217</v>
      </c>
      <c r="CY15" s="82" t="s">
        <v>217</v>
      </c>
      <c r="CZ15" s="82" t="s">
        <v>217</v>
      </c>
      <c r="DA15" s="81"/>
      <c r="DB15" s="705">
        <v>160</v>
      </c>
      <c r="DC15" s="705"/>
      <c r="DD15" s="706"/>
      <c r="DE15" s="700">
        <v>40</v>
      </c>
      <c r="DF15" s="701"/>
      <c r="DG15" s="707"/>
      <c r="DH15" s="700">
        <v>40</v>
      </c>
      <c r="DI15" s="701"/>
      <c r="DJ15" s="707"/>
      <c r="DK15" s="700"/>
      <c r="DL15" s="701"/>
      <c r="DM15" s="702"/>
    </row>
    <row r="16" spans="1:117" ht="17.25" customHeight="1">
      <c r="A16" s="703"/>
      <c r="B16" s="704"/>
      <c r="C16" s="704"/>
      <c r="D16" s="704"/>
      <c r="E16" s="704"/>
      <c r="F16" s="704"/>
      <c r="G16" s="704"/>
      <c r="H16" s="704"/>
      <c r="I16" s="704"/>
      <c r="J16" s="704"/>
      <c r="K16" s="704"/>
      <c r="L16" s="697"/>
      <c r="M16" s="697"/>
      <c r="N16" s="697"/>
      <c r="O16" s="697"/>
      <c r="P16" s="697"/>
      <c r="Q16" s="697"/>
      <c r="R16" s="699"/>
      <c r="S16" s="84"/>
      <c r="T16" s="82"/>
      <c r="U16" s="82"/>
      <c r="V16" s="82"/>
      <c r="W16" s="82"/>
      <c r="X16" s="82"/>
      <c r="Y16" s="81"/>
      <c r="Z16" s="84"/>
      <c r="AA16" s="82"/>
      <c r="AB16" s="82"/>
      <c r="AC16" s="82"/>
      <c r="AD16" s="82"/>
      <c r="AE16" s="82"/>
      <c r="AF16" s="81"/>
      <c r="AG16" s="84"/>
      <c r="AH16" s="82"/>
      <c r="AI16" s="82"/>
      <c r="AJ16" s="82"/>
      <c r="AK16" s="82"/>
      <c r="AL16" s="82"/>
      <c r="AM16" s="81"/>
      <c r="AN16" s="83"/>
      <c r="AO16" s="82"/>
      <c r="AP16" s="82"/>
      <c r="AQ16" s="82"/>
      <c r="AR16" s="82"/>
      <c r="AS16" s="82"/>
      <c r="AT16" s="81"/>
      <c r="AU16" s="705"/>
      <c r="AV16" s="705"/>
      <c r="AW16" s="706"/>
      <c r="AX16" s="700"/>
      <c r="AY16" s="701"/>
      <c r="AZ16" s="707"/>
      <c r="BA16" s="700"/>
      <c r="BB16" s="701"/>
      <c r="BC16" s="707"/>
      <c r="BD16" s="700"/>
      <c r="BE16" s="701"/>
      <c r="BF16" s="702"/>
      <c r="BH16" s="703" t="s">
        <v>216</v>
      </c>
      <c r="BI16" s="704"/>
      <c r="BJ16" s="704"/>
      <c r="BK16" s="704"/>
      <c r="BL16" s="704"/>
      <c r="BM16" s="704"/>
      <c r="BN16" s="704" t="s">
        <v>218</v>
      </c>
      <c r="BO16" s="704"/>
      <c r="BP16" s="704"/>
      <c r="BQ16" s="704"/>
      <c r="BR16" s="704"/>
      <c r="BS16" s="697" t="s">
        <v>209</v>
      </c>
      <c r="BT16" s="697"/>
      <c r="BU16" s="697"/>
      <c r="BV16" s="697"/>
      <c r="BW16" s="697"/>
      <c r="BX16" s="697"/>
      <c r="BY16" s="699"/>
      <c r="BZ16" s="84"/>
      <c r="CA16" s="82" t="s">
        <v>217</v>
      </c>
      <c r="CB16" s="82" t="s">
        <v>217</v>
      </c>
      <c r="CC16" s="82" t="s">
        <v>217</v>
      </c>
      <c r="CD16" s="82" t="s">
        <v>217</v>
      </c>
      <c r="CE16" s="82" t="s">
        <v>217</v>
      </c>
      <c r="CF16" s="81"/>
      <c r="CG16" s="84"/>
      <c r="CH16" s="82" t="s">
        <v>217</v>
      </c>
      <c r="CI16" s="82" t="s">
        <v>217</v>
      </c>
      <c r="CJ16" s="82" t="s">
        <v>217</v>
      </c>
      <c r="CK16" s="82" t="s">
        <v>217</v>
      </c>
      <c r="CL16" s="82" t="s">
        <v>217</v>
      </c>
      <c r="CM16" s="81"/>
      <c r="CN16" s="84"/>
      <c r="CO16" s="82" t="s">
        <v>217</v>
      </c>
      <c r="CP16" s="82" t="s">
        <v>217</v>
      </c>
      <c r="CQ16" s="82" t="s">
        <v>217</v>
      </c>
      <c r="CR16" s="82" t="s">
        <v>217</v>
      </c>
      <c r="CS16" s="82" t="s">
        <v>217</v>
      </c>
      <c r="CT16" s="81"/>
      <c r="CU16" s="83"/>
      <c r="CV16" s="82" t="s">
        <v>217</v>
      </c>
      <c r="CW16" s="82" t="s">
        <v>217</v>
      </c>
      <c r="CX16" s="82" t="s">
        <v>217</v>
      </c>
      <c r="CY16" s="82" t="s">
        <v>217</v>
      </c>
      <c r="CZ16" s="82" t="s">
        <v>217</v>
      </c>
      <c r="DA16" s="81"/>
      <c r="DB16" s="705">
        <v>160</v>
      </c>
      <c r="DC16" s="705"/>
      <c r="DD16" s="706"/>
      <c r="DE16" s="700">
        <v>40</v>
      </c>
      <c r="DF16" s="701"/>
      <c r="DG16" s="707"/>
      <c r="DH16" s="700">
        <v>40</v>
      </c>
      <c r="DI16" s="701"/>
      <c r="DJ16" s="707"/>
      <c r="DK16" s="700"/>
      <c r="DL16" s="701"/>
      <c r="DM16" s="702"/>
    </row>
    <row r="17" spans="1:117" ht="17.25" customHeight="1">
      <c r="A17" s="703"/>
      <c r="B17" s="704"/>
      <c r="C17" s="704"/>
      <c r="D17" s="704"/>
      <c r="E17" s="704"/>
      <c r="F17" s="704"/>
      <c r="G17" s="704"/>
      <c r="H17" s="704"/>
      <c r="I17" s="704"/>
      <c r="J17" s="704"/>
      <c r="K17" s="704"/>
      <c r="L17" s="697"/>
      <c r="M17" s="697"/>
      <c r="N17" s="697"/>
      <c r="O17" s="697"/>
      <c r="P17" s="697"/>
      <c r="Q17" s="697"/>
      <c r="R17" s="699"/>
      <c r="S17" s="84"/>
      <c r="T17" s="82"/>
      <c r="U17" s="82"/>
      <c r="V17" s="82"/>
      <c r="W17" s="82"/>
      <c r="X17" s="82"/>
      <c r="Y17" s="81"/>
      <c r="Z17" s="84"/>
      <c r="AA17" s="82"/>
      <c r="AB17" s="82"/>
      <c r="AC17" s="82"/>
      <c r="AD17" s="82"/>
      <c r="AE17" s="82"/>
      <c r="AF17" s="81"/>
      <c r="AG17" s="84"/>
      <c r="AH17" s="82"/>
      <c r="AI17" s="82"/>
      <c r="AJ17" s="82"/>
      <c r="AK17" s="82"/>
      <c r="AL17" s="82"/>
      <c r="AM17" s="81"/>
      <c r="AN17" s="83"/>
      <c r="AO17" s="82"/>
      <c r="AP17" s="82"/>
      <c r="AQ17" s="82"/>
      <c r="AR17" s="82"/>
      <c r="AS17" s="82"/>
      <c r="AT17" s="81"/>
      <c r="AU17" s="705"/>
      <c r="AV17" s="705"/>
      <c r="AW17" s="706"/>
      <c r="AX17" s="700"/>
      <c r="AY17" s="701"/>
      <c r="AZ17" s="707"/>
      <c r="BA17" s="700"/>
      <c r="BB17" s="701"/>
      <c r="BC17" s="707"/>
      <c r="BD17" s="700"/>
      <c r="BE17" s="701"/>
      <c r="BF17" s="702"/>
      <c r="BH17" s="703" t="s">
        <v>216</v>
      </c>
      <c r="BI17" s="704"/>
      <c r="BJ17" s="704"/>
      <c r="BK17" s="704"/>
      <c r="BL17" s="704"/>
      <c r="BM17" s="704"/>
      <c r="BN17" s="704" t="s">
        <v>218</v>
      </c>
      <c r="BO17" s="704"/>
      <c r="BP17" s="704"/>
      <c r="BQ17" s="704"/>
      <c r="BR17" s="704"/>
      <c r="BS17" s="697" t="s">
        <v>209</v>
      </c>
      <c r="BT17" s="697"/>
      <c r="BU17" s="697"/>
      <c r="BV17" s="697"/>
      <c r="BW17" s="697"/>
      <c r="BX17" s="697"/>
      <c r="BY17" s="699"/>
      <c r="BZ17" s="84"/>
      <c r="CA17" s="82" t="s">
        <v>217</v>
      </c>
      <c r="CB17" s="82" t="s">
        <v>217</v>
      </c>
      <c r="CC17" s="82" t="s">
        <v>217</v>
      </c>
      <c r="CD17" s="82" t="s">
        <v>217</v>
      </c>
      <c r="CE17" s="82" t="s">
        <v>217</v>
      </c>
      <c r="CF17" s="81"/>
      <c r="CG17" s="84"/>
      <c r="CH17" s="82" t="s">
        <v>217</v>
      </c>
      <c r="CI17" s="82" t="s">
        <v>217</v>
      </c>
      <c r="CJ17" s="82" t="s">
        <v>217</v>
      </c>
      <c r="CK17" s="82" t="s">
        <v>217</v>
      </c>
      <c r="CL17" s="82" t="s">
        <v>217</v>
      </c>
      <c r="CM17" s="81"/>
      <c r="CN17" s="84"/>
      <c r="CO17" s="82" t="s">
        <v>217</v>
      </c>
      <c r="CP17" s="82" t="s">
        <v>217</v>
      </c>
      <c r="CQ17" s="82" t="s">
        <v>217</v>
      </c>
      <c r="CR17" s="82" t="s">
        <v>217</v>
      </c>
      <c r="CS17" s="82" t="s">
        <v>217</v>
      </c>
      <c r="CT17" s="81"/>
      <c r="CU17" s="83"/>
      <c r="CV17" s="82" t="s">
        <v>217</v>
      </c>
      <c r="CW17" s="82" t="s">
        <v>217</v>
      </c>
      <c r="CX17" s="82" t="s">
        <v>217</v>
      </c>
      <c r="CY17" s="82" t="s">
        <v>217</v>
      </c>
      <c r="CZ17" s="82" t="s">
        <v>217</v>
      </c>
      <c r="DA17" s="81"/>
      <c r="DB17" s="705">
        <v>160</v>
      </c>
      <c r="DC17" s="705"/>
      <c r="DD17" s="706"/>
      <c r="DE17" s="700">
        <v>40</v>
      </c>
      <c r="DF17" s="701"/>
      <c r="DG17" s="707"/>
      <c r="DH17" s="700">
        <v>40</v>
      </c>
      <c r="DI17" s="701"/>
      <c r="DJ17" s="707"/>
      <c r="DK17" s="700"/>
      <c r="DL17" s="701"/>
      <c r="DM17" s="702"/>
    </row>
    <row r="18" spans="1:117" ht="17.25" customHeight="1">
      <c r="A18" s="703"/>
      <c r="B18" s="704"/>
      <c r="C18" s="704"/>
      <c r="D18" s="704"/>
      <c r="E18" s="704"/>
      <c r="F18" s="704"/>
      <c r="G18" s="697"/>
      <c r="H18" s="697"/>
      <c r="I18" s="697"/>
      <c r="J18" s="697"/>
      <c r="K18" s="697"/>
      <c r="L18" s="697"/>
      <c r="M18" s="697"/>
      <c r="N18" s="697"/>
      <c r="O18" s="697"/>
      <c r="P18" s="697"/>
      <c r="Q18" s="697"/>
      <c r="R18" s="699"/>
      <c r="S18" s="84"/>
      <c r="T18" s="85"/>
      <c r="U18" s="85"/>
      <c r="V18" s="85"/>
      <c r="W18" s="85"/>
      <c r="X18" s="85"/>
      <c r="Y18" s="81"/>
      <c r="Z18" s="84"/>
      <c r="AA18" s="85"/>
      <c r="AB18" s="85"/>
      <c r="AC18" s="85"/>
      <c r="AD18" s="85"/>
      <c r="AE18" s="85"/>
      <c r="AF18" s="81"/>
      <c r="AG18" s="84"/>
      <c r="AH18" s="85"/>
      <c r="AI18" s="85"/>
      <c r="AJ18" s="85"/>
      <c r="AK18" s="85"/>
      <c r="AL18" s="85"/>
      <c r="AM18" s="81"/>
      <c r="AN18" s="83"/>
      <c r="AO18" s="85"/>
      <c r="AP18" s="85"/>
      <c r="AQ18" s="85"/>
      <c r="AR18" s="85"/>
      <c r="AS18" s="85"/>
      <c r="AT18" s="81"/>
      <c r="AU18" s="705"/>
      <c r="AV18" s="705"/>
      <c r="AW18" s="706"/>
      <c r="AX18" s="700"/>
      <c r="AY18" s="701"/>
      <c r="AZ18" s="707"/>
      <c r="BA18" s="700"/>
      <c r="BB18" s="701"/>
      <c r="BC18" s="707"/>
      <c r="BD18" s="700"/>
      <c r="BE18" s="701"/>
      <c r="BF18" s="702"/>
      <c r="BH18" s="703" t="s">
        <v>216</v>
      </c>
      <c r="BI18" s="704"/>
      <c r="BJ18" s="704"/>
      <c r="BK18" s="704"/>
      <c r="BL18" s="704"/>
      <c r="BM18" s="704"/>
      <c r="BN18" s="704" t="s">
        <v>218</v>
      </c>
      <c r="BO18" s="704"/>
      <c r="BP18" s="704"/>
      <c r="BQ18" s="704"/>
      <c r="BR18" s="704"/>
      <c r="BS18" s="697" t="s">
        <v>209</v>
      </c>
      <c r="BT18" s="697"/>
      <c r="BU18" s="697"/>
      <c r="BV18" s="697"/>
      <c r="BW18" s="697"/>
      <c r="BX18" s="697"/>
      <c r="BY18" s="699"/>
      <c r="BZ18" s="84"/>
      <c r="CA18" s="82" t="s">
        <v>217</v>
      </c>
      <c r="CB18" s="82" t="s">
        <v>217</v>
      </c>
      <c r="CC18" s="82" t="s">
        <v>217</v>
      </c>
      <c r="CD18" s="82" t="s">
        <v>217</v>
      </c>
      <c r="CE18" s="82" t="s">
        <v>217</v>
      </c>
      <c r="CF18" s="81"/>
      <c r="CG18" s="84"/>
      <c r="CH18" s="82" t="s">
        <v>217</v>
      </c>
      <c r="CI18" s="82" t="s">
        <v>217</v>
      </c>
      <c r="CJ18" s="82" t="s">
        <v>217</v>
      </c>
      <c r="CK18" s="82" t="s">
        <v>217</v>
      </c>
      <c r="CL18" s="82" t="s">
        <v>217</v>
      </c>
      <c r="CM18" s="81"/>
      <c r="CN18" s="84"/>
      <c r="CO18" s="82" t="s">
        <v>217</v>
      </c>
      <c r="CP18" s="82" t="s">
        <v>217</v>
      </c>
      <c r="CQ18" s="82" t="s">
        <v>217</v>
      </c>
      <c r="CR18" s="82" t="s">
        <v>217</v>
      </c>
      <c r="CS18" s="82" t="s">
        <v>217</v>
      </c>
      <c r="CT18" s="81"/>
      <c r="CU18" s="83"/>
      <c r="CV18" s="82" t="s">
        <v>217</v>
      </c>
      <c r="CW18" s="82" t="s">
        <v>217</v>
      </c>
      <c r="CX18" s="82" t="s">
        <v>217</v>
      </c>
      <c r="CY18" s="82" t="s">
        <v>217</v>
      </c>
      <c r="CZ18" s="82" t="s">
        <v>217</v>
      </c>
      <c r="DA18" s="81"/>
      <c r="DB18" s="705">
        <v>160</v>
      </c>
      <c r="DC18" s="705"/>
      <c r="DD18" s="706"/>
      <c r="DE18" s="700">
        <v>40</v>
      </c>
      <c r="DF18" s="701"/>
      <c r="DG18" s="707"/>
      <c r="DH18" s="700">
        <v>40</v>
      </c>
      <c r="DI18" s="701"/>
      <c r="DJ18" s="707"/>
      <c r="DK18" s="700"/>
      <c r="DL18" s="701"/>
      <c r="DM18" s="702"/>
    </row>
    <row r="19" spans="1:117" ht="17.25" customHeight="1">
      <c r="A19" s="703"/>
      <c r="B19" s="704"/>
      <c r="C19" s="704"/>
      <c r="D19" s="704"/>
      <c r="E19" s="704"/>
      <c r="F19" s="704"/>
      <c r="G19" s="697"/>
      <c r="H19" s="697"/>
      <c r="I19" s="697"/>
      <c r="J19" s="697"/>
      <c r="K19" s="697"/>
      <c r="L19" s="697"/>
      <c r="M19" s="697"/>
      <c r="N19" s="697"/>
      <c r="O19" s="697"/>
      <c r="P19" s="697"/>
      <c r="Q19" s="697"/>
      <c r="R19" s="699"/>
      <c r="S19" s="84"/>
      <c r="T19" s="85"/>
      <c r="U19" s="85"/>
      <c r="V19" s="85"/>
      <c r="W19" s="85"/>
      <c r="X19" s="85"/>
      <c r="Y19" s="81"/>
      <c r="Z19" s="84"/>
      <c r="AA19" s="85"/>
      <c r="AB19" s="85"/>
      <c r="AC19" s="85"/>
      <c r="AD19" s="85"/>
      <c r="AE19" s="85"/>
      <c r="AF19" s="81"/>
      <c r="AG19" s="84"/>
      <c r="AH19" s="85"/>
      <c r="AI19" s="85"/>
      <c r="AJ19" s="85"/>
      <c r="AK19" s="85"/>
      <c r="AL19" s="85"/>
      <c r="AM19" s="81"/>
      <c r="AN19" s="83"/>
      <c r="AO19" s="85"/>
      <c r="AP19" s="85"/>
      <c r="AQ19" s="85"/>
      <c r="AR19" s="85"/>
      <c r="AS19" s="85"/>
      <c r="AT19" s="81"/>
      <c r="AU19" s="705"/>
      <c r="AV19" s="705"/>
      <c r="AW19" s="706"/>
      <c r="AX19" s="700"/>
      <c r="AY19" s="701"/>
      <c r="AZ19" s="707"/>
      <c r="BA19" s="700"/>
      <c r="BB19" s="701"/>
      <c r="BC19" s="707"/>
      <c r="BD19" s="700"/>
      <c r="BE19" s="701"/>
      <c r="BF19" s="702"/>
      <c r="BH19" s="703" t="s">
        <v>216</v>
      </c>
      <c r="BI19" s="704"/>
      <c r="BJ19" s="704"/>
      <c r="BK19" s="704"/>
      <c r="BL19" s="704"/>
      <c r="BM19" s="704"/>
      <c r="BN19" s="697" t="s">
        <v>210</v>
      </c>
      <c r="BO19" s="697"/>
      <c r="BP19" s="697"/>
      <c r="BQ19" s="697"/>
      <c r="BR19" s="697"/>
      <c r="BS19" s="697" t="s">
        <v>209</v>
      </c>
      <c r="BT19" s="697"/>
      <c r="BU19" s="697"/>
      <c r="BV19" s="697"/>
      <c r="BW19" s="697"/>
      <c r="BX19" s="697"/>
      <c r="BY19" s="699"/>
      <c r="BZ19" s="84"/>
      <c r="CA19" s="85" t="s">
        <v>215</v>
      </c>
      <c r="CB19" s="85">
        <v>2</v>
      </c>
      <c r="CC19" s="85">
        <v>2</v>
      </c>
      <c r="CD19" s="85" t="s">
        <v>214</v>
      </c>
      <c r="CE19" s="85">
        <v>2</v>
      </c>
      <c r="CF19" s="81"/>
      <c r="CG19" s="84"/>
      <c r="CH19" s="85" t="s">
        <v>215</v>
      </c>
      <c r="CI19" s="85">
        <v>2</v>
      </c>
      <c r="CJ19" s="85">
        <v>2</v>
      </c>
      <c r="CK19" s="85" t="s">
        <v>214</v>
      </c>
      <c r="CL19" s="85">
        <v>2</v>
      </c>
      <c r="CM19" s="81"/>
      <c r="CN19" s="84"/>
      <c r="CO19" s="85" t="s">
        <v>215</v>
      </c>
      <c r="CP19" s="85">
        <v>2</v>
      </c>
      <c r="CQ19" s="85">
        <v>2</v>
      </c>
      <c r="CR19" s="85" t="s">
        <v>214</v>
      </c>
      <c r="CS19" s="85">
        <v>2</v>
      </c>
      <c r="CT19" s="81"/>
      <c r="CU19" s="83"/>
      <c r="CV19" s="85" t="s">
        <v>215</v>
      </c>
      <c r="CW19" s="85">
        <v>2</v>
      </c>
      <c r="CX19" s="85">
        <v>2</v>
      </c>
      <c r="CY19" s="85" t="s">
        <v>214</v>
      </c>
      <c r="CZ19" s="85">
        <v>1</v>
      </c>
      <c r="DA19" s="81"/>
      <c r="DB19" s="705">
        <v>55</v>
      </c>
      <c r="DC19" s="705"/>
      <c r="DD19" s="706"/>
      <c r="DE19" s="700">
        <v>13.7</v>
      </c>
      <c r="DF19" s="701"/>
      <c r="DG19" s="707"/>
      <c r="DH19" s="700">
        <v>13.7</v>
      </c>
      <c r="DI19" s="701"/>
      <c r="DJ19" s="707"/>
      <c r="DK19" s="700"/>
      <c r="DL19" s="701"/>
      <c r="DM19" s="702"/>
    </row>
    <row r="20" spans="1:117" ht="17.25" customHeight="1">
      <c r="A20" s="703"/>
      <c r="B20" s="704"/>
      <c r="C20" s="704"/>
      <c r="D20" s="704"/>
      <c r="E20" s="704"/>
      <c r="F20" s="704"/>
      <c r="G20" s="697"/>
      <c r="H20" s="697"/>
      <c r="I20" s="697"/>
      <c r="J20" s="697"/>
      <c r="K20" s="697"/>
      <c r="L20" s="697"/>
      <c r="M20" s="697"/>
      <c r="N20" s="697"/>
      <c r="O20" s="697"/>
      <c r="P20" s="697"/>
      <c r="Q20" s="697"/>
      <c r="R20" s="699"/>
      <c r="S20" s="84"/>
      <c r="T20" s="85"/>
      <c r="U20" s="85"/>
      <c r="V20" s="85"/>
      <c r="W20" s="85"/>
      <c r="X20" s="85"/>
      <c r="Y20" s="81"/>
      <c r="Z20" s="84"/>
      <c r="AA20" s="85"/>
      <c r="AB20" s="85"/>
      <c r="AC20" s="85"/>
      <c r="AD20" s="85"/>
      <c r="AE20" s="85"/>
      <c r="AF20" s="81"/>
      <c r="AG20" s="84"/>
      <c r="AH20" s="85"/>
      <c r="AI20" s="85"/>
      <c r="AJ20" s="85"/>
      <c r="AK20" s="85"/>
      <c r="AL20" s="85"/>
      <c r="AM20" s="81"/>
      <c r="AN20" s="83"/>
      <c r="AO20" s="85"/>
      <c r="AP20" s="85"/>
      <c r="AQ20" s="85"/>
      <c r="AR20" s="85"/>
      <c r="AS20" s="85"/>
      <c r="AT20" s="81"/>
      <c r="AU20" s="705"/>
      <c r="AV20" s="705"/>
      <c r="AW20" s="706"/>
      <c r="AX20" s="700"/>
      <c r="AY20" s="701"/>
      <c r="AZ20" s="707"/>
      <c r="BA20" s="700"/>
      <c r="BB20" s="701"/>
      <c r="BC20" s="707"/>
      <c r="BD20" s="700"/>
      <c r="BE20" s="701"/>
      <c r="BF20" s="702"/>
      <c r="BH20" s="703" t="s">
        <v>216</v>
      </c>
      <c r="BI20" s="704"/>
      <c r="BJ20" s="704"/>
      <c r="BK20" s="704"/>
      <c r="BL20" s="704"/>
      <c r="BM20" s="704"/>
      <c r="BN20" s="697" t="s">
        <v>210</v>
      </c>
      <c r="BO20" s="697"/>
      <c r="BP20" s="697"/>
      <c r="BQ20" s="697"/>
      <c r="BR20" s="697"/>
      <c r="BS20" s="697" t="s">
        <v>209</v>
      </c>
      <c r="BT20" s="697"/>
      <c r="BU20" s="697"/>
      <c r="BV20" s="697"/>
      <c r="BW20" s="697"/>
      <c r="BX20" s="697"/>
      <c r="BY20" s="699"/>
      <c r="BZ20" s="84"/>
      <c r="CA20" s="85">
        <v>2</v>
      </c>
      <c r="CB20" s="85" t="s">
        <v>215</v>
      </c>
      <c r="CC20" s="85" t="s">
        <v>215</v>
      </c>
      <c r="CD20" s="85">
        <v>2</v>
      </c>
      <c r="CE20" s="85" t="s">
        <v>214</v>
      </c>
      <c r="CF20" s="81"/>
      <c r="CG20" s="84"/>
      <c r="CH20" s="85">
        <v>2</v>
      </c>
      <c r="CI20" s="85" t="s">
        <v>215</v>
      </c>
      <c r="CJ20" s="85" t="s">
        <v>215</v>
      </c>
      <c r="CK20" s="85">
        <v>2</v>
      </c>
      <c r="CL20" s="85" t="s">
        <v>214</v>
      </c>
      <c r="CM20" s="81"/>
      <c r="CN20" s="84"/>
      <c r="CO20" s="85">
        <v>2</v>
      </c>
      <c r="CP20" s="85" t="s">
        <v>215</v>
      </c>
      <c r="CQ20" s="85" t="s">
        <v>215</v>
      </c>
      <c r="CR20" s="85">
        <v>2</v>
      </c>
      <c r="CS20" s="85" t="s">
        <v>214</v>
      </c>
      <c r="CT20" s="81"/>
      <c r="CU20" s="83"/>
      <c r="CV20" s="85">
        <v>2</v>
      </c>
      <c r="CW20" s="85" t="s">
        <v>215</v>
      </c>
      <c r="CX20" s="85" t="s">
        <v>215</v>
      </c>
      <c r="CY20" s="85">
        <v>2</v>
      </c>
      <c r="CZ20" s="85" t="s">
        <v>214</v>
      </c>
      <c r="DA20" s="81"/>
      <c r="DB20" s="705">
        <v>64</v>
      </c>
      <c r="DC20" s="705"/>
      <c r="DD20" s="706"/>
      <c r="DE20" s="700">
        <v>16</v>
      </c>
      <c r="DF20" s="701"/>
      <c r="DG20" s="707"/>
      <c r="DH20" s="700">
        <v>16</v>
      </c>
      <c r="DI20" s="701"/>
      <c r="DJ20" s="707"/>
      <c r="DK20" s="700"/>
      <c r="DL20" s="701"/>
      <c r="DM20" s="702"/>
    </row>
    <row r="21" spans="1:117" ht="17.25" customHeight="1">
      <c r="A21" s="703" t="s">
        <v>212</v>
      </c>
      <c r="B21" s="704"/>
      <c r="C21" s="704"/>
      <c r="D21" s="704"/>
      <c r="E21" s="704"/>
      <c r="F21" s="704"/>
      <c r="G21" s="697"/>
      <c r="H21" s="697"/>
      <c r="I21" s="697"/>
      <c r="J21" s="697"/>
      <c r="K21" s="697"/>
      <c r="L21" s="697"/>
      <c r="M21" s="697"/>
      <c r="N21" s="697"/>
      <c r="O21" s="697"/>
      <c r="P21" s="697"/>
      <c r="Q21" s="697"/>
      <c r="R21" s="699"/>
      <c r="S21" s="84"/>
      <c r="T21" s="85"/>
      <c r="U21" s="85"/>
      <c r="V21" s="85"/>
      <c r="W21" s="85"/>
      <c r="X21" s="85"/>
      <c r="Y21" s="81"/>
      <c r="Z21" s="84"/>
      <c r="AA21" s="85"/>
      <c r="AB21" s="85"/>
      <c r="AC21" s="85"/>
      <c r="AD21" s="85"/>
      <c r="AE21" s="85"/>
      <c r="AF21" s="81"/>
      <c r="AG21" s="84"/>
      <c r="AH21" s="85"/>
      <c r="AI21" s="85"/>
      <c r="AJ21" s="85"/>
      <c r="AK21" s="85"/>
      <c r="AL21" s="85"/>
      <c r="AM21" s="81"/>
      <c r="AN21" s="83"/>
      <c r="AO21" s="85"/>
      <c r="AP21" s="85"/>
      <c r="AQ21" s="85"/>
      <c r="AR21" s="85"/>
      <c r="AS21" s="85"/>
      <c r="AT21" s="81"/>
      <c r="AU21" s="705"/>
      <c r="AV21" s="705"/>
      <c r="AW21" s="706"/>
      <c r="AX21" s="700"/>
      <c r="AY21" s="701"/>
      <c r="AZ21" s="707"/>
      <c r="BA21" s="700"/>
      <c r="BB21" s="701"/>
      <c r="BC21" s="707"/>
      <c r="BD21" s="700"/>
      <c r="BE21" s="701"/>
      <c r="BF21" s="702"/>
      <c r="BH21" s="703" t="s">
        <v>213</v>
      </c>
      <c r="BI21" s="704"/>
      <c r="BJ21" s="704"/>
      <c r="BK21" s="704"/>
      <c r="BL21" s="704"/>
      <c r="BM21" s="704"/>
      <c r="BN21" s="697"/>
      <c r="BO21" s="697"/>
      <c r="BP21" s="697"/>
      <c r="BQ21" s="697"/>
      <c r="BR21" s="697"/>
      <c r="BS21" s="697"/>
      <c r="BT21" s="697"/>
      <c r="BU21" s="697"/>
      <c r="BV21" s="697"/>
      <c r="BW21" s="697"/>
      <c r="BX21" s="697"/>
      <c r="BY21" s="699"/>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705"/>
      <c r="DC21" s="705"/>
      <c r="DD21" s="706"/>
      <c r="DE21" s="700"/>
      <c r="DF21" s="701"/>
      <c r="DG21" s="707"/>
      <c r="DH21" s="700">
        <v>229.7</v>
      </c>
      <c r="DI21" s="701"/>
      <c r="DJ21" s="707"/>
      <c r="DK21" s="700">
        <v>5.7</v>
      </c>
      <c r="DL21" s="701"/>
      <c r="DM21" s="702"/>
    </row>
    <row r="22" spans="1:117" ht="17.25" customHeight="1" thickBot="1">
      <c r="A22" s="703"/>
      <c r="B22" s="704"/>
      <c r="C22" s="704"/>
      <c r="D22" s="704"/>
      <c r="E22" s="704"/>
      <c r="F22" s="704"/>
      <c r="G22" s="697"/>
      <c r="H22" s="697"/>
      <c r="I22" s="697"/>
      <c r="J22" s="697"/>
      <c r="K22" s="697"/>
      <c r="L22" s="697"/>
      <c r="M22" s="697"/>
      <c r="N22" s="697"/>
      <c r="O22" s="697"/>
      <c r="P22" s="697"/>
      <c r="Q22" s="697"/>
      <c r="R22" s="699"/>
      <c r="S22" s="84"/>
      <c r="T22" s="85"/>
      <c r="U22" s="85"/>
      <c r="V22" s="85"/>
      <c r="W22" s="85"/>
      <c r="X22" s="85"/>
      <c r="Y22" s="81"/>
      <c r="Z22" s="84"/>
      <c r="AA22" s="85"/>
      <c r="AB22" s="85"/>
      <c r="AC22" s="85"/>
      <c r="AD22" s="85"/>
      <c r="AE22" s="85"/>
      <c r="AF22" s="81"/>
      <c r="AG22" s="84"/>
      <c r="AH22" s="85"/>
      <c r="AI22" s="85"/>
      <c r="AJ22" s="85"/>
      <c r="AK22" s="85"/>
      <c r="AL22" s="85"/>
      <c r="AM22" s="81"/>
      <c r="AN22" s="83"/>
      <c r="AO22" s="85"/>
      <c r="AP22" s="85"/>
      <c r="AQ22" s="85"/>
      <c r="AR22" s="85"/>
      <c r="AS22" s="85"/>
      <c r="AT22" s="81"/>
      <c r="AU22" s="705"/>
      <c r="AV22" s="705"/>
      <c r="AW22" s="706"/>
      <c r="AX22" s="700"/>
      <c r="AY22" s="701"/>
      <c r="AZ22" s="707"/>
      <c r="BA22" s="700"/>
      <c r="BB22" s="701"/>
      <c r="BC22" s="707"/>
      <c r="BD22" s="700"/>
      <c r="BE22" s="701"/>
      <c r="BF22" s="702"/>
      <c r="BH22" s="703" t="s">
        <v>212</v>
      </c>
      <c r="BI22" s="704"/>
      <c r="BJ22" s="704"/>
      <c r="BK22" s="704"/>
      <c r="BL22" s="704"/>
      <c r="BM22" s="704"/>
      <c r="BN22" s="697"/>
      <c r="BO22" s="697"/>
      <c r="BP22" s="697"/>
      <c r="BQ22" s="697"/>
      <c r="BR22" s="697"/>
      <c r="BS22" s="697"/>
      <c r="BT22" s="697"/>
      <c r="BU22" s="697"/>
      <c r="BV22" s="697"/>
      <c r="BW22" s="697"/>
      <c r="BX22" s="697"/>
      <c r="BY22" s="699"/>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705"/>
      <c r="DC22" s="705"/>
      <c r="DD22" s="706"/>
      <c r="DE22" s="700"/>
      <c r="DF22" s="701"/>
      <c r="DG22" s="707"/>
      <c r="DH22" s="700"/>
      <c r="DI22" s="701"/>
      <c r="DJ22" s="707"/>
      <c r="DK22" s="700"/>
      <c r="DL22" s="701"/>
      <c r="DM22" s="702"/>
    </row>
    <row r="23" spans="1:117" ht="21" customHeight="1" thickBot="1">
      <c r="A23" s="711" t="s">
        <v>207</v>
      </c>
      <c r="B23" s="712"/>
      <c r="C23" s="712"/>
      <c r="D23" s="712"/>
      <c r="E23" s="712"/>
      <c r="F23" s="712"/>
      <c r="G23" s="712"/>
      <c r="H23" s="712"/>
      <c r="I23" s="712"/>
      <c r="J23" s="712"/>
      <c r="K23" s="712"/>
      <c r="L23" s="712"/>
      <c r="M23" s="712"/>
      <c r="N23" s="712"/>
      <c r="O23" s="712"/>
      <c r="P23" s="712"/>
      <c r="Q23" s="712"/>
      <c r="R23" s="712"/>
      <c r="S23" s="712"/>
      <c r="T23" s="712"/>
      <c r="U23" s="712"/>
      <c r="V23" s="712"/>
      <c r="W23" s="712"/>
      <c r="X23" s="712"/>
      <c r="Y23" s="712"/>
      <c r="Z23" s="712"/>
      <c r="AA23" s="712"/>
      <c r="AB23" s="712"/>
      <c r="AC23" s="712"/>
      <c r="AD23" s="712"/>
      <c r="AE23" s="712"/>
      <c r="AF23" s="712"/>
      <c r="AG23" s="712"/>
      <c r="AH23" s="712"/>
      <c r="AI23" s="712"/>
      <c r="AJ23" s="712"/>
      <c r="AK23" s="712"/>
      <c r="AL23" s="712"/>
      <c r="AM23" s="712"/>
      <c r="AN23" s="712"/>
      <c r="AO23" s="712"/>
      <c r="AP23" s="712"/>
      <c r="AQ23" s="712"/>
      <c r="AR23" s="712"/>
      <c r="AS23" s="712"/>
      <c r="AT23" s="713"/>
      <c r="AU23" s="714"/>
      <c r="AV23" s="666"/>
      <c r="AW23" s="666"/>
      <c r="AX23" s="666"/>
      <c r="AY23" s="666"/>
      <c r="AZ23" s="666"/>
      <c r="BA23" s="666"/>
      <c r="BB23" s="666"/>
      <c r="BC23" s="666"/>
      <c r="BD23" s="666"/>
      <c r="BE23" s="666"/>
      <c r="BF23" s="715"/>
      <c r="BH23" s="703" t="s">
        <v>211</v>
      </c>
      <c r="BI23" s="704"/>
      <c r="BJ23" s="704"/>
      <c r="BK23" s="704"/>
      <c r="BL23" s="704"/>
      <c r="BM23" s="704"/>
      <c r="BN23" s="704" t="s">
        <v>210</v>
      </c>
      <c r="BO23" s="704"/>
      <c r="BP23" s="704"/>
      <c r="BQ23" s="704"/>
      <c r="BR23" s="704"/>
      <c r="BS23" s="697" t="s">
        <v>209</v>
      </c>
      <c r="BT23" s="697"/>
      <c r="BU23" s="697"/>
      <c r="BV23" s="697"/>
      <c r="BW23" s="697"/>
      <c r="BX23" s="697"/>
      <c r="BY23" s="699"/>
      <c r="BZ23" s="84"/>
      <c r="CA23" s="82" t="s">
        <v>208</v>
      </c>
      <c r="CB23" s="82" t="s">
        <v>208</v>
      </c>
      <c r="CC23" s="82" t="s">
        <v>208</v>
      </c>
      <c r="CD23" s="82" t="s">
        <v>208</v>
      </c>
      <c r="CE23" s="82" t="s">
        <v>208</v>
      </c>
      <c r="CF23" s="81"/>
      <c r="CG23" s="84"/>
      <c r="CH23" s="82" t="s">
        <v>208</v>
      </c>
      <c r="CI23" s="82" t="s">
        <v>208</v>
      </c>
      <c r="CJ23" s="82" t="s">
        <v>208</v>
      </c>
      <c r="CK23" s="82" t="s">
        <v>208</v>
      </c>
      <c r="CL23" s="82" t="s">
        <v>208</v>
      </c>
      <c r="CM23" s="81"/>
      <c r="CN23" s="84"/>
      <c r="CO23" s="82" t="s">
        <v>208</v>
      </c>
      <c r="CP23" s="82" t="s">
        <v>208</v>
      </c>
      <c r="CQ23" s="82" t="s">
        <v>208</v>
      </c>
      <c r="CR23" s="82" t="s">
        <v>208</v>
      </c>
      <c r="CS23" s="82" t="s">
        <v>208</v>
      </c>
      <c r="CT23" s="81"/>
      <c r="CU23" s="83"/>
      <c r="CV23" s="82" t="s">
        <v>208</v>
      </c>
      <c r="CW23" s="82" t="s">
        <v>208</v>
      </c>
      <c r="CX23" s="82" t="s">
        <v>208</v>
      </c>
      <c r="CY23" s="82" t="s">
        <v>208</v>
      </c>
      <c r="CZ23" s="82" t="s">
        <v>208</v>
      </c>
      <c r="DA23" s="81"/>
      <c r="DB23" s="705">
        <v>120</v>
      </c>
      <c r="DC23" s="705"/>
      <c r="DD23" s="706"/>
      <c r="DE23" s="700">
        <v>30</v>
      </c>
      <c r="DF23" s="701"/>
      <c r="DG23" s="707"/>
      <c r="DH23" s="700">
        <v>30</v>
      </c>
      <c r="DI23" s="701"/>
      <c r="DJ23" s="707"/>
      <c r="DK23" s="700">
        <v>0.7</v>
      </c>
      <c r="DL23" s="701"/>
      <c r="DM23" s="702"/>
    </row>
    <row r="24" spans="1:117" ht="21" customHeight="1" thickBot="1">
      <c r="A24" s="716" t="s">
        <v>206</v>
      </c>
      <c r="B24" s="717"/>
      <c r="C24" s="717"/>
      <c r="D24" s="717"/>
      <c r="E24" s="717"/>
      <c r="F24" s="717"/>
      <c r="G24" s="717"/>
      <c r="H24" s="717"/>
      <c r="I24" s="717"/>
      <c r="J24" s="717"/>
      <c r="K24" s="717"/>
      <c r="L24" s="717"/>
      <c r="M24" s="717"/>
      <c r="N24" s="717"/>
      <c r="O24" s="717"/>
      <c r="P24" s="717"/>
      <c r="Q24" s="717"/>
      <c r="R24" s="667"/>
      <c r="S24" s="79"/>
      <c r="T24" s="78"/>
      <c r="U24" s="78"/>
      <c r="V24" s="78"/>
      <c r="W24" s="78"/>
      <c r="X24" s="78"/>
      <c r="Y24" s="80"/>
      <c r="Z24" s="79"/>
      <c r="AA24" s="78"/>
      <c r="AB24" s="78"/>
      <c r="AC24" s="78"/>
      <c r="AD24" s="78"/>
      <c r="AE24" s="78"/>
      <c r="AF24" s="77"/>
      <c r="AG24" s="79"/>
      <c r="AH24" s="78"/>
      <c r="AI24" s="78"/>
      <c r="AJ24" s="78"/>
      <c r="AK24" s="78"/>
      <c r="AL24" s="78"/>
      <c r="AM24" s="77"/>
      <c r="AN24" s="79"/>
      <c r="AO24" s="78"/>
      <c r="AP24" s="78"/>
      <c r="AQ24" s="78"/>
      <c r="AR24" s="78"/>
      <c r="AS24" s="78"/>
      <c r="AT24" s="77"/>
      <c r="AU24" s="666"/>
      <c r="AV24" s="666"/>
      <c r="AW24" s="670"/>
      <c r="AX24" s="718"/>
      <c r="AY24" s="719"/>
      <c r="AZ24" s="720"/>
      <c r="BA24" s="718"/>
      <c r="BB24" s="719"/>
      <c r="BC24" s="720"/>
      <c r="BD24" s="718"/>
      <c r="BE24" s="719"/>
      <c r="BF24" s="721"/>
      <c r="BH24" s="711" t="s">
        <v>207</v>
      </c>
      <c r="BI24" s="712"/>
      <c r="BJ24" s="712"/>
      <c r="BK24" s="712"/>
      <c r="BL24" s="712"/>
      <c r="BM24" s="712"/>
      <c r="BN24" s="712"/>
      <c r="BO24" s="712"/>
      <c r="BP24" s="712"/>
      <c r="BQ24" s="712"/>
      <c r="BR24" s="712"/>
      <c r="BS24" s="712"/>
      <c r="BT24" s="712"/>
      <c r="BU24" s="712"/>
      <c r="BV24" s="712"/>
      <c r="BW24" s="712"/>
      <c r="BX24" s="712"/>
      <c r="BY24" s="712"/>
      <c r="BZ24" s="712"/>
      <c r="CA24" s="712"/>
      <c r="CB24" s="712"/>
      <c r="CC24" s="712"/>
      <c r="CD24" s="712"/>
      <c r="CE24" s="712"/>
      <c r="CF24" s="712"/>
      <c r="CG24" s="712"/>
      <c r="CH24" s="712"/>
      <c r="CI24" s="712"/>
      <c r="CJ24" s="712"/>
      <c r="CK24" s="712"/>
      <c r="CL24" s="712"/>
      <c r="CM24" s="712"/>
      <c r="CN24" s="712"/>
      <c r="CO24" s="712"/>
      <c r="CP24" s="712"/>
      <c r="CQ24" s="712"/>
      <c r="CR24" s="712"/>
      <c r="CS24" s="712"/>
      <c r="CT24" s="712"/>
      <c r="CU24" s="712"/>
      <c r="CV24" s="712"/>
      <c r="CW24" s="712"/>
      <c r="CX24" s="712"/>
      <c r="CY24" s="712"/>
      <c r="CZ24" s="712"/>
      <c r="DA24" s="713"/>
      <c r="DB24" s="714">
        <v>40</v>
      </c>
      <c r="DC24" s="666"/>
      <c r="DD24" s="666"/>
      <c r="DE24" s="666"/>
      <c r="DF24" s="666"/>
      <c r="DG24" s="666"/>
      <c r="DH24" s="666"/>
      <c r="DI24" s="666"/>
      <c r="DJ24" s="666"/>
      <c r="DK24" s="666"/>
      <c r="DL24" s="666"/>
      <c r="DM24" s="715"/>
    </row>
    <row r="25" spans="1:117" customFormat="1" ht="21" customHeight="1" thickBo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716" t="s">
        <v>206</v>
      </c>
      <c r="BI25" s="717"/>
      <c r="BJ25" s="717"/>
      <c r="BK25" s="717"/>
      <c r="BL25" s="717"/>
      <c r="BM25" s="717"/>
      <c r="BN25" s="717"/>
      <c r="BO25" s="717"/>
      <c r="BP25" s="717"/>
      <c r="BQ25" s="717"/>
      <c r="BR25" s="717"/>
      <c r="BS25" s="717"/>
      <c r="BT25" s="717"/>
      <c r="BU25" s="717"/>
      <c r="BV25" s="717"/>
      <c r="BW25" s="717"/>
      <c r="BX25" s="717"/>
      <c r="BY25" s="667"/>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66">
        <v>140</v>
      </c>
      <c r="DC25" s="666"/>
      <c r="DD25" s="670"/>
      <c r="DE25" s="718"/>
      <c r="DF25" s="719"/>
      <c r="DG25" s="720"/>
      <c r="DH25" s="718"/>
      <c r="DI25" s="719"/>
      <c r="DJ25" s="720"/>
      <c r="DK25" s="718"/>
      <c r="DL25" s="719"/>
      <c r="DM25" s="721"/>
    </row>
    <row r="26" spans="1:117" customFormat="1" ht="21" customHeight="1">
      <c r="A26" s="73"/>
      <c r="B26" s="72" t="s">
        <v>205</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204</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203</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726" t="s">
        <v>202</v>
      </c>
      <c r="B28" s="726"/>
      <c r="C28" s="727" t="s">
        <v>201</v>
      </c>
      <c r="D28" s="727"/>
      <c r="E28" s="727"/>
      <c r="F28" s="727"/>
      <c r="G28" s="727"/>
      <c r="H28" s="727"/>
      <c r="I28" s="727"/>
      <c r="J28" s="727"/>
      <c r="K28" s="727"/>
      <c r="L28" s="727"/>
      <c r="M28" s="727"/>
      <c r="N28" s="727"/>
      <c r="O28" s="727"/>
      <c r="P28" s="727"/>
      <c r="Q28" s="727"/>
      <c r="R28" s="727"/>
      <c r="S28" s="727"/>
      <c r="T28" s="727"/>
      <c r="U28" s="727"/>
      <c r="V28" s="727"/>
      <c r="W28" s="727"/>
      <c r="X28" s="727"/>
      <c r="Y28" s="727"/>
      <c r="Z28" s="727"/>
      <c r="AA28" s="727"/>
      <c r="AB28" s="727"/>
      <c r="AC28" s="727"/>
      <c r="AD28" s="727"/>
      <c r="AE28" s="727"/>
      <c r="AF28" s="727"/>
      <c r="AG28" s="727"/>
      <c r="AH28" s="727"/>
      <c r="AI28" s="727"/>
      <c r="AJ28" s="727"/>
      <c r="AK28" s="727"/>
      <c r="AL28" s="727"/>
      <c r="AM28" s="727"/>
      <c r="AN28" s="727"/>
      <c r="AO28" s="727"/>
      <c r="AP28" s="727"/>
      <c r="AQ28" s="727"/>
      <c r="AR28" s="727"/>
      <c r="AS28" s="727"/>
      <c r="AT28" s="727"/>
      <c r="AU28" s="727"/>
      <c r="AV28" s="727"/>
      <c r="AW28" s="727"/>
      <c r="AX28" s="727"/>
      <c r="AY28" s="727"/>
      <c r="AZ28" s="727"/>
      <c r="BA28" s="727"/>
      <c r="BB28" s="727"/>
      <c r="BC28" s="727"/>
      <c r="BD28" s="727"/>
      <c r="BE28" s="727"/>
      <c r="BF28" s="727"/>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4.25">
      <c r="A29" s="65"/>
      <c r="B29" s="65"/>
      <c r="C29" s="722" t="s">
        <v>200</v>
      </c>
      <c r="D29" s="722"/>
      <c r="E29" s="722"/>
      <c r="F29" s="722"/>
      <c r="G29" s="722"/>
      <c r="H29" s="722"/>
      <c r="I29" s="722"/>
      <c r="J29" s="722"/>
      <c r="K29" s="722"/>
      <c r="L29" s="722"/>
      <c r="M29" s="722"/>
      <c r="N29" s="722"/>
      <c r="O29" s="722"/>
      <c r="P29" s="722"/>
      <c r="Q29" s="722"/>
      <c r="R29" s="722"/>
      <c r="S29" s="722"/>
      <c r="T29" s="722"/>
      <c r="U29" s="722"/>
      <c r="V29" s="722"/>
      <c r="W29" s="722"/>
      <c r="X29" s="722"/>
      <c r="Y29" s="722"/>
      <c r="Z29" s="722"/>
      <c r="AA29" s="722"/>
      <c r="AB29" s="722"/>
      <c r="AC29" s="722"/>
      <c r="AD29" s="722"/>
      <c r="AE29" s="722"/>
      <c r="AF29" s="722"/>
      <c r="AG29" s="722"/>
      <c r="AH29" s="722"/>
      <c r="AI29" s="722"/>
      <c r="AJ29" s="722"/>
      <c r="AK29" s="722"/>
      <c r="AL29" s="722"/>
      <c r="AM29" s="722"/>
      <c r="AN29" s="722"/>
      <c r="AO29" s="722"/>
      <c r="AP29" s="722"/>
      <c r="AQ29" s="722"/>
      <c r="AR29" s="722"/>
      <c r="AS29" s="722"/>
      <c r="AT29" s="722"/>
      <c r="AU29" s="722"/>
      <c r="AV29" s="722"/>
      <c r="AW29" s="722"/>
      <c r="AX29" s="722"/>
      <c r="AY29" s="722"/>
      <c r="AZ29" s="722"/>
      <c r="BA29" s="722"/>
      <c r="BB29" s="722"/>
      <c r="BC29" s="722"/>
      <c r="BD29" s="722"/>
      <c r="BE29" s="722"/>
      <c r="BF29" s="722"/>
      <c r="BH29" s="726" t="s">
        <v>202</v>
      </c>
      <c r="BI29" s="726"/>
      <c r="BJ29" s="727" t="s">
        <v>201</v>
      </c>
      <c r="BK29" s="727"/>
      <c r="BL29" s="727"/>
      <c r="BM29" s="727"/>
      <c r="BN29" s="727"/>
      <c r="BO29" s="727"/>
      <c r="BP29" s="727"/>
      <c r="BQ29" s="727"/>
      <c r="BR29" s="727"/>
      <c r="BS29" s="727"/>
      <c r="BT29" s="727"/>
      <c r="BU29" s="727"/>
      <c r="BV29" s="727"/>
      <c r="BW29" s="727"/>
      <c r="BX29" s="727"/>
      <c r="BY29" s="727"/>
      <c r="BZ29" s="727"/>
      <c r="CA29" s="727"/>
      <c r="CB29" s="727"/>
      <c r="CC29" s="727"/>
      <c r="CD29" s="727"/>
      <c r="CE29" s="727"/>
      <c r="CF29" s="727"/>
      <c r="CG29" s="727"/>
      <c r="CH29" s="727"/>
      <c r="CI29" s="727"/>
      <c r="CJ29" s="727"/>
      <c r="CK29" s="727"/>
      <c r="CL29" s="727"/>
      <c r="CM29" s="727"/>
      <c r="CN29" s="727"/>
      <c r="CO29" s="727"/>
      <c r="CP29" s="727"/>
      <c r="CQ29" s="727"/>
      <c r="CR29" s="727"/>
      <c r="CS29" s="727"/>
      <c r="CT29" s="727"/>
      <c r="CU29" s="727"/>
      <c r="CV29" s="727"/>
      <c r="CW29" s="727"/>
      <c r="CX29" s="727"/>
      <c r="CY29" s="727"/>
      <c r="CZ29" s="727"/>
      <c r="DA29" s="727"/>
      <c r="DB29" s="727"/>
      <c r="DC29" s="727"/>
      <c r="DD29" s="727"/>
      <c r="DE29" s="727"/>
      <c r="DF29" s="727"/>
      <c r="DG29" s="727"/>
      <c r="DH29" s="727"/>
      <c r="DI29" s="727"/>
      <c r="DJ29" s="727"/>
      <c r="DK29" s="727"/>
      <c r="DL29" s="727"/>
      <c r="DM29" s="727"/>
    </row>
    <row r="30" spans="1:117" ht="27.75" customHeight="1">
      <c r="A30" s="67"/>
      <c r="B30" s="67"/>
      <c r="C30" s="728" t="s">
        <v>199</v>
      </c>
      <c r="D30" s="728"/>
      <c r="E30" s="728"/>
      <c r="F30" s="728"/>
      <c r="G30" s="728"/>
      <c r="H30" s="728"/>
      <c r="I30" s="728"/>
      <c r="J30" s="728"/>
      <c r="K30" s="728"/>
      <c r="L30" s="728"/>
      <c r="M30" s="728"/>
      <c r="N30" s="728"/>
      <c r="O30" s="728"/>
      <c r="P30" s="728"/>
      <c r="Q30" s="728"/>
      <c r="R30" s="728"/>
      <c r="S30" s="728"/>
      <c r="T30" s="728"/>
      <c r="U30" s="728"/>
      <c r="V30" s="728"/>
      <c r="W30" s="728"/>
      <c r="X30" s="728"/>
      <c r="Y30" s="728"/>
      <c r="Z30" s="728"/>
      <c r="AA30" s="728"/>
      <c r="AB30" s="728"/>
      <c r="AC30" s="728"/>
      <c r="AD30" s="728"/>
      <c r="AE30" s="728"/>
      <c r="AF30" s="728"/>
      <c r="AG30" s="728"/>
      <c r="AH30" s="728"/>
      <c r="AI30" s="728"/>
      <c r="AJ30" s="728"/>
      <c r="AK30" s="728"/>
      <c r="AL30" s="728"/>
      <c r="AM30" s="728"/>
      <c r="AN30" s="728"/>
      <c r="AO30" s="728"/>
      <c r="AP30" s="728"/>
      <c r="AQ30" s="728"/>
      <c r="AR30" s="728"/>
      <c r="AS30" s="728"/>
      <c r="AT30" s="728"/>
      <c r="AU30" s="728"/>
      <c r="AV30" s="728"/>
      <c r="AW30" s="728"/>
      <c r="AX30" s="728"/>
      <c r="AY30" s="728"/>
      <c r="AZ30" s="728"/>
      <c r="BA30" s="728"/>
      <c r="BB30" s="728"/>
      <c r="BC30" s="728"/>
      <c r="BD30" s="728"/>
      <c r="BE30" s="728"/>
      <c r="BF30" s="728"/>
      <c r="BH30" s="65"/>
      <c r="BI30" s="65"/>
      <c r="BJ30" s="722" t="s">
        <v>200</v>
      </c>
      <c r="BK30" s="722"/>
      <c r="BL30" s="722"/>
      <c r="BM30" s="722"/>
      <c r="BN30" s="722"/>
      <c r="BO30" s="722"/>
      <c r="BP30" s="722"/>
      <c r="BQ30" s="722"/>
      <c r="BR30" s="722"/>
      <c r="BS30" s="722"/>
      <c r="BT30" s="722"/>
      <c r="BU30" s="722"/>
      <c r="BV30" s="722"/>
      <c r="BW30" s="722"/>
      <c r="BX30" s="722"/>
      <c r="BY30" s="722"/>
      <c r="BZ30" s="722"/>
      <c r="CA30" s="722"/>
      <c r="CB30" s="722"/>
      <c r="CC30" s="722"/>
      <c r="CD30" s="722"/>
      <c r="CE30" s="722"/>
      <c r="CF30" s="722"/>
      <c r="CG30" s="722"/>
      <c r="CH30" s="722"/>
      <c r="CI30" s="722"/>
      <c r="CJ30" s="722"/>
      <c r="CK30" s="722"/>
      <c r="CL30" s="722"/>
      <c r="CM30" s="722"/>
      <c r="CN30" s="722"/>
      <c r="CO30" s="722"/>
      <c r="CP30" s="722"/>
      <c r="CQ30" s="722"/>
      <c r="CR30" s="722"/>
      <c r="CS30" s="722"/>
      <c r="CT30" s="722"/>
      <c r="CU30" s="722"/>
      <c r="CV30" s="722"/>
      <c r="CW30" s="722"/>
      <c r="CX30" s="722"/>
      <c r="CY30" s="722"/>
      <c r="CZ30" s="722"/>
      <c r="DA30" s="722"/>
      <c r="DB30" s="722"/>
      <c r="DC30" s="722"/>
      <c r="DD30" s="722"/>
      <c r="DE30" s="722"/>
      <c r="DF30" s="722"/>
      <c r="DG30" s="722"/>
      <c r="DH30" s="722"/>
      <c r="DI30" s="722"/>
      <c r="DJ30" s="722"/>
      <c r="DK30" s="722"/>
      <c r="DL30" s="722"/>
      <c r="DM30" s="722"/>
    </row>
    <row r="31" spans="1:117" ht="29.25" customHeight="1">
      <c r="A31" s="64"/>
      <c r="B31" s="64"/>
      <c r="C31" s="723" t="s">
        <v>198</v>
      </c>
      <c r="D31" s="723"/>
      <c r="E31" s="723"/>
      <c r="F31" s="723"/>
      <c r="G31" s="723"/>
      <c r="H31" s="723"/>
      <c r="I31" s="723"/>
      <c r="J31" s="723"/>
      <c r="K31" s="723"/>
      <c r="L31" s="723"/>
      <c r="M31" s="723"/>
      <c r="N31" s="723"/>
      <c r="O31" s="723"/>
      <c r="P31" s="723"/>
      <c r="Q31" s="723"/>
      <c r="R31" s="723"/>
      <c r="S31" s="723"/>
      <c r="T31" s="723"/>
      <c r="U31" s="723"/>
      <c r="V31" s="723"/>
      <c r="W31" s="723"/>
      <c r="X31" s="723"/>
      <c r="Y31" s="723"/>
      <c r="Z31" s="723"/>
      <c r="AA31" s="723"/>
      <c r="AB31" s="723"/>
      <c r="AC31" s="723"/>
      <c r="AD31" s="723"/>
      <c r="AE31" s="723"/>
      <c r="AF31" s="723"/>
      <c r="AG31" s="723"/>
      <c r="AH31" s="723"/>
      <c r="AI31" s="723"/>
      <c r="AJ31" s="723"/>
      <c r="AK31" s="723"/>
      <c r="AL31" s="723"/>
      <c r="AM31" s="723"/>
      <c r="AN31" s="723"/>
      <c r="AO31" s="723"/>
      <c r="AP31" s="723"/>
      <c r="AQ31" s="723"/>
      <c r="AR31" s="723"/>
      <c r="AS31" s="723"/>
      <c r="AT31" s="723"/>
      <c r="AU31" s="723"/>
      <c r="AV31" s="723"/>
      <c r="AW31" s="723"/>
      <c r="AX31" s="723"/>
      <c r="AY31" s="723"/>
      <c r="AZ31" s="723"/>
      <c r="BA31" s="723"/>
      <c r="BB31" s="723"/>
      <c r="BC31" s="723"/>
      <c r="BD31" s="723"/>
      <c r="BE31" s="723"/>
      <c r="BF31" s="723"/>
      <c r="BH31" s="67"/>
      <c r="BI31" s="67"/>
      <c r="BJ31" s="728" t="s">
        <v>199</v>
      </c>
      <c r="BK31" s="728"/>
      <c r="BL31" s="728"/>
      <c r="BM31" s="728"/>
      <c r="BN31" s="728"/>
      <c r="BO31" s="728"/>
      <c r="BP31" s="728"/>
      <c r="BQ31" s="728"/>
      <c r="BR31" s="728"/>
      <c r="BS31" s="728"/>
      <c r="BT31" s="728"/>
      <c r="BU31" s="728"/>
      <c r="BV31" s="728"/>
      <c r="BW31" s="728"/>
      <c r="BX31" s="728"/>
      <c r="BY31" s="728"/>
      <c r="BZ31" s="728"/>
      <c r="CA31" s="728"/>
      <c r="CB31" s="728"/>
      <c r="CC31" s="728"/>
      <c r="CD31" s="728"/>
      <c r="CE31" s="728"/>
      <c r="CF31" s="728"/>
      <c r="CG31" s="728"/>
      <c r="CH31" s="728"/>
      <c r="CI31" s="728"/>
      <c r="CJ31" s="728"/>
      <c r="CK31" s="728"/>
      <c r="CL31" s="728"/>
      <c r="CM31" s="728"/>
      <c r="CN31" s="728"/>
      <c r="CO31" s="728"/>
      <c r="CP31" s="728"/>
      <c r="CQ31" s="728"/>
      <c r="CR31" s="728"/>
      <c r="CS31" s="728"/>
      <c r="CT31" s="728"/>
      <c r="CU31" s="728"/>
      <c r="CV31" s="728"/>
      <c r="CW31" s="728"/>
      <c r="CX31" s="728"/>
      <c r="CY31" s="728"/>
      <c r="CZ31" s="728"/>
      <c r="DA31" s="728"/>
      <c r="DB31" s="728"/>
      <c r="DC31" s="728"/>
      <c r="DD31" s="728"/>
      <c r="DE31" s="728"/>
      <c r="DF31" s="728"/>
      <c r="DG31" s="728"/>
      <c r="DH31" s="728"/>
      <c r="DI31" s="728"/>
      <c r="DJ31" s="728"/>
      <c r="DK31" s="728"/>
      <c r="DL31" s="728"/>
      <c r="DM31" s="728"/>
    </row>
    <row r="32" spans="1:117" ht="42.75" customHeight="1">
      <c r="A32" s="64"/>
      <c r="B32" s="64"/>
      <c r="C32" s="723" t="s">
        <v>197</v>
      </c>
      <c r="D32" s="723"/>
      <c r="E32" s="723"/>
      <c r="F32" s="723"/>
      <c r="G32" s="723"/>
      <c r="H32" s="723"/>
      <c r="I32" s="723"/>
      <c r="J32" s="723"/>
      <c r="K32" s="723"/>
      <c r="L32" s="723"/>
      <c r="M32" s="723"/>
      <c r="N32" s="723"/>
      <c r="O32" s="723"/>
      <c r="P32" s="723"/>
      <c r="Q32" s="723"/>
      <c r="R32" s="723"/>
      <c r="S32" s="723"/>
      <c r="T32" s="723"/>
      <c r="U32" s="723"/>
      <c r="V32" s="723"/>
      <c r="W32" s="723"/>
      <c r="X32" s="723"/>
      <c r="Y32" s="723"/>
      <c r="Z32" s="723"/>
      <c r="AA32" s="723"/>
      <c r="AB32" s="723"/>
      <c r="AC32" s="723"/>
      <c r="AD32" s="723"/>
      <c r="AE32" s="723"/>
      <c r="AF32" s="723"/>
      <c r="AG32" s="723"/>
      <c r="AH32" s="723"/>
      <c r="AI32" s="723"/>
      <c r="AJ32" s="723"/>
      <c r="AK32" s="723"/>
      <c r="AL32" s="723"/>
      <c r="AM32" s="723"/>
      <c r="AN32" s="723"/>
      <c r="AO32" s="723"/>
      <c r="AP32" s="723"/>
      <c r="AQ32" s="723"/>
      <c r="AR32" s="723"/>
      <c r="AS32" s="723"/>
      <c r="AT32" s="723"/>
      <c r="AU32" s="723"/>
      <c r="AV32" s="723"/>
      <c r="AW32" s="723"/>
      <c r="AX32" s="723"/>
      <c r="AY32" s="723"/>
      <c r="AZ32" s="723"/>
      <c r="BA32" s="723"/>
      <c r="BB32" s="723"/>
      <c r="BC32" s="723"/>
      <c r="BD32" s="723"/>
      <c r="BE32" s="723"/>
      <c r="BF32" s="723"/>
      <c r="BH32" s="64"/>
      <c r="BI32" s="64"/>
      <c r="BJ32" s="723" t="s">
        <v>198</v>
      </c>
      <c r="BK32" s="723"/>
      <c r="BL32" s="723"/>
      <c r="BM32" s="723"/>
      <c r="BN32" s="723"/>
      <c r="BO32" s="723"/>
      <c r="BP32" s="723"/>
      <c r="BQ32" s="723"/>
      <c r="BR32" s="723"/>
      <c r="BS32" s="723"/>
      <c r="BT32" s="723"/>
      <c r="BU32" s="723"/>
      <c r="BV32" s="723"/>
      <c r="BW32" s="723"/>
      <c r="BX32" s="723"/>
      <c r="BY32" s="723"/>
      <c r="BZ32" s="723"/>
      <c r="CA32" s="723"/>
      <c r="CB32" s="723"/>
      <c r="CC32" s="723"/>
      <c r="CD32" s="723"/>
      <c r="CE32" s="723"/>
      <c r="CF32" s="723"/>
      <c r="CG32" s="723"/>
      <c r="CH32" s="723"/>
      <c r="CI32" s="723"/>
      <c r="CJ32" s="723"/>
      <c r="CK32" s="723"/>
      <c r="CL32" s="723"/>
      <c r="CM32" s="723"/>
      <c r="CN32" s="723"/>
      <c r="CO32" s="723"/>
      <c r="CP32" s="723"/>
      <c r="CQ32" s="723"/>
      <c r="CR32" s="723"/>
      <c r="CS32" s="723"/>
      <c r="CT32" s="723"/>
      <c r="CU32" s="723"/>
      <c r="CV32" s="723"/>
      <c r="CW32" s="723"/>
      <c r="CX32" s="723"/>
      <c r="CY32" s="723"/>
      <c r="CZ32" s="723"/>
      <c r="DA32" s="723"/>
      <c r="DB32" s="723"/>
      <c r="DC32" s="723"/>
      <c r="DD32" s="723"/>
      <c r="DE32" s="723"/>
      <c r="DF32" s="723"/>
      <c r="DG32" s="723"/>
      <c r="DH32" s="723"/>
      <c r="DI32" s="723"/>
      <c r="DJ32" s="723"/>
      <c r="DK32" s="723"/>
      <c r="DL32" s="723"/>
      <c r="DM32" s="723"/>
    </row>
    <row r="33" spans="1:117" ht="14.25">
      <c r="A33" s="65"/>
      <c r="B33" s="65"/>
      <c r="C33" s="722" t="s">
        <v>196</v>
      </c>
      <c r="D33" s="722"/>
      <c r="E33" s="722"/>
      <c r="F33" s="722"/>
      <c r="G33" s="722"/>
      <c r="H33" s="722"/>
      <c r="I33" s="722"/>
      <c r="J33" s="722"/>
      <c r="K33" s="722"/>
      <c r="L33" s="722"/>
      <c r="M33" s="722"/>
      <c r="N33" s="722"/>
      <c r="O33" s="722"/>
      <c r="P33" s="722"/>
      <c r="Q33" s="722"/>
      <c r="R33" s="722"/>
      <c r="S33" s="722"/>
      <c r="T33" s="722"/>
      <c r="U33" s="722"/>
      <c r="V33" s="722"/>
      <c r="W33" s="722"/>
      <c r="X33" s="722"/>
      <c r="Y33" s="722"/>
      <c r="Z33" s="722"/>
      <c r="AA33" s="722"/>
      <c r="AB33" s="722"/>
      <c r="AC33" s="722"/>
      <c r="AD33" s="722"/>
      <c r="AE33" s="722"/>
      <c r="AF33" s="722"/>
      <c r="AG33" s="722"/>
      <c r="AH33" s="722"/>
      <c r="AI33" s="722"/>
      <c r="AJ33" s="722"/>
      <c r="AK33" s="722"/>
      <c r="AL33" s="722"/>
      <c r="AM33" s="722"/>
      <c r="AN33" s="722"/>
      <c r="AO33" s="722"/>
      <c r="AP33" s="722"/>
      <c r="AQ33" s="722"/>
      <c r="AR33" s="722"/>
      <c r="AS33" s="722"/>
      <c r="AT33" s="722"/>
      <c r="AU33" s="722"/>
      <c r="AV33" s="722"/>
      <c r="AW33" s="722"/>
      <c r="AX33" s="722"/>
      <c r="AY33" s="722"/>
      <c r="AZ33" s="722"/>
      <c r="BA33" s="722"/>
      <c r="BB33" s="722"/>
      <c r="BC33" s="722"/>
      <c r="BD33" s="722"/>
      <c r="BE33" s="722"/>
      <c r="BF33" s="722"/>
      <c r="BH33" s="64"/>
      <c r="BI33" s="64"/>
      <c r="BJ33" s="723" t="s">
        <v>197</v>
      </c>
      <c r="BK33" s="723"/>
      <c r="BL33" s="723"/>
      <c r="BM33" s="723"/>
      <c r="BN33" s="723"/>
      <c r="BO33" s="723"/>
      <c r="BP33" s="723"/>
      <c r="BQ33" s="723"/>
      <c r="BR33" s="723"/>
      <c r="BS33" s="723"/>
      <c r="BT33" s="723"/>
      <c r="BU33" s="723"/>
      <c r="BV33" s="723"/>
      <c r="BW33" s="723"/>
      <c r="BX33" s="723"/>
      <c r="BY33" s="723"/>
      <c r="BZ33" s="723"/>
      <c r="CA33" s="723"/>
      <c r="CB33" s="723"/>
      <c r="CC33" s="723"/>
      <c r="CD33" s="723"/>
      <c r="CE33" s="723"/>
      <c r="CF33" s="723"/>
      <c r="CG33" s="723"/>
      <c r="CH33" s="723"/>
      <c r="CI33" s="723"/>
      <c r="CJ33" s="723"/>
      <c r="CK33" s="723"/>
      <c r="CL33" s="723"/>
      <c r="CM33" s="723"/>
      <c r="CN33" s="723"/>
      <c r="CO33" s="723"/>
      <c r="CP33" s="723"/>
      <c r="CQ33" s="723"/>
      <c r="CR33" s="723"/>
      <c r="CS33" s="723"/>
      <c r="CT33" s="723"/>
      <c r="CU33" s="723"/>
      <c r="CV33" s="723"/>
      <c r="CW33" s="723"/>
      <c r="CX33" s="723"/>
      <c r="CY33" s="723"/>
      <c r="CZ33" s="723"/>
      <c r="DA33" s="723"/>
      <c r="DB33" s="723"/>
      <c r="DC33" s="723"/>
      <c r="DD33" s="723"/>
      <c r="DE33" s="723"/>
      <c r="DF33" s="723"/>
      <c r="DG33" s="723"/>
      <c r="DH33" s="723"/>
      <c r="DI33" s="723"/>
      <c r="DJ33" s="723"/>
      <c r="DK33" s="723"/>
      <c r="DL33" s="723"/>
      <c r="DM33" s="723"/>
    </row>
    <row r="34" spans="1:117" ht="14.25">
      <c r="A34" s="65"/>
      <c r="B34" s="65"/>
      <c r="C34" s="66"/>
      <c r="D34" s="66"/>
      <c r="E34" s="66" t="s">
        <v>195</v>
      </c>
      <c r="F34" s="66"/>
      <c r="G34" s="66"/>
      <c r="H34" s="66"/>
      <c r="I34" s="66"/>
      <c r="J34" s="66" t="s">
        <v>194</v>
      </c>
      <c r="K34" s="66"/>
      <c r="L34" s="66"/>
      <c r="M34" s="66"/>
      <c r="N34" s="66"/>
      <c r="O34" s="66"/>
      <c r="P34" s="66"/>
      <c r="Q34" s="66"/>
      <c r="R34" s="66"/>
      <c r="S34" s="66"/>
      <c r="T34" s="66"/>
      <c r="U34" s="66"/>
      <c r="V34" s="66"/>
      <c r="W34" s="66"/>
      <c r="X34" s="66" t="s">
        <v>193</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722" t="s">
        <v>196</v>
      </c>
      <c r="BK34" s="722"/>
      <c r="BL34" s="722"/>
      <c r="BM34" s="722"/>
      <c r="BN34" s="722"/>
      <c r="BO34" s="722"/>
      <c r="BP34" s="722"/>
      <c r="BQ34" s="722"/>
      <c r="BR34" s="722"/>
      <c r="BS34" s="722"/>
      <c r="BT34" s="722"/>
      <c r="BU34" s="722"/>
      <c r="BV34" s="722"/>
      <c r="BW34" s="722"/>
      <c r="BX34" s="722"/>
      <c r="BY34" s="722"/>
      <c r="BZ34" s="722"/>
      <c r="CA34" s="722"/>
      <c r="CB34" s="722"/>
      <c r="CC34" s="722"/>
      <c r="CD34" s="722"/>
      <c r="CE34" s="722"/>
      <c r="CF34" s="722"/>
      <c r="CG34" s="722"/>
      <c r="CH34" s="722"/>
      <c r="CI34" s="722"/>
      <c r="CJ34" s="722"/>
      <c r="CK34" s="722"/>
      <c r="CL34" s="722"/>
      <c r="CM34" s="722"/>
      <c r="CN34" s="722"/>
      <c r="CO34" s="722"/>
      <c r="CP34" s="722"/>
      <c r="CQ34" s="722"/>
      <c r="CR34" s="722"/>
      <c r="CS34" s="722"/>
      <c r="CT34" s="722"/>
      <c r="CU34" s="722"/>
      <c r="CV34" s="722"/>
      <c r="CW34" s="722"/>
      <c r="CX34" s="722"/>
      <c r="CY34" s="722"/>
      <c r="CZ34" s="722"/>
      <c r="DA34" s="722"/>
      <c r="DB34" s="722"/>
      <c r="DC34" s="722"/>
      <c r="DD34" s="722"/>
      <c r="DE34" s="722"/>
      <c r="DF34" s="722"/>
      <c r="DG34" s="722"/>
      <c r="DH34" s="722"/>
      <c r="DI34" s="722"/>
      <c r="DJ34" s="722"/>
      <c r="DK34" s="722"/>
      <c r="DL34" s="722"/>
      <c r="DM34" s="722"/>
    </row>
    <row r="35" spans="1:117" ht="28.5" customHeight="1">
      <c r="A35" s="65"/>
      <c r="B35" s="65"/>
      <c r="C35" s="66"/>
      <c r="D35" s="66"/>
      <c r="E35" s="723" t="s">
        <v>192</v>
      </c>
      <c r="F35" s="724"/>
      <c r="G35" s="724"/>
      <c r="H35" s="724"/>
      <c r="I35" s="724"/>
      <c r="J35" s="724"/>
      <c r="K35" s="724"/>
      <c r="L35" s="724"/>
      <c r="M35" s="724"/>
      <c r="N35" s="724"/>
      <c r="O35" s="724"/>
      <c r="P35" s="724"/>
      <c r="Q35" s="724"/>
      <c r="R35" s="724"/>
      <c r="S35" s="724"/>
      <c r="T35" s="724"/>
      <c r="U35" s="724"/>
      <c r="V35" s="724"/>
      <c r="W35" s="724"/>
      <c r="X35" s="724"/>
      <c r="Y35" s="724"/>
      <c r="Z35" s="724"/>
      <c r="AA35" s="724"/>
      <c r="AB35" s="724"/>
      <c r="AC35" s="724"/>
      <c r="AD35" s="724"/>
      <c r="AE35" s="724"/>
      <c r="AF35" s="724"/>
      <c r="AG35" s="724"/>
      <c r="AH35" s="724"/>
      <c r="AI35" s="724"/>
      <c r="AJ35" s="724"/>
      <c r="AK35" s="724"/>
      <c r="AL35" s="724"/>
      <c r="AM35" s="724"/>
      <c r="AN35" s="724"/>
      <c r="AO35" s="724"/>
      <c r="AP35" s="724"/>
      <c r="AQ35" s="724"/>
      <c r="AR35" s="724"/>
      <c r="AS35" s="724"/>
      <c r="AT35" s="724"/>
      <c r="AU35" s="724"/>
      <c r="AV35" s="724"/>
      <c r="AW35" s="724"/>
      <c r="AX35" s="724"/>
      <c r="AY35" s="724"/>
      <c r="AZ35" s="724"/>
      <c r="BA35" s="724"/>
      <c r="BB35" s="724"/>
      <c r="BC35" s="724"/>
      <c r="BD35" s="724"/>
      <c r="BE35" s="724"/>
      <c r="BF35" s="724"/>
      <c r="BH35" s="65"/>
      <c r="BI35" s="65"/>
      <c r="BJ35" s="66"/>
      <c r="BK35" s="66"/>
      <c r="BL35" s="66" t="s">
        <v>195</v>
      </c>
      <c r="BM35" s="66"/>
      <c r="BN35" s="66"/>
      <c r="BO35" s="66"/>
      <c r="BP35" s="66"/>
      <c r="BQ35" s="66" t="s">
        <v>194</v>
      </c>
      <c r="BR35" s="66"/>
      <c r="BS35" s="66"/>
      <c r="BT35" s="66"/>
      <c r="BU35" s="66"/>
      <c r="BV35" s="66"/>
      <c r="BW35" s="66"/>
      <c r="BX35" s="66"/>
      <c r="BY35" s="66"/>
      <c r="BZ35" s="66"/>
      <c r="CA35" s="66"/>
      <c r="CB35" s="66"/>
      <c r="CC35" s="66"/>
      <c r="CD35" s="66"/>
      <c r="CE35" s="66" t="s">
        <v>193</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4.25">
      <c r="A36" s="65"/>
      <c r="B36" s="65"/>
      <c r="C36" s="723" t="s">
        <v>191</v>
      </c>
      <c r="D36" s="723"/>
      <c r="E36" s="723"/>
      <c r="F36" s="723"/>
      <c r="G36" s="723"/>
      <c r="H36" s="723"/>
      <c r="I36" s="723"/>
      <c r="J36" s="723"/>
      <c r="K36" s="723"/>
      <c r="L36" s="723"/>
      <c r="M36" s="723"/>
      <c r="N36" s="723"/>
      <c r="O36" s="723"/>
      <c r="P36" s="723"/>
      <c r="Q36" s="723"/>
      <c r="R36" s="723"/>
      <c r="S36" s="723"/>
      <c r="T36" s="723"/>
      <c r="U36" s="723"/>
      <c r="V36" s="723"/>
      <c r="W36" s="723"/>
      <c r="X36" s="723"/>
      <c r="Y36" s="723"/>
      <c r="Z36" s="723"/>
      <c r="AA36" s="723"/>
      <c r="AB36" s="723"/>
      <c r="AC36" s="723"/>
      <c r="AD36" s="723"/>
      <c r="AE36" s="723"/>
      <c r="AF36" s="723"/>
      <c r="AG36" s="723"/>
      <c r="AH36" s="723"/>
      <c r="AI36" s="723"/>
      <c r="AJ36" s="723"/>
      <c r="AK36" s="723"/>
      <c r="AL36" s="723"/>
      <c r="AM36" s="723"/>
      <c r="AN36" s="723"/>
      <c r="AO36" s="723"/>
      <c r="AP36" s="723"/>
      <c r="AQ36" s="723"/>
      <c r="AR36" s="723"/>
      <c r="AS36" s="723"/>
      <c r="AT36" s="723"/>
      <c r="AU36" s="723"/>
      <c r="AV36" s="723"/>
      <c r="AW36" s="723"/>
      <c r="AX36" s="723"/>
      <c r="AY36" s="723"/>
      <c r="AZ36" s="723"/>
      <c r="BA36" s="723"/>
      <c r="BB36" s="723"/>
      <c r="BC36" s="723"/>
      <c r="BD36" s="723"/>
      <c r="BE36" s="723"/>
      <c r="BF36" s="723"/>
      <c r="BH36" s="65"/>
      <c r="BI36" s="65"/>
      <c r="BJ36" s="66"/>
      <c r="BK36" s="66"/>
      <c r="BL36" s="723" t="s">
        <v>192</v>
      </c>
      <c r="BM36" s="724"/>
      <c r="BN36" s="724"/>
      <c r="BO36" s="724"/>
      <c r="BP36" s="724"/>
      <c r="BQ36" s="724"/>
      <c r="BR36" s="724"/>
      <c r="BS36" s="724"/>
      <c r="BT36" s="724"/>
      <c r="BU36" s="724"/>
      <c r="BV36" s="724"/>
      <c r="BW36" s="724"/>
      <c r="BX36" s="724"/>
      <c r="BY36" s="724"/>
      <c r="BZ36" s="724"/>
      <c r="CA36" s="724"/>
      <c r="CB36" s="724"/>
      <c r="CC36" s="724"/>
      <c r="CD36" s="724"/>
      <c r="CE36" s="724"/>
      <c r="CF36" s="724"/>
      <c r="CG36" s="724"/>
      <c r="CH36" s="724"/>
      <c r="CI36" s="724"/>
      <c r="CJ36" s="724"/>
      <c r="CK36" s="724"/>
      <c r="CL36" s="724"/>
      <c r="CM36" s="724"/>
      <c r="CN36" s="724"/>
      <c r="CO36" s="724"/>
      <c r="CP36" s="724"/>
      <c r="CQ36" s="724"/>
      <c r="CR36" s="724"/>
      <c r="CS36" s="724"/>
      <c r="CT36" s="724"/>
      <c r="CU36" s="724"/>
      <c r="CV36" s="724"/>
      <c r="CW36" s="724"/>
      <c r="CX36" s="724"/>
      <c r="CY36" s="724"/>
      <c r="CZ36" s="724"/>
      <c r="DA36" s="724"/>
      <c r="DB36" s="724"/>
      <c r="DC36" s="724"/>
      <c r="DD36" s="724"/>
      <c r="DE36" s="724"/>
      <c r="DF36" s="724"/>
      <c r="DG36" s="724"/>
      <c r="DH36" s="724"/>
      <c r="DI36" s="724"/>
      <c r="DJ36" s="724"/>
      <c r="DK36" s="724"/>
      <c r="DL36" s="724"/>
      <c r="DM36" s="724"/>
    </row>
    <row r="37" spans="1:117" ht="28.5" customHeight="1">
      <c r="A37" s="65"/>
      <c r="B37" s="65"/>
      <c r="C37" s="723" t="s">
        <v>190</v>
      </c>
      <c r="D37" s="723"/>
      <c r="E37" s="723"/>
      <c r="F37" s="723"/>
      <c r="G37" s="723"/>
      <c r="H37" s="723"/>
      <c r="I37" s="723"/>
      <c r="J37" s="723"/>
      <c r="K37" s="723"/>
      <c r="L37" s="723"/>
      <c r="M37" s="723"/>
      <c r="N37" s="723"/>
      <c r="O37" s="723"/>
      <c r="P37" s="723"/>
      <c r="Q37" s="723"/>
      <c r="R37" s="723"/>
      <c r="S37" s="723"/>
      <c r="T37" s="723"/>
      <c r="U37" s="723"/>
      <c r="V37" s="723"/>
      <c r="W37" s="723"/>
      <c r="X37" s="723"/>
      <c r="Y37" s="723"/>
      <c r="Z37" s="723"/>
      <c r="AA37" s="723"/>
      <c r="AB37" s="723"/>
      <c r="AC37" s="723"/>
      <c r="AD37" s="723"/>
      <c r="AE37" s="723"/>
      <c r="AF37" s="723"/>
      <c r="AG37" s="723"/>
      <c r="AH37" s="723"/>
      <c r="AI37" s="723"/>
      <c r="AJ37" s="723"/>
      <c r="AK37" s="723"/>
      <c r="AL37" s="723"/>
      <c r="AM37" s="723"/>
      <c r="AN37" s="723"/>
      <c r="AO37" s="723"/>
      <c r="AP37" s="723"/>
      <c r="AQ37" s="723"/>
      <c r="AR37" s="723"/>
      <c r="AS37" s="723"/>
      <c r="AT37" s="723"/>
      <c r="AU37" s="723"/>
      <c r="AV37" s="723"/>
      <c r="AW37" s="723"/>
      <c r="AX37" s="723"/>
      <c r="AY37" s="723"/>
      <c r="AZ37" s="723"/>
      <c r="BA37" s="723"/>
      <c r="BB37" s="723"/>
      <c r="BC37" s="723"/>
      <c r="BD37" s="723"/>
      <c r="BE37" s="723"/>
      <c r="BF37" s="723"/>
      <c r="BH37" s="65"/>
      <c r="BI37" s="65"/>
      <c r="BJ37" s="723" t="s">
        <v>191</v>
      </c>
      <c r="BK37" s="723"/>
      <c r="BL37" s="723"/>
      <c r="BM37" s="723"/>
      <c r="BN37" s="723"/>
      <c r="BO37" s="723"/>
      <c r="BP37" s="723"/>
      <c r="BQ37" s="723"/>
      <c r="BR37" s="723"/>
      <c r="BS37" s="723"/>
      <c r="BT37" s="723"/>
      <c r="BU37" s="723"/>
      <c r="BV37" s="723"/>
      <c r="BW37" s="723"/>
      <c r="BX37" s="723"/>
      <c r="BY37" s="723"/>
      <c r="BZ37" s="723"/>
      <c r="CA37" s="723"/>
      <c r="CB37" s="723"/>
      <c r="CC37" s="723"/>
      <c r="CD37" s="723"/>
      <c r="CE37" s="723"/>
      <c r="CF37" s="723"/>
      <c r="CG37" s="723"/>
      <c r="CH37" s="723"/>
      <c r="CI37" s="723"/>
      <c r="CJ37" s="723"/>
      <c r="CK37" s="723"/>
      <c r="CL37" s="723"/>
      <c r="CM37" s="723"/>
      <c r="CN37" s="723"/>
      <c r="CO37" s="723"/>
      <c r="CP37" s="723"/>
      <c r="CQ37" s="723"/>
      <c r="CR37" s="723"/>
      <c r="CS37" s="723"/>
      <c r="CT37" s="723"/>
      <c r="CU37" s="723"/>
      <c r="CV37" s="723"/>
      <c r="CW37" s="723"/>
      <c r="CX37" s="723"/>
      <c r="CY37" s="723"/>
      <c r="CZ37" s="723"/>
      <c r="DA37" s="723"/>
      <c r="DB37" s="723"/>
      <c r="DC37" s="723"/>
      <c r="DD37" s="723"/>
      <c r="DE37" s="723"/>
      <c r="DF37" s="723"/>
      <c r="DG37" s="723"/>
      <c r="DH37" s="723"/>
      <c r="DI37" s="723"/>
      <c r="DJ37" s="723"/>
      <c r="DK37" s="723"/>
      <c r="DL37" s="723"/>
      <c r="DM37" s="723"/>
    </row>
    <row r="38" spans="1:117" ht="28.5" customHeight="1">
      <c r="A38" s="64"/>
      <c r="B38" s="64"/>
      <c r="C38" s="725" t="s">
        <v>189</v>
      </c>
      <c r="D38" s="725"/>
      <c r="E38" s="725"/>
      <c r="F38" s="725"/>
      <c r="G38" s="725"/>
      <c r="H38" s="725"/>
      <c r="I38" s="725"/>
      <c r="J38" s="725"/>
      <c r="K38" s="725"/>
      <c r="L38" s="725"/>
      <c r="M38" s="725"/>
      <c r="N38" s="725"/>
      <c r="O38" s="725"/>
      <c r="P38" s="725"/>
      <c r="Q38" s="725"/>
      <c r="R38" s="725"/>
      <c r="S38" s="725"/>
      <c r="T38" s="725"/>
      <c r="U38" s="725"/>
      <c r="V38" s="725"/>
      <c r="W38" s="725"/>
      <c r="X38" s="725"/>
      <c r="Y38" s="725"/>
      <c r="Z38" s="725"/>
      <c r="AA38" s="725"/>
      <c r="AB38" s="725"/>
      <c r="AC38" s="725"/>
      <c r="AD38" s="725"/>
      <c r="AE38" s="725"/>
      <c r="AF38" s="725"/>
      <c r="AG38" s="725"/>
      <c r="AH38" s="725"/>
      <c r="AI38" s="725"/>
      <c r="AJ38" s="725"/>
      <c r="AK38" s="725"/>
      <c r="AL38" s="725"/>
      <c r="AM38" s="725"/>
      <c r="AN38" s="725"/>
      <c r="AO38" s="725"/>
      <c r="AP38" s="725"/>
      <c r="AQ38" s="725"/>
      <c r="AR38" s="725"/>
      <c r="AS38" s="725"/>
      <c r="AT38" s="725"/>
      <c r="AU38" s="725"/>
      <c r="AV38" s="725"/>
      <c r="AW38" s="725"/>
      <c r="AX38" s="725"/>
      <c r="AY38" s="725"/>
      <c r="AZ38" s="725"/>
      <c r="BA38" s="725"/>
      <c r="BB38" s="725"/>
      <c r="BC38" s="725"/>
      <c r="BD38" s="725"/>
      <c r="BE38" s="725"/>
      <c r="BF38" s="725"/>
      <c r="BH38" s="65"/>
      <c r="BI38" s="65"/>
      <c r="BJ38" s="723" t="s">
        <v>190</v>
      </c>
      <c r="BK38" s="723"/>
      <c r="BL38" s="723"/>
      <c r="BM38" s="723"/>
      <c r="BN38" s="723"/>
      <c r="BO38" s="723"/>
      <c r="BP38" s="723"/>
      <c r="BQ38" s="723"/>
      <c r="BR38" s="723"/>
      <c r="BS38" s="723"/>
      <c r="BT38" s="723"/>
      <c r="BU38" s="723"/>
      <c r="BV38" s="723"/>
      <c r="BW38" s="723"/>
      <c r="BX38" s="723"/>
      <c r="BY38" s="723"/>
      <c r="BZ38" s="723"/>
      <c r="CA38" s="723"/>
      <c r="CB38" s="723"/>
      <c r="CC38" s="723"/>
      <c r="CD38" s="723"/>
      <c r="CE38" s="723"/>
      <c r="CF38" s="723"/>
      <c r="CG38" s="723"/>
      <c r="CH38" s="723"/>
      <c r="CI38" s="723"/>
      <c r="CJ38" s="723"/>
      <c r="CK38" s="723"/>
      <c r="CL38" s="723"/>
      <c r="CM38" s="723"/>
      <c r="CN38" s="723"/>
      <c r="CO38" s="723"/>
      <c r="CP38" s="723"/>
      <c r="CQ38" s="723"/>
      <c r="CR38" s="723"/>
      <c r="CS38" s="723"/>
      <c r="CT38" s="723"/>
      <c r="CU38" s="723"/>
      <c r="CV38" s="723"/>
      <c r="CW38" s="723"/>
      <c r="CX38" s="723"/>
      <c r="CY38" s="723"/>
      <c r="CZ38" s="723"/>
      <c r="DA38" s="723"/>
      <c r="DB38" s="723"/>
      <c r="DC38" s="723"/>
      <c r="DD38" s="723"/>
      <c r="DE38" s="723"/>
      <c r="DF38" s="723"/>
      <c r="DG38" s="723"/>
      <c r="DH38" s="723"/>
      <c r="DI38" s="723"/>
      <c r="DJ38" s="723"/>
      <c r="DK38" s="723"/>
      <c r="DL38" s="723"/>
      <c r="DM38" s="723"/>
    </row>
    <row r="39" spans="1:117" ht="21" customHeight="1">
      <c r="BH39" s="64"/>
      <c r="BI39" s="64"/>
      <c r="BJ39" s="725" t="s">
        <v>189</v>
      </c>
      <c r="BK39" s="725"/>
      <c r="BL39" s="725"/>
      <c r="BM39" s="725"/>
      <c r="BN39" s="725"/>
      <c r="BO39" s="725"/>
      <c r="BP39" s="725"/>
      <c r="BQ39" s="725"/>
      <c r="BR39" s="725"/>
      <c r="BS39" s="725"/>
      <c r="BT39" s="725"/>
      <c r="BU39" s="725"/>
      <c r="BV39" s="725"/>
      <c r="BW39" s="725"/>
      <c r="BX39" s="725"/>
      <c r="BY39" s="725"/>
      <c r="BZ39" s="725"/>
      <c r="CA39" s="725"/>
      <c r="CB39" s="725"/>
      <c r="CC39" s="725"/>
      <c r="CD39" s="725"/>
      <c r="CE39" s="725"/>
      <c r="CF39" s="725"/>
      <c r="CG39" s="725"/>
      <c r="CH39" s="725"/>
      <c r="CI39" s="725"/>
      <c r="CJ39" s="725"/>
      <c r="CK39" s="725"/>
      <c r="CL39" s="725"/>
      <c r="CM39" s="725"/>
      <c r="CN39" s="725"/>
      <c r="CO39" s="725"/>
      <c r="CP39" s="725"/>
      <c r="CQ39" s="725"/>
      <c r="CR39" s="725"/>
      <c r="CS39" s="725"/>
      <c r="CT39" s="725"/>
      <c r="CU39" s="725"/>
      <c r="CV39" s="725"/>
      <c r="CW39" s="725"/>
      <c r="CX39" s="725"/>
      <c r="CY39" s="725"/>
      <c r="CZ39" s="725"/>
      <c r="DA39" s="725"/>
      <c r="DB39" s="725"/>
      <c r="DC39" s="725"/>
      <c r="DD39" s="725"/>
      <c r="DE39" s="725"/>
      <c r="DF39" s="725"/>
      <c r="DG39" s="725"/>
      <c r="DH39" s="725"/>
      <c r="DI39" s="725"/>
      <c r="DJ39" s="725"/>
      <c r="DK39" s="725"/>
      <c r="DL39" s="725"/>
      <c r="DM39" s="725"/>
    </row>
  </sheetData>
  <mergeCells count="276">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A11:F11"/>
    <mergeCell ref="A13:F13"/>
    <mergeCell ref="G13:K13"/>
    <mergeCell ref="G11:K11"/>
    <mergeCell ref="A12:F12"/>
    <mergeCell ref="G12:K12"/>
    <mergeCell ref="G14:K14"/>
    <mergeCell ref="AU13:AW13"/>
    <mergeCell ref="L12:R12"/>
    <mergeCell ref="AU12:AW1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s>
  <phoneticPr fontId="2"/>
  <printOptions horizontalCentered="1"/>
  <pageMargins left="0.39370078740157483" right="0.39370078740157483" top="0.39370078740157483" bottom="0.39370078740157483" header="0.39370078740157483" footer="0.39370078740157483"/>
  <pageSetup paperSize="9" scale="76"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workbookViewId="0"/>
  </sheetViews>
  <sheetFormatPr defaultRowHeight="21" customHeight="1"/>
  <cols>
    <col min="1" max="4" width="2.625" style="63" customWidth="1"/>
    <col min="5" max="24" width="2.625" style="62" customWidth="1"/>
    <col min="25" max="52" width="2.875" style="62" customWidth="1"/>
    <col min="53" max="65" width="2.625" style="62" customWidth="1"/>
    <col min="66" max="69" width="2.625" style="63" customWidth="1"/>
    <col min="70" max="89" width="2.625" style="62" customWidth="1"/>
    <col min="90" max="117" width="2.875" style="62" customWidth="1"/>
    <col min="118" max="142" width="2.625" style="62" customWidth="1"/>
    <col min="143" max="16384" width="9" style="62"/>
  </cols>
  <sheetData>
    <row r="1" spans="1:129" ht="21" customHeight="1">
      <c r="A1" s="95" t="s">
        <v>308</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308</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307</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59" t="s">
        <v>306</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59"/>
      <c r="AO2" s="659"/>
      <c r="AP2" s="659"/>
      <c r="AQ2" s="659"/>
      <c r="AR2" s="659"/>
      <c r="AS2" s="659"/>
      <c r="AT2" s="659"/>
      <c r="AU2" s="659"/>
      <c r="AV2" s="659"/>
      <c r="AW2" s="659"/>
      <c r="AX2" s="659"/>
      <c r="AY2" s="659"/>
      <c r="AZ2" s="659"/>
      <c r="BA2" s="659"/>
      <c r="BB2" s="659"/>
      <c r="BC2" s="659"/>
      <c r="BD2" s="659"/>
      <c r="BE2" s="659"/>
      <c r="BF2" s="659"/>
      <c r="BG2" s="659"/>
      <c r="BH2" s="659"/>
      <c r="BI2" s="659"/>
      <c r="BJ2" s="659"/>
      <c r="BK2" s="659"/>
      <c r="BL2" s="659"/>
      <c r="BN2" s="659" t="s">
        <v>305</v>
      </c>
      <c r="BO2" s="659"/>
      <c r="BP2" s="659"/>
      <c r="BQ2" s="659"/>
      <c r="BR2" s="659"/>
      <c r="BS2" s="659"/>
      <c r="BT2" s="659"/>
      <c r="BU2" s="659"/>
      <c r="BV2" s="659"/>
      <c r="BW2" s="659"/>
      <c r="BX2" s="659"/>
      <c r="BY2" s="659"/>
      <c r="BZ2" s="659"/>
      <c r="CA2" s="659"/>
      <c r="CB2" s="659"/>
      <c r="CC2" s="659"/>
      <c r="CD2" s="659"/>
      <c r="CE2" s="659"/>
      <c r="CF2" s="659"/>
      <c r="CG2" s="659"/>
      <c r="CH2" s="659"/>
      <c r="CI2" s="659"/>
      <c r="CJ2" s="659"/>
      <c r="CK2" s="659"/>
      <c r="CL2" s="659"/>
      <c r="CM2" s="659"/>
      <c r="CN2" s="659"/>
      <c r="CO2" s="659"/>
      <c r="CP2" s="659"/>
      <c r="CQ2" s="659"/>
      <c r="CR2" s="659"/>
      <c r="CS2" s="659"/>
      <c r="CT2" s="659"/>
      <c r="CU2" s="659"/>
      <c r="CV2" s="659"/>
      <c r="CW2" s="659"/>
      <c r="CX2" s="659"/>
      <c r="CY2" s="659"/>
      <c r="CZ2" s="659"/>
      <c r="DA2" s="659"/>
      <c r="DB2" s="659"/>
      <c r="DC2" s="659"/>
      <c r="DD2" s="659"/>
      <c r="DE2" s="659"/>
      <c r="DF2" s="659"/>
      <c r="DG2" s="659"/>
      <c r="DH2" s="659"/>
      <c r="DI2" s="659"/>
      <c r="DJ2" s="659"/>
      <c r="DK2" s="659"/>
      <c r="DL2" s="659"/>
      <c r="DM2" s="659"/>
      <c r="DN2" s="659"/>
      <c r="DO2" s="659"/>
      <c r="DP2" s="659"/>
      <c r="DQ2" s="659"/>
      <c r="DR2" s="659"/>
      <c r="DS2" s="659"/>
      <c r="DT2" s="659"/>
      <c r="DU2" s="659"/>
      <c r="DV2" s="659"/>
      <c r="DW2" s="659"/>
      <c r="DX2" s="659"/>
      <c r="DY2" s="659"/>
    </row>
    <row r="3" spans="1:129" ht="21" customHeight="1" thickBot="1">
      <c r="A3" s="94" t="s">
        <v>304</v>
      </c>
      <c r="B3" s="94" t="s">
        <v>303</v>
      </c>
      <c r="C3" s="94"/>
      <c r="D3" s="94"/>
      <c r="E3" s="94"/>
      <c r="BN3" s="94" t="s">
        <v>304</v>
      </c>
      <c r="BO3" s="94" t="s">
        <v>303</v>
      </c>
      <c r="BP3" s="94"/>
      <c r="BQ3" s="94"/>
      <c r="BR3" s="94"/>
    </row>
    <row r="4" spans="1:129" ht="21" customHeight="1" thickBot="1">
      <c r="A4" s="714" t="s">
        <v>253</v>
      </c>
      <c r="B4" s="754"/>
      <c r="C4" s="754"/>
      <c r="D4" s="754"/>
      <c r="E4" s="754"/>
      <c r="F4" s="754"/>
      <c r="G4" s="754"/>
      <c r="H4" s="754"/>
      <c r="I4" s="754"/>
      <c r="J4" s="754"/>
      <c r="K4" s="754"/>
      <c r="L4" s="754"/>
      <c r="M4" s="754"/>
      <c r="N4" s="754"/>
      <c r="O4" s="754"/>
      <c r="P4" s="755"/>
      <c r="Q4" s="665"/>
      <c r="R4" s="754"/>
      <c r="S4" s="754"/>
      <c r="T4" s="754"/>
      <c r="U4" s="754"/>
      <c r="V4" s="754"/>
      <c r="W4" s="754"/>
      <c r="X4" s="754"/>
      <c r="Y4" s="754"/>
      <c r="Z4" s="754"/>
      <c r="AA4" s="754"/>
      <c r="AB4" s="754"/>
      <c r="AC4" s="754"/>
      <c r="AD4" s="754"/>
      <c r="AE4" s="754"/>
      <c r="AF4" s="754"/>
      <c r="AG4" s="754"/>
      <c r="AH4" s="754"/>
      <c r="AI4" s="754"/>
      <c r="AJ4" s="754"/>
      <c r="AK4" s="755"/>
      <c r="AL4" s="661" t="s">
        <v>251</v>
      </c>
      <c r="AM4" s="661"/>
      <c r="AN4" s="661"/>
      <c r="AO4" s="661"/>
      <c r="AP4" s="661"/>
      <c r="AQ4" s="661"/>
      <c r="AR4" s="661"/>
      <c r="AS4" s="661"/>
      <c r="AT4" s="661"/>
      <c r="AU4" s="661"/>
      <c r="AV4" s="661"/>
      <c r="AW4" s="661"/>
      <c r="AX4" s="661"/>
      <c r="AY4" s="661"/>
      <c r="AZ4" s="661"/>
      <c r="BA4" s="661"/>
      <c r="BB4" s="661"/>
      <c r="BC4" s="661"/>
      <c r="BD4" s="661"/>
      <c r="BE4" s="661"/>
      <c r="BF4" s="661"/>
      <c r="BG4" s="661"/>
      <c r="BH4" s="661"/>
      <c r="BI4" s="661"/>
      <c r="BJ4" s="661"/>
      <c r="BK4" s="661"/>
      <c r="BL4" s="662"/>
      <c r="BN4" s="714" t="s">
        <v>253</v>
      </c>
      <c r="BO4" s="809"/>
      <c r="BP4" s="809"/>
      <c r="BQ4" s="809"/>
      <c r="BR4" s="809"/>
      <c r="BS4" s="809"/>
      <c r="BT4" s="809"/>
      <c r="BU4" s="809"/>
      <c r="BV4" s="809"/>
      <c r="BW4" s="809"/>
      <c r="BX4" s="809"/>
      <c r="BY4" s="809"/>
      <c r="BZ4" s="809"/>
      <c r="CA4" s="809"/>
      <c r="CB4" s="809"/>
      <c r="CC4" s="810"/>
      <c r="CD4" s="665" t="s">
        <v>302</v>
      </c>
      <c r="CE4" s="809"/>
      <c r="CF4" s="809"/>
      <c r="CG4" s="809"/>
      <c r="CH4" s="809"/>
      <c r="CI4" s="809"/>
      <c r="CJ4" s="809"/>
      <c r="CK4" s="809"/>
      <c r="CL4" s="809"/>
      <c r="CM4" s="809"/>
      <c r="CN4" s="809"/>
      <c r="CO4" s="809"/>
      <c r="CP4" s="809"/>
      <c r="CQ4" s="809"/>
      <c r="CR4" s="809"/>
      <c r="CS4" s="809"/>
      <c r="CT4" s="809"/>
      <c r="CU4" s="809"/>
      <c r="CV4" s="809"/>
      <c r="CW4" s="809"/>
      <c r="CX4" s="810"/>
      <c r="CY4" s="661" t="s">
        <v>251</v>
      </c>
      <c r="CZ4" s="661"/>
      <c r="DA4" s="661"/>
      <c r="DB4" s="661"/>
      <c r="DC4" s="661"/>
      <c r="DD4" s="661"/>
      <c r="DE4" s="661"/>
      <c r="DF4" s="661"/>
      <c r="DG4" s="661" t="s">
        <v>301</v>
      </c>
      <c r="DH4" s="661"/>
      <c r="DI4" s="661"/>
      <c r="DJ4" s="661"/>
      <c r="DK4" s="661"/>
      <c r="DL4" s="661"/>
      <c r="DM4" s="661"/>
      <c r="DN4" s="661"/>
      <c r="DO4" s="661"/>
      <c r="DP4" s="661"/>
      <c r="DQ4" s="661"/>
      <c r="DR4" s="661"/>
      <c r="DS4" s="661"/>
      <c r="DT4" s="661"/>
      <c r="DU4" s="661"/>
      <c r="DV4" s="661"/>
      <c r="DW4" s="661"/>
      <c r="DX4" s="661"/>
      <c r="DY4" s="662"/>
    </row>
    <row r="5" spans="1:129" ht="21" customHeight="1">
      <c r="A5" s="671" t="s">
        <v>242</v>
      </c>
      <c r="B5" s="672"/>
      <c r="C5" s="672"/>
      <c r="D5" s="672"/>
      <c r="E5" s="672"/>
      <c r="F5" s="672"/>
      <c r="G5" s="676" t="s">
        <v>241</v>
      </c>
      <c r="H5" s="676"/>
      <c r="I5" s="676"/>
      <c r="J5" s="676"/>
      <c r="K5" s="676"/>
      <c r="L5" s="774" t="s">
        <v>240</v>
      </c>
      <c r="M5" s="757"/>
      <c r="N5" s="757"/>
      <c r="O5" s="757"/>
      <c r="P5" s="775"/>
      <c r="Q5" s="756" t="s">
        <v>300</v>
      </c>
      <c r="R5" s="757"/>
      <c r="S5" s="679" t="s">
        <v>299</v>
      </c>
      <c r="T5" s="760"/>
      <c r="U5" s="737" t="s">
        <v>298</v>
      </c>
      <c r="V5" s="738"/>
      <c r="W5" s="729" t="s">
        <v>297</v>
      </c>
      <c r="X5" s="730"/>
      <c r="Y5" s="671" t="s">
        <v>239</v>
      </c>
      <c r="Z5" s="672"/>
      <c r="AA5" s="672"/>
      <c r="AB5" s="672"/>
      <c r="AC5" s="672"/>
      <c r="AD5" s="672"/>
      <c r="AE5" s="673"/>
      <c r="AF5" s="671" t="s">
        <v>238</v>
      </c>
      <c r="AG5" s="672"/>
      <c r="AH5" s="672"/>
      <c r="AI5" s="672"/>
      <c r="AJ5" s="672"/>
      <c r="AK5" s="672"/>
      <c r="AL5" s="673"/>
      <c r="AM5" s="671" t="s">
        <v>237</v>
      </c>
      <c r="AN5" s="672"/>
      <c r="AO5" s="672"/>
      <c r="AP5" s="672"/>
      <c r="AQ5" s="672"/>
      <c r="AR5" s="672"/>
      <c r="AS5" s="673"/>
      <c r="AT5" s="674" t="s">
        <v>236</v>
      </c>
      <c r="AU5" s="672"/>
      <c r="AV5" s="672"/>
      <c r="AW5" s="672"/>
      <c r="AX5" s="672"/>
      <c r="AY5" s="672"/>
      <c r="AZ5" s="673"/>
      <c r="BA5" s="675" t="s">
        <v>235</v>
      </c>
      <c r="BB5" s="676"/>
      <c r="BC5" s="676"/>
      <c r="BD5" s="676" t="s">
        <v>234</v>
      </c>
      <c r="BE5" s="676"/>
      <c r="BF5" s="676"/>
      <c r="BG5" s="679" t="s">
        <v>233</v>
      </c>
      <c r="BH5" s="760"/>
      <c r="BI5" s="761"/>
      <c r="BJ5" s="676" t="s">
        <v>232</v>
      </c>
      <c r="BK5" s="676"/>
      <c r="BL5" s="688"/>
      <c r="BN5" s="671" t="s">
        <v>242</v>
      </c>
      <c r="BO5" s="672"/>
      <c r="BP5" s="672"/>
      <c r="BQ5" s="672"/>
      <c r="BR5" s="672"/>
      <c r="BS5" s="672"/>
      <c r="BT5" s="676" t="s">
        <v>241</v>
      </c>
      <c r="BU5" s="676"/>
      <c r="BV5" s="676"/>
      <c r="BW5" s="676"/>
      <c r="BX5" s="676"/>
      <c r="BY5" s="774" t="s">
        <v>240</v>
      </c>
      <c r="BZ5" s="757"/>
      <c r="CA5" s="757"/>
      <c r="CB5" s="757"/>
      <c r="CC5" s="775"/>
      <c r="CD5" s="756" t="s">
        <v>300</v>
      </c>
      <c r="CE5" s="757"/>
      <c r="CF5" s="811" t="s">
        <v>299</v>
      </c>
      <c r="CG5" s="812"/>
      <c r="CH5" s="815" t="s">
        <v>298</v>
      </c>
      <c r="CI5" s="816"/>
      <c r="CJ5" s="819" t="s">
        <v>297</v>
      </c>
      <c r="CK5" s="820"/>
      <c r="CL5" s="671" t="s">
        <v>239</v>
      </c>
      <c r="CM5" s="672"/>
      <c r="CN5" s="672"/>
      <c r="CO5" s="672"/>
      <c r="CP5" s="672"/>
      <c r="CQ5" s="672"/>
      <c r="CR5" s="673"/>
      <c r="CS5" s="671" t="s">
        <v>238</v>
      </c>
      <c r="CT5" s="672"/>
      <c r="CU5" s="672"/>
      <c r="CV5" s="672"/>
      <c r="CW5" s="672"/>
      <c r="CX5" s="672"/>
      <c r="CY5" s="673"/>
      <c r="CZ5" s="671" t="s">
        <v>237</v>
      </c>
      <c r="DA5" s="672"/>
      <c r="DB5" s="672"/>
      <c r="DC5" s="672"/>
      <c r="DD5" s="672"/>
      <c r="DE5" s="672"/>
      <c r="DF5" s="673"/>
      <c r="DG5" s="674" t="s">
        <v>236</v>
      </c>
      <c r="DH5" s="672"/>
      <c r="DI5" s="672"/>
      <c r="DJ5" s="672"/>
      <c r="DK5" s="672"/>
      <c r="DL5" s="672"/>
      <c r="DM5" s="673"/>
      <c r="DN5" s="675" t="s">
        <v>235</v>
      </c>
      <c r="DO5" s="676"/>
      <c r="DP5" s="676"/>
      <c r="DQ5" s="676" t="s">
        <v>234</v>
      </c>
      <c r="DR5" s="676"/>
      <c r="DS5" s="676"/>
      <c r="DT5" s="679" t="s">
        <v>233</v>
      </c>
      <c r="DU5" s="680"/>
      <c r="DV5" s="681"/>
      <c r="DW5" s="676" t="s">
        <v>232</v>
      </c>
      <c r="DX5" s="676"/>
      <c r="DY5" s="688"/>
    </row>
    <row r="6" spans="1:129" ht="21" customHeight="1">
      <c r="A6" s="696"/>
      <c r="B6" s="697"/>
      <c r="C6" s="697"/>
      <c r="D6" s="697"/>
      <c r="E6" s="697"/>
      <c r="F6" s="697"/>
      <c r="G6" s="678"/>
      <c r="H6" s="678"/>
      <c r="I6" s="678"/>
      <c r="J6" s="678"/>
      <c r="K6" s="678"/>
      <c r="L6" s="776"/>
      <c r="M6" s="758"/>
      <c r="N6" s="758"/>
      <c r="O6" s="758"/>
      <c r="P6" s="777"/>
      <c r="Q6" s="758"/>
      <c r="R6" s="758"/>
      <c r="S6" s="762"/>
      <c r="T6" s="780"/>
      <c r="U6" s="739"/>
      <c r="V6" s="740"/>
      <c r="W6" s="731"/>
      <c r="X6" s="732"/>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77"/>
      <c r="BB6" s="678"/>
      <c r="BC6" s="678"/>
      <c r="BD6" s="678"/>
      <c r="BE6" s="678"/>
      <c r="BF6" s="678"/>
      <c r="BG6" s="762"/>
      <c r="BH6" s="763"/>
      <c r="BI6" s="764"/>
      <c r="BJ6" s="678"/>
      <c r="BK6" s="678"/>
      <c r="BL6" s="689"/>
      <c r="BN6" s="696"/>
      <c r="BO6" s="697"/>
      <c r="BP6" s="697"/>
      <c r="BQ6" s="697"/>
      <c r="BR6" s="697"/>
      <c r="BS6" s="697"/>
      <c r="BT6" s="678"/>
      <c r="BU6" s="678"/>
      <c r="BV6" s="678"/>
      <c r="BW6" s="678"/>
      <c r="BX6" s="678"/>
      <c r="BY6" s="776"/>
      <c r="BZ6" s="758"/>
      <c r="CA6" s="758"/>
      <c r="CB6" s="758"/>
      <c r="CC6" s="777"/>
      <c r="CD6" s="758"/>
      <c r="CE6" s="758"/>
      <c r="CF6" s="813"/>
      <c r="CG6" s="813"/>
      <c r="CH6" s="817"/>
      <c r="CI6" s="817"/>
      <c r="CJ6" s="821"/>
      <c r="CK6" s="822"/>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77"/>
      <c r="DO6" s="678"/>
      <c r="DP6" s="678"/>
      <c r="DQ6" s="678"/>
      <c r="DR6" s="678"/>
      <c r="DS6" s="678"/>
      <c r="DT6" s="682"/>
      <c r="DU6" s="825"/>
      <c r="DV6" s="684"/>
      <c r="DW6" s="678"/>
      <c r="DX6" s="678"/>
      <c r="DY6" s="689"/>
    </row>
    <row r="7" spans="1:129" ht="21" customHeight="1">
      <c r="A7" s="696"/>
      <c r="B7" s="697"/>
      <c r="C7" s="697"/>
      <c r="D7" s="697"/>
      <c r="E7" s="697"/>
      <c r="F7" s="697"/>
      <c r="G7" s="678"/>
      <c r="H7" s="678"/>
      <c r="I7" s="678"/>
      <c r="J7" s="678"/>
      <c r="K7" s="678"/>
      <c r="L7" s="778"/>
      <c r="M7" s="759"/>
      <c r="N7" s="759"/>
      <c r="O7" s="759"/>
      <c r="P7" s="779"/>
      <c r="Q7" s="759"/>
      <c r="R7" s="759"/>
      <c r="S7" s="765"/>
      <c r="T7" s="766"/>
      <c r="U7" s="741"/>
      <c r="V7" s="742"/>
      <c r="W7" s="733"/>
      <c r="X7" s="734"/>
      <c r="Y7" s="91" t="s">
        <v>296</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77"/>
      <c r="BB7" s="678"/>
      <c r="BC7" s="678"/>
      <c r="BD7" s="678"/>
      <c r="BE7" s="678"/>
      <c r="BF7" s="678"/>
      <c r="BG7" s="765"/>
      <c r="BH7" s="766"/>
      <c r="BI7" s="767"/>
      <c r="BJ7" s="678"/>
      <c r="BK7" s="678"/>
      <c r="BL7" s="689"/>
      <c r="BN7" s="696"/>
      <c r="BO7" s="697"/>
      <c r="BP7" s="697"/>
      <c r="BQ7" s="697"/>
      <c r="BR7" s="697"/>
      <c r="BS7" s="697"/>
      <c r="BT7" s="678"/>
      <c r="BU7" s="678"/>
      <c r="BV7" s="678"/>
      <c r="BW7" s="678"/>
      <c r="BX7" s="678"/>
      <c r="BY7" s="778"/>
      <c r="BZ7" s="759"/>
      <c r="CA7" s="759"/>
      <c r="CB7" s="759"/>
      <c r="CC7" s="779"/>
      <c r="CD7" s="759"/>
      <c r="CE7" s="759"/>
      <c r="CF7" s="814"/>
      <c r="CG7" s="814"/>
      <c r="CH7" s="818"/>
      <c r="CI7" s="818"/>
      <c r="CJ7" s="823"/>
      <c r="CK7" s="824"/>
      <c r="CL7" s="91" t="s">
        <v>231</v>
      </c>
      <c r="CM7" s="90" t="s">
        <v>230</v>
      </c>
      <c r="CN7" s="90" t="s">
        <v>229</v>
      </c>
      <c r="CO7" s="90" t="s">
        <v>228</v>
      </c>
      <c r="CP7" s="90" t="s">
        <v>227</v>
      </c>
      <c r="CQ7" s="90" t="s">
        <v>226</v>
      </c>
      <c r="CR7" s="89" t="s">
        <v>225</v>
      </c>
      <c r="CS7" s="91" t="s">
        <v>231</v>
      </c>
      <c r="CT7" s="90" t="s">
        <v>230</v>
      </c>
      <c r="CU7" s="90" t="s">
        <v>229</v>
      </c>
      <c r="CV7" s="90" t="s">
        <v>228</v>
      </c>
      <c r="CW7" s="90" t="s">
        <v>227</v>
      </c>
      <c r="CX7" s="90" t="s">
        <v>226</v>
      </c>
      <c r="CY7" s="89" t="s">
        <v>225</v>
      </c>
      <c r="CZ7" s="91" t="s">
        <v>231</v>
      </c>
      <c r="DA7" s="90" t="s">
        <v>230</v>
      </c>
      <c r="DB7" s="90" t="s">
        <v>229</v>
      </c>
      <c r="DC7" s="90" t="s">
        <v>228</v>
      </c>
      <c r="DD7" s="90" t="s">
        <v>227</v>
      </c>
      <c r="DE7" s="90" t="s">
        <v>226</v>
      </c>
      <c r="DF7" s="89" t="s">
        <v>225</v>
      </c>
      <c r="DG7" s="91" t="s">
        <v>231</v>
      </c>
      <c r="DH7" s="90" t="s">
        <v>230</v>
      </c>
      <c r="DI7" s="90" t="s">
        <v>229</v>
      </c>
      <c r="DJ7" s="90" t="s">
        <v>228</v>
      </c>
      <c r="DK7" s="90" t="s">
        <v>227</v>
      </c>
      <c r="DL7" s="90" t="s">
        <v>226</v>
      </c>
      <c r="DM7" s="89" t="s">
        <v>225</v>
      </c>
      <c r="DN7" s="677"/>
      <c r="DO7" s="678"/>
      <c r="DP7" s="678"/>
      <c r="DQ7" s="678"/>
      <c r="DR7" s="678"/>
      <c r="DS7" s="678"/>
      <c r="DT7" s="685"/>
      <c r="DU7" s="686"/>
      <c r="DV7" s="687"/>
      <c r="DW7" s="678"/>
      <c r="DX7" s="678"/>
      <c r="DY7" s="689"/>
    </row>
    <row r="8" spans="1:129" ht="21" customHeight="1">
      <c r="A8" s="703"/>
      <c r="B8" s="704"/>
      <c r="C8" s="704"/>
      <c r="D8" s="704"/>
      <c r="E8" s="704"/>
      <c r="F8" s="704"/>
      <c r="G8" s="704"/>
      <c r="H8" s="704"/>
      <c r="I8" s="704"/>
      <c r="J8" s="704"/>
      <c r="K8" s="704"/>
      <c r="L8" s="744"/>
      <c r="M8" s="745"/>
      <c r="N8" s="745"/>
      <c r="O8" s="745"/>
      <c r="P8" s="746"/>
      <c r="Q8" s="699"/>
      <c r="R8" s="706"/>
      <c r="S8" s="699"/>
      <c r="T8" s="743"/>
      <c r="U8" s="699"/>
      <c r="V8" s="743"/>
      <c r="W8" s="735"/>
      <c r="X8" s="736"/>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705"/>
      <c r="BB8" s="705"/>
      <c r="BC8" s="706"/>
      <c r="BD8" s="700"/>
      <c r="BE8" s="701"/>
      <c r="BF8" s="707"/>
      <c r="BG8" s="700"/>
      <c r="BH8" s="701"/>
      <c r="BI8" s="707"/>
      <c r="BJ8" s="786"/>
      <c r="BK8" s="787"/>
      <c r="BL8" s="788"/>
      <c r="BN8" s="703" t="s">
        <v>224</v>
      </c>
      <c r="BO8" s="704"/>
      <c r="BP8" s="704"/>
      <c r="BQ8" s="704"/>
      <c r="BR8" s="704"/>
      <c r="BS8" s="704"/>
      <c r="BT8" s="704" t="s">
        <v>292</v>
      </c>
      <c r="BU8" s="704"/>
      <c r="BV8" s="704"/>
      <c r="BW8" s="704"/>
      <c r="BX8" s="704"/>
      <c r="BY8" s="744" t="s">
        <v>288</v>
      </c>
      <c r="BZ8" s="826"/>
      <c r="CA8" s="826"/>
      <c r="CB8" s="826"/>
      <c r="CC8" s="827"/>
      <c r="CD8" s="699"/>
      <c r="CE8" s="706"/>
      <c r="CF8" s="697"/>
      <c r="CG8" s="828"/>
      <c r="CH8" s="697"/>
      <c r="CI8" s="828"/>
      <c r="CJ8" s="828"/>
      <c r="CK8" s="829"/>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705">
        <v>160</v>
      </c>
      <c r="DO8" s="705"/>
      <c r="DP8" s="706"/>
      <c r="DQ8" s="700">
        <v>40</v>
      </c>
      <c r="DR8" s="701"/>
      <c r="DS8" s="707"/>
      <c r="DT8" s="700"/>
      <c r="DU8" s="701"/>
      <c r="DV8" s="707"/>
      <c r="DW8" s="786"/>
      <c r="DX8" s="830"/>
      <c r="DY8" s="831"/>
    </row>
    <row r="9" spans="1:129" ht="21" customHeight="1">
      <c r="A9" s="703"/>
      <c r="B9" s="704"/>
      <c r="C9" s="704"/>
      <c r="D9" s="704"/>
      <c r="E9" s="704"/>
      <c r="F9" s="704"/>
      <c r="G9" s="704"/>
      <c r="H9" s="704"/>
      <c r="I9" s="704"/>
      <c r="J9" s="704"/>
      <c r="K9" s="704"/>
      <c r="L9" s="744"/>
      <c r="M9" s="745"/>
      <c r="N9" s="745"/>
      <c r="O9" s="745"/>
      <c r="P9" s="746"/>
      <c r="Q9" s="699"/>
      <c r="R9" s="706"/>
      <c r="S9" s="699"/>
      <c r="T9" s="743"/>
      <c r="U9" s="699"/>
      <c r="V9" s="743"/>
      <c r="W9" s="735"/>
      <c r="X9" s="736"/>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705"/>
      <c r="BB9" s="705"/>
      <c r="BC9" s="706"/>
      <c r="BD9" s="700"/>
      <c r="BE9" s="701"/>
      <c r="BF9" s="707"/>
      <c r="BG9" s="700"/>
      <c r="BH9" s="701"/>
      <c r="BI9" s="707"/>
      <c r="BJ9" s="789"/>
      <c r="BK9" s="790"/>
      <c r="BL9" s="791"/>
      <c r="BN9" s="703" t="s">
        <v>295</v>
      </c>
      <c r="BO9" s="704"/>
      <c r="BP9" s="704"/>
      <c r="BQ9" s="704"/>
      <c r="BR9" s="704"/>
      <c r="BS9" s="704"/>
      <c r="BT9" s="704" t="s">
        <v>292</v>
      </c>
      <c r="BU9" s="704"/>
      <c r="BV9" s="704"/>
      <c r="BW9" s="704"/>
      <c r="BX9" s="704"/>
      <c r="BY9" s="744" t="s">
        <v>288</v>
      </c>
      <c r="BZ9" s="826"/>
      <c r="CA9" s="826"/>
      <c r="CB9" s="826"/>
      <c r="CC9" s="827"/>
      <c r="CD9" s="699" t="s">
        <v>294</v>
      </c>
      <c r="CE9" s="706"/>
      <c r="CF9" s="697" t="s">
        <v>293</v>
      </c>
      <c r="CG9" s="828"/>
      <c r="CH9" s="838" t="s">
        <v>293</v>
      </c>
      <c r="CI9" s="839"/>
      <c r="CJ9" s="828"/>
      <c r="CK9" s="829"/>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705">
        <v>160</v>
      </c>
      <c r="DO9" s="705"/>
      <c r="DP9" s="706"/>
      <c r="DQ9" s="700">
        <v>40</v>
      </c>
      <c r="DR9" s="701"/>
      <c r="DS9" s="707"/>
      <c r="DT9" s="700">
        <v>40</v>
      </c>
      <c r="DU9" s="701"/>
      <c r="DV9" s="707"/>
      <c r="DW9" s="832"/>
      <c r="DX9" s="833"/>
      <c r="DY9" s="834"/>
    </row>
    <row r="10" spans="1:129" ht="21" customHeight="1">
      <c r="A10" s="703"/>
      <c r="B10" s="704"/>
      <c r="C10" s="704"/>
      <c r="D10" s="704"/>
      <c r="E10" s="704"/>
      <c r="F10" s="704"/>
      <c r="G10" s="704"/>
      <c r="H10" s="704"/>
      <c r="I10" s="704"/>
      <c r="J10" s="704"/>
      <c r="K10" s="704"/>
      <c r="L10" s="744"/>
      <c r="M10" s="745"/>
      <c r="N10" s="745"/>
      <c r="O10" s="745"/>
      <c r="P10" s="746"/>
      <c r="Q10" s="699"/>
      <c r="R10" s="706"/>
      <c r="S10" s="699"/>
      <c r="T10" s="743"/>
      <c r="U10" s="699"/>
      <c r="V10" s="743"/>
      <c r="W10" s="735"/>
      <c r="X10" s="736"/>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705"/>
      <c r="BB10" s="705"/>
      <c r="BC10" s="706"/>
      <c r="BD10" s="700"/>
      <c r="BE10" s="701"/>
      <c r="BF10" s="707"/>
      <c r="BG10" s="700"/>
      <c r="BH10" s="701"/>
      <c r="BI10" s="707"/>
      <c r="BJ10" s="789"/>
      <c r="BK10" s="790"/>
      <c r="BL10" s="791"/>
      <c r="BN10" s="703" t="s">
        <v>290</v>
      </c>
      <c r="BO10" s="704"/>
      <c r="BP10" s="704"/>
      <c r="BQ10" s="704"/>
      <c r="BR10" s="704"/>
      <c r="BS10" s="704"/>
      <c r="BT10" s="704" t="s">
        <v>292</v>
      </c>
      <c r="BU10" s="704"/>
      <c r="BV10" s="704"/>
      <c r="BW10" s="704"/>
      <c r="BX10" s="704"/>
      <c r="BY10" s="744" t="s">
        <v>288</v>
      </c>
      <c r="BZ10" s="826"/>
      <c r="CA10" s="826"/>
      <c r="CB10" s="826"/>
      <c r="CC10" s="827"/>
      <c r="CD10" s="699">
        <v>1</v>
      </c>
      <c r="CE10" s="706"/>
      <c r="CF10" s="697" t="s">
        <v>291</v>
      </c>
      <c r="CG10" s="828"/>
      <c r="CH10" s="838" t="s">
        <v>291</v>
      </c>
      <c r="CI10" s="839"/>
      <c r="CJ10" s="828"/>
      <c r="CK10" s="829"/>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705">
        <v>164</v>
      </c>
      <c r="DO10" s="705"/>
      <c r="DP10" s="706"/>
      <c r="DQ10" s="700">
        <v>41</v>
      </c>
      <c r="DR10" s="701"/>
      <c r="DS10" s="707"/>
      <c r="DT10" s="700">
        <v>40</v>
      </c>
      <c r="DU10" s="701"/>
      <c r="DV10" s="707"/>
      <c r="DW10" s="832"/>
      <c r="DX10" s="833"/>
      <c r="DY10" s="834"/>
    </row>
    <row r="11" spans="1:129" ht="21" customHeight="1">
      <c r="A11" s="703"/>
      <c r="B11" s="704"/>
      <c r="C11" s="704"/>
      <c r="D11" s="704"/>
      <c r="E11" s="704"/>
      <c r="F11" s="704"/>
      <c r="G11" s="704"/>
      <c r="H11" s="704"/>
      <c r="I11" s="704"/>
      <c r="J11" s="704"/>
      <c r="K11" s="704"/>
      <c r="L11" s="744"/>
      <c r="M11" s="745"/>
      <c r="N11" s="745"/>
      <c r="O11" s="745"/>
      <c r="P11" s="746"/>
      <c r="Q11" s="699"/>
      <c r="R11" s="706"/>
      <c r="S11" s="699"/>
      <c r="T11" s="743"/>
      <c r="U11" s="699"/>
      <c r="V11" s="743"/>
      <c r="W11" s="735"/>
      <c r="X11" s="736"/>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705"/>
      <c r="BB11" s="705"/>
      <c r="BC11" s="706"/>
      <c r="BD11" s="700"/>
      <c r="BE11" s="701"/>
      <c r="BF11" s="707"/>
      <c r="BG11" s="700"/>
      <c r="BH11" s="701"/>
      <c r="BI11" s="707"/>
      <c r="BJ11" s="789"/>
      <c r="BK11" s="790"/>
      <c r="BL11" s="791"/>
      <c r="BN11" s="703" t="s">
        <v>290</v>
      </c>
      <c r="BO11" s="704"/>
      <c r="BP11" s="704"/>
      <c r="BQ11" s="704"/>
      <c r="BR11" s="704"/>
      <c r="BS11" s="704"/>
      <c r="BT11" s="704" t="s">
        <v>289</v>
      </c>
      <c r="BU11" s="704"/>
      <c r="BV11" s="704"/>
      <c r="BW11" s="704"/>
      <c r="BX11" s="704"/>
      <c r="BY11" s="744" t="s">
        <v>288</v>
      </c>
      <c r="BZ11" s="826"/>
      <c r="CA11" s="826"/>
      <c r="CB11" s="826"/>
      <c r="CC11" s="827"/>
      <c r="CD11" s="699">
        <v>2</v>
      </c>
      <c r="CE11" s="706"/>
      <c r="CF11" s="697"/>
      <c r="CG11" s="828"/>
      <c r="CH11" s="838"/>
      <c r="CI11" s="839"/>
      <c r="CJ11" s="828"/>
      <c r="CK11" s="829"/>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705">
        <v>81</v>
      </c>
      <c r="DO11" s="705"/>
      <c r="DP11" s="706"/>
      <c r="DQ11" s="700">
        <v>20.2</v>
      </c>
      <c r="DR11" s="701"/>
      <c r="DS11" s="707"/>
      <c r="DT11" s="700">
        <v>20.2</v>
      </c>
      <c r="DU11" s="701"/>
      <c r="DV11" s="707"/>
      <c r="DW11" s="832"/>
      <c r="DX11" s="833"/>
      <c r="DY11" s="834"/>
    </row>
    <row r="12" spans="1:129" ht="21" customHeight="1">
      <c r="A12" s="703"/>
      <c r="B12" s="704"/>
      <c r="C12" s="704"/>
      <c r="D12" s="704"/>
      <c r="E12" s="704"/>
      <c r="F12" s="704"/>
      <c r="G12" s="704"/>
      <c r="H12" s="704"/>
      <c r="I12" s="704"/>
      <c r="J12" s="704"/>
      <c r="K12" s="704"/>
      <c r="L12" s="744"/>
      <c r="M12" s="745"/>
      <c r="N12" s="745"/>
      <c r="O12" s="745"/>
      <c r="P12" s="746"/>
      <c r="Q12" s="699"/>
      <c r="R12" s="706"/>
      <c r="S12" s="699"/>
      <c r="T12" s="743"/>
      <c r="U12" s="699"/>
      <c r="V12" s="743"/>
      <c r="W12" s="735"/>
      <c r="X12" s="736"/>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705"/>
      <c r="BB12" s="705"/>
      <c r="BC12" s="706"/>
      <c r="BD12" s="700"/>
      <c r="BE12" s="701"/>
      <c r="BF12" s="707"/>
      <c r="BG12" s="700"/>
      <c r="BH12" s="701"/>
      <c r="BI12" s="707"/>
      <c r="BJ12" s="789"/>
      <c r="BK12" s="790"/>
      <c r="BL12" s="791"/>
      <c r="BN12" s="703" t="s">
        <v>290</v>
      </c>
      <c r="BO12" s="704"/>
      <c r="BP12" s="704"/>
      <c r="BQ12" s="704"/>
      <c r="BR12" s="704"/>
      <c r="BS12" s="704"/>
      <c r="BT12" s="704" t="s">
        <v>289</v>
      </c>
      <c r="BU12" s="704"/>
      <c r="BV12" s="704"/>
      <c r="BW12" s="704"/>
      <c r="BX12" s="704"/>
      <c r="BY12" s="744" t="s">
        <v>288</v>
      </c>
      <c r="BZ12" s="826"/>
      <c r="CA12" s="826"/>
      <c r="CB12" s="826"/>
      <c r="CC12" s="827"/>
      <c r="CD12" s="699">
        <v>2</v>
      </c>
      <c r="CE12" s="706"/>
      <c r="CF12" s="697"/>
      <c r="CG12" s="828"/>
      <c r="CH12" s="697"/>
      <c r="CI12" s="828"/>
      <c r="CJ12" s="828" t="s">
        <v>287</v>
      </c>
      <c r="CK12" s="829"/>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705">
        <v>80</v>
      </c>
      <c r="DO12" s="705"/>
      <c r="DP12" s="706"/>
      <c r="DQ12" s="700">
        <v>20</v>
      </c>
      <c r="DR12" s="701"/>
      <c r="DS12" s="707"/>
      <c r="DT12" s="700">
        <v>20</v>
      </c>
      <c r="DU12" s="701"/>
      <c r="DV12" s="707"/>
      <c r="DW12" s="832"/>
      <c r="DX12" s="833"/>
      <c r="DY12" s="834"/>
    </row>
    <row r="13" spans="1:129" ht="21" customHeight="1">
      <c r="A13" s="703"/>
      <c r="B13" s="704"/>
      <c r="C13" s="704"/>
      <c r="D13" s="704"/>
      <c r="E13" s="704"/>
      <c r="F13" s="704"/>
      <c r="G13" s="704"/>
      <c r="H13" s="704"/>
      <c r="I13" s="704"/>
      <c r="J13" s="704"/>
      <c r="K13" s="704"/>
      <c r="L13" s="744"/>
      <c r="M13" s="745"/>
      <c r="N13" s="745"/>
      <c r="O13" s="745"/>
      <c r="P13" s="746"/>
      <c r="Q13" s="699"/>
      <c r="R13" s="706"/>
      <c r="S13" s="699"/>
      <c r="T13" s="743"/>
      <c r="U13" s="699"/>
      <c r="V13" s="743"/>
      <c r="W13" s="735"/>
      <c r="X13" s="736"/>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705"/>
      <c r="BB13" s="705"/>
      <c r="BC13" s="706"/>
      <c r="BD13" s="700"/>
      <c r="BE13" s="701"/>
      <c r="BF13" s="707"/>
      <c r="BG13" s="700"/>
      <c r="BH13" s="701"/>
      <c r="BI13" s="707"/>
      <c r="BJ13" s="789"/>
      <c r="BK13" s="790"/>
      <c r="BL13" s="791"/>
      <c r="BN13" s="703"/>
      <c r="BO13" s="704"/>
      <c r="BP13" s="704"/>
      <c r="BQ13" s="704"/>
      <c r="BR13" s="704"/>
      <c r="BS13" s="704"/>
      <c r="BT13" s="704"/>
      <c r="BU13" s="704"/>
      <c r="BV13" s="704"/>
      <c r="BW13" s="704"/>
      <c r="BX13" s="704"/>
      <c r="BY13" s="744"/>
      <c r="BZ13" s="826"/>
      <c r="CA13" s="826"/>
      <c r="CB13" s="826"/>
      <c r="CC13" s="827"/>
      <c r="CD13" s="699"/>
      <c r="CE13" s="706"/>
      <c r="CF13" s="697"/>
      <c r="CG13" s="828"/>
      <c r="CH13" s="697"/>
      <c r="CI13" s="828"/>
      <c r="CJ13" s="828"/>
      <c r="CK13" s="829"/>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705"/>
      <c r="DO13" s="705"/>
      <c r="DP13" s="706"/>
      <c r="DQ13" s="700"/>
      <c r="DR13" s="701"/>
      <c r="DS13" s="707"/>
      <c r="DT13" s="700"/>
      <c r="DU13" s="701"/>
      <c r="DV13" s="707"/>
      <c r="DW13" s="832"/>
      <c r="DX13" s="833"/>
      <c r="DY13" s="834"/>
    </row>
    <row r="14" spans="1:129" ht="21" customHeight="1">
      <c r="A14" s="703"/>
      <c r="B14" s="704"/>
      <c r="C14" s="704"/>
      <c r="D14" s="704"/>
      <c r="E14" s="704"/>
      <c r="F14" s="704"/>
      <c r="G14" s="697"/>
      <c r="H14" s="697"/>
      <c r="I14" s="697"/>
      <c r="J14" s="697"/>
      <c r="K14" s="697"/>
      <c r="L14" s="744"/>
      <c r="M14" s="745"/>
      <c r="N14" s="745"/>
      <c r="O14" s="745"/>
      <c r="P14" s="746"/>
      <c r="Q14" s="699"/>
      <c r="R14" s="706"/>
      <c r="S14" s="699"/>
      <c r="T14" s="743"/>
      <c r="U14" s="699"/>
      <c r="V14" s="743"/>
      <c r="W14" s="735"/>
      <c r="X14" s="736"/>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705"/>
      <c r="BB14" s="705"/>
      <c r="BC14" s="706"/>
      <c r="BD14" s="700"/>
      <c r="BE14" s="701"/>
      <c r="BF14" s="707"/>
      <c r="BG14" s="700"/>
      <c r="BH14" s="701"/>
      <c r="BI14" s="707"/>
      <c r="BJ14" s="789"/>
      <c r="BK14" s="790"/>
      <c r="BL14" s="791"/>
      <c r="BN14" s="703"/>
      <c r="BO14" s="704"/>
      <c r="BP14" s="704"/>
      <c r="BQ14" s="704"/>
      <c r="BR14" s="704"/>
      <c r="BS14" s="704"/>
      <c r="BT14" s="697"/>
      <c r="BU14" s="697"/>
      <c r="BV14" s="697"/>
      <c r="BW14" s="697"/>
      <c r="BX14" s="697"/>
      <c r="BY14" s="744"/>
      <c r="BZ14" s="826"/>
      <c r="CA14" s="826"/>
      <c r="CB14" s="826"/>
      <c r="CC14" s="827"/>
      <c r="CD14" s="699"/>
      <c r="CE14" s="706"/>
      <c r="CF14" s="697"/>
      <c r="CG14" s="828"/>
      <c r="CH14" s="697"/>
      <c r="CI14" s="828"/>
      <c r="CJ14" s="828"/>
      <c r="CK14" s="829"/>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705"/>
      <c r="DO14" s="705"/>
      <c r="DP14" s="706"/>
      <c r="DQ14" s="700"/>
      <c r="DR14" s="701"/>
      <c r="DS14" s="707"/>
      <c r="DT14" s="700"/>
      <c r="DU14" s="701"/>
      <c r="DV14" s="707"/>
      <c r="DW14" s="832"/>
      <c r="DX14" s="833"/>
      <c r="DY14" s="834"/>
    </row>
    <row r="15" spans="1:129" ht="21" customHeight="1">
      <c r="A15" s="703"/>
      <c r="B15" s="704"/>
      <c r="C15" s="704"/>
      <c r="D15" s="704"/>
      <c r="E15" s="704"/>
      <c r="F15" s="704"/>
      <c r="G15" s="697"/>
      <c r="H15" s="697"/>
      <c r="I15" s="697"/>
      <c r="J15" s="697"/>
      <c r="K15" s="697"/>
      <c r="L15" s="744"/>
      <c r="M15" s="745"/>
      <c r="N15" s="745"/>
      <c r="O15" s="745"/>
      <c r="P15" s="746"/>
      <c r="Q15" s="699"/>
      <c r="R15" s="706"/>
      <c r="S15" s="699"/>
      <c r="T15" s="743"/>
      <c r="U15" s="699"/>
      <c r="V15" s="743"/>
      <c r="W15" s="735"/>
      <c r="X15" s="736"/>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705"/>
      <c r="BB15" s="705"/>
      <c r="BC15" s="706"/>
      <c r="BD15" s="700"/>
      <c r="BE15" s="701"/>
      <c r="BF15" s="707"/>
      <c r="BG15" s="700"/>
      <c r="BH15" s="701"/>
      <c r="BI15" s="707"/>
      <c r="BJ15" s="789"/>
      <c r="BK15" s="790"/>
      <c r="BL15" s="791"/>
      <c r="BN15" s="703"/>
      <c r="BO15" s="704"/>
      <c r="BP15" s="704"/>
      <c r="BQ15" s="704"/>
      <c r="BR15" s="704"/>
      <c r="BS15" s="704"/>
      <c r="BT15" s="697"/>
      <c r="BU15" s="697"/>
      <c r="BV15" s="697"/>
      <c r="BW15" s="697"/>
      <c r="BX15" s="697"/>
      <c r="BY15" s="744"/>
      <c r="BZ15" s="826"/>
      <c r="CA15" s="826"/>
      <c r="CB15" s="826"/>
      <c r="CC15" s="827"/>
      <c r="CD15" s="699"/>
      <c r="CE15" s="706"/>
      <c r="CF15" s="697"/>
      <c r="CG15" s="828"/>
      <c r="CH15" s="697"/>
      <c r="CI15" s="828"/>
      <c r="CJ15" s="828"/>
      <c r="CK15" s="829"/>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705"/>
      <c r="DO15" s="705"/>
      <c r="DP15" s="706"/>
      <c r="DQ15" s="700"/>
      <c r="DR15" s="701"/>
      <c r="DS15" s="707"/>
      <c r="DT15" s="700"/>
      <c r="DU15" s="701"/>
      <c r="DV15" s="707"/>
      <c r="DW15" s="832"/>
      <c r="DX15" s="833"/>
      <c r="DY15" s="834"/>
    </row>
    <row r="16" spans="1:129" ht="21" customHeight="1">
      <c r="A16" s="703"/>
      <c r="B16" s="704"/>
      <c r="C16" s="704"/>
      <c r="D16" s="704"/>
      <c r="E16" s="704"/>
      <c r="F16" s="704"/>
      <c r="G16" s="697"/>
      <c r="H16" s="697"/>
      <c r="I16" s="697"/>
      <c r="J16" s="697"/>
      <c r="K16" s="697"/>
      <c r="L16" s="744"/>
      <c r="M16" s="745"/>
      <c r="N16" s="745"/>
      <c r="O16" s="745"/>
      <c r="P16" s="746"/>
      <c r="Q16" s="699"/>
      <c r="R16" s="706"/>
      <c r="S16" s="699"/>
      <c r="T16" s="743"/>
      <c r="U16" s="699"/>
      <c r="V16" s="743"/>
      <c r="W16" s="735"/>
      <c r="X16" s="736"/>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705"/>
      <c r="BB16" s="705"/>
      <c r="BC16" s="706"/>
      <c r="BD16" s="700"/>
      <c r="BE16" s="701"/>
      <c r="BF16" s="707"/>
      <c r="BG16" s="700"/>
      <c r="BH16" s="701"/>
      <c r="BI16" s="707"/>
      <c r="BJ16" s="789"/>
      <c r="BK16" s="790"/>
      <c r="BL16" s="791"/>
      <c r="BN16" s="703"/>
      <c r="BO16" s="704"/>
      <c r="BP16" s="704"/>
      <c r="BQ16" s="704"/>
      <c r="BR16" s="704"/>
      <c r="BS16" s="704"/>
      <c r="BT16" s="697"/>
      <c r="BU16" s="697"/>
      <c r="BV16" s="697"/>
      <c r="BW16" s="697"/>
      <c r="BX16" s="697"/>
      <c r="BY16" s="744"/>
      <c r="BZ16" s="826"/>
      <c r="CA16" s="826"/>
      <c r="CB16" s="826"/>
      <c r="CC16" s="827"/>
      <c r="CD16" s="699"/>
      <c r="CE16" s="706"/>
      <c r="CF16" s="697"/>
      <c r="CG16" s="828"/>
      <c r="CH16" s="697"/>
      <c r="CI16" s="828"/>
      <c r="CJ16" s="828"/>
      <c r="CK16" s="829"/>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705"/>
      <c r="DO16" s="705"/>
      <c r="DP16" s="706"/>
      <c r="DQ16" s="700"/>
      <c r="DR16" s="701"/>
      <c r="DS16" s="707"/>
      <c r="DT16" s="700"/>
      <c r="DU16" s="701"/>
      <c r="DV16" s="707"/>
      <c r="DW16" s="832"/>
      <c r="DX16" s="833"/>
      <c r="DY16" s="834"/>
    </row>
    <row r="17" spans="1:129" ht="21" customHeight="1">
      <c r="A17" s="703"/>
      <c r="B17" s="704"/>
      <c r="C17" s="704"/>
      <c r="D17" s="704"/>
      <c r="E17" s="704"/>
      <c r="F17" s="704"/>
      <c r="G17" s="704"/>
      <c r="H17" s="704"/>
      <c r="I17" s="704"/>
      <c r="J17" s="704"/>
      <c r="K17" s="704"/>
      <c r="L17" s="744"/>
      <c r="M17" s="745"/>
      <c r="N17" s="745"/>
      <c r="O17" s="745"/>
      <c r="P17" s="746"/>
      <c r="Q17" s="699"/>
      <c r="R17" s="706"/>
      <c r="S17" s="699"/>
      <c r="T17" s="743"/>
      <c r="U17" s="699"/>
      <c r="V17" s="743"/>
      <c r="W17" s="735"/>
      <c r="X17" s="736"/>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705"/>
      <c r="BB17" s="705"/>
      <c r="BC17" s="706"/>
      <c r="BD17" s="700"/>
      <c r="BE17" s="701"/>
      <c r="BF17" s="707"/>
      <c r="BG17" s="700"/>
      <c r="BH17" s="701"/>
      <c r="BI17" s="707"/>
      <c r="BJ17" s="792"/>
      <c r="BK17" s="793"/>
      <c r="BL17" s="794"/>
      <c r="BN17" s="703"/>
      <c r="BO17" s="704"/>
      <c r="BP17" s="704"/>
      <c r="BQ17" s="704"/>
      <c r="BR17" s="704"/>
      <c r="BS17" s="704"/>
      <c r="BT17" s="704"/>
      <c r="BU17" s="704"/>
      <c r="BV17" s="704"/>
      <c r="BW17" s="704"/>
      <c r="BX17" s="704"/>
      <c r="BY17" s="744"/>
      <c r="BZ17" s="826"/>
      <c r="CA17" s="826"/>
      <c r="CB17" s="826"/>
      <c r="CC17" s="827"/>
      <c r="CD17" s="699"/>
      <c r="CE17" s="706"/>
      <c r="CF17" s="697"/>
      <c r="CG17" s="828"/>
      <c r="CH17" s="697"/>
      <c r="CI17" s="828"/>
      <c r="CJ17" s="828"/>
      <c r="CK17" s="829"/>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705"/>
      <c r="DO17" s="705"/>
      <c r="DP17" s="706"/>
      <c r="DQ17" s="700"/>
      <c r="DR17" s="701"/>
      <c r="DS17" s="707"/>
      <c r="DT17" s="700"/>
      <c r="DU17" s="701"/>
      <c r="DV17" s="707"/>
      <c r="DW17" s="835"/>
      <c r="DX17" s="836"/>
      <c r="DY17" s="837"/>
    </row>
    <row r="18" spans="1:129" ht="21" customHeight="1" thickBot="1">
      <c r="A18" s="769" t="s">
        <v>286</v>
      </c>
      <c r="B18" s="770"/>
      <c r="C18" s="770"/>
      <c r="D18" s="770"/>
      <c r="E18" s="770"/>
      <c r="F18" s="770"/>
      <c r="G18" s="771"/>
      <c r="H18" s="771"/>
      <c r="I18" s="771"/>
      <c r="J18" s="771"/>
      <c r="K18" s="771"/>
      <c r="L18" s="771"/>
      <c r="M18" s="771"/>
      <c r="N18" s="771"/>
      <c r="O18" s="771"/>
      <c r="P18" s="771"/>
      <c r="Q18" s="771"/>
      <c r="R18" s="771"/>
      <c r="S18" s="771"/>
      <c r="T18" s="771"/>
      <c r="U18" s="771"/>
      <c r="V18" s="771"/>
      <c r="W18" s="772"/>
      <c r="X18" s="773"/>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801"/>
      <c r="BB18" s="802"/>
      <c r="BC18" s="803"/>
      <c r="BD18" s="798"/>
      <c r="BE18" s="799"/>
      <c r="BF18" s="800"/>
      <c r="BG18" s="783"/>
      <c r="BH18" s="784"/>
      <c r="BI18" s="785"/>
      <c r="BJ18" s="795"/>
      <c r="BK18" s="796"/>
      <c r="BL18" s="797"/>
      <c r="BN18" s="769" t="s">
        <v>286</v>
      </c>
      <c r="BO18" s="770"/>
      <c r="BP18" s="770"/>
      <c r="BQ18" s="770"/>
      <c r="BR18" s="770"/>
      <c r="BS18" s="770"/>
      <c r="BT18" s="840"/>
      <c r="BU18" s="840"/>
      <c r="BV18" s="840"/>
      <c r="BW18" s="840"/>
      <c r="BX18" s="840"/>
      <c r="BY18" s="840"/>
      <c r="BZ18" s="840"/>
      <c r="CA18" s="840"/>
      <c r="CB18" s="840"/>
      <c r="CC18" s="840"/>
      <c r="CD18" s="840"/>
      <c r="CE18" s="840"/>
      <c r="CF18" s="840"/>
      <c r="CG18" s="840"/>
      <c r="CH18" s="840"/>
      <c r="CI18" s="840"/>
      <c r="CJ18" s="841"/>
      <c r="CK18" s="842"/>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843"/>
      <c r="DO18" s="843"/>
      <c r="DP18" s="844"/>
      <c r="DQ18" s="798"/>
      <c r="DR18" s="799"/>
      <c r="DS18" s="800"/>
      <c r="DT18" s="783">
        <v>120.2</v>
      </c>
      <c r="DU18" s="784"/>
      <c r="DV18" s="785"/>
      <c r="DW18" s="795">
        <v>3</v>
      </c>
      <c r="DX18" s="845"/>
      <c r="DY18" s="846"/>
    </row>
    <row r="19" spans="1:129" ht="21" customHeight="1">
      <c r="A19" s="122" t="s">
        <v>204</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768" t="s">
        <v>285</v>
      </c>
      <c r="AG19" s="768"/>
      <c r="AH19" s="768"/>
      <c r="AI19" s="768"/>
      <c r="AJ19" s="768"/>
      <c r="AK19" s="768"/>
      <c r="AL19" s="768"/>
      <c r="AM19" s="768"/>
      <c r="AN19" s="768"/>
      <c r="AO19" s="768"/>
      <c r="AP19" s="768"/>
      <c r="AQ19" s="768"/>
      <c r="AR19" s="768"/>
      <c r="AS19" s="768"/>
      <c r="AT19" s="768"/>
      <c r="AU19" s="768"/>
      <c r="AV19" s="768"/>
      <c r="AW19" s="768"/>
      <c r="AX19" s="768"/>
      <c r="AY19" s="768"/>
      <c r="AZ19" s="768"/>
      <c r="BA19" s="698"/>
      <c r="BB19" s="781"/>
      <c r="BC19" s="781"/>
      <c r="BD19" s="781"/>
      <c r="BE19" s="781"/>
      <c r="BF19" s="781"/>
      <c r="BG19" s="781"/>
      <c r="BH19" s="781"/>
      <c r="BI19" s="781"/>
      <c r="BJ19" s="781"/>
      <c r="BK19" s="781"/>
      <c r="BL19" s="782"/>
      <c r="BN19" s="122" t="s">
        <v>204</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768" t="s">
        <v>285</v>
      </c>
      <c r="CT19" s="768"/>
      <c r="CU19" s="768"/>
      <c r="CV19" s="768"/>
      <c r="CW19" s="768"/>
      <c r="CX19" s="768"/>
      <c r="CY19" s="768"/>
      <c r="CZ19" s="768"/>
      <c r="DA19" s="768"/>
      <c r="DB19" s="768"/>
      <c r="DC19" s="768"/>
      <c r="DD19" s="768"/>
      <c r="DE19" s="768"/>
      <c r="DF19" s="768"/>
      <c r="DG19" s="768"/>
      <c r="DH19" s="768"/>
      <c r="DI19" s="768"/>
      <c r="DJ19" s="768"/>
      <c r="DK19" s="768"/>
      <c r="DL19" s="768"/>
      <c r="DM19" s="768"/>
      <c r="DN19" s="698">
        <v>40</v>
      </c>
      <c r="DO19" s="847"/>
      <c r="DP19" s="847"/>
      <c r="DQ19" s="847"/>
      <c r="DR19" s="847"/>
      <c r="DS19" s="847"/>
      <c r="DT19" s="847"/>
      <c r="DU19" s="847"/>
      <c r="DV19" s="847"/>
      <c r="DW19" s="847"/>
      <c r="DX19" s="847"/>
      <c r="DY19" s="848"/>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284</v>
      </c>
      <c r="C21" s="114"/>
      <c r="D21" s="114"/>
      <c r="E21" s="114"/>
      <c r="F21" s="114"/>
      <c r="G21" s="114"/>
      <c r="H21" s="114"/>
      <c r="I21" s="114"/>
      <c r="J21" s="114"/>
      <c r="K21" s="114"/>
      <c r="L21" s="114"/>
      <c r="M21" s="114"/>
      <c r="N21" s="114"/>
      <c r="O21" s="114"/>
      <c r="P21" s="804"/>
      <c r="Q21" s="804"/>
      <c r="R21" s="804"/>
      <c r="S21" s="114" t="s">
        <v>276</v>
      </c>
      <c r="T21" s="113"/>
      <c r="V21" s="115" t="s">
        <v>283</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282</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284</v>
      </c>
      <c r="BP21" s="114"/>
      <c r="BQ21" s="114"/>
      <c r="BR21" s="114"/>
      <c r="BS21" s="114"/>
      <c r="BT21" s="114"/>
      <c r="BU21" s="114"/>
      <c r="BV21" s="114"/>
      <c r="BW21" s="114"/>
      <c r="BX21" s="114"/>
      <c r="BY21" s="114"/>
      <c r="BZ21" s="114"/>
      <c r="CA21" s="114"/>
      <c r="CB21" s="114"/>
      <c r="CC21" s="804"/>
      <c r="CD21" s="804"/>
      <c r="CE21" s="804"/>
      <c r="CF21" s="114" t="s">
        <v>276</v>
      </c>
      <c r="CG21" s="113"/>
      <c r="CI21" s="115" t="s">
        <v>283</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282</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281</v>
      </c>
      <c r="C22" s="103"/>
      <c r="D22" s="103"/>
      <c r="E22" s="103"/>
      <c r="F22" s="103"/>
      <c r="G22" s="103"/>
      <c r="H22" s="103"/>
      <c r="I22" s="103"/>
      <c r="J22" s="103"/>
      <c r="K22" s="103"/>
      <c r="L22" s="103"/>
      <c r="M22" s="103"/>
      <c r="N22" s="111"/>
      <c r="O22" s="111"/>
      <c r="P22" s="805"/>
      <c r="Q22" s="805"/>
      <c r="R22" s="805"/>
      <c r="S22" s="103" t="s">
        <v>276</v>
      </c>
      <c r="T22" s="110"/>
      <c r="V22" s="112" t="s">
        <v>280</v>
      </c>
      <c r="W22" s="103"/>
      <c r="X22" s="103"/>
      <c r="Y22" s="103"/>
      <c r="Z22" s="103"/>
      <c r="AA22" s="103"/>
      <c r="AB22" s="103"/>
      <c r="AC22" s="103"/>
      <c r="AD22" s="103"/>
      <c r="AE22" s="103"/>
      <c r="AF22" s="103"/>
      <c r="AG22" s="103"/>
      <c r="AH22" s="805"/>
      <c r="AI22" s="805"/>
      <c r="AJ22" s="806"/>
      <c r="AK22" s="103" t="s">
        <v>279</v>
      </c>
      <c r="AL22" s="103"/>
      <c r="AM22" s="103"/>
      <c r="AN22" s="103"/>
      <c r="AO22" s="103"/>
      <c r="AP22" s="103"/>
      <c r="AQ22" s="110"/>
      <c r="AR22" s="103"/>
      <c r="AS22" s="112" t="s">
        <v>278</v>
      </c>
      <c r="AT22" s="103"/>
      <c r="AU22" s="103"/>
      <c r="AV22" s="103"/>
      <c r="AW22" s="103"/>
      <c r="AX22" s="103"/>
      <c r="AY22" s="805"/>
      <c r="AZ22" s="805"/>
      <c r="BA22" s="805"/>
      <c r="BB22" s="103" t="s">
        <v>276</v>
      </c>
      <c r="BC22" s="103"/>
      <c r="BD22" s="103"/>
      <c r="BE22" s="749"/>
      <c r="BF22" s="749"/>
      <c r="BG22" s="749"/>
      <c r="BH22" s="749"/>
      <c r="BI22" s="750"/>
      <c r="BJ22" s="103"/>
      <c r="BK22" s="103"/>
      <c r="BL22" s="102"/>
      <c r="BN22" s="109"/>
      <c r="BO22" s="112" t="s">
        <v>281</v>
      </c>
      <c r="BP22" s="103"/>
      <c r="BQ22" s="103"/>
      <c r="BR22" s="103"/>
      <c r="BS22" s="103"/>
      <c r="BT22" s="103"/>
      <c r="BU22" s="103"/>
      <c r="BV22" s="103"/>
      <c r="BW22" s="103"/>
      <c r="BX22" s="103"/>
      <c r="BY22" s="103"/>
      <c r="BZ22" s="103"/>
      <c r="CA22" s="111"/>
      <c r="CB22" s="111"/>
      <c r="CC22" s="849"/>
      <c r="CD22" s="849"/>
      <c r="CE22" s="849"/>
      <c r="CF22" s="103" t="s">
        <v>276</v>
      </c>
      <c r="CG22" s="110"/>
      <c r="CI22" s="112" t="s">
        <v>280</v>
      </c>
      <c r="CJ22" s="103"/>
      <c r="CK22" s="103"/>
      <c r="CL22" s="103"/>
      <c r="CM22" s="103"/>
      <c r="CN22" s="103"/>
      <c r="CO22" s="103"/>
      <c r="CP22" s="103"/>
      <c r="CQ22" s="103"/>
      <c r="CR22" s="103"/>
      <c r="CS22" s="103"/>
      <c r="CT22" s="103"/>
      <c r="CU22" s="805"/>
      <c r="CV22" s="805"/>
      <c r="CW22" s="805"/>
      <c r="CX22" s="103" t="s">
        <v>279</v>
      </c>
      <c r="CY22" s="103"/>
      <c r="CZ22" s="103"/>
      <c r="DA22" s="103"/>
      <c r="DB22" s="103"/>
      <c r="DC22" s="103"/>
      <c r="DD22" s="110"/>
      <c r="DE22" s="103"/>
      <c r="DF22" s="112" t="s">
        <v>278</v>
      </c>
      <c r="DG22" s="103"/>
      <c r="DH22" s="103"/>
      <c r="DI22" s="103"/>
      <c r="DJ22" s="103"/>
      <c r="DK22" s="103"/>
      <c r="DL22" s="805"/>
      <c r="DM22" s="805"/>
      <c r="DN22" s="805"/>
      <c r="DO22" s="103" t="s">
        <v>276</v>
      </c>
      <c r="DP22" s="103"/>
      <c r="DQ22" s="103"/>
      <c r="DR22" s="749"/>
      <c r="DS22" s="749"/>
      <c r="DT22" s="749"/>
      <c r="DU22" s="749"/>
      <c r="DV22" s="750"/>
      <c r="DW22" s="103"/>
      <c r="DX22" s="103"/>
      <c r="DY22" s="102"/>
    </row>
    <row r="23" spans="1:129" ht="21" customHeight="1">
      <c r="A23" s="109"/>
      <c r="B23" s="112" t="s">
        <v>277</v>
      </c>
      <c r="C23" s="103"/>
      <c r="D23" s="103"/>
      <c r="E23" s="103"/>
      <c r="F23" s="103"/>
      <c r="G23" s="103"/>
      <c r="H23" s="103"/>
      <c r="I23" s="103"/>
      <c r="J23" s="103"/>
      <c r="K23" s="103"/>
      <c r="L23" s="103"/>
      <c r="M23" s="103"/>
      <c r="N23" s="111"/>
      <c r="O23" s="111"/>
      <c r="P23" s="805"/>
      <c r="Q23" s="805"/>
      <c r="R23" s="805"/>
      <c r="S23" s="103" t="s">
        <v>276</v>
      </c>
      <c r="T23" s="110"/>
      <c r="V23" s="807" t="s">
        <v>275</v>
      </c>
      <c r="W23" s="749"/>
      <c r="X23" s="749"/>
      <c r="Y23" s="749"/>
      <c r="Z23" s="749"/>
      <c r="AA23" s="749"/>
      <c r="AB23" s="749"/>
      <c r="AC23" s="749"/>
      <c r="AD23" s="749"/>
      <c r="AE23" s="749"/>
      <c r="AF23" s="749"/>
      <c r="AG23" s="749"/>
      <c r="AH23" s="749"/>
      <c r="AI23" s="749"/>
      <c r="AJ23" s="749"/>
      <c r="AK23" s="749"/>
      <c r="AL23" s="749"/>
      <c r="AM23" s="749"/>
      <c r="AN23" s="749"/>
      <c r="AO23" s="749"/>
      <c r="AP23" s="749"/>
      <c r="AQ23" s="750"/>
      <c r="AR23" s="103"/>
      <c r="AS23" s="747" t="s">
        <v>275</v>
      </c>
      <c r="AT23" s="748"/>
      <c r="AU23" s="748"/>
      <c r="AV23" s="748"/>
      <c r="AW23" s="748"/>
      <c r="AX23" s="748"/>
      <c r="AY23" s="748"/>
      <c r="AZ23" s="748"/>
      <c r="BA23" s="748"/>
      <c r="BB23" s="748"/>
      <c r="BC23" s="748"/>
      <c r="BD23" s="748"/>
      <c r="BE23" s="748"/>
      <c r="BF23" s="748"/>
      <c r="BG23" s="748"/>
      <c r="BH23" s="748"/>
      <c r="BI23" s="808"/>
      <c r="BJ23" s="103"/>
      <c r="BK23" s="103"/>
      <c r="BL23" s="102"/>
      <c r="BN23" s="109"/>
      <c r="BO23" s="112" t="s">
        <v>277</v>
      </c>
      <c r="BP23" s="103"/>
      <c r="BQ23" s="103"/>
      <c r="BR23" s="103"/>
      <c r="BS23" s="103"/>
      <c r="BT23" s="103"/>
      <c r="BU23" s="103"/>
      <c r="BV23" s="103"/>
      <c r="BW23" s="103"/>
      <c r="BX23" s="103"/>
      <c r="BY23" s="103"/>
      <c r="BZ23" s="103"/>
      <c r="CA23" s="111"/>
      <c r="CB23" s="111"/>
      <c r="CC23" s="849"/>
      <c r="CD23" s="849"/>
      <c r="CE23" s="849"/>
      <c r="CF23" s="103" t="s">
        <v>276</v>
      </c>
      <c r="CG23" s="110"/>
      <c r="CI23" s="807" t="s">
        <v>275</v>
      </c>
      <c r="CJ23" s="749"/>
      <c r="CK23" s="749"/>
      <c r="CL23" s="749"/>
      <c r="CM23" s="749"/>
      <c r="CN23" s="749"/>
      <c r="CO23" s="749"/>
      <c r="CP23" s="749"/>
      <c r="CQ23" s="749"/>
      <c r="CR23" s="749"/>
      <c r="CS23" s="749"/>
      <c r="CT23" s="749"/>
      <c r="CU23" s="749"/>
      <c r="CV23" s="749"/>
      <c r="CW23" s="749"/>
      <c r="CX23" s="749"/>
      <c r="CY23" s="749"/>
      <c r="CZ23" s="749"/>
      <c r="DA23" s="749"/>
      <c r="DB23" s="749"/>
      <c r="DC23" s="749"/>
      <c r="DD23" s="750"/>
      <c r="DE23" s="103"/>
      <c r="DF23" s="747" t="s">
        <v>275</v>
      </c>
      <c r="DG23" s="748"/>
      <c r="DH23" s="748"/>
      <c r="DI23" s="748"/>
      <c r="DJ23" s="748"/>
      <c r="DK23" s="748"/>
      <c r="DL23" s="748"/>
      <c r="DM23" s="748"/>
      <c r="DN23" s="748"/>
      <c r="DO23" s="748"/>
      <c r="DP23" s="748"/>
      <c r="DQ23" s="748"/>
      <c r="DR23" s="748"/>
      <c r="DS23" s="748"/>
      <c r="DT23" s="748"/>
      <c r="DU23" s="748"/>
      <c r="DV23" s="808"/>
      <c r="DW23" s="103"/>
      <c r="DX23" s="103"/>
      <c r="DY23" s="102"/>
    </row>
    <row r="24" spans="1:129" ht="21" customHeight="1">
      <c r="A24" s="109"/>
      <c r="B24" s="747" t="s">
        <v>275</v>
      </c>
      <c r="C24" s="748"/>
      <c r="D24" s="748"/>
      <c r="E24" s="748"/>
      <c r="F24" s="748"/>
      <c r="G24" s="748"/>
      <c r="H24" s="748"/>
      <c r="I24" s="748"/>
      <c r="J24" s="748"/>
      <c r="K24" s="748"/>
      <c r="L24" s="748"/>
      <c r="M24" s="748"/>
      <c r="N24" s="748"/>
      <c r="O24" s="748"/>
      <c r="P24" s="748"/>
      <c r="Q24" s="748"/>
      <c r="R24" s="748"/>
      <c r="S24" s="108"/>
      <c r="T24" s="107"/>
      <c r="V24" s="106" t="s">
        <v>274</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747" t="s">
        <v>275</v>
      </c>
      <c r="BP24" s="748"/>
      <c r="BQ24" s="748"/>
      <c r="BR24" s="748"/>
      <c r="BS24" s="748"/>
      <c r="BT24" s="748"/>
      <c r="BU24" s="748"/>
      <c r="BV24" s="748"/>
      <c r="BW24" s="748"/>
      <c r="BX24" s="748"/>
      <c r="BY24" s="748"/>
      <c r="BZ24" s="748"/>
      <c r="CA24" s="748"/>
      <c r="CB24" s="748"/>
      <c r="CC24" s="748"/>
      <c r="CD24" s="748"/>
      <c r="CE24" s="748"/>
      <c r="CF24" s="108"/>
      <c r="CG24" s="107"/>
      <c r="CI24" s="106" t="s">
        <v>274</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4.25">
      <c r="A26" s="752" t="s">
        <v>2</v>
      </c>
      <c r="B26" s="753"/>
      <c r="C26" s="723" t="s">
        <v>273</v>
      </c>
      <c r="D26" s="723"/>
      <c r="E26" s="723"/>
      <c r="F26" s="723"/>
      <c r="G26" s="723"/>
      <c r="H26" s="723"/>
      <c r="I26" s="723"/>
      <c r="J26" s="723"/>
      <c r="K26" s="723"/>
      <c r="L26" s="723"/>
      <c r="M26" s="723"/>
      <c r="N26" s="723"/>
      <c r="O26" s="723"/>
      <c r="P26" s="723"/>
      <c r="Q26" s="723"/>
      <c r="R26" s="723"/>
      <c r="S26" s="723"/>
      <c r="T26" s="723"/>
      <c r="U26" s="723"/>
      <c r="V26" s="723"/>
      <c r="W26" s="723"/>
      <c r="X26" s="723"/>
      <c r="Y26" s="723"/>
      <c r="Z26" s="723"/>
      <c r="AA26" s="723"/>
      <c r="AB26" s="723"/>
      <c r="AC26" s="723"/>
      <c r="AD26" s="723"/>
      <c r="AE26" s="723"/>
      <c r="AF26" s="723"/>
      <c r="AG26" s="723"/>
      <c r="AH26" s="723"/>
      <c r="AI26" s="723"/>
      <c r="AJ26" s="723"/>
      <c r="AK26" s="723"/>
      <c r="AL26" s="723"/>
      <c r="AM26" s="723"/>
      <c r="AN26" s="723"/>
      <c r="AO26" s="723"/>
      <c r="AP26" s="723"/>
      <c r="AQ26" s="723"/>
      <c r="AR26" s="723"/>
      <c r="AS26" s="723"/>
      <c r="AT26" s="723"/>
      <c r="AU26" s="723"/>
      <c r="AV26" s="723"/>
      <c r="AW26" s="723"/>
      <c r="AX26" s="723"/>
      <c r="AY26" s="723"/>
      <c r="AZ26" s="723"/>
      <c r="BA26" s="723"/>
      <c r="BB26" s="723"/>
      <c r="BC26" s="723"/>
      <c r="BD26" s="723"/>
      <c r="BE26" s="723"/>
      <c r="BF26" s="723"/>
      <c r="BG26" s="723"/>
      <c r="BH26" s="723"/>
      <c r="BI26" s="723"/>
      <c r="BJ26" s="723"/>
      <c r="BK26" s="723"/>
      <c r="BL26" s="723"/>
      <c r="BN26" s="752" t="s">
        <v>2</v>
      </c>
      <c r="BO26" s="753"/>
      <c r="BP26" s="723" t="s">
        <v>273</v>
      </c>
      <c r="BQ26" s="723"/>
      <c r="BR26" s="723"/>
      <c r="BS26" s="723"/>
      <c r="BT26" s="723"/>
      <c r="BU26" s="723"/>
      <c r="BV26" s="723"/>
      <c r="BW26" s="723"/>
      <c r="BX26" s="723"/>
      <c r="BY26" s="723"/>
      <c r="BZ26" s="723"/>
      <c r="CA26" s="723"/>
      <c r="CB26" s="723"/>
      <c r="CC26" s="723"/>
      <c r="CD26" s="723"/>
      <c r="CE26" s="723"/>
      <c r="CF26" s="723"/>
      <c r="CG26" s="723"/>
      <c r="CH26" s="723"/>
      <c r="CI26" s="723"/>
      <c r="CJ26" s="723"/>
      <c r="CK26" s="723"/>
      <c r="CL26" s="723"/>
      <c r="CM26" s="723"/>
      <c r="CN26" s="723"/>
      <c r="CO26" s="723"/>
      <c r="CP26" s="723"/>
      <c r="CQ26" s="723"/>
      <c r="CR26" s="723"/>
      <c r="CS26" s="723"/>
      <c r="CT26" s="723"/>
      <c r="CU26" s="723"/>
      <c r="CV26" s="723"/>
      <c r="CW26" s="723"/>
      <c r="CX26" s="723"/>
      <c r="CY26" s="723"/>
      <c r="CZ26" s="723"/>
      <c r="DA26" s="723"/>
      <c r="DB26" s="723"/>
      <c r="DC26" s="723"/>
      <c r="DD26" s="723"/>
      <c r="DE26" s="723"/>
      <c r="DF26" s="723"/>
      <c r="DG26" s="723"/>
      <c r="DH26" s="723"/>
      <c r="DI26" s="723"/>
      <c r="DJ26" s="723"/>
      <c r="DK26" s="723"/>
      <c r="DL26" s="723"/>
      <c r="DM26" s="723"/>
      <c r="DN26" s="723"/>
      <c r="DO26" s="723"/>
      <c r="DP26" s="723"/>
      <c r="DQ26" s="723"/>
      <c r="DR26" s="723"/>
      <c r="DS26" s="723"/>
      <c r="DT26" s="723"/>
      <c r="DU26" s="723"/>
      <c r="DV26" s="723"/>
      <c r="DW26" s="723"/>
      <c r="DX26" s="723"/>
      <c r="DY26" s="723"/>
    </row>
    <row r="27" spans="1:129" ht="14.25">
      <c r="A27" s="65"/>
      <c r="B27" s="65"/>
      <c r="C27" s="722" t="s">
        <v>272</v>
      </c>
      <c r="D27" s="722"/>
      <c r="E27" s="722"/>
      <c r="F27" s="722"/>
      <c r="G27" s="722"/>
      <c r="H27" s="722"/>
      <c r="I27" s="722"/>
      <c r="J27" s="722"/>
      <c r="K27" s="722"/>
      <c r="L27" s="722"/>
      <c r="M27" s="722"/>
      <c r="N27" s="722"/>
      <c r="O27" s="722"/>
      <c r="P27" s="722"/>
      <c r="Q27" s="722"/>
      <c r="R27" s="722"/>
      <c r="S27" s="722"/>
      <c r="T27" s="722"/>
      <c r="U27" s="722"/>
      <c r="V27" s="722"/>
      <c r="W27" s="722"/>
      <c r="X27" s="722"/>
      <c r="Y27" s="722"/>
      <c r="Z27" s="722"/>
      <c r="AA27" s="722"/>
      <c r="AB27" s="722"/>
      <c r="AC27" s="722"/>
      <c r="AD27" s="722"/>
      <c r="AE27" s="722"/>
      <c r="AF27" s="722"/>
      <c r="AG27" s="722"/>
      <c r="AH27" s="722"/>
      <c r="AI27" s="722"/>
      <c r="AJ27" s="722"/>
      <c r="AK27" s="722"/>
      <c r="AL27" s="722"/>
      <c r="AM27" s="722"/>
      <c r="AN27" s="722"/>
      <c r="AO27" s="722"/>
      <c r="AP27" s="722"/>
      <c r="AQ27" s="722"/>
      <c r="AR27" s="722"/>
      <c r="AS27" s="722"/>
      <c r="AT27" s="722"/>
      <c r="AU27" s="722"/>
      <c r="AV27" s="722"/>
      <c r="AW27" s="722"/>
      <c r="AX27" s="722"/>
      <c r="AY27" s="722"/>
      <c r="AZ27" s="722"/>
      <c r="BA27" s="722"/>
      <c r="BB27" s="722"/>
      <c r="BC27" s="722"/>
      <c r="BD27" s="722"/>
      <c r="BE27" s="722"/>
      <c r="BF27" s="722"/>
      <c r="BG27" s="722"/>
      <c r="BH27" s="722"/>
      <c r="BI27" s="722"/>
      <c r="BJ27" s="722"/>
      <c r="BK27" s="722"/>
      <c r="BL27" s="722"/>
      <c r="BN27" s="65"/>
      <c r="BO27" s="65"/>
      <c r="BP27" s="722" t="s">
        <v>272</v>
      </c>
      <c r="BQ27" s="722"/>
      <c r="BR27" s="722"/>
      <c r="BS27" s="722"/>
      <c r="BT27" s="722"/>
      <c r="BU27" s="722"/>
      <c r="BV27" s="722"/>
      <c r="BW27" s="722"/>
      <c r="BX27" s="722"/>
      <c r="BY27" s="722"/>
      <c r="BZ27" s="722"/>
      <c r="CA27" s="722"/>
      <c r="CB27" s="722"/>
      <c r="CC27" s="722"/>
      <c r="CD27" s="722"/>
      <c r="CE27" s="722"/>
      <c r="CF27" s="722"/>
      <c r="CG27" s="722"/>
      <c r="CH27" s="722"/>
      <c r="CI27" s="722"/>
      <c r="CJ27" s="722"/>
      <c r="CK27" s="722"/>
      <c r="CL27" s="722"/>
      <c r="CM27" s="722"/>
      <c r="CN27" s="722"/>
      <c r="CO27" s="722"/>
      <c r="CP27" s="722"/>
      <c r="CQ27" s="722"/>
      <c r="CR27" s="722"/>
      <c r="CS27" s="722"/>
      <c r="CT27" s="722"/>
      <c r="CU27" s="722"/>
      <c r="CV27" s="722"/>
      <c r="CW27" s="722"/>
      <c r="CX27" s="722"/>
      <c r="CY27" s="722"/>
      <c r="CZ27" s="722"/>
      <c r="DA27" s="722"/>
      <c r="DB27" s="722"/>
      <c r="DC27" s="722"/>
      <c r="DD27" s="722"/>
      <c r="DE27" s="722"/>
      <c r="DF27" s="722"/>
      <c r="DG27" s="722"/>
      <c r="DH27" s="722"/>
      <c r="DI27" s="722"/>
      <c r="DJ27" s="722"/>
      <c r="DK27" s="722"/>
      <c r="DL27" s="722"/>
      <c r="DM27" s="722"/>
      <c r="DN27" s="722"/>
      <c r="DO27" s="722"/>
      <c r="DP27" s="722"/>
      <c r="DQ27" s="722"/>
      <c r="DR27" s="722"/>
      <c r="DS27" s="722"/>
      <c r="DT27" s="722"/>
      <c r="DU27" s="722"/>
      <c r="DV27" s="722"/>
      <c r="DW27" s="722"/>
      <c r="DX27" s="722"/>
      <c r="DY27" s="722"/>
    </row>
    <row r="28" spans="1:129" ht="14.25">
      <c r="A28" s="64"/>
      <c r="B28" s="64"/>
      <c r="C28" s="66" t="s">
        <v>271</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271</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4.25">
      <c r="A29" s="64"/>
      <c r="B29" s="64"/>
      <c r="C29" s="723" t="s">
        <v>270</v>
      </c>
      <c r="D29" s="723"/>
      <c r="E29" s="723"/>
      <c r="F29" s="723"/>
      <c r="G29" s="723"/>
      <c r="H29" s="723"/>
      <c r="I29" s="723"/>
      <c r="J29" s="723"/>
      <c r="K29" s="723"/>
      <c r="L29" s="723"/>
      <c r="M29" s="723"/>
      <c r="N29" s="723"/>
      <c r="O29" s="723"/>
      <c r="P29" s="723"/>
      <c r="Q29" s="723"/>
      <c r="R29" s="723"/>
      <c r="S29" s="723"/>
      <c r="T29" s="723"/>
      <c r="U29" s="723"/>
      <c r="V29" s="723"/>
      <c r="W29" s="723"/>
      <c r="X29" s="723"/>
      <c r="Y29" s="723"/>
      <c r="Z29" s="723"/>
      <c r="AA29" s="723"/>
      <c r="AB29" s="723"/>
      <c r="AC29" s="723"/>
      <c r="AD29" s="723"/>
      <c r="AE29" s="723"/>
      <c r="AF29" s="723"/>
      <c r="AG29" s="723"/>
      <c r="AH29" s="723"/>
      <c r="AI29" s="723"/>
      <c r="AJ29" s="723"/>
      <c r="AK29" s="723"/>
      <c r="AL29" s="723"/>
      <c r="AM29" s="723"/>
      <c r="AN29" s="723"/>
      <c r="AO29" s="723"/>
      <c r="AP29" s="723"/>
      <c r="AQ29" s="723"/>
      <c r="AR29" s="723"/>
      <c r="AS29" s="723"/>
      <c r="AT29" s="723"/>
      <c r="AU29" s="723"/>
      <c r="AV29" s="723"/>
      <c r="AW29" s="723"/>
      <c r="AX29" s="723"/>
      <c r="AY29" s="723"/>
      <c r="AZ29" s="723"/>
      <c r="BA29" s="723"/>
      <c r="BB29" s="723"/>
      <c r="BC29" s="723"/>
      <c r="BD29" s="723"/>
      <c r="BE29" s="723"/>
      <c r="BF29" s="723"/>
      <c r="BG29" s="723"/>
      <c r="BH29" s="723"/>
      <c r="BI29" s="723"/>
      <c r="BJ29" s="723"/>
      <c r="BK29" s="723"/>
      <c r="BL29" s="723"/>
      <c r="BN29" s="64"/>
      <c r="BO29" s="64"/>
      <c r="BP29" s="723" t="s">
        <v>270</v>
      </c>
      <c r="BQ29" s="723"/>
      <c r="BR29" s="723"/>
      <c r="BS29" s="723"/>
      <c r="BT29" s="723"/>
      <c r="BU29" s="723"/>
      <c r="BV29" s="723"/>
      <c r="BW29" s="723"/>
      <c r="BX29" s="723"/>
      <c r="BY29" s="723"/>
      <c r="BZ29" s="723"/>
      <c r="CA29" s="723"/>
      <c r="CB29" s="723"/>
      <c r="CC29" s="723"/>
      <c r="CD29" s="723"/>
      <c r="CE29" s="723"/>
      <c r="CF29" s="723"/>
      <c r="CG29" s="723"/>
      <c r="CH29" s="723"/>
      <c r="CI29" s="723"/>
      <c r="CJ29" s="723"/>
      <c r="CK29" s="723"/>
      <c r="CL29" s="723"/>
      <c r="CM29" s="723"/>
      <c r="CN29" s="723"/>
      <c r="CO29" s="723"/>
      <c r="CP29" s="723"/>
      <c r="CQ29" s="723"/>
      <c r="CR29" s="723"/>
      <c r="CS29" s="723"/>
      <c r="CT29" s="723"/>
      <c r="CU29" s="723"/>
      <c r="CV29" s="723"/>
      <c r="CW29" s="723"/>
      <c r="CX29" s="723"/>
      <c r="CY29" s="723"/>
      <c r="CZ29" s="723"/>
      <c r="DA29" s="723"/>
      <c r="DB29" s="723"/>
      <c r="DC29" s="723"/>
      <c r="DD29" s="723"/>
      <c r="DE29" s="723"/>
      <c r="DF29" s="723"/>
      <c r="DG29" s="723"/>
      <c r="DH29" s="723"/>
      <c r="DI29" s="723"/>
      <c r="DJ29" s="723"/>
      <c r="DK29" s="723"/>
      <c r="DL29" s="723"/>
      <c r="DM29" s="723"/>
      <c r="DN29" s="723"/>
      <c r="DO29" s="723"/>
      <c r="DP29" s="723"/>
      <c r="DQ29" s="723"/>
      <c r="DR29" s="723"/>
      <c r="DS29" s="723"/>
      <c r="DT29" s="723"/>
      <c r="DU29" s="723"/>
      <c r="DV29" s="723"/>
      <c r="DW29" s="723"/>
      <c r="DX29" s="723"/>
      <c r="DY29" s="723"/>
    </row>
    <row r="30" spans="1:129" ht="14.25" customHeight="1">
      <c r="A30" s="64"/>
      <c r="B30" s="65"/>
      <c r="C30" s="723" t="s">
        <v>269</v>
      </c>
      <c r="D30" s="722"/>
      <c r="E30" s="722"/>
      <c r="F30" s="722"/>
      <c r="G30" s="722"/>
      <c r="H30" s="722"/>
      <c r="I30" s="722"/>
      <c r="J30" s="722"/>
      <c r="K30" s="722"/>
      <c r="L30" s="722"/>
      <c r="M30" s="722"/>
      <c r="N30" s="722"/>
      <c r="O30" s="722"/>
      <c r="P30" s="722"/>
      <c r="Q30" s="722"/>
      <c r="R30" s="722"/>
      <c r="S30" s="722"/>
      <c r="T30" s="722"/>
      <c r="U30" s="722"/>
      <c r="V30" s="722"/>
      <c r="W30" s="722"/>
      <c r="X30" s="722"/>
      <c r="Y30" s="722"/>
      <c r="Z30" s="722"/>
      <c r="AA30" s="722"/>
      <c r="AB30" s="722"/>
      <c r="AC30" s="722"/>
      <c r="AD30" s="722"/>
      <c r="AE30" s="722"/>
      <c r="AF30" s="722"/>
      <c r="AG30" s="722"/>
      <c r="AH30" s="722"/>
      <c r="AI30" s="722"/>
      <c r="AJ30" s="722"/>
      <c r="AK30" s="722"/>
      <c r="AL30" s="722"/>
      <c r="AM30" s="722"/>
      <c r="AN30" s="722"/>
      <c r="AO30" s="722"/>
      <c r="AP30" s="722"/>
      <c r="AQ30" s="722"/>
      <c r="AR30" s="722"/>
      <c r="AS30" s="722"/>
      <c r="AT30" s="722"/>
      <c r="AU30" s="722"/>
      <c r="AV30" s="722"/>
      <c r="AW30" s="722"/>
      <c r="AX30" s="722"/>
      <c r="AY30" s="722"/>
      <c r="AZ30" s="722"/>
      <c r="BA30" s="722"/>
      <c r="BB30" s="722"/>
      <c r="BC30" s="722"/>
      <c r="BD30" s="722"/>
      <c r="BE30" s="722"/>
      <c r="BF30" s="722"/>
      <c r="BG30" s="722"/>
      <c r="BH30" s="722"/>
      <c r="BI30" s="722"/>
      <c r="BJ30" s="722"/>
      <c r="BK30" s="722"/>
      <c r="BL30" s="722"/>
      <c r="BN30" s="64"/>
      <c r="BO30" s="65"/>
      <c r="BP30" s="723" t="s">
        <v>269</v>
      </c>
      <c r="BQ30" s="722"/>
      <c r="BR30" s="722"/>
      <c r="BS30" s="722"/>
      <c r="BT30" s="722"/>
      <c r="BU30" s="722"/>
      <c r="BV30" s="722"/>
      <c r="BW30" s="722"/>
      <c r="BX30" s="722"/>
      <c r="BY30" s="722"/>
      <c r="BZ30" s="722"/>
      <c r="CA30" s="722"/>
      <c r="CB30" s="722"/>
      <c r="CC30" s="722"/>
      <c r="CD30" s="722"/>
      <c r="CE30" s="722"/>
      <c r="CF30" s="722"/>
      <c r="CG30" s="722"/>
      <c r="CH30" s="722"/>
      <c r="CI30" s="722"/>
      <c r="CJ30" s="722"/>
      <c r="CK30" s="722"/>
      <c r="CL30" s="722"/>
      <c r="CM30" s="722"/>
      <c r="CN30" s="722"/>
      <c r="CO30" s="722"/>
      <c r="CP30" s="722"/>
      <c r="CQ30" s="722"/>
      <c r="CR30" s="722"/>
      <c r="CS30" s="722"/>
      <c r="CT30" s="722"/>
      <c r="CU30" s="722"/>
      <c r="CV30" s="722"/>
      <c r="CW30" s="722"/>
      <c r="CX30" s="722"/>
      <c r="CY30" s="722"/>
      <c r="CZ30" s="722"/>
      <c r="DA30" s="722"/>
      <c r="DB30" s="722"/>
      <c r="DC30" s="722"/>
      <c r="DD30" s="722"/>
      <c r="DE30" s="722"/>
      <c r="DF30" s="722"/>
      <c r="DG30" s="722"/>
      <c r="DH30" s="722"/>
      <c r="DI30" s="722"/>
      <c r="DJ30" s="722"/>
      <c r="DK30" s="722"/>
      <c r="DL30" s="722"/>
      <c r="DM30" s="722"/>
      <c r="DN30" s="722"/>
      <c r="DO30" s="722"/>
      <c r="DP30" s="722"/>
      <c r="DQ30" s="722"/>
      <c r="DR30" s="722"/>
      <c r="DS30" s="722"/>
      <c r="DT30" s="722"/>
      <c r="DU30" s="722"/>
      <c r="DV30" s="722"/>
      <c r="DW30" s="722"/>
      <c r="DX30" s="722"/>
      <c r="DY30" s="722"/>
    </row>
    <row r="31" spans="1:129" ht="14.25">
      <c r="A31" s="64"/>
      <c r="B31" s="65"/>
      <c r="C31" s="66" t="s">
        <v>268</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268</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4.25">
      <c r="A32" s="64"/>
      <c r="B32" s="65"/>
      <c r="C32" s="98" t="s">
        <v>267</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266</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4.25">
      <c r="A33" s="64"/>
      <c r="B33" s="65"/>
      <c r="C33" s="66" t="s">
        <v>266</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265</v>
      </c>
      <c r="BQ33" s="66"/>
      <c r="BR33" s="66"/>
      <c r="BS33" s="66"/>
      <c r="BT33" s="66"/>
      <c r="BU33" s="66"/>
      <c r="BV33" s="66"/>
      <c r="BW33" s="66"/>
      <c r="BX33" s="66"/>
      <c r="BY33" s="66"/>
      <c r="BZ33" s="66"/>
      <c r="CA33" s="66"/>
      <c r="CB33" s="66"/>
      <c r="CC33" s="66"/>
      <c r="CD33" s="66" t="s">
        <v>264</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4.25">
      <c r="A34" s="64"/>
      <c r="B34" s="65"/>
      <c r="C34" s="66" t="s">
        <v>265</v>
      </c>
      <c r="D34" s="66"/>
      <c r="E34" s="66"/>
      <c r="F34" s="66"/>
      <c r="G34" s="66"/>
      <c r="H34" s="66"/>
      <c r="I34" s="66"/>
      <c r="J34" s="66"/>
      <c r="K34" s="66"/>
      <c r="L34" s="66"/>
      <c r="M34" s="66"/>
      <c r="N34" s="66"/>
      <c r="O34" s="66"/>
      <c r="P34" s="66"/>
      <c r="Q34" s="66" t="s">
        <v>264</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263</v>
      </c>
      <c r="BS34" s="66"/>
      <c r="BT34" s="66"/>
      <c r="BU34" s="66"/>
      <c r="BV34" s="66"/>
      <c r="BW34" s="66"/>
      <c r="BX34" s="66"/>
      <c r="BY34" s="66" t="s">
        <v>194</v>
      </c>
      <c r="BZ34" s="66"/>
      <c r="CA34" s="66"/>
      <c r="CB34" s="66"/>
      <c r="CC34" s="66"/>
      <c r="CD34" s="66"/>
      <c r="CE34" s="66"/>
      <c r="CF34" s="66"/>
      <c r="CG34" s="66"/>
      <c r="CH34" s="66"/>
      <c r="CI34" s="66"/>
      <c r="CJ34" s="66"/>
      <c r="CK34" s="66"/>
      <c r="CL34" s="66"/>
      <c r="CM34" s="66"/>
      <c r="CN34" s="66"/>
      <c r="CO34" s="66"/>
      <c r="CP34" s="66"/>
      <c r="CQ34" s="66"/>
      <c r="CR34" s="66"/>
      <c r="CS34" s="66"/>
      <c r="CT34" s="66"/>
      <c r="CU34" s="66" t="s">
        <v>262</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4.25">
      <c r="A35" s="64"/>
      <c r="B35" s="65"/>
      <c r="C35" s="66"/>
      <c r="D35" s="66"/>
      <c r="E35" s="66" t="s">
        <v>263</v>
      </c>
      <c r="F35" s="66"/>
      <c r="G35" s="66"/>
      <c r="H35" s="66"/>
      <c r="I35" s="66"/>
      <c r="J35" s="66"/>
      <c r="K35" s="66"/>
      <c r="L35" s="66" t="s">
        <v>194</v>
      </c>
      <c r="M35" s="66"/>
      <c r="N35" s="66"/>
      <c r="O35" s="66"/>
      <c r="P35" s="66"/>
      <c r="Q35" s="66"/>
      <c r="R35" s="66"/>
      <c r="S35" s="66"/>
      <c r="T35" s="66"/>
      <c r="U35" s="66"/>
      <c r="V35" s="66"/>
      <c r="W35" s="66"/>
      <c r="X35" s="66"/>
      <c r="Y35" s="66"/>
      <c r="Z35" s="66"/>
      <c r="AA35" s="66"/>
      <c r="AB35" s="66"/>
      <c r="AC35" s="66"/>
      <c r="AD35" s="66"/>
      <c r="AE35" s="66"/>
      <c r="AF35" s="66"/>
      <c r="AG35" s="66"/>
      <c r="AH35" s="66" t="s">
        <v>262</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261</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4.25">
      <c r="A36" s="64"/>
      <c r="B36" s="65"/>
      <c r="C36" s="66" t="s">
        <v>261</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722" t="s">
        <v>260</v>
      </c>
      <c r="BQ36" s="722"/>
      <c r="BR36" s="722"/>
      <c r="BS36" s="722"/>
      <c r="BT36" s="722"/>
      <c r="BU36" s="722"/>
      <c r="BV36" s="722"/>
      <c r="BW36" s="722"/>
      <c r="BX36" s="722"/>
      <c r="BY36" s="722"/>
      <c r="BZ36" s="722"/>
      <c r="CA36" s="722"/>
      <c r="CB36" s="722"/>
      <c r="CC36" s="722"/>
      <c r="CD36" s="722"/>
      <c r="CE36" s="722"/>
      <c r="CF36" s="722"/>
      <c r="CG36" s="722"/>
      <c r="CH36" s="722"/>
      <c r="CI36" s="722"/>
      <c r="CJ36" s="722"/>
      <c r="CK36" s="722"/>
      <c r="CL36" s="722"/>
      <c r="CM36" s="722"/>
      <c r="CN36" s="722"/>
      <c r="CO36" s="722"/>
      <c r="CP36" s="722"/>
      <c r="CQ36" s="722"/>
      <c r="CR36" s="722"/>
      <c r="CS36" s="722"/>
      <c r="CT36" s="722"/>
      <c r="CU36" s="722"/>
      <c r="CV36" s="722"/>
      <c r="CW36" s="722"/>
      <c r="CX36" s="722"/>
      <c r="CY36" s="722"/>
      <c r="CZ36" s="722"/>
      <c r="DA36" s="722"/>
      <c r="DB36" s="722"/>
      <c r="DC36" s="722"/>
      <c r="DD36" s="722"/>
      <c r="DE36" s="722"/>
      <c r="DF36" s="722"/>
      <c r="DG36" s="722"/>
      <c r="DH36" s="722"/>
      <c r="DI36" s="722"/>
      <c r="DJ36" s="722"/>
      <c r="DK36" s="722"/>
      <c r="DL36" s="722"/>
      <c r="DM36" s="722"/>
      <c r="DN36" s="722"/>
      <c r="DO36" s="722"/>
      <c r="DP36" s="722"/>
      <c r="DQ36" s="722"/>
      <c r="DR36" s="722"/>
      <c r="DS36" s="722"/>
      <c r="DT36" s="722"/>
      <c r="DU36" s="722"/>
      <c r="DV36" s="722"/>
      <c r="DW36" s="722"/>
      <c r="DX36" s="722"/>
      <c r="DY36" s="722"/>
    </row>
    <row r="37" spans="1:129" ht="14.25">
      <c r="A37" s="65"/>
      <c r="B37" s="65"/>
      <c r="C37" s="722" t="s">
        <v>260</v>
      </c>
      <c r="D37" s="722"/>
      <c r="E37" s="722"/>
      <c r="F37" s="722"/>
      <c r="G37" s="722"/>
      <c r="H37" s="722"/>
      <c r="I37" s="722"/>
      <c r="J37" s="722"/>
      <c r="K37" s="722"/>
      <c r="L37" s="722"/>
      <c r="M37" s="722"/>
      <c r="N37" s="722"/>
      <c r="O37" s="722"/>
      <c r="P37" s="722"/>
      <c r="Q37" s="722"/>
      <c r="R37" s="722"/>
      <c r="S37" s="722"/>
      <c r="T37" s="722"/>
      <c r="U37" s="722"/>
      <c r="V37" s="722"/>
      <c r="W37" s="722"/>
      <c r="X37" s="722"/>
      <c r="Y37" s="722"/>
      <c r="Z37" s="722"/>
      <c r="AA37" s="722"/>
      <c r="AB37" s="722"/>
      <c r="AC37" s="722"/>
      <c r="AD37" s="722"/>
      <c r="AE37" s="722"/>
      <c r="AF37" s="722"/>
      <c r="AG37" s="722"/>
      <c r="AH37" s="722"/>
      <c r="AI37" s="722"/>
      <c r="AJ37" s="722"/>
      <c r="AK37" s="722"/>
      <c r="AL37" s="722"/>
      <c r="AM37" s="722"/>
      <c r="AN37" s="722"/>
      <c r="AO37" s="722"/>
      <c r="AP37" s="722"/>
      <c r="AQ37" s="722"/>
      <c r="AR37" s="722"/>
      <c r="AS37" s="722"/>
      <c r="AT37" s="722"/>
      <c r="AU37" s="722"/>
      <c r="AV37" s="722"/>
      <c r="AW37" s="722"/>
      <c r="AX37" s="722"/>
      <c r="AY37" s="722"/>
      <c r="AZ37" s="722"/>
      <c r="BA37" s="722"/>
      <c r="BB37" s="722"/>
      <c r="BC37" s="722"/>
      <c r="BD37" s="722"/>
      <c r="BE37" s="722"/>
      <c r="BF37" s="722"/>
      <c r="BG37" s="722"/>
      <c r="BH37" s="722"/>
      <c r="BI37" s="722"/>
      <c r="BJ37" s="722"/>
      <c r="BK37" s="722"/>
      <c r="BL37" s="722"/>
      <c r="BN37" s="64"/>
      <c r="BO37" s="64"/>
      <c r="BP37" s="723" t="s">
        <v>259</v>
      </c>
      <c r="BQ37" s="724"/>
      <c r="BR37" s="724"/>
      <c r="BS37" s="724"/>
      <c r="BT37" s="724"/>
      <c r="BU37" s="724"/>
      <c r="BV37" s="724"/>
      <c r="BW37" s="724"/>
      <c r="BX37" s="724"/>
      <c r="BY37" s="724"/>
      <c r="BZ37" s="724"/>
      <c r="CA37" s="724"/>
      <c r="CB37" s="724"/>
      <c r="CC37" s="724"/>
      <c r="CD37" s="724"/>
      <c r="CE37" s="724"/>
      <c r="CF37" s="724"/>
      <c r="CG37" s="724"/>
      <c r="CH37" s="724"/>
      <c r="CI37" s="724"/>
      <c r="CJ37" s="724"/>
      <c r="CK37" s="724"/>
      <c r="CL37" s="724"/>
      <c r="CM37" s="724"/>
      <c r="CN37" s="724"/>
      <c r="CO37" s="724"/>
      <c r="CP37" s="724"/>
      <c r="CQ37" s="724"/>
      <c r="CR37" s="724"/>
      <c r="CS37" s="724"/>
      <c r="CT37" s="724"/>
      <c r="CU37" s="724"/>
      <c r="CV37" s="724"/>
      <c r="CW37" s="724"/>
      <c r="CX37" s="724"/>
      <c r="CY37" s="724"/>
      <c r="CZ37" s="724"/>
      <c r="DA37" s="724"/>
      <c r="DB37" s="724"/>
      <c r="DC37" s="724"/>
      <c r="DD37" s="724"/>
      <c r="DE37" s="724"/>
      <c r="DF37" s="724"/>
      <c r="DG37" s="724"/>
      <c r="DH37" s="724"/>
      <c r="DI37" s="724"/>
      <c r="DJ37" s="724"/>
      <c r="DK37" s="724"/>
      <c r="DL37" s="724"/>
      <c r="DM37" s="724"/>
      <c r="DN37" s="724"/>
      <c r="DO37" s="724"/>
      <c r="DP37" s="724"/>
      <c r="DQ37" s="724"/>
      <c r="DR37" s="724"/>
      <c r="DS37" s="724"/>
      <c r="DT37" s="724"/>
      <c r="DU37" s="724"/>
      <c r="DV37" s="724"/>
      <c r="DW37" s="724"/>
      <c r="DX37" s="724"/>
      <c r="DY37" s="724"/>
    </row>
    <row r="38" spans="1:129" ht="27" customHeight="1">
      <c r="A38" s="64"/>
      <c r="B38" s="64"/>
      <c r="C38" s="723" t="s">
        <v>259</v>
      </c>
      <c r="D38" s="751"/>
      <c r="E38" s="751"/>
      <c r="F38" s="751"/>
      <c r="G38" s="751"/>
      <c r="H38" s="751"/>
      <c r="I38" s="751"/>
      <c r="J38" s="751"/>
      <c r="K38" s="751"/>
      <c r="L38" s="751"/>
      <c r="M38" s="751"/>
      <c r="N38" s="751"/>
      <c r="O38" s="751"/>
      <c r="P38" s="751"/>
      <c r="Q38" s="751"/>
      <c r="R38" s="751"/>
      <c r="S38" s="751"/>
      <c r="T38" s="751"/>
      <c r="U38" s="751"/>
      <c r="V38" s="751"/>
      <c r="W38" s="751"/>
      <c r="X38" s="751"/>
      <c r="Y38" s="751"/>
      <c r="Z38" s="751"/>
      <c r="AA38" s="751"/>
      <c r="AB38" s="751"/>
      <c r="AC38" s="751"/>
      <c r="AD38" s="751"/>
      <c r="AE38" s="751"/>
      <c r="AF38" s="751"/>
      <c r="AG38" s="751"/>
      <c r="AH38" s="751"/>
      <c r="AI38" s="751"/>
      <c r="AJ38" s="751"/>
      <c r="AK38" s="751"/>
      <c r="AL38" s="751"/>
      <c r="AM38" s="751"/>
      <c r="AN38" s="751"/>
      <c r="AO38" s="751"/>
      <c r="AP38" s="751"/>
      <c r="AQ38" s="751"/>
      <c r="AR38" s="751"/>
      <c r="AS38" s="751"/>
      <c r="AT38" s="751"/>
      <c r="AU38" s="751"/>
      <c r="AV38" s="751"/>
      <c r="AW38" s="751"/>
      <c r="AX38" s="751"/>
      <c r="AY38" s="751"/>
      <c r="AZ38" s="751"/>
      <c r="BA38" s="751"/>
      <c r="BB38" s="751"/>
      <c r="BC38" s="751"/>
      <c r="BD38" s="751"/>
      <c r="BE38" s="751"/>
      <c r="BF38" s="751"/>
      <c r="BG38" s="751"/>
      <c r="BH38" s="751"/>
      <c r="BI38" s="751"/>
      <c r="BJ38" s="751"/>
      <c r="BK38" s="751"/>
      <c r="BL38" s="751"/>
      <c r="BN38" s="65"/>
      <c r="BO38" s="65"/>
      <c r="BP38" s="722" t="s">
        <v>258</v>
      </c>
      <c r="BQ38" s="722"/>
      <c r="BR38" s="722"/>
      <c r="BS38" s="722"/>
      <c r="BT38" s="722"/>
      <c r="BU38" s="722"/>
      <c r="BV38" s="722"/>
      <c r="BW38" s="722"/>
      <c r="BX38" s="722"/>
      <c r="BY38" s="722"/>
      <c r="BZ38" s="722"/>
      <c r="CA38" s="722"/>
      <c r="CB38" s="722"/>
      <c r="CC38" s="722"/>
      <c r="CD38" s="722"/>
      <c r="CE38" s="722"/>
      <c r="CF38" s="722"/>
      <c r="CG38" s="722"/>
      <c r="CH38" s="722"/>
      <c r="CI38" s="722"/>
      <c r="CJ38" s="722"/>
      <c r="CK38" s="722"/>
      <c r="CL38" s="722"/>
      <c r="CM38" s="722"/>
      <c r="CN38" s="722"/>
      <c r="CO38" s="722"/>
      <c r="CP38" s="722"/>
      <c r="CQ38" s="722"/>
      <c r="CR38" s="722"/>
      <c r="CS38" s="722"/>
      <c r="CT38" s="722"/>
      <c r="CU38" s="722"/>
      <c r="CV38" s="722"/>
      <c r="CW38" s="722"/>
      <c r="CX38" s="722"/>
      <c r="CY38" s="722"/>
      <c r="CZ38" s="722"/>
      <c r="DA38" s="722"/>
      <c r="DB38" s="722"/>
      <c r="DC38" s="722"/>
      <c r="DD38" s="722"/>
      <c r="DE38" s="722"/>
      <c r="DF38" s="722"/>
      <c r="DG38" s="722"/>
      <c r="DH38" s="722"/>
      <c r="DI38" s="722"/>
      <c r="DJ38" s="722"/>
      <c r="DK38" s="722"/>
      <c r="DL38" s="722"/>
      <c r="DM38" s="722"/>
      <c r="DN38" s="722"/>
      <c r="DO38" s="722"/>
      <c r="DP38" s="722"/>
      <c r="DQ38" s="722"/>
      <c r="DR38" s="722"/>
      <c r="DS38" s="722"/>
      <c r="DT38" s="722"/>
      <c r="DU38" s="722"/>
      <c r="DV38" s="722"/>
      <c r="DW38" s="722"/>
      <c r="DX38" s="722"/>
      <c r="DY38" s="722"/>
    </row>
    <row r="39" spans="1:129" ht="14.25">
      <c r="A39" s="65"/>
      <c r="B39" s="65"/>
      <c r="C39" s="722" t="s">
        <v>258</v>
      </c>
      <c r="D39" s="722"/>
      <c r="E39" s="722"/>
      <c r="F39" s="722"/>
      <c r="G39" s="722"/>
      <c r="H39" s="722"/>
      <c r="I39" s="722"/>
      <c r="J39" s="722"/>
      <c r="K39" s="722"/>
      <c r="L39" s="722"/>
      <c r="M39" s="722"/>
      <c r="N39" s="722"/>
      <c r="O39" s="722"/>
      <c r="P39" s="722"/>
      <c r="Q39" s="722"/>
      <c r="R39" s="722"/>
      <c r="S39" s="722"/>
      <c r="T39" s="722"/>
      <c r="U39" s="722"/>
      <c r="V39" s="722"/>
      <c r="W39" s="722"/>
      <c r="X39" s="722"/>
      <c r="Y39" s="722"/>
      <c r="Z39" s="722"/>
      <c r="AA39" s="722"/>
      <c r="AB39" s="722"/>
      <c r="AC39" s="722"/>
      <c r="AD39" s="722"/>
      <c r="AE39" s="722"/>
      <c r="AF39" s="722"/>
      <c r="AG39" s="722"/>
      <c r="AH39" s="722"/>
      <c r="AI39" s="722"/>
      <c r="AJ39" s="722"/>
      <c r="AK39" s="722"/>
      <c r="AL39" s="722"/>
      <c r="AM39" s="722"/>
      <c r="AN39" s="722"/>
      <c r="AO39" s="722"/>
      <c r="AP39" s="722"/>
      <c r="AQ39" s="722"/>
      <c r="AR39" s="722"/>
      <c r="AS39" s="722"/>
      <c r="AT39" s="722"/>
      <c r="AU39" s="722"/>
      <c r="AV39" s="722"/>
      <c r="AW39" s="722"/>
      <c r="AX39" s="722"/>
      <c r="AY39" s="722"/>
      <c r="AZ39" s="722"/>
      <c r="BA39" s="722"/>
      <c r="BB39" s="722"/>
      <c r="BC39" s="722"/>
      <c r="BD39" s="722"/>
      <c r="BE39" s="722"/>
      <c r="BF39" s="722"/>
      <c r="BG39" s="722"/>
      <c r="BH39" s="722"/>
      <c r="BI39" s="722"/>
      <c r="BJ39" s="722"/>
      <c r="BK39" s="722"/>
      <c r="BL39" s="722"/>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80" orientation="landscape" r:id="rId1"/>
  <headerFooter alignWithMargins="0">
    <oddFooter>&amp;R48</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461</v>
      </c>
      <c r="B1" s="144"/>
    </row>
    <row r="3" spans="1:19" ht="18" customHeight="1">
      <c r="A3" s="530" t="s">
        <v>452</v>
      </c>
      <c r="B3" s="530"/>
      <c r="C3" s="530"/>
      <c r="D3" s="530"/>
      <c r="E3" s="530"/>
      <c r="F3" s="530"/>
      <c r="G3" s="530"/>
      <c r="H3" s="530"/>
      <c r="I3" s="530"/>
      <c r="J3" s="530"/>
      <c r="K3" s="530"/>
      <c r="L3" s="530"/>
      <c r="M3" s="530"/>
      <c r="N3" s="530"/>
      <c r="O3" s="530"/>
      <c r="P3" s="530"/>
      <c r="Q3" s="530"/>
      <c r="R3" s="530"/>
      <c r="S3" s="530"/>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383</v>
      </c>
    </row>
    <row r="6" spans="1:19" ht="18" customHeight="1">
      <c r="A6" s="181" t="s">
        <v>382</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451</v>
      </c>
      <c r="K7" s="182"/>
      <c r="L7" s="533"/>
      <c r="M7" s="533"/>
      <c r="N7" s="533"/>
      <c r="O7" s="533"/>
      <c r="P7" s="533"/>
      <c r="Q7" s="533"/>
      <c r="R7" s="533"/>
      <c r="S7" s="533"/>
    </row>
    <row r="8" spans="1:19" ht="18" customHeight="1">
      <c r="A8" s="185"/>
      <c r="B8" s="185"/>
      <c r="C8" s="185"/>
      <c r="D8" s="185"/>
      <c r="E8" s="185"/>
      <c r="F8" s="185"/>
      <c r="G8" s="185"/>
      <c r="H8" s="181"/>
      <c r="I8" s="181"/>
      <c r="J8" s="181" t="s">
        <v>450</v>
      </c>
      <c r="K8" s="182"/>
      <c r="L8" s="533"/>
      <c r="M8" s="533"/>
      <c r="N8" s="533"/>
      <c r="O8" s="533"/>
      <c r="P8" s="533"/>
      <c r="Q8" s="533"/>
      <c r="R8" s="533"/>
      <c r="S8" s="533"/>
    </row>
    <row r="9" spans="1:19" ht="18" customHeight="1">
      <c r="A9" s="185"/>
      <c r="B9" s="185"/>
      <c r="C9" s="185"/>
      <c r="D9" s="185"/>
      <c r="E9" s="185"/>
      <c r="F9" s="185"/>
      <c r="G9" s="185"/>
      <c r="H9" s="181"/>
      <c r="I9" s="181"/>
      <c r="J9" s="181" t="s">
        <v>449</v>
      </c>
      <c r="R9" s="184" t="s">
        <v>309</v>
      </c>
      <c r="S9" s="133"/>
    </row>
    <row r="10" spans="1:19" ht="18" customHeight="1">
      <c r="A10" s="133"/>
      <c r="B10" s="133"/>
      <c r="C10" s="179"/>
      <c r="D10" s="133"/>
      <c r="E10" s="133"/>
      <c r="F10" s="133"/>
      <c r="G10" s="133"/>
      <c r="H10" s="183"/>
      <c r="I10" s="183"/>
      <c r="K10" s="182"/>
      <c r="L10" s="534"/>
      <c r="M10" s="534"/>
      <c r="N10" s="534"/>
      <c r="O10" s="534"/>
      <c r="P10" s="534"/>
      <c r="Q10" s="534"/>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35" t="s">
        <v>448</v>
      </c>
      <c r="B13" s="535"/>
      <c r="C13" s="535"/>
      <c r="D13" s="535"/>
      <c r="E13" s="535"/>
      <c r="F13" s="535"/>
      <c r="G13" s="535"/>
      <c r="H13" s="535"/>
      <c r="I13" s="535"/>
      <c r="J13" s="535"/>
      <c r="K13" s="535"/>
      <c r="L13" s="535"/>
      <c r="M13" s="535"/>
      <c r="N13" s="535"/>
      <c r="O13" s="535"/>
      <c r="P13" s="535"/>
      <c r="Q13" s="535"/>
      <c r="R13" s="535"/>
      <c r="S13" s="535"/>
    </row>
    <row r="14" spans="1:19" ht="18" customHeight="1">
      <c r="A14" s="535"/>
      <c r="B14" s="535"/>
      <c r="C14" s="535"/>
      <c r="D14" s="535"/>
      <c r="E14" s="535"/>
      <c r="F14" s="535"/>
      <c r="G14" s="535"/>
      <c r="H14" s="535"/>
      <c r="I14" s="535"/>
      <c r="J14" s="535"/>
      <c r="K14" s="535"/>
      <c r="L14" s="535"/>
      <c r="M14" s="535"/>
      <c r="N14" s="535"/>
      <c r="O14" s="535"/>
      <c r="P14" s="535"/>
      <c r="Q14" s="535"/>
      <c r="R14" s="535"/>
      <c r="S14" s="535"/>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537" t="s">
        <v>460</v>
      </c>
      <c r="C18" s="537"/>
      <c r="D18" s="537"/>
      <c r="E18" s="537"/>
      <c r="F18" s="537"/>
      <c r="G18" s="537"/>
      <c r="H18" s="537"/>
      <c r="I18" s="537"/>
      <c r="J18" s="537"/>
      <c r="K18" s="537"/>
      <c r="L18" s="537"/>
      <c r="M18" s="537"/>
      <c r="N18" s="537"/>
      <c r="O18" s="537"/>
      <c r="P18" s="537"/>
      <c r="Q18" s="537"/>
      <c r="R18" s="537"/>
      <c r="S18" s="537"/>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538" t="s">
        <v>459</v>
      </c>
      <c r="C20" s="539"/>
      <c r="D20" s="539"/>
      <c r="E20" s="539"/>
      <c r="F20" s="539"/>
      <c r="G20" s="539"/>
      <c r="H20" s="539"/>
      <c r="I20" s="539"/>
      <c r="J20" s="539"/>
      <c r="K20" s="539"/>
      <c r="L20" s="539"/>
      <c r="M20" s="539"/>
      <c r="N20" s="539"/>
      <c r="O20" s="539"/>
      <c r="P20" s="539"/>
      <c r="Q20" s="539"/>
      <c r="R20" s="539"/>
      <c r="S20" s="540"/>
      <c r="T20" s="197"/>
    </row>
    <row r="21" spans="1:20" ht="18.75" customHeight="1">
      <c r="A21" s="215"/>
      <c r="B21" s="217"/>
      <c r="C21" s="541" t="s">
        <v>458</v>
      </c>
      <c r="D21" s="541"/>
      <c r="E21" s="541"/>
      <c r="F21" s="541"/>
      <c r="G21" s="541"/>
      <c r="H21" s="541"/>
      <c r="I21" s="541"/>
      <c r="J21" s="541"/>
      <c r="K21" s="541"/>
      <c r="L21" s="541"/>
      <c r="M21" s="541"/>
      <c r="N21" s="541"/>
      <c r="O21" s="541"/>
      <c r="P21" s="541"/>
      <c r="Q21" s="541"/>
      <c r="R21" s="541"/>
      <c r="S21" s="542"/>
      <c r="T21" s="197"/>
    </row>
    <row r="22" spans="1:20" ht="41.25" customHeight="1">
      <c r="A22" s="215"/>
      <c r="B22" s="217"/>
      <c r="C22" s="541" t="s">
        <v>457</v>
      </c>
      <c r="D22" s="541"/>
      <c r="E22" s="541"/>
      <c r="F22" s="541"/>
      <c r="G22" s="541"/>
      <c r="H22" s="541"/>
      <c r="I22" s="541"/>
      <c r="J22" s="541"/>
      <c r="K22" s="541"/>
      <c r="L22" s="541"/>
      <c r="M22" s="541"/>
      <c r="N22" s="541"/>
      <c r="O22" s="541"/>
      <c r="P22" s="541"/>
      <c r="Q22" s="541"/>
      <c r="R22" s="541"/>
      <c r="S22" s="542"/>
      <c r="T22" s="197"/>
    </row>
    <row r="23" spans="1:20" ht="27.75" customHeight="1">
      <c r="A23" s="215"/>
      <c r="B23" s="217"/>
      <c r="C23" s="541" t="s">
        <v>456</v>
      </c>
      <c r="D23" s="541"/>
      <c r="E23" s="541"/>
      <c r="F23" s="541"/>
      <c r="G23" s="541"/>
      <c r="H23" s="541"/>
      <c r="I23" s="541"/>
      <c r="J23" s="541"/>
      <c r="K23" s="541"/>
      <c r="L23" s="541"/>
      <c r="M23" s="541"/>
      <c r="N23" s="541"/>
      <c r="O23" s="541"/>
      <c r="P23" s="541"/>
      <c r="Q23" s="541"/>
      <c r="R23" s="541"/>
      <c r="S23" s="542"/>
      <c r="T23" s="197"/>
    </row>
    <row r="24" spans="1:20" ht="27.75" customHeight="1" thickBot="1">
      <c r="A24" s="215"/>
      <c r="B24" s="216"/>
      <c r="C24" s="543" t="s">
        <v>443</v>
      </c>
      <c r="D24" s="543"/>
      <c r="E24" s="543"/>
      <c r="F24" s="543"/>
      <c r="G24" s="543"/>
      <c r="H24" s="543"/>
      <c r="I24" s="543"/>
      <c r="J24" s="543"/>
      <c r="K24" s="543"/>
      <c r="L24" s="543"/>
      <c r="M24" s="543"/>
      <c r="N24" s="543"/>
      <c r="O24" s="543"/>
      <c r="P24" s="543"/>
      <c r="Q24" s="543"/>
      <c r="R24" s="543"/>
      <c r="S24" s="544"/>
      <c r="T24" s="197"/>
    </row>
    <row r="25" spans="1:20" ht="9.75" customHeight="1">
      <c r="A25" s="215"/>
      <c r="B25" s="172"/>
      <c r="C25" s="173"/>
      <c r="D25" s="172"/>
      <c r="E25" s="172"/>
      <c r="F25" s="172"/>
      <c r="G25" s="172"/>
      <c r="H25" s="172"/>
      <c r="I25" s="172"/>
      <c r="J25" s="172"/>
      <c r="K25" s="172"/>
      <c r="L25" s="172"/>
      <c r="M25" s="172"/>
      <c r="N25" s="172"/>
      <c r="O25" s="172"/>
      <c r="P25" s="172"/>
      <c r="Q25" s="172"/>
      <c r="R25" s="172"/>
      <c r="S25" s="172"/>
      <c r="T25" s="197"/>
    </row>
    <row r="26" spans="1:20" ht="40.5" customHeight="1">
      <c r="A26" s="215" t="s">
        <v>378</v>
      </c>
      <c r="B26" s="532" t="s">
        <v>455</v>
      </c>
      <c r="C26" s="532"/>
      <c r="D26" s="532"/>
      <c r="E26" s="532"/>
      <c r="F26" s="532"/>
      <c r="G26" s="532"/>
      <c r="H26" s="532"/>
      <c r="I26" s="532"/>
      <c r="J26" s="532"/>
      <c r="K26" s="532"/>
      <c r="L26" s="532"/>
      <c r="M26" s="532"/>
      <c r="N26" s="532"/>
      <c r="O26" s="532"/>
      <c r="P26" s="532"/>
      <c r="Q26" s="532"/>
      <c r="R26" s="532"/>
      <c r="S26" s="532"/>
      <c r="T26" s="197"/>
    </row>
    <row r="27" spans="1:20" ht="13.5" customHeight="1">
      <c r="A27" s="200"/>
      <c r="B27" s="198"/>
      <c r="C27" s="170"/>
      <c r="D27" s="198"/>
      <c r="E27" s="198"/>
      <c r="F27" s="198"/>
      <c r="G27" s="198"/>
      <c r="H27" s="198"/>
      <c r="I27" s="198"/>
      <c r="J27" s="198"/>
      <c r="K27" s="198"/>
      <c r="L27" s="198"/>
      <c r="M27" s="198"/>
      <c r="N27" s="198"/>
      <c r="O27" s="198"/>
      <c r="P27" s="198"/>
      <c r="Q27" s="198"/>
      <c r="R27" s="198"/>
      <c r="S27" s="198"/>
      <c r="T27" s="197"/>
    </row>
    <row r="28" spans="1:20" ht="16.5" customHeight="1">
      <c r="A28" s="215"/>
      <c r="B28" s="198"/>
      <c r="C28" s="214" t="s">
        <v>454</v>
      </c>
      <c r="D28" s="203"/>
      <c r="E28" s="203"/>
      <c r="F28" s="203"/>
      <c r="G28" s="203"/>
      <c r="H28" s="203"/>
      <c r="I28" s="203"/>
      <c r="J28" s="203"/>
      <c r="K28" s="203"/>
      <c r="L28" s="203"/>
      <c r="M28" s="203"/>
      <c r="N28" s="203"/>
      <c r="O28" s="203"/>
      <c r="P28" s="203"/>
      <c r="Q28" s="198"/>
      <c r="R28" s="198"/>
      <c r="S28" s="198"/>
      <c r="T28" s="197"/>
    </row>
    <row r="29" spans="1:20" ht="11.25" customHeight="1" thickBot="1">
      <c r="A29" s="196"/>
      <c r="B29" s="194"/>
      <c r="C29" s="213"/>
      <c r="D29" s="194"/>
      <c r="E29" s="194"/>
      <c r="F29" s="194"/>
      <c r="G29" s="194"/>
      <c r="H29" s="194"/>
      <c r="I29" s="194"/>
      <c r="J29" s="194"/>
      <c r="K29" s="194"/>
      <c r="L29" s="194"/>
      <c r="M29" s="194"/>
      <c r="N29" s="194"/>
      <c r="O29" s="194"/>
      <c r="P29" s="194"/>
      <c r="Q29" s="194"/>
      <c r="R29" s="194"/>
      <c r="S29" s="194"/>
      <c r="T29" s="193"/>
    </row>
    <row r="30" spans="1:20" ht="11.25" customHeight="1"/>
    <row r="31" spans="1:20" ht="18" customHeight="1">
      <c r="A31" s="169"/>
      <c r="B31" s="167"/>
      <c r="D31" s="167"/>
      <c r="E31" s="167"/>
      <c r="F31" s="167"/>
      <c r="G31" s="167"/>
      <c r="H31" s="167"/>
      <c r="I31" s="167"/>
      <c r="J31" s="167"/>
      <c r="K31" s="167"/>
      <c r="L31" s="167"/>
      <c r="M31" s="167"/>
      <c r="N31" s="167"/>
      <c r="O31" s="167"/>
      <c r="P31" s="167"/>
      <c r="Q31" s="167"/>
      <c r="R31" s="167"/>
      <c r="S31" s="167"/>
    </row>
    <row r="32" spans="1:20" ht="18" customHeight="1">
      <c r="A32" s="169" t="s">
        <v>374</v>
      </c>
      <c r="B32" s="532" t="s">
        <v>440</v>
      </c>
      <c r="C32" s="532"/>
      <c r="D32" s="532"/>
      <c r="E32" s="532"/>
      <c r="F32" s="532"/>
      <c r="G32" s="532"/>
      <c r="H32" s="532"/>
      <c r="I32" s="532"/>
      <c r="J32" s="532"/>
      <c r="K32" s="532"/>
      <c r="L32" s="532"/>
      <c r="M32" s="532"/>
      <c r="N32" s="532"/>
      <c r="O32" s="532"/>
      <c r="P32" s="532"/>
      <c r="Q32" s="532"/>
      <c r="R32" s="532"/>
      <c r="S32" s="532"/>
    </row>
    <row r="33" spans="1:19" ht="18" customHeight="1">
      <c r="A33" s="169"/>
      <c r="B33" s="532"/>
      <c r="C33" s="532"/>
      <c r="D33" s="532"/>
      <c r="E33" s="532"/>
      <c r="F33" s="532"/>
      <c r="G33" s="532"/>
      <c r="H33" s="532"/>
      <c r="I33" s="532"/>
      <c r="J33" s="532"/>
      <c r="K33" s="532"/>
      <c r="L33" s="532"/>
      <c r="M33" s="532"/>
      <c r="N33" s="532"/>
      <c r="O33" s="532"/>
      <c r="P33" s="532"/>
      <c r="Q33" s="532"/>
      <c r="R33" s="532"/>
      <c r="S33" s="532"/>
    </row>
    <row r="34" spans="1:19" ht="18" customHeight="1">
      <c r="A34" s="169"/>
      <c r="B34" s="167"/>
      <c r="C34" s="168"/>
      <c r="D34" s="167"/>
      <c r="E34" s="167"/>
      <c r="F34" s="167"/>
      <c r="G34" s="167"/>
      <c r="H34" s="167"/>
      <c r="I34" s="167"/>
      <c r="J34" s="167"/>
      <c r="K34" s="167"/>
      <c r="L34" s="167"/>
      <c r="M34" s="167"/>
      <c r="N34" s="167"/>
      <c r="O34" s="167"/>
      <c r="P34" s="167"/>
      <c r="Q34" s="167"/>
      <c r="R34" s="167"/>
      <c r="S34" s="167"/>
    </row>
    <row r="35" spans="1:19" ht="18" customHeight="1">
      <c r="A35" s="169"/>
      <c r="B35" s="167"/>
      <c r="C35" s="170"/>
      <c r="D35" s="167"/>
      <c r="E35" s="167"/>
      <c r="F35" s="167"/>
      <c r="G35" s="167"/>
      <c r="H35" s="167"/>
      <c r="I35" s="167"/>
      <c r="J35" s="167"/>
      <c r="K35" s="167"/>
      <c r="L35" s="167"/>
      <c r="M35" s="167"/>
      <c r="N35" s="167"/>
      <c r="O35" s="167"/>
      <c r="P35" s="167"/>
      <c r="Q35" s="167"/>
      <c r="R35" s="167"/>
      <c r="S35" s="167"/>
    </row>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24"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7" spans="1:19" ht="18" customHeight="1">
      <c r="J57" s="165" ph="1"/>
    </row>
    <row r="59" spans="1:19" ht="18" customHeight="1">
      <c r="A59" s="165" ph="1"/>
      <c r="B59" s="165" ph="1"/>
      <c r="C59" s="166" ph="1"/>
      <c r="D59" s="165" ph="1"/>
      <c r="J59" s="165" ph="1"/>
      <c r="K59" s="165" ph="1"/>
      <c r="L59" s="165" ph="1"/>
      <c r="M59" s="165" ph="1"/>
      <c r="N59" s="165" ph="1"/>
      <c r="O59" s="165" ph="1"/>
      <c r="P59" s="165" ph="1"/>
      <c r="Q59" s="165" ph="1"/>
    </row>
    <row r="60" spans="1:19" ht="18" customHeight="1">
      <c r="A60" s="165" ph="1"/>
      <c r="B60" s="165" ph="1"/>
      <c r="C60" s="166" ph="1"/>
      <c r="D60"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c r="J102" s="165" ph="1"/>
      <c r="K102" s="165" ph="1"/>
      <c r="L102" s="165" ph="1"/>
      <c r="M102" s="165" ph="1"/>
      <c r="N102" s="165" ph="1"/>
      <c r="O102" s="165" ph="1"/>
      <c r="P102" s="165" ph="1"/>
      <c r="Q102" s="165"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T102"/>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474</v>
      </c>
      <c r="B1" s="144"/>
    </row>
    <row r="3" spans="1:19" ht="18" customHeight="1">
      <c r="A3" s="530" t="s">
        <v>452</v>
      </c>
      <c r="B3" s="530"/>
      <c r="C3" s="530"/>
      <c r="D3" s="530"/>
      <c r="E3" s="530"/>
      <c r="F3" s="530"/>
      <c r="G3" s="530"/>
      <c r="H3" s="530"/>
      <c r="I3" s="530"/>
      <c r="J3" s="530"/>
      <c r="K3" s="530"/>
      <c r="L3" s="530"/>
      <c r="M3" s="530"/>
      <c r="N3" s="530"/>
      <c r="O3" s="530"/>
      <c r="P3" s="530"/>
      <c r="Q3" s="530"/>
      <c r="R3" s="530"/>
      <c r="S3" s="530"/>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383</v>
      </c>
    </row>
    <row r="6" spans="1:19" ht="18" customHeight="1">
      <c r="A6" s="181" t="s">
        <v>382</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451</v>
      </c>
      <c r="K7" s="182"/>
      <c r="L7" s="533"/>
      <c r="M7" s="533"/>
      <c r="N7" s="533"/>
      <c r="O7" s="533"/>
      <c r="P7" s="533"/>
      <c r="Q7" s="533"/>
      <c r="R7" s="533"/>
      <c r="S7" s="533"/>
    </row>
    <row r="8" spans="1:19" ht="18" customHeight="1">
      <c r="A8" s="185"/>
      <c r="B8" s="185"/>
      <c r="C8" s="185"/>
      <c r="D8" s="185"/>
      <c r="E8" s="185"/>
      <c r="F8" s="185"/>
      <c r="G8" s="185"/>
      <c r="H8" s="181"/>
      <c r="I8" s="181"/>
      <c r="J8" s="181" t="s">
        <v>450</v>
      </c>
      <c r="K8" s="182"/>
      <c r="L8" s="533"/>
      <c r="M8" s="533"/>
      <c r="N8" s="533"/>
      <c r="O8" s="533"/>
      <c r="P8" s="533"/>
      <c r="Q8" s="533"/>
      <c r="R8" s="533"/>
      <c r="S8" s="533"/>
    </row>
    <row r="9" spans="1:19" ht="18" customHeight="1">
      <c r="A9" s="185"/>
      <c r="B9" s="185"/>
      <c r="C9" s="185"/>
      <c r="D9" s="185"/>
      <c r="E9" s="185"/>
      <c r="F9" s="185"/>
      <c r="G9" s="185"/>
      <c r="H9" s="181"/>
      <c r="I9" s="181"/>
      <c r="J9" s="181" t="s">
        <v>449</v>
      </c>
      <c r="R9" s="184" t="s">
        <v>309</v>
      </c>
      <c r="S9" s="133"/>
    </row>
    <row r="10" spans="1:19" ht="18" customHeight="1">
      <c r="A10" s="133"/>
      <c r="B10" s="133"/>
      <c r="C10" s="179"/>
      <c r="D10" s="133"/>
      <c r="E10" s="133"/>
      <c r="F10" s="133"/>
      <c r="G10" s="133"/>
      <c r="H10" s="183"/>
      <c r="I10" s="183"/>
      <c r="K10" s="182"/>
      <c r="L10" s="534"/>
      <c r="M10" s="534"/>
      <c r="N10" s="534"/>
      <c r="O10" s="534"/>
      <c r="P10" s="534"/>
      <c r="Q10" s="534"/>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535" t="s">
        <v>448</v>
      </c>
      <c r="B13" s="535"/>
      <c r="C13" s="535"/>
      <c r="D13" s="535"/>
      <c r="E13" s="535"/>
      <c r="F13" s="535"/>
      <c r="G13" s="535"/>
      <c r="H13" s="535"/>
      <c r="I13" s="535"/>
      <c r="J13" s="535"/>
      <c r="K13" s="535"/>
      <c r="L13" s="535"/>
      <c r="M13" s="535"/>
      <c r="N13" s="535"/>
      <c r="O13" s="535"/>
      <c r="P13" s="535"/>
      <c r="Q13" s="535"/>
      <c r="R13" s="535"/>
      <c r="S13" s="535"/>
    </row>
    <row r="14" spans="1:19" ht="18" customHeight="1">
      <c r="A14" s="535"/>
      <c r="B14" s="535"/>
      <c r="C14" s="535"/>
      <c r="D14" s="535"/>
      <c r="E14" s="535"/>
      <c r="F14" s="535"/>
      <c r="G14" s="535"/>
      <c r="H14" s="535"/>
      <c r="I14" s="535"/>
      <c r="J14" s="535"/>
      <c r="K14" s="535"/>
      <c r="L14" s="535"/>
      <c r="M14" s="535"/>
      <c r="N14" s="535"/>
      <c r="O14" s="535"/>
      <c r="P14" s="535"/>
      <c r="Q14" s="535"/>
      <c r="R14" s="535"/>
      <c r="S14" s="535"/>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536" t="s">
        <v>1</v>
      </c>
      <c r="B16" s="536"/>
      <c r="C16" s="536"/>
      <c r="D16" s="536"/>
      <c r="E16" s="536"/>
      <c r="F16" s="536"/>
      <c r="G16" s="536"/>
      <c r="H16" s="536"/>
      <c r="I16" s="536"/>
      <c r="J16" s="536"/>
      <c r="K16" s="536"/>
      <c r="L16" s="536"/>
      <c r="M16" s="536"/>
      <c r="N16" s="536"/>
      <c r="O16" s="536"/>
      <c r="P16" s="536"/>
      <c r="Q16" s="536"/>
      <c r="R16" s="536"/>
      <c r="S16" s="536"/>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537" t="s">
        <v>473</v>
      </c>
      <c r="C18" s="537"/>
      <c r="D18" s="537"/>
      <c r="E18" s="537"/>
      <c r="F18" s="537"/>
      <c r="G18" s="537"/>
      <c r="H18" s="537"/>
      <c r="I18" s="537"/>
      <c r="J18" s="537"/>
      <c r="K18" s="537"/>
      <c r="L18" s="537"/>
      <c r="M18" s="537"/>
      <c r="N18" s="537"/>
      <c r="O18" s="537"/>
      <c r="P18" s="537"/>
      <c r="Q18" s="537"/>
      <c r="R18" s="537"/>
      <c r="S18" s="537"/>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538" t="s">
        <v>472</v>
      </c>
      <c r="C20" s="539"/>
      <c r="D20" s="539"/>
      <c r="E20" s="539"/>
      <c r="F20" s="539"/>
      <c r="G20" s="539"/>
      <c r="H20" s="539"/>
      <c r="I20" s="539"/>
      <c r="J20" s="539"/>
      <c r="K20" s="539"/>
      <c r="L20" s="539"/>
      <c r="M20" s="539"/>
      <c r="N20" s="539"/>
      <c r="O20" s="539"/>
      <c r="P20" s="539"/>
      <c r="Q20" s="539"/>
      <c r="R20" s="539"/>
      <c r="S20" s="540"/>
      <c r="T20" s="197"/>
    </row>
    <row r="21" spans="1:20" ht="36" customHeight="1">
      <c r="A21" s="215"/>
      <c r="B21" s="217"/>
      <c r="C21" s="541" t="s">
        <v>471</v>
      </c>
      <c r="D21" s="541"/>
      <c r="E21" s="541"/>
      <c r="F21" s="541"/>
      <c r="G21" s="541"/>
      <c r="H21" s="541"/>
      <c r="I21" s="541"/>
      <c r="J21" s="541"/>
      <c r="K21" s="541"/>
      <c r="L21" s="541"/>
      <c r="M21" s="541"/>
      <c r="N21" s="541"/>
      <c r="O21" s="541"/>
      <c r="P21" s="541"/>
      <c r="Q21" s="541"/>
      <c r="R21" s="541"/>
      <c r="S21" s="542"/>
      <c r="T21" s="197"/>
    </row>
    <row r="22" spans="1:20" ht="54" customHeight="1">
      <c r="A22" s="215"/>
      <c r="B22" s="217"/>
      <c r="C22" s="541" t="s">
        <v>470</v>
      </c>
      <c r="D22" s="541"/>
      <c r="E22" s="541"/>
      <c r="F22" s="541"/>
      <c r="G22" s="541"/>
      <c r="H22" s="541"/>
      <c r="I22" s="541"/>
      <c r="J22" s="541"/>
      <c r="K22" s="541"/>
      <c r="L22" s="541"/>
      <c r="M22" s="541"/>
      <c r="N22" s="541"/>
      <c r="O22" s="541"/>
      <c r="P22" s="541"/>
      <c r="Q22" s="541"/>
      <c r="R22" s="541"/>
      <c r="S22" s="542"/>
      <c r="T22" s="197"/>
    </row>
    <row r="23" spans="1:20" ht="27.75" customHeight="1">
      <c r="A23" s="215"/>
      <c r="B23" s="217"/>
      <c r="C23" s="541"/>
      <c r="D23" s="541"/>
      <c r="E23" s="541"/>
      <c r="F23" s="541"/>
      <c r="G23" s="541"/>
      <c r="H23" s="541"/>
      <c r="I23" s="541"/>
      <c r="J23" s="541"/>
      <c r="K23" s="541"/>
      <c r="L23" s="541"/>
      <c r="M23" s="541"/>
      <c r="N23" s="541"/>
      <c r="O23" s="541"/>
      <c r="P23" s="541"/>
      <c r="Q23" s="541"/>
      <c r="R23" s="541"/>
      <c r="S23" s="542"/>
      <c r="T23" s="197"/>
    </row>
    <row r="24" spans="1:20" ht="27.75" customHeight="1" thickBot="1">
      <c r="A24" s="215"/>
      <c r="B24" s="216"/>
      <c r="C24" s="543"/>
      <c r="D24" s="543"/>
      <c r="E24" s="543"/>
      <c r="F24" s="543"/>
      <c r="G24" s="543"/>
      <c r="H24" s="543"/>
      <c r="I24" s="543"/>
      <c r="J24" s="543"/>
      <c r="K24" s="543"/>
      <c r="L24" s="543"/>
      <c r="M24" s="543"/>
      <c r="N24" s="543"/>
      <c r="O24" s="543"/>
      <c r="P24" s="543"/>
      <c r="Q24" s="543"/>
      <c r="R24" s="543"/>
      <c r="S24" s="544"/>
      <c r="T24" s="197"/>
    </row>
    <row r="25" spans="1:20" ht="9.75" customHeight="1">
      <c r="A25" s="215"/>
      <c r="B25" s="172"/>
      <c r="C25" s="173"/>
      <c r="D25" s="172"/>
      <c r="E25" s="172"/>
      <c r="F25" s="172"/>
      <c r="G25" s="172"/>
      <c r="H25" s="172"/>
      <c r="I25" s="172"/>
      <c r="J25" s="172"/>
      <c r="K25" s="172"/>
      <c r="L25" s="172"/>
      <c r="M25" s="172"/>
      <c r="N25" s="172"/>
      <c r="O25" s="172"/>
      <c r="P25" s="172"/>
      <c r="Q25" s="172"/>
      <c r="R25" s="172"/>
      <c r="S25" s="172"/>
      <c r="T25" s="197"/>
    </row>
    <row r="26" spans="1:20" ht="40.5" customHeight="1">
      <c r="A26" s="215" t="s">
        <v>378</v>
      </c>
      <c r="B26" s="532" t="s">
        <v>469</v>
      </c>
      <c r="C26" s="532"/>
      <c r="D26" s="532"/>
      <c r="E26" s="532"/>
      <c r="F26" s="532"/>
      <c r="G26" s="532"/>
      <c r="H26" s="532"/>
      <c r="I26" s="532"/>
      <c r="J26" s="532"/>
      <c r="K26" s="532"/>
      <c r="L26" s="532"/>
      <c r="M26" s="532"/>
      <c r="N26" s="532"/>
      <c r="O26" s="532"/>
      <c r="P26" s="532"/>
      <c r="Q26" s="532"/>
      <c r="R26" s="532"/>
      <c r="S26" s="532"/>
      <c r="T26" s="197"/>
    </row>
    <row r="27" spans="1:20" ht="13.5" customHeight="1">
      <c r="A27" s="200"/>
      <c r="B27" s="198"/>
      <c r="C27" s="170"/>
      <c r="D27" s="198"/>
      <c r="E27" s="198"/>
      <c r="F27" s="198"/>
      <c r="G27" s="198"/>
      <c r="H27" s="198"/>
      <c r="I27" s="198"/>
      <c r="J27" s="198"/>
      <c r="K27" s="198"/>
      <c r="L27" s="198"/>
      <c r="M27" s="198"/>
      <c r="N27" s="198"/>
      <c r="O27" s="198"/>
      <c r="P27" s="198"/>
      <c r="Q27" s="198"/>
      <c r="R27" s="198"/>
      <c r="S27" s="198"/>
      <c r="T27" s="197"/>
    </row>
    <row r="28" spans="1:20" ht="16.5" customHeight="1">
      <c r="A28" s="215"/>
      <c r="B28" s="198"/>
      <c r="C28" s="214" t="s">
        <v>468</v>
      </c>
      <c r="D28" s="203"/>
      <c r="E28" s="203"/>
      <c r="F28" s="203"/>
      <c r="G28" s="203"/>
      <c r="H28" s="203"/>
      <c r="I28" s="203"/>
      <c r="J28" s="203"/>
      <c r="K28" s="203"/>
      <c r="L28" s="203"/>
      <c r="M28" s="203"/>
      <c r="N28" s="203"/>
      <c r="O28" s="203"/>
      <c r="P28" s="203"/>
      <c r="Q28" s="198"/>
      <c r="R28" s="198"/>
      <c r="S28" s="198"/>
      <c r="T28" s="197"/>
    </row>
    <row r="29" spans="1:20" ht="11.25" customHeight="1" thickBot="1">
      <c r="A29" s="196"/>
      <c r="B29" s="194"/>
      <c r="C29" s="213"/>
      <c r="D29" s="194"/>
      <c r="E29" s="194"/>
      <c r="F29" s="194"/>
      <c r="G29" s="194"/>
      <c r="H29" s="194"/>
      <c r="I29" s="194"/>
      <c r="J29" s="194"/>
      <c r="K29" s="194"/>
      <c r="L29" s="194"/>
      <c r="M29" s="194"/>
      <c r="N29" s="194"/>
      <c r="O29" s="194"/>
      <c r="P29" s="194"/>
      <c r="Q29" s="194"/>
      <c r="R29" s="194"/>
      <c r="S29" s="194"/>
      <c r="T29" s="193"/>
    </row>
    <row r="30" spans="1:20" ht="11.25" customHeight="1"/>
    <row r="31" spans="1:20" ht="18" customHeight="1">
      <c r="A31" s="169"/>
      <c r="B31" s="167"/>
      <c r="D31" s="167"/>
      <c r="E31" s="167"/>
      <c r="F31" s="167"/>
      <c r="G31" s="167"/>
      <c r="H31" s="167"/>
      <c r="I31" s="167"/>
      <c r="J31" s="167"/>
      <c r="K31" s="167"/>
      <c r="L31" s="167"/>
      <c r="M31" s="167"/>
      <c r="N31" s="167"/>
      <c r="O31" s="167"/>
      <c r="P31" s="167"/>
      <c r="Q31" s="167"/>
      <c r="R31" s="167"/>
      <c r="S31" s="167"/>
    </row>
    <row r="32" spans="1:20" ht="18" customHeight="1">
      <c r="A32" s="169" t="s">
        <v>374</v>
      </c>
      <c r="B32" s="532" t="s">
        <v>440</v>
      </c>
      <c r="C32" s="532"/>
      <c r="D32" s="532"/>
      <c r="E32" s="532"/>
      <c r="F32" s="532"/>
      <c r="G32" s="532"/>
      <c r="H32" s="532"/>
      <c r="I32" s="532"/>
      <c r="J32" s="532"/>
      <c r="K32" s="532"/>
      <c r="L32" s="532"/>
      <c r="M32" s="532"/>
      <c r="N32" s="532"/>
      <c r="O32" s="532"/>
      <c r="P32" s="532"/>
      <c r="Q32" s="532"/>
      <c r="R32" s="532"/>
      <c r="S32" s="532"/>
    </row>
    <row r="33" spans="1:19" ht="18" customHeight="1">
      <c r="A33" s="169"/>
      <c r="B33" s="532"/>
      <c r="C33" s="532"/>
      <c r="D33" s="532"/>
      <c r="E33" s="532"/>
      <c r="F33" s="532"/>
      <c r="G33" s="532"/>
      <c r="H33" s="532"/>
      <c r="I33" s="532"/>
      <c r="J33" s="532"/>
      <c r="K33" s="532"/>
      <c r="L33" s="532"/>
      <c r="M33" s="532"/>
      <c r="N33" s="532"/>
      <c r="O33" s="532"/>
      <c r="P33" s="532"/>
      <c r="Q33" s="532"/>
      <c r="R33" s="532"/>
      <c r="S33" s="532"/>
    </row>
    <row r="34" spans="1:19" ht="18" customHeight="1">
      <c r="A34" s="169"/>
      <c r="B34" s="167"/>
      <c r="C34" s="168"/>
      <c r="D34" s="167"/>
      <c r="E34" s="167"/>
      <c r="F34" s="167"/>
      <c r="G34" s="167"/>
      <c r="H34" s="167"/>
      <c r="I34" s="167"/>
      <c r="J34" s="167"/>
      <c r="K34" s="167"/>
      <c r="L34" s="167"/>
      <c r="M34" s="167"/>
      <c r="N34" s="167"/>
      <c r="O34" s="167"/>
      <c r="P34" s="167"/>
      <c r="Q34" s="167"/>
      <c r="R34" s="167"/>
      <c r="S34" s="167"/>
    </row>
    <row r="35" spans="1:19" ht="18" customHeight="1">
      <c r="A35" s="169"/>
      <c r="B35" s="167"/>
      <c r="C35" s="170"/>
      <c r="D35" s="167"/>
      <c r="E35" s="167"/>
      <c r="F35" s="167"/>
      <c r="G35" s="167"/>
      <c r="H35" s="167"/>
      <c r="I35" s="167"/>
      <c r="J35" s="167"/>
      <c r="K35" s="167"/>
      <c r="L35" s="167"/>
      <c r="M35" s="167"/>
      <c r="N35" s="167"/>
      <c r="O35" s="167"/>
      <c r="P35" s="167"/>
      <c r="Q35" s="167"/>
      <c r="R35" s="167"/>
      <c r="S35" s="167"/>
    </row>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24"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7" spans="1:19" ht="18" customHeight="1">
      <c r="J57" s="165" ph="1"/>
    </row>
    <row r="59" spans="1:19" ht="18" customHeight="1">
      <c r="A59" s="165" ph="1"/>
      <c r="B59" s="165" ph="1"/>
      <c r="C59" s="166" ph="1"/>
      <c r="D59" s="165" ph="1"/>
      <c r="J59" s="165" ph="1"/>
      <c r="K59" s="165" ph="1"/>
      <c r="L59" s="165" ph="1"/>
      <c r="M59" s="165" ph="1"/>
      <c r="N59" s="165" ph="1"/>
      <c r="O59" s="165" ph="1"/>
      <c r="P59" s="165" ph="1"/>
      <c r="Q59" s="165" ph="1"/>
    </row>
    <row r="60" spans="1:19" ht="18" customHeight="1">
      <c r="A60" s="165" ph="1"/>
      <c r="B60" s="165" ph="1"/>
      <c r="C60" s="166" ph="1"/>
      <c r="D60"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c r="J102" s="165" ph="1"/>
      <c r="K102" s="165" ph="1"/>
      <c r="L102" s="165" ph="1"/>
      <c r="M102" s="165" ph="1"/>
      <c r="N102" s="165" ph="1"/>
      <c r="O102" s="165" ph="1"/>
      <c r="P102" s="165" ph="1"/>
      <c r="Q102" s="165"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Y46"/>
  <sheetViews>
    <sheetView view="pageBreakPreview" zoomScale="115" zoomScaleNormal="100" workbookViewId="0"/>
  </sheetViews>
  <sheetFormatPr defaultColWidth="3.625" defaultRowHeight="18.95" customHeight="1"/>
  <cols>
    <col min="1" max="1" width="1.125" style="165" customWidth="1"/>
    <col min="2" max="16384" width="3.625" style="165"/>
  </cols>
  <sheetData>
    <row r="1" spans="1:25" ht="18.95" customHeight="1">
      <c r="A1" s="212" t="s">
        <v>439</v>
      </c>
    </row>
    <row r="3" spans="1:25" ht="18.95" customHeight="1">
      <c r="C3" s="211" t="s">
        <v>438</v>
      </c>
    </row>
    <row r="4" spans="1:25" ht="18.95" customHeight="1" thickBot="1"/>
    <row r="5" spans="1:25" ht="12.75" customHeight="1">
      <c r="B5" s="867" t="s">
        <v>437</v>
      </c>
      <c r="C5" s="868"/>
      <c r="D5" s="873" t="s">
        <v>436</v>
      </c>
      <c r="E5" s="874"/>
      <c r="F5" s="874"/>
      <c r="G5" s="874"/>
      <c r="H5" s="210"/>
      <c r="I5" s="209"/>
      <c r="J5" s="209"/>
      <c r="K5" s="209"/>
      <c r="L5" s="209"/>
      <c r="M5" s="209"/>
      <c r="N5" s="209"/>
      <c r="O5" s="209"/>
      <c r="P5" s="209"/>
      <c r="Q5" s="209"/>
      <c r="R5" s="209"/>
      <c r="S5" s="209"/>
      <c r="T5" s="209"/>
      <c r="U5" s="209"/>
      <c r="V5" s="209"/>
      <c r="W5" s="209"/>
      <c r="X5" s="209"/>
      <c r="Y5" s="208"/>
    </row>
    <row r="6" spans="1:25" ht="4.5" customHeight="1">
      <c r="B6" s="869"/>
      <c r="C6" s="870"/>
      <c r="D6" s="875"/>
      <c r="E6" s="859"/>
      <c r="F6" s="859"/>
      <c r="G6" s="859"/>
      <c r="H6" s="207"/>
      <c r="I6" s="198"/>
      <c r="J6" s="198"/>
      <c r="K6" s="198"/>
      <c r="L6" s="198"/>
      <c r="M6" s="198"/>
      <c r="N6" s="198"/>
      <c r="O6" s="198"/>
      <c r="P6" s="198"/>
      <c r="Q6" s="198"/>
      <c r="R6" s="198"/>
      <c r="S6" s="198"/>
      <c r="T6" s="198"/>
      <c r="U6" s="198"/>
      <c r="V6" s="198"/>
      <c r="W6" s="198"/>
      <c r="X6" s="198"/>
      <c r="Y6" s="197"/>
    </row>
    <row r="7" spans="1:25" ht="20.25" customHeight="1">
      <c r="B7" s="869"/>
      <c r="C7" s="870"/>
      <c r="D7" s="876"/>
      <c r="E7" s="877"/>
      <c r="F7" s="877"/>
      <c r="G7" s="877"/>
      <c r="H7" s="207"/>
      <c r="I7" s="198"/>
      <c r="J7" s="198"/>
      <c r="K7" s="198"/>
      <c r="L7" s="198"/>
      <c r="M7" s="198"/>
      <c r="N7" s="198"/>
      <c r="O7" s="198"/>
      <c r="P7" s="198"/>
      <c r="Q7" s="198"/>
      <c r="R7" s="198"/>
      <c r="S7" s="198"/>
      <c r="T7" s="198"/>
      <c r="U7" s="198"/>
      <c r="V7" s="198"/>
      <c r="W7" s="198"/>
      <c r="X7" s="198"/>
      <c r="Y7" s="197"/>
    </row>
    <row r="8" spans="1:25" ht="18.95" customHeight="1">
      <c r="B8" s="869"/>
      <c r="C8" s="870"/>
      <c r="D8" s="878" t="s">
        <v>435</v>
      </c>
      <c r="E8" s="856"/>
      <c r="F8" s="856"/>
      <c r="G8" s="856"/>
      <c r="H8" s="201"/>
      <c r="I8" s="206"/>
      <c r="J8" s="206"/>
      <c r="K8" s="206"/>
      <c r="L8" s="206"/>
      <c r="M8" s="206"/>
      <c r="N8" s="206"/>
      <c r="O8" s="206"/>
      <c r="P8" s="206"/>
      <c r="Q8" s="206"/>
      <c r="R8" s="206"/>
      <c r="S8" s="206"/>
      <c r="T8" s="206"/>
      <c r="U8" s="206"/>
      <c r="V8" s="206"/>
      <c r="W8" s="206"/>
      <c r="X8" s="206"/>
      <c r="Y8" s="205"/>
    </row>
    <row r="9" spans="1:25" ht="18.95" customHeight="1">
      <c r="B9" s="869"/>
      <c r="C9" s="870"/>
      <c r="D9" s="876"/>
      <c r="E9" s="877"/>
      <c r="F9" s="877"/>
      <c r="G9" s="877"/>
      <c r="H9" s="204"/>
      <c r="I9" s="203"/>
      <c r="J9" s="203"/>
      <c r="K9" s="203"/>
      <c r="L9" s="203"/>
      <c r="M9" s="203"/>
      <c r="N9" s="203"/>
      <c r="O9" s="203"/>
      <c r="P9" s="203"/>
      <c r="Q9" s="203"/>
      <c r="R9" s="203"/>
      <c r="S9" s="203"/>
      <c r="T9" s="203"/>
      <c r="U9" s="203"/>
      <c r="V9" s="203"/>
      <c r="W9" s="203"/>
      <c r="X9" s="203"/>
      <c r="Y9" s="202"/>
    </row>
    <row r="10" spans="1:25" ht="18.95" customHeight="1">
      <c r="B10" s="869"/>
      <c r="C10" s="870"/>
      <c r="D10" s="878" t="s">
        <v>434</v>
      </c>
      <c r="E10" s="856"/>
      <c r="F10" s="856"/>
      <c r="G10" s="857"/>
      <c r="H10" s="201"/>
      <c r="I10" s="206"/>
      <c r="J10" s="206"/>
      <c r="K10" s="206"/>
      <c r="L10" s="206"/>
      <c r="M10" s="206"/>
      <c r="N10" s="206"/>
      <c r="O10" s="206"/>
      <c r="P10" s="206"/>
      <c r="Q10" s="206"/>
      <c r="R10" s="206"/>
      <c r="S10" s="206"/>
      <c r="T10" s="206"/>
      <c r="U10" s="206"/>
      <c r="V10" s="206"/>
      <c r="W10" s="206"/>
      <c r="X10" s="206"/>
      <c r="Y10" s="205"/>
    </row>
    <row r="11" spans="1:25" ht="18.95" customHeight="1">
      <c r="B11" s="869"/>
      <c r="C11" s="870"/>
      <c r="D11" s="876"/>
      <c r="E11" s="877"/>
      <c r="F11" s="877"/>
      <c r="G11" s="879"/>
      <c r="H11" s="204"/>
      <c r="I11" s="203"/>
      <c r="J11" s="203"/>
      <c r="K11" s="203"/>
      <c r="L11" s="203"/>
      <c r="M11" s="203"/>
      <c r="N11" s="203"/>
      <c r="O11" s="203"/>
      <c r="P11" s="203"/>
      <c r="Q11" s="203"/>
      <c r="R11" s="203"/>
      <c r="S11" s="203"/>
      <c r="T11" s="203"/>
      <c r="U11" s="203"/>
      <c r="V11" s="203"/>
      <c r="W11" s="203"/>
      <c r="X11" s="203"/>
      <c r="Y11" s="202"/>
    </row>
    <row r="12" spans="1:25" ht="18.75" customHeight="1">
      <c r="B12" s="869"/>
      <c r="C12" s="870"/>
      <c r="D12" s="878" t="s">
        <v>433</v>
      </c>
      <c r="E12" s="856"/>
      <c r="F12" s="856"/>
      <c r="G12" s="857"/>
      <c r="H12" s="201"/>
      <c r="I12" s="206"/>
      <c r="J12" s="206"/>
      <c r="K12" s="206"/>
      <c r="L12" s="206"/>
      <c r="M12" s="206"/>
      <c r="N12" s="206"/>
      <c r="O12" s="206"/>
      <c r="P12" s="206"/>
      <c r="Q12" s="206"/>
      <c r="R12" s="206"/>
      <c r="S12" s="206"/>
      <c r="T12" s="206"/>
      <c r="U12" s="206"/>
      <c r="V12" s="206"/>
      <c r="W12" s="206"/>
      <c r="X12" s="206"/>
      <c r="Y12" s="205"/>
    </row>
    <row r="13" spans="1:25" ht="10.5" customHeight="1">
      <c r="B13" s="869"/>
      <c r="C13" s="870"/>
      <c r="D13" s="875"/>
      <c r="E13" s="859"/>
      <c r="F13" s="859"/>
      <c r="G13" s="860"/>
      <c r="H13" s="199"/>
      <c r="I13" s="198"/>
      <c r="J13" s="198"/>
      <c r="K13" s="198"/>
      <c r="L13" s="198"/>
      <c r="M13" s="198"/>
      <c r="N13" s="198"/>
      <c r="O13" s="198"/>
      <c r="P13" s="198"/>
      <c r="Q13" s="198"/>
      <c r="R13" s="198"/>
      <c r="S13" s="198"/>
      <c r="T13" s="198"/>
      <c r="U13" s="198"/>
      <c r="V13" s="198"/>
      <c r="W13" s="198"/>
      <c r="X13" s="198"/>
      <c r="Y13" s="197"/>
    </row>
    <row r="14" spans="1:25" ht="15" customHeight="1">
      <c r="B14" s="869"/>
      <c r="C14" s="870"/>
      <c r="D14" s="876"/>
      <c r="E14" s="877"/>
      <c r="F14" s="877"/>
      <c r="G14" s="879"/>
      <c r="H14" s="204"/>
      <c r="I14" s="203"/>
      <c r="J14" s="203"/>
      <c r="K14" s="203"/>
      <c r="L14" s="203"/>
      <c r="M14" s="203"/>
      <c r="N14" s="203"/>
      <c r="O14" s="203"/>
      <c r="P14" s="203"/>
      <c r="Q14" s="203"/>
      <c r="R14" s="203"/>
      <c r="S14" s="203"/>
      <c r="T14" s="203"/>
      <c r="U14" s="203"/>
      <c r="V14" s="203"/>
      <c r="W14" s="203"/>
      <c r="X14" s="203"/>
      <c r="Y14" s="202"/>
    </row>
    <row r="15" spans="1:25" ht="18.95" customHeight="1">
      <c r="B15" s="869"/>
      <c r="C15" s="870"/>
      <c r="D15" s="861" t="s">
        <v>432</v>
      </c>
      <c r="E15" s="862"/>
      <c r="F15" s="862"/>
      <c r="G15" s="863"/>
      <c r="H15" s="850" t="s">
        <v>431</v>
      </c>
      <c r="I15" s="851"/>
      <c r="J15" s="851"/>
      <c r="K15" s="851"/>
      <c r="L15" s="851"/>
      <c r="M15" s="851"/>
      <c r="N15" s="851"/>
      <c r="O15" s="851"/>
      <c r="P15" s="851"/>
      <c r="Q15" s="851"/>
      <c r="R15" s="851"/>
      <c r="S15" s="851"/>
      <c r="T15" s="851"/>
      <c r="U15" s="851"/>
      <c r="V15" s="851"/>
      <c r="W15" s="851"/>
      <c r="X15" s="851"/>
      <c r="Y15" s="852"/>
    </row>
    <row r="16" spans="1:25" ht="18.95" customHeight="1">
      <c r="B16" s="871"/>
      <c r="C16" s="872"/>
      <c r="D16" s="864"/>
      <c r="E16" s="865"/>
      <c r="F16" s="865"/>
      <c r="G16" s="866"/>
      <c r="H16" s="853"/>
      <c r="I16" s="548"/>
      <c r="J16" s="548"/>
      <c r="K16" s="548"/>
      <c r="L16" s="548"/>
      <c r="M16" s="548"/>
      <c r="N16" s="548"/>
      <c r="O16" s="548"/>
      <c r="P16" s="548"/>
      <c r="Q16" s="548"/>
      <c r="R16" s="548"/>
      <c r="S16" s="548"/>
      <c r="T16" s="548"/>
      <c r="U16" s="548"/>
      <c r="V16" s="548"/>
      <c r="W16" s="548"/>
      <c r="X16" s="548"/>
      <c r="Y16" s="854"/>
    </row>
    <row r="17" spans="2:25" ht="18.95" customHeight="1">
      <c r="B17" s="855" t="s">
        <v>430</v>
      </c>
      <c r="C17" s="856"/>
      <c r="D17" s="856"/>
      <c r="E17" s="856"/>
      <c r="F17" s="856"/>
      <c r="G17" s="857"/>
      <c r="H17" s="201"/>
      <c r="I17" s="198"/>
      <c r="J17" s="198"/>
      <c r="K17" s="198"/>
      <c r="L17" s="198"/>
      <c r="M17" s="198"/>
      <c r="N17" s="198"/>
      <c r="O17" s="198"/>
      <c r="P17" s="198"/>
      <c r="Q17" s="198"/>
      <c r="R17" s="198"/>
      <c r="S17" s="198"/>
      <c r="T17" s="198"/>
      <c r="U17" s="198"/>
      <c r="V17" s="198"/>
      <c r="W17" s="198"/>
      <c r="X17" s="198"/>
      <c r="Y17" s="197"/>
    </row>
    <row r="18" spans="2:25" ht="18.95" customHeight="1">
      <c r="B18" s="858"/>
      <c r="C18" s="859"/>
      <c r="D18" s="859"/>
      <c r="E18" s="859"/>
      <c r="F18" s="859"/>
      <c r="G18" s="860"/>
      <c r="H18" s="199"/>
      <c r="I18" s="198"/>
      <c r="J18" s="198"/>
      <c r="K18" s="198"/>
      <c r="L18" s="198"/>
      <c r="M18" s="198"/>
      <c r="N18" s="198"/>
      <c r="O18" s="198"/>
      <c r="P18" s="198"/>
      <c r="Q18" s="198"/>
      <c r="R18" s="198"/>
      <c r="S18" s="198"/>
      <c r="T18" s="198"/>
      <c r="U18" s="198"/>
      <c r="V18" s="198"/>
      <c r="W18" s="198"/>
      <c r="X18" s="198"/>
      <c r="Y18" s="197"/>
    </row>
    <row r="19" spans="2:25" ht="18.95" customHeight="1">
      <c r="B19" s="200"/>
      <c r="C19" s="198"/>
      <c r="D19" s="198"/>
      <c r="E19" s="198"/>
      <c r="F19" s="198"/>
      <c r="G19" s="198"/>
      <c r="H19" s="199"/>
      <c r="I19" s="198"/>
      <c r="J19" s="198"/>
      <c r="K19" s="198"/>
      <c r="L19" s="198"/>
      <c r="M19" s="198"/>
      <c r="N19" s="198"/>
      <c r="O19" s="198"/>
      <c r="P19" s="198"/>
      <c r="Q19" s="198"/>
      <c r="R19" s="198"/>
      <c r="S19" s="198"/>
      <c r="T19" s="198"/>
      <c r="U19" s="198"/>
      <c r="V19" s="198"/>
      <c r="W19" s="198"/>
      <c r="X19" s="198"/>
      <c r="Y19" s="197"/>
    </row>
    <row r="20" spans="2:25" ht="18.95" customHeight="1">
      <c r="B20" s="200"/>
      <c r="C20" s="198"/>
      <c r="D20" s="198"/>
      <c r="E20" s="198"/>
      <c r="F20" s="198"/>
      <c r="G20" s="198"/>
      <c r="H20" s="199"/>
      <c r="I20" s="198"/>
      <c r="J20" s="198"/>
      <c r="K20" s="198"/>
      <c r="L20" s="198"/>
      <c r="M20" s="198"/>
      <c r="N20" s="198"/>
      <c r="O20" s="198"/>
      <c r="P20" s="198"/>
      <c r="Q20" s="198"/>
      <c r="R20" s="198"/>
      <c r="S20" s="198"/>
      <c r="T20" s="198"/>
      <c r="U20" s="198"/>
      <c r="V20" s="198"/>
      <c r="W20" s="198"/>
      <c r="X20" s="198"/>
      <c r="Y20" s="197"/>
    </row>
    <row r="21" spans="2:25" ht="18.95" customHeight="1">
      <c r="B21" s="200"/>
      <c r="C21" s="198"/>
      <c r="D21" s="198"/>
      <c r="E21" s="198"/>
      <c r="F21" s="198"/>
      <c r="G21" s="198"/>
      <c r="H21" s="199"/>
      <c r="I21" s="198"/>
      <c r="J21" s="198"/>
      <c r="K21" s="198"/>
      <c r="L21" s="198"/>
      <c r="M21" s="198"/>
      <c r="N21" s="198"/>
      <c r="O21" s="198"/>
      <c r="P21" s="198"/>
      <c r="Q21" s="198"/>
      <c r="R21" s="198"/>
      <c r="S21" s="198"/>
      <c r="T21" s="198"/>
      <c r="U21" s="198"/>
      <c r="V21" s="198"/>
      <c r="W21" s="198"/>
      <c r="X21" s="198"/>
      <c r="Y21" s="197"/>
    </row>
    <row r="22" spans="2:25" ht="18.95" customHeight="1">
      <c r="B22" s="200"/>
      <c r="C22" s="198"/>
      <c r="D22" s="198"/>
      <c r="E22" s="198"/>
      <c r="F22" s="198"/>
      <c r="G22" s="198"/>
      <c r="H22" s="199"/>
      <c r="I22" s="198"/>
      <c r="J22" s="198"/>
      <c r="K22" s="198"/>
      <c r="L22" s="198"/>
      <c r="M22" s="198"/>
      <c r="N22" s="198"/>
      <c r="O22" s="198"/>
      <c r="P22" s="198"/>
      <c r="Q22" s="198"/>
      <c r="R22" s="198"/>
      <c r="S22" s="198"/>
      <c r="T22" s="198"/>
      <c r="U22" s="198"/>
      <c r="V22" s="198"/>
      <c r="W22" s="198"/>
      <c r="X22" s="198"/>
      <c r="Y22" s="197"/>
    </row>
    <row r="23" spans="2:25" ht="18.95" customHeight="1">
      <c r="B23" s="200"/>
      <c r="C23" s="198"/>
      <c r="D23" s="198"/>
      <c r="E23" s="198"/>
      <c r="F23" s="198"/>
      <c r="G23" s="198"/>
      <c r="H23" s="199"/>
      <c r="I23" s="198"/>
      <c r="J23" s="198"/>
      <c r="K23" s="198"/>
      <c r="L23" s="198"/>
      <c r="M23" s="198"/>
      <c r="N23" s="198"/>
      <c r="O23" s="198"/>
      <c r="P23" s="198"/>
      <c r="Q23" s="198"/>
      <c r="R23" s="198"/>
      <c r="S23" s="198"/>
      <c r="T23" s="198"/>
      <c r="U23" s="198"/>
      <c r="V23" s="198"/>
      <c r="W23" s="198"/>
      <c r="X23" s="198"/>
      <c r="Y23" s="197"/>
    </row>
    <row r="24" spans="2:25" ht="18.95" customHeight="1">
      <c r="B24" s="200"/>
      <c r="C24" s="198"/>
      <c r="D24" s="198"/>
      <c r="E24" s="198"/>
      <c r="F24" s="198"/>
      <c r="G24" s="198"/>
      <c r="H24" s="199"/>
      <c r="I24" s="198"/>
      <c r="J24" s="198"/>
      <c r="K24" s="198"/>
      <c r="L24" s="198"/>
      <c r="M24" s="198"/>
      <c r="N24" s="198"/>
      <c r="O24" s="198"/>
      <c r="P24" s="198"/>
      <c r="Q24" s="198"/>
      <c r="R24" s="198"/>
      <c r="S24" s="198"/>
      <c r="T24" s="198"/>
      <c r="U24" s="198"/>
      <c r="V24" s="198"/>
      <c r="W24" s="198"/>
      <c r="X24" s="198"/>
      <c r="Y24" s="197"/>
    </row>
    <row r="25" spans="2:25" ht="18.95" customHeight="1">
      <c r="B25" s="200"/>
      <c r="C25" s="198"/>
      <c r="D25" s="198"/>
      <c r="E25" s="198"/>
      <c r="F25" s="198"/>
      <c r="G25" s="198"/>
      <c r="H25" s="199"/>
      <c r="I25" s="198"/>
      <c r="J25" s="198"/>
      <c r="K25" s="198"/>
      <c r="L25" s="198"/>
      <c r="M25" s="198"/>
      <c r="N25" s="198"/>
      <c r="O25" s="198"/>
      <c r="P25" s="198"/>
      <c r="Q25" s="198"/>
      <c r="R25" s="198"/>
      <c r="S25" s="198"/>
      <c r="T25" s="198"/>
      <c r="U25" s="198"/>
      <c r="V25" s="198"/>
      <c r="W25" s="198"/>
      <c r="X25" s="198"/>
      <c r="Y25" s="197"/>
    </row>
    <row r="26" spans="2:25" ht="18.95" customHeight="1">
      <c r="B26" s="200"/>
      <c r="C26" s="198"/>
      <c r="D26" s="198"/>
      <c r="E26" s="198"/>
      <c r="F26" s="198"/>
      <c r="G26" s="198"/>
      <c r="H26" s="199"/>
      <c r="I26" s="198"/>
      <c r="J26" s="198"/>
      <c r="K26" s="198"/>
      <c r="L26" s="198"/>
      <c r="M26" s="198"/>
      <c r="N26" s="198"/>
      <c r="O26" s="198"/>
      <c r="P26" s="198"/>
      <c r="Q26" s="198"/>
      <c r="R26" s="198"/>
      <c r="S26" s="198"/>
      <c r="T26" s="198"/>
      <c r="U26" s="198"/>
      <c r="V26" s="198"/>
      <c r="W26" s="198"/>
      <c r="X26" s="198"/>
      <c r="Y26" s="197"/>
    </row>
    <row r="27" spans="2:25" ht="18.95" customHeight="1">
      <c r="B27" s="200"/>
      <c r="C27" s="198"/>
      <c r="D27" s="198"/>
      <c r="E27" s="198"/>
      <c r="F27" s="198"/>
      <c r="G27" s="198"/>
      <c r="H27" s="199"/>
      <c r="I27" s="198"/>
      <c r="J27" s="198"/>
      <c r="K27" s="198"/>
      <c r="L27" s="198"/>
      <c r="M27" s="198"/>
      <c r="N27" s="198"/>
      <c r="O27" s="198"/>
      <c r="P27" s="198"/>
      <c r="Q27" s="198"/>
      <c r="R27" s="198"/>
      <c r="S27" s="198"/>
      <c r="T27" s="198"/>
      <c r="U27" s="198"/>
      <c r="V27" s="198"/>
      <c r="W27" s="198"/>
      <c r="X27" s="198"/>
      <c r="Y27" s="197"/>
    </row>
    <row r="28" spans="2:25" ht="18.95" customHeight="1">
      <c r="B28" s="200"/>
      <c r="C28" s="198"/>
      <c r="D28" s="198"/>
      <c r="E28" s="198"/>
      <c r="F28" s="198"/>
      <c r="G28" s="198"/>
      <c r="H28" s="199"/>
      <c r="I28" s="198"/>
      <c r="J28" s="198"/>
      <c r="K28" s="198"/>
      <c r="L28" s="198"/>
      <c r="M28" s="198"/>
      <c r="N28" s="198"/>
      <c r="O28" s="198"/>
      <c r="P28" s="198"/>
      <c r="Q28" s="198"/>
      <c r="R28" s="198"/>
      <c r="S28" s="198"/>
      <c r="T28" s="198"/>
      <c r="U28" s="198"/>
      <c r="V28" s="198"/>
      <c r="W28" s="198"/>
      <c r="X28" s="198"/>
      <c r="Y28" s="197"/>
    </row>
    <row r="29" spans="2:25" ht="18.95" customHeight="1">
      <c r="B29" s="200"/>
      <c r="C29" s="198"/>
      <c r="D29" s="198"/>
      <c r="E29" s="198"/>
      <c r="F29" s="198"/>
      <c r="G29" s="198"/>
      <c r="H29" s="199"/>
      <c r="I29" s="198"/>
      <c r="J29" s="198"/>
      <c r="K29" s="198"/>
      <c r="L29" s="198"/>
      <c r="M29" s="198"/>
      <c r="N29" s="198"/>
      <c r="O29" s="198"/>
      <c r="P29" s="198"/>
      <c r="Q29" s="198"/>
      <c r="R29" s="198"/>
      <c r="S29" s="198"/>
      <c r="T29" s="198"/>
      <c r="U29" s="198"/>
      <c r="V29" s="198"/>
      <c r="W29" s="198"/>
      <c r="X29" s="198"/>
      <c r="Y29" s="197"/>
    </row>
    <row r="30" spans="2:25" ht="18.95" customHeight="1">
      <c r="B30" s="200"/>
      <c r="C30" s="198"/>
      <c r="D30" s="198"/>
      <c r="E30" s="198"/>
      <c r="F30" s="198"/>
      <c r="G30" s="198"/>
      <c r="H30" s="199"/>
      <c r="I30" s="198"/>
      <c r="J30" s="198"/>
      <c r="K30" s="198"/>
      <c r="L30" s="198"/>
      <c r="M30" s="198"/>
      <c r="N30" s="198"/>
      <c r="O30" s="198"/>
      <c r="P30" s="198"/>
      <c r="Q30" s="198"/>
      <c r="R30" s="198"/>
      <c r="S30" s="198"/>
      <c r="T30" s="198"/>
      <c r="U30" s="198"/>
      <c r="V30" s="198"/>
      <c r="W30" s="198"/>
      <c r="X30" s="198"/>
      <c r="Y30" s="197"/>
    </row>
    <row r="31" spans="2:25" ht="18.95" customHeight="1">
      <c r="B31" s="200"/>
      <c r="C31" s="198"/>
      <c r="D31" s="198"/>
      <c r="E31" s="198"/>
      <c r="F31" s="198"/>
      <c r="G31" s="198"/>
      <c r="H31" s="199"/>
      <c r="I31" s="198"/>
      <c r="J31" s="198"/>
      <c r="K31" s="198"/>
      <c r="L31" s="198"/>
      <c r="M31" s="198"/>
      <c r="N31" s="198"/>
      <c r="O31" s="198"/>
      <c r="P31" s="198"/>
      <c r="Q31" s="198"/>
      <c r="R31" s="198"/>
      <c r="S31" s="198"/>
      <c r="T31" s="198"/>
      <c r="U31" s="198"/>
      <c r="V31" s="198"/>
      <c r="W31" s="198"/>
      <c r="X31" s="198"/>
      <c r="Y31" s="197"/>
    </row>
    <row r="32" spans="2:25" ht="18.95" customHeight="1">
      <c r="B32" s="200"/>
      <c r="C32" s="198"/>
      <c r="D32" s="198"/>
      <c r="E32" s="198"/>
      <c r="F32" s="198"/>
      <c r="G32" s="198"/>
      <c r="H32" s="199"/>
      <c r="I32" s="198"/>
      <c r="J32" s="198"/>
      <c r="K32" s="198"/>
      <c r="L32" s="198"/>
      <c r="M32" s="198"/>
      <c r="N32" s="198"/>
      <c r="O32" s="198"/>
      <c r="P32" s="198"/>
      <c r="Q32" s="198"/>
      <c r="R32" s="198"/>
      <c r="S32" s="198"/>
      <c r="T32" s="198"/>
      <c r="U32" s="198"/>
      <c r="V32" s="198"/>
      <c r="W32" s="198"/>
      <c r="X32" s="198"/>
      <c r="Y32" s="197"/>
    </row>
    <row r="33" spans="2:25" ht="18.95" customHeight="1">
      <c r="B33" s="200"/>
      <c r="C33" s="198"/>
      <c r="D33" s="198"/>
      <c r="E33" s="198"/>
      <c r="F33" s="198"/>
      <c r="G33" s="198"/>
      <c r="H33" s="199"/>
      <c r="I33" s="198"/>
      <c r="J33" s="198"/>
      <c r="K33" s="198"/>
      <c r="L33" s="198"/>
      <c r="M33" s="198"/>
      <c r="N33" s="198"/>
      <c r="O33" s="198"/>
      <c r="P33" s="198"/>
      <c r="Q33" s="198"/>
      <c r="R33" s="198"/>
      <c r="S33" s="198"/>
      <c r="T33" s="198"/>
      <c r="U33" s="198"/>
      <c r="V33" s="198"/>
      <c r="W33" s="198"/>
      <c r="X33" s="198"/>
      <c r="Y33" s="197"/>
    </row>
    <row r="34" spans="2:25" ht="18.95" customHeight="1">
      <c r="B34" s="200"/>
      <c r="C34" s="198"/>
      <c r="D34" s="198"/>
      <c r="E34" s="198"/>
      <c r="F34" s="198"/>
      <c r="G34" s="198"/>
      <c r="H34" s="199"/>
      <c r="I34" s="198"/>
      <c r="J34" s="198"/>
      <c r="K34" s="198"/>
      <c r="L34" s="198"/>
      <c r="M34" s="198"/>
      <c r="N34" s="198"/>
      <c r="O34" s="198"/>
      <c r="P34" s="198"/>
      <c r="Q34" s="198"/>
      <c r="R34" s="198"/>
      <c r="S34" s="198"/>
      <c r="T34" s="198"/>
      <c r="U34" s="198"/>
      <c r="V34" s="198"/>
      <c r="W34" s="198"/>
      <c r="X34" s="198"/>
      <c r="Y34" s="197"/>
    </row>
    <row r="35" spans="2:25" ht="18.95" customHeight="1">
      <c r="B35" s="200"/>
      <c r="C35" s="198"/>
      <c r="D35" s="198"/>
      <c r="E35" s="198"/>
      <c r="F35" s="198"/>
      <c r="G35" s="198"/>
      <c r="H35" s="199"/>
      <c r="I35" s="198"/>
      <c r="J35" s="198"/>
      <c r="K35" s="198"/>
      <c r="L35" s="198"/>
      <c r="M35" s="198"/>
      <c r="N35" s="198"/>
      <c r="O35" s="198"/>
      <c r="P35" s="198"/>
      <c r="Q35" s="198"/>
      <c r="R35" s="198"/>
      <c r="S35" s="198"/>
      <c r="T35" s="198"/>
      <c r="U35" s="198"/>
      <c r="V35" s="198"/>
      <c r="W35" s="198"/>
      <c r="X35" s="198"/>
      <c r="Y35" s="197"/>
    </row>
    <row r="36" spans="2:25" ht="18.95" customHeight="1">
      <c r="B36" s="200"/>
      <c r="C36" s="198"/>
      <c r="D36" s="198"/>
      <c r="E36" s="198"/>
      <c r="F36" s="198"/>
      <c r="G36" s="198"/>
      <c r="H36" s="199"/>
      <c r="I36" s="198"/>
      <c r="J36" s="198"/>
      <c r="K36" s="198"/>
      <c r="L36" s="198"/>
      <c r="M36" s="198"/>
      <c r="N36" s="198"/>
      <c r="O36" s="198"/>
      <c r="P36" s="198"/>
      <c r="Q36" s="198"/>
      <c r="R36" s="198"/>
      <c r="S36" s="198"/>
      <c r="T36" s="198"/>
      <c r="U36" s="198"/>
      <c r="V36" s="198"/>
      <c r="W36" s="198"/>
      <c r="X36" s="198"/>
      <c r="Y36" s="197"/>
    </row>
    <row r="37" spans="2:25" ht="18.95" customHeight="1">
      <c r="B37" s="200"/>
      <c r="C37" s="198"/>
      <c r="D37" s="198"/>
      <c r="E37" s="198"/>
      <c r="F37" s="198"/>
      <c r="G37" s="198"/>
      <c r="H37" s="199"/>
      <c r="I37" s="198"/>
      <c r="J37" s="198"/>
      <c r="K37" s="198"/>
      <c r="L37" s="198"/>
      <c r="M37" s="198"/>
      <c r="N37" s="198"/>
      <c r="O37" s="198"/>
      <c r="P37" s="198"/>
      <c r="Q37" s="198"/>
      <c r="R37" s="198"/>
      <c r="S37" s="198"/>
      <c r="T37" s="198"/>
      <c r="U37" s="198"/>
      <c r="V37" s="198"/>
      <c r="W37" s="198"/>
      <c r="X37" s="198"/>
      <c r="Y37" s="197"/>
    </row>
    <row r="38" spans="2:25" ht="18.95" customHeight="1">
      <c r="B38" s="200"/>
      <c r="C38" s="198"/>
      <c r="D38" s="198"/>
      <c r="E38" s="198"/>
      <c r="F38" s="198"/>
      <c r="G38" s="198"/>
      <c r="H38" s="199"/>
      <c r="I38" s="198"/>
      <c r="J38" s="198"/>
      <c r="K38" s="198"/>
      <c r="L38" s="198"/>
      <c r="M38" s="198"/>
      <c r="N38" s="198"/>
      <c r="O38" s="198"/>
      <c r="P38" s="198"/>
      <c r="Q38" s="198"/>
      <c r="R38" s="198"/>
      <c r="S38" s="198"/>
      <c r="T38" s="198"/>
      <c r="U38" s="198"/>
      <c r="V38" s="198"/>
      <c r="W38" s="198"/>
      <c r="X38" s="198"/>
      <c r="Y38" s="197"/>
    </row>
    <row r="39" spans="2:25" ht="18.95" customHeight="1" thickBot="1">
      <c r="B39" s="196"/>
      <c r="C39" s="194"/>
      <c r="D39" s="194"/>
      <c r="E39" s="194"/>
      <c r="F39" s="194"/>
      <c r="G39" s="194"/>
      <c r="H39" s="195"/>
      <c r="I39" s="194"/>
      <c r="J39" s="194"/>
      <c r="K39" s="194"/>
      <c r="L39" s="194"/>
      <c r="M39" s="194"/>
      <c r="N39" s="194"/>
      <c r="O39" s="194"/>
      <c r="P39" s="194"/>
      <c r="Q39" s="194"/>
      <c r="R39" s="194"/>
      <c r="S39" s="194"/>
      <c r="T39" s="194"/>
      <c r="U39" s="194"/>
      <c r="V39" s="194"/>
      <c r="W39" s="194"/>
      <c r="X39" s="194"/>
      <c r="Y39" s="193"/>
    </row>
    <row r="40" spans="2:25" ht="10.5" customHeight="1"/>
    <row r="41" spans="2:25" ht="18" customHeight="1">
      <c r="B41" s="165" t="s">
        <v>429</v>
      </c>
      <c r="D41" s="192" t="s">
        <v>428</v>
      </c>
    </row>
    <row r="42" spans="2:25" ht="18" customHeight="1">
      <c r="D42" s="165" t="s">
        <v>427</v>
      </c>
    </row>
    <row r="43" spans="2:25" ht="18" customHeight="1">
      <c r="D43" s="192" t="s">
        <v>426</v>
      </c>
    </row>
    <row r="44" spans="2:25" ht="17.25" customHeight="1">
      <c r="D44" s="165" t="s">
        <v>425</v>
      </c>
    </row>
    <row r="45" spans="2:25" ht="18.95" customHeight="1">
      <c r="D45" s="165" t="s">
        <v>424</v>
      </c>
    </row>
    <row r="46" spans="2:25" ht="18.95" customHeight="1">
      <c r="D46" s="165" t="s">
        <v>423</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S44"/>
  <sheetViews>
    <sheetView view="pageBreakPreview" zoomScaleNormal="100" workbookViewId="0"/>
  </sheetViews>
  <sheetFormatPr defaultRowHeight="18" customHeight="1"/>
  <cols>
    <col min="1" max="17" width="4.625" style="133" customWidth="1"/>
    <col min="18" max="19" width="4.125" style="133" customWidth="1"/>
    <col min="20" max="26" width="4.625" style="133" customWidth="1"/>
    <col min="27" max="16384" width="9" style="133"/>
  </cols>
  <sheetData>
    <row r="1" spans="1:19" ht="18" customHeight="1">
      <c r="A1" s="144" t="s">
        <v>422</v>
      </c>
    </row>
    <row r="3" spans="1:19" ht="18" customHeight="1">
      <c r="A3" s="880" t="s">
        <v>421</v>
      </c>
      <c r="B3" s="880"/>
      <c r="C3" s="880"/>
      <c r="D3" s="880"/>
      <c r="E3" s="880"/>
      <c r="F3" s="880"/>
      <c r="G3" s="880"/>
      <c r="H3" s="880"/>
      <c r="I3" s="880"/>
      <c r="J3" s="880"/>
      <c r="K3" s="880"/>
      <c r="L3" s="880"/>
      <c r="M3" s="880"/>
      <c r="N3" s="880"/>
      <c r="O3" s="880"/>
      <c r="P3" s="880"/>
      <c r="Q3" s="880"/>
      <c r="R3" s="880"/>
    </row>
    <row r="4" spans="1:19" ht="18" customHeight="1">
      <c r="A4" s="185"/>
      <c r="B4" s="185"/>
      <c r="C4" s="185"/>
      <c r="D4" s="185"/>
      <c r="E4" s="185"/>
      <c r="F4" s="185"/>
      <c r="G4" s="185"/>
      <c r="H4" s="185"/>
      <c r="I4" s="185"/>
      <c r="J4" s="185"/>
      <c r="K4" s="185"/>
      <c r="L4" s="185"/>
      <c r="M4" s="185"/>
      <c r="N4" s="185"/>
      <c r="O4" s="185"/>
      <c r="P4" s="185"/>
      <c r="Q4" s="185"/>
      <c r="R4" s="185"/>
    </row>
    <row r="6" spans="1:19" ht="18" customHeight="1">
      <c r="C6" s="883" t="s">
        <v>420</v>
      </c>
      <c r="D6" s="884"/>
      <c r="E6" s="884"/>
      <c r="F6" s="884"/>
      <c r="G6" s="884"/>
      <c r="H6" s="884"/>
      <c r="I6" s="885"/>
      <c r="J6" s="881"/>
      <c r="K6" s="881"/>
      <c r="L6" s="881"/>
      <c r="M6" s="881"/>
      <c r="N6" s="881"/>
      <c r="O6" s="881"/>
      <c r="P6" s="881"/>
      <c r="Q6" s="881"/>
      <c r="R6" s="881"/>
      <c r="S6" s="882"/>
    </row>
    <row r="7" spans="1:19" ht="18" customHeight="1">
      <c r="C7" s="883" t="s">
        <v>419</v>
      </c>
      <c r="D7" s="884"/>
      <c r="E7" s="884"/>
      <c r="F7" s="884"/>
      <c r="G7" s="884"/>
      <c r="H7" s="884"/>
      <c r="I7" s="885"/>
      <c r="J7" s="881"/>
      <c r="K7" s="881"/>
      <c r="L7" s="881"/>
      <c r="M7" s="881"/>
      <c r="N7" s="881"/>
      <c r="O7" s="881"/>
      <c r="P7" s="881"/>
      <c r="Q7" s="881"/>
      <c r="R7" s="881"/>
      <c r="S7" s="882"/>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418</v>
      </c>
      <c r="B10" s="139"/>
      <c r="C10" s="139"/>
      <c r="D10" s="139"/>
      <c r="E10" s="139"/>
      <c r="F10" s="139"/>
      <c r="G10" s="139"/>
      <c r="H10" s="139"/>
      <c r="I10" s="139"/>
      <c r="J10" s="139"/>
      <c r="K10" s="139"/>
      <c r="L10" s="139"/>
      <c r="M10" s="191" t="s">
        <v>417</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416</v>
      </c>
      <c r="C12" s="139"/>
      <c r="D12" s="139"/>
      <c r="E12" s="139"/>
      <c r="F12" s="139"/>
      <c r="G12" s="139"/>
      <c r="H12" s="139"/>
      <c r="I12" s="139"/>
      <c r="J12" s="139"/>
      <c r="K12" s="139"/>
      <c r="L12" s="139"/>
      <c r="M12" s="139"/>
      <c r="N12" s="139"/>
      <c r="O12" s="139"/>
      <c r="P12" s="139"/>
      <c r="Q12" s="139"/>
      <c r="R12" s="139"/>
      <c r="S12" s="138"/>
    </row>
    <row r="13" spans="1:19" ht="18" customHeight="1">
      <c r="A13" s="140"/>
      <c r="B13" s="139" t="s">
        <v>415</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414</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413</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412</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0" t="s">
        <v>317</v>
      </c>
      <c r="D32" s="190" t="s">
        <v>411</v>
      </c>
      <c r="E32" s="190" t="s">
        <v>316</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410</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409</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F349"/>
  <sheetViews>
    <sheetView showGridLines="0" view="pageBreakPreview" zoomScaleNormal="75" zoomScaleSheetLayoutView="80" workbookViewId="0"/>
  </sheetViews>
  <sheetFormatPr defaultRowHeight="13.5"/>
  <cols>
    <col min="1" max="1" width="9" style="130"/>
    <col min="2" max="10" width="2.625" style="130" customWidth="1"/>
    <col min="11" max="17" width="4.75" style="130" customWidth="1"/>
    <col min="18" max="24" width="2.625" style="130" customWidth="1"/>
    <col min="25" max="26" width="1.375" style="130" customWidth="1"/>
    <col min="27" max="28" width="3.75" style="130" customWidth="1"/>
    <col min="29" max="32" width="2.75" style="130" customWidth="1"/>
    <col min="33" max="61" width="2.625" style="130" customWidth="1"/>
    <col min="62" max="16384" width="9" style="130"/>
  </cols>
  <sheetData>
    <row r="1" spans="2:32" s="62" customFormat="1" ht="21" customHeight="1">
      <c r="B1" s="132" t="s">
        <v>336</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908" t="s">
        <v>335</v>
      </c>
      <c r="C2" s="908"/>
      <c r="D2" s="908"/>
      <c r="E2" s="908"/>
      <c r="F2" s="908"/>
      <c r="G2" s="908"/>
      <c r="H2" s="908"/>
      <c r="I2" s="908"/>
      <c r="J2" s="908"/>
      <c r="K2" s="908"/>
      <c r="L2" s="908"/>
      <c r="M2" s="908"/>
      <c r="N2" s="908"/>
      <c r="O2" s="908"/>
      <c r="P2" s="908"/>
      <c r="Q2" s="908"/>
      <c r="R2" s="908"/>
      <c r="S2" s="908"/>
      <c r="T2" s="908"/>
      <c r="U2" s="908"/>
      <c r="V2" s="908"/>
      <c r="W2" s="908"/>
      <c r="X2" s="908"/>
      <c r="Y2" s="908"/>
      <c r="Z2" s="908"/>
      <c r="AA2" s="908"/>
      <c r="AB2" s="908"/>
      <c r="AC2" s="908"/>
      <c r="AD2" s="908"/>
      <c r="AE2" s="908"/>
      <c r="AF2" s="908"/>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910" t="s">
        <v>334</v>
      </c>
      <c r="C4" s="911"/>
      <c r="D4" s="911"/>
      <c r="E4" s="911"/>
      <c r="F4" s="911"/>
      <c r="G4" s="911"/>
      <c r="H4" s="911"/>
      <c r="I4" s="911"/>
      <c r="J4" s="911"/>
      <c r="K4" s="911"/>
      <c r="L4" s="911"/>
      <c r="M4" s="912"/>
      <c r="N4" s="912"/>
      <c r="O4" s="912"/>
      <c r="P4" s="912"/>
      <c r="Q4" s="912"/>
      <c r="R4" s="912"/>
      <c r="S4" s="912"/>
      <c r="T4" s="912"/>
      <c r="U4" s="912"/>
      <c r="V4" s="912"/>
      <c r="W4" s="912"/>
      <c r="X4" s="912"/>
      <c r="Y4" s="912"/>
      <c r="Z4" s="912"/>
      <c r="AA4" s="912"/>
      <c r="AB4" s="912"/>
      <c r="AC4" s="912"/>
      <c r="AD4" s="912"/>
      <c r="AE4" s="912"/>
      <c r="AF4" s="913"/>
    </row>
    <row r="5" spans="2:32" ht="21" customHeight="1">
      <c r="B5" s="914" t="s">
        <v>333</v>
      </c>
      <c r="C5" s="915"/>
      <c r="D5" s="915"/>
      <c r="E5" s="915"/>
      <c r="F5" s="915"/>
      <c r="G5" s="915"/>
      <c r="H5" s="915"/>
      <c r="I5" s="915"/>
      <c r="J5" s="915"/>
      <c r="K5" s="915"/>
      <c r="L5" s="915"/>
      <c r="M5" s="916"/>
      <c r="N5" s="916"/>
      <c r="O5" s="916"/>
      <c r="P5" s="916"/>
      <c r="Q5" s="916"/>
      <c r="R5" s="916"/>
      <c r="S5" s="916"/>
      <c r="T5" s="916"/>
      <c r="U5" s="916"/>
      <c r="V5" s="916"/>
      <c r="W5" s="916"/>
      <c r="X5" s="916"/>
      <c r="Y5" s="916"/>
      <c r="Z5" s="916"/>
      <c r="AA5" s="916"/>
      <c r="AB5" s="916"/>
      <c r="AC5" s="916"/>
      <c r="AD5" s="916"/>
      <c r="AE5" s="916"/>
      <c r="AF5" s="917"/>
    </row>
    <row r="6" spans="2:32" ht="21" customHeight="1">
      <c r="B6" s="696" t="s">
        <v>321</v>
      </c>
      <c r="C6" s="697"/>
      <c r="D6" s="697"/>
      <c r="E6" s="697"/>
      <c r="F6" s="697"/>
      <c r="G6" s="915" t="s">
        <v>320</v>
      </c>
      <c r="H6" s="915"/>
      <c r="I6" s="915"/>
      <c r="J6" s="915"/>
      <c r="K6" s="915"/>
      <c r="L6" s="915"/>
      <c r="M6" s="697"/>
      <c r="N6" s="697"/>
      <c r="O6" s="697"/>
      <c r="P6" s="697"/>
      <c r="Q6" s="697"/>
      <c r="R6" s="697"/>
      <c r="S6" s="697"/>
      <c r="T6" s="697"/>
      <c r="U6" s="697"/>
      <c r="V6" s="697"/>
      <c r="W6" s="697" t="s">
        <v>319</v>
      </c>
      <c r="X6" s="697"/>
      <c r="Y6" s="697"/>
      <c r="Z6" s="697"/>
      <c r="AA6" s="697"/>
      <c r="AB6" s="697"/>
      <c r="AC6" s="697"/>
      <c r="AD6" s="697"/>
      <c r="AE6" s="697"/>
      <c r="AF6" s="886"/>
    </row>
    <row r="7" spans="2:32" ht="21" customHeight="1" thickBot="1">
      <c r="B7" s="920"/>
      <c r="C7" s="909"/>
      <c r="D7" s="909"/>
      <c r="E7" s="909"/>
      <c r="F7" s="909"/>
      <c r="G7" s="919" t="s">
        <v>318</v>
      </c>
      <c r="H7" s="919"/>
      <c r="I7" s="919"/>
      <c r="J7" s="919"/>
      <c r="K7" s="919"/>
      <c r="L7" s="919"/>
      <c r="M7" s="909"/>
      <c r="N7" s="909"/>
      <c r="O7" s="909"/>
      <c r="P7" s="909"/>
      <c r="Q7" s="909"/>
      <c r="R7" s="909"/>
      <c r="S7" s="909"/>
      <c r="T7" s="909"/>
      <c r="U7" s="909"/>
      <c r="V7" s="909"/>
      <c r="W7" s="909"/>
      <c r="X7" s="909"/>
      <c r="Y7" s="909"/>
      <c r="Z7" s="909"/>
      <c r="AA7" s="909"/>
      <c r="AB7" s="909"/>
      <c r="AC7" s="909"/>
      <c r="AD7" s="909"/>
      <c r="AE7" s="909"/>
      <c r="AF7" s="918"/>
    </row>
    <row r="8" spans="2:32" ht="21" customHeight="1">
      <c r="B8" s="956" t="s">
        <v>332</v>
      </c>
      <c r="C8" s="957"/>
      <c r="D8" s="933" t="s">
        <v>331</v>
      </c>
      <c r="E8" s="933"/>
      <c r="F8" s="933"/>
      <c r="G8" s="933"/>
      <c r="H8" s="933"/>
      <c r="I8" s="933"/>
      <c r="J8" s="933"/>
      <c r="K8" s="933"/>
      <c r="L8" s="933"/>
      <c r="M8" s="934" t="s">
        <v>330</v>
      </c>
      <c r="N8" s="934"/>
      <c r="O8" s="934"/>
      <c r="P8" s="934"/>
      <c r="Q8" s="934"/>
      <c r="R8" s="934"/>
      <c r="S8" s="934"/>
      <c r="T8" s="934"/>
      <c r="U8" s="934"/>
      <c r="V8" s="934"/>
      <c r="W8" s="934"/>
      <c r="X8" s="934"/>
      <c r="Y8" s="934" t="s">
        <v>249</v>
      </c>
      <c r="Z8" s="934"/>
      <c r="AA8" s="934"/>
      <c r="AB8" s="934"/>
      <c r="AC8" s="921" t="s">
        <v>329</v>
      </c>
      <c r="AD8" s="921"/>
      <c r="AE8" s="921"/>
      <c r="AF8" s="922"/>
    </row>
    <row r="9" spans="2:32" ht="21" customHeight="1">
      <c r="B9" s="958"/>
      <c r="C9" s="959"/>
      <c r="D9" s="678"/>
      <c r="E9" s="678"/>
      <c r="F9" s="678"/>
      <c r="G9" s="678"/>
      <c r="H9" s="678"/>
      <c r="I9" s="678"/>
      <c r="J9" s="678"/>
      <c r="K9" s="678"/>
      <c r="L9" s="678"/>
      <c r="M9" s="697"/>
      <c r="N9" s="697"/>
      <c r="O9" s="697"/>
      <c r="P9" s="697"/>
      <c r="Q9" s="697"/>
      <c r="R9" s="697"/>
      <c r="S9" s="697"/>
      <c r="T9" s="697"/>
      <c r="U9" s="697"/>
      <c r="V9" s="697"/>
      <c r="W9" s="697"/>
      <c r="X9" s="697"/>
      <c r="Y9" s="697"/>
      <c r="Z9" s="697"/>
      <c r="AA9" s="697"/>
      <c r="AB9" s="697"/>
      <c r="AC9" s="923"/>
      <c r="AD9" s="923"/>
      <c r="AE9" s="923"/>
      <c r="AF9" s="924"/>
    </row>
    <row r="10" spans="2:32" ht="21" customHeight="1">
      <c r="B10" s="958"/>
      <c r="C10" s="959"/>
      <c r="D10" s="678"/>
      <c r="E10" s="678"/>
      <c r="F10" s="678"/>
      <c r="G10" s="678"/>
      <c r="H10" s="678"/>
      <c r="I10" s="678"/>
      <c r="J10" s="678"/>
      <c r="K10" s="678"/>
      <c r="L10" s="678"/>
      <c r="M10" s="697"/>
      <c r="N10" s="697"/>
      <c r="O10" s="697"/>
      <c r="P10" s="697"/>
      <c r="Q10" s="697"/>
      <c r="R10" s="697"/>
      <c r="S10" s="697"/>
      <c r="T10" s="697"/>
      <c r="U10" s="697"/>
      <c r="V10" s="697"/>
      <c r="W10" s="697"/>
      <c r="X10" s="697"/>
      <c r="Y10" s="697"/>
      <c r="Z10" s="697"/>
      <c r="AA10" s="697"/>
      <c r="AB10" s="697"/>
      <c r="AC10" s="923"/>
      <c r="AD10" s="923"/>
      <c r="AE10" s="923"/>
      <c r="AF10" s="924"/>
    </row>
    <row r="11" spans="2:32" ht="21" customHeight="1">
      <c r="B11" s="958"/>
      <c r="C11" s="959"/>
      <c r="D11" s="678">
        <v>1</v>
      </c>
      <c r="E11" s="678"/>
      <c r="F11" s="678"/>
      <c r="G11" s="678"/>
      <c r="H11" s="678"/>
      <c r="I11" s="678"/>
      <c r="J11" s="678"/>
      <c r="K11" s="678"/>
      <c r="L11" s="678"/>
      <c r="M11" s="678"/>
      <c r="N11" s="678"/>
      <c r="O11" s="678"/>
      <c r="P11" s="678"/>
      <c r="Q11" s="678"/>
      <c r="R11" s="678"/>
      <c r="S11" s="678"/>
      <c r="T11" s="678"/>
      <c r="U11" s="678"/>
      <c r="V11" s="678"/>
      <c r="W11" s="678"/>
      <c r="X11" s="678"/>
      <c r="Y11" s="706"/>
      <c r="Z11" s="697"/>
      <c r="AA11" s="697"/>
      <c r="AB11" s="697"/>
      <c r="AC11" s="697"/>
      <c r="AD11" s="697"/>
      <c r="AE11" s="697"/>
      <c r="AF11" s="886"/>
    </row>
    <row r="12" spans="2:32" ht="21" customHeight="1">
      <c r="B12" s="958"/>
      <c r="C12" s="959"/>
      <c r="D12" s="678">
        <v>2</v>
      </c>
      <c r="E12" s="678"/>
      <c r="F12" s="678"/>
      <c r="G12" s="678"/>
      <c r="H12" s="678"/>
      <c r="I12" s="678"/>
      <c r="J12" s="678"/>
      <c r="K12" s="678"/>
      <c r="L12" s="678"/>
      <c r="M12" s="678"/>
      <c r="N12" s="678"/>
      <c r="O12" s="678"/>
      <c r="P12" s="678"/>
      <c r="Q12" s="678"/>
      <c r="R12" s="678"/>
      <c r="S12" s="678"/>
      <c r="T12" s="678"/>
      <c r="U12" s="678"/>
      <c r="V12" s="678"/>
      <c r="W12" s="678"/>
      <c r="X12" s="678"/>
      <c r="Y12" s="697"/>
      <c r="Z12" s="697"/>
      <c r="AA12" s="697"/>
      <c r="AB12" s="697"/>
      <c r="AC12" s="697"/>
      <c r="AD12" s="697"/>
      <c r="AE12" s="697"/>
      <c r="AF12" s="886"/>
    </row>
    <row r="13" spans="2:32" ht="21" customHeight="1">
      <c r="B13" s="958"/>
      <c r="C13" s="959"/>
      <c r="D13" s="678">
        <v>3</v>
      </c>
      <c r="E13" s="678"/>
      <c r="F13" s="678"/>
      <c r="G13" s="678"/>
      <c r="H13" s="678"/>
      <c r="I13" s="678"/>
      <c r="J13" s="678"/>
      <c r="K13" s="678"/>
      <c r="L13" s="678"/>
      <c r="M13" s="697"/>
      <c r="N13" s="697"/>
      <c r="O13" s="697"/>
      <c r="P13" s="697"/>
      <c r="Q13" s="697"/>
      <c r="R13" s="697"/>
      <c r="S13" s="697"/>
      <c r="T13" s="697"/>
      <c r="U13" s="697"/>
      <c r="V13" s="697"/>
      <c r="W13" s="697"/>
      <c r="X13" s="697"/>
      <c r="Y13" s="697"/>
      <c r="Z13" s="697"/>
      <c r="AA13" s="697"/>
      <c r="AB13" s="697"/>
      <c r="AC13" s="697"/>
      <c r="AD13" s="697"/>
      <c r="AE13" s="697"/>
      <c r="AF13" s="886"/>
    </row>
    <row r="14" spans="2:32" ht="21" customHeight="1">
      <c r="B14" s="958"/>
      <c r="C14" s="959"/>
      <c r="D14" s="678">
        <v>4</v>
      </c>
      <c r="E14" s="678"/>
      <c r="F14" s="678"/>
      <c r="G14" s="678"/>
      <c r="H14" s="678"/>
      <c r="I14" s="678"/>
      <c r="J14" s="678"/>
      <c r="K14" s="678"/>
      <c r="L14" s="678"/>
      <c r="M14" s="697"/>
      <c r="N14" s="697"/>
      <c r="O14" s="697"/>
      <c r="P14" s="697"/>
      <c r="Q14" s="697"/>
      <c r="R14" s="697"/>
      <c r="S14" s="697"/>
      <c r="T14" s="697"/>
      <c r="U14" s="697"/>
      <c r="V14" s="697"/>
      <c r="W14" s="697"/>
      <c r="X14" s="697"/>
      <c r="Y14" s="697"/>
      <c r="Z14" s="697"/>
      <c r="AA14" s="697"/>
      <c r="AB14" s="697"/>
      <c r="AC14" s="697"/>
      <c r="AD14" s="697"/>
      <c r="AE14" s="697"/>
      <c r="AF14" s="886"/>
    </row>
    <row r="15" spans="2:32" ht="21" customHeight="1">
      <c r="B15" s="958"/>
      <c r="C15" s="959"/>
      <c r="D15" s="678">
        <v>5</v>
      </c>
      <c r="E15" s="678"/>
      <c r="F15" s="678"/>
      <c r="G15" s="678"/>
      <c r="H15" s="678"/>
      <c r="I15" s="678"/>
      <c r="J15" s="678"/>
      <c r="K15" s="678"/>
      <c r="L15" s="678"/>
      <c r="M15" s="697"/>
      <c r="N15" s="697"/>
      <c r="O15" s="697"/>
      <c r="P15" s="697"/>
      <c r="Q15" s="697"/>
      <c r="R15" s="697"/>
      <c r="S15" s="697"/>
      <c r="T15" s="697"/>
      <c r="U15" s="697"/>
      <c r="V15" s="697"/>
      <c r="W15" s="697"/>
      <c r="X15" s="697"/>
      <c r="Y15" s="697"/>
      <c r="Z15" s="697"/>
      <c r="AA15" s="697"/>
      <c r="AB15" s="697"/>
      <c r="AC15" s="697"/>
      <c r="AD15" s="697"/>
      <c r="AE15" s="697"/>
      <c r="AF15" s="886"/>
    </row>
    <row r="16" spans="2:32" ht="21" customHeight="1">
      <c r="B16" s="958"/>
      <c r="C16" s="959"/>
      <c r="D16" s="678">
        <v>6</v>
      </c>
      <c r="E16" s="678"/>
      <c r="F16" s="678"/>
      <c r="G16" s="678"/>
      <c r="H16" s="678"/>
      <c r="I16" s="678"/>
      <c r="J16" s="678"/>
      <c r="K16" s="678"/>
      <c r="L16" s="678"/>
      <c r="M16" s="697"/>
      <c r="N16" s="697"/>
      <c r="O16" s="697"/>
      <c r="P16" s="697"/>
      <c r="Q16" s="697"/>
      <c r="R16" s="697"/>
      <c r="S16" s="697"/>
      <c r="T16" s="697"/>
      <c r="U16" s="697"/>
      <c r="V16" s="697"/>
      <c r="W16" s="697"/>
      <c r="X16" s="697"/>
      <c r="Y16" s="697"/>
      <c r="Z16" s="697"/>
      <c r="AA16" s="697"/>
      <c r="AB16" s="697"/>
      <c r="AC16" s="697"/>
      <c r="AD16" s="697"/>
      <c r="AE16" s="697"/>
      <c r="AF16" s="886"/>
    </row>
    <row r="17" spans="2:32" ht="21" customHeight="1">
      <c r="B17" s="958"/>
      <c r="C17" s="959"/>
      <c r="D17" s="678">
        <v>7</v>
      </c>
      <c r="E17" s="678"/>
      <c r="F17" s="678"/>
      <c r="G17" s="678"/>
      <c r="H17" s="678"/>
      <c r="I17" s="678"/>
      <c r="J17" s="678"/>
      <c r="K17" s="678"/>
      <c r="L17" s="678"/>
      <c r="M17" s="697"/>
      <c r="N17" s="697"/>
      <c r="O17" s="697"/>
      <c r="P17" s="697"/>
      <c r="Q17" s="697"/>
      <c r="R17" s="697"/>
      <c r="S17" s="697"/>
      <c r="T17" s="697"/>
      <c r="U17" s="697"/>
      <c r="V17" s="697"/>
      <c r="W17" s="697"/>
      <c r="X17" s="697"/>
      <c r="Y17" s="697"/>
      <c r="Z17" s="697"/>
      <c r="AA17" s="697"/>
      <c r="AB17" s="697"/>
      <c r="AC17" s="697"/>
      <c r="AD17" s="697"/>
      <c r="AE17" s="697"/>
      <c r="AF17" s="886"/>
    </row>
    <row r="18" spans="2:32" ht="21" customHeight="1">
      <c r="B18" s="958"/>
      <c r="C18" s="959"/>
      <c r="D18" s="678">
        <v>8</v>
      </c>
      <c r="E18" s="678"/>
      <c r="F18" s="678"/>
      <c r="G18" s="678"/>
      <c r="H18" s="678"/>
      <c r="I18" s="678"/>
      <c r="J18" s="678"/>
      <c r="K18" s="678"/>
      <c r="L18" s="678"/>
      <c r="M18" s="697"/>
      <c r="N18" s="697"/>
      <c r="O18" s="697"/>
      <c r="P18" s="697"/>
      <c r="Q18" s="697"/>
      <c r="R18" s="697"/>
      <c r="S18" s="697"/>
      <c r="T18" s="697"/>
      <c r="U18" s="697"/>
      <c r="V18" s="697"/>
      <c r="W18" s="697"/>
      <c r="X18" s="697"/>
      <c r="Y18" s="697"/>
      <c r="Z18" s="697"/>
      <c r="AA18" s="697"/>
      <c r="AB18" s="697"/>
      <c r="AC18" s="697"/>
      <c r="AD18" s="697"/>
      <c r="AE18" s="697"/>
      <c r="AF18" s="886"/>
    </row>
    <row r="19" spans="2:32" ht="21" customHeight="1" thickBot="1">
      <c r="B19" s="960"/>
      <c r="C19" s="961"/>
      <c r="D19" s="909" t="s">
        <v>286</v>
      </c>
      <c r="E19" s="909"/>
      <c r="F19" s="909"/>
      <c r="G19" s="909"/>
      <c r="H19" s="909"/>
      <c r="I19" s="909"/>
      <c r="J19" s="909"/>
      <c r="K19" s="909"/>
      <c r="L19" s="909"/>
      <c r="M19" s="909"/>
      <c r="N19" s="909"/>
      <c r="O19" s="909"/>
      <c r="P19" s="909"/>
      <c r="Q19" s="909"/>
      <c r="R19" s="909"/>
      <c r="S19" s="909"/>
      <c r="T19" s="909"/>
      <c r="U19" s="909"/>
      <c r="V19" s="909"/>
      <c r="W19" s="909"/>
      <c r="X19" s="909"/>
      <c r="Y19" s="909"/>
      <c r="Z19" s="909"/>
      <c r="AA19" s="909"/>
      <c r="AB19" s="909"/>
      <c r="AC19" s="909"/>
      <c r="AD19" s="909"/>
      <c r="AE19" s="909"/>
      <c r="AF19" s="918"/>
    </row>
    <row r="20" spans="2:32" ht="21" customHeight="1">
      <c r="B20" s="962" t="s">
        <v>328</v>
      </c>
      <c r="C20" s="963"/>
      <c r="D20" s="679" t="s">
        <v>327</v>
      </c>
      <c r="E20" s="925"/>
      <c r="F20" s="925"/>
      <c r="G20" s="925"/>
      <c r="H20" s="925"/>
      <c r="I20" s="925"/>
      <c r="J20" s="926"/>
      <c r="K20" s="950" t="s">
        <v>326</v>
      </c>
      <c r="L20" s="951"/>
      <c r="M20" s="951"/>
      <c r="N20" s="951"/>
      <c r="O20" s="951"/>
      <c r="P20" s="951"/>
      <c r="Q20" s="951"/>
      <c r="R20" s="676" t="s">
        <v>240</v>
      </c>
      <c r="S20" s="966"/>
      <c r="T20" s="966"/>
      <c r="U20" s="966"/>
      <c r="V20" s="966"/>
      <c r="W20" s="966"/>
      <c r="X20" s="966"/>
      <c r="Y20" s="966"/>
      <c r="Z20" s="966"/>
      <c r="AA20" s="944" t="s">
        <v>325</v>
      </c>
      <c r="AB20" s="945"/>
      <c r="AC20" s="935" t="s">
        <v>324</v>
      </c>
      <c r="AD20" s="936"/>
      <c r="AE20" s="936"/>
      <c r="AF20" s="937"/>
    </row>
    <row r="21" spans="2:32" ht="21" customHeight="1">
      <c r="B21" s="958"/>
      <c r="C21" s="959"/>
      <c r="D21" s="927"/>
      <c r="E21" s="928"/>
      <c r="F21" s="928"/>
      <c r="G21" s="928"/>
      <c r="H21" s="928"/>
      <c r="I21" s="928"/>
      <c r="J21" s="929"/>
      <c r="K21" s="952"/>
      <c r="L21" s="953"/>
      <c r="M21" s="953"/>
      <c r="N21" s="953"/>
      <c r="O21" s="953"/>
      <c r="P21" s="953"/>
      <c r="Q21" s="953"/>
      <c r="R21" s="967"/>
      <c r="S21" s="967"/>
      <c r="T21" s="967"/>
      <c r="U21" s="967"/>
      <c r="V21" s="967"/>
      <c r="W21" s="967"/>
      <c r="X21" s="967"/>
      <c r="Y21" s="967"/>
      <c r="Z21" s="967"/>
      <c r="AA21" s="946"/>
      <c r="AB21" s="947"/>
      <c r="AC21" s="938"/>
      <c r="AD21" s="939"/>
      <c r="AE21" s="939"/>
      <c r="AF21" s="940"/>
    </row>
    <row r="22" spans="2:32" ht="21" customHeight="1">
      <c r="B22" s="958"/>
      <c r="C22" s="959"/>
      <c r="D22" s="930"/>
      <c r="E22" s="931"/>
      <c r="F22" s="931"/>
      <c r="G22" s="931"/>
      <c r="H22" s="931"/>
      <c r="I22" s="931"/>
      <c r="J22" s="932"/>
      <c r="K22" s="954"/>
      <c r="L22" s="955"/>
      <c r="M22" s="955"/>
      <c r="N22" s="955"/>
      <c r="O22" s="955"/>
      <c r="P22" s="955"/>
      <c r="Q22" s="955"/>
      <c r="R22" s="967"/>
      <c r="S22" s="967"/>
      <c r="T22" s="967"/>
      <c r="U22" s="967"/>
      <c r="V22" s="967"/>
      <c r="W22" s="967"/>
      <c r="X22" s="967"/>
      <c r="Y22" s="967"/>
      <c r="Z22" s="967"/>
      <c r="AA22" s="948"/>
      <c r="AB22" s="949"/>
      <c r="AC22" s="941"/>
      <c r="AD22" s="942"/>
      <c r="AE22" s="942"/>
      <c r="AF22" s="943"/>
    </row>
    <row r="23" spans="2:32" ht="21" customHeight="1">
      <c r="B23" s="958"/>
      <c r="C23" s="959"/>
      <c r="D23" s="890"/>
      <c r="E23" s="891"/>
      <c r="F23" s="891"/>
      <c r="G23" s="891"/>
      <c r="H23" s="891"/>
      <c r="I23" s="891"/>
      <c r="J23" s="892"/>
      <c r="K23" s="899"/>
      <c r="L23" s="900"/>
      <c r="M23" s="900"/>
      <c r="N23" s="900"/>
      <c r="O23" s="900"/>
      <c r="P23" s="900"/>
      <c r="Q23" s="901"/>
      <c r="R23" s="678">
        <v>1</v>
      </c>
      <c r="S23" s="678"/>
      <c r="T23" s="678"/>
      <c r="U23" s="678"/>
      <c r="V23" s="678"/>
      <c r="W23" s="678"/>
      <c r="X23" s="678"/>
      <c r="Y23" s="678"/>
      <c r="Z23" s="678"/>
      <c r="AA23" s="887"/>
      <c r="AB23" s="888"/>
      <c r="AC23" s="697"/>
      <c r="AD23" s="697"/>
      <c r="AE23" s="697"/>
      <c r="AF23" s="886"/>
    </row>
    <row r="24" spans="2:32" ht="21" customHeight="1">
      <c r="B24" s="958"/>
      <c r="C24" s="959"/>
      <c r="D24" s="893"/>
      <c r="E24" s="894"/>
      <c r="F24" s="894"/>
      <c r="G24" s="894"/>
      <c r="H24" s="894"/>
      <c r="I24" s="894"/>
      <c r="J24" s="895"/>
      <c r="K24" s="902"/>
      <c r="L24" s="903"/>
      <c r="M24" s="903"/>
      <c r="N24" s="903"/>
      <c r="O24" s="903"/>
      <c r="P24" s="903"/>
      <c r="Q24" s="904"/>
      <c r="R24" s="678">
        <v>2</v>
      </c>
      <c r="S24" s="678"/>
      <c r="T24" s="678"/>
      <c r="U24" s="678"/>
      <c r="V24" s="678"/>
      <c r="W24" s="678"/>
      <c r="X24" s="678"/>
      <c r="Y24" s="678"/>
      <c r="Z24" s="678"/>
      <c r="AA24" s="887"/>
      <c r="AB24" s="888"/>
      <c r="AC24" s="697"/>
      <c r="AD24" s="697"/>
      <c r="AE24" s="697"/>
      <c r="AF24" s="886"/>
    </row>
    <row r="25" spans="2:32" ht="21" customHeight="1">
      <c r="B25" s="958"/>
      <c r="C25" s="959"/>
      <c r="D25" s="893"/>
      <c r="E25" s="894"/>
      <c r="F25" s="894"/>
      <c r="G25" s="894"/>
      <c r="H25" s="894"/>
      <c r="I25" s="894"/>
      <c r="J25" s="895"/>
      <c r="K25" s="902"/>
      <c r="L25" s="903"/>
      <c r="M25" s="903"/>
      <c r="N25" s="903"/>
      <c r="O25" s="903"/>
      <c r="P25" s="903"/>
      <c r="Q25" s="904"/>
      <c r="R25" s="678">
        <v>3</v>
      </c>
      <c r="S25" s="678"/>
      <c r="T25" s="678"/>
      <c r="U25" s="678"/>
      <c r="V25" s="678"/>
      <c r="W25" s="678"/>
      <c r="X25" s="678"/>
      <c r="Y25" s="678"/>
      <c r="Z25" s="678"/>
      <c r="AA25" s="887"/>
      <c r="AB25" s="888"/>
      <c r="AC25" s="697"/>
      <c r="AD25" s="697"/>
      <c r="AE25" s="697"/>
      <c r="AF25" s="886"/>
    </row>
    <row r="26" spans="2:32" ht="21" customHeight="1">
      <c r="B26" s="958"/>
      <c r="C26" s="959"/>
      <c r="D26" s="896"/>
      <c r="E26" s="897"/>
      <c r="F26" s="897"/>
      <c r="G26" s="897"/>
      <c r="H26" s="897"/>
      <c r="I26" s="897"/>
      <c r="J26" s="898"/>
      <c r="K26" s="905"/>
      <c r="L26" s="906"/>
      <c r="M26" s="906"/>
      <c r="N26" s="906"/>
      <c r="O26" s="906"/>
      <c r="P26" s="906"/>
      <c r="Q26" s="907"/>
      <c r="R26" s="678">
        <v>4</v>
      </c>
      <c r="S26" s="678"/>
      <c r="T26" s="678"/>
      <c r="U26" s="678"/>
      <c r="V26" s="678"/>
      <c r="W26" s="678"/>
      <c r="X26" s="678"/>
      <c r="Y26" s="678"/>
      <c r="Z26" s="678"/>
      <c r="AA26" s="887"/>
      <c r="AB26" s="888"/>
      <c r="AC26" s="697"/>
      <c r="AD26" s="697"/>
      <c r="AE26" s="697"/>
      <c r="AF26" s="886"/>
    </row>
    <row r="27" spans="2:32" ht="21" customHeight="1">
      <c r="B27" s="958"/>
      <c r="C27" s="959"/>
      <c r="D27" s="890"/>
      <c r="E27" s="891"/>
      <c r="F27" s="891"/>
      <c r="G27" s="891"/>
      <c r="H27" s="891"/>
      <c r="I27" s="891"/>
      <c r="J27" s="892"/>
      <c r="K27" s="899"/>
      <c r="L27" s="900"/>
      <c r="M27" s="900"/>
      <c r="N27" s="900"/>
      <c r="O27" s="900"/>
      <c r="P27" s="900"/>
      <c r="Q27" s="901"/>
      <c r="R27" s="678">
        <v>5</v>
      </c>
      <c r="S27" s="678"/>
      <c r="T27" s="678"/>
      <c r="U27" s="678"/>
      <c r="V27" s="678"/>
      <c r="W27" s="678"/>
      <c r="X27" s="678"/>
      <c r="Y27" s="678"/>
      <c r="Z27" s="678"/>
      <c r="AA27" s="887"/>
      <c r="AB27" s="888"/>
      <c r="AC27" s="697"/>
      <c r="AD27" s="697"/>
      <c r="AE27" s="697"/>
      <c r="AF27" s="886"/>
    </row>
    <row r="28" spans="2:32" ht="21" customHeight="1">
      <c r="B28" s="958"/>
      <c r="C28" s="959"/>
      <c r="D28" s="893"/>
      <c r="E28" s="894"/>
      <c r="F28" s="894"/>
      <c r="G28" s="894"/>
      <c r="H28" s="894"/>
      <c r="I28" s="894"/>
      <c r="J28" s="895"/>
      <c r="K28" s="902"/>
      <c r="L28" s="903"/>
      <c r="M28" s="903"/>
      <c r="N28" s="903"/>
      <c r="O28" s="903"/>
      <c r="P28" s="903"/>
      <c r="Q28" s="904"/>
      <c r="R28" s="678">
        <v>6</v>
      </c>
      <c r="S28" s="678"/>
      <c r="T28" s="678"/>
      <c r="U28" s="678"/>
      <c r="V28" s="678"/>
      <c r="W28" s="678"/>
      <c r="X28" s="678"/>
      <c r="Y28" s="678"/>
      <c r="Z28" s="678"/>
      <c r="AA28" s="887"/>
      <c r="AB28" s="888"/>
      <c r="AC28" s="697"/>
      <c r="AD28" s="697"/>
      <c r="AE28" s="697"/>
      <c r="AF28" s="886"/>
    </row>
    <row r="29" spans="2:32" ht="21" customHeight="1">
      <c r="B29" s="958"/>
      <c r="C29" s="959"/>
      <c r="D29" s="893"/>
      <c r="E29" s="894"/>
      <c r="F29" s="894"/>
      <c r="G29" s="894"/>
      <c r="H29" s="894"/>
      <c r="I29" s="894"/>
      <c r="J29" s="895"/>
      <c r="K29" s="902"/>
      <c r="L29" s="903"/>
      <c r="M29" s="903"/>
      <c r="N29" s="903"/>
      <c r="O29" s="903"/>
      <c r="P29" s="903"/>
      <c r="Q29" s="904"/>
      <c r="R29" s="678">
        <v>7</v>
      </c>
      <c r="S29" s="678"/>
      <c r="T29" s="678"/>
      <c r="U29" s="678"/>
      <c r="V29" s="678"/>
      <c r="W29" s="678"/>
      <c r="X29" s="678"/>
      <c r="Y29" s="678"/>
      <c r="Z29" s="678"/>
      <c r="AA29" s="887"/>
      <c r="AB29" s="888"/>
      <c r="AC29" s="697"/>
      <c r="AD29" s="697"/>
      <c r="AE29" s="697"/>
      <c r="AF29" s="886"/>
    </row>
    <row r="30" spans="2:32" ht="21" customHeight="1">
      <c r="B30" s="958"/>
      <c r="C30" s="959"/>
      <c r="D30" s="893"/>
      <c r="E30" s="894"/>
      <c r="F30" s="894"/>
      <c r="G30" s="894"/>
      <c r="H30" s="894"/>
      <c r="I30" s="894"/>
      <c r="J30" s="895"/>
      <c r="K30" s="902"/>
      <c r="L30" s="903"/>
      <c r="M30" s="903"/>
      <c r="N30" s="903"/>
      <c r="O30" s="903"/>
      <c r="P30" s="903"/>
      <c r="Q30" s="904"/>
      <c r="R30" s="678">
        <v>8</v>
      </c>
      <c r="S30" s="678"/>
      <c r="T30" s="678"/>
      <c r="U30" s="678"/>
      <c r="V30" s="678"/>
      <c r="W30" s="678"/>
      <c r="X30" s="678"/>
      <c r="Y30" s="678"/>
      <c r="Z30" s="678"/>
      <c r="AA30" s="887"/>
      <c r="AB30" s="888"/>
      <c r="AC30" s="697"/>
      <c r="AD30" s="697"/>
      <c r="AE30" s="697"/>
      <c r="AF30" s="886"/>
    </row>
    <row r="31" spans="2:32" ht="21" customHeight="1">
      <c r="B31" s="964"/>
      <c r="C31" s="965"/>
      <c r="D31" s="896"/>
      <c r="E31" s="897"/>
      <c r="F31" s="897"/>
      <c r="G31" s="897"/>
      <c r="H31" s="897"/>
      <c r="I31" s="897"/>
      <c r="J31" s="898"/>
      <c r="K31" s="905"/>
      <c r="L31" s="906"/>
      <c r="M31" s="906"/>
      <c r="N31" s="906"/>
      <c r="O31" s="906"/>
      <c r="P31" s="906"/>
      <c r="Q31" s="907"/>
      <c r="R31" s="678">
        <v>9</v>
      </c>
      <c r="S31" s="678"/>
      <c r="T31" s="678"/>
      <c r="U31" s="678"/>
      <c r="V31" s="678"/>
      <c r="W31" s="678"/>
      <c r="X31" s="678"/>
      <c r="Y31" s="678"/>
      <c r="Z31" s="678"/>
      <c r="AA31" s="887"/>
      <c r="AB31" s="888"/>
      <c r="AC31" s="697"/>
      <c r="AD31" s="697"/>
      <c r="AE31" s="697"/>
      <c r="AF31" s="886"/>
    </row>
    <row r="32" spans="2:32" ht="21" customHeight="1">
      <c r="B32" s="964"/>
      <c r="C32" s="965"/>
      <c r="D32" s="890"/>
      <c r="E32" s="891"/>
      <c r="F32" s="891"/>
      <c r="G32" s="891"/>
      <c r="H32" s="891"/>
      <c r="I32" s="891"/>
      <c r="J32" s="892"/>
      <c r="K32" s="899"/>
      <c r="L32" s="900"/>
      <c r="M32" s="900"/>
      <c r="N32" s="900"/>
      <c r="O32" s="900"/>
      <c r="P32" s="900"/>
      <c r="Q32" s="901"/>
      <c r="R32" s="678">
        <v>10</v>
      </c>
      <c r="S32" s="678"/>
      <c r="T32" s="678"/>
      <c r="U32" s="678"/>
      <c r="V32" s="678"/>
      <c r="W32" s="678"/>
      <c r="X32" s="678"/>
      <c r="Y32" s="678"/>
      <c r="Z32" s="678"/>
      <c r="AA32" s="887"/>
      <c r="AB32" s="888"/>
      <c r="AC32" s="697"/>
      <c r="AD32" s="697"/>
      <c r="AE32" s="697"/>
      <c r="AF32" s="886"/>
    </row>
    <row r="33" spans="2:32" ht="21" customHeight="1">
      <c r="B33" s="964"/>
      <c r="C33" s="965"/>
      <c r="D33" s="893"/>
      <c r="E33" s="894"/>
      <c r="F33" s="894"/>
      <c r="G33" s="894"/>
      <c r="H33" s="894"/>
      <c r="I33" s="894"/>
      <c r="J33" s="895"/>
      <c r="K33" s="902"/>
      <c r="L33" s="903"/>
      <c r="M33" s="903"/>
      <c r="N33" s="903"/>
      <c r="O33" s="903"/>
      <c r="P33" s="903"/>
      <c r="Q33" s="904"/>
      <c r="R33" s="678">
        <v>11</v>
      </c>
      <c r="S33" s="678"/>
      <c r="T33" s="678"/>
      <c r="U33" s="678"/>
      <c r="V33" s="678"/>
      <c r="W33" s="678"/>
      <c r="X33" s="678"/>
      <c r="Y33" s="678"/>
      <c r="Z33" s="678"/>
      <c r="AA33" s="887"/>
      <c r="AB33" s="888"/>
      <c r="AC33" s="697"/>
      <c r="AD33" s="697"/>
      <c r="AE33" s="697"/>
      <c r="AF33" s="886"/>
    </row>
    <row r="34" spans="2:32" ht="21" customHeight="1">
      <c r="B34" s="964"/>
      <c r="C34" s="965"/>
      <c r="D34" s="893"/>
      <c r="E34" s="894"/>
      <c r="F34" s="894"/>
      <c r="G34" s="894"/>
      <c r="H34" s="894"/>
      <c r="I34" s="894"/>
      <c r="J34" s="895"/>
      <c r="K34" s="902"/>
      <c r="L34" s="903"/>
      <c r="M34" s="903"/>
      <c r="N34" s="903"/>
      <c r="O34" s="903"/>
      <c r="P34" s="903"/>
      <c r="Q34" s="904"/>
      <c r="R34" s="678">
        <v>12</v>
      </c>
      <c r="S34" s="678"/>
      <c r="T34" s="678"/>
      <c r="U34" s="678"/>
      <c r="V34" s="678"/>
      <c r="W34" s="678"/>
      <c r="X34" s="678"/>
      <c r="Y34" s="678"/>
      <c r="Z34" s="678"/>
      <c r="AA34" s="887"/>
      <c r="AB34" s="888"/>
      <c r="AC34" s="697"/>
      <c r="AD34" s="697"/>
      <c r="AE34" s="697"/>
      <c r="AF34" s="886"/>
    </row>
    <row r="35" spans="2:32" ht="21" customHeight="1">
      <c r="B35" s="964"/>
      <c r="C35" s="965"/>
      <c r="D35" s="893"/>
      <c r="E35" s="894"/>
      <c r="F35" s="894"/>
      <c r="G35" s="894"/>
      <c r="H35" s="894"/>
      <c r="I35" s="894"/>
      <c r="J35" s="895"/>
      <c r="K35" s="902"/>
      <c r="L35" s="903"/>
      <c r="M35" s="903"/>
      <c r="N35" s="903"/>
      <c r="O35" s="903"/>
      <c r="P35" s="903"/>
      <c r="Q35" s="904"/>
      <c r="R35" s="678">
        <v>13</v>
      </c>
      <c r="S35" s="678"/>
      <c r="T35" s="678"/>
      <c r="U35" s="678"/>
      <c r="V35" s="678"/>
      <c r="W35" s="678"/>
      <c r="X35" s="678"/>
      <c r="Y35" s="678"/>
      <c r="Z35" s="678"/>
      <c r="AA35" s="887"/>
      <c r="AB35" s="888"/>
      <c r="AC35" s="697"/>
      <c r="AD35" s="697"/>
      <c r="AE35" s="697"/>
      <c r="AF35" s="886"/>
    </row>
    <row r="36" spans="2:32" ht="21" customHeight="1">
      <c r="B36" s="964"/>
      <c r="C36" s="965"/>
      <c r="D36" s="896"/>
      <c r="E36" s="897"/>
      <c r="F36" s="897"/>
      <c r="G36" s="897"/>
      <c r="H36" s="897"/>
      <c r="I36" s="897"/>
      <c r="J36" s="898"/>
      <c r="K36" s="905"/>
      <c r="L36" s="906"/>
      <c r="M36" s="906"/>
      <c r="N36" s="906"/>
      <c r="O36" s="906"/>
      <c r="P36" s="906"/>
      <c r="Q36" s="907"/>
      <c r="R36" s="678">
        <v>14</v>
      </c>
      <c r="S36" s="678"/>
      <c r="T36" s="678"/>
      <c r="U36" s="678"/>
      <c r="V36" s="678"/>
      <c r="W36" s="678"/>
      <c r="X36" s="678"/>
      <c r="Y36" s="678"/>
      <c r="Z36" s="678"/>
      <c r="AA36" s="887"/>
      <c r="AB36" s="888"/>
      <c r="AC36" s="697"/>
      <c r="AD36" s="697"/>
      <c r="AE36" s="697"/>
      <c r="AF36" s="886"/>
    </row>
    <row r="37" spans="2:32" ht="21" customHeight="1" thickBot="1">
      <c r="B37" s="960"/>
      <c r="C37" s="961"/>
      <c r="D37" s="909" t="s">
        <v>286</v>
      </c>
      <c r="E37" s="909"/>
      <c r="F37" s="909"/>
      <c r="G37" s="909"/>
      <c r="H37" s="909"/>
      <c r="I37" s="909"/>
      <c r="J37" s="909"/>
      <c r="K37" s="909"/>
      <c r="L37" s="909"/>
      <c r="M37" s="909"/>
      <c r="N37" s="909"/>
      <c r="O37" s="909"/>
      <c r="P37" s="909"/>
      <c r="Q37" s="909"/>
      <c r="R37" s="909"/>
      <c r="S37" s="909"/>
      <c r="T37" s="909"/>
      <c r="U37" s="909"/>
      <c r="V37" s="909"/>
      <c r="W37" s="909"/>
      <c r="X37" s="909"/>
      <c r="Y37" s="909"/>
      <c r="Z37" s="909"/>
      <c r="AA37" s="909"/>
      <c r="AB37" s="909"/>
      <c r="AC37" s="909"/>
      <c r="AD37" s="909"/>
      <c r="AE37" s="909"/>
      <c r="AF37" s="918"/>
    </row>
    <row r="38" spans="2:32" ht="21" customHeight="1">
      <c r="B38" s="889" t="s">
        <v>572</v>
      </c>
      <c r="C38" s="889"/>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row>
    <row r="39" spans="2:32" ht="39.75" customHeight="1">
      <c r="B39" s="889"/>
      <c r="C39" s="889"/>
      <c r="D39" s="889"/>
      <c r="E39" s="889"/>
      <c r="F39" s="889"/>
      <c r="G39" s="889"/>
      <c r="H39" s="889"/>
      <c r="I39" s="889"/>
      <c r="J39" s="889"/>
      <c r="K39" s="889"/>
      <c r="L39" s="889"/>
      <c r="M39" s="889"/>
      <c r="N39" s="889"/>
      <c r="O39" s="889"/>
      <c r="P39" s="889"/>
      <c r="Q39" s="889"/>
      <c r="R39" s="889"/>
      <c r="S39" s="889"/>
      <c r="T39" s="889"/>
      <c r="U39" s="889"/>
      <c r="V39" s="889"/>
      <c r="W39" s="889"/>
      <c r="X39" s="889"/>
      <c r="Y39" s="889"/>
      <c r="Z39" s="889"/>
      <c r="AA39" s="889"/>
      <c r="AB39" s="889"/>
      <c r="AC39" s="889"/>
      <c r="AD39" s="889"/>
      <c r="AE39" s="889"/>
      <c r="AF39" s="889"/>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B1:AJ38"/>
  <sheetViews>
    <sheetView showGridLines="0" view="pageBreakPreview" zoomScale="115" zoomScaleNormal="75" zoomScaleSheetLayoutView="80" workbookViewId="0"/>
  </sheetViews>
  <sheetFormatPr defaultRowHeight="21" customHeight="1"/>
  <cols>
    <col min="1" max="1" width="9" style="62"/>
    <col min="2" max="40" width="2.625" style="62" customWidth="1"/>
    <col min="41" max="16384" width="9" style="62"/>
  </cols>
  <sheetData>
    <row r="1" spans="2:36" ht="21" customHeight="1">
      <c r="B1" s="62" t="s">
        <v>315</v>
      </c>
    </row>
    <row r="2" spans="2:36" ht="21" customHeight="1">
      <c r="B2" s="659" t="s">
        <v>314</v>
      </c>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row>
    <row r="3" spans="2:36" ht="21" customHeight="1" thickBot="1"/>
    <row r="4" spans="2:36" ht="21" customHeight="1">
      <c r="B4" s="968" t="s">
        <v>313</v>
      </c>
      <c r="C4" s="969"/>
      <c r="D4" s="969"/>
      <c r="E4" s="969"/>
      <c r="F4" s="969"/>
      <c r="G4" s="969"/>
      <c r="H4" s="969"/>
      <c r="I4" s="969"/>
      <c r="J4" s="969"/>
      <c r="K4" s="969"/>
      <c r="L4" s="969"/>
      <c r="M4" s="969"/>
      <c r="N4" s="969"/>
      <c r="O4" s="969"/>
      <c r="P4" s="969"/>
      <c r="Q4" s="969"/>
      <c r="R4" s="674"/>
      <c r="S4" s="970"/>
      <c r="T4" s="970"/>
      <c r="U4" s="970"/>
      <c r="V4" s="970"/>
      <c r="W4" s="970"/>
      <c r="X4" s="970"/>
      <c r="Y4" s="970"/>
      <c r="Z4" s="970"/>
      <c r="AA4" s="970"/>
      <c r="AB4" s="970"/>
      <c r="AC4" s="970"/>
      <c r="AD4" s="970"/>
      <c r="AE4" s="970"/>
      <c r="AF4" s="970"/>
      <c r="AG4" s="970"/>
      <c r="AH4" s="970"/>
      <c r="AI4" s="970"/>
      <c r="AJ4" s="971"/>
    </row>
    <row r="5" spans="2:36" ht="21" customHeight="1">
      <c r="B5" s="975" t="s">
        <v>240</v>
      </c>
      <c r="C5" s="934"/>
      <c r="D5" s="934"/>
      <c r="E5" s="934"/>
      <c r="F5" s="934"/>
      <c r="G5" s="934"/>
      <c r="H5" s="934"/>
      <c r="I5" s="934"/>
      <c r="J5" s="934"/>
      <c r="K5" s="934"/>
      <c r="L5" s="934"/>
      <c r="M5" s="934"/>
      <c r="N5" s="934"/>
      <c r="O5" s="934"/>
      <c r="P5" s="934"/>
      <c r="Q5" s="934"/>
      <c r="R5" s="934"/>
      <c r="S5" s="776" t="s">
        <v>312</v>
      </c>
      <c r="T5" s="758"/>
      <c r="U5" s="758"/>
      <c r="V5" s="758"/>
      <c r="W5" s="758"/>
      <c r="X5" s="758"/>
      <c r="Y5" s="758"/>
      <c r="Z5" s="758"/>
      <c r="AA5" s="758"/>
      <c r="AB5" s="758"/>
      <c r="AC5" s="758"/>
      <c r="AD5" s="758"/>
      <c r="AE5" s="758"/>
      <c r="AF5" s="758"/>
      <c r="AG5" s="758"/>
      <c r="AH5" s="758"/>
      <c r="AI5" s="758"/>
      <c r="AJ5" s="974"/>
    </row>
    <row r="6" spans="2:36" ht="21" customHeight="1">
      <c r="B6" s="975"/>
      <c r="C6" s="934"/>
      <c r="D6" s="934"/>
      <c r="E6" s="934"/>
      <c r="F6" s="934"/>
      <c r="G6" s="934"/>
      <c r="H6" s="934"/>
      <c r="I6" s="934"/>
      <c r="J6" s="934"/>
      <c r="K6" s="934"/>
      <c r="L6" s="934"/>
      <c r="M6" s="934"/>
      <c r="N6" s="934"/>
      <c r="O6" s="934"/>
      <c r="P6" s="934"/>
      <c r="Q6" s="934"/>
      <c r="R6" s="934"/>
      <c r="S6" s="776"/>
      <c r="T6" s="758"/>
      <c r="U6" s="758"/>
      <c r="V6" s="758"/>
      <c r="W6" s="758"/>
      <c r="X6" s="758"/>
      <c r="Y6" s="758"/>
      <c r="Z6" s="758"/>
      <c r="AA6" s="758"/>
      <c r="AB6" s="758"/>
      <c r="AC6" s="758"/>
      <c r="AD6" s="758"/>
      <c r="AE6" s="758"/>
      <c r="AF6" s="758"/>
      <c r="AG6" s="758"/>
      <c r="AH6" s="758"/>
      <c r="AI6" s="758"/>
      <c r="AJ6" s="974"/>
    </row>
    <row r="7" spans="2:36" ht="21" customHeight="1">
      <c r="B7" s="129">
        <v>1</v>
      </c>
      <c r="C7" s="972"/>
      <c r="D7" s="972"/>
      <c r="E7" s="972"/>
      <c r="F7" s="972"/>
      <c r="G7" s="972"/>
      <c r="H7" s="972"/>
      <c r="I7" s="972"/>
      <c r="J7" s="972"/>
      <c r="K7" s="972"/>
      <c r="L7" s="972"/>
      <c r="M7" s="972"/>
      <c r="N7" s="972"/>
      <c r="O7" s="972"/>
      <c r="P7" s="972"/>
      <c r="Q7" s="972"/>
      <c r="R7" s="973"/>
      <c r="S7" s="973"/>
      <c r="T7" s="976"/>
      <c r="U7" s="976"/>
      <c r="V7" s="976"/>
      <c r="W7" s="976"/>
      <c r="X7" s="976"/>
      <c r="Y7" s="976"/>
      <c r="Z7" s="976"/>
      <c r="AA7" s="976"/>
      <c r="AB7" s="976"/>
      <c r="AC7" s="976"/>
      <c r="AD7" s="976"/>
      <c r="AE7" s="976"/>
      <c r="AF7" s="976"/>
      <c r="AG7" s="976"/>
      <c r="AH7" s="976"/>
      <c r="AI7" s="976"/>
      <c r="AJ7" s="977"/>
    </row>
    <row r="8" spans="2:36" ht="21" customHeight="1">
      <c r="B8" s="129">
        <v>2</v>
      </c>
      <c r="C8" s="972"/>
      <c r="D8" s="972"/>
      <c r="E8" s="972"/>
      <c r="F8" s="972"/>
      <c r="G8" s="972"/>
      <c r="H8" s="972"/>
      <c r="I8" s="972"/>
      <c r="J8" s="972"/>
      <c r="K8" s="972"/>
      <c r="L8" s="972"/>
      <c r="M8" s="972"/>
      <c r="N8" s="972"/>
      <c r="O8" s="972"/>
      <c r="P8" s="972"/>
      <c r="Q8" s="972"/>
      <c r="R8" s="973"/>
      <c r="S8" s="973"/>
      <c r="T8" s="976"/>
      <c r="U8" s="976"/>
      <c r="V8" s="976"/>
      <c r="W8" s="976"/>
      <c r="X8" s="976"/>
      <c r="Y8" s="976"/>
      <c r="Z8" s="976"/>
      <c r="AA8" s="976"/>
      <c r="AB8" s="976"/>
      <c r="AC8" s="976"/>
      <c r="AD8" s="976"/>
      <c r="AE8" s="976"/>
      <c r="AF8" s="976"/>
      <c r="AG8" s="976"/>
      <c r="AH8" s="976"/>
      <c r="AI8" s="976"/>
      <c r="AJ8" s="977"/>
    </row>
    <row r="9" spans="2:36" ht="21" customHeight="1">
      <c r="B9" s="129">
        <v>3</v>
      </c>
      <c r="C9" s="972"/>
      <c r="D9" s="972"/>
      <c r="E9" s="972"/>
      <c r="F9" s="972"/>
      <c r="G9" s="972"/>
      <c r="H9" s="972"/>
      <c r="I9" s="972"/>
      <c r="J9" s="972"/>
      <c r="K9" s="972"/>
      <c r="L9" s="972"/>
      <c r="M9" s="972"/>
      <c r="N9" s="972"/>
      <c r="O9" s="972"/>
      <c r="P9" s="972"/>
      <c r="Q9" s="972"/>
      <c r="R9" s="973"/>
      <c r="S9" s="973"/>
      <c r="T9" s="976"/>
      <c r="U9" s="976"/>
      <c r="V9" s="976"/>
      <c r="W9" s="976"/>
      <c r="X9" s="976"/>
      <c r="Y9" s="976"/>
      <c r="Z9" s="976"/>
      <c r="AA9" s="976"/>
      <c r="AB9" s="976"/>
      <c r="AC9" s="976"/>
      <c r="AD9" s="976"/>
      <c r="AE9" s="976"/>
      <c r="AF9" s="976"/>
      <c r="AG9" s="976"/>
      <c r="AH9" s="976"/>
      <c r="AI9" s="976"/>
      <c r="AJ9" s="977"/>
    </row>
    <row r="10" spans="2:36" ht="21" customHeight="1">
      <c r="B10" s="129">
        <v>4</v>
      </c>
      <c r="C10" s="972"/>
      <c r="D10" s="972"/>
      <c r="E10" s="972"/>
      <c r="F10" s="972"/>
      <c r="G10" s="972"/>
      <c r="H10" s="972"/>
      <c r="I10" s="972"/>
      <c r="J10" s="972"/>
      <c r="K10" s="972"/>
      <c r="L10" s="972"/>
      <c r="M10" s="972"/>
      <c r="N10" s="972"/>
      <c r="O10" s="972"/>
      <c r="P10" s="972"/>
      <c r="Q10" s="972"/>
      <c r="R10" s="973"/>
      <c r="S10" s="973"/>
      <c r="T10" s="976"/>
      <c r="U10" s="976"/>
      <c r="V10" s="976"/>
      <c r="W10" s="976"/>
      <c r="X10" s="976"/>
      <c r="Y10" s="976"/>
      <c r="Z10" s="976"/>
      <c r="AA10" s="976"/>
      <c r="AB10" s="976"/>
      <c r="AC10" s="976"/>
      <c r="AD10" s="976"/>
      <c r="AE10" s="976"/>
      <c r="AF10" s="976"/>
      <c r="AG10" s="976"/>
      <c r="AH10" s="976"/>
      <c r="AI10" s="976"/>
      <c r="AJ10" s="977"/>
    </row>
    <row r="11" spans="2:36" ht="21" customHeight="1">
      <c r="B11" s="129">
        <v>5</v>
      </c>
      <c r="C11" s="972"/>
      <c r="D11" s="972"/>
      <c r="E11" s="972"/>
      <c r="F11" s="972"/>
      <c r="G11" s="972"/>
      <c r="H11" s="972"/>
      <c r="I11" s="972"/>
      <c r="J11" s="972"/>
      <c r="K11" s="972"/>
      <c r="L11" s="972"/>
      <c r="M11" s="972"/>
      <c r="N11" s="972"/>
      <c r="O11" s="972"/>
      <c r="P11" s="972"/>
      <c r="Q11" s="972"/>
      <c r="R11" s="973"/>
      <c r="S11" s="973"/>
      <c r="T11" s="976"/>
      <c r="U11" s="976"/>
      <c r="V11" s="976"/>
      <c r="W11" s="976"/>
      <c r="X11" s="976"/>
      <c r="Y11" s="976"/>
      <c r="Z11" s="976"/>
      <c r="AA11" s="976"/>
      <c r="AB11" s="976"/>
      <c r="AC11" s="976"/>
      <c r="AD11" s="976"/>
      <c r="AE11" s="976"/>
      <c r="AF11" s="976"/>
      <c r="AG11" s="976"/>
      <c r="AH11" s="976"/>
      <c r="AI11" s="976"/>
      <c r="AJ11" s="977"/>
    </row>
    <row r="12" spans="2:36" ht="21" customHeight="1">
      <c r="B12" s="129">
        <v>6</v>
      </c>
      <c r="C12" s="972"/>
      <c r="D12" s="972"/>
      <c r="E12" s="972"/>
      <c r="F12" s="972"/>
      <c r="G12" s="972"/>
      <c r="H12" s="972"/>
      <c r="I12" s="972"/>
      <c r="J12" s="972"/>
      <c r="K12" s="972"/>
      <c r="L12" s="972"/>
      <c r="M12" s="972"/>
      <c r="N12" s="972"/>
      <c r="O12" s="972"/>
      <c r="P12" s="972"/>
      <c r="Q12" s="972"/>
      <c r="R12" s="973"/>
      <c r="S12" s="973"/>
      <c r="T12" s="976"/>
      <c r="U12" s="976"/>
      <c r="V12" s="976"/>
      <c r="W12" s="976"/>
      <c r="X12" s="976"/>
      <c r="Y12" s="976"/>
      <c r="Z12" s="976"/>
      <c r="AA12" s="976"/>
      <c r="AB12" s="976"/>
      <c r="AC12" s="976"/>
      <c r="AD12" s="976"/>
      <c r="AE12" s="976"/>
      <c r="AF12" s="976"/>
      <c r="AG12" s="976"/>
      <c r="AH12" s="976"/>
      <c r="AI12" s="976"/>
      <c r="AJ12" s="977"/>
    </row>
    <row r="13" spans="2:36" ht="21" customHeight="1">
      <c r="B13" s="129">
        <v>7</v>
      </c>
      <c r="C13" s="972"/>
      <c r="D13" s="972"/>
      <c r="E13" s="972"/>
      <c r="F13" s="972"/>
      <c r="G13" s="972"/>
      <c r="H13" s="972"/>
      <c r="I13" s="972"/>
      <c r="J13" s="972"/>
      <c r="K13" s="972"/>
      <c r="L13" s="972"/>
      <c r="M13" s="972"/>
      <c r="N13" s="972"/>
      <c r="O13" s="972"/>
      <c r="P13" s="972"/>
      <c r="Q13" s="972"/>
      <c r="R13" s="973"/>
      <c r="S13" s="973"/>
      <c r="T13" s="976"/>
      <c r="U13" s="976"/>
      <c r="V13" s="976"/>
      <c r="W13" s="976"/>
      <c r="X13" s="976"/>
      <c r="Y13" s="976"/>
      <c r="Z13" s="976"/>
      <c r="AA13" s="976"/>
      <c r="AB13" s="976"/>
      <c r="AC13" s="976"/>
      <c r="AD13" s="976"/>
      <c r="AE13" s="976"/>
      <c r="AF13" s="976"/>
      <c r="AG13" s="976"/>
      <c r="AH13" s="976"/>
      <c r="AI13" s="976"/>
      <c r="AJ13" s="977"/>
    </row>
    <row r="14" spans="2:36" ht="21" customHeight="1">
      <c r="B14" s="129">
        <v>8</v>
      </c>
      <c r="C14" s="972"/>
      <c r="D14" s="972"/>
      <c r="E14" s="972"/>
      <c r="F14" s="972"/>
      <c r="G14" s="972"/>
      <c r="H14" s="972"/>
      <c r="I14" s="972"/>
      <c r="J14" s="972"/>
      <c r="K14" s="972"/>
      <c r="L14" s="972"/>
      <c r="M14" s="972"/>
      <c r="N14" s="972"/>
      <c r="O14" s="972"/>
      <c r="P14" s="972"/>
      <c r="Q14" s="972"/>
      <c r="R14" s="973"/>
      <c r="S14" s="973"/>
      <c r="T14" s="976"/>
      <c r="U14" s="976"/>
      <c r="V14" s="976"/>
      <c r="W14" s="976"/>
      <c r="X14" s="976"/>
      <c r="Y14" s="976"/>
      <c r="Z14" s="976"/>
      <c r="AA14" s="976"/>
      <c r="AB14" s="976"/>
      <c r="AC14" s="976"/>
      <c r="AD14" s="976"/>
      <c r="AE14" s="976"/>
      <c r="AF14" s="976"/>
      <c r="AG14" s="976"/>
      <c r="AH14" s="976"/>
      <c r="AI14" s="976"/>
      <c r="AJ14" s="977"/>
    </row>
    <row r="15" spans="2:36" ht="21" customHeight="1">
      <c r="B15" s="129">
        <v>9</v>
      </c>
      <c r="C15" s="972"/>
      <c r="D15" s="972"/>
      <c r="E15" s="972"/>
      <c r="F15" s="972"/>
      <c r="G15" s="972"/>
      <c r="H15" s="972"/>
      <c r="I15" s="972"/>
      <c r="J15" s="972"/>
      <c r="K15" s="972"/>
      <c r="L15" s="972"/>
      <c r="M15" s="972"/>
      <c r="N15" s="972"/>
      <c r="O15" s="972"/>
      <c r="P15" s="972"/>
      <c r="Q15" s="972"/>
      <c r="R15" s="973"/>
      <c r="S15" s="973"/>
      <c r="T15" s="976"/>
      <c r="U15" s="976"/>
      <c r="V15" s="976"/>
      <c r="W15" s="976"/>
      <c r="X15" s="976"/>
      <c r="Y15" s="976"/>
      <c r="Z15" s="976"/>
      <c r="AA15" s="976"/>
      <c r="AB15" s="976"/>
      <c r="AC15" s="976"/>
      <c r="AD15" s="976"/>
      <c r="AE15" s="976"/>
      <c r="AF15" s="976"/>
      <c r="AG15" s="976"/>
      <c r="AH15" s="976"/>
      <c r="AI15" s="976"/>
      <c r="AJ15" s="977"/>
    </row>
    <row r="16" spans="2:36" ht="21" customHeight="1">
      <c r="B16" s="129">
        <v>10</v>
      </c>
      <c r="C16" s="972"/>
      <c r="D16" s="972"/>
      <c r="E16" s="972"/>
      <c r="F16" s="972"/>
      <c r="G16" s="972"/>
      <c r="H16" s="972"/>
      <c r="I16" s="972"/>
      <c r="J16" s="972"/>
      <c r="K16" s="972"/>
      <c r="L16" s="972"/>
      <c r="M16" s="972"/>
      <c r="N16" s="972"/>
      <c r="O16" s="972"/>
      <c r="P16" s="972"/>
      <c r="Q16" s="972"/>
      <c r="R16" s="973"/>
      <c r="S16" s="973"/>
      <c r="T16" s="976"/>
      <c r="U16" s="976"/>
      <c r="V16" s="976"/>
      <c r="W16" s="976"/>
      <c r="X16" s="976"/>
      <c r="Y16" s="976"/>
      <c r="Z16" s="976"/>
      <c r="AA16" s="976"/>
      <c r="AB16" s="976"/>
      <c r="AC16" s="976"/>
      <c r="AD16" s="976"/>
      <c r="AE16" s="976"/>
      <c r="AF16" s="976"/>
      <c r="AG16" s="976"/>
      <c r="AH16" s="976"/>
      <c r="AI16" s="976"/>
      <c r="AJ16" s="977"/>
    </row>
    <row r="17" spans="2:36" ht="21" customHeight="1">
      <c r="B17" s="129">
        <v>11</v>
      </c>
      <c r="C17" s="972"/>
      <c r="D17" s="972"/>
      <c r="E17" s="972"/>
      <c r="F17" s="972"/>
      <c r="G17" s="972"/>
      <c r="H17" s="972"/>
      <c r="I17" s="972"/>
      <c r="J17" s="972"/>
      <c r="K17" s="972"/>
      <c r="L17" s="972"/>
      <c r="M17" s="972"/>
      <c r="N17" s="972"/>
      <c r="O17" s="972"/>
      <c r="P17" s="972"/>
      <c r="Q17" s="972"/>
      <c r="R17" s="973"/>
      <c r="S17" s="973"/>
      <c r="T17" s="976"/>
      <c r="U17" s="976"/>
      <c r="V17" s="976"/>
      <c r="W17" s="976"/>
      <c r="X17" s="976"/>
      <c r="Y17" s="976"/>
      <c r="Z17" s="976"/>
      <c r="AA17" s="976"/>
      <c r="AB17" s="976"/>
      <c r="AC17" s="976"/>
      <c r="AD17" s="976"/>
      <c r="AE17" s="976"/>
      <c r="AF17" s="976"/>
      <c r="AG17" s="976"/>
      <c r="AH17" s="976"/>
      <c r="AI17" s="976"/>
      <c r="AJ17" s="977"/>
    </row>
    <row r="18" spans="2:36" ht="21" customHeight="1">
      <c r="B18" s="129">
        <v>12</v>
      </c>
      <c r="C18" s="972"/>
      <c r="D18" s="972"/>
      <c r="E18" s="972"/>
      <c r="F18" s="972"/>
      <c r="G18" s="972"/>
      <c r="H18" s="972"/>
      <c r="I18" s="972"/>
      <c r="J18" s="972"/>
      <c r="K18" s="972"/>
      <c r="L18" s="972"/>
      <c r="M18" s="972"/>
      <c r="N18" s="972"/>
      <c r="O18" s="972"/>
      <c r="P18" s="972"/>
      <c r="Q18" s="972"/>
      <c r="R18" s="973"/>
      <c r="S18" s="973"/>
      <c r="T18" s="976"/>
      <c r="U18" s="976"/>
      <c r="V18" s="976"/>
      <c r="W18" s="976"/>
      <c r="X18" s="976"/>
      <c r="Y18" s="976"/>
      <c r="Z18" s="976"/>
      <c r="AA18" s="976"/>
      <c r="AB18" s="976"/>
      <c r="AC18" s="976"/>
      <c r="AD18" s="976"/>
      <c r="AE18" s="976"/>
      <c r="AF18" s="976"/>
      <c r="AG18" s="976"/>
      <c r="AH18" s="976"/>
      <c r="AI18" s="976"/>
      <c r="AJ18" s="977"/>
    </row>
    <row r="19" spans="2:36" ht="21" customHeight="1">
      <c r="B19" s="129">
        <v>13</v>
      </c>
      <c r="C19" s="972"/>
      <c r="D19" s="972"/>
      <c r="E19" s="972"/>
      <c r="F19" s="972"/>
      <c r="G19" s="972"/>
      <c r="H19" s="972"/>
      <c r="I19" s="972"/>
      <c r="J19" s="972"/>
      <c r="K19" s="972"/>
      <c r="L19" s="972"/>
      <c r="M19" s="972"/>
      <c r="N19" s="972"/>
      <c r="O19" s="972"/>
      <c r="P19" s="972"/>
      <c r="Q19" s="972"/>
      <c r="R19" s="973"/>
      <c r="S19" s="973"/>
      <c r="T19" s="976"/>
      <c r="U19" s="976"/>
      <c r="V19" s="976"/>
      <c r="W19" s="976"/>
      <c r="X19" s="976"/>
      <c r="Y19" s="976"/>
      <c r="Z19" s="976"/>
      <c r="AA19" s="976"/>
      <c r="AB19" s="976"/>
      <c r="AC19" s="976"/>
      <c r="AD19" s="976"/>
      <c r="AE19" s="976"/>
      <c r="AF19" s="976"/>
      <c r="AG19" s="976"/>
      <c r="AH19" s="976"/>
      <c r="AI19" s="976"/>
      <c r="AJ19" s="977"/>
    </row>
    <row r="20" spans="2:36" ht="21" customHeight="1">
      <c r="B20" s="129">
        <v>14</v>
      </c>
      <c r="C20" s="972"/>
      <c r="D20" s="972"/>
      <c r="E20" s="972"/>
      <c r="F20" s="972"/>
      <c r="G20" s="972"/>
      <c r="H20" s="972"/>
      <c r="I20" s="972"/>
      <c r="J20" s="972"/>
      <c r="K20" s="972"/>
      <c r="L20" s="972"/>
      <c r="M20" s="972"/>
      <c r="N20" s="972"/>
      <c r="O20" s="972"/>
      <c r="P20" s="972"/>
      <c r="Q20" s="972"/>
      <c r="R20" s="973"/>
      <c r="S20" s="973"/>
      <c r="T20" s="976"/>
      <c r="U20" s="976"/>
      <c r="V20" s="976"/>
      <c r="W20" s="976"/>
      <c r="X20" s="976"/>
      <c r="Y20" s="976"/>
      <c r="Z20" s="976"/>
      <c r="AA20" s="976"/>
      <c r="AB20" s="976"/>
      <c r="AC20" s="976"/>
      <c r="AD20" s="976"/>
      <c r="AE20" s="976"/>
      <c r="AF20" s="976"/>
      <c r="AG20" s="976"/>
      <c r="AH20" s="976"/>
      <c r="AI20" s="976"/>
      <c r="AJ20" s="977"/>
    </row>
    <row r="21" spans="2:36" ht="21" customHeight="1">
      <c r="B21" s="129">
        <v>15</v>
      </c>
      <c r="C21" s="972"/>
      <c r="D21" s="972"/>
      <c r="E21" s="972"/>
      <c r="F21" s="972"/>
      <c r="G21" s="972"/>
      <c r="H21" s="972"/>
      <c r="I21" s="972"/>
      <c r="J21" s="972"/>
      <c r="K21" s="972"/>
      <c r="L21" s="972"/>
      <c r="M21" s="972"/>
      <c r="N21" s="972"/>
      <c r="O21" s="972"/>
      <c r="P21" s="972"/>
      <c r="Q21" s="972"/>
      <c r="R21" s="973"/>
      <c r="S21" s="973"/>
      <c r="T21" s="976"/>
      <c r="U21" s="976"/>
      <c r="V21" s="976"/>
      <c r="W21" s="976"/>
      <c r="X21" s="976"/>
      <c r="Y21" s="976"/>
      <c r="Z21" s="976"/>
      <c r="AA21" s="976"/>
      <c r="AB21" s="976"/>
      <c r="AC21" s="976"/>
      <c r="AD21" s="976"/>
      <c r="AE21" s="976"/>
      <c r="AF21" s="976"/>
      <c r="AG21" s="976"/>
      <c r="AH21" s="976"/>
      <c r="AI21" s="976"/>
      <c r="AJ21" s="977"/>
    </row>
    <row r="22" spans="2:36" ht="21" customHeight="1">
      <c r="B22" s="129">
        <v>16</v>
      </c>
      <c r="C22" s="972"/>
      <c r="D22" s="972"/>
      <c r="E22" s="972"/>
      <c r="F22" s="972"/>
      <c r="G22" s="972"/>
      <c r="H22" s="972"/>
      <c r="I22" s="972"/>
      <c r="J22" s="972"/>
      <c r="K22" s="972"/>
      <c r="L22" s="972"/>
      <c r="M22" s="972"/>
      <c r="N22" s="972"/>
      <c r="O22" s="972"/>
      <c r="P22" s="972"/>
      <c r="Q22" s="972"/>
      <c r="R22" s="973"/>
      <c r="S22" s="973"/>
      <c r="T22" s="976"/>
      <c r="U22" s="976"/>
      <c r="V22" s="976"/>
      <c r="W22" s="976"/>
      <c r="X22" s="976"/>
      <c r="Y22" s="976"/>
      <c r="Z22" s="976"/>
      <c r="AA22" s="976"/>
      <c r="AB22" s="976"/>
      <c r="AC22" s="976"/>
      <c r="AD22" s="976"/>
      <c r="AE22" s="976"/>
      <c r="AF22" s="976"/>
      <c r="AG22" s="976"/>
      <c r="AH22" s="976"/>
      <c r="AI22" s="976"/>
      <c r="AJ22" s="977"/>
    </row>
    <row r="23" spans="2:36" ht="21" customHeight="1">
      <c r="B23" s="129">
        <v>17</v>
      </c>
      <c r="C23" s="972"/>
      <c r="D23" s="972"/>
      <c r="E23" s="972"/>
      <c r="F23" s="972"/>
      <c r="G23" s="972"/>
      <c r="H23" s="972"/>
      <c r="I23" s="972"/>
      <c r="J23" s="972"/>
      <c r="K23" s="972"/>
      <c r="L23" s="972"/>
      <c r="M23" s="972"/>
      <c r="N23" s="972"/>
      <c r="O23" s="972"/>
      <c r="P23" s="972"/>
      <c r="Q23" s="972"/>
      <c r="R23" s="973"/>
      <c r="S23" s="973"/>
      <c r="T23" s="976"/>
      <c r="U23" s="976"/>
      <c r="V23" s="976"/>
      <c r="W23" s="976"/>
      <c r="X23" s="976"/>
      <c r="Y23" s="976"/>
      <c r="Z23" s="976"/>
      <c r="AA23" s="976"/>
      <c r="AB23" s="976"/>
      <c r="AC23" s="976"/>
      <c r="AD23" s="976"/>
      <c r="AE23" s="976"/>
      <c r="AF23" s="976"/>
      <c r="AG23" s="976"/>
      <c r="AH23" s="976"/>
      <c r="AI23" s="976"/>
      <c r="AJ23" s="977"/>
    </row>
    <row r="24" spans="2:36" ht="21" customHeight="1">
      <c r="B24" s="129">
        <v>18</v>
      </c>
      <c r="C24" s="972"/>
      <c r="D24" s="972"/>
      <c r="E24" s="972"/>
      <c r="F24" s="972"/>
      <c r="G24" s="972"/>
      <c r="H24" s="972"/>
      <c r="I24" s="972"/>
      <c r="J24" s="972"/>
      <c r="K24" s="972"/>
      <c r="L24" s="972"/>
      <c r="M24" s="972"/>
      <c r="N24" s="972"/>
      <c r="O24" s="972"/>
      <c r="P24" s="972"/>
      <c r="Q24" s="972"/>
      <c r="R24" s="973"/>
      <c r="S24" s="973"/>
      <c r="T24" s="976"/>
      <c r="U24" s="976"/>
      <c r="V24" s="976"/>
      <c r="W24" s="976"/>
      <c r="X24" s="976"/>
      <c r="Y24" s="976"/>
      <c r="Z24" s="976"/>
      <c r="AA24" s="976"/>
      <c r="AB24" s="976"/>
      <c r="AC24" s="976"/>
      <c r="AD24" s="976"/>
      <c r="AE24" s="976"/>
      <c r="AF24" s="976"/>
      <c r="AG24" s="976"/>
      <c r="AH24" s="976"/>
      <c r="AI24" s="976"/>
      <c r="AJ24" s="977"/>
    </row>
    <row r="25" spans="2:36" ht="21" customHeight="1">
      <c r="B25" s="129">
        <v>19</v>
      </c>
      <c r="C25" s="972"/>
      <c r="D25" s="972"/>
      <c r="E25" s="972"/>
      <c r="F25" s="972"/>
      <c r="G25" s="972"/>
      <c r="H25" s="972"/>
      <c r="I25" s="972"/>
      <c r="J25" s="972"/>
      <c r="K25" s="972"/>
      <c r="L25" s="972"/>
      <c r="M25" s="972"/>
      <c r="N25" s="972"/>
      <c r="O25" s="972"/>
      <c r="P25" s="972"/>
      <c r="Q25" s="972"/>
      <c r="R25" s="973"/>
      <c r="S25" s="973"/>
      <c r="T25" s="976"/>
      <c r="U25" s="976"/>
      <c r="V25" s="976"/>
      <c r="W25" s="976"/>
      <c r="X25" s="976"/>
      <c r="Y25" s="976"/>
      <c r="Z25" s="976"/>
      <c r="AA25" s="976"/>
      <c r="AB25" s="976"/>
      <c r="AC25" s="976"/>
      <c r="AD25" s="976"/>
      <c r="AE25" s="976"/>
      <c r="AF25" s="976"/>
      <c r="AG25" s="976"/>
      <c r="AH25" s="976"/>
      <c r="AI25" s="976"/>
      <c r="AJ25" s="977"/>
    </row>
    <row r="26" spans="2:36" ht="21" customHeight="1">
      <c r="B26" s="129">
        <v>20</v>
      </c>
      <c r="C26" s="972"/>
      <c r="D26" s="972"/>
      <c r="E26" s="972"/>
      <c r="F26" s="972"/>
      <c r="G26" s="972"/>
      <c r="H26" s="972"/>
      <c r="I26" s="972"/>
      <c r="J26" s="972"/>
      <c r="K26" s="972"/>
      <c r="L26" s="972"/>
      <c r="M26" s="972"/>
      <c r="N26" s="972"/>
      <c r="O26" s="972"/>
      <c r="P26" s="972"/>
      <c r="Q26" s="972"/>
      <c r="R26" s="973"/>
      <c r="S26" s="973"/>
      <c r="T26" s="976"/>
      <c r="U26" s="976"/>
      <c r="V26" s="976"/>
      <c r="W26" s="976"/>
      <c r="X26" s="976"/>
      <c r="Y26" s="976"/>
      <c r="Z26" s="976"/>
      <c r="AA26" s="976"/>
      <c r="AB26" s="976"/>
      <c r="AC26" s="976"/>
      <c r="AD26" s="976"/>
      <c r="AE26" s="976"/>
      <c r="AF26" s="976"/>
      <c r="AG26" s="976"/>
      <c r="AH26" s="976"/>
      <c r="AI26" s="976"/>
      <c r="AJ26" s="977"/>
    </row>
    <row r="27" spans="2:36" ht="21" customHeight="1">
      <c r="B27" s="129">
        <v>21</v>
      </c>
      <c r="C27" s="972"/>
      <c r="D27" s="972"/>
      <c r="E27" s="972"/>
      <c r="F27" s="972"/>
      <c r="G27" s="972"/>
      <c r="H27" s="972"/>
      <c r="I27" s="972"/>
      <c r="J27" s="972"/>
      <c r="K27" s="972"/>
      <c r="L27" s="972"/>
      <c r="M27" s="972"/>
      <c r="N27" s="972"/>
      <c r="O27" s="972"/>
      <c r="P27" s="972"/>
      <c r="Q27" s="972"/>
      <c r="R27" s="973"/>
      <c r="S27" s="973"/>
      <c r="T27" s="976"/>
      <c r="U27" s="976"/>
      <c r="V27" s="976"/>
      <c r="W27" s="976"/>
      <c r="X27" s="976"/>
      <c r="Y27" s="976"/>
      <c r="Z27" s="976"/>
      <c r="AA27" s="976"/>
      <c r="AB27" s="976"/>
      <c r="AC27" s="976"/>
      <c r="AD27" s="976"/>
      <c r="AE27" s="976"/>
      <c r="AF27" s="976"/>
      <c r="AG27" s="976"/>
      <c r="AH27" s="976"/>
      <c r="AI27" s="976"/>
      <c r="AJ27" s="977"/>
    </row>
    <row r="28" spans="2:36" ht="21" customHeight="1">
      <c r="B28" s="129">
        <v>22</v>
      </c>
      <c r="C28" s="972"/>
      <c r="D28" s="972"/>
      <c r="E28" s="972"/>
      <c r="F28" s="972"/>
      <c r="G28" s="972"/>
      <c r="H28" s="972"/>
      <c r="I28" s="972"/>
      <c r="J28" s="972"/>
      <c r="K28" s="972"/>
      <c r="L28" s="972"/>
      <c r="M28" s="972"/>
      <c r="N28" s="972"/>
      <c r="O28" s="972"/>
      <c r="P28" s="972"/>
      <c r="Q28" s="972"/>
      <c r="R28" s="973"/>
      <c r="S28" s="973"/>
      <c r="T28" s="976"/>
      <c r="U28" s="976"/>
      <c r="V28" s="976"/>
      <c r="W28" s="976"/>
      <c r="X28" s="976"/>
      <c r="Y28" s="976"/>
      <c r="Z28" s="976"/>
      <c r="AA28" s="976"/>
      <c r="AB28" s="976"/>
      <c r="AC28" s="976"/>
      <c r="AD28" s="976"/>
      <c r="AE28" s="976"/>
      <c r="AF28" s="976"/>
      <c r="AG28" s="976"/>
      <c r="AH28" s="976"/>
      <c r="AI28" s="976"/>
      <c r="AJ28" s="977"/>
    </row>
    <row r="29" spans="2:36" ht="21" customHeight="1">
      <c r="B29" s="129">
        <v>23</v>
      </c>
      <c r="C29" s="972"/>
      <c r="D29" s="972"/>
      <c r="E29" s="972"/>
      <c r="F29" s="972"/>
      <c r="G29" s="972"/>
      <c r="H29" s="972"/>
      <c r="I29" s="972"/>
      <c r="J29" s="972"/>
      <c r="K29" s="972"/>
      <c r="L29" s="972"/>
      <c r="M29" s="972"/>
      <c r="N29" s="972"/>
      <c r="O29" s="972"/>
      <c r="P29" s="972"/>
      <c r="Q29" s="972"/>
      <c r="R29" s="973"/>
      <c r="S29" s="973"/>
      <c r="T29" s="976"/>
      <c r="U29" s="976"/>
      <c r="V29" s="976"/>
      <c r="W29" s="976"/>
      <c r="X29" s="976"/>
      <c r="Y29" s="976"/>
      <c r="Z29" s="976"/>
      <c r="AA29" s="976"/>
      <c r="AB29" s="976"/>
      <c r="AC29" s="976"/>
      <c r="AD29" s="976"/>
      <c r="AE29" s="976"/>
      <c r="AF29" s="976"/>
      <c r="AG29" s="976"/>
      <c r="AH29" s="976"/>
      <c r="AI29" s="976"/>
      <c r="AJ29" s="977"/>
    </row>
    <row r="30" spans="2:36" ht="21" customHeight="1">
      <c r="B30" s="129">
        <v>24</v>
      </c>
      <c r="C30" s="972"/>
      <c r="D30" s="972"/>
      <c r="E30" s="972"/>
      <c r="F30" s="972"/>
      <c r="G30" s="972"/>
      <c r="H30" s="972"/>
      <c r="I30" s="972"/>
      <c r="J30" s="972"/>
      <c r="K30" s="972"/>
      <c r="L30" s="972"/>
      <c r="M30" s="972"/>
      <c r="N30" s="972"/>
      <c r="O30" s="972"/>
      <c r="P30" s="972"/>
      <c r="Q30" s="972"/>
      <c r="R30" s="973"/>
      <c r="S30" s="973"/>
      <c r="T30" s="976"/>
      <c r="U30" s="976"/>
      <c r="V30" s="976"/>
      <c r="W30" s="976"/>
      <c r="X30" s="976"/>
      <c r="Y30" s="976"/>
      <c r="Z30" s="976"/>
      <c r="AA30" s="976"/>
      <c r="AB30" s="976"/>
      <c r="AC30" s="976"/>
      <c r="AD30" s="976"/>
      <c r="AE30" s="976"/>
      <c r="AF30" s="976"/>
      <c r="AG30" s="976"/>
      <c r="AH30" s="976"/>
      <c r="AI30" s="976"/>
      <c r="AJ30" s="977"/>
    </row>
    <row r="31" spans="2:36" ht="21" customHeight="1">
      <c r="B31" s="129">
        <v>25</v>
      </c>
      <c r="C31" s="972"/>
      <c r="D31" s="972"/>
      <c r="E31" s="972"/>
      <c r="F31" s="972"/>
      <c r="G31" s="972"/>
      <c r="H31" s="972"/>
      <c r="I31" s="972"/>
      <c r="J31" s="972"/>
      <c r="K31" s="972"/>
      <c r="L31" s="972"/>
      <c r="M31" s="972"/>
      <c r="N31" s="972"/>
      <c r="O31" s="972"/>
      <c r="P31" s="972"/>
      <c r="Q31" s="972"/>
      <c r="R31" s="973"/>
      <c r="S31" s="973"/>
      <c r="T31" s="976"/>
      <c r="U31" s="976"/>
      <c r="V31" s="976"/>
      <c r="W31" s="976"/>
      <c r="X31" s="976"/>
      <c r="Y31" s="976"/>
      <c r="Z31" s="976"/>
      <c r="AA31" s="976"/>
      <c r="AB31" s="976"/>
      <c r="AC31" s="976"/>
      <c r="AD31" s="976"/>
      <c r="AE31" s="976"/>
      <c r="AF31" s="976"/>
      <c r="AG31" s="976"/>
      <c r="AH31" s="976"/>
      <c r="AI31" s="976"/>
      <c r="AJ31" s="977"/>
    </row>
    <row r="32" spans="2:36" ht="21" customHeight="1">
      <c r="B32" s="129">
        <v>26</v>
      </c>
      <c r="C32" s="972"/>
      <c r="D32" s="972"/>
      <c r="E32" s="972"/>
      <c r="F32" s="972"/>
      <c r="G32" s="972"/>
      <c r="H32" s="972"/>
      <c r="I32" s="972"/>
      <c r="J32" s="972"/>
      <c r="K32" s="972"/>
      <c r="L32" s="972"/>
      <c r="M32" s="972"/>
      <c r="N32" s="972"/>
      <c r="O32" s="972"/>
      <c r="P32" s="972"/>
      <c r="Q32" s="972"/>
      <c r="R32" s="973"/>
      <c r="S32" s="973"/>
      <c r="T32" s="976"/>
      <c r="U32" s="976"/>
      <c r="V32" s="976"/>
      <c r="W32" s="976"/>
      <c r="X32" s="976"/>
      <c r="Y32" s="976"/>
      <c r="Z32" s="976"/>
      <c r="AA32" s="976"/>
      <c r="AB32" s="976"/>
      <c r="AC32" s="976"/>
      <c r="AD32" s="976"/>
      <c r="AE32" s="976"/>
      <c r="AF32" s="976"/>
      <c r="AG32" s="976"/>
      <c r="AH32" s="976"/>
      <c r="AI32" s="976"/>
      <c r="AJ32" s="977"/>
    </row>
    <row r="33" spans="2:36" ht="21" customHeight="1">
      <c r="B33" s="129">
        <v>27</v>
      </c>
      <c r="C33" s="972"/>
      <c r="D33" s="972"/>
      <c r="E33" s="972"/>
      <c r="F33" s="972"/>
      <c r="G33" s="972"/>
      <c r="H33" s="972"/>
      <c r="I33" s="972"/>
      <c r="J33" s="972"/>
      <c r="K33" s="972"/>
      <c r="L33" s="972"/>
      <c r="M33" s="972"/>
      <c r="N33" s="972"/>
      <c r="O33" s="972"/>
      <c r="P33" s="972"/>
      <c r="Q33" s="972"/>
      <c r="R33" s="973"/>
      <c r="S33" s="973"/>
      <c r="T33" s="976"/>
      <c r="U33" s="976"/>
      <c r="V33" s="976"/>
      <c r="W33" s="976"/>
      <c r="X33" s="976"/>
      <c r="Y33" s="976"/>
      <c r="Z33" s="976"/>
      <c r="AA33" s="976"/>
      <c r="AB33" s="976"/>
      <c r="AC33" s="976"/>
      <c r="AD33" s="976"/>
      <c r="AE33" s="976"/>
      <c r="AF33" s="976"/>
      <c r="AG33" s="976"/>
      <c r="AH33" s="976"/>
      <c r="AI33" s="976"/>
      <c r="AJ33" s="977"/>
    </row>
    <row r="34" spans="2:36" ht="21" customHeight="1">
      <c r="B34" s="129">
        <v>28</v>
      </c>
      <c r="C34" s="972"/>
      <c r="D34" s="972"/>
      <c r="E34" s="972"/>
      <c r="F34" s="972"/>
      <c r="G34" s="972"/>
      <c r="H34" s="972"/>
      <c r="I34" s="972"/>
      <c r="J34" s="972"/>
      <c r="K34" s="972"/>
      <c r="L34" s="972"/>
      <c r="M34" s="972"/>
      <c r="N34" s="972"/>
      <c r="O34" s="972"/>
      <c r="P34" s="972"/>
      <c r="Q34" s="972"/>
      <c r="R34" s="973"/>
      <c r="S34" s="973"/>
      <c r="T34" s="976"/>
      <c r="U34" s="976"/>
      <c r="V34" s="976"/>
      <c r="W34" s="976"/>
      <c r="X34" s="976"/>
      <c r="Y34" s="976"/>
      <c r="Z34" s="976"/>
      <c r="AA34" s="976"/>
      <c r="AB34" s="976"/>
      <c r="AC34" s="976"/>
      <c r="AD34" s="976"/>
      <c r="AE34" s="976"/>
      <c r="AF34" s="976"/>
      <c r="AG34" s="976"/>
      <c r="AH34" s="976"/>
      <c r="AI34" s="976"/>
      <c r="AJ34" s="977"/>
    </row>
    <row r="35" spans="2:36" ht="21" customHeight="1">
      <c r="B35" s="129">
        <v>29</v>
      </c>
      <c r="C35" s="972"/>
      <c r="D35" s="972"/>
      <c r="E35" s="972"/>
      <c r="F35" s="972"/>
      <c r="G35" s="972"/>
      <c r="H35" s="972"/>
      <c r="I35" s="972"/>
      <c r="J35" s="972"/>
      <c r="K35" s="972"/>
      <c r="L35" s="972"/>
      <c r="M35" s="972"/>
      <c r="N35" s="972"/>
      <c r="O35" s="972"/>
      <c r="P35" s="972"/>
      <c r="Q35" s="972"/>
      <c r="R35" s="973"/>
      <c r="S35" s="973"/>
      <c r="T35" s="976"/>
      <c r="U35" s="976"/>
      <c r="V35" s="976"/>
      <c r="W35" s="976"/>
      <c r="X35" s="976"/>
      <c r="Y35" s="976"/>
      <c r="Z35" s="976"/>
      <c r="AA35" s="976"/>
      <c r="AB35" s="976"/>
      <c r="AC35" s="976"/>
      <c r="AD35" s="976"/>
      <c r="AE35" s="976"/>
      <c r="AF35" s="976"/>
      <c r="AG35" s="976"/>
      <c r="AH35" s="976"/>
      <c r="AI35" s="976"/>
      <c r="AJ35" s="977"/>
    </row>
    <row r="36" spans="2:36" ht="21" customHeight="1" thickBot="1">
      <c r="B36" s="129">
        <v>30</v>
      </c>
      <c r="C36" s="978"/>
      <c r="D36" s="978"/>
      <c r="E36" s="978"/>
      <c r="F36" s="978"/>
      <c r="G36" s="978"/>
      <c r="H36" s="978"/>
      <c r="I36" s="978"/>
      <c r="J36" s="978"/>
      <c r="K36" s="978"/>
      <c r="L36" s="978"/>
      <c r="M36" s="978"/>
      <c r="N36" s="978"/>
      <c r="O36" s="978"/>
      <c r="P36" s="978"/>
      <c r="Q36" s="978"/>
      <c r="R36" s="979"/>
      <c r="S36" s="979"/>
      <c r="T36" s="980"/>
      <c r="U36" s="980"/>
      <c r="V36" s="980"/>
      <c r="W36" s="980"/>
      <c r="X36" s="980"/>
      <c r="Y36" s="980"/>
      <c r="Z36" s="980"/>
      <c r="AA36" s="980"/>
      <c r="AB36" s="980"/>
      <c r="AC36" s="980"/>
      <c r="AD36" s="980"/>
      <c r="AE36" s="980"/>
      <c r="AF36" s="980"/>
      <c r="AG36" s="980"/>
      <c r="AH36" s="980"/>
      <c r="AI36" s="980"/>
      <c r="AJ36" s="981"/>
    </row>
    <row r="37" spans="2:36" ht="16.5" customHeight="1">
      <c r="B37" s="726" t="s">
        <v>2</v>
      </c>
      <c r="C37" s="726"/>
      <c r="D37" s="727" t="s">
        <v>311</v>
      </c>
      <c r="E37" s="727"/>
      <c r="F37" s="727"/>
      <c r="G37" s="727"/>
      <c r="H37" s="727"/>
      <c r="I37" s="727"/>
      <c r="J37" s="727"/>
      <c r="K37" s="727"/>
      <c r="L37" s="727"/>
      <c r="M37" s="727"/>
      <c r="N37" s="727"/>
      <c r="O37" s="727"/>
      <c r="P37" s="727"/>
      <c r="Q37" s="727"/>
      <c r="R37" s="727"/>
      <c r="S37" s="727"/>
      <c r="T37" s="727"/>
      <c r="U37" s="727"/>
      <c r="V37" s="727"/>
      <c r="W37" s="727"/>
      <c r="X37" s="727"/>
      <c r="Y37" s="727"/>
      <c r="Z37" s="727"/>
      <c r="AA37" s="727"/>
      <c r="AB37" s="727"/>
      <c r="AC37" s="727"/>
      <c r="AD37" s="727"/>
      <c r="AE37" s="727"/>
      <c r="AF37" s="727"/>
      <c r="AG37" s="727"/>
      <c r="AH37" s="727"/>
      <c r="AI37" s="727"/>
      <c r="AJ37" s="727"/>
    </row>
    <row r="38" spans="2:36" ht="16.5" customHeight="1">
      <c r="B38" s="128"/>
      <c r="D38" s="722" t="s">
        <v>310</v>
      </c>
      <c r="E38" s="722"/>
      <c r="F38" s="722"/>
      <c r="G38" s="722"/>
      <c r="H38" s="722"/>
      <c r="I38" s="722"/>
      <c r="J38" s="722"/>
      <c r="K38" s="722"/>
      <c r="L38" s="722"/>
      <c r="M38" s="722"/>
      <c r="N38" s="722"/>
      <c r="O38" s="722"/>
      <c r="P38" s="722"/>
      <c r="Q38" s="722"/>
      <c r="R38" s="722"/>
      <c r="S38" s="722"/>
      <c r="T38" s="722"/>
      <c r="U38" s="722"/>
      <c r="V38" s="722"/>
      <c r="W38" s="722"/>
      <c r="X38" s="722"/>
      <c r="Y38" s="722"/>
      <c r="Z38" s="722"/>
      <c r="AA38" s="722"/>
      <c r="AB38" s="722"/>
      <c r="AC38" s="722"/>
      <c r="AD38" s="722"/>
      <c r="AE38" s="722"/>
      <c r="AF38" s="722"/>
      <c r="AG38" s="722"/>
      <c r="AH38" s="722"/>
      <c r="AI38" s="722"/>
      <c r="AJ38" s="722"/>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C31"/>
  <sheetViews>
    <sheetView view="pageBreakPreview" zoomScaleNormal="100" workbookViewId="0">
      <selection activeCell="P26" sqref="P26"/>
    </sheetView>
  </sheetViews>
  <sheetFormatPr defaultRowHeight="15.95" customHeight="1"/>
  <cols>
    <col min="1" max="27" width="4.625" style="133" customWidth="1"/>
    <col min="28" max="29" width="3.125" style="133" customWidth="1"/>
    <col min="30" max="16384" width="9" style="133"/>
  </cols>
  <sheetData>
    <row r="1" spans="1:29" ht="15.95" customHeight="1">
      <c r="A1" s="144" t="s">
        <v>501</v>
      </c>
    </row>
    <row r="3" spans="1:29" ht="15.95"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982" t="s">
        <v>500</v>
      </c>
      <c r="B4" s="983"/>
      <c r="C4" s="983"/>
      <c r="D4" s="983"/>
      <c r="E4" s="983"/>
      <c r="F4" s="983"/>
      <c r="G4" s="983"/>
      <c r="H4" s="983"/>
      <c r="I4" s="983"/>
      <c r="J4" s="983"/>
      <c r="K4" s="983"/>
      <c r="L4" s="983"/>
      <c r="M4" s="983"/>
      <c r="N4" s="983"/>
      <c r="O4" s="983"/>
      <c r="P4" s="983"/>
      <c r="Q4" s="983"/>
      <c r="R4" s="983"/>
      <c r="S4" s="983"/>
      <c r="T4" s="983"/>
      <c r="U4" s="983"/>
      <c r="V4" s="983"/>
      <c r="W4" s="983"/>
      <c r="X4" s="983"/>
      <c r="Y4" s="983"/>
      <c r="Z4" s="983"/>
      <c r="AA4" s="983"/>
      <c r="AB4" s="983"/>
      <c r="AC4" s="984"/>
    </row>
    <row r="5" spans="1:29" ht="15.95"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5.95"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5.95"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28" t="s">
        <v>499</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28" t="s">
        <v>323</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28" t="s">
        <v>498</v>
      </c>
      <c r="F22" s="139"/>
      <c r="G22" s="139"/>
      <c r="H22" s="139"/>
      <c r="I22" s="228" t="s">
        <v>497</v>
      </c>
      <c r="J22" s="139"/>
      <c r="K22" s="139"/>
      <c r="L22" s="139"/>
      <c r="M22" s="139"/>
      <c r="N22" s="139"/>
      <c r="O22" s="139"/>
      <c r="Q22" s="228" t="s">
        <v>717</v>
      </c>
      <c r="U22" s="139"/>
      <c r="V22" s="139"/>
      <c r="W22" s="139"/>
      <c r="X22" s="139"/>
      <c r="Y22" s="139"/>
      <c r="Z22" s="139"/>
      <c r="AA22" s="139"/>
      <c r="AB22" s="139"/>
      <c r="AC22" s="138"/>
    </row>
    <row r="23" spans="1:29" ht="23.25" customHeight="1">
      <c r="A23" s="140"/>
      <c r="B23" s="139"/>
      <c r="C23" s="139"/>
      <c r="D23" s="139"/>
      <c r="E23" s="139"/>
      <c r="F23" s="139"/>
      <c r="G23" s="139"/>
      <c r="H23" s="139"/>
      <c r="I23" s="228" t="s">
        <v>496</v>
      </c>
      <c r="J23" s="139"/>
      <c r="K23" s="139"/>
      <c r="L23" s="139"/>
      <c r="M23" s="139"/>
      <c r="N23" s="139"/>
      <c r="O23" s="139"/>
      <c r="Q23" s="228" t="s">
        <v>718</v>
      </c>
      <c r="U23" s="139"/>
      <c r="V23" s="139"/>
      <c r="W23" s="139"/>
      <c r="X23" s="139"/>
      <c r="Y23" s="139"/>
      <c r="Z23" s="139"/>
      <c r="AA23" s="139"/>
      <c r="AB23" s="139"/>
      <c r="AC23" s="138"/>
    </row>
    <row r="24" spans="1:29" ht="23.25" customHeight="1">
      <c r="A24" s="140"/>
      <c r="B24" s="139"/>
      <c r="C24" s="139"/>
      <c r="D24" s="139"/>
      <c r="E24" s="139"/>
      <c r="F24" s="139"/>
      <c r="G24" s="139"/>
      <c r="H24" s="139"/>
      <c r="I24" s="228" t="s">
        <v>322</v>
      </c>
      <c r="J24" s="139"/>
      <c r="K24" s="139"/>
      <c r="L24" s="139"/>
      <c r="M24" s="139"/>
      <c r="N24" s="139"/>
      <c r="O24" s="139"/>
      <c r="Q24" s="228" t="s">
        <v>605</v>
      </c>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t="s">
        <v>716</v>
      </c>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c r="A30" s="134"/>
    </row>
    <row r="31" spans="1:29" ht="15.95" customHeight="1">
      <c r="A31" s="134"/>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17</vt:i4>
      </vt:variant>
    </vt:vector>
  </HeadingPairs>
  <TitlesOfParts>
    <vt:vector size="46" baseType="lpstr">
      <vt:lpstr>目次</vt:lpstr>
      <vt:lpstr>02役員等名簿(新規)</vt:lpstr>
      <vt:lpstr>8平面図 (2)</vt:lpstr>
      <vt:lpstr>10設備備品一覧 (2)</vt:lpstr>
      <vt:lpstr>11-1建築関連協議録(表)</vt:lpstr>
      <vt:lpstr>11-1建築関連協議録(裏)</vt:lpstr>
      <vt:lpstr>11-2建築関連協議録(表)</vt:lpstr>
      <vt:lpstr>11-2建築関連協議録(裏)</vt:lpstr>
      <vt:lpstr>11-3建築関連協議録</vt:lpstr>
      <vt:lpstr>12～15経歴書</vt:lpstr>
      <vt:lpstr>12～15経歴書 (2)</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21勤務形態一覧(就労継続支援Ｂ型)</vt:lpstr>
      <vt:lpstr>21勤務形態一覧(移行支援2)</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lpstr>'02役員等名簿(新規)'!Print_Area</vt:lpstr>
      <vt:lpstr>'10設備備品一覧 (2)'!Print_Area</vt:lpstr>
      <vt:lpstr>'11-1建築関連協議録(裏)'!Print_Area</vt:lpstr>
      <vt:lpstr>'11-2建築関連協議録(表)'!Print_Area</vt:lpstr>
      <vt:lpstr>'11-2建築関連協議録(裏)'!Print_Area</vt:lpstr>
      <vt:lpstr>'11-3建築関連協議録'!Print_Area</vt:lpstr>
      <vt:lpstr>'12～15経歴書'!Print_Area</vt:lpstr>
      <vt:lpstr>'12～15経歴書 (2)'!Print_Area</vt:lpstr>
      <vt:lpstr>'20苦情解決措置'!Print_Area</vt:lpstr>
      <vt:lpstr>'21勤務形態一覧(移行支援2)'!Print_Area</vt:lpstr>
      <vt:lpstr>'21勤務形態一覧(就労継続支援Ｂ型)'!Print_Area</vt:lpstr>
      <vt:lpstr>'21勤務形態一覧(訪問系)'!Print_Area</vt:lpstr>
      <vt:lpstr>'21勤務形態一覧(訪問系以外)'!Print_Area</vt:lpstr>
      <vt:lpstr>'37GH体制'!Print_Area</vt:lpstr>
      <vt:lpstr>'38障害支援区分'!Print_Area</vt:lpstr>
      <vt:lpstr>'8平面図 (2)'!Print_Area</vt:lpstr>
      <vt:lpstr>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2018-10-19T23:44:38Z</cp:lastPrinted>
  <dcterms:created xsi:type="dcterms:W3CDTF">2007-04-06T02:18:45Z</dcterms:created>
  <dcterms:modified xsi:type="dcterms:W3CDTF">2018-10-19T23:46:15Z</dcterms:modified>
</cp:coreProperties>
</file>