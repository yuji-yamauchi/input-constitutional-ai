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" sheetId="1" state="visible" r:id="rId1"/>
    <sheet name="CF" sheetId="2" state="visible" r:id="rId2"/>
    <sheet name="BS" sheetId="3" state="visible" r:id="rId3"/>
    <sheet name="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0F0E0"/>
        <bgColor rgb="00E0F0E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3" fontId="0" fillId="2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</t>
        </is>
      </c>
    </row>
    <row r="2">
      <c r="B2" s="2" t="inlineStr">
        <is>
          <t>R2</t>
        </is>
      </c>
      <c r="C2" s="2" t="inlineStr">
        <is>
          <t>R3</t>
        </is>
      </c>
      <c r="D2" s="2" t="inlineStr">
        <is>
          <t>R4</t>
        </is>
      </c>
      <c r="E2" s="2" t="inlineStr">
        <is>
          <t>R5</t>
        </is>
      </c>
      <c r="F2" s="2" t="inlineStr">
        <is>
          <t>R6</t>
        </is>
      </c>
    </row>
    <row r="3">
      <c r="A3" s="3" t="inlineStr">
        <is>
          <t>訓練給付金等</t>
        </is>
      </c>
      <c r="B3" s="4" t="n">
        <v>43054612</v>
      </c>
      <c r="C3" s="4" t="n">
        <v>114485450</v>
      </c>
      <c r="D3" s="4" t="n">
        <v>139618300</v>
      </c>
      <c r="E3" s="4" t="n">
        <v>0</v>
      </c>
      <c r="F3" s="4" t="n">
        <v>0</v>
      </c>
    </row>
    <row r="4">
      <c r="A4" s="3" t="inlineStr">
        <is>
          <t>福祉的就労売上</t>
        </is>
      </c>
      <c r="B4" s="4" t="n">
        <v>9210000</v>
      </c>
      <c r="C4" s="4" t="n">
        <v>22380025</v>
      </c>
      <c r="D4" s="4" t="n">
        <v>26820027</v>
      </c>
      <c r="E4" s="4" t="n">
        <v>0</v>
      </c>
      <c r="F4" s="4" t="n">
        <v>0</v>
      </c>
    </row>
    <row r="5">
      <c r="A5" s="3" t="inlineStr">
        <is>
          <t>その他収入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</row>
    <row r="6">
      <c r="A6" s="2" t="inlineStr">
        <is>
          <t>総売上</t>
        </is>
      </c>
      <c r="B6" s="5">
        <f>B3+B4+B5</f>
        <v/>
      </c>
      <c r="C6" s="5">
        <f>C3+C4+C5</f>
        <v/>
      </c>
      <c r="D6" s="5">
        <f>D3+D4+D5</f>
        <v/>
      </c>
      <c r="E6" s="5">
        <f>E3+E4+E5</f>
        <v/>
      </c>
      <c r="F6" s="5">
        <f>F3+F4+F5</f>
        <v/>
      </c>
    </row>
    <row r="7">
      <c r="A7" s="3" t="inlineStr"/>
    </row>
    <row r="8">
      <c r="A8" s="3" t="inlineStr">
        <is>
          <t>事業原価</t>
        </is>
      </c>
      <c r="B8" s="4" t="n">
        <v>49636638</v>
      </c>
      <c r="C8" s="4" t="n">
        <v>104757564</v>
      </c>
      <c r="D8" s="4" t="n">
        <v>81972549</v>
      </c>
      <c r="E8" s="4" t="n">
        <v>0</v>
      </c>
      <c r="F8" s="4" t="n">
        <v>0</v>
      </c>
    </row>
    <row r="9">
      <c r="A9" s="2" t="inlineStr">
        <is>
          <t>売上総利益</t>
        </is>
      </c>
      <c r="B9" s="5">
        <f>B6-B8</f>
        <v/>
      </c>
      <c r="C9" s="5">
        <f>C6-C8</f>
        <v/>
      </c>
      <c r="D9" s="5">
        <f>D6-D8</f>
        <v/>
      </c>
      <c r="E9" s="5">
        <f>E6-E8</f>
        <v/>
      </c>
      <c r="F9" s="5">
        <f>F6-F8</f>
        <v/>
      </c>
    </row>
    <row r="10">
      <c r="A10" s="3" t="inlineStr">
        <is>
          <t>経費</t>
        </is>
      </c>
      <c r="B10" s="4" t="n">
        <v>9566638</v>
      </c>
      <c r="C10" s="4" t="n">
        <v>19804564</v>
      </c>
      <c r="D10" s="4" t="n">
        <v>18180549</v>
      </c>
      <c r="E10" s="4" t="n">
        <v>0</v>
      </c>
      <c r="F10" s="4" t="n">
        <v>0</v>
      </c>
    </row>
    <row r="11">
      <c r="A11" s="3" t="inlineStr">
        <is>
          <t>総人件費（参考）</t>
        </is>
      </c>
      <c r="B11" s="4" t="n">
        <v>43375000</v>
      </c>
      <c r="C11" s="4" t="n">
        <v>87533000</v>
      </c>
      <c r="D11" s="4" t="n">
        <v>104856000</v>
      </c>
      <c r="E11" s="4" t="n">
        <v>0</v>
      </c>
      <c r="F11" s="4" t="n">
        <v>0</v>
      </c>
    </row>
    <row r="12">
      <c r="A12" s="2" t="inlineStr">
        <is>
          <t>営業利益</t>
        </is>
      </c>
      <c r="B12" s="5">
        <f>B9-B10</f>
        <v/>
      </c>
      <c r="C12" s="5">
        <f>C9-C10</f>
        <v/>
      </c>
      <c r="D12" s="5">
        <f>D9-D10</f>
        <v/>
      </c>
      <c r="E12" s="5">
        <f>E9-E10</f>
        <v/>
      </c>
      <c r="F12" s="5">
        <f>F9-F10</f>
        <v/>
      </c>
    </row>
    <row r="13">
      <c r="A13" s="3" t="inlineStr"/>
    </row>
    <row r="14">
      <c r="A14" s="3" t="inlineStr">
        <is>
          <t>営業外収益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5">
      <c r="A15" s="3" t="inlineStr">
        <is>
          <t>支払利息</t>
        </is>
      </c>
      <c r="B15" s="4" t="n">
        <v>245000</v>
      </c>
      <c r="C15" s="4" t="n">
        <v>420000</v>
      </c>
      <c r="D15" s="4" t="n">
        <v>420000</v>
      </c>
      <c r="E15" s="4" t="n">
        <v>0</v>
      </c>
      <c r="F15" s="4" t="n">
        <v>0</v>
      </c>
    </row>
    <row r="16">
      <c r="A16" s="2" t="inlineStr">
        <is>
          <t>経常利益</t>
        </is>
      </c>
      <c r="B16" s="5">
        <f>B12+B14-B15</f>
        <v/>
      </c>
      <c r="C16" s="5">
        <f>C12+C14-C15</f>
        <v/>
      </c>
      <c r="D16" s="5">
        <f>D12+D14-D15</f>
        <v/>
      </c>
      <c r="E16" s="5">
        <f>E12+E14-E15</f>
        <v/>
      </c>
      <c r="F16" s="5">
        <f>F12+F14-F15</f>
        <v/>
      </c>
    </row>
    <row r="17">
      <c r="A17" s="3" t="inlineStr">
        <is>
          <t>法人税等（40%）</t>
        </is>
      </c>
      <c r="B17" s="5">
        <f>MAX(B16*0.4,0)</f>
        <v/>
      </c>
      <c r="C17" s="5">
        <f>MAX(C16*0.4,0)</f>
        <v/>
      </c>
      <c r="D17" s="5">
        <f>MAX(D16*0.4,0)</f>
        <v/>
      </c>
      <c r="E17" s="5">
        <f>MAX(E16*0.4,0)</f>
        <v/>
      </c>
      <c r="F17" s="5">
        <f>MAX(F16*0.4,0)</f>
        <v/>
      </c>
    </row>
    <row r="18">
      <c r="A18" s="2" t="inlineStr">
        <is>
          <t>税引後利益</t>
        </is>
      </c>
      <c r="B18" s="5">
        <f>B16-B17</f>
        <v/>
      </c>
      <c r="C18" s="5">
        <f>C16-C17</f>
        <v/>
      </c>
      <c r="D18" s="5">
        <f>D16-D17</f>
        <v/>
      </c>
      <c r="E18" s="5">
        <f>E16-E17</f>
        <v/>
      </c>
      <c r="F18" s="5">
        <f>F16-F17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CF</t>
        </is>
      </c>
    </row>
    <row r="2">
      <c r="B2" s="2" t="inlineStr">
        <is>
          <t>R2</t>
        </is>
      </c>
      <c r="C2" s="2" t="inlineStr">
        <is>
          <t>R3</t>
        </is>
      </c>
      <c r="D2" s="2" t="inlineStr">
        <is>
          <t>R4</t>
        </is>
      </c>
      <c r="E2" s="2" t="inlineStr">
        <is>
          <t>R5</t>
        </is>
      </c>
      <c r="F2" s="2" t="inlineStr">
        <is>
          <t>R6</t>
        </is>
      </c>
    </row>
    <row r="3">
      <c r="A3" s="3" t="inlineStr">
        <is>
          <t>前期繰越</t>
        </is>
      </c>
      <c r="B3" s="4" t="n">
        <v>0</v>
      </c>
      <c r="C3" s="5">
        <f>B15</f>
        <v/>
      </c>
      <c r="D3" s="5">
        <f>C15</f>
        <v/>
      </c>
      <c r="E3" s="5">
        <f>D15</f>
        <v/>
      </c>
      <c r="F3" s="5">
        <f>E15</f>
        <v/>
      </c>
    </row>
    <row r="4">
      <c r="A4" s="3" t="inlineStr">
        <is>
          <t>【経常収支】</t>
        </is>
      </c>
    </row>
    <row r="5">
      <c r="A5" s="3" t="inlineStr">
        <is>
          <t>経常収入</t>
        </is>
      </c>
      <c r="B5" s="4" t="n">
        <v>40560360</v>
      </c>
      <c r="C5" s="4" t="n">
        <v>129071704</v>
      </c>
      <c r="D5" s="4" t="n">
        <v>146958399</v>
      </c>
      <c r="E5" s="4" t="n">
        <v>0</v>
      </c>
      <c r="F5" s="4" t="n">
        <v>0</v>
      </c>
    </row>
    <row r="6">
      <c r="A6" s="3" t="inlineStr">
        <is>
          <t>経常支出</t>
        </is>
      </c>
      <c r="B6" s="4" t="n">
        <v>59863907</v>
      </c>
      <c r="C6" s="4" t="n">
        <v>128400542</v>
      </c>
      <c r="D6" s="4" t="n">
        <v>137554977</v>
      </c>
      <c r="E6" s="4" t="n">
        <v>0</v>
      </c>
      <c r="F6" s="4" t="n">
        <v>0</v>
      </c>
    </row>
    <row r="7">
      <c r="A7" s="2" t="inlineStr">
        <is>
          <t>経常収支差額</t>
        </is>
      </c>
      <c r="B7" s="5">
        <f>B5-B6</f>
        <v/>
      </c>
      <c r="C7" s="5">
        <f>C5-C6</f>
        <v/>
      </c>
      <c r="D7" s="5">
        <f>D5-D6</f>
        <v/>
      </c>
      <c r="E7" s="5">
        <f>E5-E6</f>
        <v/>
      </c>
      <c r="F7" s="5">
        <f>F5-F6</f>
        <v/>
      </c>
    </row>
    <row r="8">
      <c r="A8" s="3" t="inlineStr">
        <is>
          <t>【財務収支】</t>
        </is>
      </c>
    </row>
    <row r="9">
      <c r="A9" s="3" t="inlineStr">
        <is>
          <t>財務収入</t>
        </is>
      </c>
      <c r="B9" s="4" t="n">
        <v>23000000</v>
      </c>
      <c r="C9" s="4" t="n">
        <v>0</v>
      </c>
      <c r="D9" s="4" t="n">
        <v>0</v>
      </c>
      <c r="E9" s="4" t="n">
        <v>0</v>
      </c>
      <c r="F9" s="4" t="n">
        <v>0</v>
      </c>
    </row>
    <row r="10">
      <c r="A10" s="3" t="inlineStr">
        <is>
          <t>財務支出</t>
        </is>
      </c>
      <c r="B10" s="4" t="n">
        <v>3399000</v>
      </c>
      <c r="C10" s="4" t="n">
        <v>684000</v>
      </c>
      <c r="D10" s="4" t="n">
        <v>684000</v>
      </c>
      <c r="E10" s="4" t="n">
        <v>0</v>
      </c>
      <c r="F10" s="4" t="n">
        <v>0</v>
      </c>
    </row>
    <row r="11">
      <c r="A11" s="2" t="inlineStr">
        <is>
          <t>財務収支差額</t>
        </is>
      </c>
      <c r="B11" s="5">
        <f>B9-B10</f>
        <v/>
      </c>
      <c r="C11" s="5">
        <f>C9-C10</f>
        <v/>
      </c>
      <c r="D11" s="5">
        <f>D9-D10</f>
        <v/>
      </c>
      <c r="E11" s="5">
        <f>E9-E10</f>
        <v/>
      </c>
      <c r="F11" s="5">
        <f>F9-F10</f>
        <v/>
      </c>
    </row>
    <row r="12">
      <c r="A12" s="3" t="inlineStr"/>
    </row>
    <row r="13">
      <c r="A13" s="2" t="inlineStr">
        <is>
          <t>CF合計</t>
        </is>
      </c>
      <c r="B13" s="5">
        <f>B7+B11</f>
        <v/>
      </c>
      <c r="C13" s="5">
        <f>C7+C11</f>
        <v/>
      </c>
      <c r="D13" s="5">
        <f>D7+D11</f>
        <v/>
      </c>
      <c r="E13" s="5">
        <f>E7+E11</f>
        <v/>
      </c>
      <c r="F13" s="5">
        <f>F7+F11</f>
        <v/>
      </c>
    </row>
    <row r="14">
      <c r="A14" s="3" t="inlineStr">
        <is>
          <t>法人税等</t>
        </is>
      </c>
      <c r="B14" s="5">
        <f>PL!B17</f>
        <v/>
      </c>
      <c r="C14" s="5">
        <f>PL!C17</f>
        <v/>
      </c>
      <c r="D14" s="5">
        <f>PL!D17</f>
        <v/>
      </c>
      <c r="E14" s="5">
        <f>PL!E17</f>
        <v/>
      </c>
      <c r="F14" s="5">
        <f>PL!F17</f>
        <v/>
      </c>
    </row>
    <row r="15">
      <c r="A15" s="2" t="inlineStr">
        <is>
          <t>期末残高</t>
        </is>
      </c>
      <c r="B15" s="5">
        <f>B3+B13-B14</f>
        <v/>
      </c>
      <c r="C15" s="5">
        <f>C3+C13-C14</f>
        <v/>
      </c>
      <c r="D15" s="5">
        <f>D3+D13-D14</f>
        <v/>
      </c>
      <c r="E15" s="5">
        <f>E3+E13-E14</f>
        <v/>
      </c>
      <c r="F15" s="5">
        <f>F3+F13-F14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BS</t>
        </is>
      </c>
    </row>
    <row r="2">
      <c r="B2" s="2" t="inlineStr">
        <is>
          <t>R2</t>
        </is>
      </c>
      <c r="C2" s="2" t="inlineStr">
        <is>
          <t>R3</t>
        </is>
      </c>
      <c r="D2" s="2" t="inlineStr">
        <is>
          <t>R4</t>
        </is>
      </c>
      <c r="E2" s="2" t="inlineStr">
        <is>
          <t>R5</t>
        </is>
      </c>
      <c r="F2" s="2" t="inlineStr">
        <is>
          <t>R6</t>
        </is>
      </c>
    </row>
    <row r="3">
      <c r="A3" s="3" t="inlineStr">
        <is>
          <t>【資産】</t>
        </is>
      </c>
    </row>
    <row r="4">
      <c r="A4" s="3" t="inlineStr">
        <is>
          <t>現金預金</t>
        </is>
      </c>
      <c r="B4" s="5">
        <f>CF!B15</f>
        <v/>
      </c>
      <c r="C4" s="5">
        <f>CF!C15</f>
        <v/>
      </c>
      <c r="D4" s="5">
        <f>CF!D15</f>
        <v/>
      </c>
      <c r="E4" s="5">
        <f>CF!E15</f>
        <v/>
      </c>
      <c r="F4" s="5">
        <f>CF!F15</f>
        <v/>
      </c>
    </row>
    <row r="5">
      <c r="A5" s="3" t="inlineStr">
        <is>
          <t>売掛金</t>
        </is>
      </c>
      <c r="B5" s="4" t="n">
        <v>12504252</v>
      </c>
      <c r="C5" s="4" t="n">
        <v>22754103</v>
      </c>
      <c r="D5" s="4" t="n">
        <v>0</v>
      </c>
      <c r="E5" s="4" t="n">
        <v>0</v>
      </c>
      <c r="F5" s="4" t="n">
        <v>0</v>
      </c>
    </row>
    <row r="6">
      <c r="A6" s="2" t="inlineStr">
        <is>
          <t>流動資産合計</t>
        </is>
      </c>
      <c r="B6" s="5">
        <f>B4+B5</f>
        <v/>
      </c>
      <c r="C6" s="5">
        <f>C4+C5</f>
        <v/>
      </c>
      <c r="D6" s="5">
        <f>D4+D5</f>
        <v/>
      </c>
      <c r="E6" s="5">
        <f>E4+E5</f>
        <v/>
      </c>
      <c r="F6" s="5">
        <f>F4+F5</f>
        <v/>
      </c>
    </row>
    <row r="7">
      <c r="A7" s="3" t="inlineStr">
        <is>
          <t>固定資産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</row>
    <row r="8">
      <c r="A8" s="2" t="inlineStr">
        <is>
          <t>資産合計</t>
        </is>
      </c>
      <c r="B8" s="5">
        <f>B6+B7</f>
        <v/>
      </c>
      <c r="C8" s="5">
        <f>C6+C7</f>
        <v/>
      </c>
      <c r="D8" s="5">
        <f>D6+D7</f>
        <v/>
      </c>
      <c r="E8" s="5">
        <f>E6+E7</f>
        <v/>
      </c>
      <c r="F8" s="5">
        <f>F6+F7</f>
        <v/>
      </c>
    </row>
    <row r="9">
      <c r="A9" s="3" t="inlineStr"/>
    </row>
    <row r="10">
      <c r="A10" s="3" t="inlineStr">
        <is>
          <t>【負債】</t>
        </is>
      </c>
    </row>
    <row r="11">
      <c r="A11" s="3" t="inlineStr">
        <is>
          <t>買掛金</t>
        </is>
      </c>
      <c r="B11" s="4" t="n">
        <v>7122731</v>
      </c>
      <c r="C11" s="4" t="n">
        <v>9919753</v>
      </c>
      <c r="D11" s="4" t="n">
        <v>0</v>
      </c>
      <c r="E11" s="4" t="n">
        <v>0</v>
      </c>
      <c r="F11" s="4" t="n">
        <v>0</v>
      </c>
    </row>
    <row r="12">
      <c r="A12" s="2" t="inlineStr">
        <is>
          <t>流動負債合計</t>
        </is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</row>
    <row r="13">
      <c r="A13" s="3" t="inlineStr">
        <is>
          <t>長期借入金</t>
        </is>
      </c>
      <c r="B13" s="4" t="n">
        <v>14601000</v>
      </c>
      <c r="C13" s="4" t="n">
        <v>13917000</v>
      </c>
      <c r="D13" s="4" t="n">
        <v>13290000</v>
      </c>
      <c r="E13" s="4" t="n">
        <v>0</v>
      </c>
      <c r="F13" s="4" t="n">
        <v>0</v>
      </c>
    </row>
    <row r="14">
      <c r="A14" s="3" t="inlineStr">
        <is>
          <t>短期借入金</t>
        </is>
      </c>
      <c r="B14" s="4" t="n">
        <v>8000000</v>
      </c>
      <c r="C14" s="4" t="n">
        <v>8000000</v>
      </c>
      <c r="D14" s="4" t="n">
        <v>8000000</v>
      </c>
      <c r="E14" s="4" t="n">
        <v>0</v>
      </c>
      <c r="F14" s="4" t="n">
        <v>0</v>
      </c>
    </row>
    <row r="15">
      <c r="A15" s="2" t="inlineStr">
        <is>
          <t>固定負債合計</t>
        </is>
      </c>
      <c r="B15" s="5">
        <f>B13+B14</f>
        <v/>
      </c>
      <c r="C15" s="5">
        <f>C13+C14</f>
        <v/>
      </c>
      <c r="D15" s="5">
        <f>D13+D14</f>
        <v/>
      </c>
      <c r="E15" s="5">
        <f>E13+E14</f>
        <v/>
      </c>
      <c r="F15" s="5">
        <f>F13+F14</f>
        <v/>
      </c>
    </row>
    <row r="16">
      <c r="A16" s="2" t="inlineStr">
        <is>
          <t>負債合計</t>
        </is>
      </c>
      <c r="B16" s="5">
        <f>B12+B15</f>
        <v/>
      </c>
      <c r="C16" s="5">
        <f>C12+C15</f>
        <v/>
      </c>
      <c r="D16" s="5">
        <f>D12+D15</f>
        <v/>
      </c>
      <c r="E16" s="5">
        <f>E12+E15</f>
        <v/>
      </c>
      <c r="F16" s="5">
        <f>F12+F15</f>
        <v/>
      </c>
    </row>
    <row r="17">
      <c r="A17" s="3" t="inlineStr"/>
    </row>
    <row r="18">
      <c r="A18" s="3" t="inlineStr">
        <is>
          <t>【純資産】</t>
        </is>
      </c>
    </row>
    <row r="19">
      <c r="A19" s="3" t="inlineStr">
        <is>
          <t>資本金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s="3" t="inlineStr">
        <is>
          <t>利益剰余金</t>
        </is>
      </c>
      <c r="B20" s="5">
        <f>PL!B18</f>
        <v/>
      </c>
      <c r="C20" s="5">
        <f>B20+PL!C18</f>
        <v/>
      </c>
      <c r="D20" s="5">
        <f>C20+PL!D18</f>
        <v/>
      </c>
      <c r="E20" s="5">
        <f>D20+PL!E18</f>
        <v/>
      </c>
      <c r="F20" s="5">
        <f>E20+PL!F18</f>
        <v/>
      </c>
    </row>
    <row r="21">
      <c r="A21" s="2" t="inlineStr">
        <is>
          <t>純資産合計</t>
        </is>
      </c>
      <c r="B21" s="5">
        <f>B19+B20</f>
        <v/>
      </c>
      <c r="C21" s="5">
        <f>C19+C20</f>
        <v/>
      </c>
      <c r="D21" s="5">
        <f>D19+D20</f>
        <v/>
      </c>
      <c r="E21" s="5">
        <f>E19+E20</f>
        <v/>
      </c>
      <c r="F21" s="5">
        <f>F19+F20</f>
        <v/>
      </c>
    </row>
    <row r="22">
      <c r="A22" s="3" t="inlineStr"/>
    </row>
    <row r="23">
      <c r="A23" s="2" t="inlineStr">
        <is>
          <t>負債+純資産合計</t>
        </is>
      </c>
      <c r="B23" s="5">
        <f>B16+B21</f>
        <v/>
      </c>
      <c r="C23" s="5">
        <f>C16+C21</f>
        <v/>
      </c>
      <c r="D23" s="5">
        <f>D16+D21</f>
        <v/>
      </c>
      <c r="E23" s="5">
        <f>E16+E21</f>
        <v/>
      </c>
      <c r="F23" s="5">
        <f>F16+F21</f>
        <v/>
      </c>
    </row>
    <row r="24">
      <c r="A24" s="3" t="inlineStr"/>
    </row>
    <row r="25">
      <c r="A25" s="2" t="inlineStr">
        <is>
          <t>貸借チェック（0=OK）</t>
        </is>
      </c>
      <c r="B25" s="6">
        <f>B8-B23</f>
        <v/>
      </c>
      <c r="C25" s="6">
        <f>C8-C23</f>
        <v/>
      </c>
      <c r="D25" s="6">
        <f>D8-D23</f>
        <v/>
      </c>
      <c r="E25" s="6">
        <f>E8-E23</f>
        <v/>
      </c>
      <c r="F25" s="6">
        <f>F8-F23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色の意味</t>
        </is>
      </c>
    </row>
    <row r="3">
      <c r="A3" s="8" t="inlineStr">
        <is>
          <t>黄色 = 入力セル（手で入力する箇所）</t>
        </is>
      </c>
    </row>
    <row r="4">
      <c r="A4" s="9" t="inlineStr">
        <is>
          <t>緑色 = 自動計算（数式で連動）</t>
        </is>
      </c>
    </row>
    <row r="5">
      <c r="A5" s="10" t="inlineStr">
        <is>
          <t>赤色 = チェック（0なら貸借一致）</t>
        </is>
      </c>
    </row>
    <row r="7">
      <c r="A7" s="7" t="inlineStr">
        <is>
          <t>三表連動ルール</t>
        </is>
      </c>
    </row>
    <row r="8">
      <c r="A8" t="inlineStr">
        <is>
          <t>PL税引後利益 → BS利益剰余金（累積加算）</t>
        </is>
      </c>
    </row>
    <row r="9">
      <c r="A9" t="inlineStr">
        <is>
          <t>CF期末残高 → BS現金預金</t>
        </is>
      </c>
    </row>
    <row r="10">
      <c r="A10" t="inlineStr">
        <is>
          <t>PL法人税 → CF法人税等</t>
        </is>
      </c>
    </row>
    <row r="11">
      <c r="A11" t="inlineStr">
        <is>
          <t>CF前期繰越 = 前年CF期末残高</t>
        </is>
      </c>
    </row>
    <row r="12">
      <c r="A12" t="inlineStr">
        <is>
          <t>BS貸借チェック = 資産合計 - (負債+純資産) → 0で一致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2026-01-27T05:45:26Z</dcterms:created>
  <dcterms:modified xsi:type="dcterms:W3CDTF">2026-01-27T05:45:26Z</dcterms:modified>
</cp:coreProperties>
</file>