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G:\共有ドライブ\福祉関連\笠岡市　就労支援\笠岡\"/>
    </mc:Choice>
  </mc:AlternateContent>
  <xr:revisionPtr revIDLastSave="0" documentId="8_{9D8A165E-7E58-4006-86E4-8E0440D411AF}" xr6:coauthVersionLast="47" xr6:coauthVersionMax="47" xr10:uidLastSave="{00000000-0000-0000-0000-000000000000}"/>
  <bookViews>
    <workbookView xWindow="-120" yWindow="-120" windowWidth="38640" windowHeight="21240" xr2:uid="{00000000-000D-0000-FFFF-FFFF00000000}"/>
  </bookViews>
  <sheets>
    <sheet name="コーリングサポ" sheetId="8" r:id="rId1"/>
    <sheet name="基礎" sheetId="9" r:id="rId2"/>
    <sheet name="表紙" sheetId="7" r:id="rId3"/>
    <sheet name="事業計画書" sheetId="6" r:id="rId4"/>
    <sheet name="財産目録" sheetId="5" r:id="rId5"/>
    <sheet name="平成29年度" sheetId="1" r:id="rId6"/>
    <sheet name="平成30年度" sheetId="2" r:id="rId7"/>
    <sheet name="ＰＬＨ29年度" sheetId="3" r:id="rId8"/>
    <sheet name="ＰＬＨ30年度" sheetId="4" r:id="rId9"/>
  </sheets>
  <definedNames>
    <definedName name="_xlnm.Print_Area" localSheetId="0">コーリングサポ!$A$1:$BP$62</definedName>
    <definedName name="_xlnm.Print_Area" localSheetId="1">基礎!$A$1:$AI$73</definedName>
    <definedName name="_xlnm.Print_Titles" localSheetId="0">コーリングサポ!$A:$C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1" l="1"/>
  <c r="D23" i="1"/>
  <c r="D24" i="1"/>
  <c r="D22" i="1"/>
  <c r="D21" i="1"/>
  <c r="D19" i="1"/>
  <c r="D16" i="1"/>
  <c r="AB70" i="9"/>
  <c r="O70" i="9"/>
  <c r="I70" i="9"/>
  <c r="AG65" i="9"/>
  <c r="AF65" i="9"/>
  <c r="AE65" i="9"/>
  <c r="AD65" i="9"/>
  <c r="AC65" i="9"/>
  <c r="AB65" i="9"/>
  <c r="AA65" i="9"/>
  <c r="Z65" i="9"/>
  <c r="Y65" i="9"/>
  <c r="X65" i="9"/>
  <c r="W65" i="9"/>
  <c r="V65" i="9"/>
  <c r="O65" i="9"/>
  <c r="N65" i="9"/>
  <c r="M65" i="9"/>
  <c r="L65" i="9"/>
  <c r="K65" i="9"/>
  <c r="J65" i="9"/>
  <c r="I65" i="9"/>
  <c r="H65" i="9"/>
  <c r="G65" i="9"/>
  <c r="F65" i="9"/>
  <c r="E65" i="9"/>
  <c r="D65" i="9"/>
  <c r="O62" i="9"/>
  <c r="N62" i="9"/>
  <c r="N57" i="9" s="1"/>
  <c r="N70" i="9" s="1"/>
  <c r="M62" i="9"/>
  <c r="M57" i="9" s="1"/>
  <c r="M70" i="9" s="1"/>
  <c r="L62" i="9"/>
  <c r="I62" i="9"/>
  <c r="H62" i="9"/>
  <c r="G62" i="9"/>
  <c r="F62" i="9"/>
  <c r="F57" i="9" s="1"/>
  <c r="F70" i="9" s="1"/>
  <c r="E62" i="9"/>
  <c r="E57" i="9" s="1"/>
  <c r="E70" i="9" s="1"/>
  <c r="D62" i="9"/>
  <c r="D57" i="9" s="1"/>
  <c r="D70" i="9" s="1"/>
  <c r="AG57" i="9"/>
  <c r="AG70" i="9" s="1"/>
  <c r="AD57" i="9"/>
  <c r="AD70" i="9" s="1"/>
  <c r="AB57" i="9"/>
  <c r="O57" i="9"/>
  <c r="L57" i="9"/>
  <c r="L70" i="9" s="1"/>
  <c r="K57" i="9"/>
  <c r="K70" i="9" s="1"/>
  <c r="J57" i="9"/>
  <c r="J70" i="9" s="1"/>
  <c r="I57" i="9"/>
  <c r="H57" i="9"/>
  <c r="H70" i="9" s="1"/>
  <c r="G57" i="9"/>
  <c r="G70" i="9" s="1"/>
  <c r="O55" i="9"/>
  <c r="N55" i="9"/>
  <c r="M55" i="9"/>
  <c r="L55" i="9"/>
  <c r="K55" i="9"/>
  <c r="J55" i="9"/>
  <c r="I55" i="9"/>
  <c r="H55" i="9"/>
  <c r="G55" i="9"/>
  <c r="F55" i="9"/>
  <c r="E55" i="9"/>
  <c r="D55" i="9"/>
  <c r="V53" i="9"/>
  <c r="O53" i="9"/>
  <c r="N53" i="9"/>
  <c r="M53" i="9"/>
  <c r="L53" i="9"/>
  <c r="K53" i="9"/>
  <c r="J53" i="9"/>
  <c r="I53" i="9"/>
  <c r="H53" i="9"/>
  <c r="G53" i="9"/>
  <c r="F53" i="9"/>
  <c r="E53" i="9"/>
  <c r="D53" i="9"/>
  <c r="D51" i="9"/>
  <c r="AG49" i="9"/>
  <c r="AF49" i="9"/>
  <c r="AE49" i="9"/>
  <c r="AD49" i="9"/>
  <c r="AC49" i="9"/>
  <c r="AB49" i="9"/>
  <c r="AA49" i="9"/>
  <c r="Z49" i="9"/>
  <c r="Y49" i="9"/>
  <c r="X49" i="9"/>
  <c r="W49" i="9"/>
  <c r="V49" i="9"/>
  <c r="O49" i="9"/>
  <c r="N49" i="9"/>
  <c r="M49" i="9"/>
  <c r="L49" i="9"/>
  <c r="K49" i="9"/>
  <c r="J49" i="9"/>
  <c r="I49" i="9"/>
  <c r="H49" i="9"/>
  <c r="G49" i="9"/>
  <c r="F49" i="9"/>
  <c r="E49" i="9"/>
  <c r="AF48" i="9"/>
  <c r="AE48" i="9"/>
  <c r="L48" i="9"/>
  <c r="D48" i="9"/>
  <c r="E45" i="9"/>
  <c r="AH40" i="9"/>
  <c r="AI40" i="9" s="1"/>
  <c r="P40" i="9"/>
  <c r="Q40" i="9" s="1"/>
  <c r="AI39" i="9"/>
  <c r="AH39" i="9"/>
  <c r="P39" i="9"/>
  <c r="Q39" i="9" s="1"/>
  <c r="AG38" i="9"/>
  <c r="AF38" i="9"/>
  <c r="AE38" i="9"/>
  <c r="AD38" i="9"/>
  <c r="AC38" i="9"/>
  <c r="AB38" i="9"/>
  <c r="AA38" i="9"/>
  <c r="Z38" i="9"/>
  <c r="Y38" i="9"/>
  <c r="X38" i="9"/>
  <c r="W38" i="9"/>
  <c r="V38" i="9"/>
  <c r="AH38" i="9" s="1"/>
  <c r="AI38" i="9" s="1"/>
  <c r="P38" i="9"/>
  <c r="Q38" i="9" s="1"/>
  <c r="O38" i="9"/>
  <c r="N38" i="9"/>
  <c r="M38" i="9"/>
  <c r="L38" i="9"/>
  <c r="K38" i="9"/>
  <c r="J38" i="9"/>
  <c r="I38" i="9"/>
  <c r="H38" i="9"/>
  <c r="G38" i="9"/>
  <c r="F38" i="9"/>
  <c r="E38" i="9"/>
  <c r="D38" i="9"/>
  <c r="AI37" i="9"/>
  <c r="AH37" i="9"/>
  <c r="P37" i="9"/>
  <c r="Q37" i="9" s="1"/>
  <c r="AF35" i="9"/>
  <c r="AF62" i="9" s="1"/>
  <c r="AF57" i="9" s="1"/>
  <c r="AF70" i="9" s="1"/>
  <c r="P35" i="9"/>
  <c r="AD35" i="9" s="1"/>
  <c r="AH34" i="9"/>
  <c r="P34" i="9"/>
  <c r="AH33" i="9"/>
  <c r="AI33" i="9" s="1"/>
  <c r="P33" i="9"/>
  <c r="Q33" i="9" s="1"/>
  <c r="X32" i="9"/>
  <c r="W32" i="9"/>
  <c r="P32" i="9"/>
  <c r="W31" i="9"/>
  <c r="P31" i="9"/>
  <c r="AG30" i="9"/>
  <c r="AF30" i="9"/>
  <c r="AE30" i="9"/>
  <c r="AD30" i="9"/>
  <c r="AC30" i="9"/>
  <c r="AB30" i="9"/>
  <c r="AA30" i="9"/>
  <c r="Z30" i="9"/>
  <c r="Y30" i="9"/>
  <c r="X30" i="9"/>
  <c r="W30" i="9"/>
  <c r="V30" i="9"/>
  <c r="O30" i="9"/>
  <c r="N30" i="9"/>
  <c r="M30" i="9"/>
  <c r="L30" i="9"/>
  <c r="K30" i="9"/>
  <c r="J30" i="9"/>
  <c r="I30" i="9"/>
  <c r="H30" i="9"/>
  <c r="G30" i="9"/>
  <c r="F30" i="9"/>
  <c r="E30" i="9"/>
  <c r="D30" i="9"/>
  <c r="P30" i="9" s="1"/>
  <c r="AH29" i="9"/>
  <c r="P29" i="9"/>
  <c r="AH28" i="9"/>
  <c r="P28" i="9"/>
  <c r="O27" i="9"/>
  <c r="K27" i="9"/>
  <c r="J27" i="9"/>
  <c r="I27" i="9"/>
  <c r="H27" i="9"/>
  <c r="G27" i="9"/>
  <c r="F27" i="9"/>
  <c r="AH25" i="9"/>
  <c r="AI25" i="9" s="1"/>
  <c r="P25" i="9"/>
  <c r="Q25" i="9" s="1"/>
  <c r="AH24" i="9"/>
  <c r="AI24" i="9" s="1"/>
  <c r="Q24" i="9"/>
  <c r="P24" i="9"/>
  <c r="AH23" i="9"/>
  <c r="AI23" i="9" s="1"/>
  <c r="P23" i="9"/>
  <c r="Q23" i="9" s="1"/>
  <c r="AG22" i="9"/>
  <c r="AF22" i="9"/>
  <c r="AE22" i="9"/>
  <c r="AD22" i="9"/>
  <c r="AC22" i="9"/>
  <c r="AB22" i="9"/>
  <c r="AA22" i="9"/>
  <c r="Z22" i="9"/>
  <c r="Y22" i="9"/>
  <c r="X22" i="9"/>
  <c r="W22" i="9"/>
  <c r="P22" i="9"/>
  <c r="Q22" i="9" s="1"/>
  <c r="AG21" i="9"/>
  <c r="AF21" i="9"/>
  <c r="AE21" i="9"/>
  <c r="AD21" i="9"/>
  <c r="AC21" i="9"/>
  <c r="AB21" i="9"/>
  <c r="AA21" i="9"/>
  <c r="Z21" i="9"/>
  <c r="Y21" i="9"/>
  <c r="X21" i="9"/>
  <c r="W21" i="9"/>
  <c r="O21" i="9"/>
  <c r="N21" i="9"/>
  <c r="M21" i="9"/>
  <c r="L21" i="9"/>
  <c r="K21" i="9"/>
  <c r="J21" i="9"/>
  <c r="I21" i="9"/>
  <c r="H21" i="9"/>
  <c r="G21" i="9"/>
  <c r="F21" i="9"/>
  <c r="E21" i="9"/>
  <c r="D21" i="9"/>
  <c r="P21" i="9" s="1"/>
  <c r="Q21" i="9" s="1"/>
  <c r="AH20" i="9"/>
  <c r="AI20" i="9" s="1"/>
  <c r="Q20" i="9"/>
  <c r="AH19" i="9"/>
  <c r="AI19" i="9" s="1"/>
  <c r="Q19" i="9"/>
  <c r="O18" i="9"/>
  <c r="V54" i="9" s="1"/>
  <c r="M18" i="9"/>
  <c r="N54" i="9" s="1"/>
  <c r="L18" i="9"/>
  <c r="M54" i="9" s="1"/>
  <c r="H18" i="9"/>
  <c r="I54" i="9" s="1"/>
  <c r="G18" i="9"/>
  <c r="H54" i="9" s="1"/>
  <c r="L17" i="9"/>
  <c r="O16" i="9"/>
  <c r="K16" i="9"/>
  <c r="H16" i="9"/>
  <c r="G16" i="9"/>
  <c r="E16" i="9"/>
  <c r="D16" i="9"/>
  <c r="AH13" i="9"/>
  <c r="AI13" i="9" s="1"/>
  <c r="P13" i="9"/>
  <c r="Q13" i="9" s="1"/>
  <c r="AI12" i="9"/>
  <c r="AH12" i="9"/>
  <c r="P12" i="9"/>
  <c r="AH11" i="9"/>
  <c r="AI11" i="9" s="1"/>
  <c r="Q11" i="9"/>
  <c r="AH10" i="9"/>
  <c r="AI10" i="9" s="1"/>
  <c r="P10" i="9"/>
  <c r="Q10" i="9" s="1"/>
  <c r="AG9" i="9"/>
  <c r="AF9" i="9"/>
  <c r="AG48" i="9" s="1"/>
  <c r="AE9" i="9"/>
  <c r="AD9" i="9"/>
  <c r="AC9" i="9"/>
  <c r="AD48" i="9" s="1"/>
  <c r="AB9" i="9"/>
  <c r="AC48" i="9" s="1"/>
  <c r="AA9" i="9"/>
  <c r="AB48" i="9" s="1"/>
  <c r="Z9" i="9"/>
  <c r="AA48" i="9" s="1"/>
  <c r="Y9" i="9"/>
  <c r="Z48" i="9" s="1"/>
  <c r="X9" i="9"/>
  <c r="Y48" i="9" s="1"/>
  <c r="W9" i="9"/>
  <c r="X48" i="9" s="1"/>
  <c r="V9" i="9"/>
  <c r="AH9" i="9" s="1"/>
  <c r="AI9" i="9" s="1"/>
  <c r="O9" i="9"/>
  <c r="V48" i="9" s="1"/>
  <c r="N9" i="9"/>
  <c r="O48" i="9" s="1"/>
  <c r="M9" i="9"/>
  <c r="N48" i="9" s="1"/>
  <c r="L9" i="9"/>
  <c r="M48" i="9" s="1"/>
  <c r="K9" i="9"/>
  <c r="J9" i="9"/>
  <c r="K48" i="9" s="1"/>
  <c r="I9" i="9"/>
  <c r="H9" i="9"/>
  <c r="I48" i="9" s="1"/>
  <c r="G9" i="9"/>
  <c r="H48" i="9" s="1"/>
  <c r="F9" i="9"/>
  <c r="G48" i="9" s="1"/>
  <c r="E9" i="9"/>
  <c r="F48" i="9" s="1"/>
  <c r="D9" i="9"/>
  <c r="E48" i="9" s="1"/>
  <c r="AH8" i="9"/>
  <c r="AI8" i="9" s="1"/>
  <c r="P8" i="9"/>
  <c r="Q8" i="9" s="1"/>
  <c r="AI7" i="9"/>
  <c r="AH7" i="9"/>
  <c r="P62" i="8"/>
  <c r="O62" i="8"/>
  <c r="N18" i="9" s="1"/>
  <c r="O54" i="9" s="1"/>
  <c r="N62" i="8"/>
  <c r="M62" i="8"/>
  <c r="L62" i="8"/>
  <c r="K18" i="9" s="1"/>
  <c r="L54" i="9" s="1"/>
  <c r="K62" i="8"/>
  <c r="J18" i="9" s="1"/>
  <c r="K54" i="9" s="1"/>
  <c r="J62" i="8"/>
  <c r="I18" i="9" s="1"/>
  <c r="J54" i="9" s="1"/>
  <c r="I62" i="8"/>
  <c r="H62" i="8"/>
  <c r="G62" i="8"/>
  <c r="F18" i="9" s="1"/>
  <c r="G54" i="9" s="1"/>
  <c r="F62" i="8"/>
  <c r="E18" i="9" s="1"/>
  <c r="F54" i="9" s="1"/>
  <c r="E62" i="8"/>
  <c r="D18" i="9" s="1"/>
  <c r="E54" i="9" s="1"/>
  <c r="T61" i="8"/>
  <c r="U61" i="8" s="1"/>
  <c r="V61" i="8" s="1"/>
  <c r="W61" i="8" s="1"/>
  <c r="X61" i="8" s="1"/>
  <c r="Y61" i="8" s="1"/>
  <c r="Z61" i="8" s="1"/>
  <c r="AA61" i="8" s="1"/>
  <c r="AB61" i="8" s="1"/>
  <c r="AC61" i="8" s="1"/>
  <c r="S61" i="8"/>
  <c r="R61" i="8"/>
  <c r="Y59" i="8"/>
  <c r="Z59" i="8" s="1"/>
  <c r="AA59" i="8" s="1"/>
  <c r="AB59" i="8" s="1"/>
  <c r="AC59" i="8" s="1"/>
  <c r="R59" i="8"/>
  <c r="S59" i="8" s="1"/>
  <c r="T59" i="8" s="1"/>
  <c r="U59" i="8" s="1"/>
  <c r="V59" i="8" s="1"/>
  <c r="W59" i="8" s="1"/>
  <c r="X59" i="8" s="1"/>
  <c r="R58" i="8"/>
  <c r="S58" i="8" s="1"/>
  <c r="BG56" i="8"/>
  <c r="AO56" i="8"/>
  <c r="AL56" i="8"/>
  <c r="G56" i="8"/>
  <c r="BP55" i="8"/>
  <c r="BP56" i="8" s="1"/>
  <c r="BM55" i="8"/>
  <c r="BG55" i="8"/>
  <c r="BF55" i="8"/>
  <c r="BB55" i="8"/>
  <c r="AY55" i="8"/>
  <c r="AY56" i="8" s="1"/>
  <c r="AV55" i="8"/>
  <c r="AO55" i="8"/>
  <c r="AN55" i="8"/>
  <c r="AK55" i="8"/>
  <c r="AH55" i="8"/>
  <c r="AH56" i="8" s="1"/>
  <c r="AE55" i="8"/>
  <c r="P55" i="8"/>
  <c r="M55" i="8"/>
  <c r="G55" i="8"/>
  <c r="F17" i="9" s="1"/>
  <c r="F55" i="8"/>
  <c r="E17" i="9" s="1"/>
  <c r="E14" i="9" s="1"/>
  <c r="BP54" i="8"/>
  <c r="BO54" i="8"/>
  <c r="BN54" i="8"/>
  <c r="BM54" i="8"/>
  <c r="BM56" i="8" s="1"/>
  <c r="BL54" i="8"/>
  <c r="BK54" i="8"/>
  <c r="BK55" i="8" s="1"/>
  <c r="BK56" i="8" s="1"/>
  <c r="BJ54" i="8"/>
  <c r="BJ55" i="8" s="1"/>
  <c r="BJ56" i="8" s="1"/>
  <c r="BI54" i="8"/>
  <c r="BI55" i="8" s="1"/>
  <c r="BH54" i="8"/>
  <c r="BH55" i="8" s="1"/>
  <c r="BG54" i="8"/>
  <c r="BF54" i="8"/>
  <c r="BF56" i="8" s="1"/>
  <c r="BE54" i="8"/>
  <c r="BE55" i="8" s="1"/>
  <c r="BC54" i="8"/>
  <c r="BC55" i="8" s="1"/>
  <c r="BC56" i="8" s="1"/>
  <c r="BB54" i="8"/>
  <c r="BA54" i="8"/>
  <c r="BA55" i="8" s="1"/>
  <c r="AZ54" i="8"/>
  <c r="AZ55" i="8" s="1"/>
  <c r="AZ56" i="8" s="1"/>
  <c r="AY54" i="8"/>
  <c r="AX54" i="8"/>
  <c r="AW54" i="8"/>
  <c r="AV54" i="8"/>
  <c r="AV56" i="8" s="1"/>
  <c r="AU54" i="8"/>
  <c r="AT54" i="8"/>
  <c r="AT55" i="8" s="1"/>
  <c r="AT56" i="8" s="1"/>
  <c r="AS54" i="8"/>
  <c r="AS55" i="8" s="1"/>
  <c r="AS56" i="8" s="1"/>
  <c r="AR54" i="8"/>
  <c r="AR55" i="8" s="1"/>
  <c r="AP54" i="8"/>
  <c r="AP55" i="8" s="1"/>
  <c r="AO54" i="8"/>
  <c r="AN54" i="8"/>
  <c r="AN56" i="8" s="1"/>
  <c r="AM54" i="8"/>
  <c r="AM55" i="8" s="1"/>
  <c r="AL54" i="8"/>
  <c r="AL55" i="8" s="1"/>
  <c r="AK54" i="8"/>
  <c r="AK56" i="8" s="1"/>
  <c r="AJ54" i="8"/>
  <c r="AJ55" i="8" s="1"/>
  <c r="AI54" i="8"/>
  <c r="AI55" i="8" s="1"/>
  <c r="AI56" i="8" s="1"/>
  <c r="AH54" i="8"/>
  <c r="AG54" i="8"/>
  <c r="AF54" i="8"/>
  <c r="AE54" i="8"/>
  <c r="AE56" i="8" s="1"/>
  <c r="P54" i="8"/>
  <c r="O54" i="8"/>
  <c r="N54" i="8"/>
  <c r="M54" i="8"/>
  <c r="M56" i="8" s="1"/>
  <c r="L54" i="8"/>
  <c r="K54" i="8"/>
  <c r="J16" i="9" s="1"/>
  <c r="J54" i="8"/>
  <c r="J55" i="8" s="1"/>
  <c r="I54" i="8"/>
  <c r="I55" i="8" s="1"/>
  <c r="H17" i="9" s="1"/>
  <c r="H54" i="8"/>
  <c r="H55" i="8" s="1"/>
  <c r="G17" i="9" s="1"/>
  <c r="G54" i="8"/>
  <c r="F16" i="9" s="1"/>
  <c r="F14" i="9" s="1"/>
  <c r="F54" i="8"/>
  <c r="F56" i="8" s="1"/>
  <c r="E54" i="8"/>
  <c r="E55" i="8" s="1"/>
  <c r="D17" i="9" s="1"/>
  <c r="R52" i="8"/>
  <c r="S52" i="8" s="1"/>
  <c r="T52" i="8" s="1"/>
  <c r="U52" i="8" s="1"/>
  <c r="V52" i="8" s="1"/>
  <c r="W52" i="8" s="1"/>
  <c r="X52" i="8" s="1"/>
  <c r="Y52" i="8" s="1"/>
  <c r="Z52" i="8" s="1"/>
  <c r="AA52" i="8" s="1"/>
  <c r="AB52" i="8" s="1"/>
  <c r="AC52" i="8" s="1"/>
  <c r="R51" i="8"/>
  <c r="S51" i="8" s="1"/>
  <c r="T51" i="8" s="1"/>
  <c r="U51" i="8" s="1"/>
  <c r="V51" i="8" s="1"/>
  <c r="W51" i="8" s="1"/>
  <c r="X51" i="8" s="1"/>
  <c r="Y51" i="8" s="1"/>
  <c r="Z51" i="8" s="1"/>
  <c r="AA51" i="8" s="1"/>
  <c r="AB51" i="8" s="1"/>
  <c r="AC51" i="8" s="1"/>
  <c r="AC50" i="8"/>
  <c r="T50" i="8"/>
  <c r="U50" i="8" s="1"/>
  <c r="V50" i="8" s="1"/>
  <c r="W50" i="8" s="1"/>
  <c r="X50" i="8" s="1"/>
  <c r="Y50" i="8" s="1"/>
  <c r="Z50" i="8" s="1"/>
  <c r="AA50" i="8" s="1"/>
  <c r="AB50" i="8" s="1"/>
  <c r="S50" i="8"/>
  <c r="R50" i="8"/>
  <c r="Y49" i="8"/>
  <c r="Z49" i="8" s="1"/>
  <c r="AA49" i="8" s="1"/>
  <c r="AB49" i="8" s="1"/>
  <c r="AC49" i="8" s="1"/>
  <c r="T49" i="8"/>
  <c r="U49" i="8" s="1"/>
  <c r="V49" i="8" s="1"/>
  <c r="W49" i="8" s="1"/>
  <c r="X49" i="8" s="1"/>
  <c r="S49" i="8"/>
  <c r="T48" i="8"/>
  <c r="U48" i="8" s="1"/>
  <c r="V48" i="8" s="1"/>
  <c r="W48" i="8" s="1"/>
  <c r="X48" i="8" s="1"/>
  <c r="Y48" i="8" s="1"/>
  <c r="Z48" i="8" s="1"/>
  <c r="AA48" i="8" s="1"/>
  <c r="AB48" i="8" s="1"/>
  <c r="AC48" i="8" s="1"/>
  <c r="S48" i="8"/>
  <c r="R47" i="8"/>
  <c r="S47" i="8" s="1"/>
  <c r="T47" i="8" s="1"/>
  <c r="U47" i="8" s="1"/>
  <c r="V47" i="8" s="1"/>
  <c r="W47" i="8" s="1"/>
  <c r="X47" i="8" s="1"/>
  <c r="Y47" i="8" s="1"/>
  <c r="Z47" i="8" s="1"/>
  <c r="AA47" i="8" s="1"/>
  <c r="AB47" i="8" s="1"/>
  <c r="AC47" i="8" s="1"/>
  <c r="S46" i="8"/>
  <c r="T46" i="8" s="1"/>
  <c r="U46" i="8" s="1"/>
  <c r="V46" i="8" s="1"/>
  <c r="W46" i="8" s="1"/>
  <c r="X46" i="8" s="1"/>
  <c r="Y46" i="8" s="1"/>
  <c r="Z46" i="8" s="1"/>
  <c r="AA46" i="8" s="1"/>
  <c r="AB46" i="8" s="1"/>
  <c r="AC46" i="8" s="1"/>
  <c r="R45" i="8"/>
  <c r="S45" i="8" s="1"/>
  <c r="T45" i="8" s="1"/>
  <c r="U45" i="8" s="1"/>
  <c r="V45" i="8" s="1"/>
  <c r="W45" i="8" s="1"/>
  <c r="X45" i="8" s="1"/>
  <c r="Y45" i="8" s="1"/>
  <c r="Z45" i="8" s="1"/>
  <c r="AA45" i="8" s="1"/>
  <c r="AB45" i="8" s="1"/>
  <c r="AC45" i="8" s="1"/>
  <c r="R43" i="8"/>
  <c r="S43" i="8" s="1"/>
  <c r="T43" i="8" s="1"/>
  <c r="U43" i="8" s="1"/>
  <c r="V43" i="8" s="1"/>
  <c r="W43" i="8" s="1"/>
  <c r="X43" i="8" s="1"/>
  <c r="Y43" i="8" s="1"/>
  <c r="Z43" i="8" s="1"/>
  <c r="AA43" i="8" s="1"/>
  <c r="AB43" i="8" s="1"/>
  <c r="AC43" i="8" s="1"/>
  <c r="V42" i="8"/>
  <c r="W42" i="8" s="1"/>
  <c r="X42" i="8" s="1"/>
  <c r="Y42" i="8" s="1"/>
  <c r="Z42" i="8" s="1"/>
  <c r="AA42" i="8" s="1"/>
  <c r="AB42" i="8" s="1"/>
  <c r="AC42" i="8" s="1"/>
  <c r="T42" i="8"/>
  <c r="S42" i="8"/>
  <c r="S41" i="8"/>
  <c r="T41" i="8" s="1"/>
  <c r="U41" i="8" s="1"/>
  <c r="V41" i="8" s="1"/>
  <c r="W41" i="8" s="1"/>
  <c r="X41" i="8" s="1"/>
  <c r="Y41" i="8" s="1"/>
  <c r="Z41" i="8" s="1"/>
  <c r="AA41" i="8" s="1"/>
  <c r="AB41" i="8" s="1"/>
  <c r="AC41" i="8" s="1"/>
  <c r="L41" i="8"/>
  <c r="T40" i="8"/>
  <c r="U40" i="8" s="1"/>
  <c r="V40" i="8" s="1"/>
  <c r="W40" i="8" s="1"/>
  <c r="X40" i="8" s="1"/>
  <c r="Y40" i="8" s="1"/>
  <c r="Z40" i="8" s="1"/>
  <c r="AA40" i="8" s="1"/>
  <c r="AB40" i="8" s="1"/>
  <c r="AC40" i="8" s="1"/>
  <c r="S40" i="8"/>
  <c r="L40" i="8"/>
  <c r="S39" i="8"/>
  <c r="T39" i="8" s="1"/>
  <c r="U39" i="8" s="1"/>
  <c r="R39" i="8"/>
  <c r="W38" i="8"/>
  <c r="V38" i="8"/>
  <c r="R38" i="8"/>
  <c r="S38" i="8" s="1"/>
  <c r="K38" i="8"/>
  <c r="BP36" i="8"/>
  <c r="BO36" i="8"/>
  <c r="BN36" i="8"/>
  <c r="BM36" i="8"/>
  <c r="BL36" i="8"/>
  <c r="BK36" i="8"/>
  <c r="BJ36" i="8"/>
  <c r="BI36" i="8"/>
  <c r="BH36" i="8"/>
  <c r="BG36" i="8"/>
  <c r="BF36" i="8"/>
  <c r="BE36" i="8"/>
  <c r="BC36" i="8"/>
  <c r="BB36" i="8"/>
  <c r="BA36" i="8"/>
  <c r="AZ36" i="8"/>
  <c r="AY36" i="8"/>
  <c r="AX36" i="8"/>
  <c r="AW36" i="8"/>
  <c r="AV36" i="8"/>
  <c r="AU36" i="8"/>
  <c r="AT36" i="8"/>
  <c r="AS36" i="8"/>
  <c r="AR36" i="8"/>
  <c r="AP36" i="8"/>
  <c r="AO36" i="8"/>
  <c r="AN36" i="8"/>
  <c r="AM36" i="8"/>
  <c r="AL36" i="8"/>
  <c r="AK36" i="8"/>
  <c r="AJ36" i="8"/>
  <c r="AI36" i="8"/>
  <c r="AH36" i="8"/>
  <c r="AG36" i="8"/>
  <c r="AF36" i="8"/>
  <c r="AE36" i="8"/>
  <c r="AC36" i="8"/>
  <c r="AB36" i="8"/>
  <c r="AA36" i="8"/>
  <c r="Z36" i="8"/>
  <c r="Y36" i="8"/>
  <c r="X36" i="8"/>
  <c r="W36" i="8"/>
  <c r="V36" i="8"/>
  <c r="U36" i="8"/>
  <c r="T36" i="8"/>
  <c r="S36" i="8"/>
  <c r="R36" i="8"/>
  <c r="P36" i="8"/>
  <c r="O36" i="8"/>
  <c r="N36" i="8"/>
  <c r="M36" i="8"/>
  <c r="L36" i="8"/>
  <c r="K36" i="8"/>
  <c r="J36" i="8"/>
  <c r="I36" i="8"/>
  <c r="H36" i="8"/>
  <c r="G36" i="8"/>
  <c r="F36" i="8"/>
  <c r="E36" i="8"/>
  <c r="BP35" i="8"/>
  <c r="BO35" i="8"/>
  <c r="BN35" i="8"/>
  <c r="BM35" i="8"/>
  <c r="BL35" i="8"/>
  <c r="BK35" i="8"/>
  <c r="BJ35" i="8"/>
  <c r="BI35" i="8"/>
  <c r="BH35" i="8"/>
  <c r="BG35" i="8"/>
  <c r="BF35" i="8"/>
  <c r="BE35" i="8"/>
  <c r="BC35" i="8"/>
  <c r="BB35" i="8"/>
  <c r="BA35" i="8"/>
  <c r="AZ35" i="8"/>
  <c r="AY35" i="8"/>
  <c r="AX35" i="8"/>
  <c r="AW35" i="8"/>
  <c r="AV35" i="8"/>
  <c r="AU35" i="8"/>
  <c r="AT35" i="8"/>
  <c r="AS35" i="8"/>
  <c r="AR35" i="8"/>
  <c r="AP35" i="8"/>
  <c r="AO35" i="8"/>
  <c r="AN35" i="8"/>
  <c r="AM35" i="8"/>
  <c r="AL35" i="8"/>
  <c r="AK35" i="8"/>
  <c r="AJ35" i="8"/>
  <c r="AI35" i="8"/>
  <c r="AH35" i="8"/>
  <c r="AG35" i="8"/>
  <c r="AF35" i="8"/>
  <c r="AE35" i="8"/>
  <c r="AC35" i="8"/>
  <c r="AB35" i="8"/>
  <c r="AA35" i="8"/>
  <c r="Z35" i="8"/>
  <c r="Y35" i="8"/>
  <c r="X35" i="8"/>
  <c r="W35" i="8"/>
  <c r="V35" i="8"/>
  <c r="U35" i="8"/>
  <c r="T35" i="8"/>
  <c r="S35" i="8"/>
  <c r="R35" i="8"/>
  <c r="P35" i="8"/>
  <c r="O35" i="8"/>
  <c r="N35" i="8"/>
  <c r="M35" i="8"/>
  <c r="L35" i="8"/>
  <c r="K35" i="8"/>
  <c r="J35" i="8"/>
  <c r="I35" i="8"/>
  <c r="H35" i="8"/>
  <c r="G35" i="8"/>
  <c r="F35" i="8"/>
  <c r="E35" i="8"/>
  <c r="BP34" i="8"/>
  <c r="BO34" i="8"/>
  <c r="BN34" i="8"/>
  <c r="BM34" i="8"/>
  <c r="BL34" i="8"/>
  <c r="BK34" i="8"/>
  <c r="BJ34" i="8"/>
  <c r="BI34" i="8"/>
  <c r="BH34" i="8"/>
  <c r="BG34" i="8"/>
  <c r="BF34" i="8"/>
  <c r="BE34" i="8"/>
  <c r="BC34" i="8"/>
  <c r="BB34" i="8"/>
  <c r="BA34" i="8"/>
  <c r="AZ34" i="8"/>
  <c r="AY34" i="8"/>
  <c r="AX34" i="8"/>
  <c r="AW34" i="8"/>
  <c r="AV34" i="8"/>
  <c r="AU34" i="8"/>
  <c r="AT34" i="8"/>
  <c r="AS34" i="8"/>
  <c r="AR34" i="8"/>
  <c r="AP34" i="8"/>
  <c r="AO34" i="8"/>
  <c r="AN34" i="8"/>
  <c r="AM34" i="8"/>
  <c r="AL34" i="8"/>
  <c r="AK34" i="8"/>
  <c r="AJ34" i="8"/>
  <c r="AI34" i="8"/>
  <c r="AH34" i="8"/>
  <c r="AG34" i="8"/>
  <c r="AF34" i="8"/>
  <c r="AE34" i="8"/>
  <c r="AC34" i="8"/>
  <c r="AB34" i="8"/>
  <c r="AA34" i="8"/>
  <c r="Z34" i="8"/>
  <c r="Y34" i="8"/>
  <c r="X34" i="8"/>
  <c r="W34" i="8"/>
  <c r="V34" i="8"/>
  <c r="U34" i="8"/>
  <c r="T34" i="8"/>
  <c r="S34" i="8"/>
  <c r="R34" i="8"/>
  <c r="P34" i="8"/>
  <c r="O34" i="8"/>
  <c r="N34" i="8"/>
  <c r="M34" i="8"/>
  <c r="L34" i="8"/>
  <c r="K34" i="8"/>
  <c r="J34" i="8"/>
  <c r="I34" i="8"/>
  <c r="H34" i="8"/>
  <c r="G34" i="8"/>
  <c r="F34" i="8"/>
  <c r="E34" i="8"/>
  <c r="BP33" i="8"/>
  <c r="BO33" i="8"/>
  <c r="BN33" i="8"/>
  <c r="BM33" i="8"/>
  <c r="BL33" i="8"/>
  <c r="BK33" i="8"/>
  <c r="BJ33" i="8"/>
  <c r="BI33" i="8"/>
  <c r="BH33" i="8"/>
  <c r="BG33" i="8"/>
  <c r="BF33" i="8"/>
  <c r="BE33" i="8"/>
  <c r="BC33" i="8"/>
  <c r="BB33" i="8"/>
  <c r="BA33" i="8"/>
  <c r="AZ33" i="8"/>
  <c r="AY33" i="8"/>
  <c r="AX33" i="8"/>
  <c r="AW33" i="8"/>
  <c r="AV33" i="8"/>
  <c r="AU33" i="8"/>
  <c r="AT33" i="8"/>
  <c r="AS33" i="8"/>
  <c r="AR33" i="8"/>
  <c r="AP33" i="8"/>
  <c r="AO33" i="8"/>
  <c r="AN33" i="8"/>
  <c r="AM33" i="8"/>
  <c r="AL33" i="8"/>
  <c r="AK33" i="8"/>
  <c r="AJ33" i="8"/>
  <c r="AI33" i="8"/>
  <c r="AH33" i="8"/>
  <c r="AG33" i="8"/>
  <c r="AF33" i="8"/>
  <c r="AE33" i="8"/>
  <c r="AC33" i="8"/>
  <c r="AB33" i="8"/>
  <c r="AA33" i="8"/>
  <c r="Z33" i="8"/>
  <c r="Y33" i="8"/>
  <c r="X33" i="8"/>
  <c r="W33" i="8"/>
  <c r="V33" i="8"/>
  <c r="U33" i="8"/>
  <c r="T33" i="8"/>
  <c r="S33" i="8"/>
  <c r="R33" i="8"/>
  <c r="P33" i="8"/>
  <c r="O33" i="8"/>
  <c r="N33" i="8"/>
  <c r="M33" i="8"/>
  <c r="L33" i="8"/>
  <c r="K33" i="8"/>
  <c r="J33" i="8"/>
  <c r="I33" i="8"/>
  <c r="H33" i="8"/>
  <c r="G33" i="8"/>
  <c r="F33" i="8"/>
  <c r="E33" i="8"/>
  <c r="BP32" i="8"/>
  <c r="BO32" i="8"/>
  <c r="BN32" i="8"/>
  <c r="BM32" i="8"/>
  <c r="BL32" i="8"/>
  <c r="BK32" i="8"/>
  <c r="BJ32" i="8"/>
  <c r="BI32" i="8"/>
  <c r="BH32" i="8"/>
  <c r="BG32" i="8"/>
  <c r="BF32" i="8"/>
  <c r="BE32" i="8"/>
  <c r="BC32" i="8"/>
  <c r="BB32" i="8"/>
  <c r="BA32" i="8"/>
  <c r="AZ32" i="8"/>
  <c r="AY32" i="8"/>
  <c r="AX32" i="8"/>
  <c r="AW32" i="8"/>
  <c r="AV32" i="8"/>
  <c r="AU32" i="8"/>
  <c r="AT32" i="8"/>
  <c r="AS32" i="8"/>
  <c r="AR32" i="8"/>
  <c r="AP32" i="8"/>
  <c r="AO32" i="8"/>
  <c r="AN32" i="8"/>
  <c r="AM32" i="8"/>
  <c r="AL32" i="8"/>
  <c r="AK32" i="8"/>
  <c r="AJ32" i="8"/>
  <c r="AI32" i="8"/>
  <c r="AH32" i="8"/>
  <c r="AG32" i="8"/>
  <c r="AF32" i="8"/>
  <c r="AE32" i="8"/>
  <c r="AC32" i="8"/>
  <c r="AB32" i="8"/>
  <c r="AA32" i="8"/>
  <c r="Z32" i="8"/>
  <c r="Y32" i="8"/>
  <c r="X32" i="8"/>
  <c r="W32" i="8"/>
  <c r="V32" i="8"/>
  <c r="U32" i="8"/>
  <c r="T32" i="8"/>
  <c r="S32" i="8"/>
  <c r="R32" i="8"/>
  <c r="P32" i="8"/>
  <c r="O32" i="8"/>
  <c r="N32" i="8"/>
  <c r="M32" i="8"/>
  <c r="L32" i="8"/>
  <c r="K32" i="8"/>
  <c r="J32" i="8"/>
  <c r="I32" i="8"/>
  <c r="H32" i="8"/>
  <c r="G32" i="8"/>
  <c r="F32" i="8"/>
  <c r="E32" i="8"/>
  <c r="P26" i="8"/>
  <c r="F26" i="8"/>
  <c r="F18" i="8" s="1"/>
  <c r="E26" i="8"/>
  <c r="E18" i="8" s="1"/>
  <c r="S25" i="8"/>
  <c r="R25" i="8"/>
  <c r="R26" i="8" s="1"/>
  <c r="R18" i="8" s="1"/>
  <c r="F25" i="8"/>
  <c r="G25" i="8" s="1"/>
  <c r="AZ20" i="8"/>
  <c r="AZ21" i="8" s="1"/>
  <c r="AI20" i="8"/>
  <c r="AI21" i="8" s="1"/>
  <c r="BP19" i="8"/>
  <c r="BO19" i="8"/>
  <c r="BN19" i="8"/>
  <c r="BM19" i="8"/>
  <c r="BL19" i="8"/>
  <c r="BK19" i="8"/>
  <c r="BJ19" i="8"/>
  <c r="BI19" i="8"/>
  <c r="BH19" i="8"/>
  <c r="BG19" i="8"/>
  <c r="BF19" i="8"/>
  <c r="BE19" i="8"/>
  <c r="BC19" i="8"/>
  <c r="BB19" i="8"/>
  <c r="BA19" i="8"/>
  <c r="AZ19" i="8"/>
  <c r="AY19" i="8"/>
  <c r="AX19" i="8"/>
  <c r="AW19" i="8"/>
  <c r="AV19" i="8"/>
  <c r="AU19" i="8"/>
  <c r="AT19" i="8"/>
  <c r="AS19" i="8"/>
  <c r="AR19" i="8"/>
  <c r="AP19" i="8"/>
  <c r="AO19" i="8"/>
  <c r="AN19" i="8"/>
  <c r="AM19" i="8"/>
  <c r="AL19" i="8"/>
  <c r="AK19" i="8"/>
  <c r="AJ19" i="8"/>
  <c r="AI19" i="8"/>
  <c r="AH19" i="8"/>
  <c r="AG19" i="8"/>
  <c r="AF19" i="8"/>
  <c r="AE19" i="8"/>
  <c r="AC19" i="8"/>
  <c r="AB19" i="8"/>
  <c r="AA19" i="8"/>
  <c r="Z19" i="8"/>
  <c r="Y19" i="8"/>
  <c r="X19" i="8"/>
  <c r="W19" i="8"/>
  <c r="V19" i="8"/>
  <c r="U19" i="8"/>
  <c r="T19" i="8"/>
  <c r="S19" i="8"/>
  <c r="R19" i="8"/>
  <c r="P19" i="8"/>
  <c r="O19" i="8"/>
  <c r="N19" i="8"/>
  <c r="M19" i="8"/>
  <c r="L19" i="8"/>
  <c r="K19" i="8"/>
  <c r="J19" i="8"/>
  <c r="I19" i="8"/>
  <c r="H19" i="8"/>
  <c r="G19" i="8"/>
  <c r="F19" i="8"/>
  <c r="E19" i="8"/>
  <c r="BP18" i="8"/>
  <c r="BO18" i="8"/>
  <c r="BN18" i="8"/>
  <c r="BM18" i="8"/>
  <c r="BL18" i="8"/>
  <c r="BK18" i="8"/>
  <c r="BJ18" i="8"/>
  <c r="BI18" i="8"/>
  <c r="BH18" i="8"/>
  <c r="BG18" i="8"/>
  <c r="BF18" i="8"/>
  <c r="BE18" i="8"/>
  <c r="BC18" i="8"/>
  <c r="BB18" i="8"/>
  <c r="BA18" i="8"/>
  <c r="AZ18" i="8"/>
  <c r="AY18" i="8"/>
  <c r="AX18" i="8"/>
  <c r="AW18" i="8"/>
  <c r="AV18" i="8"/>
  <c r="AU18" i="8"/>
  <c r="AT18" i="8"/>
  <c r="AS18" i="8"/>
  <c r="AR18" i="8"/>
  <c r="AP18" i="8"/>
  <c r="AO18" i="8"/>
  <c r="AN18" i="8"/>
  <c r="AM18" i="8"/>
  <c r="AL18" i="8"/>
  <c r="AK18" i="8"/>
  <c r="AJ18" i="8"/>
  <c r="AI18" i="8"/>
  <c r="AH18" i="8"/>
  <c r="AG18" i="8"/>
  <c r="AF18" i="8"/>
  <c r="AE18" i="8"/>
  <c r="P18" i="8"/>
  <c r="BP17" i="8"/>
  <c r="BO17" i="8"/>
  <c r="BN17" i="8"/>
  <c r="BM17" i="8"/>
  <c r="BL17" i="8"/>
  <c r="BK17" i="8"/>
  <c r="BJ17" i="8"/>
  <c r="BI17" i="8"/>
  <c r="BH17" i="8"/>
  <c r="BG17" i="8"/>
  <c r="BF17" i="8"/>
  <c r="BE17" i="8"/>
  <c r="BC17" i="8"/>
  <c r="BB17" i="8"/>
  <c r="BA17" i="8"/>
  <c r="AZ17" i="8"/>
  <c r="AY17" i="8"/>
  <c r="AX17" i="8"/>
  <c r="AW17" i="8"/>
  <c r="AV17" i="8"/>
  <c r="AU17" i="8"/>
  <c r="AT17" i="8"/>
  <c r="AS17" i="8"/>
  <c r="AR17" i="8"/>
  <c r="AP17" i="8"/>
  <c r="AO17" i="8"/>
  <c r="AN17" i="8"/>
  <c r="AM17" i="8"/>
  <c r="AL17" i="8"/>
  <c r="AK17" i="8"/>
  <c r="AJ17" i="8"/>
  <c r="AI17" i="8"/>
  <c r="AH17" i="8"/>
  <c r="AG17" i="8"/>
  <c r="AF17" i="8"/>
  <c r="AE17" i="8"/>
  <c r="P17" i="8"/>
  <c r="F17" i="8"/>
  <c r="E17" i="8"/>
  <c r="BP16" i="8"/>
  <c r="BO16" i="8"/>
  <c r="BN16" i="8"/>
  <c r="BM16" i="8"/>
  <c r="BL16" i="8"/>
  <c r="BK16" i="8"/>
  <c r="BJ16" i="8"/>
  <c r="BI16" i="8"/>
  <c r="BH16" i="8"/>
  <c r="BH20" i="8" s="1"/>
  <c r="BH21" i="8" s="1"/>
  <c r="BG16" i="8"/>
  <c r="BF16" i="8"/>
  <c r="BE16" i="8"/>
  <c r="BC16" i="8"/>
  <c r="BB16" i="8"/>
  <c r="BB20" i="8" s="1"/>
  <c r="BB21" i="8" s="1"/>
  <c r="BA16" i="8"/>
  <c r="BA20" i="8" s="1"/>
  <c r="BA21" i="8" s="1"/>
  <c r="AZ16" i="8"/>
  <c r="AY16" i="8"/>
  <c r="AX16" i="8"/>
  <c r="AW16" i="8"/>
  <c r="AV16" i="8"/>
  <c r="AU16" i="8"/>
  <c r="AT16" i="8"/>
  <c r="AS16" i="8"/>
  <c r="AR16" i="8"/>
  <c r="AP16" i="8"/>
  <c r="AO16" i="8"/>
  <c r="AN16" i="8"/>
  <c r="AM16" i="8"/>
  <c r="AL16" i="8"/>
  <c r="AK16" i="8"/>
  <c r="AK20" i="8" s="1"/>
  <c r="AK21" i="8" s="1"/>
  <c r="AJ16" i="8"/>
  <c r="AJ20" i="8" s="1"/>
  <c r="AJ21" i="8" s="1"/>
  <c r="AI16" i="8"/>
  <c r="AH16" i="8"/>
  <c r="AG16" i="8"/>
  <c r="AF16" i="8"/>
  <c r="AE16" i="8"/>
  <c r="AC16" i="8"/>
  <c r="AB16" i="8"/>
  <c r="AA16" i="8"/>
  <c r="Z16" i="8"/>
  <c r="Y16" i="8"/>
  <c r="X16" i="8"/>
  <c r="W16" i="8"/>
  <c r="V16" i="8"/>
  <c r="U16" i="8"/>
  <c r="T16" i="8"/>
  <c r="S16" i="8"/>
  <c r="R16" i="8"/>
  <c r="P16" i="8"/>
  <c r="O16" i="8"/>
  <c r="N16" i="8"/>
  <c r="M16" i="8"/>
  <c r="L16" i="8"/>
  <c r="K16" i="8"/>
  <c r="J16" i="8"/>
  <c r="I16" i="8"/>
  <c r="H16" i="8"/>
  <c r="G16" i="8"/>
  <c r="F16" i="8"/>
  <c r="E16" i="8"/>
  <c r="BP15" i="8"/>
  <c r="BO15" i="8"/>
  <c r="BN15" i="8"/>
  <c r="BM15" i="8"/>
  <c r="BL15" i="8"/>
  <c r="BK15" i="8"/>
  <c r="BJ15" i="8"/>
  <c r="BI15" i="8"/>
  <c r="BH15" i="8"/>
  <c r="BG15" i="8"/>
  <c r="BF15" i="8"/>
  <c r="BE15" i="8"/>
  <c r="BC15" i="8"/>
  <c r="BC20" i="8" s="1"/>
  <c r="BC21" i="8" s="1"/>
  <c r="BB15" i="8"/>
  <c r="BA15" i="8"/>
  <c r="AZ15" i="8"/>
  <c r="AY15" i="8"/>
  <c r="AX15" i="8"/>
  <c r="AW15" i="8"/>
  <c r="AV15" i="8"/>
  <c r="AU15" i="8"/>
  <c r="AT15" i="8"/>
  <c r="AS15" i="8"/>
  <c r="AR15" i="8"/>
  <c r="AP15" i="8"/>
  <c r="AO15" i="8"/>
  <c r="AN15" i="8"/>
  <c r="AM15" i="8"/>
  <c r="AL15" i="8"/>
  <c r="AL20" i="8" s="1"/>
  <c r="AL21" i="8" s="1"/>
  <c r="AK15" i="8"/>
  <c r="AJ15" i="8"/>
  <c r="AI15" i="8"/>
  <c r="AH15" i="8"/>
  <c r="AG15" i="8"/>
  <c r="AF15" i="8"/>
  <c r="AE15" i="8"/>
  <c r="AC15" i="8"/>
  <c r="AB15" i="8"/>
  <c r="AA15" i="8"/>
  <c r="Z15" i="8"/>
  <c r="Y15" i="8"/>
  <c r="X15" i="8"/>
  <c r="W15" i="8"/>
  <c r="V15" i="8"/>
  <c r="U15" i="8"/>
  <c r="T15" i="8"/>
  <c r="S15" i="8"/>
  <c r="R15" i="8"/>
  <c r="P15" i="8"/>
  <c r="O15" i="8"/>
  <c r="N15" i="8"/>
  <c r="M15" i="8"/>
  <c r="L15" i="8"/>
  <c r="K15" i="8"/>
  <c r="J15" i="8"/>
  <c r="I15" i="8"/>
  <c r="H15" i="8"/>
  <c r="G15" i="8"/>
  <c r="F15" i="8"/>
  <c r="E15" i="8"/>
  <c r="BP14" i="8"/>
  <c r="BP20" i="8" s="1"/>
  <c r="BP21" i="8" s="1"/>
  <c r="BO14" i="8"/>
  <c r="BO20" i="8" s="1"/>
  <c r="BO21" i="8" s="1"/>
  <c r="BN14" i="8"/>
  <c r="BN20" i="8" s="1"/>
  <c r="BN21" i="8" s="1"/>
  <c r="BM14" i="8"/>
  <c r="BM20" i="8" s="1"/>
  <c r="BM21" i="8" s="1"/>
  <c r="BL14" i="8"/>
  <c r="BK14" i="8"/>
  <c r="BK20" i="8" s="1"/>
  <c r="BK21" i="8" s="1"/>
  <c r="BJ14" i="8"/>
  <c r="BJ20" i="8" s="1"/>
  <c r="BJ21" i="8" s="1"/>
  <c r="BI14" i="8"/>
  <c r="BH14" i="8"/>
  <c r="BG14" i="8"/>
  <c r="BF14" i="8"/>
  <c r="BF20" i="8" s="1"/>
  <c r="BF21" i="8" s="1"/>
  <c r="BE14" i="8"/>
  <c r="BE20" i="8" s="1"/>
  <c r="BE21" i="8" s="1"/>
  <c r="BC14" i="8"/>
  <c r="BB14" i="8"/>
  <c r="BA14" i="8"/>
  <c r="AZ14" i="8"/>
  <c r="AY14" i="8"/>
  <c r="AY20" i="8" s="1"/>
  <c r="AY21" i="8" s="1"/>
  <c r="AX14" i="8"/>
  <c r="AX20" i="8" s="1"/>
  <c r="AX21" i="8" s="1"/>
  <c r="AW14" i="8"/>
  <c r="AW20" i="8" s="1"/>
  <c r="AW21" i="8" s="1"/>
  <c r="AV14" i="8"/>
  <c r="AV20" i="8" s="1"/>
  <c r="AV21" i="8" s="1"/>
  <c r="AU14" i="8"/>
  <c r="AT14" i="8"/>
  <c r="AT20" i="8" s="1"/>
  <c r="AT21" i="8" s="1"/>
  <c r="AS14" i="8"/>
  <c r="AS20" i="8" s="1"/>
  <c r="AS21" i="8" s="1"/>
  <c r="AR14" i="8"/>
  <c r="AP14" i="8"/>
  <c r="AP20" i="8" s="1"/>
  <c r="AP21" i="8" s="1"/>
  <c r="AO14" i="8"/>
  <c r="AN14" i="8"/>
  <c r="AN20" i="8" s="1"/>
  <c r="AN21" i="8" s="1"/>
  <c r="AM14" i="8"/>
  <c r="AM20" i="8" s="1"/>
  <c r="AM21" i="8" s="1"/>
  <c r="AL14" i="8"/>
  <c r="AK14" i="8"/>
  <c r="AJ14" i="8"/>
  <c r="AI14" i="8"/>
  <c r="AH14" i="8"/>
  <c r="AH20" i="8" s="1"/>
  <c r="AH21" i="8" s="1"/>
  <c r="AG14" i="8"/>
  <c r="AG20" i="8" s="1"/>
  <c r="AG21" i="8" s="1"/>
  <c r="AF14" i="8"/>
  <c r="AF20" i="8" s="1"/>
  <c r="AF21" i="8" s="1"/>
  <c r="AE14" i="8"/>
  <c r="AE20" i="8" s="1"/>
  <c r="AE21" i="8" s="1"/>
  <c r="AC14" i="8"/>
  <c r="AB14" i="8"/>
  <c r="AA14" i="8"/>
  <c r="Z14" i="8"/>
  <c r="Y14" i="8"/>
  <c r="X14" i="8"/>
  <c r="W14" i="8"/>
  <c r="V14" i="8"/>
  <c r="U14" i="8"/>
  <c r="T14" i="8"/>
  <c r="S14" i="8"/>
  <c r="R14" i="8"/>
  <c r="P14" i="8"/>
  <c r="P20" i="8" s="1"/>
  <c r="O14" i="8"/>
  <c r="N14" i="8"/>
  <c r="M14" i="8"/>
  <c r="L14" i="8"/>
  <c r="K14" i="8"/>
  <c r="J14" i="8"/>
  <c r="I14" i="8"/>
  <c r="H14" i="8"/>
  <c r="G14" i="8"/>
  <c r="F14" i="8"/>
  <c r="F20" i="8" s="1"/>
  <c r="E14" i="8"/>
  <c r="E20" i="8" s="1"/>
  <c r="D6" i="9" s="1"/>
  <c r="BL12" i="8"/>
  <c r="BK12" i="8"/>
  <c r="BF12" i="8"/>
  <c r="BE12" i="8"/>
  <c r="AU12" i="8"/>
  <c r="AT12" i="8"/>
  <c r="AN12" i="8"/>
  <c r="AM12" i="8"/>
  <c r="AB12" i="8"/>
  <c r="AF4" i="9" s="1"/>
  <c r="Y12" i="8"/>
  <c r="AC4" i="9" s="1"/>
  <c r="W12" i="8"/>
  <c r="AA4" i="9" s="1"/>
  <c r="V12" i="8"/>
  <c r="Z4" i="9" s="1"/>
  <c r="K12" i="8"/>
  <c r="J4" i="9" s="1"/>
  <c r="H12" i="8"/>
  <c r="G4" i="9" s="1"/>
  <c r="F12" i="8"/>
  <c r="E4" i="9" s="1"/>
  <c r="E12" i="8"/>
  <c r="D4" i="9" s="1"/>
  <c r="BP11" i="8"/>
  <c r="BO11" i="8"/>
  <c r="BN11" i="8"/>
  <c r="BM11" i="8"/>
  <c r="BL11" i="8"/>
  <c r="BK11" i="8"/>
  <c r="BJ11" i="8"/>
  <c r="BJ12" i="8" s="1"/>
  <c r="BI11" i="8"/>
  <c r="BI12" i="8" s="1"/>
  <c r="BH11" i="8"/>
  <c r="BH12" i="8" s="1"/>
  <c r="BG11" i="8"/>
  <c r="BG12" i="8" s="1"/>
  <c r="BF11" i="8"/>
  <c r="BE11" i="8"/>
  <c r="BC11" i="8"/>
  <c r="BC12" i="8" s="1"/>
  <c r="BB11" i="8"/>
  <c r="BA11" i="8"/>
  <c r="BA12" i="8" s="1"/>
  <c r="AZ11" i="8"/>
  <c r="AZ12" i="8" s="1"/>
  <c r="AY11" i="8"/>
  <c r="AX11" i="8"/>
  <c r="AW11" i="8"/>
  <c r="AV11" i="8"/>
  <c r="AU11" i="8"/>
  <c r="AT11" i="8"/>
  <c r="AS11" i="8"/>
  <c r="AS12" i="8" s="1"/>
  <c r="AR11" i="8"/>
  <c r="AR12" i="8" s="1"/>
  <c r="AP11" i="8"/>
  <c r="AP12" i="8" s="1"/>
  <c r="AO11" i="8"/>
  <c r="AO12" i="8" s="1"/>
  <c r="AN11" i="8"/>
  <c r="AM11" i="8"/>
  <c r="AL11" i="8"/>
  <c r="AL12" i="8" s="1"/>
  <c r="AK11" i="8"/>
  <c r="AJ11" i="8"/>
  <c r="AJ12" i="8" s="1"/>
  <c r="AI11" i="8"/>
  <c r="AI12" i="8" s="1"/>
  <c r="AH11" i="8"/>
  <c r="AG11" i="8"/>
  <c r="AF11" i="8"/>
  <c r="AE11" i="8"/>
  <c r="AC11" i="8"/>
  <c r="AB11" i="8"/>
  <c r="AA11" i="8"/>
  <c r="AA12" i="8" s="1"/>
  <c r="AE4" i="9" s="1"/>
  <c r="Z11" i="8"/>
  <c r="Z12" i="8" s="1"/>
  <c r="AD4" i="9" s="1"/>
  <c r="Y11" i="8"/>
  <c r="X11" i="8"/>
  <c r="X12" i="8" s="1"/>
  <c r="AB4" i="9" s="1"/>
  <c r="W11" i="8"/>
  <c r="V11" i="8"/>
  <c r="U11" i="8"/>
  <c r="U12" i="8" s="1"/>
  <c r="Y4" i="9" s="1"/>
  <c r="T11" i="8"/>
  <c r="S11" i="8"/>
  <c r="S12" i="8" s="1"/>
  <c r="W4" i="9" s="1"/>
  <c r="R11" i="8"/>
  <c r="R12" i="8" s="1"/>
  <c r="V4" i="9" s="1"/>
  <c r="P11" i="8"/>
  <c r="O11" i="8"/>
  <c r="N11" i="8"/>
  <c r="M11" i="8"/>
  <c r="L11" i="8"/>
  <c r="K11" i="8"/>
  <c r="J11" i="8"/>
  <c r="J12" i="8" s="1"/>
  <c r="I4" i="9" s="1"/>
  <c r="I11" i="8"/>
  <c r="I12" i="8" s="1"/>
  <c r="H4" i="9" s="1"/>
  <c r="H11" i="8"/>
  <c r="G11" i="8"/>
  <c r="G12" i="8" s="1"/>
  <c r="F4" i="9" s="1"/>
  <c r="F11" i="8"/>
  <c r="E11" i="8"/>
  <c r="BP8" i="8"/>
  <c r="BO8" i="8"/>
  <c r="BN8" i="8"/>
  <c r="BM8" i="8"/>
  <c r="BL8" i="8"/>
  <c r="BK8" i="8"/>
  <c r="BJ8" i="8"/>
  <c r="BI8" i="8"/>
  <c r="BH8" i="8"/>
  <c r="BG8" i="8"/>
  <c r="BF8" i="8"/>
  <c r="BE8" i="8"/>
  <c r="BC8" i="8"/>
  <c r="BB8" i="8"/>
  <c r="BA8" i="8"/>
  <c r="AZ8" i="8"/>
  <c r="AY8" i="8"/>
  <c r="AX8" i="8"/>
  <c r="AW8" i="8"/>
  <c r="AV8" i="8"/>
  <c r="AU8" i="8"/>
  <c r="AT8" i="8"/>
  <c r="AS8" i="8"/>
  <c r="AR8" i="8"/>
  <c r="AP8" i="8"/>
  <c r="AO8" i="8"/>
  <c r="AN8" i="8"/>
  <c r="AM8" i="8"/>
  <c r="AL8" i="8"/>
  <c r="AK8" i="8"/>
  <c r="AJ8" i="8"/>
  <c r="AI8" i="8"/>
  <c r="AH8" i="8"/>
  <c r="AG8" i="8"/>
  <c r="AF8" i="8"/>
  <c r="AE8" i="8"/>
  <c r="AC8" i="8"/>
  <c r="AC12" i="8" s="1"/>
  <c r="AG4" i="9" s="1"/>
  <c r="AB8" i="8"/>
  <c r="AA8" i="8"/>
  <c r="Z8" i="8"/>
  <c r="Y8" i="8"/>
  <c r="X8" i="8"/>
  <c r="W8" i="8"/>
  <c r="V8" i="8"/>
  <c r="U8" i="8"/>
  <c r="T8" i="8"/>
  <c r="S8" i="8"/>
  <c r="R8" i="8"/>
  <c r="P8" i="8"/>
  <c r="O8" i="8"/>
  <c r="N8" i="8"/>
  <c r="M8" i="8"/>
  <c r="L8" i="8"/>
  <c r="L12" i="8" s="1"/>
  <c r="K4" i="9" s="1"/>
  <c r="K8" i="8"/>
  <c r="J8" i="8"/>
  <c r="I8" i="8"/>
  <c r="H8" i="8"/>
  <c r="G8" i="8"/>
  <c r="F8" i="8"/>
  <c r="E8" i="8"/>
  <c r="D16" i="2"/>
  <c r="D9" i="2"/>
  <c r="E21" i="8" l="1"/>
  <c r="G26" i="8"/>
  <c r="G18" i="8" s="1"/>
  <c r="H25" i="8"/>
  <c r="E15" i="9"/>
  <c r="U54" i="8"/>
  <c r="V39" i="8"/>
  <c r="W39" i="8" s="1"/>
  <c r="X39" i="8" s="1"/>
  <c r="Y39" i="8" s="1"/>
  <c r="Z39" i="8" s="1"/>
  <c r="AA39" i="8" s="1"/>
  <c r="AB39" i="8" s="1"/>
  <c r="AC39" i="8" s="1"/>
  <c r="AU55" i="8"/>
  <c r="AU56" i="8" s="1"/>
  <c r="BL56" i="8"/>
  <c r="BL55" i="8"/>
  <c r="G14" i="9"/>
  <c r="AG55" i="8"/>
  <c r="AG56" i="8"/>
  <c r="AX55" i="8"/>
  <c r="AX56" i="8" s="1"/>
  <c r="BO55" i="8"/>
  <c r="BO56" i="8"/>
  <c r="V52" i="9"/>
  <c r="V51" i="9" s="1"/>
  <c r="AF56" i="8"/>
  <c r="T25" i="8"/>
  <c r="S26" i="8"/>
  <c r="S18" i="8" s="1"/>
  <c r="S17" i="8"/>
  <c r="X27" i="9"/>
  <c r="M12" i="8"/>
  <c r="L4" i="9" s="1"/>
  <c r="BM12" i="8"/>
  <c r="E6" i="9"/>
  <c r="E5" i="9" s="1"/>
  <c r="F21" i="8"/>
  <c r="BB56" i="8"/>
  <c r="AE12" i="8"/>
  <c r="AV12" i="8"/>
  <c r="N12" i="8"/>
  <c r="M4" i="9" s="1"/>
  <c r="AF12" i="8"/>
  <c r="AW12" i="8"/>
  <c r="BN12" i="8"/>
  <c r="AO20" i="8"/>
  <c r="AO21" i="8" s="1"/>
  <c r="BG20" i="8"/>
  <c r="BG21" i="8" s="1"/>
  <c r="O17" i="9"/>
  <c r="P56" i="8"/>
  <c r="F52" i="9"/>
  <c r="F51" i="9" s="1"/>
  <c r="O6" i="9"/>
  <c r="O5" i="9" s="1"/>
  <c r="P21" i="8"/>
  <c r="D5" i="9"/>
  <c r="O12" i="8"/>
  <c r="N4" i="9" s="1"/>
  <c r="AG12" i="8"/>
  <c r="AX12" i="8"/>
  <c r="BO12" i="8"/>
  <c r="J56" i="8"/>
  <c r="I17" i="9"/>
  <c r="G52" i="9"/>
  <c r="G51" i="9" s="1"/>
  <c r="P12" i="8"/>
  <c r="O4" i="9" s="1"/>
  <c r="AH12" i="8"/>
  <c r="AY12" i="8"/>
  <c r="BP12" i="8"/>
  <c r="AR20" i="8"/>
  <c r="AR21" i="8" s="1"/>
  <c r="BI20" i="8"/>
  <c r="BI21" i="8" s="1"/>
  <c r="H52" i="9"/>
  <c r="H51" i="9" s="1"/>
  <c r="H14" i="9"/>
  <c r="H15" i="9"/>
  <c r="S20" i="8"/>
  <c r="T38" i="8"/>
  <c r="T54" i="8" s="1"/>
  <c r="S54" i="8"/>
  <c r="L56" i="8"/>
  <c r="L55" i="8"/>
  <c r="K17" i="9" s="1"/>
  <c r="L52" i="9" s="1"/>
  <c r="L51" i="9" s="1"/>
  <c r="F15" i="9"/>
  <c r="I52" i="9"/>
  <c r="I51" i="9" s="1"/>
  <c r="G17" i="8"/>
  <c r="G20" i="8" s="1"/>
  <c r="V54" i="8"/>
  <c r="P9" i="9"/>
  <c r="Q9" i="9" s="1"/>
  <c r="J48" i="9"/>
  <c r="J52" i="9"/>
  <c r="J51" i="9" s="1"/>
  <c r="T12" i="8"/>
  <c r="X4" i="9" s="1"/>
  <c r="AK12" i="8"/>
  <c r="BB12" i="8"/>
  <c r="AU20" i="8"/>
  <c r="AU21" i="8" s="1"/>
  <c r="BL20" i="8"/>
  <c r="BL21" i="8" s="1"/>
  <c r="W54" i="8"/>
  <c r="T58" i="8"/>
  <c r="S62" i="8"/>
  <c r="W18" i="9" s="1"/>
  <c r="X54" i="9" s="1"/>
  <c r="P18" i="9"/>
  <c r="N16" i="9"/>
  <c r="N15" i="9" s="1"/>
  <c r="N14" i="9" s="1"/>
  <c r="O55" i="8"/>
  <c r="N17" i="9" s="1"/>
  <c r="K55" i="8"/>
  <c r="E27" i="9"/>
  <c r="AE35" i="9"/>
  <c r="AE62" i="9" s="1"/>
  <c r="AE57" i="9" s="1"/>
  <c r="AE70" i="9" s="1"/>
  <c r="R17" i="8"/>
  <c r="R20" i="8" s="1"/>
  <c r="X38" i="8"/>
  <c r="O15" i="9"/>
  <c r="O14" i="9" s="1"/>
  <c r="R62" i="8"/>
  <c r="V18" i="9" s="1"/>
  <c r="X31" i="9"/>
  <c r="Y32" i="9"/>
  <c r="Z32" i="9" s="1"/>
  <c r="AA32" i="9" s="1"/>
  <c r="AB32" i="9" s="1"/>
  <c r="AC32" i="9" s="1"/>
  <c r="AD32" i="9" s="1"/>
  <c r="AE32" i="9" s="1"/>
  <c r="AF32" i="9" s="1"/>
  <c r="AG32" i="9" s="1"/>
  <c r="AG35" i="9"/>
  <c r="N55" i="8"/>
  <c r="M17" i="9" s="1"/>
  <c r="AF55" i="8"/>
  <c r="AW55" i="8"/>
  <c r="AW56" i="8" s="1"/>
  <c r="BN55" i="8"/>
  <c r="BN56" i="8" s="1"/>
  <c r="AJ56" i="8"/>
  <c r="BA56" i="8"/>
  <c r="E52" i="9"/>
  <c r="E51" i="9" s="1"/>
  <c r="E56" i="8"/>
  <c r="AM56" i="8"/>
  <c r="BE56" i="8"/>
  <c r="D15" i="9"/>
  <c r="I16" i="9"/>
  <c r="Q35" i="9"/>
  <c r="L27" i="9"/>
  <c r="V35" i="9"/>
  <c r="V27" i="9" s="1"/>
  <c r="W53" i="9"/>
  <c r="M27" i="9"/>
  <c r="W35" i="9"/>
  <c r="W62" i="9" s="1"/>
  <c r="W57" i="9" s="1"/>
  <c r="W70" i="9" s="1"/>
  <c r="H56" i="8"/>
  <c r="AP56" i="8"/>
  <c r="BH56" i="8"/>
  <c r="G15" i="9"/>
  <c r="L16" i="9"/>
  <c r="L15" i="9" s="1"/>
  <c r="L14" i="9" s="1"/>
  <c r="V22" i="9"/>
  <c r="N27" i="9"/>
  <c r="X35" i="9"/>
  <c r="X62" i="9" s="1"/>
  <c r="X57" i="9" s="1"/>
  <c r="X70" i="9" s="1"/>
  <c r="W48" i="9"/>
  <c r="R54" i="8"/>
  <c r="I56" i="8"/>
  <c r="AR56" i="8"/>
  <c r="BI56" i="8"/>
  <c r="D14" i="9"/>
  <c r="M16" i="9"/>
  <c r="Y35" i="9"/>
  <c r="Y62" i="9" s="1"/>
  <c r="Y57" i="9" s="1"/>
  <c r="Y70" i="9" s="1"/>
  <c r="Z35" i="9"/>
  <c r="Z62" i="9" s="1"/>
  <c r="Z57" i="9" s="1"/>
  <c r="Z70" i="9" s="1"/>
  <c r="AA35" i="9"/>
  <c r="AA62" i="9" s="1"/>
  <c r="AA57" i="9" s="1"/>
  <c r="AA70" i="9" s="1"/>
  <c r="AH30" i="9"/>
  <c r="AB35" i="9"/>
  <c r="AC35" i="9"/>
  <c r="AC62" i="9" s="1"/>
  <c r="AC57" i="9" s="1"/>
  <c r="AC70" i="9" s="1"/>
  <c r="D27" i="9"/>
  <c r="P27" i="9" s="1"/>
  <c r="B7" i="3"/>
  <c r="F6" i="9" l="1"/>
  <c r="F5" i="9" s="1"/>
  <c r="G21" i="8"/>
  <c r="V6" i="9"/>
  <c r="R21" i="8"/>
  <c r="X53" i="9"/>
  <c r="Y31" i="9"/>
  <c r="W6" i="9"/>
  <c r="W5" i="9" s="1"/>
  <c r="S21" i="8"/>
  <c r="E3" i="9"/>
  <c r="E26" i="9" s="1"/>
  <c r="E36" i="9" s="1"/>
  <c r="G47" i="9"/>
  <c r="G46" i="9" s="1"/>
  <c r="G56" i="9" s="1"/>
  <c r="E47" i="9"/>
  <c r="E46" i="9" s="1"/>
  <c r="E56" i="9" s="1"/>
  <c r="E72" i="9" s="1"/>
  <c r="F45" i="9" s="1"/>
  <c r="F72" i="9" s="1"/>
  <c r="G45" i="9" s="1"/>
  <c r="G72" i="9" s="1"/>
  <c r="H45" i="9" s="1"/>
  <c r="Y38" i="8"/>
  <c r="X54" i="8"/>
  <c r="V55" i="8"/>
  <c r="Z17" i="9" s="1"/>
  <c r="V56" i="8"/>
  <c r="Z16" i="9"/>
  <c r="N56" i="8"/>
  <c r="W27" i="9"/>
  <c r="W55" i="8"/>
  <c r="AA17" i="9" s="1"/>
  <c r="AA16" i="9"/>
  <c r="K15" i="9"/>
  <c r="K14" i="9" s="1"/>
  <c r="H26" i="8"/>
  <c r="H18" i="8" s="1"/>
  <c r="I25" i="8"/>
  <c r="H17" i="8"/>
  <c r="W54" i="9"/>
  <c r="T62" i="8"/>
  <c r="X18" i="9" s="1"/>
  <c r="Y54" i="9" s="1"/>
  <c r="U58" i="8"/>
  <c r="K56" i="8"/>
  <c r="J17" i="9"/>
  <c r="D3" i="9"/>
  <c r="F47" i="9"/>
  <c r="F46" i="9" s="1"/>
  <c r="F56" i="9" s="1"/>
  <c r="D47" i="9"/>
  <c r="D46" i="9" s="1"/>
  <c r="D56" i="9" s="1"/>
  <c r="V21" i="9"/>
  <c r="AH21" i="9" s="1"/>
  <c r="AI21" i="9" s="1"/>
  <c r="AH22" i="9"/>
  <c r="AI22" i="9" s="1"/>
  <c r="M52" i="9"/>
  <c r="M51" i="9" s="1"/>
  <c r="I14" i="9"/>
  <c r="I15" i="9"/>
  <c r="U55" i="8"/>
  <c r="Y17" i="9" s="1"/>
  <c r="Y16" i="9"/>
  <c r="M15" i="9"/>
  <c r="M14" i="9" s="1"/>
  <c r="O3" i="9"/>
  <c r="O26" i="9" s="1"/>
  <c r="O36" i="9" s="1"/>
  <c r="O41" i="9" s="1"/>
  <c r="W47" i="9"/>
  <c r="W46" i="9" s="1"/>
  <c r="U25" i="8"/>
  <c r="T17" i="8"/>
  <c r="T26" i="8"/>
  <c r="T18" i="8" s="1"/>
  <c r="V16" i="9"/>
  <c r="R55" i="8"/>
  <c r="V17" i="9" s="1"/>
  <c r="R56" i="8"/>
  <c r="V62" i="9"/>
  <c r="V57" i="9" s="1"/>
  <c r="V70" i="9" s="1"/>
  <c r="AH35" i="9"/>
  <c r="AI35" i="9" s="1"/>
  <c r="P16" i="9"/>
  <c r="S55" i="8"/>
  <c r="W17" i="9" s="1"/>
  <c r="W16" i="9"/>
  <c r="O52" i="9"/>
  <c r="O51" i="9" s="1"/>
  <c r="N52" i="9"/>
  <c r="N51" i="9" s="1"/>
  <c r="O56" i="8"/>
  <c r="X16" i="9"/>
  <c r="T55" i="8"/>
  <c r="X17" i="9" s="1"/>
  <c r="AH32" i="9"/>
  <c r="D21" i="2"/>
  <c r="D19" i="2"/>
  <c r="E33" i="2" s="1"/>
  <c r="E17" i="2"/>
  <c r="E11" i="2"/>
  <c r="E6" i="2"/>
  <c r="H20" i="8" l="1"/>
  <c r="Z38" i="8"/>
  <c r="Y54" i="8"/>
  <c r="AB52" i="9"/>
  <c r="W56" i="8"/>
  <c r="Y53" i="9"/>
  <c r="Z31" i="9"/>
  <c r="Y27" i="9"/>
  <c r="V15" i="9"/>
  <c r="W52" i="9"/>
  <c r="W51" i="9" s="1"/>
  <c r="W56" i="9" s="1"/>
  <c r="V25" i="8"/>
  <c r="U26" i="8"/>
  <c r="U18" i="8" s="1"/>
  <c r="U17" i="8"/>
  <c r="U20" i="8" s="1"/>
  <c r="J15" i="9"/>
  <c r="P15" i="9" s="1"/>
  <c r="J14" i="9"/>
  <c r="P14" i="9" s="1"/>
  <c r="K52" i="9"/>
  <c r="K51" i="9" s="1"/>
  <c r="AA52" i="9"/>
  <c r="I26" i="8"/>
  <c r="I18" i="8" s="1"/>
  <c r="I17" i="8"/>
  <c r="J25" i="8"/>
  <c r="W3" i="9"/>
  <c r="Y47" i="9"/>
  <c r="Y46" i="9" s="1"/>
  <c r="D26" i="9"/>
  <c r="V5" i="9"/>
  <c r="T20" i="8"/>
  <c r="X14" i="9"/>
  <c r="Y52" i="9"/>
  <c r="Y51" i="9" s="1"/>
  <c r="X15" i="9"/>
  <c r="T56" i="8"/>
  <c r="V58" i="8"/>
  <c r="U62" i="8"/>
  <c r="Y18" i="9" s="1"/>
  <c r="Y14" i="9" s="1"/>
  <c r="U56" i="8"/>
  <c r="H47" i="9"/>
  <c r="H46" i="9" s="1"/>
  <c r="H56" i="9" s="1"/>
  <c r="H72" i="9" s="1"/>
  <c r="I45" i="9" s="1"/>
  <c r="F3" i="9"/>
  <c r="F26" i="9" s="1"/>
  <c r="F36" i="9" s="1"/>
  <c r="F41" i="9" s="1"/>
  <c r="W14" i="9"/>
  <c r="W15" i="9"/>
  <c r="X52" i="9"/>
  <c r="X51" i="9" s="1"/>
  <c r="Z52" i="9"/>
  <c r="S56" i="8"/>
  <c r="X55" i="8"/>
  <c r="AB17" i="9" s="1"/>
  <c r="AB16" i="9"/>
  <c r="P17" i="9"/>
  <c r="E35" i="2"/>
  <c r="C34" i="4" s="1"/>
  <c r="E12" i="2"/>
  <c r="B18" i="3"/>
  <c r="AC52" i="9" l="1"/>
  <c r="Z53" i="9"/>
  <c r="AA31" i="9"/>
  <c r="Z27" i="9"/>
  <c r="Y6" i="9"/>
  <c r="Y5" i="9" s="1"/>
  <c r="U21" i="8"/>
  <c r="W58" i="8"/>
  <c r="V62" i="8"/>
  <c r="Z18" i="9" s="1"/>
  <c r="Z51" i="9"/>
  <c r="Y55" i="8"/>
  <c r="AC17" i="9" s="1"/>
  <c r="Y56" i="8"/>
  <c r="AC16" i="9"/>
  <c r="X56" i="8"/>
  <c r="X6" i="9"/>
  <c r="T21" i="8"/>
  <c r="Y15" i="9"/>
  <c r="V3" i="9"/>
  <c r="X47" i="9"/>
  <c r="X46" i="9" s="1"/>
  <c r="X56" i="9" s="1"/>
  <c r="D36" i="9"/>
  <c r="W25" i="8"/>
  <c r="V26" i="8"/>
  <c r="V18" i="8" s="1"/>
  <c r="V17" i="8"/>
  <c r="AA38" i="8"/>
  <c r="Z54" i="8"/>
  <c r="Z54" i="9"/>
  <c r="Y56" i="9"/>
  <c r="G6" i="9"/>
  <c r="H21" i="8"/>
  <c r="W26" i="9"/>
  <c r="W36" i="9" s="1"/>
  <c r="W41" i="9" s="1"/>
  <c r="J17" i="8"/>
  <c r="K25" i="8"/>
  <c r="J26" i="8"/>
  <c r="J18" i="8" s="1"/>
  <c r="V14" i="9"/>
  <c r="I20" i="8"/>
  <c r="B30" i="4"/>
  <c r="B27" i="4"/>
  <c r="B15" i="4"/>
  <c r="B12" i="4"/>
  <c r="C7" i="4"/>
  <c r="B7" i="4"/>
  <c r="B27" i="3"/>
  <c r="B15" i="3"/>
  <c r="B12" i="3"/>
  <c r="C19" i="3" s="1"/>
  <c r="C7" i="3"/>
  <c r="E33" i="1"/>
  <c r="E17" i="1"/>
  <c r="E11" i="1"/>
  <c r="E6" i="1"/>
  <c r="W62" i="8" l="1"/>
  <c r="AA18" i="9" s="1"/>
  <c r="X58" i="8"/>
  <c r="AA53" i="9"/>
  <c r="AA51" i="9" s="1"/>
  <c r="AB31" i="9"/>
  <c r="AA27" i="9"/>
  <c r="K26" i="8"/>
  <c r="K18" i="8" s="1"/>
  <c r="K17" i="8"/>
  <c r="K20" i="8" s="1"/>
  <c r="L25" i="8"/>
  <c r="AA54" i="8"/>
  <c r="AB38" i="8"/>
  <c r="Y3" i="9"/>
  <c r="Y26" i="9" s="1"/>
  <c r="Y36" i="9" s="1"/>
  <c r="Y41" i="9" s="1"/>
  <c r="AA47" i="9"/>
  <c r="AA46" i="9" s="1"/>
  <c r="AA56" i="9" s="1"/>
  <c r="X5" i="9"/>
  <c r="Z55" i="8"/>
  <c r="AD17" i="9" s="1"/>
  <c r="Z56" i="8"/>
  <c r="AD16" i="9"/>
  <c r="J20" i="8"/>
  <c r="G5" i="9"/>
  <c r="V26" i="9"/>
  <c r="V20" i="8"/>
  <c r="AD52" i="9"/>
  <c r="I21" i="8"/>
  <c r="H6" i="9"/>
  <c r="H5" i="9" s="1"/>
  <c r="W17" i="8"/>
  <c r="X25" i="8"/>
  <c r="W26" i="8"/>
  <c r="W18" i="8" s="1"/>
  <c r="AA54" i="9"/>
  <c r="Z15" i="9"/>
  <c r="Z14" i="9"/>
  <c r="C19" i="4"/>
  <c r="D20" i="4" s="1"/>
  <c r="E12" i="1"/>
  <c r="E35" i="1"/>
  <c r="C34" i="3" s="1"/>
  <c r="D31" i="4"/>
  <c r="D20" i="3"/>
  <c r="B30" i="3"/>
  <c r="D31" i="3" s="1"/>
  <c r="Z6" i="9" l="1"/>
  <c r="V21" i="8"/>
  <c r="K21" i="8"/>
  <c r="J6" i="9"/>
  <c r="J5" i="9" s="1"/>
  <c r="L26" i="8"/>
  <c r="L18" i="8" s="1"/>
  <c r="L17" i="8"/>
  <c r="L20" i="8" s="1"/>
  <c r="M25" i="8"/>
  <c r="I47" i="9"/>
  <c r="I46" i="9" s="1"/>
  <c r="I56" i="9" s="1"/>
  <c r="I72" i="9" s="1"/>
  <c r="J45" i="9" s="1"/>
  <c r="J72" i="9" s="1"/>
  <c r="K45" i="9" s="1"/>
  <c r="G3" i="9"/>
  <c r="AB53" i="9"/>
  <c r="AB51" i="9" s="1"/>
  <c r="AC31" i="9"/>
  <c r="AB27" i="9"/>
  <c r="AA55" i="8"/>
  <c r="AE17" i="9" s="1"/>
  <c r="AE16" i="9"/>
  <c r="AE52" i="9"/>
  <c r="Y58" i="8"/>
  <c r="X62" i="8"/>
  <c r="AB18" i="9" s="1"/>
  <c r="V36" i="9"/>
  <c r="AB54" i="9"/>
  <c r="AA15" i="9"/>
  <c r="AA14" i="9"/>
  <c r="W20" i="8"/>
  <c r="AC38" i="8"/>
  <c r="AC54" i="8" s="1"/>
  <c r="AB54" i="8"/>
  <c r="J21" i="8"/>
  <c r="I6" i="9"/>
  <c r="X26" i="8"/>
  <c r="X18" i="8" s="1"/>
  <c r="Y25" i="8"/>
  <c r="X17" i="8"/>
  <c r="X20" i="8" s="1"/>
  <c r="J47" i="9"/>
  <c r="J46" i="9" s="1"/>
  <c r="J56" i="9" s="1"/>
  <c r="H3" i="9"/>
  <c r="H26" i="9" s="1"/>
  <c r="H36" i="9" s="1"/>
  <c r="H41" i="9" s="1"/>
  <c r="X3" i="9"/>
  <c r="Z47" i="9"/>
  <c r="Z46" i="9" s="1"/>
  <c r="Z56" i="9" s="1"/>
  <c r="D35" i="3"/>
  <c r="D36" i="3" s="1"/>
  <c r="C33" i="4"/>
  <c r="AG16" i="9" l="1"/>
  <c r="AC55" i="8"/>
  <c r="AG17" i="9" s="1"/>
  <c r="M26" i="8"/>
  <c r="M18" i="8" s="1"/>
  <c r="M17" i="8"/>
  <c r="M20" i="8" s="1"/>
  <c r="N25" i="8"/>
  <c r="K6" i="9"/>
  <c r="K5" i="9" s="1"/>
  <c r="L21" i="8"/>
  <c r="Z58" i="8"/>
  <c r="Y62" i="8"/>
  <c r="AC18" i="9" s="1"/>
  <c r="X26" i="9"/>
  <c r="L47" i="9"/>
  <c r="L46" i="9" s="1"/>
  <c r="L56" i="9" s="1"/>
  <c r="J3" i="9"/>
  <c r="J26" i="9" s="1"/>
  <c r="J36" i="9" s="1"/>
  <c r="J41" i="9" s="1"/>
  <c r="Y26" i="8"/>
  <c r="Y18" i="8" s="1"/>
  <c r="Z25" i="8"/>
  <c r="Y17" i="8"/>
  <c r="Y20" i="8" s="1"/>
  <c r="W21" i="8"/>
  <c r="AA6" i="9"/>
  <c r="AA5" i="9" s="1"/>
  <c r="V41" i="9"/>
  <c r="AC54" i="9"/>
  <c r="AB14" i="9"/>
  <c r="AB15" i="9"/>
  <c r="I5" i="9"/>
  <c r="AF52" i="9"/>
  <c r="Z5" i="9"/>
  <c r="AC53" i="9"/>
  <c r="AD31" i="9"/>
  <c r="AC27" i="9"/>
  <c r="G26" i="9"/>
  <c r="AB6" i="9"/>
  <c r="AB5" i="9" s="1"/>
  <c r="X21" i="8"/>
  <c r="AF16" i="9"/>
  <c r="AB55" i="8"/>
  <c r="AF17" i="9" s="1"/>
  <c r="AA56" i="8"/>
  <c r="D35" i="4"/>
  <c r="D36" i="4" s="1"/>
  <c r="K47" i="9" l="1"/>
  <c r="K46" i="9" s="1"/>
  <c r="K56" i="9" s="1"/>
  <c r="K72" i="9" s="1"/>
  <c r="L45" i="9" s="1"/>
  <c r="L72" i="9" s="1"/>
  <c r="M45" i="9" s="1"/>
  <c r="I3" i="9"/>
  <c r="X36" i="9"/>
  <c r="AG52" i="9"/>
  <c r="AD54" i="9"/>
  <c r="AC14" i="9"/>
  <c r="AC15" i="9"/>
  <c r="AB56" i="8"/>
  <c r="AA58" i="8"/>
  <c r="Z62" i="8"/>
  <c r="AD18" i="9" s="1"/>
  <c r="AD47" i="9"/>
  <c r="AD46" i="9" s="1"/>
  <c r="AD56" i="9" s="1"/>
  <c r="AB3" i="9"/>
  <c r="AB26" i="9" s="1"/>
  <c r="AB36" i="9" s="1"/>
  <c r="AB41" i="9" s="1"/>
  <c r="M47" i="9"/>
  <c r="M46" i="9" s="1"/>
  <c r="M56" i="9" s="1"/>
  <c r="K3" i="9"/>
  <c r="K26" i="9" s="1"/>
  <c r="K36" i="9" s="1"/>
  <c r="K41" i="9" s="1"/>
  <c r="N17" i="8"/>
  <c r="O25" i="8"/>
  <c r="N26" i="8"/>
  <c r="N18" i="8" s="1"/>
  <c r="G36" i="9"/>
  <c r="AC47" i="9"/>
  <c r="AC46" i="9" s="1"/>
  <c r="AC56" i="9" s="1"/>
  <c r="AA3" i="9"/>
  <c r="AA26" i="9" s="1"/>
  <c r="AA36" i="9" s="1"/>
  <c r="AA41" i="9" s="1"/>
  <c r="M21" i="8"/>
  <c r="L6" i="9"/>
  <c r="AD53" i="9"/>
  <c r="AD51" i="9" s="1"/>
  <c r="AE31" i="9"/>
  <c r="AD27" i="9"/>
  <c r="AC6" i="9"/>
  <c r="AC5" i="9" s="1"/>
  <c r="Y21" i="8"/>
  <c r="AH17" i="9"/>
  <c r="AC51" i="9"/>
  <c r="Z26" i="8"/>
  <c r="Z18" i="8" s="1"/>
  <c r="Z17" i="8"/>
  <c r="Z20" i="8" s="1"/>
  <c r="AA25" i="8"/>
  <c r="AH16" i="9"/>
  <c r="AC56" i="8"/>
  <c r="AB47" i="9"/>
  <c r="AB46" i="9" s="1"/>
  <c r="AB56" i="9" s="1"/>
  <c r="Z3" i="9"/>
  <c r="AE47" i="9" l="1"/>
  <c r="AE46" i="9" s="1"/>
  <c r="AC3" i="9"/>
  <c r="AC26" i="9" s="1"/>
  <c r="AC36" i="9" s="1"/>
  <c r="AC41" i="9" s="1"/>
  <c r="AB58" i="8"/>
  <c r="AA62" i="8"/>
  <c r="AE18" i="9" s="1"/>
  <c r="AE54" i="9"/>
  <c r="AD15" i="9"/>
  <c r="AD14" i="9"/>
  <c r="L5" i="9"/>
  <c r="AE53" i="9"/>
  <c r="AE51" i="9" s="1"/>
  <c r="AF31" i="9"/>
  <c r="AE27" i="9"/>
  <c r="G41" i="9"/>
  <c r="AA17" i="8"/>
  <c r="AA20" i="8" s="1"/>
  <c r="AA26" i="8"/>
  <c r="AA18" i="8" s="1"/>
  <c r="AB25" i="8"/>
  <c r="Z21" i="8"/>
  <c r="AD6" i="9"/>
  <c r="AD5" i="9" s="1"/>
  <c r="O17" i="8"/>
  <c r="O20" i="8" s="1"/>
  <c r="O26" i="8"/>
  <c r="O18" i="8" s="1"/>
  <c r="N20" i="8"/>
  <c r="X41" i="9"/>
  <c r="Z26" i="9"/>
  <c r="I26" i="9"/>
  <c r="M72" i="9"/>
  <c r="N45" i="9" s="1"/>
  <c r="Z36" i="9" l="1"/>
  <c r="AG31" i="9"/>
  <c r="AF53" i="9"/>
  <c r="AF27" i="9"/>
  <c r="N21" i="8"/>
  <c r="M6" i="9"/>
  <c r="M5" i="9" s="1"/>
  <c r="N47" i="9"/>
  <c r="N46" i="9" s="1"/>
  <c r="N56" i="9" s="1"/>
  <c r="L3" i="9"/>
  <c r="O21" i="8"/>
  <c r="N6" i="9"/>
  <c r="AF47" i="9"/>
  <c r="AF46" i="9" s="1"/>
  <c r="AD3" i="9"/>
  <c r="I36" i="9"/>
  <c r="AB26" i="8"/>
  <c r="AB18" i="8" s="1"/>
  <c r="AB17" i="8"/>
  <c r="AB20" i="8" s="1"/>
  <c r="AC25" i="8"/>
  <c r="AF54" i="9"/>
  <c r="AE15" i="9"/>
  <c r="AE14" i="9"/>
  <c r="AC58" i="8"/>
  <c r="AC62" i="8" s="1"/>
  <c r="AG18" i="9" s="1"/>
  <c r="AB62" i="8"/>
  <c r="AF18" i="9" s="1"/>
  <c r="AA21" i="8"/>
  <c r="AE6" i="9"/>
  <c r="AE5" i="9" s="1"/>
  <c r="N72" i="9"/>
  <c r="O45" i="9" s="1"/>
  <c r="AE56" i="9"/>
  <c r="AG47" i="9" l="1"/>
  <c r="AG46" i="9" s="1"/>
  <c r="AE3" i="9"/>
  <c r="AE26" i="9" s="1"/>
  <c r="AE36" i="9" s="1"/>
  <c r="AE41" i="9" s="1"/>
  <c r="L26" i="9"/>
  <c r="AD26" i="9"/>
  <c r="AG54" i="9"/>
  <c r="AF15" i="9"/>
  <c r="AF14" i="9"/>
  <c r="N5" i="9"/>
  <c r="P6" i="9"/>
  <c r="O47" i="9"/>
  <c r="O46" i="9" s="1"/>
  <c r="O56" i="9" s="1"/>
  <c r="O72" i="9" s="1"/>
  <c r="V45" i="9" s="1"/>
  <c r="M3" i="9"/>
  <c r="M26" i="9" s="1"/>
  <c r="M36" i="9" s="1"/>
  <c r="M41" i="9" s="1"/>
  <c r="AF51" i="9"/>
  <c r="AF56" i="9" s="1"/>
  <c r="AH18" i="9"/>
  <c r="AG15" i="9"/>
  <c r="AH15" i="9" s="1"/>
  <c r="AG14" i="9"/>
  <c r="AB21" i="8"/>
  <c r="AF6" i="9"/>
  <c r="AF5" i="9" s="1"/>
  <c r="AF3" i="9" s="1"/>
  <c r="AG53" i="9"/>
  <c r="AG27" i="9"/>
  <c r="AH27" i="9" s="1"/>
  <c r="AH31" i="9"/>
  <c r="I41" i="9"/>
  <c r="Z41" i="9"/>
  <c r="AC26" i="8"/>
  <c r="AC18" i="8" s="1"/>
  <c r="AC17" i="8"/>
  <c r="AD36" i="9" l="1"/>
  <c r="V47" i="9"/>
  <c r="V46" i="9" s="1"/>
  <c r="V56" i="9" s="1"/>
  <c r="V72" i="9" s="1"/>
  <c r="W45" i="9" s="1"/>
  <c r="W72" i="9" s="1"/>
  <c r="X45" i="9" s="1"/>
  <c r="X72" i="9" s="1"/>
  <c r="Y45" i="9" s="1"/>
  <c r="Y72" i="9" s="1"/>
  <c r="Z45" i="9" s="1"/>
  <c r="Z72" i="9" s="1"/>
  <c r="AA45" i="9" s="1"/>
  <c r="AA72" i="9" s="1"/>
  <c r="AB45" i="9" s="1"/>
  <c r="AB72" i="9" s="1"/>
  <c r="AC45" i="9" s="1"/>
  <c r="AC72" i="9" s="1"/>
  <c r="AD45" i="9" s="1"/>
  <c r="AD72" i="9" s="1"/>
  <c r="AE45" i="9" s="1"/>
  <c r="AE72" i="9" s="1"/>
  <c r="AF45" i="9" s="1"/>
  <c r="AF72" i="9" s="1"/>
  <c r="AG45" i="9" s="1"/>
  <c r="N3" i="9"/>
  <c r="P5" i="9"/>
  <c r="AF26" i="9"/>
  <c r="AF36" i="9" s="1"/>
  <c r="AF41" i="9" s="1"/>
  <c r="L36" i="9"/>
  <c r="AG51" i="9"/>
  <c r="AG56" i="9" s="1"/>
  <c r="AC20" i="8"/>
  <c r="AH14" i="9"/>
  <c r="N26" i="9" l="1"/>
  <c r="P3" i="9"/>
  <c r="AD41" i="9"/>
  <c r="Q5" i="9"/>
  <c r="L41" i="9"/>
  <c r="AG6" i="9"/>
  <c r="AC21" i="8"/>
  <c r="Q28" i="9" l="1"/>
  <c r="Q3" i="9"/>
  <c r="Q30" i="9"/>
  <c r="Q31" i="9"/>
  <c r="Q32" i="9"/>
  <c r="Q34" i="9"/>
  <c r="Q29" i="9"/>
  <c r="Q27" i="9"/>
  <c r="Q18" i="9"/>
  <c r="Q16" i="9"/>
  <c r="Q14" i="9"/>
  <c r="Q17" i="9"/>
  <c r="Q6" i="9"/>
  <c r="AG5" i="9"/>
  <c r="AH6" i="9"/>
  <c r="N36" i="9"/>
  <c r="P26" i="9"/>
  <c r="Q26" i="9" s="1"/>
  <c r="AG3" i="9" l="1"/>
  <c r="AH5" i="9"/>
  <c r="N41" i="9"/>
  <c r="P41" i="9" s="1"/>
  <c r="P36" i="9"/>
  <c r="Q36" i="9" s="1"/>
  <c r="Q41" i="9" l="1"/>
  <c r="P42" i="9"/>
  <c r="AG26" i="9"/>
  <c r="AH3" i="9"/>
  <c r="AG36" i="9" l="1"/>
  <c r="AH26" i="9"/>
  <c r="AI26" i="9" s="1"/>
  <c r="AI3" i="9"/>
  <c r="AI34" i="9"/>
  <c r="AI28" i="9"/>
  <c r="AI29" i="9"/>
  <c r="AI30" i="9"/>
  <c r="AI32" i="9"/>
  <c r="AI16" i="9"/>
  <c r="AI17" i="9"/>
  <c r="AI15" i="9"/>
  <c r="AI31" i="9"/>
  <c r="AI27" i="9"/>
  <c r="AI18" i="9"/>
  <c r="AI14" i="9"/>
  <c r="AI6" i="9"/>
  <c r="AI5" i="9"/>
  <c r="AG41" i="9" l="1"/>
  <c r="AH41" i="9" s="1"/>
  <c r="AH36" i="9"/>
  <c r="AI36" i="9" s="1"/>
  <c r="AH42" i="9" l="1"/>
  <c r="AG71" i="9" s="1"/>
  <c r="AG72" i="9" s="1"/>
  <c r="AI41" i="9"/>
</calcChain>
</file>

<file path=xl/sharedStrings.xml><?xml version="1.0" encoding="utf-8"?>
<sst xmlns="http://schemas.openxmlformats.org/spreadsheetml/2006/main" count="547" uniqueCount="309">
  <si>
    <t>科目</t>
    <rPh sb="0" eb="2">
      <t>カモク</t>
    </rPh>
    <phoneticPr fontId="3"/>
  </si>
  <si>
    <t>備考</t>
    <rPh sb="0" eb="2">
      <t>ビコウ</t>
    </rPh>
    <phoneticPr fontId="3"/>
  </si>
  <si>
    <t>就労支援活動による収支</t>
    <rPh sb="0" eb="2">
      <t>シュウロウ</t>
    </rPh>
    <rPh sb="2" eb="4">
      <t>シエン</t>
    </rPh>
    <rPh sb="4" eb="6">
      <t>カツドウ</t>
    </rPh>
    <rPh sb="9" eb="11">
      <t>シュウシ</t>
    </rPh>
    <phoneticPr fontId="3"/>
  </si>
  <si>
    <t>就労継続支援事業収入</t>
    <rPh sb="0" eb="2">
      <t>シュウロウ</t>
    </rPh>
    <rPh sb="2" eb="4">
      <t>ケイゾク</t>
    </rPh>
    <rPh sb="4" eb="6">
      <t>シエン</t>
    </rPh>
    <rPh sb="6" eb="8">
      <t>ジギョウ</t>
    </rPh>
    <rPh sb="8" eb="10">
      <t>シュウニュウ</t>
    </rPh>
    <phoneticPr fontId="3"/>
  </si>
  <si>
    <t>作業収入</t>
    <rPh sb="0" eb="2">
      <t>サギョウ</t>
    </rPh>
    <rPh sb="2" eb="4">
      <t>シュウニュウ</t>
    </rPh>
    <phoneticPr fontId="3"/>
  </si>
  <si>
    <t>収入計</t>
    <rPh sb="0" eb="2">
      <t>シュウニュウ</t>
    </rPh>
    <rPh sb="2" eb="3">
      <t>ケイ</t>
    </rPh>
    <phoneticPr fontId="3"/>
  </si>
  <si>
    <t>就労継続支援事業支出</t>
    <rPh sb="0" eb="2">
      <t>シュウロウ</t>
    </rPh>
    <rPh sb="2" eb="4">
      <t>ケイゾク</t>
    </rPh>
    <rPh sb="4" eb="6">
      <t>シエン</t>
    </rPh>
    <rPh sb="6" eb="8">
      <t>ジギョウ</t>
    </rPh>
    <rPh sb="8" eb="10">
      <t>シシュツ</t>
    </rPh>
    <phoneticPr fontId="3"/>
  </si>
  <si>
    <t>利用者給料</t>
    <rPh sb="0" eb="3">
      <t>リヨウシャ</t>
    </rPh>
    <rPh sb="3" eb="5">
      <t>キュウリョウ</t>
    </rPh>
    <phoneticPr fontId="3"/>
  </si>
  <si>
    <t>経費</t>
    <rPh sb="0" eb="2">
      <t>ケイヒ</t>
    </rPh>
    <phoneticPr fontId="3"/>
  </si>
  <si>
    <t>支出計</t>
    <rPh sb="0" eb="2">
      <t>シシュツ</t>
    </rPh>
    <rPh sb="2" eb="3">
      <t>ケイ</t>
    </rPh>
    <phoneticPr fontId="3"/>
  </si>
  <si>
    <t>収支差額</t>
    <rPh sb="0" eb="2">
      <t>シュウシ</t>
    </rPh>
    <rPh sb="2" eb="4">
      <t>サガク</t>
    </rPh>
    <phoneticPr fontId="3"/>
  </si>
  <si>
    <t>福祉事業活動による収支</t>
    <rPh sb="0" eb="2">
      <t>フクシ</t>
    </rPh>
    <rPh sb="2" eb="4">
      <t>ジギョウ</t>
    </rPh>
    <rPh sb="4" eb="6">
      <t>カツドウ</t>
    </rPh>
    <rPh sb="9" eb="11">
      <t>シュウシ</t>
    </rPh>
    <phoneticPr fontId="3"/>
  </si>
  <si>
    <t>訓練等給付費収入</t>
    <rPh sb="0" eb="2">
      <t>クンレン</t>
    </rPh>
    <rPh sb="2" eb="3">
      <t>ナド</t>
    </rPh>
    <rPh sb="3" eb="5">
      <t>キュウフ</t>
    </rPh>
    <rPh sb="5" eb="6">
      <t>ヒ</t>
    </rPh>
    <rPh sb="6" eb="8">
      <t>シュウニュウ</t>
    </rPh>
    <phoneticPr fontId="3"/>
  </si>
  <si>
    <t>管理費支出</t>
    <rPh sb="0" eb="2">
      <t>カンリ</t>
    </rPh>
    <rPh sb="2" eb="3">
      <t>ヒ</t>
    </rPh>
    <rPh sb="3" eb="5">
      <t>シシュツ</t>
    </rPh>
    <phoneticPr fontId="3"/>
  </si>
  <si>
    <t>人件費</t>
    <rPh sb="0" eb="3">
      <t>ジンケンヒ</t>
    </rPh>
    <phoneticPr fontId="3"/>
  </si>
  <si>
    <t>福利厚生費</t>
    <rPh sb="0" eb="2">
      <t>フクリ</t>
    </rPh>
    <rPh sb="2" eb="5">
      <t>コウセイヒ</t>
    </rPh>
    <phoneticPr fontId="3"/>
  </si>
  <si>
    <t>保険料</t>
    <rPh sb="0" eb="3">
      <t>ホケンリョウ</t>
    </rPh>
    <phoneticPr fontId="3"/>
  </si>
  <si>
    <t>損害賠償保険（収支により変動）</t>
    <rPh sb="0" eb="2">
      <t>ソンガイ</t>
    </rPh>
    <rPh sb="2" eb="4">
      <t>バイショウ</t>
    </rPh>
    <rPh sb="4" eb="6">
      <t>ホケン</t>
    </rPh>
    <rPh sb="7" eb="9">
      <t>シュウシ</t>
    </rPh>
    <rPh sb="12" eb="14">
      <t>ヘンドウ</t>
    </rPh>
    <phoneticPr fontId="3"/>
  </si>
  <si>
    <t>通信費</t>
    <rPh sb="0" eb="3">
      <t>ツウシンヒ</t>
    </rPh>
    <phoneticPr fontId="3"/>
  </si>
  <si>
    <t>賃借料</t>
    <rPh sb="0" eb="3">
      <t>チンシャクリョウ</t>
    </rPh>
    <phoneticPr fontId="3"/>
  </si>
  <si>
    <t>研修費</t>
    <rPh sb="0" eb="3">
      <t>ケンシュウヒ</t>
    </rPh>
    <phoneticPr fontId="3"/>
  </si>
  <si>
    <t>講習会など</t>
    <rPh sb="0" eb="3">
      <t>コウシュウカイ</t>
    </rPh>
    <phoneticPr fontId="3"/>
  </si>
  <si>
    <t>水道光熱費</t>
    <rPh sb="0" eb="2">
      <t>スイドウ</t>
    </rPh>
    <rPh sb="2" eb="5">
      <t>コウネツヒ</t>
    </rPh>
    <phoneticPr fontId="3"/>
  </si>
  <si>
    <t>消耗品費</t>
    <rPh sb="0" eb="2">
      <t>ショウモウ</t>
    </rPh>
    <rPh sb="2" eb="3">
      <t>ヒン</t>
    </rPh>
    <rPh sb="3" eb="4">
      <t>ヒ</t>
    </rPh>
    <phoneticPr fontId="3"/>
  </si>
  <si>
    <t>車両関連費</t>
    <rPh sb="0" eb="2">
      <t>シャリョウ</t>
    </rPh>
    <rPh sb="2" eb="4">
      <t>カンレン</t>
    </rPh>
    <rPh sb="4" eb="5">
      <t>ヒ</t>
    </rPh>
    <phoneticPr fontId="3"/>
  </si>
  <si>
    <t>修繕費</t>
    <rPh sb="0" eb="3">
      <t>シュウゼンヒ</t>
    </rPh>
    <phoneticPr fontId="3"/>
  </si>
  <si>
    <t>雑費</t>
    <rPh sb="0" eb="2">
      <t>ザッピ</t>
    </rPh>
    <phoneticPr fontId="3"/>
  </si>
  <si>
    <t>予備費</t>
    <rPh sb="0" eb="3">
      <t>ヨビヒ</t>
    </rPh>
    <phoneticPr fontId="3"/>
  </si>
  <si>
    <t>当期正味財産増減額</t>
    <rPh sb="0" eb="2">
      <t>トウキ</t>
    </rPh>
    <rPh sb="2" eb="4">
      <t>ショウミ</t>
    </rPh>
    <rPh sb="4" eb="6">
      <t>ザイサン</t>
    </rPh>
    <rPh sb="6" eb="9">
      <t>ゾウゲンガク</t>
    </rPh>
    <phoneticPr fontId="3"/>
  </si>
  <si>
    <t>貸借対照表　予算書</t>
    <rPh sb="0" eb="2">
      <t>タイシャク</t>
    </rPh>
    <rPh sb="2" eb="5">
      <t>タイショウヒョウ</t>
    </rPh>
    <rPh sb="6" eb="9">
      <t>ヨサンショ</t>
    </rPh>
    <phoneticPr fontId="3"/>
  </si>
  <si>
    <t>金額</t>
    <rPh sb="0" eb="2">
      <t>キンガク</t>
    </rPh>
    <phoneticPr fontId="3"/>
  </si>
  <si>
    <t>Ⅰ　資産の部</t>
    <rPh sb="2" eb="4">
      <t>シサン</t>
    </rPh>
    <rPh sb="5" eb="6">
      <t>ブ</t>
    </rPh>
    <phoneticPr fontId="3"/>
  </si>
  <si>
    <t>１．流動資産</t>
    <rPh sb="2" eb="4">
      <t>リュウドウ</t>
    </rPh>
    <rPh sb="4" eb="6">
      <t>シサン</t>
    </rPh>
    <phoneticPr fontId="3"/>
  </si>
  <si>
    <t>現金預金</t>
    <rPh sb="0" eb="2">
      <t>ゲンキン</t>
    </rPh>
    <rPh sb="2" eb="4">
      <t>ヨキン</t>
    </rPh>
    <phoneticPr fontId="3"/>
  </si>
  <si>
    <t>流動資産合計</t>
    <rPh sb="0" eb="2">
      <t>リュウドウ</t>
    </rPh>
    <rPh sb="2" eb="4">
      <t>シサン</t>
    </rPh>
    <rPh sb="4" eb="6">
      <t>ゴウケイ</t>
    </rPh>
    <phoneticPr fontId="3"/>
  </si>
  <si>
    <t>２．固定資産</t>
    <rPh sb="2" eb="4">
      <t>コテイ</t>
    </rPh>
    <rPh sb="4" eb="6">
      <t>シサン</t>
    </rPh>
    <phoneticPr fontId="3"/>
  </si>
  <si>
    <t>（１）有形固定資産</t>
    <rPh sb="3" eb="5">
      <t>ユウケイ</t>
    </rPh>
    <rPh sb="5" eb="7">
      <t>コテイ</t>
    </rPh>
    <rPh sb="7" eb="9">
      <t>シサン</t>
    </rPh>
    <phoneticPr fontId="3"/>
  </si>
  <si>
    <t>車両運搬具</t>
    <rPh sb="0" eb="2">
      <t>シャリョウ</t>
    </rPh>
    <rPh sb="2" eb="4">
      <t>ウンパン</t>
    </rPh>
    <rPh sb="4" eb="5">
      <t>グ</t>
    </rPh>
    <phoneticPr fontId="3"/>
  </si>
  <si>
    <t>備品等</t>
    <rPh sb="0" eb="2">
      <t>ビヒン</t>
    </rPh>
    <rPh sb="2" eb="3">
      <t>トウ</t>
    </rPh>
    <phoneticPr fontId="3"/>
  </si>
  <si>
    <t>有形固定資産合計</t>
    <rPh sb="6" eb="8">
      <t>ゴウケイ</t>
    </rPh>
    <phoneticPr fontId="3"/>
  </si>
  <si>
    <t>（２）無形固定資産計</t>
    <rPh sb="3" eb="5">
      <t>ムケイ</t>
    </rPh>
    <rPh sb="5" eb="7">
      <t>コテイ</t>
    </rPh>
    <rPh sb="7" eb="9">
      <t>シサン</t>
    </rPh>
    <rPh sb="9" eb="10">
      <t>ケイ</t>
    </rPh>
    <phoneticPr fontId="3"/>
  </si>
  <si>
    <t>ソフトウェア</t>
    <phoneticPr fontId="3"/>
  </si>
  <si>
    <t>無形固定資産合計</t>
    <rPh sb="0" eb="2">
      <t>ムケイ</t>
    </rPh>
    <rPh sb="2" eb="4">
      <t>コテイ</t>
    </rPh>
    <rPh sb="4" eb="6">
      <t>シサン</t>
    </rPh>
    <rPh sb="6" eb="8">
      <t>ゴウケイ</t>
    </rPh>
    <phoneticPr fontId="3"/>
  </si>
  <si>
    <t>（３）投資等その他の資産</t>
    <rPh sb="3" eb="5">
      <t>トウシ</t>
    </rPh>
    <rPh sb="5" eb="6">
      <t>トウ</t>
    </rPh>
    <rPh sb="8" eb="9">
      <t>ホカ</t>
    </rPh>
    <rPh sb="10" eb="12">
      <t>シサン</t>
    </rPh>
    <phoneticPr fontId="3"/>
  </si>
  <si>
    <t>敷金等</t>
    <rPh sb="0" eb="2">
      <t>シキキン</t>
    </rPh>
    <rPh sb="2" eb="3">
      <t>トウ</t>
    </rPh>
    <phoneticPr fontId="3"/>
  </si>
  <si>
    <t>投資等その他の資産計</t>
    <rPh sb="9" eb="10">
      <t>ケイ</t>
    </rPh>
    <phoneticPr fontId="3"/>
  </si>
  <si>
    <t>固定資産合計</t>
    <rPh sb="0" eb="2">
      <t>コテイ</t>
    </rPh>
    <rPh sb="2" eb="4">
      <t>シサン</t>
    </rPh>
    <rPh sb="4" eb="6">
      <t>ゴウケイ</t>
    </rPh>
    <phoneticPr fontId="3"/>
  </si>
  <si>
    <t xml:space="preserve"> 資産合計</t>
    <rPh sb="1" eb="3">
      <t>シサン</t>
    </rPh>
    <rPh sb="3" eb="5">
      <t>ゴウケイ</t>
    </rPh>
    <phoneticPr fontId="3"/>
  </si>
  <si>
    <t>Ⅱ　負債の部</t>
    <rPh sb="2" eb="4">
      <t>フサイ</t>
    </rPh>
    <rPh sb="5" eb="6">
      <t>ブ</t>
    </rPh>
    <phoneticPr fontId="3"/>
  </si>
  <si>
    <t>１．流動負債</t>
    <rPh sb="2" eb="4">
      <t>リュウドウ</t>
    </rPh>
    <rPh sb="4" eb="6">
      <t>フサイ</t>
    </rPh>
    <phoneticPr fontId="3"/>
  </si>
  <si>
    <t>未払金</t>
    <rPh sb="0" eb="2">
      <t>ミハラ</t>
    </rPh>
    <rPh sb="2" eb="3">
      <t>キン</t>
    </rPh>
    <phoneticPr fontId="3"/>
  </si>
  <si>
    <t>前受助成金</t>
    <rPh sb="0" eb="2">
      <t>マエウケ</t>
    </rPh>
    <rPh sb="2" eb="5">
      <t>ジョセイキン</t>
    </rPh>
    <phoneticPr fontId="3"/>
  </si>
  <si>
    <t>預り金</t>
    <rPh sb="0" eb="1">
      <t>アズカ</t>
    </rPh>
    <rPh sb="2" eb="3">
      <t>キン</t>
    </rPh>
    <phoneticPr fontId="3"/>
  </si>
  <si>
    <t>流動負債合計</t>
    <rPh sb="0" eb="2">
      <t>リュウドウ</t>
    </rPh>
    <rPh sb="2" eb="4">
      <t>フサイ</t>
    </rPh>
    <rPh sb="4" eb="6">
      <t>ゴウケイ</t>
    </rPh>
    <phoneticPr fontId="3"/>
  </si>
  <si>
    <t>２．固定負債</t>
    <rPh sb="2" eb="4">
      <t>コテイ</t>
    </rPh>
    <rPh sb="4" eb="6">
      <t>フサイ</t>
    </rPh>
    <phoneticPr fontId="3"/>
  </si>
  <si>
    <t>役員借入金</t>
    <rPh sb="0" eb="2">
      <t>ヤクイン</t>
    </rPh>
    <rPh sb="2" eb="4">
      <t>カリイレ</t>
    </rPh>
    <rPh sb="4" eb="5">
      <t>キン</t>
    </rPh>
    <phoneticPr fontId="3"/>
  </si>
  <si>
    <t>固定負債合計</t>
    <rPh sb="0" eb="2">
      <t>コテイ</t>
    </rPh>
    <rPh sb="2" eb="4">
      <t>フサイ</t>
    </rPh>
    <rPh sb="4" eb="6">
      <t>ゴウケイ</t>
    </rPh>
    <phoneticPr fontId="3"/>
  </si>
  <si>
    <t>　負債合計</t>
    <rPh sb="1" eb="3">
      <t>フサイ</t>
    </rPh>
    <rPh sb="3" eb="5">
      <t>ゴウケイ</t>
    </rPh>
    <phoneticPr fontId="3"/>
  </si>
  <si>
    <t>Ⅲ　正味財産の部</t>
    <rPh sb="2" eb="4">
      <t>ショウミ</t>
    </rPh>
    <rPh sb="4" eb="6">
      <t>ザイサン</t>
    </rPh>
    <rPh sb="7" eb="8">
      <t>ブ</t>
    </rPh>
    <phoneticPr fontId="3"/>
  </si>
  <si>
    <t>　前期繰越正味財産</t>
    <rPh sb="1" eb="3">
      <t>ゼンキ</t>
    </rPh>
    <rPh sb="3" eb="5">
      <t>クリコシ</t>
    </rPh>
    <rPh sb="5" eb="7">
      <t>ショウミ</t>
    </rPh>
    <rPh sb="7" eb="9">
      <t>ザイサン</t>
    </rPh>
    <phoneticPr fontId="3"/>
  </si>
  <si>
    <t>　当期正味財産増減額</t>
    <rPh sb="1" eb="3">
      <t>トウキ</t>
    </rPh>
    <rPh sb="3" eb="5">
      <t>ショウミ</t>
    </rPh>
    <rPh sb="5" eb="7">
      <t>ザイサン</t>
    </rPh>
    <rPh sb="7" eb="10">
      <t>ゾウゲンガク</t>
    </rPh>
    <phoneticPr fontId="3"/>
  </si>
  <si>
    <t>正味財産合計</t>
    <rPh sb="0" eb="2">
      <t>ショウミ</t>
    </rPh>
    <rPh sb="2" eb="4">
      <t>ザイサン</t>
    </rPh>
    <rPh sb="4" eb="6">
      <t>ゴウケイ</t>
    </rPh>
    <phoneticPr fontId="3"/>
  </si>
  <si>
    <t xml:space="preserve"> 負債及び正味財産合計</t>
    <rPh sb="1" eb="3">
      <t>フサイ</t>
    </rPh>
    <rPh sb="3" eb="4">
      <t>オヨ</t>
    </rPh>
    <rPh sb="5" eb="7">
      <t>ショウミ</t>
    </rPh>
    <rPh sb="7" eb="9">
      <t>ザイサン</t>
    </rPh>
    <rPh sb="9" eb="11">
      <t>ゴウケイ</t>
    </rPh>
    <phoneticPr fontId="3"/>
  </si>
  <si>
    <t>ソフトウェア</t>
    <phoneticPr fontId="3"/>
  </si>
  <si>
    <t>財　産　目　録</t>
    <rPh sb="0" eb="1">
      <t>ザイ</t>
    </rPh>
    <rPh sb="2" eb="3">
      <t>サン</t>
    </rPh>
    <rPh sb="4" eb="5">
      <t>メ</t>
    </rPh>
    <rPh sb="6" eb="7">
      <t>ロク</t>
    </rPh>
    <phoneticPr fontId="3"/>
  </si>
  <si>
    <t>サービスの種類　　　</t>
    <rPh sb="5" eb="7">
      <t>シュルイ</t>
    </rPh>
    <phoneticPr fontId="3"/>
  </si>
  <si>
    <t>（ 就労継続支援事業Ｂ型</t>
    <rPh sb="2" eb="4">
      <t>シュウロウ</t>
    </rPh>
    <rPh sb="4" eb="6">
      <t>ケイゾク</t>
    </rPh>
    <rPh sb="6" eb="8">
      <t>シエン</t>
    </rPh>
    <rPh sb="8" eb="10">
      <t>ジギョウ</t>
    </rPh>
    <rPh sb="11" eb="12">
      <t>ガタ</t>
    </rPh>
    <phoneticPr fontId="3"/>
  </si>
  <si>
    <t>）</t>
    <phoneticPr fontId="3"/>
  </si>
  <si>
    <t>事業所又は施設名</t>
    <rPh sb="0" eb="3">
      <t>ジギョウショ</t>
    </rPh>
    <rPh sb="3" eb="4">
      <t>マタ</t>
    </rPh>
    <rPh sb="5" eb="7">
      <t>シセツ</t>
    </rPh>
    <rPh sb="7" eb="8">
      <t>メイ</t>
    </rPh>
    <phoneticPr fontId="3"/>
  </si>
  <si>
    <t>円</t>
    <rPh sb="0" eb="1">
      <t>エン</t>
    </rPh>
    <phoneticPr fontId="3"/>
  </si>
  <si>
    <t>１　　基本財産（ 固定性項目 ）</t>
    <rPh sb="3" eb="5">
      <t>キホン</t>
    </rPh>
    <rPh sb="5" eb="7">
      <t>ザイサン</t>
    </rPh>
    <rPh sb="9" eb="11">
      <t>コテイ</t>
    </rPh>
    <rPh sb="11" eb="12">
      <t>セイ</t>
    </rPh>
    <rPh sb="12" eb="14">
      <t>コウモク</t>
    </rPh>
    <phoneticPr fontId="3"/>
  </si>
  <si>
    <t>（ 内　訳 ）</t>
    <rPh sb="2" eb="5">
      <t>ウチワケ</t>
    </rPh>
    <phoneticPr fontId="3"/>
  </si>
  <si>
    <t>（ １ ）</t>
    <phoneticPr fontId="3"/>
  </si>
  <si>
    <t>車両</t>
    <rPh sb="0" eb="2">
      <t>シャリョウ</t>
    </rPh>
    <phoneticPr fontId="3"/>
  </si>
  <si>
    <t>（ ２ ）</t>
    <phoneticPr fontId="3"/>
  </si>
  <si>
    <t>その他</t>
    <rPh sb="0" eb="3">
      <t>ソノタ</t>
    </rPh>
    <phoneticPr fontId="3"/>
  </si>
  <si>
    <t>０</t>
    <phoneticPr fontId="3"/>
  </si>
  <si>
    <t>２　　運用財産（ 流動性項目 ）</t>
    <rPh sb="3" eb="5">
      <t>ウンヨウ</t>
    </rPh>
    <rPh sb="5" eb="7">
      <t>ザイサン</t>
    </rPh>
    <rPh sb="9" eb="11">
      <t>リュウドウ</t>
    </rPh>
    <rPh sb="11" eb="12">
      <t>セイ</t>
    </rPh>
    <rPh sb="12" eb="14">
      <t>コウモク</t>
    </rPh>
    <phoneticPr fontId="3"/>
  </si>
  <si>
    <t>現金・預金</t>
    <rPh sb="0" eb="2">
      <t>ゲンキン</t>
    </rPh>
    <rPh sb="3" eb="5">
      <t>ヨキン</t>
    </rPh>
    <phoneticPr fontId="3"/>
  </si>
  <si>
    <t>有価証券</t>
    <rPh sb="0" eb="2">
      <t>ユウカ</t>
    </rPh>
    <rPh sb="2" eb="4">
      <t>ショウケン</t>
    </rPh>
    <phoneticPr fontId="3"/>
  </si>
  <si>
    <t>（ ３ ）</t>
    <phoneticPr fontId="3"/>
  </si>
  <si>
    <t>借入金等</t>
    <rPh sb="0" eb="3">
      <t>カリイレキン</t>
    </rPh>
    <rPh sb="3" eb="4">
      <t>ナド</t>
    </rPh>
    <phoneticPr fontId="3"/>
  </si>
  <si>
    <t>Ⅲ　差引正味財産</t>
    <rPh sb="2" eb="4">
      <t>サシヒキ</t>
    </rPh>
    <rPh sb="4" eb="6">
      <t>ショウミ</t>
    </rPh>
    <rPh sb="6" eb="8">
      <t>ザイサン</t>
    </rPh>
    <phoneticPr fontId="3"/>
  </si>
  <si>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3"/>
  </si>
  <si>
    <t>事　業　計　画　書</t>
    <rPh sb="0" eb="1">
      <t>コト</t>
    </rPh>
    <rPh sb="2" eb="3">
      <t>ギョウ</t>
    </rPh>
    <rPh sb="4" eb="5">
      <t>ケイ</t>
    </rPh>
    <rPh sb="6" eb="7">
      <t>ガ</t>
    </rPh>
    <rPh sb="8" eb="9">
      <t>ショ</t>
    </rPh>
    <phoneticPr fontId="3"/>
  </si>
  <si>
    <t>（ 就労継続支援事業（Ｂ型）</t>
    <rPh sb="2" eb="4">
      <t>シュウロウ</t>
    </rPh>
    <rPh sb="4" eb="6">
      <t>ケイゾク</t>
    </rPh>
    <rPh sb="6" eb="8">
      <t>シエン</t>
    </rPh>
    <rPh sb="8" eb="10">
      <t>ジギョウ</t>
    </rPh>
    <rPh sb="12" eb="13">
      <t>ガタ</t>
    </rPh>
    <phoneticPr fontId="3"/>
  </si>
  <si>
    <t>）</t>
    <phoneticPr fontId="3"/>
  </si>
  <si>
    <t>項目</t>
    <rPh sb="0" eb="2">
      <t>コウモク</t>
    </rPh>
    <phoneticPr fontId="3"/>
  </si>
  <si>
    <t>内容</t>
    <rPh sb="0" eb="2">
      <t>ナイヨウ</t>
    </rPh>
    <phoneticPr fontId="3"/>
  </si>
  <si>
    <t>1　事業の内容</t>
    <rPh sb="2" eb="4">
      <t>ジギョウ</t>
    </rPh>
    <rPh sb="5" eb="7">
      <t>ナイヨウ</t>
    </rPh>
    <phoneticPr fontId="3"/>
  </si>
  <si>
    <t>２　事業実施の予定時期</t>
    <rPh sb="2" eb="4">
      <t>ジギョウ</t>
    </rPh>
    <rPh sb="4" eb="6">
      <t>ジッシ</t>
    </rPh>
    <rPh sb="7" eb="9">
      <t>ヨテイ</t>
    </rPh>
    <rPh sb="9" eb="11">
      <t>ジキ</t>
    </rPh>
    <phoneticPr fontId="3"/>
  </si>
  <si>
    <t>３　従業者等の予定人員</t>
    <rPh sb="2" eb="5">
      <t>ジュウギョウシャ</t>
    </rPh>
    <rPh sb="5" eb="6">
      <t>トウ</t>
    </rPh>
    <rPh sb="7" eb="9">
      <t>ヨテイ</t>
    </rPh>
    <rPh sb="9" eb="11">
      <t>ジンイン</t>
    </rPh>
    <phoneticPr fontId="3"/>
  </si>
  <si>
    <t>（１）</t>
    <phoneticPr fontId="3"/>
  </si>
  <si>
    <t xml:space="preserve"> 管理者　1名</t>
    <rPh sb="1" eb="4">
      <t>カンリシャ</t>
    </rPh>
    <rPh sb="6" eb="7">
      <t>メイ</t>
    </rPh>
    <phoneticPr fontId="3"/>
  </si>
  <si>
    <t>（２）</t>
  </si>
  <si>
    <t>（３）</t>
  </si>
  <si>
    <t xml:space="preserve"> 従業者　　　３名</t>
    <rPh sb="1" eb="4">
      <t>ジュウギョウシャ</t>
    </rPh>
    <rPh sb="8" eb="9">
      <t>メイ</t>
    </rPh>
    <phoneticPr fontId="3"/>
  </si>
  <si>
    <t xml:space="preserve"> （うち、常勤職員３名）</t>
    <rPh sb="5" eb="7">
      <t>ジョウキン</t>
    </rPh>
    <rPh sb="7" eb="9">
      <t>ショクイン</t>
    </rPh>
    <rPh sb="10" eb="11">
      <t>メイ</t>
    </rPh>
    <phoneticPr fontId="3"/>
  </si>
  <si>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3"/>
  </si>
  <si>
    <t xml:space="preserve"> 利用者の推定数</t>
    <rPh sb="1" eb="4">
      <t>リヨウシャ</t>
    </rPh>
    <rPh sb="5" eb="8">
      <t>スイテイスウ</t>
    </rPh>
    <phoneticPr fontId="3"/>
  </si>
  <si>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3"/>
  </si>
  <si>
    <t>２０名</t>
    <rPh sb="2" eb="3">
      <t>メイ</t>
    </rPh>
    <phoneticPr fontId="3"/>
  </si>
  <si>
    <t>（２）</t>
    <phoneticPr fontId="3"/>
  </si>
  <si>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3"/>
  </si>
  <si>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3"/>
  </si>
  <si>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3"/>
  </si>
  <si>
    <t>0</t>
    <phoneticPr fontId="3"/>
  </si>
  <si>
    <t>　上記財産目録に相違ないことを誓います。</t>
    <rPh sb="1" eb="3">
      <t>ジョウキ</t>
    </rPh>
    <rPh sb="3" eb="5">
      <t>ザイサン</t>
    </rPh>
    <rPh sb="5" eb="7">
      <t>モクロク</t>
    </rPh>
    <rPh sb="8" eb="10">
      <t>ソウイ</t>
    </rPh>
    <rPh sb="15" eb="16">
      <t>チカ</t>
    </rPh>
    <phoneticPr fontId="3"/>
  </si>
  <si>
    <t>　　一般社団法人チャレンジド尾道</t>
    <rPh sb="2" eb="4">
      <t>イッパン</t>
    </rPh>
    <rPh sb="4" eb="6">
      <t>シャダン</t>
    </rPh>
    <rPh sb="6" eb="8">
      <t>ホウジン</t>
    </rPh>
    <rPh sb="14" eb="16">
      <t>オノミチ</t>
    </rPh>
    <phoneticPr fontId="3"/>
  </si>
  <si>
    <t>　　　代表理事　藤原照國</t>
    <rPh sb="3" eb="5">
      <t>ダイヒョウ</t>
    </rPh>
    <rPh sb="5" eb="7">
      <t>リジ</t>
    </rPh>
    <rPh sb="8" eb="10">
      <t>フジワラ</t>
    </rPh>
    <rPh sb="10" eb="11">
      <t>テラシ</t>
    </rPh>
    <rPh sb="11" eb="12">
      <t>クニ</t>
    </rPh>
    <phoneticPr fontId="3"/>
  </si>
  <si>
    <t xml:space="preserve">カイト今治
事業計画
及び
資産状況
</t>
    <rPh sb="3" eb="5">
      <t>イマバリ</t>
    </rPh>
    <rPh sb="6" eb="8">
      <t>ジギョウ</t>
    </rPh>
    <rPh sb="8" eb="10">
      <t>ケイカク</t>
    </rPh>
    <rPh sb="11" eb="12">
      <t>オヨ</t>
    </rPh>
    <rPh sb="14" eb="16">
      <t>シサン</t>
    </rPh>
    <rPh sb="16" eb="18">
      <t>ジョウキョウ</t>
    </rPh>
    <phoneticPr fontId="3"/>
  </si>
  <si>
    <t>９０％</t>
    <phoneticPr fontId="3"/>
  </si>
  <si>
    <t>１０％</t>
    <phoneticPr fontId="3"/>
  </si>
  <si>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（１２）送迎サービス
（１３）施設外支援の実施
（１４）施設外就労の実施
（１５）前各号に掲げる便宜に附帯する便宜
（２）から（１４）に附帯するその他必要な介護、訓練、支援、相談、助言。
</t>
    <phoneticPr fontId="3"/>
  </si>
  <si>
    <t>他消耗品</t>
    <rPh sb="0" eb="1">
      <t>ホカ</t>
    </rPh>
    <rPh sb="1" eb="3">
      <t>ショウモウ</t>
    </rPh>
    <rPh sb="3" eb="4">
      <t>ヒン</t>
    </rPh>
    <phoneticPr fontId="3"/>
  </si>
  <si>
    <t>管理者・サービス管理責任者　20万円/月×12ヶ月</t>
    <rPh sb="0" eb="3">
      <t>カンリシャ</t>
    </rPh>
    <rPh sb="8" eb="10">
      <t>カンリ</t>
    </rPh>
    <rPh sb="10" eb="12">
      <t>セキニン</t>
    </rPh>
    <rPh sb="12" eb="13">
      <t>シャ</t>
    </rPh>
    <rPh sb="16" eb="18">
      <t>マンエン</t>
    </rPh>
    <rPh sb="19" eb="20">
      <t>ツキ</t>
    </rPh>
    <phoneticPr fontId="3"/>
  </si>
  <si>
    <t>電話・インターネット・携帯電話等）2万円/月×12ヶ月</t>
    <rPh sb="0" eb="2">
      <t>デンワ</t>
    </rPh>
    <rPh sb="11" eb="13">
      <t>ケイタイ</t>
    </rPh>
    <rPh sb="13" eb="15">
      <t>デンワ</t>
    </rPh>
    <rPh sb="15" eb="16">
      <t>トウ</t>
    </rPh>
    <rPh sb="18" eb="20">
      <t>マンエン</t>
    </rPh>
    <rPh sb="21" eb="22">
      <t>ツキ</t>
    </rPh>
    <phoneticPr fontId="3"/>
  </si>
  <si>
    <t>電気ガス水道10万円/月×12ヶ月</t>
    <rPh sb="0" eb="2">
      <t>デンキ</t>
    </rPh>
    <rPh sb="4" eb="6">
      <t>スイドウ</t>
    </rPh>
    <rPh sb="8" eb="10">
      <t>マンエン</t>
    </rPh>
    <rPh sb="11" eb="12">
      <t>ツキ</t>
    </rPh>
    <phoneticPr fontId="3"/>
  </si>
  <si>
    <t>事務用品等2万円/月×12ヶ月</t>
    <rPh sb="0" eb="2">
      <t>ジム</t>
    </rPh>
    <rPh sb="2" eb="4">
      <t>ヨウヒン</t>
    </rPh>
    <rPh sb="4" eb="5">
      <t>トウ</t>
    </rPh>
    <rPh sb="6" eb="8">
      <t>マンエン</t>
    </rPh>
    <phoneticPr fontId="3"/>
  </si>
  <si>
    <t>燃料等10万円/月×12ヶ月</t>
    <rPh sb="0" eb="2">
      <t>ネンリョウ</t>
    </rPh>
    <rPh sb="2" eb="3">
      <t>トウ</t>
    </rPh>
    <phoneticPr fontId="3"/>
  </si>
  <si>
    <t>建物修理等1万円/月×12ヶ月</t>
    <rPh sb="0" eb="2">
      <t>タテモノ</t>
    </rPh>
    <rPh sb="2" eb="4">
      <t>シュウリ</t>
    </rPh>
    <rPh sb="4" eb="5">
      <t>トウ</t>
    </rPh>
    <rPh sb="6" eb="8">
      <t>マンエン</t>
    </rPh>
    <phoneticPr fontId="3"/>
  </si>
  <si>
    <t>2万円/月×12ヶ月</t>
  </si>
  <si>
    <t>1万円/月×12ヶ月</t>
  </si>
  <si>
    <t>平成29年4月1日から平成30年3月31日</t>
    <rPh sb="0" eb="2">
      <t>ヘイセイ</t>
    </rPh>
    <rPh sb="4" eb="5">
      <t>ネン</t>
    </rPh>
    <rPh sb="6" eb="7">
      <t>ガツ</t>
    </rPh>
    <rPh sb="8" eb="9">
      <t>ニチ</t>
    </rPh>
    <rPh sb="11" eb="13">
      <t>ヘイセイ</t>
    </rPh>
    <rPh sb="15" eb="16">
      <t>ネン</t>
    </rPh>
    <rPh sb="17" eb="18">
      <t>ガツ</t>
    </rPh>
    <rPh sb="20" eb="21">
      <t>ニチ</t>
    </rPh>
    <phoneticPr fontId="3"/>
  </si>
  <si>
    <t>支援員100万円/月×12ヶ月</t>
    <rPh sb="0" eb="2">
      <t>シエン</t>
    </rPh>
    <rPh sb="2" eb="3">
      <t>イン</t>
    </rPh>
    <rPh sb="6" eb="8">
      <t>マンエン</t>
    </rPh>
    <rPh sb="9" eb="10">
      <t>ツキ</t>
    </rPh>
    <phoneticPr fontId="3"/>
  </si>
  <si>
    <t>社会保険・健康診断等24万円/月×12ヶ月</t>
    <rPh sb="0" eb="2">
      <t>シャカイ</t>
    </rPh>
    <rPh sb="2" eb="4">
      <t>ホケン</t>
    </rPh>
    <rPh sb="5" eb="7">
      <t>ケンコウ</t>
    </rPh>
    <rPh sb="7" eb="9">
      <t>シンダン</t>
    </rPh>
    <rPh sb="9" eb="10">
      <t>トウ</t>
    </rPh>
    <rPh sb="12" eb="14">
      <t>マンエン</t>
    </rPh>
    <rPh sb="15" eb="16">
      <t>ツキ</t>
    </rPh>
    <phoneticPr fontId="3"/>
  </si>
  <si>
    <t xml:space="preserve"> サービス管理責任者　１名（管理者と兼務）</t>
    <rPh sb="5" eb="7">
      <t>カンリ</t>
    </rPh>
    <rPh sb="7" eb="10">
      <t>セキニンシャ</t>
    </rPh>
    <rPh sb="12" eb="13">
      <t>メイ</t>
    </rPh>
    <rPh sb="14" eb="17">
      <t>カンリシャ</t>
    </rPh>
    <rPh sb="18" eb="20">
      <t>ケンム</t>
    </rPh>
    <phoneticPr fontId="3"/>
  </si>
  <si>
    <t>平成28年10月26日</t>
    <rPh sb="0" eb="2">
      <t>ヘイセイ</t>
    </rPh>
    <rPh sb="4" eb="5">
      <t>ネン</t>
    </rPh>
    <rPh sb="7" eb="8">
      <t>ガツ</t>
    </rPh>
    <rPh sb="10" eb="11">
      <t>ニチ</t>
    </rPh>
    <phoneticPr fontId="3"/>
  </si>
  <si>
    <t>平成29年3月1日</t>
    <rPh sb="0" eb="2">
      <t>ヘイセイ</t>
    </rPh>
    <rPh sb="4" eb="5">
      <t>ネン</t>
    </rPh>
    <rPh sb="6" eb="7">
      <t>ガツ</t>
    </rPh>
    <rPh sb="8" eb="9">
      <t>ニチ</t>
    </rPh>
    <phoneticPr fontId="3"/>
  </si>
  <si>
    <t>＜笠岡市＞</t>
    <rPh sb="1" eb="3">
      <t>カサオカ</t>
    </rPh>
    <rPh sb="3" eb="4">
      <t>シ</t>
    </rPh>
    <phoneticPr fontId="3"/>
  </si>
  <si>
    <t>＜福山市＞</t>
    <rPh sb="1" eb="3">
      <t>フクヤマ</t>
    </rPh>
    <rPh sb="3" eb="4">
      <t>シ</t>
    </rPh>
    <phoneticPr fontId="3"/>
  </si>
  <si>
    <t>就労業務としては、パソコンを使ったデータ入力業務、地域新聞作成業務、慰労演劇業務、畑作支援業務を準備している。</t>
    <rPh sb="0" eb="2">
      <t>シュウロウ</t>
    </rPh>
    <rPh sb="2" eb="4">
      <t>ギョウム</t>
    </rPh>
    <rPh sb="14" eb="15">
      <t>ツカ</t>
    </rPh>
    <rPh sb="20" eb="22">
      <t>ニュウリョク</t>
    </rPh>
    <rPh sb="22" eb="24">
      <t>ギョウム</t>
    </rPh>
    <rPh sb="25" eb="27">
      <t>チイキ</t>
    </rPh>
    <rPh sb="27" eb="29">
      <t>シンブン</t>
    </rPh>
    <rPh sb="29" eb="31">
      <t>サクセイ</t>
    </rPh>
    <rPh sb="31" eb="33">
      <t>ギョウム</t>
    </rPh>
    <rPh sb="34" eb="36">
      <t>イロウ</t>
    </rPh>
    <rPh sb="36" eb="38">
      <t>エンゲキ</t>
    </rPh>
    <rPh sb="38" eb="40">
      <t>ギョウム</t>
    </rPh>
    <rPh sb="41" eb="43">
      <t>ハタサク</t>
    </rPh>
    <rPh sb="43" eb="45">
      <t>シエン</t>
    </rPh>
    <rPh sb="45" eb="47">
      <t>ギョウム</t>
    </rPh>
    <rPh sb="48" eb="50">
      <t>ジュンビ</t>
    </rPh>
    <phoneticPr fontId="3"/>
  </si>
  <si>
    <t>１，５００，０００</t>
    <phoneticPr fontId="3"/>
  </si>
  <si>
    <t>平成29年度収支予算書</t>
    <rPh sb="0" eb="2">
      <t>ヘイセイ</t>
    </rPh>
    <rPh sb="4" eb="6">
      <t>ネンド</t>
    </rPh>
    <rPh sb="6" eb="8">
      <t>シュウシ</t>
    </rPh>
    <rPh sb="8" eb="11">
      <t>ヨサンショ</t>
    </rPh>
    <phoneticPr fontId="3"/>
  </si>
  <si>
    <t>利用者１2名×日給500円×21日×1ヶ月</t>
    <rPh sb="0" eb="3">
      <t>リヨウシャ</t>
    </rPh>
    <rPh sb="5" eb="6">
      <t>メイ</t>
    </rPh>
    <rPh sb="7" eb="9">
      <t>ニッキュウ</t>
    </rPh>
    <rPh sb="12" eb="13">
      <t>エン</t>
    </rPh>
    <rPh sb="16" eb="17">
      <t>ニチ</t>
    </rPh>
    <phoneticPr fontId="3"/>
  </si>
  <si>
    <t>利用者16名×日給1,000円×21日×12ヶ月</t>
    <rPh sb="0" eb="3">
      <t>リヨウシャ</t>
    </rPh>
    <rPh sb="5" eb="6">
      <t>メイ</t>
    </rPh>
    <rPh sb="7" eb="9">
      <t>ニッキュウ</t>
    </rPh>
    <rPh sb="14" eb="15">
      <t>エン</t>
    </rPh>
    <rPh sb="18" eb="19">
      <t>ニチ</t>
    </rPh>
    <phoneticPr fontId="3"/>
  </si>
  <si>
    <t>データ入力等</t>
    <rPh sb="3" eb="5">
      <t>ニュウリョク</t>
    </rPh>
    <rPh sb="5" eb="6">
      <t>トウ</t>
    </rPh>
    <phoneticPr fontId="3"/>
  </si>
  <si>
    <t>16人×5,850円×21日×12ヶ月</t>
    <rPh sb="2" eb="3">
      <t>ニン</t>
    </rPh>
    <rPh sb="9" eb="10">
      <t>エン</t>
    </rPh>
    <rPh sb="13" eb="14">
      <t>ニチ</t>
    </rPh>
    <phoneticPr fontId="3"/>
  </si>
  <si>
    <t>家賃2万円/月×12ヶ月</t>
    <rPh sb="0" eb="2">
      <t>ヤチン</t>
    </rPh>
    <rPh sb="3" eb="5">
      <t>マンエン</t>
    </rPh>
    <rPh sb="6" eb="7">
      <t>ツキ</t>
    </rPh>
    <phoneticPr fontId="3"/>
  </si>
  <si>
    <t>（シェル</t>
    <phoneticPr fontId="3"/>
  </si>
  <si>
    <t>（ シェル</t>
    <phoneticPr fontId="3"/>
  </si>
  <si>
    <t>パソコン入力業務等</t>
    <rPh sb="4" eb="6">
      <t>ニュウリョク</t>
    </rPh>
    <rPh sb="6" eb="8">
      <t>ギョウム</t>
    </rPh>
    <rPh sb="8" eb="9">
      <t>トウ</t>
    </rPh>
    <phoneticPr fontId="3"/>
  </si>
  <si>
    <t>令和３年</t>
    <rPh sb="0" eb="2">
      <t>レイワ</t>
    </rPh>
    <rPh sb="3" eb="4">
      <t>ネン</t>
    </rPh>
    <phoneticPr fontId="12"/>
  </si>
  <si>
    <t>令和4年</t>
    <rPh sb="0" eb="2">
      <t>レイワ</t>
    </rPh>
    <rPh sb="3" eb="4">
      <t>ネン</t>
    </rPh>
    <phoneticPr fontId="12"/>
  </si>
  <si>
    <t>令和４年</t>
    <rPh sb="0" eb="2">
      <t>レイワ</t>
    </rPh>
    <rPh sb="3" eb="4">
      <t>ネン</t>
    </rPh>
    <phoneticPr fontId="12"/>
  </si>
  <si>
    <t>令和５年</t>
    <rPh sb="0" eb="2">
      <t>レイワ</t>
    </rPh>
    <rPh sb="3" eb="4">
      <t>ネン</t>
    </rPh>
    <phoneticPr fontId="12"/>
  </si>
  <si>
    <t>令和６年</t>
    <rPh sb="0" eb="2">
      <t>レイワ</t>
    </rPh>
    <rPh sb="3" eb="4">
      <t>ネン</t>
    </rPh>
    <phoneticPr fontId="12"/>
  </si>
  <si>
    <t>令和７年</t>
    <rPh sb="0" eb="2">
      <t>レイワ</t>
    </rPh>
    <rPh sb="3" eb="4">
      <t>ネン</t>
    </rPh>
    <phoneticPr fontId="12"/>
  </si>
  <si>
    <t>４月</t>
    <rPh sb="1" eb="2">
      <t>ガツ</t>
    </rPh>
    <phoneticPr fontId="12"/>
  </si>
  <si>
    <t>５月</t>
  </si>
  <si>
    <t>６月</t>
  </si>
  <si>
    <t>７月</t>
  </si>
  <si>
    <t>８月</t>
  </si>
  <si>
    <t>９月</t>
  </si>
  <si>
    <t>１０月</t>
  </si>
  <si>
    <t>１１月</t>
  </si>
  <si>
    <t>１２月</t>
  </si>
  <si>
    <t>１月</t>
  </si>
  <si>
    <t>２月</t>
  </si>
  <si>
    <t>３月</t>
  </si>
  <si>
    <t>1月</t>
    <rPh sb="1" eb="2">
      <t>ガツ</t>
    </rPh>
    <phoneticPr fontId="12"/>
  </si>
  <si>
    <t>2月</t>
  </si>
  <si>
    <t>3月</t>
  </si>
  <si>
    <t>4月</t>
  </si>
  <si>
    <t>5月</t>
  </si>
  <si>
    <t>6月</t>
  </si>
  <si>
    <t>7月</t>
  </si>
  <si>
    <t>8月</t>
  </si>
  <si>
    <t>9月</t>
  </si>
  <si>
    <t>10月</t>
  </si>
  <si>
    <t>11月</t>
  </si>
  <si>
    <t>12月</t>
  </si>
  <si>
    <t>稼働日</t>
    <rPh sb="0" eb="3">
      <t>カドウビ</t>
    </rPh>
    <phoneticPr fontId="12"/>
  </si>
  <si>
    <t>稼働率</t>
    <rPh sb="0" eb="2">
      <t>カドウ</t>
    </rPh>
    <rPh sb="2" eb="3">
      <t>リツ</t>
    </rPh>
    <phoneticPr fontId="12"/>
  </si>
  <si>
    <t>就労B利用者数</t>
    <rPh sb="0" eb="2">
      <t>シュウロウ</t>
    </rPh>
    <rPh sb="3" eb="6">
      <t>リヨウシャ</t>
    </rPh>
    <rPh sb="6" eb="7">
      <t>スウ</t>
    </rPh>
    <phoneticPr fontId="12"/>
  </si>
  <si>
    <t>就労B施設外利用者数</t>
    <rPh sb="3" eb="6">
      <t>シセツガイ</t>
    </rPh>
    <rPh sb="6" eb="9">
      <t>リヨウシャ</t>
    </rPh>
    <rPh sb="9" eb="10">
      <t>スウ</t>
    </rPh>
    <phoneticPr fontId="12"/>
  </si>
  <si>
    <t>B合計</t>
    <rPh sb="1" eb="3">
      <t>ゴウケイ</t>
    </rPh>
    <phoneticPr fontId="12"/>
  </si>
  <si>
    <t>就労移行利用者数</t>
    <rPh sb="0" eb="2">
      <t>シュウロウ</t>
    </rPh>
    <rPh sb="2" eb="4">
      <t>イコウ</t>
    </rPh>
    <rPh sb="4" eb="6">
      <t>リヨウ</t>
    </rPh>
    <rPh sb="6" eb="7">
      <t>シャ</t>
    </rPh>
    <rPh sb="7" eb="8">
      <t>スウ</t>
    </rPh>
    <phoneticPr fontId="12"/>
  </si>
  <si>
    <t>就労移行施設外利用者数</t>
    <rPh sb="2" eb="4">
      <t>イコウ</t>
    </rPh>
    <rPh sb="4" eb="7">
      <t>シセツガイ</t>
    </rPh>
    <rPh sb="7" eb="9">
      <t>リヨウ</t>
    </rPh>
    <rPh sb="9" eb="10">
      <t>シャ</t>
    </rPh>
    <rPh sb="10" eb="11">
      <t>スウ</t>
    </rPh>
    <phoneticPr fontId="12"/>
  </si>
  <si>
    <t>移行合計</t>
    <rPh sb="0" eb="2">
      <t>イコウ</t>
    </rPh>
    <rPh sb="2" eb="4">
      <t>ゴウケイ</t>
    </rPh>
    <phoneticPr fontId="12"/>
  </si>
  <si>
    <t>合計人数</t>
    <rPh sb="0" eb="2">
      <t>ゴウケイ</t>
    </rPh>
    <rPh sb="2" eb="4">
      <t>ニンズウ</t>
    </rPh>
    <phoneticPr fontId="12"/>
  </si>
  <si>
    <t>B通常給付金</t>
    <rPh sb="1" eb="3">
      <t>ツウジョウ</t>
    </rPh>
    <rPh sb="3" eb="6">
      <t>キュウフキン</t>
    </rPh>
    <phoneticPr fontId="12"/>
  </si>
  <si>
    <t>B施設外給付金</t>
    <rPh sb="1" eb="4">
      <t>シセツガイ</t>
    </rPh>
    <rPh sb="4" eb="7">
      <t>キュウフキン</t>
    </rPh>
    <phoneticPr fontId="12"/>
  </si>
  <si>
    <t>B加算</t>
    <rPh sb="1" eb="3">
      <t>カサン</t>
    </rPh>
    <phoneticPr fontId="12"/>
  </si>
  <si>
    <t>移行通常給付金</t>
    <rPh sb="0" eb="2">
      <t>イコウ</t>
    </rPh>
    <rPh sb="2" eb="4">
      <t>ツウジョウ</t>
    </rPh>
    <rPh sb="4" eb="7">
      <t>キュウフキン</t>
    </rPh>
    <phoneticPr fontId="12"/>
  </si>
  <si>
    <t>移行施設外給付金</t>
    <rPh sb="0" eb="2">
      <t>イコウ</t>
    </rPh>
    <rPh sb="2" eb="5">
      <t>シセツガイ</t>
    </rPh>
    <rPh sb="5" eb="8">
      <t>キュウフキン</t>
    </rPh>
    <phoneticPr fontId="12"/>
  </si>
  <si>
    <t>移行加算</t>
    <rPh sb="0" eb="2">
      <t>イコウ</t>
    </rPh>
    <rPh sb="2" eb="4">
      <t>カサン</t>
    </rPh>
    <phoneticPr fontId="12"/>
  </si>
  <si>
    <t>給付費合計</t>
    <rPh sb="0" eb="2">
      <t>キュウフ</t>
    </rPh>
    <rPh sb="2" eb="3">
      <t>ヒ</t>
    </rPh>
    <rPh sb="3" eb="5">
      <t>ゴウケイ</t>
    </rPh>
    <phoneticPr fontId="12"/>
  </si>
  <si>
    <t>給付費合計（千円）</t>
    <rPh sb="0" eb="2">
      <t>キュウフ</t>
    </rPh>
    <rPh sb="2" eb="3">
      <t>ヒ</t>
    </rPh>
    <rPh sb="3" eb="5">
      <t>ゴウケイ</t>
    </rPh>
    <rPh sb="6" eb="8">
      <t>センエン</t>
    </rPh>
    <phoneticPr fontId="12"/>
  </si>
  <si>
    <t>B基本報酬</t>
    <rPh sb="1" eb="3">
      <t>キホン</t>
    </rPh>
    <rPh sb="3" eb="5">
      <t>ホウシュウ</t>
    </rPh>
    <phoneticPr fontId="12"/>
  </si>
  <si>
    <t>B施設外基本報酬</t>
    <rPh sb="1" eb="4">
      <t>シセツガイ</t>
    </rPh>
    <rPh sb="4" eb="6">
      <t>キホン</t>
    </rPh>
    <rPh sb="6" eb="8">
      <t>ホウシュウ</t>
    </rPh>
    <phoneticPr fontId="12"/>
  </si>
  <si>
    <t>移行基本報酬</t>
    <rPh sb="0" eb="2">
      <t>イコウ</t>
    </rPh>
    <rPh sb="2" eb="4">
      <t>キホン</t>
    </rPh>
    <rPh sb="4" eb="6">
      <t>ホウシュウ</t>
    </rPh>
    <phoneticPr fontId="12"/>
  </si>
  <si>
    <t>移行施設外基本報酬</t>
    <rPh sb="0" eb="2">
      <t>イコウ</t>
    </rPh>
    <rPh sb="2" eb="5">
      <t>シセツガイ</t>
    </rPh>
    <rPh sb="5" eb="7">
      <t>キホン</t>
    </rPh>
    <rPh sb="7" eb="9">
      <t>ホウシュウ</t>
    </rPh>
    <phoneticPr fontId="12"/>
  </si>
  <si>
    <t>目標工賃達成指導員加算</t>
    <rPh sb="0" eb="9">
      <t>モクヒョウコウチンタッセイシドウイン</t>
    </rPh>
    <rPh sb="9" eb="11">
      <t>カサン</t>
    </rPh>
    <phoneticPr fontId="12"/>
  </si>
  <si>
    <t>送迎加算</t>
    <rPh sb="0" eb="2">
      <t>ソウゲイ</t>
    </rPh>
    <rPh sb="2" eb="4">
      <t>カサン</t>
    </rPh>
    <phoneticPr fontId="12"/>
  </si>
  <si>
    <t>B人員配置</t>
    <rPh sb="1" eb="3">
      <t>ジンイン</t>
    </rPh>
    <rPh sb="3" eb="5">
      <t>ハイチ</t>
    </rPh>
    <phoneticPr fontId="12"/>
  </si>
  <si>
    <t>B人工賃向上・施設外</t>
    <rPh sb="1" eb="2">
      <t>ヒト</t>
    </rPh>
    <rPh sb="2" eb="4">
      <t>コウチン</t>
    </rPh>
    <rPh sb="4" eb="6">
      <t>コウジョウ</t>
    </rPh>
    <rPh sb="7" eb="10">
      <t>シセツガイ</t>
    </rPh>
    <phoneticPr fontId="12"/>
  </si>
  <si>
    <t>移行人員配置</t>
    <rPh sb="0" eb="2">
      <t>イコウ</t>
    </rPh>
    <rPh sb="2" eb="4">
      <t>ジンイン</t>
    </rPh>
    <rPh sb="4" eb="6">
      <t>ハイチ</t>
    </rPh>
    <phoneticPr fontId="12"/>
  </si>
  <si>
    <t>移行就労支援員配置</t>
    <rPh sb="0" eb="2">
      <t>イコウ</t>
    </rPh>
    <rPh sb="2" eb="4">
      <t>シュウロウ</t>
    </rPh>
    <rPh sb="4" eb="6">
      <t>シエン</t>
    </rPh>
    <rPh sb="6" eb="7">
      <t>イン</t>
    </rPh>
    <rPh sb="7" eb="9">
      <t>ハイチ</t>
    </rPh>
    <phoneticPr fontId="12"/>
  </si>
  <si>
    <t>移行施設外支援配置</t>
    <rPh sb="0" eb="2">
      <t>イコウ</t>
    </rPh>
    <rPh sb="2" eb="5">
      <t>シセツガイ</t>
    </rPh>
    <rPh sb="5" eb="7">
      <t>シエン</t>
    </rPh>
    <rPh sb="7" eb="9">
      <t>ハイチ</t>
    </rPh>
    <phoneticPr fontId="12"/>
  </si>
  <si>
    <t>管理者　山﨑</t>
    <rPh sb="0" eb="3">
      <t>カンリシャ</t>
    </rPh>
    <rPh sb="4" eb="6">
      <t>ヤマサキ</t>
    </rPh>
    <phoneticPr fontId="12"/>
  </si>
  <si>
    <t>サビ管　田中　⇒　山内（１２月）</t>
    <rPh sb="2" eb="3">
      <t>カン</t>
    </rPh>
    <rPh sb="4" eb="6">
      <t>タナカ</t>
    </rPh>
    <rPh sb="9" eb="11">
      <t>ヤマウチ</t>
    </rPh>
    <rPh sb="14" eb="15">
      <t>ガツ</t>
    </rPh>
    <phoneticPr fontId="12"/>
  </si>
  <si>
    <t>職業指導員　　渡邊</t>
    <rPh sb="0" eb="2">
      <t>ショクギョウ</t>
    </rPh>
    <rPh sb="2" eb="5">
      <t>シドウイン</t>
    </rPh>
    <rPh sb="7" eb="9">
      <t>ワタナベ</t>
    </rPh>
    <phoneticPr fontId="12"/>
  </si>
  <si>
    <t>職業指導員　　村上</t>
    <rPh sb="0" eb="5">
      <t>ショクギョウシドウイン</t>
    </rPh>
    <rPh sb="7" eb="9">
      <t>ムラカミ</t>
    </rPh>
    <phoneticPr fontId="12"/>
  </si>
  <si>
    <t>生活支援員　　山内ノ</t>
    <rPh sb="0" eb="5">
      <t>セイカツシエンイン</t>
    </rPh>
    <rPh sb="7" eb="9">
      <t>ヤマウチ</t>
    </rPh>
    <phoneticPr fontId="12"/>
  </si>
  <si>
    <t>就労支援員　　山内ユ</t>
    <rPh sb="0" eb="5">
      <t>シュウロウシエンイン</t>
    </rPh>
    <rPh sb="7" eb="9">
      <t>ヤマウチ</t>
    </rPh>
    <phoneticPr fontId="12"/>
  </si>
  <si>
    <t>就労支援員　　住吉</t>
    <rPh sb="0" eb="5">
      <t>シュウロウシエンイン</t>
    </rPh>
    <rPh sb="7" eb="9">
      <t>スミヨシ</t>
    </rPh>
    <phoneticPr fontId="12"/>
  </si>
  <si>
    <t>就労支援員　　山内チ（役員報酬）</t>
    <rPh sb="0" eb="5">
      <t>シュウロウシエンイン</t>
    </rPh>
    <rPh sb="7" eb="9">
      <t>ヤマウチ</t>
    </rPh>
    <phoneticPr fontId="12"/>
  </si>
  <si>
    <t>生活支援員等</t>
    <rPh sb="0" eb="6">
      <t>セイカツシエンイントウ</t>
    </rPh>
    <phoneticPr fontId="12"/>
  </si>
  <si>
    <t>就労支援員</t>
    <rPh sb="0" eb="5">
      <t>シュウロウシエンイン</t>
    </rPh>
    <phoneticPr fontId="12"/>
  </si>
  <si>
    <t>講師</t>
    <rPh sb="0" eb="2">
      <t>コウシ</t>
    </rPh>
    <phoneticPr fontId="12"/>
  </si>
  <si>
    <t>賞与</t>
    <rPh sb="0" eb="2">
      <t>ショウヨ</t>
    </rPh>
    <phoneticPr fontId="12"/>
  </si>
  <si>
    <t>人件費合計</t>
    <rPh sb="0" eb="3">
      <t>ジンケンヒ</t>
    </rPh>
    <rPh sb="3" eb="5">
      <t>ゴウケイ</t>
    </rPh>
    <phoneticPr fontId="12"/>
  </si>
  <si>
    <t>社会保険</t>
    <rPh sb="0" eb="2">
      <t>シャカイ</t>
    </rPh>
    <rPh sb="2" eb="4">
      <t>ホケン</t>
    </rPh>
    <phoneticPr fontId="12"/>
  </si>
  <si>
    <t>人件費総計</t>
    <rPh sb="0" eb="3">
      <t>ジンケンヒ</t>
    </rPh>
    <rPh sb="3" eb="5">
      <t>ソウケイ</t>
    </rPh>
    <phoneticPr fontId="12"/>
  </si>
  <si>
    <t>家賃</t>
    <rPh sb="0" eb="2">
      <t>ヤチン</t>
    </rPh>
    <phoneticPr fontId="12"/>
  </si>
  <si>
    <t>通信・光熱費</t>
    <rPh sb="0" eb="2">
      <t>ツウシン</t>
    </rPh>
    <rPh sb="3" eb="6">
      <t>コウネツヒ</t>
    </rPh>
    <phoneticPr fontId="3"/>
  </si>
  <si>
    <t>通信・光熱費</t>
    <rPh sb="0" eb="2">
      <t>ツウシン</t>
    </rPh>
    <rPh sb="3" eb="6">
      <t>コウネツヒ</t>
    </rPh>
    <phoneticPr fontId="12"/>
  </si>
  <si>
    <t>交通費</t>
    <rPh sb="0" eb="3">
      <t>コウツウヒ</t>
    </rPh>
    <phoneticPr fontId="3"/>
  </si>
  <si>
    <t>交通費</t>
    <rPh sb="0" eb="3">
      <t>コウツウヒ</t>
    </rPh>
    <phoneticPr fontId="12"/>
  </si>
  <si>
    <t>諸費</t>
    <rPh sb="0" eb="2">
      <t>ショヒ</t>
    </rPh>
    <phoneticPr fontId="3"/>
  </si>
  <si>
    <t>諸費</t>
    <rPh sb="0" eb="2">
      <t>ショヒ</t>
    </rPh>
    <phoneticPr fontId="12"/>
  </si>
  <si>
    <t>固定費総計</t>
    <rPh sb="0" eb="3">
      <t>コテイヒ</t>
    </rPh>
    <rPh sb="3" eb="5">
      <t>ソウケイ</t>
    </rPh>
    <phoneticPr fontId="12"/>
  </si>
  <si>
    <t>R3年</t>
    <rPh sb="2" eb="3">
      <t>ネン</t>
    </rPh>
    <phoneticPr fontId="12"/>
  </si>
  <si>
    <t>R４年</t>
    <rPh sb="2" eb="3">
      <t>ネン</t>
    </rPh>
    <phoneticPr fontId="12"/>
  </si>
  <si>
    <t>５月</t>
    <rPh sb="1" eb="2">
      <t>ガツ</t>
    </rPh>
    <phoneticPr fontId="12"/>
  </si>
  <si>
    <t>合計</t>
    <rPh sb="0" eb="2">
      <t>ゴウケイ</t>
    </rPh>
    <phoneticPr fontId="12"/>
  </si>
  <si>
    <t>対売上比率</t>
    <rPh sb="0" eb="1">
      <t>タイ</t>
    </rPh>
    <rPh sb="1" eb="3">
      <t>ウリアゲ</t>
    </rPh>
    <rPh sb="3" eb="5">
      <t>ヒリツ</t>
    </rPh>
    <phoneticPr fontId="12"/>
  </si>
  <si>
    <t>総売上</t>
    <rPh sb="0" eb="1">
      <t>ソウ</t>
    </rPh>
    <rPh sb="1" eb="2">
      <t>ウ</t>
    </rPh>
    <rPh sb="2" eb="3">
      <t>ア</t>
    </rPh>
    <phoneticPr fontId="12"/>
  </si>
  <si>
    <t>利用者総数</t>
    <rPh sb="0" eb="2">
      <t>リヨウ</t>
    </rPh>
    <rPh sb="2" eb="3">
      <t>シャ</t>
    </rPh>
    <rPh sb="3" eb="5">
      <t>ソウスウ</t>
    </rPh>
    <phoneticPr fontId="12"/>
  </si>
  <si>
    <t>訓練給付金等</t>
    <rPh sb="0" eb="2">
      <t>クンレン</t>
    </rPh>
    <rPh sb="2" eb="4">
      <t>キュウフ</t>
    </rPh>
    <rPh sb="4" eb="5">
      <t>キン</t>
    </rPh>
    <rPh sb="5" eb="6">
      <t>トウ</t>
    </rPh>
    <phoneticPr fontId="12"/>
  </si>
  <si>
    <t>コーリングサポ笠岡</t>
    <rPh sb="7" eb="9">
      <t>カサオカ</t>
    </rPh>
    <phoneticPr fontId="12"/>
  </si>
  <si>
    <t>コーリングサポ笠岡</t>
    <phoneticPr fontId="12"/>
  </si>
  <si>
    <t>福祉的就労売上</t>
    <rPh sb="0" eb="3">
      <t>フクシテキ</t>
    </rPh>
    <rPh sb="3" eb="5">
      <t>シュウロウ</t>
    </rPh>
    <rPh sb="5" eb="7">
      <t>ウリアゲ</t>
    </rPh>
    <phoneticPr fontId="12"/>
  </si>
  <si>
    <t>シェル（笠岡）</t>
    <rPh sb="4" eb="6">
      <t>カサオカ</t>
    </rPh>
    <phoneticPr fontId="12"/>
  </si>
  <si>
    <t>特定困難者受給</t>
    <rPh sb="0" eb="2">
      <t>トクテイ</t>
    </rPh>
    <rPh sb="2" eb="4">
      <t>コンナン</t>
    </rPh>
    <rPh sb="4" eb="5">
      <t>シャ</t>
    </rPh>
    <rPh sb="5" eb="7">
      <t>ジュキュウ</t>
    </rPh>
    <phoneticPr fontId="12"/>
  </si>
  <si>
    <t>その他収入</t>
    <rPh sb="2" eb="3">
      <t>ホカ</t>
    </rPh>
    <rPh sb="3" eb="5">
      <t>シュウニュウ</t>
    </rPh>
    <phoneticPr fontId="12"/>
  </si>
  <si>
    <t>事業原価</t>
    <rPh sb="0" eb="2">
      <t>ジギョウ</t>
    </rPh>
    <rPh sb="2" eb="4">
      <t>ゲンカ</t>
    </rPh>
    <phoneticPr fontId="12"/>
  </si>
  <si>
    <t>部門別経費</t>
    <rPh sb="0" eb="2">
      <t>ブモン</t>
    </rPh>
    <rPh sb="2" eb="3">
      <t>ベツ</t>
    </rPh>
    <rPh sb="3" eb="5">
      <t>ケイヒ</t>
    </rPh>
    <phoneticPr fontId="12"/>
  </si>
  <si>
    <t>人件費</t>
    <rPh sb="0" eb="3">
      <t>ジンケンヒ</t>
    </rPh>
    <phoneticPr fontId="12"/>
  </si>
  <si>
    <t>社会保険料</t>
    <rPh sb="0" eb="2">
      <t>シャカイ</t>
    </rPh>
    <rPh sb="2" eb="5">
      <t>ホケンリョウ</t>
    </rPh>
    <phoneticPr fontId="3"/>
  </si>
  <si>
    <t>社会保険料</t>
    <rPh sb="0" eb="2">
      <t>シャカイ</t>
    </rPh>
    <rPh sb="2" eb="5">
      <t>ホケンリョウ</t>
    </rPh>
    <phoneticPr fontId="12"/>
  </si>
  <si>
    <t>管理費（家賃水道光熱燃料等）</t>
    <rPh sb="0" eb="3">
      <t>カンリヒ</t>
    </rPh>
    <rPh sb="4" eb="6">
      <t>ヤチン</t>
    </rPh>
    <rPh sb="6" eb="8">
      <t>スイドウ</t>
    </rPh>
    <rPh sb="8" eb="10">
      <t>コウネツ</t>
    </rPh>
    <rPh sb="10" eb="12">
      <t>ネンリョウ</t>
    </rPh>
    <rPh sb="12" eb="13">
      <t>トウ</t>
    </rPh>
    <phoneticPr fontId="12"/>
  </si>
  <si>
    <t>管理費（水道光熱燃料等）</t>
    <rPh sb="0" eb="3">
      <t>カンリヒ</t>
    </rPh>
    <rPh sb="4" eb="6">
      <t>スイドウ</t>
    </rPh>
    <rPh sb="6" eb="8">
      <t>コウネツ</t>
    </rPh>
    <rPh sb="8" eb="10">
      <t>ネンリョウ</t>
    </rPh>
    <rPh sb="10" eb="11">
      <t>トウ</t>
    </rPh>
    <phoneticPr fontId="12"/>
  </si>
  <si>
    <t>燃料代</t>
    <rPh sb="0" eb="3">
      <t>ネンリョウダイ</t>
    </rPh>
    <phoneticPr fontId="12"/>
  </si>
  <si>
    <t>福祉的就労</t>
    <rPh sb="0" eb="3">
      <t>フクシテキ</t>
    </rPh>
    <rPh sb="3" eb="5">
      <t>シュウロウ</t>
    </rPh>
    <phoneticPr fontId="12"/>
  </si>
  <si>
    <t>工賃</t>
    <rPh sb="0" eb="2">
      <t>コウチン</t>
    </rPh>
    <phoneticPr fontId="12"/>
  </si>
  <si>
    <t>材料経費</t>
    <rPh sb="0" eb="2">
      <t>ザイリョウ</t>
    </rPh>
    <rPh sb="2" eb="4">
      <t>ケイヒ</t>
    </rPh>
    <phoneticPr fontId="12"/>
  </si>
  <si>
    <t>投資的費用</t>
    <rPh sb="0" eb="3">
      <t>トウシテキ</t>
    </rPh>
    <rPh sb="3" eb="5">
      <t>ヒヨウ</t>
    </rPh>
    <phoneticPr fontId="12"/>
  </si>
  <si>
    <t>（売上総利益）</t>
    <rPh sb="1" eb="3">
      <t>ウリアゲ</t>
    </rPh>
    <rPh sb="3" eb="6">
      <t>ソウリエキ</t>
    </rPh>
    <phoneticPr fontId="12"/>
  </si>
  <si>
    <t>（販管費）</t>
    <rPh sb="1" eb="4">
      <t>ハンカンヒ</t>
    </rPh>
    <phoneticPr fontId="12"/>
  </si>
  <si>
    <t>役員報酬（代表）</t>
    <rPh sb="0" eb="2">
      <t>ヤクイン</t>
    </rPh>
    <rPh sb="2" eb="4">
      <t>ホウシュウ</t>
    </rPh>
    <rPh sb="5" eb="7">
      <t>ダイヒョウ</t>
    </rPh>
    <phoneticPr fontId="12"/>
  </si>
  <si>
    <t>役員報酬</t>
    <rPh sb="0" eb="2">
      <t>ヤクイン</t>
    </rPh>
    <rPh sb="2" eb="4">
      <t>ホウシュウ</t>
    </rPh>
    <phoneticPr fontId="12"/>
  </si>
  <si>
    <t>他役員</t>
    <rPh sb="0" eb="1">
      <t>ホカ</t>
    </rPh>
    <rPh sb="1" eb="3">
      <t>ヤクイン</t>
    </rPh>
    <phoneticPr fontId="12"/>
  </si>
  <si>
    <t>給料手当</t>
    <rPh sb="0" eb="2">
      <t>キュウリョウ</t>
    </rPh>
    <rPh sb="2" eb="4">
      <t>テアテ</t>
    </rPh>
    <phoneticPr fontId="12"/>
  </si>
  <si>
    <t>法定福利費</t>
    <rPh sb="0" eb="2">
      <t>ホウテイ</t>
    </rPh>
    <rPh sb="2" eb="4">
      <t>フクリ</t>
    </rPh>
    <rPh sb="4" eb="5">
      <t>ヒ</t>
    </rPh>
    <phoneticPr fontId="12"/>
  </si>
  <si>
    <t>諸経費</t>
    <rPh sb="0" eb="3">
      <t>ショケイヒ</t>
    </rPh>
    <phoneticPr fontId="12"/>
  </si>
  <si>
    <t>本部管理費</t>
    <rPh sb="0" eb="2">
      <t>ホンブ</t>
    </rPh>
    <rPh sb="2" eb="5">
      <t>カンリヒ</t>
    </rPh>
    <phoneticPr fontId="12"/>
  </si>
  <si>
    <t>システム管理費</t>
    <rPh sb="4" eb="7">
      <t>カンリヒ</t>
    </rPh>
    <phoneticPr fontId="12"/>
  </si>
  <si>
    <t>リース料</t>
    <rPh sb="3" eb="4">
      <t>リョウ</t>
    </rPh>
    <phoneticPr fontId="12"/>
  </si>
  <si>
    <t>地代家賃</t>
    <rPh sb="0" eb="2">
      <t>チダイ</t>
    </rPh>
    <rPh sb="2" eb="4">
      <t>ヤチン</t>
    </rPh>
    <phoneticPr fontId="12"/>
  </si>
  <si>
    <t>減価償却</t>
    <rPh sb="0" eb="2">
      <t>ゲンカ</t>
    </rPh>
    <rPh sb="2" eb="4">
      <t>ショウキャク</t>
    </rPh>
    <phoneticPr fontId="12"/>
  </si>
  <si>
    <t>（営業利益）</t>
    <rPh sb="1" eb="3">
      <t>エイギョウ</t>
    </rPh>
    <rPh sb="3" eb="5">
      <t>リエキ</t>
    </rPh>
    <phoneticPr fontId="12"/>
  </si>
  <si>
    <t>（営業外収益）</t>
    <rPh sb="1" eb="4">
      <t>エイギョウガイ</t>
    </rPh>
    <rPh sb="4" eb="6">
      <t>シュウエキ</t>
    </rPh>
    <phoneticPr fontId="12"/>
  </si>
  <si>
    <t>（営業外損失）</t>
    <rPh sb="1" eb="4">
      <t>エイギョウガイ</t>
    </rPh>
    <rPh sb="4" eb="6">
      <t>ソンシツ</t>
    </rPh>
    <phoneticPr fontId="12"/>
  </si>
  <si>
    <t>支払利息</t>
    <rPh sb="0" eb="2">
      <t>シハライ</t>
    </rPh>
    <rPh sb="2" eb="4">
      <t>リソク</t>
    </rPh>
    <phoneticPr fontId="12"/>
  </si>
  <si>
    <t>雑損失</t>
    <rPh sb="0" eb="1">
      <t>ザツ</t>
    </rPh>
    <rPh sb="1" eb="3">
      <t>ソンシツ</t>
    </rPh>
    <phoneticPr fontId="12"/>
  </si>
  <si>
    <t>（経常利益）</t>
    <rPh sb="1" eb="3">
      <t>ケイジョウ</t>
    </rPh>
    <rPh sb="3" eb="5">
      <t>リエキ</t>
    </rPh>
    <phoneticPr fontId="12"/>
  </si>
  <si>
    <t>（税引後利益）</t>
    <rPh sb="1" eb="3">
      <t>ゼイビ</t>
    </rPh>
    <rPh sb="3" eb="4">
      <t>ゴ</t>
    </rPh>
    <rPh sb="4" eb="6">
      <t>リエキ</t>
    </rPh>
    <phoneticPr fontId="12"/>
  </si>
  <si>
    <t>Ｒ３年度 資金繰表</t>
    <rPh sb="2" eb="4">
      <t>ネンド</t>
    </rPh>
    <rPh sb="5" eb="7">
      <t>シキン</t>
    </rPh>
    <rPh sb="7" eb="8">
      <t>グ</t>
    </rPh>
    <rPh sb="8" eb="9">
      <t>ヒョウ</t>
    </rPh>
    <phoneticPr fontId="12"/>
  </si>
  <si>
    <t>Ｒ４年度 資金繰表</t>
    <rPh sb="2" eb="4">
      <t>ネンド</t>
    </rPh>
    <rPh sb="5" eb="7">
      <t>シキン</t>
    </rPh>
    <rPh sb="7" eb="8">
      <t>グ</t>
    </rPh>
    <rPh sb="8" eb="9">
      <t>ヒョウ</t>
    </rPh>
    <phoneticPr fontId="12"/>
  </si>
  <si>
    <t>条件</t>
    <rPh sb="0" eb="2">
      <t>ジョウケン</t>
    </rPh>
    <phoneticPr fontId="12"/>
  </si>
  <si>
    <t>前月繰越</t>
    <rPh sb="0" eb="2">
      <t>ゼンゲツ</t>
    </rPh>
    <rPh sb="2" eb="4">
      <t>クリコシ</t>
    </rPh>
    <phoneticPr fontId="12"/>
  </si>
  <si>
    <t>経常収入</t>
    <rPh sb="0" eb="2">
      <t>ケイジョウ</t>
    </rPh>
    <rPh sb="2" eb="4">
      <t>シュウニュウ</t>
    </rPh>
    <phoneticPr fontId="12"/>
  </si>
  <si>
    <t>訓練給付金</t>
    <rPh sb="0" eb="2">
      <t>クンレン</t>
    </rPh>
    <rPh sb="2" eb="4">
      <t>キュウフ</t>
    </rPh>
    <rPh sb="4" eb="5">
      <t>キン</t>
    </rPh>
    <phoneticPr fontId="12"/>
  </si>
  <si>
    <t>2か月後15日入金</t>
    <rPh sb="2" eb="4">
      <t>ゲツゴ</t>
    </rPh>
    <rPh sb="6" eb="7">
      <t>ニチ</t>
    </rPh>
    <rPh sb="7" eb="9">
      <t>ニュウキン</t>
    </rPh>
    <phoneticPr fontId="12"/>
  </si>
  <si>
    <t>就労売上</t>
    <rPh sb="0" eb="2">
      <t>シュウロウ</t>
    </rPh>
    <rPh sb="2" eb="4">
      <t>ウリアゲ</t>
    </rPh>
    <phoneticPr fontId="12"/>
  </si>
  <si>
    <t>売上月末締め翌月末払い</t>
    <rPh sb="0" eb="2">
      <t>ウリアゲ</t>
    </rPh>
    <rPh sb="2" eb="4">
      <t>ゲツマツ</t>
    </rPh>
    <rPh sb="4" eb="5">
      <t>ジ</t>
    </rPh>
    <rPh sb="6" eb="9">
      <t>ヨクゲツマツ</t>
    </rPh>
    <rPh sb="9" eb="10">
      <t>ハラ</t>
    </rPh>
    <phoneticPr fontId="12"/>
  </si>
  <si>
    <t>その他</t>
    <rPh sb="2" eb="3">
      <t>ホカ</t>
    </rPh>
    <phoneticPr fontId="12"/>
  </si>
  <si>
    <t>月末締め翌月末払い</t>
    <rPh sb="0" eb="2">
      <t>ゲツマツ</t>
    </rPh>
    <rPh sb="2" eb="3">
      <t>ジ</t>
    </rPh>
    <rPh sb="4" eb="7">
      <t>ヨクゲツマツ</t>
    </rPh>
    <rPh sb="7" eb="8">
      <t>ハラ</t>
    </rPh>
    <phoneticPr fontId="12"/>
  </si>
  <si>
    <t>他収入</t>
    <rPh sb="0" eb="1">
      <t>ホカ</t>
    </rPh>
    <rPh sb="1" eb="3">
      <t>シュウニュウ</t>
    </rPh>
    <phoneticPr fontId="12"/>
  </si>
  <si>
    <t>経常支出</t>
    <rPh sb="0" eb="2">
      <t>ケイジョウ</t>
    </rPh>
    <rPh sb="2" eb="4">
      <t>シシュツ</t>
    </rPh>
    <phoneticPr fontId="12"/>
  </si>
  <si>
    <t>人件費（工賃・社保含）</t>
    <rPh sb="0" eb="3">
      <t>ジンケンヒ</t>
    </rPh>
    <rPh sb="4" eb="6">
      <t>コウチン</t>
    </rPh>
    <rPh sb="7" eb="9">
      <t>シャホ</t>
    </rPh>
    <rPh sb="9" eb="10">
      <t>フク</t>
    </rPh>
    <phoneticPr fontId="12"/>
  </si>
  <si>
    <t>現金支払い</t>
    <rPh sb="0" eb="2">
      <t>ゲンキン</t>
    </rPh>
    <rPh sb="2" eb="4">
      <t>シハラ</t>
    </rPh>
    <phoneticPr fontId="12"/>
  </si>
  <si>
    <t>掛支払</t>
    <rPh sb="0" eb="1">
      <t>カ</t>
    </rPh>
    <rPh sb="1" eb="3">
      <t>シハラ</t>
    </rPh>
    <phoneticPr fontId="12"/>
  </si>
  <si>
    <t>販管費（月末締め翌月末払い）</t>
    <rPh sb="0" eb="3">
      <t>ハンカンヒ</t>
    </rPh>
    <rPh sb="4" eb="6">
      <t>ゲツマツ</t>
    </rPh>
    <rPh sb="6" eb="7">
      <t>ジ</t>
    </rPh>
    <rPh sb="8" eb="11">
      <t>ヨクゲツマツ</t>
    </rPh>
    <rPh sb="11" eb="12">
      <t>バラ</t>
    </rPh>
    <phoneticPr fontId="12"/>
  </si>
  <si>
    <t>経常収支差額</t>
    <rPh sb="0" eb="2">
      <t>ケイジョウ</t>
    </rPh>
    <rPh sb="2" eb="4">
      <t>シュウシ</t>
    </rPh>
    <rPh sb="4" eb="6">
      <t>サガク</t>
    </rPh>
    <phoneticPr fontId="12"/>
  </si>
  <si>
    <t>財務収入</t>
    <rPh sb="0" eb="2">
      <t>ザイム</t>
    </rPh>
    <rPh sb="2" eb="4">
      <t>シュウニュウ</t>
    </rPh>
    <phoneticPr fontId="12"/>
  </si>
  <si>
    <t>資本金</t>
    <rPh sb="0" eb="3">
      <t>シホンキン</t>
    </rPh>
    <phoneticPr fontId="12"/>
  </si>
  <si>
    <t>資本準備金</t>
    <rPh sb="0" eb="5">
      <t>シホンジュンビキン</t>
    </rPh>
    <phoneticPr fontId="12"/>
  </si>
  <si>
    <t>役員貸付</t>
    <rPh sb="0" eb="4">
      <t>ヤクインカシツケ</t>
    </rPh>
    <phoneticPr fontId="12"/>
  </si>
  <si>
    <t>金融機関借入</t>
    <rPh sb="0" eb="2">
      <t>キンユウ</t>
    </rPh>
    <rPh sb="2" eb="4">
      <t>キカン</t>
    </rPh>
    <rPh sb="4" eb="6">
      <t>カリイレ</t>
    </rPh>
    <phoneticPr fontId="12"/>
  </si>
  <si>
    <t>私募債</t>
    <rPh sb="0" eb="3">
      <t>シボサイ</t>
    </rPh>
    <phoneticPr fontId="12"/>
  </si>
  <si>
    <t>補助金</t>
    <rPh sb="0" eb="3">
      <t>ホジョキン</t>
    </rPh>
    <phoneticPr fontId="12"/>
  </si>
  <si>
    <t>財務支出</t>
    <rPh sb="0" eb="2">
      <t>ザイム</t>
    </rPh>
    <rPh sb="2" eb="4">
      <t>シシュツ</t>
    </rPh>
    <phoneticPr fontId="12"/>
  </si>
  <si>
    <t>創業費</t>
    <rPh sb="0" eb="2">
      <t>ソウギョウ</t>
    </rPh>
    <rPh sb="2" eb="3">
      <t>ヒ</t>
    </rPh>
    <phoneticPr fontId="12"/>
  </si>
  <si>
    <t>営業権買取等</t>
    <rPh sb="0" eb="3">
      <t>エイギョウケン</t>
    </rPh>
    <rPh sb="3" eb="4">
      <t>カ</t>
    </rPh>
    <rPh sb="4" eb="5">
      <t>ト</t>
    </rPh>
    <rPh sb="5" eb="6">
      <t>トウ</t>
    </rPh>
    <phoneticPr fontId="12"/>
  </si>
  <si>
    <t>金融機関返済</t>
    <rPh sb="0" eb="2">
      <t>キンユウ</t>
    </rPh>
    <rPh sb="2" eb="4">
      <t>キカン</t>
    </rPh>
    <rPh sb="4" eb="6">
      <t>ヘンサイ</t>
    </rPh>
    <phoneticPr fontId="12"/>
  </si>
  <si>
    <t>改装等</t>
    <rPh sb="0" eb="2">
      <t>カイソウ</t>
    </rPh>
    <rPh sb="2" eb="3">
      <t>トウ</t>
    </rPh>
    <phoneticPr fontId="12"/>
  </si>
  <si>
    <t>店舗出店コスト</t>
    <rPh sb="0" eb="2">
      <t>テンポ</t>
    </rPh>
    <rPh sb="2" eb="4">
      <t>シュッテン</t>
    </rPh>
    <phoneticPr fontId="12"/>
  </si>
  <si>
    <t>財務収支差額</t>
    <rPh sb="0" eb="2">
      <t>ザイム</t>
    </rPh>
    <rPh sb="2" eb="4">
      <t>シュウシ</t>
    </rPh>
    <rPh sb="4" eb="6">
      <t>サガク</t>
    </rPh>
    <phoneticPr fontId="12"/>
  </si>
  <si>
    <t>税金</t>
    <rPh sb="0" eb="2">
      <t>ゼイキン</t>
    </rPh>
    <phoneticPr fontId="12"/>
  </si>
  <si>
    <t>翌月繰越</t>
    <rPh sb="0" eb="2">
      <t>ヨクゲツ</t>
    </rPh>
    <rPh sb="2" eb="4">
      <t>クリコシ</t>
    </rPh>
    <phoneticPr fontId="12"/>
  </si>
  <si>
    <t>基礎資料参照</t>
    <rPh sb="0" eb="4">
      <t>キソシリョウ</t>
    </rPh>
    <rPh sb="4" eb="6">
      <t>サンショウ</t>
    </rPh>
    <phoneticPr fontId="3"/>
  </si>
  <si>
    <t>スタッフ人件費</t>
    <rPh sb="4" eb="7">
      <t>ジンケンヒ</t>
    </rPh>
    <phoneticPr fontId="3"/>
  </si>
  <si>
    <t>管理人件費</t>
    <rPh sb="0" eb="2">
      <t>カンリ</t>
    </rPh>
    <rPh sb="2" eb="5">
      <t>ジンケンヒ</t>
    </rPh>
    <phoneticPr fontId="3"/>
  </si>
  <si>
    <t>令和３年11月1日から令和４年3月31日</t>
    <rPh sb="0" eb="2">
      <t>レイワ</t>
    </rPh>
    <rPh sb="3" eb="4">
      <t>ネン</t>
    </rPh>
    <rPh sb="6" eb="7">
      <t>ガツ</t>
    </rPh>
    <rPh sb="8" eb="9">
      <t>ニチ</t>
    </rPh>
    <rPh sb="11" eb="13">
      <t>レイワ</t>
    </rPh>
    <rPh sb="14" eb="15">
      <t>ネン</t>
    </rPh>
    <rPh sb="16" eb="17">
      <t>ガツ</t>
    </rPh>
    <rPh sb="19" eb="20">
      <t>ニチ</t>
    </rPh>
    <phoneticPr fontId="3"/>
  </si>
  <si>
    <t>令和３年度収支予算書</t>
    <rPh sb="0" eb="2">
      <t>レイワ</t>
    </rPh>
    <rPh sb="3" eb="5">
      <t>ネンド</t>
    </rPh>
    <rPh sb="5" eb="7">
      <t>シュウシ</t>
    </rPh>
    <rPh sb="7" eb="10">
      <t>ヨサンショ</t>
    </rPh>
    <phoneticPr fontId="3"/>
  </si>
  <si>
    <t xml:space="preserve">コーリングサポ笠岡
事業計画
及び
資産状況
</t>
    <rPh sb="7" eb="9">
      <t>カサオカ</t>
    </rPh>
    <rPh sb="10" eb="12">
      <t>ジギョウ</t>
    </rPh>
    <rPh sb="12" eb="14">
      <t>ケイカク</t>
    </rPh>
    <rPh sb="15" eb="16">
      <t>オヨ</t>
    </rPh>
    <rPh sb="18" eb="20">
      <t>シサン</t>
    </rPh>
    <rPh sb="20" eb="22">
      <t>ジョウキョウ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</si>
</sst>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9" formatCode="#,##0.0;[Red]\-#,##0.0"/>
    <numFmt numFmtId="180" formatCode="#,##0;&quot;▲ &quot;#,##0"/>
    <numFmt numFmtId="181" formatCode="0.0%"/>
  </numFmts>
  <fonts count="27">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
      <sz val="10"/>
      <color theme="1"/>
      <name val="BIZ UDPゴシック"/>
      <family val="3"/>
      <charset val="128"/>
    </font>
    <font>
      <sz val="11"/>
      <color theme="1"/>
      <name val="BIZ UDPゴシック"/>
      <family val="3"/>
      <charset val="128"/>
    </font>
    <font>
      <sz val="6"/>
      <name val="ＭＳ Ｐゴシック"/>
      <family val="2"/>
      <charset val="128"/>
      <scheme val="minor"/>
    </font>
    <font>
      <sz val="11"/>
      <name val="BIZ UDPゴシック"/>
      <family val="3"/>
      <charset val="128"/>
    </font>
    <font>
      <sz val="8"/>
      <color theme="1"/>
      <name val="BIZ UDPゴシック"/>
      <family val="3"/>
      <charset val="128"/>
    </font>
    <font>
      <sz val="6"/>
      <color theme="1"/>
      <name val="BIZ UDPゴシック"/>
      <family val="3"/>
      <charset val="128"/>
    </font>
    <font>
      <b/>
      <sz val="8"/>
      <color theme="1"/>
      <name val="BIZ UDPゴシック"/>
      <family val="3"/>
      <charset val="128"/>
    </font>
    <font>
      <sz val="12"/>
      <color theme="1"/>
      <name val="UD Digi Kyokasho NP-R"/>
      <family val="1"/>
      <charset val="128"/>
    </font>
    <font>
      <sz val="9"/>
      <color theme="1"/>
      <name val="UD Digi Kyokasho NP-R"/>
      <family val="1"/>
      <charset val="128"/>
    </font>
    <font>
      <sz val="9"/>
      <color theme="1"/>
      <name val="UD デジタル 教科書体 NP-R"/>
      <family val="1"/>
      <charset val="128"/>
    </font>
    <font>
      <sz val="9"/>
      <color theme="0"/>
      <name val="UD Digi Kyokasho NP-R"/>
      <family val="1"/>
      <charset val="128"/>
    </font>
    <font>
      <sz val="9"/>
      <color theme="1"/>
      <name val="HGS明朝E"/>
      <family val="1"/>
      <charset val="128"/>
    </font>
    <font>
      <sz val="9"/>
      <color theme="1"/>
      <name val="Yu Gothic"/>
      <family val="1"/>
      <charset val="128"/>
    </font>
    <font>
      <b/>
      <sz val="11"/>
      <name val="BIZ UDPゴシック"/>
      <family val="3"/>
      <charset val="128"/>
    </font>
    <font>
      <sz val="8"/>
      <name val="BIZ UDPゴシック"/>
      <family val="3"/>
      <charset val="128"/>
    </font>
    <font>
      <sz val="14"/>
      <name val="BIZ UDPゴシック"/>
      <family val="3"/>
      <charset val="128"/>
    </font>
    <font>
      <sz val="12"/>
      <name val="BIZ UDPゴシック"/>
      <family val="3"/>
      <charset val="128"/>
    </font>
  </fonts>
  <fills count="14">
    <fill>
      <patternFill patternType="none"/>
    </fill>
    <fill>
      <patternFill patternType="gray125"/>
    </fill>
    <fill>
      <patternFill patternType="solid">
        <fgColor indexed="22"/>
        <bgColor indexed="64"/>
      </patternFill>
    </fill>
    <fill>
      <patternFill patternType="solid">
        <fgColor theme="5" tint="0.59999389629810485"/>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theme="9" tint="-0.249977111117893"/>
        <bgColor indexed="64"/>
      </patternFill>
    </fill>
    <fill>
      <patternFill patternType="solid">
        <fgColor theme="1" tint="0.49998474074526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8" tint="0.59999389629810485"/>
        <bgColor indexed="64"/>
      </patternFill>
    </fill>
  </fills>
  <borders count="10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double">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double">
        <color indexed="64"/>
      </bottom>
      <diagonal/>
    </border>
    <border>
      <left/>
      <right style="thin">
        <color auto="1"/>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thin">
        <color auto="1"/>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style="thin">
        <color auto="1"/>
      </right>
      <top/>
      <bottom style="double">
        <color indexed="64"/>
      </bottom>
      <diagonal/>
    </border>
    <border>
      <left/>
      <right style="thin">
        <color auto="1"/>
      </right>
      <top style="double">
        <color indexed="64"/>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auto="1"/>
      </right>
      <top style="double">
        <color indexed="64"/>
      </top>
      <bottom/>
      <diagonal/>
    </border>
    <border>
      <left style="thin">
        <color indexed="64"/>
      </left>
      <right style="medium">
        <color indexed="64"/>
      </right>
      <top style="double">
        <color indexed="64"/>
      </top>
      <bottom/>
      <diagonal/>
    </border>
    <border>
      <left/>
      <right style="thin">
        <color auto="1"/>
      </right>
      <top style="medium">
        <color indexed="64"/>
      </top>
      <bottom/>
      <diagonal/>
    </border>
    <border>
      <left style="thin">
        <color indexed="64"/>
      </left>
      <right/>
      <top style="medium">
        <color indexed="64"/>
      </top>
      <bottom style="thin">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bottom style="medium">
        <color indexed="64"/>
      </bottom>
      <diagonal/>
    </border>
  </borders>
  <cellStyleXfs count="6">
    <xf numFmtId="0" fontId="0" fillId="0" borderId="0"/>
    <xf numFmtId="38" fontId="2" fillId="0" borderId="0" applyFont="0" applyFill="0" applyBorder="0" applyAlignment="0" applyProtection="0"/>
    <xf numFmtId="0" fontId="2" fillId="0" borderId="0"/>
    <xf numFmtId="0" fontId="1"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536">
    <xf numFmtId="0" fontId="0" fillId="0" borderId="0" xfId="0"/>
    <xf numFmtId="0" fontId="0" fillId="0" borderId="1" xfId="0" applyBorder="1"/>
    <xf numFmtId="0" fontId="0" fillId="0" borderId="1" xfId="0" applyBorder="1" applyAlignment="1">
      <alignment horizontal="center"/>
    </xf>
    <xf numFmtId="0" fontId="4" fillId="0" borderId="3" xfId="0" applyFont="1"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4" fillId="0" borderId="7" xfId="0" applyFont="1" applyBorder="1"/>
    <xf numFmtId="0" fontId="0" fillId="0" borderId="6" xfId="0" applyBorder="1"/>
    <xf numFmtId="0" fontId="5"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5" fillId="0" borderId="11" xfId="0" applyFont="1" applyBorder="1" applyAlignment="1">
      <alignment shrinkToFit="1"/>
    </xf>
    <xf numFmtId="0" fontId="5" fillId="0" borderId="6" xfId="0" applyFont="1" applyBorder="1" applyAlignment="1">
      <alignment shrinkToFit="1"/>
    </xf>
    <xf numFmtId="0" fontId="5" fillId="0" borderId="9" xfId="0" applyFont="1" applyBorder="1" applyAlignment="1">
      <alignment shrinkToFit="1"/>
    </xf>
    <xf numFmtId="0" fontId="4" fillId="0" borderId="7" xfId="0" applyFont="1" applyBorder="1" applyAlignment="1">
      <alignment horizontal="left"/>
    </xf>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8"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9" fillId="0" borderId="0" xfId="0" applyFont="1" applyAlignment="1">
      <alignment horizontal="center" wrapText="1"/>
    </xf>
    <xf numFmtId="0" fontId="9" fillId="0" borderId="0" xfId="0" applyFont="1" applyAlignment="1">
      <alignment horizontal="center"/>
    </xf>
    <xf numFmtId="49" fontId="7" fillId="0" borderId="0" xfId="0" applyNumberFormat="1" applyFont="1" applyAlignment="1">
      <alignment horizontal="center"/>
    </xf>
    <xf numFmtId="49" fontId="0" fillId="0" borderId="0" xfId="0" applyNumberFormat="1" applyBorder="1" applyAlignment="1">
      <alignment horizontal="right"/>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7" xfId="0" applyFont="1" applyBorder="1" applyAlignment="1">
      <alignment horizontal="left" wrapText="1"/>
    </xf>
    <xf numFmtId="0" fontId="4"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6"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0" fontId="10" fillId="0" borderId="17" xfId="3" applyFont="1" applyBorder="1" applyAlignment="1">
      <alignment horizontal="center" vertical="center"/>
    </xf>
    <xf numFmtId="0" fontId="11" fillId="0" borderId="17" xfId="3" applyFont="1" applyBorder="1" applyAlignment="1">
      <alignment horizontal="center" vertical="center" shrinkToFit="1"/>
    </xf>
    <xf numFmtId="0" fontId="11" fillId="0" borderId="0" xfId="3" applyFont="1" applyAlignment="1">
      <alignment vertical="center" shrinkToFit="1"/>
    </xf>
    <xf numFmtId="0" fontId="11" fillId="0" borderId="0" xfId="3" applyFont="1">
      <alignment vertical="center"/>
    </xf>
    <xf numFmtId="0" fontId="11" fillId="0" borderId="18" xfId="3" applyFont="1" applyBorder="1" applyAlignment="1">
      <alignment horizontal="center" vertical="center"/>
    </xf>
    <xf numFmtId="0" fontId="11" fillId="0" borderId="19" xfId="3" applyFont="1" applyBorder="1" applyAlignment="1">
      <alignment horizontal="center" vertical="center"/>
    </xf>
    <xf numFmtId="0" fontId="11" fillId="0" borderId="20" xfId="3" applyFont="1" applyBorder="1" applyAlignment="1">
      <alignment horizontal="center" vertical="center"/>
    </xf>
    <xf numFmtId="0" fontId="11" fillId="3" borderId="18" xfId="3" applyFont="1" applyFill="1" applyBorder="1" applyAlignment="1">
      <alignment horizontal="left" vertical="center" indent="1" shrinkToFit="1"/>
    </xf>
    <xf numFmtId="0" fontId="11" fillId="3" borderId="19" xfId="3" applyFont="1" applyFill="1" applyBorder="1" applyAlignment="1">
      <alignment horizontal="left" vertical="center" indent="1" shrinkToFit="1"/>
    </xf>
    <xf numFmtId="0" fontId="11" fillId="3" borderId="20" xfId="3" applyFont="1" applyFill="1" applyBorder="1" applyAlignment="1">
      <alignment horizontal="left" vertical="center" indent="1" shrinkToFit="1"/>
    </xf>
    <xf numFmtId="0" fontId="13" fillId="3" borderId="18" xfId="3" applyFont="1" applyFill="1" applyBorder="1" applyAlignment="1">
      <alignment horizontal="left" vertical="center" indent="1" shrinkToFit="1"/>
    </xf>
    <xf numFmtId="0" fontId="13" fillId="3" borderId="19" xfId="3" applyFont="1" applyFill="1" applyBorder="1" applyAlignment="1">
      <alignment horizontal="left" vertical="center" indent="1" shrinkToFit="1"/>
    </xf>
    <xf numFmtId="0" fontId="13" fillId="3" borderId="20" xfId="3" applyFont="1" applyFill="1" applyBorder="1" applyAlignment="1">
      <alignment horizontal="left" vertical="center" indent="1" shrinkToFit="1"/>
    </xf>
    <xf numFmtId="0" fontId="11" fillId="0" borderId="21" xfId="3" applyFont="1" applyBorder="1" applyAlignment="1">
      <alignment horizontal="center" vertical="center"/>
    </xf>
    <xf numFmtId="0" fontId="11" fillId="0" borderId="17" xfId="3" applyFont="1" applyBorder="1" applyAlignment="1">
      <alignment horizontal="center" vertical="center"/>
    </xf>
    <xf numFmtId="0" fontId="11" fillId="0" borderId="22" xfId="3" applyFont="1" applyBorder="1" applyAlignment="1">
      <alignment horizontal="center" vertical="center"/>
    </xf>
    <xf numFmtId="0" fontId="11" fillId="3" borderId="0" xfId="3" applyFont="1" applyFill="1" applyAlignment="1">
      <alignment horizontal="center" vertical="center"/>
    </xf>
    <xf numFmtId="38" fontId="11" fillId="0" borderId="23" xfId="4" applyFont="1" applyBorder="1" applyAlignment="1">
      <alignment horizontal="center" vertical="center" shrinkToFit="1"/>
    </xf>
    <xf numFmtId="38" fontId="11" fillId="0" borderId="24" xfId="4" applyFont="1" applyBorder="1" applyAlignment="1">
      <alignment horizontal="center" vertical="center" shrinkToFit="1"/>
    </xf>
    <xf numFmtId="38" fontId="11" fillId="3" borderId="0" xfId="4" applyFont="1" applyFill="1" applyBorder="1" applyAlignment="1">
      <alignment horizontal="center" vertical="center"/>
    </xf>
    <xf numFmtId="0" fontId="11" fillId="3" borderId="25" xfId="3" applyFont="1" applyFill="1" applyBorder="1" applyAlignment="1">
      <alignment horizontal="center" vertical="center"/>
    </xf>
    <xf numFmtId="0" fontId="11" fillId="0" borderId="26" xfId="3" applyFont="1" applyBorder="1" applyAlignment="1">
      <alignment horizontal="center" vertical="center" shrinkToFit="1"/>
    </xf>
    <xf numFmtId="0" fontId="11" fillId="0" borderId="27" xfId="3" applyFont="1" applyBorder="1" applyAlignment="1">
      <alignment horizontal="center" vertical="center" shrinkToFit="1"/>
    </xf>
    <xf numFmtId="0" fontId="11" fillId="0" borderId="28" xfId="3" applyFont="1" applyBorder="1" applyAlignment="1">
      <alignment horizontal="center" vertical="center" shrinkToFit="1"/>
    </xf>
    <xf numFmtId="0" fontId="14" fillId="0" borderId="29" xfId="3" applyFont="1" applyBorder="1" applyAlignment="1">
      <alignment horizontal="center" vertical="center" shrinkToFit="1"/>
    </xf>
    <xf numFmtId="0" fontId="14" fillId="0" borderId="30" xfId="3" applyFont="1" applyBorder="1" applyAlignment="1">
      <alignment horizontal="center" vertical="center" shrinkToFit="1"/>
    </xf>
    <xf numFmtId="0" fontId="14" fillId="0" borderId="31" xfId="3" applyFont="1" applyBorder="1" applyAlignment="1">
      <alignment horizontal="center" vertical="center" shrinkToFit="1"/>
    </xf>
    <xf numFmtId="38" fontId="14" fillId="0" borderId="15" xfId="4" applyFont="1" applyBorder="1" applyAlignment="1">
      <alignment horizontal="center" vertical="center" shrinkToFit="1"/>
    </xf>
    <xf numFmtId="38" fontId="14" fillId="0" borderId="32" xfId="4" applyFont="1" applyBorder="1" applyAlignment="1">
      <alignment horizontal="center" vertical="center" shrinkToFit="1"/>
    </xf>
    <xf numFmtId="0" fontId="14" fillId="0" borderId="33" xfId="3" applyFont="1" applyBorder="1" applyAlignment="1">
      <alignment horizontal="center" vertical="center" shrinkToFit="1"/>
    </xf>
    <xf numFmtId="0" fontId="14" fillId="0" borderId="15" xfId="3" applyFont="1" applyBorder="1" applyAlignment="1">
      <alignment horizontal="center" vertical="center" shrinkToFit="1"/>
    </xf>
    <xf numFmtId="0" fontId="14" fillId="0" borderId="32" xfId="3" applyFont="1" applyBorder="1" applyAlignment="1">
      <alignment horizontal="center" vertical="center" shrinkToFit="1"/>
    </xf>
    <xf numFmtId="0" fontId="14" fillId="0" borderId="0" xfId="3" applyFont="1">
      <alignment vertical="center"/>
    </xf>
    <xf numFmtId="0" fontId="14" fillId="0" borderId="34" xfId="3" applyFont="1" applyBorder="1" applyAlignment="1">
      <alignment horizontal="center" vertical="center" shrinkToFit="1"/>
    </xf>
    <xf numFmtId="0" fontId="14" fillId="0" borderId="1" xfId="3" applyFont="1" applyBorder="1" applyAlignment="1">
      <alignment horizontal="center" vertical="center" shrinkToFit="1"/>
    </xf>
    <xf numFmtId="0" fontId="14" fillId="0" borderId="35" xfId="3" applyFont="1" applyBorder="1" applyAlignment="1">
      <alignment horizontal="center" vertical="center" shrinkToFit="1"/>
    </xf>
    <xf numFmtId="38" fontId="14" fillId="0" borderId="1" xfId="4" applyFont="1" applyBorder="1" applyAlignment="1">
      <alignment vertical="center" shrinkToFit="1"/>
    </xf>
    <xf numFmtId="38" fontId="14" fillId="0" borderId="35" xfId="4" applyFont="1" applyBorder="1" applyAlignment="1">
      <alignment vertical="center" shrinkToFit="1"/>
    </xf>
    <xf numFmtId="9" fontId="14" fillId="0" borderId="34" xfId="5" applyFont="1" applyBorder="1" applyAlignment="1">
      <alignment vertical="center" shrinkToFit="1"/>
    </xf>
    <xf numFmtId="9" fontId="14" fillId="0" borderId="1" xfId="5" applyFont="1" applyBorder="1" applyAlignment="1">
      <alignment vertical="center" shrinkToFit="1"/>
    </xf>
    <xf numFmtId="9" fontId="14" fillId="0" borderId="35" xfId="5" applyFont="1" applyBorder="1" applyAlignment="1">
      <alignment vertical="center" shrinkToFit="1"/>
    </xf>
    <xf numFmtId="0" fontId="14" fillId="0" borderId="0" xfId="3" applyFont="1" applyAlignment="1">
      <alignment vertical="center" shrinkToFit="1"/>
    </xf>
    <xf numFmtId="0" fontId="14" fillId="0" borderId="36" xfId="3" applyFont="1" applyBorder="1" applyAlignment="1">
      <alignment vertical="center" shrinkToFit="1"/>
    </xf>
    <xf numFmtId="0" fontId="14" fillId="0" borderId="14" xfId="3" applyFont="1" applyBorder="1" applyAlignment="1">
      <alignment vertical="center" shrinkToFit="1"/>
    </xf>
    <xf numFmtId="0" fontId="14" fillId="0" borderId="37" xfId="3" applyFont="1" applyBorder="1" applyAlignment="1">
      <alignment vertical="center" shrinkToFit="1"/>
    </xf>
    <xf numFmtId="38" fontId="14" fillId="0" borderId="14" xfId="4" applyFont="1" applyBorder="1" applyAlignment="1">
      <alignment vertical="center" shrinkToFit="1"/>
    </xf>
    <xf numFmtId="38" fontId="14" fillId="0" borderId="37" xfId="4" applyFont="1" applyBorder="1" applyAlignment="1">
      <alignment vertical="center" shrinkToFit="1"/>
    </xf>
    <xf numFmtId="0" fontId="14" fillId="0" borderId="36" xfId="3" applyFont="1" applyBorder="1" applyAlignment="1">
      <alignment vertical="center" shrinkToFit="1"/>
    </xf>
    <xf numFmtId="0" fontId="14" fillId="0" borderId="14" xfId="3" applyFont="1" applyBorder="1" applyAlignment="1">
      <alignment vertical="center" shrinkToFit="1"/>
    </xf>
    <xf numFmtId="0" fontId="14" fillId="0" borderId="37" xfId="3" applyFont="1" applyBorder="1" applyAlignment="1">
      <alignment vertical="center" shrinkToFit="1"/>
    </xf>
    <xf numFmtId="0" fontId="14" fillId="0" borderId="38" xfId="3" applyFont="1" applyBorder="1" applyAlignment="1">
      <alignment vertical="center" shrinkToFit="1"/>
    </xf>
    <xf numFmtId="0" fontId="14" fillId="0" borderId="39" xfId="3" applyFont="1" applyBorder="1" applyAlignment="1">
      <alignment vertical="center" shrinkToFit="1"/>
    </xf>
    <xf numFmtId="0" fontId="14" fillId="0" borderId="40" xfId="3" applyFont="1" applyBorder="1" applyAlignment="1">
      <alignment vertical="center" shrinkToFit="1"/>
    </xf>
    <xf numFmtId="38" fontId="14" fillId="0" borderId="39" xfId="4" applyFont="1" applyBorder="1" applyAlignment="1">
      <alignment vertical="center" shrinkToFit="1"/>
    </xf>
    <xf numFmtId="38" fontId="14" fillId="0" borderId="40" xfId="4" applyFont="1" applyBorder="1" applyAlignment="1">
      <alignment vertical="center" shrinkToFit="1"/>
    </xf>
    <xf numFmtId="0" fontId="14" fillId="0" borderId="38" xfId="3" applyFont="1" applyBorder="1" applyAlignment="1">
      <alignment vertical="center" shrinkToFit="1"/>
    </xf>
    <xf numFmtId="0" fontId="14" fillId="0" borderId="39" xfId="3" applyFont="1" applyBorder="1" applyAlignment="1">
      <alignment vertical="center" shrinkToFit="1"/>
    </xf>
    <xf numFmtId="0" fontId="14" fillId="0" borderId="40" xfId="3" applyFont="1" applyBorder="1" applyAlignment="1">
      <alignment vertical="center" shrinkToFit="1"/>
    </xf>
    <xf numFmtId="0" fontId="14" fillId="0" borderId="21" xfId="3" applyFont="1" applyBorder="1" applyAlignment="1">
      <alignment horizontal="center" vertical="center" shrinkToFit="1"/>
    </xf>
    <xf numFmtId="0" fontId="14" fillId="0" borderId="17" xfId="3" applyFont="1" applyBorder="1" applyAlignment="1">
      <alignment horizontal="center" vertical="center" shrinkToFit="1"/>
    </xf>
    <xf numFmtId="0" fontId="14" fillId="0" borderId="22" xfId="3" applyFont="1" applyBorder="1" applyAlignment="1">
      <alignment horizontal="center" vertical="center" shrinkToFit="1"/>
    </xf>
    <xf numFmtId="38" fontId="14" fillId="0" borderId="41" xfId="4" applyFont="1" applyBorder="1" applyAlignment="1">
      <alignment vertical="center" shrinkToFit="1"/>
    </xf>
    <xf numFmtId="38" fontId="14" fillId="0" borderId="42" xfId="4" applyFont="1" applyBorder="1" applyAlignment="1">
      <alignment vertical="center" shrinkToFit="1"/>
    </xf>
    <xf numFmtId="0" fontId="14" fillId="0" borderId="43" xfId="3" applyFont="1" applyBorder="1" applyAlignment="1">
      <alignment vertical="center" shrinkToFit="1"/>
    </xf>
    <xf numFmtId="0" fontId="14" fillId="0" borderId="41" xfId="3" applyFont="1" applyBorder="1" applyAlignment="1">
      <alignment vertical="center" shrinkToFit="1"/>
    </xf>
    <xf numFmtId="0" fontId="14" fillId="0" borderId="42" xfId="3" applyFont="1" applyBorder="1" applyAlignment="1">
      <alignment vertical="center" shrinkToFit="1"/>
    </xf>
    <xf numFmtId="0" fontId="14" fillId="0" borderId="44" xfId="3" applyFont="1" applyBorder="1" applyAlignment="1">
      <alignment vertical="center" shrinkToFit="1"/>
    </xf>
    <xf numFmtId="0" fontId="14" fillId="0" borderId="12" xfId="3" applyFont="1" applyBorder="1" applyAlignment="1">
      <alignment vertical="center" shrinkToFit="1"/>
    </xf>
    <xf numFmtId="0" fontId="14" fillId="0" borderId="45" xfId="3" applyFont="1" applyBorder="1" applyAlignment="1">
      <alignment vertical="center" shrinkToFit="1"/>
    </xf>
    <xf numFmtId="0" fontId="14" fillId="0" borderId="46" xfId="3" applyFont="1" applyBorder="1" applyAlignment="1">
      <alignment vertical="center" shrinkToFit="1"/>
    </xf>
    <xf numFmtId="0" fontId="14" fillId="0" borderId="47" xfId="3" applyFont="1" applyBorder="1" applyAlignment="1">
      <alignment vertical="center" shrinkToFit="1"/>
    </xf>
    <xf numFmtId="0" fontId="14" fillId="0" borderId="48" xfId="3" applyFont="1" applyBorder="1" applyAlignment="1">
      <alignment vertical="center" shrinkToFit="1"/>
    </xf>
    <xf numFmtId="0" fontId="14" fillId="0" borderId="34" xfId="3" applyFont="1" applyBorder="1" applyAlignment="1">
      <alignment vertical="center" shrinkToFit="1"/>
    </xf>
    <xf numFmtId="0" fontId="14" fillId="0" borderId="1" xfId="3" applyFont="1" applyBorder="1" applyAlignment="1">
      <alignment vertical="center" shrinkToFit="1"/>
    </xf>
    <xf numFmtId="0" fontId="14" fillId="0" borderId="35" xfId="3" applyFont="1" applyBorder="1" applyAlignment="1">
      <alignment vertical="center" shrinkToFit="1"/>
    </xf>
    <xf numFmtId="0" fontId="14" fillId="0" borderId="34" xfId="3" applyFont="1" applyBorder="1" applyAlignment="1">
      <alignment horizontal="left" vertical="center" shrinkToFit="1"/>
    </xf>
    <xf numFmtId="0" fontId="14" fillId="0" borderId="1" xfId="3" applyFont="1" applyBorder="1" applyAlignment="1">
      <alignment horizontal="left" vertical="center" shrinkToFit="1"/>
    </xf>
    <xf numFmtId="0" fontId="14" fillId="0" borderId="35" xfId="3" applyFont="1" applyBorder="1" applyAlignment="1">
      <alignment horizontal="left" vertical="center" shrinkToFit="1"/>
    </xf>
    <xf numFmtId="38" fontId="14" fillId="0" borderId="36" xfId="4" applyFont="1" applyBorder="1" applyAlignment="1">
      <alignment vertical="center" shrinkToFit="1"/>
    </xf>
    <xf numFmtId="0" fontId="11" fillId="4" borderId="34" xfId="3" applyFont="1" applyFill="1" applyBorder="1" applyAlignment="1">
      <alignment vertical="center" shrinkToFit="1"/>
    </xf>
    <xf numFmtId="0" fontId="11" fillId="4" borderId="1" xfId="3" applyFont="1" applyFill="1" applyBorder="1" applyAlignment="1">
      <alignment vertical="center" shrinkToFit="1"/>
    </xf>
    <xf numFmtId="0" fontId="11" fillId="4" borderId="35" xfId="3" applyFont="1" applyFill="1" applyBorder="1" applyAlignment="1">
      <alignment vertical="center" shrinkToFit="1"/>
    </xf>
    <xf numFmtId="38" fontId="11" fillId="4" borderId="1" xfId="4" applyFont="1" applyFill="1" applyBorder="1" applyAlignment="1">
      <alignment vertical="center" shrinkToFit="1"/>
    </xf>
    <xf numFmtId="38" fontId="11" fillId="4" borderId="35" xfId="4" applyFont="1" applyFill="1" applyBorder="1" applyAlignment="1">
      <alignment vertical="center" shrinkToFit="1"/>
    </xf>
    <xf numFmtId="0" fontId="11" fillId="4" borderId="34" xfId="3" applyFont="1" applyFill="1" applyBorder="1" applyAlignment="1">
      <alignment vertical="center" shrinkToFit="1"/>
    </xf>
    <xf numFmtId="0" fontId="11" fillId="4" borderId="1" xfId="3" applyFont="1" applyFill="1" applyBorder="1" applyAlignment="1">
      <alignment vertical="center" shrinkToFit="1"/>
    </xf>
    <xf numFmtId="0" fontId="11" fillId="4" borderId="35" xfId="3" applyFont="1" applyFill="1" applyBorder="1" applyAlignment="1">
      <alignment vertical="center" shrinkToFit="1"/>
    </xf>
    <xf numFmtId="0" fontId="14" fillId="0" borderId="34" xfId="3" applyFont="1" applyBorder="1" applyAlignment="1">
      <alignment vertical="center" shrinkToFit="1"/>
    </xf>
    <xf numFmtId="0" fontId="14" fillId="0" borderId="1" xfId="3" applyFont="1" applyBorder="1" applyAlignment="1">
      <alignment vertical="center" shrinkToFit="1"/>
    </xf>
    <xf numFmtId="0" fontId="14" fillId="0" borderId="35" xfId="3" applyFont="1" applyBorder="1" applyAlignment="1">
      <alignment vertical="center" shrinkToFit="1"/>
    </xf>
    <xf numFmtId="38" fontId="11" fillId="0" borderId="1" xfId="4" applyFont="1" applyBorder="1" applyAlignment="1">
      <alignment vertical="center" shrinkToFit="1"/>
    </xf>
    <xf numFmtId="38" fontId="11" fillId="0" borderId="35" xfId="4" applyFont="1" applyBorder="1" applyAlignment="1">
      <alignment vertical="center" shrinkToFit="1"/>
    </xf>
    <xf numFmtId="38" fontId="11" fillId="0" borderId="34" xfId="4" applyFont="1" applyBorder="1" applyAlignment="1">
      <alignment vertical="center" shrinkToFit="1"/>
    </xf>
    <xf numFmtId="0" fontId="14" fillId="0" borderId="46" xfId="3" applyFont="1" applyBorder="1" applyAlignment="1">
      <alignment horizontal="left" vertical="center" shrinkToFit="1"/>
    </xf>
    <xf numFmtId="0" fontId="14" fillId="0" borderId="47" xfId="3" applyFont="1" applyBorder="1" applyAlignment="1">
      <alignment horizontal="left" vertical="center" shrinkToFit="1"/>
    </xf>
    <xf numFmtId="0" fontId="14" fillId="0" borderId="48" xfId="3" applyFont="1" applyBorder="1" applyAlignment="1">
      <alignment horizontal="left" vertical="center" shrinkToFit="1"/>
    </xf>
    <xf numFmtId="0" fontId="14" fillId="0" borderId="49" xfId="3" applyFont="1" applyBorder="1" applyAlignment="1">
      <alignment horizontal="left" vertical="center" shrinkToFit="1"/>
    </xf>
    <xf numFmtId="0" fontId="14" fillId="0" borderId="50" xfId="3" applyFont="1" applyBorder="1" applyAlignment="1">
      <alignment horizontal="left" vertical="center" shrinkToFit="1"/>
    </xf>
    <xf numFmtId="0" fontId="14" fillId="0" borderId="51" xfId="3" applyFont="1" applyBorder="1" applyAlignment="1">
      <alignment horizontal="left" vertical="center" shrinkToFit="1"/>
    </xf>
    <xf numFmtId="38" fontId="11" fillId="0" borderId="39" xfId="4" applyFont="1" applyBorder="1" applyAlignment="1">
      <alignment vertical="center" shrinkToFit="1"/>
    </xf>
    <xf numFmtId="38" fontId="11" fillId="0" borderId="40" xfId="4" applyFont="1" applyBorder="1" applyAlignment="1">
      <alignment vertical="center" shrinkToFit="1"/>
    </xf>
    <xf numFmtId="38" fontId="11" fillId="0" borderId="38" xfId="4" applyFont="1" applyBorder="1" applyAlignment="1">
      <alignment vertical="center" shrinkToFit="1"/>
    </xf>
    <xf numFmtId="0" fontId="14" fillId="0" borderId="52" xfId="3" applyFont="1" applyBorder="1" applyAlignment="1">
      <alignment vertical="center" shrinkToFit="1"/>
    </xf>
    <xf numFmtId="0" fontId="14" fillId="0" borderId="53" xfId="3" applyFont="1" applyBorder="1" applyAlignment="1">
      <alignment vertical="center" shrinkToFit="1"/>
    </xf>
    <xf numFmtId="0" fontId="14" fillId="0" borderId="54" xfId="3" applyFont="1" applyBorder="1" applyAlignment="1">
      <alignment vertical="center" shrinkToFit="1"/>
    </xf>
    <xf numFmtId="38" fontId="11" fillId="0" borderId="53" xfId="4" applyFont="1" applyBorder="1" applyAlignment="1">
      <alignment vertical="center" shrinkToFit="1"/>
    </xf>
    <xf numFmtId="38" fontId="11" fillId="0" borderId="54" xfId="4" applyFont="1" applyBorder="1" applyAlignment="1">
      <alignment vertical="center" shrinkToFit="1"/>
    </xf>
    <xf numFmtId="38" fontId="11" fillId="0" borderId="52" xfId="4" applyFont="1" applyBorder="1" applyAlignment="1">
      <alignment vertical="center" shrinkToFit="1"/>
    </xf>
    <xf numFmtId="0" fontId="11" fillId="5" borderId="36" xfId="3" applyFont="1" applyFill="1" applyBorder="1" applyAlignment="1">
      <alignment vertical="center" shrinkToFit="1"/>
    </xf>
    <xf numFmtId="0" fontId="11" fillId="5" borderId="14" xfId="3" applyFont="1" applyFill="1" applyBorder="1" applyAlignment="1">
      <alignment vertical="center" shrinkToFit="1"/>
    </xf>
    <xf numFmtId="0" fontId="11" fillId="5" borderId="37" xfId="3" applyFont="1" applyFill="1" applyBorder="1" applyAlignment="1">
      <alignment vertical="center" shrinkToFit="1"/>
    </xf>
    <xf numFmtId="38" fontId="11" fillId="5" borderId="14" xfId="4" applyFont="1" applyFill="1" applyBorder="1" applyAlignment="1">
      <alignment vertical="center" shrinkToFit="1"/>
    </xf>
    <xf numFmtId="38" fontId="11" fillId="5" borderId="37" xfId="4" applyFont="1" applyFill="1" applyBorder="1" applyAlignment="1">
      <alignment vertical="center" shrinkToFit="1"/>
    </xf>
    <xf numFmtId="38" fontId="11" fillId="5" borderId="36" xfId="4" applyFont="1" applyFill="1" applyBorder="1" applyAlignment="1">
      <alignment vertical="center" shrinkToFit="1"/>
    </xf>
    <xf numFmtId="0" fontId="15" fillId="0" borderId="34" xfId="3" applyFont="1" applyBorder="1" applyAlignment="1">
      <alignment vertical="center" shrinkToFit="1"/>
    </xf>
    <xf numFmtId="0" fontId="15" fillId="0" borderId="1" xfId="3" applyFont="1" applyBorder="1" applyAlignment="1">
      <alignment vertical="center" shrinkToFit="1"/>
    </xf>
    <xf numFmtId="0" fontId="15" fillId="0" borderId="35" xfId="3" applyFont="1" applyBorder="1" applyAlignment="1">
      <alignment vertical="center" shrinkToFit="1"/>
    </xf>
    <xf numFmtId="38" fontId="15" fillId="0" borderId="1" xfId="4" applyFont="1" applyBorder="1" applyAlignment="1">
      <alignment vertical="center" shrinkToFit="1"/>
    </xf>
    <xf numFmtId="38" fontId="15" fillId="0" borderId="35" xfId="4" applyFont="1" applyBorder="1" applyAlignment="1">
      <alignment vertical="center" shrinkToFit="1"/>
    </xf>
    <xf numFmtId="38" fontId="15" fillId="0" borderId="34" xfId="4" applyFont="1" applyBorder="1" applyAlignment="1">
      <alignment vertical="center" shrinkToFit="1"/>
    </xf>
    <xf numFmtId="0" fontId="15" fillId="0" borderId="0" xfId="3" applyFont="1" applyAlignment="1">
      <alignment vertical="center" shrinkToFit="1"/>
    </xf>
    <xf numFmtId="0" fontId="15" fillId="0" borderId="46" xfId="3" applyFont="1" applyBorder="1" applyAlignment="1">
      <alignment vertical="center" shrinkToFit="1"/>
    </xf>
    <xf numFmtId="0" fontId="15" fillId="0" borderId="47" xfId="3" applyFont="1" applyBorder="1" applyAlignment="1">
      <alignment vertical="center" shrinkToFit="1"/>
    </xf>
    <xf numFmtId="0" fontId="15" fillId="0" borderId="48" xfId="3" applyFont="1" applyBorder="1" applyAlignment="1">
      <alignment vertical="center" shrinkToFit="1"/>
    </xf>
    <xf numFmtId="0" fontId="11" fillId="0" borderId="34" xfId="3" applyFont="1" applyBorder="1" applyAlignment="1">
      <alignment vertical="center" shrinkToFit="1"/>
    </xf>
    <xf numFmtId="0" fontId="11" fillId="0" borderId="1" xfId="3" applyFont="1" applyBorder="1" applyAlignment="1">
      <alignment vertical="center" shrinkToFit="1"/>
    </xf>
    <xf numFmtId="0" fontId="11" fillId="0" borderId="35" xfId="3" applyFont="1" applyBorder="1" applyAlignment="1">
      <alignment vertical="center" shrinkToFit="1"/>
    </xf>
    <xf numFmtId="0" fontId="11" fillId="0" borderId="34" xfId="3" applyFont="1" applyBorder="1">
      <alignment vertical="center"/>
    </xf>
    <xf numFmtId="0" fontId="11" fillId="0" borderId="1" xfId="3" applyFont="1" applyBorder="1">
      <alignment vertical="center"/>
    </xf>
    <xf numFmtId="0" fontId="11" fillId="0" borderId="35" xfId="3" applyFont="1" applyBorder="1">
      <alignment vertical="center"/>
    </xf>
    <xf numFmtId="0" fontId="10" fillId="4" borderId="34" xfId="3" applyFont="1" applyFill="1" applyBorder="1" applyAlignment="1">
      <alignment vertical="center" shrinkToFit="1"/>
    </xf>
    <xf numFmtId="0" fontId="10" fillId="4" borderId="1" xfId="3" applyFont="1" applyFill="1" applyBorder="1">
      <alignment vertical="center"/>
    </xf>
    <xf numFmtId="0" fontId="11" fillId="0" borderId="46" xfId="3" applyFont="1" applyBorder="1" applyAlignment="1">
      <alignment horizontal="center" vertical="center" shrinkToFit="1"/>
    </xf>
    <xf numFmtId="0" fontId="11" fillId="0" borderId="47" xfId="3" applyFont="1" applyBorder="1" applyAlignment="1">
      <alignment horizontal="center" vertical="center" shrinkToFit="1"/>
    </xf>
    <xf numFmtId="0" fontId="11" fillId="0" borderId="48" xfId="3" applyFont="1" applyBorder="1" applyAlignment="1">
      <alignment horizontal="center" vertical="center" shrinkToFit="1"/>
    </xf>
    <xf numFmtId="0" fontId="11" fillId="0" borderId="34" xfId="3" applyFont="1" applyBorder="1" applyAlignment="1">
      <alignment vertical="center" shrinkToFit="1"/>
    </xf>
    <xf numFmtId="0" fontId="11" fillId="0" borderId="1" xfId="3" applyFont="1" applyBorder="1" applyAlignment="1">
      <alignment vertical="center" shrinkToFit="1"/>
    </xf>
    <xf numFmtId="0" fontId="11" fillId="0" borderId="35" xfId="3" applyFont="1" applyBorder="1" applyAlignment="1">
      <alignment vertical="center" shrinkToFit="1"/>
    </xf>
    <xf numFmtId="179" fontId="14" fillId="0" borderId="34" xfId="4" applyNumberFormat="1" applyFont="1" applyBorder="1" applyAlignment="1">
      <alignment vertical="center" shrinkToFit="1"/>
    </xf>
    <xf numFmtId="179" fontId="14" fillId="0" borderId="1" xfId="3" applyNumberFormat="1" applyFont="1" applyBorder="1" applyAlignment="1">
      <alignment vertical="center" shrinkToFit="1"/>
    </xf>
    <xf numFmtId="179" fontId="14" fillId="0" borderId="35" xfId="3" applyNumberFormat="1" applyFont="1" applyBorder="1" applyAlignment="1">
      <alignment vertical="center" shrinkToFit="1"/>
    </xf>
    <xf numFmtId="179" fontId="14" fillId="0" borderId="1" xfId="4" applyNumberFormat="1" applyFont="1" applyBorder="1" applyAlignment="1">
      <alignment vertical="center" shrinkToFit="1"/>
    </xf>
    <xf numFmtId="179" fontId="14" fillId="0" borderId="35" xfId="4" applyNumberFormat="1" applyFont="1" applyBorder="1" applyAlignment="1">
      <alignment vertical="center" shrinkToFit="1"/>
    </xf>
    <xf numFmtId="0" fontId="10" fillId="4" borderId="55" xfId="3" applyFont="1" applyFill="1" applyBorder="1" applyAlignment="1">
      <alignment vertical="center" shrinkToFit="1"/>
    </xf>
    <xf numFmtId="0" fontId="10" fillId="4" borderId="5" xfId="3" applyFont="1" applyFill="1" applyBorder="1">
      <alignment vertical="center"/>
    </xf>
    <xf numFmtId="0" fontId="11" fillId="4" borderId="56" xfId="3" applyFont="1" applyFill="1" applyBorder="1" applyAlignment="1">
      <alignment vertical="center" shrinkToFit="1"/>
    </xf>
    <xf numFmtId="38" fontId="11" fillId="4" borderId="6" xfId="4" applyFont="1" applyFill="1" applyBorder="1" applyAlignment="1">
      <alignment vertical="center" shrinkToFit="1"/>
    </xf>
    <xf numFmtId="38" fontId="11" fillId="4" borderId="57" xfId="4" applyFont="1" applyFill="1" applyBorder="1" applyAlignment="1">
      <alignment vertical="center" shrinkToFit="1"/>
    </xf>
    <xf numFmtId="0" fontId="11" fillId="4" borderId="58" xfId="3" applyFont="1" applyFill="1" applyBorder="1" applyAlignment="1">
      <alignment vertical="center" shrinkToFit="1"/>
    </xf>
    <xf numFmtId="0" fontId="11" fillId="4" borderId="6" xfId="3" applyFont="1" applyFill="1" applyBorder="1" applyAlignment="1">
      <alignment vertical="center" shrinkToFit="1"/>
    </xf>
    <xf numFmtId="0" fontId="11" fillId="4" borderId="57" xfId="3" applyFont="1" applyFill="1" applyBorder="1" applyAlignment="1">
      <alignment vertical="center" shrinkToFit="1"/>
    </xf>
    <xf numFmtId="0" fontId="14" fillId="0" borderId="59" xfId="3" applyFont="1" applyBorder="1" applyAlignment="1">
      <alignment vertical="center" shrinkToFit="1"/>
    </xf>
    <xf numFmtId="0" fontId="14" fillId="0" borderId="60" xfId="3" applyFont="1" applyBorder="1" applyAlignment="1">
      <alignment vertical="center" shrinkToFit="1"/>
    </xf>
    <xf numFmtId="0" fontId="14" fillId="0" borderId="61" xfId="3" applyFont="1" applyBorder="1" applyAlignment="1">
      <alignment vertical="center" shrinkToFit="1"/>
    </xf>
    <xf numFmtId="38" fontId="11" fillId="0" borderId="26" xfId="4" applyFont="1" applyBorder="1" applyAlignment="1">
      <alignment vertical="center" shrinkToFit="1"/>
    </xf>
    <xf numFmtId="38" fontId="11" fillId="0" borderId="27" xfId="4" applyFont="1" applyBorder="1" applyAlignment="1">
      <alignment vertical="center" shrinkToFit="1"/>
    </xf>
    <xf numFmtId="38" fontId="11" fillId="0" borderId="28" xfId="4" applyFont="1" applyBorder="1" applyAlignment="1">
      <alignment vertical="center" shrinkToFit="1"/>
    </xf>
    <xf numFmtId="38" fontId="11" fillId="0" borderId="62" xfId="4" applyFont="1" applyBorder="1" applyAlignment="1">
      <alignment horizontal="center" vertical="center" shrinkToFit="1"/>
    </xf>
    <xf numFmtId="38" fontId="11" fillId="0" borderId="63" xfId="4" applyFont="1" applyBorder="1" applyAlignment="1">
      <alignment horizontal="center" vertical="center" shrinkToFit="1"/>
    </xf>
    <xf numFmtId="38" fontId="11" fillId="0" borderId="64" xfId="4" applyFont="1" applyBorder="1" applyAlignment="1">
      <alignment horizontal="center" vertical="center" shrinkToFit="1"/>
    </xf>
    <xf numFmtId="38" fontId="11" fillId="0" borderId="14" xfId="4" applyFont="1" applyBorder="1" applyAlignment="1">
      <alignment vertical="center" shrinkToFit="1"/>
    </xf>
    <xf numFmtId="38" fontId="11" fillId="0" borderId="37" xfId="4" applyFont="1" applyBorder="1" applyAlignment="1">
      <alignment vertical="center" shrinkToFit="1"/>
    </xf>
    <xf numFmtId="38" fontId="11" fillId="0" borderId="36" xfId="4" applyFont="1" applyBorder="1" applyAlignment="1">
      <alignment horizontal="center" vertical="center" shrinkToFit="1"/>
    </xf>
    <xf numFmtId="38" fontId="11" fillId="0" borderId="14" xfId="4" applyFont="1" applyBorder="1" applyAlignment="1">
      <alignment horizontal="center" vertical="center" shrinkToFit="1"/>
    </xf>
    <xf numFmtId="38" fontId="11" fillId="0" borderId="37" xfId="4" applyFont="1" applyBorder="1" applyAlignment="1">
      <alignment horizontal="center" vertical="center" shrinkToFit="1"/>
    </xf>
    <xf numFmtId="0" fontId="16" fillId="0" borderId="46" xfId="3" applyFont="1" applyBorder="1" applyAlignment="1">
      <alignment vertical="center" shrinkToFit="1"/>
    </xf>
    <xf numFmtId="0" fontId="14" fillId="0" borderId="49" xfId="3" applyFont="1" applyBorder="1" applyAlignment="1">
      <alignment vertical="center" shrinkToFit="1"/>
    </xf>
    <xf numFmtId="0" fontId="14" fillId="0" borderId="50" xfId="3" applyFont="1" applyBorder="1" applyAlignment="1">
      <alignment vertical="center" shrinkToFit="1"/>
    </xf>
    <xf numFmtId="0" fontId="14" fillId="0" borderId="51" xfId="3" applyFont="1" applyBorder="1" applyAlignment="1">
      <alignment vertical="center" shrinkToFit="1"/>
    </xf>
    <xf numFmtId="38" fontId="11" fillId="0" borderId="6" xfId="4" applyFont="1" applyBorder="1" applyAlignment="1">
      <alignment vertical="center" shrinkToFit="1"/>
    </xf>
    <xf numFmtId="38" fontId="11" fillId="0" borderId="57" xfId="4" applyFont="1" applyBorder="1" applyAlignment="1">
      <alignment vertical="center" shrinkToFit="1"/>
    </xf>
    <xf numFmtId="38" fontId="11" fillId="0" borderId="58" xfId="4" applyFont="1" applyBorder="1" applyAlignment="1">
      <alignment vertical="center" shrinkToFit="1"/>
    </xf>
    <xf numFmtId="0" fontId="14" fillId="0" borderId="65" xfId="3" applyFont="1" applyBorder="1" applyAlignment="1">
      <alignment vertical="center" shrinkToFit="1"/>
    </xf>
    <xf numFmtId="0" fontId="14" fillId="0" borderId="66" xfId="3" applyFont="1" applyBorder="1" applyAlignment="1">
      <alignment vertical="center" shrinkToFit="1"/>
    </xf>
    <xf numFmtId="0" fontId="14" fillId="0" borderId="67" xfId="3" applyFont="1" applyBorder="1" applyAlignment="1">
      <alignment vertical="center" shrinkToFit="1"/>
    </xf>
    <xf numFmtId="38" fontId="11" fillId="0" borderId="15" xfId="4" applyFont="1" applyBorder="1" applyAlignment="1">
      <alignment vertical="center" shrinkToFit="1"/>
    </xf>
    <xf numFmtId="38" fontId="11" fillId="0" borderId="32" xfId="4" applyFont="1" applyBorder="1" applyAlignment="1">
      <alignment vertical="center" shrinkToFit="1"/>
    </xf>
    <xf numFmtId="38" fontId="11" fillId="0" borderId="33" xfId="4" applyFont="1" applyBorder="1" applyAlignment="1">
      <alignment vertical="center" shrinkToFit="1"/>
    </xf>
    <xf numFmtId="38" fontId="11" fillId="0" borderId="41" xfId="4" applyFont="1" applyBorder="1" applyAlignment="1">
      <alignment vertical="center" shrinkToFit="1"/>
    </xf>
    <xf numFmtId="38" fontId="11" fillId="0" borderId="42" xfId="4" applyFont="1" applyBorder="1" applyAlignment="1">
      <alignment vertical="center" shrinkToFit="1"/>
    </xf>
    <xf numFmtId="0" fontId="11" fillId="0" borderId="43" xfId="3" applyFont="1" applyBorder="1" applyAlignment="1">
      <alignment vertical="center" shrinkToFit="1"/>
    </xf>
    <xf numFmtId="0" fontId="11" fillId="0" borderId="41" xfId="3" applyFont="1" applyBorder="1" applyAlignment="1">
      <alignment vertical="center" shrinkToFit="1"/>
    </xf>
    <xf numFmtId="0" fontId="14" fillId="0" borderId="68" xfId="3" applyFont="1" applyBorder="1" applyAlignment="1">
      <alignment vertical="center" shrinkToFit="1"/>
    </xf>
    <xf numFmtId="0" fontId="14" fillId="0" borderId="69" xfId="3" applyFont="1" applyBorder="1" applyAlignment="1">
      <alignment vertical="center" shrinkToFit="1"/>
    </xf>
    <xf numFmtId="0" fontId="14" fillId="0" borderId="70" xfId="3" applyFont="1" applyBorder="1" applyAlignment="1">
      <alignment vertical="center" shrinkToFit="1"/>
    </xf>
    <xf numFmtId="38" fontId="11" fillId="0" borderId="71" xfId="4" applyFont="1" applyBorder="1" applyAlignment="1">
      <alignment vertical="center" shrinkToFit="1"/>
    </xf>
    <xf numFmtId="38" fontId="11" fillId="0" borderId="72" xfId="4" applyFont="1" applyBorder="1" applyAlignment="1">
      <alignment vertical="center" shrinkToFit="1"/>
    </xf>
    <xf numFmtId="0" fontId="11" fillId="3" borderId="73" xfId="3" applyFont="1" applyFill="1" applyBorder="1" applyAlignment="1">
      <alignment horizontal="center" vertical="center"/>
    </xf>
    <xf numFmtId="38" fontId="11" fillId="0" borderId="74" xfId="4" applyFont="1" applyBorder="1" applyAlignment="1">
      <alignment vertical="center" shrinkToFit="1"/>
    </xf>
    <xf numFmtId="0" fontId="11" fillId="4" borderId="0" xfId="3" applyFont="1" applyFill="1" applyAlignment="1">
      <alignment vertical="center" shrinkToFit="1"/>
    </xf>
    <xf numFmtId="0" fontId="10" fillId="0" borderId="59" xfId="3" applyFont="1" applyBorder="1" applyAlignment="1">
      <alignment horizontal="left" vertical="center"/>
    </xf>
    <xf numFmtId="0" fontId="10" fillId="0" borderId="60" xfId="3" applyFont="1" applyBorder="1" applyAlignment="1">
      <alignment horizontal="left" vertical="center"/>
    </xf>
    <xf numFmtId="0" fontId="10" fillId="0" borderId="75" xfId="3" applyFont="1" applyBorder="1" applyAlignment="1">
      <alignment horizontal="left" vertical="center"/>
    </xf>
    <xf numFmtId="0" fontId="11" fillId="0" borderId="27" xfId="3" applyFont="1" applyBorder="1" applyAlignment="1">
      <alignment vertical="center" shrinkToFit="1"/>
    </xf>
    <xf numFmtId="0" fontId="11" fillId="0" borderId="28" xfId="3" applyFont="1" applyBorder="1" applyAlignment="1">
      <alignment vertical="center" shrinkToFit="1"/>
    </xf>
    <xf numFmtId="0" fontId="10" fillId="0" borderId="46" xfId="3" applyFont="1" applyBorder="1" applyAlignment="1">
      <alignment horizontal="left" vertical="center"/>
    </xf>
    <xf numFmtId="0" fontId="10" fillId="0" borderId="47" xfId="3" applyFont="1" applyBorder="1" applyAlignment="1">
      <alignment horizontal="left" vertical="center"/>
    </xf>
    <xf numFmtId="0" fontId="10" fillId="0" borderId="16" xfId="3" applyFont="1" applyBorder="1" applyAlignment="1">
      <alignment horizontal="left" vertical="center"/>
    </xf>
    <xf numFmtId="0" fontId="11" fillId="0" borderId="6" xfId="3" applyFont="1" applyBorder="1" applyAlignment="1">
      <alignment vertical="center" shrinkToFit="1"/>
    </xf>
    <xf numFmtId="0" fontId="11" fillId="0" borderId="57" xfId="3" applyFont="1" applyBorder="1" applyAlignment="1">
      <alignment vertical="center" shrinkToFit="1"/>
    </xf>
    <xf numFmtId="0" fontId="10" fillId="0" borderId="49" xfId="3" applyFont="1" applyBorder="1" applyAlignment="1">
      <alignment horizontal="left" vertical="center"/>
    </xf>
    <xf numFmtId="0" fontId="10" fillId="0" borderId="50" xfId="3" applyFont="1" applyBorder="1" applyAlignment="1">
      <alignment horizontal="left" vertical="center"/>
    </xf>
    <xf numFmtId="0" fontId="10" fillId="0" borderId="76" xfId="3" applyFont="1" applyBorder="1" applyAlignment="1">
      <alignment horizontal="left" vertical="center"/>
    </xf>
    <xf numFmtId="0" fontId="11" fillId="0" borderId="39" xfId="3" applyFont="1" applyBorder="1" applyAlignment="1">
      <alignment vertical="center" shrinkToFit="1"/>
    </xf>
    <xf numFmtId="0" fontId="11" fillId="0" borderId="40" xfId="3" applyFont="1" applyBorder="1" applyAlignment="1">
      <alignment vertical="center" shrinkToFit="1"/>
    </xf>
    <xf numFmtId="0" fontId="10" fillId="0" borderId="21" xfId="3" applyFont="1" applyBorder="1" applyAlignment="1">
      <alignment horizontal="left" vertical="center"/>
    </xf>
    <xf numFmtId="0" fontId="10" fillId="0" borderId="17" xfId="3" applyFont="1" applyBorder="1" applyAlignment="1">
      <alignment horizontal="left" vertical="center"/>
    </xf>
    <xf numFmtId="0" fontId="10" fillId="0" borderId="77" xfId="3" applyFont="1" applyBorder="1" applyAlignment="1">
      <alignment horizontal="left" vertical="center"/>
    </xf>
    <xf numFmtId="0" fontId="11" fillId="3" borderId="17" xfId="3" applyFont="1" applyFill="1" applyBorder="1" applyAlignment="1">
      <alignment horizontal="center" vertical="center"/>
    </xf>
    <xf numFmtId="38" fontId="11" fillId="3" borderId="17" xfId="4" applyFont="1" applyFill="1" applyBorder="1" applyAlignment="1">
      <alignment horizontal="center" vertical="center"/>
    </xf>
    <xf numFmtId="0" fontId="11" fillId="0" borderId="42" xfId="3" applyFont="1" applyBorder="1" applyAlignment="1">
      <alignment vertical="center" shrinkToFit="1"/>
    </xf>
    <xf numFmtId="0" fontId="10" fillId="0" borderId="0" xfId="3" applyFont="1">
      <alignment vertical="center"/>
    </xf>
    <xf numFmtId="180" fontId="17" fillId="0" borderId="0" xfId="3" applyNumberFormat="1" applyFont="1" applyAlignment="1">
      <alignment horizontal="left" vertical="center" shrinkToFit="1"/>
    </xf>
    <xf numFmtId="180" fontId="17" fillId="0" borderId="0" xfId="3" applyNumberFormat="1" applyFont="1" applyAlignment="1">
      <alignment vertical="center" shrinkToFit="1"/>
    </xf>
    <xf numFmtId="181" fontId="17" fillId="6" borderId="0" xfId="5" applyNumberFormat="1" applyFont="1" applyFill="1" applyAlignment="1">
      <alignment vertical="center" shrinkToFit="1"/>
    </xf>
    <xf numFmtId="180" fontId="18" fillId="0" borderId="78" xfId="3" applyNumberFormat="1" applyFont="1" applyBorder="1" applyAlignment="1">
      <alignment horizontal="center" vertical="center" shrinkToFit="1"/>
    </xf>
    <xf numFmtId="180" fontId="18" fillId="0" borderId="79" xfId="3" applyNumberFormat="1" applyFont="1" applyBorder="1" applyAlignment="1">
      <alignment horizontal="center" vertical="center" shrinkToFit="1"/>
    </xf>
    <xf numFmtId="180" fontId="18" fillId="0" borderId="80" xfId="3" applyNumberFormat="1" applyFont="1" applyBorder="1" applyAlignment="1">
      <alignment horizontal="center" vertical="center" shrinkToFit="1"/>
    </xf>
    <xf numFmtId="180" fontId="18" fillId="0" borderId="23" xfId="4" applyNumberFormat="1" applyFont="1" applyBorder="1" applyAlignment="1">
      <alignment horizontal="center" vertical="center" shrinkToFit="1"/>
    </xf>
    <xf numFmtId="180" fontId="19" fillId="0" borderId="23" xfId="4" applyNumberFormat="1" applyFont="1" applyBorder="1" applyAlignment="1">
      <alignment horizontal="center" vertical="center" shrinkToFit="1"/>
    </xf>
    <xf numFmtId="181" fontId="18" fillId="6" borderId="24" xfId="5" applyNumberFormat="1" applyFont="1" applyFill="1" applyBorder="1" applyAlignment="1">
      <alignment horizontal="center" vertical="center" shrinkToFit="1"/>
    </xf>
    <xf numFmtId="180" fontId="18" fillId="0" borderId="0" xfId="3" applyNumberFormat="1" applyFont="1" applyAlignment="1">
      <alignment horizontal="center" vertical="center" shrinkToFit="1"/>
    </xf>
    <xf numFmtId="180" fontId="18" fillId="7" borderId="81" xfId="3" applyNumberFormat="1" applyFont="1" applyFill="1" applyBorder="1" applyAlignment="1">
      <alignment horizontal="center" vertical="center" shrinkToFit="1"/>
    </xf>
    <xf numFmtId="180" fontId="18" fillId="7" borderId="12" xfId="3" applyNumberFormat="1" applyFont="1" applyFill="1" applyBorder="1" applyAlignment="1">
      <alignment horizontal="center" vertical="center" shrinkToFit="1"/>
    </xf>
    <xf numFmtId="180" fontId="18" fillId="7" borderId="11" xfId="3" applyNumberFormat="1" applyFont="1" applyFill="1" applyBorder="1" applyAlignment="1">
      <alignment horizontal="center" vertical="center" shrinkToFit="1"/>
    </xf>
    <xf numFmtId="180" fontId="18" fillId="7" borderId="14" xfId="4" applyNumberFormat="1" applyFont="1" applyFill="1" applyBorder="1" applyAlignment="1">
      <alignment horizontal="right" vertical="center" shrinkToFit="1"/>
    </xf>
    <xf numFmtId="181" fontId="18" fillId="7" borderId="37" xfId="5" applyNumberFormat="1" applyFont="1" applyFill="1" applyBorder="1" applyAlignment="1">
      <alignment horizontal="center" vertical="center" shrinkToFit="1"/>
    </xf>
    <xf numFmtId="180" fontId="18" fillId="7" borderId="0" xfId="3" applyNumberFormat="1" applyFont="1" applyFill="1" applyAlignment="1">
      <alignment horizontal="center" vertical="center" shrinkToFit="1"/>
    </xf>
    <xf numFmtId="180" fontId="18" fillId="7" borderId="8" xfId="3" applyNumberFormat="1" applyFont="1" applyFill="1" applyBorder="1" applyAlignment="1">
      <alignment horizontal="center" vertical="center" shrinkToFit="1"/>
    </xf>
    <xf numFmtId="180" fontId="20" fillId="8" borderId="2" xfId="3" applyNumberFormat="1" applyFont="1" applyFill="1" applyBorder="1" applyAlignment="1">
      <alignment horizontal="center" vertical="center" shrinkToFit="1"/>
    </xf>
    <xf numFmtId="180" fontId="20" fillId="8" borderId="8" xfId="3" applyNumberFormat="1" applyFont="1" applyFill="1" applyBorder="1" applyAlignment="1">
      <alignment horizontal="center" vertical="center" shrinkToFit="1"/>
    </xf>
    <xf numFmtId="180" fontId="20" fillId="8" borderId="14" xfId="4" applyNumberFormat="1" applyFont="1" applyFill="1" applyBorder="1" applyAlignment="1">
      <alignment horizontal="right" vertical="center" shrinkToFit="1"/>
    </xf>
    <xf numFmtId="181" fontId="20" fillId="8" borderId="37" xfId="5" applyNumberFormat="1" applyFont="1" applyFill="1" applyBorder="1" applyAlignment="1">
      <alignment horizontal="center" vertical="center" shrinkToFit="1"/>
    </xf>
    <xf numFmtId="180" fontId="18" fillId="7" borderId="81" xfId="3" applyNumberFormat="1" applyFont="1" applyFill="1" applyBorder="1" applyAlignment="1">
      <alignment horizontal="center" vertical="center" shrinkToFit="1"/>
    </xf>
    <xf numFmtId="180" fontId="20" fillId="8" borderId="16" xfId="3" applyNumberFormat="1" applyFont="1" applyFill="1" applyBorder="1" applyAlignment="1">
      <alignment horizontal="center" vertical="center" shrinkToFit="1"/>
    </xf>
    <xf numFmtId="180" fontId="20" fillId="8" borderId="1" xfId="3" applyNumberFormat="1" applyFont="1" applyFill="1" applyBorder="1" applyAlignment="1">
      <alignment horizontal="center" vertical="center" shrinkToFit="1"/>
    </xf>
    <xf numFmtId="180" fontId="20" fillId="8" borderId="14" xfId="4" applyNumberFormat="1" applyFont="1" applyFill="1" applyBorder="1" applyAlignment="1">
      <alignment horizontal="center" vertical="center" shrinkToFit="1"/>
    </xf>
    <xf numFmtId="180" fontId="20" fillId="8" borderId="37" xfId="4" applyNumberFormat="1" applyFont="1" applyFill="1" applyBorder="1" applyAlignment="1">
      <alignment horizontal="right" vertical="center" shrinkToFit="1"/>
    </xf>
    <xf numFmtId="180" fontId="18" fillId="9" borderId="6" xfId="4" applyNumberFormat="1" applyFont="1" applyFill="1" applyBorder="1" applyAlignment="1">
      <alignment horizontal="left" vertical="center" shrinkToFit="1"/>
    </xf>
    <xf numFmtId="180" fontId="18" fillId="9" borderId="1" xfId="4" applyNumberFormat="1" applyFont="1" applyFill="1" applyBorder="1" applyAlignment="1">
      <alignment horizontal="left" vertical="center" shrinkToFit="1"/>
    </xf>
    <xf numFmtId="180" fontId="18" fillId="9" borderId="1" xfId="4" applyNumberFormat="1" applyFont="1" applyFill="1" applyBorder="1" applyAlignment="1">
      <alignment vertical="center" shrinkToFit="1"/>
    </xf>
    <xf numFmtId="181" fontId="18" fillId="9" borderId="35" xfId="5" applyNumberFormat="1" applyFont="1" applyFill="1" applyBorder="1" applyAlignment="1">
      <alignment vertical="center" shrinkToFit="1"/>
    </xf>
    <xf numFmtId="180" fontId="18" fillId="0" borderId="0" xfId="3" applyNumberFormat="1" applyFont="1" applyAlignment="1">
      <alignment vertical="center" shrinkToFit="1"/>
    </xf>
    <xf numFmtId="180" fontId="18" fillId="7" borderId="81" xfId="3" applyNumberFormat="1" applyFont="1" applyFill="1" applyBorder="1" applyAlignment="1">
      <alignment vertical="center" shrinkToFit="1"/>
    </xf>
    <xf numFmtId="180" fontId="18" fillId="9" borderId="14" xfId="3" applyNumberFormat="1" applyFont="1" applyFill="1" applyBorder="1" applyAlignment="1">
      <alignment horizontal="center" vertical="center" shrinkToFit="1"/>
    </xf>
    <xf numFmtId="180" fontId="19" fillId="0" borderId="1" xfId="4" applyNumberFormat="1" applyFont="1" applyBorder="1" applyAlignment="1">
      <alignment vertical="center" shrinkToFit="1"/>
    </xf>
    <xf numFmtId="180" fontId="18" fillId="0" borderId="1" xfId="4" applyNumberFormat="1" applyFont="1" applyBorder="1" applyAlignment="1">
      <alignment vertical="center" shrinkToFit="1"/>
    </xf>
    <xf numFmtId="181" fontId="18" fillId="6" borderId="35" xfId="5" applyNumberFormat="1" applyFont="1" applyFill="1" applyBorder="1" applyAlignment="1">
      <alignment vertical="center" shrinkToFit="1"/>
    </xf>
    <xf numFmtId="180" fontId="18" fillId="9" borderId="1" xfId="3" applyNumberFormat="1" applyFont="1" applyFill="1" applyBorder="1" applyAlignment="1">
      <alignment horizontal="center" vertical="center" shrinkToFit="1"/>
    </xf>
    <xf numFmtId="181" fontId="21" fillId="5" borderId="35" xfId="5" applyNumberFormat="1" applyFont="1" applyFill="1" applyBorder="1" applyAlignment="1">
      <alignment horizontal="center" vertical="center" shrinkToFit="1"/>
    </xf>
    <xf numFmtId="180" fontId="18" fillId="9" borderId="6" xfId="3" applyNumberFormat="1" applyFont="1" applyFill="1" applyBorder="1" applyAlignment="1">
      <alignment horizontal="left" vertical="center" shrinkToFit="1"/>
    </xf>
    <xf numFmtId="180" fontId="18" fillId="9" borderId="1" xfId="3" applyNumberFormat="1" applyFont="1" applyFill="1" applyBorder="1" applyAlignment="1">
      <alignment horizontal="left" vertical="center" shrinkToFit="1"/>
    </xf>
    <xf numFmtId="180" fontId="18" fillId="9" borderId="2" xfId="3" applyNumberFormat="1" applyFont="1" applyFill="1" applyBorder="1" applyAlignment="1">
      <alignment horizontal="left" vertical="center" shrinkToFit="1"/>
    </xf>
    <xf numFmtId="180" fontId="18" fillId="9" borderId="16" xfId="3" applyNumberFormat="1" applyFont="1" applyFill="1" applyBorder="1" applyAlignment="1">
      <alignment horizontal="left" vertical="center" shrinkToFit="1"/>
    </xf>
    <xf numFmtId="180" fontId="18" fillId="7" borderId="21" xfId="3" applyNumberFormat="1" applyFont="1" applyFill="1" applyBorder="1" applyAlignment="1">
      <alignment horizontal="center" vertical="center" shrinkToFit="1"/>
    </xf>
    <xf numFmtId="180" fontId="18" fillId="9" borderId="82" xfId="3" applyNumberFormat="1" applyFont="1" applyFill="1" applyBorder="1" applyAlignment="1">
      <alignment horizontal="left" vertical="center" shrinkToFit="1"/>
    </xf>
    <xf numFmtId="180" fontId="18" fillId="9" borderId="82" xfId="4" applyNumberFormat="1" applyFont="1" applyFill="1" applyBorder="1" applyAlignment="1">
      <alignment vertical="center" shrinkToFit="1"/>
    </xf>
    <xf numFmtId="181" fontId="18" fillId="9" borderId="83" xfId="5" applyNumberFormat="1" applyFont="1" applyFill="1" applyBorder="1" applyAlignment="1">
      <alignment vertical="center" shrinkToFit="1"/>
    </xf>
    <xf numFmtId="180" fontId="18" fillId="7" borderId="21" xfId="3" applyNumberFormat="1" applyFont="1" applyFill="1" applyBorder="1" applyAlignment="1">
      <alignment vertical="center" shrinkToFit="1"/>
    </xf>
    <xf numFmtId="180" fontId="18" fillId="10" borderId="81" xfId="3" applyNumberFormat="1" applyFont="1" applyFill="1" applyBorder="1" applyAlignment="1">
      <alignment vertical="center" shrinkToFit="1"/>
    </xf>
    <xf numFmtId="180" fontId="19" fillId="10" borderId="11" xfId="3" applyNumberFormat="1" applyFont="1" applyFill="1" applyBorder="1" applyAlignment="1">
      <alignment horizontal="left" vertical="center" shrinkToFit="1"/>
    </xf>
    <xf numFmtId="180" fontId="18" fillId="10" borderId="14" xfId="3" applyNumberFormat="1" applyFont="1" applyFill="1" applyBorder="1" applyAlignment="1">
      <alignment horizontal="left" vertical="center" shrinkToFit="1"/>
    </xf>
    <xf numFmtId="180" fontId="18" fillId="10" borderId="14" xfId="4" applyNumberFormat="1" applyFont="1" applyFill="1" applyBorder="1" applyAlignment="1">
      <alignment vertical="center" shrinkToFit="1"/>
    </xf>
    <xf numFmtId="181" fontId="18" fillId="10" borderId="37" xfId="5" applyNumberFormat="1" applyFont="1" applyFill="1" applyBorder="1" applyAlignment="1">
      <alignment vertical="center" shrinkToFit="1"/>
    </xf>
    <xf numFmtId="180" fontId="19" fillId="11" borderId="7" xfId="3" applyNumberFormat="1" applyFont="1" applyFill="1" applyBorder="1" applyAlignment="1">
      <alignment horizontal="left" vertical="center" shrinkToFit="1"/>
    </xf>
    <xf numFmtId="180" fontId="18" fillId="11" borderId="8" xfId="3" applyNumberFormat="1" applyFont="1" applyFill="1" applyBorder="1" applyAlignment="1">
      <alignment horizontal="left" vertical="center" shrinkToFit="1"/>
    </xf>
    <xf numFmtId="180" fontId="18" fillId="11" borderId="1" xfId="4" applyNumberFormat="1" applyFont="1" applyFill="1" applyBorder="1" applyAlignment="1">
      <alignment vertical="center" shrinkToFit="1"/>
    </xf>
    <xf numFmtId="181" fontId="18" fillId="11" borderId="35" xfId="5" applyNumberFormat="1" applyFont="1" applyFill="1" applyBorder="1" applyAlignment="1">
      <alignment vertical="center" shrinkToFit="1"/>
    </xf>
    <xf numFmtId="180" fontId="18" fillId="11" borderId="9" xfId="3" applyNumberFormat="1" applyFont="1" applyFill="1" applyBorder="1" applyAlignment="1">
      <alignment horizontal="center" vertical="center" shrinkToFit="1"/>
    </xf>
    <xf numFmtId="180" fontId="18" fillId="11" borderId="14" xfId="3" applyNumberFormat="1" applyFont="1" applyFill="1" applyBorder="1" applyAlignment="1">
      <alignment horizontal="center" vertical="center" shrinkToFit="1"/>
    </xf>
    <xf numFmtId="180" fontId="19" fillId="11" borderId="3" xfId="3" applyNumberFormat="1" applyFont="1" applyFill="1" applyBorder="1" applyAlignment="1">
      <alignment horizontal="left" vertical="center" shrinkToFit="1"/>
    </xf>
    <xf numFmtId="180" fontId="18" fillId="11" borderId="16" xfId="3" applyNumberFormat="1" applyFont="1" applyFill="1" applyBorder="1" applyAlignment="1">
      <alignment horizontal="left" vertical="center" shrinkToFit="1"/>
    </xf>
    <xf numFmtId="180" fontId="18" fillId="10" borderId="29" xfId="3" applyNumberFormat="1" applyFont="1" applyFill="1" applyBorder="1" applyAlignment="1">
      <alignment vertical="center" shrinkToFit="1"/>
    </xf>
    <xf numFmtId="180" fontId="18" fillId="11" borderId="15" xfId="3" applyNumberFormat="1" applyFont="1" applyFill="1" applyBorder="1" applyAlignment="1">
      <alignment horizontal="center" vertical="center" shrinkToFit="1"/>
    </xf>
    <xf numFmtId="180" fontId="18" fillId="0" borderId="39" xfId="4" applyNumberFormat="1" applyFont="1" applyBorder="1" applyAlignment="1">
      <alignment vertical="center" shrinkToFit="1"/>
    </xf>
    <xf numFmtId="181" fontId="18" fillId="6" borderId="40" xfId="5" applyNumberFormat="1" applyFont="1" applyFill="1" applyBorder="1" applyAlignment="1">
      <alignment vertical="center" shrinkToFit="1"/>
    </xf>
    <xf numFmtId="180" fontId="18" fillId="5" borderId="84" xfId="4" applyNumberFormat="1" applyFont="1" applyFill="1" applyBorder="1" applyAlignment="1">
      <alignment horizontal="center" vertical="center" shrinkToFit="1"/>
    </xf>
    <xf numFmtId="180" fontId="18" fillId="5" borderId="85" xfId="4" applyNumberFormat="1" applyFont="1" applyFill="1" applyBorder="1" applyAlignment="1">
      <alignment horizontal="center" vertical="center" shrinkToFit="1"/>
    </xf>
    <xf numFmtId="180" fontId="18" fillId="5" borderId="86" xfId="4" applyNumberFormat="1" applyFont="1" applyFill="1" applyBorder="1" applyAlignment="1">
      <alignment horizontal="center" vertical="center" shrinkToFit="1"/>
    </xf>
    <xf numFmtId="180" fontId="18" fillId="5" borderId="87" xfId="4" applyNumberFormat="1" applyFont="1" applyFill="1" applyBorder="1" applyAlignment="1">
      <alignment vertical="center" shrinkToFit="1"/>
    </xf>
    <xf numFmtId="181" fontId="18" fillId="5" borderId="88" xfId="5" applyNumberFormat="1" applyFont="1" applyFill="1" applyBorder="1" applyAlignment="1">
      <alignment vertical="center" shrinkToFit="1"/>
    </xf>
    <xf numFmtId="180" fontId="18" fillId="12" borderId="55" xfId="4" applyNumberFormat="1" applyFont="1" applyFill="1" applyBorder="1" applyAlignment="1">
      <alignment horizontal="center" vertical="center" shrinkToFit="1"/>
    </xf>
    <xf numFmtId="180" fontId="18" fillId="12" borderId="5" xfId="4" applyNumberFormat="1" applyFont="1" applyFill="1" applyBorder="1" applyAlignment="1">
      <alignment horizontal="center" vertical="center" shrinkToFit="1"/>
    </xf>
    <xf numFmtId="180" fontId="18" fillId="12" borderId="4" xfId="4" applyNumberFormat="1" applyFont="1" applyFill="1" applyBorder="1" applyAlignment="1">
      <alignment horizontal="center" vertical="center" shrinkToFit="1"/>
    </xf>
    <xf numFmtId="180" fontId="18" fillId="12" borderId="1" xfId="4" applyNumberFormat="1" applyFont="1" applyFill="1" applyBorder="1" applyAlignment="1">
      <alignment vertical="center" shrinkToFit="1"/>
    </xf>
    <xf numFmtId="181" fontId="18" fillId="12" borderId="35" xfId="5" applyNumberFormat="1" applyFont="1" applyFill="1" applyBorder="1" applyAlignment="1">
      <alignment vertical="center" shrinkToFit="1"/>
    </xf>
    <xf numFmtId="180" fontId="18" fillId="12" borderId="81" xfId="3" applyNumberFormat="1" applyFont="1" applyFill="1" applyBorder="1" applyAlignment="1">
      <alignment horizontal="center" vertical="center" shrinkToFit="1"/>
    </xf>
    <xf numFmtId="180" fontId="18" fillId="12" borderId="8" xfId="3" applyNumberFormat="1" applyFont="1" applyFill="1" applyBorder="1" applyAlignment="1">
      <alignment horizontal="center" vertical="center" shrinkToFit="1"/>
    </xf>
    <xf numFmtId="180" fontId="18" fillId="0" borderId="1" xfId="4" applyNumberFormat="1" applyFont="1" applyBorder="1" applyAlignment="1">
      <alignment horizontal="left" vertical="center" shrinkToFit="1"/>
    </xf>
    <xf numFmtId="180" fontId="19" fillId="0" borderId="1" xfId="4" applyNumberFormat="1" applyFont="1" applyBorder="1" applyAlignment="1">
      <alignment horizontal="left" vertical="center" shrinkToFit="1"/>
    </xf>
    <xf numFmtId="180" fontId="18" fillId="12" borderId="29" xfId="3" applyNumberFormat="1" applyFont="1" applyFill="1" applyBorder="1" applyAlignment="1">
      <alignment horizontal="center" vertical="center" shrinkToFit="1"/>
    </xf>
    <xf numFmtId="180" fontId="18" fillId="12" borderId="89" xfId="3" applyNumberFormat="1" applyFont="1" applyFill="1" applyBorder="1" applyAlignment="1">
      <alignment horizontal="center" vertical="center" shrinkToFit="1"/>
    </xf>
    <xf numFmtId="180" fontId="18" fillId="0" borderId="39" xfId="4" applyNumberFormat="1" applyFont="1" applyBorder="1" applyAlignment="1">
      <alignment horizontal="left" vertical="center" shrinkToFit="1"/>
    </xf>
    <xf numFmtId="180" fontId="18" fillId="5" borderId="65" xfId="4" applyNumberFormat="1" applyFont="1" applyFill="1" applyBorder="1" applyAlignment="1">
      <alignment horizontal="left" vertical="center" shrinkToFit="1"/>
    </xf>
    <xf numFmtId="180" fontId="18" fillId="5" borderId="66" xfId="4" applyNumberFormat="1" applyFont="1" applyFill="1" applyBorder="1" applyAlignment="1">
      <alignment horizontal="left" vertical="center" shrinkToFit="1"/>
    </xf>
    <xf numFmtId="180" fontId="18" fillId="5" borderId="90" xfId="4" applyNumberFormat="1" applyFont="1" applyFill="1" applyBorder="1" applyAlignment="1">
      <alignment horizontal="left" vertical="center" shrinkToFit="1"/>
    </xf>
    <xf numFmtId="180" fontId="18" fillId="5" borderId="53" xfId="4" applyNumberFormat="1" applyFont="1" applyFill="1" applyBorder="1" applyAlignment="1">
      <alignment vertical="center" shrinkToFit="1"/>
    </xf>
    <xf numFmtId="181" fontId="18" fillId="5" borderId="54" xfId="5" applyNumberFormat="1" applyFont="1" applyFill="1" applyBorder="1" applyAlignment="1">
      <alignment vertical="center" shrinkToFit="1"/>
    </xf>
    <xf numFmtId="180" fontId="18" fillId="12" borderId="91" xfId="4" applyNumberFormat="1" applyFont="1" applyFill="1" applyBorder="1" applyAlignment="1">
      <alignment horizontal="left" vertical="center" shrinkToFit="1"/>
    </xf>
    <xf numFmtId="180" fontId="18" fillId="12" borderId="92" xfId="4" applyNumberFormat="1" applyFont="1" applyFill="1" applyBorder="1" applyAlignment="1">
      <alignment horizontal="left" vertical="center" shrinkToFit="1"/>
    </xf>
    <xf numFmtId="180" fontId="18" fillId="12" borderId="93" xfId="4" applyNumberFormat="1" applyFont="1" applyFill="1" applyBorder="1" applyAlignment="1">
      <alignment horizontal="left" vertical="center" shrinkToFit="1"/>
    </xf>
    <xf numFmtId="180" fontId="18" fillId="12" borderId="13" xfId="4" applyNumberFormat="1" applyFont="1" applyFill="1" applyBorder="1" applyAlignment="1">
      <alignment vertical="center" shrinkToFit="1"/>
    </xf>
    <xf numFmtId="181" fontId="18" fillId="12" borderId="94" xfId="5" applyNumberFormat="1" applyFont="1" applyFill="1" applyBorder="1" applyAlignment="1">
      <alignment vertical="center" shrinkToFit="1"/>
    </xf>
    <xf numFmtId="180" fontId="18" fillId="9" borderId="18" xfId="4" applyNumberFormat="1" applyFont="1" applyFill="1" applyBorder="1" applyAlignment="1">
      <alignment horizontal="left" vertical="center" shrinkToFit="1"/>
    </xf>
    <xf numFmtId="180" fontId="18" fillId="9" borderId="19" xfId="4" applyNumberFormat="1" applyFont="1" applyFill="1" applyBorder="1" applyAlignment="1">
      <alignment horizontal="left" vertical="center" shrinkToFit="1"/>
    </xf>
    <xf numFmtId="180" fontId="18" fillId="9" borderId="95" xfId="4" applyNumberFormat="1" applyFont="1" applyFill="1" applyBorder="1" applyAlignment="1">
      <alignment horizontal="left" vertical="center" shrinkToFit="1"/>
    </xf>
    <xf numFmtId="180" fontId="18" fillId="9" borderId="27" xfId="4" applyNumberFormat="1" applyFont="1" applyFill="1" applyBorder="1" applyAlignment="1">
      <alignment vertical="center" shrinkToFit="1"/>
    </xf>
    <xf numFmtId="181" fontId="18" fillId="9" borderId="28" xfId="5" applyNumberFormat="1" applyFont="1" applyFill="1" applyBorder="1" applyAlignment="1">
      <alignment vertical="center" shrinkToFit="1"/>
    </xf>
    <xf numFmtId="180" fontId="18" fillId="9" borderId="81" xfId="3" applyNumberFormat="1" applyFont="1" applyFill="1" applyBorder="1" applyAlignment="1">
      <alignment horizontal="center" vertical="center" shrinkToFit="1"/>
    </xf>
    <xf numFmtId="180" fontId="18" fillId="9" borderId="8" xfId="3" applyNumberFormat="1" applyFont="1" applyFill="1" applyBorder="1" applyAlignment="1">
      <alignment horizontal="center" vertical="center" shrinkToFit="1"/>
    </xf>
    <xf numFmtId="180" fontId="18" fillId="9" borderId="29" xfId="3" applyNumberFormat="1" applyFont="1" applyFill="1" applyBorder="1" applyAlignment="1">
      <alignment horizontal="center" vertical="center" shrinkToFit="1"/>
    </xf>
    <xf numFmtId="180" fontId="18" fillId="9" borderId="89" xfId="3" applyNumberFormat="1" applyFont="1" applyFill="1" applyBorder="1" applyAlignment="1">
      <alignment horizontal="center" vertical="center" shrinkToFit="1"/>
    </xf>
    <xf numFmtId="180" fontId="18" fillId="5" borderId="84" xfId="4" applyNumberFormat="1" applyFont="1" applyFill="1" applyBorder="1" applyAlignment="1">
      <alignment horizontal="left" vertical="center" shrinkToFit="1"/>
    </xf>
    <xf numFmtId="180" fontId="18" fillId="5" borderId="85" xfId="4" applyNumberFormat="1" applyFont="1" applyFill="1" applyBorder="1" applyAlignment="1">
      <alignment horizontal="left" vertical="center" shrinkToFit="1"/>
    </xf>
    <xf numFmtId="180" fontId="18" fillId="5" borderId="86" xfId="4" applyNumberFormat="1" applyFont="1" applyFill="1" applyBorder="1" applyAlignment="1">
      <alignment horizontal="left" vertical="center" shrinkToFit="1"/>
    </xf>
    <xf numFmtId="180" fontId="18" fillId="5" borderId="14" xfId="4" applyNumberFormat="1" applyFont="1" applyFill="1" applyBorder="1" applyAlignment="1">
      <alignment vertical="center" shrinkToFit="1"/>
    </xf>
    <xf numFmtId="181" fontId="18" fillId="5" borderId="37" xfId="5" applyNumberFormat="1" applyFont="1" applyFill="1" applyBorder="1" applyAlignment="1">
      <alignment vertical="center" shrinkToFit="1"/>
    </xf>
    <xf numFmtId="180" fontId="18" fillId="5" borderId="21" xfId="4" applyNumberFormat="1" applyFont="1" applyFill="1" applyBorder="1" applyAlignment="1">
      <alignment horizontal="left" vertical="center" shrinkToFit="1"/>
    </xf>
    <xf numFmtId="180" fontId="18" fillId="5" borderId="17" xfId="4" applyNumberFormat="1" applyFont="1" applyFill="1" applyBorder="1" applyAlignment="1">
      <alignment horizontal="left" vertical="center" shrinkToFit="1"/>
    </xf>
    <xf numFmtId="180" fontId="18" fillId="5" borderId="77" xfId="4" applyNumberFormat="1" applyFont="1" applyFill="1" applyBorder="1" applyAlignment="1">
      <alignment horizontal="left" vertical="center" shrinkToFit="1"/>
    </xf>
    <xf numFmtId="180" fontId="18" fillId="5" borderId="41" xfId="4" applyNumberFormat="1" applyFont="1" applyFill="1" applyBorder="1" applyAlignment="1">
      <alignment vertical="center" shrinkToFit="1"/>
    </xf>
    <xf numFmtId="180" fontId="18" fillId="5" borderId="82" xfId="4" applyNumberFormat="1" applyFont="1" applyFill="1" applyBorder="1" applyAlignment="1">
      <alignment vertical="center" shrinkToFit="1"/>
    </xf>
    <xf numFmtId="181" fontId="18" fillId="5" borderId="83" xfId="5" applyNumberFormat="1" applyFont="1" applyFill="1" applyBorder="1" applyAlignment="1">
      <alignment vertical="center" shrinkToFit="1"/>
    </xf>
    <xf numFmtId="180" fontId="18" fillId="0" borderId="0" xfId="3" applyNumberFormat="1" applyFont="1" applyAlignment="1">
      <alignment horizontal="left" vertical="center" shrinkToFit="1"/>
    </xf>
    <xf numFmtId="181" fontId="18" fillId="6" borderId="0" xfId="5" applyNumberFormat="1" applyFont="1" applyFill="1" applyAlignment="1">
      <alignment vertical="center" shrinkToFit="1"/>
    </xf>
    <xf numFmtId="180" fontId="18" fillId="0" borderId="1" xfId="3" applyNumberFormat="1" applyFont="1" applyBorder="1" applyAlignment="1">
      <alignment horizontal="center" vertical="center" shrinkToFit="1"/>
    </xf>
    <xf numFmtId="180" fontId="18" fillId="0" borderId="1" xfId="4" applyNumberFormat="1" applyFont="1" applyBorder="1" applyAlignment="1">
      <alignment horizontal="center" vertical="center" shrinkToFit="1"/>
    </xf>
    <xf numFmtId="180" fontId="18" fillId="0" borderId="2" xfId="4" applyNumberFormat="1" applyFont="1" applyBorder="1" applyAlignment="1">
      <alignment horizontal="center" vertical="center" shrinkToFit="1"/>
    </xf>
    <xf numFmtId="180" fontId="18" fillId="0" borderId="16" xfId="4" applyNumberFormat="1" applyFont="1" applyBorder="1" applyAlignment="1">
      <alignment horizontal="center" vertical="center" shrinkToFit="1"/>
    </xf>
    <xf numFmtId="180" fontId="18" fillId="0" borderId="2" xfId="3" applyNumberFormat="1" applyFont="1" applyBorder="1" applyAlignment="1">
      <alignment horizontal="center" vertical="center" shrinkToFit="1"/>
    </xf>
    <xf numFmtId="180" fontId="18" fillId="0" borderId="16" xfId="3" applyNumberFormat="1" applyFont="1" applyBorder="1" applyAlignment="1">
      <alignment horizontal="center" vertical="center" shrinkToFit="1"/>
    </xf>
    <xf numFmtId="180" fontId="18" fillId="0" borderId="2" xfId="3" applyNumberFormat="1" applyFont="1" applyBorder="1" applyAlignment="1">
      <alignment vertical="center" shrinkToFit="1"/>
    </xf>
    <xf numFmtId="180" fontId="18" fillId="0" borderId="16" xfId="3" applyNumberFormat="1" applyFont="1" applyBorder="1" applyAlignment="1">
      <alignment vertical="center" shrinkToFit="1"/>
    </xf>
    <xf numFmtId="180" fontId="18" fillId="9" borderId="2" xfId="3" applyNumberFormat="1" applyFont="1" applyFill="1" applyBorder="1" applyAlignment="1">
      <alignment vertical="center" shrinkToFit="1"/>
    </xf>
    <xf numFmtId="180" fontId="18" fillId="9" borderId="16" xfId="3" applyNumberFormat="1" applyFont="1" applyFill="1" applyBorder="1" applyAlignment="1">
      <alignment vertical="center" shrinkToFit="1"/>
    </xf>
    <xf numFmtId="180" fontId="18" fillId="0" borderId="1" xfId="3" applyNumberFormat="1" applyFont="1" applyBorder="1" applyAlignment="1">
      <alignment vertical="center" shrinkToFit="1"/>
    </xf>
    <xf numFmtId="180" fontId="19" fillId="0" borderId="1" xfId="3" applyNumberFormat="1" applyFont="1" applyBorder="1" applyAlignment="1">
      <alignment vertical="center" shrinkToFit="1"/>
    </xf>
    <xf numFmtId="180" fontId="18" fillId="12" borderId="6" xfId="3" applyNumberFormat="1" applyFont="1" applyFill="1" applyBorder="1" applyAlignment="1">
      <alignment horizontal="left" vertical="center" shrinkToFit="1"/>
    </xf>
    <xf numFmtId="180" fontId="18" fillId="12" borderId="1" xfId="3" applyNumberFormat="1" applyFont="1" applyFill="1" applyBorder="1" applyAlignment="1">
      <alignment horizontal="left" vertical="center" shrinkToFit="1"/>
    </xf>
    <xf numFmtId="180" fontId="18" fillId="12" borderId="2" xfId="3" applyNumberFormat="1" applyFont="1" applyFill="1" applyBorder="1" applyAlignment="1">
      <alignment vertical="center" shrinkToFit="1"/>
    </xf>
    <xf numFmtId="180" fontId="18" fillId="12" borderId="16" xfId="3" applyNumberFormat="1" applyFont="1" applyFill="1" applyBorder="1" applyAlignment="1">
      <alignment vertical="center" shrinkToFit="1"/>
    </xf>
    <xf numFmtId="180" fontId="18" fillId="12" borderId="14" xfId="3" applyNumberFormat="1" applyFont="1" applyFill="1" applyBorder="1" applyAlignment="1">
      <alignment horizontal="center" vertical="center" shrinkToFit="1"/>
    </xf>
    <xf numFmtId="180" fontId="22" fillId="0" borderId="1" xfId="4" applyNumberFormat="1" applyFont="1" applyBorder="1" applyAlignment="1">
      <alignment vertical="center" shrinkToFit="1"/>
    </xf>
    <xf numFmtId="180" fontId="18" fillId="12" borderId="1" xfId="3" applyNumberFormat="1" applyFont="1" applyFill="1" applyBorder="1" applyAlignment="1">
      <alignment horizontal="center" vertical="center" shrinkToFit="1"/>
    </xf>
    <xf numFmtId="180" fontId="18" fillId="5" borderId="1" xfId="3" applyNumberFormat="1" applyFont="1" applyFill="1" applyBorder="1" applyAlignment="1">
      <alignment horizontal="left" vertical="center" shrinkToFit="1"/>
    </xf>
    <xf numFmtId="180" fontId="18" fillId="5" borderId="1" xfId="4" applyNumberFormat="1" applyFont="1" applyFill="1" applyBorder="1" applyAlignment="1">
      <alignment vertical="center" shrinkToFit="1"/>
    </xf>
    <xf numFmtId="180" fontId="18" fillId="5" borderId="2" xfId="3" applyNumberFormat="1" applyFont="1" applyFill="1" applyBorder="1" applyAlignment="1">
      <alignment vertical="center" shrinkToFit="1"/>
    </xf>
    <xf numFmtId="180" fontId="18" fillId="5" borderId="16" xfId="3" applyNumberFormat="1" applyFont="1" applyFill="1" applyBorder="1" applyAlignment="1">
      <alignment vertical="center" shrinkToFit="1"/>
    </xf>
    <xf numFmtId="180" fontId="18" fillId="9" borderId="9" xfId="3" applyNumberFormat="1" applyFont="1" applyFill="1" applyBorder="1" applyAlignment="1">
      <alignment horizontal="center" vertical="center" shrinkToFit="1"/>
    </xf>
    <xf numFmtId="180" fontId="18" fillId="6" borderId="1" xfId="4" applyNumberFormat="1" applyFont="1" applyFill="1" applyBorder="1" applyAlignment="1">
      <alignment vertical="center" shrinkToFit="1"/>
    </xf>
    <xf numFmtId="180" fontId="18" fillId="0" borderId="2" xfId="3" applyNumberFormat="1" applyFont="1" applyBorder="1" applyAlignment="1">
      <alignment vertical="center" shrinkToFit="1"/>
    </xf>
    <xf numFmtId="181" fontId="18" fillId="0" borderId="16" xfId="5" applyNumberFormat="1" applyFont="1" applyBorder="1" applyAlignment="1">
      <alignment vertical="center" shrinkToFit="1"/>
    </xf>
    <xf numFmtId="180" fontId="18" fillId="12" borderId="9" xfId="3" applyNumberFormat="1" applyFont="1" applyFill="1" applyBorder="1" applyAlignment="1">
      <alignment horizontal="center" vertical="center" shrinkToFit="1"/>
    </xf>
    <xf numFmtId="180" fontId="18" fillId="5" borderId="1" xfId="3" applyNumberFormat="1" applyFont="1" applyFill="1" applyBorder="1" applyAlignment="1">
      <alignment horizontal="center" vertical="center" shrinkToFit="1"/>
    </xf>
    <xf numFmtId="180" fontId="18" fillId="13" borderId="2" xfId="3" applyNumberFormat="1" applyFont="1" applyFill="1" applyBorder="1" applyAlignment="1">
      <alignment horizontal="center" vertical="center" shrinkToFit="1"/>
    </xf>
    <xf numFmtId="180" fontId="18" fillId="13" borderId="16" xfId="3" applyNumberFormat="1" applyFont="1" applyFill="1" applyBorder="1" applyAlignment="1">
      <alignment horizontal="center" vertical="center" shrinkToFit="1"/>
    </xf>
    <xf numFmtId="180" fontId="18" fillId="13" borderId="1" xfId="4" applyNumberFormat="1" applyFont="1" applyFill="1" applyBorder="1" applyAlignment="1">
      <alignment vertical="center" shrinkToFit="1"/>
    </xf>
    <xf numFmtId="180" fontId="18" fillId="13" borderId="2" xfId="3" applyNumberFormat="1" applyFont="1" applyFill="1" applyBorder="1" applyAlignment="1">
      <alignment vertical="center" shrinkToFit="1"/>
    </xf>
    <xf numFmtId="181" fontId="18" fillId="13" borderId="16" xfId="5" applyNumberFormat="1" applyFont="1" applyFill="1" applyBorder="1" applyAlignment="1">
      <alignment vertical="center" shrinkToFit="1"/>
    </xf>
    <xf numFmtId="0" fontId="13" fillId="0" borderId="0" xfId="0" applyFont="1"/>
    <xf numFmtId="0" fontId="13" fillId="0" borderId="8" xfId="0" applyFont="1" applyBorder="1" applyAlignment="1">
      <alignment horizontal="left" vertical="center"/>
    </xf>
    <xf numFmtId="0" fontId="13" fillId="0" borderId="8" xfId="0" applyFont="1" applyBorder="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23" fillId="0" borderId="3" xfId="0" applyFont="1" applyBorder="1" applyAlignment="1">
      <alignment vertical="center"/>
    </xf>
    <xf numFmtId="0" fontId="13" fillId="0" borderId="4" xfId="0" applyFont="1" applyBorder="1" applyAlignment="1">
      <alignment vertical="center"/>
    </xf>
    <xf numFmtId="38" fontId="13" fillId="0" borderId="5" xfId="1" applyFont="1" applyBorder="1" applyAlignment="1">
      <alignment vertical="center"/>
    </xf>
    <xf numFmtId="38" fontId="13" fillId="0" borderId="6" xfId="1" applyFont="1" applyBorder="1" applyAlignment="1">
      <alignment vertical="center"/>
    </xf>
    <xf numFmtId="0" fontId="13" fillId="0" borderId="7" xfId="0" applyFont="1" applyBorder="1" applyAlignment="1">
      <alignment vertical="center"/>
    </xf>
    <xf numFmtId="38" fontId="13" fillId="0" borderId="0" xfId="1" applyFont="1" applyBorder="1" applyAlignment="1">
      <alignment vertical="center"/>
    </xf>
    <xf numFmtId="38" fontId="13" fillId="0" borderId="9" xfId="1" applyFont="1" applyBorder="1" applyAlignment="1">
      <alignment vertical="center"/>
    </xf>
    <xf numFmtId="38" fontId="13" fillId="0" borderId="9" xfId="0" applyNumberFormat="1" applyFont="1" applyBorder="1" applyAlignment="1">
      <alignment vertical="center"/>
    </xf>
    <xf numFmtId="0" fontId="13" fillId="0" borderId="10" xfId="0" applyFont="1" applyBorder="1" applyAlignment="1">
      <alignment vertical="center"/>
    </xf>
    <xf numFmtId="0" fontId="13" fillId="0" borderId="11" xfId="0" applyFont="1" applyBorder="1" applyAlignment="1">
      <alignment vertical="center"/>
    </xf>
    <xf numFmtId="38" fontId="13" fillId="0" borderId="12" xfId="1" applyFont="1" applyBorder="1" applyAlignment="1">
      <alignment vertical="center"/>
    </xf>
    <xf numFmtId="38" fontId="13" fillId="0" borderId="13" xfId="0" applyNumberFormat="1" applyFont="1" applyBorder="1" applyAlignment="1">
      <alignment vertical="center"/>
    </xf>
    <xf numFmtId="0" fontId="23" fillId="0" borderId="7" xfId="0" applyFont="1" applyBorder="1" applyAlignment="1">
      <alignment vertical="center"/>
    </xf>
    <xf numFmtId="0" fontId="13" fillId="0" borderId="6" xfId="0" applyFont="1" applyBorder="1" applyAlignment="1">
      <alignment vertical="center"/>
    </xf>
    <xf numFmtId="0" fontId="13" fillId="0" borderId="8" xfId="0" applyFont="1" applyBorder="1" applyAlignment="1">
      <alignment horizontal="right" vertical="center"/>
    </xf>
    <xf numFmtId="38" fontId="13" fillId="0" borderId="14" xfId="1" applyFont="1" applyBorder="1" applyAlignment="1">
      <alignment vertical="center"/>
    </xf>
    <xf numFmtId="0" fontId="23" fillId="0" borderId="3" xfId="0" applyFont="1" applyBorder="1" applyAlignment="1">
      <alignment horizontal="left" vertical="center" wrapText="1"/>
    </xf>
    <xf numFmtId="0" fontId="23" fillId="0" borderId="4" xfId="0" applyFont="1" applyBorder="1" applyAlignment="1">
      <alignment horizontal="left" vertical="center" wrapText="1"/>
    </xf>
    <xf numFmtId="0" fontId="23" fillId="0" borderId="7" xfId="0" applyFont="1" applyBorder="1" applyAlignment="1">
      <alignment horizontal="left" vertical="center" wrapText="1"/>
    </xf>
    <xf numFmtId="0" fontId="23" fillId="0" borderId="8" xfId="0" applyFont="1" applyBorder="1" applyAlignment="1">
      <alignment horizontal="left" vertical="center" wrapText="1"/>
    </xf>
    <xf numFmtId="0" fontId="23" fillId="0" borderId="7" xfId="0" applyFont="1" applyBorder="1" applyAlignment="1">
      <alignment horizontal="left" vertical="center"/>
    </xf>
    <xf numFmtId="38" fontId="13" fillId="0" borderId="9" xfId="1" applyFont="1" applyBorder="1" applyAlignment="1">
      <alignment horizontal="right" vertical="center"/>
    </xf>
    <xf numFmtId="0" fontId="13" fillId="0" borderId="9" xfId="0" applyFont="1" applyBorder="1" applyAlignment="1">
      <alignment vertical="center"/>
    </xf>
    <xf numFmtId="58" fontId="13" fillId="0" borderId="0" xfId="0" applyNumberFormat="1" applyFont="1" applyAlignment="1">
      <alignment vertical="center"/>
    </xf>
    <xf numFmtId="0" fontId="13" fillId="0" borderId="0" xfId="0" applyFont="1" applyAlignment="1">
      <alignment vertical="center" shrinkToFit="1"/>
    </xf>
    <xf numFmtId="9" fontId="13" fillId="0" borderId="0" xfId="0" applyNumberFormat="1" applyFont="1" applyAlignment="1">
      <alignment vertical="center"/>
    </xf>
    <xf numFmtId="0" fontId="13" fillId="0" borderId="26" xfId="0" applyFont="1" applyBorder="1" applyAlignment="1">
      <alignment vertical="center"/>
    </xf>
    <xf numFmtId="0" fontId="13" fillId="0" borderId="96" xfId="0" applyFont="1" applyBorder="1" applyAlignment="1">
      <alignment horizontal="center" vertical="center"/>
    </xf>
    <xf numFmtId="0" fontId="13" fillId="0" borderId="75" xfId="0" applyFont="1" applyBorder="1" applyAlignment="1">
      <alignment horizontal="center" vertical="center"/>
    </xf>
    <xf numFmtId="0" fontId="13" fillId="0" borderId="96" xfId="0" applyFont="1" applyBorder="1" applyAlignment="1">
      <alignment horizontal="center" vertical="center"/>
    </xf>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13" fillId="0" borderId="55" xfId="0" applyFont="1" applyBorder="1" applyAlignment="1">
      <alignment horizontal="center" vertical="center" textRotation="255"/>
    </xf>
    <xf numFmtId="0" fontId="13" fillId="0" borderId="56" xfId="0" applyFont="1" applyBorder="1" applyAlignment="1">
      <alignment vertical="center" shrinkToFit="1"/>
    </xf>
    <xf numFmtId="0" fontId="13" fillId="0" borderId="81" xfId="0" applyFont="1" applyBorder="1" applyAlignment="1">
      <alignment horizontal="center" vertical="center" textRotation="255"/>
    </xf>
    <xf numFmtId="0" fontId="13" fillId="0" borderId="97" xfId="0" applyFont="1" applyBorder="1" applyAlignment="1">
      <alignment vertical="center" shrinkToFit="1"/>
    </xf>
    <xf numFmtId="0" fontId="24" fillId="0" borderId="97" xfId="0" applyFont="1" applyBorder="1" applyAlignment="1">
      <alignment vertical="center" shrinkToFit="1"/>
    </xf>
    <xf numFmtId="0" fontId="13" fillId="0" borderId="44" xfId="0" applyFont="1" applyBorder="1" applyAlignment="1">
      <alignment horizontal="center" vertical="center" textRotation="255"/>
    </xf>
    <xf numFmtId="0" fontId="24" fillId="0" borderId="45" xfId="0" applyFont="1" applyBorder="1" applyAlignment="1">
      <alignment vertical="center" shrinkToFit="1"/>
    </xf>
    <xf numFmtId="0" fontId="13" fillId="0" borderId="58" xfId="0" applyFont="1" applyBorder="1" applyAlignment="1">
      <alignment horizontal="center" vertical="center" textRotation="255"/>
    </xf>
    <xf numFmtId="0" fontId="24" fillId="0" borderId="57" xfId="0" applyFont="1" applyBorder="1" applyAlignment="1">
      <alignment vertical="center" shrinkToFit="1"/>
    </xf>
    <xf numFmtId="0" fontId="13" fillId="0" borderId="98" xfId="0" applyFont="1" applyBorder="1" applyAlignment="1">
      <alignment horizontal="center" vertical="center" textRotation="255"/>
    </xf>
    <xf numFmtId="0" fontId="24" fillId="0" borderId="99" xfId="0" applyFont="1" applyBorder="1" applyAlignment="1">
      <alignment vertical="center" shrinkToFit="1"/>
    </xf>
    <xf numFmtId="0" fontId="13" fillId="0" borderId="99" xfId="0" applyFont="1" applyBorder="1" applyAlignment="1">
      <alignment vertical="center" shrinkToFit="1"/>
    </xf>
    <xf numFmtId="0" fontId="13" fillId="0" borderId="43" xfId="0" applyFont="1" applyBorder="1" applyAlignment="1">
      <alignment horizontal="center" vertical="center" textRotation="255"/>
    </xf>
    <xf numFmtId="0" fontId="13" fillId="0" borderId="100" xfId="0" applyFont="1" applyBorder="1" applyAlignment="1">
      <alignment vertical="center"/>
    </xf>
    <xf numFmtId="0" fontId="13" fillId="0" borderId="77" xfId="0" applyFont="1" applyBorder="1" applyAlignment="1">
      <alignment horizontal="right" vertical="center"/>
    </xf>
    <xf numFmtId="38" fontId="13" fillId="0" borderId="41" xfId="1" applyFont="1" applyBorder="1" applyAlignment="1">
      <alignment vertical="center"/>
    </xf>
    <xf numFmtId="38" fontId="13" fillId="0" borderId="41" xfId="0" applyNumberFormat="1" applyFont="1" applyBorder="1" applyAlignment="1">
      <alignment vertical="center"/>
    </xf>
    <xf numFmtId="0" fontId="13" fillId="0" borderId="42" xfId="0" applyFont="1" applyBorder="1" applyAlignment="1">
      <alignment vertical="center" shrinkToFit="1"/>
    </xf>
    <xf numFmtId="49" fontId="13" fillId="0" borderId="0" xfId="0" applyNumberFormat="1" applyFont="1"/>
    <xf numFmtId="49" fontId="25" fillId="0" borderId="0" xfId="0" applyNumberFormat="1" applyFont="1" applyAlignment="1">
      <alignment horizontal="center"/>
    </xf>
    <xf numFmtId="49" fontId="26" fillId="0" borderId="0" xfId="0" applyNumberFormat="1" applyFont="1" applyAlignment="1">
      <alignment horizontal="center"/>
    </xf>
    <xf numFmtId="49" fontId="13" fillId="0" borderId="0" xfId="0" applyNumberFormat="1" applyFont="1" applyAlignment="1">
      <alignment wrapText="1"/>
    </xf>
    <xf numFmtId="49" fontId="13" fillId="0" borderId="3" xfId="0" applyNumberFormat="1" applyFont="1" applyBorder="1"/>
    <xf numFmtId="49" fontId="13" fillId="0" borderId="5" xfId="0" applyNumberFormat="1" applyFont="1" applyBorder="1"/>
    <xf numFmtId="49" fontId="13" fillId="0" borderId="5" xfId="0" applyNumberFormat="1" applyFont="1" applyBorder="1" applyAlignment="1">
      <alignment horizontal="center" vertical="center"/>
    </xf>
    <xf numFmtId="49" fontId="13" fillId="0" borderId="4" xfId="0" applyNumberFormat="1" applyFont="1" applyBorder="1"/>
    <xf numFmtId="49" fontId="13" fillId="0" borderId="10" xfId="0" applyNumberFormat="1" applyFont="1" applyBorder="1"/>
    <xf numFmtId="49" fontId="13" fillId="0" borderId="12" xfId="0" applyNumberFormat="1" applyFont="1" applyBorder="1"/>
    <xf numFmtId="49" fontId="13" fillId="0" borderId="12" xfId="0" applyNumberFormat="1" applyFont="1" applyBorder="1" applyAlignment="1">
      <alignment horizontal="center" vertical="center"/>
    </xf>
    <xf numFmtId="49" fontId="13" fillId="0" borderId="11" xfId="0" applyNumberFormat="1" applyFont="1" applyBorder="1"/>
    <xf numFmtId="49" fontId="13" fillId="0" borderId="5" xfId="0" applyNumberFormat="1" applyFont="1" applyBorder="1" applyAlignment="1">
      <alignment horizontal="left" vertical="center"/>
    </xf>
    <xf numFmtId="0" fontId="13" fillId="0" borderId="5" xfId="0" applyFont="1" applyBorder="1" applyAlignment="1">
      <alignment horizontal="left" vertical="center"/>
    </xf>
    <xf numFmtId="49" fontId="13" fillId="0" borderId="7" xfId="0" applyNumberFormat="1" applyFont="1" applyBorder="1"/>
    <xf numFmtId="0" fontId="13" fillId="0" borderId="0" xfId="0" applyFont="1" applyAlignment="1">
      <alignment horizontal="left" vertical="center"/>
    </xf>
    <xf numFmtId="49" fontId="13" fillId="0" borderId="0" xfId="0" applyNumberFormat="1" applyFont="1" applyBorder="1"/>
    <xf numFmtId="49" fontId="13" fillId="0" borderId="8" xfId="0" applyNumberFormat="1" applyFont="1" applyBorder="1"/>
    <xf numFmtId="49" fontId="13" fillId="0" borderId="0" xfId="0" applyNumberFormat="1" applyFont="1" applyBorder="1" applyAlignment="1">
      <alignment horizontal="left" wrapText="1"/>
    </xf>
    <xf numFmtId="49" fontId="13" fillId="0" borderId="8" xfId="0" applyNumberFormat="1" applyFont="1" applyBorder="1" applyAlignment="1">
      <alignment horizontal="left" wrapText="1"/>
    </xf>
    <xf numFmtId="0" fontId="13" fillId="0" borderId="0" xfId="0" applyFont="1" applyAlignment="1">
      <alignment horizontal="left" vertical="center"/>
    </xf>
    <xf numFmtId="49" fontId="13" fillId="0" borderId="0" xfId="0" applyNumberFormat="1" applyFont="1" applyBorder="1" applyAlignment="1">
      <alignment horizontal="left" vertical="top" wrapText="1" indent="1"/>
    </xf>
    <xf numFmtId="49" fontId="13" fillId="0" borderId="0" xfId="0" applyNumberFormat="1" applyFont="1" applyBorder="1" applyAlignment="1">
      <alignment horizontal="left" vertical="top" indent="1"/>
    </xf>
    <xf numFmtId="0" fontId="13" fillId="0" borderId="0" xfId="0" applyFont="1" applyAlignment="1">
      <alignment wrapText="1"/>
    </xf>
    <xf numFmtId="49" fontId="13" fillId="0" borderId="0" xfId="0" applyNumberFormat="1" applyFont="1" applyBorder="1" applyAlignment="1">
      <alignment horizontal="left" vertical="top" wrapText="1"/>
    </xf>
    <xf numFmtId="49" fontId="13" fillId="0" borderId="0" xfId="0" applyNumberFormat="1" applyFont="1" applyBorder="1" applyAlignment="1">
      <alignment horizontal="left" vertical="top" indent="1"/>
    </xf>
    <xf numFmtId="0" fontId="13" fillId="0" borderId="5" xfId="0" applyFont="1" applyBorder="1" applyAlignment="1"/>
    <xf numFmtId="0" fontId="13" fillId="0" borderId="4" xfId="0" applyFont="1" applyBorder="1" applyAlignment="1"/>
    <xf numFmtId="0" fontId="13" fillId="0" borderId="12" xfId="0" applyFont="1" applyBorder="1" applyAlignment="1">
      <alignment horizontal="left" vertical="center"/>
    </xf>
    <xf numFmtId="49" fontId="13" fillId="0" borderId="12" xfId="0" applyNumberFormat="1" applyFont="1" applyBorder="1" applyAlignment="1">
      <alignment horizontal="left" vertical="center"/>
    </xf>
    <xf numFmtId="0" fontId="13" fillId="0" borderId="12" xfId="0" applyFont="1" applyBorder="1" applyAlignment="1"/>
    <xf numFmtId="0" fontId="13" fillId="0" borderId="11" xfId="0" applyFont="1" applyBorder="1" applyAlignment="1"/>
    <xf numFmtId="0" fontId="13" fillId="0" borderId="0" xfId="0" applyFont="1" applyBorder="1" applyAlignment="1">
      <alignment horizontal="left" vertical="center"/>
    </xf>
    <xf numFmtId="49" fontId="13" fillId="0" borderId="5" xfId="0" applyNumberFormat="1" applyFont="1" applyBorder="1" applyAlignment="1">
      <alignment horizontal="left" vertical="center" wrapText="1"/>
    </xf>
    <xf numFmtId="0" fontId="13" fillId="0" borderId="5" xfId="0" applyFont="1" applyBorder="1"/>
    <xf numFmtId="0" fontId="13" fillId="0" borderId="4" xfId="0" applyFont="1" applyBorder="1"/>
    <xf numFmtId="0" fontId="13" fillId="0" borderId="0" xfId="0" applyFont="1"/>
    <xf numFmtId="0" fontId="13" fillId="0" borderId="8" xfId="0" applyFont="1" applyBorder="1"/>
    <xf numFmtId="49" fontId="13" fillId="0" borderId="0" xfId="0" applyNumberFormat="1" applyFont="1" applyBorder="1" applyAlignment="1">
      <alignment horizontal="right"/>
    </xf>
  </cellXfs>
  <cellStyles count="6">
    <cellStyle name="パーセント 2" xfId="5" xr:uid="{C33CBD44-3942-4A1F-9C13-74836C01837D}"/>
    <cellStyle name="桁区切り" xfId="1" builtinId="6"/>
    <cellStyle name="桁区切り 2" xfId="4" xr:uid="{408F4998-A54E-4180-BB22-1498E89894F3}"/>
    <cellStyle name="標準" xfId="0" builtinId="0"/>
    <cellStyle name="標準 2" xfId="2" xr:uid="{00000000-0005-0000-0000-000002000000}"/>
    <cellStyle name="標準 3" xfId="3" xr:uid="{D4190638-AA23-4F10-91B6-911FD44D0E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6AC1-9B84-4C43-BC34-232CC00D0984}">
  <dimension ref="A1:BP62"/>
  <sheetViews>
    <sheetView tabSelected="1" view="pageBreakPreview" topLeftCell="P1" zoomScale="115" zoomScaleNormal="130" zoomScaleSheetLayoutView="115" workbookViewId="0">
      <selection activeCell="AA34" sqref="AA34"/>
    </sheetView>
  </sheetViews>
  <sheetFormatPr defaultRowHeight="18" customHeight="1"/>
  <cols>
    <col min="1" max="2" width="9" style="294"/>
    <col min="3" max="3" width="0.5" style="86" customWidth="1"/>
    <col min="4" max="4" width="2.375" style="86" customWidth="1"/>
    <col min="5" max="16" width="5.625" style="85" customWidth="1"/>
    <col min="17" max="17" width="2.625" style="85" customWidth="1"/>
    <col min="18" max="29" width="6.125" style="85" customWidth="1"/>
    <col min="30" max="30" width="2.5" style="85" customWidth="1"/>
    <col min="31" max="42" width="6.125" style="85" customWidth="1"/>
    <col min="43" max="43" width="2.25" style="85" customWidth="1"/>
    <col min="44" max="55" width="6.125" style="85" customWidth="1"/>
    <col min="56" max="56" width="4.25" style="85" customWidth="1"/>
    <col min="57" max="68" width="6.125" style="85" customWidth="1"/>
    <col min="69" max="16384" width="9" style="86"/>
  </cols>
  <sheetData>
    <row r="1" spans="1:68" ht="15" customHeight="1" thickBot="1">
      <c r="A1" s="83"/>
      <c r="B1" s="83"/>
      <c r="C1" s="83"/>
      <c r="D1" s="83"/>
      <c r="E1" s="83"/>
      <c r="F1" s="83"/>
      <c r="G1" s="83"/>
      <c r="H1" s="83"/>
      <c r="I1" s="83"/>
      <c r="J1" s="83"/>
      <c r="K1" s="83"/>
      <c r="L1" s="83"/>
      <c r="M1" s="83"/>
      <c r="N1" s="83"/>
      <c r="O1" s="83"/>
      <c r="P1" s="83"/>
      <c r="Q1" s="84"/>
      <c r="R1" s="84"/>
      <c r="S1" s="84"/>
      <c r="T1" s="84"/>
      <c r="U1" s="84"/>
      <c r="V1" s="84"/>
      <c r="W1" s="84"/>
      <c r="X1" s="84"/>
      <c r="Y1" s="84"/>
      <c r="Z1" s="84"/>
      <c r="AA1" s="84"/>
      <c r="AB1" s="84"/>
      <c r="AC1" s="84"/>
    </row>
    <row r="2" spans="1:68" ht="21.75" customHeight="1" thickBot="1">
      <c r="A2" s="87"/>
      <c r="B2" s="88"/>
      <c r="C2" s="89"/>
      <c r="D2" s="90" t="s">
        <v>142</v>
      </c>
      <c r="E2" s="91"/>
      <c r="F2" s="91"/>
      <c r="G2" s="91"/>
      <c r="H2" s="91"/>
      <c r="I2" s="91"/>
      <c r="J2" s="91"/>
      <c r="K2" s="91"/>
      <c r="L2" s="91"/>
      <c r="M2" s="91"/>
      <c r="N2" s="91"/>
      <c r="O2" s="91"/>
      <c r="P2" s="92"/>
      <c r="Q2" s="90" t="s">
        <v>143</v>
      </c>
      <c r="R2" s="91" t="s">
        <v>144</v>
      </c>
      <c r="S2" s="91"/>
      <c r="T2" s="91">
        <v>30000</v>
      </c>
      <c r="U2" s="91"/>
      <c r="V2" s="91"/>
      <c r="W2" s="91"/>
      <c r="X2" s="91"/>
      <c r="Y2" s="91"/>
      <c r="Z2" s="91"/>
      <c r="AA2" s="91"/>
      <c r="AB2" s="91"/>
      <c r="AC2" s="92"/>
      <c r="AD2" s="90" t="s">
        <v>145</v>
      </c>
      <c r="AE2" s="91" t="s">
        <v>144</v>
      </c>
      <c r="AF2" s="91"/>
      <c r="AG2" s="91">
        <v>30000</v>
      </c>
      <c r="AH2" s="91"/>
      <c r="AI2" s="91"/>
      <c r="AJ2" s="91"/>
      <c r="AK2" s="91"/>
      <c r="AL2" s="91"/>
      <c r="AM2" s="91"/>
      <c r="AN2" s="91"/>
      <c r="AO2" s="91"/>
      <c r="AP2" s="92"/>
      <c r="AQ2" s="93" t="s">
        <v>146</v>
      </c>
      <c r="AR2" s="94" t="s">
        <v>144</v>
      </c>
      <c r="AS2" s="94"/>
      <c r="AT2" s="94">
        <v>30000</v>
      </c>
      <c r="AU2" s="94"/>
      <c r="AV2" s="94"/>
      <c r="AW2" s="94"/>
      <c r="AX2" s="94"/>
      <c r="AY2" s="94"/>
      <c r="AZ2" s="94"/>
      <c r="BA2" s="94"/>
      <c r="BB2" s="94"/>
      <c r="BC2" s="95"/>
      <c r="BD2" s="93" t="s">
        <v>147</v>
      </c>
      <c r="BE2" s="94" t="s">
        <v>144</v>
      </c>
      <c r="BF2" s="94"/>
      <c r="BG2" s="94">
        <v>30000</v>
      </c>
      <c r="BH2" s="94"/>
      <c r="BI2" s="94"/>
      <c r="BJ2" s="94"/>
      <c r="BK2" s="94"/>
      <c r="BL2" s="94"/>
      <c r="BM2" s="94"/>
      <c r="BN2" s="94"/>
      <c r="BO2" s="94"/>
      <c r="BP2" s="95"/>
    </row>
    <row r="3" spans="1:68" ht="18" customHeight="1" thickBot="1">
      <c r="A3" s="96"/>
      <c r="B3" s="97"/>
      <c r="C3" s="98"/>
      <c r="D3" s="99"/>
      <c r="E3" s="100" t="s">
        <v>148</v>
      </c>
      <c r="F3" s="100" t="s">
        <v>149</v>
      </c>
      <c r="G3" s="100" t="s">
        <v>150</v>
      </c>
      <c r="H3" s="100" t="s">
        <v>151</v>
      </c>
      <c r="I3" s="100" t="s">
        <v>152</v>
      </c>
      <c r="J3" s="100" t="s">
        <v>153</v>
      </c>
      <c r="K3" s="100" t="s">
        <v>154</v>
      </c>
      <c r="L3" s="100" t="s">
        <v>155</v>
      </c>
      <c r="M3" s="100" t="s">
        <v>156</v>
      </c>
      <c r="N3" s="100" t="s">
        <v>157</v>
      </c>
      <c r="O3" s="100" t="s">
        <v>158</v>
      </c>
      <c r="P3" s="101" t="s">
        <v>159</v>
      </c>
      <c r="Q3" s="102"/>
      <c r="R3" s="100" t="s">
        <v>148</v>
      </c>
      <c r="S3" s="100" t="s">
        <v>149</v>
      </c>
      <c r="T3" s="100" t="s">
        <v>150</v>
      </c>
      <c r="U3" s="100" t="s">
        <v>151</v>
      </c>
      <c r="V3" s="100" t="s">
        <v>152</v>
      </c>
      <c r="W3" s="100" t="s">
        <v>153</v>
      </c>
      <c r="X3" s="100" t="s">
        <v>154</v>
      </c>
      <c r="Y3" s="100" t="s">
        <v>155</v>
      </c>
      <c r="Z3" s="100" t="s">
        <v>156</v>
      </c>
      <c r="AA3" s="100" t="s">
        <v>157</v>
      </c>
      <c r="AB3" s="100" t="s">
        <v>158</v>
      </c>
      <c r="AC3" s="101" t="s">
        <v>159</v>
      </c>
      <c r="AD3" s="102"/>
      <c r="AE3" s="100" t="s">
        <v>160</v>
      </c>
      <c r="AF3" s="100" t="s">
        <v>161</v>
      </c>
      <c r="AG3" s="100" t="s">
        <v>162</v>
      </c>
      <c r="AH3" s="100" t="s">
        <v>163</v>
      </c>
      <c r="AI3" s="100" t="s">
        <v>164</v>
      </c>
      <c r="AJ3" s="100" t="s">
        <v>165</v>
      </c>
      <c r="AK3" s="100" t="s">
        <v>166</v>
      </c>
      <c r="AL3" s="100" t="s">
        <v>167</v>
      </c>
      <c r="AM3" s="100" t="s">
        <v>168</v>
      </c>
      <c r="AN3" s="100" t="s">
        <v>169</v>
      </c>
      <c r="AO3" s="100" t="s">
        <v>170</v>
      </c>
      <c r="AP3" s="101" t="s">
        <v>171</v>
      </c>
      <c r="AQ3" s="103"/>
      <c r="AR3" s="104" t="s">
        <v>160</v>
      </c>
      <c r="AS3" s="105" t="s">
        <v>161</v>
      </c>
      <c r="AT3" s="105" t="s">
        <v>162</v>
      </c>
      <c r="AU3" s="105" t="s">
        <v>163</v>
      </c>
      <c r="AV3" s="105" t="s">
        <v>164</v>
      </c>
      <c r="AW3" s="105" t="s">
        <v>165</v>
      </c>
      <c r="AX3" s="105" t="s">
        <v>166</v>
      </c>
      <c r="AY3" s="105" t="s">
        <v>167</v>
      </c>
      <c r="AZ3" s="105" t="s">
        <v>168</v>
      </c>
      <c r="BA3" s="105" t="s">
        <v>169</v>
      </c>
      <c r="BB3" s="105" t="s">
        <v>170</v>
      </c>
      <c r="BC3" s="106" t="s">
        <v>171</v>
      </c>
      <c r="BD3" s="103"/>
      <c r="BE3" s="104" t="s">
        <v>160</v>
      </c>
      <c r="BF3" s="105" t="s">
        <v>161</v>
      </c>
      <c r="BG3" s="105" t="s">
        <v>162</v>
      </c>
      <c r="BH3" s="105" t="s">
        <v>163</v>
      </c>
      <c r="BI3" s="105" t="s">
        <v>164</v>
      </c>
      <c r="BJ3" s="105" t="s">
        <v>165</v>
      </c>
      <c r="BK3" s="105" t="s">
        <v>166</v>
      </c>
      <c r="BL3" s="105" t="s">
        <v>167</v>
      </c>
      <c r="BM3" s="105" t="s">
        <v>168</v>
      </c>
      <c r="BN3" s="105" t="s">
        <v>169</v>
      </c>
      <c r="BO3" s="105" t="s">
        <v>170</v>
      </c>
      <c r="BP3" s="106" t="s">
        <v>171</v>
      </c>
    </row>
    <row r="4" spans="1:68" s="115" customFormat="1" ht="15.75" customHeight="1" thickBot="1">
      <c r="A4" s="107" t="s">
        <v>172</v>
      </c>
      <c r="B4" s="108"/>
      <c r="C4" s="109"/>
      <c r="D4" s="99"/>
      <c r="E4" s="110">
        <v>22</v>
      </c>
      <c r="F4" s="110">
        <v>20</v>
      </c>
      <c r="G4" s="110">
        <v>23</v>
      </c>
      <c r="H4" s="110">
        <v>22</v>
      </c>
      <c r="I4" s="110">
        <v>23</v>
      </c>
      <c r="J4" s="110">
        <v>22</v>
      </c>
      <c r="K4" s="110">
        <v>23</v>
      </c>
      <c r="L4" s="110">
        <v>22</v>
      </c>
      <c r="M4" s="110">
        <v>18</v>
      </c>
      <c r="N4" s="110">
        <v>19</v>
      </c>
      <c r="O4" s="110">
        <v>19</v>
      </c>
      <c r="P4" s="111">
        <v>23</v>
      </c>
      <c r="Q4" s="102"/>
      <c r="R4" s="110">
        <v>20</v>
      </c>
      <c r="S4" s="110">
        <v>19</v>
      </c>
      <c r="T4" s="110">
        <v>22</v>
      </c>
      <c r="U4" s="110">
        <v>21</v>
      </c>
      <c r="V4" s="110">
        <v>20</v>
      </c>
      <c r="W4" s="110">
        <v>21</v>
      </c>
      <c r="X4" s="110">
        <v>21</v>
      </c>
      <c r="Y4" s="110">
        <v>21</v>
      </c>
      <c r="Z4" s="110">
        <v>19</v>
      </c>
      <c r="AA4" s="110">
        <v>18</v>
      </c>
      <c r="AB4" s="110">
        <v>20</v>
      </c>
      <c r="AC4" s="111">
        <v>23</v>
      </c>
      <c r="AD4" s="102"/>
      <c r="AE4" s="110">
        <v>22</v>
      </c>
      <c r="AF4" s="110">
        <v>20</v>
      </c>
      <c r="AG4" s="110">
        <v>23</v>
      </c>
      <c r="AH4" s="110">
        <v>22</v>
      </c>
      <c r="AI4" s="110">
        <v>23</v>
      </c>
      <c r="AJ4" s="110">
        <v>22</v>
      </c>
      <c r="AK4" s="110">
        <v>23</v>
      </c>
      <c r="AL4" s="110">
        <v>22</v>
      </c>
      <c r="AM4" s="110">
        <v>22</v>
      </c>
      <c r="AN4" s="110">
        <v>23</v>
      </c>
      <c r="AO4" s="110">
        <v>22</v>
      </c>
      <c r="AP4" s="111">
        <v>22</v>
      </c>
      <c r="AQ4" s="103"/>
      <c r="AR4" s="112">
        <v>22</v>
      </c>
      <c r="AS4" s="113">
        <v>20</v>
      </c>
      <c r="AT4" s="113">
        <v>23</v>
      </c>
      <c r="AU4" s="113">
        <v>22</v>
      </c>
      <c r="AV4" s="113">
        <v>23</v>
      </c>
      <c r="AW4" s="113">
        <v>22</v>
      </c>
      <c r="AX4" s="113">
        <v>23</v>
      </c>
      <c r="AY4" s="113">
        <v>22</v>
      </c>
      <c r="AZ4" s="113">
        <v>22</v>
      </c>
      <c r="BA4" s="113">
        <v>23</v>
      </c>
      <c r="BB4" s="113">
        <v>22</v>
      </c>
      <c r="BC4" s="114">
        <v>22</v>
      </c>
      <c r="BD4" s="103"/>
      <c r="BE4" s="112">
        <v>22</v>
      </c>
      <c r="BF4" s="113">
        <v>20</v>
      </c>
      <c r="BG4" s="113">
        <v>23</v>
      </c>
      <c r="BH4" s="113">
        <v>22</v>
      </c>
      <c r="BI4" s="113">
        <v>23</v>
      </c>
      <c r="BJ4" s="113">
        <v>22</v>
      </c>
      <c r="BK4" s="113">
        <v>23</v>
      </c>
      <c r="BL4" s="113">
        <v>22</v>
      </c>
      <c r="BM4" s="113">
        <v>22</v>
      </c>
      <c r="BN4" s="113">
        <v>23</v>
      </c>
      <c r="BO4" s="113">
        <v>22</v>
      </c>
      <c r="BP4" s="114">
        <v>22</v>
      </c>
    </row>
    <row r="5" spans="1:68" s="124" customFormat="1" ht="12" customHeight="1" thickTop="1">
      <c r="A5" s="116" t="s">
        <v>173</v>
      </c>
      <c r="B5" s="117"/>
      <c r="C5" s="118"/>
      <c r="D5" s="99"/>
      <c r="E5" s="224">
        <v>0.8</v>
      </c>
      <c r="F5" s="224">
        <v>0.8</v>
      </c>
      <c r="G5" s="224">
        <v>0.8</v>
      </c>
      <c r="H5" s="224">
        <v>0.8</v>
      </c>
      <c r="I5" s="224">
        <v>0.8</v>
      </c>
      <c r="J5" s="224">
        <v>0.8</v>
      </c>
      <c r="K5" s="224">
        <v>0.8</v>
      </c>
      <c r="L5" s="224">
        <v>0.8</v>
      </c>
      <c r="M5" s="224">
        <v>0.8</v>
      </c>
      <c r="N5" s="224">
        <v>0.8</v>
      </c>
      <c r="O5" s="224">
        <v>0.8</v>
      </c>
      <c r="P5" s="225">
        <v>0.8</v>
      </c>
      <c r="Q5" s="102"/>
      <c r="R5" s="224">
        <v>0.8</v>
      </c>
      <c r="S5" s="224">
        <v>0.8</v>
      </c>
      <c r="T5" s="224">
        <v>0.8</v>
      </c>
      <c r="U5" s="224">
        <v>0.8</v>
      </c>
      <c r="V5" s="224">
        <v>0.8</v>
      </c>
      <c r="W5" s="224">
        <v>0.8</v>
      </c>
      <c r="X5" s="224">
        <v>0.8</v>
      </c>
      <c r="Y5" s="224">
        <v>0.8</v>
      </c>
      <c r="Z5" s="224">
        <v>0.8</v>
      </c>
      <c r="AA5" s="224">
        <v>0.8</v>
      </c>
      <c r="AB5" s="224">
        <v>0.8</v>
      </c>
      <c r="AC5" s="225">
        <v>0.8</v>
      </c>
      <c r="AD5" s="102"/>
      <c r="AE5" s="119">
        <v>0.8</v>
      </c>
      <c r="AF5" s="119">
        <v>0.8</v>
      </c>
      <c r="AG5" s="119">
        <v>0.8</v>
      </c>
      <c r="AH5" s="119">
        <v>0.8</v>
      </c>
      <c r="AI5" s="119">
        <v>0.8</v>
      </c>
      <c r="AJ5" s="119">
        <v>0.8</v>
      </c>
      <c r="AK5" s="119">
        <v>0.8</v>
      </c>
      <c r="AL5" s="119">
        <v>0.8</v>
      </c>
      <c r="AM5" s="119">
        <v>0.8</v>
      </c>
      <c r="AN5" s="119">
        <v>0.8</v>
      </c>
      <c r="AO5" s="119">
        <v>0.8</v>
      </c>
      <c r="AP5" s="120">
        <v>0.8</v>
      </c>
      <c r="AQ5" s="103"/>
      <c r="AR5" s="121">
        <v>0.8</v>
      </c>
      <c r="AS5" s="122">
        <v>0.8</v>
      </c>
      <c r="AT5" s="122">
        <v>0.8</v>
      </c>
      <c r="AU5" s="122">
        <v>0.8</v>
      </c>
      <c r="AV5" s="122">
        <v>0.8</v>
      </c>
      <c r="AW5" s="122">
        <v>0.8</v>
      </c>
      <c r="AX5" s="122">
        <v>0.8</v>
      </c>
      <c r="AY5" s="122">
        <v>0.8</v>
      </c>
      <c r="AZ5" s="122">
        <v>0.8</v>
      </c>
      <c r="BA5" s="122">
        <v>0.8</v>
      </c>
      <c r="BB5" s="122">
        <v>0.8</v>
      </c>
      <c r="BC5" s="123">
        <v>0.8</v>
      </c>
      <c r="BD5" s="103"/>
      <c r="BE5" s="121">
        <v>0.8</v>
      </c>
      <c r="BF5" s="122">
        <v>0.8</v>
      </c>
      <c r="BG5" s="122">
        <v>0.8</v>
      </c>
      <c r="BH5" s="122">
        <v>0.8</v>
      </c>
      <c r="BI5" s="122">
        <v>0.8</v>
      </c>
      <c r="BJ5" s="122">
        <v>0.8</v>
      </c>
      <c r="BK5" s="122">
        <v>0.8</v>
      </c>
      <c r="BL5" s="122">
        <v>0.8</v>
      </c>
      <c r="BM5" s="122">
        <v>0.8</v>
      </c>
      <c r="BN5" s="122">
        <v>0.8</v>
      </c>
      <c r="BO5" s="122">
        <v>0.8</v>
      </c>
      <c r="BP5" s="123">
        <v>0.8</v>
      </c>
    </row>
    <row r="6" spans="1:68" s="115" customFormat="1" ht="12" hidden="1" customHeight="1">
      <c r="A6" s="125" t="s">
        <v>174</v>
      </c>
      <c r="B6" s="126"/>
      <c r="C6" s="127"/>
      <c r="D6" s="99"/>
      <c r="E6" s="128"/>
      <c r="F6" s="128"/>
      <c r="G6" s="128"/>
      <c r="H6" s="128"/>
      <c r="I6" s="128"/>
      <c r="J6" s="128"/>
      <c r="K6" s="128"/>
      <c r="L6" s="128"/>
      <c r="M6" s="128"/>
      <c r="N6" s="128"/>
      <c r="O6" s="128"/>
      <c r="P6" s="129"/>
      <c r="Q6" s="102"/>
      <c r="R6" s="128"/>
      <c r="S6" s="128"/>
      <c r="T6" s="128"/>
      <c r="U6" s="128"/>
      <c r="V6" s="128"/>
      <c r="W6" s="128"/>
      <c r="X6" s="128"/>
      <c r="Y6" s="128"/>
      <c r="Z6" s="128"/>
      <c r="AA6" s="128"/>
      <c r="AB6" s="128"/>
      <c r="AC6" s="129"/>
      <c r="AD6" s="102"/>
      <c r="AE6" s="128"/>
      <c r="AF6" s="128"/>
      <c r="AG6" s="128"/>
      <c r="AH6" s="128"/>
      <c r="AI6" s="128"/>
      <c r="AJ6" s="128"/>
      <c r="AK6" s="128"/>
      <c r="AL6" s="128"/>
      <c r="AM6" s="128"/>
      <c r="AN6" s="128"/>
      <c r="AO6" s="128"/>
      <c r="AP6" s="129"/>
      <c r="AQ6" s="103"/>
      <c r="AR6" s="130">
        <v>10</v>
      </c>
      <c r="AS6" s="131">
        <v>10</v>
      </c>
      <c r="AT6" s="131">
        <v>10</v>
      </c>
      <c r="AU6" s="131">
        <v>10</v>
      </c>
      <c r="AV6" s="131">
        <v>10</v>
      </c>
      <c r="AW6" s="131">
        <v>10</v>
      </c>
      <c r="AX6" s="131">
        <v>10</v>
      </c>
      <c r="AY6" s="131">
        <v>10</v>
      </c>
      <c r="AZ6" s="131">
        <v>10</v>
      </c>
      <c r="BA6" s="131">
        <v>10</v>
      </c>
      <c r="BB6" s="131">
        <v>10</v>
      </c>
      <c r="BC6" s="132">
        <v>10</v>
      </c>
      <c r="BD6" s="103"/>
      <c r="BE6" s="130">
        <v>10</v>
      </c>
      <c r="BF6" s="131">
        <v>10</v>
      </c>
      <c r="BG6" s="131">
        <v>10</v>
      </c>
      <c r="BH6" s="131">
        <v>10</v>
      </c>
      <c r="BI6" s="131">
        <v>10</v>
      </c>
      <c r="BJ6" s="131">
        <v>10</v>
      </c>
      <c r="BK6" s="131">
        <v>10</v>
      </c>
      <c r="BL6" s="131">
        <v>10</v>
      </c>
      <c r="BM6" s="131">
        <v>10</v>
      </c>
      <c r="BN6" s="131">
        <v>10</v>
      </c>
      <c r="BO6" s="131">
        <v>10</v>
      </c>
      <c r="BP6" s="132">
        <v>10</v>
      </c>
    </row>
    <row r="7" spans="1:68" s="115" customFormat="1" ht="12" hidden="1" customHeight="1" thickBot="1">
      <c r="A7" s="133" t="s">
        <v>175</v>
      </c>
      <c r="B7" s="134"/>
      <c r="C7" s="135"/>
      <c r="D7" s="99"/>
      <c r="E7" s="136"/>
      <c r="F7" s="136"/>
      <c r="G7" s="136"/>
      <c r="H7" s="136"/>
      <c r="I7" s="136"/>
      <c r="J7" s="136"/>
      <c r="K7" s="136"/>
      <c r="L7" s="136"/>
      <c r="M7" s="136"/>
      <c r="N7" s="136"/>
      <c r="O7" s="136"/>
      <c r="P7" s="137"/>
      <c r="Q7" s="102"/>
      <c r="R7" s="136"/>
      <c r="S7" s="136"/>
      <c r="T7" s="136"/>
      <c r="U7" s="136"/>
      <c r="V7" s="136"/>
      <c r="W7" s="136"/>
      <c r="X7" s="136"/>
      <c r="Y7" s="136"/>
      <c r="Z7" s="136"/>
      <c r="AA7" s="136"/>
      <c r="AB7" s="136"/>
      <c r="AC7" s="137"/>
      <c r="AD7" s="102"/>
      <c r="AE7" s="136"/>
      <c r="AF7" s="136"/>
      <c r="AG7" s="136"/>
      <c r="AH7" s="136"/>
      <c r="AI7" s="136"/>
      <c r="AJ7" s="136"/>
      <c r="AK7" s="136"/>
      <c r="AL7" s="136"/>
      <c r="AM7" s="136"/>
      <c r="AN7" s="136"/>
      <c r="AO7" s="136"/>
      <c r="AP7" s="137"/>
      <c r="AQ7" s="103"/>
      <c r="AR7" s="138">
        <v>10</v>
      </c>
      <c r="AS7" s="139">
        <v>10</v>
      </c>
      <c r="AT7" s="139">
        <v>10</v>
      </c>
      <c r="AU7" s="139">
        <v>10</v>
      </c>
      <c r="AV7" s="139">
        <v>10</v>
      </c>
      <c r="AW7" s="139">
        <v>10</v>
      </c>
      <c r="AX7" s="139">
        <v>10</v>
      </c>
      <c r="AY7" s="139">
        <v>10</v>
      </c>
      <c r="AZ7" s="139">
        <v>10</v>
      </c>
      <c r="BA7" s="139">
        <v>10</v>
      </c>
      <c r="BB7" s="139">
        <v>10</v>
      </c>
      <c r="BC7" s="140">
        <v>10</v>
      </c>
      <c r="BD7" s="103"/>
      <c r="BE7" s="138">
        <v>10</v>
      </c>
      <c r="BF7" s="139">
        <v>10</v>
      </c>
      <c r="BG7" s="139">
        <v>10</v>
      </c>
      <c r="BH7" s="139">
        <v>10</v>
      </c>
      <c r="BI7" s="139">
        <v>10</v>
      </c>
      <c r="BJ7" s="139">
        <v>10</v>
      </c>
      <c r="BK7" s="139">
        <v>10</v>
      </c>
      <c r="BL7" s="139">
        <v>10</v>
      </c>
      <c r="BM7" s="139">
        <v>10</v>
      </c>
      <c r="BN7" s="139">
        <v>10</v>
      </c>
      <c r="BO7" s="139">
        <v>10</v>
      </c>
      <c r="BP7" s="140">
        <v>10</v>
      </c>
    </row>
    <row r="8" spans="1:68" s="115" customFormat="1" ht="12" hidden="1" customHeight="1" thickTop="1" thickBot="1">
      <c r="A8" s="141" t="s">
        <v>176</v>
      </c>
      <c r="B8" s="142"/>
      <c r="C8" s="143"/>
      <c r="D8" s="99"/>
      <c r="E8" s="144">
        <f>SUM(E6:E7)</f>
        <v>0</v>
      </c>
      <c r="F8" s="144">
        <f t="shared" ref="F8:P8" si="0">SUM(F6:F7)</f>
        <v>0</v>
      </c>
      <c r="G8" s="144">
        <f t="shared" si="0"/>
        <v>0</v>
      </c>
      <c r="H8" s="144">
        <f t="shared" si="0"/>
        <v>0</v>
      </c>
      <c r="I8" s="144">
        <f t="shared" si="0"/>
        <v>0</v>
      </c>
      <c r="J8" s="144">
        <f t="shared" si="0"/>
        <v>0</v>
      </c>
      <c r="K8" s="144">
        <f t="shared" si="0"/>
        <v>0</v>
      </c>
      <c r="L8" s="144">
        <f t="shared" si="0"/>
        <v>0</v>
      </c>
      <c r="M8" s="144">
        <f t="shared" si="0"/>
        <v>0</v>
      </c>
      <c r="N8" s="144">
        <f t="shared" si="0"/>
        <v>0</v>
      </c>
      <c r="O8" s="144">
        <f t="shared" si="0"/>
        <v>0</v>
      </c>
      <c r="P8" s="145">
        <f t="shared" si="0"/>
        <v>0</v>
      </c>
      <c r="Q8" s="102"/>
      <c r="R8" s="144">
        <f>SUM(R6:R7)</f>
        <v>0</v>
      </c>
      <c r="S8" s="144">
        <f t="shared" ref="S8:AC8" si="1">SUM(S6:S7)</f>
        <v>0</v>
      </c>
      <c r="T8" s="144">
        <f t="shared" si="1"/>
        <v>0</v>
      </c>
      <c r="U8" s="144">
        <f t="shared" si="1"/>
        <v>0</v>
      </c>
      <c r="V8" s="144">
        <f t="shared" si="1"/>
        <v>0</v>
      </c>
      <c r="W8" s="144">
        <f t="shared" si="1"/>
        <v>0</v>
      </c>
      <c r="X8" s="144">
        <f t="shared" si="1"/>
        <v>0</v>
      </c>
      <c r="Y8" s="144">
        <f t="shared" si="1"/>
        <v>0</v>
      </c>
      <c r="Z8" s="144">
        <f t="shared" si="1"/>
        <v>0</v>
      </c>
      <c r="AA8" s="144">
        <f t="shared" si="1"/>
        <v>0</v>
      </c>
      <c r="AB8" s="144">
        <f t="shared" si="1"/>
        <v>0</v>
      </c>
      <c r="AC8" s="145">
        <f t="shared" si="1"/>
        <v>0</v>
      </c>
      <c r="AD8" s="102"/>
      <c r="AE8" s="144">
        <f>SUM(AE6:AE7)</f>
        <v>0</v>
      </c>
      <c r="AF8" s="144">
        <f t="shared" ref="AF8:AP8" si="2">SUM(AF6:AF7)</f>
        <v>0</v>
      </c>
      <c r="AG8" s="144">
        <f t="shared" si="2"/>
        <v>0</v>
      </c>
      <c r="AH8" s="144">
        <f t="shared" si="2"/>
        <v>0</v>
      </c>
      <c r="AI8" s="144">
        <f t="shared" si="2"/>
        <v>0</v>
      </c>
      <c r="AJ8" s="144">
        <f t="shared" si="2"/>
        <v>0</v>
      </c>
      <c r="AK8" s="144">
        <f t="shared" si="2"/>
        <v>0</v>
      </c>
      <c r="AL8" s="144">
        <f t="shared" si="2"/>
        <v>0</v>
      </c>
      <c r="AM8" s="144">
        <f t="shared" si="2"/>
        <v>0</v>
      </c>
      <c r="AN8" s="144">
        <f t="shared" si="2"/>
        <v>0</v>
      </c>
      <c r="AO8" s="144">
        <f t="shared" si="2"/>
        <v>0</v>
      </c>
      <c r="AP8" s="145">
        <f t="shared" si="2"/>
        <v>0</v>
      </c>
      <c r="AQ8" s="103"/>
      <c r="AR8" s="146">
        <f>SUM(AR6:AR7)</f>
        <v>20</v>
      </c>
      <c r="AS8" s="147">
        <f t="shared" ref="AS8:BC8" si="3">SUM(AS6:AS7)</f>
        <v>20</v>
      </c>
      <c r="AT8" s="147">
        <f t="shared" si="3"/>
        <v>20</v>
      </c>
      <c r="AU8" s="147">
        <f t="shared" si="3"/>
        <v>20</v>
      </c>
      <c r="AV8" s="147">
        <f t="shared" si="3"/>
        <v>20</v>
      </c>
      <c r="AW8" s="147">
        <f t="shared" si="3"/>
        <v>20</v>
      </c>
      <c r="AX8" s="147">
        <f t="shared" si="3"/>
        <v>20</v>
      </c>
      <c r="AY8" s="147">
        <f t="shared" si="3"/>
        <v>20</v>
      </c>
      <c r="AZ8" s="147">
        <f t="shared" si="3"/>
        <v>20</v>
      </c>
      <c r="BA8" s="147">
        <f t="shared" si="3"/>
        <v>20</v>
      </c>
      <c r="BB8" s="147">
        <f t="shared" si="3"/>
        <v>20</v>
      </c>
      <c r="BC8" s="148">
        <f t="shared" si="3"/>
        <v>20</v>
      </c>
      <c r="BD8" s="103"/>
      <c r="BE8" s="146">
        <f>SUM(BE6:BE7)</f>
        <v>20</v>
      </c>
      <c r="BF8" s="147">
        <f t="shared" ref="BF8:BP8" si="4">SUM(BF6:BF7)</f>
        <v>20</v>
      </c>
      <c r="BG8" s="147">
        <f t="shared" si="4"/>
        <v>20</v>
      </c>
      <c r="BH8" s="147">
        <f t="shared" si="4"/>
        <v>20</v>
      </c>
      <c r="BI8" s="147">
        <f t="shared" si="4"/>
        <v>20</v>
      </c>
      <c r="BJ8" s="147">
        <f t="shared" si="4"/>
        <v>20</v>
      </c>
      <c r="BK8" s="147">
        <f t="shared" si="4"/>
        <v>20</v>
      </c>
      <c r="BL8" s="147">
        <f t="shared" si="4"/>
        <v>20</v>
      </c>
      <c r="BM8" s="147">
        <f t="shared" si="4"/>
        <v>20</v>
      </c>
      <c r="BN8" s="147">
        <f t="shared" si="4"/>
        <v>20</v>
      </c>
      <c r="BO8" s="147">
        <f t="shared" si="4"/>
        <v>20</v>
      </c>
      <c r="BP8" s="148">
        <f t="shared" si="4"/>
        <v>20</v>
      </c>
    </row>
    <row r="9" spans="1:68" s="115" customFormat="1" ht="10.5" customHeight="1">
      <c r="A9" s="149" t="s">
        <v>177</v>
      </c>
      <c r="B9" s="150"/>
      <c r="C9" s="151"/>
      <c r="D9" s="99"/>
      <c r="E9" s="128"/>
      <c r="F9" s="128"/>
      <c r="G9" s="128"/>
      <c r="H9" s="128"/>
      <c r="I9" s="128"/>
      <c r="J9" s="128"/>
      <c r="K9" s="128"/>
      <c r="L9" s="128">
        <v>4</v>
      </c>
      <c r="M9" s="128">
        <v>6</v>
      </c>
      <c r="N9" s="128">
        <v>8</v>
      </c>
      <c r="O9" s="128">
        <v>10</v>
      </c>
      <c r="P9" s="129">
        <v>12</v>
      </c>
      <c r="Q9" s="102"/>
      <c r="R9" s="128">
        <v>13</v>
      </c>
      <c r="S9" s="128">
        <v>14</v>
      </c>
      <c r="T9" s="128">
        <v>15</v>
      </c>
      <c r="U9" s="128">
        <v>16</v>
      </c>
      <c r="V9" s="128">
        <v>17</v>
      </c>
      <c r="W9" s="128">
        <v>17</v>
      </c>
      <c r="X9" s="128">
        <v>17</v>
      </c>
      <c r="Y9" s="128">
        <v>17</v>
      </c>
      <c r="Z9" s="128">
        <v>17</v>
      </c>
      <c r="AA9" s="128">
        <v>17</v>
      </c>
      <c r="AB9" s="128">
        <v>17</v>
      </c>
      <c r="AC9" s="129">
        <v>17</v>
      </c>
      <c r="AD9" s="102"/>
      <c r="AE9" s="128">
        <v>10</v>
      </c>
      <c r="AF9" s="128">
        <v>10</v>
      </c>
      <c r="AG9" s="128">
        <v>10</v>
      </c>
      <c r="AH9" s="128">
        <v>10</v>
      </c>
      <c r="AI9" s="128">
        <v>10</v>
      </c>
      <c r="AJ9" s="128">
        <v>10</v>
      </c>
      <c r="AK9" s="128">
        <v>10</v>
      </c>
      <c r="AL9" s="128">
        <v>10</v>
      </c>
      <c r="AM9" s="128">
        <v>10</v>
      </c>
      <c r="AN9" s="128">
        <v>10</v>
      </c>
      <c r="AO9" s="128">
        <v>10</v>
      </c>
      <c r="AP9" s="129">
        <v>10</v>
      </c>
      <c r="AQ9" s="103"/>
      <c r="AR9" s="130">
        <v>10</v>
      </c>
      <c r="AS9" s="131">
        <v>10</v>
      </c>
      <c r="AT9" s="131">
        <v>10</v>
      </c>
      <c r="AU9" s="131">
        <v>10</v>
      </c>
      <c r="AV9" s="131">
        <v>10</v>
      </c>
      <c r="AW9" s="131">
        <v>10</v>
      </c>
      <c r="AX9" s="131">
        <v>10</v>
      </c>
      <c r="AY9" s="131">
        <v>10</v>
      </c>
      <c r="AZ9" s="131">
        <v>10</v>
      </c>
      <c r="BA9" s="131">
        <v>10</v>
      </c>
      <c r="BB9" s="131">
        <v>10</v>
      </c>
      <c r="BC9" s="132">
        <v>10</v>
      </c>
      <c r="BD9" s="103"/>
      <c r="BE9" s="130">
        <v>10</v>
      </c>
      <c r="BF9" s="131">
        <v>10</v>
      </c>
      <c r="BG9" s="131">
        <v>10</v>
      </c>
      <c r="BH9" s="131">
        <v>10</v>
      </c>
      <c r="BI9" s="131">
        <v>10</v>
      </c>
      <c r="BJ9" s="131">
        <v>10</v>
      </c>
      <c r="BK9" s="131">
        <v>10</v>
      </c>
      <c r="BL9" s="131">
        <v>10</v>
      </c>
      <c r="BM9" s="131">
        <v>10</v>
      </c>
      <c r="BN9" s="131">
        <v>10</v>
      </c>
      <c r="BO9" s="131">
        <v>10</v>
      </c>
      <c r="BP9" s="132">
        <v>10</v>
      </c>
    </row>
    <row r="10" spans="1:68" s="115" customFormat="1" ht="10.5" customHeight="1">
      <c r="A10" s="152" t="s">
        <v>178</v>
      </c>
      <c r="B10" s="153"/>
      <c r="C10" s="154"/>
      <c r="D10" s="99"/>
      <c r="E10" s="119"/>
      <c r="F10" s="119"/>
      <c r="G10" s="119"/>
      <c r="H10" s="119"/>
      <c r="I10" s="119"/>
      <c r="J10" s="119"/>
      <c r="K10" s="119"/>
      <c r="L10" s="119"/>
      <c r="M10" s="119"/>
      <c r="N10" s="119"/>
      <c r="O10" s="119"/>
      <c r="P10" s="120"/>
      <c r="Q10" s="102"/>
      <c r="R10" s="119">
        <v>1</v>
      </c>
      <c r="S10" s="119">
        <v>2</v>
      </c>
      <c r="T10" s="119">
        <v>4</v>
      </c>
      <c r="U10" s="119">
        <v>6</v>
      </c>
      <c r="V10" s="119">
        <v>8</v>
      </c>
      <c r="W10" s="119">
        <v>8</v>
      </c>
      <c r="X10" s="119">
        <v>8</v>
      </c>
      <c r="Y10" s="119">
        <v>8</v>
      </c>
      <c r="Z10" s="119">
        <v>8</v>
      </c>
      <c r="AA10" s="119">
        <v>8</v>
      </c>
      <c r="AB10" s="119">
        <v>8</v>
      </c>
      <c r="AC10" s="120">
        <v>8</v>
      </c>
      <c r="AD10" s="102"/>
      <c r="AE10" s="119">
        <v>10</v>
      </c>
      <c r="AF10" s="119">
        <v>10</v>
      </c>
      <c r="AG10" s="119">
        <v>10</v>
      </c>
      <c r="AH10" s="119">
        <v>10</v>
      </c>
      <c r="AI10" s="119">
        <v>10</v>
      </c>
      <c r="AJ10" s="119">
        <v>10</v>
      </c>
      <c r="AK10" s="119">
        <v>10</v>
      </c>
      <c r="AL10" s="119">
        <v>10</v>
      </c>
      <c r="AM10" s="119">
        <v>10</v>
      </c>
      <c r="AN10" s="119">
        <v>10</v>
      </c>
      <c r="AO10" s="119">
        <v>10</v>
      </c>
      <c r="AP10" s="120">
        <v>10</v>
      </c>
      <c r="AQ10" s="103"/>
      <c r="AR10" s="155">
        <v>10</v>
      </c>
      <c r="AS10" s="156">
        <v>10</v>
      </c>
      <c r="AT10" s="156">
        <v>10</v>
      </c>
      <c r="AU10" s="156">
        <v>10</v>
      </c>
      <c r="AV10" s="156">
        <v>10</v>
      </c>
      <c r="AW10" s="156">
        <v>10</v>
      </c>
      <c r="AX10" s="156">
        <v>10</v>
      </c>
      <c r="AY10" s="156">
        <v>10</v>
      </c>
      <c r="AZ10" s="156">
        <v>10</v>
      </c>
      <c r="BA10" s="156">
        <v>10</v>
      </c>
      <c r="BB10" s="156">
        <v>10</v>
      </c>
      <c r="BC10" s="157">
        <v>10</v>
      </c>
      <c r="BD10" s="103"/>
      <c r="BE10" s="155">
        <v>10</v>
      </c>
      <c r="BF10" s="156">
        <v>10</v>
      </c>
      <c r="BG10" s="156">
        <v>10</v>
      </c>
      <c r="BH10" s="156">
        <v>10</v>
      </c>
      <c r="BI10" s="156">
        <v>10</v>
      </c>
      <c r="BJ10" s="156">
        <v>10</v>
      </c>
      <c r="BK10" s="156">
        <v>10</v>
      </c>
      <c r="BL10" s="156">
        <v>10</v>
      </c>
      <c r="BM10" s="156">
        <v>10</v>
      </c>
      <c r="BN10" s="156">
        <v>10</v>
      </c>
      <c r="BO10" s="156">
        <v>10</v>
      </c>
      <c r="BP10" s="157">
        <v>10</v>
      </c>
    </row>
    <row r="11" spans="1:68" s="115" customFormat="1" ht="10.5" hidden="1" customHeight="1" thickBot="1">
      <c r="A11" s="141" t="s">
        <v>179</v>
      </c>
      <c r="B11" s="142"/>
      <c r="C11" s="143"/>
      <c r="D11" s="99"/>
      <c r="E11" s="144">
        <f>SUM(E9:E10)</f>
        <v>0</v>
      </c>
      <c r="F11" s="144">
        <f t="shared" ref="F11:P11" si="5">SUM(F9:F10)</f>
        <v>0</v>
      </c>
      <c r="G11" s="144">
        <f t="shared" si="5"/>
        <v>0</v>
      </c>
      <c r="H11" s="144">
        <f t="shared" si="5"/>
        <v>0</v>
      </c>
      <c r="I11" s="144">
        <f t="shared" si="5"/>
        <v>0</v>
      </c>
      <c r="J11" s="144">
        <f t="shared" si="5"/>
        <v>0</v>
      </c>
      <c r="K11" s="144">
        <f t="shared" si="5"/>
        <v>0</v>
      </c>
      <c r="L11" s="144">
        <f t="shared" si="5"/>
        <v>4</v>
      </c>
      <c r="M11" s="144">
        <f t="shared" si="5"/>
        <v>6</v>
      </c>
      <c r="N11" s="144">
        <f t="shared" si="5"/>
        <v>8</v>
      </c>
      <c r="O11" s="144">
        <f t="shared" si="5"/>
        <v>10</v>
      </c>
      <c r="P11" s="145">
        <f t="shared" si="5"/>
        <v>12</v>
      </c>
      <c r="Q11" s="102"/>
      <c r="R11" s="144">
        <f>SUM(R9:R10)</f>
        <v>14</v>
      </c>
      <c r="S11" s="144">
        <f t="shared" ref="S11:AC11" si="6">SUM(S9:S10)</f>
        <v>16</v>
      </c>
      <c r="T11" s="144">
        <f t="shared" si="6"/>
        <v>19</v>
      </c>
      <c r="U11" s="144">
        <f t="shared" si="6"/>
        <v>22</v>
      </c>
      <c r="V11" s="144">
        <f t="shared" si="6"/>
        <v>25</v>
      </c>
      <c r="W11" s="144">
        <f t="shared" si="6"/>
        <v>25</v>
      </c>
      <c r="X11" s="144">
        <f t="shared" si="6"/>
        <v>25</v>
      </c>
      <c r="Y11" s="144">
        <f t="shared" si="6"/>
        <v>25</v>
      </c>
      <c r="Z11" s="144">
        <f t="shared" si="6"/>
        <v>25</v>
      </c>
      <c r="AA11" s="144">
        <f t="shared" si="6"/>
        <v>25</v>
      </c>
      <c r="AB11" s="144">
        <f t="shared" si="6"/>
        <v>25</v>
      </c>
      <c r="AC11" s="145">
        <f t="shared" si="6"/>
        <v>25</v>
      </c>
      <c r="AD11" s="102"/>
      <c r="AE11" s="144">
        <f>SUM(AE9:AE10)</f>
        <v>20</v>
      </c>
      <c r="AF11" s="144">
        <f t="shared" ref="AF11:AP11" si="7">SUM(AF9:AF10)</f>
        <v>20</v>
      </c>
      <c r="AG11" s="144">
        <f t="shared" si="7"/>
        <v>20</v>
      </c>
      <c r="AH11" s="144">
        <f t="shared" si="7"/>
        <v>20</v>
      </c>
      <c r="AI11" s="144">
        <f t="shared" si="7"/>
        <v>20</v>
      </c>
      <c r="AJ11" s="144">
        <f t="shared" si="7"/>
        <v>20</v>
      </c>
      <c r="AK11" s="144">
        <f t="shared" si="7"/>
        <v>20</v>
      </c>
      <c r="AL11" s="144">
        <f t="shared" si="7"/>
        <v>20</v>
      </c>
      <c r="AM11" s="144">
        <f t="shared" si="7"/>
        <v>20</v>
      </c>
      <c r="AN11" s="144">
        <f t="shared" si="7"/>
        <v>20</v>
      </c>
      <c r="AO11" s="144">
        <f t="shared" si="7"/>
        <v>20</v>
      </c>
      <c r="AP11" s="145">
        <f t="shared" si="7"/>
        <v>20</v>
      </c>
      <c r="AQ11" s="103"/>
      <c r="AR11" s="138">
        <f>SUM(AR9:AR10)</f>
        <v>20</v>
      </c>
      <c r="AS11" s="139">
        <f t="shared" ref="AS11:BC11" si="8">SUM(AS9:AS10)</f>
        <v>20</v>
      </c>
      <c r="AT11" s="139">
        <f t="shared" si="8"/>
        <v>20</v>
      </c>
      <c r="AU11" s="139">
        <f t="shared" si="8"/>
        <v>20</v>
      </c>
      <c r="AV11" s="139">
        <f t="shared" si="8"/>
        <v>20</v>
      </c>
      <c r="AW11" s="139">
        <f t="shared" si="8"/>
        <v>20</v>
      </c>
      <c r="AX11" s="139">
        <f t="shared" si="8"/>
        <v>20</v>
      </c>
      <c r="AY11" s="139">
        <f t="shared" si="8"/>
        <v>20</v>
      </c>
      <c r="AZ11" s="139">
        <f t="shared" si="8"/>
        <v>20</v>
      </c>
      <c r="BA11" s="139">
        <f t="shared" si="8"/>
        <v>20</v>
      </c>
      <c r="BB11" s="139">
        <f t="shared" si="8"/>
        <v>20</v>
      </c>
      <c r="BC11" s="140">
        <f t="shared" si="8"/>
        <v>20</v>
      </c>
      <c r="BD11" s="103"/>
      <c r="BE11" s="138">
        <f>SUM(BE9:BE10)</f>
        <v>20</v>
      </c>
      <c r="BF11" s="139">
        <f t="shared" ref="BF11:BP11" si="9">SUM(BF9:BF10)</f>
        <v>20</v>
      </c>
      <c r="BG11" s="139">
        <f t="shared" si="9"/>
        <v>20</v>
      </c>
      <c r="BH11" s="139">
        <f t="shared" si="9"/>
        <v>20</v>
      </c>
      <c r="BI11" s="139">
        <f t="shared" si="9"/>
        <v>20</v>
      </c>
      <c r="BJ11" s="139">
        <f t="shared" si="9"/>
        <v>20</v>
      </c>
      <c r="BK11" s="139">
        <f t="shared" si="9"/>
        <v>20</v>
      </c>
      <c r="BL11" s="139">
        <f t="shared" si="9"/>
        <v>20</v>
      </c>
      <c r="BM11" s="139">
        <f t="shared" si="9"/>
        <v>20</v>
      </c>
      <c r="BN11" s="139">
        <f t="shared" si="9"/>
        <v>20</v>
      </c>
      <c r="BO11" s="139">
        <f t="shared" si="9"/>
        <v>20</v>
      </c>
      <c r="BP11" s="140">
        <f t="shared" si="9"/>
        <v>20</v>
      </c>
    </row>
    <row r="12" spans="1:68" s="115" customFormat="1" ht="10.5" customHeight="1">
      <c r="A12" s="158" t="s">
        <v>180</v>
      </c>
      <c r="B12" s="159"/>
      <c r="C12" s="160"/>
      <c r="D12" s="99"/>
      <c r="E12" s="119">
        <f>E8:F8+E11</f>
        <v>0</v>
      </c>
      <c r="F12" s="119">
        <f t="shared" ref="F12:P12" si="10">F8:G8+F11</f>
        <v>0</v>
      </c>
      <c r="G12" s="119">
        <f t="shared" si="10"/>
        <v>0</v>
      </c>
      <c r="H12" s="119">
        <f t="shared" si="10"/>
        <v>0</v>
      </c>
      <c r="I12" s="119">
        <f t="shared" si="10"/>
        <v>0</v>
      </c>
      <c r="J12" s="119">
        <f t="shared" si="10"/>
        <v>0</v>
      </c>
      <c r="K12" s="119">
        <f t="shared" si="10"/>
        <v>0</v>
      </c>
      <c r="L12" s="119">
        <f t="shared" si="10"/>
        <v>4</v>
      </c>
      <c r="M12" s="119">
        <f t="shared" si="10"/>
        <v>6</v>
      </c>
      <c r="N12" s="119">
        <f t="shared" si="10"/>
        <v>8</v>
      </c>
      <c r="O12" s="119">
        <f t="shared" si="10"/>
        <v>10</v>
      </c>
      <c r="P12" s="120">
        <f t="shared" si="10"/>
        <v>12</v>
      </c>
      <c r="Q12" s="102"/>
      <c r="R12" s="119">
        <f>R8:S8+R11</f>
        <v>14</v>
      </c>
      <c r="S12" s="119">
        <f t="shared" ref="S12:AC12" si="11">S8:T8+S11</f>
        <v>16</v>
      </c>
      <c r="T12" s="119">
        <f t="shared" si="11"/>
        <v>19</v>
      </c>
      <c r="U12" s="119">
        <f t="shared" si="11"/>
        <v>22</v>
      </c>
      <c r="V12" s="119">
        <f t="shared" si="11"/>
        <v>25</v>
      </c>
      <c r="W12" s="119">
        <f t="shared" si="11"/>
        <v>25</v>
      </c>
      <c r="X12" s="119">
        <f t="shared" si="11"/>
        <v>25</v>
      </c>
      <c r="Y12" s="119">
        <f t="shared" si="11"/>
        <v>25</v>
      </c>
      <c r="Z12" s="119">
        <f t="shared" si="11"/>
        <v>25</v>
      </c>
      <c r="AA12" s="119">
        <f t="shared" si="11"/>
        <v>25</v>
      </c>
      <c r="AB12" s="119">
        <f t="shared" si="11"/>
        <v>25</v>
      </c>
      <c r="AC12" s="120">
        <f t="shared" si="11"/>
        <v>25</v>
      </c>
      <c r="AD12" s="102"/>
      <c r="AE12" s="119">
        <f>AE8:AF8+AE11</f>
        <v>20</v>
      </c>
      <c r="AF12" s="119">
        <f t="shared" ref="AF12:AO12" si="12">AF8:AG8+AF11</f>
        <v>20</v>
      </c>
      <c r="AG12" s="119">
        <f t="shared" si="12"/>
        <v>20</v>
      </c>
      <c r="AH12" s="119">
        <f t="shared" si="12"/>
        <v>20</v>
      </c>
      <c r="AI12" s="119">
        <f t="shared" si="12"/>
        <v>20</v>
      </c>
      <c r="AJ12" s="119">
        <f t="shared" si="12"/>
        <v>20</v>
      </c>
      <c r="AK12" s="119">
        <f t="shared" si="12"/>
        <v>20</v>
      </c>
      <c r="AL12" s="119">
        <f t="shared" si="12"/>
        <v>20</v>
      </c>
      <c r="AM12" s="119">
        <f t="shared" si="12"/>
        <v>20</v>
      </c>
      <c r="AN12" s="119">
        <f t="shared" si="12"/>
        <v>20</v>
      </c>
      <c r="AO12" s="119">
        <f t="shared" si="12"/>
        <v>20</v>
      </c>
      <c r="AP12" s="120">
        <f>AP8:AP8+AP11</f>
        <v>20</v>
      </c>
      <c r="AQ12" s="103"/>
      <c r="AR12" s="161">
        <f>AR8:AS8+AR11</f>
        <v>40</v>
      </c>
      <c r="AS12" s="128">
        <f t="shared" ref="AS12:BB12" si="13">AS8:AT8+AS11</f>
        <v>40</v>
      </c>
      <c r="AT12" s="128">
        <f t="shared" si="13"/>
        <v>40</v>
      </c>
      <c r="AU12" s="128">
        <f t="shared" si="13"/>
        <v>40</v>
      </c>
      <c r="AV12" s="128">
        <f t="shared" si="13"/>
        <v>40</v>
      </c>
      <c r="AW12" s="128">
        <f t="shared" si="13"/>
        <v>40</v>
      </c>
      <c r="AX12" s="128">
        <f t="shared" si="13"/>
        <v>40</v>
      </c>
      <c r="AY12" s="128">
        <f t="shared" si="13"/>
        <v>40</v>
      </c>
      <c r="AZ12" s="128">
        <f t="shared" si="13"/>
        <v>40</v>
      </c>
      <c r="BA12" s="128">
        <f t="shared" si="13"/>
        <v>40</v>
      </c>
      <c r="BB12" s="128">
        <f t="shared" si="13"/>
        <v>40</v>
      </c>
      <c r="BC12" s="129">
        <f>BC8:BC8+BC11</f>
        <v>40</v>
      </c>
      <c r="BD12" s="103"/>
      <c r="BE12" s="161">
        <f>BE8:BF8+BE11</f>
        <v>40</v>
      </c>
      <c r="BF12" s="128">
        <f t="shared" ref="BF12:BO12" si="14">BF8:BG8+BF11</f>
        <v>40</v>
      </c>
      <c r="BG12" s="128">
        <f t="shared" si="14"/>
        <v>40</v>
      </c>
      <c r="BH12" s="128">
        <f t="shared" si="14"/>
        <v>40</v>
      </c>
      <c r="BI12" s="128">
        <f t="shared" si="14"/>
        <v>40</v>
      </c>
      <c r="BJ12" s="128">
        <f t="shared" si="14"/>
        <v>40</v>
      </c>
      <c r="BK12" s="128">
        <f t="shared" si="14"/>
        <v>40</v>
      </c>
      <c r="BL12" s="128">
        <f t="shared" si="14"/>
        <v>40</v>
      </c>
      <c r="BM12" s="128">
        <f t="shared" si="14"/>
        <v>40</v>
      </c>
      <c r="BN12" s="128">
        <f t="shared" si="14"/>
        <v>40</v>
      </c>
      <c r="BO12" s="128">
        <f t="shared" si="14"/>
        <v>40</v>
      </c>
      <c r="BP12" s="129">
        <f>BP8:BP8+BP11</f>
        <v>40</v>
      </c>
    </row>
    <row r="13" spans="1:68" ht="8.25" customHeight="1">
      <c r="A13" s="162"/>
      <c r="B13" s="163"/>
      <c r="C13" s="164"/>
      <c r="D13" s="99"/>
      <c r="E13" s="165"/>
      <c r="F13" s="165"/>
      <c r="G13" s="165"/>
      <c r="H13" s="165"/>
      <c r="I13" s="165"/>
      <c r="J13" s="165"/>
      <c r="K13" s="165"/>
      <c r="L13" s="165"/>
      <c r="M13" s="165"/>
      <c r="N13" s="165"/>
      <c r="O13" s="165"/>
      <c r="P13" s="166"/>
      <c r="Q13" s="102"/>
      <c r="R13" s="165"/>
      <c r="S13" s="165"/>
      <c r="T13" s="165"/>
      <c r="U13" s="165"/>
      <c r="V13" s="165"/>
      <c r="W13" s="165"/>
      <c r="X13" s="165"/>
      <c r="Y13" s="165"/>
      <c r="Z13" s="165"/>
      <c r="AA13" s="165"/>
      <c r="AB13" s="165"/>
      <c r="AC13" s="166"/>
      <c r="AD13" s="102"/>
      <c r="AE13" s="165"/>
      <c r="AF13" s="165"/>
      <c r="AG13" s="165"/>
      <c r="AH13" s="165"/>
      <c r="AI13" s="165"/>
      <c r="AJ13" s="165"/>
      <c r="AK13" s="165"/>
      <c r="AL13" s="165"/>
      <c r="AM13" s="165"/>
      <c r="AN13" s="165"/>
      <c r="AO13" s="165"/>
      <c r="AP13" s="166"/>
      <c r="AQ13" s="103"/>
      <c r="AR13" s="167"/>
      <c r="AS13" s="168"/>
      <c r="AT13" s="168"/>
      <c r="AU13" s="168"/>
      <c r="AV13" s="168"/>
      <c r="AW13" s="168"/>
      <c r="AX13" s="168"/>
      <c r="AY13" s="168"/>
      <c r="AZ13" s="168"/>
      <c r="BA13" s="168"/>
      <c r="BB13" s="168"/>
      <c r="BC13" s="169"/>
      <c r="BD13" s="103"/>
      <c r="BE13" s="167"/>
      <c r="BF13" s="168"/>
      <c r="BG13" s="168"/>
      <c r="BH13" s="168"/>
      <c r="BI13" s="168"/>
      <c r="BJ13" s="168"/>
      <c r="BK13" s="168"/>
      <c r="BL13" s="168"/>
      <c r="BM13" s="168"/>
      <c r="BN13" s="168"/>
      <c r="BO13" s="168"/>
      <c r="BP13" s="169"/>
    </row>
    <row r="14" spans="1:68" ht="15.75" hidden="1" customHeight="1">
      <c r="A14" s="170" t="s">
        <v>181</v>
      </c>
      <c r="B14" s="171"/>
      <c r="C14" s="172"/>
      <c r="D14" s="99"/>
      <c r="E14" s="173">
        <f t="shared" ref="E14:P14" si="15">ROUNDDOWN(E6*E23*E4*E5,-2)</f>
        <v>0</v>
      </c>
      <c r="F14" s="173">
        <f t="shared" si="15"/>
        <v>0</v>
      </c>
      <c r="G14" s="173">
        <f t="shared" si="15"/>
        <v>0</v>
      </c>
      <c r="H14" s="173">
        <f t="shared" si="15"/>
        <v>0</v>
      </c>
      <c r="I14" s="173">
        <f t="shared" si="15"/>
        <v>0</v>
      </c>
      <c r="J14" s="173">
        <f t="shared" si="15"/>
        <v>0</v>
      </c>
      <c r="K14" s="173">
        <f t="shared" si="15"/>
        <v>0</v>
      </c>
      <c r="L14" s="173">
        <f t="shared" si="15"/>
        <v>0</v>
      </c>
      <c r="M14" s="173">
        <f t="shared" si="15"/>
        <v>0</v>
      </c>
      <c r="N14" s="173">
        <f t="shared" si="15"/>
        <v>0</v>
      </c>
      <c r="O14" s="173">
        <f t="shared" si="15"/>
        <v>0</v>
      </c>
      <c r="P14" s="174">
        <f t="shared" si="15"/>
        <v>0</v>
      </c>
      <c r="Q14" s="102"/>
      <c r="R14" s="173">
        <f t="shared" ref="R14:AC14" si="16">ROUNDDOWN(R6*R23*R4*R5,-2)</f>
        <v>0</v>
      </c>
      <c r="S14" s="173">
        <f t="shared" si="16"/>
        <v>0</v>
      </c>
      <c r="T14" s="173">
        <f t="shared" si="16"/>
        <v>0</v>
      </c>
      <c r="U14" s="173">
        <f t="shared" si="16"/>
        <v>0</v>
      </c>
      <c r="V14" s="173">
        <f t="shared" si="16"/>
        <v>0</v>
      </c>
      <c r="W14" s="173">
        <f t="shared" si="16"/>
        <v>0</v>
      </c>
      <c r="X14" s="173">
        <f t="shared" si="16"/>
        <v>0</v>
      </c>
      <c r="Y14" s="173">
        <f t="shared" si="16"/>
        <v>0</v>
      </c>
      <c r="Z14" s="173">
        <f t="shared" si="16"/>
        <v>0</v>
      </c>
      <c r="AA14" s="173">
        <f t="shared" si="16"/>
        <v>0</v>
      </c>
      <c r="AB14" s="173">
        <f t="shared" si="16"/>
        <v>0</v>
      </c>
      <c r="AC14" s="174">
        <f t="shared" si="16"/>
        <v>0</v>
      </c>
      <c r="AD14" s="102"/>
      <c r="AE14" s="173">
        <f t="shared" ref="AE14:AP14" si="17">ROUNDDOWN(AE6*AE23*AE4*AE5,-2)</f>
        <v>0</v>
      </c>
      <c r="AF14" s="173">
        <f t="shared" si="17"/>
        <v>0</v>
      </c>
      <c r="AG14" s="173">
        <f t="shared" si="17"/>
        <v>0</v>
      </c>
      <c r="AH14" s="173">
        <f t="shared" si="17"/>
        <v>0</v>
      </c>
      <c r="AI14" s="173">
        <f t="shared" si="17"/>
        <v>0</v>
      </c>
      <c r="AJ14" s="173">
        <f t="shared" si="17"/>
        <v>0</v>
      </c>
      <c r="AK14" s="173">
        <f t="shared" si="17"/>
        <v>0</v>
      </c>
      <c r="AL14" s="173">
        <f t="shared" si="17"/>
        <v>0</v>
      </c>
      <c r="AM14" s="173">
        <f t="shared" si="17"/>
        <v>0</v>
      </c>
      <c r="AN14" s="173">
        <f t="shared" si="17"/>
        <v>0</v>
      </c>
      <c r="AO14" s="173">
        <f t="shared" si="17"/>
        <v>0</v>
      </c>
      <c r="AP14" s="174">
        <f t="shared" si="17"/>
        <v>0</v>
      </c>
      <c r="AQ14" s="103"/>
      <c r="AR14" s="175">
        <f t="shared" ref="AR14:BC14" si="18">ROUNDDOWN(AR6*AR23*AR4*AR5,-2)</f>
        <v>1036600</v>
      </c>
      <c r="AS14" s="173">
        <f t="shared" si="18"/>
        <v>942400</v>
      </c>
      <c r="AT14" s="173">
        <f t="shared" si="18"/>
        <v>1083700</v>
      </c>
      <c r="AU14" s="173">
        <f t="shared" si="18"/>
        <v>1036600</v>
      </c>
      <c r="AV14" s="173">
        <f t="shared" si="18"/>
        <v>1083700</v>
      </c>
      <c r="AW14" s="173">
        <f t="shared" si="18"/>
        <v>1036600</v>
      </c>
      <c r="AX14" s="173">
        <f t="shared" si="18"/>
        <v>1083700</v>
      </c>
      <c r="AY14" s="173">
        <f t="shared" si="18"/>
        <v>1036600</v>
      </c>
      <c r="AZ14" s="173">
        <f t="shared" si="18"/>
        <v>1036600</v>
      </c>
      <c r="BA14" s="173">
        <f t="shared" si="18"/>
        <v>1083700</v>
      </c>
      <c r="BB14" s="173">
        <f t="shared" si="18"/>
        <v>1036600</v>
      </c>
      <c r="BC14" s="174">
        <f t="shared" si="18"/>
        <v>1036600</v>
      </c>
      <c r="BD14" s="103"/>
      <c r="BE14" s="175">
        <f t="shared" ref="BE14:BP14" si="19">ROUNDDOWN(BE6*BE23*BE4*BE5,-2)</f>
        <v>1036600</v>
      </c>
      <c r="BF14" s="173">
        <f t="shared" si="19"/>
        <v>942400</v>
      </c>
      <c r="BG14" s="173">
        <f t="shared" si="19"/>
        <v>1083700</v>
      </c>
      <c r="BH14" s="173">
        <f t="shared" si="19"/>
        <v>1036600</v>
      </c>
      <c r="BI14" s="173">
        <f t="shared" si="19"/>
        <v>1083700</v>
      </c>
      <c r="BJ14" s="173">
        <f t="shared" si="19"/>
        <v>1036600</v>
      </c>
      <c r="BK14" s="173">
        <f t="shared" si="19"/>
        <v>1083700</v>
      </c>
      <c r="BL14" s="173">
        <f t="shared" si="19"/>
        <v>1036600</v>
      </c>
      <c r="BM14" s="173">
        <f t="shared" si="19"/>
        <v>1036600</v>
      </c>
      <c r="BN14" s="173">
        <f t="shared" si="19"/>
        <v>1083700</v>
      </c>
      <c r="BO14" s="173">
        <f t="shared" si="19"/>
        <v>1036600</v>
      </c>
      <c r="BP14" s="174">
        <f t="shared" si="19"/>
        <v>1036600</v>
      </c>
    </row>
    <row r="15" spans="1:68" ht="15.75" hidden="1" customHeight="1">
      <c r="A15" s="170" t="s">
        <v>182</v>
      </c>
      <c r="B15" s="171"/>
      <c r="C15" s="172"/>
      <c r="D15" s="99"/>
      <c r="E15" s="173">
        <f>ROUNDDOWN(E7*E24*E4*E29,-2)</f>
        <v>0</v>
      </c>
      <c r="F15" s="173">
        <f t="shared" ref="F15:P15" si="20">F7*F24*F4*F29</f>
        <v>0</v>
      </c>
      <c r="G15" s="173">
        <f t="shared" si="20"/>
        <v>0</v>
      </c>
      <c r="H15" s="173">
        <f t="shared" si="20"/>
        <v>0</v>
      </c>
      <c r="I15" s="173">
        <f t="shared" si="20"/>
        <v>0</v>
      </c>
      <c r="J15" s="173">
        <f t="shared" si="20"/>
        <v>0</v>
      </c>
      <c r="K15" s="173">
        <f t="shared" si="20"/>
        <v>0</v>
      </c>
      <c r="L15" s="173">
        <f t="shared" si="20"/>
        <v>0</v>
      </c>
      <c r="M15" s="173">
        <f t="shared" si="20"/>
        <v>0</v>
      </c>
      <c r="N15" s="173">
        <f t="shared" si="20"/>
        <v>0</v>
      </c>
      <c r="O15" s="173">
        <f t="shared" si="20"/>
        <v>0</v>
      </c>
      <c r="P15" s="174">
        <f t="shared" si="20"/>
        <v>0</v>
      </c>
      <c r="Q15" s="102"/>
      <c r="R15" s="173">
        <f>ROUNDDOWN(R7*R24*R4*R29,-2)</f>
        <v>0</v>
      </c>
      <c r="S15" s="173">
        <f t="shared" ref="S15:AC15" si="21">S7*S24*S4*S29</f>
        <v>0</v>
      </c>
      <c r="T15" s="173">
        <f t="shared" si="21"/>
        <v>0</v>
      </c>
      <c r="U15" s="173">
        <f t="shared" si="21"/>
        <v>0</v>
      </c>
      <c r="V15" s="173">
        <f t="shared" si="21"/>
        <v>0</v>
      </c>
      <c r="W15" s="173">
        <f t="shared" si="21"/>
        <v>0</v>
      </c>
      <c r="X15" s="173">
        <f t="shared" si="21"/>
        <v>0</v>
      </c>
      <c r="Y15" s="173">
        <f t="shared" si="21"/>
        <v>0</v>
      </c>
      <c r="Z15" s="173">
        <f t="shared" si="21"/>
        <v>0</v>
      </c>
      <c r="AA15" s="173">
        <f t="shared" si="21"/>
        <v>0</v>
      </c>
      <c r="AB15" s="173">
        <f t="shared" si="21"/>
        <v>0</v>
      </c>
      <c r="AC15" s="174">
        <f t="shared" si="21"/>
        <v>0</v>
      </c>
      <c r="AD15" s="102"/>
      <c r="AE15" s="173">
        <f>ROUNDDOWN(AE7*AE24*AE4*AE29,-2)</f>
        <v>0</v>
      </c>
      <c r="AF15" s="173">
        <f t="shared" ref="AF15:AP15" si="22">AF7*AF24*AF4*AF29</f>
        <v>0</v>
      </c>
      <c r="AG15" s="173">
        <f t="shared" si="22"/>
        <v>0</v>
      </c>
      <c r="AH15" s="173">
        <f t="shared" si="22"/>
        <v>0</v>
      </c>
      <c r="AI15" s="173">
        <f t="shared" si="22"/>
        <v>0</v>
      </c>
      <c r="AJ15" s="173">
        <f t="shared" si="22"/>
        <v>0</v>
      </c>
      <c r="AK15" s="173">
        <f t="shared" si="22"/>
        <v>0</v>
      </c>
      <c r="AL15" s="173">
        <f t="shared" si="22"/>
        <v>0</v>
      </c>
      <c r="AM15" s="173">
        <f t="shared" si="22"/>
        <v>0</v>
      </c>
      <c r="AN15" s="173">
        <f t="shared" si="22"/>
        <v>0</v>
      </c>
      <c r="AO15" s="173">
        <f t="shared" si="22"/>
        <v>0</v>
      </c>
      <c r="AP15" s="174">
        <f t="shared" si="22"/>
        <v>0</v>
      </c>
      <c r="AQ15" s="103"/>
      <c r="AR15" s="175">
        <f>ROUNDDOWN(AR7*AR24*AR4*AR29,-2)</f>
        <v>1136800</v>
      </c>
      <c r="AS15" s="173">
        <f t="shared" ref="AS15:BC15" si="23">AS7*AS24*AS4*AS29</f>
        <v>1033500</v>
      </c>
      <c r="AT15" s="173">
        <f t="shared" si="23"/>
        <v>1188525</v>
      </c>
      <c r="AU15" s="173">
        <f t="shared" si="23"/>
        <v>1136850</v>
      </c>
      <c r="AV15" s="173">
        <f t="shared" si="23"/>
        <v>1188525</v>
      </c>
      <c r="AW15" s="173">
        <f t="shared" si="23"/>
        <v>1136850</v>
      </c>
      <c r="AX15" s="173">
        <f t="shared" si="23"/>
        <v>1188525</v>
      </c>
      <c r="AY15" s="173">
        <f t="shared" si="23"/>
        <v>1136850</v>
      </c>
      <c r="AZ15" s="173">
        <f t="shared" si="23"/>
        <v>1136850</v>
      </c>
      <c r="BA15" s="173">
        <f t="shared" si="23"/>
        <v>1188525</v>
      </c>
      <c r="BB15" s="173">
        <f t="shared" si="23"/>
        <v>1136850</v>
      </c>
      <c r="BC15" s="174">
        <f t="shared" si="23"/>
        <v>1136850</v>
      </c>
      <c r="BD15" s="103"/>
      <c r="BE15" s="175">
        <f>ROUNDDOWN(BE7*BE24*BE4*BE29,-2)</f>
        <v>1136800</v>
      </c>
      <c r="BF15" s="173">
        <f t="shared" ref="BF15:BP15" si="24">BF7*BF24*BF4*BF29</f>
        <v>1033500</v>
      </c>
      <c r="BG15" s="173">
        <f t="shared" si="24"/>
        <v>1188525</v>
      </c>
      <c r="BH15" s="173">
        <f t="shared" si="24"/>
        <v>1136850</v>
      </c>
      <c r="BI15" s="173">
        <f t="shared" si="24"/>
        <v>1188525</v>
      </c>
      <c r="BJ15" s="173">
        <f t="shared" si="24"/>
        <v>1136850</v>
      </c>
      <c r="BK15" s="173">
        <f t="shared" si="24"/>
        <v>1188525</v>
      </c>
      <c r="BL15" s="173">
        <f t="shared" si="24"/>
        <v>1136850</v>
      </c>
      <c r="BM15" s="173">
        <f t="shared" si="24"/>
        <v>1136850</v>
      </c>
      <c r="BN15" s="173">
        <f t="shared" si="24"/>
        <v>1188525</v>
      </c>
      <c r="BO15" s="173">
        <f t="shared" si="24"/>
        <v>1136850</v>
      </c>
      <c r="BP15" s="174">
        <f t="shared" si="24"/>
        <v>1136850</v>
      </c>
    </row>
    <row r="16" spans="1:68" ht="15.75" hidden="1" customHeight="1">
      <c r="A16" s="176" t="s">
        <v>183</v>
      </c>
      <c r="B16" s="177"/>
      <c r="C16" s="178"/>
      <c r="D16" s="99"/>
      <c r="E16" s="173">
        <f t="shared" ref="E16:P16" si="25">ROUNDDOWN(((E6+E7)*(E27+E28*0.8))*E4,-2)</f>
        <v>0</v>
      </c>
      <c r="F16" s="173">
        <f t="shared" si="25"/>
        <v>0</v>
      </c>
      <c r="G16" s="173">
        <f t="shared" si="25"/>
        <v>0</v>
      </c>
      <c r="H16" s="173">
        <f t="shared" si="25"/>
        <v>0</v>
      </c>
      <c r="I16" s="173">
        <f t="shared" si="25"/>
        <v>0</v>
      </c>
      <c r="J16" s="173">
        <f t="shared" si="25"/>
        <v>0</v>
      </c>
      <c r="K16" s="173">
        <f t="shared" si="25"/>
        <v>0</v>
      </c>
      <c r="L16" s="173">
        <f t="shared" si="25"/>
        <v>0</v>
      </c>
      <c r="M16" s="173">
        <f t="shared" si="25"/>
        <v>0</v>
      </c>
      <c r="N16" s="173">
        <f t="shared" si="25"/>
        <v>0</v>
      </c>
      <c r="O16" s="173">
        <f t="shared" si="25"/>
        <v>0</v>
      </c>
      <c r="P16" s="174">
        <f t="shared" si="25"/>
        <v>0</v>
      </c>
      <c r="Q16" s="102"/>
      <c r="R16" s="173">
        <f t="shared" ref="R16:AC16" si="26">ROUNDDOWN(((R6+R7)*(R27+R28*0.8))*R4,-2)</f>
        <v>0</v>
      </c>
      <c r="S16" s="173">
        <f t="shared" si="26"/>
        <v>0</v>
      </c>
      <c r="T16" s="173">
        <f t="shared" si="26"/>
        <v>0</v>
      </c>
      <c r="U16" s="173">
        <f t="shared" si="26"/>
        <v>0</v>
      </c>
      <c r="V16" s="173">
        <f t="shared" si="26"/>
        <v>0</v>
      </c>
      <c r="W16" s="173">
        <f t="shared" si="26"/>
        <v>0</v>
      </c>
      <c r="X16" s="173">
        <f t="shared" si="26"/>
        <v>0</v>
      </c>
      <c r="Y16" s="173">
        <f t="shared" si="26"/>
        <v>0</v>
      </c>
      <c r="Z16" s="173">
        <f t="shared" si="26"/>
        <v>0</v>
      </c>
      <c r="AA16" s="173">
        <f t="shared" si="26"/>
        <v>0</v>
      </c>
      <c r="AB16" s="173">
        <f t="shared" si="26"/>
        <v>0</v>
      </c>
      <c r="AC16" s="174">
        <f t="shared" si="26"/>
        <v>0</v>
      </c>
      <c r="AD16" s="102"/>
      <c r="AE16" s="173">
        <f t="shared" ref="AE16:AP16" si="27">ROUNDDOWN(((AE6+AE7)*(AE27+AE28*0.8))*AE4,-2)</f>
        <v>0</v>
      </c>
      <c r="AF16" s="173">
        <f t="shared" si="27"/>
        <v>0</v>
      </c>
      <c r="AG16" s="173">
        <f t="shared" si="27"/>
        <v>0</v>
      </c>
      <c r="AH16" s="173">
        <f t="shared" si="27"/>
        <v>0</v>
      </c>
      <c r="AI16" s="173">
        <f t="shared" si="27"/>
        <v>0</v>
      </c>
      <c r="AJ16" s="173">
        <f t="shared" si="27"/>
        <v>0</v>
      </c>
      <c r="AK16" s="173">
        <f t="shared" si="27"/>
        <v>0</v>
      </c>
      <c r="AL16" s="173">
        <f t="shared" si="27"/>
        <v>0</v>
      </c>
      <c r="AM16" s="173">
        <f t="shared" si="27"/>
        <v>0</v>
      </c>
      <c r="AN16" s="173">
        <f t="shared" si="27"/>
        <v>0</v>
      </c>
      <c r="AO16" s="173">
        <f t="shared" si="27"/>
        <v>0</v>
      </c>
      <c r="AP16" s="174">
        <f t="shared" si="27"/>
        <v>0</v>
      </c>
      <c r="AQ16" s="103"/>
      <c r="AR16" s="175">
        <f t="shared" ref="AR16:BC16" si="28">ROUNDDOWN(((AR6+AR7)*(AR27+AR28*0.8))*AR4,-2)</f>
        <v>581600</v>
      </c>
      <c r="AS16" s="173">
        <f t="shared" si="28"/>
        <v>528800</v>
      </c>
      <c r="AT16" s="173">
        <f t="shared" si="28"/>
        <v>608100</v>
      </c>
      <c r="AU16" s="173">
        <f t="shared" si="28"/>
        <v>581600</v>
      </c>
      <c r="AV16" s="173">
        <f t="shared" si="28"/>
        <v>608100</v>
      </c>
      <c r="AW16" s="173">
        <f t="shared" si="28"/>
        <v>581600</v>
      </c>
      <c r="AX16" s="173">
        <f t="shared" si="28"/>
        <v>608100</v>
      </c>
      <c r="AY16" s="173">
        <f t="shared" si="28"/>
        <v>581600</v>
      </c>
      <c r="AZ16" s="173">
        <f t="shared" si="28"/>
        <v>581600</v>
      </c>
      <c r="BA16" s="173">
        <f t="shared" si="28"/>
        <v>608100</v>
      </c>
      <c r="BB16" s="173">
        <f t="shared" si="28"/>
        <v>581600</v>
      </c>
      <c r="BC16" s="174">
        <f t="shared" si="28"/>
        <v>581600</v>
      </c>
      <c r="BD16" s="103"/>
      <c r="BE16" s="175">
        <f t="shared" ref="BE16:BP16" si="29">ROUNDDOWN(((BE6+BE7)*(BE27+BE28*0.8))*BE4,-2)</f>
        <v>581600</v>
      </c>
      <c r="BF16" s="173">
        <f t="shared" si="29"/>
        <v>528800</v>
      </c>
      <c r="BG16" s="173">
        <f t="shared" si="29"/>
        <v>608100</v>
      </c>
      <c r="BH16" s="173">
        <f t="shared" si="29"/>
        <v>581600</v>
      </c>
      <c r="BI16" s="173">
        <f t="shared" si="29"/>
        <v>608100</v>
      </c>
      <c r="BJ16" s="173">
        <f t="shared" si="29"/>
        <v>581600</v>
      </c>
      <c r="BK16" s="173">
        <f t="shared" si="29"/>
        <v>608100</v>
      </c>
      <c r="BL16" s="173">
        <f t="shared" si="29"/>
        <v>581600</v>
      </c>
      <c r="BM16" s="173">
        <f t="shared" si="29"/>
        <v>581600</v>
      </c>
      <c r="BN16" s="173">
        <f t="shared" si="29"/>
        <v>608100</v>
      </c>
      <c r="BO16" s="173">
        <f t="shared" si="29"/>
        <v>581600</v>
      </c>
      <c r="BP16" s="174">
        <f t="shared" si="29"/>
        <v>581600</v>
      </c>
    </row>
    <row r="17" spans="1:68" ht="14.25" customHeight="1">
      <c r="A17" s="170" t="s">
        <v>184</v>
      </c>
      <c r="B17" s="171"/>
      <c r="C17" s="172"/>
      <c r="D17" s="99"/>
      <c r="E17" s="173">
        <f t="shared" ref="E17:P17" si="30">ROUNDDOWN(E9*E25*E4*E5,-2)</f>
        <v>0</v>
      </c>
      <c r="F17" s="173">
        <f t="shared" si="30"/>
        <v>0</v>
      </c>
      <c r="G17" s="173">
        <f t="shared" si="30"/>
        <v>0</v>
      </c>
      <c r="H17" s="173">
        <f t="shared" si="30"/>
        <v>0</v>
      </c>
      <c r="I17" s="173">
        <f t="shared" si="30"/>
        <v>0</v>
      </c>
      <c r="J17" s="173">
        <f t="shared" si="30"/>
        <v>0</v>
      </c>
      <c r="K17" s="173">
        <f t="shared" si="30"/>
        <v>0</v>
      </c>
      <c r="L17" s="173">
        <f t="shared" si="30"/>
        <v>577200</v>
      </c>
      <c r="M17" s="173">
        <f t="shared" si="30"/>
        <v>708400</v>
      </c>
      <c r="N17" s="173">
        <f t="shared" si="30"/>
        <v>997100</v>
      </c>
      <c r="O17" s="173">
        <f t="shared" si="30"/>
        <v>1246400</v>
      </c>
      <c r="P17" s="174">
        <f t="shared" si="30"/>
        <v>1810500</v>
      </c>
      <c r="Q17" s="102"/>
      <c r="R17" s="173">
        <f t="shared" ref="R17:AC17" si="31">ROUNDDOWN(R9*R25*R4*R5,-2)</f>
        <v>1705600</v>
      </c>
      <c r="S17" s="173">
        <f t="shared" si="31"/>
        <v>1744900</v>
      </c>
      <c r="T17" s="173">
        <f t="shared" si="31"/>
        <v>2164800</v>
      </c>
      <c r="U17" s="173">
        <f t="shared" si="31"/>
        <v>2204100</v>
      </c>
      <c r="V17" s="173">
        <f t="shared" si="31"/>
        <v>2230400</v>
      </c>
      <c r="W17" s="173">
        <f t="shared" si="31"/>
        <v>2341900</v>
      </c>
      <c r="X17" s="173">
        <f t="shared" si="31"/>
        <v>2341900</v>
      </c>
      <c r="Y17" s="173">
        <f t="shared" si="31"/>
        <v>2341900</v>
      </c>
      <c r="Z17" s="173">
        <f t="shared" si="31"/>
        <v>2118800</v>
      </c>
      <c r="AA17" s="173">
        <f t="shared" si="31"/>
        <v>2007300</v>
      </c>
      <c r="AB17" s="173">
        <f t="shared" si="31"/>
        <v>2230400</v>
      </c>
      <c r="AC17" s="174">
        <f t="shared" si="31"/>
        <v>2564900</v>
      </c>
      <c r="AD17" s="102"/>
      <c r="AE17" s="173">
        <f t="shared" ref="AE17:AP17" si="32">ROUNDDOWN(AE9*AE25*AE4*AE5,-2)</f>
        <v>1422000</v>
      </c>
      <c r="AF17" s="173">
        <f t="shared" si="32"/>
        <v>1292800</v>
      </c>
      <c r="AG17" s="173">
        <f t="shared" si="32"/>
        <v>1486700</v>
      </c>
      <c r="AH17" s="173">
        <f t="shared" si="32"/>
        <v>1422000</v>
      </c>
      <c r="AI17" s="173">
        <f t="shared" si="32"/>
        <v>1486700</v>
      </c>
      <c r="AJ17" s="173">
        <f t="shared" si="32"/>
        <v>1422000</v>
      </c>
      <c r="AK17" s="173">
        <f t="shared" si="32"/>
        <v>1486700</v>
      </c>
      <c r="AL17" s="173">
        <f t="shared" si="32"/>
        <v>1422000</v>
      </c>
      <c r="AM17" s="173">
        <f t="shared" si="32"/>
        <v>1422000</v>
      </c>
      <c r="AN17" s="173">
        <f t="shared" si="32"/>
        <v>1486700</v>
      </c>
      <c r="AO17" s="173">
        <f t="shared" si="32"/>
        <v>1422000</v>
      </c>
      <c r="AP17" s="174">
        <f t="shared" si="32"/>
        <v>1422000</v>
      </c>
      <c r="AQ17" s="103"/>
      <c r="AR17" s="175">
        <f t="shared" ref="AR17:BC17" si="33">ROUNDDOWN(AR9*AR25*AR4*AR5,-2)</f>
        <v>1422000</v>
      </c>
      <c r="AS17" s="173">
        <f t="shared" si="33"/>
        <v>1292800</v>
      </c>
      <c r="AT17" s="173">
        <f t="shared" si="33"/>
        <v>1486700</v>
      </c>
      <c r="AU17" s="173">
        <f t="shared" si="33"/>
        <v>1422000</v>
      </c>
      <c r="AV17" s="173">
        <f t="shared" si="33"/>
        <v>1486700</v>
      </c>
      <c r="AW17" s="173">
        <f t="shared" si="33"/>
        <v>1422000</v>
      </c>
      <c r="AX17" s="173">
        <f t="shared" si="33"/>
        <v>1486700</v>
      </c>
      <c r="AY17" s="173">
        <f t="shared" si="33"/>
        <v>1422000</v>
      </c>
      <c r="AZ17" s="173">
        <f t="shared" si="33"/>
        <v>1422000</v>
      </c>
      <c r="BA17" s="173">
        <f t="shared" si="33"/>
        <v>1486700</v>
      </c>
      <c r="BB17" s="173">
        <f t="shared" si="33"/>
        <v>1422000</v>
      </c>
      <c r="BC17" s="174">
        <f t="shared" si="33"/>
        <v>1422000</v>
      </c>
      <c r="BD17" s="103"/>
      <c r="BE17" s="175">
        <f t="shared" ref="BE17:BP17" si="34">ROUNDDOWN(BE9*BE25*BE4*BE5,-2)</f>
        <v>1422000</v>
      </c>
      <c r="BF17" s="173">
        <f t="shared" si="34"/>
        <v>1292800</v>
      </c>
      <c r="BG17" s="173">
        <f t="shared" si="34"/>
        <v>1486700</v>
      </c>
      <c r="BH17" s="173">
        <f t="shared" si="34"/>
        <v>1422000</v>
      </c>
      <c r="BI17" s="173">
        <f t="shared" si="34"/>
        <v>1486700</v>
      </c>
      <c r="BJ17" s="173">
        <f t="shared" si="34"/>
        <v>1422000</v>
      </c>
      <c r="BK17" s="173">
        <f t="shared" si="34"/>
        <v>1486700</v>
      </c>
      <c r="BL17" s="173">
        <f t="shared" si="34"/>
        <v>1422000</v>
      </c>
      <c r="BM17" s="173">
        <f t="shared" si="34"/>
        <v>1422000</v>
      </c>
      <c r="BN17" s="173">
        <f t="shared" si="34"/>
        <v>1486700</v>
      </c>
      <c r="BO17" s="173">
        <f t="shared" si="34"/>
        <v>1422000</v>
      </c>
      <c r="BP17" s="174">
        <f t="shared" si="34"/>
        <v>1422000</v>
      </c>
    </row>
    <row r="18" spans="1:68" ht="14.25" customHeight="1">
      <c r="A18" s="170" t="s">
        <v>185</v>
      </c>
      <c r="B18" s="171"/>
      <c r="C18" s="172"/>
      <c r="D18" s="99"/>
      <c r="E18" s="173">
        <f t="shared" ref="E18:P18" si="35">ROUNDDOWN(E10*E26*E4*E5,-2)</f>
        <v>0</v>
      </c>
      <c r="F18" s="173">
        <f t="shared" si="35"/>
        <v>0</v>
      </c>
      <c r="G18" s="173">
        <f t="shared" si="35"/>
        <v>0</v>
      </c>
      <c r="H18" s="173">
        <f t="shared" si="35"/>
        <v>0</v>
      </c>
      <c r="I18" s="173">
        <f t="shared" si="35"/>
        <v>0</v>
      </c>
      <c r="J18" s="173">
        <f t="shared" si="35"/>
        <v>0</v>
      </c>
      <c r="K18" s="173">
        <f t="shared" si="35"/>
        <v>0</v>
      </c>
      <c r="L18" s="173">
        <f t="shared" si="35"/>
        <v>0</v>
      </c>
      <c r="M18" s="173">
        <f t="shared" si="35"/>
        <v>0</v>
      </c>
      <c r="N18" s="173">
        <f t="shared" si="35"/>
        <v>0</v>
      </c>
      <c r="O18" s="173">
        <f t="shared" si="35"/>
        <v>0</v>
      </c>
      <c r="P18" s="174">
        <f t="shared" si="35"/>
        <v>0</v>
      </c>
      <c r="Q18" s="102"/>
      <c r="R18" s="173">
        <f t="shared" ref="R18:AC18" si="36">ROUNDDOWN(R10*R26*R4*R5,-2)</f>
        <v>131200</v>
      </c>
      <c r="S18" s="173">
        <f t="shared" si="36"/>
        <v>249200</v>
      </c>
      <c r="T18" s="173">
        <f t="shared" si="36"/>
        <v>577200</v>
      </c>
      <c r="U18" s="173">
        <f t="shared" si="36"/>
        <v>826500</v>
      </c>
      <c r="V18" s="173">
        <f t="shared" si="36"/>
        <v>1049600</v>
      </c>
      <c r="W18" s="173">
        <f t="shared" si="36"/>
        <v>1102000</v>
      </c>
      <c r="X18" s="173">
        <f t="shared" si="36"/>
        <v>1102000</v>
      </c>
      <c r="Y18" s="173">
        <f t="shared" si="36"/>
        <v>1102000</v>
      </c>
      <c r="Z18" s="173">
        <f t="shared" si="36"/>
        <v>997100</v>
      </c>
      <c r="AA18" s="173">
        <f t="shared" si="36"/>
        <v>944600</v>
      </c>
      <c r="AB18" s="173">
        <f t="shared" si="36"/>
        <v>1049600</v>
      </c>
      <c r="AC18" s="174">
        <f t="shared" si="36"/>
        <v>1207000</v>
      </c>
      <c r="AD18" s="102"/>
      <c r="AE18" s="173">
        <f t="shared" ref="AE18:AP18" si="37">ROUNDDOWN(AE10*AE26*AE4*AE5,-2)</f>
        <v>1598000</v>
      </c>
      <c r="AF18" s="173">
        <f t="shared" si="37"/>
        <v>1452800</v>
      </c>
      <c r="AG18" s="173">
        <f t="shared" si="37"/>
        <v>1670700</v>
      </c>
      <c r="AH18" s="173">
        <f t="shared" si="37"/>
        <v>1598000</v>
      </c>
      <c r="AI18" s="173">
        <f t="shared" si="37"/>
        <v>1670700</v>
      </c>
      <c r="AJ18" s="173">
        <f t="shared" si="37"/>
        <v>1598000</v>
      </c>
      <c r="AK18" s="173">
        <f t="shared" si="37"/>
        <v>1670700</v>
      </c>
      <c r="AL18" s="173">
        <f t="shared" si="37"/>
        <v>1598000</v>
      </c>
      <c r="AM18" s="173">
        <f t="shared" si="37"/>
        <v>1598000</v>
      </c>
      <c r="AN18" s="173">
        <f t="shared" si="37"/>
        <v>1670700</v>
      </c>
      <c r="AO18" s="173">
        <f t="shared" si="37"/>
        <v>1598000</v>
      </c>
      <c r="AP18" s="174">
        <f t="shared" si="37"/>
        <v>1598000</v>
      </c>
      <c r="AQ18" s="103"/>
      <c r="AR18" s="175">
        <f t="shared" ref="AR18:BC18" si="38">ROUNDDOWN(AR10*AR26*AR4*AR5,-2)</f>
        <v>1598000</v>
      </c>
      <c r="AS18" s="173">
        <f t="shared" si="38"/>
        <v>1452800</v>
      </c>
      <c r="AT18" s="173">
        <f t="shared" si="38"/>
        <v>1670700</v>
      </c>
      <c r="AU18" s="173">
        <f t="shared" si="38"/>
        <v>1598000</v>
      </c>
      <c r="AV18" s="173">
        <f t="shared" si="38"/>
        <v>1670700</v>
      </c>
      <c r="AW18" s="173">
        <f t="shared" si="38"/>
        <v>1598000</v>
      </c>
      <c r="AX18" s="173">
        <f t="shared" si="38"/>
        <v>1670700</v>
      </c>
      <c r="AY18" s="173">
        <f t="shared" si="38"/>
        <v>1598000</v>
      </c>
      <c r="AZ18" s="173">
        <f t="shared" si="38"/>
        <v>1598000</v>
      </c>
      <c r="BA18" s="173">
        <f t="shared" si="38"/>
        <v>1670700</v>
      </c>
      <c r="BB18" s="173">
        <f t="shared" si="38"/>
        <v>1598000</v>
      </c>
      <c r="BC18" s="174">
        <f t="shared" si="38"/>
        <v>1598000</v>
      </c>
      <c r="BD18" s="103"/>
      <c r="BE18" s="175">
        <f t="shared" ref="BE18:BP18" si="39">ROUNDDOWN(BE10*BE26*BE4*BE5,-2)</f>
        <v>1598000</v>
      </c>
      <c r="BF18" s="173">
        <f t="shared" si="39"/>
        <v>1452800</v>
      </c>
      <c r="BG18" s="173">
        <f t="shared" si="39"/>
        <v>1670700</v>
      </c>
      <c r="BH18" s="173">
        <f t="shared" si="39"/>
        <v>1598000</v>
      </c>
      <c r="BI18" s="173">
        <f t="shared" si="39"/>
        <v>1670700</v>
      </c>
      <c r="BJ18" s="173">
        <f t="shared" si="39"/>
        <v>1598000</v>
      </c>
      <c r="BK18" s="173">
        <f t="shared" si="39"/>
        <v>1670700</v>
      </c>
      <c r="BL18" s="173">
        <f t="shared" si="39"/>
        <v>1598000</v>
      </c>
      <c r="BM18" s="173">
        <f t="shared" si="39"/>
        <v>1598000</v>
      </c>
      <c r="BN18" s="173">
        <f t="shared" si="39"/>
        <v>1670700</v>
      </c>
      <c r="BO18" s="173">
        <f t="shared" si="39"/>
        <v>1598000</v>
      </c>
      <c r="BP18" s="174">
        <f t="shared" si="39"/>
        <v>1598000</v>
      </c>
    </row>
    <row r="19" spans="1:68" ht="14.25" customHeight="1" thickBot="1">
      <c r="A19" s="179" t="s">
        <v>186</v>
      </c>
      <c r="B19" s="180"/>
      <c r="C19" s="181"/>
      <c r="D19" s="99"/>
      <c r="E19" s="182">
        <f t="shared" ref="E19:P19" si="40">ROUNDDOWN((E9+E10)*E4*E5*E28,-2)</f>
        <v>0</v>
      </c>
      <c r="F19" s="182">
        <f t="shared" si="40"/>
        <v>0</v>
      </c>
      <c r="G19" s="182">
        <f t="shared" si="40"/>
        <v>0</v>
      </c>
      <c r="H19" s="182">
        <f t="shared" si="40"/>
        <v>0</v>
      </c>
      <c r="I19" s="182">
        <f t="shared" si="40"/>
        <v>0</v>
      </c>
      <c r="J19" s="182">
        <f t="shared" si="40"/>
        <v>0</v>
      </c>
      <c r="K19" s="182">
        <f t="shared" si="40"/>
        <v>0</v>
      </c>
      <c r="L19" s="182">
        <f t="shared" si="40"/>
        <v>38000</v>
      </c>
      <c r="M19" s="182">
        <f t="shared" si="40"/>
        <v>46600</v>
      </c>
      <c r="N19" s="182">
        <f t="shared" si="40"/>
        <v>65600</v>
      </c>
      <c r="O19" s="182">
        <f t="shared" si="40"/>
        <v>82000</v>
      </c>
      <c r="P19" s="183">
        <f t="shared" si="40"/>
        <v>119200</v>
      </c>
      <c r="Q19" s="102"/>
      <c r="R19" s="182">
        <f t="shared" ref="R19:AC19" si="41">ROUNDDOWN((R9+R10)*R4*R5*R28,-2)</f>
        <v>120900</v>
      </c>
      <c r="S19" s="182">
        <f t="shared" si="41"/>
        <v>131300</v>
      </c>
      <c r="T19" s="182">
        <f t="shared" si="41"/>
        <v>180500</v>
      </c>
      <c r="U19" s="182">
        <f t="shared" si="41"/>
        <v>199500</v>
      </c>
      <c r="V19" s="182">
        <f t="shared" si="41"/>
        <v>216000</v>
      </c>
      <c r="W19" s="182">
        <f t="shared" si="41"/>
        <v>226800</v>
      </c>
      <c r="X19" s="182">
        <f t="shared" si="41"/>
        <v>226800</v>
      </c>
      <c r="Y19" s="182">
        <f t="shared" si="41"/>
        <v>226800</v>
      </c>
      <c r="Z19" s="182">
        <f t="shared" si="41"/>
        <v>205200</v>
      </c>
      <c r="AA19" s="182">
        <f t="shared" si="41"/>
        <v>194400</v>
      </c>
      <c r="AB19" s="182">
        <f t="shared" si="41"/>
        <v>216000</v>
      </c>
      <c r="AC19" s="183">
        <f t="shared" si="41"/>
        <v>248400</v>
      </c>
      <c r="AD19" s="102"/>
      <c r="AE19" s="182">
        <f t="shared" ref="AE19:AP19" si="42">ROUNDDOWN((AE9+AE10)*AE4*AE5*AE28,-2)</f>
        <v>190000</v>
      </c>
      <c r="AF19" s="182">
        <f t="shared" si="42"/>
        <v>172800</v>
      </c>
      <c r="AG19" s="182">
        <f t="shared" si="42"/>
        <v>198700</v>
      </c>
      <c r="AH19" s="182">
        <f t="shared" si="42"/>
        <v>190000</v>
      </c>
      <c r="AI19" s="182">
        <f t="shared" si="42"/>
        <v>198700</v>
      </c>
      <c r="AJ19" s="182">
        <f t="shared" si="42"/>
        <v>190000</v>
      </c>
      <c r="AK19" s="182">
        <f t="shared" si="42"/>
        <v>198700</v>
      </c>
      <c r="AL19" s="182">
        <f t="shared" si="42"/>
        <v>190000</v>
      </c>
      <c r="AM19" s="182">
        <f t="shared" si="42"/>
        <v>190000</v>
      </c>
      <c r="AN19" s="182">
        <f t="shared" si="42"/>
        <v>198700</v>
      </c>
      <c r="AO19" s="182">
        <f t="shared" si="42"/>
        <v>190000</v>
      </c>
      <c r="AP19" s="183">
        <f t="shared" si="42"/>
        <v>190000</v>
      </c>
      <c r="AQ19" s="103"/>
      <c r="AR19" s="184">
        <f t="shared" ref="AR19:BC19" si="43">ROUNDDOWN((AR9+AR10)*AR4*AR5*AR28,-2)</f>
        <v>190000</v>
      </c>
      <c r="AS19" s="182">
        <f t="shared" si="43"/>
        <v>172800</v>
      </c>
      <c r="AT19" s="182">
        <f t="shared" si="43"/>
        <v>198700</v>
      </c>
      <c r="AU19" s="182">
        <f t="shared" si="43"/>
        <v>190000</v>
      </c>
      <c r="AV19" s="182">
        <f t="shared" si="43"/>
        <v>198700</v>
      </c>
      <c r="AW19" s="182">
        <f t="shared" si="43"/>
        <v>190000</v>
      </c>
      <c r="AX19" s="182">
        <f t="shared" si="43"/>
        <v>198700</v>
      </c>
      <c r="AY19" s="182">
        <f t="shared" si="43"/>
        <v>190000</v>
      </c>
      <c r="AZ19" s="182">
        <f t="shared" si="43"/>
        <v>190000</v>
      </c>
      <c r="BA19" s="182">
        <f t="shared" si="43"/>
        <v>198700</v>
      </c>
      <c r="BB19" s="182">
        <f t="shared" si="43"/>
        <v>190000</v>
      </c>
      <c r="BC19" s="183">
        <f t="shared" si="43"/>
        <v>190000</v>
      </c>
      <c r="BD19" s="103"/>
      <c r="BE19" s="184">
        <f t="shared" ref="BE19:BP19" si="44">ROUNDDOWN((BE9+BE10)*BE4*BE5*BE28,-2)</f>
        <v>190000</v>
      </c>
      <c r="BF19" s="182">
        <f t="shared" si="44"/>
        <v>172800</v>
      </c>
      <c r="BG19" s="182">
        <f t="shared" si="44"/>
        <v>198700</v>
      </c>
      <c r="BH19" s="182">
        <f t="shared" si="44"/>
        <v>190000</v>
      </c>
      <c r="BI19" s="182">
        <f t="shared" si="44"/>
        <v>198700</v>
      </c>
      <c r="BJ19" s="182">
        <f t="shared" si="44"/>
        <v>190000</v>
      </c>
      <c r="BK19" s="182">
        <f t="shared" si="44"/>
        <v>198700</v>
      </c>
      <c r="BL19" s="182">
        <f t="shared" si="44"/>
        <v>190000</v>
      </c>
      <c r="BM19" s="182">
        <f t="shared" si="44"/>
        <v>190000</v>
      </c>
      <c r="BN19" s="182">
        <f t="shared" si="44"/>
        <v>198700</v>
      </c>
      <c r="BO19" s="182">
        <f t="shared" si="44"/>
        <v>190000</v>
      </c>
      <c r="BP19" s="183">
        <f t="shared" si="44"/>
        <v>190000</v>
      </c>
    </row>
    <row r="20" spans="1:68" ht="15.75" customHeight="1" thickTop="1" thickBot="1">
      <c r="A20" s="185" t="s">
        <v>187</v>
      </c>
      <c r="B20" s="186"/>
      <c r="C20" s="187"/>
      <c r="D20" s="99"/>
      <c r="E20" s="188">
        <f t="shared" ref="E20:P20" si="45">SUM(E14:E19)</f>
        <v>0</v>
      </c>
      <c r="F20" s="188">
        <f t="shared" si="45"/>
        <v>0</v>
      </c>
      <c r="G20" s="188">
        <f t="shared" si="45"/>
        <v>0</v>
      </c>
      <c r="H20" s="188">
        <f t="shared" si="45"/>
        <v>0</v>
      </c>
      <c r="I20" s="188">
        <f t="shared" si="45"/>
        <v>0</v>
      </c>
      <c r="J20" s="188">
        <f t="shared" si="45"/>
        <v>0</v>
      </c>
      <c r="K20" s="188">
        <f t="shared" si="45"/>
        <v>0</v>
      </c>
      <c r="L20" s="188">
        <f t="shared" si="45"/>
        <v>615200</v>
      </c>
      <c r="M20" s="188">
        <f t="shared" si="45"/>
        <v>755000</v>
      </c>
      <c r="N20" s="188">
        <f t="shared" si="45"/>
        <v>1062700</v>
      </c>
      <c r="O20" s="188">
        <f t="shared" si="45"/>
        <v>1328400</v>
      </c>
      <c r="P20" s="189">
        <f t="shared" si="45"/>
        <v>1929700</v>
      </c>
      <c r="Q20" s="102"/>
      <c r="R20" s="188">
        <f t="shared" ref="R20:AC20" si="46">SUM(R14:R19)</f>
        <v>1957700</v>
      </c>
      <c r="S20" s="188">
        <f t="shared" si="46"/>
        <v>2125400</v>
      </c>
      <c r="T20" s="188">
        <f t="shared" si="46"/>
        <v>2922500</v>
      </c>
      <c r="U20" s="188">
        <f t="shared" si="46"/>
        <v>3230100</v>
      </c>
      <c r="V20" s="188">
        <f t="shared" si="46"/>
        <v>3496000</v>
      </c>
      <c r="W20" s="188">
        <f t="shared" si="46"/>
        <v>3670700</v>
      </c>
      <c r="X20" s="188">
        <f t="shared" si="46"/>
        <v>3670700</v>
      </c>
      <c r="Y20" s="188">
        <f t="shared" si="46"/>
        <v>3670700</v>
      </c>
      <c r="Z20" s="188">
        <f t="shared" si="46"/>
        <v>3321100</v>
      </c>
      <c r="AA20" s="188">
        <f t="shared" si="46"/>
        <v>3146300</v>
      </c>
      <c r="AB20" s="188">
        <f t="shared" si="46"/>
        <v>3496000</v>
      </c>
      <c r="AC20" s="189">
        <f t="shared" si="46"/>
        <v>4020300</v>
      </c>
      <c r="AD20" s="102"/>
      <c r="AE20" s="188">
        <f t="shared" ref="AE20:AP20" si="47">SUM(AE14:AE19)</f>
        <v>3210000</v>
      </c>
      <c r="AF20" s="188">
        <f t="shared" si="47"/>
        <v>2918400</v>
      </c>
      <c r="AG20" s="188">
        <f t="shared" si="47"/>
        <v>3356100</v>
      </c>
      <c r="AH20" s="188">
        <f t="shared" si="47"/>
        <v>3210000</v>
      </c>
      <c r="AI20" s="188">
        <f t="shared" si="47"/>
        <v>3356100</v>
      </c>
      <c r="AJ20" s="188">
        <f t="shared" si="47"/>
        <v>3210000</v>
      </c>
      <c r="AK20" s="188">
        <f t="shared" si="47"/>
        <v>3356100</v>
      </c>
      <c r="AL20" s="188">
        <f t="shared" si="47"/>
        <v>3210000</v>
      </c>
      <c r="AM20" s="188">
        <f t="shared" si="47"/>
        <v>3210000</v>
      </c>
      <c r="AN20" s="188">
        <f t="shared" si="47"/>
        <v>3356100</v>
      </c>
      <c r="AO20" s="188">
        <f t="shared" si="47"/>
        <v>3210000</v>
      </c>
      <c r="AP20" s="189">
        <f t="shared" si="47"/>
        <v>3210000</v>
      </c>
      <c r="AQ20" s="103"/>
      <c r="AR20" s="190">
        <f t="shared" ref="AR20:BC20" si="48">SUM(AR14:AR19)</f>
        <v>5965000</v>
      </c>
      <c r="AS20" s="188">
        <f t="shared" si="48"/>
        <v>5423100</v>
      </c>
      <c r="AT20" s="188">
        <f t="shared" si="48"/>
        <v>6236425</v>
      </c>
      <c r="AU20" s="188">
        <f t="shared" si="48"/>
        <v>5965050</v>
      </c>
      <c r="AV20" s="188">
        <f t="shared" si="48"/>
        <v>6236425</v>
      </c>
      <c r="AW20" s="188">
        <f t="shared" si="48"/>
        <v>5965050</v>
      </c>
      <c r="AX20" s="188">
        <f t="shared" si="48"/>
        <v>6236425</v>
      </c>
      <c r="AY20" s="188">
        <f t="shared" si="48"/>
        <v>5965050</v>
      </c>
      <c r="AZ20" s="188">
        <f t="shared" si="48"/>
        <v>5965050</v>
      </c>
      <c r="BA20" s="188">
        <f t="shared" si="48"/>
        <v>6236425</v>
      </c>
      <c r="BB20" s="188">
        <f t="shared" si="48"/>
        <v>5965050</v>
      </c>
      <c r="BC20" s="189">
        <f t="shared" si="48"/>
        <v>5965050</v>
      </c>
      <c r="BD20" s="103"/>
      <c r="BE20" s="190">
        <f t="shared" ref="BE20:BP20" si="49">SUM(BE14:BE19)</f>
        <v>5965000</v>
      </c>
      <c r="BF20" s="188">
        <f t="shared" si="49"/>
        <v>5423100</v>
      </c>
      <c r="BG20" s="188">
        <f t="shared" si="49"/>
        <v>6236425</v>
      </c>
      <c r="BH20" s="188">
        <f t="shared" si="49"/>
        <v>5965050</v>
      </c>
      <c r="BI20" s="188">
        <f t="shared" si="49"/>
        <v>6236425</v>
      </c>
      <c r="BJ20" s="188">
        <f t="shared" si="49"/>
        <v>5965050</v>
      </c>
      <c r="BK20" s="188">
        <f t="shared" si="49"/>
        <v>6236425</v>
      </c>
      <c r="BL20" s="188">
        <f t="shared" si="49"/>
        <v>5965050</v>
      </c>
      <c r="BM20" s="188">
        <f t="shared" si="49"/>
        <v>5965050</v>
      </c>
      <c r="BN20" s="188">
        <f t="shared" si="49"/>
        <v>6236425</v>
      </c>
      <c r="BO20" s="188">
        <f t="shared" si="49"/>
        <v>5965050</v>
      </c>
      <c r="BP20" s="189">
        <f t="shared" si="49"/>
        <v>5965050</v>
      </c>
    </row>
    <row r="21" spans="1:68" ht="15.75" customHeight="1" thickTop="1">
      <c r="A21" s="191" t="s">
        <v>188</v>
      </c>
      <c r="B21" s="192"/>
      <c r="C21" s="193"/>
      <c r="D21" s="99"/>
      <c r="E21" s="194">
        <f>E20/1000</f>
        <v>0</v>
      </c>
      <c r="F21" s="194">
        <f t="shared" ref="F21:P21" si="50">F20/1000</f>
        <v>0</v>
      </c>
      <c r="G21" s="194">
        <f t="shared" si="50"/>
        <v>0</v>
      </c>
      <c r="H21" s="194">
        <f t="shared" si="50"/>
        <v>0</v>
      </c>
      <c r="I21" s="194">
        <f t="shared" si="50"/>
        <v>0</v>
      </c>
      <c r="J21" s="194">
        <f t="shared" si="50"/>
        <v>0</v>
      </c>
      <c r="K21" s="194">
        <f t="shared" si="50"/>
        <v>0</v>
      </c>
      <c r="L21" s="194">
        <f t="shared" si="50"/>
        <v>615.20000000000005</v>
      </c>
      <c r="M21" s="194">
        <f t="shared" si="50"/>
        <v>755</v>
      </c>
      <c r="N21" s="194">
        <f t="shared" si="50"/>
        <v>1062.7</v>
      </c>
      <c r="O21" s="194">
        <f t="shared" si="50"/>
        <v>1328.4</v>
      </c>
      <c r="P21" s="195">
        <f t="shared" si="50"/>
        <v>1929.7</v>
      </c>
      <c r="Q21" s="102"/>
      <c r="R21" s="194">
        <f>R20/1000</f>
        <v>1957.7</v>
      </c>
      <c r="S21" s="194">
        <f t="shared" ref="S21:AC21" si="51">S20/1000</f>
        <v>2125.4</v>
      </c>
      <c r="T21" s="194">
        <f t="shared" si="51"/>
        <v>2922.5</v>
      </c>
      <c r="U21" s="194">
        <f t="shared" si="51"/>
        <v>3230.1</v>
      </c>
      <c r="V21" s="194">
        <f t="shared" si="51"/>
        <v>3496</v>
      </c>
      <c r="W21" s="194">
        <f t="shared" si="51"/>
        <v>3670.7</v>
      </c>
      <c r="X21" s="194">
        <f t="shared" si="51"/>
        <v>3670.7</v>
      </c>
      <c r="Y21" s="194">
        <f t="shared" si="51"/>
        <v>3670.7</v>
      </c>
      <c r="Z21" s="194">
        <f t="shared" si="51"/>
        <v>3321.1</v>
      </c>
      <c r="AA21" s="194">
        <f t="shared" si="51"/>
        <v>3146.3</v>
      </c>
      <c r="AB21" s="194">
        <f t="shared" si="51"/>
        <v>3496</v>
      </c>
      <c r="AC21" s="195">
        <f t="shared" si="51"/>
        <v>4020.3</v>
      </c>
      <c r="AD21" s="102"/>
      <c r="AE21" s="194">
        <f>AE20/1000</f>
        <v>3210</v>
      </c>
      <c r="AF21" s="194">
        <f t="shared" ref="AF21:AP21" si="52">AF20/1000</f>
        <v>2918.4</v>
      </c>
      <c r="AG21" s="194">
        <f t="shared" si="52"/>
        <v>3356.1</v>
      </c>
      <c r="AH21" s="194">
        <f t="shared" si="52"/>
        <v>3210</v>
      </c>
      <c r="AI21" s="194">
        <f t="shared" si="52"/>
        <v>3356.1</v>
      </c>
      <c r="AJ21" s="194">
        <f t="shared" si="52"/>
        <v>3210</v>
      </c>
      <c r="AK21" s="194">
        <f t="shared" si="52"/>
        <v>3356.1</v>
      </c>
      <c r="AL21" s="194">
        <f t="shared" si="52"/>
        <v>3210</v>
      </c>
      <c r="AM21" s="194">
        <f t="shared" si="52"/>
        <v>3210</v>
      </c>
      <c r="AN21" s="194">
        <f t="shared" si="52"/>
        <v>3356.1</v>
      </c>
      <c r="AO21" s="194">
        <f t="shared" si="52"/>
        <v>3210</v>
      </c>
      <c r="AP21" s="195">
        <f t="shared" si="52"/>
        <v>3210</v>
      </c>
      <c r="AQ21" s="103"/>
      <c r="AR21" s="196">
        <f>AR20/1000</f>
        <v>5965</v>
      </c>
      <c r="AS21" s="194">
        <f t="shared" ref="AS21:BC21" si="53">AS20/1000</f>
        <v>5423.1</v>
      </c>
      <c r="AT21" s="194">
        <f t="shared" si="53"/>
        <v>6236.4250000000002</v>
      </c>
      <c r="AU21" s="194">
        <f t="shared" si="53"/>
        <v>5965.05</v>
      </c>
      <c r="AV21" s="194">
        <f t="shared" si="53"/>
        <v>6236.4250000000002</v>
      </c>
      <c r="AW21" s="194">
        <f t="shared" si="53"/>
        <v>5965.05</v>
      </c>
      <c r="AX21" s="194">
        <f t="shared" si="53"/>
        <v>6236.4250000000002</v>
      </c>
      <c r="AY21" s="194">
        <f t="shared" si="53"/>
        <v>5965.05</v>
      </c>
      <c r="AZ21" s="194">
        <f t="shared" si="53"/>
        <v>5965.05</v>
      </c>
      <c r="BA21" s="194">
        <f t="shared" si="53"/>
        <v>6236.4250000000002</v>
      </c>
      <c r="BB21" s="194">
        <f t="shared" si="53"/>
        <v>5965.05</v>
      </c>
      <c r="BC21" s="195">
        <f t="shared" si="53"/>
        <v>5965.05</v>
      </c>
      <c r="BD21" s="103"/>
      <c r="BE21" s="196">
        <f>BE20/1000</f>
        <v>5965</v>
      </c>
      <c r="BF21" s="194">
        <f t="shared" ref="BF21:BP21" si="54">BF20/1000</f>
        <v>5423.1</v>
      </c>
      <c r="BG21" s="194">
        <f t="shared" si="54"/>
        <v>6236.4250000000002</v>
      </c>
      <c r="BH21" s="194">
        <f t="shared" si="54"/>
        <v>5965.05</v>
      </c>
      <c r="BI21" s="194">
        <f t="shared" si="54"/>
        <v>6236.4250000000002</v>
      </c>
      <c r="BJ21" s="194">
        <f t="shared" si="54"/>
        <v>5965.05</v>
      </c>
      <c r="BK21" s="194">
        <f t="shared" si="54"/>
        <v>6236.4250000000002</v>
      </c>
      <c r="BL21" s="194">
        <f t="shared" si="54"/>
        <v>5965.05</v>
      </c>
      <c r="BM21" s="194">
        <f t="shared" si="54"/>
        <v>5965.05</v>
      </c>
      <c r="BN21" s="194">
        <f t="shared" si="54"/>
        <v>6236.4250000000002</v>
      </c>
      <c r="BO21" s="194">
        <f t="shared" si="54"/>
        <v>5965.05</v>
      </c>
      <c r="BP21" s="195">
        <f t="shared" si="54"/>
        <v>5965.05</v>
      </c>
    </row>
    <row r="22" spans="1:68" ht="8.25" customHeight="1">
      <c r="A22" s="162"/>
      <c r="B22" s="163"/>
      <c r="C22" s="164"/>
      <c r="D22" s="99"/>
      <c r="E22" s="165"/>
      <c r="F22" s="165"/>
      <c r="G22" s="165"/>
      <c r="H22" s="165"/>
      <c r="I22" s="165"/>
      <c r="J22" s="165"/>
      <c r="K22" s="165"/>
      <c r="L22" s="165"/>
      <c r="M22" s="165"/>
      <c r="N22" s="165"/>
      <c r="O22" s="165"/>
      <c r="P22" s="166"/>
      <c r="Q22" s="102"/>
      <c r="R22" s="165"/>
      <c r="S22" s="165"/>
      <c r="T22" s="165"/>
      <c r="U22" s="165"/>
      <c r="V22" s="165"/>
      <c r="W22" s="165"/>
      <c r="X22" s="165"/>
      <c r="Y22" s="165"/>
      <c r="Z22" s="165"/>
      <c r="AA22" s="165"/>
      <c r="AB22" s="165"/>
      <c r="AC22" s="166"/>
      <c r="AD22" s="102"/>
      <c r="AE22" s="165"/>
      <c r="AF22" s="165"/>
      <c r="AG22" s="165"/>
      <c r="AH22" s="165"/>
      <c r="AI22" s="165"/>
      <c r="AJ22" s="165"/>
      <c r="AK22" s="165"/>
      <c r="AL22" s="165"/>
      <c r="AM22" s="165"/>
      <c r="AN22" s="165"/>
      <c r="AO22" s="165"/>
      <c r="AP22" s="166"/>
      <c r="AQ22" s="103"/>
      <c r="AR22" s="167"/>
      <c r="AS22" s="168"/>
      <c r="AT22" s="168"/>
      <c r="AU22" s="168"/>
      <c r="AV22" s="168"/>
      <c r="AW22" s="168"/>
      <c r="AX22" s="168"/>
      <c r="AY22" s="168"/>
      <c r="AZ22" s="168"/>
      <c r="BA22" s="168"/>
      <c r="BB22" s="168"/>
      <c r="BC22" s="169"/>
      <c r="BD22" s="103"/>
      <c r="BE22" s="167"/>
      <c r="BF22" s="168"/>
      <c r="BG22" s="168"/>
      <c r="BH22" s="168"/>
      <c r="BI22" s="168"/>
      <c r="BJ22" s="168"/>
      <c r="BK22" s="168"/>
      <c r="BL22" s="168"/>
      <c r="BM22" s="168"/>
      <c r="BN22" s="168"/>
      <c r="BO22" s="168"/>
      <c r="BP22" s="169"/>
    </row>
    <row r="23" spans="1:68" s="203" customFormat="1" ht="15.75" hidden="1" customHeight="1">
      <c r="A23" s="197" t="s">
        <v>189</v>
      </c>
      <c r="B23" s="198"/>
      <c r="C23" s="199"/>
      <c r="D23" s="99"/>
      <c r="E23" s="200">
        <v>5890</v>
      </c>
      <c r="F23" s="200">
        <v>5890</v>
      </c>
      <c r="G23" s="200">
        <v>5890</v>
      </c>
      <c r="H23" s="200">
        <v>5890</v>
      </c>
      <c r="I23" s="200">
        <v>5890</v>
      </c>
      <c r="J23" s="200">
        <v>5890</v>
      </c>
      <c r="K23" s="200">
        <v>5890</v>
      </c>
      <c r="L23" s="200">
        <v>5890</v>
      </c>
      <c r="M23" s="200">
        <v>5890</v>
      </c>
      <c r="N23" s="200">
        <v>5890</v>
      </c>
      <c r="O23" s="200">
        <v>5890</v>
      </c>
      <c r="P23" s="201">
        <v>5890</v>
      </c>
      <c r="Q23" s="102"/>
      <c r="R23" s="200">
        <v>5890</v>
      </c>
      <c r="S23" s="200">
        <v>5890</v>
      </c>
      <c r="T23" s="200">
        <v>5890</v>
      </c>
      <c r="U23" s="200">
        <v>5890</v>
      </c>
      <c r="V23" s="200">
        <v>5890</v>
      </c>
      <c r="W23" s="200">
        <v>5890</v>
      </c>
      <c r="X23" s="200">
        <v>5890</v>
      </c>
      <c r="Y23" s="200">
        <v>5890</v>
      </c>
      <c r="Z23" s="200">
        <v>5890</v>
      </c>
      <c r="AA23" s="200">
        <v>5890</v>
      </c>
      <c r="AB23" s="200">
        <v>5890</v>
      </c>
      <c r="AC23" s="201">
        <v>5890</v>
      </c>
      <c r="AD23" s="102"/>
      <c r="AE23" s="200">
        <v>5890</v>
      </c>
      <c r="AF23" s="200">
        <v>5890</v>
      </c>
      <c r="AG23" s="200">
        <v>5890</v>
      </c>
      <c r="AH23" s="200">
        <v>5890</v>
      </c>
      <c r="AI23" s="200">
        <v>5890</v>
      </c>
      <c r="AJ23" s="200">
        <v>5890</v>
      </c>
      <c r="AK23" s="200">
        <v>5890</v>
      </c>
      <c r="AL23" s="200">
        <v>5890</v>
      </c>
      <c r="AM23" s="200">
        <v>5890</v>
      </c>
      <c r="AN23" s="200">
        <v>5890</v>
      </c>
      <c r="AO23" s="200">
        <v>5890</v>
      </c>
      <c r="AP23" s="201">
        <v>5890</v>
      </c>
      <c r="AQ23" s="103"/>
      <c r="AR23" s="202">
        <v>5890</v>
      </c>
      <c r="AS23" s="200">
        <v>5890</v>
      </c>
      <c r="AT23" s="200">
        <v>5890</v>
      </c>
      <c r="AU23" s="200">
        <v>5890</v>
      </c>
      <c r="AV23" s="200">
        <v>5890</v>
      </c>
      <c r="AW23" s="200">
        <v>5890</v>
      </c>
      <c r="AX23" s="200">
        <v>5890</v>
      </c>
      <c r="AY23" s="200">
        <v>5890</v>
      </c>
      <c r="AZ23" s="200">
        <v>5890</v>
      </c>
      <c r="BA23" s="200">
        <v>5890</v>
      </c>
      <c r="BB23" s="200">
        <v>5890</v>
      </c>
      <c r="BC23" s="201">
        <v>5890</v>
      </c>
      <c r="BD23" s="103"/>
      <c r="BE23" s="202">
        <v>5890</v>
      </c>
      <c r="BF23" s="200">
        <v>5890</v>
      </c>
      <c r="BG23" s="200">
        <v>5890</v>
      </c>
      <c r="BH23" s="200">
        <v>5890</v>
      </c>
      <c r="BI23" s="200">
        <v>5890</v>
      </c>
      <c r="BJ23" s="200">
        <v>5890</v>
      </c>
      <c r="BK23" s="200">
        <v>5890</v>
      </c>
      <c r="BL23" s="200">
        <v>5890</v>
      </c>
      <c r="BM23" s="200">
        <v>5890</v>
      </c>
      <c r="BN23" s="200">
        <v>5890</v>
      </c>
      <c r="BO23" s="200">
        <v>5890</v>
      </c>
      <c r="BP23" s="201">
        <v>5890</v>
      </c>
    </row>
    <row r="24" spans="1:68" s="203" customFormat="1" ht="15.75" hidden="1" customHeight="1">
      <c r="A24" s="197" t="s">
        <v>190</v>
      </c>
      <c r="B24" s="198"/>
      <c r="C24" s="199"/>
      <c r="D24" s="99"/>
      <c r="E24" s="200">
        <v>6890</v>
      </c>
      <c r="F24" s="200">
        <v>6890</v>
      </c>
      <c r="G24" s="200">
        <v>6890</v>
      </c>
      <c r="H24" s="200">
        <v>6890</v>
      </c>
      <c r="I24" s="200">
        <v>6890</v>
      </c>
      <c r="J24" s="200">
        <v>6890</v>
      </c>
      <c r="K24" s="200">
        <v>6890</v>
      </c>
      <c r="L24" s="200">
        <v>6890</v>
      </c>
      <c r="M24" s="200">
        <v>6890</v>
      </c>
      <c r="N24" s="200">
        <v>6890</v>
      </c>
      <c r="O24" s="200">
        <v>6890</v>
      </c>
      <c r="P24" s="201">
        <v>6890</v>
      </c>
      <c r="Q24" s="102"/>
      <c r="R24" s="200">
        <v>6890</v>
      </c>
      <c r="S24" s="200">
        <v>6890</v>
      </c>
      <c r="T24" s="200">
        <v>6890</v>
      </c>
      <c r="U24" s="200">
        <v>6890</v>
      </c>
      <c r="V24" s="200">
        <v>6890</v>
      </c>
      <c r="W24" s="200">
        <v>6890</v>
      </c>
      <c r="X24" s="200">
        <v>6890</v>
      </c>
      <c r="Y24" s="200">
        <v>6890</v>
      </c>
      <c r="Z24" s="200">
        <v>6890</v>
      </c>
      <c r="AA24" s="200">
        <v>6890</v>
      </c>
      <c r="AB24" s="200">
        <v>6890</v>
      </c>
      <c r="AC24" s="201">
        <v>6890</v>
      </c>
      <c r="AD24" s="102"/>
      <c r="AE24" s="200">
        <v>6890</v>
      </c>
      <c r="AF24" s="200">
        <v>6890</v>
      </c>
      <c r="AG24" s="200">
        <v>6890</v>
      </c>
      <c r="AH24" s="200">
        <v>6890</v>
      </c>
      <c r="AI24" s="200">
        <v>6890</v>
      </c>
      <c r="AJ24" s="200">
        <v>6890</v>
      </c>
      <c r="AK24" s="200">
        <v>6890</v>
      </c>
      <c r="AL24" s="200">
        <v>6890</v>
      </c>
      <c r="AM24" s="200">
        <v>6890</v>
      </c>
      <c r="AN24" s="200">
        <v>6890</v>
      </c>
      <c r="AO24" s="200">
        <v>6890</v>
      </c>
      <c r="AP24" s="201">
        <v>6890</v>
      </c>
      <c r="AQ24" s="103"/>
      <c r="AR24" s="202">
        <v>6890</v>
      </c>
      <c r="AS24" s="200">
        <v>6890</v>
      </c>
      <c r="AT24" s="200">
        <v>6890</v>
      </c>
      <c r="AU24" s="200">
        <v>6890</v>
      </c>
      <c r="AV24" s="200">
        <v>6890</v>
      </c>
      <c r="AW24" s="200">
        <v>6890</v>
      </c>
      <c r="AX24" s="200">
        <v>6890</v>
      </c>
      <c r="AY24" s="200">
        <v>6890</v>
      </c>
      <c r="AZ24" s="200">
        <v>6890</v>
      </c>
      <c r="BA24" s="200">
        <v>6890</v>
      </c>
      <c r="BB24" s="200">
        <v>6890</v>
      </c>
      <c r="BC24" s="201">
        <v>6890</v>
      </c>
      <c r="BD24" s="103"/>
      <c r="BE24" s="202">
        <v>6890</v>
      </c>
      <c r="BF24" s="200">
        <v>6890</v>
      </c>
      <c r="BG24" s="200">
        <v>6890</v>
      </c>
      <c r="BH24" s="200">
        <v>6890</v>
      </c>
      <c r="BI24" s="200">
        <v>6890</v>
      </c>
      <c r="BJ24" s="200">
        <v>6890</v>
      </c>
      <c r="BK24" s="200">
        <v>6890</v>
      </c>
      <c r="BL24" s="200">
        <v>6890</v>
      </c>
      <c r="BM24" s="200">
        <v>6890</v>
      </c>
      <c r="BN24" s="200">
        <v>6890</v>
      </c>
      <c r="BO24" s="200">
        <v>6890</v>
      </c>
      <c r="BP24" s="201">
        <v>6890</v>
      </c>
    </row>
    <row r="25" spans="1:68" s="203" customFormat="1" ht="15.75" customHeight="1">
      <c r="A25" s="197" t="s">
        <v>191</v>
      </c>
      <c r="B25" s="198"/>
      <c r="C25" s="199"/>
      <c r="D25" s="99"/>
      <c r="E25" s="200">
        <v>8200</v>
      </c>
      <c r="F25" s="200">
        <f>E25</f>
        <v>8200</v>
      </c>
      <c r="G25" s="200">
        <f t="shared" ref="G25:O25" si="55">F25</f>
        <v>8200</v>
      </c>
      <c r="H25" s="200">
        <f t="shared" si="55"/>
        <v>8200</v>
      </c>
      <c r="I25" s="200">
        <f t="shared" si="55"/>
        <v>8200</v>
      </c>
      <c r="J25" s="200">
        <f t="shared" si="55"/>
        <v>8200</v>
      </c>
      <c r="K25" s="200">
        <f t="shared" si="55"/>
        <v>8200</v>
      </c>
      <c r="L25" s="200">
        <f t="shared" si="55"/>
        <v>8200</v>
      </c>
      <c r="M25" s="200">
        <f t="shared" si="55"/>
        <v>8200</v>
      </c>
      <c r="N25" s="200">
        <f t="shared" si="55"/>
        <v>8200</v>
      </c>
      <c r="O25" s="200">
        <f t="shared" si="55"/>
        <v>8200</v>
      </c>
      <c r="P25" s="201">
        <v>8200</v>
      </c>
      <c r="Q25" s="102"/>
      <c r="R25" s="200">
        <f>P25</f>
        <v>8200</v>
      </c>
      <c r="S25" s="200">
        <f>R25</f>
        <v>8200</v>
      </c>
      <c r="T25" s="200">
        <f t="shared" ref="T25:AC25" si="56">S25</f>
        <v>8200</v>
      </c>
      <c r="U25" s="200">
        <f t="shared" si="56"/>
        <v>8200</v>
      </c>
      <c r="V25" s="200">
        <f t="shared" si="56"/>
        <v>8200</v>
      </c>
      <c r="W25" s="200">
        <f t="shared" si="56"/>
        <v>8200</v>
      </c>
      <c r="X25" s="200">
        <f t="shared" si="56"/>
        <v>8200</v>
      </c>
      <c r="Y25" s="200">
        <f t="shared" si="56"/>
        <v>8200</v>
      </c>
      <c r="Z25" s="200">
        <f t="shared" si="56"/>
        <v>8200</v>
      </c>
      <c r="AA25" s="200">
        <f t="shared" si="56"/>
        <v>8200</v>
      </c>
      <c r="AB25" s="200">
        <f t="shared" si="56"/>
        <v>8200</v>
      </c>
      <c r="AC25" s="201">
        <f t="shared" si="56"/>
        <v>8200</v>
      </c>
      <c r="AD25" s="102"/>
      <c r="AE25" s="200">
        <v>8080</v>
      </c>
      <c r="AF25" s="200">
        <v>8080</v>
      </c>
      <c r="AG25" s="200">
        <v>8080</v>
      </c>
      <c r="AH25" s="200">
        <v>8080</v>
      </c>
      <c r="AI25" s="200">
        <v>8080</v>
      </c>
      <c r="AJ25" s="200">
        <v>8080</v>
      </c>
      <c r="AK25" s="200">
        <v>8080</v>
      </c>
      <c r="AL25" s="200">
        <v>8080</v>
      </c>
      <c r="AM25" s="200">
        <v>8080</v>
      </c>
      <c r="AN25" s="200">
        <v>8080</v>
      </c>
      <c r="AO25" s="200">
        <v>8080</v>
      </c>
      <c r="AP25" s="201">
        <v>8080</v>
      </c>
      <c r="AQ25" s="103"/>
      <c r="AR25" s="202">
        <v>8080</v>
      </c>
      <c r="AS25" s="200">
        <v>8080</v>
      </c>
      <c r="AT25" s="200">
        <v>8080</v>
      </c>
      <c r="AU25" s="200">
        <v>8080</v>
      </c>
      <c r="AV25" s="200">
        <v>8080</v>
      </c>
      <c r="AW25" s="200">
        <v>8080</v>
      </c>
      <c r="AX25" s="200">
        <v>8080</v>
      </c>
      <c r="AY25" s="200">
        <v>8080</v>
      </c>
      <c r="AZ25" s="200">
        <v>8080</v>
      </c>
      <c r="BA25" s="200">
        <v>8080</v>
      </c>
      <c r="BB25" s="200">
        <v>8080</v>
      </c>
      <c r="BC25" s="201">
        <v>8080</v>
      </c>
      <c r="BD25" s="103"/>
      <c r="BE25" s="202">
        <v>8080</v>
      </c>
      <c r="BF25" s="200">
        <v>8080</v>
      </c>
      <c r="BG25" s="200">
        <v>8080</v>
      </c>
      <c r="BH25" s="200">
        <v>8080</v>
      </c>
      <c r="BI25" s="200">
        <v>8080</v>
      </c>
      <c r="BJ25" s="200">
        <v>8080</v>
      </c>
      <c r="BK25" s="200">
        <v>8080</v>
      </c>
      <c r="BL25" s="200">
        <v>8080</v>
      </c>
      <c r="BM25" s="200">
        <v>8080</v>
      </c>
      <c r="BN25" s="200">
        <v>8080</v>
      </c>
      <c r="BO25" s="200">
        <v>8080</v>
      </c>
      <c r="BP25" s="201">
        <v>8080</v>
      </c>
    </row>
    <row r="26" spans="1:68" s="203" customFormat="1" ht="15.75" customHeight="1">
      <c r="A26" s="197" t="s">
        <v>192</v>
      </c>
      <c r="B26" s="198"/>
      <c r="C26" s="199"/>
      <c r="D26" s="99"/>
      <c r="E26" s="200">
        <f>E25</f>
        <v>8200</v>
      </c>
      <c r="F26" s="200">
        <f t="shared" ref="F26:P26" si="57">F25</f>
        <v>8200</v>
      </c>
      <c r="G26" s="200">
        <f t="shared" si="57"/>
        <v>8200</v>
      </c>
      <c r="H26" s="200">
        <f t="shared" si="57"/>
        <v>8200</v>
      </c>
      <c r="I26" s="200">
        <f t="shared" si="57"/>
        <v>8200</v>
      </c>
      <c r="J26" s="200">
        <f t="shared" si="57"/>
        <v>8200</v>
      </c>
      <c r="K26" s="200">
        <f t="shared" si="57"/>
        <v>8200</v>
      </c>
      <c r="L26" s="200">
        <f t="shared" si="57"/>
        <v>8200</v>
      </c>
      <c r="M26" s="200">
        <f t="shared" si="57"/>
        <v>8200</v>
      </c>
      <c r="N26" s="200">
        <f t="shared" si="57"/>
        <v>8200</v>
      </c>
      <c r="O26" s="200">
        <f t="shared" si="57"/>
        <v>8200</v>
      </c>
      <c r="P26" s="201">
        <f t="shared" si="57"/>
        <v>8200</v>
      </c>
      <c r="Q26" s="102"/>
      <c r="R26" s="200">
        <f>R25</f>
        <v>8200</v>
      </c>
      <c r="S26" s="200">
        <f t="shared" ref="S26:AC26" si="58">S25</f>
        <v>8200</v>
      </c>
      <c r="T26" s="200">
        <f t="shared" si="58"/>
        <v>8200</v>
      </c>
      <c r="U26" s="200">
        <f t="shared" si="58"/>
        <v>8200</v>
      </c>
      <c r="V26" s="200">
        <f t="shared" si="58"/>
        <v>8200</v>
      </c>
      <c r="W26" s="200">
        <f t="shared" si="58"/>
        <v>8200</v>
      </c>
      <c r="X26" s="200">
        <f t="shared" si="58"/>
        <v>8200</v>
      </c>
      <c r="Y26" s="200">
        <f t="shared" si="58"/>
        <v>8200</v>
      </c>
      <c r="Z26" s="200">
        <f t="shared" si="58"/>
        <v>8200</v>
      </c>
      <c r="AA26" s="200">
        <f t="shared" si="58"/>
        <v>8200</v>
      </c>
      <c r="AB26" s="200">
        <f t="shared" si="58"/>
        <v>8200</v>
      </c>
      <c r="AC26" s="201">
        <f t="shared" si="58"/>
        <v>8200</v>
      </c>
      <c r="AD26" s="102"/>
      <c r="AE26" s="200">
        <v>9080</v>
      </c>
      <c r="AF26" s="200">
        <v>9080</v>
      </c>
      <c r="AG26" s="200">
        <v>9080</v>
      </c>
      <c r="AH26" s="200">
        <v>9080</v>
      </c>
      <c r="AI26" s="200">
        <v>9080</v>
      </c>
      <c r="AJ26" s="200">
        <v>9080</v>
      </c>
      <c r="AK26" s="200">
        <v>9080</v>
      </c>
      <c r="AL26" s="200">
        <v>9080</v>
      </c>
      <c r="AM26" s="200">
        <v>9080</v>
      </c>
      <c r="AN26" s="200">
        <v>9080</v>
      </c>
      <c r="AO26" s="200">
        <v>9080</v>
      </c>
      <c r="AP26" s="201">
        <v>9080</v>
      </c>
      <c r="AQ26" s="103"/>
      <c r="AR26" s="202">
        <v>9080</v>
      </c>
      <c r="AS26" s="200">
        <v>9080</v>
      </c>
      <c r="AT26" s="200">
        <v>9080</v>
      </c>
      <c r="AU26" s="200">
        <v>9080</v>
      </c>
      <c r="AV26" s="200">
        <v>9080</v>
      </c>
      <c r="AW26" s="200">
        <v>9080</v>
      </c>
      <c r="AX26" s="200">
        <v>9080</v>
      </c>
      <c r="AY26" s="200">
        <v>9080</v>
      </c>
      <c r="AZ26" s="200">
        <v>9080</v>
      </c>
      <c r="BA26" s="200">
        <v>9080</v>
      </c>
      <c r="BB26" s="200">
        <v>9080</v>
      </c>
      <c r="BC26" s="201">
        <v>9080</v>
      </c>
      <c r="BD26" s="103"/>
      <c r="BE26" s="202">
        <v>9080</v>
      </c>
      <c r="BF26" s="200">
        <v>9080</v>
      </c>
      <c r="BG26" s="200">
        <v>9080</v>
      </c>
      <c r="BH26" s="200">
        <v>9080</v>
      </c>
      <c r="BI26" s="200">
        <v>9080</v>
      </c>
      <c r="BJ26" s="200">
        <v>9080</v>
      </c>
      <c r="BK26" s="200">
        <v>9080</v>
      </c>
      <c r="BL26" s="200">
        <v>9080</v>
      </c>
      <c r="BM26" s="200">
        <v>9080</v>
      </c>
      <c r="BN26" s="200">
        <v>9080</v>
      </c>
      <c r="BO26" s="200">
        <v>9080</v>
      </c>
      <c r="BP26" s="201">
        <v>9080</v>
      </c>
    </row>
    <row r="27" spans="1:68" s="203" customFormat="1" ht="15.75" hidden="1" customHeight="1">
      <c r="A27" s="204" t="s">
        <v>193</v>
      </c>
      <c r="B27" s="205"/>
      <c r="C27" s="206"/>
      <c r="D27" s="99"/>
      <c r="E27" s="200">
        <v>890</v>
      </c>
      <c r="F27" s="200">
        <v>890</v>
      </c>
      <c r="G27" s="200">
        <v>890</v>
      </c>
      <c r="H27" s="200">
        <v>890</v>
      </c>
      <c r="I27" s="200">
        <v>890</v>
      </c>
      <c r="J27" s="200">
        <v>890</v>
      </c>
      <c r="K27" s="200">
        <v>890</v>
      </c>
      <c r="L27" s="200">
        <v>890</v>
      </c>
      <c r="M27" s="200">
        <v>890</v>
      </c>
      <c r="N27" s="200">
        <v>890</v>
      </c>
      <c r="O27" s="200">
        <v>890</v>
      </c>
      <c r="P27" s="201">
        <v>890</v>
      </c>
      <c r="Q27" s="102"/>
      <c r="R27" s="200">
        <v>890</v>
      </c>
      <c r="S27" s="200">
        <v>890</v>
      </c>
      <c r="T27" s="200">
        <v>890</v>
      </c>
      <c r="U27" s="200">
        <v>890</v>
      </c>
      <c r="V27" s="200">
        <v>890</v>
      </c>
      <c r="W27" s="200">
        <v>890</v>
      </c>
      <c r="X27" s="200">
        <v>890</v>
      </c>
      <c r="Y27" s="200">
        <v>890</v>
      </c>
      <c r="Z27" s="200">
        <v>890</v>
      </c>
      <c r="AA27" s="200">
        <v>890</v>
      </c>
      <c r="AB27" s="200">
        <v>890</v>
      </c>
      <c r="AC27" s="201">
        <v>890</v>
      </c>
      <c r="AD27" s="102"/>
      <c r="AE27" s="200">
        <v>890</v>
      </c>
      <c r="AF27" s="200">
        <v>890</v>
      </c>
      <c r="AG27" s="200">
        <v>890</v>
      </c>
      <c r="AH27" s="200">
        <v>890</v>
      </c>
      <c r="AI27" s="200">
        <v>890</v>
      </c>
      <c r="AJ27" s="200">
        <v>890</v>
      </c>
      <c r="AK27" s="200">
        <v>890</v>
      </c>
      <c r="AL27" s="200">
        <v>890</v>
      </c>
      <c r="AM27" s="200">
        <v>890</v>
      </c>
      <c r="AN27" s="200">
        <v>890</v>
      </c>
      <c r="AO27" s="200">
        <v>890</v>
      </c>
      <c r="AP27" s="201">
        <v>890</v>
      </c>
      <c r="AQ27" s="103"/>
      <c r="AR27" s="202">
        <v>890</v>
      </c>
      <c r="AS27" s="200">
        <v>890</v>
      </c>
      <c r="AT27" s="200">
        <v>890</v>
      </c>
      <c r="AU27" s="200">
        <v>890</v>
      </c>
      <c r="AV27" s="200">
        <v>890</v>
      </c>
      <c r="AW27" s="200">
        <v>890</v>
      </c>
      <c r="AX27" s="200">
        <v>890</v>
      </c>
      <c r="AY27" s="200">
        <v>890</v>
      </c>
      <c r="AZ27" s="200">
        <v>890</v>
      </c>
      <c r="BA27" s="200">
        <v>890</v>
      </c>
      <c r="BB27" s="200">
        <v>890</v>
      </c>
      <c r="BC27" s="201">
        <v>890</v>
      </c>
      <c r="BD27" s="103"/>
      <c r="BE27" s="202">
        <v>890</v>
      </c>
      <c r="BF27" s="200">
        <v>890</v>
      </c>
      <c r="BG27" s="200">
        <v>890</v>
      </c>
      <c r="BH27" s="200">
        <v>890</v>
      </c>
      <c r="BI27" s="200">
        <v>890</v>
      </c>
      <c r="BJ27" s="200">
        <v>890</v>
      </c>
      <c r="BK27" s="200">
        <v>890</v>
      </c>
      <c r="BL27" s="200">
        <v>890</v>
      </c>
      <c r="BM27" s="200">
        <v>890</v>
      </c>
      <c r="BN27" s="200">
        <v>890</v>
      </c>
      <c r="BO27" s="200">
        <v>890</v>
      </c>
      <c r="BP27" s="201">
        <v>890</v>
      </c>
    </row>
    <row r="28" spans="1:68" s="203" customFormat="1" ht="15.75" customHeight="1">
      <c r="A28" s="197" t="s">
        <v>194</v>
      </c>
      <c r="B28" s="198"/>
      <c r="C28" s="199"/>
      <c r="D28" s="99"/>
      <c r="E28" s="200">
        <v>540</v>
      </c>
      <c r="F28" s="200">
        <v>540</v>
      </c>
      <c r="G28" s="200">
        <v>540</v>
      </c>
      <c r="H28" s="200">
        <v>540</v>
      </c>
      <c r="I28" s="200">
        <v>540</v>
      </c>
      <c r="J28" s="200">
        <v>540</v>
      </c>
      <c r="K28" s="200">
        <v>540</v>
      </c>
      <c r="L28" s="200">
        <v>540</v>
      </c>
      <c r="M28" s="200">
        <v>540</v>
      </c>
      <c r="N28" s="200">
        <v>540</v>
      </c>
      <c r="O28" s="200">
        <v>540</v>
      </c>
      <c r="P28" s="201">
        <v>540</v>
      </c>
      <c r="Q28" s="102"/>
      <c r="R28" s="200">
        <v>540</v>
      </c>
      <c r="S28" s="200">
        <v>540</v>
      </c>
      <c r="T28" s="200">
        <v>540</v>
      </c>
      <c r="U28" s="200">
        <v>540</v>
      </c>
      <c r="V28" s="200">
        <v>540</v>
      </c>
      <c r="W28" s="200">
        <v>540</v>
      </c>
      <c r="X28" s="200">
        <v>540</v>
      </c>
      <c r="Y28" s="200">
        <v>540</v>
      </c>
      <c r="Z28" s="200">
        <v>540</v>
      </c>
      <c r="AA28" s="200">
        <v>540</v>
      </c>
      <c r="AB28" s="200">
        <v>540</v>
      </c>
      <c r="AC28" s="201">
        <v>540</v>
      </c>
      <c r="AD28" s="102"/>
      <c r="AE28" s="200">
        <v>540</v>
      </c>
      <c r="AF28" s="200">
        <v>540</v>
      </c>
      <c r="AG28" s="200">
        <v>540</v>
      </c>
      <c r="AH28" s="200">
        <v>540</v>
      </c>
      <c r="AI28" s="200">
        <v>540</v>
      </c>
      <c r="AJ28" s="200">
        <v>540</v>
      </c>
      <c r="AK28" s="200">
        <v>540</v>
      </c>
      <c r="AL28" s="200">
        <v>540</v>
      </c>
      <c r="AM28" s="200">
        <v>540</v>
      </c>
      <c r="AN28" s="200">
        <v>540</v>
      </c>
      <c r="AO28" s="200">
        <v>540</v>
      </c>
      <c r="AP28" s="201">
        <v>540</v>
      </c>
      <c r="AQ28" s="103"/>
      <c r="AR28" s="202">
        <v>540</v>
      </c>
      <c r="AS28" s="200">
        <v>540</v>
      </c>
      <c r="AT28" s="200">
        <v>540</v>
      </c>
      <c r="AU28" s="200">
        <v>540</v>
      </c>
      <c r="AV28" s="200">
        <v>540</v>
      </c>
      <c r="AW28" s="200">
        <v>540</v>
      </c>
      <c r="AX28" s="200">
        <v>540</v>
      </c>
      <c r="AY28" s="200">
        <v>540</v>
      </c>
      <c r="AZ28" s="200">
        <v>540</v>
      </c>
      <c r="BA28" s="200">
        <v>540</v>
      </c>
      <c r="BB28" s="200">
        <v>540</v>
      </c>
      <c r="BC28" s="201">
        <v>540</v>
      </c>
      <c r="BD28" s="103"/>
      <c r="BE28" s="202">
        <v>540</v>
      </c>
      <c r="BF28" s="200">
        <v>540</v>
      </c>
      <c r="BG28" s="200">
        <v>540</v>
      </c>
      <c r="BH28" s="200">
        <v>540</v>
      </c>
      <c r="BI28" s="200">
        <v>540</v>
      </c>
      <c r="BJ28" s="200">
        <v>540</v>
      </c>
      <c r="BK28" s="200">
        <v>540</v>
      </c>
      <c r="BL28" s="200">
        <v>540</v>
      </c>
      <c r="BM28" s="200">
        <v>540</v>
      </c>
      <c r="BN28" s="200">
        <v>540</v>
      </c>
      <c r="BO28" s="200">
        <v>540</v>
      </c>
      <c r="BP28" s="201">
        <v>540</v>
      </c>
    </row>
    <row r="29" spans="1:68" ht="15.75" hidden="1" customHeight="1">
      <c r="A29" s="207" t="s">
        <v>173</v>
      </c>
      <c r="B29" s="208"/>
      <c r="C29" s="209"/>
      <c r="D29" s="99"/>
      <c r="E29" s="173">
        <v>0.8</v>
      </c>
      <c r="F29" s="173">
        <v>0.8</v>
      </c>
      <c r="G29" s="173">
        <v>0.8</v>
      </c>
      <c r="H29" s="173">
        <v>0.8</v>
      </c>
      <c r="I29" s="173">
        <v>0.8</v>
      </c>
      <c r="J29" s="173">
        <v>0.8</v>
      </c>
      <c r="K29" s="173">
        <v>0.8</v>
      </c>
      <c r="L29" s="173">
        <v>0.8</v>
      </c>
      <c r="M29" s="173">
        <v>0.8</v>
      </c>
      <c r="N29" s="173">
        <v>0.8</v>
      </c>
      <c r="O29" s="173">
        <v>0.8</v>
      </c>
      <c r="P29" s="174">
        <v>0.8</v>
      </c>
      <c r="Q29" s="102"/>
      <c r="R29" s="173">
        <v>0.75</v>
      </c>
      <c r="S29" s="173">
        <v>0.75</v>
      </c>
      <c r="T29" s="173">
        <v>0.75</v>
      </c>
      <c r="U29" s="173">
        <v>0.75</v>
      </c>
      <c r="V29" s="173">
        <v>0.75</v>
      </c>
      <c r="W29" s="173">
        <v>0.75</v>
      </c>
      <c r="X29" s="173">
        <v>0.75</v>
      </c>
      <c r="Y29" s="173">
        <v>0.75</v>
      </c>
      <c r="Z29" s="173">
        <v>0.75</v>
      </c>
      <c r="AA29" s="173">
        <v>0.75</v>
      </c>
      <c r="AB29" s="173">
        <v>0.75</v>
      </c>
      <c r="AC29" s="174">
        <v>0.75</v>
      </c>
      <c r="AD29" s="102"/>
      <c r="AE29" s="173">
        <v>0.75</v>
      </c>
      <c r="AF29" s="173">
        <v>0.75</v>
      </c>
      <c r="AG29" s="173">
        <v>0.75</v>
      </c>
      <c r="AH29" s="173">
        <v>0.75</v>
      </c>
      <c r="AI29" s="173">
        <v>0.75</v>
      </c>
      <c r="AJ29" s="173">
        <v>0.75</v>
      </c>
      <c r="AK29" s="173">
        <v>0.75</v>
      </c>
      <c r="AL29" s="173">
        <v>0.75</v>
      </c>
      <c r="AM29" s="173">
        <v>0.75</v>
      </c>
      <c r="AN29" s="173">
        <v>0.75</v>
      </c>
      <c r="AO29" s="173">
        <v>0.75</v>
      </c>
      <c r="AP29" s="174">
        <v>0.75</v>
      </c>
      <c r="AQ29" s="103"/>
      <c r="AR29" s="210">
        <v>0.75</v>
      </c>
      <c r="AS29" s="211">
        <v>0.75</v>
      </c>
      <c r="AT29" s="211">
        <v>0.75</v>
      </c>
      <c r="AU29" s="211">
        <v>0.75</v>
      </c>
      <c r="AV29" s="211">
        <v>0.75</v>
      </c>
      <c r="AW29" s="211">
        <v>0.75</v>
      </c>
      <c r="AX29" s="211">
        <v>0.75</v>
      </c>
      <c r="AY29" s="211">
        <v>0.75</v>
      </c>
      <c r="AZ29" s="211">
        <v>0.75</v>
      </c>
      <c r="BA29" s="211">
        <v>0.75</v>
      </c>
      <c r="BB29" s="211">
        <v>0.75</v>
      </c>
      <c r="BC29" s="212">
        <v>0.75</v>
      </c>
      <c r="BD29" s="103"/>
      <c r="BE29" s="210">
        <v>0.75</v>
      </c>
      <c r="BF29" s="211">
        <v>0.75</v>
      </c>
      <c r="BG29" s="211">
        <v>0.75</v>
      </c>
      <c r="BH29" s="211">
        <v>0.75</v>
      </c>
      <c r="BI29" s="211">
        <v>0.75</v>
      </c>
      <c r="BJ29" s="211">
        <v>0.75</v>
      </c>
      <c r="BK29" s="211">
        <v>0.75</v>
      </c>
      <c r="BL29" s="211">
        <v>0.75</v>
      </c>
      <c r="BM29" s="211">
        <v>0.75</v>
      </c>
      <c r="BN29" s="211">
        <v>0.75</v>
      </c>
      <c r="BO29" s="211">
        <v>0.75</v>
      </c>
      <c r="BP29" s="212">
        <v>0.75</v>
      </c>
    </row>
    <row r="30" spans="1:68" ht="8.25" customHeight="1">
      <c r="A30" s="213"/>
      <c r="B30" s="214"/>
      <c r="C30" s="169"/>
      <c r="D30" s="99"/>
      <c r="E30" s="165"/>
      <c r="F30" s="165"/>
      <c r="G30" s="165"/>
      <c r="H30" s="165"/>
      <c r="I30" s="165"/>
      <c r="J30" s="165"/>
      <c r="K30" s="165"/>
      <c r="L30" s="165"/>
      <c r="M30" s="165"/>
      <c r="N30" s="165"/>
      <c r="O30" s="165"/>
      <c r="P30" s="166"/>
      <c r="Q30" s="102"/>
      <c r="R30" s="165"/>
      <c r="S30" s="165"/>
      <c r="T30" s="165"/>
      <c r="U30" s="165"/>
      <c r="V30" s="165"/>
      <c r="W30" s="165"/>
      <c r="X30" s="165"/>
      <c r="Y30" s="165"/>
      <c r="Z30" s="165"/>
      <c r="AA30" s="165"/>
      <c r="AB30" s="165"/>
      <c r="AC30" s="166"/>
      <c r="AD30" s="102"/>
      <c r="AE30" s="165"/>
      <c r="AF30" s="165"/>
      <c r="AG30" s="165"/>
      <c r="AH30" s="165"/>
      <c r="AI30" s="165"/>
      <c r="AJ30" s="165"/>
      <c r="AK30" s="165"/>
      <c r="AL30" s="165"/>
      <c r="AM30" s="165"/>
      <c r="AN30" s="165"/>
      <c r="AO30" s="165"/>
      <c r="AP30" s="166"/>
      <c r="AQ30" s="103"/>
      <c r="AR30" s="167"/>
      <c r="AS30" s="168"/>
      <c r="AT30" s="168"/>
      <c r="AU30" s="168"/>
      <c r="AV30" s="168"/>
      <c r="AW30" s="168"/>
      <c r="AX30" s="168"/>
      <c r="AY30" s="168"/>
      <c r="AZ30" s="168"/>
      <c r="BA30" s="168"/>
      <c r="BB30" s="168"/>
      <c r="BC30" s="169"/>
      <c r="BD30" s="103"/>
      <c r="BE30" s="167"/>
      <c r="BF30" s="168"/>
      <c r="BG30" s="168"/>
      <c r="BH30" s="168"/>
      <c r="BI30" s="168"/>
      <c r="BJ30" s="168"/>
      <c r="BK30" s="168"/>
      <c r="BL30" s="168"/>
      <c r="BM30" s="168"/>
      <c r="BN30" s="168"/>
      <c r="BO30" s="168"/>
      <c r="BP30" s="169"/>
    </row>
    <row r="31" spans="1:68" ht="15.75" hidden="1" customHeight="1">
      <c r="A31" s="215"/>
      <c r="B31" s="216"/>
      <c r="C31" s="217"/>
      <c r="D31" s="99"/>
      <c r="E31" s="173"/>
      <c r="F31" s="173"/>
      <c r="G31" s="173"/>
      <c r="H31" s="173"/>
      <c r="I31" s="173"/>
      <c r="J31" s="173"/>
      <c r="K31" s="173"/>
      <c r="L31" s="173"/>
      <c r="M31" s="173"/>
      <c r="N31" s="173"/>
      <c r="O31" s="173"/>
      <c r="P31" s="174"/>
      <c r="Q31" s="102"/>
      <c r="R31" s="173"/>
      <c r="S31" s="173"/>
      <c r="T31" s="173"/>
      <c r="U31" s="173"/>
      <c r="V31" s="173"/>
      <c r="W31" s="173"/>
      <c r="X31" s="173"/>
      <c r="Y31" s="173"/>
      <c r="Z31" s="173"/>
      <c r="AA31" s="173"/>
      <c r="AB31" s="173"/>
      <c r="AC31" s="174"/>
      <c r="AD31" s="102"/>
      <c r="AE31" s="173"/>
      <c r="AF31" s="173"/>
      <c r="AG31" s="173"/>
      <c r="AH31" s="173"/>
      <c r="AI31" s="173"/>
      <c r="AJ31" s="173"/>
      <c r="AK31" s="173"/>
      <c r="AL31" s="173"/>
      <c r="AM31" s="173"/>
      <c r="AN31" s="173"/>
      <c r="AO31" s="173"/>
      <c r="AP31" s="174"/>
      <c r="AQ31" s="103"/>
      <c r="AR31" s="218"/>
      <c r="AS31" s="219"/>
      <c r="AT31" s="219"/>
      <c r="AU31" s="219"/>
      <c r="AV31" s="219"/>
      <c r="AW31" s="219"/>
      <c r="AX31" s="219"/>
      <c r="AY31" s="219"/>
      <c r="AZ31" s="219"/>
      <c r="BA31" s="219"/>
      <c r="BB31" s="219"/>
      <c r="BC31" s="220"/>
      <c r="BD31" s="103"/>
      <c r="BE31" s="218"/>
      <c r="BF31" s="219"/>
      <c r="BG31" s="219"/>
      <c r="BH31" s="219"/>
      <c r="BI31" s="219"/>
      <c r="BJ31" s="219"/>
      <c r="BK31" s="219"/>
      <c r="BL31" s="219"/>
      <c r="BM31" s="219"/>
      <c r="BN31" s="219"/>
      <c r="BO31" s="219"/>
      <c r="BP31" s="220"/>
    </row>
    <row r="32" spans="1:68" s="115" customFormat="1" ht="15.75" hidden="1" customHeight="1">
      <c r="A32" s="170" t="s">
        <v>195</v>
      </c>
      <c r="B32" s="171"/>
      <c r="C32" s="172"/>
      <c r="D32" s="99"/>
      <c r="E32" s="119">
        <f>ROUNDUP(E6/7.5,0)</f>
        <v>0</v>
      </c>
      <c r="F32" s="119">
        <f>ROUNDUP(F6/7.5,0)</f>
        <v>0</v>
      </c>
      <c r="G32" s="119">
        <f t="shared" ref="G32:P32" si="59">ROUNDUP(G6/7.5,1)</f>
        <v>0</v>
      </c>
      <c r="H32" s="119">
        <f t="shared" si="59"/>
        <v>0</v>
      </c>
      <c r="I32" s="119">
        <f t="shared" si="59"/>
        <v>0</v>
      </c>
      <c r="J32" s="119">
        <f t="shared" si="59"/>
        <v>0</v>
      </c>
      <c r="K32" s="119">
        <f t="shared" si="59"/>
        <v>0</v>
      </c>
      <c r="L32" s="119">
        <f t="shared" si="59"/>
        <v>0</v>
      </c>
      <c r="M32" s="119">
        <f t="shared" si="59"/>
        <v>0</v>
      </c>
      <c r="N32" s="119">
        <f t="shared" si="59"/>
        <v>0</v>
      </c>
      <c r="O32" s="119">
        <f t="shared" si="59"/>
        <v>0</v>
      </c>
      <c r="P32" s="120">
        <f t="shared" si="59"/>
        <v>0</v>
      </c>
      <c r="Q32" s="102"/>
      <c r="R32" s="119">
        <f>ROUNDUP(R6/7.5,0)</f>
        <v>0</v>
      </c>
      <c r="S32" s="119">
        <f>ROUNDUP(S6/7.5,0)</f>
        <v>0</v>
      </c>
      <c r="T32" s="119">
        <f t="shared" ref="T32:AC32" si="60">ROUNDUP(T6/7.5,1)</f>
        <v>0</v>
      </c>
      <c r="U32" s="119">
        <f t="shared" si="60"/>
        <v>0</v>
      </c>
      <c r="V32" s="119">
        <f t="shared" si="60"/>
        <v>0</v>
      </c>
      <c r="W32" s="119">
        <f t="shared" si="60"/>
        <v>0</v>
      </c>
      <c r="X32" s="119">
        <f t="shared" si="60"/>
        <v>0</v>
      </c>
      <c r="Y32" s="119">
        <f t="shared" si="60"/>
        <v>0</v>
      </c>
      <c r="Z32" s="119">
        <f t="shared" si="60"/>
        <v>0</v>
      </c>
      <c r="AA32" s="119">
        <f t="shared" si="60"/>
        <v>0</v>
      </c>
      <c r="AB32" s="119">
        <f t="shared" si="60"/>
        <v>0</v>
      </c>
      <c r="AC32" s="120">
        <f t="shared" si="60"/>
        <v>0</v>
      </c>
      <c r="AD32" s="102"/>
      <c r="AE32" s="119">
        <f>ROUNDUP(AE6/7.5,0)</f>
        <v>0</v>
      </c>
      <c r="AF32" s="119">
        <f>ROUNDUP(AF6/7.5,0)</f>
        <v>0</v>
      </c>
      <c r="AG32" s="119">
        <f t="shared" ref="AG32:AP32" si="61">ROUNDUP(AG6/7.5,1)</f>
        <v>0</v>
      </c>
      <c r="AH32" s="119">
        <f t="shared" si="61"/>
        <v>0</v>
      </c>
      <c r="AI32" s="119">
        <f t="shared" si="61"/>
        <v>0</v>
      </c>
      <c r="AJ32" s="119">
        <f t="shared" si="61"/>
        <v>0</v>
      </c>
      <c r="AK32" s="119">
        <f t="shared" si="61"/>
        <v>0</v>
      </c>
      <c r="AL32" s="119">
        <f t="shared" si="61"/>
        <v>0</v>
      </c>
      <c r="AM32" s="119">
        <f t="shared" si="61"/>
        <v>0</v>
      </c>
      <c r="AN32" s="119">
        <f t="shared" si="61"/>
        <v>0</v>
      </c>
      <c r="AO32" s="119">
        <f t="shared" si="61"/>
        <v>0</v>
      </c>
      <c r="AP32" s="120">
        <f t="shared" si="61"/>
        <v>0</v>
      </c>
      <c r="AQ32" s="103"/>
      <c r="AR32" s="221">
        <f>ROUNDUP(AR6/7.5,0)</f>
        <v>2</v>
      </c>
      <c r="AS32" s="222">
        <f>ROUNDUP(AS6/7.5,0)</f>
        <v>2</v>
      </c>
      <c r="AT32" s="222">
        <f t="shared" ref="AT32:BC32" si="62">ROUNDUP(AT6/7.5,1)</f>
        <v>1.4000000000000001</v>
      </c>
      <c r="AU32" s="222">
        <f t="shared" si="62"/>
        <v>1.4000000000000001</v>
      </c>
      <c r="AV32" s="222">
        <f t="shared" si="62"/>
        <v>1.4000000000000001</v>
      </c>
      <c r="AW32" s="222">
        <f t="shared" si="62"/>
        <v>1.4000000000000001</v>
      </c>
      <c r="AX32" s="222">
        <f t="shared" si="62"/>
        <v>1.4000000000000001</v>
      </c>
      <c r="AY32" s="222">
        <f t="shared" si="62"/>
        <v>1.4000000000000001</v>
      </c>
      <c r="AZ32" s="222">
        <f t="shared" si="62"/>
        <v>1.4000000000000001</v>
      </c>
      <c r="BA32" s="222">
        <f t="shared" si="62"/>
        <v>1.4000000000000001</v>
      </c>
      <c r="BB32" s="222">
        <f t="shared" si="62"/>
        <v>1.4000000000000001</v>
      </c>
      <c r="BC32" s="223">
        <f t="shared" si="62"/>
        <v>1.4000000000000001</v>
      </c>
      <c r="BD32" s="103"/>
      <c r="BE32" s="221">
        <f>ROUNDUP(BE6/7.5,0)</f>
        <v>2</v>
      </c>
      <c r="BF32" s="222">
        <f>ROUNDUP(BF6/7.5,0)</f>
        <v>2</v>
      </c>
      <c r="BG32" s="222">
        <f t="shared" ref="BG32:BP32" si="63">ROUNDUP(BG6/7.5,1)</f>
        <v>1.4000000000000001</v>
      </c>
      <c r="BH32" s="222">
        <f t="shared" si="63"/>
        <v>1.4000000000000001</v>
      </c>
      <c r="BI32" s="222">
        <f t="shared" si="63"/>
        <v>1.4000000000000001</v>
      </c>
      <c r="BJ32" s="222">
        <f t="shared" si="63"/>
        <v>1.4000000000000001</v>
      </c>
      <c r="BK32" s="222">
        <f t="shared" si="63"/>
        <v>1.4000000000000001</v>
      </c>
      <c r="BL32" s="222">
        <f t="shared" si="63"/>
        <v>1.4000000000000001</v>
      </c>
      <c r="BM32" s="222">
        <f t="shared" si="63"/>
        <v>1.4000000000000001</v>
      </c>
      <c r="BN32" s="222">
        <f t="shared" si="63"/>
        <v>1.4000000000000001</v>
      </c>
      <c r="BO32" s="222">
        <f t="shared" si="63"/>
        <v>1.4000000000000001</v>
      </c>
      <c r="BP32" s="223">
        <f t="shared" si="63"/>
        <v>1.4000000000000001</v>
      </c>
    </row>
    <row r="33" spans="1:68" s="115" customFormat="1" ht="15.75" hidden="1" customHeight="1">
      <c r="A33" s="170" t="s">
        <v>196</v>
      </c>
      <c r="B33" s="171"/>
      <c r="C33" s="172"/>
      <c r="D33" s="99"/>
      <c r="E33" s="119">
        <f t="shared" ref="E33:P33" si="64">IF(E7/7.5&lt;1,2,1+E7/7.5)</f>
        <v>2</v>
      </c>
      <c r="F33" s="119">
        <f t="shared" si="64"/>
        <v>2</v>
      </c>
      <c r="G33" s="119">
        <f t="shared" si="64"/>
        <v>2</v>
      </c>
      <c r="H33" s="119">
        <f t="shared" si="64"/>
        <v>2</v>
      </c>
      <c r="I33" s="119">
        <f t="shared" si="64"/>
        <v>2</v>
      </c>
      <c r="J33" s="119">
        <f t="shared" si="64"/>
        <v>2</v>
      </c>
      <c r="K33" s="119">
        <f t="shared" si="64"/>
        <v>2</v>
      </c>
      <c r="L33" s="119">
        <f t="shared" si="64"/>
        <v>2</v>
      </c>
      <c r="M33" s="119">
        <f t="shared" si="64"/>
        <v>2</v>
      </c>
      <c r="N33" s="119">
        <f t="shared" si="64"/>
        <v>2</v>
      </c>
      <c r="O33" s="119">
        <f t="shared" si="64"/>
        <v>2</v>
      </c>
      <c r="P33" s="120">
        <f t="shared" si="64"/>
        <v>2</v>
      </c>
      <c r="Q33" s="102"/>
      <c r="R33" s="119">
        <f t="shared" ref="R33:AC33" si="65">IF(R7/7.5&lt;1,2,1+R7/7.5)</f>
        <v>2</v>
      </c>
      <c r="S33" s="119">
        <f t="shared" si="65"/>
        <v>2</v>
      </c>
      <c r="T33" s="119">
        <f t="shared" si="65"/>
        <v>2</v>
      </c>
      <c r="U33" s="119">
        <f t="shared" si="65"/>
        <v>2</v>
      </c>
      <c r="V33" s="119">
        <f t="shared" si="65"/>
        <v>2</v>
      </c>
      <c r="W33" s="119">
        <f t="shared" si="65"/>
        <v>2</v>
      </c>
      <c r="X33" s="119">
        <f t="shared" si="65"/>
        <v>2</v>
      </c>
      <c r="Y33" s="119">
        <f t="shared" si="65"/>
        <v>2</v>
      </c>
      <c r="Z33" s="119">
        <f t="shared" si="65"/>
        <v>2</v>
      </c>
      <c r="AA33" s="119">
        <f t="shared" si="65"/>
        <v>2</v>
      </c>
      <c r="AB33" s="119">
        <f t="shared" si="65"/>
        <v>2</v>
      </c>
      <c r="AC33" s="120">
        <f t="shared" si="65"/>
        <v>2</v>
      </c>
      <c r="AD33" s="102"/>
      <c r="AE33" s="119">
        <f t="shared" ref="AE33:AP33" si="66">IF(AE7/7.5&lt;1,2,1+AE7/7.5)</f>
        <v>2</v>
      </c>
      <c r="AF33" s="119">
        <f t="shared" si="66"/>
        <v>2</v>
      </c>
      <c r="AG33" s="119">
        <f t="shared" si="66"/>
        <v>2</v>
      </c>
      <c r="AH33" s="119">
        <f t="shared" si="66"/>
        <v>2</v>
      </c>
      <c r="AI33" s="119">
        <f t="shared" si="66"/>
        <v>2</v>
      </c>
      <c r="AJ33" s="119">
        <f t="shared" si="66"/>
        <v>2</v>
      </c>
      <c r="AK33" s="119">
        <f t="shared" si="66"/>
        <v>2</v>
      </c>
      <c r="AL33" s="119">
        <f t="shared" si="66"/>
        <v>2</v>
      </c>
      <c r="AM33" s="119">
        <f t="shared" si="66"/>
        <v>2</v>
      </c>
      <c r="AN33" s="119">
        <f t="shared" si="66"/>
        <v>2</v>
      </c>
      <c r="AO33" s="119">
        <f t="shared" si="66"/>
        <v>2</v>
      </c>
      <c r="AP33" s="120">
        <f t="shared" si="66"/>
        <v>2</v>
      </c>
      <c r="AQ33" s="103"/>
      <c r="AR33" s="221">
        <f t="shared" ref="AR33:BC33" si="67">IF(AR7/7.5&lt;1,2,1+AR7/7.5)</f>
        <v>2.333333333333333</v>
      </c>
      <c r="AS33" s="224">
        <f t="shared" si="67"/>
        <v>2.333333333333333</v>
      </c>
      <c r="AT33" s="224">
        <f t="shared" si="67"/>
        <v>2.333333333333333</v>
      </c>
      <c r="AU33" s="224">
        <f t="shared" si="67"/>
        <v>2.333333333333333</v>
      </c>
      <c r="AV33" s="224">
        <f t="shared" si="67"/>
        <v>2.333333333333333</v>
      </c>
      <c r="AW33" s="224">
        <f t="shared" si="67"/>
        <v>2.333333333333333</v>
      </c>
      <c r="AX33" s="224">
        <f t="shared" si="67"/>
        <v>2.333333333333333</v>
      </c>
      <c r="AY33" s="224">
        <f t="shared" si="67"/>
        <v>2.333333333333333</v>
      </c>
      <c r="AZ33" s="224">
        <f t="shared" si="67"/>
        <v>2.333333333333333</v>
      </c>
      <c r="BA33" s="224">
        <f t="shared" si="67"/>
        <v>2.333333333333333</v>
      </c>
      <c r="BB33" s="224">
        <f t="shared" si="67"/>
        <v>2.333333333333333</v>
      </c>
      <c r="BC33" s="225">
        <f t="shared" si="67"/>
        <v>2.333333333333333</v>
      </c>
      <c r="BD33" s="103"/>
      <c r="BE33" s="221">
        <f t="shared" ref="BE33:BP33" si="68">IF(BE7/7.5&lt;1,2,1+BE7/7.5)</f>
        <v>2.333333333333333</v>
      </c>
      <c r="BF33" s="224">
        <f t="shared" si="68"/>
        <v>2.333333333333333</v>
      </c>
      <c r="BG33" s="224">
        <f t="shared" si="68"/>
        <v>2.333333333333333</v>
      </c>
      <c r="BH33" s="224">
        <f t="shared" si="68"/>
        <v>2.333333333333333</v>
      </c>
      <c r="BI33" s="224">
        <f t="shared" si="68"/>
        <v>2.333333333333333</v>
      </c>
      <c r="BJ33" s="224">
        <f t="shared" si="68"/>
        <v>2.333333333333333</v>
      </c>
      <c r="BK33" s="224">
        <f t="shared" si="68"/>
        <v>2.333333333333333</v>
      </c>
      <c r="BL33" s="224">
        <f t="shared" si="68"/>
        <v>2.333333333333333</v>
      </c>
      <c r="BM33" s="224">
        <f t="shared" si="68"/>
        <v>2.333333333333333</v>
      </c>
      <c r="BN33" s="224">
        <f t="shared" si="68"/>
        <v>2.333333333333333</v>
      </c>
      <c r="BO33" s="224">
        <f t="shared" si="68"/>
        <v>2.333333333333333</v>
      </c>
      <c r="BP33" s="225">
        <f t="shared" si="68"/>
        <v>2.333333333333333</v>
      </c>
    </row>
    <row r="34" spans="1:68" s="115" customFormat="1" ht="15.75" customHeight="1">
      <c r="A34" s="170" t="s">
        <v>197</v>
      </c>
      <c r="B34" s="171"/>
      <c r="C34" s="172"/>
      <c r="D34" s="99"/>
      <c r="E34" s="119">
        <f>ROUNDUP(E9/6,0)</f>
        <v>0</v>
      </c>
      <c r="F34" s="119">
        <f t="shared" ref="F34:P34" si="69">(F9+F10)/6</f>
        <v>0</v>
      </c>
      <c r="G34" s="119">
        <f t="shared" si="69"/>
        <v>0</v>
      </c>
      <c r="H34" s="119">
        <f t="shared" si="69"/>
        <v>0</v>
      </c>
      <c r="I34" s="119">
        <f t="shared" si="69"/>
        <v>0</v>
      </c>
      <c r="J34" s="119">
        <f t="shared" si="69"/>
        <v>0</v>
      </c>
      <c r="K34" s="119">
        <f t="shared" si="69"/>
        <v>0</v>
      </c>
      <c r="L34" s="119">
        <f t="shared" si="69"/>
        <v>0.66666666666666663</v>
      </c>
      <c r="M34" s="119">
        <f t="shared" si="69"/>
        <v>1</v>
      </c>
      <c r="N34" s="119">
        <f t="shared" si="69"/>
        <v>1.3333333333333333</v>
      </c>
      <c r="O34" s="119">
        <f t="shared" si="69"/>
        <v>1.6666666666666667</v>
      </c>
      <c r="P34" s="120">
        <f t="shared" si="69"/>
        <v>2</v>
      </c>
      <c r="Q34" s="102"/>
      <c r="R34" s="119">
        <f>ROUNDUP(R9/6,1)</f>
        <v>2.2000000000000002</v>
      </c>
      <c r="S34" s="119">
        <f t="shared" ref="S34:AC34" si="70">(S9+S10)/6</f>
        <v>2.6666666666666665</v>
      </c>
      <c r="T34" s="119">
        <f t="shared" si="70"/>
        <v>3.1666666666666665</v>
      </c>
      <c r="U34" s="119">
        <f t="shared" si="70"/>
        <v>3.6666666666666665</v>
      </c>
      <c r="V34" s="119">
        <f t="shared" si="70"/>
        <v>4.166666666666667</v>
      </c>
      <c r="W34" s="119">
        <f t="shared" si="70"/>
        <v>4.166666666666667</v>
      </c>
      <c r="X34" s="119">
        <f t="shared" si="70"/>
        <v>4.166666666666667</v>
      </c>
      <c r="Y34" s="119">
        <f t="shared" si="70"/>
        <v>4.166666666666667</v>
      </c>
      <c r="Z34" s="119">
        <f t="shared" si="70"/>
        <v>4.166666666666667</v>
      </c>
      <c r="AA34" s="119">
        <f t="shared" si="70"/>
        <v>4.166666666666667</v>
      </c>
      <c r="AB34" s="119">
        <f t="shared" si="70"/>
        <v>4.166666666666667</v>
      </c>
      <c r="AC34" s="120">
        <f t="shared" si="70"/>
        <v>4.166666666666667</v>
      </c>
      <c r="AD34" s="102"/>
      <c r="AE34" s="119">
        <f>ROUNDUP(AE9/6,1)</f>
        <v>1.7000000000000002</v>
      </c>
      <c r="AF34" s="119">
        <f t="shared" ref="AF34:AP34" si="71">(AF9+AF10)/6</f>
        <v>3.3333333333333335</v>
      </c>
      <c r="AG34" s="119">
        <f t="shared" si="71"/>
        <v>3.3333333333333335</v>
      </c>
      <c r="AH34" s="119">
        <f t="shared" si="71"/>
        <v>3.3333333333333335</v>
      </c>
      <c r="AI34" s="119">
        <f t="shared" si="71"/>
        <v>3.3333333333333335</v>
      </c>
      <c r="AJ34" s="119">
        <f t="shared" si="71"/>
        <v>3.3333333333333335</v>
      </c>
      <c r="AK34" s="119">
        <f t="shared" si="71"/>
        <v>3.3333333333333335</v>
      </c>
      <c r="AL34" s="119">
        <f t="shared" si="71"/>
        <v>3.3333333333333335</v>
      </c>
      <c r="AM34" s="119">
        <f t="shared" si="71"/>
        <v>3.3333333333333335</v>
      </c>
      <c r="AN34" s="119">
        <f t="shared" si="71"/>
        <v>3.3333333333333335</v>
      </c>
      <c r="AO34" s="119">
        <f t="shared" si="71"/>
        <v>3.3333333333333335</v>
      </c>
      <c r="AP34" s="120">
        <f t="shared" si="71"/>
        <v>3.3333333333333335</v>
      </c>
      <c r="AQ34" s="103"/>
      <c r="AR34" s="221">
        <f>ROUNDUP(AR9/6,1)</f>
        <v>1.7000000000000002</v>
      </c>
      <c r="AS34" s="222">
        <f t="shared" ref="AS34:BC34" si="72">(AS9+AS10)/6</f>
        <v>3.3333333333333335</v>
      </c>
      <c r="AT34" s="222">
        <f t="shared" si="72"/>
        <v>3.3333333333333335</v>
      </c>
      <c r="AU34" s="222">
        <f t="shared" si="72"/>
        <v>3.3333333333333335</v>
      </c>
      <c r="AV34" s="222">
        <f t="shared" si="72"/>
        <v>3.3333333333333335</v>
      </c>
      <c r="AW34" s="222">
        <f t="shared" si="72"/>
        <v>3.3333333333333335</v>
      </c>
      <c r="AX34" s="222">
        <f t="shared" si="72"/>
        <v>3.3333333333333335</v>
      </c>
      <c r="AY34" s="222">
        <f t="shared" si="72"/>
        <v>3.3333333333333335</v>
      </c>
      <c r="AZ34" s="222">
        <f t="shared" si="72"/>
        <v>3.3333333333333335</v>
      </c>
      <c r="BA34" s="222">
        <f t="shared" si="72"/>
        <v>3.3333333333333335</v>
      </c>
      <c r="BB34" s="222">
        <f t="shared" si="72"/>
        <v>3.3333333333333335</v>
      </c>
      <c r="BC34" s="223">
        <f t="shared" si="72"/>
        <v>3.3333333333333335</v>
      </c>
      <c r="BD34" s="103"/>
      <c r="BE34" s="221">
        <f>ROUNDUP(BE9/6,1)</f>
        <v>1.7000000000000002</v>
      </c>
      <c r="BF34" s="222">
        <f t="shared" ref="BF34:BP34" si="73">(BF9+BF10)/6</f>
        <v>3.3333333333333335</v>
      </c>
      <c r="BG34" s="222">
        <f t="shared" si="73"/>
        <v>3.3333333333333335</v>
      </c>
      <c r="BH34" s="222">
        <f t="shared" si="73"/>
        <v>3.3333333333333335</v>
      </c>
      <c r="BI34" s="222">
        <f t="shared" si="73"/>
        <v>3.3333333333333335</v>
      </c>
      <c r="BJ34" s="222">
        <f t="shared" si="73"/>
        <v>3.3333333333333335</v>
      </c>
      <c r="BK34" s="222">
        <f t="shared" si="73"/>
        <v>3.3333333333333335</v>
      </c>
      <c r="BL34" s="222">
        <f t="shared" si="73"/>
        <v>3.3333333333333335</v>
      </c>
      <c r="BM34" s="222">
        <f t="shared" si="73"/>
        <v>3.3333333333333335</v>
      </c>
      <c r="BN34" s="222">
        <f t="shared" si="73"/>
        <v>3.3333333333333335</v>
      </c>
      <c r="BO34" s="222">
        <f t="shared" si="73"/>
        <v>3.3333333333333335</v>
      </c>
      <c r="BP34" s="223">
        <f t="shared" si="73"/>
        <v>3.3333333333333335</v>
      </c>
    </row>
    <row r="35" spans="1:68" s="115" customFormat="1" ht="15.75" customHeight="1">
      <c r="A35" s="170" t="s">
        <v>198</v>
      </c>
      <c r="B35" s="171"/>
      <c r="C35" s="172"/>
      <c r="D35" s="99"/>
      <c r="E35" s="119">
        <f t="shared" ref="E35:P35" si="74">IF((E9+E10)/15&lt;1,1,(E9+E10)/15)</f>
        <v>1</v>
      </c>
      <c r="F35" s="119">
        <f t="shared" si="74"/>
        <v>1</v>
      </c>
      <c r="G35" s="119">
        <f t="shared" si="74"/>
        <v>1</v>
      </c>
      <c r="H35" s="119">
        <f t="shared" si="74"/>
        <v>1</v>
      </c>
      <c r="I35" s="119">
        <f t="shared" si="74"/>
        <v>1</v>
      </c>
      <c r="J35" s="119">
        <f t="shared" si="74"/>
        <v>1</v>
      </c>
      <c r="K35" s="119">
        <f t="shared" si="74"/>
        <v>1</v>
      </c>
      <c r="L35" s="119">
        <f t="shared" si="74"/>
        <v>1</v>
      </c>
      <c r="M35" s="119">
        <f t="shared" si="74"/>
        <v>1</v>
      </c>
      <c r="N35" s="119">
        <f t="shared" si="74"/>
        <v>1</v>
      </c>
      <c r="O35" s="119">
        <f t="shared" si="74"/>
        <v>1</v>
      </c>
      <c r="P35" s="120">
        <f t="shared" si="74"/>
        <v>1</v>
      </c>
      <c r="Q35" s="102"/>
      <c r="R35" s="119">
        <f t="shared" ref="R35:AC35" si="75">IF((R9+R10)/15&lt;1,1,(R9+R10)/15)</f>
        <v>1</v>
      </c>
      <c r="S35" s="119">
        <f t="shared" si="75"/>
        <v>1.0666666666666667</v>
      </c>
      <c r="T35" s="119">
        <f t="shared" si="75"/>
        <v>1.2666666666666666</v>
      </c>
      <c r="U35" s="119">
        <f t="shared" si="75"/>
        <v>1.4666666666666666</v>
      </c>
      <c r="V35" s="119">
        <f t="shared" si="75"/>
        <v>1.6666666666666667</v>
      </c>
      <c r="W35" s="119">
        <f t="shared" si="75"/>
        <v>1.6666666666666667</v>
      </c>
      <c r="X35" s="119">
        <f t="shared" si="75"/>
        <v>1.6666666666666667</v>
      </c>
      <c r="Y35" s="119">
        <f t="shared" si="75"/>
        <v>1.6666666666666667</v>
      </c>
      <c r="Z35" s="119">
        <f t="shared" si="75"/>
        <v>1.6666666666666667</v>
      </c>
      <c r="AA35" s="119">
        <f t="shared" si="75"/>
        <v>1.6666666666666667</v>
      </c>
      <c r="AB35" s="119">
        <f t="shared" si="75"/>
        <v>1.6666666666666667</v>
      </c>
      <c r="AC35" s="120">
        <f t="shared" si="75"/>
        <v>1.6666666666666667</v>
      </c>
      <c r="AD35" s="102"/>
      <c r="AE35" s="119">
        <f t="shared" ref="AE35:AP35" si="76">IF((AE9+AE10)/15&lt;1,1,(AE9+AE10)/15)</f>
        <v>1.3333333333333333</v>
      </c>
      <c r="AF35" s="119">
        <f t="shared" si="76"/>
        <v>1.3333333333333333</v>
      </c>
      <c r="AG35" s="119">
        <f t="shared" si="76"/>
        <v>1.3333333333333333</v>
      </c>
      <c r="AH35" s="119">
        <f t="shared" si="76"/>
        <v>1.3333333333333333</v>
      </c>
      <c r="AI35" s="119">
        <f t="shared" si="76"/>
        <v>1.3333333333333333</v>
      </c>
      <c r="AJ35" s="119">
        <f t="shared" si="76"/>
        <v>1.3333333333333333</v>
      </c>
      <c r="AK35" s="119">
        <f t="shared" si="76"/>
        <v>1.3333333333333333</v>
      </c>
      <c r="AL35" s="119">
        <f t="shared" si="76"/>
        <v>1.3333333333333333</v>
      </c>
      <c r="AM35" s="119">
        <f t="shared" si="76"/>
        <v>1.3333333333333333</v>
      </c>
      <c r="AN35" s="119">
        <f t="shared" si="76"/>
        <v>1.3333333333333333</v>
      </c>
      <c r="AO35" s="119">
        <f t="shared" si="76"/>
        <v>1.3333333333333333</v>
      </c>
      <c r="AP35" s="120">
        <f t="shared" si="76"/>
        <v>1.3333333333333333</v>
      </c>
      <c r="AQ35" s="103"/>
      <c r="AR35" s="221">
        <f t="shared" ref="AR35:BC35" si="77">IF((AR9+AR10)/15&lt;1,1,(AR9+AR10)/15)</f>
        <v>1.3333333333333333</v>
      </c>
      <c r="AS35" s="222">
        <f t="shared" si="77"/>
        <v>1.3333333333333333</v>
      </c>
      <c r="AT35" s="222">
        <f t="shared" si="77"/>
        <v>1.3333333333333333</v>
      </c>
      <c r="AU35" s="222">
        <f t="shared" si="77"/>
        <v>1.3333333333333333</v>
      </c>
      <c r="AV35" s="222">
        <f t="shared" si="77"/>
        <v>1.3333333333333333</v>
      </c>
      <c r="AW35" s="222">
        <f t="shared" si="77"/>
        <v>1.3333333333333333</v>
      </c>
      <c r="AX35" s="222">
        <f t="shared" si="77"/>
        <v>1.3333333333333333</v>
      </c>
      <c r="AY35" s="222">
        <f t="shared" si="77"/>
        <v>1.3333333333333333</v>
      </c>
      <c r="AZ35" s="222">
        <f t="shared" si="77"/>
        <v>1.3333333333333333</v>
      </c>
      <c r="BA35" s="222">
        <f t="shared" si="77"/>
        <v>1.3333333333333333</v>
      </c>
      <c r="BB35" s="222">
        <f t="shared" si="77"/>
        <v>1.3333333333333333</v>
      </c>
      <c r="BC35" s="223">
        <f t="shared" si="77"/>
        <v>1.3333333333333333</v>
      </c>
      <c r="BD35" s="103"/>
      <c r="BE35" s="221">
        <f t="shared" ref="BE35:BP35" si="78">IF((BE9+BE10)/15&lt;1,1,(BE9+BE10)/15)</f>
        <v>1.3333333333333333</v>
      </c>
      <c r="BF35" s="222">
        <f t="shared" si="78"/>
        <v>1.3333333333333333</v>
      </c>
      <c r="BG35" s="222">
        <f t="shared" si="78"/>
        <v>1.3333333333333333</v>
      </c>
      <c r="BH35" s="222">
        <f t="shared" si="78"/>
        <v>1.3333333333333333</v>
      </c>
      <c r="BI35" s="222">
        <f t="shared" si="78"/>
        <v>1.3333333333333333</v>
      </c>
      <c r="BJ35" s="222">
        <f t="shared" si="78"/>
        <v>1.3333333333333333</v>
      </c>
      <c r="BK35" s="222">
        <f t="shared" si="78"/>
        <v>1.3333333333333333</v>
      </c>
      <c r="BL35" s="222">
        <f t="shared" si="78"/>
        <v>1.3333333333333333</v>
      </c>
      <c r="BM35" s="222">
        <f t="shared" si="78"/>
        <v>1.3333333333333333</v>
      </c>
      <c r="BN35" s="222">
        <f t="shared" si="78"/>
        <v>1.3333333333333333</v>
      </c>
      <c r="BO35" s="222">
        <f t="shared" si="78"/>
        <v>1.3333333333333333</v>
      </c>
      <c r="BP35" s="223">
        <f t="shared" si="78"/>
        <v>1.3333333333333333</v>
      </c>
    </row>
    <row r="36" spans="1:68" s="115" customFormat="1" ht="15.75" customHeight="1">
      <c r="A36" s="170" t="s">
        <v>199</v>
      </c>
      <c r="B36" s="171"/>
      <c r="C36" s="172"/>
      <c r="D36" s="99"/>
      <c r="E36" s="119">
        <f t="shared" ref="E36:P36" si="79">IF(E10/6&lt;1,1,E10/6)</f>
        <v>1</v>
      </c>
      <c r="F36" s="119">
        <f t="shared" si="79"/>
        <v>1</v>
      </c>
      <c r="G36" s="119">
        <f t="shared" si="79"/>
        <v>1</v>
      </c>
      <c r="H36" s="119">
        <f t="shared" si="79"/>
        <v>1</v>
      </c>
      <c r="I36" s="119">
        <f t="shared" si="79"/>
        <v>1</v>
      </c>
      <c r="J36" s="119">
        <f t="shared" si="79"/>
        <v>1</v>
      </c>
      <c r="K36" s="119">
        <f t="shared" si="79"/>
        <v>1</v>
      </c>
      <c r="L36" s="119">
        <f t="shared" si="79"/>
        <v>1</v>
      </c>
      <c r="M36" s="119">
        <f t="shared" si="79"/>
        <v>1</v>
      </c>
      <c r="N36" s="119">
        <f t="shared" si="79"/>
        <v>1</v>
      </c>
      <c r="O36" s="119">
        <f t="shared" si="79"/>
        <v>1</v>
      </c>
      <c r="P36" s="120">
        <f t="shared" si="79"/>
        <v>1</v>
      </c>
      <c r="Q36" s="102"/>
      <c r="R36" s="119">
        <f t="shared" ref="R36:AC36" si="80">IF(R10/6&lt;1,1,R10/6)</f>
        <v>1</v>
      </c>
      <c r="S36" s="119">
        <f t="shared" si="80"/>
        <v>1</v>
      </c>
      <c r="T36" s="119">
        <f t="shared" si="80"/>
        <v>1</v>
      </c>
      <c r="U36" s="119">
        <f t="shared" si="80"/>
        <v>1</v>
      </c>
      <c r="V36" s="119">
        <f t="shared" si="80"/>
        <v>1.3333333333333333</v>
      </c>
      <c r="W36" s="119">
        <f t="shared" si="80"/>
        <v>1.3333333333333333</v>
      </c>
      <c r="X36" s="119">
        <f t="shared" si="80"/>
        <v>1.3333333333333333</v>
      </c>
      <c r="Y36" s="119">
        <f t="shared" si="80"/>
        <v>1.3333333333333333</v>
      </c>
      <c r="Z36" s="119">
        <f t="shared" si="80"/>
        <v>1.3333333333333333</v>
      </c>
      <c r="AA36" s="119">
        <f t="shared" si="80"/>
        <v>1.3333333333333333</v>
      </c>
      <c r="AB36" s="119">
        <f t="shared" si="80"/>
        <v>1.3333333333333333</v>
      </c>
      <c r="AC36" s="120">
        <f t="shared" si="80"/>
        <v>1.3333333333333333</v>
      </c>
      <c r="AD36" s="102"/>
      <c r="AE36" s="119">
        <f t="shared" ref="AE36:AP36" si="81">IF(AE10/6&lt;1,1,AE10/6)</f>
        <v>1.6666666666666667</v>
      </c>
      <c r="AF36" s="119">
        <f t="shared" si="81"/>
        <v>1.6666666666666667</v>
      </c>
      <c r="AG36" s="119">
        <f t="shared" si="81"/>
        <v>1.6666666666666667</v>
      </c>
      <c r="AH36" s="119">
        <f t="shared" si="81"/>
        <v>1.6666666666666667</v>
      </c>
      <c r="AI36" s="119">
        <f t="shared" si="81"/>
        <v>1.6666666666666667</v>
      </c>
      <c r="AJ36" s="119">
        <f t="shared" si="81"/>
        <v>1.6666666666666667</v>
      </c>
      <c r="AK36" s="119">
        <f t="shared" si="81"/>
        <v>1.6666666666666667</v>
      </c>
      <c r="AL36" s="119">
        <f t="shared" si="81"/>
        <v>1.6666666666666667</v>
      </c>
      <c r="AM36" s="119">
        <f t="shared" si="81"/>
        <v>1.6666666666666667</v>
      </c>
      <c r="AN36" s="119">
        <f t="shared" si="81"/>
        <v>1.6666666666666667</v>
      </c>
      <c r="AO36" s="119">
        <f t="shared" si="81"/>
        <v>1.6666666666666667</v>
      </c>
      <c r="AP36" s="120">
        <f t="shared" si="81"/>
        <v>1.6666666666666667</v>
      </c>
      <c r="AQ36" s="103"/>
      <c r="AR36" s="221">
        <f t="shared" ref="AR36:BC36" si="82">IF(AR10/6&lt;1,1,AR10/6)</f>
        <v>1.6666666666666667</v>
      </c>
      <c r="AS36" s="222">
        <f t="shared" si="82"/>
        <v>1.6666666666666667</v>
      </c>
      <c r="AT36" s="222">
        <f t="shared" si="82"/>
        <v>1.6666666666666667</v>
      </c>
      <c r="AU36" s="222">
        <f t="shared" si="82"/>
        <v>1.6666666666666667</v>
      </c>
      <c r="AV36" s="222">
        <f t="shared" si="82"/>
        <v>1.6666666666666667</v>
      </c>
      <c r="AW36" s="222">
        <f t="shared" si="82"/>
        <v>1.6666666666666667</v>
      </c>
      <c r="AX36" s="222">
        <f t="shared" si="82"/>
        <v>1.6666666666666667</v>
      </c>
      <c r="AY36" s="224">
        <f t="shared" si="82"/>
        <v>1.6666666666666667</v>
      </c>
      <c r="AZ36" s="224">
        <f t="shared" si="82"/>
        <v>1.6666666666666667</v>
      </c>
      <c r="BA36" s="224">
        <f t="shared" si="82"/>
        <v>1.6666666666666667</v>
      </c>
      <c r="BB36" s="224">
        <f t="shared" si="82"/>
        <v>1.6666666666666667</v>
      </c>
      <c r="BC36" s="225">
        <f t="shared" si="82"/>
        <v>1.6666666666666667</v>
      </c>
      <c r="BD36" s="103"/>
      <c r="BE36" s="221">
        <f t="shared" ref="BE36:BP36" si="83">IF(BE10/6&lt;1,1,BE10/6)</f>
        <v>1.6666666666666667</v>
      </c>
      <c r="BF36" s="222">
        <f t="shared" si="83"/>
        <v>1.6666666666666667</v>
      </c>
      <c r="BG36" s="222">
        <f t="shared" si="83"/>
        <v>1.6666666666666667</v>
      </c>
      <c r="BH36" s="222">
        <f t="shared" si="83"/>
        <v>1.6666666666666667</v>
      </c>
      <c r="BI36" s="222">
        <f t="shared" si="83"/>
        <v>1.6666666666666667</v>
      </c>
      <c r="BJ36" s="222">
        <f t="shared" si="83"/>
        <v>1.6666666666666667</v>
      </c>
      <c r="BK36" s="222">
        <f t="shared" si="83"/>
        <v>1.6666666666666667</v>
      </c>
      <c r="BL36" s="224">
        <f t="shared" si="83"/>
        <v>1.6666666666666667</v>
      </c>
      <c r="BM36" s="224">
        <f t="shared" si="83"/>
        <v>1.6666666666666667</v>
      </c>
      <c r="BN36" s="224">
        <f t="shared" si="83"/>
        <v>1.6666666666666667</v>
      </c>
      <c r="BO36" s="224">
        <f t="shared" si="83"/>
        <v>1.6666666666666667</v>
      </c>
      <c r="BP36" s="225">
        <f t="shared" si="83"/>
        <v>1.6666666666666667</v>
      </c>
    </row>
    <row r="37" spans="1:68" ht="8.25" customHeight="1" thickBot="1">
      <c r="A37" s="226"/>
      <c r="B37" s="227"/>
      <c r="C37" s="228"/>
      <c r="D37" s="99"/>
      <c r="E37" s="229"/>
      <c r="F37" s="229"/>
      <c r="G37" s="229"/>
      <c r="H37" s="229"/>
      <c r="I37" s="229"/>
      <c r="J37" s="229"/>
      <c r="K37" s="229"/>
      <c r="L37" s="229"/>
      <c r="M37" s="229"/>
      <c r="N37" s="229"/>
      <c r="O37" s="229"/>
      <c r="P37" s="230"/>
      <c r="Q37" s="102"/>
      <c r="R37" s="229"/>
      <c r="S37" s="229"/>
      <c r="T37" s="229"/>
      <c r="U37" s="229"/>
      <c r="V37" s="229"/>
      <c r="W37" s="229"/>
      <c r="X37" s="229"/>
      <c r="Y37" s="229"/>
      <c r="Z37" s="229"/>
      <c r="AA37" s="229"/>
      <c r="AB37" s="229"/>
      <c r="AC37" s="230"/>
      <c r="AD37" s="102"/>
      <c r="AE37" s="229"/>
      <c r="AF37" s="229"/>
      <c r="AG37" s="229"/>
      <c r="AH37" s="229"/>
      <c r="AI37" s="229"/>
      <c r="AJ37" s="229"/>
      <c r="AK37" s="229"/>
      <c r="AL37" s="229"/>
      <c r="AM37" s="229"/>
      <c r="AN37" s="229"/>
      <c r="AO37" s="229"/>
      <c r="AP37" s="230"/>
      <c r="AQ37" s="103"/>
      <c r="AR37" s="231"/>
      <c r="AS37" s="232"/>
      <c r="AT37" s="232"/>
      <c r="AU37" s="232"/>
      <c r="AV37" s="232"/>
      <c r="AW37" s="232"/>
      <c r="AX37" s="232"/>
      <c r="AY37" s="232"/>
      <c r="AZ37" s="232"/>
      <c r="BA37" s="232"/>
      <c r="BB37" s="232"/>
      <c r="BC37" s="233"/>
      <c r="BD37" s="103"/>
      <c r="BE37" s="231"/>
      <c r="BF37" s="232"/>
      <c r="BG37" s="232"/>
      <c r="BH37" s="232"/>
      <c r="BI37" s="232"/>
      <c r="BJ37" s="232"/>
      <c r="BK37" s="232"/>
      <c r="BL37" s="232"/>
      <c r="BM37" s="232"/>
      <c r="BN37" s="232"/>
      <c r="BO37" s="232"/>
      <c r="BP37" s="233"/>
    </row>
    <row r="38" spans="1:68" ht="15.75" customHeight="1">
      <c r="A38" s="234" t="s">
        <v>200</v>
      </c>
      <c r="B38" s="235"/>
      <c r="C38" s="236"/>
      <c r="D38" s="99"/>
      <c r="E38" s="237"/>
      <c r="F38" s="238"/>
      <c r="G38" s="238"/>
      <c r="H38" s="238"/>
      <c r="I38" s="238"/>
      <c r="J38" s="238"/>
      <c r="K38" s="238">
        <f>900*7*20</f>
        <v>126000</v>
      </c>
      <c r="L38" s="238">
        <v>126000</v>
      </c>
      <c r="M38" s="238">
        <v>126000</v>
      </c>
      <c r="N38" s="238">
        <v>220000</v>
      </c>
      <c r="O38" s="238">
        <v>220000</v>
      </c>
      <c r="P38" s="239">
        <v>220000</v>
      </c>
      <c r="Q38" s="102"/>
      <c r="R38" s="238">
        <f>P38</f>
        <v>220000</v>
      </c>
      <c r="S38" s="238">
        <f>R38</f>
        <v>220000</v>
      </c>
      <c r="T38" s="238">
        <f t="shared" ref="T38:AC38" si="84">S38</f>
        <v>220000</v>
      </c>
      <c r="U38" s="238">
        <v>220000</v>
      </c>
      <c r="V38" s="238">
        <f t="shared" si="84"/>
        <v>220000</v>
      </c>
      <c r="W38" s="238">
        <f t="shared" si="84"/>
        <v>220000</v>
      </c>
      <c r="X38" s="238">
        <f t="shared" si="84"/>
        <v>220000</v>
      </c>
      <c r="Y38" s="238">
        <f t="shared" si="84"/>
        <v>220000</v>
      </c>
      <c r="Z38" s="238">
        <f t="shared" si="84"/>
        <v>220000</v>
      </c>
      <c r="AA38" s="238">
        <f t="shared" si="84"/>
        <v>220000</v>
      </c>
      <c r="AB38" s="238">
        <f t="shared" si="84"/>
        <v>220000</v>
      </c>
      <c r="AC38" s="239">
        <f t="shared" si="84"/>
        <v>220000</v>
      </c>
      <c r="AD38" s="102"/>
      <c r="AE38" s="237"/>
      <c r="AF38" s="238"/>
      <c r="AG38" s="238"/>
      <c r="AH38" s="238"/>
      <c r="AI38" s="238"/>
      <c r="AJ38" s="238"/>
      <c r="AK38" s="238"/>
      <c r="AL38" s="238"/>
      <c r="AM38" s="238"/>
      <c r="AN38" s="238"/>
      <c r="AO38" s="238"/>
      <c r="AP38" s="239"/>
      <c r="AQ38" s="103"/>
      <c r="AR38" s="240"/>
      <c r="AS38" s="241"/>
      <c r="AT38" s="241"/>
      <c r="AU38" s="241"/>
      <c r="AV38" s="241"/>
      <c r="AW38" s="241"/>
      <c r="AX38" s="241"/>
      <c r="AY38" s="241"/>
      <c r="AZ38" s="241"/>
      <c r="BA38" s="241"/>
      <c r="BB38" s="241"/>
      <c r="BC38" s="242"/>
      <c r="BD38" s="103"/>
      <c r="BE38" s="240">
        <v>180000</v>
      </c>
      <c r="BF38" s="241">
        <v>180000</v>
      </c>
      <c r="BG38" s="241">
        <v>180000</v>
      </c>
      <c r="BH38" s="241">
        <v>180000</v>
      </c>
      <c r="BI38" s="241">
        <v>180000</v>
      </c>
      <c r="BJ38" s="241">
        <v>180000</v>
      </c>
      <c r="BK38" s="241">
        <v>180000</v>
      </c>
      <c r="BL38" s="241">
        <v>180000</v>
      </c>
      <c r="BM38" s="241">
        <v>180000</v>
      </c>
      <c r="BN38" s="241">
        <v>180000</v>
      </c>
      <c r="BO38" s="241">
        <v>180000</v>
      </c>
      <c r="BP38" s="242">
        <v>180000</v>
      </c>
    </row>
    <row r="39" spans="1:68" ht="15.75" customHeight="1">
      <c r="A39" s="149" t="s">
        <v>201</v>
      </c>
      <c r="B39" s="150"/>
      <c r="C39" s="151"/>
      <c r="D39" s="99"/>
      <c r="E39" s="243"/>
      <c r="F39" s="243"/>
      <c r="G39" s="243"/>
      <c r="H39" s="243"/>
      <c r="I39" s="243"/>
      <c r="J39" s="243"/>
      <c r="K39" s="243"/>
      <c r="L39" s="173">
        <v>120000</v>
      </c>
      <c r="M39" s="173">
        <v>120000</v>
      </c>
      <c r="N39" s="173">
        <v>180000</v>
      </c>
      <c r="O39" s="173">
        <v>180000</v>
      </c>
      <c r="P39" s="244">
        <v>180000</v>
      </c>
      <c r="Q39" s="102"/>
      <c r="R39" s="243">
        <f t="shared" ref="R39:R43" si="85">P39</f>
        <v>180000</v>
      </c>
      <c r="S39" s="243">
        <f t="shared" ref="S39:AC43" si="86">R39</f>
        <v>180000</v>
      </c>
      <c r="T39" s="243">
        <f t="shared" si="86"/>
        <v>180000</v>
      </c>
      <c r="U39" s="243">
        <f t="shared" si="86"/>
        <v>180000</v>
      </c>
      <c r="V39" s="243">
        <f t="shared" si="86"/>
        <v>180000</v>
      </c>
      <c r="W39" s="243">
        <f t="shared" si="86"/>
        <v>180000</v>
      </c>
      <c r="X39" s="243">
        <f t="shared" si="86"/>
        <v>180000</v>
      </c>
      <c r="Y39" s="173">
        <f t="shared" si="86"/>
        <v>180000</v>
      </c>
      <c r="Z39" s="173">
        <f t="shared" si="86"/>
        <v>180000</v>
      </c>
      <c r="AA39" s="173">
        <f t="shared" si="86"/>
        <v>180000</v>
      </c>
      <c r="AB39" s="173">
        <f t="shared" si="86"/>
        <v>180000</v>
      </c>
      <c r="AC39" s="244">
        <f t="shared" si="86"/>
        <v>180000</v>
      </c>
      <c r="AD39" s="102"/>
      <c r="AE39" s="243"/>
      <c r="AF39" s="243"/>
      <c r="AG39" s="243"/>
      <c r="AH39" s="243"/>
      <c r="AI39" s="243"/>
      <c r="AJ39" s="243"/>
      <c r="AK39" s="243"/>
      <c r="AL39" s="173"/>
      <c r="AM39" s="173"/>
      <c r="AN39" s="173"/>
      <c r="AO39" s="173"/>
      <c r="AP39" s="244"/>
      <c r="AQ39" s="103"/>
      <c r="AR39" s="245"/>
      <c r="AS39" s="246"/>
      <c r="AT39" s="246"/>
      <c r="AU39" s="246"/>
      <c r="AV39" s="246"/>
      <c r="AW39" s="246"/>
      <c r="AX39" s="246"/>
      <c r="AY39" s="246"/>
      <c r="AZ39" s="246"/>
      <c r="BA39" s="246"/>
      <c r="BB39" s="246"/>
      <c r="BC39" s="247"/>
      <c r="BD39" s="103"/>
      <c r="BE39" s="245"/>
      <c r="BF39" s="246"/>
      <c r="BG39" s="246"/>
      <c r="BH39" s="246"/>
      <c r="BI39" s="246"/>
      <c r="BJ39" s="246"/>
      <c r="BK39" s="246"/>
      <c r="BL39" s="246"/>
      <c r="BM39" s="246"/>
      <c r="BN39" s="246"/>
      <c r="BO39" s="246"/>
      <c r="BP39" s="247"/>
    </row>
    <row r="40" spans="1:68" ht="15.75" customHeight="1">
      <c r="A40" s="152" t="s">
        <v>202</v>
      </c>
      <c r="B40" s="153"/>
      <c r="C40" s="154"/>
      <c r="D40" s="99"/>
      <c r="E40" s="173"/>
      <c r="F40" s="173"/>
      <c r="G40" s="173"/>
      <c r="H40" s="173"/>
      <c r="I40" s="173"/>
      <c r="J40" s="173"/>
      <c r="K40" s="173"/>
      <c r="L40" s="243">
        <f>900*7*20</f>
        <v>126000</v>
      </c>
      <c r="M40" s="243">
        <v>126000</v>
      </c>
      <c r="N40" s="243">
        <v>126000</v>
      </c>
      <c r="O40" s="243">
        <v>180000</v>
      </c>
      <c r="P40" s="174">
        <v>180000</v>
      </c>
      <c r="Q40" s="102"/>
      <c r="R40" s="173">
        <v>200000</v>
      </c>
      <c r="S40" s="173">
        <f t="shared" si="86"/>
        <v>200000</v>
      </c>
      <c r="T40" s="173">
        <f t="shared" si="86"/>
        <v>200000</v>
      </c>
      <c r="U40" s="173">
        <f t="shared" si="86"/>
        <v>200000</v>
      </c>
      <c r="V40" s="173">
        <f t="shared" si="86"/>
        <v>200000</v>
      </c>
      <c r="W40" s="173">
        <f t="shared" si="86"/>
        <v>200000</v>
      </c>
      <c r="X40" s="173">
        <f t="shared" si="86"/>
        <v>200000</v>
      </c>
      <c r="Y40" s="243">
        <f t="shared" si="86"/>
        <v>200000</v>
      </c>
      <c r="Z40" s="243">
        <f t="shared" si="86"/>
        <v>200000</v>
      </c>
      <c r="AA40" s="243">
        <f t="shared" si="86"/>
        <v>200000</v>
      </c>
      <c r="AB40" s="243">
        <f t="shared" si="86"/>
        <v>200000</v>
      </c>
      <c r="AC40" s="174">
        <f t="shared" si="86"/>
        <v>200000</v>
      </c>
      <c r="AD40" s="102"/>
      <c r="AE40" s="173"/>
      <c r="AF40" s="173"/>
      <c r="AG40" s="173"/>
      <c r="AH40" s="173"/>
      <c r="AI40" s="173"/>
      <c r="AJ40" s="173"/>
      <c r="AK40" s="173"/>
      <c r="AL40" s="243"/>
      <c r="AM40" s="243"/>
      <c r="AN40" s="243"/>
      <c r="AO40" s="243"/>
      <c r="AP40" s="174"/>
      <c r="AQ40" s="103"/>
      <c r="AR40" s="175"/>
      <c r="AS40" s="173"/>
      <c r="AT40" s="173"/>
      <c r="AU40" s="173"/>
      <c r="AV40" s="173"/>
      <c r="AW40" s="173"/>
      <c r="AX40" s="173"/>
      <c r="AY40" s="173"/>
      <c r="AZ40" s="173"/>
      <c r="BA40" s="173"/>
      <c r="BB40" s="173"/>
      <c r="BC40" s="174"/>
      <c r="BD40" s="103"/>
      <c r="BE40" s="175">
        <v>150000</v>
      </c>
      <c r="BF40" s="173">
        <v>150000</v>
      </c>
      <c r="BG40" s="173">
        <v>150000</v>
      </c>
      <c r="BH40" s="173">
        <v>150000</v>
      </c>
      <c r="BI40" s="173">
        <v>150000</v>
      </c>
      <c r="BJ40" s="173">
        <v>150000</v>
      </c>
      <c r="BK40" s="173">
        <v>150000</v>
      </c>
      <c r="BL40" s="173">
        <v>150000</v>
      </c>
      <c r="BM40" s="173">
        <v>150000</v>
      </c>
      <c r="BN40" s="173">
        <v>150000</v>
      </c>
      <c r="BO40" s="173">
        <v>150000</v>
      </c>
      <c r="BP40" s="174">
        <v>150000</v>
      </c>
    </row>
    <row r="41" spans="1:68" ht="15.75" customHeight="1">
      <c r="A41" s="152" t="s">
        <v>203</v>
      </c>
      <c r="B41" s="153"/>
      <c r="C41" s="154"/>
      <c r="D41" s="99"/>
      <c r="E41" s="173"/>
      <c r="F41" s="173"/>
      <c r="G41" s="173"/>
      <c r="H41" s="173"/>
      <c r="I41" s="173"/>
      <c r="J41" s="173"/>
      <c r="K41" s="173"/>
      <c r="L41" s="243">
        <f>900*7*20</f>
        <v>126000</v>
      </c>
      <c r="M41" s="243">
        <v>126000</v>
      </c>
      <c r="N41" s="243">
        <v>126000</v>
      </c>
      <c r="O41" s="243">
        <v>180000</v>
      </c>
      <c r="P41" s="174">
        <v>180000</v>
      </c>
      <c r="Q41" s="102"/>
      <c r="R41" s="173">
        <v>200000</v>
      </c>
      <c r="S41" s="173">
        <f t="shared" si="86"/>
        <v>200000</v>
      </c>
      <c r="T41" s="173">
        <f t="shared" si="86"/>
        <v>200000</v>
      </c>
      <c r="U41" s="173">
        <f t="shared" si="86"/>
        <v>200000</v>
      </c>
      <c r="V41" s="173">
        <f t="shared" si="86"/>
        <v>200000</v>
      </c>
      <c r="W41" s="173">
        <f t="shared" si="86"/>
        <v>200000</v>
      </c>
      <c r="X41" s="173">
        <f t="shared" si="86"/>
        <v>200000</v>
      </c>
      <c r="Y41" s="243">
        <f t="shared" si="86"/>
        <v>200000</v>
      </c>
      <c r="Z41" s="243">
        <f t="shared" si="86"/>
        <v>200000</v>
      </c>
      <c r="AA41" s="243">
        <f t="shared" si="86"/>
        <v>200000</v>
      </c>
      <c r="AB41" s="243">
        <f t="shared" si="86"/>
        <v>200000</v>
      </c>
      <c r="AC41" s="174">
        <f t="shared" si="86"/>
        <v>200000</v>
      </c>
      <c r="AD41" s="102"/>
      <c r="AE41" s="173"/>
      <c r="AF41" s="173"/>
      <c r="AG41" s="173"/>
      <c r="AH41" s="173"/>
      <c r="AI41" s="173"/>
      <c r="AJ41" s="173"/>
      <c r="AK41" s="173"/>
      <c r="AL41" s="243"/>
      <c r="AM41" s="243"/>
      <c r="AN41" s="243"/>
      <c r="AO41" s="243"/>
      <c r="AP41" s="174"/>
      <c r="AQ41" s="103"/>
      <c r="AR41" s="175"/>
      <c r="AS41" s="173"/>
      <c r="AT41" s="173"/>
      <c r="AU41" s="173"/>
      <c r="AV41" s="173"/>
      <c r="AW41" s="173"/>
      <c r="AX41" s="173"/>
      <c r="AY41" s="173"/>
      <c r="AZ41" s="173"/>
      <c r="BA41" s="173"/>
      <c r="BB41" s="173"/>
      <c r="BC41" s="174"/>
      <c r="BD41" s="103"/>
      <c r="BE41" s="175">
        <v>180000</v>
      </c>
      <c r="BF41" s="173">
        <v>180000</v>
      </c>
      <c r="BG41" s="173">
        <v>180000</v>
      </c>
      <c r="BH41" s="173">
        <v>180000</v>
      </c>
      <c r="BI41" s="173">
        <v>180000</v>
      </c>
      <c r="BJ41" s="173">
        <v>180000</v>
      </c>
      <c r="BK41" s="173">
        <v>180000</v>
      </c>
      <c r="BL41" s="173">
        <v>180000</v>
      </c>
      <c r="BM41" s="173">
        <v>180000</v>
      </c>
      <c r="BN41" s="173">
        <v>180000</v>
      </c>
      <c r="BO41" s="173">
        <v>180000</v>
      </c>
      <c r="BP41" s="174">
        <v>180000</v>
      </c>
    </row>
    <row r="42" spans="1:68" ht="15.75" customHeight="1">
      <c r="A42" s="152" t="s">
        <v>204</v>
      </c>
      <c r="B42" s="153"/>
      <c r="C42" s="154"/>
      <c r="D42" s="99"/>
      <c r="E42" s="173"/>
      <c r="F42" s="173"/>
      <c r="G42" s="173"/>
      <c r="H42" s="173"/>
      <c r="I42" s="173"/>
      <c r="J42" s="173"/>
      <c r="K42" s="173"/>
      <c r="L42" s="243">
        <v>120000</v>
      </c>
      <c r="M42" s="243">
        <v>120000</v>
      </c>
      <c r="N42" s="243">
        <v>120000</v>
      </c>
      <c r="O42" s="243">
        <v>120000</v>
      </c>
      <c r="P42" s="174">
        <v>120000</v>
      </c>
      <c r="Q42" s="102"/>
      <c r="R42" s="173">
        <v>180000</v>
      </c>
      <c r="S42" s="173">
        <f t="shared" si="86"/>
        <v>180000</v>
      </c>
      <c r="T42" s="173">
        <f t="shared" si="86"/>
        <v>180000</v>
      </c>
      <c r="U42" s="173">
        <v>180000</v>
      </c>
      <c r="V42" s="173">
        <f t="shared" si="86"/>
        <v>180000</v>
      </c>
      <c r="W42" s="173">
        <f t="shared" si="86"/>
        <v>180000</v>
      </c>
      <c r="X42" s="173">
        <f t="shared" si="86"/>
        <v>180000</v>
      </c>
      <c r="Y42" s="243">
        <f t="shared" si="86"/>
        <v>180000</v>
      </c>
      <c r="Z42" s="243">
        <f t="shared" si="86"/>
        <v>180000</v>
      </c>
      <c r="AA42" s="243">
        <f t="shared" si="86"/>
        <v>180000</v>
      </c>
      <c r="AB42" s="243">
        <f t="shared" si="86"/>
        <v>180000</v>
      </c>
      <c r="AC42" s="174">
        <f t="shared" si="86"/>
        <v>180000</v>
      </c>
      <c r="AD42" s="102"/>
      <c r="AE42" s="173"/>
      <c r="AF42" s="173"/>
      <c r="AG42" s="173"/>
      <c r="AH42" s="173"/>
      <c r="AI42" s="173"/>
      <c r="AJ42" s="173"/>
      <c r="AK42" s="173"/>
      <c r="AL42" s="243"/>
      <c r="AM42" s="243"/>
      <c r="AN42" s="243"/>
      <c r="AO42" s="243"/>
      <c r="AP42" s="174"/>
      <c r="AQ42" s="103"/>
      <c r="AR42" s="175"/>
      <c r="AS42" s="173"/>
      <c r="AT42" s="173"/>
      <c r="AU42" s="173"/>
      <c r="AV42" s="173"/>
      <c r="AW42" s="173"/>
      <c r="AX42" s="173"/>
      <c r="AY42" s="173"/>
      <c r="AZ42" s="173"/>
      <c r="BA42" s="173"/>
      <c r="BB42" s="173"/>
      <c r="BC42" s="174"/>
      <c r="BD42" s="103"/>
      <c r="BE42" s="175">
        <v>180000</v>
      </c>
      <c r="BF42" s="173">
        <v>180000</v>
      </c>
      <c r="BG42" s="173">
        <v>180000</v>
      </c>
      <c r="BH42" s="173">
        <v>180000</v>
      </c>
      <c r="BI42" s="173">
        <v>180000</v>
      </c>
      <c r="BJ42" s="173">
        <v>180000</v>
      </c>
      <c r="BK42" s="173">
        <v>180000</v>
      </c>
      <c r="BL42" s="173">
        <v>180000</v>
      </c>
      <c r="BM42" s="173">
        <v>180000</v>
      </c>
      <c r="BN42" s="173">
        <v>180000</v>
      </c>
      <c r="BO42" s="173">
        <v>180000</v>
      </c>
      <c r="BP42" s="174">
        <v>180000</v>
      </c>
    </row>
    <row r="43" spans="1:68" ht="15.75" customHeight="1">
      <c r="A43" s="152" t="s">
        <v>205</v>
      </c>
      <c r="B43" s="153"/>
      <c r="C43" s="154"/>
      <c r="D43" s="99"/>
      <c r="E43" s="173"/>
      <c r="F43" s="173"/>
      <c r="G43" s="173"/>
      <c r="H43" s="173"/>
      <c r="I43" s="173"/>
      <c r="J43" s="173"/>
      <c r="K43" s="173"/>
      <c r="L43" s="173">
        <v>180000</v>
      </c>
      <c r="M43" s="173">
        <v>180000</v>
      </c>
      <c r="N43" s="173">
        <v>0</v>
      </c>
      <c r="O43" s="173">
        <v>0</v>
      </c>
      <c r="P43" s="174">
        <v>0</v>
      </c>
      <c r="Q43" s="102"/>
      <c r="R43" s="173">
        <f t="shared" si="85"/>
        <v>0</v>
      </c>
      <c r="S43" s="173">
        <f t="shared" si="86"/>
        <v>0</v>
      </c>
      <c r="T43" s="173">
        <f t="shared" si="86"/>
        <v>0</v>
      </c>
      <c r="U43" s="173">
        <f t="shared" si="86"/>
        <v>0</v>
      </c>
      <c r="V43" s="173">
        <f t="shared" si="86"/>
        <v>0</v>
      </c>
      <c r="W43" s="173">
        <f t="shared" si="86"/>
        <v>0</v>
      </c>
      <c r="X43" s="173">
        <f t="shared" si="86"/>
        <v>0</v>
      </c>
      <c r="Y43" s="173">
        <f t="shared" si="86"/>
        <v>0</v>
      </c>
      <c r="Z43" s="173">
        <f t="shared" si="86"/>
        <v>0</v>
      </c>
      <c r="AA43" s="173">
        <f t="shared" si="86"/>
        <v>0</v>
      </c>
      <c r="AB43" s="173">
        <f t="shared" si="86"/>
        <v>0</v>
      </c>
      <c r="AC43" s="174">
        <f t="shared" si="86"/>
        <v>0</v>
      </c>
      <c r="AD43" s="102"/>
      <c r="AE43" s="173"/>
      <c r="AF43" s="173"/>
      <c r="AG43" s="173"/>
      <c r="AH43" s="173"/>
      <c r="AI43" s="173"/>
      <c r="AJ43" s="173"/>
      <c r="AK43" s="173"/>
      <c r="AL43" s="173"/>
      <c r="AM43" s="173"/>
      <c r="AN43" s="173"/>
      <c r="AO43" s="173"/>
      <c r="AP43" s="174"/>
      <c r="AQ43" s="103"/>
      <c r="AR43" s="175"/>
      <c r="AS43" s="173"/>
      <c r="AT43" s="173"/>
      <c r="AU43" s="173"/>
      <c r="AV43" s="173"/>
      <c r="AW43" s="173"/>
      <c r="AX43" s="173"/>
      <c r="AY43" s="173"/>
      <c r="AZ43" s="173"/>
      <c r="BA43" s="173"/>
      <c r="BB43" s="173"/>
      <c r="BC43" s="174"/>
      <c r="BD43" s="103"/>
      <c r="BE43" s="175">
        <v>180000</v>
      </c>
      <c r="BF43" s="173">
        <v>180000</v>
      </c>
      <c r="BG43" s="173">
        <v>180000</v>
      </c>
      <c r="BH43" s="173">
        <v>180000</v>
      </c>
      <c r="BI43" s="173">
        <v>180000</v>
      </c>
      <c r="BJ43" s="173">
        <v>180000</v>
      </c>
      <c r="BK43" s="173">
        <v>180000</v>
      </c>
      <c r="BL43" s="173">
        <v>180000</v>
      </c>
      <c r="BM43" s="173">
        <v>180000</v>
      </c>
      <c r="BN43" s="173">
        <v>180000</v>
      </c>
      <c r="BO43" s="173">
        <v>180000</v>
      </c>
      <c r="BP43" s="174">
        <v>180000</v>
      </c>
    </row>
    <row r="44" spans="1:68" ht="15" customHeight="1">
      <c r="A44" s="248" t="s">
        <v>206</v>
      </c>
      <c r="B44" s="153"/>
      <c r="C44" s="154"/>
      <c r="D44" s="99"/>
      <c r="E44" s="173"/>
      <c r="F44" s="173"/>
      <c r="G44" s="173"/>
      <c r="H44" s="173"/>
      <c r="I44" s="173"/>
      <c r="J44" s="173"/>
      <c r="K44" s="173"/>
      <c r="L44" s="173">
        <v>126000</v>
      </c>
      <c r="M44" s="173">
        <v>126000</v>
      </c>
      <c r="N44" s="173">
        <v>126000</v>
      </c>
      <c r="O44" s="173"/>
      <c r="P44" s="174"/>
      <c r="Q44" s="102"/>
      <c r="R44" s="173"/>
      <c r="S44" s="173"/>
      <c r="T44" s="173"/>
      <c r="U44" s="173"/>
      <c r="V44" s="173"/>
      <c r="W44" s="173"/>
      <c r="X44" s="173"/>
      <c r="Y44" s="173"/>
      <c r="Z44" s="173"/>
      <c r="AA44" s="173"/>
      <c r="AB44" s="173"/>
      <c r="AC44" s="174"/>
      <c r="AD44" s="102"/>
      <c r="AE44" s="173"/>
      <c r="AF44" s="173"/>
      <c r="AG44" s="173"/>
      <c r="AH44" s="173"/>
      <c r="AI44" s="173"/>
      <c r="AJ44" s="173"/>
      <c r="AK44" s="173"/>
      <c r="AL44" s="173"/>
      <c r="AM44" s="173"/>
      <c r="AN44" s="173"/>
      <c r="AO44" s="173"/>
      <c r="AP44" s="174"/>
      <c r="AQ44" s="103"/>
      <c r="AR44" s="175"/>
      <c r="AS44" s="173"/>
      <c r="AT44" s="173"/>
      <c r="AU44" s="173"/>
      <c r="AV44" s="173"/>
      <c r="AW44" s="173"/>
      <c r="AX44" s="173"/>
      <c r="AY44" s="173"/>
      <c r="AZ44" s="173"/>
      <c r="BA44" s="173"/>
      <c r="BB44" s="173"/>
      <c r="BC44" s="174"/>
      <c r="BD44" s="103"/>
      <c r="BE44" s="175">
        <v>150000</v>
      </c>
      <c r="BF44" s="173">
        <v>150000</v>
      </c>
      <c r="BG44" s="173">
        <v>150000</v>
      </c>
      <c r="BH44" s="173">
        <v>150000</v>
      </c>
      <c r="BI44" s="173">
        <v>150000</v>
      </c>
      <c r="BJ44" s="173">
        <v>150000</v>
      </c>
      <c r="BK44" s="173">
        <v>150000</v>
      </c>
      <c r="BL44" s="173">
        <v>150000</v>
      </c>
      <c r="BM44" s="173">
        <v>150000</v>
      </c>
      <c r="BN44" s="173">
        <v>150000</v>
      </c>
      <c r="BO44" s="173">
        <v>150000</v>
      </c>
      <c r="BP44" s="174">
        <v>150000</v>
      </c>
    </row>
    <row r="45" spans="1:68" ht="15" customHeight="1">
      <c r="A45" s="152" t="s">
        <v>207</v>
      </c>
      <c r="B45" s="153"/>
      <c r="C45" s="154"/>
      <c r="D45" s="99"/>
      <c r="E45" s="173"/>
      <c r="F45" s="173"/>
      <c r="G45" s="173"/>
      <c r="H45" s="173"/>
      <c r="I45" s="173"/>
      <c r="J45" s="173"/>
      <c r="K45" s="173"/>
      <c r="L45" s="173">
        <v>80000</v>
      </c>
      <c r="M45" s="173">
        <v>80000</v>
      </c>
      <c r="N45" s="173">
        <v>80000</v>
      </c>
      <c r="O45" s="173">
        <v>80000</v>
      </c>
      <c r="P45" s="174">
        <v>80000</v>
      </c>
      <c r="Q45" s="102"/>
      <c r="R45" s="173">
        <f t="shared" ref="R45:R52" si="87">P45</f>
        <v>80000</v>
      </c>
      <c r="S45" s="173">
        <f t="shared" ref="S45:AC52" si="88">R45</f>
        <v>80000</v>
      </c>
      <c r="T45" s="173">
        <f t="shared" si="88"/>
        <v>80000</v>
      </c>
      <c r="U45" s="173">
        <f t="shared" si="88"/>
        <v>80000</v>
      </c>
      <c r="V45" s="173">
        <f t="shared" si="88"/>
        <v>80000</v>
      </c>
      <c r="W45" s="173">
        <f t="shared" si="88"/>
        <v>80000</v>
      </c>
      <c r="X45" s="173">
        <f t="shared" si="88"/>
        <v>80000</v>
      </c>
      <c r="Y45" s="173">
        <f t="shared" si="88"/>
        <v>80000</v>
      </c>
      <c r="Z45" s="173">
        <f t="shared" si="88"/>
        <v>80000</v>
      </c>
      <c r="AA45" s="173">
        <f t="shared" si="88"/>
        <v>80000</v>
      </c>
      <c r="AB45" s="173">
        <f t="shared" si="88"/>
        <v>80000</v>
      </c>
      <c r="AC45" s="174">
        <f t="shared" si="88"/>
        <v>80000</v>
      </c>
      <c r="AD45" s="102"/>
      <c r="AE45" s="173"/>
      <c r="AF45" s="173"/>
      <c r="AG45" s="173"/>
      <c r="AH45" s="173"/>
      <c r="AI45" s="173"/>
      <c r="AJ45" s="173"/>
      <c r="AK45" s="173"/>
      <c r="AL45" s="173"/>
      <c r="AM45" s="173"/>
      <c r="AN45" s="173"/>
      <c r="AO45" s="173"/>
      <c r="AP45" s="174"/>
      <c r="AQ45" s="103"/>
      <c r="AR45" s="175"/>
      <c r="AS45" s="173"/>
      <c r="AT45" s="173"/>
      <c r="AU45" s="173"/>
      <c r="AV45" s="173"/>
      <c r="AW45" s="173"/>
      <c r="AX45" s="173"/>
      <c r="AY45" s="173"/>
      <c r="AZ45" s="173"/>
      <c r="BA45" s="173"/>
      <c r="BB45" s="173"/>
      <c r="BC45" s="174"/>
      <c r="BD45" s="103"/>
      <c r="BE45" s="175">
        <v>250000</v>
      </c>
      <c r="BF45" s="173">
        <v>250000</v>
      </c>
      <c r="BG45" s="173">
        <v>250000</v>
      </c>
      <c r="BH45" s="173">
        <v>250000</v>
      </c>
      <c r="BI45" s="173">
        <v>250000</v>
      </c>
      <c r="BJ45" s="173">
        <v>250000</v>
      </c>
      <c r="BK45" s="173">
        <v>250000</v>
      </c>
      <c r="BL45" s="173">
        <v>250000</v>
      </c>
      <c r="BM45" s="173">
        <v>250000</v>
      </c>
      <c r="BN45" s="173">
        <v>250000</v>
      </c>
      <c r="BO45" s="173">
        <v>250000</v>
      </c>
      <c r="BP45" s="174">
        <v>250000</v>
      </c>
    </row>
    <row r="46" spans="1:68" ht="13.5" customHeight="1">
      <c r="A46" s="152" t="s">
        <v>208</v>
      </c>
      <c r="B46" s="153"/>
      <c r="C46" s="154"/>
      <c r="D46" s="99"/>
      <c r="E46" s="173"/>
      <c r="F46" s="173"/>
      <c r="G46" s="173"/>
      <c r="H46" s="173"/>
      <c r="I46" s="173"/>
      <c r="J46" s="173"/>
      <c r="K46" s="173"/>
      <c r="L46" s="173"/>
      <c r="M46" s="173"/>
      <c r="N46" s="173"/>
      <c r="O46" s="173"/>
      <c r="P46" s="174"/>
      <c r="Q46" s="102"/>
      <c r="R46" s="173">
        <v>126000</v>
      </c>
      <c r="S46" s="173">
        <f t="shared" si="88"/>
        <v>126000</v>
      </c>
      <c r="T46" s="173">
        <f t="shared" si="88"/>
        <v>126000</v>
      </c>
      <c r="U46" s="173">
        <f t="shared" si="88"/>
        <v>126000</v>
      </c>
      <c r="V46" s="173">
        <f t="shared" si="88"/>
        <v>126000</v>
      </c>
      <c r="W46" s="173">
        <f t="shared" si="88"/>
        <v>126000</v>
      </c>
      <c r="X46" s="173">
        <f t="shared" si="88"/>
        <v>126000</v>
      </c>
      <c r="Y46" s="173">
        <f t="shared" si="88"/>
        <v>126000</v>
      </c>
      <c r="Z46" s="173">
        <f t="shared" si="88"/>
        <v>126000</v>
      </c>
      <c r="AA46" s="173">
        <f t="shared" si="88"/>
        <v>126000</v>
      </c>
      <c r="AB46" s="173">
        <f t="shared" si="88"/>
        <v>126000</v>
      </c>
      <c r="AC46" s="174">
        <f t="shared" si="88"/>
        <v>126000</v>
      </c>
      <c r="AD46" s="102"/>
      <c r="AE46" s="173"/>
      <c r="AF46" s="173"/>
      <c r="AG46" s="173"/>
      <c r="AH46" s="173"/>
      <c r="AI46" s="173"/>
      <c r="AJ46" s="173"/>
      <c r="AK46" s="173"/>
      <c r="AL46" s="173"/>
      <c r="AM46" s="173"/>
      <c r="AN46" s="173"/>
      <c r="AO46" s="173"/>
      <c r="AP46" s="174"/>
      <c r="AQ46" s="103"/>
      <c r="AR46" s="175"/>
      <c r="AS46" s="173"/>
      <c r="AT46" s="173"/>
      <c r="AU46" s="173"/>
      <c r="AV46" s="173"/>
      <c r="AW46" s="173"/>
      <c r="AX46" s="173"/>
      <c r="AY46" s="173"/>
      <c r="AZ46" s="173"/>
      <c r="BA46" s="173"/>
      <c r="BB46" s="173"/>
      <c r="BC46" s="174"/>
      <c r="BD46" s="103"/>
      <c r="BE46" s="175">
        <v>180000</v>
      </c>
      <c r="BF46" s="173">
        <v>180000</v>
      </c>
      <c r="BG46" s="173">
        <v>180000</v>
      </c>
      <c r="BH46" s="173">
        <v>180000</v>
      </c>
      <c r="BI46" s="173">
        <v>180000</v>
      </c>
      <c r="BJ46" s="173">
        <v>180000</v>
      </c>
      <c r="BK46" s="173">
        <v>180000</v>
      </c>
      <c r="BL46" s="173">
        <v>180000</v>
      </c>
      <c r="BM46" s="173">
        <v>180000</v>
      </c>
      <c r="BN46" s="173">
        <v>180000</v>
      </c>
      <c r="BO46" s="173">
        <v>180000</v>
      </c>
      <c r="BP46" s="174">
        <v>180000</v>
      </c>
    </row>
    <row r="47" spans="1:68" ht="13.5" customHeight="1">
      <c r="A47" s="152" t="s">
        <v>208</v>
      </c>
      <c r="B47" s="153"/>
      <c r="C47" s="154"/>
      <c r="D47" s="99"/>
      <c r="E47" s="173"/>
      <c r="F47" s="173"/>
      <c r="G47" s="173"/>
      <c r="H47" s="173"/>
      <c r="I47" s="173"/>
      <c r="J47" s="173"/>
      <c r="K47" s="173"/>
      <c r="L47" s="173"/>
      <c r="M47" s="173"/>
      <c r="N47" s="173"/>
      <c r="O47" s="173"/>
      <c r="P47" s="174"/>
      <c r="Q47" s="102"/>
      <c r="R47" s="173">
        <f t="shared" si="87"/>
        <v>0</v>
      </c>
      <c r="S47" s="173">
        <f t="shared" si="88"/>
        <v>0</v>
      </c>
      <c r="T47" s="173">
        <f t="shared" si="88"/>
        <v>0</v>
      </c>
      <c r="U47" s="173">
        <f t="shared" si="88"/>
        <v>0</v>
      </c>
      <c r="V47" s="173">
        <f t="shared" si="88"/>
        <v>0</v>
      </c>
      <c r="W47" s="173">
        <f t="shared" si="88"/>
        <v>0</v>
      </c>
      <c r="X47" s="173">
        <f t="shared" si="88"/>
        <v>0</v>
      </c>
      <c r="Y47" s="173">
        <f t="shared" si="88"/>
        <v>0</v>
      </c>
      <c r="Z47" s="173">
        <f t="shared" si="88"/>
        <v>0</v>
      </c>
      <c r="AA47" s="173">
        <f t="shared" si="88"/>
        <v>0</v>
      </c>
      <c r="AB47" s="173">
        <f t="shared" si="88"/>
        <v>0</v>
      </c>
      <c r="AC47" s="174">
        <f t="shared" si="88"/>
        <v>0</v>
      </c>
      <c r="AD47" s="102"/>
      <c r="AE47" s="173"/>
      <c r="AF47" s="173"/>
      <c r="AG47" s="173"/>
      <c r="AH47" s="173"/>
      <c r="AI47" s="173"/>
      <c r="AJ47" s="173"/>
      <c r="AK47" s="173"/>
      <c r="AL47" s="173"/>
      <c r="AM47" s="173"/>
      <c r="AN47" s="173"/>
      <c r="AO47" s="173"/>
      <c r="AP47" s="174"/>
      <c r="AQ47" s="103"/>
      <c r="AR47" s="175"/>
      <c r="AS47" s="173"/>
      <c r="AT47" s="173"/>
      <c r="AU47" s="173"/>
      <c r="AV47" s="173"/>
      <c r="AW47" s="173"/>
      <c r="AX47" s="173"/>
      <c r="AY47" s="173"/>
      <c r="AZ47" s="173"/>
      <c r="BA47" s="173"/>
      <c r="BB47" s="173"/>
      <c r="BC47" s="174"/>
      <c r="BD47" s="103"/>
      <c r="BE47" s="175">
        <v>180000</v>
      </c>
      <c r="BF47" s="173">
        <v>180000</v>
      </c>
      <c r="BG47" s="173">
        <v>180000</v>
      </c>
      <c r="BH47" s="173">
        <v>180000</v>
      </c>
      <c r="BI47" s="173">
        <v>180000</v>
      </c>
      <c r="BJ47" s="173">
        <v>180000</v>
      </c>
      <c r="BK47" s="173">
        <v>180000</v>
      </c>
      <c r="BL47" s="173">
        <v>180000</v>
      </c>
      <c r="BM47" s="173">
        <v>180000</v>
      </c>
      <c r="BN47" s="173">
        <v>180000</v>
      </c>
      <c r="BO47" s="173">
        <v>180000</v>
      </c>
      <c r="BP47" s="174">
        <v>180000</v>
      </c>
    </row>
    <row r="48" spans="1:68" ht="15" customHeight="1" thickBot="1">
      <c r="A48" s="249" t="s">
        <v>209</v>
      </c>
      <c r="B48" s="250"/>
      <c r="C48" s="251"/>
      <c r="D48" s="99"/>
      <c r="E48" s="184"/>
      <c r="F48" s="182"/>
      <c r="G48" s="182"/>
      <c r="H48" s="182"/>
      <c r="I48" s="182"/>
      <c r="J48" s="182"/>
      <c r="K48" s="182"/>
      <c r="L48" s="182"/>
      <c r="M48" s="182"/>
      <c r="N48" s="182"/>
      <c r="O48" s="182"/>
      <c r="P48" s="183"/>
      <c r="Q48" s="102"/>
      <c r="R48" s="182">
        <v>126000</v>
      </c>
      <c r="S48" s="182">
        <f t="shared" si="88"/>
        <v>126000</v>
      </c>
      <c r="T48" s="182">
        <f t="shared" si="88"/>
        <v>126000</v>
      </c>
      <c r="U48" s="182">
        <f t="shared" si="88"/>
        <v>126000</v>
      </c>
      <c r="V48" s="182">
        <f t="shared" si="88"/>
        <v>126000</v>
      </c>
      <c r="W48" s="182">
        <f t="shared" si="88"/>
        <v>126000</v>
      </c>
      <c r="X48" s="182">
        <f t="shared" si="88"/>
        <v>126000</v>
      </c>
      <c r="Y48" s="182">
        <f t="shared" si="88"/>
        <v>126000</v>
      </c>
      <c r="Z48" s="182">
        <f t="shared" si="88"/>
        <v>126000</v>
      </c>
      <c r="AA48" s="182">
        <f t="shared" si="88"/>
        <v>126000</v>
      </c>
      <c r="AB48" s="182">
        <f t="shared" si="88"/>
        <v>126000</v>
      </c>
      <c r="AC48" s="183">
        <f t="shared" si="88"/>
        <v>126000</v>
      </c>
      <c r="AD48" s="102"/>
      <c r="AE48" s="184"/>
      <c r="AF48" s="182"/>
      <c r="AG48" s="182"/>
      <c r="AH48" s="182"/>
      <c r="AI48" s="182"/>
      <c r="AJ48" s="182"/>
      <c r="AK48" s="182"/>
      <c r="AL48" s="182"/>
      <c r="AM48" s="182"/>
      <c r="AN48" s="182"/>
      <c r="AO48" s="182"/>
      <c r="AP48" s="183"/>
      <c r="AQ48" s="103"/>
      <c r="AR48" s="175"/>
      <c r="AS48" s="173"/>
      <c r="AT48" s="173"/>
      <c r="AU48" s="173"/>
      <c r="AV48" s="173"/>
      <c r="AW48" s="173"/>
      <c r="AX48" s="173"/>
      <c r="AY48" s="173"/>
      <c r="AZ48" s="173"/>
      <c r="BA48" s="173"/>
      <c r="BB48" s="173"/>
      <c r="BC48" s="174"/>
      <c r="BD48" s="103"/>
      <c r="BE48" s="175">
        <v>250000</v>
      </c>
      <c r="BF48" s="173">
        <v>250000</v>
      </c>
      <c r="BG48" s="173">
        <v>250000</v>
      </c>
      <c r="BH48" s="173">
        <v>250000</v>
      </c>
      <c r="BI48" s="173">
        <v>250000</v>
      </c>
      <c r="BJ48" s="173">
        <v>250000</v>
      </c>
      <c r="BK48" s="173">
        <v>250000</v>
      </c>
      <c r="BL48" s="173">
        <v>250000</v>
      </c>
      <c r="BM48" s="173">
        <v>250000</v>
      </c>
      <c r="BN48" s="173">
        <v>250000</v>
      </c>
      <c r="BO48" s="173">
        <v>250000</v>
      </c>
      <c r="BP48" s="174">
        <v>250000</v>
      </c>
    </row>
    <row r="49" spans="1:68" ht="15" customHeight="1" thickTop="1">
      <c r="A49" s="149" t="s">
        <v>210</v>
      </c>
      <c r="B49" s="150"/>
      <c r="C49" s="151"/>
      <c r="D49" s="99"/>
      <c r="E49" s="243"/>
      <c r="F49" s="243"/>
      <c r="G49" s="243"/>
      <c r="H49" s="243"/>
      <c r="I49" s="243">
        <v>33000</v>
      </c>
      <c r="J49" s="243">
        <v>33000</v>
      </c>
      <c r="K49" s="243">
        <v>33000</v>
      </c>
      <c r="L49" s="243">
        <v>33000</v>
      </c>
      <c r="M49" s="243">
        <v>33000</v>
      </c>
      <c r="N49" s="243">
        <v>33000</v>
      </c>
      <c r="O49" s="243">
        <v>33000</v>
      </c>
      <c r="P49" s="244">
        <v>33000</v>
      </c>
      <c r="Q49" s="102"/>
      <c r="R49" s="243">
        <v>55000</v>
      </c>
      <c r="S49" s="243">
        <f t="shared" si="88"/>
        <v>55000</v>
      </c>
      <c r="T49" s="243">
        <f t="shared" si="88"/>
        <v>55000</v>
      </c>
      <c r="U49" s="243">
        <f t="shared" si="88"/>
        <v>55000</v>
      </c>
      <c r="V49" s="243">
        <f t="shared" si="88"/>
        <v>55000</v>
      </c>
      <c r="W49" s="243">
        <f t="shared" si="88"/>
        <v>55000</v>
      </c>
      <c r="X49" s="243">
        <f t="shared" si="88"/>
        <v>55000</v>
      </c>
      <c r="Y49" s="243">
        <f t="shared" si="88"/>
        <v>55000</v>
      </c>
      <c r="Z49" s="243">
        <f t="shared" si="88"/>
        <v>55000</v>
      </c>
      <c r="AA49" s="243">
        <f t="shared" si="88"/>
        <v>55000</v>
      </c>
      <c r="AB49" s="243">
        <f t="shared" si="88"/>
        <v>55000</v>
      </c>
      <c r="AC49" s="244">
        <f t="shared" si="88"/>
        <v>55000</v>
      </c>
      <c r="AD49" s="102"/>
      <c r="AE49" s="243"/>
      <c r="AF49" s="243"/>
      <c r="AG49" s="243"/>
      <c r="AH49" s="243"/>
      <c r="AI49" s="243"/>
      <c r="AJ49" s="243"/>
      <c r="AK49" s="243"/>
      <c r="AL49" s="243"/>
      <c r="AM49" s="243"/>
      <c r="AN49" s="243"/>
      <c r="AO49" s="243"/>
      <c r="AP49" s="244"/>
      <c r="AQ49" s="103"/>
      <c r="AR49" s="175"/>
      <c r="AS49" s="173"/>
      <c r="AT49" s="173"/>
      <c r="AU49" s="173"/>
      <c r="AV49" s="173"/>
      <c r="AW49" s="173"/>
      <c r="AX49" s="173"/>
      <c r="AY49" s="173"/>
      <c r="AZ49" s="173"/>
      <c r="BA49" s="173"/>
      <c r="BB49" s="173"/>
      <c r="BC49" s="174"/>
      <c r="BD49" s="103"/>
      <c r="BE49" s="175">
        <v>300000</v>
      </c>
      <c r="BF49" s="173">
        <v>300000</v>
      </c>
      <c r="BG49" s="173">
        <v>300000</v>
      </c>
      <c r="BH49" s="173">
        <v>300000</v>
      </c>
      <c r="BI49" s="173">
        <v>300000</v>
      </c>
      <c r="BJ49" s="173">
        <v>300000</v>
      </c>
      <c r="BK49" s="173">
        <v>300000</v>
      </c>
      <c r="BL49" s="173">
        <v>300000</v>
      </c>
      <c r="BM49" s="173">
        <v>300000</v>
      </c>
      <c r="BN49" s="173">
        <v>300000</v>
      </c>
      <c r="BO49" s="173">
        <v>300000</v>
      </c>
      <c r="BP49" s="174">
        <v>300000</v>
      </c>
    </row>
    <row r="50" spans="1:68" ht="15" customHeight="1">
      <c r="A50" s="152" t="s">
        <v>210</v>
      </c>
      <c r="B50" s="153"/>
      <c r="C50" s="154"/>
      <c r="D50" s="99"/>
      <c r="E50" s="173"/>
      <c r="F50" s="173"/>
      <c r="G50" s="173"/>
      <c r="H50" s="173"/>
      <c r="I50" s="173"/>
      <c r="J50" s="173"/>
      <c r="K50" s="173"/>
      <c r="L50" s="173">
        <v>30000</v>
      </c>
      <c r="M50" s="173">
        <v>30000</v>
      </c>
      <c r="N50" s="173">
        <v>30000</v>
      </c>
      <c r="O50" s="173">
        <v>30000</v>
      </c>
      <c r="P50" s="174">
        <v>30000</v>
      </c>
      <c r="Q50" s="102"/>
      <c r="R50" s="173">
        <f t="shared" si="87"/>
        <v>30000</v>
      </c>
      <c r="S50" s="173">
        <f t="shared" si="88"/>
        <v>30000</v>
      </c>
      <c r="T50" s="173">
        <f t="shared" si="88"/>
        <v>30000</v>
      </c>
      <c r="U50" s="173">
        <f t="shared" si="88"/>
        <v>30000</v>
      </c>
      <c r="V50" s="173">
        <f t="shared" si="88"/>
        <v>30000</v>
      </c>
      <c r="W50" s="173">
        <f t="shared" si="88"/>
        <v>30000</v>
      </c>
      <c r="X50" s="173">
        <f t="shared" si="88"/>
        <v>30000</v>
      </c>
      <c r="Y50" s="173">
        <f t="shared" si="88"/>
        <v>30000</v>
      </c>
      <c r="Z50" s="173">
        <f t="shared" si="88"/>
        <v>30000</v>
      </c>
      <c r="AA50" s="173">
        <f t="shared" si="88"/>
        <v>30000</v>
      </c>
      <c r="AB50" s="173">
        <f t="shared" si="88"/>
        <v>30000</v>
      </c>
      <c r="AC50" s="174">
        <f t="shared" si="88"/>
        <v>30000</v>
      </c>
      <c r="AD50" s="102"/>
      <c r="AE50" s="173"/>
      <c r="AF50" s="173"/>
      <c r="AG50" s="173"/>
      <c r="AH50" s="173"/>
      <c r="AI50" s="173"/>
      <c r="AJ50" s="173"/>
      <c r="AK50" s="173"/>
      <c r="AL50" s="173"/>
      <c r="AM50" s="173"/>
      <c r="AN50" s="173"/>
      <c r="AO50" s="173"/>
      <c r="AP50" s="174"/>
      <c r="AQ50" s="103"/>
      <c r="AR50" s="175"/>
      <c r="AS50" s="173"/>
      <c r="AT50" s="173"/>
      <c r="AU50" s="173"/>
      <c r="AV50" s="173"/>
      <c r="AW50" s="173"/>
      <c r="AX50" s="173"/>
      <c r="AY50" s="173"/>
      <c r="AZ50" s="173"/>
      <c r="BA50" s="173"/>
      <c r="BB50" s="173"/>
      <c r="BC50" s="174"/>
      <c r="BD50" s="103"/>
      <c r="BE50" s="175">
        <v>300000</v>
      </c>
      <c r="BF50" s="173">
        <v>300000</v>
      </c>
      <c r="BG50" s="173">
        <v>300000</v>
      </c>
      <c r="BH50" s="173">
        <v>300000</v>
      </c>
      <c r="BI50" s="173">
        <v>300000</v>
      </c>
      <c r="BJ50" s="173">
        <v>300000</v>
      </c>
      <c r="BK50" s="173">
        <v>300000</v>
      </c>
      <c r="BL50" s="173">
        <v>300000</v>
      </c>
      <c r="BM50" s="173">
        <v>300000</v>
      </c>
      <c r="BN50" s="173">
        <v>300000</v>
      </c>
      <c r="BO50" s="173">
        <v>300000</v>
      </c>
      <c r="BP50" s="174">
        <v>300000</v>
      </c>
    </row>
    <row r="51" spans="1:68" ht="15" customHeight="1">
      <c r="A51" s="152" t="s">
        <v>210</v>
      </c>
      <c r="B51" s="153"/>
      <c r="C51" s="154"/>
      <c r="D51" s="99"/>
      <c r="E51" s="252"/>
      <c r="F51" s="252"/>
      <c r="G51" s="252"/>
      <c r="H51" s="252"/>
      <c r="I51" s="252"/>
      <c r="J51" s="252"/>
      <c r="K51" s="252"/>
      <c r="L51" s="252">
        <v>30000</v>
      </c>
      <c r="M51" s="252">
        <v>30000</v>
      </c>
      <c r="N51" s="252">
        <v>30000</v>
      </c>
      <c r="O51" s="252">
        <v>30000</v>
      </c>
      <c r="P51" s="253">
        <v>30000</v>
      </c>
      <c r="Q51" s="102"/>
      <c r="R51" s="252">
        <f t="shared" si="87"/>
        <v>30000</v>
      </c>
      <c r="S51" s="252">
        <f t="shared" si="88"/>
        <v>30000</v>
      </c>
      <c r="T51" s="252">
        <f t="shared" si="88"/>
        <v>30000</v>
      </c>
      <c r="U51" s="252">
        <f t="shared" si="88"/>
        <v>30000</v>
      </c>
      <c r="V51" s="252">
        <f t="shared" si="88"/>
        <v>30000</v>
      </c>
      <c r="W51" s="252">
        <f t="shared" si="88"/>
        <v>30000</v>
      </c>
      <c r="X51" s="252">
        <f t="shared" si="88"/>
        <v>30000</v>
      </c>
      <c r="Y51" s="252">
        <f t="shared" si="88"/>
        <v>30000</v>
      </c>
      <c r="Z51" s="252">
        <f t="shared" si="88"/>
        <v>30000</v>
      </c>
      <c r="AA51" s="252">
        <f t="shared" si="88"/>
        <v>30000</v>
      </c>
      <c r="AB51" s="252">
        <f t="shared" si="88"/>
        <v>30000</v>
      </c>
      <c r="AC51" s="253">
        <f t="shared" si="88"/>
        <v>30000</v>
      </c>
      <c r="AD51" s="102"/>
      <c r="AE51" s="252"/>
      <c r="AF51" s="252"/>
      <c r="AG51" s="252"/>
      <c r="AH51" s="252"/>
      <c r="AI51" s="252"/>
      <c r="AJ51" s="252"/>
      <c r="AK51" s="252"/>
      <c r="AL51" s="252"/>
      <c r="AM51" s="252"/>
      <c r="AN51" s="252"/>
      <c r="AO51" s="252"/>
      <c r="AP51" s="253"/>
      <c r="AQ51" s="103"/>
      <c r="AR51" s="254"/>
      <c r="AS51" s="252"/>
      <c r="AT51" s="252"/>
      <c r="AU51" s="252"/>
      <c r="AV51" s="252"/>
      <c r="AW51" s="252"/>
      <c r="AX51" s="252"/>
      <c r="AY51" s="252"/>
      <c r="AZ51" s="252"/>
      <c r="BA51" s="252"/>
      <c r="BB51" s="252"/>
      <c r="BC51" s="253"/>
      <c r="BD51" s="103"/>
      <c r="BE51" s="254">
        <v>250000</v>
      </c>
      <c r="BF51" s="252">
        <v>250000</v>
      </c>
      <c r="BG51" s="252">
        <v>250000</v>
      </c>
      <c r="BH51" s="252">
        <v>250000</v>
      </c>
      <c r="BI51" s="252">
        <v>250000</v>
      </c>
      <c r="BJ51" s="252">
        <v>250000</v>
      </c>
      <c r="BK51" s="252">
        <v>250000</v>
      </c>
      <c r="BL51" s="252">
        <v>250000</v>
      </c>
      <c r="BM51" s="252">
        <v>250000</v>
      </c>
      <c r="BN51" s="252">
        <v>250000</v>
      </c>
      <c r="BO51" s="252">
        <v>250000</v>
      </c>
      <c r="BP51" s="253">
        <v>250000</v>
      </c>
    </row>
    <row r="52" spans="1:68" ht="15" customHeight="1" thickBot="1">
      <c r="A52" s="249" t="s">
        <v>210</v>
      </c>
      <c r="B52" s="250"/>
      <c r="C52" s="251"/>
      <c r="D52" s="99"/>
      <c r="E52" s="182"/>
      <c r="F52" s="182"/>
      <c r="G52" s="182"/>
      <c r="H52" s="182"/>
      <c r="I52" s="182"/>
      <c r="J52" s="182"/>
      <c r="K52" s="182"/>
      <c r="L52" s="182">
        <v>30000</v>
      </c>
      <c r="M52" s="182">
        <v>30000</v>
      </c>
      <c r="N52" s="182">
        <v>30000</v>
      </c>
      <c r="O52" s="182">
        <v>30000</v>
      </c>
      <c r="P52" s="183">
        <v>30000</v>
      </c>
      <c r="Q52" s="102"/>
      <c r="R52" s="182">
        <f t="shared" si="87"/>
        <v>30000</v>
      </c>
      <c r="S52" s="182">
        <f t="shared" si="88"/>
        <v>30000</v>
      </c>
      <c r="T52" s="182">
        <f t="shared" si="88"/>
        <v>30000</v>
      </c>
      <c r="U52" s="182">
        <f t="shared" si="88"/>
        <v>30000</v>
      </c>
      <c r="V52" s="182">
        <f t="shared" si="88"/>
        <v>30000</v>
      </c>
      <c r="W52" s="182">
        <f t="shared" si="88"/>
        <v>30000</v>
      </c>
      <c r="X52" s="182">
        <f t="shared" si="88"/>
        <v>30000</v>
      </c>
      <c r="Y52" s="182">
        <f t="shared" si="88"/>
        <v>30000</v>
      </c>
      <c r="Z52" s="182">
        <f t="shared" si="88"/>
        <v>30000</v>
      </c>
      <c r="AA52" s="182">
        <f t="shared" si="88"/>
        <v>30000</v>
      </c>
      <c r="AB52" s="182">
        <f t="shared" si="88"/>
        <v>30000</v>
      </c>
      <c r="AC52" s="183">
        <f t="shared" si="88"/>
        <v>30000</v>
      </c>
      <c r="AD52" s="102"/>
      <c r="AE52" s="182"/>
      <c r="AF52" s="182"/>
      <c r="AG52" s="182"/>
      <c r="AH52" s="182"/>
      <c r="AI52" s="182"/>
      <c r="AJ52" s="182"/>
      <c r="AK52" s="182"/>
      <c r="AL52" s="182"/>
      <c r="AM52" s="182"/>
      <c r="AN52" s="182"/>
      <c r="AO52" s="182"/>
      <c r="AP52" s="183"/>
      <c r="AQ52" s="103"/>
      <c r="AR52" s="184"/>
      <c r="AS52" s="182"/>
      <c r="AT52" s="182"/>
      <c r="AU52" s="182"/>
      <c r="AV52" s="182"/>
      <c r="AW52" s="182"/>
      <c r="AX52" s="182"/>
      <c r="AY52" s="182"/>
      <c r="AZ52" s="182"/>
      <c r="BA52" s="182"/>
      <c r="BB52" s="182"/>
      <c r="BC52" s="183"/>
      <c r="BD52" s="103"/>
      <c r="BE52" s="184">
        <v>180000</v>
      </c>
      <c r="BF52" s="182">
        <v>180000</v>
      </c>
      <c r="BG52" s="182">
        <v>180000</v>
      </c>
      <c r="BH52" s="182">
        <v>180000</v>
      </c>
      <c r="BI52" s="182">
        <v>180000</v>
      </c>
      <c r="BJ52" s="182">
        <v>180000</v>
      </c>
      <c r="BK52" s="182">
        <v>180000</v>
      </c>
      <c r="BL52" s="182">
        <v>180000</v>
      </c>
      <c r="BM52" s="182">
        <v>180000</v>
      </c>
      <c r="BN52" s="182">
        <v>180000</v>
      </c>
      <c r="BO52" s="182">
        <v>180000</v>
      </c>
      <c r="BP52" s="183">
        <v>180000</v>
      </c>
    </row>
    <row r="53" spans="1:68" ht="15" customHeight="1" thickTop="1" thickBot="1">
      <c r="A53" s="255" t="s">
        <v>211</v>
      </c>
      <c r="B53" s="256"/>
      <c r="C53" s="257"/>
      <c r="D53" s="99"/>
      <c r="E53" s="258"/>
      <c r="F53" s="258"/>
      <c r="G53" s="258"/>
      <c r="H53" s="258"/>
      <c r="I53" s="258"/>
      <c r="J53" s="258"/>
      <c r="K53" s="258"/>
      <c r="L53" s="258"/>
      <c r="M53" s="258"/>
      <c r="N53" s="258"/>
      <c r="O53" s="258"/>
      <c r="P53" s="259"/>
      <c r="Q53" s="102"/>
      <c r="R53" s="258"/>
      <c r="S53" s="258"/>
      <c r="T53" s="258"/>
      <c r="U53" s="258"/>
      <c r="V53" s="258"/>
      <c r="W53" s="258"/>
      <c r="X53" s="258"/>
      <c r="Y53" s="258"/>
      <c r="Z53" s="258">
        <v>800000</v>
      </c>
      <c r="AA53" s="258"/>
      <c r="AB53" s="258"/>
      <c r="AC53" s="259"/>
      <c r="AD53" s="102"/>
      <c r="AE53" s="258"/>
      <c r="AF53" s="258"/>
      <c r="AG53" s="258"/>
      <c r="AH53" s="258"/>
      <c r="AI53" s="258"/>
      <c r="AJ53" s="258"/>
      <c r="AK53" s="258"/>
      <c r="AL53" s="258"/>
      <c r="AM53" s="258"/>
      <c r="AN53" s="258"/>
      <c r="AO53" s="258"/>
      <c r="AP53" s="259"/>
      <c r="AQ53" s="103"/>
      <c r="AR53" s="260"/>
      <c r="AS53" s="258"/>
      <c r="AT53" s="258"/>
      <c r="AU53" s="258"/>
      <c r="AV53" s="258"/>
      <c r="AW53" s="258"/>
      <c r="AX53" s="258"/>
      <c r="AY53" s="258"/>
      <c r="AZ53" s="258"/>
      <c r="BA53" s="258"/>
      <c r="BB53" s="258"/>
      <c r="BC53" s="259"/>
      <c r="BD53" s="103"/>
      <c r="BE53" s="260"/>
      <c r="BF53" s="258"/>
      <c r="BG53" s="258"/>
      <c r="BH53" s="258"/>
      <c r="BI53" s="258"/>
      <c r="BJ53" s="258">
        <v>2000000</v>
      </c>
      <c r="BK53" s="258"/>
      <c r="BL53" s="258"/>
      <c r="BM53" s="258"/>
      <c r="BN53" s="258"/>
      <c r="BO53" s="258"/>
      <c r="BP53" s="259">
        <v>3000000</v>
      </c>
    </row>
    <row r="54" spans="1:68" ht="15.75" customHeight="1" thickTop="1" thickBot="1">
      <c r="A54" s="255" t="s">
        <v>212</v>
      </c>
      <c r="B54" s="256"/>
      <c r="C54" s="257"/>
      <c r="D54" s="99"/>
      <c r="E54" s="188">
        <f t="shared" ref="E54:P54" si="89">SUM(E38:E52)</f>
        <v>0</v>
      </c>
      <c r="F54" s="188">
        <f t="shared" si="89"/>
        <v>0</v>
      </c>
      <c r="G54" s="188">
        <f t="shared" si="89"/>
        <v>0</v>
      </c>
      <c r="H54" s="188">
        <f t="shared" si="89"/>
        <v>0</v>
      </c>
      <c r="I54" s="188">
        <f t="shared" si="89"/>
        <v>33000</v>
      </c>
      <c r="J54" s="188">
        <f t="shared" si="89"/>
        <v>33000</v>
      </c>
      <c r="K54" s="188">
        <f t="shared" si="89"/>
        <v>159000</v>
      </c>
      <c r="L54" s="188">
        <f t="shared" si="89"/>
        <v>1127000</v>
      </c>
      <c r="M54" s="188">
        <f t="shared" si="89"/>
        <v>1127000</v>
      </c>
      <c r="N54" s="188">
        <f t="shared" si="89"/>
        <v>1101000</v>
      </c>
      <c r="O54" s="188">
        <f t="shared" si="89"/>
        <v>1083000</v>
      </c>
      <c r="P54" s="189">
        <f t="shared" si="89"/>
        <v>1083000</v>
      </c>
      <c r="Q54" s="102"/>
      <c r="R54" s="188">
        <f>SUM(R38:R53)</f>
        <v>1457000</v>
      </c>
      <c r="S54" s="188">
        <f t="shared" ref="S54:AC54" si="90">SUM(S38:S53)</f>
        <v>1457000</v>
      </c>
      <c r="T54" s="188">
        <f t="shared" si="90"/>
        <v>1457000</v>
      </c>
      <c r="U54" s="188">
        <f t="shared" si="90"/>
        <v>1457000</v>
      </c>
      <c r="V54" s="188">
        <f t="shared" si="90"/>
        <v>1457000</v>
      </c>
      <c r="W54" s="188">
        <f t="shared" si="90"/>
        <v>1457000</v>
      </c>
      <c r="X54" s="188">
        <f t="shared" si="90"/>
        <v>1457000</v>
      </c>
      <c r="Y54" s="188">
        <f t="shared" si="90"/>
        <v>1457000</v>
      </c>
      <c r="Z54" s="188">
        <f t="shared" si="90"/>
        <v>2257000</v>
      </c>
      <c r="AA54" s="188">
        <f t="shared" si="90"/>
        <v>1457000</v>
      </c>
      <c r="AB54" s="188">
        <f t="shared" si="90"/>
        <v>1457000</v>
      </c>
      <c r="AC54" s="189">
        <f t="shared" si="90"/>
        <v>1457000</v>
      </c>
      <c r="AD54" s="102"/>
      <c r="AE54" s="188">
        <f t="shared" ref="AE54:AP54" si="91">SUM(AE38:AE52)</f>
        <v>0</v>
      </c>
      <c r="AF54" s="188">
        <f t="shared" si="91"/>
        <v>0</v>
      </c>
      <c r="AG54" s="188">
        <f t="shared" si="91"/>
        <v>0</v>
      </c>
      <c r="AH54" s="188">
        <f t="shared" si="91"/>
        <v>0</v>
      </c>
      <c r="AI54" s="188">
        <f t="shared" si="91"/>
        <v>0</v>
      </c>
      <c r="AJ54" s="188">
        <f t="shared" si="91"/>
        <v>0</v>
      </c>
      <c r="AK54" s="188">
        <f t="shared" si="91"/>
        <v>0</v>
      </c>
      <c r="AL54" s="188">
        <f t="shared" si="91"/>
        <v>0</v>
      </c>
      <c r="AM54" s="188">
        <f t="shared" si="91"/>
        <v>0</v>
      </c>
      <c r="AN54" s="188">
        <f t="shared" si="91"/>
        <v>0</v>
      </c>
      <c r="AO54" s="188">
        <f t="shared" si="91"/>
        <v>0</v>
      </c>
      <c r="AP54" s="189">
        <f t="shared" si="91"/>
        <v>0</v>
      </c>
      <c r="AQ54" s="103"/>
      <c r="AR54" s="190">
        <f t="shared" ref="AR54:BC54" si="92">SUM(AR38:AR52)</f>
        <v>0</v>
      </c>
      <c r="AS54" s="188">
        <f t="shared" si="92"/>
        <v>0</v>
      </c>
      <c r="AT54" s="188">
        <f t="shared" si="92"/>
        <v>0</v>
      </c>
      <c r="AU54" s="188">
        <f t="shared" si="92"/>
        <v>0</v>
      </c>
      <c r="AV54" s="188">
        <f t="shared" si="92"/>
        <v>0</v>
      </c>
      <c r="AW54" s="188">
        <f t="shared" si="92"/>
        <v>0</v>
      </c>
      <c r="AX54" s="188">
        <f t="shared" si="92"/>
        <v>0</v>
      </c>
      <c r="AY54" s="188">
        <f t="shared" si="92"/>
        <v>0</v>
      </c>
      <c r="AZ54" s="188">
        <f t="shared" si="92"/>
        <v>0</v>
      </c>
      <c r="BA54" s="188">
        <f t="shared" si="92"/>
        <v>0</v>
      </c>
      <c r="BB54" s="188">
        <f t="shared" si="92"/>
        <v>0</v>
      </c>
      <c r="BC54" s="189">
        <f t="shared" si="92"/>
        <v>0</v>
      </c>
      <c r="BD54" s="103"/>
      <c r="BE54" s="190">
        <f t="shared" ref="BE54:BP54" si="93">SUM(BE38:BE52)</f>
        <v>2910000</v>
      </c>
      <c r="BF54" s="188">
        <f t="shared" si="93"/>
        <v>2910000</v>
      </c>
      <c r="BG54" s="188">
        <f t="shared" si="93"/>
        <v>2910000</v>
      </c>
      <c r="BH54" s="188">
        <f t="shared" si="93"/>
        <v>2910000</v>
      </c>
      <c r="BI54" s="188">
        <f t="shared" si="93"/>
        <v>2910000</v>
      </c>
      <c r="BJ54" s="188">
        <f t="shared" si="93"/>
        <v>2910000</v>
      </c>
      <c r="BK54" s="188">
        <f t="shared" si="93"/>
        <v>2910000</v>
      </c>
      <c r="BL54" s="188">
        <f t="shared" si="93"/>
        <v>2910000</v>
      </c>
      <c r="BM54" s="188">
        <f t="shared" si="93"/>
        <v>2910000</v>
      </c>
      <c r="BN54" s="188">
        <f t="shared" si="93"/>
        <v>2910000</v>
      </c>
      <c r="BO54" s="188">
        <f t="shared" si="93"/>
        <v>2910000</v>
      </c>
      <c r="BP54" s="189">
        <f t="shared" si="93"/>
        <v>2910000</v>
      </c>
    </row>
    <row r="55" spans="1:68" ht="15.75" customHeight="1" thickTop="1" thickBot="1">
      <c r="A55" s="255" t="s">
        <v>213</v>
      </c>
      <c r="B55" s="256"/>
      <c r="C55" s="257"/>
      <c r="D55" s="99"/>
      <c r="E55" s="261">
        <f>E54*0.1</f>
        <v>0</v>
      </c>
      <c r="F55" s="261">
        <f t="shared" ref="F55:J55" si="94">F54*0.1</f>
        <v>0</v>
      </c>
      <c r="G55" s="261">
        <f t="shared" si="94"/>
        <v>0</v>
      </c>
      <c r="H55" s="261">
        <f t="shared" si="94"/>
        <v>0</v>
      </c>
      <c r="I55" s="261">
        <f t="shared" si="94"/>
        <v>3300</v>
      </c>
      <c r="J55" s="261">
        <f t="shared" si="94"/>
        <v>3300</v>
      </c>
      <c r="K55" s="261">
        <f>K54*0.13</f>
        <v>20670</v>
      </c>
      <c r="L55" s="261">
        <f t="shared" ref="L55:P55" si="95">L54*0.13</f>
        <v>146510</v>
      </c>
      <c r="M55" s="261">
        <f t="shared" si="95"/>
        <v>146510</v>
      </c>
      <c r="N55" s="261">
        <f t="shared" si="95"/>
        <v>143130</v>
      </c>
      <c r="O55" s="261">
        <f t="shared" si="95"/>
        <v>140790</v>
      </c>
      <c r="P55" s="262">
        <f t="shared" si="95"/>
        <v>140790</v>
      </c>
      <c r="Q55" s="102"/>
      <c r="R55" s="261">
        <f>R54*0.13</f>
        <v>189410</v>
      </c>
      <c r="S55" s="261">
        <f t="shared" ref="S55:AC55" si="96">S54*0.13</f>
        <v>189410</v>
      </c>
      <c r="T55" s="261">
        <f t="shared" si="96"/>
        <v>189410</v>
      </c>
      <c r="U55" s="261">
        <f t="shared" si="96"/>
        <v>189410</v>
      </c>
      <c r="V55" s="261">
        <f t="shared" si="96"/>
        <v>189410</v>
      </c>
      <c r="W55" s="261">
        <f t="shared" si="96"/>
        <v>189410</v>
      </c>
      <c r="X55" s="261">
        <f t="shared" si="96"/>
        <v>189410</v>
      </c>
      <c r="Y55" s="261">
        <f t="shared" si="96"/>
        <v>189410</v>
      </c>
      <c r="Z55" s="261">
        <f t="shared" si="96"/>
        <v>293410</v>
      </c>
      <c r="AA55" s="261">
        <f t="shared" si="96"/>
        <v>189410</v>
      </c>
      <c r="AB55" s="261">
        <f t="shared" si="96"/>
        <v>189410</v>
      </c>
      <c r="AC55" s="262">
        <f t="shared" si="96"/>
        <v>189410</v>
      </c>
      <c r="AD55" s="102"/>
      <c r="AE55" s="261">
        <f>AE54*0.1</f>
        <v>0</v>
      </c>
      <c r="AF55" s="261">
        <f t="shared" ref="AF55:AP55" si="97">AF54*0.1</f>
        <v>0</v>
      </c>
      <c r="AG55" s="261">
        <f t="shared" si="97"/>
        <v>0</v>
      </c>
      <c r="AH55" s="261">
        <f t="shared" si="97"/>
        <v>0</v>
      </c>
      <c r="AI55" s="261">
        <f t="shared" si="97"/>
        <v>0</v>
      </c>
      <c r="AJ55" s="261">
        <f t="shared" si="97"/>
        <v>0</v>
      </c>
      <c r="AK55" s="261">
        <f t="shared" si="97"/>
        <v>0</v>
      </c>
      <c r="AL55" s="261">
        <f t="shared" si="97"/>
        <v>0</v>
      </c>
      <c r="AM55" s="261">
        <f t="shared" si="97"/>
        <v>0</v>
      </c>
      <c r="AN55" s="261">
        <f t="shared" si="97"/>
        <v>0</v>
      </c>
      <c r="AO55" s="261">
        <f t="shared" si="97"/>
        <v>0</v>
      </c>
      <c r="AP55" s="262">
        <f t="shared" si="97"/>
        <v>0</v>
      </c>
      <c r="AQ55" s="103"/>
      <c r="AR55" s="263">
        <f>AR54*0.1</f>
        <v>0</v>
      </c>
      <c r="AS55" s="264">
        <f t="shared" ref="AS55:BC55" si="98">AS54*0.1</f>
        <v>0</v>
      </c>
      <c r="AT55" s="264">
        <f t="shared" si="98"/>
        <v>0</v>
      </c>
      <c r="AU55" s="264">
        <f t="shared" si="98"/>
        <v>0</v>
      </c>
      <c r="AV55" s="264">
        <f t="shared" si="98"/>
        <v>0</v>
      </c>
      <c r="AW55" s="264">
        <f t="shared" si="98"/>
        <v>0</v>
      </c>
      <c r="AX55" s="264">
        <f t="shared" si="98"/>
        <v>0</v>
      </c>
      <c r="AY55" s="261">
        <f t="shared" si="98"/>
        <v>0</v>
      </c>
      <c r="AZ55" s="261">
        <f t="shared" si="98"/>
        <v>0</v>
      </c>
      <c r="BA55" s="261">
        <f t="shared" si="98"/>
        <v>0</v>
      </c>
      <c r="BB55" s="261">
        <f t="shared" si="98"/>
        <v>0</v>
      </c>
      <c r="BC55" s="262">
        <f t="shared" si="98"/>
        <v>0</v>
      </c>
      <c r="BD55" s="103"/>
      <c r="BE55" s="263">
        <f>BE54*0.1</f>
        <v>291000</v>
      </c>
      <c r="BF55" s="264">
        <f t="shared" ref="BF55:BP55" si="99">BF54*0.1</f>
        <v>291000</v>
      </c>
      <c r="BG55" s="264">
        <f t="shared" si="99"/>
        <v>291000</v>
      </c>
      <c r="BH55" s="264">
        <f t="shared" si="99"/>
        <v>291000</v>
      </c>
      <c r="BI55" s="264">
        <f t="shared" si="99"/>
        <v>291000</v>
      </c>
      <c r="BJ55" s="264">
        <f t="shared" si="99"/>
        <v>291000</v>
      </c>
      <c r="BK55" s="264">
        <f t="shared" si="99"/>
        <v>291000</v>
      </c>
      <c r="BL55" s="261">
        <f t="shared" si="99"/>
        <v>291000</v>
      </c>
      <c r="BM55" s="261">
        <f t="shared" si="99"/>
        <v>291000</v>
      </c>
      <c r="BN55" s="261">
        <f t="shared" si="99"/>
        <v>291000</v>
      </c>
      <c r="BO55" s="261">
        <f t="shared" si="99"/>
        <v>291000</v>
      </c>
      <c r="BP55" s="262">
        <f t="shared" si="99"/>
        <v>291000</v>
      </c>
    </row>
    <row r="56" spans="1:68" ht="15.75" customHeight="1" thickTop="1" thickBot="1">
      <c r="A56" s="265" t="s">
        <v>214</v>
      </c>
      <c r="B56" s="266"/>
      <c r="C56" s="267"/>
      <c r="D56" s="99"/>
      <c r="E56" s="268">
        <f>E54+E55</f>
        <v>0</v>
      </c>
      <c r="F56" s="268">
        <f t="shared" ref="F56:P56" si="100">F54+F55</f>
        <v>0</v>
      </c>
      <c r="G56" s="268">
        <f t="shared" si="100"/>
        <v>0</v>
      </c>
      <c r="H56" s="268">
        <f t="shared" si="100"/>
        <v>0</v>
      </c>
      <c r="I56" s="268">
        <f t="shared" si="100"/>
        <v>36300</v>
      </c>
      <c r="J56" s="268">
        <f t="shared" si="100"/>
        <v>36300</v>
      </c>
      <c r="K56" s="268">
        <f t="shared" si="100"/>
        <v>179670</v>
      </c>
      <c r="L56" s="268">
        <f t="shared" si="100"/>
        <v>1273510</v>
      </c>
      <c r="M56" s="268">
        <f t="shared" si="100"/>
        <v>1273510</v>
      </c>
      <c r="N56" s="268">
        <f t="shared" si="100"/>
        <v>1244130</v>
      </c>
      <c r="O56" s="268">
        <f t="shared" si="100"/>
        <v>1223790</v>
      </c>
      <c r="P56" s="269">
        <f t="shared" si="100"/>
        <v>1223790</v>
      </c>
      <c r="Q56" s="102"/>
      <c r="R56" s="268">
        <f>R54+R55</f>
        <v>1646410</v>
      </c>
      <c r="S56" s="268">
        <f t="shared" ref="S56:AC56" si="101">S54+S55</f>
        <v>1646410</v>
      </c>
      <c r="T56" s="268">
        <f t="shared" si="101"/>
        <v>1646410</v>
      </c>
      <c r="U56" s="268">
        <f t="shared" si="101"/>
        <v>1646410</v>
      </c>
      <c r="V56" s="268">
        <f t="shared" si="101"/>
        <v>1646410</v>
      </c>
      <c r="W56" s="268">
        <f t="shared" si="101"/>
        <v>1646410</v>
      </c>
      <c r="X56" s="268">
        <f t="shared" si="101"/>
        <v>1646410</v>
      </c>
      <c r="Y56" s="268">
        <f t="shared" si="101"/>
        <v>1646410</v>
      </c>
      <c r="Z56" s="268">
        <f t="shared" si="101"/>
        <v>2550410</v>
      </c>
      <c r="AA56" s="268">
        <f t="shared" si="101"/>
        <v>1646410</v>
      </c>
      <c r="AB56" s="268">
        <f t="shared" si="101"/>
        <v>1646410</v>
      </c>
      <c r="AC56" s="269">
        <f t="shared" si="101"/>
        <v>1646410</v>
      </c>
      <c r="AD56" s="102"/>
      <c r="AE56" s="268">
        <f>AE54+AE55</f>
        <v>0</v>
      </c>
      <c r="AF56" s="268">
        <f t="shared" ref="AF56:AP56" si="102">AF54+AF55</f>
        <v>0</v>
      </c>
      <c r="AG56" s="268">
        <f t="shared" si="102"/>
        <v>0</v>
      </c>
      <c r="AH56" s="268">
        <f t="shared" si="102"/>
        <v>0</v>
      </c>
      <c r="AI56" s="268">
        <f t="shared" si="102"/>
        <v>0</v>
      </c>
      <c r="AJ56" s="268">
        <f t="shared" si="102"/>
        <v>0</v>
      </c>
      <c r="AK56" s="268">
        <f t="shared" si="102"/>
        <v>0</v>
      </c>
      <c r="AL56" s="268">
        <f t="shared" si="102"/>
        <v>0</v>
      </c>
      <c r="AM56" s="268">
        <f t="shared" si="102"/>
        <v>0</v>
      </c>
      <c r="AN56" s="268">
        <f t="shared" si="102"/>
        <v>0</v>
      </c>
      <c r="AO56" s="268">
        <f t="shared" si="102"/>
        <v>0</v>
      </c>
      <c r="AP56" s="269">
        <f t="shared" si="102"/>
        <v>0</v>
      </c>
      <c r="AQ56" s="270"/>
      <c r="AR56" s="271">
        <f>AR54+AR55</f>
        <v>0</v>
      </c>
      <c r="AS56" s="268">
        <f t="shared" ref="AS56:BC56" si="103">AS54+AS55</f>
        <v>0</v>
      </c>
      <c r="AT56" s="268">
        <f t="shared" si="103"/>
        <v>0</v>
      </c>
      <c r="AU56" s="268">
        <f t="shared" si="103"/>
        <v>0</v>
      </c>
      <c r="AV56" s="268">
        <f t="shared" si="103"/>
        <v>0</v>
      </c>
      <c r="AW56" s="268">
        <f t="shared" si="103"/>
        <v>0</v>
      </c>
      <c r="AX56" s="268">
        <f t="shared" si="103"/>
        <v>0</v>
      </c>
      <c r="AY56" s="268">
        <f t="shared" si="103"/>
        <v>0</v>
      </c>
      <c r="AZ56" s="268">
        <f t="shared" si="103"/>
        <v>0</v>
      </c>
      <c r="BA56" s="268">
        <f t="shared" si="103"/>
        <v>0</v>
      </c>
      <c r="BB56" s="268">
        <f t="shared" si="103"/>
        <v>0</v>
      </c>
      <c r="BC56" s="269">
        <f t="shared" si="103"/>
        <v>0</v>
      </c>
      <c r="BD56" s="270"/>
      <c r="BE56" s="271">
        <f>BE54+BE55</f>
        <v>3201000</v>
      </c>
      <c r="BF56" s="268">
        <f t="shared" ref="BF56:BP56" si="104">BF54+BF55</f>
        <v>3201000</v>
      </c>
      <c r="BG56" s="268">
        <f t="shared" si="104"/>
        <v>3201000</v>
      </c>
      <c r="BH56" s="268">
        <f t="shared" si="104"/>
        <v>3201000</v>
      </c>
      <c r="BI56" s="268">
        <f t="shared" si="104"/>
        <v>3201000</v>
      </c>
      <c r="BJ56" s="268">
        <f t="shared" si="104"/>
        <v>3201000</v>
      </c>
      <c r="BK56" s="268">
        <f t="shared" si="104"/>
        <v>3201000</v>
      </c>
      <c r="BL56" s="268">
        <f t="shared" si="104"/>
        <v>3201000</v>
      </c>
      <c r="BM56" s="268">
        <f t="shared" si="104"/>
        <v>3201000</v>
      </c>
      <c r="BN56" s="268">
        <f t="shared" si="104"/>
        <v>3201000</v>
      </c>
      <c r="BO56" s="268">
        <f t="shared" si="104"/>
        <v>3201000</v>
      </c>
      <c r="BP56" s="269">
        <f t="shared" si="104"/>
        <v>3201000</v>
      </c>
    </row>
    <row r="57" spans="1:68" ht="8.25" customHeight="1" thickBot="1">
      <c r="A57" s="226"/>
      <c r="B57" s="227"/>
      <c r="C57" s="228"/>
      <c r="D57" s="99"/>
      <c r="E57" s="229"/>
      <c r="F57" s="229"/>
      <c r="G57" s="229"/>
      <c r="H57" s="229"/>
      <c r="I57" s="229"/>
      <c r="J57" s="229"/>
      <c r="K57" s="229"/>
      <c r="L57" s="229"/>
      <c r="M57" s="229"/>
      <c r="N57" s="229"/>
      <c r="O57" s="229"/>
      <c r="P57" s="230"/>
      <c r="Q57" s="102"/>
      <c r="R57" s="229"/>
      <c r="S57" s="229"/>
      <c r="T57" s="229"/>
      <c r="U57" s="229"/>
      <c r="V57" s="229"/>
      <c r="W57" s="229"/>
      <c r="X57" s="229"/>
      <c r="Y57" s="229"/>
      <c r="Z57" s="229"/>
      <c r="AA57" s="229"/>
      <c r="AB57" s="229"/>
      <c r="AC57" s="230"/>
      <c r="AD57" s="102"/>
      <c r="AE57" s="229"/>
      <c r="AF57" s="229"/>
      <c r="AG57" s="229"/>
      <c r="AH57" s="229"/>
      <c r="AI57" s="229"/>
      <c r="AJ57" s="229"/>
      <c r="AK57" s="229"/>
      <c r="AL57" s="229"/>
      <c r="AM57" s="229"/>
      <c r="AN57" s="229"/>
      <c r="AO57" s="229"/>
      <c r="AP57" s="230"/>
      <c r="AQ57" s="272"/>
      <c r="AR57" s="231"/>
      <c r="AS57" s="232"/>
      <c r="AT57" s="232"/>
      <c r="AU57" s="232"/>
      <c r="AV57" s="232"/>
      <c r="AW57" s="232"/>
      <c r="AX57" s="232"/>
      <c r="AY57" s="232"/>
      <c r="AZ57" s="232"/>
      <c r="BA57" s="232"/>
      <c r="BB57" s="232"/>
      <c r="BC57" s="233"/>
      <c r="BE57" s="231"/>
      <c r="BF57" s="232"/>
      <c r="BG57" s="232"/>
      <c r="BH57" s="232"/>
      <c r="BI57" s="232"/>
      <c r="BJ57" s="232"/>
      <c r="BK57" s="232"/>
      <c r="BL57" s="232"/>
      <c r="BM57" s="232"/>
      <c r="BN57" s="232"/>
      <c r="BO57" s="232"/>
      <c r="BP57" s="233"/>
    </row>
    <row r="58" spans="1:68" ht="12.75" customHeight="1">
      <c r="A58" s="273" t="s">
        <v>215</v>
      </c>
      <c r="B58" s="274"/>
      <c r="C58" s="275"/>
      <c r="D58" s="99"/>
      <c r="E58" s="238"/>
      <c r="F58" s="238"/>
      <c r="G58" s="238"/>
      <c r="H58" s="238"/>
      <c r="I58" s="238"/>
      <c r="J58" s="238"/>
      <c r="K58" s="238">
        <v>43000</v>
      </c>
      <c r="L58" s="238">
        <v>43000</v>
      </c>
      <c r="M58" s="238">
        <v>43000</v>
      </c>
      <c r="N58" s="238">
        <v>43000</v>
      </c>
      <c r="O58" s="238">
        <v>43000</v>
      </c>
      <c r="P58" s="239">
        <v>43000</v>
      </c>
      <c r="Q58" s="102"/>
      <c r="R58" s="238">
        <f>P58</f>
        <v>43000</v>
      </c>
      <c r="S58" s="238">
        <f>R58</f>
        <v>43000</v>
      </c>
      <c r="T58" s="238">
        <f t="shared" ref="T58:AC59" si="105">S58</f>
        <v>43000</v>
      </c>
      <c r="U58" s="238">
        <f t="shared" si="105"/>
        <v>43000</v>
      </c>
      <c r="V58" s="238">
        <f t="shared" si="105"/>
        <v>43000</v>
      </c>
      <c r="W58" s="238">
        <f t="shared" si="105"/>
        <v>43000</v>
      </c>
      <c r="X58" s="238">
        <f t="shared" si="105"/>
        <v>43000</v>
      </c>
      <c r="Y58" s="238">
        <f t="shared" si="105"/>
        <v>43000</v>
      </c>
      <c r="Z58" s="238">
        <f t="shared" si="105"/>
        <v>43000</v>
      </c>
      <c r="AA58" s="238">
        <f t="shared" si="105"/>
        <v>43000</v>
      </c>
      <c r="AB58" s="238">
        <f t="shared" si="105"/>
        <v>43000</v>
      </c>
      <c r="AC58" s="239">
        <f t="shared" si="105"/>
        <v>43000</v>
      </c>
      <c r="AD58" s="102"/>
      <c r="AE58" s="238"/>
      <c r="AF58" s="238"/>
      <c r="AG58" s="238"/>
      <c r="AH58" s="238"/>
      <c r="AI58" s="238"/>
      <c r="AJ58" s="238"/>
      <c r="AK58" s="238">
        <v>43000</v>
      </c>
      <c r="AL58" s="238">
        <v>43000</v>
      </c>
      <c r="AM58" s="238">
        <v>43000</v>
      </c>
      <c r="AN58" s="238">
        <v>43000</v>
      </c>
      <c r="AO58" s="238">
        <v>43000</v>
      </c>
      <c r="AP58" s="239">
        <v>43000</v>
      </c>
      <c r="AR58" s="276"/>
      <c r="AS58" s="276"/>
      <c r="AT58" s="276"/>
      <c r="AU58" s="276"/>
      <c r="AV58" s="276"/>
      <c r="AW58" s="276"/>
      <c r="AX58" s="238">
        <v>43000</v>
      </c>
      <c r="AY58" s="276">
        <v>43000</v>
      </c>
      <c r="AZ58" s="276">
        <v>43000</v>
      </c>
      <c r="BA58" s="276">
        <v>43000</v>
      </c>
      <c r="BB58" s="276">
        <v>43000</v>
      </c>
      <c r="BC58" s="277">
        <v>43000</v>
      </c>
    </row>
    <row r="59" spans="1:68" ht="12.75" customHeight="1">
      <c r="A59" s="278" t="s">
        <v>217</v>
      </c>
      <c r="B59" s="279"/>
      <c r="C59" s="280"/>
      <c r="D59" s="99"/>
      <c r="E59" s="173"/>
      <c r="F59" s="173"/>
      <c r="G59" s="173"/>
      <c r="H59" s="173"/>
      <c r="I59" s="173"/>
      <c r="J59" s="173">
        <v>7000</v>
      </c>
      <c r="K59" s="173">
        <v>10000</v>
      </c>
      <c r="L59" s="173">
        <v>15000</v>
      </c>
      <c r="M59" s="173">
        <v>15000</v>
      </c>
      <c r="N59" s="173">
        <v>15000</v>
      </c>
      <c r="O59" s="173">
        <v>15000</v>
      </c>
      <c r="P59" s="174">
        <v>15000</v>
      </c>
      <c r="Q59" s="102"/>
      <c r="R59" s="173">
        <f>P59</f>
        <v>15000</v>
      </c>
      <c r="S59" s="173">
        <f>R59</f>
        <v>15000</v>
      </c>
      <c r="T59" s="173">
        <f t="shared" si="105"/>
        <v>15000</v>
      </c>
      <c r="U59" s="173">
        <f t="shared" si="105"/>
        <v>15000</v>
      </c>
      <c r="V59" s="173">
        <f t="shared" si="105"/>
        <v>15000</v>
      </c>
      <c r="W59" s="173">
        <f t="shared" si="105"/>
        <v>15000</v>
      </c>
      <c r="X59" s="173">
        <f t="shared" si="105"/>
        <v>15000</v>
      </c>
      <c r="Y59" s="173">
        <f t="shared" si="105"/>
        <v>15000</v>
      </c>
      <c r="Z59" s="173">
        <f t="shared" si="105"/>
        <v>15000</v>
      </c>
      <c r="AA59" s="173">
        <f t="shared" si="105"/>
        <v>15000</v>
      </c>
      <c r="AB59" s="173">
        <f t="shared" si="105"/>
        <v>15000</v>
      </c>
      <c r="AC59" s="174">
        <f t="shared" si="105"/>
        <v>15000</v>
      </c>
      <c r="AD59" s="102"/>
      <c r="AE59" s="173"/>
      <c r="AF59" s="173"/>
      <c r="AG59" s="173"/>
      <c r="AH59" s="173"/>
      <c r="AI59" s="173"/>
      <c r="AJ59" s="173"/>
      <c r="AK59" s="173"/>
      <c r="AL59" s="173"/>
      <c r="AM59" s="173"/>
      <c r="AN59" s="173"/>
      <c r="AO59" s="173"/>
      <c r="AP59" s="174"/>
      <c r="AR59" s="219"/>
      <c r="AS59" s="219"/>
      <c r="AT59" s="219"/>
      <c r="AU59" s="219"/>
      <c r="AV59" s="219"/>
      <c r="AW59" s="219"/>
      <c r="AX59" s="219"/>
      <c r="AY59" s="219"/>
      <c r="AZ59" s="219"/>
      <c r="BA59" s="219"/>
      <c r="BB59" s="219"/>
      <c r="BC59" s="220"/>
    </row>
    <row r="60" spans="1:68" ht="12.75" customHeight="1">
      <c r="A60" s="278" t="s">
        <v>219</v>
      </c>
      <c r="B60" s="279"/>
      <c r="C60" s="280"/>
      <c r="D60" s="99"/>
      <c r="E60" s="252"/>
      <c r="F60" s="252"/>
      <c r="G60" s="252"/>
      <c r="H60" s="252"/>
      <c r="I60" s="252"/>
      <c r="J60" s="252">
        <v>35000</v>
      </c>
      <c r="K60" s="252">
        <v>35000</v>
      </c>
      <c r="L60" s="252">
        <v>35000</v>
      </c>
      <c r="M60" s="252">
        <v>35000</v>
      </c>
      <c r="N60" s="252">
        <v>35000</v>
      </c>
      <c r="O60" s="252">
        <v>35000</v>
      </c>
      <c r="P60" s="253">
        <v>35000</v>
      </c>
      <c r="Q60" s="102"/>
      <c r="R60" s="252">
        <v>35000</v>
      </c>
      <c r="S60" s="252">
        <v>35000</v>
      </c>
      <c r="T60" s="252">
        <v>35000</v>
      </c>
      <c r="U60" s="252">
        <v>35000</v>
      </c>
      <c r="V60" s="252">
        <v>35000</v>
      </c>
      <c r="W60" s="252">
        <v>35000</v>
      </c>
      <c r="X60" s="252">
        <v>35000</v>
      </c>
      <c r="Y60" s="252">
        <v>35000</v>
      </c>
      <c r="Z60" s="252">
        <v>35000</v>
      </c>
      <c r="AA60" s="252">
        <v>35000</v>
      </c>
      <c r="AB60" s="252">
        <v>35000</v>
      </c>
      <c r="AC60" s="253">
        <v>35000</v>
      </c>
      <c r="AD60" s="102"/>
      <c r="AE60" s="252"/>
      <c r="AF60" s="252"/>
      <c r="AG60" s="252"/>
      <c r="AH60" s="252"/>
      <c r="AI60" s="252"/>
      <c r="AJ60" s="252"/>
      <c r="AK60" s="252"/>
      <c r="AL60" s="252"/>
      <c r="AM60" s="252"/>
      <c r="AN60" s="252"/>
      <c r="AO60" s="252"/>
      <c r="AP60" s="253"/>
      <c r="AR60" s="281"/>
      <c r="AS60" s="281"/>
      <c r="AT60" s="281"/>
      <c r="AU60" s="281"/>
      <c r="AV60" s="281"/>
      <c r="AW60" s="281"/>
      <c r="AX60" s="281"/>
      <c r="AY60" s="281"/>
      <c r="AZ60" s="281"/>
      <c r="BA60" s="281"/>
      <c r="BB60" s="281"/>
      <c r="BC60" s="282"/>
    </row>
    <row r="61" spans="1:68" ht="12.75" customHeight="1" thickBot="1">
      <c r="A61" s="283" t="s">
        <v>221</v>
      </c>
      <c r="B61" s="284"/>
      <c r="C61" s="285"/>
      <c r="D61" s="99"/>
      <c r="E61" s="182"/>
      <c r="F61" s="182"/>
      <c r="G61" s="182"/>
      <c r="H61" s="182"/>
      <c r="I61" s="182"/>
      <c r="J61" s="182">
        <v>30000</v>
      </c>
      <c r="K61" s="182">
        <v>20000</v>
      </c>
      <c r="L61" s="182">
        <v>20000</v>
      </c>
      <c r="M61" s="182">
        <v>20000</v>
      </c>
      <c r="N61" s="182">
        <v>20000</v>
      </c>
      <c r="O61" s="182">
        <v>20000</v>
      </c>
      <c r="P61" s="183">
        <v>20000</v>
      </c>
      <c r="Q61" s="102"/>
      <c r="R61" s="182">
        <f>P61</f>
        <v>20000</v>
      </c>
      <c r="S61" s="182">
        <f>R61</f>
        <v>20000</v>
      </c>
      <c r="T61" s="182">
        <f t="shared" ref="T61:AC61" si="106">S61</f>
        <v>20000</v>
      </c>
      <c r="U61" s="182">
        <f t="shared" si="106"/>
        <v>20000</v>
      </c>
      <c r="V61" s="182">
        <f t="shared" si="106"/>
        <v>20000</v>
      </c>
      <c r="W61" s="182">
        <f t="shared" si="106"/>
        <v>20000</v>
      </c>
      <c r="X61" s="182">
        <f t="shared" si="106"/>
        <v>20000</v>
      </c>
      <c r="Y61" s="182">
        <f t="shared" si="106"/>
        <v>20000</v>
      </c>
      <c r="Z61" s="182">
        <f t="shared" si="106"/>
        <v>20000</v>
      </c>
      <c r="AA61" s="182">
        <f t="shared" si="106"/>
        <v>20000</v>
      </c>
      <c r="AB61" s="182">
        <f t="shared" si="106"/>
        <v>20000</v>
      </c>
      <c r="AC61" s="183">
        <f t="shared" si="106"/>
        <v>20000</v>
      </c>
      <c r="AD61" s="102"/>
      <c r="AE61" s="182"/>
      <c r="AF61" s="182"/>
      <c r="AG61" s="182"/>
      <c r="AH61" s="182"/>
      <c r="AI61" s="182"/>
      <c r="AJ61" s="182"/>
      <c r="AK61" s="182"/>
      <c r="AL61" s="182"/>
      <c r="AM61" s="182"/>
      <c r="AN61" s="182"/>
      <c r="AO61" s="182"/>
      <c r="AP61" s="183"/>
      <c r="AR61" s="286"/>
      <c r="AS61" s="286"/>
      <c r="AT61" s="286"/>
      <c r="AU61" s="286"/>
      <c r="AV61" s="286"/>
      <c r="AW61" s="286"/>
      <c r="AX61" s="286"/>
      <c r="AY61" s="286"/>
      <c r="AZ61" s="286"/>
      <c r="BA61" s="286"/>
      <c r="BB61" s="286"/>
      <c r="BC61" s="287"/>
    </row>
    <row r="62" spans="1:68" ht="20.25" customHeight="1" thickTop="1" thickBot="1">
      <c r="A62" s="288" t="s">
        <v>222</v>
      </c>
      <c r="B62" s="289"/>
      <c r="C62" s="290"/>
      <c r="D62" s="291"/>
      <c r="E62" s="261">
        <f t="shared" ref="E62:O62" si="107">SUM(E58:E61)</f>
        <v>0</v>
      </c>
      <c r="F62" s="261">
        <f t="shared" si="107"/>
        <v>0</v>
      </c>
      <c r="G62" s="261">
        <f t="shared" si="107"/>
        <v>0</v>
      </c>
      <c r="H62" s="261">
        <f t="shared" si="107"/>
        <v>0</v>
      </c>
      <c r="I62" s="261">
        <f t="shared" si="107"/>
        <v>0</v>
      </c>
      <c r="J62" s="261">
        <f t="shared" si="107"/>
        <v>72000</v>
      </c>
      <c r="K62" s="261">
        <f t="shared" si="107"/>
        <v>108000</v>
      </c>
      <c r="L62" s="261">
        <f t="shared" si="107"/>
        <v>113000</v>
      </c>
      <c r="M62" s="261">
        <f t="shared" si="107"/>
        <v>113000</v>
      </c>
      <c r="N62" s="261">
        <f t="shared" si="107"/>
        <v>113000</v>
      </c>
      <c r="O62" s="261">
        <f t="shared" si="107"/>
        <v>113000</v>
      </c>
      <c r="P62" s="262">
        <f>SUM(P58:P61)</f>
        <v>113000</v>
      </c>
      <c r="Q62" s="292"/>
      <c r="R62" s="261">
        <f>SUM(R58:R61)</f>
        <v>113000</v>
      </c>
      <c r="S62" s="261">
        <f>SUM(S58:S61)</f>
        <v>113000</v>
      </c>
      <c r="T62" s="261">
        <f t="shared" ref="T62:AC62" si="108">SUM(T58:T61)</f>
        <v>113000</v>
      </c>
      <c r="U62" s="261">
        <f t="shared" si="108"/>
        <v>113000</v>
      </c>
      <c r="V62" s="261">
        <f t="shared" si="108"/>
        <v>113000</v>
      </c>
      <c r="W62" s="261">
        <f t="shared" si="108"/>
        <v>113000</v>
      </c>
      <c r="X62" s="261">
        <f t="shared" si="108"/>
        <v>113000</v>
      </c>
      <c r="Y62" s="261">
        <f t="shared" si="108"/>
        <v>113000</v>
      </c>
      <c r="Z62" s="261">
        <f t="shared" si="108"/>
        <v>113000</v>
      </c>
      <c r="AA62" s="261">
        <f t="shared" si="108"/>
        <v>113000</v>
      </c>
      <c r="AB62" s="261">
        <f t="shared" si="108"/>
        <v>113000</v>
      </c>
      <c r="AC62" s="262">
        <f t="shared" si="108"/>
        <v>113000</v>
      </c>
      <c r="AD62" s="292"/>
      <c r="AE62" s="261"/>
      <c r="AF62" s="261"/>
      <c r="AG62" s="261"/>
      <c r="AH62" s="261"/>
      <c r="AI62" s="261"/>
      <c r="AJ62" s="261"/>
      <c r="AK62" s="261"/>
      <c r="AL62" s="261"/>
      <c r="AM62" s="261"/>
      <c r="AN62" s="261"/>
      <c r="AO62" s="261"/>
      <c r="AP62" s="262"/>
      <c r="AR62" s="264"/>
      <c r="AS62" s="264"/>
      <c r="AT62" s="264"/>
      <c r="AU62" s="264"/>
      <c r="AV62" s="264"/>
      <c r="AW62" s="264"/>
      <c r="AX62" s="264"/>
      <c r="AY62" s="264"/>
      <c r="AZ62" s="264"/>
      <c r="BA62" s="264"/>
      <c r="BB62" s="264"/>
      <c r="BC62" s="293"/>
    </row>
  </sheetData>
  <mergeCells count="93">
    <mergeCell ref="A59:C59"/>
    <mergeCell ref="A60:C60"/>
    <mergeCell ref="A61:C61"/>
    <mergeCell ref="A62:C62"/>
    <mergeCell ref="A52:C52"/>
    <mergeCell ref="A53:C53"/>
    <mergeCell ref="A54:C54"/>
    <mergeCell ref="A55:C55"/>
    <mergeCell ref="A56:C56"/>
    <mergeCell ref="A58:C58"/>
    <mergeCell ref="A46:C46"/>
    <mergeCell ref="A47:C47"/>
    <mergeCell ref="A48:C48"/>
    <mergeCell ref="A49:C49"/>
    <mergeCell ref="A50:C50"/>
    <mergeCell ref="A51:C51"/>
    <mergeCell ref="A40:C40"/>
    <mergeCell ref="A41:C41"/>
    <mergeCell ref="A42:C42"/>
    <mergeCell ref="A43:C43"/>
    <mergeCell ref="A44:C44"/>
    <mergeCell ref="A45:C45"/>
    <mergeCell ref="BK38:BK39"/>
    <mergeCell ref="BL38:BL39"/>
    <mergeCell ref="BM38:BM39"/>
    <mergeCell ref="BN38:BN39"/>
    <mergeCell ref="BO38:BO39"/>
    <mergeCell ref="BP38:BP39"/>
    <mergeCell ref="BE38:BE39"/>
    <mergeCell ref="BF38:BF39"/>
    <mergeCell ref="BG38:BG39"/>
    <mergeCell ref="BH38:BH39"/>
    <mergeCell ref="BI38:BI39"/>
    <mergeCell ref="BJ38:BJ39"/>
    <mergeCell ref="AX38:AX39"/>
    <mergeCell ref="AY38:AY39"/>
    <mergeCell ref="AZ38:AZ39"/>
    <mergeCell ref="BA38:BA39"/>
    <mergeCell ref="BB38:BB39"/>
    <mergeCell ref="BC38:BC39"/>
    <mergeCell ref="A35:C35"/>
    <mergeCell ref="A36:C36"/>
    <mergeCell ref="A38:C38"/>
    <mergeCell ref="AR38:AR39"/>
    <mergeCell ref="AS38:AS39"/>
    <mergeCell ref="AT38:AT39"/>
    <mergeCell ref="A39:C39"/>
    <mergeCell ref="A28:C28"/>
    <mergeCell ref="A29:C29"/>
    <mergeCell ref="A31:C31"/>
    <mergeCell ref="A32:C32"/>
    <mergeCell ref="A33:C33"/>
    <mergeCell ref="A34:C34"/>
    <mergeCell ref="A22:C22"/>
    <mergeCell ref="A23:C23"/>
    <mergeCell ref="A24:C24"/>
    <mergeCell ref="A25:C25"/>
    <mergeCell ref="A26:C26"/>
    <mergeCell ref="A27:C27"/>
    <mergeCell ref="A16:C16"/>
    <mergeCell ref="A17:C17"/>
    <mergeCell ref="A18:C18"/>
    <mergeCell ref="A19:C19"/>
    <mergeCell ref="A20:C20"/>
    <mergeCell ref="A21:C21"/>
    <mergeCell ref="A10:C10"/>
    <mergeCell ref="A11:C11"/>
    <mergeCell ref="A12:C12"/>
    <mergeCell ref="A13:C13"/>
    <mergeCell ref="A14:C14"/>
    <mergeCell ref="A15:C15"/>
    <mergeCell ref="A4:C4"/>
    <mergeCell ref="A5:C5"/>
    <mergeCell ref="A6:C6"/>
    <mergeCell ref="A7:C7"/>
    <mergeCell ref="A8:C8"/>
    <mergeCell ref="A9:C9"/>
    <mergeCell ref="AQ2:BC2"/>
    <mergeCell ref="BD2:BP2"/>
    <mergeCell ref="D3:D62"/>
    <mergeCell ref="Q3:Q62"/>
    <mergeCell ref="AD3:AD62"/>
    <mergeCell ref="AQ3:AQ56"/>
    <mergeCell ref="BD3:BD56"/>
    <mergeCell ref="AU38:AU39"/>
    <mergeCell ref="AV38:AV39"/>
    <mergeCell ref="AW38:AW39"/>
    <mergeCell ref="A1:P1"/>
    <mergeCell ref="Q1:AC1"/>
    <mergeCell ref="A2:C3"/>
    <mergeCell ref="D2:P2"/>
    <mergeCell ref="Q2:AC2"/>
    <mergeCell ref="AD2:AP2"/>
  </mergeCells>
  <phoneticPr fontId="3"/>
  <pageMargins left="0.23622047244094491" right="0.23622047244094491" top="0.74803149606299213" bottom="0.74803149606299213" header="0.31496062992125984" footer="0.31496062992125984"/>
  <pageSetup paperSize="9" fitToWidth="5" orientation="portrait" horizontalDpi="1200" verticalDpi="1200" r:id="rId1"/>
  <colBreaks count="4" manualBreakCount="4">
    <brk id="16" max="59" man="1"/>
    <brk id="29" max="59" man="1"/>
    <brk id="42" max="59" man="1"/>
    <brk id="55" max="59"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FE9B0-8269-48E3-B70E-9E62DE9FA561}">
  <sheetPr>
    <tabColor theme="1"/>
    <pageSetUpPr fitToPage="1"/>
  </sheetPr>
  <dimension ref="A1:BA100"/>
  <sheetViews>
    <sheetView view="pageBreakPreview" zoomScale="160" zoomScaleNormal="130" zoomScaleSheetLayoutView="160" workbookViewId="0">
      <pane xSplit="3" ySplit="2" topLeftCell="F3" activePane="bottomRight" state="frozen"/>
      <selection activeCell="L20" sqref="L20:P20"/>
      <selection pane="topRight" activeCell="L20" sqref="L20:P20"/>
      <selection pane="bottomLeft" activeCell="L20" sqref="L20:P20"/>
      <selection pane="bottomRight" activeCell="C18" sqref="C18"/>
    </sheetView>
  </sheetViews>
  <sheetFormatPr defaultColWidth="9" defaultRowHeight="12" outlineLevelCol="1"/>
  <cols>
    <col min="1" max="1" width="1" style="325" customWidth="1"/>
    <col min="2" max="2" width="2.875" style="325" customWidth="1"/>
    <col min="3" max="3" width="13.5" style="325" customWidth="1"/>
    <col min="4" max="15" width="4.875" style="325" customWidth="1" outlineLevel="1"/>
    <col min="16" max="16" width="6.25" style="325" customWidth="1"/>
    <col min="17" max="17" width="5.625" style="407" customWidth="1"/>
    <col min="18" max="18" width="1" style="325" customWidth="1"/>
    <col min="19" max="19" width="1.75" style="325" customWidth="1"/>
    <col min="20" max="20" width="2.875" style="325" customWidth="1"/>
    <col min="21" max="21" width="12.375" style="325" customWidth="1"/>
    <col min="22" max="33" width="4.5" style="325" customWidth="1"/>
    <col min="34" max="34" width="7.125" style="325" customWidth="1"/>
    <col min="35" max="35" width="6.375" style="407" customWidth="1"/>
    <col min="36" max="37" width="1.75" style="325" customWidth="1"/>
    <col min="38" max="38" width="2.875" style="325" customWidth="1"/>
    <col min="39" max="39" width="14.375" style="325" customWidth="1"/>
    <col min="40" max="51" width="5.5" style="325" customWidth="1"/>
    <col min="52" max="52" width="7.5" style="325" customWidth="1"/>
    <col min="53" max="53" width="7.125" style="407" customWidth="1"/>
    <col min="54" max="54" width="0" style="325" hidden="1" customWidth="1"/>
    <col min="55" max="16384" width="9" style="325"/>
  </cols>
  <sheetData>
    <row r="1" spans="1:53" s="296" customFormat="1" ht="21.75" customHeight="1" thickBot="1">
      <c r="A1" s="295" t="s">
        <v>223</v>
      </c>
      <c r="B1" s="295"/>
      <c r="C1" s="295"/>
      <c r="Q1" s="297"/>
      <c r="S1" s="295" t="s">
        <v>224</v>
      </c>
      <c r="T1" s="295"/>
      <c r="U1" s="295"/>
      <c r="AI1" s="297"/>
    </row>
    <row r="2" spans="1:53" s="304" customFormat="1" ht="15" customHeight="1" thickBot="1">
      <c r="A2" s="298"/>
      <c r="B2" s="299"/>
      <c r="C2" s="300"/>
      <c r="D2" s="301" t="s">
        <v>148</v>
      </c>
      <c r="E2" s="302" t="s">
        <v>225</v>
      </c>
      <c r="F2" s="301" t="s">
        <v>150</v>
      </c>
      <c r="G2" s="301" t="s">
        <v>151</v>
      </c>
      <c r="H2" s="301" t="s">
        <v>152</v>
      </c>
      <c r="I2" s="301" t="s">
        <v>153</v>
      </c>
      <c r="J2" s="301" t="s">
        <v>154</v>
      </c>
      <c r="K2" s="301" t="s">
        <v>155</v>
      </c>
      <c r="L2" s="301" t="s">
        <v>156</v>
      </c>
      <c r="M2" s="301" t="s">
        <v>157</v>
      </c>
      <c r="N2" s="301" t="s">
        <v>158</v>
      </c>
      <c r="O2" s="301" t="s">
        <v>159</v>
      </c>
      <c r="P2" s="301" t="s">
        <v>226</v>
      </c>
      <c r="Q2" s="303" t="s">
        <v>227</v>
      </c>
      <c r="S2" s="298"/>
      <c r="T2" s="299"/>
      <c r="U2" s="300"/>
      <c r="V2" s="301" t="s">
        <v>148</v>
      </c>
      <c r="W2" s="302" t="s">
        <v>225</v>
      </c>
      <c r="X2" s="301" t="s">
        <v>150</v>
      </c>
      <c r="Y2" s="301" t="s">
        <v>151</v>
      </c>
      <c r="Z2" s="301" t="s">
        <v>152</v>
      </c>
      <c r="AA2" s="301" t="s">
        <v>153</v>
      </c>
      <c r="AB2" s="301" t="s">
        <v>154</v>
      </c>
      <c r="AC2" s="301" t="s">
        <v>155</v>
      </c>
      <c r="AD2" s="301" t="s">
        <v>156</v>
      </c>
      <c r="AE2" s="301" t="s">
        <v>157</v>
      </c>
      <c r="AF2" s="301" t="s">
        <v>158</v>
      </c>
      <c r="AG2" s="301" t="s">
        <v>159</v>
      </c>
      <c r="AH2" s="301" t="s">
        <v>226</v>
      </c>
      <c r="AI2" s="303" t="s">
        <v>227</v>
      </c>
    </row>
    <row r="3" spans="1:53" s="304" customFormat="1" ht="11.25" customHeight="1" thickTop="1">
      <c r="A3" s="305" t="s">
        <v>228</v>
      </c>
      <c r="B3" s="306"/>
      <c r="C3" s="307"/>
      <c r="D3" s="308">
        <f>D5+D9+D13+D12</f>
        <v>0</v>
      </c>
      <c r="E3" s="308">
        <f t="shared" ref="E3:O3" si="0">E5+E9+E13+E12</f>
        <v>0</v>
      </c>
      <c r="F3" s="308">
        <f t="shared" si="0"/>
        <v>0</v>
      </c>
      <c r="G3" s="308">
        <f t="shared" si="0"/>
        <v>0</v>
      </c>
      <c r="H3" s="308">
        <f t="shared" si="0"/>
        <v>0</v>
      </c>
      <c r="I3" s="308">
        <f t="shared" si="0"/>
        <v>0</v>
      </c>
      <c r="J3" s="308">
        <f t="shared" si="0"/>
        <v>0</v>
      </c>
      <c r="K3" s="308">
        <f t="shared" si="0"/>
        <v>615200</v>
      </c>
      <c r="L3" s="308">
        <f t="shared" si="0"/>
        <v>755000</v>
      </c>
      <c r="M3" s="308">
        <f t="shared" si="0"/>
        <v>1062700</v>
      </c>
      <c r="N3" s="308">
        <f t="shared" si="0"/>
        <v>1328400</v>
      </c>
      <c r="O3" s="308">
        <f t="shared" si="0"/>
        <v>1929700</v>
      </c>
      <c r="P3" s="308">
        <f>SUM(D3:O3)</f>
        <v>5691000</v>
      </c>
      <c r="Q3" s="309">
        <f>P3/P3</f>
        <v>1</v>
      </c>
      <c r="S3" s="305"/>
      <c r="T3" s="310" t="s">
        <v>228</v>
      </c>
      <c r="U3" s="311"/>
      <c r="V3" s="308">
        <f>V5+V9+V13+V12</f>
        <v>1957700</v>
      </c>
      <c r="W3" s="308">
        <f t="shared" ref="W3:AG3" si="1">W5+W9+W13+W12</f>
        <v>2125400</v>
      </c>
      <c r="X3" s="308">
        <f t="shared" si="1"/>
        <v>2922500</v>
      </c>
      <c r="Y3" s="308">
        <f t="shared" si="1"/>
        <v>3230100</v>
      </c>
      <c r="Z3" s="308">
        <f t="shared" si="1"/>
        <v>3496000</v>
      </c>
      <c r="AA3" s="308">
        <f t="shared" si="1"/>
        <v>3670700</v>
      </c>
      <c r="AB3" s="308">
        <f t="shared" si="1"/>
        <v>3670700</v>
      </c>
      <c r="AC3" s="308">
        <f t="shared" si="1"/>
        <v>3670700</v>
      </c>
      <c r="AD3" s="308">
        <f t="shared" si="1"/>
        <v>3321100</v>
      </c>
      <c r="AE3" s="308">
        <f t="shared" si="1"/>
        <v>3146300</v>
      </c>
      <c r="AF3" s="308">
        <f t="shared" si="1"/>
        <v>3496000</v>
      </c>
      <c r="AG3" s="308">
        <f t="shared" si="1"/>
        <v>4020300</v>
      </c>
      <c r="AH3" s="308">
        <f>SUM(V3:AG3)</f>
        <v>38727500</v>
      </c>
      <c r="AI3" s="309">
        <f>AH3/P3</f>
        <v>6.8050430504305046</v>
      </c>
    </row>
    <row r="4" spans="1:53" s="304" customFormat="1" ht="11.25" customHeight="1">
      <c r="A4" s="305"/>
      <c r="B4" s="312"/>
      <c r="C4" s="313" t="s">
        <v>229</v>
      </c>
      <c r="D4" s="314">
        <f>コーリングサポ!E12</f>
        <v>0</v>
      </c>
      <c r="E4" s="314">
        <f>コーリングサポ!F12</f>
        <v>0</v>
      </c>
      <c r="F4" s="314">
        <f>コーリングサポ!G12</f>
        <v>0</v>
      </c>
      <c r="G4" s="314">
        <f>コーリングサポ!H12</f>
        <v>0</v>
      </c>
      <c r="H4" s="314">
        <f>コーリングサポ!I12</f>
        <v>0</v>
      </c>
      <c r="I4" s="314">
        <f>コーリングサポ!J12</f>
        <v>0</v>
      </c>
      <c r="J4" s="314">
        <f>コーリングサポ!K12</f>
        <v>0</v>
      </c>
      <c r="K4" s="314">
        <f>コーリングサポ!L12</f>
        <v>4</v>
      </c>
      <c r="L4" s="314">
        <f>コーリングサポ!M12</f>
        <v>6</v>
      </c>
      <c r="M4" s="314">
        <f>コーリングサポ!N12</f>
        <v>8</v>
      </c>
      <c r="N4" s="314">
        <f>コーリングサポ!O12</f>
        <v>10</v>
      </c>
      <c r="O4" s="314">
        <f>コーリングサポ!P12</f>
        <v>12</v>
      </c>
      <c r="P4" s="314"/>
      <c r="Q4" s="315"/>
      <c r="S4" s="316"/>
      <c r="T4" s="312"/>
      <c r="U4" s="317" t="s">
        <v>229</v>
      </c>
      <c r="V4" s="312">
        <f>コーリングサポ!R12</f>
        <v>14</v>
      </c>
      <c r="W4" s="318">
        <f>コーリングサポ!S12</f>
        <v>16</v>
      </c>
      <c r="X4" s="319">
        <f>コーリングサポ!T12</f>
        <v>19</v>
      </c>
      <c r="Y4" s="319">
        <f>コーリングサポ!U12</f>
        <v>22</v>
      </c>
      <c r="Z4" s="319">
        <f>コーリングサポ!V12</f>
        <v>25</v>
      </c>
      <c r="AA4" s="319">
        <f>コーリングサポ!W12</f>
        <v>25</v>
      </c>
      <c r="AB4" s="319">
        <f>コーリングサポ!X12</f>
        <v>25</v>
      </c>
      <c r="AC4" s="319">
        <f>コーリングサポ!Y12</f>
        <v>25</v>
      </c>
      <c r="AD4" s="319">
        <f>コーリングサポ!Z12</f>
        <v>25</v>
      </c>
      <c r="AE4" s="319">
        <f>コーリングサポ!AA12</f>
        <v>25</v>
      </c>
      <c r="AF4" s="319">
        <f>コーリングサポ!AB12</f>
        <v>25</v>
      </c>
      <c r="AG4" s="319">
        <f>コーリングサポ!AC12</f>
        <v>25</v>
      </c>
      <c r="AH4" s="314"/>
      <c r="AI4" s="320"/>
    </row>
    <row r="5" spans="1:53" ht="11.25" customHeight="1">
      <c r="A5" s="305"/>
      <c r="B5" s="321" t="s">
        <v>230</v>
      </c>
      <c r="C5" s="322"/>
      <c r="D5" s="323">
        <f t="shared" ref="D5:O5" si="2">SUM(D6:D8)</f>
        <v>0</v>
      </c>
      <c r="E5" s="323">
        <f t="shared" si="2"/>
        <v>0</v>
      </c>
      <c r="F5" s="323">
        <f t="shared" si="2"/>
        <v>0</v>
      </c>
      <c r="G5" s="323">
        <f t="shared" si="2"/>
        <v>0</v>
      </c>
      <c r="H5" s="323">
        <f t="shared" si="2"/>
        <v>0</v>
      </c>
      <c r="I5" s="323">
        <f t="shared" si="2"/>
        <v>0</v>
      </c>
      <c r="J5" s="323">
        <f t="shared" si="2"/>
        <v>0</v>
      </c>
      <c r="K5" s="323">
        <f t="shared" si="2"/>
        <v>615200</v>
      </c>
      <c r="L5" s="323">
        <f t="shared" si="2"/>
        <v>755000</v>
      </c>
      <c r="M5" s="323">
        <f t="shared" si="2"/>
        <v>1062700</v>
      </c>
      <c r="N5" s="323">
        <f t="shared" si="2"/>
        <v>1328400</v>
      </c>
      <c r="O5" s="323">
        <f t="shared" si="2"/>
        <v>1929700</v>
      </c>
      <c r="P5" s="323">
        <f t="shared" ref="P5:P41" si="3">SUM(D5:O5)</f>
        <v>5691000</v>
      </c>
      <c r="Q5" s="324">
        <f>IF(P5=0,"",P5/$P$3)</f>
        <v>1</v>
      </c>
      <c r="S5" s="326"/>
      <c r="T5" s="321" t="s">
        <v>230</v>
      </c>
      <c r="U5" s="322"/>
      <c r="V5" s="323">
        <f t="shared" ref="V5:AG5" si="4">SUM(V6:V8)</f>
        <v>1957700</v>
      </c>
      <c r="W5" s="323">
        <f t="shared" si="4"/>
        <v>2125400</v>
      </c>
      <c r="X5" s="323">
        <f t="shared" si="4"/>
        <v>2922500</v>
      </c>
      <c r="Y5" s="323">
        <f t="shared" si="4"/>
        <v>3230100</v>
      </c>
      <c r="Z5" s="323">
        <f t="shared" si="4"/>
        <v>3496000</v>
      </c>
      <c r="AA5" s="323">
        <f t="shared" si="4"/>
        <v>3670700</v>
      </c>
      <c r="AB5" s="323">
        <f t="shared" si="4"/>
        <v>3670700</v>
      </c>
      <c r="AC5" s="323">
        <f t="shared" si="4"/>
        <v>3670700</v>
      </c>
      <c r="AD5" s="323">
        <f t="shared" si="4"/>
        <v>3321100</v>
      </c>
      <c r="AE5" s="323">
        <f t="shared" si="4"/>
        <v>3146300</v>
      </c>
      <c r="AF5" s="323">
        <f t="shared" si="4"/>
        <v>3496000</v>
      </c>
      <c r="AG5" s="323">
        <f t="shared" si="4"/>
        <v>4020300</v>
      </c>
      <c r="AH5" s="323">
        <f>SUM(V5:AG5)</f>
        <v>38727500</v>
      </c>
      <c r="AI5" s="324">
        <f>IF(AH5=0,"",AH5/AH$3)</f>
        <v>1</v>
      </c>
      <c r="BA5" s="325"/>
    </row>
    <row r="6" spans="1:53" ht="11.25" customHeight="1">
      <c r="A6" s="305"/>
      <c r="B6" s="327"/>
      <c r="C6" s="328" t="s">
        <v>231</v>
      </c>
      <c r="D6" s="329">
        <f>コーリングサポ!E20</f>
        <v>0</v>
      </c>
      <c r="E6" s="329">
        <f>コーリングサポ!F20</f>
        <v>0</v>
      </c>
      <c r="F6" s="329">
        <f>コーリングサポ!G20</f>
        <v>0</v>
      </c>
      <c r="G6" s="329">
        <f>コーリングサポ!H20</f>
        <v>0</v>
      </c>
      <c r="H6" s="329">
        <f>コーリングサポ!I20</f>
        <v>0</v>
      </c>
      <c r="I6" s="329">
        <f>コーリングサポ!J20</f>
        <v>0</v>
      </c>
      <c r="J6" s="329">
        <f>コーリングサポ!K20</f>
        <v>0</v>
      </c>
      <c r="K6" s="329">
        <f>コーリングサポ!L20</f>
        <v>615200</v>
      </c>
      <c r="L6" s="329">
        <f>コーリングサポ!M20</f>
        <v>755000</v>
      </c>
      <c r="M6" s="329">
        <f>コーリングサポ!N20</f>
        <v>1062700</v>
      </c>
      <c r="N6" s="329">
        <f>コーリングサポ!O20</f>
        <v>1328400</v>
      </c>
      <c r="O6" s="329">
        <f>コーリングサポ!P20</f>
        <v>1929700</v>
      </c>
      <c r="P6" s="329">
        <f>SUM(D6:O6)</f>
        <v>5691000</v>
      </c>
      <c r="Q6" s="330">
        <f t="shared" ref="Q6:Q41" si="5">IF(P6=0,"",P6/$P$3)</f>
        <v>1</v>
      </c>
      <c r="S6" s="326"/>
      <c r="T6" s="327"/>
      <c r="U6" s="328" t="s">
        <v>232</v>
      </c>
      <c r="V6" s="329">
        <f>コーリングサポ!R20</f>
        <v>1957700</v>
      </c>
      <c r="W6" s="329">
        <f>コーリングサポ!S20</f>
        <v>2125400</v>
      </c>
      <c r="X6" s="329">
        <f>コーリングサポ!T20</f>
        <v>2922500</v>
      </c>
      <c r="Y6" s="329">
        <f>コーリングサポ!U20</f>
        <v>3230100</v>
      </c>
      <c r="Z6" s="329">
        <f>コーリングサポ!V20</f>
        <v>3496000</v>
      </c>
      <c r="AA6" s="329">
        <f>コーリングサポ!W20</f>
        <v>3670700</v>
      </c>
      <c r="AB6" s="329">
        <f>コーリングサポ!X20</f>
        <v>3670700</v>
      </c>
      <c r="AC6" s="329">
        <f>コーリングサポ!Y20</f>
        <v>3670700</v>
      </c>
      <c r="AD6" s="329">
        <f>コーリングサポ!Z20</f>
        <v>3321100</v>
      </c>
      <c r="AE6" s="329">
        <f>コーリングサポ!AA20</f>
        <v>3146300</v>
      </c>
      <c r="AF6" s="329">
        <f>コーリングサポ!AB20</f>
        <v>3496000</v>
      </c>
      <c r="AG6" s="329">
        <f>コーリングサポ!AC20</f>
        <v>4020300</v>
      </c>
      <c r="AH6" s="329">
        <f>SUM(V6:AG6)</f>
        <v>38727500</v>
      </c>
      <c r="AI6" s="330">
        <f t="shared" ref="AI6:AI41" si="6">IF(AH6=0,"",AH6/AH$3)</f>
        <v>1</v>
      </c>
      <c r="BA6" s="325"/>
    </row>
    <row r="7" spans="1:53" ht="12" hidden="1" customHeight="1">
      <c r="A7" s="305"/>
      <c r="B7" s="331"/>
      <c r="C7" s="329"/>
      <c r="D7" s="329"/>
      <c r="E7" s="329"/>
      <c r="F7" s="329"/>
      <c r="G7" s="329"/>
      <c r="H7" s="329"/>
      <c r="I7" s="329"/>
      <c r="J7" s="329"/>
      <c r="K7" s="329"/>
      <c r="L7" s="329"/>
      <c r="M7" s="329"/>
      <c r="N7" s="329"/>
      <c r="O7" s="329"/>
      <c r="P7" s="329"/>
      <c r="Q7" s="330"/>
      <c r="S7" s="326"/>
      <c r="T7" s="331"/>
      <c r="U7" s="329"/>
      <c r="V7" s="329"/>
      <c r="W7" s="329"/>
      <c r="X7" s="329"/>
      <c r="Y7" s="329"/>
      <c r="Z7" s="329"/>
      <c r="AA7" s="329"/>
      <c r="AB7" s="329"/>
      <c r="AC7" s="329"/>
      <c r="AD7" s="329"/>
      <c r="AE7" s="329"/>
      <c r="AF7" s="329"/>
      <c r="AG7" s="329"/>
      <c r="AH7" s="329">
        <f t="shared" ref="AH7:AH35" si="7">SUM(V7:AG7)</f>
        <v>0</v>
      </c>
      <c r="AI7" s="330" t="str">
        <f t="shared" si="6"/>
        <v/>
      </c>
      <c r="BA7" s="325"/>
    </row>
    <row r="8" spans="1:53" ht="12" customHeight="1">
      <c r="A8" s="305"/>
      <c r="B8" s="331"/>
      <c r="C8" s="329"/>
      <c r="D8" s="329"/>
      <c r="E8" s="329"/>
      <c r="F8" s="329"/>
      <c r="G8" s="329"/>
      <c r="H8" s="329"/>
      <c r="I8" s="329"/>
      <c r="J8" s="329"/>
      <c r="K8" s="329"/>
      <c r="L8" s="329"/>
      <c r="M8" s="329"/>
      <c r="N8" s="329"/>
      <c r="O8" s="329"/>
      <c r="P8" s="329">
        <f>SUM(D8:O8)*5000</f>
        <v>0</v>
      </c>
      <c r="Q8" s="332" t="str">
        <f t="shared" si="5"/>
        <v/>
      </c>
      <c r="S8" s="326"/>
      <c r="T8" s="331"/>
      <c r="U8" s="329"/>
      <c r="V8" s="329"/>
      <c r="W8" s="329"/>
      <c r="X8" s="329"/>
      <c r="Y8" s="329"/>
      <c r="Z8" s="329"/>
      <c r="AA8" s="329"/>
      <c r="AB8" s="329"/>
      <c r="AC8" s="329"/>
      <c r="AD8" s="329"/>
      <c r="AE8" s="329"/>
      <c r="AF8" s="329"/>
      <c r="AG8" s="329"/>
      <c r="AH8" s="329">
        <f t="shared" si="7"/>
        <v>0</v>
      </c>
      <c r="AI8" s="332" t="str">
        <f t="shared" si="6"/>
        <v/>
      </c>
      <c r="BA8" s="325"/>
    </row>
    <row r="9" spans="1:53" ht="12" customHeight="1">
      <c r="A9" s="305"/>
      <c r="B9" s="333" t="s">
        <v>233</v>
      </c>
      <c r="C9" s="334"/>
      <c r="D9" s="323">
        <f t="shared" ref="D9:O9" si="8">SUM(D10:D11)</f>
        <v>0</v>
      </c>
      <c r="E9" s="323">
        <f t="shared" si="8"/>
        <v>0</v>
      </c>
      <c r="F9" s="323">
        <f t="shared" si="8"/>
        <v>0</v>
      </c>
      <c r="G9" s="323">
        <f t="shared" si="8"/>
        <v>0</v>
      </c>
      <c r="H9" s="323">
        <f t="shared" si="8"/>
        <v>0</v>
      </c>
      <c r="I9" s="323">
        <f t="shared" si="8"/>
        <v>0</v>
      </c>
      <c r="J9" s="323">
        <f t="shared" si="8"/>
        <v>0</v>
      </c>
      <c r="K9" s="323">
        <f t="shared" si="8"/>
        <v>0</v>
      </c>
      <c r="L9" s="323">
        <f t="shared" si="8"/>
        <v>0</v>
      </c>
      <c r="M9" s="323">
        <f t="shared" si="8"/>
        <v>0</v>
      </c>
      <c r="N9" s="323">
        <f t="shared" si="8"/>
        <v>0</v>
      </c>
      <c r="O9" s="323">
        <f t="shared" si="8"/>
        <v>0</v>
      </c>
      <c r="P9" s="323">
        <f t="shared" si="3"/>
        <v>0</v>
      </c>
      <c r="Q9" s="324" t="str">
        <f t="shared" si="5"/>
        <v/>
      </c>
      <c r="S9" s="326"/>
      <c r="T9" s="333" t="s">
        <v>233</v>
      </c>
      <c r="U9" s="334"/>
      <c r="V9" s="323">
        <f t="shared" ref="V9:AG9" si="9">SUM(V10:V11)</f>
        <v>0</v>
      </c>
      <c r="W9" s="323">
        <f t="shared" si="9"/>
        <v>0</v>
      </c>
      <c r="X9" s="323">
        <f t="shared" si="9"/>
        <v>0</v>
      </c>
      <c r="Y9" s="323">
        <f t="shared" si="9"/>
        <v>0</v>
      </c>
      <c r="Z9" s="323">
        <f t="shared" si="9"/>
        <v>0</v>
      </c>
      <c r="AA9" s="323">
        <f t="shared" si="9"/>
        <v>0</v>
      </c>
      <c r="AB9" s="323">
        <f t="shared" si="9"/>
        <v>0</v>
      </c>
      <c r="AC9" s="323">
        <f t="shared" si="9"/>
        <v>0</v>
      </c>
      <c r="AD9" s="323">
        <f t="shared" si="9"/>
        <v>0</v>
      </c>
      <c r="AE9" s="323">
        <f t="shared" si="9"/>
        <v>0</v>
      </c>
      <c r="AF9" s="323">
        <f t="shared" si="9"/>
        <v>0</v>
      </c>
      <c r="AG9" s="323">
        <f t="shared" si="9"/>
        <v>0</v>
      </c>
      <c r="AH9" s="323">
        <f t="shared" si="7"/>
        <v>0</v>
      </c>
      <c r="AI9" s="324" t="str">
        <f t="shared" si="6"/>
        <v/>
      </c>
      <c r="BA9" s="325"/>
    </row>
    <row r="10" spans="1:53" ht="12" customHeight="1">
      <c r="A10" s="305"/>
      <c r="B10" s="327"/>
      <c r="C10" s="328" t="s">
        <v>234</v>
      </c>
      <c r="D10" s="329"/>
      <c r="E10" s="329"/>
      <c r="F10" s="329"/>
      <c r="G10" s="329"/>
      <c r="H10" s="329"/>
      <c r="I10" s="329"/>
      <c r="J10" s="329"/>
      <c r="K10" s="329"/>
      <c r="L10" s="329"/>
      <c r="M10" s="329"/>
      <c r="N10" s="329"/>
      <c r="O10" s="329"/>
      <c r="P10" s="329">
        <f>SUM(D10:O10)</f>
        <v>0</v>
      </c>
      <c r="Q10" s="330" t="str">
        <f t="shared" si="5"/>
        <v/>
      </c>
      <c r="S10" s="326"/>
      <c r="T10" s="327"/>
      <c r="U10" s="328" t="s">
        <v>234</v>
      </c>
      <c r="V10" s="329"/>
      <c r="W10" s="329"/>
      <c r="X10" s="329"/>
      <c r="Y10" s="329"/>
      <c r="Z10" s="329"/>
      <c r="AA10" s="329"/>
      <c r="AB10" s="329"/>
      <c r="AC10" s="329"/>
      <c r="AD10" s="329"/>
      <c r="AE10" s="329"/>
      <c r="AF10" s="329"/>
      <c r="AG10" s="329"/>
      <c r="AH10" s="329">
        <f t="shared" si="7"/>
        <v>0</v>
      </c>
      <c r="AI10" s="330" t="str">
        <f t="shared" si="6"/>
        <v/>
      </c>
      <c r="BA10" s="325"/>
    </row>
    <row r="11" spans="1:53" ht="12" customHeight="1">
      <c r="A11" s="305"/>
      <c r="B11" s="331"/>
      <c r="C11" s="329"/>
      <c r="D11" s="329"/>
      <c r="E11" s="329"/>
      <c r="F11" s="329"/>
      <c r="G11" s="329"/>
      <c r="H11" s="329"/>
      <c r="I11" s="329"/>
      <c r="J11" s="329"/>
      <c r="K11" s="329"/>
      <c r="L11" s="329"/>
      <c r="M11" s="329"/>
      <c r="N11" s="329"/>
      <c r="O11" s="329"/>
      <c r="P11" s="329"/>
      <c r="Q11" s="330" t="str">
        <f t="shared" si="5"/>
        <v/>
      </c>
      <c r="S11" s="326"/>
      <c r="T11" s="331"/>
      <c r="U11" s="329"/>
      <c r="V11" s="329"/>
      <c r="W11" s="329"/>
      <c r="X11" s="329"/>
      <c r="Y11" s="329"/>
      <c r="Z11" s="329"/>
      <c r="AA11" s="329"/>
      <c r="AB11" s="329"/>
      <c r="AC11" s="329"/>
      <c r="AD11" s="329"/>
      <c r="AE11" s="329"/>
      <c r="AF11" s="329"/>
      <c r="AG11" s="329"/>
      <c r="AH11" s="329">
        <f t="shared" si="7"/>
        <v>0</v>
      </c>
      <c r="AI11" s="330" t="str">
        <f t="shared" si="6"/>
        <v/>
      </c>
      <c r="BA11" s="325"/>
    </row>
    <row r="12" spans="1:53" ht="11.25" customHeight="1">
      <c r="A12" s="305"/>
      <c r="B12" s="335" t="s">
        <v>235</v>
      </c>
      <c r="C12" s="336"/>
      <c r="D12" s="323"/>
      <c r="E12" s="323"/>
      <c r="F12" s="323"/>
      <c r="G12" s="323"/>
      <c r="H12" s="323"/>
      <c r="I12" s="323"/>
      <c r="J12" s="323"/>
      <c r="K12" s="323"/>
      <c r="L12" s="323"/>
      <c r="M12" s="323"/>
      <c r="N12" s="323"/>
      <c r="O12" s="323"/>
      <c r="P12" s="323">
        <f t="shared" si="3"/>
        <v>0</v>
      </c>
      <c r="Q12" s="324"/>
      <c r="S12" s="326"/>
      <c r="T12" s="335" t="s">
        <v>235</v>
      </c>
      <c r="U12" s="336"/>
      <c r="V12" s="323"/>
      <c r="W12" s="323"/>
      <c r="X12" s="323"/>
      <c r="Y12" s="323"/>
      <c r="Z12" s="323"/>
      <c r="AA12" s="323"/>
      <c r="AB12" s="323"/>
      <c r="AC12" s="323"/>
      <c r="AD12" s="323"/>
      <c r="AE12" s="323"/>
      <c r="AF12" s="323"/>
      <c r="AG12" s="323"/>
      <c r="AH12" s="323">
        <f t="shared" si="7"/>
        <v>0</v>
      </c>
      <c r="AI12" s="324" t="str">
        <f t="shared" si="6"/>
        <v/>
      </c>
      <c r="BA12" s="325"/>
    </row>
    <row r="13" spans="1:53" ht="9" customHeight="1" thickBot="1">
      <c r="A13" s="337"/>
      <c r="B13" s="338" t="s">
        <v>236</v>
      </c>
      <c r="C13" s="338"/>
      <c r="D13" s="339"/>
      <c r="E13" s="339"/>
      <c r="F13" s="339"/>
      <c r="G13" s="339"/>
      <c r="H13" s="339"/>
      <c r="I13" s="339"/>
      <c r="J13" s="339"/>
      <c r="K13" s="339"/>
      <c r="L13" s="339"/>
      <c r="M13" s="339"/>
      <c r="N13" s="339"/>
      <c r="O13" s="339"/>
      <c r="P13" s="339">
        <f t="shared" si="3"/>
        <v>0</v>
      </c>
      <c r="Q13" s="340" t="str">
        <f t="shared" si="5"/>
        <v/>
      </c>
      <c r="S13" s="341"/>
      <c r="T13" s="338" t="s">
        <v>236</v>
      </c>
      <c r="U13" s="338"/>
      <c r="V13" s="339"/>
      <c r="W13" s="339"/>
      <c r="X13" s="339"/>
      <c r="Y13" s="339"/>
      <c r="Z13" s="339"/>
      <c r="AA13" s="339"/>
      <c r="AB13" s="339"/>
      <c r="AC13" s="339"/>
      <c r="AD13" s="339"/>
      <c r="AE13" s="339"/>
      <c r="AF13" s="339"/>
      <c r="AG13" s="339"/>
      <c r="AH13" s="339">
        <f t="shared" si="7"/>
        <v>0</v>
      </c>
      <c r="AI13" s="340" t="str">
        <f t="shared" si="6"/>
        <v/>
      </c>
      <c r="BA13" s="325"/>
    </row>
    <row r="14" spans="1:53" ht="9" customHeight="1">
      <c r="A14" s="342"/>
      <c r="B14" s="343" t="s">
        <v>237</v>
      </c>
      <c r="C14" s="344"/>
      <c r="D14" s="345">
        <f t="shared" ref="D14:J14" si="10">SUM(D16:D20)</f>
        <v>0</v>
      </c>
      <c r="E14" s="345">
        <f t="shared" si="10"/>
        <v>0</v>
      </c>
      <c r="F14" s="345">
        <f t="shared" si="10"/>
        <v>0</v>
      </c>
      <c r="G14" s="345">
        <f t="shared" si="10"/>
        <v>0</v>
      </c>
      <c r="H14" s="345">
        <f t="shared" si="10"/>
        <v>36300</v>
      </c>
      <c r="I14" s="345">
        <f t="shared" si="10"/>
        <v>108300</v>
      </c>
      <c r="J14" s="345">
        <f t="shared" si="10"/>
        <v>287670</v>
      </c>
      <c r="K14" s="345">
        <f>K15+K21</f>
        <v>1386510</v>
      </c>
      <c r="L14" s="345">
        <f>L15+L21</f>
        <v>1386510</v>
      </c>
      <c r="M14" s="345">
        <f>M15+M21</f>
        <v>1357130</v>
      </c>
      <c r="N14" s="345">
        <f>N15+N21</f>
        <v>1336790</v>
      </c>
      <c r="O14" s="345">
        <f>O15+O21</f>
        <v>1336790</v>
      </c>
      <c r="P14" s="345">
        <f t="shared" si="3"/>
        <v>7236000</v>
      </c>
      <c r="Q14" s="346">
        <f t="shared" si="5"/>
        <v>1.2714812862414338</v>
      </c>
      <c r="S14" s="342"/>
      <c r="T14" s="343" t="s">
        <v>238</v>
      </c>
      <c r="U14" s="344"/>
      <c r="V14" s="345">
        <f>V15+V21</f>
        <v>1759410</v>
      </c>
      <c r="W14" s="345">
        <f t="shared" ref="W14:AG14" si="11">SUM(W16:W20)</f>
        <v>1759410</v>
      </c>
      <c r="X14" s="345">
        <f t="shared" si="11"/>
        <v>1759410</v>
      </c>
      <c r="Y14" s="345">
        <f t="shared" si="11"/>
        <v>1759410</v>
      </c>
      <c r="Z14" s="345">
        <f t="shared" si="11"/>
        <v>1759410</v>
      </c>
      <c r="AA14" s="345">
        <f t="shared" si="11"/>
        <v>1759410</v>
      </c>
      <c r="AB14" s="345">
        <f t="shared" si="11"/>
        <v>1759410</v>
      </c>
      <c r="AC14" s="345">
        <f t="shared" si="11"/>
        <v>1759410</v>
      </c>
      <c r="AD14" s="345">
        <f t="shared" si="11"/>
        <v>2663410</v>
      </c>
      <c r="AE14" s="345">
        <f t="shared" si="11"/>
        <v>1759410</v>
      </c>
      <c r="AF14" s="345">
        <f t="shared" si="11"/>
        <v>1759410</v>
      </c>
      <c r="AG14" s="345">
        <f t="shared" si="11"/>
        <v>1759410</v>
      </c>
      <c r="AH14" s="345">
        <f t="shared" si="7"/>
        <v>22016920</v>
      </c>
      <c r="AI14" s="346">
        <f t="shared" si="6"/>
        <v>0.56850868246078368</v>
      </c>
      <c r="BA14" s="325"/>
    </row>
    <row r="15" spans="1:53" ht="8.25" customHeight="1">
      <c r="A15" s="342"/>
      <c r="B15" s="347" t="s">
        <v>230</v>
      </c>
      <c r="C15" s="348"/>
      <c r="D15" s="349">
        <f t="shared" ref="D15:J15" si="12">SUM(D16:D20)</f>
        <v>0</v>
      </c>
      <c r="E15" s="349">
        <f t="shared" si="12"/>
        <v>0</v>
      </c>
      <c r="F15" s="349">
        <f t="shared" si="12"/>
        <v>0</v>
      </c>
      <c r="G15" s="349">
        <f t="shared" si="12"/>
        <v>0</v>
      </c>
      <c r="H15" s="349">
        <f t="shared" si="12"/>
        <v>36300</v>
      </c>
      <c r="I15" s="349">
        <f t="shared" si="12"/>
        <v>108300</v>
      </c>
      <c r="J15" s="349">
        <f t="shared" si="12"/>
        <v>287670</v>
      </c>
      <c r="K15" s="349">
        <f>SUM(K16:K20)</f>
        <v>1386510</v>
      </c>
      <c r="L15" s="349">
        <f>SUM(L16:L20)</f>
        <v>1386510</v>
      </c>
      <c r="M15" s="349">
        <f>SUM(M16:M20)</f>
        <v>1357130</v>
      </c>
      <c r="N15" s="349">
        <f>SUM(N16:N20)</f>
        <v>1336790</v>
      </c>
      <c r="O15" s="349">
        <f>SUM(O16:O20)</f>
        <v>1336790</v>
      </c>
      <c r="P15" s="349">
        <f t="shared" si="3"/>
        <v>7236000</v>
      </c>
      <c r="Q15" s="350"/>
      <c r="S15" s="342"/>
      <c r="T15" s="347" t="s">
        <v>230</v>
      </c>
      <c r="U15" s="348"/>
      <c r="V15" s="349">
        <f>SUM(V16:V20)</f>
        <v>1759410</v>
      </c>
      <c r="W15" s="349">
        <f t="shared" ref="W15:AG15" si="13">SUM(W16:W20)</f>
        <v>1759410</v>
      </c>
      <c r="X15" s="349">
        <f t="shared" si="13"/>
        <v>1759410</v>
      </c>
      <c r="Y15" s="349">
        <f t="shared" si="13"/>
        <v>1759410</v>
      </c>
      <c r="Z15" s="349">
        <f t="shared" si="13"/>
        <v>1759410</v>
      </c>
      <c r="AA15" s="349">
        <f t="shared" si="13"/>
        <v>1759410</v>
      </c>
      <c r="AB15" s="349">
        <f t="shared" si="13"/>
        <v>1759410</v>
      </c>
      <c r="AC15" s="349">
        <f t="shared" si="13"/>
        <v>1759410</v>
      </c>
      <c r="AD15" s="349">
        <f t="shared" si="13"/>
        <v>2663410</v>
      </c>
      <c r="AE15" s="349">
        <f t="shared" si="13"/>
        <v>1759410</v>
      </c>
      <c r="AF15" s="349">
        <f t="shared" si="13"/>
        <v>1759410</v>
      </c>
      <c r="AG15" s="349">
        <f t="shared" si="13"/>
        <v>1759410</v>
      </c>
      <c r="AH15" s="349">
        <f t="shared" si="7"/>
        <v>22016920</v>
      </c>
      <c r="AI15" s="350">
        <f t="shared" si="6"/>
        <v>0.56850868246078368</v>
      </c>
      <c r="BA15" s="325"/>
    </row>
    <row r="16" spans="1:53" ht="9" customHeight="1">
      <c r="A16" s="342"/>
      <c r="B16" s="351"/>
      <c r="C16" s="328" t="s">
        <v>239</v>
      </c>
      <c r="D16" s="329">
        <f>コーリングサポ!E54</f>
        <v>0</v>
      </c>
      <c r="E16" s="329">
        <f>コーリングサポ!F54</f>
        <v>0</v>
      </c>
      <c r="F16" s="329">
        <f>コーリングサポ!G54</f>
        <v>0</v>
      </c>
      <c r="G16" s="329">
        <f>コーリングサポ!H54</f>
        <v>0</v>
      </c>
      <c r="H16" s="329">
        <f>コーリングサポ!I54</f>
        <v>33000</v>
      </c>
      <c r="I16" s="329">
        <f>コーリングサポ!J54</f>
        <v>33000</v>
      </c>
      <c r="J16" s="329">
        <f>コーリングサポ!K54</f>
        <v>159000</v>
      </c>
      <c r="K16" s="329">
        <f>コーリングサポ!L54</f>
        <v>1127000</v>
      </c>
      <c r="L16" s="329">
        <f>コーリングサポ!M54</f>
        <v>1127000</v>
      </c>
      <c r="M16" s="329">
        <f>コーリングサポ!N54</f>
        <v>1101000</v>
      </c>
      <c r="N16" s="329">
        <f>コーリングサポ!O54</f>
        <v>1083000</v>
      </c>
      <c r="O16" s="329">
        <f>コーリングサポ!P54</f>
        <v>1083000</v>
      </c>
      <c r="P16" s="329">
        <f t="shared" si="3"/>
        <v>5746000</v>
      </c>
      <c r="Q16" s="330">
        <f t="shared" si="5"/>
        <v>1.0096643823581093</v>
      </c>
      <c r="S16" s="342"/>
      <c r="T16" s="351"/>
      <c r="U16" s="328" t="s">
        <v>239</v>
      </c>
      <c r="V16" s="329">
        <f>コーリングサポ!R54</f>
        <v>1457000</v>
      </c>
      <c r="W16" s="329">
        <f>コーリングサポ!S54</f>
        <v>1457000</v>
      </c>
      <c r="X16" s="329">
        <f>コーリングサポ!T54</f>
        <v>1457000</v>
      </c>
      <c r="Y16" s="329">
        <f>コーリングサポ!U54</f>
        <v>1457000</v>
      </c>
      <c r="Z16" s="329">
        <f>コーリングサポ!V54</f>
        <v>1457000</v>
      </c>
      <c r="AA16" s="329">
        <f>コーリングサポ!W54</f>
        <v>1457000</v>
      </c>
      <c r="AB16" s="329">
        <f>コーリングサポ!X54</f>
        <v>1457000</v>
      </c>
      <c r="AC16" s="329">
        <f>コーリングサポ!Y54</f>
        <v>1457000</v>
      </c>
      <c r="AD16" s="329">
        <f>コーリングサポ!Z54</f>
        <v>2257000</v>
      </c>
      <c r="AE16" s="329">
        <f>コーリングサポ!AA54</f>
        <v>1457000</v>
      </c>
      <c r="AF16" s="329">
        <f>コーリングサポ!AB54</f>
        <v>1457000</v>
      </c>
      <c r="AG16" s="329">
        <f>コーリングサポ!AC54</f>
        <v>1457000</v>
      </c>
      <c r="AH16" s="329">
        <f t="shared" si="7"/>
        <v>18284000</v>
      </c>
      <c r="AI16" s="330">
        <f t="shared" si="6"/>
        <v>0.47211929507455941</v>
      </c>
      <c r="BA16" s="325"/>
    </row>
    <row r="17" spans="1:53" ht="9" customHeight="1">
      <c r="A17" s="342"/>
      <c r="B17" s="351"/>
      <c r="C17" s="328" t="s">
        <v>241</v>
      </c>
      <c r="D17" s="329">
        <f>コーリングサポ!E55</f>
        <v>0</v>
      </c>
      <c r="E17" s="329">
        <f>コーリングサポ!F55</f>
        <v>0</v>
      </c>
      <c r="F17" s="329">
        <f>コーリングサポ!G55</f>
        <v>0</v>
      </c>
      <c r="G17" s="329">
        <f>コーリングサポ!H55</f>
        <v>0</v>
      </c>
      <c r="H17" s="329">
        <f>コーリングサポ!I55</f>
        <v>3300</v>
      </c>
      <c r="I17" s="329">
        <f>コーリングサポ!J55</f>
        <v>3300</v>
      </c>
      <c r="J17" s="329">
        <f>コーリングサポ!K55</f>
        <v>20670</v>
      </c>
      <c r="K17" s="329">
        <f>コーリングサポ!L55</f>
        <v>146510</v>
      </c>
      <c r="L17" s="329">
        <f>コーリングサポ!M55</f>
        <v>146510</v>
      </c>
      <c r="M17" s="329">
        <f>コーリングサポ!N55</f>
        <v>143130</v>
      </c>
      <c r="N17" s="329">
        <f>コーリングサポ!O55</f>
        <v>140790</v>
      </c>
      <c r="O17" s="329">
        <f>コーリングサポ!P55</f>
        <v>140790</v>
      </c>
      <c r="P17" s="329">
        <f t="shared" si="3"/>
        <v>745000</v>
      </c>
      <c r="Q17" s="330">
        <f t="shared" si="5"/>
        <v>0.13090845194166228</v>
      </c>
      <c r="S17" s="342"/>
      <c r="T17" s="351"/>
      <c r="U17" s="328" t="s">
        <v>241</v>
      </c>
      <c r="V17" s="329">
        <f>コーリングサポ!R55</f>
        <v>189410</v>
      </c>
      <c r="W17" s="329">
        <f>コーリングサポ!S55</f>
        <v>189410</v>
      </c>
      <c r="X17" s="329">
        <f>コーリングサポ!T55</f>
        <v>189410</v>
      </c>
      <c r="Y17" s="329">
        <f>コーリングサポ!U55</f>
        <v>189410</v>
      </c>
      <c r="Z17" s="329">
        <f>コーリングサポ!V55</f>
        <v>189410</v>
      </c>
      <c r="AA17" s="329">
        <f>コーリングサポ!W55</f>
        <v>189410</v>
      </c>
      <c r="AB17" s="329">
        <f>コーリングサポ!X55</f>
        <v>189410</v>
      </c>
      <c r="AC17" s="329">
        <f>コーリングサポ!Y55</f>
        <v>189410</v>
      </c>
      <c r="AD17" s="329">
        <f>コーリングサポ!Z55</f>
        <v>293410</v>
      </c>
      <c r="AE17" s="329">
        <f>コーリングサポ!AA55</f>
        <v>189410</v>
      </c>
      <c r="AF17" s="329">
        <f>コーリングサポ!AB55</f>
        <v>189410</v>
      </c>
      <c r="AG17" s="329">
        <f>コーリングサポ!AC55</f>
        <v>189410</v>
      </c>
      <c r="AH17" s="329">
        <f t="shared" si="7"/>
        <v>2376920</v>
      </c>
      <c r="AI17" s="330">
        <f t="shared" si="6"/>
        <v>6.1375508359692722E-2</v>
      </c>
      <c r="BA17" s="325"/>
    </row>
    <row r="18" spans="1:53" ht="10.5" customHeight="1">
      <c r="A18" s="342"/>
      <c r="B18" s="351"/>
      <c r="C18" s="328" t="s">
        <v>242</v>
      </c>
      <c r="D18" s="329">
        <f>コーリングサポ!E62</f>
        <v>0</v>
      </c>
      <c r="E18" s="329">
        <f>コーリングサポ!F62</f>
        <v>0</v>
      </c>
      <c r="F18" s="329">
        <f>コーリングサポ!G62</f>
        <v>0</v>
      </c>
      <c r="G18" s="329">
        <f>コーリングサポ!H62</f>
        <v>0</v>
      </c>
      <c r="H18" s="329">
        <f>コーリングサポ!I62</f>
        <v>0</v>
      </c>
      <c r="I18" s="329">
        <f>コーリングサポ!J62</f>
        <v>72000</v>
      </c>
      <c r="J18" s="329">
        <f>コーリングサポ!K62</f>
        <v>108000</v>
      </c>
      <c r="K18" s="329">
        <f>コーリングサポ!L62</f>
        <v>113000</v>
      </c>
      <c r="L18" s="329">
        <f>コーリングサポ!M62</f>
        <v>113000</v>
      </c>
      <c r="M18" s="329">
        <f>コーリングサポ!N62</f>
        <v>113000</v>
      </c>
      <c r="N18" s="329">
        <f>コーリングサポ!O62</f>
        <v>113000</v>
      </c>
      <c r="O18" s="329">
        <f>コーリングサポ!P62</f>
        <v>113000</v>
      </c>
      <c r="P18" s="329">
        <f t="shared" si="3"/>
        <v>745000</v>
      </c>
      <c r="Q18" s="330">
        <f t="shared" si="5"/>
        <v>0.13090845194166228</v>
      </c>
      <c r="S18" s="342"/>
      <c r="T18" s="351"/>
      <c r="U18" s="328" t="s">
        <v>243</v>
      </c>
      <c r="V18" s="329">
        <f>コーリングサポ!R62</f>
        <v>113000</v>
      </c>
      <c r="W18" s="329">
        <f>コーリングサポ!S62</f>
        <v>113000</v>
      </c>
      <c r="X18" s="329">
        <f>コーリングサポ!T62</f>
        <v>113000</v>
      </c>
      <c r="Y18" s="329">
        <f>コーリングサポ!U62</f>
        <v>113000</v>
      </c>
      <c r="Z18" s="329">
        <f>コーリングサポ!V62</f>
        <v>113000</v>
      </c>
      <c r="AA18" s="329">
        <f>コーリングサポ!W62</f>
        <v>113000</v>
      </c>
      <c r="AB18" s="329">
        <f>コーリングサポ!X62</f>
        <v>113000</v>
      </c>
      <c r="AC18" s="329">
        <f>コーリングサポ!Y62</f>
        <v>113000</v>
      </c>
      <c r="AD18" s="329">
        <f>コーリングサポ!Z62</f>
        <v>113000</v>
      </c>
      <c r="AE18" s="329">
        <f>コーリングサポ!AA62</f>
        <v>113000</v>
      </c>
      <c r="AF18" s="329">
        <f>コーリングサポ!AB62</f>
        <v>113000</v>
      </c>
      <c r="AG18" s="329">
        <f>コーリングサポ!AC62</f>
        <v>113000</v>
      </c>
      <c r="AH18" s="329">
        <f t="shared" si="7"/>
        <v>1356000</v>
      </c>
      <c r="AI18" s="330">
        <f t="shared" si="6"/>
        <v>3.5013879026531532E-2</v>
      </c>
      <c r="BA18" s="325"/>
    </row>
    <row r="19" spans="1:53" ht="10.5" customHeight="1">
      <c r="A19" s="342"/>
      <c r="B19" s="351"/>
      <c r="C19" s="328" t="s">
        <v>244</v>
      </c>
      <c r="D19" s="329"/>
      <c r="E19" s="329"/>
      <c r="F19" s="329"/>
      <c r="G19" s="329"/>
      <c r="H19" s="329"/>
      <c r="I19" s="329"/>
      <c r="J19" s="329"/>
      <c r="K19" s="329"/>
      <c r="L19" s="329"/>
      <c r="M19" s="329"/>
      <c r="N19" s="329"/>
      <c r="O19" s="329"/>
      <c r="P19" s="329"/>
      <c r="Q19" s="330" t="str">
        <f t="shared" si="5"/>
        <v/>
      </c>
      <c r="S19" s="342"/>
      <c r="T19" s="351"/>
      <c r="U19" s="328" t="s">
        <v>244</v>
      </c>
      <c r="V19" s="329"/>
      <c r="W19" s="329"/>
      <c r="X19" s="329"/>
      <c r="Y19" s="329"/>
      <c r="Z19" s="329"/>
      <c r="AA19" s="329"/>
      <c r="AB19" s="329"/>
      <c r="AC19" s="329"/>
      <c r="AD19" s="329"/>
      <c r="AE19" s="329"/>
      <c r="AF19" s="329"/>
      <c r="AG19" s="329"/>
      <c r="AH19" s="329">
        <f t="shared" si="7"/>
        <v>0</v>
      </c>
      <c r="AI19" s="330" t="str">
        <f t="shared" si="6"/>
        <v/>
      </c>
      <c r="BA19" s="325"/>
    </row>
    <row r="20" spans="1:53" ht="10.5" customHeight="1">
      <c r="A20" s="342"/>
      <c r="B20" s="352"/>
      <c r="C20" s="328" t="s">
        <v>221</v>
      </c>
      <c r="D20" s="329"/>
      <c r="E20" s="329"/>
      <c r="F20" s="329"/>
      <c r="G20" s="329"/>
      <c r="H20" s="329"/>
      <c r="I20" s="329"/>
      <c r="J20" s="329"/>
      <c r="K20" s="329"/>
      <c r="L20" s="329"/>
      <c r="M20" s="329"/>
      <c r="N20" s="329"/>
      <c r="O20" s="329"/>
      <c r="P20" s="329"/>
      <c r="Q20" s="330" t="str">
        <f t="shared" si="5"/>
        <v/>
      </c>
      <c r="S20" s="342"/>
      <c r="T20" s="352"/>
      <c r="U20" s="328" t="s">
        <v>221</v>
      </c>
      <c r="V20" s="329"/>
      <c r="W20" s="329"/>
      <c r="X20" s="329"/>
      <c r="Y20" s="329"/>
      <c r="Z20" s="329"/>
      <c r="AA20" s="329"/>
      <c r="AB20" s="329"/>
      <c r="AC20" s="329"/>
      <c r="AD20" s="329"/>
      <c r="AE20" s="329"/>
      <c r="AF20" s="329"/>
      <c r="AG20" s="329"/>
      <c r="AH20" s="329">
        <f t="shared" si="7"/>
        <v>0</v>
      </c>
      <c r="AI20" s="330" t="str">
        <f t="shared" si="6"/>
        <v/>
      </c>
      <c r="BA20" s="325"/>
    </row>
    <row r="21" spans="1:53" ht="10.5" customHeight="1">
      <c r="A21" s="342"/>
      <c r="B21" s="353" t="s">
        <v>245</v>
      </c>
      <c r="C21" s="354"/>
      <c r="D21" s="349">
        <f t="shared" ref="D21:J21" si="14">SUM(D22:D25)</f>
        <v>0</v>
      </c>
      <c r="E21" s="349">
        <f t="shared" si="14"/>
        <v>0</v>
      </c>
      <c r="F21" s="349">
        <f t="shared" si="14"/>
        <v>0</v>
      </c>
      <c r="G21" s="349">
        <f t="shared" si="14"/>
        <v>0</v>
      </c>
      <c r="H21" s="349">
        <f t="shared" si="14"/>
        <v>0</v>
      </c>
      <c r="I21" s="349">
        <f t="shared" si="14"/>
        <v>0</v>
      </c>
      <c r="J21" s="349">
        <f t="shared" si="14"/>
        <v>0</v>
      </c>
      <c r="K21" s="349">
        <f>SUM(K22:K25)</f>
        <v>0</v>
      </c>
      <c r="L21" s="349">
        <f>SUM(L22:L25)</f>
        <v>0</v>
      </c>
      <c r="M21" s="349">
        <f>SUM(M22:M25)</f>
        <v>0</v>
      </c>
      <c r="N21" s="349">
        <f>SUM(N22:N25)</f>
        <v>0</v>
      </c>
      <c r="O21" s="349">
        <f>SUM(O22:O25)</f>
        <v>0</v>
      </c>
      <c r="P21" s="349">
        <f t="shared" si="3"/>
        <v>0</v>
      </c>
      <c r="Q21" s="350" t="str">
        <f t="shared" si="5"/>
        <v/>
      </c>
      <c r="S21" s="342"/>
      <c r="T21" s="353" t="s">
        <v>245</v>
      </c>
      <c r="U21" s="354"/>
      <c r="V21" s="349">
        <f>SUM(V22:V25)</f>
        <v>0</v>
      </c>
      <c r="W21" s="349">
        <f t="shared" ref="W21:AG21" si="15">SUM(W22:W25)</f>
        <v>0</v>
      </c>
      <c r="X21" s="349">
        <f t="shared" si="15"/>
        <v>0</v>
      </c>
      <c r="Y21" s="349">
        <f t="shared" si="15"/>
        <v>0</v>
      </c>
      <c r="Z21" s="349">
        <f t="shared" si="15"/>
        <v>0</v>
      </c>
      <c r="AA21" s="349">
        <f t="shared" si="15"/>
        <v>0</v>
      </c>
      <c r="AB21" s="349">
        <f t="shared" si="15"/>
        <v>0</v>
      </c>
      <c r="AC21" s="349">
        <f t="shared" si="15"/>
        <v>0</v>
      </c>
      <c r="AD21" s="349">
        <f t="shared" si="15"/>
        <v>0</v>
      </c>
      <c r="AE21" s="349">
        <f t="shared" si="15"/>
        <v>0</v>
      </c>
      <c r="AF21" s="349">
        <f t="shared" si="15"/>
        <v>0</v>
      </c>
      <c r="AG21" s="349">
        <f t="shared" si="15"/>
        <v>0</v>
      </c>
      <c r="AH21" s="349">
        <f t="shared" si="7"/>
        <v>0</v>
      </c>
      <c r="AI21" s="350" t="str">
        <f t="shared" si="6"/>
        <v/>
      </c>
      <c r="BA21" s="325"/>
    </row>
    <row r="22" spans="1:53" ht="10.5" customHeight="1">
      <c r="A22" s="342"/>
      <c r="B22" s="351"/>
      <c r="C22" s="328" t="s">
        <v>246</v>
      </c>
      <c r="D22" s="329"/>
      <c r="E22" s="329"/>
      <c r="F22" s="329"/>
      <c r="G22" s="329"/>
      <c r="H22" s="329"/>
      <c r="I22" s="329"/>
      <c r="J22" s="329"/>
      <c r="K22" s="329"/>
      <c r="L22" s="329"/>
      <c r="M22" s="329"/>
      <c r="N22" s="329"/>
      <c r="O22" s="329"/>
      <c r="P22" s="329">
        <f t="shared" si="3"/>
        <v>0</v>
      </c>
      <c r="Q22" s="330" t="str">
        <f>IF(P22=0,"",P22/$P$3)</f>
        <v/>
      </c>
      <c r="S22" s="342"/>
      <c r="T22" s="351"/>
      <c r="U22" s="328" t="s">
        <v>246</v>
      </c>
      <c r="V22" s="329">
        <f>V9</f>
        <v>0</v>
      </c>
      <c r="W22" s="329">
        <f t="shared" ref="W22:AG22" si="16">W10+W11</f>
        <v>0</v>
      </c>
      <c r="X22" s="329">
        <f t="shared" si="16"/>
        <v>0</v>
      </c>
      <c r="Y22" s="329">
        <f t="shared" si="16"/>
        <v>0</v>
      </c>
      <c r="Z22" s="329">
        <f t="shared" si="16"/>
        <v>0</v>
      </c>
      <c r="AA22" s="329">
        <f t="shared" si="16"/>
        <v>0</v>
      </c>
      <c r="AB22" s="329">
        <f t="shared" si="16"/>
        <v>0</v>
      </c>
      <c r="AC22" s="329">
        <f t="shared" si="16"/>
        <v>0</v>
      </c>
      <c r="AD22" s="329">
        <f t="shared" si="16"/>
        <v>0</v>
      </c>
      <c r="AE22" s="329">
        <f t="shared" si="16"/>
        <v>0</v>
      </c>
      <c r="AF22" s="329">
        <f t="shared" si="16"/>
        <v>0</v>
      </c>
      <c r="AG22" s="329">
        <f t="shared" si="16"/>
        <v>0</v>
      </c>
      <c r="AH22" s="329">
        <f t="shared" si="7"/>
        <v>0</v>
      </c>
      <c r="AI22" s="330" t="str">
        <f t="shared" si="6"/>
        <v/>
      </c>
      <c r="BA22" s="325"/>
    </row>
    <row r="23" spans="1:53" ht="11.25" customHeight="1">
      <c r="A23" s="342"/>
      <c r="B23" s="351"/>
      <c r="C23" s="328" t="s">
        <v>247</v>
      </c>
      <c r="D23" s="329"/>
      <c r="E23" s="329"/>
      <c r="F23" s="329"/>
      <c r="G23" s="329"/>
      <c r="H23" s="329"/>
      <c r="I23" s="329"/>
      <c r="J23" s="329"/>
      <c r="K23" s="329"/>
      <c r="L23" s="329"/>
      <c r="M23" s="329"/>
      <c r="N23" s="329"/>
      <c r="O23" s="329"/>
      <c r="P23" s="329">
        <f t="shared" si="3"/>
        <v>0</v>
      </c>
      <c r="Q23" s="330" t="str">
        <f t="shared" si="5"/>
        <v/>
      </c>
      <c r="S23" s="342"/>
      <c r="T23" s="351"/>
      <c r="U23" s="328" t="s">
        <v>247</v>
      </c>
      <c r="V23" s="329"/>
      <c r="W23" s="329"/>
      <c r="X23" s="329"/>
      <c r="Y23" s="329"/>
      <c r="Z23" s="329"/>
      <c r="AA23" s="329"/>
      <c r="AB23" s="329"/>
      <c r="AC23" s="329"/>
      <c r="AD23" s="329"/>
      <c r="AE23" s="329"/>
      <c r="AF23" s="329"/>
      <c r="AG23" s="329"/>
      <c r="AH23" s="329">
        <f t="shared" si="7"/>
        <v>0</v>
      </c>
      <c r="AI23" s="330" t="str">
        <f t="shared" si="6"/>
        <v/>
      </c>
      <c r="BA23" s="325"/>
    </row>
    <row r="24" spans="1:53" ht="9.75" customHeight="1">
      <c r="A24" s="342"/>
      <c r="B24" s="351"/>
      <c r="C24" s="328" t="s">
        <v>248</v>
      </c>
      <c r="D24" s="329"/>
      <c r="E24" s="329"/>
      <c r="F24" s="329"/>
      <c r="G24" s="329"/>
      <c r="H24" s="329"/>
      <c r="I24" s="329"/>
      <c r="J24" s="329"/>
      <c r="K24" s="329"/>
      <c r="L24" s="329"/>
      <c r="M24" s="329"/>
      <c r="N24" s="329"/>
      <c r="O24" s="329"/>
      <c r="P24" s="329">
        <f t="shared" si="3"/>
        <v>0</v>
      </c>
      <c r="Q24" s="330" t="str">
        <f t="shared" si="5"/>
        <v/>
      </c>
      <c r="S24" s="342"/>
      <c r="T24" s="351"/>
      <c r="U24" s="328" t="s">
        <v>248</v>
      </c>
      <c r="V24" s="329"/>
      <c r="W24" s="329"/>
      <c r="X24" s="329"/>
      <c r="Y24" s="329"/>
      <c r="Z24" s="329"/>
      <c r="AA24" s="329"/>
      <c r="AB24" s="329"/>
      <c r="AC24" s="329"/>
      <c r="AD24" s="329"/>
      <c r="AE24" s="329"/>
      <c r="AF24" s="329"/>
      <c r="AG24" s="329"/>
      <c r="AH24" s="329">
        <f t="shared" si="7"/>
        <v>0</v>
      </c>
      <c r="AI24" s="330" t="str">
        <f t="shared" si="6"/>
        <v/>
      </c>
      <c r="BA24" s="325"/>
    </row>
    <row r="25" spans="1:53" ht="9.75" customHeight="1" thickBot="1">
      <c r="A25" s="355"/>
      <c r="B25" s="356"/>
      <c r="C25" s="357"/>
      <c r="D25" s="357"/>
      <c r="E25" s="357"/>
      <c r="F25" s="357"/>
      <c r="G25" s="357"/>
      <c r="H25" s="357"/>
      <c r="I25" s="357"/>
      <c r="J25" s="357"/>
      <c r="K25" s="357"/>
      <c r="L25" s="357"/>
      <c r="M25" s="357"/>
      <c r="N25" s="357"/>
      <c r="O25" s="357"/>
      <c r="P25" s="357">
        <f t="shared" si="3"/>
        <v>0</v>
      </c>
      <c r="Q25" s="358" t="str">
        <f t="shared" si="5"/>
        <v/>
      </c>
      <c r="S25" s="342"/>
      <c r="T25" s="356"/>
      <c r="U25" s="357"/>
      <c r="V25" s="357"/>
      <c r="W25" s="357"/>
      <c r="X25" s="357"/>
      <c r="Y25" s="357"/>
      <c r="Z25" s="357"/>
      <c r="AA25" s="357"/>
      <c r="AB25" s="357"/>
      <c r="AC25" s="357"/>
      <c r="AD25" s="357"/>
      <c r="AE25" s="357"/>
      <c r="AF25" s="357"/>
      <c r="AG25" s="357"/>
      <c r="AH25" s="357">
        <f t="shared" si="7"/>
        <v>0</v>
      </c>
      <c r="AI25" s="358" t="str">
        <f t="shared" si="6"/>
        <v/>
      </c>
      <c r="BA25" s="325"/>
    </row>
    <row r="26" spans="1:53" ht="9.75" customHeight="1" thickTop="1">
      <c r="A26" s="359" t="s">
        <v>249</v>
      </c>
      <c r="B26" s="360"/>
      <c r="C26" s="361"/>
      <c r="D26" s="362">
        <f t="shared" ref="D26:O26" si="17">D3-D14</f>
        <v>0</v>
      </c>
      <c r="E26" s="362">
        <f t="shared" si="17"/>
        <v>0</v>
      </c>
      <c r="F26" s="362">
        <f t="shared" si="17"/>
        <v>0</v>
      </c>
      <c r="G26" s="362">
        <f t="shared" si="17"/>
        <v>0</v>
      </c>
      <c r="H26" s="362">
        <f t="shared" si="17"/>
        <v>-36300</v>
      </c>
      <c r="I26" s="362">
        <f t="shared" si="17"/>
        <v>-108300</v>
      </c>
      <c r="J26" s="362">
        <f t="shared" si="17"/>
        <v>-287670</v>
      </c>
      <c r="K26" s="362">
        <f t="shared" si="17"/>
        <v>-771310</v>
      </c>
      <c r="L26" s="362">
        <f t="shared" si="17"/>
        <v>-631510</v>
      </c>
      <c r="M26" s="362">
        <f t="shared" si="17"/>
        <v>-294430</v>
      </c>
      <c r="N26" s="362">
        <f t="shared" si="17"/>
        <v>-8390</v>
      </c>
      <c r="O26" s="362">
        <f t="shared" si="17"/>
        <v>592910</v>
      </c>
      <c r="P26" s="362">
        <f t="shared" si="3"/>
        <v>-1545000</v>
      </c>
      <c r="Q26" s="363">
        <f t="shared" si="5"/>
        <v>-0.27148128624143386</v>
      </c>
      <c r="S26" s="359"/>
      <c r="T26" s="360" t="s">
        <v>249</v>
      </c>
      <c r="U26" s="361"/>
      <c r="V26" s="362">
        <f t="shared" ref="V26:AG26" si="18">V3-V14</f>
        <v>198290</v>
      </c>
      <c r="W26" s="362">
        <f t="shared" si="18"/>
        <v>365990</v>
      </c>
      <c r="X26" s="362">
        <f t="shared" si="18"/>
        <v>1163090</v>
      </c>
      <c r="Y26" s="362">
        <f t="shared" si="18"/>
        <v>1470690</v>
      </c>
      <c r="Z26" s="362">
        <f t="shared" si="18"/>
        <v>1736590</v>
      </c>
      <c r="AA26" s="362">
        <f t="shared" si="18"/>
        <v>1911290</v>
      </c>
      <c r="AB26" s="362">
        <f t="shared" si="18"/>
        <v>1911290</v>
      </c>
      <c r="AC26" s="362">
        <f t="shared" si="18"/>
        <v>1911290</v>
      </c>
      <c r="AD26" s="362">
        <f t="shared" si="18"/>
        <v>657690</v>
      </c>
      <c r="AE26" s="362">
        <f t="shared" si="18"/>
        <v>1386890</v>
      </c>
      <c r="AF26" s="362">
        <f t="shared" si="18"/>
        <v>1736590</v>
      </c>
      <c r="AG26" s="362">
        <f t="shared" si="18"/>
        <v>2260890</v>
      </c>
      <c r="AH26" s="362">
        <f t="shared" si="7"/>
        <v>16710580</v>
      </c>
      <c r="AI26" s="363">
        <f t="shared" si="6"/>
        <v>0.43149131753921632</v>
      </c>
      <c r="BA26" s="325"/>
    </row>
    <row r="27" spans="1:53" ht="9.75" customHeight="1">
      <c r="A27" s="364" t="s">
        <v>250</v>
      </c>
      <c r="B27" s="365"/>
      <c r="C27" s="366"/>
      <c r="D27" s="367">
        <f t="shared" ref="D27:N27" si="19">SUM(D28:D35)</f>
        <v>0</v>
      </c>
      <c r="E27" s="367">
        <f t="shared" si="19"/>
        <v>0</v>
      </c>
      <c r="F27" s="367">
        <f t="shared" si="19"/>
        <v>0</v>
      </c>
      <c r="G27" s="367">
        <f t="shared" si="19"/>
        <v>215200</v>
      </c>
      <c r="H27" s="367">
        <f t="shared" si="19"/>
        <v>275200</v>
      </c>
      <c r="I27" s="367">
        <f t="shared" si="19"/>
        <v>275200</v>
      </c>
      <c r="J27" s="367">
        <f t="shared" si="19"/>
        <v>275200</v>
      </c>
      <c r="K27" s="367">
        <f t="shared" si="19"/>
        <v>366400</v>
      </c>
      <c r="L27" s="367">
        <f t="shared" si="19"/>
        <v>366400</v>
      </c>
      <c r="M27" s="367">
        <f t="shared" si="19"/>
        <v>366400</v>
      </c>
      <c r="N27" s="367">
        <f t="shared" si="19"/>
        <v>366400</v>
      </c>
      <c r="O27" s="367">
        <f>SUM(O28:O35)</f>
        <v>366400</v>
      </c>
      <c r="P27" s="367">
        <f t="shared" si="3"/>
        <v>2872800</v>
      </c>
      <c r="Q27" s="368">
        <f t="shared" si="5"/>
        <v>0.50479704797047975</v>
      </c>
      <c r="S27" s="364"/>
      <c r="T27" s="365" t="s">
        <v>250</v>
      </c>
      <c r="U27" s="366"/>
      <c r="V27" s="367">
        <f t="shared" ref="V27:AG27" si="20">SUM(V28:V35)</f>
        <v>513500</v>
      </c>
      <c r="W27" s="367">
        <f t="shared" si="20"/>
        <v>513500</v>
      </c>
      <c r="X27" s="367">
        <f t="shared" si="20"/>
        <v>513500</v>
      </c>
      <c r="Y27" s="367">
        <f t="shared" si="20"/>
        <v>513500</v>
      </c>
      <c r="Z27" s="367">
        <f t="shared" si="20"/>
        <v>513500</v>
      </c>
      <c r="AA27" s="367">
        <f t="shared" si="20"/>
        <v>513500</v>
      </c>
      <c r="AB27" s="367">
        <f t="shared" si="20"/>
        <v>513500</v>
      </c>
      <c r="AC27" s="367">
        <f t="shared" si="20"/>
        <v>513500</v>
      </c>
      <c r="AD27" s="367">
        <f t="shared" si="20"/>
        <v>513500</v>
      </c>
      <c r="AE27" s="367">
        <f t="shared" si="20"/>
        <v>513500</v>
      </c>
      <c r="AF27" s="367">
        <f t="shared" si="20"/>
        <v>513500</v>
      </c>
      <c r="AG27" s="367">
        <f t="shared" si="20"/>
        <v>513500</v>
      </c>
      <c r="AH27" s="367">
        <f t="shared" si="7"/>
        <v>6162000</v>
      </c>
      <c r="AI27" s="368">
        <f t="shared" si="6"/>
        <v>0.1591117423019818</v>
      </c>
      <c r="BA27" s="325"/>
    </row>
    <row r="28" spans="1:53" ht="9.75" customHeight="1">
      <c r="A28" s="369"/>
      <c r="B28" s="370"/>
      <c r="C28" s="371" t="s">
        <v>251</v>
      </c>
      <c r="D28" s="329"/>
      <c r="E28" s="329"/>
      <c r="F28" s="329"/>
      <c r="G28" s="329">
        <v>180000</v>
      </c>
      <c r="H28" s="329">
        <v>180000</v>
      </c>
      <c r="I28" s="329">
        <v>180000</v>
      </c>
      <c r="J28" s="329">
        <v>180000</v>
      </c>
      <c r="K28" s="329">
        <v>180000</v>
      </c>
      <c r="L28" s="329">
        <v>180000</v>
      </c>
      <c r="M28" s="329">
        <v>180000</v>
      </c>
      <c r="N28" s="329">
        <v>180000</v>
      </c>
      <c r="O28" s="329">
        <v>180000</v>
      </c>
      <c r="P28" s="329">
        <f t="shared" si="3"/>
        <v>1620000</v>
      </c>
      <c r="Q28" s="330">
        <f>IF(P28=0,"",P28/$P$3)</f>
        <v>0.28465998945703741</v>
      </c>
      <c r="S28" s="369"/>
      <c r="T28" s="370"/>
      <c r="U28" s="371" t="s">
        <v>252</v>
      </c>
      <c r="V28" s="329">
        <v>300000</v>
      </c>
      <c r="W28" s="329">
        <v>300000</v>
      </c>
      <c r="X28" s="329">
        <v>300000</v>
      </c>
      <c r="Y28" s="329">
        <v>300000</v>
      </c>
      <c r="Z28" s="329">
        <v>300000</v>
      </c>
      <c r="AA28" s="329">
        <v>300000</v>
      </c>
      <c r="AB28" s="329">
        <v>300000</v>
      </c>
      <c r="AC28" s="329">
        <v>300000</v>
      </c>
      <c r="AD28" s="329">
        <v>300000</v>
      </c>
      <c r="AE28" s="329">
        <v>300000</v>
      </c>
      <c r="AF28" s="329">
        <v>300000</v>
      </c>
      <c r="AG28" s="329">
        <v>300000</v>
      </c>
      <c r="AH28" s="329">
        <f t="shared" si="7"/>
        <v>3600000</v>
      </c>
      <c r="AI28" s="330">
        <f t="shared" si="6"/>
        <v>9.2957200955393449E-2</v>
      </c>
      <c r="BA28" s="325"/>
    </row>
    <row r="29" spans="1:53" ht="9.75" customHeight="1">
      <c r="A29" s="369"/>
      <c r="B29" s="370"/>
      <c r="C29" s="372" t="s">
        <v>253</v>
      </c>
      <c r="D29" s="329"/>
      <c r="E29" s="329"/>
      <c r="F29" s="329"/>
      <c r="G29" s="329"/>
      <c r="H29" s="329"/>
      <c r="I29" s="329"/>
      <c r="J29" s="329"/>
      <c r="K29" s="329">
        <v>80000</v>
      </c>
      <c r="L29" s="329">
        <v>80000</v>
      </c>
      <c r="M29" s="329">
        <v>80000</v>
      </c>
      <c r="N29" s="329">
        <v>80000</v>
      </c>
      <c r="O29" s="329">
        <v>80000</v>
      </c>
      <c r="P29" s="329">
        <f t="shared" si="3"/>
        <v>400000</v>
      </c>
      <c r="Q29" s="330">
        <f t="shared" si="5"/>
        <v>7.0286417149885788E-2</v>
      </c>
      <c r="S29" s="369"/>
      <c r="T29" s="370"/>
      <c r="U29" s="372" t="s">
        <v>254</v>
      </c>
      <c r="V29" s="329">
        <v>80000</v>
      </c>
      <c r="W29" s="329">
        <v>80000</v>
      </c>
      <c r="X29" s="329">
        <v>80000</v>
      </c>
      <c r="Y29" s="329">
        <v>80000</v>
      </c>
      <c r="Z29" s="329">
        <v>80000</v>
      </c>
      <c r="AA29" s="329">
        <v>80000</v>
      </c>
      <c r="AB29" s="329">
        <v>80000</v>
      </c>
      <c r="AC29" s="329">
        <v>80000</v>
      </c>
      <c r="AD29" s="329">
        <v>80000</v>
      </c>
      <c r="AE29" s="329">
        <v>80000</v>
      </c>
      <c r="AF29" s="329">
        <v>80000</v>
      </c>
      <c r="AG29" s="329">
        <v>80000</v>
      </c>
      <c r="AH29" s="329">
        <f t="shared" si="7"/>
        <v>960000</v>
      </c>
      <c r="AI29" s="330">
        <f t="shared" si="6"/>
        <v>2.4788586921438253E-2</v>
      </c>
      <c r="BA29" s="325"/>
    </row>
    <row r="30" spans="1:53" ht="9.75" customHeight="1">
      <c r="A30" s="369"/>
      <c r="B30" s="370"/>
      <c r="C30" s="371" t="s">
        <v>255</v>
      </c>
      <c r="D30" s="329">
        <f t="shared" ref="D30:F30" si="21">(D28+D29)*0.1</f>
        <v>0</v>
      </c>
      <c r="E30" s="329">
        <f t="shared" si="21"/>
        <v>0</v>
      </c>
      <c r="F30" s="329">
        <f t="shared" si="21"/>
        <v>0</v>
      </c>
      <c r="G30" s="329">
        <f>(G28+G29)*0.14</f>
        <v>25200.000000000004</v>
      </c>
      <c r="H30" s="329">
        <f t="shared" ref="H30:O30" si="22">(H28+H29)*0.14</f>
        <v>25200.000000000004</v>
      </c>
      <c r="I30" s="329">
        <f t="shared" si="22"/>
        <v>25200.000000000004</v>
      </c>
      <c r="J30" s="329">
        <f t="shared" si="22"/>
        <v>25200.000000000004</v>
      </c>
      <c r="K30" s="329">
        <f t="shared" si="22"/>
        <v>36400</v>
      </c>
      <c r="L30" s="329">
        <f t="shared" si="22"/>
        <v>36400</v>
      </c>
      <c r="M30" s="329">
        <f t="shared" si="22"/>
        <v>36400</v>
      </c>
      <c r="N30" s="329">
        <f t="shared" si="22"/>
        <v>36400</v>
      </c>
      <c r="O30" s="329">
        <f t="shared" si="22"/>
        <v>36400</v>
      </c>
      <c r="P30" s="329">
        <f t="shared" si="3"/>
        <v>282800</v>
      </c>
      <c r="Q30" s="330">
        <f t="shared" si="5"/>
        <v>4.969249692496925E-2</v>
      </c>
      <c r="S30" s="369"/>
      <c r="T30" s="370"/>
      <c r="U30" s="371" t="s">
        <v>255</v>
      </c>
      <c r="V30" s="329">
        <f>(V28)*0.145</f>
        <v>43500</v>
      </c>
      <c r="W30" s="329">
        <f t="shared" ref="W30:AG30" si="23">(W28)*0.145</f>
        <v>43500</v>
      </c>
      <c r="X30" s="329">
        <f t="shared" si="23"/>
        <v>43500</v>
      </c>
      <c r="Y30" s="329">
        <f t="shared" si="23"/>
        <v>43500</v>
      </c>
      <c r="Z30" s="329">
        <f t="shared" si="23"/>
        <v>43500</v>
      </c>
      <c r="AA30" s="329">
        <f t="shared" si="23"/>
        <v>43500</v>
      </c>
      <c r="AB30" s="329">
        <f t="shared" si="23"/>
        <v>43500</v>
      </c>
      <c r="AC30" s="329">
        <f t="shared" si="23"/>
        <v>43500</v>
      </c>
      <c r="AD30" s="329">
        <f t="shared" si="23"/>
        <v>43500</v>
      </c>
      <c r="AE30" s="329">
        <f t="shared" si="23"/>
        <v>43500</v>
      </c>
      <c r="AF30" s="329">
        <f t="shared" si="23"/>
        <v>43500</v>
      </c>
      <c r="AG30" s="329">
        <f t="shared" si="23"/>
        <v>43500</v>
      </c>
      <c r="AH30" s="329">
        <f t="shared" si="7"/>
        <v>522000</v>
      </c>
      <c r="AI30" s="330">
        <f t="shared" si="6"/>
        <v>1.3478794138532051E-2</v>
      </c>
      <c r="BA30" s="325"/>
    </row>
    <row r="31" spans="1:53" ht="9.75" customHeight="1">
      <c r="A31" s="369"/>
      <c r="B31" s="370"/>
      <c r="C31" s="372" t="s">
        <v>256</v>
      </c>
      <c r="D31" s="329"/>
      <c r="E31" s="329"/>
      <c r="F31" s="329"/>
      <c r="G31" s="329"/>
      <c r="H31" s="329">
        <v>30000</v>
      </c>
      <c r="I31" s="329">
        <v>30000</v>
      </c>
      <c r="J31" s="329">
        <v>30000</v>
      </c>
      <c r="K31" s="329">
        <v>30000</v>
      </c>
      <c r="L31" s="329">
        <v>30000</v>
      </c>
      <c r="M31" s="329">
        <v>30000</v>
      </c>
      <c r="N31" s="329">
        <v>30000</v>
      </c>
      <c r="O31" s="329">
        <v>30000</v>
      </c>
      <c r="P31" s="329">
        <f t="shared" si="3"/>
        <v>240000</v>
      </c>
      <c r="Q31" s="330">
        <f t="shared" si="5"/>
        <v>4.2171850289931472E-2</v>
      </c>
      <c r="S31" s="369"/>
      <c r="T31" s="370"/>
      <c r="U31" s="372" t="s">
        <v>256</v>
      </c>
      <c r="V31" s="329">
        <v>30000</v>
      </c>
      <c r="W31" s="329">
        <f>V31</f>
        <v>30000</v>
      </c>
      <c r="X31" s="329">
        <f t="shared" ref="X31:AG32" si="24">W31</f>
        <v>30000</v>
      </c>
      <c r="Y31" s="329">
        <f t="shared" si="24"/>
        <v>30000</v>
      </c>
      <c r="Z31" s="329">
        <f t="shared" si="24"/>
        <v>30000</v>
      </c>
      <c r="AA31" s="329">
        <f t="shared" si="24"/>
        <v>30000</v>
      </c>
      <c r="AB31" s="329">
        <f t="shared" si="24"/>
        <v>30000</v>
      </c>
      <c r="AC31" s="329">
        <f t="shared" si="24"/>
        <v>30000</v>
      </c>
      <c r="AD31" s="329">
        <f t="shared" si="24"/>
        <v>30000</v>
      </c>
      <c r="AE31" s="329">
        <f t="shared" si="24"/>
        <v>30000</v>
      </c>
      <c r="AF31" s="329">
        <f t="shared" si="24"/>
        <v>30000</v>
      </c>
      <c r="AG31" s="329">
        <f t="shared" si="24"/>
        <v>30000</v>
      </c>
      <c r="AH31" s="329">
        <f t="shared" si="7"/>
        <v>360000</v>
      </c>
      <c r="AI31" s="330">
        <f t="shared" si="6"/>
        <v>9.2957200955393459E-3</v>
      </c>
      <c r="BA31" s="325"/>
    </row>
    <row r="32" spans="1:53" ht="9.75" customHeight="1">
      <c r="A32" s="369"/>
      <c r="B32" s="370"/>
      <c r="C32" s="371" t="s">
        <v>257</v>
      </c>
      <c r="D32" s="329"/>
      <c r="E32" s="329"/>
      <c r="F32" s="329"/>
      <c r="G32" s="329"/>
      <c r="H32" s="329">
        <v>30000</v>
      </c>
      <c r="I32" s="329">
        <v>30000</v>
      </c>
      <c r="J32" s="329">
        <v>30000</v>
      </c>
      <c r="K32" s="329">
        <v>30000</v>
      </c>
      <c r="L32" s="329">
        <v>30000</v>
      </c>
      <c r="M32" s="329">
        <v>30000</v>
      </c>
      <c r="N32" s="329">
        <v>30000</v>
      </c>
      <c r="O32" s="329">
        <v>30000</v>
      </c>
      <c r="P32" s="329">
        <f t="shared" si="3"/>
        <v>240000</v>
      </c>
      <c r="Q32" s="330">
        <f t="shared" si="5"/>
        <v>4.2171850289931472E-2</v>
      </c>
      <c r="S32" s="369"/>
      <c r="T32" s="370"/>
      <c r="U32" s="371" t="s">
        <v>257</v>
      </c>
      <c r="V32" s="329">
        <v>50000</v>
      </c>
      <c r="W32" s="329">
        <f>V32</f>
        <v>50000</v>
      </c>
      <c r="X32" s="329">
        <f t="shared" si="24"/>
        <v>50000</v>
      </c>
      <c r="Y32" s="329">
        <f t="shared" si="24"/>
        <v>50000</v>
      </c>
      <c r="Z32" s="329">
        <f t="shared" si="24"/>
        <v>50000</v>
      </c>
      <c r="AA32" s="329">
        <f t="shared" si="24"/>
        <v>50000</v>
      </c>
      <c r="AB32" s="329">
        <f t="shared" si="24"/>
        <v>50000</v>
      </c>
      <c r="AC32" s="329">
        <f t="shared" si="24"/>
        <v>50000</v>
      </c>
      <c r="AD32" s="329">
        <f t="shared" si="24"/>
        <v>50000</v>
      </c>
      <c r="AE32" s="329">
        <f t="shared" si="24"/>
        <v>50000</v>
      </c>
      <c r="AF32" s="329">
        <f t="shared" si="24"/>
        <v>50000</v>
      </c>
      <c r="AG32" s="329">
        <f t="shared" si="24"/>
        <v>50000</v>
      </c>
      <c r="AH32" s="329">
        <f t="shared" si="7"/>
        <v>600000</v>
      </c>
      <c r="AI32" s="330">
        <f t="shared" si="6"/>
        <v>1.5492866825898909E-2</v>
      </c>
      <c r="BA32" s="325"/>
    </row>
    <row r="33" spans="1:53" ht="9.75" customHeight="1">
      <c r="A33" s="369"/>
      <c r="B33" s="370"/>
      <c r="C33" s="372" t="s">
        <v>258</v>
      </c>
      <c r="D33" s="329"/>
      <c r="E33" s="329"/>
      <c r="F33" s="329"/>
      <c r="G33" s="329"/>
      <c r="H33" s="329"/>
      <c r="I33" s="329"/>
      <c r="J33" s="329"/>
      <c r="K33" s="329"/>
      <c r="L33" s="329"/>
      <c r="M33" s="329"/>
      <c r="N33" s="329"/>
      <c r="O33" s="329"/>
      <c r="P33" s="329">
        <f t="shared" si="3"/>
        <v>0</v>
      </c>
      <c r="Q33" s="330" t="str">
        <f t="shared" si="5"/>
        <v/>
      </c>
      <c r="S33" s="369"/>
      <c r="T33" s="370"/>
      <c r="U33" s="372" t="s">
        <v>259</v>
      </c>
      <c r="V33" s="329"/>
      <c r="W33" s="329"/>
      <c r="X33" s="329"/>
      <c r="Y33" s="329"/>
      <c r="Z33" s="329"/>
      <c r="AA33" s="329"/>
      <c r="AB33" s="329"/>
      <c r="AC33" s="329"/>
      <c r="AD33" s="329"/>
      <c r="AE33" s="329"/>
      <c r="AF33" s="329"/>
      <c r="AG33" s="329"/>
      <c r="AH33" s="329">
        <f t="shared" si="7"/>
        <v>0</v>
      </c>
      <c r="AI33" s="330" t="str">
        <f t="shared" si="6"/>
        <v/>
      </c>
      <c r="BA33" s="325"/>
    </row>
    <row r="34" spans="1:53" ht="9.75" customHeight="1">
      <c r="A34" s="369"/>
      <c r="B34" s="370"/>
      <c r="C34" s="371" t="s">
        <v>260</v>
      </c>
      <c r="D34" s="329"/>
      <c r="E34" s="329"/>
      <c r="F34" s="329"/>
      <c r="G34" s="329">
        <v>10000</v>
      </c>
      <c r="H34" s="329">
        <v>10000</v>
      </c>
      <c r="I34" s="329">
        <v>10000</v>
      </c>
      <c r="J34" s="329">
        <v>10000</v>
      </c>
      <c r="K34" s="329">
        <v>10000</v>
      </c>
      <c r="L34" s="329">
        <v>10000</v>
      </c>
      <c r="M34" s="329">
        <v>10000</v>
      </c>
      <c r="N34" s="329">
        <v>10000</v>
      </c>
      <c r="O34" s="329">
        <v>10000</v>
      </c>
      <c r="P34" s="329">
        <f t="shared" si="3"/>
        <v>90000</v>
      </c>
      <c r="Q34" s="330">
        <f t="shared" si="5"/>
        <v>1.5814443858724301E-2</v>
      </c>
      <c r="S34" s="369"/>
      <c r="T34" s="370"/>
      <c r="U34" s="371" t="s">
        <v>260</v>
      </c>
      <c r="V34" s="329">
        <v>10000</v>
      </c>
      <c r="W34" s="329">
        <v>10000</v>
      </c>
      <c r="X34" s="329">
        <v>10000</v>
      </c>
      <c r="Y34" s="329">
        <v>10000</v>
      </c>
      <c r="Z34" s="329">
        <v>10000</v>
      </c>
      <c r="AA34" s="329">
        <v>10000</v>
      </c>
      <c r="AB34" s="329">
        <v>10000</v>
      </c>
      <c r="AC34" s="329">
        <v>10000</v>
      </c>
      <c r="AD34" s="329">
        <v>10000</v>
      </c>
      <c r="AE34" s="329">
        <v>10000</v>
      </c>
      <c r="AF34" s="329">
        <v>10000</v>
      </c>
      <c r="AG34" s="329">
        <v>10000</v>
      </c>
      <c r="AH34" s="329">
        <f t="shared" si="7"/>
        <v>120000</v>
      </c>
      <c r="AI34" s="330">
        <f t="shared" si="6"/>
        <v>3.0985733651797817E-3</v>
      </c>
      <c r="BA34" s="325"/>
    </row>
    <row r="35" spans="1:53" ht="11.25" customHeight="1" thickBot="1">
      <c r="A35" s="373"/>
      <c r="B35" s="374"/>
      <c r="C35" s="375" t="s">
        <v>261</v>
      </c>
      <c r="D35" s="357"/>
      <c r="E35" s="357"/>
      <c r="F35" s="357"/>
      <c r="G35" s="357"/>
      <c r="H35" s="357"/>
      <c r="I35" s="357"/>
      <c r="J35" s="357"/>
      <c r="K35" s="357"/>
      <c r="L35" s="357"/>
      <c r="M35" s="357"/>
      <c r="N35" s="357"/>
      <c r="O35" s="357"/>
      <c r="P35" s="357">
        <f t="shared" si="3"/>
        <v>0</v>
      </c>
      <c r="Q35" s="358" t="str">
        <f t="shared" si="5"/>
        <v/>
      </c>
      <c r="S35" s="373"/>
      <c r="T35" s="374"/>
      <c r="U35" s="375" t="s">
        <v>261</v>
      </c>
      <c r="V35" s="357">
        <f>$P$35/10</f>
        <v>0</v>
      </c>
      <c r="W35" s="357">
        <f t="shared" ref="W35:AG35" si="25">$P$35/10</f>
        <v>0</v>
      </c>
      <c r="X35" s="357">
        <f t="shared" si="25"/>
        <v>0</v>
      </c>
      <c r="Y35" s="357">
        <f t="shared" si="25"/>
        <v>0</v>
      </c>
      <c r="Z35" s="357">
        <f t="shared" si="25"/>
        <v>0</v>
      </c>
      <c r="AA35" s="357">
        <f t="shared" si="25"/>
        <v>0</v>
      </c>
      <c r="AB35" s="357">
        <f t="shared" si="25"/>
        <v>0</v>
      </c>
      <c r="AC35" s="357">
        <f t="shared" si="25"/>
        <v>0</v>
      </c>
      <c r="AD35" s="357">
        <f t="shared" si="25"/>
        <v>0</v>
      </c>
      <c r="AE35" s="357">
        <f t="shared" si="25"/>
        <v>0</v>
      </c>
      <c r="AF35" s="357">
        <f t="shared" si="25"/>
        <v>0</v>
      </c>
      <c r="AG35" s="357">
        <f t="shared" si="25"/>
        <v>0</v>
      </c>
      <c r="AH35" s="357">
        <f t="shared" si="7"/>
        <v>0</v>
      </c>
      <c r="AI35" s="358" t="str">
        <f t="shared" si="6"/>
        <v/>
      </c>
      <c r="BA35" s="325"/>
    </row>
    <row r="36" spans="1:53" ht="11.25" customHeight="1" thickTop="1" thickBot="1">
      <c r="A36" s="376" t="s">
        <v>262</v>
      </c>
      <c r="B36" s="377"/>
      <c r="C36" s="378"/>
      <c r="D36" s="379">
        <f>D26-D27</f>
        <v>0</v>
      </c>
      <c r="E36" s="379">
        <f t="shared" ref="E36:O36" si="26">E26-E27</f>
        <v>0</v>
      </c>
      <c r="F36" s="379">
        <f t="shared" si="26"/>
        <v>0</v>
      </c>
      <c r="G36" s="379">
        <f t="shared" si="26"/>
        <v>-215200</v>
      </c>
      <c r="H36" s="379">
        <f t="shared" si="26"/>
        <v>-311500</v>
      </c>
      <c r="I36" s="379">
        <f t="shared" si="26"/>
        <v>-383500</v>
      </c>
      <c r="J36" s="379">
        <f t="shared" si="26"/>
        <v>-562870</v>
      </c>
      <c r="K36" s="379">
        <f t="shared" si="26"/>
        <v>-1137710</v>
      </c>
      <c r="L36" s="379">
        <f t="shared" si="26"/>
        <v>-997910</v>
      </c>
      <c r="M36" s="379">
        <f t="shared" si="26"/>
        <v>-660830</v>
      </c>
      <c r="N36" s="379">
        <f t="shared" si="26"/>
        <v>-374790</v>
      </c>
      <c r="O36" s="379">
        <f t="shared" si="26"/>
        <v>226510</v>
      </c>
      <c r="P36" s="379">
        <f>SUM(D36:O36)</f>
        <v>-4417800</v>
      </c>
      <c r="Q36" s="380">
        <f t="shared" si="5"/>
        <v>-0.7762783342119135</v>
      </c>
      <c r="S36" s="376"/>
      <c r="T36" s="377" t="s">
        <v>262</v>
      </c>
      <c r="U36" s="378"/>
      <c r="V36" s="379">
        <f>V26-V27</f>
        <v>-315210</v>
      </c>
      <c r="W36" s="379">
        <f t="shared" ref="W36:AG36" si="27">W26-W27</f>
        <v>-147510</v>
      </c>
      <c r="X36" s="379">
        <f t="shared" si="27"/>
        <v>649590</v>
      </c>
      <c r="Y36" s="379">
        <f t="shared" si="27"/>
        <v>957190</v>
      </c>
      <c r="Z36" s="379">
        <f t="shared" si="27"/>
        <v>1223090</v>
      </c>
      <c r="AA36" s="379">
        <f t="shared" si="27"/>
        <v>1397790</v>
      </c>
      <c r="AB36" s="379">
        <f t="shared" si="27"/>
        <v>1397790</v>
      </c>
      <c r="AC36" s="379">
        <f t="shared" si="27"/>
        <v>1397790</v>
      </c>
      <c r="AD36" s="379">
        <f t="shared" si="27"/>
        <v>144190</v>
      </c>
      <c r="AE36" s="379">
        <f t="shared" si="27"/>
        <v>873390</v>
      </c>
      <c r="AF36" s="379">
        <f t="shared" si="27"/>
        <v>1223090</v>
      </c>
      <c r="AG36" s="379">
        <f t="shared" si="27"/>
        <v>1747390</v>
      </c>
      <c r="AH36" s="379">
        <f t="shared" ref="AH36:AH41" si="28">SUM(V36:AG36)</f>
        <v>10548580</v>
      </c>
      <c r="AI36" s="380">
        <f t="shared" si="6"/>
        <v>0.27237957523723455</v>
      </c>
      <c r="BA36" s="325"/>
    </row>
    <row r="37" spans="1:53" ht="13.5" thickTop="1" thickBot="1">
      <c r="A37" s="381" t="s">
        <v>263</v>
      </c>
      <c r="B37" s="382"/>
      <c r="C37" s="383"/>
      <c r="D37" s="384"/>
      <c r="E37" s="384"/>
      <c r="F37" s="384"/>
      <c r="G37" s="384"/>
      <c r="H37" s="384"/>
      <c r="I37" s="384"/>
      <c r="J37" s="384"/>
      <c r="K37" s="384"/>
      <c r="L37" s="384"/>
      <c r="M37" s="384"/>
      <c r="N37" s="384"/>
      <c r="O37" s="384"/>
      <c r="P37" s="384">
        <f t="shared" si="3"/>
        <v>0</v>
      </c>
      <c r="Q37" s="385" t="str">
        <f t="shared" si="5"/>
        <v/>
      </c>
      <c r="S37" s="381"/>
      <c r="T37" s="382" t="s">
        <v>263</v>
      </c>
      <c r="U37" s="383"/>
      <c r="V37" s="384"/>
      <c r="W37" s="384"/>
      <c r="X37" s="384"/>
      <c r="Y37" s="384"/>
      <c r="Z37" s="384"/>
      <c r="AA37" s="384"/>
      <c r="AB37" s="384"/>
      <c r="AC37" s="384"/>
      <c r="AD37" s="384"/>
      <c r="AE37" s="384"/>
      <c r="AF37" s="384"/>
      <c r="AG37" s="384"/>
      <c r="AH37" s="384">
        <f t="shared" si="28"/>
        <v>0</v>
      </c>
      <c r="AI37" s="385" t="str">
        <f t="shared" si="6"/>
        <v/>
      </c>
      <c r="BA37" s="325"/>
    </row>
    <row r="38" spans="1:53" ht="9" customHeight="1">
      <c r="A38" s="386" t="s">
        <v>264</v>
      </c>
      <c r="B38" s="387"/>
      <c r="C38" s="388"/>
      <c r="D38" s="389">
        <f>SUM(D39:D40)</f>
        <v>0</v>
      </c>
      <c r="E38" s="389">
        <f t="shared" ref="E38:O38" si="29">SUM(E39:E40)</f>
        <v>0</v>
      </c>
      <c r="F38" s="389">
        <f t="shared" si="29"/>
        <v>0</v>
      </c>
      <c r="G38" s="389">
        <f t="shared" si="29"/>
        <v>0</v>
      </c>
      <c r="H38" s="389">
        <f t="shared" si="29"/>
        <v>0</v>
      </c>
      <c r="I38" s="389">
        <f t="shared" si="29"/>
        <v>0</v>
      </c>
      <c r="J38" s="389">
        <f t="shared" si="29"/>
        <v>0</v>
      </c>
      <c r="K38" s="389">
        <f t="shared" si="29"/>
        <v>0</v>
      </c>
      <c r="L38" s="389">
        <f t="shared" si="29"/>
        <v>0</v>
      </c>
      <c r="M38" s="389">
        <f t="shared" si="29"/>
        <v>0</v>
      </c>
      <c r="N38" s="389">
        <f t="shared" si="29"/>
        <v>0</v>
      </c>
      <c r="O38" s="389">
        <f t="shared" si="29"/>
        <v>0</v>
      </c>
      <c r="P38" s="389">
        <f t="shared" si="3"/>
        <v>0</v>
      </c>
      <c r="Q38" s="390" t="str">
        <f t="shared" si="5"/>
        <v/>
      </c>
      <c r="S38" s="386"/>
      <c r="T38" s="387" t="s">
        <v>264</v>
      </c>
      <c r="U38" s="388"/>
      <c r="V38" s="389">
        <f>SUM(V39:V40)</f>
        <v>0</v>
      </c>
      <c r="W38" s="389">
        <f t="shared" ref="W38:AG38" si="30">SUM(W39:W40)</f>
        <v>0</v>
      </c>
      <c r="X38" s="389">
        <f t="shared" si="30"/>
        <v>0</v>
      </c>
      <c r="Y38" s="389">
        <f t="shared" si="30"/>
        <v>0</v>
      </c>
      <c r="Z38" s="389">
        <f t="shared" si="30"/>
        <v>0</v>
      </c>
      <c r="AA38" s="389">
        <f t="shared" si="30"/>
        <v>0</v>
      </c>
      <c r="AB38" s="389">
        <f t="shared" si="30"/>
        <v>0</v>
      </c>
      <c r="AC38" s="389">
        <f t="shared" si="30"/>
        <v>0</v>
      </c>
      <c r="AD38" s="389">
        <f t="shared" si="30"/>
        <v>0</v>
      </c>
      <c r="AE38" s="389">
        <f t="shared" si="30"/>
        <v>0</v>
      </c>
      <c r="AF38" s="389">
        <f t="shared" si="30"/>
        <v>0</v>
      </c>
      <c r="AG38" s="389">
        <f t="shared" si="30"/>
        <v>0</v>
      </c>
      <c r="AH38" s="389">
        <f t="shared" si="28"/>
        <v>0</v>
      </c>
      <c r="AI38" s="390" t="str">
        <f t="shared" si="6"/>
        <v/>
      </c>
      <c r="BA38" s="325"/>
    </row>
    <row r="39" spans="1:53" ht="9" customHeight="1">
      <c r="A39" s="391"/>
      <c r="B39" s="392"/>
      <c r="C39" s="371" t="s">
        <v>265</v>
      </c>
      <c r="D39" s="329"/>
      <c r="E39" s="329"/>
      <c r="F39" s="329"/>
      <c r="G39" s="329"/>
      <c r="H39" s="329"/>
      <c r="I39" s="329"/>
      <c r="J39" s="329"/>
      <c r="K39" s="329"/>
      <c r="L39" s="329"/>
      <c r="M39" s="329"/>
      <c r="N39" s="329"/>
      <c r="O39" s="329"/>
      <c r="P39" s="329">
        <f t="shared" si="3"/>
        <v>0</v>
      </c>
      <c r="Q39" s="330" t="str">
        <f t="shared" si="5"/>
        <v/>
      </c>
      <c r="S39" s="391"/>
      <c r="T39" s="392"/>
      <c r="U39" s="371" t="s">
        <v>265</v>
      </c>
      <c r="V39" s="329"/>
      <c r="W39" s="329"/>
      <c r="X39" s="329"/>
      <c r="Y39" s="329"/>
      <c r="Z39" s="329"/>
      <c r="AA39" s="329"/>
      <c r="AB39" s="329"/>
      <c r="AC39" s="329"/>
      <c r="AD39" s="329"/>
      <c r="AE39" s="329"/>
      <c r="AF39" s="329"/>
      <c r="AG39" s="329"/>
      <c r="AH39" s="329">
        <f t="shared" si="28"/>
        <v>0</v>
      </c>
      <c r="AI39" s="330" t="str">
        <f t="shared" si="6"/>
        <v/>
      </c>
      <c r="BA39" s="325"/>
    </row>
    <row r="40" spans="1:53" ht="9" customHeight="1" thickBot="1">
      <c r="A40" s="393"/>
      <c r="B40" s="394"/>
      <c r="C40" s="375" t="s">
        <v>266</v>
      </c>
      <c r="D40" s="357"/>
      <c r="E40" s="357"/>
      <c r="F40" s="357"/>
      <c r="G40" s="357"/>
      <c r="H40" s="357"/>
      <c r="I40" s="357"/>
      <c r="J40" s="357"/>
      <c r="K40" s="357"/>
      <c r="L40" s="357"/>
      <c r="M40" s="357"/>
      <c r="N40" s="357"/>
      <c r="O40" s="357"/>
      <c r="P40" s="357">
        <f t="shared" si="3"/>
        <v>0</v>
      </c>
      <c r="Q40" s="358" t="str">
        <f t="shared" si="5"/>
        <v/>
      </c>
      <c r="S40" s="393"/>
      <c r="T40" s="394"/>
      <c r="U40" s="375" t="s">
        <v>266</v>
      </c>
      <c r="V40" s="357"/>
      <c r="W40" s="357"/>
      <c r="X40" s="357"/>
      <c r="Y40" s="357"/>
      <c r="Z40" s="357"/>
      <c r="AA40" s="357"/>
      <c r="AB40" s="357"/>
      <c r="AC40" s="357"/>
      <c r="AD40" s="357"/>
      <c r="AE40" s="357"/>
      <c r="AF40" s="357"/>
      <c r="AG40" s="357"/>
      <c r="AH40" s="357">
        <f t="shared" si="28"/>
        <v>0</v>
      </c>
      <c r="AI40" s="358" t="str">
        <f t="shared" si="6"/>
        <v/>
      </c>
      <c r="BA40" s="325"/>
    </row>
    <row r="41" spans="1:53" ht="9" customHeight="1" thickTop="1">
      <c r="A41" s="395" t="s">
        <v>267</v>
      </c>
      <c r="B41" s="396"/>
      <c r="C41" s="397"/>
      <c r="D41" s="362"/>
      <c r="E41" s="362"/>
      <c r="F41" s="362">
        <f>F36+F37-F38</f>
        <v>0</v>
      </c>
      <c r="G41" s="398">
        <f t="shared" ref="G41:O41" si="31">G36+G37-G38</f>
        <v>-215200</v>
      </c>
      <c r="H41" s="398">
        <f t="shared" si="31"/>
        <v>-311500</v>
      </c>
      <c r="I41" s="398">
        <f t="shared" si="31"/>
        <v>-383500</v>
      </c>
      <c r="J41" s="398">
        <f t="shared" si="31"/>
        <v>-562870</v>
      </c>
      <c r="K41" s="398">
        <f t="shared" si="31"/>
        <v>-1137710</v>
      </c>
      <c r="L41" s="398">
        <f t="shared" si="31"/>
        <v>-997910</v>
      </c>
      <c r="M41" s="398">
        <f t="shared" si="31"/>
        <v>-660830</v>
      </c>
      <c r="N41" s="398">
        <f t="shared" si="31"/>
        <v>-374790</v>
      </c>
      <c r="O41" s="398">
        <f t="shared" si="31"/>
        <v>226510</v>
      </c>
      <c r="P41" s="398">
        <f t="shared" si="3"/>
        <v>-4417800</v>
      </c>
      <c r="Q41" s="399">
        <f t="shared" si="5"/>
        <v>-0.7762783342119135</v>
      </c>
      <c r="S41" s="395"/>
      <c r="T41" s="396" t="s">
        <v>267</v>
      </c>
      <c r="U41" s="397"/>
      <c r="V41" s="362">
        <f>V36+V37-V38</f>
        <v>-315210</v>
      </c>
      <c r="W41" s="362">
        <f>W36+W37-W38</f>
        <v>-147510</v>
      </c>
      <c r="X41" s="362">
        <f>X36+X37-X38</f>
        <v>649590</v>
      </c>
      <c r="Y41" s="398">
        <f t="shared" ref="Y41:AG41" si="32">Y36+Y37-Y38</f>
        <v>957190</v>
      </c>
      <c r="Z41" s="398">
        <f t="shared" si="32"/>
        <v>1223090</v>
      </c>
      <c r="AA41" s="398">
        <f t="shared" si="32"/>
        <v>1397790</v>
      </c>
      <c r="AB41" s="398">
        <f t="shared" si="32"/>
        <v>1397790</v>
      </c>
      <c r="AC41" s="398">
        <f t="shared" si="32"/>
        <v>1397790</v>
      </c>
      <c r="AD41" s="398">
        <f t="shared" si="32"/>
        <v>144190</v>
      </c>
      <c r="AE41" s="398">
        <f t="shared" si="32"/>
        <v>873390</v>
      </c>
      <c r="AF41" s="398">
        <f t="shared" si="32"/>
        <v>1223090</v>
      </c>
      <c r="AG41" s="398">
        <f t="shared" si="32"/>
        <v>1747390</v>
      </c>
      <c r="AH41" s="398">
        <f t="shared" si="28"/>
        <v>10548580</v>
      </c>
      <c r="AI41" s="399">
        <f t="shared" si="6"/>
        <v>0.27237957523723455</v>
      </c>
      <c r="BA41" s="325"/>
    </row>
    <row r="42" spans="1:53" ht="9" customHeight="1" thickBot="1">
      <c r="A42" s="400" t="s">
        <v>268</v>
      </c>
      <c r="B42" s="401"/>
      <c r="C42" s="402"/>
      <c r="D42" s="403"/>
      <c r="E42" s="403"/>
      <c r="F42" s="403"/>
      <c r="G42" s="404"/>
      <c r="H42" s="404"/>
      <c r="I42" s="404"/>
      <c r="J42" s="404"/>
      <c r="K42" s="404"/>
      <c r="L42" s="404"/>
      <c r="M42" s="404"/>
      <c r="N42" s="404"/>
      <c r="O42" s="404"/>
      <c r="P42" s="404">
        <f>IF(P41&lt;0,0,P41*0.6)</f>
        <v>0</v>
      </c>
      <c r="Q42" s="405"/>
      <c r="S42" s="400"/>
      <c r="T42" s="401" t="s">
        <v>268</v>
      </c>
      <c r="U42" s="402"/>
      <c r="V42" s="403"/>
      <c r="W42" s="403"/>
      <c r="X42" s="403"/>
      <c r="Y42" s="404"/>
      <c r="Z42" s="404"/>
      <c r="AA42" s="404"/>
      <c r="AB42" s="404"/>
      <c r="AC42" s="404"/>
      <c r="AD42" s="404"/>
      <c r="AE42" s="404"/>
      <c r="AF42" s="404"/>
      <c r="AG42" s="404"/>
      <c r="AH42" s="404">
        <f>AH41*0.8</f>
        <v>8438864</v>
      </c>
      <c r="AI42" s="405"/>
      <c r="BA42" s="325"/>
    </row>
    <row r="43" spans="1:53" ht="9" customHeight="1">
      <c r="A43" s="406" t="s">
        <v>269</v>
      </c>
      <c r="B43" s="406"/>
      <c r="C43" s="406"/>
      <c r="D43" s="406"/>
      <c r="S43" s="406" t="s">
        <v>270</v>
      </c>
      <c r="T43" s="406"/>
      <c r="U43" s="406"/>
      <c r="V43" s="406"/>
      <c r="BA43" s="325"/>
    </row>
    <row r="44" spans="1:53" ht="10.5" customHeight="1">
      <c r="A44" s="304"/>
      <c r="B44" s="408"/>
      <c r="C44" s="408"/>
      <c r="D44" s="409" t="s">
        <v>148</v>
      </c>
      <c r="E44" s="409" t="s">
        <v>225</v>
      </c>
      <c r="F44" s="409" t="s">
        <v>150</v>
      </c>
      <c r="G44" s="409" t="s">
        <v>151</v>
      </c>
      <c r="H44" s="409" t="s">
        <v>152</v>
      </c>
      <c r="I44" s="409" t="s">
        <v>153</v>
      </c>
      <c r="J44" s="409" t="s">
        <v>154</v>
      </c>
      <c r="K44" s="409" t="s">
        <v>155</v>
      </c>
      <c r="L44" s="409" t="s">
        <v>156</v>
      </c>
      <c r="M44" s="409" t="s">
        <v>157</v>
      </c>
      <c r="N44" s="409" t="s">
        <v>158</v>
      </c>
      <c r="O44" s="409" t="s">
        <v>159</v>
      </c>
      <c r="P44" s="410" t="s">
        <v>271</v>
      </c>
      <c r="Q44" s="411"/>
      <c r="R44" s="304"/>
      <c r="S44" s="304"/>
      <c r="T44" s="408"/>
      <c r="U44" s="408"/>
      <c r="V44" s="409" t="s">
        <v>148</v>
      </c>
      <c r="W44" s="409" t="s">
        <v>225</v>
      </c>
      <c r="X44" s="409" t="s">
        <v>150</v>
      </c>
      <c r="Y44" s="409" t="s">
        <v>151</v>
      </c>
      <c r="Z44" s="409" t="s">
        <v>152</v>
      </c>
      <c r="AA44" s="409" t="s">
        <v>153</v>
      </c>
      <c r="AB44" s="409" t="s">
        <v>154</v>
      </c>
      <c r="AC44" s="409" t="s">
        <v>155</v>
      </c>
      <c r="AD44" s="409" t="s">
        <v>156</v>
      </c>
      <c r="AE44" s="409" t="s">
        <v>157</v>
      </c>
      <c r="AF44" s="409" t="s">
        <v>158</v>
      </c>
      <c r="AG44" s="409" t="s">
        <v>159</v>
      </c>
      <c r="AH44" s="410" t="s">
        <v>271</v>
      </c>
      <c r="AI44" s="411"/>
      <c r="BA44" s="325"/>
    </row>
    <row r="45" spans="1:53" ht="11.25" customHeight="1">
      <c r="B45" s="412" t="s">
        <v>272</v>
      </c>
      <c r="C45" s="413"/>
      <c r="D45" s="329">
        <v>1200000</v>
      </c>
      <c r="E45" s="329">
        <f>D72</f>
        <v>0</v>
      </c>
      <c r="F45" s="329">
        <f t="shared" ref="F45:O45" si="33">E72</f>
        <v>0</v>
      </c>
      <c r="G45" s="329">
        <f t="shared" si="33"/>
        <v>0</v>
      </c>
      <c r="H45" s="329">
        <f t="shared" si="33"/>
        <v>0</v>
      </c>
      <c r="I45" s="329">
        <f t="shared" si="33"/>
        <v>834800</v>
      </c>
      <c r="J45" s="329">
        <f t="shared" si="33"/>
        <v>453300</v>
      </c>
      <c r="K45" s="329">
        <f t="shared" si="33"/>
        <v>3249800</v>
      </c>
      <c r="L45" s="329">
        <f t="shared" si="33"/>
        <v>2686930</v>
      </c>
      <c r="M45" s="329">
        <f t="shared" si="33"/>
        <v>934020</v>
      </c>
      <c r="N45" s="329">
        <f t="shared" si="33"/>
        <v>1196310</v>
      </c>
      <c r="O45" s="329">
        <f t="shared" si="33"/>
        <v>227780</v>
      </c>
      <c r="P45" s="414"/>
      <c r="Q45" s="415"/>
      <c r="T45" s="412" t="s">
        <v>272</v>
      </c>
      <c r="U45" s="413"/>
      <c r="V45" s="329">
        <f>O72</f>
        <v>-412710</v>
      </c>
      <c r="W45" s="329">
        <f t="shared" ref="W45:AG45" si="34">V72</f>
        <v>-707500</v>
      </c>
      <c r="X45" s="329">
        <f t="shared" si="34"/>
        <v>-1000710</v>
      </c>
      <c r="Y45" s="329">
        <f t="shared" si="34"/>
        <v>-1265920</v>
      </c>
      <c r="Z45" s="329">
        <f t="shared" si="34"/>
        <v>-1363430</v>
      </c>
      <c r="AA45" s="329">
        <f t="shared" si="34"/>
        <v>-663840</v>
      </c>
      <c r="AB45" s="329">
        <f t="shared" si="34"/>
        <v>343350</v>
      </c>
      <c r="AC45" s="329">
        <f t="shared" si="34"/>
        <v>-1383560</v>
      </c>
      <c r="AD45" s="329">
        <f t="shared" si="34"/>
        <v>64230</v>
      </c>
      <c r="AE45" s="329">
        <f t="shared" si="34"/>
        <v>1512020</v>
      </c>
      <c r="AF45" s="329">
        <f t="shared" si="34"/>
        <v>2055810</v>
      </c>
      <c r="AG45" s="329">
        <f t="shared" si="34"/>
        <v>3154000</v>
      </c>
      <c r="AH45" s="414"/>
      <c r="AI45" s="415"/>
      <c r="BA45" s="325"/>
    </row>
    <row r="46" spans="1:53" ht="11.25" customHeight="1">
      <c r="B46" s="333" t="s">
        <v>273</v>
      </c>
      <c r="C46" s="334"/>
      <c r="D46" s="323">
        <f t="shared" ref="D46:O46" si="35">SUM(D47:D50)</f>
        <v>0</v>
      </c>
      <c r="E46" s="323">
        <f t="shared" si="35"/>
        <v>0</v>
      </c>
      <c r="F46" s="323">
        <f t="shared" si="35"/>
        <v>0</v>
      </c>
      <c r="G46" s="323">
        <f t="shared" si="35"/>
        <v>0</v>
      </c>
      <c r="H46" s="323">
        <f t="shared" si="35"/>
        <v>0</v>
      </c>
      <c r="I46" s="323">
        <f t="shared" si="35"/>
        <v>0</v>
      </c>
      <c r="J46" s="323">
        <f t="shared" si="35"/>
        <v>0</v>
      </c>
      <c r="K46" s="323">
        <f t="shared" si="35"/>
        <v>0</v>
      </c>
      <c r="L46" s="323">
        <f t="shared" si="35"/>
        <v>0</v>
      </c>
      <c r="M46" s="323">
        <f t="shared" si="35"/>
        <v>615200</v>
      </c>
      <c r="N46" s="323">
        <f t="shared" si="35"/>
        <v>755000</v>
      </c>
      <c r="O46" s="323">
        <f t="shared" si="35"/>
        <v>1062700</v>
      </c>
      <c r="P46" s="416"/>
      <c r="Q46" s="417"/>
      <c r="T46" s="333" t="s">
        <v>273</v>
      </c>
      <c r="U46" s="334"/>
      <c r="V46" s="323">
        <f t="shared" ref="V46:AG46" si="36">SUM(V47:V50)</f>
        <v>1328400</v>
      </c>
      <c r="W46" s="323">
        <f t="shared" si="36"/>
        <v>1929700</v>
      </c>
      <c r="X46" s="323">
        <f t="shared" si="36"/>
        <v>1957700</v>
      </c>
      <c r="Y46" s="323">
        <f t="shared" si="36"/>
        <v>2125400</v>
      </c>
      <c r="Z46" s="323">
        <f t="shared" si="36"/>
        <v>2922500</v>
      </c>
      <c r="AA46" s="323">
        <f t="shared" si="36"/>
        <v>3230100</v>
      </c>
      <c r="AB46" s="323">
        <f t="shared" si="36"/>
        <v>3496000</v>
      </c>
      <c r="AC46" s="323">
        <f t="shared" si="36"/>
        <v>3670700</v>
      </c>
      <c r="AD46" s="323">
        <f t="shared" si="36"/>
        <v>3670700</v>
      </c>
      <c r="AE46" s="323">
        <f t="shared" si="36"/>
        <v>3670700</v>
      </c>
      <c r="AF46" s="323">
        <f t="shared" si="36"/>
        <v>3321100</v>
      </c>
      <c r="AG46" s="323">
        <f t="shared" si="36"/>
        <v>3146300</v>
      </c>
      <c r="AH46" s="416"/>
      <c r="AI46" s="417"/>
      <c r="BA46" s="325"/>
    </row>
    <row r="47" spans="1:53" ht="11.25" customHeight="1">
      <c r="B47" s="327"/>
      <c r="C47" s="418" t="s">
        <v>274</v>
      </c>
      <c r="D47" s="329">
        <f>D5*0.8</f>
        <v>0</v>
      </c>
      <c r="E47" s="329">
        <f>E5*0.8</f>
        <v>0</v>
      </c>
      <c r="F47" s="329">
        <f t="shared" ref="F47:O47" si="37">D5</f>
        <v>0</v>
      </c>
      <c r="G47" s="329">
        <f t="shared" si="37"/>
        <v>0</v>
      </c>
      <c r="H47" s="329">
        <f t="shared" si="37"/>
        <v>0</v>
      </c>
      <c r="I47" s="329">
        <f t="shared" si="37"/>
        <v>0</v>
      </c>
      <c r="J47" s="329">
        <f t="shared" si="37"/>
        <v>0</v>
      </c>
      <c r="K47" s="329">
        <f t="shared" si="37"/>
        <v>0</v>
      </c>
      <c r="L47" s="329">
        <f t="shared" si="37"/>
        <v>0</v>
      </c>
      <c r="M47" s="329">
        <f t="shared" si="37"/>
        <v>615200</v>
      </c>
      <c r="N47" s="329">
        <f t="shared" si="37"/>
        <v>755000</v>
      </c>
      <c r="O47" s="329">
        <f t="shared" si="37"/>
        <v>1062700</v>
      </c>
      <c r="P47" s="414" t="s">
        <v>275</v>
      </c>
      <c r="Q47" s="415"/>
      <c r="T47" s="327"/>
      <c r="U47" s="418" t="s">
        <v>274</v>
      </c>
      <c r="V47" s="329">
        <f>N5</f>
        <v>1328400</v>
      </c>
      <c r="W47" s="329">
        <f>O5</f>
        <v>1929700</v>
      </c>
      <c r="X47" s="329">
        <f t="shared" ref="X47:AG47" si="38">V5</f>
        <v>1957700</v>
      </c>
      <c r="Y47" s="329">
        <f t="shared" si="38"/>
        <v>2125400</v>
      </c>
      <c r="Z47" s="329">
        <f t="shared" si="38"/>
        <v>2922500</v>
      </c>
      <c r="AA47" s="329">
        <f t="shared" si="38"/>
        <v>3230100</v>
      </c>
      <c r="AB47" s="329">
        <f t="shared" si="38"/>
        <v>3496000</v>
      </c>
      <c r="AC47" s="329">
        <f t="shared" si="38"/>
        <v>3670700</v>
      </c>
      <c r="AD47" s="329">
        <f t="shared" si="38"/>
        <v>3670700</v>
      </c>
      <c r="AE47" s="329">
        <f t="shared" si="38"/>
        <v>3670700</v>
      </c>
      <c r="AF47" s="329">
        <f t="shared" si="38"/>
        <v>3321100</v>
      </c>
      <c r="AG47" s="329">
        <f t="shared" si="38"/>
        <v>3146300</v>
      </c>
      <c r="AH47" s="414" t="s">
        <v>275</v>
      </c>
      <c r="AI47" s="415"/>
      <c r="BA47" s="325"/>
    </row>
    <row r="48" spans="1:53" ht="9.75" customHeight="1">
      <c r="B48" s="331"/>
      <c r="C48" s="418" t="s">
        <v>276</v>
      </c>
      <c r="D48" s="329">
        <f>C9*0.2</f>
        <v>0</v>
      </c>
      <c r="E48" s="329">
        <f t="shared" ref="E48:O48" si="39">D9</f>
        <v>0</v>
      </c>
      <c r="F48" s="329">
        <f t="shared" si="39"/>
        <v>0</v>
      </c>
      <c r="G48" s="329">
        <f t="shared" si="39"/>
        <v>0</v>
      </c>
      <c r="H48" s="329">
        <f t="shared" si="39"/>
        <v>0</v>
      </c>
      <c r="I48" s="329">
        <f t="shared" si="39"/>
        <v>0</v>
      </c>
      <c r="J48" s="329">
        <f t="shared" si="39"/>
        <v>0</v>
      </c>
      <c r="K48" s="329">
        <f t="shared" si="39"/>
        <v>0</v>
      </c>
      <c r="L48" s="329">
        <f t="shared" si="39"/>
        <v>0</v>
      </c>
      <c r="M48" s="329">
        <f t="shared" si="39"/>
        <v>0</v>
      </c>
      <c r="N48" s="329">
        <f t="shared" si="39"/>
        <v>0</v>
      </c>
      <c r="O48" s="329">
        <f t="shared" si="39"/>
        <v>0</v>
      </c>
      <c r="P48" s="414" t="s">
        <v>277</v>
      </c>
      <c r="Q48" s="415"/>
      <c r="T48" s="331"/>
      <c r="U48" s="418" t="s">
        <v>276</v>
      </c>
      <c r="V48" s="329">
        <f>O9</f>
        <v>0</v>
      </c>
      <c r="W48" s="329">
        <f>V9</f>
        <v>0</v>
      </c>
      <c r="X48" s="329">
        <f t="shared" ref="X48:AG48" si="40">W9</f>
        <v>0</v>
      </c>
      <c r="Y48" s="329">
        <f t="shared" si="40"/>
        <v>0</v>
      </c>
      <c r="Z48" s="329">
        <f t="shared" si="40"/>
        <v>0</v>
      </c>
      <c r="AA48" s="329">
        <f t="shared" si="40"/>
        <v>0</v>
      </c>
      <c r="AB48" s="329">
        <f t="shared" si="40"/>
        <v>0</v>
      </c>
      <c r="AC48" s="329">
        <f t="shared" si="40"/>
        <v>0</v>
      </c>
      <c r="AD48" s="329">
        <f t="shared" si="40"/>
        <v>0</v>
      </c>
      <c r="AE48" s="329">
        <f t="shared" si="40"/>
        <v>0</v>
      </c>
      <c r="AF48" s="329">
        <f t="shared" si="40"/>
        <v>0</v>
      </c>
      <c r="AG48" s="329">
        <f t="shared" si="40"/>
        <v>0</v>
      </c>
      <c r="AH48" s="414" t="s">
        <v>277</v>
      </c>
      <c r="AI48" s="415"/>
      <c r="BA48" s="325"/>
    </row>
    <row r="49" spans="1:53" ht="9.75" customHeight="1">
      <c r="B49" s="331"/>
      <c r="C49" s="419" t="s">
        <v>278</v>
      </c>
      <c r="D49" s="329"/>
      <c r="E49" s="329">
        <f>D12+D13</f>
        <v>0</v>
      </c>
      <c r="F49" s="329">
        <f t="shared" ref="F49:O49" si="41">E12+E13</f>
        <v>0</v>
      </c>
      <c r="G49" s="329">
        <f t="shared" si="41"/>
        <v>0</v>
      </c>
      <c r="H49" s="329">
        <f t="shared" si="41"/>
        <v>0</v>
      </c>
      <c r="I49" s="329">
        <f t="shared" si="41"/>
        <v>0</v>
      </c>
      <c r="J49" s="329">
        <f t="shared" si="41"/>
        <v>0</v>
      </c>
      <c r="K49" s="329">
        <f t="shared" si="41"/>
        <v>0</v>
      </c>
      <c r="L49" s="329">
        <f t="shared" si="41"/>
        <v>0</v>
      </c>
      <c r="M49" s="329">
        <f t="shared" si="41"/>
        <v>0</v>
      </c>
      <c r="N49" s="329">
        <f t="shared" si="41"/>
        <v>0</v>
      </c>
      <c r="O49" s="329">
        <f t="shared" si="41"/>
        <v>0</v>
      </c>
      <c r="P49" s="414" t="s">
        <v>279</v>
      </c>
      <c r="Q49" s="415"/>
      <c r="T49" s="331"/>
      <c r="U49" s="419" t="s">
        <v>278</v>
      </c>
      <c r="V49" s="329">
        <f>O12+O13</f>
        <v>0</v>
      </c>
      <c r="W49" s="329">
        <f>V12+V13</f>
        <v>0</v>
      </c>
      <c r="X49" s="329">
        <f t="shared" ref="X49:AG49" si="42">W12+W13</f>
        <v>0</v>
      </c>
      <c r="Y49" s="329">
        <f t="shared" si="42"/>
        <v>0</v>
      </c>
      <c r="Z49" s="329">
        <f t="shared" si="42"/>
        <v>0</v>
      </c>
      <c r="AA49" s="329">
        <f t="shared" si="42"/>
        <v>0</v>
      </c>
      <c r="AB49" s="329">
        <f t="shared" si="42"/>
        <v>0</v>
      </c>
      <c r="AC49" s="329">
        <f t="shared" si="42"/>
        <v>0</v>
      </c>
      <c r="AD49" s="329">
        <f t="shared" si="42"/>
        <v>0</v>
      </c>
      <c r="AE49" s="329">
        <f t="shared" si="42"/>
        <v>0</v>
      </c>
      <c r="AF49" s="329">
        <f t="shared" si="42"/>
        <v>0</v>
      </c>
      <c r="AG49" s="329">
        <f t="shared" si="42"/>
        <v>0</v>
      </c>
      <c r="AH49" s="414" t="s">
        <v>279</v>
      </c>
      <c r="AI49" s="415"/>
      <c r="BA49" s="325"/>
    </row>
    <row r="50" spans="1:53" ht="12.75" customHeight="1">
      <c r="B50" s="331"/>
      <c r="C50" s="418"/>
      <c r="D50" s="329"/>
      <c r="E50" s="329"/>
      <c r="F50" s="329"/>
      <c r="G50" s="329"/>
      <c r="H50" s="329"/>
      <c r="I50" s="329"/>
      <c r="J50" s="329"/>
      <c r="K50" s="329"/>
      <c r="L50" s="329"/>
      <c r="M50" s="329"/>
      <c r="N50" s="329"/>
      <c r="O50" s="329"/>
      <c r="P50" s="414" t="s">
        <v>279</v>
      </c>
      <c r="Q50" s="415"/>
      <c r="T50" s="331"/>
      <c r="U50" s="418" t="s">
        <v>280</v>
      </c>
      <c r="V50" s="329"/>
      <c r="W50" s="329"/>
      <c r="X50" s="329"/>
      <c r="Y50" s="329"/>
      <c r="Z50" s="329"/>
      <c r="AA50" s="329"/>
      <c r="AB50" s="329"/>
      <c r="AC50" s="329"/>
      <c r="AD50" s="329"/>
      <c r="AE50" s="329"/>
      <c r="AF50" s="329"/>
      <c r="AG50" s="329"/>
      <c r="AH50" s="414" t="s">
        <v>279</v>
      </c>
      <c r="AI50" s="415"/>
      <c r="BA50" s="325"/>
    </row>
    <row r="51" spans="1:53" ht="12.75" customHeight="1">
      <c r="B51" s="420" t="s">
        <v>281</v>
      </c>
      <c r="C51" s="421"/>
      <c r="D51" s="367">
        <f t="shared" ref="D51:O51" si="43">SUM(D52:D55)</f>
        <v>0</v>
      </c>
      <c r="E51" s="367">
        <f t="shared" si="43"/>
        <v>0</v>
      </c>
      <c r="F51" s="367">
        <f t="shared" si="43"/>
        <v>0</v>
      </c>
      <c r="G51" s="367">
        <f t="shared" si="43"/>
        <v>0</v>
      </c>
      <c r="H51" s="367">
        <f t="shared" si="43"/>
        <v>245200</v>
      </c>
      <c r="I51" s="367">
        <f t="shared" si="43"/>
        <v>311500</v>
      </c>
      <c r="J51" s="367">
        <f t="shared" si="43"/>
        <v>383500</v>
      </c>
      <c r="K51" s="367">
        <f t="shared" si="43"/>
        <v>562870</v>
      </c>
      <c r="L51" s="367">
        <f t="shared" si="43"/>
        <v>1752910</v>
      </c>
      <c r="M51" s="367">
        <f t="shared" si="43"/>
        <v>1752910</v>
      </c>
      <c r="N51" s="367">
        <f t="shared" si="43"/>
        <v>1723530</v>
      </c>
      <c r="O51" s="367">
        <f t="shared" si="43"/>
        <v>1703190</v>
      </c>
      <c r="P51" s="422"/>
      <c r="Q51" s="423"/>
      <c r="T51" s="420" t="s">
        <v>281</v>
      </c>
      <c r="U51" s="421"/>
      <c r="V51" s="367">
        <f t="shared" ref="V51:AG51" si="44">SUM(V52:V55)</f>
        <v>1623190</v>
      </c>
      <c r="W51" s="367">
        <f t="shared" si="44"/>
        <v>2222910</v>
      </c>
      <c r="X51" s="367">
        <f t="shared" si="44"/>
        <v>2222910</v>
      </c>
      <c r="Y51" s="367">
        <f t="shared" si="44"/>
        <v>2222910</v>
      </c>
      <c r="Z51" s="367">
        <f t="shared" si="44"/>
        <v>2222910</v>
      </c>
      <c r="AA51" s="367">
        <f t="shared" si="44"/>
        <v>2222910</v>
      </c>
      <c r="AB51" s="367">
        <f t="shared" si="44"/>
        <v>2222910</v>
      </c>
      <c r="AC51" s="367">
        <f t="shared" si="44"/>
        <v>2222910</v>
      </c>
      <c r="AD51" s="367">
        <f t="shared" si="44"/>
        <v>2222910</v>
      </c>
      <c r="AE51" s="367">
        <f t="shared" si="44"/>
        <v>3126910</v>
      </c>
      <c r="AF51" s="367">
        <f t="shared" si="44"/>
        <v>2222910</v>
      </c>
      <c r="AG51" s="367">
        <f t="shared" si="44"/>
        <v>2222910</v>
      </c>
      <c r="AH51" s="422"/>
      <c r="AI51" s="423"/>
      <c r="BA51" s="325"/>
    </row>
    <row r="52" spans="1:53" ht="11.25" customHeight="1">
      <c r="B52" s="424"/>
      <c r="C52" s="419" t="s">
        <v>282</v>
      </c>
      <c r="D52" s="329"/>
      <c r="E52" s="329">
        <f>D28+D29+D30+D16+D17+D22</f>
        <v>0</v>
      </c>
      <c r="F52" s="329">
        <f t="shared" ref="F52:O52" si="45">E28+E29+E30+E16+E17+E22</f>
        <v>0</v>
      </c>
      <c r="G52" s="329">
        <f t="shared" si="45"/>
        <v>0</v>
      </c>
      <c r="H52" s="329">
        <f t="shared" si="45"/>
        <v>205200</v>
      </c>
      <c r="I52" s="329">
        <f t="shared" si="45"/>
        <v>241500</v>
      </c>
      <c r="J52" s="329">
        <f t="shared" si="45"/>
        <v>241500</v>
      </c>
      <c r="K52" s="329">
        <f t="shared" si="45"/>
        <v>384870</v>
      </c>
      <c r="L52" s="329">
        <f t="shared" si="45"/>
        <v>1569910</v>
      </c>
      <c r="M52" s="329">
        <f t="shared" si="45"/>
        <v>1569910</v>
      </c>
      <c r="N52" s="329">
        <f t="shared" si="45"/>
        <v>1540530</v>
      </c>
      <c r="O52" s="329">
        <f t="shared" si="45"/>
        <v>1520190</v>
      </c>
      <c r="P52" s="414" t="s">
        <v>279</v>
      </c>
      <c r="Q52" s="415"/>
      <c r="T52" s="424"/>
      <c r="U52" s="419" t="s">
        <v>282</v>
      </c>
      <c r="V52" s="425">
        <f>O16+O17+O28+O30+O22</f>
        <v>1440190</v>
      </c>
      <c r="W52" s="329">
        <f>V28+V29+V30+V16+V17+V22</f>
        <v>2069910</v>
      </c>
      <c r="X52" s="329">
        <f t="shared" ref="X52:AG52" si="46">W28+W29+W30+W16+W17+W22</f>
        <v>2069910</v>
      </c>
      <c r="Y52" s="329">
        <f t="shared" si="46"/>
        <v>2069910</v>
      </c>
      <c r="Z52" s="329">
        <f t="shared" si="46"/>
        <v>2069910</v>
      </c>
      <c r="AA52" s="329">
        <f t="shared" si="46"/>
        <v>2069910</v>
      </c>
      <c r="AB52" s="329">
        <f t="shared" si="46"/>
        <v>2069910</v>
      </c>
      <c r="AC52" s="329">
        <f t="shared" si="46"/>
        <v>2069910</v>
      </c>
      <c r="AD52" s="329">
        <f t="shared" si="46"/>
        <v>2069910</v>
      </c>
      <c r="AE52" s="329">
        <f t="shared" si="46"/>
        <v>2973910</v>
      </c>
      <c r="AF52" s="329">
        <f t="shared" si="46"/>
        <v>2069910</v>
      </c>
      <c r="AG52" s="329">
        <f t="shared" si="46"/>
        <v>2069910</v>
      </c>
      <c r="AH52" s="414" t="s">
        <v>279</v>
      </c>
      <c r="AI52" s="415"/>
      <c r="BA52" s="325"/>
    </row>
    <row r="53" spans="1:53" s="304" customFormat="1" ht="11.25" customHeight="1">
      <c r="A53" s="325"/>
      <c r="B53" s="426"/>
      <c r="C53" s="419" t="s">
        <v>256</v>
      </c>
      <c r="D53" s="329">
        <f>D31+D23+D24+D20</f>
        <v>0</v>
      </c>
      <c r="E53" s="329">
        <f t="shared" ref="E53:O53" si="47">E31+E23+E24+E20</f>
        <v>0</v>
      </c>
      <c r="F53" s="329">
        <f t="shared" si="47"/>
        <v>0</v>
      </c>
      <c r="G53" s="329">
        <f t="shared" si="47"/>
        <v>0</v>
      </c>
      <c r="H53" s="329">
        <f t="shared" si="47"/>
        <v>30000</v>
      </c>
      <c r="I53" s="329">
        <f t="shared" si="47"/>
        <v>30000</v>
      </c>
      <c r="J53" s="329">
        <f t="shared" si="47"/>
        <v>30000</v>
      </c>
      <c r="K53" s="329">
        <f t="shared" si="47"/>
        <v>30000</v>
      </c>
      <c r="L53" s="329">
        <f t="shared" si="47"/>
        <v>30000</v>
      </c>
      <c r="M53" s="329">
        <f t="shared" si="47"/>
        <v>30000</v>
      </c>
      <c r="N53" s="329">
        <f t="shared" si="47"/>
        <v>30000</v>
      </c>
      <c r="O53" s="329">
        <f t="shared" si="47"/>
        <v>30000</v>
      </c>
      <c r="P53" s="414" t="s">
        <v>283</v>
      </c>
      <c r="Q53" s="415"/>
      <c r="R53" s="325"/>
      <c r="S53" s="325"/>
      <c r="T53" s="426"/>
      <c r="U53" s="419" t="s">
        <v>256</v>
      </c>
      <c r="V53" s="329">
        <f>V31+V23+V24+V20</f>
        <v>30000</v>
      </c>
      <c r="W53" s="329">
        <f t="shared" ref="W53:AG53" si="48">W31+W23+W24+W20</f>
        <v>30000</v>
      </c>
      <c r="X53" s="329">
        <f t="shared" si="48"/>
        <v>30000</v>
      </c>
      <c r="Y53" s="329">
        <f t="shared" si="48"/>
        <v>30000</v>
      </c>
      <c r="Z53" s="329">
        <f t="shared" si="48"/>
        <v>30000</v>
      </c>
      <c r="AA53" s="329">
        <f t="shared" si="48"/>
        <v>30000</v>
      </c>
      <c r="AB53" s="329">
        <f t="shared" si="48"/>
        <v>30000</v>
      </c>
      <c r="AC53" s="329">
        <f t="shared" si="48"/>
        <v>30000</v>
      </c>
      <c r="AD53" s="329">
        <f t="shared" si="48"/>
        <v>30000</v>
      </c>
      <c r="AE53" s="329">
        <f t="shared" si="48"/>
        <v>30000</v>
      </c>
      <c r="AF53" s="329">
        <f t="shared" si="48"/>
        <v>30000</v>
      </c>
      <c r="AG53" s="329">
        <f t="shared" si="48"/>
        <v>30000</v>
      </c>
      <c r="AH53" s="414" t="s">
        <v>283</v>
      </c>
      <c r="AI53" s="415"/>
    </row>
    <row r="54" spans="1:53" ht="12.75" customHeight="1">
      <c r="B54" s="426"/>
      <c r="C54" s="419" t="s">
        <v>284</v>
      </c>
      <c r="D54" s="329"/>
      <c r="E54" s="329">
        <f>D18+D19+D33+D34+D32</f>
        <v>0</v>
      </c>
      <c r="F54" s="329">
        <f t="shared" ref="F54:O54" si="49">E18+E19+E33+E34+E32</f>
        <v>0</v>
      </c>
      <c r="G54" s="329">
        <f t="shared" si="49"/>
        <v>0</v>
      </c>
      <c r="H54" s="329">
        <f t="shared" si="49"/>
        <v>10000</v>
      </c>
      <c r="I54" s="329">
        <f t="shared" si="49"/>
        <v>40000</v>
      </c>
      <c r="J54" s="329">
        <f t="shared" si="49"/>
        <v>112000</v>
      </c>
      <c r="K54" s="329">
        <f t="shared" si="49"/>
        <v>148000</v>
      </c>
      <c r="L54" s="329">
        <f t="shared" si="49"/>
        <v>153000</v>
      </c>
      <c r="M54" s="329">
        <f t="shared" si="49"/>
        <v>153000</v>
      </c>
      <c r="N54" s="329">
        <f t="shared" si="49"/>
        <v>153000</v>
      </c>
      <c r="O54" s="329">
        <f t="shared" si="49"/>
        <v>153000</v>
      </c>
      <c r="P54" s="414" t="s">
        <v>285</v>
      </c>
      <c r="Q54" s="415"/>
      <c r="T54" s="426"/>
      <c r="U54" s="419" t="s">
        <v>284</v>
      </c>
      <c r="V54" s="425">
        <f>O34+O33+O32+O19+O18</f>
        <v>153000</v>
      </c>
      <c r="W54" s="329">
        <f>V18+V19+V33+V34</f>
        <v>123000</v>
      </c>
      <c r="X54" s="329">
        <f t="shared" ref="X54:AG54" si="50">W18+W19+W33+W34</f>
        <v>123000</v>
      </c>
      <c r="Y54" s="329">
        <f t="shared" si="50"/>
        <v>123000</v>
      </c>
      <c r="Z54" s="329">
        <f t="shared" si="50"/>
        <v>123000</v>
      </c>
      <c r="AA54" s="329">
        <f t="shared" si="50"/>
        <v>123000</v>
      </c>
      <c r="AB54" s="329">
        <f t="shared" si="50"/>
        <v>123000</v>
      </c>
      <c r="AC54" s="329">
        <f t="shared" si="50"/>
        <v>123000</v>
      </c>
      <c r="AD54" s="329">
        <f t="shared" si="50"/>
        <v>123000</v>
      </c>
      <c r="AE54" s="329">
        <f t="shared" si="50"/>
        <v>123000</v>
      </c>
      <c r="AF54" s="329">
        <f t="shared" si="50"/>
        <v>123000</v>
      </c>
      <c r="AG54" s="329">
        <f t="shared" si="50"/>
        <v>123000</v>
      </c>
      <c r="AH54" s="414" t="s">
        <v>285</v>
      </c>
      <c r="AI54" s="415"/>
      <c r="BA54" s="325"/>
    </row>
    <row r="55" spans="1:53" ht="11.25" customHeight="1">
      <c r="B55" s="426"/>
      <c r="C55" s="418"/>
      <c r="D55" s="329">
        <f t="shared" ref="D55:O55" si="51">D35</f>
        <v>0</v>
      </c>
      <c r="E55" s="329">
        <f t="shared" si="51"/>
        <v>0</v>
      </c>
      <c r="F55" s="329">
        <f t="shared" si="51"/>
        <v>0</v>
      </c>
      <c r="G55" s="329">
        <f t="shared" si="51"/>
        <v>0</v>
      </c>
      <c r="H55" s="329">
        <f t="shared" si="51"/>
        <v>0</v>
      </c>
      <c r="I55" s="329">
        <f t="shared" si="51"/>
        <v>0</v>
      </c>
      <c r="J55" s="329">
        <f t="shared" si="51"/>
        <v>0</v>
      </c>
      <c r="K55" s="329">
        <f t="shared" si="51"/>
        <v>0</v>
      </c>
      <c r="L55" s="329">
        <f t="shared" si="51"/>
        <v>0</v>
      </c>
      <c r="M55" s="329">
        <f t="shared" si="51"/>
        <v>0</v>
      </c>
      <c r="N55" s="329">
        <f t="shared" si="51"/>
        <v>0</v>
      </c>
      <c r="O55" s="329">
        <f t="shared" si="51"/>
        <v>0</v>
      </c>
      <c r="P55" s="414"/>
      <c r="Q55" s="415"/>
      <c r="T55" s="426"/>
      <c r="U55" s="418"/>
      <c r="V55" s="329"/>
      <c r="W55" s="329"/>
      <c r="X55" s="329"/>
      <c r="Y55" s="329"/>
      <c r="Z55" s="329"/>
      <c r="AA55" s="329"/>
      <c r="AB55" s="329"/>
      <c r="AC55" s="329"/>
      <c r="AD55" s="329"/>
      <c r="AE55" s="329"/>
      <c r="AF55" s="329"/>
      <c r="AG55" s="329"/>
      <c r="AH55" s="414"/>
      <c r="AI55" s="415"/>
      <c r="BA55" s="325"/>
    </row>
    <row r="56" spans="1:53" ht="9.75" customHeight="1">
      <c r="B56" s="427" t="s">
        <v>286</v>
      </c>
      <c r="C56" s="427"/>
      <c r="D56" s="428">
        <f t="shared" ref="D56:O56" si="52">D46-D51</f>
        <v>0</v>
      </c>
      <c r="E56" s="428">
        <f t="shared" si="52"/>
        <v>0</v>
      </c>
      <c r="F56" s="428">
        <f t="shared" si="52"/>
        <v>0</v>
      </c>
      <c r="G56" s="428">
        <f t="shared" si="52"/>
        <v>0</v>
      </c>
      <c r="H56" s="428">
        <f t="shared" si="52"/>
        <v>-245200</v>
      </c>
      <c r="I56" s="428">
        <f t="shared" si="52"/>
        <v>-311500</v>
      </c>
      <c r="J56" s="428">
        <f t="shared" si="52"/>
        <v>-383500</v>
      </c>
      <c r="K56" s="428">
        <f t="shared" si="52"/>
        <v>-562870</v>
      </c>
      <c r="L56" s="428">
        <f t="shared" si="52"/>
        <v>-1752910</v>
      </c>
      <c r="M56" s="428">
        <f t="shared" si="52"/>
        <v>-1137710</v>
      </c>
      <c r="N56" s="428">
        <f t="shared" si="52"/>
        <v>-968530</v>
      </c>
      <c r="O56" s="428">
        <f t="shared" si="52"/>
        <v>-640490</v>
      </c>
      <c r="P56" s="429"/>
      <c r="Q56" s="430"/>
      <c r="T56" s="427" t="s">
        <v>286</v>
      </c>
      <c r="U56" s="427"/>
      <c r="V56" s="428">
        <f t="shared" ref="V56:AG56" si="53">V46-V51</f>
        <v>-294790</v>
      </c>
      <c r="W56" s="428">
        <f t="shared" si="53"/>
        <v>-293210</v>
      </c>
      <c r="X56" s="428">
        <f t="shared" si="53"/>
        <v>-265210</v>
      </c>
      <c r="Y56" s="428">
        <f t="shared" si="53"/>
        <v>-97510</v>
      </c>
      <c r="Z56" s="428">
        <f t="shared" si="53"/>
        <v>699590</v>
      </c>
      <c r="AA56" s="428">
        <f t="shared" si="53"/>
        <v>1007190</v>
      </c>
      <c r="AB56" s="428">
        <f t="shared" si="53"/>
        <v>1273090</v>
      </c>
      <c r="AC56" s="428">
        <f t="shared" si="53"/>
        <v>1447790</v>
      </c>
      <c r="AD56" s="428">
        <f t="shared" si="53"/>
        <v>1447790</v>
      </c>
      <c r="AE56" s="428">
        <f t="shared" si="53"/>
        <v>543790</v>
      </c>
      <c r="AF56" s="428">
        <f t="shared" si="53"/>
        <v>1098190</v>
      </c>
      <c r="AG56" s="428">
        <f t="shared" si="53"/>
        <v>923390</v>
      </c>
      <c r="AH56" s="429"/>
      <c r="AI56" s="430"/>
      <c r="BA56" s="325"/>
    </row>
    <row r="57" spans="1:53" ht="9.75" customHeight="1">
      <c r="B57" s="333" t="s">
        <v>287</v>
      </c>
      <c r="C57" s="334"/>
      <c r="D57" s="323">
        <f t="shared" ref="D57:O57" si="54">SUM(D58:D64)</f>
        <v>0</v>
      </c>
      <c r="E57" s="323">
        <f t="shared" si="54"/>
        <v>0</v>
      </c>
      <c r="F57" s="323">
        <f t="shared" si="54"/>
        <v>0</v>
      </c>
      <c r="G57" s="323">
        <f t="shared" si="54"/>
        <v>100000</v>
      </c>
      <c r="H57" s="323">
        <f t="shared" si="54"/>
        <v>1380000</v>
      </c>
      <c r="I57" s="323">
        <f t="shared" si="54"/>
        <v>180000</v>
      </c>
      <c r="J57" s="323">
        <f t="shared" si="54"/>
        <v>3180000</v>
      </c>
      <c r="K57" s="323">
        <f t="shared" si="54"/>
        <v>2100000</v>
      </c>
      <c r="L57" s="323">
        <f t="shared" si="54"/>
        <v>0</v>
      </c>
      <c r="M57" s="323">
        <f t="shared" si="54"/>
        <v>1400000</v>
      </c>
      <c r="N57" s="323">
        <f t="shared" si="54"/>
        <v>0</v>
      </c>
      <c r="O57" s="323">
        <f t="shared" si="54"/>
        <v>0</v>
      </c>
      <c r="P57" s="416"/>
      <c r="Q57" s="417"/>
      <c r="T57" s="333" t="s">
        <v>287</v>
      </c>
      <c r="U57" s="334"/>
      <c r="V57" s="323">
        <f t="shared" ref="V57:AG57" si="55">SUM(V58:V64)</f>
        <v>0</v>
      </c>
      <c r="W57" s="323">
        <f t="shared" si="55"/>
        <v>0</v>
      </c>
      <c r="X57" s="323">
        <f t="shared" si="55"/>
        <v>0</v>
      </c>
      <c r="Y57" s="323">
        <f t="shared" si="55"/>
        <v>0</v>
      </c>
      <c r="Z57" s="323">
        <f t="shared" si="55"/>
        <v>0</v>
      </c>
      <c r="AA57" s="323">
        <f t="shared" si="55"/>
        <v>0</v>
      </c>
      <c r="AB57" s="323">
        <f t="shared" si="55"/>
        <v>-3000000</v>
      </c>
      <c r="AC57" s="323">
        <f t="shared" si="55"/>
        <v>0</v>
      </c>
      <c r="AD57" s="323">
        <f t="shared" si="55"/>
        <v>0</v>
      </c>
      <c r="AE57" s="323">
        <f t="shared" si="55"/>
        <v>0</v>
      </c>
      <c r="AF57" s="323">
        <f t="shared" si="55"/>
        <v>0</v>
      </c>
      <c r="AG57" s="323">
        <f t="shared" si="55"/>
        <v>0</v>
      </c>
      <c r="AH57" s="416"/>
      <c r="AI57" s="417"/>
      <c r="BA57" s="325"/>
    </row>
    <row r="58" spans="1:53" ht="9.75" customHeight="1">
      <c r="B58" s="431"/>
      <c r="C58" s="418" t="s">
        <v>288</v>
      </c>
      <c r="D58" s="329"/>
      <c r="E58" s="329"/>
      <c r="F58" s="329"/>
      <c r="G58" s="329">
        <v>100000</v>
      </c>
      <c r="H58" s="329"/>
      <c r="I58" s="329"/>
      <c r="J58" s="329"/>
      <c r="K58" s="329"/>
      <c r="L58" s="329"/>
      <c r="M58" s="329"/>
      <c r="N58" s="329"/>
      <c r="O58" s="329"/>
      <c r="P58" s="414"/>
      <c r="Q58" s="415"/>
      <c r="T58" s="431"/>
      <c r="U58" s="418" t="s">
        <v>288</v>
      </c>
      <c r="V58" s="329"/>
      <c r="W58" s="329"/>
      <c r="X58" s="329"/>
      <c r="Y58" s="329"/>
      <c r="Z58" s="329"/>
      <c r="AA58" s="329"/>
      <c r="AB58" s="329"/>
      <c r="AC58" s="329"/>
      <c r="AD58" s="329"/>
      <c r="AE58" s="329"/>
      <c r="AF58" s="329"/>
      <c r="AG58" s="329"/>
      <c r="AH58" s="414"/>
      <c r="AI58" s="415"/>
      <c r="BA58" s="325"/>
    </row>
    <row r="59" spans="1:53" ht="9.75" customHeight="1">
      <c r="B59" s="431"/>
      <c r="C59" s="419" t="s">
        <v>289</v>
      </c>
      <c r="D59" s="329"/>
      <c r="E59" s="329"/>
      <c r="F59" s="329"/>
      <c r="G59" s="329"/>
      <c r="H59" s="329">
        <v>900000</v>
      </c>
      <c r="I59" s="329"/>
      <c r="J59" s="329"/>
      <c r="K59" s="329"/>
      <c r="L59" s="329"/>
      <c r="M59" s="329"/>
      <c r="N59" s="329"/>
      <c r="O59" s="329"/>
      <c r="P59" s="414"/>
      <c r="Q59" s="415"/>
      <c r="T59" s="431"/>
      <c r="U59" s="419" t="s">
        <v>289</v>
      </c>
      <c r="V59" s="329"/>
      <c r="W59" s="329"/>
      <c r="X59" s="329"/>
      <c r="Y59" s="329"/>
      <c r="Z59" s="329"/>
      <c r="AA59" s="329"/>
      <c r="AB59" s="329"/>
      <c r="AC59" s="329"/>
      <c r="AD59" s="329"/>
      <c r="AE59" s="329"/>
      <c r="AF59" s="329"/>
      <c r="AG59" s="329"/>
      <c r="AH59" s="414"/>
      <c r="AI59" s="415"/>
      <c r="BA59" s="325"/>
    </row>
    <row r="60" spans="1:53" ht="11.25" customHeight="1">
      <c r="B60" s="431"/>
      <c r="C60" s="419" t="s">
        <v>290</v>
      </c>
      <c r="D60" s="329"/>
      <c r="E60" s="432"/>
      <c r="F60" s="432"/>
      <c r="G60" s="432"/>
      <c r="H60" s="329">
        <v>480000</v>
      </c>
      <c r="I60" s="329">
        <v>180000</v>
      </c>
      <c r="J60" s="329">
        <v>180000</v>
      </c>
      <c r="K60" s="329"/>
      <c r="L60" s="329"/>
      <c r="M60" s="329"/>
      <c r="N60" s="329"/>
      <c r="O60" s="329"/>
      <c r="P60" s="414"/>
      <c r="Q60" s="415"/>
      <c r="T60" s="431"/>
      <c r="U60" s="419" t="s">
        <v>290</v>
      </c>
      <c r="V60" s="329"/>
      <c r="W60" s="432"/>
      <c r="X60" s="432"/>
      <c r="Y60" s="432"/>
      <c r="Z60" s="329"/>
      <c r="AA60" s="329"/>
      <c r="AB60" s="329"/>
      <c r="AC60" s="329"/>
      <c r="AD60" s="329"/>
      <c r="AE60" s="329"/>
      <c r="AF60" s="329"/>
      <c r="AG60" s="329"/>
      <c r="AH60" s="414"/>
      <c r="AI60" s="415"/>
      <c r="BA60" s="325"/>
    </row>
    <row r="61" spans="1:53" ht="9.75" customHeight="1">
      <c r="B61" s="431"/>
      <c r="C61" s="418" t="s">
        <v>291</v>
      </c>
      <c r="D61" s="329"/>
      <c r="E61" s="329"/>
      <c r="F61" s="329"/>
      <c r="G61" s="329"/>
      <c r="H61" s="329"/>
      <c r="I61" s="329"/>
      <c r="J61" s="329"/>
      <c r="K61" s="329">
        <v>2100000</v>
      </c>
      <c r="L61" s="329"/>
      <c r="M61" s="329"/>
      <c r="N61" s="329"/>
      <c r="O61" s="329"/>
      <c r="P61" s="414"/>
      <c r="Q61" s="415"/>
      <c r="T61" s="431"/>
      <c r="U61" s="418" t="s">
        <v>291</v>
      </c>
      <c r="V61" s="329"/>
      <c r="W61" s="329"/>
      <c r="X61" s="329"/>
      <c r="Y61" s="329"/>
      <c r="Z61" s="329"/>
      <c r="AA61" s="329"/>
      <c r="AB61" s="329"/>
      <c r="AC61" s="329"/>
      <c r="AD61" s="329"/>
      <c r="AE61" s="329"/>
      <c r="AF61" s="329"/>
      <c r="AG61" s="329"/>
      <c r="AH61" s="414"/>
      <c r="AI61" s="415"/>
      <c r="BA61" s="325"/>
    </row>
    <row r="62" spans="1:53" ht="9.75" customHeight="1">
      <c r="B62" s="431"/>
      <c r="C62" s="419" t="s">
        <v>292</v>
      </c>
      <c r="D62" s="329">
        <f t="shared" ref="D62:O62" si="56">D35</f>
        <v>0</v>
      </c>
      <c r="E62" s="329">
        <f t="shared" si="56"/>
        <v>0</v>
      </c>
      <c r="F62" s="329">
        <f t="shared" si="56"/>
        <v>0</v>
      </c>
      <c r="G62" s="329">
        <f t="shared" si="56"/>
        <v>0</v>
      </c>
      <c r="H62" s="329">
        <f t="shared" si="56"/>
        <v>0</v>
      </c>
      <c r="I62" s="329">
        <f t="shared" si="56"/>
        <v>0</v>
      </c>
      <c r="J62" s="329">
        <v>3000000</v>
      </c>
      <c r="K62" s="329"/>
      <c r="L62" s="329">
        <f t="shared" si="56"/>
        <v>0</v>
      </c>
      <c r="M62" s="329">
        <f t="shared" si="56"/>
        <v>0</v>
      </c>
      <c r="N62" s="329">
        <f t="shared" si="56"/>
        <v>0</v>
      </c>
      <c r="O62" s="329">
        <f t="shared" si="56"/>
        <v>0</v>
      </c>
      <c r="P62" s="414"/>
      <c r="Q62" s="415"/>
      <c r="T62" s="431"/>
      <c r="U62" s="419" t="s">
        <v>292</v>
      </c>
      <c r="V62" s="329">
        <f t="shared" ref="V62:AF62" si="57">V35</f>
        <v>0</v>
      </c>
      <c r="W62" s="329">
        <f t="shared" si="57"/>
        <v>0</v>
      </c>
      <c r="X62" s="329">
        <f t="shared" si="57"/>
        <v>0</v>
      </c>
      <c r="Y62" s="329">
        <f t="shared" si="57"/>
        <v>0</v>
      </c>
      <c r="Z62" s="329">
        <f t="shared" si="57"/>
        <v>0</v>
      </c>
      <c r="AA62" s="329">
        <f t="shared" si="57"/>
        <v>0</v>
      </c>
      <c r="AB62" s="329">
        <v>-3000000</v>
      </c>
      <c r="AC62" s="329">
        <f t="shared" si="57"/>
        <v>0</v>
      </c>
      <c r="AD62" s="329">
        <v>0</v>
      </c>
      <c r="AE62" s="329">
        <f t="shared" si="57"/>
        <v>0</v>
      </c>
      <c r="AF62" s="329">
        <f t="shared" si="57"/>
        <v>0</v>
      </c>
      <c r="AG62" s="329">
        <v>0</v>
      </c>
      <c r="AH62" s="433"/>
      <c r="AI62" s="434"/>
      <c r="BA62" s="325"/>
    </row>
    <row r="63" spans="1:53" ht="9.75" customHeight="1">
      <c r="B63" s="431"/>
      <c r="C63" s="418" t="s">
        <v>261</v>
      </c>
      <c r="D63" s="329"/>
      <c r="E63" s="329"/>
      <c r="F63" s="329"/>
      <c r="G63" s="329"/>
      <c r="H63" s="329"/>
      <c r="I63" s="329"/>
      <c r="J63" s="329"/>
      <c r="K63" s="329"/>
      <c r="L63" s="329"/>
      <c r="M63" s="329"/>
      <c r="N63" s="329"/>
      <c r="O63" s="329"/>
      <c r="P63" s="414"/>
      <c r="Q63" s="415"/>
      <c r="T63" s="431"/>
      <c r="U63" s="418" t="s">
        <v>261</v>
      </c>
      <c r="V63" s="329"/>
      <c r="W63" s="329"/>
      <c r="X63" s="329"/>
      <c r="Y63" s="329"/>
      <c r="Z63" s="329"/>
      <c r="AA63" s="329"/>
      <c r="AB63" s="329"/>
      <c r="AC63" s="329"/>
      <c r="AD63" s="329"/>
      <c r="AE63" s="329"/>
      <c r="AF63" s="329"/>
      <c r="AG63" s="329"/>
      <c r="AH63" s="433"/>
      <c r="AI63" s="434"/>
      <c r="BA63" s="325"/>
    </row>
    <row r="64" spans="1:53" ht="9.75" customHeight="1">
      <c r="B64" s="327"/>
      <c r="C64" s="419" t="s">
        <v>293</v>
      </c>
      <c r="D64" s="329"/>
      <c r="E64" s="329">
        <v>0</v>
      </c>
      <c r="F64" s="329"/>
      <c r="G64" s="329"/>
      <c r="H64" s="329"/>
      <c r="I64" s="329"/>
      <c r="J64" s="329"/>
      <c r="K64" s="329"/>
      <c r="L64" s="329"/>
      <c r="M64" s="329">
        <v>1400000</v>
      </c>
      <c r="N64" s="329"/>
      <c r="O64" s="329"/>
      <c r="P64" s="414"/>
      <c r="Q64" s="415"/>
      <c r="T64" s="327"/>
      <c r="U64" s="419" t="s">
        <v>293</v>
      </c>
      <c r="V64" s="329"/>
      <c r="W64" s="329">
        <v>0</v>
      </c>
      <c r="X64" s="329"/>
      <c r="Y64" s="329"/>
      <c r="Z64" s="329"/>
      <c r="AA64" s="329"/>
      <c r="AB64" s="329"/>
      <c r="AC64" s="329"/>
      <c r="AD64" s="329"/>
      <c r="AE64" s="329"/>
      <c r="AF64" s="329"/>
      <c r="AG64" s="329"/>
      <c r="AH64" s="414"/>
      <c r="AI64" s="415"/>
      <c r="BA64" s="325"/>
    </row>
    <row r="65" spans="2:53" ht="9.75" customHeight="1">
      <c r="B65" s="420" t="s">
        <v>294</v>
      </c>
      <c r="C65" s="421"/>
      <c r="D65" s="367">
        <f t="shared" ref="D65:O65" si="58">SUM(D66:D69)</f>
        <v>0</v>
      </c>
      <c r="E65" s="367">
        <f t="shared" si="58"/>
        <v>0</v>
      </c>
      <c r="F65" s="367">
        <f t="shared" si="58"/>
        <v>0</v>
      </c>
      <c r="G65" s="367">
        <f t="shared" si="58"/>
        <v>100000</v>
      </c>
      <c r="H65" s="367">
        <f t="shared" si="58"/>
        <v>300000</v>
      </c>
      <c r="I65" s="367">
        <f t="shared" si="58"/>
        <v>250000</v>
      </c>
      <c r="J65" s="367">
        <f t="shared" si="58"/>
        <v>0</v>
      </c>
      <c r="K65" s="367">
        <f t="shared" si="58"/>
        <v>2100000</v>
      </c>
      <c r="L65" s="367">
        <f t="shared" si="58"/>
        <v>0</v>
      </c>
      <c r="M65" s="367">
        <f t="shared" si="58"/>
        <v>0</v>
      </c>
      <c r="N65" s="367">
        <f t="shared" si="58"/>
        <v>0</v>
      </c>
      <c r="O65" s="367">
        <f t="shared" si="58"/>
        <v>0</v>
      </c>
      <c r="P65" s="422"/>
      <c r="Q65" s="423"/>
      <c r="T65" s="420" t="s">
        <v>294</v>
      </c>
      <c r="U65" s="421"/>
      <c r="V65" s="367">
        <f t="shared" ref="V65:AG65" si="59">SUM(V66:V69)</f>
        <v>0</v>
      </c>
      <c r="W65" s="367">
        <f t="shared" si="59"/>
        <v>0</v>
      </c>
      <c r="X65" s="367">
        <f t="shared" si="59"/>
        <v>0</v>
      </c>
      <c r="Y65" s="367">
        <f t="shared" si="59"/>
        <v>0</v>
      </c>
      <c r="Z65" s="367">
        <f t="shared" si="59"/>
        <v>0</v>
      </c>
      <c r="AA65" s="367">
        <f t="shared" si="59"/>
        <v>0</v>
      </c>
      <c r="AB65" s="367">
        <f t="shared" si="59"/>
        <v>0</v>
      </c>
      <c r="AC65" s="367">
        <f t="shared" si="59"/>
        <v>0</v>
      </c>
      <c r="AD65" s="367">
        <f t="shared" si="59"/>
        <v>0</v>
      </c>
      <c r="AE65" s="367">
        <f t="shared" si="59"/>
        <v>0</v>
      </c>
      <c r="AF65" s="367">
        <f t="shared" si="59"/>
        <v>0</v>
      </c>
      <c r="AG65" s="367">
        <f t="shared" si="59"/>
        <v>0</v>
      </c>
      <c r="AH65" s="422"/>
      <c r="AI65" s="423"/>
      <c r="BA65" s="325"/>
    </row>
    <row r="66" spans="2:53" ht="9.75" customHeight="1">
      <c r="B66" s="435"/>
      <c r="C66" s="419" t="s">
        <v>295</v>
      </c>
      <c r="D66" s="329"/>
      <c r="E66" s="432"/>
      <c r="F66" s="432"/>
      <c r="G66" s="432">
        <v>100000</v>
      </c>
      <c r="H66" s="329">
        <v>300000</v>
      </c>
      <c r="I66" s="329"/>
      <c r="J66" s="329"/>
      <c r="K66" s="329"/>
      <c r="L66" s="329"/>
      <c r="M66" s="329"/>
      <c r="N66" s="329"/>
      <c r="O66" s="329"/>
      <c r="P66" s="414"/>
      <c r="Q66" s="415"/>
      <c r="T66" s="435"/>
      <c r="U66" s="418" t="s">
        <v>296</v>
      </c>
      <c r="V66" s="329"/>
      <c r="W66" s="329"/>
      <c r="X66" s="329"/>
      <c r="Y66" s="432"/>
      <c r="Z66" s="329"/>
      <c r="AA66" s="329"/>
      <c r="AB66" s="329"/>
      <c r="AC66" s="329"/>
      <c r="AD66" s="329"/>
      <c r="AE66" s="329"/>
      <c r="AF66" s="329"/>
      <c r="AG66" s="329"/>
      <c r="AH66" s="414"/>
      <c r="AI66" s="415"/>
      <c r="BA66" s="325"/>
    </row>
    <row r="67" spans="2:53" ht="9.75" customHeight="1">
      <c r="B67" s="435"/>
      <c r="C67" s="418" t="s">
        <v>297</v>
      </c>
      <c r="D67" s="329"/>
      <c r="E67" s="329"/>
      <c r="F67" s="329"/>
      <c r="G67" s="329"/>
      <c r="H67" s="329"/>
      <c r="I67" s="329"/>
      <c r="J67" s="329"/>
      <c r="K67" s="329"/>
      <c r="L67" s="329"/>
      <c r="M67" s="329"/>
      <c r="N67" s="329"/>
      <c r="O67" s="329"/>
      <c r="P67" s="414"/>
      <c r="Q67" s="415"/>
      <c r="T67" s="435"/>
      <c r="U67" s="418" t="s">
        <v>297</v>
      </c>
      <c r="V67" s="329"/>
      <c r="W67" s="329"/>
      <c r="X67" s="329"/>
      <c r="Y67" s="329"/>
      <c r="Z67" s="329"/>
      <c r="AA67" s="329"/>
      <c r="AB67" s="329"/>
      <c r="AC67" s="329"/>
      <c r="AD67" s="329"/>
      <c r="AE67" s="329"/>
      <c r="AF67" s="329"/>
      <c r="AG67" s="329"/>
      <c r="AH67" s="414"/>
      <c r="AI67" s="415"/>
      <c r="BA67" s="325"/>
    </row>
    <row r="68" spans="2:53" ht="11.25" customHeight="1">
      <c r="B68" s="435"/>
      <c r="C68" s="419" t="s">
        <v>298</v>
      </c>
      <c r="D68" s="329"/>
      <c r="E68" s="329"/>
      <c r="F68" s="329"/>
      <c r="G68" s="329"/>
      <c r="H68" s="329"/>
      <c r="I68" s="329"/>
      <c r="J68" s="329"/>
      <c r="K68" s="329">
        <v>2100000</v>
      </c>
      <c r="L68" s="329"/>
      <c r="M68" s="329"/>
      <c r="N68" s="329"/>
      <c r="O68" s="329"/>
      <c r="P68" s="414"/>
      <c r="Q68" s="415"/>
      <c r="T68" s="435"/>
      <c r="U68" s="418" t="s">
        <v>299</v>
      </c>
      <c r="V68" s="329"/>
      <c r="W68" s="329"/>
      <c r="X68" s="329"/>
      <c r="Y68" s="329"/>
      <c r="Z68" s="329"/>
      <c r="AA68" s="329"/>
      <c r="AB68" s="329"/>
      <c r="AC68" s="329"/>
      <c r="AD68" s="329"/>
      <c r="AE68" s="329"/>
      <c r="AF68" s="329"/>
      <c r="AG68" s="329"/>
      <c r="AH68" s="433"/>
      <c r="AI68" s="434"/>
      <c r="BA68" s="325"/>
    </row>
    <row r="69" spans="2:53" ht="11.25" customHeight="1">
      <c r="B69" s="424"/>
      <c r="C69" s="418" t="s">
        <v>278</v>
      </c>
      <c r="D69" s="329"/>
      <c r="E69" s="329"/>
      <c r="F69" s="329"/>
      <c r="G69" s="329"/>
      <c r="H69" s="329"/>
      <c r="I69" s="329">
        <v>250000</v>
      </c>
      <c r="J69" s="329"/>
      <c r="K69" s="329"/>
      <c r="L69" s="329"/>
      <c r="M69" s="329"/>
      <c r="N69" s="329"/>
      <c r="O69" s="329"/>
      <c r="P69" s="414"/>
      <c r="Q69" s="415"/>
      <c r="T69" s="424"/>
      <c r="U69" s="418" t="s">
        <v>278</v>
      </c>
      <c r="V69" s="329"/>
      <c r="W69" s="329"/>
      <c r="X69" s="329"/>
      <c r="Y69" s="329"/>
      <c r="Z69" s="329"/>
      <c r="AA69" s="329"/>
      <c r="AB69" s="329"/>
      <c r="AC69" s="329"/>
      <c r="AD69" s="329"/>
      <c r="AE69" s="329"/>
      <c r="AF69" s="329"/>
      <c r="AG69" s="329"/>
      <c r="AH69" s="414"/>
      <c r="AI69" s="415"/>
      <c r="BA69" s="325"/>
    </row>
    <row r="70" spans="2:53" ht="9.75" customHeight="1">
      <c r="B70" s="436" t="s">
        <v>300</v>
      </c>
      <c r="C70" s="436"/>
      <c r="D70" s="428">
        <f t="shared" ref="D70:O70" si="60">D57-D65</f>
        <v>0</v>
      </c>
      <c r="E70" s="428">
        <f t="shared" si="60"/>
        <v>0</v>
      </c>
      <c r="F70" s="428">
        <f t="shared" si="60"/>
        <v>0</v>
      </c>
      <c r="G70" s="428">
        <f t="shared" si="60"/>
        <v>0</v>
      </c>
      <c r="H70" s="428">
        <f t="shared" si="60"/>
        <v>1080000</v>
      </c>
      <c r="I70" s="428">
        <f t="shared" si="60"/>
        <v>-70000</v>
      </c>
      <c r="J70" s="428">
        <f t="shared" si="60"/>
        <v>3180000</v>
      </c>
      <c r="K70" s="428">
        <f t="shared" si="60"/>
        <v>0</v>
      </c>
      <c r="L70" s="428">
        <f t="shared" si="60"/>
        <v>0</v>
      </c>
      <c r="M70" s="428">
        <f t="shared" si="60"/>
        <v>1400000</v>
      </c>
      <c r="N70" s="428">
        <f t="shared" si="60"/>
        <v>0</v>
      </c>
      <c r="O70" s="428">
        <f t="shared" si="60"/>
        <v>0</v>
      </c>
      <c r="P70" s="429"/>
      <c r="Q70" s="430"/>
      <c r="T70" s="436" t="s">
        <v>300</v>
      </c>
      <c r="U70" s="436"/>
      <c r="V70" s="428">
        <f t="shared" ref="V70:AG70" si="61">V57-V65</f>
        <v>0</v>
      </c>
      <c r="W70" s="428">
        <f t="shared" si="61"/>
        <v>0</v>
      </c>
      <c r="X70" s="428">
        <f t="shared" si="61"/>
        <v>0</v>
      </c>
      <c r="Y70" s="428">
        <f t="shared" si="61"/>
        <v>0</v>
      </c>
      <c r="Z70" s="428">
        <f t="shared" si="61"/>
        <v>0</v>
      </c>
      <c r="AA70" s="428">
        <f t="shared" si="61"/>
        <v>0</v>
      </c>
      <c r="AB70" s="428">
        <f t="shared" si="61"/>
        <v>-3000000</v>
      </c>
      <c r="AC70" s="428">
        <f t="shared" si="61"/>
        <v>0</v>
      </c>
      <c r="AD70" s="428">
        <f t="shared" si="61"/>
        <v>0</v>
      </c>
      <c r="AE70" s="428">
        <f t="shared" si="61"/>
        <v>0</v>
      </c>
      <c r="AF70" s="428">
        <f t="shared" si="61"/>
        <v>0</v>
      </c>
      <c r="AG70" s="428">
        <f t="shared" si="61"/>
        <v>0</v>
      </c>
      <c r="AH70" s="429"/>
      <c r="AI70" s="430"/>
      <c r="BA70" s="325"/>
    </row>
    <row r="71" spans="2:53" ht="9.75" customHeight="1">
      <c r="B71" s="437" t="s">
        <v>301</v>
      </c>
      <c r="C71" s="438"/>
      <c r="D71" s="439"/>
      <c r="E71" s="439"/>
      <c r="F71" s="439"/>
      <c r="G71" s="439"/>
      <c r="H71" s="439"/>
      <c r="I71" s="439"/>
      <c r="J71" s="439"/>
      <c r="K71" s="439"/>
      <c r="L71" s="439"/>
      <c r="M71" s="439"/>
      <c r="N71" s="439"/>
      <c r="O71" s="439"/>
      <c r="P71" s="440"/>
      <c r="Q71" s="441"/>
      <c r="T71" s="437" t="s">
        <v>301</v>
      </c>
      <c r="U71" s="438"/>
      <c r="V71" s="439"/>
      <c r="W71" s="439"/>
      <c r="X71" s="439"/>
      <c r="Y71" s="439"/>
      <c r="Z71" s="439"/>
      <c r="AA71" s="439"/>
      <c r="AB71" s="439"/>
      <c r="AC71" s="439"/>
      <c r="AD71" s="439"/>
      <c r="AE71" s="439"/>
      <c r="AF71" s="439"/>
      <c r="AG71" s="439">
        <f>AH41-AH42</f>
        <v>2109716</v>
      </c>
      <c r="AH71" s="440"/>
      <c r="AI71" s="441"/>
      <c r="BA71" s="325"/>
    </row>
    <row r="72" spans="2:53" ht="9.75" customHeight="1">
      <c r="B72" s="408" t="s">
        <v>302</v>
      </c>
      <c r="C72" s="408"/>
      <c r="D72" s="329"/>
      <c r="E72" s="329">
        <f t="shared" ref="E72:O72" si="62">E45+E56+E70-E71</f>
        <v>0</v>
      </c>
      <c r="F72" s="329">
        <f t="shared" si="62"/>
        <v>0</v>
      </c>
      <c r="G72" s="329">
        <f t="shared" si="62"/>
        <v>0</v>
      </c>
      <c r="H72" s="329">
        <f t="shared" si="62"/>
        <v>834800</v>
      </c>
      <c r="I72" s="329">
        <f t="shared" si="62"/>
        <v>453300</v>
      </c>
      <c r="J72" s="329">
        <f t="shared" si="62"/>
        <v>3249800</v>
      </c>
      <c r="K72" s="329">
        <f t="shared" si="62"/>
        <v>2686930</v>
      </c>
      <c r="L72" s="329">
        <f t="shared" si="62"/>
        <v>934020</v>
      </c>
      <c r="M72" s="329">
        <f t="shared" si="62"/>
        <v>1196310</v>
      </c>
      <c r="N72" s="329">
        <f t="shared" si="62"/>
        <v>227780</v>
      </c>
      <c r="O72" s="329">
        <f t="shared" si="62"/>
        <v>-412710</v>
      </c>
      <c r="P72" s="414"/>
      <c r="Q72" s="415"/>
      <c r="T72" s="408" t="s">
        <v>302</v>
      </c>
      <c r="U72" s="408"/>
      <c r="V72" s="329">
        <f t="shared" ref="V72:AG72" si="63">V45+V56+V70-V71</f>
        <v>-707500</v>
      </c>
      <c r="W72" s="329">
        <f t="shared" si="63"/>
        <v>-1000710</v>
      </c>
      <c r="X72" s="329">
        <f t="shared" si="63"/>
        <v>-1265920</v>
      </c>
      <c r="Y72" s="329">
        <f t="shared" si="63"/>
        <v>-1363430</v>
      </c>
      <c r="Z72" s="329">
        <f t="shared" si="63"/>
        <v>-663840</v>
      </c>
      <c r="AA72" s="329">
        <f t="shared" si="63"/>
        <v>343350</v>
      </c>
      <c r="AB72" s="329">
        <f t="shared" si="63"/>
        <v>-1383560</v>
      </c>
      <c r="AC72" s="329">
        <f t="shared" si="63"/>
        <v>64230</v>
      </c>
      <c r="AD72" s="329">
        <f t="shared" si="63"/>
        <v>1512020</v>
      </c>
      <c r="AE72" s="329">
        <f t="shared" si="63"/>
        <v>2055810</v>
      </c>
      <c r="AF72" s="329">
        <f t="shared" si="63"/>
        <v>3154000</v>
      </c>
      <c r="AG72" s="329">
        <f t="shared" si="63"/>
        <v>1967674</v>
      </c>
      <c r="AH72" s="414"/>
      <c r="AI72" s="415"/>
      <c r="BA72" s="325"/>
    </row>
    <row r="73" spans="2:53" ht="9.75" customHeight="1">
      <c r="BA73" s="325"/>
    </row>
    <row r="74" spans="2:53" ht="9.75" customHeight="1">
      <c r="Q74" s="325"/>
      <c r="AI74" s="325"/>
      <c r="BA74" s="325"/>
    </row>
    <row r="75" spans="2:53" ht="9.75" customHeight="1">
      <c r="Q75" s="325"/>
      <c r="AI75" s="325"/>
      <c r="BA75" s="325"/>
    </row>
    <row r="76" spans="2:53" ht="9.75" customHeight="1">
      <c r="Q76" s="325"/>
      <c r="AI76" s="325"/>
      <c r="BA76" s="325"/>
    </row>
    <row r="77" spans="2:53" ht="11.25" customHeight="1">
      <c r="Q77" s="325"/>
      <c r="AI77" s="325"/>
      <c r="BA77" s="325"/>
    </row>
    <row r="78" spans="2:53" ht="9.75" customHeight="1">
      <c r="Q78" s="325"/>
      <c r="AI78" s="325"/>
      <c r="BA78" s="325"/>
    </row>
    <row r="79" spans="2:53" ht="9.75" customHeight="1">
      <c r="Q79" s="325"/>
      <c r="AI79" s="325"/>
      <c r="BA79" s="325"/>
    </row>
    <row r="80" spans="2:53" ht="9.75" customHeight="1">
      <c r="Q80" s="325"/>
      <c r="AI80" s="325"/>
      <c r="BA80" s="325"/>
    </row>
    <row r="81" spans="17:53" ht="9.75" customHeight="1">
      <c r="Q81" s="325"/>
      <c r="AI81" s="325"/>
      <c r="BA81" s="325"/>
    </row>
    <row r="82" spans="17:53" ht="9.75" customHeight="1">
      <c r="Q82" s="325"/>
      <c r="AI82" s="325"/>
      <c r="BA82" s="325"/>
    </row>
    <row r="83" spans="17:53" ht="11.25" customHeight="1">
      <c r="Q83" s="325"/>
      <c r="AI83" s="325"/>
      <c r="BA83" s="325"/>
    </row>
    <row r="84" spans="17:53" ht="11.25" customHeight="1">
      <c r="Q84" s="325"/>
      <c r="AI84" s="325"/>
      <c r="BA84" s="325"/>
    </row>
    <row r="85" spans="17:53" ht="11.25" customHeight="1">
      <c r="Q85" s="325"/>
      <c r="AI85" s="325"/>
      <c r="BA85" s="325"/>
    </row>
    <row r="86" spans="17:53" ht="6" customHeight="1">
      <c r="Q86" s="325"/>
      <c r="AI86" s="325"/>
      <c r="BA86" s="325"/>
    </row>
    <row r="87" spans="17:53">
      <c r="Q87" s="325"/>
      <c r="AI87" s="325"/>
      <c r="BA87" s="325"/>
    </row>
    <row r="88" spans="17:53" ht="0.75" customHeight="1">
      <c r="Q88" s="325"/>
      <c r="AI88" s="325"/>
      <c r="BA88" s="325"/>
    </row>
    <row r="89" spans="17:53" ht="0.75" customHeight="1">
      <c r="BA89" s="325"/>
    </row>
    <row r="90" spans="17:53" ht="0.75" customHeight="1">
      <c r="BA90" s="325"/>
    </row>
    <row r="91" spans="17:53" ht="0.75" customHeight="1">
      <c r="BA91" s="325"/>
    </row>
    <row r="92" spans="17:53" ht="0.75" customHeight="1">
      <c r="BA92" s="325"/>
    </row>
    <row r="93" spans="17:53" ht="0.75" customHeight="1">
      <c r="BA93" s="325"/>
    </row>
    <row r="94" spans="17:53" ht="0.75" customHeight="1">
      <c r="BA94" s="325"/>
    </row>
    <row r="95" spans="17:53" ht="0.75" customHeight="1">
      <c r="BA95" s="325"/>
    </row>
    <row r="96" spans="17:53" ht="0.75" customHeight="1">
      <c r="BA96" s="325"/>
    </row>
    <row r="97" spans="53:53" ht="0.75" customHeight="1">
      <c r="BA97" s="325"/>
    </row>
    <row r="98" spans="53:53" ht="0.75" customHeight="1">
      <c r="BA98" s="325"/>
    </row>
    <row r="99" spans="53:53" ht="0.75" customHeight="1">
      <c r="BA99" s="325"/>
    </row>
    <row r="100" spans="53:53" ht="0.75" customHeight="1">
      <c r="BA100" s="325"/>
    </row>
  </sheetData>
  <mergeCells count="130">
    <mergeCell ref="B72:C72"/>
    <mergeCell ref="P72:Q72"/>
    <mergeCell ref="T72:U72"/>
    <mergeCell ref="AH72:AI72"/>
    <mergeCell ref="B70:C70"/>
    <mergeCell ref="P70:Q70"/>
    <mergeCell ref="T70:U70"/>
    <mergeCell ref="AH70:AI70"/>
    <mergeCell ref="B71:C71"/>
    <mergeCell ref="T71:U71"/>
    <mergeCell ref="B66:B69"/>
    <mergeCell ref="P66:Q66"/>
    <mergeCell ref="T66:T69"/>
    <mergeCell ref="AH66:AI66"/>
    <mergeCell ref="P67:Q67"/>
    <mergeCell ref="AH67:AI67"/>
    <mergeCell ref="P68:Q68"/>
    <mergeCell ref="P69:Q69"/>
    <mergeCell ref="AH69:AI69"/>
    <mergeCell ref="P64:Q64"/>
    <mergeCell ref="AH64:AI64"/>
    <mergeCell ref="B65:C65"/>
    <mergeCell ref="P65:Q65"/>
    <mergeCell ref="T65:U65"/>
    <mergeCell ref="AH65:AI65"/>
    <mergeCell ref="P60:Q60"/>
    <mergeCell ref="AH60:AI60"/>
    <mergeCell ref="P61:Q61"/>
    <mergeCell ref="AH61:AI61"/>
    <mergeCell ref="P62:Q62"/>
    <mergeCell ref="P63:Q63"/>
    <mergeCell ref="B57:C57"/>
    <mergeCell ref="P57:Q57"/>
    <mergeCell ref="T57:U57"/>
    <mergeCell ref="AH57:AI57"/>
    <mergeCell ref="B58:B64"/>
    <mergeCell ref="P58:Q58"/>
    <mergeCell ref="T58:T64"/>
    <mergeCell ref="AH58:AI58"/>
    <mergeCell ref="P59:Q59"/>
    <mergeCell ref="AH59:AI59"/>
    <mergeCell ref="P54:Q54"/>
    <mergeCell ref="AH54:AI54"/>
    <mergeCell ref="P55:Q55"/>
    <mergeCell ref="AH55:AI55"/>
    <mergeCell ref="B56:C56"/>
    <mergeCell ref="P56:Q56"/>
    <mergeCell ref="T56:U56"/>
    <mergeCell ref="AH56:AI56"/>
    <mergeCell ref="B51:C51"/>
    <mergeCell ref="P51:Q51"/>
    <mergeCell ref="T51:U51"/>
    <mergeCell ref="AH51:AI51"/>
    <mergeCell ref="B52:B55"/>
    <mergeCell ref="P52:Q52"/>
    <mergeCell ref="T52:T55"/>
    <mergeCell ref="AH52:AI52"/>
    <mergeCell ref="P53:Q53"/>
    <mergeCell ref="AH53:AI53"/>
    <mergeCell ref="B47:B50"/>
    <mergeCell ref="P47:Q47"/>
    <mergeCell ref="T47:T50"/>
    <mergeCell ref="AH47:AI47"/>
    <mergeCell ref="P48:Q48"/>
    <mergeCell ref="AH48:AI48"/>
    <mergeCell ref="P49:Q49"/>
    <mergeCell ref="AH49:AI49"/>
    <mergeCell ref="P50:Q50"/>
    <mergeCell ref="AH50:AI50"/>
    <mergeCell ref="B45:C45"/>
    <mergeCell ref="P45:Q45"/>
    <mergeCell ref="T45:U45"/>
    <mergeCell ref="AH45:AI45"/>
    <mergeCell ref="B46:C46"/>
    <mergeCell ref="P46:Q46"/>
    <mergeCell ref="T46:U46"/>
    <mergeCell ref="AH46:AI46"/>
    <mergeCell ref="A43:D43"/>
    <mergeCell ref="S43:V43"/>
    <mergeCell ref="B44:C44"/>
    <mergeCell ref="P44:Q44"/>
    <mergeCell ref="T44:U44"/>
    <mergeCell ref="AH44:AI44"/>
    <mergeCell ref="A39:B40"/>
    <mergeCell ref="S39:T40"/>
    <mergeCell ref="A41:C41"/>
    <mergeCell ref="S41:U41"/>
    <mergeCell ref="A42:C42"/>
    <mergeCell ref="S42:U42"/>
    <mergeCell ref="A36:C36"/>
    <mergeCell ref="S36:U36"/>
    <mergeCell ref="A37:C37"/>
    <mergeCell ref="S37:U37"/>
    <mergeCell ref="A38:C38"/>
    <mergeCell ref="S38:U38"/>
    <mergeCell ref="A26:C26"/>
    <mergeCell ref="S26:U26"/>
    <mergeCell ref="A27:C27"/>
    <mergeCell ref="S27:U27"/>
    <mergeCell ref="A28:B35"/>
    <mergeCell ref="S28:T35"/>
    <mergeCell ref="B16:B20"/>
    <mergeCell ref="T16:T20"/>
    <mergeCell ref="B21:C21"/>
    <mergeCell ref="T21:U21"/>
    <mergeCell ref="B22:B25"/>
    <mergeCell ref="T22:T25"/>
    <mergeCell ref="T12:U12"/>
    <mergeCell ref="B13:C13"/>
    <mergeCell ref="T13:U13"/>
    <mergeCell ref="B14:C14"/>
    <mergeCell ref="T14:U14"/>
    <mergeCell ref="B15:C15"/>
    <mergeCell ref="T15:U15"/>
    <mergeCell ref="A4:A13"/>
    <mergeCell ref="B5:C5"/>
    <mergeCell ref="T5:U5"/>
    <mergeCell ref="B6:B8"/>
    <mergeCell ref="T6:T8"/>
    <mergeCell ref="B9:C9"/>
    <mergeCell ref="T9:U9"/>
    <mergeCell ref="B10:B11"/>
    <mergeCell ref="T10:T11"/>
    <mergeCell ref="B12:C12"/>
    <mergeCell ref="A1:C1"/>
    <mergeCell ref="S1:U1"/>
    <mergeCell ref="A2:C2"/>
    <mergeCell ref="S2:U2"/>
    <mergeCell ref="A3:C3"/>
    <mergeCell ref="S3:U3"/>
  </mergeCells>
  <phoneticPr fontId="3"/>
  <pageMargins left="0.7" right="0.7" top="0.75" bottom="0.75" header="0.3" footer="0.3"/>
  <pageSetup paperSize="9" fitToWidth="0" orientation="portrait" r:id="rId1"/>
  <colBreaks count="1" manualBreakCount="1">
    <brk id="17" max="8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Q40"/>
  <sheetViews>
    <sheetView zoomScaleNormal="100" workbookViewId="0">
      <selection activeCell="A7" sqref="A7:I29"/>
    </sheetView>
  </sheetViews>
  <sheetFormatPr defaultRowHeight="16.5" customHeight="1"/>
  <cols>
    <col min="6" max="6" width="9" style="31"/>
  </cols>
  <sheetData>
    <row r="7" spans="1:9" ht="16.5" customHeight="1">
      <c r="A7" s="59" t="s">
        <v>308</v>
      </c>
      <c r="B7" s="60"/>
      <c r="C7" s="60"/>
      <c r="D7" s="60"/>
      <c r="E7" s="60"/>
      <c r="F7" s="60"/>
      <c r="G7" s="60"/>
      <c r="H7" s="60"/>
      <c r="I7" s="60"/>
    </row>
    <row r="8" spans="1:9" ht="16.5" customHeight="1">
      <c r="A8" s="60"/>
      <c r="B8" s="60"/>
      <c r="C8" s="60"/>
      <c r="D8" s="60"/>
      <c r="E8" s="60"/>
      <c r="F8" s="60"/>
      <c r="G8" s="60"/>
      <c r="H8" s="60"/>
      <c r="I8" s="60"/>
    </row>
    <row r="9" spans="1:9" ht="16.5" customHeight="1">
      <c r="A9" s="60"/>
      <c r="B9" s="60"/>
      <c r="C9" s="60"/>
      <c r="D9" s="60"/>
      <c r="E9" s="60"/>
      <c r="F9" s="60"/>
      <c r="G9" s="60"/>
      <c r="H9" s="60"/>
      <c r="I9" s="60"/>
    </row>
    <row r="10" spans="1:9" ht="16.5" customHeight="1">
      <c r="A10" s="60"/>
      <c r="B10" s="60"/>
      <c r="C10" s="60"/>
      <c r="D10" s="60"/>
      <c r="E10" s="60"/>
      <c r="F10" s="60"/>
      <c r="G10" s="60"/>
      <c r="H10" s="60"/>
      <c r="I10" s="60"/>
    </row>
    <row r="11" spans="1:9" ht="16.5" customHeight="1">
      <c r="A11" s="60"/>
      <c r="B11" s="60"/>
      <c r="C11" s="60"/>
      <c r="D11" s="60"/>
      <c r="E11" s="60"/>
      <c r="F11" s="60"/>
      <c r="G11" s="60"/>
      <c r="H11" s="60"/>
      <c r="I11" s="60"/>
    </row>
    <row r="12" spans="1:9" ht="16.5" customHeight="1">
      <c r="A12" s="60"/>
      <c r="B12" s="60"/>
      <c r="C12" s="60"/>
      <c r="D12" s="60"/>
      <c r="E12" s="60"/>
      <c r="F12" s="60"/>
      <c r="G12" s="60"/>
      <c r="H12" s="60"/>
      <c r="I12" s="60"/>
    </row>
    <row r="13" spans="1:9" ht="16.5" customHeight="1">
      <c r="A13" s="60"/>
      <c r="B13" s="60"/>
      <c r="C13" s="60"/>
      <c r="D13" s="60"/>
      <c r="E13" s="60"/>
      <c r="F13" s="60"/>
      <c r="G13" s="60"/>
      <c r="H13" s="60"/>
      <c r="I13" s="60"/>
    </row>
    <row r="14" spans="1:9" ht="16.5" customHeight="1">
      <c r="A14" s="60"/>
      <c r="B14" s="60"/>
      <c r="C14" s="60"/>
      <c r="D14" s="60"/>
      <c r="E14" s="60"/>
      <c r="F14" s="60"/>
      <c r="G14" s="60"/>
      <c r="H14" s="60"/>
      <c r="I14" s="60"/>
    </row>
    <row r="15" spans="1:9" ht="16.5" customHeight="1">
      <c r="A15" s="60"/>
      <c r="B15" s="60"/>
      <c r="C15" s="60"/>
      <c r="D15" s="60"/>
      <c r="E15" s="60"/>
      <c r="F15" s="60"/>
      <c r="G15" s="60"/>
      <c r="H15" s="60"/>
      <c r="I15" s="60"/>
    </row>
    <row r="16" spans="1:9" ht="16.5" customHeight="1">
      <c r="A16" s="60"/>
      <c r="B16" s="60"/>
      <c r="C16" s="60"/>
      <c r="D16" s="60"/>
      <c r="E16" s="60"/>
      <c r="F16" s="60"/>
      <c r="G16" s="60"/>
      <c r="H16" s="60"/>
      <c r="I16" s="60"/>
    </row>
    <row r="17" spans="1:12" ht="16.5" customHeight="1">
      <c r="A17" s="60"/>
      <c r="B17" s="60"/>
      <c r="C17" s="60"/>
      <c r="D17" s="60"/>
      <c r="E17" s="60"/>
      <c r="F17" s="60"/>
      <c r="G17" s="60"/>
      <c r="H17" s="60"/>
      <c r="I17" s="60"/>
    </row>
    <row r="18" spans="1:12" ht="16.5" customHeight="1">
      <c r="A18" s="60"/>
      <c r="B18" s="60"/>
      <c r="C18" s="60"/>
      <c r="D18" s="60"/>
      <c r="E18" s="60"/>
      <c r="F18" s="60"/>
      <c r="G18" s="60"/>
      <c r="H18" s="60"/>
      <c r="I18" s="60"/>
    </row>
    <row r="19" spans="1:12" ht="16.5" customHeight="1">
      <c r="A19" s="60"/>
      <c r="B19" s="60"/>
      <c r="C19" s="60"/>
      <c r="D19" s="60"/>
      <c r="E19" s="60"/>
      <c r="F19" s="60"/>
      <c r="G19" s="60"/>
      <c r="H19" s="60"/>
      <c r="I19" s="60"/>
    </row>
    <row r="20" spans="1:12" ht="16.5" customHeight="1">
      <c r="A20" s="60"/>
      <c r="B20" s="60"/>
      <c r="C20" s="60"/>
      <c r="D20" s="60"/>
      <c r="E20" s="60"/>
      <c r="F20" s="60"/>
      <c r="G20" s="60"/>
      <c r="H20" s="60"/>
      <c r="I20" s="60"/>
    </row>
    <row r="21" spans="1:12" ht="16.5" customHeight="1">
      <c r="A21" s="60"/>
      <c r="B21" s="60"/>
      <c r="C21" s="60"/>
      <c r="D21" s="60"/>
      <c r="E21" s="60"/>
      <c r="F21" s="60"/>
      <c r="G21" s="60"/>
      <c r="H21" s="60"/>
      <c r="I21" s="60"/>
    </row>
    <row r="22" spans="1:12" ht="16.5" customHeight="1">
      <c r="A22" s="60"/>
      <c r="B22" s="60"/>
      <c r="C22" s="60"/>
      <c r="D22" s="60"/>
      <c r="E22" s="60"/>
      <c r="F22" s="60"/>
      <c r="G22" s="60"/>
      <c r="H22" s="60"/>
      <c r="I22" s="60"/>
    </row>
    <row r="23" spans="1:12" ht="16.5" customHeight="1">
      <c r="A23" s="60"/>
      <c r="B23" s="60"/>
      <c r="C23" s="60"/>
      <c r="D23" s="60"/>
      <c r="E23" s="60"/>
      <c r="F23" s="60"/>
      <c r="G23" s="60"/>
      <c r="H23" s="60"/>
      <c r="I23" s="60"/>
    </row>
    <row r="24" spans="1:12" ht="16.5" customHeight="1">
      <c r="A24" s="60"/>
      <c r="B24" s="60"/>
      <c r="C24" s="60"/>
      <c r="D24" s="60"/>
      <c r="E24" s="60"/>
      <c r="F24" s="60"/>
      <c r="G24" s="60"/>
      <c r="H24" s="60"/>
      <c r="I24" s="60"/>
    </row>
    <row r="25" spans="1:12" ht="16.5" customHeight="1">
      <c r="A25" s="60"/>
      <c r="B25" s="60"/>
      <c r="C25" s="60"/>
      <c r="D25" s="60"/>
      <c r="E25" s="60"/>
      <c r="F25" s="60"/>
      <c r="G25" s="60"/>
      <c r="H25" s="60"/>
      <c r="I25" s="60"/>
      <c r="L25" s="53"/>
    </row>
    <row r="26" spans="1:12" ht="16.5" customHeight="1">
      <c r="A26" s="60"/>
      <c r="B26" s="60"/>
      <c r="C26" s="60"/>
      <c r="D26" s="60"/>
      <c r="E26" s="60"/>
      <c r="F26" s="60"/>
      <c r="G26" s="60"/>
      <c r="H26" s="60"/>
      <c r="I26" s="60"/>
    </row>
    <row r="27" spans="1:12" ht="16.5" customHeight="1">
      <c r="A27" s="60"/>
      <c r="B27" s="60"/>
      <c r="C27" s="60"/>
      <c r="D27" s="60"/>
      <c r="E27" s="60"/>
      <c r="F27" s="60"/>
      <c r="G27" s="60"/>
      <c r="H27" s="60"/>
      <c r="I27" s="60"/>
    </row>
    <row r="28" spans="1:12" ht="16.5" customHeight="1">
      <c r="A28" s="60"/>
      <c r="B28" s="60"/>
      <c r="C28" s="60"/>
      <c r="D28" s="60"/>
      <c r="E28" s="60"/>
      <c r="F28" s="60"/>
      <c r="G28" s="60"/>
      <c r="H28" s="60"/>
      <c r="I28" s="60"/>
    </row>
    <row r="29" spans="1:12" ht="16.5" customHeight="1">
      <c r="A29" s="60"/>
      <c r="B29" s="60"/>
      <c r="C29" s="60"/>
      <c r="D29" s="60"/>
      <c r="E29" s="60"/>
      <c r="F29" s="60"/>
      <c r="G29" s="60"/>
      <c r="H29" s="60"/>
      <c r="I29" s="60"/>
    </row>
    <row r="39" spans="13:17" ht="16.5" customHeight="1">
      <c r="P39" s="52"/>
    </row>
    <row r="40" spans="13:17" ht="16.5" customHeight="1">
      <c r="M40" s="51"/>
      <c r="P40" s="52"/>
      <c r="Q40" s="51"/>
    </row>
  </sheetData>
  <mergeCells count="1">
    <mergeCell ref="A7:I29"/>
  </mergeCells>
  <phoneticPr fontId="3"/>
  <pageMargins left="0.7" right="0.7" top="0.75" bottom="0.75" header="0.3" footer="0.3"/>
  <pageSetup paperSize="9" orientation="portrait"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11"/>
  <sheetViews>
    <sheetView topLeftCell="A19" zoomScaleNormal="100" workbookViewId="0">
      <selection activeCell="L15" sqref="L15:X21"/>
    </sheetView>
  </sheetViews>
  <sheetFormatPr defaultRowHeight="13.5"/>
  <cols>
    <col min="1" max="8" width="3.625" style="442" customWidth="1"/>
    <col min="9" max="9" width="0.25" style="442" customWidth="1"/>
    <col min="10" max="201" width="3.625" style="442" customWidth="1"/>
    <col min="202" max="16384" width="9" style="442"/>
  </cols>
  <sheetData>
    <row r="1" spans="1:28" ht="3.75" customHeight="1">
      <c r="A1" s="497"/>
      <c r="B1" s="497"/>
      <c r="C1" s="497"/>
      <c r="D1" s="497"/>
      <c r="E1" s="497"/>
      <c r="F1" s="497"/>
      <c r="G1" s="497"/>
      <c r="H1" s="497"/>
      <c r="I1" s="497"/>
      <c r="J1" s="497"/>
      <c r="K1" s="497"/>
      <c r="L1" s="497"/>
      <c r="M1" s="497"/>
      <c r="N1" s="497"/>
      <c r="O1" s="497"/>
      <c r="P1" s="497"/>
      <c r="Q1" s="497"/>
      <c r="R1" s="497"/>
      <c r="S1" s="497"/>
      <c r="T1" s="497"/>
      <c r="U1" s="497"/>
      <c r="V1" s="497"/>
      <c r="W1" s="497"/>
      <c r="X1" s="497"/>
      <c r="Y1" s="497"/>
      <c r="Z1" s="497"/>
    </row>
    <row r="2" spans="1:28" ht="17.100000000000001" customHeight="1">
      <c r="A2" s="497"/>
      <c r="B2" s="497"/>
      <c r="C2" s="497"/>
      <c r="D2" s="497"/>
      <c r="E2" s="497"/>
      <c r="F2" s="497"/>
      <c r="G2" s="497"/>
      <c r="H2" s="497"/>
      <c r="I2" s="497"/>
      <c r="J2" s="497"/>
      <c r="K2" s="497"/>
      <c r="L2" s="497"/>
      <c r="M2" s="497"/>
      <c r="N2" s="497"/>
      <c r="O2" s="497"/>
      <c r="P2" s="497"/>
      <c r="Q2" s="497"/>
      <c r="R2" s="497"/>
      <c r="S2" s="497"/>
      <c r="T2" s="497"/>
      <c r="U2" s="497"/>
      <c r="V2" s="497"/>
      <c r="W2" s="497"/>
      <c r="X2" s="497"/>
      <c r="Y2" s="497"/>
      <c r="Z2" s="497"/>
    </row>
    <row r="3" spans="1:28" ht="17.100000000000001" customHeight="1">
      <c r="A3" s="497"/>
      <c r="B3" s="497"/>
      <c r="C3" s="497"/>
      <c r="D3" s="497"/>
      <c r="E3" s="498" t="s">
        <v>84</v>
      </c>
      <c r="F3" s="498"/>
      <c r="G3" s="498"/>
      <c r="H3" s="498"/>
      <c r="I3" s="498"/>
      <c r="J3" s="498"/>
      <c r="K3" s="498"/>
      <c r="L3" s="498"/>
      <c r="M3" s="498"/>
      <c r="N3" s="498"/>
      <c r="O3" s="498"/>
      <c r="P3" s="498"/>
      <c r="Q3" s="498"/>
      <c r="R3" s="498"/>
      <c r="S3" s="498"/>
      <c r="T3" s="498"/>
      <c r="U3" s="498"/>
      <c r="V3" s="497"/>
      <c r="W3" s="497"/>
      <c r="X3" s="497"/>
      <c r="Y3" s="497"/>
      <c r="Z3" s="497"/>
    </row>
    <row r="4" spans="1:28" ht="14.25" customHeight="1">
      <c r="A4" s="497"/>
      <c r="B4" s="497"/>
      <c r="C4" s="497"/>
      <c r="D4" s="497"/>
      <c r="E4" s="499"/>
      <c r="F4" s="499"/>
      <c r="G4" s="499"/>
      <c r="H4" s="499"/>
      <c r="I4" s="499"/>
      <c r="J4" s="499"/>
      <c r="K4" s="499"/>
      <c r="L4" s="499"/>
      <c r="M4" s="499"/>
      <c r="N4" s="499"/>
      <c r="O4" s="499"/>
      <c r="P4" s="499"/>
      <c r="Q4" s="499"/>
      <c r="R4" s="499"/>
      <c r="S4" s="499"/>
      <c r="T4" s="499"/>
      <c r="U4" s="499"/>
      <c r="V4" s="497"/>
      <c r="W4" s="497"/>
      <c r="X4" s="497"/>
      <c r="Y4" s="497"/>
      <c r="Z4" s="497"/>
    </row>
    <row r="5" spans="1:28" ht="16.5" hidden="1" customHeight="1">
      <c r="A5" s="497"/>
      <c r="B5" s="497"/>
      <c r="C5" s="497"/>
      <c r="D5" s="497"/>
      <c r="E5" s="497"/>
      <c r="F5" s="497"/>
      <c r="G5" s="497"/>
      <c r="H5" s="497"/>
      <c r="I5" s="497"/>
      <c r="J5" s="497"/>
      <c r="K5" s="497"/>
      <c r="L5" s="497"/>
      <c r="M5" s="497"/>
      <c r="N5" s="497"/>
      <c r="O5" s="497"/>
      <c r="P5" s="497"/>
      <c r="Q5" s="497"/>
      <c r="R5" s="497"/>
      <c r="S5" s="497"/>
      <c r="T5" s="497"/>
      <c r="U5" s="497"/>
      <c r="V5" s="497"/>
      <c r="W5" s="497"/>
      <c r="X5" s="497"/>
      <c r="Y5" s="497"/>
      <c r="Z5" s="497"/>
    </row>
    <row r="6" spans="1:28" ht="17.100000000000001" customHeight="1">
      <c r="A6" s="497"/>
      <c r="B6" s="497"/>
      <c r="C6" s="497"/>
      <c r="D6" s="497" t="s">
        <v>65</v>
      </c>
      <c r="E6" s="497"/>
      <c r="F6" s="497"/>
      <c r="G6" s="497"/>
      <c r="H6" s="497"/>
      <c r="I6" s="497" t="s">
        <v>85</v>
      </c>
      <c r="J6" s="497"/>
      <c r="K6" s="497"/>
      <c r="L6" s="497"/>
      <c r="M6" s="497"/>
      <c r="N6" s="497"/>
      <c r="O6" s="497"/>
      <c r="P6" s="497"/>
      <c r="Q6" s="497"/>
      <c r="R6" s="497"/>
      <c r="S6" s="497"/>
      <c r="T6" s="497"/>
      <c r="U6" s="497"/>
      <c r="V6" s="497"/>
      <c r="W6" s="497" t="s">
        <v>86</v>
      </c>
      <c r="X6" s="497"/>
      <c r="Y6" s="497"/>
      <c r="Z6" s="497"/>
    </row>
    <row r="7" spans="1:28" ht="17.100000000000001" customHeight="1">
      <c r="A7" s="500"/>
      <c r="B7" s="497"/>
      <c r="C7" s="497"/>
      <c r="D7" s="497" t="s">
        <v>68</v>
      </c>
      <c r="E7" s="497"/>
      <c r="F7" s="497"/>
      <c r="G7" s="497"/>
      <c r="H7" s="497"/>
      <c r="I7" s="497" t="s">
        <v>139</v>
      </c>
      <c r="J7" s="497"/>
      <c r="K7" s="497"/>
      <c r="L7" s="497"/>
      <c r="M7" s="497"/>
      <c r="N7" s="497"/>
      <c r="O7" s="497"/>
      <c r="P7" s="497"/>
      <c r="Q7" s="497"/>
      <c r="R7" s="497"/>
      <c r="S7" s="497"/>
      <c r="T7" s="497"/>
      <c r="U7" s="497"/>
      <c r="V7" s="497"/>
      <c r="W7" s="497" t="s">
        <v>86</v>
      </c>
      <c r="X7" s="497"/>
      <c r="Y7" s="497"/>
      <c r="Z7" s="497"/>
    </row>
    <row r="8" spans="1:28" ht="17.100000000000001" customHeight="1">
      <c r="A8" s="497"/>
      <c r="B8" s="497"/>
      <c r="C8" s="497"/>
      <c r="D8" s="497"/>
      <c r="E8" s="497"/>
      <c r="F8" s="497"/>
      <c r="G8" s="497"/>
      <c r="H8" s="497"/>
      <c r="I8" s="497"/>
      <c r="J8" s="497"/>
      <c r="K8" s="497"/>
      <c r="L8" s="497"/>
      <c r="M8" s="497"/>
      <c r="N8" s="497"/>
      <c r="O8" s="497"/>
      <c r="P8" s="497"/>
      <c r="Q8" s="497"/>
      <c r="R8" s="497"/>
      <c r="S8" s="497"/>
      <c r="T8" s="497"/>
      <c r="U8" s="497"/>
      <c r="V8" s="497"/>
      <c r="W8" s="497"/>
      <c r="X8" s="497"/>
      <c r="Y8" s="497"/>
      <c r="Z8" s="497"/>
    </row>
    <row r="9" spans="1:28" ht="17.100000000000001" customHeight="1">
      <c r="A9" s="497"/>
      <c r="B9" s="501"/>
      <c r="C9" s="502"/>
      <c r="D9" s="503" t="s">
        <v>87</v>
      </c>
      <c r="E9" s="503"/>
      <c r="F9" s="503"/>
      <c r="G9" s="503"/>
      <c r="H9" s="503"/>
      <c r="I9" s="502"/>
      <c r="J9" s="504"/>
      <c r="K9" s="502"/>
      <c r="L9" s="502"/>
      <c r="M9" s="502"/>
      <c r="N9" s="502"/>
      <c r="O9" s="503" t="s">
        <v>88</v>
      </c>
      <c r="P9" s="503"/>
      <c r="Q9" s="503"/>
      <c r="R9" s="503"/>
      <c r="S9" s="503"/>
      <c r="T9" s="503"/>
      <c r="U9" s="502"/>
      <c r="V9" s="502"/>
      <c r="W9" s="502"/>
      <c r="X9" s="502"/>
      <c r="Y9" s="504"/>
      <c r="Z9" s="497"/>
    </row>
    <row r="10" spans="1:28" ht="12.75" customHeight="1">
      <c r="A10" s="497"/>
      <c r="B10" s="505"/>
      <c r="C10" s="506"/>
      <c r="D10" s="507"/>
      <c r="E10" s="507"/>
      <c r="F10" s="507"/>
      <c r="G10" s="507"/>
      <c r="H10" s="507"/>
      <c r="I10" s="506"/>
      <c r="J10" s="508"/>
      <c r="K10" s="506"/>
      <c r="L10" s="506"/>
      <c r="M10" s="506"/>
      <c r="N10" s="506"/>
      <c r="O10" s="507"/>
      <c r="P10" s="507"/>
      <c r="Q10" s="507"/>
      <c r="R10" s="507"/>
      <c r="S10" s="507"/>
      <c r="T10" s="507"/>
      <c r="U10" s="506"/>
      <c r="V10" s="506"/>
      <c r="W10" s="506"/>
      <c r="X10" s="506"/>
      <c r="Y10" s="508"/>
      <c r="Z10" s="497"/>
    </row>
    <row r="11" spans="1:28" ht="17.100000000000001" customHeight="1">
      <c r="A11" s="497"/>
      <c r="B11" s="501"/>
      <c r="C11" s="509" t="s">
        <v>89</v>
      </c>
      <c r="D11" s="510"/>
      <c r="E11" s="510"/>
      <c r="F11" s="510"/>
      <c r="G11" s="510"/>
      <c r="H11" s="510"/>
      <c r="I11" s="502"/>
      <c r="J11" s="504"/>
      <c r="K11" s="501"/>
      <c r="L11" s="502"/>
      <c r="M11" s="502"/>
      <c r="N11" s="502"/>
      <c r="O11" s="502"/>
      <c r="P11" s="502"/>
      <c r="Q11" s="502"/>
      <c r="R11" s="502"/>
      <c r="S11" s="502"/>
      <c r="T11" s="502"/>
      <c r="U11" s="502"/>
      <c r="V11" s="502"/>
      <c r="W11" s="502"/>
      <c r="X11" s="502"/>
      <c r="Y11" s="504"/>
      <c r="Z11" s="497"/>
    </row>
    <row r="12" spans="1:28" ht="17.100000000000001" customHeight="1">
      <c r="A12" s="497"/>
      <c r="B12" s="511"/>
      <c r="C12" s="512"/>
      <c r="D12" s="512"/>
      <c r="E12" s="512"/>
      <c r="F12" s="512"/>
      <c r="G12" s="512"/>
      <c r="H12" s="512"/>
      <c r="I12" s="513"/>
      <c r="J12" s="514"/>
      <c r="K12" s="511"/>
      <c r="L12" s="515" t="s">
        <v>104</v>
      </c>
      <c r="M12" s="515"/>
      <c r="N12" s="515"/>
      <c r="O12" s="515"/>
      <c r="P12" s="515"/>
      <c r="Q12" s="515"/>
      <c r="R12" s="515"/>
      <c r="S12" s="515"/>
      <c r="T12" s="515"/>
      <c r="U12" s="515"/>
      <c r="V12" s="515"/>
      <c r="W12" s="515"/>
      <c r="X12" s="515"/>
      <c r="Y12" s="516"/>
      <c r="Z12" s="497"/>
    </row>
    <row r="13" spans="1:28" ht="17.100000000000001" customHeight="1">
      <c r="A13" s="497"/>
      <c r="B13" s="511"/>
      <c r="C13" s="517"/>
      <c r="D13" s="517"/>
      <c r="E13" s="517"/>
      <c r="F13" s="517"/>
      <c r="G13" s="517"/>
      <c r="H13" s="517"/>
      <c r="I13" s="513"/>
      <c r="J13" s="514"/>
      <c r="K13" s="511"/>
      <c r="L13" s="515"/>
      <c r="M13" s="515"/>
      <c r="N13" s="515"/>
      <c r="O13" s="515"/>
      <c r="P13" s="515"/>
      <c r="Q13" s="515"/>
      <c r="R13" s="515"/>
      <c r="S13" s="515"/>
      <c r="T13" s="515"/>
      <c r="U13" s="515"/>
      <c r="V13" s="515"/>
      <c r="W13" s="515"/>
      <c r="X13" s="515"/>
      <c r="Y13" s="516"/>
      <c r="Z13" s="497"/>
    </row>
    <row r="14" spans="1:28" ht="17.100000000000001" customHeight="1">
      <c r="A14" s="497"/>
      <c r="B14" s="511"/>
      <c r="C14" s="513"/>
      <c r="D14" s="513"/>
      <c r="E14" s="513"/>
      <c r="F14" s="513"/>
      <c r="G14" s="513"/>
      <c r="H14" s="513"/>
      <c r="I14" s="513"/>
      <c r="J14" s="514"/>
      <c r="K14" s="511"/>
      <c r="L14" s="515"/>
      <c r="M14" s="515"/>
      <c r="N14" s="515"/>
      <c r="O14" s="515"/>
      <c r="P14" s="515"/>
      <c r="Q14" s="515"/>
      <c r="R14" s="515"/>
      <c r="S14" s="515"/>
      <c r="T14" s="515"/>
      <c r="U14" s="515"/>
      <c r="V14" s="515"/>
      <c r="W14" s="515"/>
      <c r="X14" s="515"/>
      <c r="Y14" s="516"/>
      <c r="Z14" s="497"/>
    </row>
    <row r="15" spans="1:28" ht="24.75" customHeight="1">
      <c r="A15" s="497"/>
      <c r="B15" s="511"/>
      <c r="C15" s="513"/>
      <c r="D15" s="513"/>
      <c r="E15" s="513"/>
      <c r="F15" s="513"/>
      <c r="G15" s="513"/>
      <c r="H15" s="513"/>
      <c r="I15" s="513"/>
      <c r="J15" s="514"/>
      <c r="K15" s="511"/>
      <c r="L15" s="518" t="s">
        <v>113</v>
      </c>
      <c r="M15" s="519"/>
      <c r="N15" s="519"/>
      <c r="O15" s="519"/>
      <c r="P15" s="519"/>
      <c r="Q15" s="519"/>
      <c r="R15" s="519"/>
      <c r="S15" s="519"/>
      <c r="T15" s="519"/>
      <c r="U15" s="519"/>
      <c r="V15" s="519"/>
      <c r="W15" s="519"/>
      <c r="X15" s="519"/>
      <c r="Y15" s="514"/>
      <c r="Z15" s="497"/>
    </row>
    <row r="16" spans="1:28" ht="24.75" customHeight="1">
      <c r="A16" s="497"/>
      <c r="B16" s="511"/>
      <c r="C16" s="513"/>
      <c r="D16" s="513"/>
      <c r="E16" s="513"/>
      <c r="F16" s="513"/>
      <c r="G16" s="513"/>
      <c r="H16" s="513"/>
      <c r="I16" s="513"/>
      <c r="J16" s="514"/>
      <c r="K16" s="511"/>
      <c r="L16" s="519"/>
      <c r="M16" s="519"/>
      <c r="N16" s="519"/>
      <c r="O16" s="519"/>
      <c r="P16" s="519"/>
      <c r="Q16" s="519"/>
      <c r="R16" s="519"/>
      <c r="S16" s="519"/>
      <c r="T16" s="519"/>
      <c r="U16" s="519"/>
      <c r="V16" s="519"/>
      <c r="W16" s="519"/>
      <c r="X16" s="519"/>
      <c r="Y16" s="514"/>
      <c r="Z16" s="497"/>
      <c r="AB16" s="520"/>
    </row>
    <row r="17" spans="1:26" ht="24.75" customHeight="1">
      <c r="A17" s="497"/>
      <c r="B17" s="511"/>
      <c r="C17" s="513"/>
      <c r="D17" s="513"/>
      <c r="E17" s="513"/>
      <c r="F17" s="513"/>
      <c r="G17" s="513"/>
      <c r="H17" s="513"/>
      <c r="I17" s="513"/>
      <c r="J17" s="514"/>
      <c r="K17" s="511"/>
      <c r="L17" s="519"/>
      <c r="M17" s="519"/>
      <c r="N17" s="519"/>
      <c r="O17" s="519"/>
      <c r="P17" s="519"/>
      <c r="Q17" s="519"/>
      <c r="R17" s="519"/>
      <c r="S17" s="519"/>
      <c r="T17" s="519"/>
      <c r="U17" s="519"/>
      <c r="V17" s="519"/>
      <c r="W17" s="519"/>
      <c r="X17" s="519"/>
      <c r="Y17" s="514"/>
      <c r="Z17" s="497"/>
    </row>
    <row r="18" spans="1:26" ht="24.75" customHeight="1">
      <c r="A18" s="497"/>
      <c r="B18" s="511"/>
      <c r="C18" s="513"/>
      <c r="D18" s="513"/>
      <c r="E18" s="513"/>
      <c r="F18" s="513"/>
      <c r="G18" s="513"/>
      <c r="H18" s="513"/>
      <c r="I18" s="513"/>
      <c r="J18" s="514"/>
      <c r="K18" s="511"/>
      <c r="L18" s="519"/>
      <c r="M18" s="519"/>
      <c r="N18" s="519"/>
      <c r="O18" s="519"/>
      <c r="P18" s="519"/>
      <c r="Q18" s="519"/>
      <c r="R18" s="519"/>
      <c r="S18" s="519"/>
      <c r="T18" s="519"/>
      <c r="U18" s="519"/>
      <c r="V18" s="519"/>
      <c r="W18" s="519"/>
      <c r="X18" s="519"/>
      <c r="Y18" s="514"/>
      <c r="Z18" s="497"/>
    </row>
    <row r="19" spans="1:26" ht="24.75" customHeight="1">
      <c r="A19" s="497"/>
      <c r="B19" s="511"/>
      <c r="C19" s="513"/>
      <c r="D19" s="513"/>
      <c r="E19" s="513"/>
      <c r="F19" s="513"/>
      <c r="G19" s="513"/>
      <c r="H19" s="513"/>
      <c r="I19" s="513"/>
      <c r="J19" s="514"/>
      <c r="K19" s="511"/>
      <c r="L19" s="519"/>
      <c r="M19" s="519"/>
      <c r="N19" s="519"/>
      <c r="O19" s="519"/>
      <c r="P19" s="519"/>
      <c r="Q19" s="519"/>
      <c r="R19" s="519"/>
      <c r="S19" s="519"/>
      <c r="T19" s="519"/>
      <c r="U19" s="519"/>
      <c r="V19" s="519"/>
      <c r="W19" s="519"/>
      <c r="X19" s="519"/>
      <c r="Y19" s="514"/>
      <c r="Z19" s="497"/>
    </row>
    <row r="20" spans="1:26" ht="24.75" customHeight="1">
      <c r="A20" s="497"/>
      <c r="B20" s="511"/>
      <c r="C20" s="513"/>
      <c r="D20" s="513"/>
      <c r="E20" s="513"/>
      <c r="F20" s="513"/>
      <c r="G20" s="513"/>
      <c r="H20" s="513"/>
      <c r="I20" s="513"/>
      <c r="J20" s="514"/>
      <c r="K20" s="511"/>
      <c r="L20" s="519"/>
      <c r="M20" s="519"/>
      <c r="N20" s="519"/>
      <c r="O20" s="519"/>
      <c r="P20" s="519"/>
      <c r="Q20" s="519"/>
      <c r="R20" s="519"/>
      <c r="S20" s="519"/>
      <c r="T20" s="519"/>
      <c r="U20" s="519"/>
      <c r="V20" s="519"/>
      <c r="W20" s="519"/>
      <c r="X20" s="519"/>
      <c r="Y20" s="514"/>
      <c r="Z20" s="497"/>
    </row>
    <row r="21" spans="1:26" ht="96" customHeight="1">
      <c r="A21" s="497"/>
      <c r="B21" s="511"/>
      <c r="C21" s="513"/>
      <c r="D21" s="513"/>
      <c r="E21" s="513"/>
      <c r="F21" s="513"/>
      <c r="G21" s="513"/>
      <c r="H21" s="513"/>
      <c r="I21" s="513"/>
      <c r="J21" s="514"/>
      <c r="K21" s="511"/>
      <c r="L21" s="519"/>
      <c r="M21" s="519"/>
      <c r="N21" s="519"/>
      <c r="O21" s="519"/>
      <c r="P21" s="519"/>
      <c r="Q21" s="519"/>
      <c r="R21" s="519"/>
      <c r="S21" s="519"/>
      <c r="T21" s="519"/>
      <c r="U21" s="519"/>
      <c r="V21" s="519"/>
      <c r="W21" s="519"/>
      <c r="X21" s="519"/>
      <c r="Y21" s="514"/>
      <c r="Z21" s="497"/>
    </row>
    <row r="22" spans="1:26" ht="75" customHeight="1">
      <c r="A22" s="497"/>
      <c r="B22" s="511"/>
      <c r="C22" s="513"/>
      <c r="D22" s="513"/>
      <c r="E22" s="513"/>
      <c r="F22" s="513"/>
      <c r="G22" s="513"/>
      <c r="H22" s="513"/>
      <c r="I22" s="513"/>
      <c r="J22" s="514"/>
      <c r="K22" s="511"/>
      <c r="L22" s="521" t="s">
        <v>131</v>
      </c>
      <c r="M22" s="521"/>
      <c r="N22" s="521"/>
      <c r="O22" s="521"/>
      <c r="P22" s="521"/>
      <c r="Q22" s="521"/>
      <c r="R22" s="521"/>
      <c r="S22" s="521"/>
      <c r="T22" s="521"/>
      <c r="U22" s="521"/>
      <c r="V22" s="521"/>
      <c r="W22" s="521"/>
      <c r="X22" s="521"/>
      <c r="Y22" s="514"/>
      <c r="Z22" s="497"/>
    </row>
    <row r="23" spans="1:26" ht="125.25" hidden="1" customHeight="1">
      <c r="A23" s="497"/>
      <c r="B23" s="511"/>
      <c r="C23" s="513"/>
      <c r="D23" s="513"/>
      <c r="E23" s="513"/>
      <c r="F23" s="513"/>
      <c r="G23" s="513"/>
      <c r="H23" s="513"/>
      <c r="I23" s="513"/>
      <c r="J23" s="514"/>
      <c r="K23" s="511"/>
      <c r="L23" s="522"/>
      <c r="M23" s="522"/>
      <c r="N23" s="522"/>
      <c r="O23" s="522"/>
      <c r="P23" s="522"/>
      <c r="Q23" s="522"/>
      <c r="R23" s="522"/>
      <c r="S23" s="522"/>
      <c r="T23" s="522"/>
      <c r="U23" s="522"/>
      <c r="V23" s="522"/>
      <c r="W23" s="522"/>
      <c r="X23" s="522"/>
      <c r="Y23" s="514"/>
      <c r="Z23" s="497"/>
    </row>
    <row r="24" spans="1:26" ht="17.100000000000001" customHeight="1">
      <c r="A24" s="497"/>
      <c r="B24" s="505"/>
      <c r="C24" s="506"/>
      <c r="D24" s="506"/>
      <c r="E24" s="506"/>
      <c r="F24" s="506"/>
      <c r="G24" s="506"/>
      <c r="H24" s="506"/>
      <c r="I24" s="506"/>
      <c r="J24" s="508"/>
      <c r="K24" s="505"/>
      <c r="L24" s="506"/>
      <c r="M24" s="506"/>
      <c r="N24" s="506"/>
      <c r="O24" s="506"/>
      <c r="P24" s="506"/>
      <c r="Q24" s="506"/>
      <c r="R24" s="506"/>
      <c r="S24" s="506"/>
      <c r="T24" s="506"/>
      <c r="U24" s="506"/>
      <c r="V24" s="506"/>
      <c r="W24" s="506"/>
      <c r="X24" s="506"/>
      <c r="Y24" s="508"/>
      <c r="Z24" s="497"/>
    </row>
    <row r="25" spans="1:26" ht="17.100000000000001" customHeight="1">
      <c r="A25" s="497"/>
      <c r="B25" s="501"/>
      <c r="C25" s="509" t="s">
        <v>90</v>
      </c>
      <c r="D25" s="509"/>
      <c r="E25" s="509"/>
      <c r="F25" s="509"/>
      <c r="G25" s="509"/>
      <c r="H25" s="509"/>
      <c r="I25" s="509"/>
      <c r="J25" s="504"/>
      <c r="K25" s="501"/>
      <c r="L25" s="509" t="s">
        <v>128</v>
      </c>
      <c r="M25" s="509"/>
      <c r="N25" s="509"/>
      <c r="O25" s="509"/>
      <c r="P25" s="509"/>
      <c r="Q25" s="509"/>
      <c r="R25" s="523"/>
      <c r="S25" s="523"/>
      <c r="T25" s="523"/>
      <c r="U25" s="523"/>
      <c r="V25" s="523"/>
      <c r="W25" s="523"/>
      <c r="X25" s="523"/>
      <c r="Y25" s="524"/>
      <c r="Z25" s="497"/>
    </row>
    <row r="26" spans="1:26" ht="17.100000000000001" customHeight="1">
      <c r="A26" s="497"/>
      <c r="B26" s="505"/>
      <c r="C26" s="525"/>
      <c r="D26" s="526"/>
      <c r="E26" s="526"/>
      <c r="F26" s="526"/>
      <c r="G26" s="526"/>
      <c r="H26" s="526"/>
      <c r="I26" s="526"/>
      <c r="J26" s="508"/>
      <c r="K26" s="505"/>
      <c r="L26" s="526"/>
      <c r="M26" s="526"/>
      <c r="N26" s="526"/>
      <c r="O26" s="526"/>
      <c r="P26" s="526"/>
      <c r="Q26" s="526"/>
      <c r="R26" s="527"/>
      <c r="S26" s="527"/>
      <c r="T26" s="527"/>
      <c r="U26" s="527"/>
      <c r="V26" s="527"/>
      <c r="W26" s="527"/>
      <c r="X26" s="527"/>
      <c r="Y26" s="528"/>
      <c r="Z26" s="497"/>
    </row>
    <row r="27" spans="1:26" ht="17.100000000000001" customHeight="1">
      <c r="A27" s="497"/>
      <c r="B27" s="501"/>
      <c r="C27" s="509" t="s">
        <v>91</v>
      </c>
      <c r="D27" s="510"/>
      <c r="E27" s="510"/>
      <c r="F27" s="510"/>
      <c r="G27" s="510"/>
      <c r="H27" s="510"/>
      <c r="I27" s="502"/>
      <c r="J27" s="504"/>
      <c r="K27" s="501"/>
      <c r="L27" s="502"/>
      <c r="M27" s="502"/>
      <c r="N27" s="502"/>
      <c r="O27" s="502"/>
      <c r="P27" s="502"/>
      <c r="Q27" s="502"/>
      <c r="R27" s="502"/>
      <c r="S27" s="502"/>
      <c r="T27" s="502"/>
      <c r="U27" s="502"/>
      <c r="V27" s="502"/>
      <c r="W27" s="502"/>
      <c r="X27" s="502"/>
      <c r="Y27" s="504"/>
      <c r="Z27" s="497"/>
    </row>
    <row r="28" spans="1:26" ht="17.100000000000001" customHeight="1">
      <c r="A28" s="497"/>
      <c r="B28" s="511"/>
      <c r="C28" s="529"/>
      <c r="D28" s="529"/>
      <c r="E28" s="529"/>
      <c r="F28" s="529"/>
      <c r="G28" s="529"/>
      <c r="H28" s="529"/>
      <c r="I28" s="513"/>
      <c r="J28" s="514"/>
      <c r="K28" s="511"/>
      <c r="L28" s="513" t="s">
        <v>92</v>
      </c>
      <c r="M28" s="513" t="s">
        <v>93</v>
      </c>
      <c r="N28" s="513"/>
      <c r="O28" s="513"/>
      <c r="P28" s="513"/>
      <c r="Q28" s="513"/>
      <c r="R28" s="513"/>
      <c r="S28" s="513"/>
      <c r="T28" s="513"/>
      <c r="U28" s="513"/>
      <c r="V28" s="513"/>
      <c r="W28" s="513"/>
      <c r="X28" s="513"/>
      <c r="Y28" s="514"/>
      <c r="Z28" s="497"/>
    </row>
    <row r="29" spans="1:26" ht="17.100000000000001" customHeight="1">
      <c r="A29" s="497"/>
      <c r="B29" s="511"/>
      <c r="C29" s="513"/>
      <c r="D29" s="513"/>
      <c r="E29" s="513"/>
      <c r="F29" s="513"/>
      <c r="G29" s="513"/>
      <c r="H29" s="513"/>
      <c r="I29" s="513"/>
      <c r="J29" s="514"/>
      <c r="K29" s="511"/>
      <c r="L29" s="513" t="s">
        <v>94</v>
      </c>
      <c r="M29" s="513" t="s">
        <v>126</v>
      </c>
      <c r="N29" s="513"/>
      <c r="O29" s="513"/>
      <c r="P29" s="513"/>
      <c r="Q29" s="513"/>
      <c r="R29" s="513"/>
      <c r="S29" s="513"/>
      <c r="T29" s="513"/>
      <c r="U29" s="513"/>
      <c r="V29" s="513"/>
      <c r="W29" s="513"/>
      <c r="X29" s="513"/>
      <c r="Y29" s="514"/>
      <c r="Z29" s="497"/>
    </row>
    <row r="30" spans="1:26" ht="17.100000000000001" customHeight="1">
      <c r="A30" s="497"/>
      <c r="B30" s="511"/>
      <c r="C30" s="513"/>
      <c r="D30" s="513"/>
      <c r="E30" s="513"/>
      <c r="F30" s="513"/>
      <c r="G30" s="513"/>
      <c r="H30" s="513"/>
      <c r="I30" s="513"/>
      <c r="J30" s="514"/>
      <c r="K30" s="511"/>
      <c r="L30" s="513" t="s">
        <v>95</v>
      </c>
      <c r="M30" s="513" t="s">
        <v>96</v>
      </c>
      <c r="N30" s="513"/>
      <c r="O30" s="513"/>
      <c r="P30" s="513"/>
      <c r="Q30" s="513"/>
      <c r="R30" s="513"/>
      <c r="S30" s="513"/>
      <c r="T30" s="513"/>
      <c r="U30" s="513"/>
      <c r="V30" s="513"/>
      <c r="W30" s="513"/>
      <c r="X30" s="513"/>
      <c r="Y30" s="514"/>
      <c r="Z30" s="497"/>
    </row>
    <row r="31" spans="1:26" ht="17.100000000000001" customHeight="1">
      <c r="A31" s="497"/>
      <c r="B31" s="511"/>
      <c r="C31" s="513"/>
      <c r="D31" s="513"/>
      <c r="E31" s="513"/>
      <c r="F31" s="513"/>
      <c r="G31" s="513"/>
      <c r="H31" s="513"/>
      <c r="I31" s="513"/>
      <c r="J31" s="514"/>
      <c r="K31" s="511"/>
      <c r="L31" s="513"/>
      <c r="M31" s="513" t="s">
        <v>97</v>
      </c>
      <c r="N31" s="513"/>
      <c r="O31" s="513"/>
      <c r="P31" s="513"/>
      <c r="Q31" s="513"/>
      <c r="R31" s="513"/>
      <c r="S31" s="513"/>
      <c r="T31" s="513"/>
      <c r="U31" s="513"/>
      <c r="V31" s="513"/>
      <c r="W31" s="513"/>
      <c r="X31" s="513"/>
      <c r="Y31" s="514"/>
      <c r="Z31" s="497"/>
    </row>
    <row r="32" spans="1:26" ht="5.25" customHeight="1">
      <c r="A32" s="497"/>
      <c r="B32" s="505"/>
      <c r="C32" s="506"/>
      <c r="D32" s="506"/>
      <c r="E32" s="506"/>
      <c r="F32" s="506"/>
      <c r="G32" s="506"/>
      <c r="H32" s="506"/>
      <c r="I32" s="506"/>
      <c r="J32" s="508"/>
      <c r="K32" s="505"/>
      <c r="L32" s="506"/>
      <c r="M32" s="506"/>
      <c r="N32" s="506"/>
      <c r="O32" s="506"/>
      <c r="P32" s="506"/>
      <c r="Q32" s="506"/>
      <c r="R32" s="506"/>
      <c r="S32" s="506"/>
      <c r="T32" s="506"/>
      <c r="U32" s="506"/>
      <c r="V32" s="506"/>
      <c r="W32" s="506"/>
      <c r="X32" s="506"/>
      <c r="Y32" s="508"/>
      <c r="Z32" s="497"/>
    </row>
    <row r="33" spans="1:26" ht="17.100000000000001" customHeight="1">
      <c r="A33" s="497"/>
      <c r="B33" s="501"/>
      <c r="C33" s="530" t="s">
        <v>98</v>
      </c>
      <c r="D33" s="531"/>
      <c r="E33" s="531"/>
      <c r="F33" s="531"/>
      <c r="G33" s="531"/>
      <c r="H33" s="531"/>
      <c r="I33" s="531"/>
      <c r="J33" s="532"/>
      <c r="K33" s="501"/>
      <c r="L33" s="502"/>
      <c r="M33" s="502"/>
      <c r="N33" s="502"/>
      <c r="O33" s="502"/>
      <c r="P33" s="502"/>
      <c r="Q33" s="502"/>
      <c r="R33" s="502"/>
      <c r="S33" s="502"/>
      <c r="T33" s="502"/>
      <c r="U33" s="502"/>
      <c r="V33" s="502"/>
      <c r="W33" s="502"/>
      <c r="X33" s="502"/>
      <c r="Y33" s="504"/>
      <c r="Z33" s="497"/>
    </row>
    <row r="34" spans="1:26" ht="17.100000000000001" customHeight="1">
      <c r="A34" s="497"/>
      <c r="B34" s="511"/>
      <c r="C34" s="533"/>
      <c r="D34" s="533"/>
      <c r="E34" s="533"/>
      <c r="F34" s="533"/>
      <c r="G34" s="533"/>
      <c r="H34" s="533"/>
      <c r="I34" s="533"/>
      <c r="J34" s="534"/>
      <c r="K34" s="511"/>
      <c r="L34" s="513" t="s">
        <v>92</v>
      </c>
      <c r="M34" s="513" t="s">
        <v>99</v>
      </c>
      <c r="N34" s="513"/>
      <c r="O34" s="513"/>
      <c r="P34" s="513"/>
      <c r="Q34" s="513"/>
      <c r="R34" s="513"/>
      <c r="S34" s="513"/>
      <c r="T34" s="513"/>
      <c r="U34" s="513"/>
      <c r="V34" s="513"/>
      <c r="W34" s="513"/>
      <c r="X34" s="513"/>
      <c r="Y34" s="514"/>
      <c r="Z34" s="497"/>
    </row>
    <row r="35" spans="1:26" ht="17.100000000000001" customHeight="1">
      <c r="A35" s="497"/>
      <c r="B35" s="511"/>
      <c r="C35" s="533"/>
      <c r="D35" s="533"/>
      <c r="E35" s="533"/>
      <c r="F35" s="533"/>
      <c r="G35" s="533"/>
      <c r="H35" s="533"/>
      <c r="I35" s="533"/>
      <c r="J35" s="534"/>
      <c r="K35" s="511"/>
      <c r="L35" s="513"/>
      <c r="M35" s="513" t="s">
        <v>100</v>
      </c>
      <c r="N35" s="513"/>
      <c r="O35" s="513"/>
      <c r="P35" s="513"/>
      <c r="Q35" s="513"/>
      <c r="R35" s="513"/>
      <c r="S35" s="513"/>
      <c r="T35" s="513"/>
      <c r="U35" s="513"/>
      <c r="V35" s="513"/>
      <c r="W35" s="513"/>
      <c r="X35" s="513"/>
      <c r="Y35" s="514"/>
      <c r="Z35" s="497"/>
    </row>
    <row r="36" spans="1:26" ht="17.100000000000001" customHeight="1">
      <c r="A36" s="497"/>
      <c r="B36" s="511"/>
      <c r="C36" s="513"/>
      <c r="D36" s="513"/>
      <c r="E36" s="513"/>
      <c r="F36" s="513"/>
      <c r="G36" s="513"/>
      <c r="H36" s="513"/>
      <c r="I36" s="513"/>
      <c r="J36" s="514"/>
      <c r="K36" s="511"/>
      <c r="L36" s="513"/>
      <c r="M36" s="513" t="s">
        <v>101</v>
      </c>
      <c r="N36" s="513"/>
      <c r="O36" s="513"/>
      <c r="P36" s="513"/>
      <c r="Q36" s="513"/>
      <c r="R36" s="513"/>
      <c r="S36" s="513"/>
      <c r="T36" s="513"/>
      <c r="U36" s="513"/>
      <c r="V36" s="513"/>
      <c r="W36" s="513"/>
      <c r="X36" s="513"/>
      <c r="Y36" s="514"/>
      <c r="Z36" s="497"/>
    </row>
    <row r="37" spans="1:26" ht="17.100000000000001" customHeight="1">
      <c r="A37" s="497"/>
      <c r="B37" s="511"/>
      <c r="C37" s="513"/>
      <c r="D37" s="513"/>
      <c r="E37" s="513"/>
      <c r="F37" s="513"/>
      <c r="G37" s="513"/>
      <c r="H37" s="513"/>
      <c r="I37" s="513"/>
      <c r="J37" s="514"/>
      <c r="K37" s="511"/>
      <c r="L37" s="513" t="s">
        <v>102</v>
      </c>
      <c r="M37" s="513" t="s">
        <v>103</v>
      </c>
      <c r="N37" s="513"/>
      <c r="O37" s="513"/>
      <c r="P37" s="513"/>
      <c r="Q37" s="513"/>
      <c r="R37" s="513"/>
      <c r="S37" s="513"/>
      <c r="T37" s="513"/>
      <c r="U37" s="513"/>
      <c r="V37" s="513"/>
      <c r="W37" s="513"/>
      <c r="X37" s="513"/>
      <c r="Y37" s="514"/>
      <c r="Z37" s="497"/>
    </row>
    <row r="38" spans="1:26" ht="17.100000000000001" customHeight="1">
      <c r="A38" s="497"/>
      <c r="B38" s="511"/>
      <c r="C38" s="513"/>
      <c r="D38" s="513"/>
      <c r="E38" s="513"/>
      <c r="F38" s="513"/>
      <c r="G38" s="513"/>
      <c r="H38" s="513"/>
      <c r="I38" s="513"/>
      <c r="J38" s="514"/>
      <c r="K38" s="511"/>
      <c r="L38" s="513"/>
      <c r="M38" s="513" t="s">
        <v>129</v>
      </c>
      <c r="N38" s="513"/>
      <c r="O38" s="513"/>
      <c r="P38" s="535" t="s">
        <v>111</v>
      </c>
      <c r="Q38" s="535"/>
      <c r="R38" s="513"/>
      <c r="S38" s="513"/>
      <c r="T38" s="513"/>
      <c r="U38" s="513"/>
      <c r="V38" s="513"/>
      <c r="W38" s="513"/>
      <c r="X38" s="513"/>
      <c r="Y38" s="514"/>
      <c r="Z38" s="497"/>
    </row>
    <row r="39" spans="1:26" ht="17.100000000000001" customHeight="1">
      <c r="A39" s="497"/>
      <c r="B39" s="511"/>
      <c r="C39" s="513"/>
      <c r="D39" s="513"/>
      <c r="E39" s="513"/>
      <c r="F39" s="513"/>
      <c r="G39" s="513"/>
      <c r="H39" s="513"/>
      <c r="I39" s="513"/>
      <c r="J39" s="514"/>
      <c r="K39" s="511"/>
      <c r="L39" s="513"/>
      <c r="M39" s="513" t="s">
        <v>130</v>
      </c>
      <c r="N39" s="513"/>
      <c r="O39" s="513"/>
      <c r="P39" s="535" t="s">
        <v>112</v>
      </c>
      <c r="Q39" s="535"/>
      <c r="R39" s="513"/>
      <c r="S39" s="513"/>
      <c r="T39" s="513"/>
      <c r="U39" s="513"/>
      <c r="V39" s="513"/>
      <c r="W39" s="513"/>
      <c r="X39" s="513"/>
      <c r="Y39" s="514"/>
      <c r="Z39" s="497"/>
    </row>
    <row r="40" spans="1:26" ht="17.100000000000001" customHeight="1">
      <c r="A40" s="497"/>
      <c r="B40" s="505"/>
      <c r="C40" s="506"/>
      <c r="D40" s="506"/>
      <c r="E40" s="506"/>
      <c r="F40" s="506"/>
      <c r="G40" s="506"/>
      <c r="H40" s="506"/>
      <c r="I40" s="506"/>
      <c r="J40" s="508"/>
      <c r="K40" s="505"/>
      <c r="L40" s="506"/>
      <c r="M40" s="506"/>
      <c r="N40" s="506"/>
      <c r="O40" s="506"/>
      <c r="P40" s="506"/>
      <c r="Q40" s="506"/>
      <c r="R40" s="506"/>
      <c r="S40" s="506"/>
      <c r="T40" s="506"/>
      <c r="U40" s="506"/>
      <c r="V40" s="506"/>
      <c r="W40" s="506"/>
      <c r="X40" s="506"/>
      <c r="Y40" s="508"/>
      <c r="Z40" s="497"/>
    </row>
    <row r="41" spans="1:26" ht="1.5" customHeight="1">
      <c r="A41" s="497"/>
      <c r="B41" s="497"/>
      <c r="C41" s="497"/>
      <c r="D41" s="497"/>
      <c r="E41" s="497"/>
      <c r="F41" s="497"/>
      <c r="G41" s="497"/>
      <c r="H41" s="497"/>
      <c r="I41" s="497"/>
      <c r="J41" s="497"/>
      <c r="K41" s="497"/>
      <c r="L41" s="497"/>
      <c r="M41" s="497"/>
      <c r="N41" s="497"/>
      <c r="O41" s="497"/>
      <c r="P41" s="497"/>
      <c r="Q41" s="497"/>
      <c r="R41" s="497"/>
      <c r="S41" s="497"/>
      <c r="T41" s="497"/>
      <c r="U41" s="497"/>
      <c r="V41" s="497"/>
      <c r="W41" s="497"/>
      <c r="X41" s="497"/>
      <c r="Y41" s="497"/>
      <c r="Z41" s="497"/>
    </row>
    <row r="42" spans="1:26" ht="17.100000000000001" customHeight="1">
      <c r="A42" s="497"/>
      <c r="B42" s="497"/>
      <c r="C42" s="497"/>
      <c r="D42" s="497"/>
      <c r="E42" s="497"/>
      <c r="F42" s="497"/>
      <c r="G42" s="497"/>
      <c r="H42" s="497"/>
      <c r="I42" s="497"/>
      <c r="J42" s="497"/>
      <c r="K42" s="497"/>
      <c r="L42" s="497"/>
      <c r="M42" s="497"/>
      <c r="N42" s="497"/>
      <c r="O42" s="497"/>
      <c r="P42" s="497"/>
      <c r="Q42" s="497"/>
      <c r="R42" s="497"/>
      <c r="S42" s="497"/>
      <c r="T42" s="497"/>
      <c r="U42" s="497"/>
      <c r="V42" s="497"/>
      <c r="W42" s="497"/>
      <c r="X42" s="497"/>
      <c r="Y42" s="497"/>
      <c r="Z42" s="497"/>
    </row>
    <row r="43" spans="1:26" ht="17.100000000000001" customHeight="1">
      <c r="A43" s="497"/>
      <c r="B43" s="497"/>
      <c r="C43" s="497"/>
      <c r="D43" s="497"/>
      <c r="E43" s="497"/>
      <c r="F43" s="497"/>
      <c r="G43" s="497"/>
      <c r="H43" s="497"/>
      <c r="I43" s="497"/>
      <c r="J43" s="497"/>
      <c r="K43" s="497"/>
      <c r="L43" s="497"/>
      <c r="M43" s="497"/>
      <c r="N43" s="497"/>
      <c r="O43" s="497"/>
      <c r="P43" s="497"/>
      <c r="Q43" s="497"/>
      <c r="R43" s="497"/>
      <c r="S43" s="497"/>
      <c r="T43" s="497"/>
      <c r="U43" s="497"/>
      <c r="V43" s="497"/>
      <c r="W43" s="497"/>
      <c r="X43" s="497"/>
      <c r="Y43" s="497"/>
      <c r="Z43" s="497"/>
    </row>
    <row r="44" spans="1:26">
      <c r="A44" s="497"/>
      <c r="B44" s="497"/>
      <c r="C44" s="497"/>
      <c r="D44" s="497"/>
      <c r="E44" s="497"/>
      <c r="F44" s="497"/>
      <c r="G44" s="497"/>
      <c r="H44" s="497"/>
      <c r="I44" s="497"/>
      <c r="J44" s="497"/>
      <c r="K44" s="497"/>
      <c r="L44" s="497"/>
      <c r="M44" s="497"/>
      <c r="N44" s="497"/>
      <c r="O44" s="497"/>
      <c r="P44" s="497"/>
      <c r="Q44" s="497"/>
      <c r="R44" s="497"/>
      <c r="S44" s="497"/>
      <c r="T44" s="497"/>
      <c r="U44" s="497"/>
      <c r="V44" s="497"/>
      <c r="W44" s="497"/>
      <c r="X44" s="497"/>
      <c r="Y44" s="497"/>
      <c r="Z44" s="497"/>
    </row>
    <row r="45" spans="1:26">
      <c r="A45" s="497"/>
      <c r="B45" s="497"/>
      <c r="C45" s="497"/>
      <c r="D45" s="497"/>
      <c r="E45" s="497"/>
      <c r="F45" s="497"/>
      <c r="G45" s="497"/>
      <c r="H45" s="497"/>
      <c r="I45" s="497"/>
      <c r="J45" s="497"/>
      <c r="K45" s="497"/>
      <c r="L45" s="497"/>
      <c r="M45" s="497"/>
      <c r="N45" s="497"/>
      <c r="O45" s="497"/>
      <c r="P45" s="497"/>
      <c r="Q45" s="497"/>
      <c r="R45" s="497"/>
      <c r="S45" s="497"/>
      <c r="T45" s="497"/>
      <c r="U45" s="497"/>
      <c r="V45" s="497"/>
      <c r="W45" s="497"/>
      <c r="X45" s="497"/>
      <c r="Y45" s="497"/>
      <c r="Z45" s="497"/>
    </row>
    <row r="46" spans="1:26">
      <c r="A46" s="497"/>
      <c r="B46" s="497"/>
      <c r="C46" s="497"/>
      <c r="D46" s="497"/>
      <c r="E46" s="497"/>
      <c r="F46" s="497"/>
      <c r="G46" s="497"/>
      <c r="H46" s="497"/>
      <c r="I46" s="497"/>
      <c r="J46" s="497"/>
      <c r="K46" s="497"/>
      <c r="L46" s="497"/>
      <c r="M46" s="497"/>
      <c r="N46" s="497"/>
      <c r="O46" s="497"/>
      <c r="P46" s="497"/>
      <c r="Q46" s="497"/>
      <c r="R46" s="497"/>
      <c r="S46" s="497"/>
      <c r="T46" s="497"/>
      <c r="U46" s="497"/>
      <c r="V46" s="497"/>
      <c r="W46" s="497"/>
      <c r="X46" s="497"/>
      <c r="Y46" s="497"/>
      <c r="Z46" s="497"/>
    </row>
    <row r="47" spans="1:26">
      <c r="A47" s="497"/>
      <c r="B47" s="497"/>
      <c r="C47" s="497"/>
      <c r="D47" s="497"/>
      <c r="E47" s="497"/>
      <c r="F47" s="497"/>
      <c r="G47" s="497"/>
      <c r="H47" s="497"/>
      <c r="I47" s="497"/>
      <c r="J47" s="497"/>
      <c r="K47" s="497"/>
      <c r="L47" s="497"/>
      <c r="M47" s="497"/>
      <c r="N47" s="497"/>
      <c r="O47" s="497"/>
      <c r="P47" s="497"/>
      <c r="Q47" s="497"/>
      <c r="R47" s="497"/>
      <c r="S47" s="497"/>
      <c r="T47" s="497"/>
      <c r="U47" s="497"/>
      <c r="V47" s="497"/>
      <c r="W47" s="497"/>
      <c r="X47" s="497"/>
      <c r="Y47" s="497"/>
      <c r="Z47" s="497"/>
    </row>
    <row r="48" spans="1:26">
      <c r="A48" s="497"/>
      <c r="B48" s="497"/>
      <c r="C48" s="497"/>
      <c r="D48" s="497"/>
      <c r="E48" s="497"/>
      <c r="F48" s="497"/>
      <c r="G48" s="497"/>
      <c r="H48" s="497"/>
      <c r="I48" s="497"/>
      <c r="J48" s="497"/>
      <c r="K48" s="497"/>
      <c r="L48" s="497"/>
      <c r="M48" s="497"/>
      <c r="N48" s="497"/>
      <c r="O48" s="497"/>
      <c r="P48" s="497"/>
      <c r="Q48" s="497"/>
      <c r="R48" s="497"/>
      <c r="S48" s="497"/>
      <c r="T48" s="497"/>
      <c r="U48" s="497"/>
      <c r="V48" s="497"/>
      <c r="W48" s="497"/>
      <c r="X48" s="497"/>
      <c r="Y48" s="497"/>
      <c r="Z48" s="497"/>
    </row>
    <row r="49" spans="1:26">
      <c r="A49" s="497"/>
      <c r="B49" s="497"/>
      <c r="C49" s="497"/>
      <c r="D49" s="497"/>
      <c r="E49" s="497"/>
      <c r="F49" s="497"/>
      <c r="G49" s="497"/>
      <c r="H49" s="497"/>
      <c r="I49" s="497"/>
      <c r="J49" s="497"/>
      <c r="K49" s="497"/>
      <c r="L49" s="497"/>
      <c r="M49" s="497"/>
      <c r="N49" s="497"/>
      <c r="O49" s="497"/>
      <c r="P49" s="497"/>
      <c r="Q49" s="497"/>
      <c r="R49" s="497"/>
      <c r="S49" s="497"/>
      <c r="T49" s="497"/>
      <c r="U49" s="497"/>
      <c r="V49" s="497"/>
      <c r="W49" s="497"/>
      <c r="X49" s="497"/>
      <c r="Y49" s="497"/>
      <c r="Z49" s="497"/>
    </row>
    <row r="50" spans="1:26">
      <c r="A50" s="497"/>
      <c r="B50" s="497"/>
      <c r="C50" s="497"/>
      <c r="D50" s="497"/>
      <c r="E50" s="497"/>
      <c r="F50" s="497"/>
      <c r="G50" s="497"/>
      <c r="H50" s="497"/>
      <c r="I50" s="497"/>
      <c r="J50" s="497"/>
      <c r="K50" s="497"/>
      <c r="L50" s="497"/>
      <c r="M50" s="497"/>
      <c r="N50" s="497"/>
      <c r="O50" s="497"/>
      <c r="P50" s="497"/>
      <c r="Q50" s="497"/>
      <c r="R50" s="497"/>
      <c r="S50" s="497"/>
      <c r="T50" s="497"/>
      <c r="U50" s="497"/>
      <c r="V50" s="497"/>
      <c r="W50" s="497"/>
      <c r="X50" s="497"/>
      <c r="Y50" s="497"/>
      <c r="Z50" s="497"/>
    </row>
    <row r="51" spans="1:26">
      <c r="A51" s="497"/>
      <c r="B51" s="497"/>
      <c r="C51" s="497"/>
      <c r="D51" s="497"/>
      <c r="E51" s="497"/>
      <c r="F51" s="497"/>
      <c r="G51" s="497"/>
      <c r="H51" s="497"/>
      <c r="I51" s="497"/>
      <c r="J51" s="497"/>
      <c r="K51" s="497"/>
      <c r="L51" s="497"/>
      <c r="M51" s="497"/>
      <c r="N51" s="497"/>
      <c r="O51" s="497"/>
      <c r="P51" s="497"/>
      <c r="Q51" s="497"/>
      <c r="R51" s="497"/>
      <c r="S51" s="497"/>
      <c r="T51" s="497"/>
      <c r="U51" s="497"/>
      <c r="V51" s="497"/>
      <c r="W51" s="497"/>
      <c r="X51" s="497"/>
      <c r="Y51" s="497"/>
      <c r="Z51" s="497"/>
    </row>
    <row r="52" spans="1:26">
      <c r="A52" s="497"/>
      <c r="B52" s="497"/>
      <c r="C52" s="497"/>
      <c r="D52" s="497"/>
      <c r="E52" s="497"/>
      <c r="F52" s="497"/>
      <c r="G52" s="497"/>
      <c r="H52" s="497"/>
      <c r="I52" s="497"/>
      <c r="J52" s="497"/>
      <c r="K52" s="497"/>
      <c r="L52" s="497"/>
      <c r="M52" s="497"/>
      <c r="N52" s="497"/>
      <c r="O52" s="497"/>
      <c r="P52" s="497"/>
      <c r="Q52" s="497"/>
      <c r="R52" s="497"/>
      <c r="S52" s="497"/>
      <c r="T52" s="497"/>
      <c r="U52" s="497"/>
      <c r="V52" s="497"/>
      <c r="W52" s="497"/>
      <c r="X52" s="497"/>
      <c r="Y52" s="497"/>
      <c r="Z52" s="497"/>
    </row>
    <row r="53" spans="1:26">
      <c r="A53" s="497"/>
      <c r="B53" s="497"/>
      <c r="C53" s="497"/>
      <c r="D53" s="497"/>
      <c r="E53" s="497"/>
      <c r="F53" s="497"/>
      <c r="G53" s="497"/>
      <c r="H53" s="497"/>
      <c r="I53" s="497"/>
      <c r="J53" s="497"/>
      <c r="K53" s="497"/>
      <c r="L53" s="497"/>
      <c r="M53" s="497"/>
      <c r="N53" s="497"/>
      <c r="O53" s="497"/>
      <c r="P53" s="497"/>
      <c r="Q53" s="497"/>
      <c r="R53" s="497"/>
      <c r="S53" s="497"/>
      <c r="T53" s="497"/>
      <c r="U53" s="497"/>
      <c r="V53" s="497"/>
      <c r="W53" s="497"/>
      <c r="X53" s="497"/>
      <c r="Y53" s="497"/>
      <c r="Z53" s="497"/>
    </row>
    <row r="54" spans="1:26">
      <c r="A54" s="497"/>
      <c r="B54" s="497"/>
      <c r="C54" s="497"/>
      <c r="D54" s="497"/>
      <c r="E54" s="497"/>
      <c r="F54" s="497"/>
      <c r="G54" s="497"/>
      <c r="H54" s="497"/>
      <c r="I54" s="497"/>
      <c r="J54" s="497"/>
      <c r="K54" s="497"/>
      <c r="L54" s="497"/>
      <c r="M54" s="497"/>
      <c r="N54" s="497"/>
      <c r="O54" s="497"/>
      <c r="P54" s="497"/>
      <c r="Q54" s="497"/>
      <c r="R54" s="497"/>
      <c r="S54" s="497"/>
      <c r="T54" s="497"/>
      <c r="U54" s="497"/>
      <c r="V54" s="497"/>
      <c r="W54" s="497"/>
      <c r="X54" s="497"/>
      <c r="Y54" s="497"/>
      <c r="Z54" s="497"/>
    </row>
    <row r="55" spans="1:26">
      <c r="A55" s="497"/>
      <c r="B55" s="497"/>
      <c r="C55" s="497"/>
      <c r="D55" s="497"/>
      <c r="E55" s="497"/>
      <c r="F55" s="497"/>
      <c r="G55" s="497"/>
      <c r="H55" s="497"/>
      <c r="I55" s="497"/>
      <c r="J55" s="497"/>
      <c r="K55" s="497"/>
      <c r="L55" s="497"/>
      <c r="M55" s="497"/>
      <c r="N55" s="497"/>
      <c r="O55" s="497"/>
      <c r="P55" s="497"/>
      <c r="Q55" s="497"/>
      <c r="R55" s="497"/>
      <c r="S55" s="497"/>
      <c r="T55" s="497"/>
      <c r="U55" s="497"/>
      <c r="V55" s="497"/>
      <c r="W55" s="497"/>
      <c r="X55" s="497"/>
      <c r="Y55" s="497"/>
      <c r="Z55" s="497"/>
    </row>
    <row r="56" spans="1:26">
      <c r="A56" s="497"/>
      <c r="B56" s="497"/>
      <c r="C56" s="497"/>
      <c r="D56" s="497"/>
      <c r="E56" s="497"/>
      <c r="F56" s="497"/>
      <c r="G56" s="497"/>
      <c r="H56" s="497"/>
      <c r="I56" s="497"/>
      <c r="J56" s="497"/>
      <c r="K56" s="497"/>
      <c r="L56" s="497"/>
      <c r="M56" s="497"/>
      <c r="N56" s="497"/>
      <c r="O56" s="497"/>
      <c r="P56" s="497"/>
      <c r="Q56" s="497"/>
      <c r="R56" s="497"/>
      <c r="S56" s="497"/>
      <c r="T56" s="497"/>
      <c r="U56" s="497"/>
      <c r="V56" s="497"/>
      <c r="W56" s="497"/>
      <c r="X56" s="497"/>
      <c r="Y56" s="497"/>
      <c r="Z56" s="497"/>
    </row>
    <row r="57" spans="1:26">
      <c r="A57" s="497"/>
      <c r="B57" s="497"/>
      <c r="C57" s="497"/>
      <c r="D57" s="497"/>
      <c r="E57" s="497"/>
      <c r="F57" s="497"/>
      <c r="G57" s="497"/>
      <c r="H57" s="497"/>
      <c r="I57" s="497"/>
      <c r="J57" s="497"/>
      <c r="K57" s="497"/>
      <c r="L57" s="497"/>
      <c r="M57" s="497"/>
      <c r="N57" s="497"/>
      <c r="O57" s="497"/>
      <c r="P57" s="497"/>
      <c r="Q57" s="497"/>
      <c r="R57" s="497"/>
      <c r="S57" s="497"/>
      <c r="T57" s="497"/>
      <c r="U57" s="497"/>
      <c r="V57" s="497"/>
      <c r="W57" s="497"/>
      <c r="X57" s="497"/>
      <c r="Y57" s="497"/>
      <c r="Z57" s="497"/>
    </row>
    <row r="58" spans="1:26">
      <c r="A58" s="497"/>
      <c r="B58" s="497"/>
      <c r="C58" s="497"/>
      <c r="D58" s="497"/>
      <c r="E58" s="497"/>
      <c r="F58" s="497"/>
      <c r="G58" s="497"/>
      <c r="H58" s="497"/>
      <c r="I58" s="497"/>
      <c r="J58" s="497"/>
      <c r="K58" s="497"/>
      <c r="L58" s="497"/>
      <c r="M58" s="497"/>
      <c r="N58" s="497"/>
      <c r="O58" s="497"/>
      <c r="P58" s="497"/>
      <c r="Q58" s="497"/>
      <c r="R58" s="497"/>
      <c r="S58" s="497"/>
      <c r="T58" s="497"/>
      <c r="U58" s="497"/>
      <c r="V58" s="497"/>
      <c r="W58" s="497"/>
      <c r="X58" s="497"/>
      <c r="Y58" s="497"/>
      <c r="Z58" s="497"/>
    </row>
    <row r="59" spans="1:26">
      <c r="A59" s="497"/>
      <c r="B59" s="497"/>
      <c r="C59" s="497"/>
      <c r="D59" s="497"/>
      <c r="E59" s="497"/>
      <c r="F59" s="497"/>
      <c r="G59" s="497"/>
      <c r="H59" s="497"/>
      <c r="I59" s="497"/>
      <c r="J59" s="497"/>
      <c r="K59" s="497"/>
      <c r="L59" s="497"/>
      <c r="M59" s="497"/>
      <c r="N59" s="497"/>
      <c r="O59" s="497"/>
      <c r="P59" s="497"/>
      <c r="Q59" s="497"/>
      <c r="R59" s="497"/>
      <c r="S59" s="497"/>
      <c r="T59" s="497"/>
      <c r="U59" s="497"/>
      <c r="V59" s="497"/>
      <c r="W59" s="497"/>
      <c r="X59" s="497"/>
      <c r="Y59" s="497"/>
      <c r="Z59" s="497"/>
    </row>
    <row r="60" spans="1:26">
      <c r="A60" s="497"/>
      <c r="B60" s="497"/>
      <c r="C60" s="497"/>
      <c r="D60" s="497"/>
      <c r="E60" s="497"/>
      <c r="F60" s="497"/>
      <c r="G60" s="497"/>
      <c r="H60" s="497"/>
      <c r="I60" s="497"/>
      <c r="J60" s="497"/>
      <c r="K60" s="497"/>
      <c r="L60" s="497"/>
      <c r="M60" s="497"/>
      <c r="N60" s="497"/>
      <c r="O60" s="497"/>
      <c r="P60" s="497"/>
      <c r="Q60" s="497"/>
      <c r="R60" s="497"/>
      <c r="S60" s="497"/>
      <c r="T60" s="497"/>
      <c r="U60" s="497"/>
      <c r="V60" s="497"/>
      <c r="W60" s="497"/>
      <c r="X60" s="497"/>
      <c r="Y60" s="497"/>
      <c r="Z60" s="497"/>
    </row>
    <row r="61" spans="1:26">
      <c r="A61" s="497"/>
      <c r="B61" s="497"/>
      <c r="C61" s="497"/>
      <c r="D61" s="497"/>
      <c r="E61" s="497"/>
      <c r="F61" s="497"/>
      <c r="G61" s="497"/>
      <c r="H61" s="497"/>
      <c r="I61" s="497"/>
      <c r="J61" s="497"/>
      <c r="K61" s="497"/>
      <c r="L61" s="497"/>
      <c r="M61" s="497"/>
      <c r="N61" s="497"/>
      <c r="O61" s="497"/>
      <c r="P61" s="497"/>
      <c r="Q61" s="497"/>
      <c r="R61" s="497"/>
      <c r="S61" s="497"/>
      <c r="T61" s="497"/>
      <c r="U61" s="497"/>
      <c r="V61" s="497"/>
      <c r="W61" s="497"/>
      <c r="X61" s="497"/>
      <c r="Y61" s="497"/>
      <c r="Z61" s="497"/>
    </row>
    <row r="62" spans="1:26">
      <c r="A62" s="497"/>
      <c r="B62" s="497"/>
      <c r="C62" s="497"/>
      <c r="D62" s="497"/>
      <c r="E62" s="497"/>
      <c r="F62" s="497"/>
      <c r="G62" s="497"/>
      <c r="H62" s="497"/>
      <c r="I62" s="497"/>
      <c r="J62" s="497"/>
      <c r="K62" s="497"/>
      <c r="L62" s="497"/>
      <c r="M62" s="497"/>
      <c r="N62" s="497"/>
      <c r="O62" s="497"/>
      <c r="P62" s="497"/>
      <c r="Q62" s="497"/>
      <c r="R62" s="497"/>
      <c r="S62" s="497"/>
      <c r="T62" s="497"/>
      <c r="U62" s="497"/>
      <c r="V62" s="497"/>
      <c r="W62" s="497"/>
      <c r="X62" s="497"/>
      <c r="Y62" s="497"/>
      <c r="Z62" s="497"/>
    </row>
    <row r="63" spans="1:26">
      <c r="A63" s="497"/>
      <c r="B63" s="497"/>
      <c r="C63" s="497"/>
      <c r="D63" s="497"/>
      <c r="E63" s="497"/>
      <c r="F63" s="497"/>
      <c r="G63" s="497"/>
      <c r="H63" s="497"/>
      <c r="I63" s="497"/>
      <c r="J63" s="497"/>
      <c r="K63" s="497"/>
      <c r="L63" s="497"/>
      <c r="M63" s="497"/>
      <c r="N63" s="497"/>
      <c r="O63" s="497"/>
      <c r="P63" s="497"/>
      <c r="Q63" s="497"/>
      <c r="R63" s="497"/>
      <c r="S63" s="497"/>
      <c r="T63" s="497"/>
      <c r="U63" s="497"/>
      <c r="V63" s="497"/>
      <c r="W63" s="497"/>
      <c r="X63" s="497"/>
      <c r="Y63" s="497"/>
      <c r="Z63" s="497"/>
    </row>
    <row r="64" spans="1:26">
      <c r="A64" s="497"/>
      <c r="B64" s="497"/>
      <c r="C64" s="497"/>
      <c r="D64" s="497"/>
      <c r="E64" s="497"/>
      <c r="F64" s="497"/>
      <c r="G64" s="497"/>
      <c r="H64" s="497"/>
      <c r="I64" s="497"/>
      <c r="J64" s="497"/>
      <c r="K64" s="497"/>
      <c r="L64" s="497"/>
      <c r="M64" s="497"/>
      <c r="N64" s="497"/>
      <c r="O64" s="497"/>
      <c r="P64" s="497"/>
      <c r="Q64" s="497"/>
      <c r="R64" s="497"/>
      <c r="S64" s="497"/>
      <c r="T64" s="497"/>
      <c r="U64" s="497"/>
      <c r="V64" s="497"/>
      <c r="W64" s="497"/>
      <c r="X64" s="497"/>
      <c r="Y64" s="497"/>
      <c r="Z64" s="497"/>
    </row>
    <row r="65" spans="1:26">
      <c r="A65" s="497"/>
      <c r="B65" s="497"/>
      <c r="C65" s="497"/>
      <c r="D65" s="497"/>
      <c r="E65" s="497"/>
      <c r="F65" s="497"/>
      <c r="G65" s="497"/>
      <c r="H65" s="497"/>
      <c r="I65" s="497"/>
      <c r="J65" s="497"/>
      <c r="K65" s="497"/>
      <c r="L65" s="497"/>
      <c r="M65" s="497"/>
      <c r="N65" s="497"/>
      <c r="O65" s="497"/>
      <c r="P65" s="497"/>
      <c r="Q65" s="497"/>
      <c r="R65" s="497"/>
      <c r="S65" s="497"/>
      <c r="T65" s="497"/>
      <c r="U65" s="497"/>
      <c r="V65" s="497"/>
      <c r="W65" s="497"/>
      <c r="X65" s="497"/>
      <c r="Y65" s="497"/>
      <c r="Z65" s="497"/>
    </row>
    <row r="66" spans="1:26">
      <c r="A66" s="497"/>
      <c r="B66" s="497"/>
      <c r="C66" s="497"/>
      <c r="D66" s="497"/>
      <c r="E66" s="497"/>
      <c r="F66" s="497"/>
      <c r="G66" s="497"/>
      <c r="H66" s="497"/>
      <c r="I66" s="497"/>
      <c r="J66" s="497"/>
      <c r="K66" s="497"/>
      <c r="L66" s="497"/>
      <c r="M66" s="497"/>
      <c r="N66" s="497"/>
      <c r="O66" s="497"/>
      <c r="P66" s="497"/>
      <c r="Q66" s="497"/>
      <c r="R66" s="497"/>
      <c r="S66" s="497"/>
      <c r="T66" s="497"/>
      <c r="U66" s="497"/>
      <c r="V66" s="497"/>
      <c r="W66" s="497"/>
      <c r="X66" s="497"/>
      <c r="Y66" s="497"/>
      <c r="Z66" s="497"/>
    </row>
    <row r="67" spans="1:26">
      <c r="A67" s="497"/>
      <c r="B67" s="497"/>
      <c r="C67" s="497"/>
      <c r="D67" s="497"/>
      <c r="E67" s="497"/>
      <c r="F67" s="497"/>
      <c r="G67" s="497"/>
      <c r="H67" s="497"/>
      <c r="I67" s="497"/>
      <c r="J67" s="497"/>
      <c r="K67" s="497"/>
      <c r="L67" s="497"/>
      <c r="M67" s="497"/>
      <c r="N67" s="497"/>
      <c r="O67" s="497"/>
      <c r="P67" s="497"/>
      <c r="Q67" s="497"/>
      <c r="R67" s="497"/>
      <c r="S67" s="497"/>
      <c r="T67" s="497"/>
      <c r="U67" s="497"/>
      <c r="V67" s="497"/>
      <c r="W67" s="497"/>
      <c r="X67" s="497"/>
      <c r="Y67" s="497"/>
      <c r="Z67" s="497"/>
    </row>
    <row r="68" spans="1:26">
      <c r="A68" s="497"/>
      <c r="B68" s="497"/>
      <c r="C68" s="497"/>
      <c r="D68" s="497"/>
      <c r="E68" s="497"/>
      <c r="F68" s="497"/>
      <c r="G68" s="497"/>
      <c r="H68" s="497"/>
      <c r="I68" s="497"/>
      <c r="J68" s="497"/>
      <c r="K68" s="497"/>
      <c r="L68" s="497"/>
      <c r="M68" s="497"/>
      <c r="N68" s="497"/>
      <c r="O68" s="497"/>
      <c r="P68" s="497"/>
      <c r="Q68" s="497"/>
      <c r="R68" s="497"/>
      <c r="S68" s="497"/>
      <c r="T68" s="497"/>
      <c r="U68" s="497"/>
      <c r="V68" s="497"/>
      <c r="W68" s="497"/>
      <c r="X68" s="497"/>
      <c r="Y68" s="497"/>
      <c r="Z68" s="497"/>
    </row>
    <row r="69" spans="1:26">
      <c r="A69" s="497"/>
      <c r="B69" s="497"/>
      <c r="C69" s="497"/>
      <c r="D69" s="497"/>
      <c r="E69" s="497"/>
      <c r="F69" s="497"/>
      <c r="G69" s="497"/>
      <c r="H69" s="497"/>
      <c r="I69" s="497"/>
      <c r="J69" s="497"/>
      <c r="K69" s="497"/>
      <c r="L69" s="497"/>
      <c r="M69" s="497"/>
      <c r="N69" s="497"/>
      <c r="O69" s="497"/>
      <c r="P69" s="497"/>
      <c r="Q69" s="497"/>
      <c r="R69" s="497"/>
      <c r="S69" s="497"/>
      <c r="T69" s="497"/>
      <c r="U69" s="497"/>
      <c r="V69" s="497"/>
      <c r="W69" s="497"/>
      <c r="X69" s="497"/>
      <c r="Y69" s="497"/>
      <c r="Z69" s="497"/>
    </row>
    <row r="70" spans="1:26">
      <c r="A70" s="497"/>
      <c r="B70" s="497"/>
      <c r="C70" s="497"/>
      <c r="D70" s="497"/>
      <c r="E70" s="497"/>
      <c r="F70" s="497"/>
      <c r="G70" s="497"/>
      <c r="H70" s="497"/>
      <c r="I70" s="497"/>
      <c r="J70" s="497"/>
      <c r="K70" s="497"/>
      <c r="L70" s="497"/>
      <c r="M70" s="497"/>
      <c r="N70" s="497"/>
      <c r="O70" s="497"/>
      <c r="P70" s="497"/>
      <c r="Q70" s="497"/>
      <c r="R70" s="497"/>
      <c r="S70" s="497"/>
      <c r="T70" s="497"/>
      <c r="U70" s="497"/>
      <c r="V70" s="497"/>
      <c r="W70" s="497"/>
      <c r="X70" s="497"/>
      <c r="Y70" s="497"/>
      <c r="Z70" s="497"/>
    </row>
    <row r="71" spans="1:26">
      <c r="A71" s="497"/>
      <c r="B71" s="497"/>
      <c r="C71" s="497"/>
      <c r="D71" s="497"/>
      <c r="E71" s="497"/>
      <c r="F71" s="497"/>
      <c r="G71" s="497"/>
      <c r="H71" s="497"/>
      <c r="I71" s="497"/>
      <c r="J71" s="497"/>
      <c r="K71" s="497"/>
      <c r="L71" s="497"/>
      <c r="M71" s="497"/>
      <c r="N71" s="497"/>
      <c r="O71" s="497"/>
      <c r="P71" s="497"/>
      <c r="Q71" s="497"/>
      <c r="R71" s="497"/>
      <c r="S71" s="497"/>
      <c r="T71" s="497"/>
      <c r="U71" s="497"/>
      <c r="V71" s="497"/>
      <c r="W71" s="497"/>
      <c r="X71" s="497"/>
      <c r="Y71" s="497"/>
      <c r="Z71" s="497"/>
    </row>
    <row r="72" spans="1:26">
      <c r="A72" s="497"/>
      <c r="B72" s="497"/>
      <c r="C72" s="497"/>
      <c r="D72" s="497"/>
      <c r="E72" s="497"/>
      <c r="F72" s="497"/>
      <c r="G72" s="497"/>
      <c r="H72" s="497"/>
      <c r="I72" s="497"/>
      <c r="J72" s="497"/>
      <c r="K72" s="497"/>
      <c r="L72" s="497"/>
      <c r="M72" s="497"/>
      <c r="N72" s="497"/>
      <c r="O72" s="497"/>
      <c r="P72" s="497"/>
      <c r="Q72" s="497"/>
      <c r="R72" s="497"/>
      <c r="S72" s="497"/>
      <c r="T72" s="497"/>
      <c r="U72" s="497"/>
      <c r="V72" s="497"/>
      <c r="W72" s="497"/>
      <c r="X72" s="497"/>
      <c r="Y72" s="497"/>
      <c r="Z72" s="497"/>
    </row>
    <row r="73" spans="1:26">
      <c r="A73" s="497"/>
      <c r="B73" s="497"/>
      <c r="C73" s="497"/>
      <c r="D73" s="497"/>
      <c r="E73" s="497"/>
      <c r="F73" s="497"/>
      <c r="G73" s="497"/>
      <c r="H73" s="497"/>
      <c r="I73" s="497"/>
      <c r="J73" s="497"/>
      <c r="K73" s="497"/>
      <c r="L73" s="497"/>
      <c r="M73" s="497"/>
      <c r="N73" s="497"/>
      <c r="O73" s="497"/>
      <c r="P73" s="497"/>
      <c r="Q73" s="497"/>
      <c r="R73" s="497"/>
      <c r="S73" s="497"/>
      <c r="T73" s="497"/>
      <c r="U73" s="497"/>
      <c r="V73" s="497"/>
      <c r="W73" s="497"/>
      <c r="X73" s="497"/>
      <c r="Y73" s="497"/>
      <c r="Z73" s="497"/>
    </row>
    <row r="74" spans="1:26">
      <c r="A74" s="497"/>
      <c r="B74" s="497"/>
      <c r="C74" s="497"/>
      <c r="D74" s="497"/>
      <c r="E74" s="497"/>
      <c r="F74" s="497"/>
      <c r="G74" s="497"/>
      <c r="H74" s="497"/>
      <c r="I74" s="497"/>
      <c r="J74" s="497"/>
      <c r="K74" s="497"/>
      <c r="L74" s="497"/>
      <c r="M74" s="497"/>
      <c r="N74" s="497"/>
      <c r="O74" s="497"/>
      <c r="P74" s="497"/>
      <c r="Q74" s="497"/>
      <c r="R74" s="497"/>
      <c r="S74" s="497"/>
      <c r="T74" s="497"/>
      <c r="U74" s="497"/>
      <c r="V74" s="497"/>
      <c r="W74" s="497"/>
      <c r="X74" s="497"/>
      <c r="Y74" s="497"/>
      <c r="Z74" s="497"/>
    </row>
    <row r="75" spans="1:26">
      <c r="A75" s="497"/>
      <c r="B75" s="497"/>
      <c r="C75" s="497"/>
      <c r="D75" s="497"/>
      <c r="E75" s="497"/>
      <c r="F75" s="497"/>
      <c r="G75" s="497"/>
      <c r="H75" s="497"/>
      <c r="I75" s="497"/>
      <c r="J75" s="497"/>
      <c r="K75" s="497"/>
      <c r="L75" s="497"/>
      <c r="M75" s="497"/>
      <c r="N75" s="497"/>
      <c r="O75" s="497"/>
      <c r="P75" s="497"/>
      <c r="Q75" s="497"/>
      <c r="R75" s="497"/>
      <c r="S75" s="497"/>
      <c r="T75" s="497"/>
      <c r="U75" s="497"/>
      <c r="V75" s="497"/>
      <c r="W75" s="497"/>
      <c r="X75" s="497"/>
      <c r="Y75" s="497"/>
      <c r="Z75" s="497"/>
    </row>
    <row r="76" spans="1:26">
      <c r="A76" s="497"/>
      <c r="B76" s="497"/>
      <c r="C76" s="497"/>
      <c r="D76" s="497"/>
      <c r="E76" s="497"/>
      <c r="F76" s="497"/>
      <c r="G76" s="497"/>
      <c r="H76" s="497"/>
      <c r="I76" s="497"/>
      <c r="J76" s="497"/>
      <c r="K76" s="497"/>
      <c r="L76" s="497"/>
      <c r="M76" s="497"/>
      <c r="N76" s="497"/>
      <c r="O76" s="497"/>
      <c r="P76" s="497"/>
      <c r="Q76" s="497"/>
      <c r="R76" s="497"/>
      <c r="S76" s="497"/>
      <c r="T76" s="497"/>
      <c r="U76" s="497"/>
      <c r="V76" s="497"/>
      <c r="W76" s="497"/>
      <c r="X76" s="497"/>
      <c r="Y76" s="497"/>
      <c r="Z76" s="497"/>
    </row>
    <row r="77" spans="1:26">
      <c r="A77" s="497"/>
      <c r="B77" s="497"/>
      <c r="C77" s="497"/>
      <c r="D77" s="497"/>
      <c r="E77" s="497"/>
      <c r="F77" s="497"/>
      <c r="G77" s="497"/>
      <c r="H77" s="497"/>
      <c r="I77" s="497"/>
      <c r="J77" s="497"/>
      <c r="K77" s="497"/>
      <c r="L77" s="497"/>
      <c r="M77" s="497"/>
      <c r="N77" s="497"/>
      <c r="O77" s="497"/>
      <c r="P77" s="497"/>
      <c r="Q77" s="497"/>
      <c r="R77" s="497"/>
      <c r="S77" s="497"/>
      <c r="T77" s="497"/>
      <c r="U77" s="497"/>
      <c r="V77" s="497"/>
      <c r="W77" s="497"/>
      <c r="X77" s="497"/>
      <c r="Y77" s="497"/>
      <c r="Z77" s="497"/>
    </row>
    <row r="78" spans="1:26">
      <c r="A78" s="497"/>
      <c r="B78" s="497"/>
      <c r="C78" s="497"/>
      <c r="D78" s="497"/>
      <c r="E78" s="497"/>
      <c r="F78" s="497"/>
      <c r="G78" s="497"/>
      <c r="H78" s="497"/>
      <c r="I78" s="497"/>
      <c r="J78" s="497"/>
      <c r="K78" s="497"/>
      <c r="L78" s="497"/>
      <c r="M78" s="497"/>
      <c r="N78" s="497"/>
      <c r="O78" s="497"/>
      <c r="P78" s="497"/>
      <c r="Q78" s="497"/>
      <c r="R78" s="497"/>
      <c r="S78" s="497"/>
      <c r="T78" s="497"/>
      <c r="U78" s="497"/>
      <c r="V78" s="497"/>
      <c r="W78" s="497"/>
      <c r="X78" s="497"/>
      <c r="Y78" s="497"/>
      <c r="Z78" s="497"/>
    </row>
    <row r="79" spans="1:26">
      <c r="A79" s="497"/>
      <c r="B79" s="497"/>
      <c r="C79" s="497"/>
      <c r="D79" s="497"/>
      <c r="E79" s="497"/>
      <c r="F79" s="497"/>
      <c r="G79" s="497"/>
      <c r="H79" s="497"/>
      <c r="I79" s="497"/>
      <c r="J79" s="497"/>
      <c r="K79" s="497"/>
      <c r="L79" s="497"/>
      <c r="M79" s="497"/>
      <c r="N79" s="497"/>
      <c r="O79" s="497"/>
      <c r="P79" s="497"/>
      <c r="Q79" s="497"/>
      <c r="R79" s="497"/>
      <c r="S79" s="497"/>
      <c r="T79" s="497"/>
      <c r="U79" s="497"/>
      <c r="V79" s="497"/>
      <c r="W79" s="497"/>
      <c r="X79" s="497"/>
      <c r="Y79" s="497"/>
      <c r="Z79" s="497"/>
    </row>
    <row r="80" spans="1:26">
      <c r="A80" s="497"/>
      <c r="B80" s="497"/>
      <c r="C80" s="497"/>
      <c r="D80" s="497"/>
      <c r="E80" s="497"/>
      <c r="F80" s="497"/>
      <c r="G80" s="497"/>
      <c r="H80" s="497"/>
      <c r="I80" s="497"/>
      <c r="J80" s="497"/>
      <c r="K80" s="497"/>
      <c r="L80" s="497"/>
      <c r="M80" s="497"/>
      <c r="N80" s="497"/>
      <c r="O80" s="497"/>
      <c r="P80" s="497"/>
      <c r="Q80" s="497"/>
      <c r="R80" s="497"/>
      <c r="S80" s="497"/>
      <c r="T80" s="497"/>
      <c r="U80" s="497"/>
      <c r="V80" s="497"/>
      <c r="W80" s="497"/>
      <c r="X80" s="497"/>
      <c r="Y80" s="497"/>
      <c r="Z80" s="497"/>
    </row>
    <row r="81" spans="1:26">
      <c r="A81" s="497"/>
      <c r="B81" s="497"/>
      <c r="C81" s="497"/>
      <c r="D81" s="497"/>
      <c r="E81" s="497"/>
      <c r="F81" s="497"/>
      <c r="G81" s="497"/>
      <c r="H81" s="497"/>
      <c r="I81" s="497"/>
      <c r="J81" s="497"/>
      <c r="K81" s="497"/>
      <c r="L81" s="497"/>
      <c r="M81" s="497"/>
      <c r="N81" s="497"/>
      <c r="O81" s="497"/>
      <c r="P81" s="497"/>
      <c r="Q81" s="497"/>
      <c r="R81" s="497"/>
      <c r="S81" s="497"/>
      <c r="T81" s="497"/>
      <c r="U81" s="497"/>
      <c r="V81" s="497"/>
      <c r="W81" s="497"/>
      <c r="X81" s="497"/>
      <c r="Y81" s="497"/>
      <c r="Z81" s="497"/>
    </row>
    <row r="82" spans="1:26">
      <c r="A82" s="497"/>
      <c r="B82" s="497"/>
      <c r="C82" s="497"/>
      <c r="D82" s="497"/>
      <c r="E82" s="497"/>
      <c r="F82" s="497"/>
      <c r="G82" s="497"/>
      <c r="H82" s="497"/>
      <c r="I82" s="497"/>
      <c r="J82" s="497"/>
      <c r="K82" s="497"/>
      <c r="L82" s="497"/>
      <c r="M82" s="497"/>
      <c r="N82" s="497"/>
      <c r="O82" s="497"/>
      <c r="P82" s="497"/>
      <c r="Q82" s="497"/>
      <c r="R82" s="497"/>
      <c r="S82" s="497"/>
      <c r="T82" s="497"/>
      <c r="U82" s="497"/>
      <c r="V82" s="497"/>
      <c r="W82" s="497"/>
      <c r="X82" s="497"/>
      <c r="Y82" s="497"/>
      <c r="Z82" s="497"/>
    </row>
    <row r="83" spans="1:26">
      <c r="A83" s="497"/>
      <c r="B83" s="497"/>
      <c r="C83" s="497"/>
      <c r="D83" s="497"/>
      <c r="E83" s="497"/>
      <c r="F83" s="497"/>
      <c r="G83" s="497"/>
      <c r="H83" s="497"/>
      <c r="I83" s="497"/>
      <c r="J83" s="497"/>
      <c r="K83" s="497"/>
      <c r="L83" s="497"/>
      <c r="M83" s="497"/>
      <c r="N83" s="497"/>
      <c r="O83" s="497"/>
      <c r="P83" s="497"/>
      <c r="Q83" s="497"/>
      <c r="R83" s="497"/>
      <c r="S83" s="497"/>
      <c r="T83" s="497"/>
      <c r="U83" s="497"/>
      <c r="V83" s="497"/>
      <c r="W83" s="497"/>
      <c r="X83" s="497"/>
      <c r="Y83" s="497"/>
      <c r="Z83" s="497"/>
    </row>
    <row r="84" spans="1:26">
      <c r="A84" s="497"/>
      <c r="B84" s="497"/>
      <c r="C84" s="497"/>
      <c r="D84" s="497"/>
      <c r="E84" s="497"/>
      <c r="F84" s="497"/>
      <c r="G84" s="497"/>
      <c r="H84" s="497"/>
      <c r="I84" s="497"/>
      <c r="J84" s="497"/>
      <c r="K84" s="497"/>
      <c r="L84" s="497"/>
      <c r="M84" s="497"/>
      <c r="N84" s="497"/>
      <c r="O84" s="497"/>
      <c r="P84" s="497"/>
      <c r="Q84" s="497"/>
      <c r="R84" s="497"/>
      <c r="S84" s="497"/>
      <c r="T84" s="497"/>
      <c r="U84" s="497"/>
      <c r="V84" s="497"/>
      <c r="W84" s="497"/>
      <c r="X84" s="497"/>
      <c r="Y84" s="497"/>
      <c r="Z84" s="497"/>
    </row>
    <row r="85" spans="1:26">
      <c r="A85" s="497"/>
      <c r="B85" s="497"/>
      <c r="C85" s="497"/>
      <c r="D85" s="497"/>
      <c r="E85" s="497"/>
      <c r="F85" s="497"/>
      <c r="G85" s="497"/>
      <c r="H85" s="497"/>
      <c r="I85" s="497"/>
      <c r="J85" s="497"/>
      <c r="K85" s="497"/>
      <c r="L85" s="497"/>
      <c r="M85" s="497"/>
      <c r="N85" s="497"/>
      <c r="O85" s="497"/>
      <c r="P85" s="497"/>
      <c r="Q85" s="497"/>
      <c r="R85" s="497"/>
      <c r="S85" s="497"/>
      <c r="T85" s="497"/>
      <c r="U85" s="497"/>
      <c r="V85" s="497"/>
      <c r="W85" s="497"/>
      <c r="X85" s="497"/>
      <c r="Y85" s="497"/>
      <c r="Z85" s="497"/>
    </row>
    <row r="86" spans="1:26">
      <c r="A86" s="497"/>
      <c r="B86" s="497"/>
      <c r="C86" s="497"/>
      <c r="D86" s="497"/>
      <c r="E86" s="497"/>
      <c r="F86" s="497"/>
      <c r="G86" s="497"/>
      <c r="H86" s="497"/>
      <c r="I86" s="497"/>
      <c r="J86" s="497"/>
      <c r="K86" s="497"/>
      <c r="L86" s="497"/>
      <c r="M86" s="497"/>
      <c r="N86" s="497"/>
      <c r="O86" s="497"/>
      <c r="P86" s="497"/>
      <c r="Q86" s="497"/>
      <c r="R86" s="497"/>
      <c r="S86" s="497"/>
      <c r="T86" s="497"/>
      <c r="U86" s="497"/>
      <c r="V86" s="497"/>
      <c r="W86" s="497"/>
      <c r="X86" s="497"/>
      <c r="Y86" s="497"/>
      <c r="Z86" s="497"/>
    </row>
    <row r="87" spans="1:26">
      <c r="A87" s="497"/>
      <c r="B87" s="497"/>
      <c r="C87" s="497"/>
      <c r="D87" s="497"/>
      <c r="E87" s="497"/>
      <c r="F87" s="497"/>
      <c r="G87" s="497"/>
      <c r="H87" s="497"/>
      <c r="I87" s="497"/>
      <c r="J87" s="497"/>
      <c r="K87" s="497"/>
      <c r="L87" s="497"/>
      <c r="M87" s="497"/>
      <c r="N87" s="497"/>
      <c r="O87" s="497"/>
      <c r="P87" s="497"/>
      <c r="Q87" s="497"/>
      <c r="R87" s="497"/>
      <c r="S87" s="497"/>
      <c r="T87" s="497"/>
      <c r="U87" s="497"/>
      <c r="V87" s="497"/>
      <c r="W87" s="497"/>
      <c r="X87" s="497"/>
      <c r="Y87" s="497"/>
      <c r="Z87" s="497"/>
    </row>
    <row r="88" spans="1:26">
      <c r="A88" s="497"/>
      <c r="B88" s="497"/>
      <c r="C88" s="497"/>
      <c r="D88" s="497"/>
      <c r="E88" s="497"/>
      <c r="F88" s="497"/>
      <c r="G88" s="497"/>
      <c r="H88" s="497"/>
      <c r="I88" s="497"/>
      <c r="J88" s="497"/>
      <c r="K88" s="497"/>
      <c r="L88" s="497"/>
      <c r="M88" s="497"/>
      <c r="N88" s="497"/>
      <c r="O88" s="497"/>
      <c r="P88" s="497"/>
      <c r="Q88" s="497"/>
      <c r="R88" s="497"/>
      <c r="S88" s="497"/>
      <c r="T88" s="497"/>
      <c r="U88" s="497"/>
      <c r="V88" s="497"/>
      <c r="W88" s="497"/>
      <c r="X88" s="497"/>
      <c r="Y88" s="497"/>
      <c r="Z88" s="497"/>
    </row>
    <row r="89" spans="1:26">
      <c r="A89" s="497"/>
      <c r="B89" s="497"/>
      <c r="C89" s="497"/>
      <c r="D89" s="497"/>
      <c r="E89" s="497"/>
      <c r="F89" s="497"/>
      <c r="G89" s="497"/>
      <c r="H89" s="497"/>
      <c r="I89" s="497"/>
      <c r="J89" s="497"/>
      <c r="K89" s="497"/>
      <c r="L89" s="497"/>
      <c r="M89" s="497"/>
      <c r="N89" s="497"/>
      <c r="O89" s="497"/>
      <c r="P89" s="497"/>
      <c r="Q89" s="497"/>
      <c r="R89" s="497"/>
      <c r="S89" s="497"/>
      <c r="T89" s="497"/>
      <c r="U89" s="497"/>
      <c r="V89" s="497"/>
      <c r="W89" s="497"/>
      <c r="X89" s="497"/>
      <c r="Y89" s="497"/>
      <c r="Z89" s="497"/>
    </row>
    <row r="90" spans="1:26">
      <c r="A90" s="497"/>
      <c r="B90" s="497"/>
      <c r="C90" s="497"/>
      <c r="D90" s="497"/>
      <c r="E90" s="497"/>
      <c r="F90" s="497"/>
      <c r="G90" s="497"/>
      <c r="H90" s="497"/>
      <c r="I90" s="497"/>
      <c r="J90" s="497"/>
      <c r="K90" s="497"/>
      <c r="L90" s="497"/>
      <c r="M90" s="497"/>
      <c r="N90" s="497"/>
      <c r="O90" s="497"/>
      <c r="P90" s="497"/>
      <c r="Q90" s="497"/>
      <c r="R90" s="497"/>
      <c r="S90" s="497"/>
      <c r="T90" s="497"/>
      <c r="U90" s="497"/>
      <c r="V90" s="497"/>
      <c r="W90" s="497"/>
      <c r="X90" s="497"/>
      <c r="Y90" s="497"/>
      <c r="Z90" s="497"/>
    </row>
    <row r="91" spans="1:26">
      <c r="A91" s="497"/>
      <c r="B91" s="497"/>
      <c r="C91" s="497"/>
      <c r="D91" s="497"/>
      <c r="E91" s="497"/>
      <c r="F91" s="497"/>
      <c r="G91" s="497"/>
      <c r="H91" s="497"/>
      <c r="I91" s="497"/>
      <c r="J91" s="497"/>
      <c r="K91" s="497"/>
      <c r="L91" s="497"/>
      <c r="M91" s="497"/>
      <c r="N91" s="497"/>
      <c r="O91" s="497"/>
      <c r="P91" s="497"/>
      <c r="Q91" s="497"/>
      <c r="R91" s="497"/>
      <c r="S91" s="497"/>
      <c r="T91" s="497"/>
      <c r="U91" s="497"/>
      <c r="V91" s="497"/>
      <c r="W91" s="497"/>
      <c r="X91" s="497"/>
      <c r="Y91" s="497"/>
      <c r="Z91" s="497"/>
    </row>
    <row r="92" spans="1:26">
      <c r="A92" s="497"/>
      <c r="B92" s="497"/>
      <c r="C92" s="497"/>
      <c r="D92" s="497"/>
      <c r="E92" s="497"/>
      <c r="F92" s="497"/>
      <c r="G92" s="497"/>
      <c r="H92" s="497"/>
      <c r="I92" s="497"/>
      <c r="J92" s="497"/>
      <c r="K92" s="497"/>
      <c r="L92" s="497"/>
      <c r="M92" s="497"/>
      <c r="N92" s="497"/>
      <c r="O92" s="497"/>
      <c r="P92" s="497"/>
      <c r="Q92" s="497"/>
      <c r="R92" s="497"/>
      <c r="S92" s="497"/>
      <c r="T92" s="497"/>
      <c r="U92" s="497"/>
      <c r="V92" s="497"/>
      <c r="W92" s="497"/>
      <c r="X92" s="497"/>
      <c r="Y92" s="497"/>
      <c r="Z92" s="497"/>
    </row>
    <row r="93" spans="1:26">
      <c r="A93" s="497"/>
      <c r="B93" s="497"/>
      <c r="C93" s="497"/>
      <c r="D93" s="497"/>
      <c r="E93" s="497"/>
      <c r="F93" s="497"/>
      <c r="G93" s="497"/>
      <c r="H93" s="497"/>
      <c r="I93" s="497"/>
      <c r="J93" s="497"/>
      <c r="K93" s="497"/>
      <c r="L93" s="497"/>
      <c r="M93" s="497"/>
      <c r="N93" s="497"/>
      <c r="O93" s="497"/>
      <c r="P93" s="497"/>
      <c r="Q93" s="497"/>
      <c r="R93" s="497"/>
      <c r="S93" s="497"/>
      <c r="T93" s="497"/>
      <c r="U93" s="497"/>
      <c r="V93" s="497"/>
      <c r="W93" s="497"/>
      <c r="X93" s="497"/>
      <c r="Y93" s="497"/>
      <c r="Z93" s="497"/>
    </row>
    <row r="94" spans="1:26">
      <c r="A94" s="497"/>
      <c r="B94" s="497"/>
      <c r="C94" s="497"/>
      <c r="D94" s="497"/>
      <c r="E94" s="497"/>
      <c r="F94" s="497"/>
      <c r="G94" s="497"/>
      <c r="H94" s="497"/>
      <c r="I94" s="497"/>
      <c r="J94" s="497"/>
      <c r="K94" s="497"/>
      <c r="L94" s="497"/>
      <c r="M94" s="497"/>
      <c r="N94" s="497"/>
      <c r="O94" s="497"/>
      <c r="P94" s="497"/>
      <c r="Q94" s="497"/>
      <c r="R94" s="497"/>
      <c r="S94" s="497"/>
      <c r="T94" s="497"/>
      <c r="U94" s="497"/>
      <c r="V94" s="497"/>
      <c r="W94" s="497"/>
      <c r="X94" s="497"/>
      <c r="Y94" s="497"/>
      <c r="Z94" s="497"/>
    </row>
    <row r="95" spans="1:26">
      <c r="A95" s="497"/>
      <c r="B95" s="497"/>
      <c r="C95" s="497"/>
      <c r="D95" s="497"/>
      <c r="E95" s="497"/>
      <c r="F95" s="497"/>
      <c r="G95" s="497"/>
      <c r="H95" s="497"/>
      <c r="I95" s="497"/>
      <c r="J95" s="497"/>
      <c r="K95" s="497"/>
      <c r="L95" s="497"/>
      <c r="M95" s="497"/>
      <c r="N95" s="497"/>
      <c r="O95" s="497"/>
      <c r="P95" s="497"/>
      <c r="Q95" s="497"/>
      <c r="R95" s="497"/>
      <c r="S95" s="497"/>
      <c r="T95" s="497"/>
      <c r="U95" s="497"/>
      <c r="V95" s="497"/>
      <c r="W95" s="497"/>
      <c r="X95" s="497"/>
      <c r="Y95" s="497"/>
      <c r="Z95" s="497"/>
    </row>
    <row r="96" spans="1:26">
      <c r="A96" s="497"/>
      <c r="B96" s="497"/>
      <c r="C96" s="497"/>
      <c r="D96" s="497"/>
      <c r="E96" s="497"/>
      <c r="F96" s="497"/>
      <c r="G96" s="497"/>
      <c r="H96" s="497"/>
      <c r="I96" s="497"/>
      <c r="J96" s="497"/>
      <c r="K96" s="497"/>
      <c r="L96" s="497"/>
      <c r="M96" s="497"/>
      <c r="N96" s="497"/>
      <c r="O96" s="497"/>
      <c r="P96" s="497"/>
      <c r="Q96" s="497"/>
      <c r="R96" s="497"/>
      <c r="S96" s="497"/>
      <c r="T96" s="497"/>
      <c r="U96" s="497"/>
      <c r="V96" s="497"/>
      <c r="W96" s="497"/>
      <c r="X96" s="497"/>
      <c r="Y96" s="497"/>
      <c r="Z96" s="497"/>
    </row>
    <row r="97" spans="1:26">
      <c r="A97" s="497"/>
      <c r="B97" s="497"/>
      <c r="C97" s="497"/>
      <c r="D97" s="497"/>
      <c r="E97" s="497"/>
      <c r="F97" s="497"/>
      <c r="G97" s="497"/>
      <c r="H97" s="497"/>
      <c r="I97" s="497"/>
      <c r="J97" s="497"/>
      <c r="K97" s="497"/>
      <c r="L97" s="497"/>
      <c r="M97" s="497"/>
      <c r="N97" s="497"/>
      <c r="O97" s="497"/>
      <c r="P97" s="497"/>
      <c r="Q97" s="497"/>
      <c r="R97" s="497"/>
      <c r="S97" s="497"/>
      <c r="T97" s="497"/>
      <c r="U97" s="497"/>
      <c r="V97" s="497"/>
      <c r="W97" s="497"/>
      <c r="X97" s="497"/>
      <c r="Y97" s="497"/>
      <c r="Z97" s="497"/>
    </row>
    <row r="98" spans="1:26">
      <c r="A98" s="497"/>
      <c r="B98" s="497"/>
      <c r="C98" s="497"/>
      <c r="D98" s="497"/>
      <c r="E98" s="497"/>
      <c r="F98" s="497"/>
      <c r="G98" s="497"/>
      <c r="H98" s="497"/>
      <c r="I98" s="497"/>
      <c r="J98" s="497"/>
      <c r="K98" s="497"/>
      <c r="L98" s="497"/>
      <c r="M98" s="497"/>
      <c r="N98" s="497"/>
      <c r="O98" s="497"/>
      <c r="P98" s="497"/>
      <c r="Q98" s="497"/>
      <c r="R98" s="497"/>
      <c r="S98" s="497"/>
      <c r="T98" s="497"/>
      <c r="U98" s="497"/>
      <c r="V98" s="497"/>
      <c r="W98" s="497"/>
      <c r="X98" s="497"/>
      <c r="Y98" s="497"/>
      <c r="Z98" s="497"/>
    </row>
    <row r="99" spans="1:26">
      <c r="A99" s="497"/>
      <c r="B99" s="497"/>
      <c r="C99" s="497"/>
      <c r="D99" s="497"/>
      <c r="E99" s="497"/>
      <c r="F99" s="497"/>
      <c r="G99" s="497"/>
      <c r="H99" s="497"/>
      <c r="I99" s="497"/>
      <c r="J99" s="497"/>
      <c r="K99" s="497"/>
      <c r="L99" s="497"/>
      <c r="M99" s="497"/>
      <c r="N99" s="497"/>
      <c r="O99" s="497"/>
      <c r="P99" s="497"/>
      <c r="Q99" s="497"/>
      <c r="R99" s="497"/>
      <c r="S99" s="497"/>
      <c r="T99" s="497"/>
      <c r="U99" s="497"/>
      <c r="V99" s="497"/>
      <c r="W99" s="497"/>
      <c r="X99" s="497"/>
      <c r="Y99" s="497"/>
      <c r="Z99" s="497"/>
    </row>
    <row r="100" spans="1:26">
      <c r="A100" s="497"/>
      <c r="B100" s="497"/>
      <c r="C100" s="497"/>
      <c r="D100" s="497"/>
      <c r="E100" s="497"/>
      <c r="F100" s="497"/>
      <c r="G100" s="497"/>
      <c r="H100" s="497"/>
      <c r="I100" s="497"/>
      <c r="J100" s="497"/>
      <c r="K100" s="497"/>
      <c r="L100" s="497"/>
      <c r="M100" s="497"/>
      <c r="N100" s="497"/>
      <c r="O100" s="497"/>
      <c r="P100" s="497"/>
      <c r="Q100" s="497"/>
      <c r="R100" s="497"/>
      <c r="S100" s="497"/>
      <c r="T100" s="497"/>
      <c r="U100" s="497"/>
      <c r="V100" s="497"/>
      <c r="W100" s="497"/>
      <c r="X100" s="497"/>
      <c r="Y100" s="497"/>
      <c r="Z100" s="497"/>
    </row>
    <row r="101" spans="1:26">
      <c r="A101" s="497"/>
      <c r="B101" s="497"/>
      <c r="C101" s="497"/>
      <c r="D101" s="497"/>
      <c r="E101" s="497"/>
      <c r="F101" s="497"/>
      <c r="G101" s="497"/>
      <c r="H101" s="497"/>
      <c r="I101" s="497"/>
      <c r="J101" s="497"/>
      <c r="K101" s="497"/>
      <c r="L101" s="497"/>
      <c r="M101" s="497"/>
      <c r="N101" s="497"/>
      <c r="O101" s="497"/>
      <c r="P101" s="497"/>
      <c r="Q101" s="497"/>
      <c r="R101" s="497"/>
      <c r="S101" s="497"/>
      <c r="T101" s="497"/>
      <c r="U101" s="497"/>
      <c r="V101" s="497"/>
      <c r="W101" s="497"/>
      <c r="X101" s="497"/>
      <c r="Y101" s="497"/>
      <c r="Z101" s="497"/>
    </row>
    <row r="102" spans="1:26">
      <c r="A102" s="497"/>
      <c r="B102" s="497"/>
      <c r="C102" s="497"/>
      <c r="D102" s="497"/>
      <c r="E102" s="497"/>
      <c r="F102" s="497"/>
      <c r="G102" s="497"/>
      <c r="H102" s="497"/>
      <c r="I102" s="497"/>
      <c r="J102" s="497"/>
      <c r="K102" s="497"/>
      <c r="L102" s="497"/>
      <c r="M102" s="497"/>
      <c r="N102" s="497"/>
      <c r="O102" s="497"/>
      <c r="P102" s="497"/>
      <c r="Q102" s="497"/>
      <c r="R102" s="497"/>
      <c r="S102" s="497"/>
      <c r="T102" s="497"/>
      <c r="U102" s="497"/>
      <c r="V102" s="497"/>
      <c r="W102" s="497"/>
      <c r="X102" s="497"/>
      <c r="Y102" s="497"/>
      <c r="Z102" s="497"/>
    </row>
    <row r="103" spans="1:26">
      <c r="A103" s="497"/>
      <c r="B103" s="497"/>
      <c r="C103" s="497"/>
      <c r="D103" s="497"/>
      <c r="E103" s="497"/>
      <c r="F103" s="497"/>
      <c r="G103" s="497"/>
      <c r="H103" s="497"/>
      <c r="I103" s="497"/>
      <c r="J103" s="497"/>
      <c r="K103" s="497"/>
      <c r="L103" s="497"/>
      <c r="M103" s="497"/>
      <c r="N103" s="497"/>
      <c r="O103" s="497"/>
      <c r="P103" s="497"/>
      <c r="Q103" s="497"/>
      <c r="R103" s="497"/>
      <c r="S103" s="497"/>
      <c r="T103" s="497"/>
      <c r="U103" s="497"/>
      <c r="V103" s="497"/>
      <c r="W103" s="497"/>
      <c r="X103" s="497"/>
      <c r="Y103" s="497"/>
      <c r="Z103" s="497"/>
    </row>
    <row r="104" spans="1:26">
      <c r="A104" s="497"/>
      <c r="B104" s="497"/>
      <c r="C104" s="497"/>
      <c r="D104" s="497"/>
      <c r="E104" s="497"/>
      <c r="F104" s="497"/>
      <c r="G104" s="497"/>
      <c r="H104" s="497"/>
      <c r="I104" s="497"/>
      <c r="J104" s="497"/>
      <c r="K104" s="497"/>
      <c r="L104" s="497"/>
      <c r="M104" s="497"/>
      <c r="N104" s="497"/>
      <c r="O104" s="497"/>
      <c r="P104" s="497"/>
      <c r="Q104" s="497"/>
      <c r="R104" s="497"/>
      <c r="S104" s="497"/>
      <c r="T104" s="497"/>
      <c r="U104" s="497"/>
      <c r="V104" s="497"/>
      <c r="W104" s="497"/>
      <c r="X104" s="497"/>
      <c r="Y104" s="497"/>
      <c r="Z104" s="497"/>
    </row>
    <row r="105" spans="1:26">
      <c r="A105" s="497"/>
      <c r="B105" s="497"/>
      <c r="C105" s="497"/>
      <c r="D105" s="497"/>
      <c r="E105" s="497"/>
      <c r="F105" s="497"/>
      <c r="G105" s="497"/>
      <c r="H105" s="497"/>
      <c r="I105" s="497"/>
      <c r="J105" s="497"/>
      <c r="K105" s="497"/>
      <c r="L105" s="497"/>
      <c r="M105" s="497"/>
      <c r="N105" s="497"/>
      <c r="O105" s="497"/>
      <c r="P105" s="497"/>
      <c r="Q105" s="497"/>
      <c r="R105" s="497"/>
      <c r="S105" s="497"/>
      <c r="T105" s="497"/>
      <c r="U105" s="497"/>
      <c r="V105" s="497"/>
      <c r="W105" s="497"/>
      <c r="X105" s="497"/>
      <c r="Y105" s="497"/>
      <c r="Z105" s="497"/>
    </row>
    <row r="106" spans="1:26">
      <c r="A106" s="497"/>
      <c r="B106" s="497"/>
      <c r="C106" s="497"/>
      <c r="D106" s="497"/>
      <c r="E106" s="497"/>
      <c r="F106" s="497"/>
      <c r="G106" s="497"/>
      <c r="H106" s="497"/>
      <c r="I106" s="497"/>
      <c r="J106" s="497"/>
      <c r="K106" s="497"/>
      <c r="L106" s="497"/>
      <c r="M106" s="497"/>
      <c r="N106" s="497"/>
      <c r="O106" s="497"/>
      <c r="P106" s="497"/>
      <c r="Q106" s="497"/>
      <c r="R106" s="497"/>
      <c r="S106" s="497"/>
      <c r="T106" s="497"/>
      <c r="U106" s="497"/>
      <c r="V106" s="497"/>
      <c r="W106" s="497"/>
      <c r="X106" s="497"/>
      <c r="Y106" s="497"/>
      <c r="Z106" s="497"/>
    </row>
    <row r="107" spans="1:26">
      <c r="A107" s="497"/>
      <c r="B107" s="497"/>
      <c r="C107" s="497"/>
      <c r="D107" s="497"/>
      <c r="E107" s="497"/>
      <c r="F107" s="497"/>
      <c r="G107" s="497"/>
      <c r="H107" s="497"/>
      <c r="I107" s="497"/>
      <c r="J107" s="497"/>
      <c r="K107" s="497"/>
      <c r="L107" s="497"/>
      <c r="M107" s="497"/>
      <c r="N107" s="497"/>
      <c r="O107" s="497"/>
      <c r="P107" s="497"/>
      <c r="Q107" s="497"/>
      <c r="R107" s="497"/>
      <c r="S107" s="497"/>
      <c r="T107" s="497"/>
      <c r="U107" s="497"/>
      <c r="V107" s="497"/>
      <c r="W107" s="497"/>
      <c r="X107" s="497"/>
      <c r="Y107" s="497"/>
      <c r="Z107" s="497"/>
    </row>
    <row r="108" spans="1:26">
      <c r="A108" s="497"/>
      <c r="B108" s="497"/>
      <c r="C108" s="497"/>
      <c r="D108" s="497"/>
      <c r="E108" s="497"/>
      <c r="F108" s="497"/>
      <c r="G108" s="497"/>
      <c r="H108" s="497"/>
      <c r="I108" s="497"/>
      <c r="J108" s="497"/>
      <c r="K108" s="497"/>
      <c r="L108" s="497"/>
      <c r="M108" s="497"/>
      <c r="N108" s="497"/>
      <c r="O108" s="497"/>
      <c r="P108" s="497"/>
      <c r="Q108" s="497"/>
      <c r="R108" s="497"/>
      <c r="S108" s="497"/>
      <c r="T108" s="497"/>
      <c r="U108" s="497"/>
      <c r="V108" s="497"/>
      <c r="W108" s="497"/>
      <c r="X108" s="497"/>
      <c r="Y108" s="497"/>
      <c r="Z108" s="497"/>
    </row>
    <row r="109" spans="1:26">
      <c r="A109" s="497"/>
      <c r="B109" s="497"/>
      <c r="C109" s="497"/>
      <c r="D109" s="497"/>
      <c r="E109" s="497"/>
      <c r="F109" s="497"/>
      <c r="G109" s="497"/>
      <c r="H109" s="497"/>
      <c r="I109" s="497"/>
      <c r="J109" s="497"/>
      <c r="K109" s="497"/>
      <c r="L109" s="497"/>
      <c r="M109" s="497"/>
      <c r="N109" s="497"/>
      <c r="O109" s="497"/>
      <c r="P109" s="497"/>
      <c r="Q109" s="497"/>
      <c r="R109" s="497"/>
      <c r="S109" s="497"/>
      <c r="T109" s="497"/>
      <c r="U109" s="497"/>
      <c r="V109" s="497"/>
      <c r="W109" s="497"/>
      <c r="X109" s="497"/>
      <c r="Y109" s="497"/>
      <c r="Z109" s="497"/>
    </row>
    <row r="110" spans="1:26">
      <c r="A110" s="497"/>
      <c r="B110" s="497"/>
      <c r="C110" s="497"/>
      <c r="D110" s="497"/>
      <c r="E110" s="497"/>
      <c r="F110" s="497"/>
      <c r="G110" s="497"/>
      <c r="H110" s="497"/>
      <c r="I110" s="497"/>
      <c r="J110" s="497"/>
      <c r="K110" s="497"/>
      <c r="L110" s="497"/>
      <c r="M110" s="497"/>
      <c r="N110" s="497"/>
      <c r="O110" s="497"/>
      <c r="P110" s="497"/>
      <c r="Q110" s="497"/>
      <c r="R110" s="497"/>
      <c r="S110" s="497"/>
      <c r="T110" s="497"/>
      <c r="U110" s="497"/>
      <c r="V110" s="497"/>
      <c r="W110" s="497"/>
      <c r="X110" s="497"/>
      <c r="Y110" s="497"/>
      <c r="Z110" s="497"/>
    </row>
    <row r="111" spans="1:26">
      <c r="A111" s="497"/>
      <c r="B111" s="497"/>
      <c r="C111" s="497"/>
      <c r="D111" s="497"/>
      <c r="E111" s="497"/>
      <c r="F111" s="497"/>
      <c r="G111" s="497"/>
      <c r="H111" s="497"/>
      <c r="I111" s="497"/>
      <c r="J111" s="497"/>
      <c r="K111" s="497"/>
      <c r="L111" s="497"/>
      <c r="M111" s="497"/>
      <c r="N111" s="497"/>
      <c r="O111" s="497"/>
      <c r="P111" s="497"/>
      <c r="Q111" s="497"/>
      <c r="R111" s="497"/>
      <c r="S111" s="497"/>
      <c r="T111" s="497"/>
      <c r="U111" s="497"/>
      <c r="V111" s="497"/>
      <c r="W111" s="497"/>
      <c r="X111" s="497"/>
      <c r="Y111" s="497"/>
      <c r="Z111" s="497"/>
    </row>
    <row r="112" spans="1:26">
      <c r="A112" s="497"/>
      <c r="B112" s="497"/>
      <c r="C112" s="497"/>
      <c r="D112" s="497"/>
      <c r="E112" s="497"/>
      <c r="F112" s="497"/>
      <c r="G112" s="497"/>
      <c r="H112" s="497"/>
      <c r="I112" s="497"/>
      <c r="J112" s="497"/>
      <c r="K112" s="497"/>
      <c r="L112" s="497"/>
      <c r="M112" s="497"/>
      <c r="N112" s="497"/>
      <c r="O112" s="497"/>
      <c r="P112" s="497"/>
      <c r="Q112" s="497"/>
      <c r="R112" s="497"/>
      <c r="S112" s="497"/>
      <c r="T112" s="497"/>
      <c r="U112" s="497"/>
      <c r="V112" s="497"/>
      <c r="W112" s="497"/>
      <c r="X112" s="497"/>
      <c r="Y112" s="497"/>
      <c r="Z112" s="497"/>
    </row>
    <row r="113" spans="1:26">
      <c r="A113" s="497"/>
      <c r="B113" s="497"/>
      <c r="C113" s="497"/>
      <c r="D113" s="497"/>
      <c r="E113" s="497"/>
      <c r="F113" s="497"/>
      <c r="G113" s="497"/>
      <c r="H113" s="497"/>
      <c r="I113" s="497"/>
      <c r="J113" s="497"/>
      <c r="K113" s="497"/>
      <c r="L113" s="497"/>
      <c r="M113" s="497"/>
      <c r="N113" s="497"/>
      <c r="O113" s="497"/>
      <c r="P113" s="497"/>
      <c r="Q113" s="497"/>
      <c r="R113" s="497"/>
      <c r="S113" s="497"/>
      <c r="T113" s="497"/>
      <c r="U113" s="497"/>
      <c r="V113" s="497"/>
      <c r="W113" s="497"/>
      <c r="X113" s="497"/>
      <c r="Y113" s="497"/>
      <c r="Z113" s="497"/>
    </row>
    <row r="114" spans="1:26">
      <c r="A114" s="497"/>
      <c r="B114" s="497"/>
      <c r="C114" s="497"/>
      <c r="D114" s="497"/>
      <c r="E114" s="497"/>
      <c r="F114" s="497"/>
      <c r="G114" s="497"/>
      <c r="H114" s="497"/>
      <c r="I114" s="497"/>
      <c r="J114" s="497"/>
      <c r="K114" s="497"/>
      <c r="L114" s="497"/>
      <c r="M114" s="497"/>
      <c r="N114" s="497"/>
      <c r="O114" s="497"/>
      <c r="P114" s="497"/>
      <c r="Q114" s="497"/>
      <c r="R114" s="497"/>
      <c r="S114" s="497"/>
      <c r="T114" s="497"/>
      <c r="U114" s="497"/>
      <c r="V114" s="497"/>
      <c r="W114" s="497"/>
      <c r="X114" s="497"/>
      <c r="Y114" s="497"/>
      <c r="Z114" s="497"/>
    </row>
    <row r="115" spans="1:26">
      <c r="A115" s="497"/>
      <c r="B115" s="497"/>
      <c r="C115" s="497"/>
      <c r="D115" s="497"/>
      <c r="E115" s="497"/>
      <c r="F115" s="497"/>
      <c r="G115" s="497"/>
      <c r="H115" s="497"/>
      <c r="I115" s="497"/>
      <c r="J115" s="497"/>
      <c r="K115" s="497"/>
      <c r="L115" s="497"/>
      <c r="M115" s="497"/>
      <c r="N115" s="497"/>
      <c r="O115" s="497"/>
      <c r="P115" s="497"/>
      <c r="Q115" s="497"/>
      <c r="R115" s="497"/>
      <c r="S115" s="497"/>
      <c r="T115" s="497"/>
      <c r="U115" s="497"/>
      <c r="V115" s="497"/>
      <c r="W115" s="497"/>
      <c r="X115" s="497"/>
      <c r="Y115" s="497"/>
      <c r="Z115" s="497"/>
    </row>
    <row r="116" spans="1:26">
      <c r="A116" s="497"/>
      <c r="B116" s="497"/>
      <c r="C116" s="497"/>
      <c r="D116" s="497"/>
      <c r="E116" s="497"/>
      <c r="F116" s="497"/>
      <c r="G116" s="497"/>
      <c r="H116" s="497"/>
      <c r="I116" s="497"/>
      <c r="J116" s="497"/>
      <c r="K116" s="497"/>
      <c r="L116" s="497"/>
      <c r="M116" s="497"/>
      <c r="N116" s="497"/>
      <c r="O116" s="497"/>
      <c r="P116" s="497"/>
      <c r="Q116" s="497"/>
      <c r="R116" s="497"/>
      <c r="S116" s="497"/>
      <c r="T116" s="497"/>
      <c r="U116" s="497"/>
      <c r="V116" s="497"/>
      <c r="W116" s="497"/>
      <c r="X116" s="497"/>
      <c r="Y116" s="497"/>
      <c r="Z116" s="497"/>
    </row>
    <row r="117" spans="1:26">
      <c r="A117" s="497"/>
      <c r="B117" s="497"/>
      <c r="C117" s="497"/>
      <c r="D117" s="497"/>
      <c r="E117" s="497"/>
      <c r="F117" s="497"/>
      <c r="G117" s="497"/>
      <c r="H117" s="497"/>
      <c r="I117" s="497"/>
      <c r="J117" s="497"/>
      <c r="K117" s="497"/>
      <c r="L117" s="497"/>
      <c r="M117" s="497"/>
      <c r="N117" s="497"/>
      <c r="O117" s="497"/>
      <c r="P117" s="497"/>
      <c r="Q117" s="497"/>
      <c r="R117" s="497"/>
      <c r="S117" s="497"/>
      <c r="T117" s="497"/>
      <c r="U117" s="497"/>
      <c r="V117" s="497"/>
      <c r="W117" s="497"/>
      <c r="X117" s="497"/>
      <c r="Y117" s="497"/>
      <c r="Z117" s="497"/>
    </row>
    <row r="118" spans="1:26">
      <c r="A118" s="497"/>
      <c r="B118" s="497"/>
      <c r="C118" s="497"/>
      <c r="D118" s="497"/>
      <c r="E118" s="497"/>
      <c r="F118" s="497"/>
      <c r="G118" s="497"/>
      <c r="H118" s="497"/>
      <c r="I118" s="497"/>
      <c r="J118" s="497"/>
      <c r="K118" s="497"/>
      <c r="L118" s="497"/>
      <c r="M118" s="497"/>
      <c r="N118" s="497"/>
      <c r="O118" s="497"/>
      <c r="P118" s="497"/>
      <c r="Q118" s="497"/>
      <c r="R118" s="497"/>
      <c r="S118" s="497"/>
      <c r="T118" s="497"/>
      <c r="U118" s="497"/>
      <c r="V118" s="497"/>
      <c r="W118" s="497"/>
      <c r="X118" s="497"/>
      <c r="Y118" s="497"/>
      <c r="Z118" s="497"/>
    </row>
    <row r="119" spans="1:26">
      <c r="A119" s="497"/>
      <c r="B119" s="497"/>
      <c r="C119" s="497"/>
      <c r="D119" s="497"/>
      <c r="E119" s="497"/>
      <c r="F119" s="497"/>
      <c r="G119" s="497"/>
      <c r="H119" s="497"/>
      <c r="I119" s="497"/>
      <c r="J119" s="497"/>
      <c r="K119" s="497"/>
      <c r="L119" s="497"/>
      <c r="M119" s="497"/>
      <c r="N119" s="497"/>
      <c r="O119" s="497"/>
      <c r="P119" s="497"/>
      <c r="Q119" s="497"/>
      <c r="R119" s="497"/>
      <c r="S119" s="497"/>
      <c r="T119" s="497"/>
      <c r="U119" s="497"/>
      <c r="V119" s="497"/>
      <c r="W119" s="497"/>
      <c r="X119" s="497"/>
      <c r="Y119" s="497"/>
      <c r="Z119" s="497"/>
    </row>
    <row r="120" spans="1:26">
      <c r="A120" s="497"/>
      <c r="B120" s="497"/>
      <c r="C120" s="497"/>
      <c r="D120" s="497"/>
      <c r="E120" s="497"/>
      <c r="F120" s="497"/>
      <c r="G120" s="497"/>
      <c r="H120" s="497"/>
      <c r="I120" s="497"/>
      <c r="J120" s="497"/>
      <c r="K120" s="497"/>
      <c r="L120" s="497"/>
      <c r="M120" s="497"/>
      <c r="N120" s="497"/>
      <c r="O120" s="497"/>
      <c r="P120" s="497"/>
      <c r="Q120" s="497"/>
      <c r="R120" s="497"/>
      <c r="S120" s="497"/>
      <c r="T120" s="497"/>
      <c r="U120" s="497"/>
      <c r="V120" s="497"/>
      <c r="W120" s="497"/>
      <c r="X120" s="497"/>
      <c r="Y120" s="497"/>
      <c r="Z120" s="497"/>
    </row>
    <row r="121" spans="1:26">
      <c r="A121" s="497"/>
      <c r="B121" s="497"/>
      <c r="C121" s="497"/>
      <c r="D121" s="497"/>
      <c r="E121" s="497"/>
      <c r="F121" s="497"/>
      <c r="G121" s="497"/>
      <c r="H121" s="497"/>
      <c r="I121" s="497"/>
      <c r="J121" s="497"/>
      <c r="K121" s="497"/>
      <c r="L121" s="497"/>
      <c r="M121" s="497"/>
      <c r="N121" s="497"/>
      <c r="O121" s="497"/>
      <c r="P121" s="497"/>
      <c r="Q121" s="497"/>
      <c r="R121" s="497"/>
      <c r="S121" s="497"/>
      <c r="T121" s="497"/>
      <c r="U121" s="497"/>
      <c r="V121" s="497"/>
      <c r="W121" s="497"/>
      <c r="X121" s="497"/>
      <c r="Y121" s="497"/>
      <c r="Z121" s="497"/>
    </row>
    <row r="122" spans="1:26">
      <c r="A122" s="497"/>
      <c r="B122" s="497"/>
      <c r="C122" s="497"/>
      <c r="D122" s="497"/>
      <c r="E122" s="497"/>
      <c r="F122" s="497"/>
      <c r="G122" s="497"/>
      <c r="H122" s="497"/>
      <c r="I122" s="497"/>
      <c r="J122" s="497"/>
      <c r="K122" s="497"/>
      <c r="L122" s="497"/>
      <c r="M122" s="497"/>
      <c r="N122" s="497"/>
      <c r="O122" s="497"/>
      <c r="P122" s="497"/>
      <c r="Q122" s="497"/>
      <c r="R122" s="497"/>
      <c r="S122" s="497"/>
      <c r="T122" s="497"/>
      <c r="U122" s="497"/>
      <c r="V122" s="497"/>
      <c r="W122" s="497"/>
      <c r="X122" s="497"/>
      <c r="Y122" s="497"/>
      <c r="Z122" s="497"/>
    </row>
    <row r="123" spans="1:26">
      <c r="A123" s="497"/>
      <c r="B123" s="497"/>
      <c r="C123" s="497"/>
      <c r="D123" s="497"/>
      <c r="E123" s="497"/>
      <c r="F123" s="497"/>
      <c r="G123" s="497"/>
      <c r="H123" s="497"/>
      <c r="I123" s="497"/>
      <c r="J123" s="497"/>
      <c r="K123" s="497"/>
      <c r="L123" s="497"/>
      <c r="M123" s="497"/>
      <c r="N123" s="497"/>
      <c r="O123" s="497"/>
      <c r="P123" s="497"/>
      <c r="Q123" s="497"/>
      <c r="R123" s="497"/>
      <c r="S123" s="497"/>
      <c r="T123" s="497"/>
      <c r="U123" s="497"/>
      <c r="V123" s="497"/>
      <c r="W123" s="497"/>
      <c r="X123" s="497"/>
      <c r="Y123" s="497"/>
      <c r="Z123" s="497"/>
    </row>
    <row r="124" spans="1:26">
      <c r="A124" s="497"/>
      <c r="B124" s="497"/>
      <c r="C124" s="497"/>
      <c r="D124" s="497"/>
      <c r="E124" s="497"/>
      <c r="F124" s="497"/>
      <c r="G124" s="497"/>
      <c r="H124" s="497"/>
      <c r="I124" s="497"/>
      <c r="J124" s="497"/>
      <c r="K124" s="497"/>
      <c r="L124" s="497"/>
      <c r="M124" s="497"/>
      <c r="N124" s="497"/>
      <c r="O124" s="497"/>
      <c r="P124" s="497"/>
      <c r="Q124" s="497"/>
      <c r="R124" s="497"/>
      <c r="S124" s="497"/>
      <c r="T124" s="497"/>
      <c r="U124" s="497"/>
      <c r="V124" s="497"/>
      <c r="W124" s="497"/>
      <c r="X124" s="497"/>
      <c r="Y124" s="497"/>
      <c r="Z124" s="497"/>
    </row>
    <row r="125" spans="1:26">
      <c r="A125" s="497"/>
      <c r="B125" s="497"/>
      <c r="C125" s="497"/>
      <c r="D125" s="497"/>
      <c r="E125" s="497"/>
      <c r="F125" s="497"/>
      <c r="G125" s="497"/>
      <c r="H125" s="497"/>
      <c r="I125" s="497"/>
      <c r="J125" s="497"/>
      <c r="K125" s="497"/>
      <c r="L125" s="497"/>
      <c r="M125" s="497"/>
      <c r="N125" s="497"/>
      <c r="O125" s="497"/>
      <c r="P125" s="497"/>
      <c r="Q125" s="497"/>
      <c r="R125" s="497"/>
      <c r="S125" s="497"/>
      <c r="T125" s="497"/>
      <c r="U125" s="497"/>
      <c r="V125" s="497"/>
      <c r="W125" s="497"/>
      <c r="X125" s="497"/>
      <c r="Y125" s="497"/>
      <c r="Z125" s="497"/>
    </row>
    <row r="126" spans="1:26">
      <c r="A126" s="497"/>
      <c r="B126" s="497"/>
      <c r="C126" s="497"/>
      <c r="D126" s="497"/>
      <c r="E126" s="497"/>
      <c r="F126" s="497"/>
      <c r="G126" s="497"/>
      <c r="H126" s="497"/>
      <c r="I126" s="497"/>
      <c r="J126" s="497"/>
      <c r="K126" s="497"/>
      <c r="L126" s="497"/>
      <c r="M126" s="497"/>
      <c r="N126" s="497"/>
      <c r="O126" s="497"/>
      <c r="P126" s="497"/>
      <c r="Q126" s="497"/>
      <c r="R126" s="497"/>
      <c r="S126" s="497"/>
      <c r="T126" s="497"/>
      <c r="U126" s="497"/>
      <c r="V126" s="497"/>
      <c r="W126" s="497"/>
      <c r="X126" s="497"/>
      <c r="Y126" s="497"/>
      <c r="Z126" s="497"/>
    </row>
    <row r="127" spans="1:26">
      <c r="A127" s="497"/>
      <c r="B127" s="497"/>
      <c r="C127" s="497"/>
      <c r="D127" s="497"/>
      <c r="E127" s="497"/>
      <c r="F127" s="497"/>
      <c r="G127" s="497"/>
      <c r="H127" s="497"/>
      <c r="I127" s="497"/>
      <c r="J127" s="497"/>
      <c r="K127" s="497"/>
      <c r="L127" s="497"/>
      <c r="M127" s="497"/>
      <c r="N127" s="497"/>
      <c r="O127" s="497"/>
      <c r="P127" s="497"/>
      <c r="Q127" s="497"/>
      <c r="R127" s="497"/>
      <c r="S127" s="497"/>
      <c r="T127" s="497"/>
      <c r="U127" s="497"/>
      <c r="V127" s="497"/>
      <c r="W127" s="497"/>
      <c r="X127" s="497"/>
      <c r="Y127" s="497"/>
      <c r="Z127" s="497"/>
    </row>
    <row r="128" spans="1:26">
      <c r="A128" s="497"/>
      <c r="B128" s="497"/>
      <c r="C128" s="497"/>
      <c r="D128" s="497"/>
      <c r="E128" s="497"/>
      <c r="F128" s="497"/>
      <c r="G128" s="497"/>
      <c r="H128" s="497"/>
      <c r="I128" s="497"/>
      <c r="J128" s="497"/>
      <c r="K128" s="497"/>
      <c r="L128" s="497"/>
      <c r="M128" s="497"/>
      <c r="N128" s="497"/>
      <c r="O128" s="497"/>
      <c r="P128" s="497"/>
      <c r="Q128" s="497"/>
      <c r="R128" s="497"/>
      <c r="S128" s="497"/>
      <c r="T128" s="497"/>
      <c r="U128" s="497"/>
      <c r="V128" s="497"/>
      <c r="W128" s="497"/>
      <c r="X128" s="497"/>
      <c r="Y128" s="497"/>
      <c r="Z128" s="497"/>
    </row>
    <row r="129" spans="1:26">
      <c r="A129" s="497"/>
      <c r="B129" s="497"/>
      <c r="C129" s="497"/>
      <c r="D129" s="497"/>
      <c r="E129" s="497"/>
      <c r="F129" s="497"/>
      <c r="G129" s="497"/>
      <c r="H129" s="497"/>
      <c r="I129" s="497"/>
      <c r="J129" s="497"/>
      <c r="K129" s="497"/>
      <c r="L129" s="497"/>
      <c r="M129" s="497"/>
      <c r="N129" s="497"/>
      <c r="O129" s="497"/>
      <c r="P129" s="497"/>
      <c r="Q129" s="497"/>
      <c r="R129" s="497"/>
      <c r="S129" s="497"/>
      <c r="T129" s="497"/>
      <c r="U129" s="497"/>
      <c r="V129" s="497"/>
      <c r="W129" s="497"/>
      <c r="X129" s="497"/>
      <c r="Y129" s="497"/>
      <c r="Z129" s="497"/>
    </row>
    <row r="130" spans="1:26">
      <c r="A130" s="497"/>
      <c r="B130" s="497"/>
      <c r="C130" s="497"/>
      <c r="D130" s="497"/>
      <c r="E130" s="497"/>
      <c r="F130" s="497"/>
      <c r="G130" s="497"/>
      <c r="H130" s="497"/>
      <c r="I130" s="497"/>
      <c r="J130" s="497"/>
      <c r="K130" s="497"/>
      <c r="L130" s="497"/>
      <c r="M130" s="497"/>
      <c r="N130" s="497"/>
      <c r="O130" s="497"/>
      <c r="P130" s="497"/>
      <c r="Q130" s="497"/>
      <c r="R130" s="497"/>
      <c r="S130" s="497"/>
      <c r="T130" s="497"/>
      <c r="U130" s="497"/>
      <c r="V130" s="497"/>
      <c r="W130" s="497"/>
      <c r="X130" s="497"/>
      <c r="Y130" s="497"/>
      <c r="Z130" s="497"/>
    </row>
    <row r="131" spans="1:26">
      <c r="A131" s="497"/>
      <c r="B131" s="497"/>
      <c r="C131" s="497"/>
      <c r="D131" s="497"/>
      <c r="E131" s="497"/>
      <c r="F131" s="497"/>
      <c r="G131" s="497"/>
      <c r="H131" s="497"/>
      <c r="I131" s="497"/>
      <c r="J131" s="497"/>
      <c r="K131" s="497"/>
      <c r="L131" s="497"/>
      <c r="M131" s="497"/>
      <c r="N131" s="497"/>
      <c r="O131" s="497"/>
      <c r="P131" s="497"/>
      <c r="Q131" s="497"/>
      <c r="R131" s="497"/>
      <c r="S131" s="497"/>
      <c r="T131" s="497"/>
      <c r="U131" s="497"/>
      <c r="V131" s="497"/>
      <c r="W131" s="497"/>
      <c r="X131" s="497"/>
      <c r="Y131" s="497"/>
      <c r="Z131" s="497"/>
    </row>
    <row r="132" spans="1:26">
      <c r="A132" s="497"/>
      <c r="B132" s="497"/>
      <c r="C132" s="497"/>
      <c r="D132" s="497"/>
      <c r="E132" s="497"/>
      <c r="F132" s="497"/>
      <c r="G132" s="497"/>
      <c r="H132" s="497"/>
      <c r="I132" s="497"/>
      <c r="J132" s="497"/>
      <c r="K132" s="497"/>
      <c r="L132" s="497"/>
      <c r="M132" s="497"/>
      <c r="N132" s="497"/>
      <c r="O132" s="497"/>
      <c r="P132" s="497"/>
      <c r="Q132" s="497"/>
      <c r="R132" s="497"/>
      <c r="S132" s="497"/>
      <c r="T132" s="497"/>
      <c r="U132" s="497"/>
      <c r="V132" s="497"/>
      <c r="W132" s="497"/>
      <c r="X132" s="497"/>
      <c r="Y132" s="497"/>
      <c r="Z132" s="497"/>
    </row>
    <row r="133" spans="1:26">
      <c r="A133" s="497"/>
      <c r="B133" s="497"/>
      <c r="C133" s="497"/>
      <c r="D133" s="497"/>
      <c r="E133" s="497"/>
      <c r="F133" s="497"/>
      <c r="G133" s="497"/>
      <c r="H133" s="497"/>
      <c r="I133" s="497"/>
      <c r="J133" s="497"/>
      <c r="K133" s="497"/>
      <c r="L133" s="497"/>
      <c r="M133" s="497"/>
      <c r="N133" s="497"/>
      <c r="O133" s="497"/>
      <c r="P133" s="497"/>
      <c r="Q133" s="497"/>
      <c r="R133" s="497"/>
      <c r="S133" s="497"/>
      <c r="T133" s="497"/>
      <c r="U133" s="497"/>
      <c r="V133" s="497"/>
      <c r="W133" s="497"/>
      <c r="X133" s="497"/>
      <c r="Y133" s="497"/>
      <c r="Z133" s="497"/>
    </row>
    <row r="134" spans="1:26">
      <c r="A134" s="497"/>
      <c r="B134" s="497"/>
      <c r="C134" s="497"/>
      <c r="D134" s="497"/>
      <c r="E134" s="497"/>
      <c r="F134" s="497"/>
      <c r="G134" s="497"/>
      <c r="H134" s="497"/>
      <c r="I134" s="497"/>
      <c r="J134" s="497"/>
      <c r="K134" s="497"/>
      <c r="L134" s="497"/>
      <c r="M134" s="497"/>
      <c r="N134" s="497"/>
      <c r="O134" s="497"/>
      <c r="P134" s="497"/>
      <c r="Q134" s="497"/>
      <c r="R134" s="497"/>
      <c r="S134" s="497"/>
      <c r="T134" s="497"/>
      <c r="U134" s="497"/>
      <c r="V134" s="497"/>
      <c r="W134" s="497"/>
      <c r="X134" s="497"/>
      <c r="Y134" s="497"/>
      <c r="Z134" s="497"/>
    </row>
    <row r="135" spans="1:26">
      <c r="A135" s="497"/>
      <c r="B135" s="497"/>
      <c r="C135" s="497"/>
      <c r="D135" s="497"/>
      <c r="E135" s="497"/>
      <c r="F135" s="497"/>
      <c r="G135" s="497"/>
      <c r="H135" s="497"/>
      <c r="I135" s="497"/>
      <c r="J135" s="497"/>
      <c r="K135" s="497"/>
      <c r="L135" s="497"/>
      <c r="M135" s="497"/>
      <c r="N135" s="497"/>
      <c r="O135" s="497"/>
      <c r="P135" s="497"/>
      <c r="Q135" s="497"/>
      <c r="R135" s="497"/>
      <c r="S135" s="497"/>
      <c r="T135" s="497"/>
      <c r="U135" s="497"/>
      <c r="V135" s="497"/>
      <c r="W135" s="497"/>
      <c r="X135" s="497"/>
      <c r="Y135" s="497"/>
      <c r="Z135" s="497"/>
    </row>
    <row r="136" spans="1:26">
      <c r="A136" s="497"/>
      <c r="B136" s="497"/>
      <c r="C136" s="497"/>
      <c r="D136" s="497"/>
      <c r="E136" s="497"/>
      <c r="F136" s="497"/>
      <c r="G136" s="497"/>
      <c r="H136" s="497"/>
      <c r="I136" s="497"/>
      <c r="J136" s="497"/>
      <c r="K136" s="497"/>
      <c r="L136" s="497"/>
      <c r="M136" s="497"/>
      <c r="N136" s="497"/>
      <c r="O136" s="497"/>
      <c r="P136" s="497"/>
      <c r="Q136" s="497"/>
      <c r="R136" s="497"/>
      <c r="S136" s="497"/>
      <c r="T136" s="497"/>
      <c r="U136" s="497"/>
      <c r="V136" s="497"/>
      <c r="W136" s="497"/>
      <c r="X136" s="497"/>
      <c r="Y136" s="497"/>
      <c r="Z136" s="497"/>
    </row>
    <row r="137" spans="1:26">
      <c r="A137" s="497"/>
      <c r="B137" s="497"/>
      <c r="C137" s="497"/>
      <c r="D137" s="497"/>
      <c r="E137" s="497"/>
      <c r="F137" s="497"/>
      <c r="G137" s="497"/>
      <c r="H137" s="497"/>
      <c r="I137" s="497"/>
      <c r="J137" s="497"/>
      <c r="K137" s="497"/>
      <c r="L137" s="497"/>
      <c r="M137" s="497"/>
      <c r="N137" s="497"/>
      <c r="O137" s="497"/>
      <c r="P137" s="497"/>
      <c r="Q137" s="497"/>
      <c r="R137" s="497"/>
      <c r="S137" s="497"/>
      <c r="T137" s="497"/>
      <c r="U137" s="497"/>
      <c r="V137" s="497"/>
      <c r="W137" s="497"/>
      <c r="X137" s="497"/>
      <c r="Y137" s="497"/>
      <c r="Z137" s="497"/>
    </row>
    <row r="138" spans="1:26">
      <c r="A138" s="497"/>
      <c r="B138" s="497"/>
      <c r="C138" s="497"/>
      <c r="D138" s="497"/>
      <c r="E138" s="497"/>
      <c r="F138" s="497"/>
      <c r="G138" s="497"/>
      <c r="H138" s="497"/>
      <c r="I138" s="497"/>
      <c r="J138" s="497"/>
      <c r="K138" s="497"/>
      <c r="L138" s="497"/>
      <c r="M138" s="497"/>
      <c r="N138" s="497"/>
      <c r="O138" s="497"/>
      <c r="P138" s="497"/>
      <c r="Q138" s="497"/>
      <c r="R138" s="497"/>
      <c r="S138" s="497"/>
      <c r="T138" s="497"/>
      <c r="U138" s="497"/>
      <c r="V138" s="497"/>
      <c r="W138" s="497"/>
      <c r="X138" s="497"/>
      <c r="Y138" s="497"/>
      <c r="Z138" s="497"/>
    </row>
    <row r="139" spans="1:26">
      <c r="A139" s="497"/>
      <c r="B139" s="497"/>
      <c r="C139" s="497"/>
      <c r="D139" s="497"/>
      <c r="E139" s="497"/>
      <c r="F139" s="497"/>
      <c r="G139" s="497"/>
      <c r="H139" s="497"/>
      <c r="I139" s="497"/>
      <c r="J139" s="497"/>
      <c r="K139" s="497"/>
      <c r="L139" s="497"/>
      <c r="M139" s="497"/>
      <c r="N139" s="497"/>
      <c r="O139" s="497"/>
      <c r="P139" s="497"/>
      <c r="Q139" s="497"/>
      <c r="R139" s="497"/>
      <c r="S139" s="497"/>
      <c r="T139" s="497"/>
      <c r="U139" s="497"/>
      <c r="V139" s="497"/>
      <c r="W139" s="497"/>
      <c r="X139" s="497"/>
      <c r="Y139" s="497"/>
      <c r="Z139" s="497"/>
    </row>
    <row r="140" spans="1:26">
      <c r="A140" s="497"/>
      <c r="B140" s="497"/>
      <c r="C140" s="497"/>
      <c r="D140" s="497"/>
      <c r="E140" s="497"/>
      <c r="F140" s="497"/>
      <c r="G140" s="497"/>
      <c r="H140" s="497"/>
      <c r="I140" s="497"/>
      <c r="J140" s="497"/>
      <c r="K140" s="497"/>
      <c r="L140" s="497"/>
      <c r="M140" s="497"/>
      <c r="N140" s="497"/>
      <c r="O140" s="497"/>
      <c r="P140" s="497"/>
      <c r="Q140" s="497"/>
      <c r="R140" s="497"/>
      <c r="S140" s="497"/>
      <c r="T140" s="497"/>
      <c r="U140" s="497"/>
      <c r="V140" s="497"/>
      <c r="W140" s="497"/>
      <c r="X140" s="497"/>
      <c r="Y140" s="497"/>
      <c r="Z140" s="497"/>
    </row>
    <row r="141" spans="1:26">
      <c r="A141" s="497"/>
      <c r="B141" s="497"/>
      <c r="C141" s="497"/>
      <c r="D141" s="497"/>
      <c r="E141" s="497"/>
      <c r="F141" s="497"/>
      <c r="G141" s="497"/>
      <c r="H141" s="497"/>
      <c r="I141" s="497"/>
      <c r="J141" s="497"/>
      <c r="K141" s="497"/>
      <c r="L141" s="497"/>
      <c r="M141" s="497"/>
      <c r="N141" s="497"/>
      <c r="O141" s="497"/>
      <c r="P141" s="497"/>
      <c r="Q141" s="497"/>
      <c r="R141" s="497"/>
      <c r="S141" s="497"/>
      <c r="T141" s="497"/>
      <c r="U141" s="497"/>
      <c r="V141" s="497"/>
      <c r="W141" s="497"/>
      <c r="X141" s="497"/>
      <c r="Y141" s="497"/>
      <c r="Z141" s="497"/>
    </row>
    <row r="142" spans="1:26">
      <c r="A142" s="497"/>
      <c r="B142" s="497"/>
      <c r="C142" s="497"/>
      <c r="D142" s="497"/>
      <c r="E142" s="497"/>
      <c r="F142" s="497"/>
      <c r="G142" s="497"/>
      <c r="H142" s="497"/>
      <c r="I142" s="497"/>
      <c r="J142" s="497"/>
      <c r="K142" s="497"/>
      <c r="L142" s="497"/>
      <c r="M142" s="497"/>
      <c r="N142" s="497"/>
      <c r="O142" s="497"/>
      <c r="P142" s="497"/>
      <c r="Q142" s="497"/>
      <c r="R142" s="497"/>
      <c r="S142" s="497"/>
      <c r="T142" s="497"/>
      <c r="U142" s="497"/>
      <c r="V142" s="497"/>
      <c r="W142" s="497"/>
      <c r="X142" s="497"/>
      <c r="Y142" s="497"/>
      <c r="Z142" s="497"/>
    </row>
    <row r="143" spans="1:26">
      <c r="A143" s="497"/>
      <c r="B143" s="497"/>
      <c r="C143" s="497"/>
      <c r="D143" s="497"/>
      <c r="E143" s="497"/>
      <c r="F143" s="497"/>
      <c r="G143" s="497"/>
      <c r="H143" s="497"/>
      <c r="I143" s="497"/>
      <c r="J143" s="497"/>
      <c r="K143" s="497"/>
      <c r="L143" s="497"/>
      <c r="M143" s="497"/>
      <c r="N143" s="497"/>
      <c r="O143" s="497"/>
      <c r="P143" s="497"/>
      <c r="Q143" s="497"/>
      <c r="R143" s="497"/>
      <c r="S143" s="497"/>
      <c r="T143" s="497"/>
      <c r="U143" s="497"/>
      <c r="V143" s="497"/>
      <c r="W143" s="497"/>
      <c r="X143" s="497"/>
      <c r="Y143" s="497"/>
      <c r="Z143" s="497"/>
    </row>
    <row r="144" spans="1:26">
      <c r="A144" s="497"/>
      <c r="B144" s="497"/>
      <c r="C144" s="497"/>
      <c r="D144" s="497"/>
      <c r="E144" s="497"/>
      <c r="F144" s="497"/>
      <c r="G144" s="497"/>
      <c r="H144" s="497"/>
      <c r="I144" s="497"/>
      <c r="J144" s="497"/>
      <c r="K144" s="497"/>
      <c r="L144" s="497"/>
      <c r="M144" s="497"/>
      <c r="N144" s="497"/>
      <c r="O144" s="497"/>
      <c r="P144" s="497"/>
      <c r="Q144" s="497"/>
      <c r="R144" s="497"/>
      <c r="S144" s="497"/>
      <c r="T144" s="497"/>
      <c r="U144" s="497"/>
      <c r="V144" s="497"/>
      <c r="W144" s="497"/>
      <c r="X144" s="497"/>
      <c r="Y144" s="497"/>
      <c r="Z144" s="497"/>
    </row>
    <row r="145" spans="1:26">
      <c r="A145" s="497"/>
      <c r="B145" s="497"/>
      <c r="C145" s="497"/>
      <c r="D145" s="497"/>
      <c r="E145" s="497"/>
      <c r="F145" s="497"/>
      <c r="G145" s="497"/>
      <c r="H145" s="497"/>
      <c r="I145" s="497"/>
      <c r="J145" s="497"/>
      <c r="K145" s="497"/>
      <c r="L145" s="497"/>
      <c r="M145" s="497"/>
      <c r="N145" s="497"/>
      <c r="O145" s="497"/>
      <c r="P145" s="497"/>
      <c r="Q145" s="497"/>
      <c r="R145" s="497"/>
      <c r="S145" s="497"/>
      <c r="T145" s="497"/>
      <c r="U145" s="497"/>
      <c r="V145" s="497"/>
      <c r="W145" s="497"/>
      <c r="X145" s="497"/>
      <c r="Y145" s="497"/>
      <c r="Z145" s="497"/>
    </row>
    <row r="146" spans="1:26">
      <c r="A146" s="497"/>
      <c r="B146" s="497"/>
      <c r="C146" s="497"/>
      <c r="D146" s="497"/>
      <c r="E146" s="497"/>
      <c r="F146" s="497"/>
      <c r="G146" s="497"/>
      <c r="H146" s="497"/>
      <c r="I146" s="497"/>
      <c r="J146" s="497"/>
      <c r="K146" s="497"/>
      <c r="L146" s="497"/>
      <c r="M146" s="497"/>
      <c r="N146" s="497"/>
      <c r="O146" s="497"/>
      <c r="P146" s="497"/>
      <c r="Q146" s="497"/>
      <c r="R146" s="497"/>
      <c r="S146" s="497"/>
      <c r="T146" s="497"/>
      <c r="U146" s="497"/>
      <c r="V146" s="497"/>
      <c r="W146" s="497"/>
      <c r="X146" s="497"/>
      <c r="Y146" s="497"/>
      <c r="Z146" s="497"/>
    </row>
    <row r="147" spans="1:26">
      <c r="A147" s="497"/>
      <c r="B147" s="497"/>
      <c r="C147" s="497"/>
      <c r="D147" s="497"/>
      <c r="E147" s="497"/>
      <c r="F147" s="497"/>
      <c r="G147" s="497"/>
      <c r="H147" s="497"/>
      <c r="I147" s="497"/>
      <c r="J147" s="497"/>
      <c r="K147" s="497"/>
      <c r="L147" s="497"/>
      <c r="M147" s="497"/>
      <c r="N147" s="497"/>
      <c r="O147" s="497"/>
      <c r="P147" s="497"/>
      <c r="Q147" s="497"/>
      <c r="R147" s="497"/>
      <c r="S147" s="497"/>
      <c r="T147" s="497"/>
      <c r="U147" s="497"/>
      <c r="V147" s="497"/>
      <c r="W147" s="497"/>
      <c r="X147" s="497"/>
      <c r="Y147" s="497"/>
      <c r="Z147" s="497"/>
    </row>
    <row r="148" spans="1:26">
      <c r="A148" s="497"/>
      <c r="B148" s="497"/>
      <c r="C148" s="497"/>
      <c r="D148" s="497"/>
      <c r="E148" s="497"/>
      <c r="F148" s="497"/>
      <c r="G148" s="497"/>
      <c r="H148" s="497"/>
      <c r="I148" s="497"/>
      <c r="J148" s="497"/>
      <c r="K148" s="497"/>
      <c r="L148" s="497"/>
      <c r="M148" s="497"/>
      <c r="N148" s="497"/>
      <c r="O148" s="497"/>
      <c r="P148" s="497"/>
      <c r="Q148" s="497"/>
      <c r="R148" s="497"/>
      <c r="S148" s="497"/>
      <c r="T148" s="497"/>
      <c r="U148" s="497"/>
      <c r="V148" s="497"/>
      <c r="W148" s="497"/>
      <c r="X148" s="497"/>
      <c r="Y148" s="497"/>
      <c r="Z148" s="497"/>
    </row>
    <row r="149" spans="1:26">
      <c r="A149" s="497"/>
      <c r="B149" s="497"/>
      <c r="C149" s="497"/>
      <c r="D149" s="497"/>
      <c r="E149" s="497"/>
      <c r="F149" s="497"/>
      <c r="G149" s="497"/>
      <c r="H149" s="497"/>
      <c r="I149" s="497"/>
      <c r="J149" s="497"/>
      <c r="K149" s="497"/>
      <c r="L149" s="497"/>
      <c r="M149" s="497"/>
      <c r="N149" s="497"/>
      <c r="O149" s="497"/>
      <c r="P149" s="497"/>
      <c r="Q149" s="497"/>
      <c r="R149" s="497"/>
      <c r="S149" s="497"/>
      <c r="T149" s="497"/>
      <c r="U149" s="497"/>
      <c r="V149" s="497"/>
      <c r="W149" s="497"/>
      <c r="X149" s="497"/>
      <c r="Y149" s="497"/>
      <c r="Z149" s="497"/>
    </row>
    <row r="150" spans="1:26">
      <c r="A150" s="497"/>
      <c r="B150" s="497"/>
      <c r="C150" s="497"/>
      <c r="D150" s="497"/>
      <c r="E150" s="497"/>
      <c r="F150" s="497"/>
      <c r="G150" s="497"/>
      <c r="H150" s="497"/>
      <c r="I150" s="497"/>
      <c r="J150" s="497"/>
      <c r="K150" s="497"/>
      <c r="L150" s="497"/>
      <c r="M150" s="497"/>
      <c r="N150" s="497"/>
      <c r="O150" s="497"/>
      <c r="P150" s="497"/>
      <c r="Q150" s="497"/>
      <c r="R150" s="497"/>
      <c r="S150" s="497"/>
      <c r="T150" s="497"/>
      <c r="U150" s="497"/>
      <c r="V150" s="497"/>
      <c r="W150" s="497"/>
      <c r="X150" s="497"/>
      <c r="Y150" s="497"/>
      <c r="Z150" s="497"/>
    </row>
    <row r="151" spans="1:26">
      <c r="A151" s="497"/>
      <c r="B151" s="497"/>
      <c r="C151" s="497"/>
      <c r="D151" s="497"/>
      <c r="E151" s="497"/>
      <c r="F151" s="497"/>
      <c r="G151" s="497"/>
      <c r="H151" s="497"/>
      <c r="I151" s="497"/>
      <c r="J151" s="497"/>
      <c r="K151" s="497"/>
      <c r="L151" s="497"/>
      <c r="M151" s="497"/>
      <c r="N151" s="497"/>
      <c r="O151" s="497"/>
      <c r="P151" s="497"/>
      <c r="Q151" s="497"/>
      <c r="R151" s="497"/>
      <c r="S151" s="497"/>
      <c r="T151" s="497"/>
      <c r="U151" s="497"/>
      <c r="V151" s="497"/>
      <c r="W151" s="497"/>
      <c r="X151" s="497"/>
      <c r="Y151" s="497"/>
      <c r="Z151" s="497"/>
    </row>
    <row r="152" spans="1:26">
      <c r="A152" s="497"/>
      <c r="B152" s="497"/>
      <c r="C152" s="497"/>
      <c r="D152" s="497"/>
      <c r="E152" s="497"/>
      <c r="F152" s="497"/>
      <c r="G152" s="497"/>
      <c r="H152" s="497"/>
      <c r="I152" s="497"/>
      <c r="J152" s="497"/>
      <c r="K152" s="497"/>
      <c r="L152" s="497"/>
      <c r="M152" s="497"/>
      <c r="N152" s="497"/>
      <c r="O152" s="497"/>
      <c r="P152" s="497"/>
      <c r="Q152" s="497"/>
      <c r="R152" s="497"/>
      <c r="S152" s="497"/>
      <c r="T152" s="497"/>
      <c r="U152" s="497"/>
      <c r="V152" s="497"/>
      <c r="W152" s="497"/>
      <c r="X152" s="497"/>
      <c r="Y152" s="497"/>
      <c r="Z152" s="497"/>
    </row>
    <row r="153" spans="1:26">
      <c r="A153" s="497"/>
      <c r="B153" s="497"/>
      <c r="C153" s="497"/>
      <c r="D153" s="497"/>
      <c r="E153" s="497"/>
      <c r="F153" s="497"/>
      <c r="G153" s="497"/>
      <c r="H153" s="497"/>
      <c r="I153" s="497"/>
      <c r="J153" s="497"/>
      <c r="K153" s="497"/>
      <c r="L153" s="497"/>
      <c r="M153" s="497"/>
      <c r="N153" s="497"/>
      <c r="O153" s="497"/>
      <c r="P153" s="497"/>
      <c r="Q153" s="497"/>
      <c r="R153" s="497"/>
      <c r="S153" s="497"/>
      <c r="T153" s="497"/>
      <c r="U153" s="497"/>
      <c r="V153" s="497"/>
      <c r="W153" s="497"/>
      <c r="X153" s="497"/>
      <c r="Y153" s="497"/>
      <c r="Z153" s="497"/>
    </row>
    <row r="154" spans="1:26">
      <c r="A154" s="497"/>
      <c r="B154" s="497"/>
      <c r="C154" s="497"/>
      <c r="D154" s="497"/>
      <c r="E154" s="497"/>
      <c r="F154" s="497"/>
      <c r="G154" s="497"/>
      <c r="H154" s="497"/>
      <c r="I154" s="497"/>
      <c r="J154" s="497"/>
      <c r="K154" s="497"/>
      <c r="L154" s="497"/>
      <c r="M154" s="497"/>
      <c r="N154" s="497"/>
      <c r="O154" s="497"/>
      <c r="P154" s="497"/>
      <c r="Q154" s="497"/>
      <c r="R154" s="497"/>
      <c r="S154" s="497"/>
      <c r="T154" s="497"/>
      <c r="U154" s="497"/>
      <c r="V154" s="497"/>
      <c r="W154" s="497"/>
      <c r="X154" s="497"/>
      <c r="Y154" s="497"/>
      <c r="Z154" s="497"/>
    </row>
    <row r="155" spans="1:26">
      <c r="A155" s="497"/>
      <c r="B155" s="497"/>
      <c r="C155" s="497"/>
      <c r="D155" s="497"/>
      <c r="E155" s="497"/>
      <c r="F155" s="497"/>
      <c r="G155" s="497"/>
      <c r="H155" s="497"/>
      <c r="I155" s="497"/>
      <c r="J155" s="497"/>
      <c r="K155" s="497"/>
      <c r="L155" s="497"/>
      <c r="M155" s="497"/>
      <c r="N155" s="497"/>
      <c r="O155" s="497"/>
      <c r="P155" s="497"/>
      <c r="Q155" s="497"/>
      <c r="R155" s="497"/>
      <c r="S155" s="497"/>
      <c r="T155" s="497"/>
      <c r="U155" s="497"/>
      <c r="V155" s="497"/>
      <c r="W155" s="497"/>
      <c r="X155" s="497"/>
      <c r="Y155" s="497"/>
      <c r="Z155" s="497"/>
    </row>
    <row r="156" spans="1:26">
      <c r="A156" s="497"/>
      <c r="B156" s="497"/>
      <c r="C156" s="497"/>
      <c r="D156" s="497"/>
      <c r="E156" s="497"/>
      <c r="F156" s="497"/>
      <c r="G156" s="497"/>
      <c r="H156" s="497"/>
      <c r="I156" s="497"/>
      <c r="J156" s="497"/>
      <c r="K156" s="497"/>
      <c r="L156" s="497"/>
      <c r="M156" s="497"/>
      <c r="N156" s="497"/>
      <c r="O156" s="497"/>
      <c r="P156" s="497"/>
      <c r="Q156" s="497"/>
      <c r="R156" s="497"/>
      <c r="S156" s="497"/>
      <c r="T156" s="497"/>
      <c r="U156" s="497"/>
      <c r="V156" s="497"/>
      <c r="W156" s="497"/>
      <c r="X156" s="497"/>
      <c r="Y156" s="497"/>
      <c r="Z156" s="497"/>
    </row>
    <row r="157" spans="1:26">
      <c r="A157" s="497"/>
      <c r="B157" s="497"/>
      <c r="C157" s="497"/>
      <c r="D157" s="497"/>
      <c r="E157" s="497"/>
      <c r="F157" s="497"/>
      <c r="G157" s="497"/>
      <c r="H157" s="497"/>
      <c r="I157" s="497"/>
      <c r="J157" s="497"/>
      <c r="K157" s="497"/>
      <c r="L157" s="497"/>
      <c r="M157" s="497"/>
      <c r="N157" s="497"/>
      <c r="O157" s="497"/>
      <c r="P157" s="497"/>
      <c r="Q157" s="497"/>
      <c r="R157" s="497"/>
      <c r="S157" s="497"/>
      <c r="T157" s="497"/>
      <c r="U157" s="497"/>
      <c r="V157" s="497"/>
      <c r="W157" s="497"/>
      <c r="X157" s="497"/>
      <c r="Y157" s="497"/>
      <c r="Z157" s="497"/>
    </row>
    <row r="158" spans="1:26">
      <c r="A158" s="497"/>
      <c r="B158" s="497"/>
      <c r="C158" s="497"/>
      <c r="D158" s="497"/>
      <c r="E158" s="497"/>
      <c r="F158" s="497"/>
      <c r="G158" s="497"/>
      <c r="H158" s="497"/>
      <c r="I158" s="497"/>
      <c r="J158" s="497"/>
      <c r="K158" s="497"/>
      <c r="L158" s="497"/>
      <c r="M158" s="497"/>
      <c r="N158" s="497"/>
      <c r="O158" s="497"/>
      <c r="P158" s="497"/>
      <c r="Q158" s="497"/>
      <c r="R158" s="497"/>
      <c r="S158" s="497"/>
      <c r="T158" s="497"/>
      <c r="U158" s="497"/>
      <c r="V158" s="497"/>
      <c r="W158" s="497"/>
      <c r="X158" s="497"/>
      <c r="Y158" s="497"/>
      <c r="Z158" s="497"/>
    </row>
    <row r="159" spans="1:26">
      <c r="A159" s="497"/>
      <c r="B159" s="497"/>
      <c r="C159" s="497"/>
      <c r="D159" s="497"/>
      <c r="E159" s="497"/>
      <c r="F159" s="497"/>
      <c r="G159" s="497"/>
      <c r="H159" s="497"/>
      <c r="I159" s="497"/>
      <c r="J159" s="497"/>
      <c r="K159" s="497"/>
      <c r="L159" s="497"/>
      <c r="M159" s="497"/>
      <c r="N159" s="497"/>
      <c r="O159" s="497"/>
      <c r="P159" s="497"/>
      <c r="Q159" s="497"/>
      <c r="R159" s="497"/>
      <c r="S159" s="497"/>
      <c r="T159" s="497"/>
      <c r="U159" s="497"/>
      <c r="V159" s="497"/>
      <c r="W159" s="497"/>
      <c r="X159" s="497"/>
      <c r="Y159" s="497"/>
      <c r="Z159" s="497"/>
    </row>
    <row r="160" spans="1:26">
      <c r="A160" s="497"/>
      <c r="B160" s="497"/>
      <c r="C160" s="497"/>
      <c r="D160" s="497"/>
      <c r="E160" s="497"/>
      <c r="F160" s="497"/>
      <c r="G160" s="497"/>
      <c r="H160" s="497"/>
      <c r="I160" s="497"/>
      <c r="J160" s="497"/>
      <c r="K160" s="497"/>
      <c r="L160" s="497"/>
      <c r="M160" s="497"/>
      <c r="N160" s="497"/>
      <c r="O160" s="497"/>
      <c r="P160" s="497"/>
      <c r="Q160" s="497"/>
      <c r="R160" s="497"/>
      <c r="S160" s="497"/>
      <c r="T160" s="497"/>
      <c r="U160" s="497"/>
      <c r="V160" s="497"/>
      <c r="W160" s="497"/>
      <c r="X160" s="497"/>
      <c r="Y160" s="497"/>
      <c r="Z160" s="497"/>
    </row>
    <row r="161" spans="1:26">
      <c r="A161" s="497"/>
      <c r="B161" s="497"/>
      <c r="C161" s="497"/>
      <c r="D161" s="497"/>
      <c r="E161" s="497"/>
      <c r="F161" s="497"/>
      <c r="G161" s="497"/>
      <c r="H161" s="497"/>
      <c r="I161" s="497"/>
      <c r="J161" s="497"/>
      <c r="K161" s="497"/>
      <c r="L161" s="497"/>
      <c r="M161" s="497"/>
      <c r="N161" s="497"/>
      <c r="O161" s="497"/>
      <c r="P161" s="497"/>
      <c r="Q161" s="497"/>
      <c r="R161" s="497"/>
      <c r="S161" s="497"/>
      <c r="T161" s="497"/>
      <c r="U161" s="497"/>
      <c r="V161" s="497"/>
      <c r="W161" s="497"/>
      <c r="X161" s="497"/>
      <c r="Y161" s="497"/>
      <c r="Z161" s="497"/>
    </row>
    <row r="162" spans="1:26">
      <c r="A162" s="497"/>
      <c r="B162" s="497"/>
      <c r="C162" s="497"/>
      <c r="D162" s="497"/>
      <c r="E162" s="497"/>
      <c r="F162" s="497"/>
      <c r="G162" s="497"/>
      <c r="H162" s="497"/>
      <c r="I162" s="497"/>
      <c r="J162" s="497"/>
      <c r="K162" s="497"/>
      <c r="L162" s="497"/>
      <c r="M162" s="497"/>
      <c r="N162" s="497"/>
      <c r="O162" s="497"/>
      <c r="P162" s="497"/>
      <c r="Q162" s="497"/>
      <c r="R162" s="497"/>
      <c r="S162" s="497"/>
      <c r="T162" s="497"/>
      <c r="U162" s="497"/>
      <c r="V162" s="497"/>
      <c r="W162" s="497"/>
      <c r="X162" s="497"/>
      <c r="Y162" s="497"/>
      <c r="Z162" s="497"/>
    </row>
    <row r="163" spans="1:26">
      <c r="A163" s="497"/>
      <c r="B163" s="497"/>
      <c r="C163" s="497"/>
      <c r="D163" s="497"/>
      <c r="E163" s="497"/>
      <c r="F163" s="497"/>
      <c r="G163" s="497"/>
      <c r="H163" s="497"/>
      <c r="I163" s="497"/>
      <c r="J163" s="497"/>
      <c r="K163" s="497"/>
      <c r="L163" s="497"/>
      <c r="M163" s="497"/>
      <c r="N163" s="497"/>
      <c r="O163" s="497"/>
      <c r="P163" s="497"/>
      <c r="Q163" s="497"/>
      <c r="R163" s="497"/>
      <c r="S163" s="497"/>
      <c r="T163" s="497"/>
      <c r="U163" s="497"/>
      <c r="V163" s="497"/>
      <c r="W163" s="497"/>
      <c r="X163" s="497"/>
      <c r="Y163" s="497"/>
      <c r="Z163" s="497"/>
    </row>
    <row r="164" spans="1:26">
      <c r="A164" s="497"/>
      <c r="B164" s="497"/>
      <c r="C164" s="497"/>
      <c r="D164" s="497"/>
      <c r="E164" s="497"/>
      <c r="F164" s="497"/>
      <c r="G164" s="497"/>
      <c r="H164" s="497"/>
      <c r="I164" s="497"/>
      <c r="J164" s="497"/>
      <c r="K164" s="497"/>
      <c r="L164" s="497"/>
      <c r="M164" s="497"/>
      <c r="N164" s="497"/>
      <c r="O164" s="497"/>
      <c r="P164" s="497"/>
      <c r="Q164" s="497"/>
      <c r="R164" s="497"/>
      <c r="S164" s="497"/>
      <c r="T164" s="497"/>
      <c r="U164" s="497"/>
      <c r="V164" s="497"/>
      <c r="W164" s="497"/>
      <c r="X164" s="497"/>
      <c r="Y164" s="497"/>
      <c r="Z164" s="497"/>
    </row>
    <row r="165" spans="1:26">
      <c r="A165" s="497"/>
      <c r="B165" s="497"/>
      <c r="C165" s="497"/>
      <c r="D165" s="497"/>
      <c r="E165" s="497"/>
      <c r="F165" s="497"/>
      <c r="G165" s="497"/>
      <c r="H165" s="497"/>
      <c r="I165" s="497"/>
      <c r="J165" s="497"/>
      <c r="K165" s="497"/>
      <c r="L165" s="497"/>
      <c r="M165" s="497"/>
      <c r="N165" s="497"/>
      <c r="O165" s="497"/>
      <c r="P165" s="497"/>
      <c r="Q165" s="497"/>
      <c r="R165" s="497"/>
      <c r="S165" s="497"/>
      <c r="T165" s="497"/>
      <c r="U165" s="497"/>
      <c r="V165" s="497"/>
      <c r="W165" s="497"/>
      <c r="X165" s="497"/>
      <c r="Y165" s="497"/>
      <c r="Z165" s="497"/>
    </row>
    <row r="166" spans="1:26">
      <c r="A166" s="497"/>
      <c r="B166" s="497"/>
      <c r="C166" s="497"/>
      <c r="D166" s="497"/>
      <c r="E166" s="497"/>
      <c r="F166" s="497"/>
      <c r="G166" s="497"/>
      <c r="H166" s="497"/>
      <c r="I166" s="497"/>
      <c r="J166" s="497"/>
      <c r="K166" s="497"/>
      <c r="L166" s="497"/>
      <c r="M166" s="497"/>
      <c r="N166" s="497"/>
      <c r="O166" s="497"/>
      <c r="P166" s="497"/>
      <c r="Q166" s="497"/>
      <c r="R166" s="497"/>
      <c r="S166" s="497"/>
      <c r="T166" s="497"/>
      <c r="U166" s="497"/>
      <c r="V166" s="497"/>
      <c r="W166" s="497"/>
      <c r="X166" s="497"/>
      <c r="Y166" s="497"/>
      <c r="Z166" s="497"/>
    </row>
    <row r="167" spans="1:26">
      <c r="A167" s="497"/>
      <c r="B167" s="497"/>
      <c r="C167" s="497"/>
      <c r="D167" s="497"/>
      <c r="E167" s="497"/>
      <c r="F167" s="497"/>
      <c r="G167" s="497"/>
      <c r="H167" s="497"/>
      <c r="I167" s="497"/>
      <c r="J167" s="497"/>
      <c r="K167" s="497"/>
      <c r="L167" s="497"/>
      <c r="M167" s="497"/>
      <c r="N167" s="497"/>
      <c r="O167" s="497"/>
      <c r="P167" s="497"/>
      <c r="Q167" s="497"/>
      <c r="R167" s="497"/>
      <c r="S167" s="497"/>
      <c r="T167" s="497"/>
      <c r="U167" s="497"/>
      <c r="V167" s="497"/>
      <c r="W167" s="497"/>
      <c r="X167" s="497"/>
      <c r="Y167" s="497"/>
      <c r="Z167" s="497"/>
    </row>
    <row r="168" spans="1:26">
      <c r="A168" s="497"/>
      <c r="B168" s="497"/>
      <c r="C168" s="497"/>
      <c r="D168" s="497"/>
      <c r="E168" s="497"/>
      <c r="F168" s="497"/>
      <c r="G168" s="497"/>
      <c r="H168" s="497"/>
      <c r="I168" s="497"/>
      <c r="J168" s="497"/>
      <c r="K168" s="497"/>
      <c r="L168" s="497"/>
      <c r="M168" s="497"/>
      <c r="N168" s="497"/>
      <c r="O168" s="497"/>
      <c r="P168" s="497"/>
      <c r="Q168" s="497"/>
      <c r="R168" s="497"/>
      <c r="S168" s="497"/>
      <c r="T168" s="497"/>
      <c r="U168" s="497"/>
      <c r="V168" s="497"/>
      <c r="W168" s="497"/>
      <c r="X168" s="497"/>
      <c r="Y168" s="497"/>
      <c r="Z168" s="497"/>
    </row>
    <row r="169" spans="1:26">
      <c r="A169" s="497"/>
      <c r="B169" s="497"/>
      <c r="C169" s="497"/>
      <c r="D169" s="497"/>
      <c r="E169" s="497"/>
      <c r="F169" s="497"/>
      <c r="G169" s="497"/>
      <c r="H169" s="497"/>
      <c r="I169" s="497"/>
      <c r="J169" s="497"/>
      <c r="K169" s="497"/>
      <c r="L169" s="497"/>
      <c r="M169" s="497"/>
      <c r="N169" s="497"/>
      <c r="O169" s="497"/>
      <c r="P169" s="497"/>
      <c r="Q169" s="497"/>
      <c r="R169" s="497"/>
      <c r="S169" s="497"/>
      <c r="T169" s="497"/>
      <c r="U169" s="497"/>
      <c r="V169" s="497"/>
      <c r="W169" s="497"/>
      <c r="X169" s="497"/>
      <c r="Y169" s="497"/>
      <c r="Z169" s="497"/>
    </row>
    <row r="170" spans="1:26">
      <c r="A170" s="497"/>
      <c r="B170" s="497"/>
      <c r="C170" s="497"/>
      <c r="D170" s="497"/>
      <c r="E170" s="497"/>
      <c r="F170" s="497"/>
      <c r="G170" s="497"/>
      <c r="H170" s="497"/>
      <c r="I170" s="497"/>
      <c r="J170" s="497"/>
      <c r="K170" s="497"/>
      <c r="L170" s="497"/>
      <c r="M170" s="497"/>
      <c r="N170" s="497"/>
      <c r="O170" s="497"/>
      <c r="P170" s="497"/>
      <c r="Q170" s="497"/>
      <c r="R170" s="497"/>
      <c r="S170" s="497"/>
      <c r="T170" s="497"/>
      <c r="U170" s="497"/>
      <c r="V170" s="497"/>
      <c r="W170" s="497"/>
      <c r="X170" s="497"/>
      <c r="Y170" s="497"/>
      <c r="Z170" s="497"/>
    </row>
    <row r="171" spans="1:26">
      <c r="A171" s="497"/>
      <c r="B171" s="497"/>
      <c r="C171" s="497"/>
      <c r="D171" s="497"/>
      <c r="E171" s="497"/>
      <c r="F171" s="497"/>
      <c r="G171" s="497"/>
      <c r="H171" s="497"/>
      <c r="I171" s="497"/>
      <c r="J171" s="497"/>
      <c r="K171" s="497"/>
      <c r="L171" s="497"/>
      <c r="M171" s="497"/>
      <c r="N171" s="497"/>
      <c r="O171" s="497"/>
      <c r="P171" s="497"/>
      <c r="Q171" s="497"/>
      <c r="R171" s="497"/>
      <c r="S171" s="497"/>
      <c r="T171" s="497"/>
      <c r="U171" s="497"/>
      <c r="V171" s="497"/>
      <c r="W171" s="497"/>
      <c r="X171" s="497"/>
      <c r="Y171" s="497"/>
      <c r="Z171" s="497"/>
    </row>
    <row r="172" spans="1:26">
      <c r="A172" s="497"/>
      <c r="B172" s="497"/>
      <c r="C172" s="497"/>
      <c r="D172" s="497"/>
      <c r="E172" s="497"/>
      <c r="F172" s="497"/>
      <c r="G172" s="497"/>
      <c r="H172" s="497"/>
      <c r="I172" s="497"/>
      <c r="J172" s="497"/>
      <c r="K172" s="497"/>
      <c r="L172" s="497"/>
      <c r="M172" s="497"/>
      <c r="N172" s="497"/>
      <c r="O172" s="497"/>
      <c r="P172" s="497"/>
      <c r="Q172" s="497"/>
      <c r="R172" s="497"/>
      <c r="S172" s="497"/>
      <c r="T172" s="497"/>
      <c r="U172" s="497"/>
      <c r="V172" s="497"/>
      <c r="W172" s="497"/>
      <c r="X172" s="497"/>
      <c r="Y172" s="497"/>
      <c r="Z172" s="497"/>
    </row>
    <row r="173" spans="1:26">
      <c r="A173" s="497"/>
      <c r="B173" s="497"/>
      <c r="C173" s="497"/>
      <c r="D173" s="497"/>
      <c r="E173" s="497"/>
      <c r="F173" s="497"/>
      <c r="G173" s="497"/>
      <c r="H173" s="497"/>
      <c r="I173" s="497"/>
      <c r="J173" s="497"/>
      <c r="K173" s="497"/>
      <c r="L173" s="497"/>
      <c r="M173" s="497"/>
      <c r="N173" s="497"/>
      <c r="O173" s="497"/>
      <c r="P173" s="497"/>
      <c r="Q173" s="497"/>
      <c r="R173" s="497"/>
      <c r="S173" s="497"/>
      <c r="T173" s="497"/>
      <c r="U173" s="497"/>
      <c r="V173" s="497"/>
      <c r="W173" s="497"/>
      <c r="X173" s="497"/>
      <c r="Y173" s="497"/>
      <c r="Z173" s="497"/>
    </row>
    <row r="174" spans="1:26">
      <c r="A174" s="497"/>
      <c r="B174" s="497"/>
      <c r="C174" s="497"/>
      <c r="D174" s="497"/>
      <c r="E174" s="497"/>
      <c r="F174" s="497"/>
      <c r="G174" s="497"/>
      <c r="H174" s="497"/>
      <c r="I174" s="497"/>
      <c r="J174" s="497"/>
      <c r="K174" s="497"/>
      <c r="L174" s="497"/>
      <c r="M174" s="497"/>
      <c r="N174" s="497"/>
      <c r="O174" s="497"/>
      <c r="P174" s="497"/>
      <c r="Q174" s="497"/>
      <c r="R174" s="497"/>
      <c r="S174" s="497"/>
      <c r="T174" s="497"/>
      <c r="U174" s="497"/>
      <c r="V174" s="497"/>
      <c r="W174" s="497"/>
      <c r="X174" s="497"/>
      <c r="Y174" s="497"/>
      <c r="Z174" s="497"/>
    </row>
    <row r="175" spans="1:26">
      <c r="A175" s="497"/>
      <c r="B175" s="497"/>
      <c r="C175" s="497"/>
      <c r="D175" s="497"/>
      <c r="E175" s="497"/>
      <c r="F175" s="497"/>
      <c r="G175" s="497"/>
      <c r="H175" s="497"/>
      <c r="I175" s="497"/>
      <c r="J175" s="497"/>
      <c r="K175" s="497"/>
      <c r="L175" s="497"/>
      <c r="M175" s="497"/>
      <c r="N175" s="497"/>
      <c r="O175" s="497"/>
      <c r="P175" s="497"/>
      <c r="Q175" s="497"/>
      <c r="R175" s="497"/>
      <c r="S175" s="497"/>
      <c r="T175" s="497"/>
      <c r="U175" s="497"/>
      <c r="V175" s="497"/>
      <c r="W175" s="497"/>
      <c r="X175" s="497"/>
      <c r="Y175" s="497"/>
      <c r="Z175" s="497"/>
    </row>
    <row r="176" spans="1:26">
      <c r="A176" s="497"/>
      <c r="B176" s="497"/>
      <c r="C176" s="497"/>
      <c r="D176" s="497"/>
      <c r="E176" s="497"/>
      <c r="F176" s="497"/>
      <c r="G176" s="497"/>
      <c r="H176" s="497"/>
      <c r="I176" s="497"/>
      <c r="J176" s="497"/>
      <c r="K176" s="497"/>
      <c r="L176" s="497"/>
      <c r="M176" s="497"/>
      <c r="N176" s="497"/>
      <c r="O176" s="497"/>
      <c r="P176" s="497"/>
      <c r="Q176" s="497"/>
      <c r="R176" s="497"/>
      <c r="S176" s="497"/>
      <c r="T176" s="497"/>
      <c r="U176" s="497"/>
      <c r="V176" s="497"/>
      <c r="W176" s="497"/>
      <c r="X176" s="497"/>
      <c r="Y176" s="497"/>
      <c r="Z176" s="497"/>
    </row>
    <row r="177" spans="1:26">
      <c r="A177" s="497"/>
      <c r="B177" s="497"/>
      <c r="C177" s="497"/>
      <c r="D177" s="497"/>
      <c r="E177" s="497"/>
      <c r="F177" s="497"/>
      <c r="G177" s="497"/>
      <c r="H177" s="497"/>
      <c r="I177" s="497"/>
      <c r="J177" s="497"/>
      <c r="K177" s="497"/>
      <c r="L177" s="497"/>
      <c r="M177" s="497"/>
      <c r="N177" s="497"/>
      <c r="O177" s="497"/>
      <c r="P177" s="497"/>
      <c r="Q177" s="497"/>
      <c r="R177" s="497"/>
      <c r="S177" s="497"/>
      <c r="T177" s="497"/>
      <c r="U177" s="497"/>
      <c r="V177" s="497"/>
      <c r="W177" s="497"/>
      <c r="X177" s="497"/>
      <c r="Y177" s="497"/>
      <c r="Z177" s="497"/>
    </row>
    <row r="178" spans="1:26">
      <c r="A178" s="497"/>
      <c r="B178" s="497"/>
      <c r="C178" s="497"/>
      <c r="D178" s="497"/>
      <c r="E178" s="497"/>
      <c r="F178" s="497"/>
      <c r="G178" s="497"/>
      <c r="H178" s="497"/>
      <c r="I178" s="497"/>
      <c r="J178" s="497"/>
      <c r="K178" s="497"/>
      <c r="L178" s="497"/>
      <c r="M178" s="497"/>
      <c r="N178" s="497"/>
      <c r="O178" s="497"/>
      <c r="P178" s="497"/>
      <c r="Q178" s="497"/>
      <c r="R178" s="497"/>
      <c r="S178" s="497"/>
      <c r="T178" s="497"/>
      <c r="U178" s="497"/>
      <c r="V178" s="497"/>
      <c r="W178" s="497"/>
      <c r="X178" s="497"/>
      <c r="Y178" s="497"/>
      <c r="Z178" s="497"/>
    </row>
    <row r="179" spans="1:26">
      <c r="A179" s="497"/>
      <c r="B179" s="497"/>
      <c r="C179" s="497"/>
      <c r="D179" s="497"/>
      <c r="E179" s="497"/>
      <c r="F179" s="497"/>
      <c r="G179" s="497"/>
      <c r="H179" s="497"/>
      <c r="I179" s="497"/>
      <c r="J179" s="497"/>
      <c r="K179" s="497"/>
      <c r="L179" s="497"/>
      <c r="M179" s="497"/>
      <c r="N179" s="497"/>
      <c r="O179" s="497"/>
      <c r="P179" s="497"/>
      <c r="Q179" s="497"/>
      <c r="R179" s="497"/>
      <c r="S179" s="497"/>
      <c r="T179" s="497"/>
      <c r="U179" s="497"/>
      <c r="V179" s="497"/>
      <c r="W179" s="497"/>
      <c r="X179" s="497"/>
      <c r="Y179" s="497"/>
      <c r="Z179" s="497"/>
    </row>
    <row r="180" spans="1:26">
      <c r="A180" s="497"/>
      <c r="B180" s="497"/>
      <c r="C180" s="497"/>
      <c r="D180" s="497"/>
      <c r="E180" s="497"/>
      <c r="F180" s="497"/>
      <c r="G180" s="497"/>
      <c r="H180" s="497"/>
      <c r="I180" s="497"/>
      <c r="J180" s="497"/>
      <c r="K180" s="497"/>
      <c r="L180" s="497"/>
      <c r="M180" s="497"/>
      <c r="N180" s="497"/>
      <c r="O180" s="497"/>
      <c r="P180" s="497"/>
      <c r="Q180" s="497"/>
      <c r="R180" s="497"/>
      <c r="S180" s="497"/>
      <c r="T180" s="497"/>
      <c r="U180" s="497"/>
      <c r="V180" s="497"/>
      <c r="W180" s="497"/>
      <c r="X180" s="497"/>
      <c r="Y180" s="497"/>
      <c r="Z180" s="497"/>
    </row>
    <row r="181" spans="1:26">
      <c r="A181" s="497"/>
      <c r="B181" s="497"/>
      <c r="C181" s="497"/>
      <c r="D181" s="497"/>
      <c r="E181" s="497"/>
      <c r="F181" s="497"/>
      <c r="G181" s="497"/>
      <c r="H181" s="497"/>
      <c r="I181" s="497"/>
      <c r="J181" s="497"/>
      <c r="K181" s="497"/>
      <c r="L181" s="497"/>
      <c r="M181" s="497"/>
      <c r="N181" s="497"/>
      <c r="O181" s="497"/>
      <c r="P181" s="497"/>
      <c r="Q181" s="497"/>
      <c r="R181" s="497"/>
      <c r="S181" s="497"/>
      <c r="T181" s="497"/>
      <c r="U181" s="497"/>
      <c r="V181" s="497"/>
      <c r="W181" s="497"/>
      <c r="X181" s="497"/>
      <c r="Y181" s="497"/>
      <c r="Z181" s="497"/>
    </row>
    <row r="182" spans="1:26">
      <c r="A182" s="497"/>
      <c r="B182" s="497"/>
      <c r="C182" s="497"/>
      <c r="D182" s="497"/>
      <c r="E182" s="497"/>
      <c r="F182" s="497"/>
      <c r="G182" s="497"/>
      <c r="H182" s="497"/>
      <c r="I182" s="497"/>
      <c r="J182" s="497"/>
      <c r="K182" s="497"/>
      <c r="L182" s="497"/>
      <c r="M182" s="497"/>
      <c r="N182" s="497"/>
      <c r="O182" s="497"/>
      <c r="P182" s="497"/>
      <c r="Q182" s="497"/>
      <c r="R182" s="497"/>
      <c r="S182" s="497"/>
      <c r="T182" s="497"/>
      <c r="U182" s="497"/>
      <c r="V182" s="497"/>
      <c r="W182" s="497"/>
      <c r="X182" s="497"/>
      <c r="Y182" s="497"/>
      <c r="Z182" s="497"/>
    </row>
    <row r="183" spans="1:26">
      <c r="A183" s="497"/>
      <c r="B183" s="497"/>
      <c r="C183" s="497"/>
      <c r="D183" s="497"/>
      <c r="E183" s="497"/>
      <c r="F183" s="497"/>
      <c r="G183" s="497"/>
      <c r="H183" s="497"/>
      <c r="I183" s="497"/>
      <c r="J183" s="497"/>
      <c r="K183" s="497"/>
      <c r="L183" s="497"/>
      <c r="M183" s="497"/>
      <c r="N183" s="497"/>
      <c r="O183" s="497"/>
      <c r="P183" s="497"/>
      <c r="Q183" s="497"/>
      <c r="R183" s="497"/>
      <c r="S183" s="497"/>
      <c r="T183" s="497"/>
      <c r="U183" s="497"/>
      <c r="V183" s="497"/>
      <c r="W183" s="497"/>
      <c r="X183" s="497"/>
      <c r="Y183" s="497"/>
      <c r="Z183" s="497"/>
    </row>
    <row r="184" spans="1:26">
      <c r="A184" s="497"/>
      <c r="B184" s="497"/>
      <c r="C184" s="497"/>
      <c r="D184" s="497"/>
      <c r="E184" s="497"/>
      <c r="F184" s="497"/>
      <c r="G184" s="497"/>
      <c r="H184" s="497"/>
      <c r="I184" s="497"/>
      <c r="J184" s="497"/>
      <c r="K184" s="497"/>
      <c r="L184" s="497"/>
      <c r="M184" s="497"/>
      <c r="N184" s="497"/>
      <c r="O184" s="497"/>
      <c r="P184" s="497"/>
      <c r="Q184" s="497"/>
      <c r="R184" s="497"/>
      <c r="S184" s="497"/>
      <c r="T184" s="497"/>
      <c r="U184" s="497"/>
      <c r="V184" s="497"/>
      <c r="W184" s="497"/>
      <c r="X184" s="497"/>
      <c r="Y184" s="497"/>
      <c r="Z184" s="497"/>
    </row>
    <row r="185" spans="1:26">
      <c r="A185" s="497"/>
      <c r="B185" s="497"/>
      <c r="C185" s="497"/>
      <c r="D185" s="497"/>
      <c r="E185" s="497"/>
      <c r="F185" s="497"/>
      <c r="G185" s="497"/>
      <c r="H185" s="497"/>
      <c r="I185" s="497"/>
      <c r="J185" s="497"/>
      <c r="K185" s="497"/>
      <c r="L185" s="497"/>
      <c r="M185" s="497"/>
      <c r="N185" s="497"/>
      <c r="O185" s="497"/>
      <c r="P185" s="497"/>
      <c r="Q185" s="497"/>
      <c r="R185" s="497"/>
      <c r="S185" s="497"/>
      <c r="T185" s="497"/>
      <c r="U185" s="497"/>
      <c r="V185" s="497"/>
      <c r="W185" s="497"/>
      <c r="X185" s="497"/>
      <c r="Y185" s="497"/>
      <c r="Z185" s="497"/>
    </row>
    <row r="186" spans="1:26">
      <c r="A186" s="497"/>
      <c r="B186" s="497"/>
      <c r="C186" s="497"/>
      <c r="D186" s="497"/>
      <c r="E186" s="497"/>
      <c r="F186" s="497"/>
      <c r="G186" s="497"/>
      <c r="H186" s="497"/>
      <c r="I186" s="497"/>
      <c r="J186" s="497"/>
      <c r="K186" s="497"/>
      <c r="L186" s="497"/>
      <c r="M186" s="497"/>
      <c r="N186" s="497"/>
      <c r="O186" s="497"/>
      <c r="P186" s="497"/>
      <c r="Q186" s="497"/>
      <c r="R186" s="497"/>
      <c r="S186" s="497"/>
      <c r="T186" s="497"/>
      <c r="U186" s="497"/>
      <c r="V186" s="497"/>
      <c r="W186" s="497"/>
      <c r="X186" s="497"/>
      <c r="Y186" s="497"/>
      <c r="Z186" s="497"/>
    </row>
    <row r="187" spans="1:26">
      <c r="A187" s="497"/>
      <c r="B187" s="497"/>
      <c r="C187" s="497"/>
      <c r="D187" s="497"/>
      <c r="E187" s="497"/>
      <c r="F187" s="497"/>
      <c r="G187" s="497"/>
      <c r="H187" s="497"/>
      <c r="I187" s="497"/>
      <c r="J187" s="497"/>
      <c r="K187" s="497"/>
      <c r="L187" s="497"/>
      <c r="M187" s="497"/>
      <c r="N187" s="497"/>
      <c r="O187" s="497"/>
      <c r="P187" s="497"/>
      <c r="Q187" s="497"/>
      <c r="R187" s="497"/>
      <c r="S187" s="497"/>
      <c r="T187" s="497"/>
      <c r="U187" s="497"/>
      <c r="V187" s="497"/>
      <c r="W187" s="497"/>
      <c r="X187" s="497"/>
      <c r="Y187" s="497"/>
      <c r="Z187" s="497"/>
    </row>
    <row r="188" spans="1:26">
      <c r="A188" s="497"/>
      <c r="B188" s="497"/>
      <c r="C188" s="497"/>
      <c r="D188" s="497"/>
      <c r="E188" s="497"/>
      <c r="F188" s="497"/>
      <c r="G188" s="497"/>
      <c r="H188" s="497"/>
      <c r="I188" s="497"/>
      <c r="J188" s="497"/>
      <c r="K188" s="497"/>
      <c r="L188" s="497"/>
      <c r="M188" s="497"/>
      <c r="N188" s="497"/>
      <c r="O188" s="497"/>
      <c r="P188" s="497"/>
      <c r="Q188" s="497"/>
      <c r="R188" s="497"/>
      <c r="S188" s="497"/>
      <c r="T188" s="497"/>
      <c r="U188" s="497"/>
      <c r="V188" s="497"/>
      <c r="W188" s="497"/>
      <c r="X188" s="497"/>
      <c r="Y188" s="497"/>
      <c r="Z188" s="497"/>
    </row>
    <row r="189" spans="1:26">
      <c r="A189" s="497"/>
      <c r="B189" s="497"/>
      <c r="C189" s="497"/>
      <c r="D189" s="497"/>
      <c r="E189" s="497"/>
      <c r="F189" s="497"/>
      <c r="G189" s="497"/>
      <c r="H189" s="497"/>
      <c r="I189" s="497"/>
      <c r="J189" s="497"/>
      <c r="K189" s="497"/>
      <c r="L189" s="497"/>
      <c r="M189" s="497"/>
      <c r="N189" s="497"/>
      <c r="O189" s="497"/>
      <c r="P189" s="497"/>
      <c r="Q189" s="497"/>
      <c r="R189" s="497"/>
      <c r="S189" s="497"/>
      <c r="T189" s="497"/>
      <c r="U189" s="497"/>
      <c r="V189" s="497"/>
      <c r="W189" s="497"/>
      <c r="X189" s="497"/>
      <c r="Y189" s="497"/>
      <c r="Z189" s="497"/>
    </row>
    <row r="190" spans="1:26">
      <c r="A190" s="497"/>
      <c r="B190" s="497"/>
      <c r="C190" s="497"/>
      <c r="D190" s="497"/>
      <c r="E190" s="497"/>
      <c r="F190" s="497"/>
      <c r="G190" s="497"/>
      <c r="H190" s="497"/>
      <c r="I190" s="497"/>
      <c r="J190" s="497"/>
      <c r="K190" s="497"/>
      <c r="L190" s="497"/>
      <c r="M190" s="497"/>
      <c r="N190" s="497"/>
      <c r="O190" s="497"/>
      <c r="P190" s="497"/>
      <c r="Q190" s="497"/>
      <c r="R190" s="497"/>
      <c r="S190" s="497"/>
      <c r="T190" s="497"/>
      <c r="U190" s="497"/>
      <c r="V190" s="497"/>
      <c r="W190" s="497"/>
      <c r="X190" s="497"/>
      <c r="Y190" s="497"/>
      <c r="Z190" s="497"/>
    </row>
    <row r="191" spans="1:26">
      <c r="A191" s="497"/>
      <c r="B191" s="497"/>
      <c r="C191" s="497"/>
      <c r="D191" s="497"/>
      <c r="E191" s="497"/>
      <c r="F191" s="497"/>
      <c r="G191" s="497"/>
      <c r="H191" s="497"/>
      <c r="I191" s="497"/>
      <c r="J191" s="497"/>
      <c r="K191" s="497"/>
      <c r="L191" s="497"/>
      <c r="M191" s="497"/>
      <c r="N191" s="497"/>
      <c r="O191" s="497"/>
      <c r="P191" s="497"/>
      <c r="Q191" s="497"/>
      <c r="R191" s="497"/>
      <c r="S191" s="497"/>
      <c r="T191" s="497"/>
      <c r="U191" s="497"/>
      <c r="V191" s="497"/>
      <c r="W191" s="497"/>
      <c r="X191" s="497"/>
      <c r="Y191" s="497"/>
      <c r="Z191" s="497"/>
    </row>
    <row r="192" spans="1:26">
      <c r="A192" s="497"/>
      <c r="B192" s="497"/>
      <c r="C192" s="497"/>
      <c r="D192" s="497"/>
      <c r="E192" s="497"/>
      <c r="F192" s="497"/>
      <c r="G192" s="497"/>
      <c r="H192" s="497"/>
      <c r="I192" s="497"/>
      <c r="J192" s="497"/>
      <c r="K192" s="497"/>
      <c r="L192" s="497"/>
      <c r="M192" s="497"/>
      <c r="N192" s="497"/>
      <c r="O192" s="497"/>
      <c r="P192" s="497"/>
      <c r="Q192" s="497"/>
      <c r="R192" s="497"/>
      <c r="S192" s="497"/>
      <c r="T192" s="497"/>
      <c r="U192" s="497"/>
      <c r="V192" s="497"/>
      <c r="W192" s="497"/>
      <c r="X192" s="497"/>
      <c r="Y192" s="497"/>
      <c r="Z192" s="497"/>
    </row>
    <row r="193" spans="1:26">
      <c r="A193" s="497"/>
      <c r="B193" s="497"/>
      <c r="C193" s="497"/>
      <c r="D193" s="497"/>
      <c r="E193" s="497"/>
      <c r="F193" s="497"/>
      <c r="G193" s="497"/>
      <c r="H193" s="497"/>
      <c r="I193" s="497"/>
      <c r="J193" s="497"/>
      <c r="K193" s="497"/>
      <c r="L193" s="497"/>
      <c r="M193" s="497"/>
      <c r="N193" s="497"/>
      <c r="O193" s="497"/>
      <c r="P193" s="497"/>
      <c r="Q193" s="497"/>
      <c r="R193" s="497"/>
      <c r="S193" s="497"/>
      <c r="T193" s="497"/>
      <c r="U193" s="497"/>
      <c r="V193" s="497"/>
      <c r="W193" s="497"/>
      <c r="X193" s="497"/>
      <c r="Y193" s="497"/>
      <c r="Z193" s="497"/>
    </row>
    <row r="194" spans="1:26">
      <c r="A194" s="497"/>
      <c r="B194" s="497"/>
      <c r="C194" s="497"/>
      <c r="D194" s="497"/>
      <c r="E194" s="497"/>
      <c r="F194" s="497"/>
      <c r="G194" s="497"/>
      <c r="H194" s="497"/>
      <c r="I194" s="497"/>
      <c r="J194" s="497"/>
      <c r="K194" s="497"/>
      <c r="L194" s="497"/>
      <c r="M194" s="497"/>
      <c r="N194" s="497"/>
      <c r="O194" s="497"/>
      <c r="P194" s="497"/>
      <c r="Q194" s="497"/>
      <c r="R194" s="497"/>
      <c r="S194" s="497"/>
      <c r="T194" s="497"/>
      <c r="U194" s="497"/>
      <c r="V194" s="497"/>
      <c r="W194" s="497"/>
      <c r="X194" s="497"/>
      <c r="Y194" s="497"/>
      <c r="Z194" s="497"/>
    </row>
    <row r="195" spans="1:26">
      <c r="A195" s="497"/>
      <c r="B195" s="497"/>
      <c r="C195" s="497"/>
      <c r="D195" s="497"/>
      <c r="E195" s="497"/>
      <c r="F195" s="497"/>
      <c r="G195" s="497"/>
      <c r="H195" s="497"/>
      <c r="I195" s="497"/>
      <c r="J195" s="497"/>
      <c r="K195" s="497"/>
      <c r="L195" s="497"/>
      <c r="M195" s="497"/>
      <c r="N195" s="497"/>
      <c r="O195" s="497"/>
      <c r="P195" s="497"/>
      <c r="Q195" s="497"/>
      <c r="R195" s="497"/>
      <c r="S195" s="497"/>
      <c r="T195" s="497"/>
      <c r="U195" s="497"/>
      <c r="V195" s="497"/>
      <c r="W195" s="497"/>
      <c r="X195" s="497"/>
      <c r="Y195" s="497"/>
      <c r="Z195" s="497"/>
    </row>
    <row r="196" spans="1:26">
      <c r="A196" s="497"/>
      <c r="B196" s="497"/>
      <c r="C196" s="497"/>
      <c r="D196" s="497"/>
      <c r="E196" s="497"/>
      <c r="F196" s="497"/>
      <c r="G196" s="497"/>
      <c r="H196" s="497"/>
      <c r="I196" s="497"/>
      <c r="J196" s="497"/>
      <c r="K196" s="497"/>
      <c r="L196" s="497"/>
      <c r="M196" s="497"/>
      <c r="N196" s="497"/>
      <c r="O196" s="497"/>
      <c r="P196" s="497"/>
      <c r="Q196" s="497"/>
      <c r="R196" s="497"/>
      <c r="S196" s="497"/>
      <c r="T196" s="497"/>
      <c r="U196" s="497"/>
      <c r="V196" s="497"/>
      <c r="W196" s="497"/>
      <c r="X196" s="497"/>
      <c r="Y196" s="497"/>
      <c r="Z196" s="497"/>
    </row>
    <row r="197" spans="1:26">
      <c r="A197" s="497"/>
      <c r="B197" s="497"/>
      <c r="C197" s="497"/>
      <c r="D197" s="497"/>
      <c r="E197" s="497"/>
      <c r="F197" s="497"/>
      <c r="G197" s="497"/>
      <c r="H197" s="497"/>
      <c r="I197" s="497"/>
      <c r="J197" s="497"/>
      <c r="K197" s="497"/>
      <c r="L197" s="497"/>
      <c r="M197" s="497"/>
      <c r="N197" s="497"/>
      <c r="O197" s="497"/>
      <c r="P197" s="497"/>
      <c r="Q197" s="497"/>
      <c r="R197" s="497"/>
      <c r="S197" s="497"/>
      <c r="T197" s="497"/>
      <c r="U197" s="497"/>
      <c r="V197" s="497"/>
      <c r="W197" s="497"/>
      <c r="X197" s="497"/>
      <c r="Y197" s="497"/>
      <c r="Z197" s="497"/>
    </row>
    <row r="198" spans="1:26">
      <c r="A198" s="497"/>
      <c r="B198" s="497"/>
      <c r="C198" s="497"/>
      <c r="D198" s="497"/>
      <c r="E198" s="497"/>
      <c r="F198" s="497"/>
      <c r="G198" s="497"/>
      <c r="H198" s="497"/>
      <c r="I198" s="497"/>
      <c r="J198" s="497"/>
      <c r="K198" s="497"/>
      <c r="L198" s="497"/>
      <c r="M198" s="497"/>
      <c r="N198" s="497"/>
      <c r="O198" s="497"/>
      <c r="P198" s="497"/>
      <c r="Q198" s="497"/>
      <c r="R198" s="497"/>
      <c r="S198" s="497"/>
      <c r="T198" s="497"/>
      <c r="U198" s="497"/>
      <c r="V198" s="497"/>
      <c r="W198" s="497"/>
      <c r="X198" s="497"/>
      <c r="Y198" s="497"/>
      <c r="Z198" s="497"/>
    </row>
    <row r="199" spans="1:26">
      <c r="A199" s="497"/>
      <c r="B199" s="497"/>
      <c r="C199" s="497"/>
      <c r="D199" s="497"/>
      <c r="E199" s="497"/>
      <c r="F199" s="497"/>
      <c r="G199" s="497"/>
      <c r="H199" s="497"/>
      <c r="I199" s="497"/>
      <c r="J199" s="497"/>
      <c r="K199" s="497"/>
      <c r="L199" s="497"/>
      <c r="M199" s="497"/>
      <c r="N199" s="497"/>
      <c r="O199" s="497"/>
      <c r="P199" s="497"/>
      <c r="Q199" s="497"/>
      <c r="R199" s="497"/>
      <c r="S199" s="497"/>
      <c r="T199" s="497"/>
      <c r="U199" s="497"/>
      <c r="V199" s="497"/>
      <c r="W199" s="497"/>
      <c r="X199" s="497"/>
      <c r="Y199" s="497"/>
      <c r="Z199" s="497"/>
    </row>
    <row r="200" spans="1:26">
      <c r="A200" s="497"/>
      <c r="B200" s="497"/>
      <c r="C200" s="497"/>
      <c r="D200" s="497"/>
      <c r="E200" s="497"/>
      <c r="F200" s="497"/>
      <c r="G200" s="497"/>
      <c r="H200" s="497"/>
      <c r="I200" s="497"/>
      <c r="J200" s="497"/>
      <c r="K200" s="497"/>
      <c r="L200" s="497"/>
      <c r="M200" s="497"/>
      <c r="N200" s="497"/>
      <c r="O200" s="497"/>
      <c r="P200" s="497"/>
      <c r="Q200" s="497"/>
      <c r="R200" s="497"/>
      <c r="S200" s="497"/>
      <c r="T200" s="497"/>
      <c r="U200" s="497"/>
      <c r="V200" s="497"/>
      <c r="W200" s="497"/>
      <c r="X200" s="497"/>
      <c r="Y200" s="497"/>
      <c r="Z200" s="497"/>
    </row>
    <row r="201" spans="1:26">
      <c r="A201" s="497"/>
      <c r="B201" s="497"/>
      <c r="C201" s="497"/>
      <c r="D201" s="497"/>
      <c r="E201" s="497"/>
      <c r="F201" s="497"/>
      <c r="G201" s="497"/>
      <c r="H201" s="497"/>
      <c r="I201" s="497"/>
      <c r="J201" s="497"/>
      <c r="K201" s="497"/>
      <c r="L201" s="497"/>
      <c r="M201" s="497"/>
      <c r="N201" s="497"/>
      <c r="O201" s="497"/>
      <c r="P201" s="497"/>
      <c r="Q201" s="497"/>
      <c r="R201" s="497"/>
      <c r="S201" s="497"/>
      <c r="T201" s="497"/>
      <c r="U201" s="497"/>
      <c r="V201" s="497"/>
      <c r="W201" s="497"/>
      <c r="X201" s="497"/>
      <c r="Y201" s="497"/>
      <c r="Z201" s="497"/>
    </row>
    <row r="202" spans="1:26">
      <c r="A202" s="497"/>
      <c r="B202" s="497"/>
      <c r="C202" s="497"/>
      <c r="D202" s="497"/>
      <c r="E202" s="497"/>
      <c r="F202" s="497"/>
      <c r="G202" s="497"/>
      <c r="H202" s="497"/>
      <c r="I202" s="497"/>
      <c r="J202" s="497"/>
      <c r="K202" s="497"/>
      <c r="L202" s="497"/>
      <c r="M202" s="497"/>
      <c r="N202" s="497"/>
      <c r="O202" s="497"/>
      <c r="P202" s="497"/>
      <c r="Q202" s="497"/>
      <c r="R202" s="497"/>
      <c r="S202" s="497"/>
      <c r="T202" s="497"/>
      <c r="U202" s="497"/>
      <c r="V202" s="497"/>
      <c r="W202" s="497"/>
      <c r="X202" s="497"/>
      <c r="Y202" s="497"/>
      <c r="Z202" s="497"/>
    </row>
    <row r="203" spans="1:26">
      <c r="A203" s="497"/>
      <c r="B203" s="497"/>
      <c r="C203" s="497"/>
      <c r="D203" s="497"/>
      <c r="E203" s="497"/>
      <c r="F203" s="497"/>
      <c r="G203" s="497"/>
      <c r="H203" s="497"/>
      <c r="I203" s="497"/>
      <c r="J203" s="497"/>
      <c r="K203" s="497"/>
      <c r="L203" s="497"/>
      <c r="M203" s="497"/>
      <c r="N203" s="497"/>
      <c r="O203" s="497"/>
      <c r="P203" s="497"/>
      <c r="Q203" s="497"/>
      <c r="R203" s="497"/>
      <c r="S203" s="497"/>
      <c r="T203" s="497"/>
      <c r="U203" s="497"/>
      <c r="V203" s="497"/>
      <c r="W203" s="497"/>
      <c r="X203" s="497"/>
      <c r="Y203" s="497"/>
      <c r="Z203" s="497"/>
    </row>
    <row r="204" spans="1:26">
      <c r="A204" s="497"/>
      <c r="B204" s="497"/>
      <c r="C204" s="497"/>
      <c r="D204" s="497"/>
      <c r="E204" s="497"/>
      <c r="F204" s="497"/>
      <c r="G204" s="497"/>
      <c r="H204" s="497"/>
      <c r="I204" s="497"/>
      <c r="J204" s="497"/>
      <c r="K204" s="497"/>
      <c r="L204" s="497"/>
      <c r="M204" s="497"/>
      <c r="N204" s="497"/>
      <c r="O204" s="497"/>
      <c r="P204" s="497"/>
      <c r="Q204" s="497"/>
      <c r="R204" s="497"/>
      <c r="S204" s="497"/>
      <c r="T204" s="497"/>
      <c r="U204" s="497"/>
      <c r="V204" s="497"/>
      <c r="W204" s="497"/>
      <c r="X204" s="497"/>
      <c r="Y204" s="497"/>
      <c r="Z204" s="497"/>
    </row>
    <row r="205" spans="1:26">
      <c r="A205" s="497"/>
      <c r="B205" s="497"/>
      <c r="C205" s="497"/>
      <c r="D205" s="497"/>
      <c r="E205" s="497"/>
      <c r="F205" s="497"/>
      <c r="G205" s="497"/>
      <c r="H205" s="497"/>
      <c r="I205" s="497"/>
      <c r="J205" s="497"/>
      <c r="K205" s="497"/>
      <c r="L205" s="497"/>
      <c r="M205" s="497"/>
      <c r="N205" s="497"/>
      <c r="O205" s="497"/>
      <c r="P205" s="497"/>
      <c r="Q205" s="497"/>
      <c r="R205" s="497"/>
      <c r="S205" s="497"/>
      <c r="T205" s="497"/>
      <c r="U205" s="497"/>
      <c r="V205" s="497"/>
      <c r="W205" s="497"/>
      <c r="X205" s="497"/>
      <c r="Y205" s="497"/>
      <c r="Z205" s="497"/>
    </row>
    <row r="206" spans="1:26">
      <c r="A206" s="497"/>
      <c r="B206" s="497"/>
      <c r="C206" s="497"/>
      <c r="D206" s="497"/>
      <c r="E206" s="497"/>
      <c r="F206" s="497"/>
      <c r="G206" s="497"/>
      <c r="H206" s="497"/>
      <c r="I206" s="497"/>
      <c r="J206" s="497"/>
      <c r="K206" s="497"/>
      <c r="L206" s="497"/>
      <c r="M206" s="497"/>
      <c r="N206" s="497"/>
      <c r="O206" s="497"/>
      <c r="P206" s="497"/>
      <c r="Q206" s="497"/>
      <c r="R206" s="497"/>
      <c r="S206" s="497"/>
      <c r="T206" s="497"/>
      <c r="U206" s="497"/>
      <c r="V206" s="497"/>
      <c r="W206" s="497"/>
      <c r="X206" s="497"/>
      <c r="Y206" s="497"/>
      <c r="Z206" s="497"/>
    </row>
    <row r="207" spans="1:26">
      <c r="A207" s="497"/>
      <c r="B207" s="497"/>
      <c r="C207" s="497"/>
      <c r="D207" s="497"/>
      <c r="E207" s="497"/>
      <c r="F207" s="497"/>
      <c r="G207" s="497"/>
      <c r="H207" s="497"/>
      <c r="I207" s="497"/>
      <c r="J207" s="497"/>
      <c r="K207" s="497"/>
      <c r="L207" s="497"/>
      <c r="M207" s="497"/>
      <c r="N207" s="497"/>
      <c r="O207" s="497"/>
      <c r="P207" s="497"/>
      <c r="Q207" s="497"/>
      <c r="R207" s="497"/>
      <c r="S207" s="497"/>
      <c r="T207" s="497"/>
      <c r="U207" s="497"/>
      <c r="V207" s="497"/>
      <c r="W207" s="497"/>
      <c r="X207" s="497"/>
      <c r="Y207" s="497"/>
      <c r="Z207" s="497"/>
    </row>
    <row r="208" spans="1:26">
      <c r="A208" s="497"/>
      <c r="B208" s="497"/>
      <c r="C208" s="497"/>
      <c r="D208" s="497"/>
      <c r="E208" s="497"/>
      <c r="F208" s="497"/>
      <c r="G208" s="497"/>
      <c r="H208" s="497"/>
      <c r="I208" s="497"/>
      <c r="J208" s="497"/>
      <c r="K208" s="497"/>
      <c r="L208" s="497"/>
      <c r="M208" s="497"/>
      <c r="N208" s="497"/>
      <c r="O208" s="497"/>
      <c r="P208" s="497"/>
      <c r="Q208" s="497"/>
      <c r="R208" s="497"/>
      <c r="S208" s="497"/>
      <c r="T208" s="497"/>
      <c r="U208" s="497"/>
      <c r="V208" s="497"/>
      <c r="W208" s="497"/>
      <c r="X208" s="497"/>
      <c r="Y208" s="497"/>
      <c r="Z208" s="497"/>
    </row>
    <row r="209" spans="1:26">
      <c r="A209" s="497"/>
      <c r="B209" s="497"/>
      <c r="C209" s="497"/>
      <c r="D209" s="497"/>
      <c r="E209" s="497"/>
      <c r="F209" s="497"/>
      <c r="G209" s="497"/>
      <c r="H209" s="497"/>
      <c r="I209" s="497"/>
      <c r="J209" s="497"/>
      <c r="K209" s="497"/>
      <c r="L209" s="497"/>
      <c r="M209" s="497"/>
      <c r="N209" s="497"/>
      <c r="O209" s="497"/>
      <c r="P209" s="497"/>
      <c r="Q209" s="497"/>
      <c r="R209" s="497"/>
      <c r="S209" s="497"/>
      <c r="T209" s="497"/>
      <c r="U209" s="497"/>
      <c r="V209" s="497"/>
      <c r="W209" s="497"/>
      <c r="X209" s="497"/>
      <c r="Y209" s="497"/>
      <c r="Z209" s="497"/>
    </row>
    <row r="210" spans="1:26">
      <c r="A210" s="497"/>
      <c r="B210" s="497"/>
      <c r="C210" s="497"/>
      <c r="D210" s="497"/>
      <c r="E210" s="497"/>
      <c r="F210" s="497"/>
      <c r="G210" s="497"/>
      <c r="H210" s="497"/>
      <c r="I210" s="497"/>
      <c r="J210" s="497"/>
      <c r="K210" s="497"/>
      <c r="L210" s="497"/>
      <c r="M210" s="497"/>
      <c r="N210" s="497"/>
      <c r="O210" s="497"/>
      <c r="P210" s="497"/>
      <c r="Q210" s="497"/>
      <c r="R210" s="497"/>
      <c r="S210" s="497"/>
      <c r="T210" s="497"/>
      <c r="U210" s="497"/>
      <c r="V210" s="497"/>
      <c r="W210" s="497"/>
      <c r="X210" s="497"/>
      <c r="Y210" s="497"/>
      <c r="Z210" s="497"/>
    </row>
    <row r="211" spans="1:26">
      <c r="A211" s="497"/>
      <c r="B211" s="497"/>
      <c r="C211" s="497"/>
      <c r="D211" s="497"/>
      <c r="E211" s="497"/>
      <c r="F211" s="497"/>
      <c r="G211" s="497"/>
      <c r="H211" s="497"/>
      <c r="I211" s="497"/>
      <c r="J211" s="497"/>
      <c r="K211" s="497"/>
      <c r="L211" s="497"/>
      <c r="M211" s="497"/>
      <c r="N211" s="497"/>
      <c r="O211" s="497"/>
      <c r="P211" s="497"/>
      <c r="Q211" s="497"/>
      <c r="R211" s="497"/>
      <c r="S211" s="497"/>
      <c r="T211" s="497"/>
      <c r="U211" s="497"/>
      <c r="V211" s="497"/>
      <c r="W211" s="497"/>
      <c r="X211" s="497"/>
      <c r="Y211" s="497"/>
      <c r="Z211" s="497"/>
    </row>
  </sheetData>
  <mergeCells count="13">
    <mergeCell ref="C25:I26"/>
    <mergeCell ref="L25:Y26"/>
    <mergeCell ref="C27:H28"/>
    <mergeCell ref="C33:J35"/>
    <mergeCell ref="P39:Q39"/>
    <mergeCell ref="P38:Q38"/>
    <mergeCell ref="L22:X22"/>
    <mergeCell ref="E3:U3"/>
    <mergeCell ref="D9:H10"/>
    <mergeCell ref="O9:T10"/>
    <mergeCell ref="C11:H12"/>
    <mergeCell ref="L15:X21"/>
    <mergeCell ref="L12:Y14"/>
  </mergeCells>
  <phoneticPr fontId="3"/>
  <pageMargins left="0.75" right="0.75" top="1" bottom="1" header="0.51200000000000001" footer="0.51200000000000001"/>
  <pageSetup paperSize="9" scale="96"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89"/>
  <sheetViews>
    <sheetView topLeftCell="A13" zoomScaleNormal="100" workbookViewId="0">
      <selection activeCell="L16" sqref="L16"/>
    </sheetView>
  </sheetViews>
  <sheetFormatPr defaultRowHeight="25.5" customHeight="1"/>
  <cols>
    <col min="1" max="1" width="1.5" customWidth="1"/>
    <col min="2" max="200" width="3.625" customWidth="1"/>
  </cols>
  <sheetData>
    <row r="1" spans="1:24" ht="25.5" customHeight="1">
      <c r="A1" s="38"/>
      <c r="B1" s="38"/>
      <c r="C1" s="38"/>
      <c r="D1" s="38"/>
      <c r="E1" s="38"/>
      <c r="F1" s="38"/>
      <c r="G1" s="38"/>
      <c r="H1" s="38"/>
      <c r="I1" s="38"/>
      <c r="J1" s="38"/>
      <c r="K1" s="38"/>
      <c r="L1" s="38"/>
      <c r="M1" s="38"/>
      <c r="N1" s="38"/>
      <c r="O1" s="38"/>
      <c r="P1" s="38"/>
      <c r="Q1" s="38"/>
      <c r="R1" s="38"/>
      <c r="S1" s="38"/>
      <c r="T1" s="38"/>
      <c r="U1" s="38"/>
      <c r="V1" s="38"/>
      <c r="W1" s="38"/>
      <c r="X1" s="38"/>
    </row>
    <row r="2" spans="1:24" ht="25.5" customHeight="1">
      <c r="A2" s="38"/>
      <c r="B2" s="38"/>
      <c r="C2" s="38"/>
      <c r="D2" s="38"/>
      <c r="E2" s="38"/>
      <c r="F2" s="38"/>
      <c r="G2" s="38"/>
      <c r="H2" s="38"/>
      <c r="I2" s="38"/>
      <c r="J2" s="38"/>
      <c r="K2" s="38"/>
      <c r="L2" s="38"/>
      <c r="M2" s="38"/>
      <c r="N2" s="38"/>
      <c r="O2" s="38"/>
      <c r="P2" s="38"/>
      <c r="Q2" s="38"/>
      <c r="R2" s="38"/>
      <c r="S2" s="38"/>
      <c r="T2" s="38"/>
      <c r="U2" s="38"/>
      <c r="V2" s="38"/>
      <c r="W2" s="38"/>
      <c r="X2" s="38"/>
    </row>
    <row r="3" spans="1:24" ht="25.5" customHeight="1">
      <c r="A3" s="38"/>
      <c r="B3" s="38"/>
      <c r="C3" s="38"/>
      <c r="D3" s="38"/>
      <c r="E3" s="61" t="s">
        <v>64</v>
      </c>
      <c r="F3" s="61"/>
      <c r="G3" s="61"/>
      <c r="H3" s="61"/>
      <c r="I3" s="61"/>
      <c r="J3" s="61"/>
      <c r="K3" s="61"/>
      <c r="L3" s="61"/>
      <c r="M3" s="61"/>
      <c r="N3" s="61"/>
      <c r="O3" s="61"/>
      <c r="P3" s="61"/>
      <c r="Q3" s="61"/>
      <c r="R3" s="61"/>
      <c r="S3" s="61"/>
      <c r="T3" s="61"/>
      <c r="U3" s="61"/>
      <c r="V3" s="38"/>
      <c r="W3" s="38"/>
      <c r="X3" s="38"/>
    </row>
    <row r="4" spans="1:24" ht="25.5" customHeight="1">
      <c r="A4" s="38"/>
      <c r="B4" s="38"/>
      <c r="C4" s="38"/>
      <c r="D4" s="38"/>
      <c r="E4" s="39"/>
      <c r="F4" s="39"/>
      <c r="G4" s="39"/>
      <c r="H4" s="39"/>
      <c r="I4" s="39"/>
      <c r="J4" s="39"/>
      <c r="K4" s="39"/>
      <c r="L4" s="39"/>
      <c r="M4" s="39"/>
      <c r="N4" s="39"/>
      <c r="O4" s="39"/>
      <c r="P4" s="39"/>
      <c r="Q4" s="39"/>
      <c r="R4" s="39"/>
      <c r="S4" s="39"/>
      <c r="T4" s="39"/>
      <c r="U4" s="39"/>
      <c r="V4" s="38"/>
      <c r="W4" s="38"/>
      <c r="X4" s="38"/>
    </row>
    <row r="5" spans="1:24" ht="25.5" customHeight="1">
      <c r="A5" s="38"/>
      <c r="B5" s="38"/>
      <c r="C5" s="38"/>
      <c r="D5" s="38"/>
      <c r="E5" s="38"/>
      <c r="F5" s="38"/>
      <c r="G5" s="38"/>
      <c r="H5" s="38"/>
      <c r="I5" s="38"/>
      <c r="J5" s="38"/>
      <c r="K5" s="38"/>
      <c r="L5" s="38"/>
      <c r="M5" s="38"/>
      <c r="N5" s="38"/>
      <c r="O5" s="38"/>
      <c r="P5" s="38"/>
      <c r="Q5" s="38"/>
      <c r="R5" s="38"/>
      <c r="S5" s="38"/>
      <c r="T5" s="38"/>
      <c r="U5" s="38"/>
      <c r="V5" s="38"/>
      <c r="W5" s="38"/>
      <c r="X5" s="38"/>
    </row>
    <row r="6" spans="1:24" ht="25.5" customHeight="1">
      <c r="A6" s="38"/>
      <c r="B6" s="38"/>
      <c r="C6" s="38"/>
      <c r="D6" s="38" t="s">
        <v>65</v>
      </c>
      <c r="E6" s="38"/>
      <c r="F6" s="38"/>
      <c r="G6" s="38"/>
      <c r="H6" s="38"/>
      <c r="I6" s="38" t="s">
        <v>66</v>
      </c>
      <c r="J6" s="38"/>
      <c r="K6" s="38"/>
      <c r="L6" s="38"/>
      <c r="M6" s="38"/>
      <c r="N6" s="38"/>
      <c r="O6" s="38"/>
      <c r="P6" s="38"/>
      <c r="Q6" s="38"/>
      <c r="R6" s="38"/>
      <c r="S6" s="38"/>
      <c r="T6" s="38"/>
      <c r="U6" s="38"/>
      <c r="V6" s="38"/>
      <c r="W6" s="38" t="s">
        <v>67</v>
      </c>
      <c r="X6" s="38"/>
    </row>
    <row r="7" spans="1:24" ht="25.5" customHeight="1">
      <c r="A7" s="58" t="s">
        <v>110</v>
      </c>
      <c r="B7" s="38"/>
      <c r="C7" s="38"/>
      <c r="D7" s="38" t="s">
        <v>68</v>
      </c>
      <c r="E7" s="38"/>
      <c r="F7" s="38"/>
      <c r="G7" s="38"/>
      <c r="H7" s="38"/>
      <c r="I7" s="38" t="s">
        <v>140</v>
      </c>
      <c r="J7" s="38"/>
      <c r="K7" s="38"/>
      <c r="L7" s="38"/>
      <c r="M7" s="38"/>
      <c r="N7" s="38"/>
      <c r="O7" s="38"/>
      <c r="P7" s="38"/>
      <c r="Q7" s="38"/>
      <c r="R7" s="38"/>
      <c r="S7" s="38"/>
      <c r="T7" s="38"/>
      <c r="U7" s="38"/>
      <c r="V7" s="38"/>
      <c r="W7" s="38" t="s">
        <v>67</v>
      </c>
      <c r="X7" s="38"/>
    </row>
    <row r="8" spans="1:24" ht="25.5" customHeight="1">
      <c r="A8" s="38"/>
      <c r="B8" s="38"/>
      <c r="C8" s="38"/>
      <c r="D8" s="38"/>
      <c r="E8" s="38"/>
      <c r="F8" s="38"/>
      <c r="G8" s="38"/>
      <c r="H8" s="38"/>
      <c r="I8" s="38"/>
      <c r="J8" s="38"/>
      <c r="K8" s="38"/>
      <c r="L8" s="38"/>
      <c r="M8" s="38"/>
      <c r="N8" s="38"/>
      <c r="O8" s="38"/>
      <c r="P8" s="38"/>
      <c r="Q8" s="38"/>
      <c r="R8" s="38"/>
      <c r="S8" s="38"/>
      <c r="T8" s="38"/>
      <c r="U8" s="38"/>
      <c r="V8" s="38"/>
      <c r="W8" s="38"/>
      <c r="X8" s="38"/>
    </row>
    <row r="9" spans="1:24" ht="25.5" customHeight="1">
      <c r="A9" s="38"/>
      <c r="B9" s="40"/>
      <c r="C9" s="41"/>
      <c r="D9" s="41"/>
      <c r="E9" s="41"/>
      <c r="F9" s="41"/>
      <c r="G9" s="41"/>
      <c r="H9" s="41"/>
      <c r="I9" s="41"/>
      <c r="J9" s="41"/>
      <c r="K9" s="41"/>
      <c r="L9" s="41"/>
      <c r="M9" s="42"/>
      <c r="N9" s="42"/>
      <c r="O9" s="42"/>
      <c r="P9" s="42"/>
      <c r="Q9" s="42"/>
      <c r="R9" s="42"/>
      <c r="S9" s="42"/>
      <c r="T9" s="42"/>
      <c r="U9" s="42"/>
      <c r="V9" s="42"/>
      <c r="W9" s="42"/>
      <c r="X9" s="43"/>
    </row>
    <row r="10" spans="1:24" ht="25.5" customHeight="1">
      <c r="A10" s="38"/>
      <c r="B10" s="7"/>
      <c r="C10" s="44" t="s">
        <v>31</v>
      </c>
      <c r="D10" s="44"/>
      <c r="E10" s="44"/>
      <c r="F10" s="44"/>
      <c r="G10" s="44"/>
      <c r="H10" s="44"/>
      <c r="I10" s="44"/>
      <c r="J10" s="44"/>
      <c r="K10" s="44"/>
      <c r="L10" s="44"/>
      <c r="M10" s="44"/>
      <c r="N10" s="44"/>
      <c r="O10" s="44"/>
      <c r="P10" s="44"/>
      <c r="Q10" s="44"/>
      <c r="R10" s="44"/>
      <c r="S10" s="44"/>
      <c r="T10" s="44"/>
      <c r="U10" s="44"/>
      <c r="W10" s="44" t="s">
        <v>69</v>
      </c>
      <c r="X10" s="45"/>
    </row>
    <row r="11" spans="1:24" ht="25.5" customHeight="1">
      <c r="A11" s="38"/>
      <c r="B11" s="7"/>
      <c r="C11" s="44"/>
      <c r="D11" s="44"/>
      <c r="E11" s="44" t="s">
        <v>70</v>
      </c>
      <c r="F11" s="44"/>
      <c r="G11" s="44"/>
      <c r="H11" s="44"/>
      <c r="I11" s="44"/>
      <c r="J11" s="44"/>
      <c r="K11" s="44"/>
      <c r="L11" s="44"/>
      <c r="M11" s="44"/>
      <c r="N11" s="44"/>
      <c r="O11" s="44"/>
      <c r="P11" s="44"/>
      <c r="Q11" s="44"/>
      <c r="R11" s="44"/>
      <c r="S11" s="44"/>
      <c r="T11" s="44"/>
      <c r="U11" s="44"/>
      <c r="W11" s="44"/>
      <c r="X11" s="45"/>
    </row>
    <row r="12" spans="1:24" ht="25.5" customHeight="1">
      <c r="A12" s="38"/>
      <c r="B12" s="7"/>
      <c r="C12" s="44"/>
      <c r="D12" s="44"/>
      <c r="E12" s="44"/>
      <c r="F12" s="44" t="s">
        <v>71</v>
      </c>
      <c r="G12" s="44"/>
      <c r="H12" s="44"/>
      <c r="I12" s="44"/>
      <c r="J12" s="44"/>
      <c r="K12" s="44"/>
      <c r="L12" s="44"/>
      <c r="M12" s="44"/>
      <c r="N12" s="44"/>
      <c r="O12" s="44"/>
      <c r="P12" s="44"/>
      <c r="Q12" s="44"/>
      <c r="R12" s="44"/>
      <c r="S12" s="44"/>
      <c r="T12" s="44"/>
      <c r="U12" s="44"/>
      <c r="W12" s="44"/>
      <c r="X12" s="45"/>
    </row>
    <row r="13" spans="1:24" ht="25.5" customHeight="1">
      <c r="A13" s="38"/>
      <c r="B13" s="7"/>
      <c r="C13" s="44"/>
      <c r="D13" s="44"/>
      <c r="E13" s="44"/>
      <c r="F13" s="44" t="s">
        <v>72</v>
      </c>
      <c r="G13" s="44"/>
      <c r="H13" s="44" t="s">
        <v>73</v>
      </c>
      <c r="I13" s="44"/>
      <c r="J13" s="44"/>
      <c r="K13" s="44"/>
      <c r="L13" s="44"/>
      <c r="M13" s="44"/>
      <c r="N13" s="44"/>
      <c r="O13" s="44"/>
      <c r="P13" s="62"/>
      <c r="Q13" s="62"/>
      <c r="R13" s="62"/>
      <c r="S13" s="62"/>
      <c r="T13" s="62"/>
      <c r="U13" s="62"/>
      <c r="V13" s="62"/>
      <c r="W13" s="44" t="s">
        <v>69</v>
      </c>
      <c r="X13" s="45"/>
    </row>
    <row r="14" spans="1:24" ht="25.5" customHeight="1">
      <c r="A14" s="38"/>
      <c r="B14" s="7"/>
      <c r="C14" s="44"/>
      <c r="D14" s="44"/>
      <c r="E14" s="44"/>
      <c r="F14" s="44" t="s">
        <v>74</v>
      </c>
      <c r="G14" s="44"/>
      <c r="H14" s="44" t="s">
        <v>75</v>
      </c>
      <c r="I14" s="44"/>
      <c r="J14" s="44"/>
      <c r="K14" s="44"/>
      <c r="L14" s="44"/>
      <c r="M14" s="44"/>
      <c r="N14" s="44"/>
      <c r="O14" s="44"/>
      <c r="P14" s="62" t="s">
        <v>76</v>
      </c>
      <c r="Q14" s="62"/>
      <c r="R14" s="62"/>
      <c r="S14" s="62"/>
      <c r="T14" s="62"/>
      <c r="U14" s="62"/>
      <c r="V14" s="62"/>
      <c r="W14" s="44" t="s">
        <v>69</v>
      </c>
      <c r="X14" s="45"/>
    </row>
    <row r="15" spans="1:24" ht="25.5" customHeight="1">
      <c r="A15" s="38"/>
      <c r="B15" s="7"/>
      <c r="C15" s="44"/>
      <c r="D15" s="44"/>
      <c r="E15" s="44" t="s">
        <v>77</v>
      </c>
      <c r="F15" s="44"/>
      <c r="G15" s="44"/>
      <c r="H15" s="44"/>
      <c r="I15" s="44"/>
      <c r="J15" s="44"/>
      <c r="K15" s="44"/>
      <c r="L15" s="44"/>
      <c r="M15" s="44"/>
      <c r="N15" s="44"/>
      <c r="O15" s="44"/>
      <c r="P15" s="44"/>
      <c r="Q15" s="44"/>
      <c r="R15" s="44"/>
      <c r="S15" s="44"/>
      <c r="T15" s="44"/>
      <c r="U15" s="44"/>
      <c r="W15" s="44"/>
      <c r="X15" s="45"/>
    </row>
    <row r="16" spans="1:24" ht="25.5" customHeight="1">
      <c r="A16" s="38"/>
      <c r="B16" s="46"/>
      <c r="C16" s="44"/>
      <c r="D16" s="44"/>
      <c r="E16" s="44"/>
      <c r="F16" s="44" t="s">
        <v>71</v>
      </c>
      <c r="G16" s="44"/>
      <c r="H16" s="44"/>
      <c r="I16" s="44"/>
      <c r="J16" s="44"/>
      <c r="K16" s="44"/>
      <c r="L16" s="44"/>
      <c r="M16" s="44"/>
      <c r="N16" s="44"/>
      <c r="O16" s="44"/>
      <c r="P16" s="44"/>
      <c r="Q16" s="44"/>
      <c r="R16" s="44"/>
      <c r="S16" s="44"/>
      <c r="T16" s="44"/>
      <c r="U16" s="44"/>
      <c r="W16" s="44"/>
      <c r="X16" s="45"/>
    </row>
    <row r="17" spans="1:24" ht="25.5" customHeight="1">
      <c r="A17" s="38"/>
      <c r="B17" s="46"/>
      <c r="C17" s="44"/>
      <c r="D17" s="44"/>
      <c r="E17" s="44"/>
      <c r="F17" s="44" t="s">
        <v>72</v>
      </c>
      <c r="G17" s="44"/>
      <c r="H17" s="44" t="s">
        <v>78</v>
      </c>
      <c r="I17" s="44"/>
      <c r="J17" s="44"/>
      <c r="K17" s="44"/>
      <c r="L17" s="44"/>
      <c r="M17" s="44"/>
      <c r="N17" s="44"/>
      <c r="O17" s="44"/>
      <c r="P17" s="62" t="s">
        <v>132</v>
      </c>
      <c r="Q17" s="62"/>
      <c r="R17" s="62"/>
      <c r="S17" s="62"/>
      <c r="T17" s="62"/>
      <c r="U17" s="62"/>
      <c r="V17" s="62"/>
      <c r="W17" s="44" t="s">
        <v>69</v>
      </c>
      <c r="X17" s="45"/>
    </row>
    <row r="18" spans="1:24" ht="25.5" customHeight="1">
      <c r="A18" s="38"/>
      <c r="B18" s="46"/>
      <c r="C18" s="44"/>
      <c r="D18" s="44"/>
      <c r="E18" s="44"/>
      <c r="F18" s="44" t="s">
        <v>74</v>
      </c>
      <c r="G18" s="44"/>
      <c r="H18" s="44" t="s">
        <v>79</v>
      </c>
      <c r="I18" s="44"/>
      <c r="J18" s="44"/>
      <c r="K18" s="44"/>
      <c r="L18" s="44"/>
      <c r="M18" s="44"/>
      <c r="N18" s="44"/>
      <c r="O18" s="44"/>
      <c r="P18" s="44"/>
      <c r="Q18" s="44"/>
      <c r="R18" s="44"/>
      <c r="S18" s="44"/>
      <c r="T18" s="44"/>
      <c r="U18" s="44"/>
      <c r="W18" s="44" t="s">
        <v>69</v>
      </c>
      <c r="X18" s="45"/>
    </row>
    <row r="19" spans="1:24" ht="25.5" customHeight="1">
      <c r="A19" s="38"/>
      <c r="B19" s="46"/>
      <c r="C19" s="44"/>
      <c r="D19" s="44"/>
      <c r="E19" s="44"/>
      <c r="F19" s="44" t="s">
        <v>80</v>
      </c>
      <c r="G19" s="44"/>
      <c r="H19" s="44" t="s">
        <v>75</v>
      </c>
      <c r="I19" s="44"/>
      <c r="J19" s="44"/>
      <c r="K19" s="44"/>
      <c r="L19" s="44"/>
      <c r="M19" s="44"/>
      <c r="N19" s="44"/>
      <c r="O19" s="44"/>
      <c r="P19" s="44"/>
      <c r="Q19" s="44"/>
      <c r="R19" s="44"/>
      <c r="S19" s="44"/>
      <c r="T19" s="44"/>
      <c r="U19" s="44"/>
      <c r="W19" s="44" t="s">
        <v>69</v>
      </c>
      <c r="X19" s="45"/>
    </row>
    <row r="20" spans="1:24" ht="25.5" customHeight="1">
      <c r="A20" s="38"/>
      <c r="B20" s="46"/>
      <c r="C20" s="44" t="s">
        <v>48</v>
      </c>
      <c r="D20" s="44"/>
      <c r="E20" s="44"/>
      <c r="F20" s="47"/>
      <c r="G20" s="44"/>
      <c r="H20" s="44"/>
      <c r="I20" s="44"/>
      <c r="J20" s="44"/>
      <c r="K20" s="44"/>
      <c r="L20" s="44"/>
      <c r="M20" s="44"/>
      <c r="N20" s="44"/>
      <c r="O20" s="44"/>
      <c r="P20" s="44"/>
      <c r="Q20" s="44"/>
      <c r="R20" s="44"/>
      <c r="S20" s="44"/>
      <c r="T20" s="44"/>
      <c r="U20" s="44"/>
      <c r="W20" s="44"/>
      <c r="X20" s="45"/>
    </row>
    <row r="21" spans="1:24" ht="25.5" customHeight="1">
      <c r="A21" s="38"/>
      <c r="B21" s="46"/>
      <c r="C21" s="44"/>
      <c r="D21" s="44"/>
      <c r="E21" s="44" t="s">
        <v>81</v>
      </c>
      <c r="F21" s="44"/>
      <c r="G21" s="44"/>
      <c r="H21" s="44"/>
      <c r="I21" s="44"/>
      <c r="J21" s="44"/>
      <c r="K21" s="44"/>
      <c r="L21" s="44"/>
      <c r="M21" s="44"/>
      <c r="N21" s="44"/>
      <c r="O21" s="44"/>
      <c r="P21" s="62" t="s">
        <v>132</v>
      </c>
      <c r="Q21" s="62"/>
      <c r="R21" s="62"/>
      <c r="S21" s="62"/>
      <c r="T21" s="62"/>
      <c r="U21" s="62"/>
      <c r="V21" s="62"/>
      <c r="W21" s="44" t="s">
        <v>69</v>
      </c>
      <c r="X21" s="45"/>
    </row>
    <row r="22" spans="1:24" ht="25.5" customHeight="1">
      <c r="A22" s="38"/>
      <c r="B22" s="46"/>
      <c r="C22" s="44" t="s">
        <v>82</v>
      </c>
      <c r="D22" s="44"/>
      <c r="E22" s="44"/>
      <c r="F22" s="44"/>
      <c r="G22" s="44"/>
      <c r="H22" s="44"/>
      <c r="I22" s="44"/>
      <c r="J22" s="44"/>
      <c r="K22" s="44"/>
      <c r="L22" s="44"/>
      <c r="M22" s="44"/>
      <c r="N22" s="44"/>
      <c r="O22" s="44"/>
      <c r="P22" s="62" t="s">
        <v>106</v>
      </c>
      <c r="Q22" s="62"/>
      <c r="R22" s="62"/>
      <c r="S22" s="62"/>
      <c r="T22" s="62"/>
      <c r="U22" s="62"/>
      <c r="V22" s="62"/>
      <c r="W22" s="44" t="s">
        <v>69</v>
      </c>
      <c r="X22" s="45"/>
    </row>
    <row r="23" spans="1:24" ht="25.5" customHeight="1">
      <c r="A23" s="38"/>
      <c r="B23" s="46"/>
      <c r="C23" s="44"/>
      <c r="D23" s="44"/>
      <c r="E23" s="44" t="s">
        <v>83</v>
      </c>
      <c r="F23" s="44"/>
      <c r="G23" s="44"/>
      <c r="H23" s="44"/>
      <c r="I23" s="44"/>
      <c r="J23" s="44"/>
      <c r="K23" s="44"/>
      <c r="L23" s="44"/>
      <c r="M23" s="44"/>
      <c r="N23" s="44"/>
      <c r="O23" s="44"/>
      <c r="P23" s="44"/>
      <c r="Q23" s="44"/>
      <c r="R23" s="44"/>
      <c r="S23" s="44"/>
      <c r="T23" s="44"/>
      <c r="U23" s="44"/>
      <c r="V23" s="44"/>
      <c r="W23" s="44"/>
      <c r="X23" s="45"/>
    </row>
    <row r="24" spans="1:24" ht="25.5" customHeight="1">
      <c r="A24" s="38"/>
      <c r="B24" s="48"/>
      <c r="C24" s="49"/>
      <c r="D24" s="49"/>
      <c r="E24" s="49"/>
      <c r="F24" s="49"/>
      <c r="G24" s="49"/>
      <c r="H24" s="49"/>
      <c r="I24" s="49"/>
      <c r="J24" s="49"/>
      <c r="K24" s="49"/>
      <c r="L24" s="49"/>
      <c r="M24" s="49"/>
      <c r="N24" s="49"/>
      <c r="O24" s="49"/>
      <c r="P24" s="49"/>
      <c r="Q24" s="49"/>
      <c r="R24" s="49"/>
      <c r="S24" s="49"/>
      <c r="T24" s="49"/>
      <c r="U24" s="49"/>
      <c r="V24" s="49"/>
      <c r="W24" s="49"/>
      <c r="X24" s="50"/>
    </row>
    <row r="25" spans="1:24" ht="25.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row>
    <row r="26" spans="1:24" ht="25.5" customHeight="1">
      <c r="A26" s="38"/>
      <c r="B26" s="38"/>
      <c r="C26" s="38" t="s">
        <v>127</v>
      </c>
      <c r="D26" s="38"/>
      <c r="E26" s="38"/>
      <c r="F26" s="38"/>
      <c r="G26" s="38"/>
      <c r="H26" s="38"/>
      <c r="I26" s="38"/>
      <c r="J26" s="38"/>
      <c r="K26" s="38"/>
      <c r="L26" s="38"/>
      <c r="M26" s="38"/>
      <c r="N26" s="38"/>
      <c r="O26" s="38"/>
      <c r="P26" s="38"/>
      <c r="Q26" s="38"/>
      <c r="R26" s="38"/>
      <c r="S26" s="38"/>
      <c r="T26" s="38"/>
      <c r="U26" s="38"/>
      <c r="V26" s="38"/>
      <c r="W26" s="38"/>
      <c r="X26" s="38"/>
    </row>
    <row r="27" spans="1:24" ht="25.5" customHeight="1">
      <c r="A27" s="38"/>
      <c r="B27" s="38"/>
      <c r="C27" s="38" t="s">
        <v>107</v>
      </c>
      <c r="D27" s="38"/>
      <c r="E27" s="38"/>
      <c r="F27" s="38"/>
      <c r="G27" s="38"/>
      <c r="H27" s="38"/>
      <c r="I27" s="38"/>
      <c r="J27" s="38"/>
      <c r="K27" s="38"/>
      <c r="L27" s="38"/>
      <c r="M27" s="38"/>
      <c r="N27" s="38"/>
      <c r="O27" s="38"/>
      <c r="P27" s="38"/>
      <c r="Q27" s="38"/>
      <c r="R27" s="38"/>
      <c r="S27" s="38"/>
      <c r="T27" s="38"/>
      <c r="U27" s="38"/>
      <c r="V27" s="38"/>
      <c r="W27" s="38"/>
      <c r="X27" s="38"/>
    </row>
    <row r="28" spans="1:24" ht="25.5" customHeight="1">
      <c r="A28" s="38"/>
      <c r="B28" s="38"/>
      <c r="C28" s="38" t="s">
        <v>108</v>
      </c>
      <c r="D28" s="38"/>
      <c r="E28" s="38"/>
      <c r="F28" s="38"/>
      <c r="G28" s="38"/>
      <c r="H28" s="38"/>
      <c r="I28" s="38"/>
      <c r="J28" s="38"/>
      <c r="K28" s="38"/>
      <c r="L28" s="38"/>
      <c r="M28" s="38"/>
      <c r="N28" s="38"/>
      <c r="O28" s="38"/>
      <c r="P28" s="38"/>
      <c r="Q28" s="38"/>
      <c r="R28" s="38"/>
      <c r="S28" s="38"/>
      <c r="T28" s="38"/>
      <c r="U28" s="38"/>
      <c r="V28" s="38"/>
      <c r="W28" s="38"/>
      <c r="X28" s="38"/>
    </row>
    <row r="29" spans="1:24" ht="25.5" customHeight="1">
      <c r="A29" s="38"/>
      <c r="B29" s="38"/>
      <c r="C29" s="38" t="s">
        <v>109</v>
      </c>
      <c r="D29" s="38"/>
      <c r="E29" s="38"/>
      <c r="F29" s="38"/>
      <c r="G29" s="38"/>
      <c r="H29" s="38"/>
      <c r="I29" s="38"/>
      <c r="J29" s="38"/>
      <c r="K29" s="38"/>
      <c r="L29" s="38"/>
      <c r="M29" s="38"/>
      <c r="N29" s="38"/>
      <c r="O29" s="38"/>
      <c r="P29" s="38"/>
      <c r="Q29" s="38"/>
      <c r="R29" s="38"/>
      <c r="S29" s="38"/>
      <c r="T29" s="38"/>
      <c r="U29" s="38"/>
      <c r="V29" s="38"/>
      <c r="W29" s="38"/>
      <c r="X29" s="38"/>
    </row>
    <row r="30" spans="1:24" ht="25.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row>
    <row r="31" spans="1:24" ht="25.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row>
    <row r="32" spans="1:24" ht="25.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row>
    <row r="33" spans="1:24" ht="25.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row>
    <row r="34" spans="1:24" ht="25.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row>
    <row r="35" spans="1:24" ht="25.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row>
    <row r="36" spans="1:24" ht="25.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row>
    <row r="37" spans="1:24" ht="25.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row>
    <row r="38" spans="1:24" ht="25.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row>
    <row r="39" spans="1:24" ht="25.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row>
    <row r="40" spans="1:24" ht="25.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row>
    <row r="41" spans="1:24" ht="25.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row>
    <row r="42" spans="1:24" ht="25.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row>
    <row r="43" spans="1:24" ht="25.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row>
    <row r="44" spans="1:24" ht="25.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row>
    <row r="45" spans="1:24" ht="25.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row>
    <row r="46" spans="1:24" ht="25.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row>
    <row r="47" spans="1:24" ht="25.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row>
    <row r="48" spans="1:24" ht="25.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row>
    <row r="49" spans="1:24" ht="25.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row>
    <row r="50" spans="1:24" ht="25.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row>
    <row r="51" spans="1:24" ht="25.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row>
    <row r="52" spans="1:24" ht="25.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row>
    <row r="53" spans="1:24" ht="25.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row>
    <row r="54" spans="1:24" ht="25.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row>
    <row r="55" spans="1:24" ht="25.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row>
    <row r="56" spans="1:24" ht="25.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row>
    <row r="57" spans="1:24" ht="25.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row>
    <row r="58" spans="1:24" ht="25.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row>
    <row r="59" spans="1:24" ht="25.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row>
    <row r="60" spans="1:24" ht="25.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row>
    <row r="61" spans="1:24" ht="25.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row>
    <row r="62" spans="1:24" ht="25.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row>
    <row r="63" spans="1:24" ht="25.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row>
    <row r="64" spans="1:24" ht="25.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row>
    <row r="65" spans="1:24" ht="25.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row>
    <row r="66" spans="1:24" ht="25.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row>
    <row r="67" spans="1:24" ht="25.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row>
    <row r="68" spans="1:24" ht="25.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row>
    <row r="69" spans="1:24" ht="25.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row>
    <row r="70" spans="1:24" ht="25.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row>
    <row r="71" spans="1:24" ht="25.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row>
    <row r="72" spans="1:24" ht="25.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row>
    <row r="73" spans="1:24" ht="25.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row>
    <row r="74" spans="1:24" ht="25.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row>
    <row r="75" spans="1:24" ht="25.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row>
    <row r="76" spans="1:24" ht="25.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row>
    <row r="77" spans="1:24" ht="25.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row>
    <row r="78" spans="1:24" ht="25.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row>
    <row r="79" spans="1:24" ht="25.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row>
    <row r="80" spans="1:24" ht="25.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row>
    <row r="81" spans="1:24" ht="25.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row>
    <row r="82" spans="1:24" ht="25.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row>
    <row r="83" spans="1:24" ht="25.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row>
    <row r="84" spans="1:24" ht="25.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row>
    <row r="85" spans="1:24" ht="25.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row>
    <row r="86" spans="1:24" ht="25.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row>
    <row r="87" spans="1:24" ht="25.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row>
    <row r="88" spans="1:24" ht="25.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row>
    <row r="89" spans="1:24" ht="25.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row>
    <row r="90" spans="1:24" ht="25.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row>
    <row r="91" spans="1:24" ht="25.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row>
    <row r="92" spans="1:24" ht="25.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row>
    <row r="93" spans="1:24" ht="25.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row>
    <row r="94" spans="1:24" ht="25.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row>
    <row r="95" spans="1:24" ht="25.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row>
    <row r="96" spans="1:24" ht="25.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row>
    <row r="97" spans="1:24" ht="25.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row>
    <row r="98" spans="1:24" ht="25.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row>
    <row r="99" spans="1:24" ht="25.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row>
    <row r="100" spans="1:24" ht="25.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row>
    <row r="101" spans="1:24" ht="25.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row>
    <row r="102" spans="1:24" ht="25.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row>
    <row r="103" spans="1:24" ht="25.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row>
    <row r="104" spans="1:24" ht="25.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row>
    <row r="105" spans="1:24" ht="25.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row>
    <row r="106" spans="1:24" ht="25.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row>
    <row r="107" spans="1:24" ht="25.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row>
    <row r="108" spans="1:24" ht="25.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row>
    <row r="109" spans="1:24" ht="25.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row>
    <row r="110" spans="1:24" ht="25.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row>
    <row r="111" spans="1:24" ht="25.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row>
    <row r="112" spans="1:24" ht="25.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row>
    <row r="113" spans="1:24" ht="25.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row>
    <row r="114" spans="1:24" ht="25.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row>
    <row r="115" spans="1:24" ht="25.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row>
    <row r="116" spans="1:24" ht="25.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row>
    <row r="117" spans="1:24" ht="25.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row>
    <row r="118" spans="1:24" ht="25.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row>
    <row r="119" spans="1:24" ht="25.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row>
    <row r="120" spans="1:24" ht="25.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row>
    <row r="121" spans="1:24" ht="25.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row>
    <row r="122" spans="1:24" ht="25.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row>
    <row r="123" spans="1:24" ht="25.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row>
    <row r="124" spans="1:24" ht="25.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row>
    <row r="125" spans="1:24" ht="25.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row>
    <row r="126" spans="1:24" ht="25.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row>
    <row r="127" spans="1:24" ht="25.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row>
    <row r="128" spans="1:24" ht="25.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row>
    <row r="129" spans="1:24" ht="25.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row>
    <row r="130" spans="1:24" ht="25.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row>
    <row r="131" spans="1:24" ht="25.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row>
    <row r="132" spans="1:24" ht="25.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row>
    <row r="133" spans="1:24" ht="25.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row>
    <row r="134" spans="1:24" ht="25.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row>
    <row r="135" spans="1:24" ht="25.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row>
    <row r="136" spans="1:24" ht="25.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row>
    <row r="137" spans="1:24" ht="25.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row>
    <row r="138" spans="1:24" ht="25.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row>
    <row r="139" spans="1:24" ht="25.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row>
    <row r="140" spans="1:24" ht="25.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row>
    <row r="141" spans="1:24" ht="25.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row>
    <row r="142" spans="1:24" ht="25.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row>
    <row r="143" spans="1:24" ht="25.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row>
    <row r="144" spans="1:24" ht="25.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row>
    <row r="145" spans="1:24" ht="25.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row>
    <row r="146" spans="1:24" ht="25.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row>
    <row r="147" spans="1:24" ht="25.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row>
    <row r="148" spans="1:24" ht="25.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row>
    <row r="149" spans="1:24" ht="25.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row>
    <row r="150" spans="1:24" ht="25.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row>
    <row r="151" spans="1:24" ht="25.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row>
    <row r="152" spans="1:24" ht="25.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row>
    <row r="153" spans="1:24" ht="25.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row>
    <row r="154" spans="1:24" ht="25.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row>
    <row r="155" spans="1:24" ht="25.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row>
    <row r="156" spans="1:24" ht="25.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row>
    <row r="157" spans="1:24" ht="25.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row>
    <row r="158" spans="1:24" ht="25.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row>
    <row r="159" spans="1:24" ht="25.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row>
    <row r="160" spans="1:24" ht="25.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row>
    <row r="161" spans="1:24" ht="25.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row>
    <row r="162" spans="1:24" ht="25.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row>
    <row r="163" spans="1:24" ht="25.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row>
    <row r="164" spans="1:24" ht="25.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row>
    <row r="165" spans="1:24" ht="25.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row>
    <row r="166" spans="1:24" ht="25.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row>
    <row r="167" spans="1:24" ht="25.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row>
    <row r="168" spans="1:24" ht="25.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row>
    <row r="169" spans="1:24" ht="25.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row>
    <row r="170" spans="1:24" ht="25.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row>
    <row r="171" spans="1:24" ht="25.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row>
    <row r="172" spans="1:24" ht="25.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row>
    <row r="173" spans="1:24" ht="25.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row>
    <row r="174" spans="1:24" ht="25.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row>
    <row r="175" spans="1:24" ht="25.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row>
    <row r="176" spans="1:24" ht="25.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row>
    <row r="177" spans="1:24" ht="25.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row>
    <row r="178" spans="1:24" ht="25.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row>
    <row r="179" spans="1:24" ht="25.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row>
    <row r="180" spans="1:24" ht="25.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row>
    <row r="181" spans="1:24" ht="25.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row>
    <row r="182" spans="1:24" ht="25.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row>
    <row r="183" spans="1:24" ht="25.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row>
    <row r="184" spans="1:24" ht="25.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row>
    <row r="185" spans="1:24" ht="25.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row>
    <row r="186" spans="1:24" ht="25.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row>
    <row r="187" spans="1:24" ht="25.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row>
    <row r="188" spans="1:24" ht="25.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row>
    <row r="189" spans="1:24" ht="25.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row>
  </sheetData>
  <mergeCells count="6">
    <mergeCell ref="P22:V22"/>
    <mergeCell ref="E3:U3"/>
    <mergeCell ref="P13:V13"/>
    <mergeCell ref="P14:V14"/>
    <mergeCell ref="P17:V17"/>
    <mergeCell ref="P21:V21"/>
  </mergeCells>
  <phoneticPr fontId="3"/>
  <pageMargins left="0.78740157480314965" right="0.78740157480314965" top="0.98425196850393704" bottom="0.98425196850393704" header="0.51181102362204722" footer="0.51181102362204722"/>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7"/>
  <sheetViews>
    <sheetView zoomScaleNormal="100" workbookViewId="0">
      <selection activeCell="B2" sqref="B2:F2"/>
    </sheetView>
  </sheetViews>
  <sheetFormatPr defaultRowHeight="16.5" customHeight="1"/>
  <cols>
    <col min="1" max="1" width="4.125" style="445" customWidth="1"/>
    <col min="2" max="2" width="3" style="445" customWidth="1"/>
    <col min="3" max="3" width="25.375" style="445" customWidth="1"/>
    <col min="4" max="5" width="12.75" style="445" customWidth="1"/>
    <col min="6" max="6" width="31" style="471" customWidth="1"/>
    <col min="7" max="16384" width="9" style="445"/>
  </cols>
  <sheetData>
    <row r="1" spans="1:6" ht="16.5" customHeight="1">
      <c r="B1" s="446" t="s">
        <v>307</v>
      </c>
      <c r="C1" s="446"/>
      <c r="D1" s="446"/>
      <c r="E1" s="446"/>
      <c r="F1" s="446"/>
    </row>
    <row r="2" spans="1:6" ht="16.5" customHeight="1" thickBot="1">
      <c r="B2" s="446" t="s">
        <v>306</v>
      </c>
      <c r="C2" s="446"/>
      <c r="D2" s="446"/>
      <c r="E2" s="446"/>
      <c r="F2" s="446"/>
    </row>
    <row r="3" spans="1:6" ht="18" customHeight="1">
      <c r="A3" s="473"/>
      <c r="B3" s="474" t="s">
        <v>0</v>
      </c>
      <c r="C3" s="475"/>
      <c r="D3" s="476"/>
      <c r="E3" s="477"/>
      <c r="F3" s="478" t="s">
        <v>1</v>
      </c>
    </row>
    <row r="4" spans="1:6" ht="18" customHeight="1">
      <c r="A4" s="479" t="s">
        <v>2</v>
      </c>
      <c r="B4" s="447" t="s">
        <v>3</v>
      </c>
      <c r="C4" s="448"/>
      <c r="D4" s="449"/>
      <c r="E4" s="450"/>
      <c r="F4" s="480"/>
    </row>
    <row r="5" spans="1:6" ht="18" customHeight="1">
      <c r="A5" s="481"/>
      <c r="B5" s="451"/>
      <c r="C5" s="443" t="s">
        <v>4</v>
      </c>
      <c r="D5" s="452">
        <v>640000</v>
      </c>
      <c r="E5" s="453"/>
      <c r="F5" s="482" t="s">
        <v>141</v>
      </c>
    </row>
    <row r="6" spans="1:6" ht="18" customHeight="1" thickBot="1">
      <c r="A6" s="481"/>
      <c r="B6" s="451"/>
      <c r="C6" s="443" t="s">
        <v>5</v>
      </c>
      <c r="D6" s="452"/>
      <c r="E6" s="454">
        <f>SUM(D5)</f>
        <v>640000</v>
      </c>
      <c r="F6" s="482"/>
    </row>
    <row r="7" spans="1:6" ht="18" customHeight="1" thickTop="1">
      <c r="A7" s="481"/>
      <c r="B7" s="455"/>
      <c r="C7" s="456"/>
      <c r="D7" s="457"/>
      <c r="E7" s="458"/>
      <c r="F7" s="482"/>
    </row>
    <row r="8" spans="1:6" ht="18" customHeight="1">
      <c r="A8" s="481"/>
      <c r="B8" s="459" t="s">
        <v>6</v>
      </c>
      <c r="C8" s="460"/>
      <c r="D8" s="449"/>
      <c r="E8" s="450"/>
      <c r="F8" s="482"/>
    </row>
    <row r="9" spans="1:6" ht="18" customHeight="1">
      <c r="A9" s="481"/>
      <c r="B9" s="451"/>
      <c r="C9" s="443" t="s">
        <v>7</v>
      </c>
      <c r="D9" s="452">
        <v>640000</v>
      </c>
      <c r="E9" s="453"/>
      <c r="F9" s="483" t="s">
        <v>134</v>
      </c>
    </row>
    <row r="10" spans="1:6" ht="18" customHeight="1">
      <c r="A10" s="481"/>
      <c r="B10" s="451"/>
      <c r="C10" s="443" t="s">
        <v>8</v>
      </c>
      <c r="D10" s="452"/>
      <c r="E10" s="453"/>
      <c r="F10" s="483" t="s">
        <v>114</v>
      </c>
    </row>
    <row r="11" spans="1:6" ht="18" customHeight="1" thickBot="1">
      <c r="A11" s="481"/>
      <c r="B11" s="451"/>
      <c r="C11" s="443" t="s">
        <v>9</v>
      </c>
      <c r="D11" s="452"/>
      <c r="E11" s="454">
        <f>SUM(D9:D10)</f>
        <v>640000</v>
      </c>
      <c r="F11" s="483"/>
    </row>
    <row r="12" spans="1:6" ht="18" customHeight="1" thickTop="1">
      <c r="A12" s="481"/>
      <c r="B12" s="451"/>
      <c r="C12" s="461" t="s">
        <v>10</v>
      </c>
      <c r="D12" s="452"/>
      <c r="E12" s="458">
        <f>E6-E11</f>
        <v>0</v>
      </c>
      <c r="F12" s="483"/>
    </row>
    <row r="13" spans="1:6" ht="18" customHeight="1">
      <c r="A13" s="484"/>
      <c r="B13" s="455"/>
      <c r="C13" s="456"/>
      <c r="D13" s="457"/>
      <c r="E13" s="462"/>
      <c r="F13" s="485"/>
    </row>
    <row r="14" spans="1:6" ht="18" customHeight="1">
      <c r="A14" s="486" t="s">
        <v>11</v>
      </c>
      <c r="B14" s="463" t="s">
        <v>105</v>
      </c>
      <c r="C14" s="464"/>
      <c r="D14" s="450"/>
      <c r="E14" s="450"/>
      <c r="F14" s="487"/>
    </row>
    <row r="15" spans="1:6" ht="18" customHeight="1">
      <c r="A15" s="488"/>
      <c r="B15" s="465"/>
      <c r="C15" s="466"/>
      <c r="D15" s="453"/>
      <c r="E15" s="453"/>
      <c r="F15" s="489"/>
    </row>
    <row r="16" spans="1:6" ht="18" customHeight="1">
      <c r="A16" s="488"/>
      <c r="B16" s="451"/>
      <c r="C16" s="443" t="s">
        <v>12</v>
      </c>
      <c r="D16" s="453">
        <f>SUM(コーリングサポ!L20:P20)</f>
        <v>5691000</v>
      </c>
      <c r="E16" s="453"/>
      <c r="F16" s="489" t="s">
        <v>303</v>
      </c>
    </row>
    <row r="17" spans="1:12" ht="18" customHeight="1" thickBot="1">
      <c r="A17" s="488"/>
      <c r="B17" s="451"/>
      <c r="C17" s="461" t="s">
        <v>5</v>
      </c>
      <c r="D17" s="453"/>
      <c r="E17" s="454">
        <f>SUM(D16)</f>
        <v>5691000</v>
      </c>
      <c r="F17" s="489"/>
    </row>
    <row r="18" spans="1:12" ht="18" customHeight="1" thickTop="1">
      <c r="A18" s="488"/>
      <c r="B18" s="467" t="s">
        <v>13</v>
      </c>
      <c r="C18" s="444"/>
      <c r="D18" s="453"/>
      <c r="E18" s="458"/>
      <c r="F18" s="489"/>
    </row>
    <row r="19" spans="1:12" ht="18" customHeight="1">
      <c r="A19" s="488"/>
      <c r="B19" s="451"/>
      <c r="C19" s="443" t="s">
        <v>304</v>
      </c>
      <c r="D19" s="468">
        <f>基礎!P16</f>
        <v>5746000</v>
      </c>
      <c r="E19" s="453"/>
      <c r="F19" s="489"/>
    </row>
    <row r="20" spans="1:12" ht="18" customHeight="1">
      <c r="A20" s="488"/>
      <c r="B20" s="451"/>
      <c r="C20" s="443" t="s">
        <v>305</v>
      </c>
      <c r="D20" s="468"/>
      <c r="E20" s="453"/>
      <c r="F20" s="489"/>
    </row>
    <row r="21" spans="1:12" ht="18" customHeight="1">
      <c r="A21" s="488"/>
      <c r="B21" s="451"/>
      <c r="C21" s="444" t="s">
        <v>240</v>
      </c>
      <c r="D21" s="453">
        <f>基礎!P17+基礎!P30</f>
        <v>1027800</v>
      </c>
      <c r="E21" s="453"/>
      <c r="F21" s="489"/>
    </row>
    <row r="22" spans="1:12" ht="18" customHeight="1">
      <c r="A22" s="488"/>
      <c r="B22" s="451"/>
      <c r="C22" s="444" t="s">
        <v>19</v>
      </c>
      <c r="D22" s="453">
        <f>SUM(コーリングサポ!E58:P58)</f>
        <v>258000</v>
      </c>
      <c r="E22" s="469"/>
      <c r="F22" s="489"/>
    </row>
    <row r="23" spans="1:12" ht="18" customHeight="1">
      <c r="A23" s="488"/>
      <c r="B23" s="451"/>
      <c r="C23" s="444" t="s">
        <v>216</v>
      </c>
      <c r="D23" s="453">
        <f>SUM(コーリングサポ!E59:P59)</f>
        <v>92000</v>
      </c>
      <c r="E23" s="469"/>
      <c r="F23" s="489"/>
      <c r="L23" s="470"/>
    </row>
    <row r="24" spans="1:12" ht="18" customHeight="1">
      <c r="A24" s="488"/>
      <c r="B24" s="451"/>
      <c r="C24" s="444" t="s">
        <v>218</v>
      </c>
      <c r="D24" s="453">
        <f>SUM(コーリングサポ!E60:P60)</f>
        <v>245000</v>
      </c>
      <c r="E24" s="469"/>
      <c r="F24" s="489"/>
    </row>
    <row r="25" spans="1:12" ht="18" customHeight="1">
      <c r="A25" s="488"/>
      <c r="B25" s="451"/>
      <c r="C25" s="444" t="s">
        <v>220</v>
      </c>
      <c r="D25" s="453">
        <f>SUM(コーリングサポ!E61:P61)</f>
        <v>150000</v>
      </c>
      <c r="E25" s="469"/>
      <c r="F25" s="489"/>
    </row>
    <row r="26" spans="1:12" ht="18" hidden="1" customHeight="1">
      <c r="A26" s="488"/>
      <c r="B26" s="451"/>
      <c r="C26" s="444"/>
      <c r="D26" s="453"/>
      <c r="E26" s="469"/>
      <c r="F26" s="489"/>
    </row>
    <row r="27" spans="1:12" ht="18" hidden="1" customHeight="1">
      <c r="A27" s="488"/>
      <c r="B27" s="451"/>
      <c r="C27" s="444"/>
      <c r="D27" s="453"/>
      <c r="E27" s="469"/>
      <c r="F27" s="489"/>
    </row>
    <row r="28" spans="1:12" ht="18" hidden="1" customHeight="1">
      <c r="A28" s="488"/>
      <c r="B28" s="451"/>
      <c r="C28" s="444"/>
      <c r="D28" s="453"/>
      <c r="E28" s="469"/>
      <c r="F28" s="489"/>
    </row>
    <row r="29" spans="1:12" ht="18" hidden="1" customHeight="1">
      <c r="A29" s="488"/>
      <c r="B29" s="451"/>
      <c r="C29" s="444"/>
      <c r="D29" s="453"/>
      <c r="E29" s="469"/>
      <c r="F29" s="489"/>
    </row>
    <row r="30" spans="1:12" ht="18" hidden="1" customHeight="1">
      <c r="A30" s="488"/>
      <c r="B30" s="451"/>
      <c r="C30" s="444"/>
      <c r="D30" s="453"/>
      <c r="E30" s="469"/>
      <c r="F30" s="490"/>
    </row>
    <row r="31" spans="1:12" ht="18" hidden="1" customHeight="1">
      <c r="A31" s="488"/>
      <c r="B31" s="451"/>
      <c r="C31" s="444"/>
      <c r="D31" s="453"/>
      <c r="E31" s="469"/>
      <c r="F31" s="490"/>
    </row>
    <row r="32" spans="1:12" ht="18" customHeight="1">
      <c r="A32" s="488"/>
      <c r="B32" s="451"/>
      <c r="C32" s="444"/>
      <c r="D32" s="453"/>
      <c r="E32" s="469"/>
      <c r="F32" s="490"/>
    </row>
    <row r="33" spans="1:16" ht="18" customHeight="1" thickBot="1">
      <c r="A33" s="488"/>
      <c r="B33" s="451"/>
      <c r="C33" s="443" t="s">
        <v>9</v>
      </c>
      <c r="D33" s="453"/>
      <c r="E33" s="454">
        <f>SUM(D19:D31)</f>
        <v>7518800</v>
      </c>
      <c r="F33" s="490"/>
    </row>
    <row r="34" spans="1:16" ht="18" customHeight="1" thickTop="1">
      <c r="A34" s="488"/>
      <c r="B34" s="451"/>
      <c r="C34" s="444"/>
      <c r="D34" s="453"/>
      <c r="E34" s="458"/>
      <c r="F34" s="490"/>
    </row>
    <row r="35" spans="1:16" ht="18" customHeight="1" thickBot="1">
      <c r="A35" s="491"/>
      <c r="B35" s="492"/>
      <c r="C35" s="493" t="s">
        <v>28</v>
      </c>
      <c r="D35" s="494"/>
      <c r="E35" s="495">
        <f>E17-E33</f>
        <v>-1827800</v>
      </c>
      <c r="F35" s="496"/>
    </row>
    <row r="36" spans="1:16" ht="18" customHeight="1">
      <c r="P36" s="472"/>
    </row>
    <row r="37" spans="1:16" ht="16.5" customHeight="1">
      <c r="P37" s="472"/>
    </row>
  </sheetData>
  <mergeCells count="6">
    <mergeCell ref="A14:A35"/>
    <mergeCell ref="B14:C15"/>
    <mergeCell ref="B1:F1"/>
    <mergeCell ref="B2:F2"/>
    <mergeCell ref="B3:C3"/>
    <mergeCell ref="A4:A13"/>
  </mergeCells>
  <phoneticPr fontId="3"/>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7"/>
  <sheetViews>
    <sheetView zoomScaleNormal="100" workbookViewId="0">
      <selection activeCell="D16" sqref="D16"/>
    </sheetView>
  </sheetViews>
  <sheetFormatPr defaultRowHeight="16.5" customHeight="1"/>
  <cols>
    <col min="1" max="1" width="4.125" style="56" customWidth="1"/>
    <col min="2" max="2" width="3" style="56" customWidth="1"/>
    <col min="3" max="3" width="25.375" style="56" customWidth="1"/>
    <col min="4" max="5" width="12.125" style="56" customWidth="1"/>
    <col min="6" max="6" width="31" style="31" customWidth="1"/>
    <col min="7" max="16384" width="9" style="56"/>
  </cols>
  <sheetData>
    <row r="1" spans="1:6" ht="16.5" customHeight="1">
      <c r="B1" s="72" t="s">
        <v>133</v>
      </c>
      <c r="C1" s="72"/>
      <c r="D1" s="72"/>
      <c r="E1" s="72"/>
      <c r="F1" s="72"/>
    </row>
    <row r="2" spans="1:6" ht="16.5" customHeight="1">
      <c r="B2" s="72" t="s">
        <v>123</v>
      </c>
      <c r="C2" s="72"/>
      <c r="D2" s="72"/>
      <c r="E2" s="72"/>
      <c r="F2" s="72"/>
    </row>
    <row r="3" spans="1:6" ht="16.5" customHeight="1">
      <c r="A3" s="1"/>
      <c r="B3" s="73" t="s">
        <v>0</v>
      </c>
      <c r="C3" s="74"/>
      <c r="D3" s="54"/>
      <c r="E3" s="2"/>
      <c r="F3" s="2" t="s">
        <v>1</v>
      </c>
    </row>
    <row r="4" spans="1:6" ht="16.5" customHeight="1">
      <c r="A4" s="75" t="s">
        <v>2</v>
      </c>
      <c r="B4" s="3" t="s">
        <v>3</v>
      </c>
      <c r="C4" s="55"/>
      <c r="D4" s="4"/>
      <c r="E4" s="5"/>
      <c r="F4" s="6"/>
    </row>
    <row r="5" spans="1:6" ht="16.5" customHeight="1">
      <c r="A5" s="76"/>
      <c r="B5" s="7"/>
      <c r="C5" s="8" t="s">
        <v>4</v>
      </c>
      <c r="D5" s="9">
        <v>4392000</v>
      </c>
      <c r="E5" s="10"/>
      <c r="F5" s="11" t="s">
        <v>136</v>
      </c>
    </row>
    <row r="6" spans="1:6" ht="16.5" customHeight="1" thickBot="1">
      <c r="A6" s="76"/>
      <c r="B6" s="7"/>
      <c r="C6" s="8" t="s">
        <v>5</v>
      </c>
      <c r="D6" s="9"/>
      <c r="E6" s="12">
        <f>SUM(D5)</f>
        <v>4392000</v>
      </c>
      <c r="F6" s="11"/>
    </row>
    <row r="7" spans="1:6" ht="16.5" customHeight="1" thickTop="1">
      <c r="A7" s="76"/>
      <c r="B7" s="13"/>
      <c r="C7" s="14"/>
      <c r="D7" s="15"/>
      <c r="E7" s="16"/>
      <c r="F7" s="11"/>
    </row>
    <row r="8" spans="1:6" ht="16.5" customHeight="1">
      <c r="A8" s="76"/>
      <c r="B8" s="17" t="s">
        <v>6</v>
      </c>
      <c r="C8" s="18"/>
      <c r="D8" s="4"/>
      <c r="E8" s="5"/>
      <c r="F8" s="11"/>
    </row>
    <row r="9" spans="1:6" ht="16.5" customHeight="1">
      <c r="A9" s="76"/>
      <c r="B9" s="7"/>
      <c r="C9" s="8" t="s">
        <v>7</v>
      </c>
      <c r="D9" s="9">
        <f>(16*1000*21*12)</f>
        <v>4032000</v>
      </c>
      <c r="E9" s="10"/>
      <c r="F9" s="19" t="s">
        <v>135</v>
      </c>
    </row>
    <row r="10" spans="1:6" ht="16.5" customHeight="1">
      <c r="A10" s="76"/>
      <c r="B10" s="7"/>
      <c r="C10" s="8" t="s">
        <v>8</v>
      </c>
      <c r="D10" s="9">
        <v>360000</v>
      </c>
      <c r="E10" s="10"/>
      <c r="F10" s="19" t="s">
        <v>114</v>
      </c>
    </row>
    <row r="11" spans="1:6" ht="16.5" customHeight="1" thickBot="1">
      <c r="A11" s="76"/>
      <c r="B11" s="7"/>
      <c r="C11" s="8" t="s">
        <v>9</v>
      </c>
      <c r="D11" s="9"/>
      <c r="E11" s="12">
        <f>SUM(D9:D10)</f>
        <v>4392000</v>
      </c>
      <c r="F11" s="19"/>
    </row>
    <row r="12" spans="1:6" ht="16.5" customHeight="1" thickTop="1">
      <c r="A12" s="76"/>
      <c r="B12" s="7"/>
      <c r="C12" s="20" t="s">
        <v>10</v>
      </c>
      <c r="D12" s="9"/>
      <c r="E12" s="16">
        <f>E6-E11</f>
        <v>0</v>
      </c>
      <c r="F12" s="19"/>
    </row>
    <row r="13" spans="1:6" ht="16.5" customHeight="1">
      <c r="A13" s="77"/>
      <c r="B13" s="13"/>
      <c r="C13" s="14"/>
      <c r="D13" s="15"/>
      <c r="E13" s="21"/>
      <c r="F13" s="22"/>
    </row>
    <row r="14" spans="1:6" ht="16.5" customHeight="1">
      <c r="A14" s="63" t="s">
        <v>11</v>
      </c>
      <c r="B14" s="66" t="s">
        <v>105</v>
      </c>
      <c r="C14" s="67"/>
      <c r="D14" s="5"/>
      <c r="E14" s="5"/>
      <c r="F14" s="23"/>
    </row>
    <row r="15" spans="1:6" ht="16.5" customHeight="1">
      <c r="A15" s="64"/>
      <c r="B15" s="68"/>
      <c r="C15" s="69"/>
      <c r="D15" s="10"/>
      <c r="E15" s="10"/>
      <c r="F15" s="24"/>
    </row>
    <row r="16" spans="1:6" ht="16.5" customHeight="1">
      <c r="A16" s="64"/>
      <c r="B16" s="7"/>
      <c r="C16" s="8" t="s">
        <v>12</v>
      </c>
      <c r="D16" s="10">
        <f>16*5850*21*12</f>
        <v>23587200</v>
      </c>
      <c r="E16" s="10"/>
      <c r="F16" s="24" t="s">
        <v>137</v>
      </c>
    </row>
    <row r="17" spans="1:12" ht="16.5" customHeight="1" thickBot="1">
      <c r="A17" s="64"/>
      <c r="B17" s="7"/>
      <c r="C17" s="20" t="s">
        <v>5</v>
      </c>
      <c r="D17" s="10"/>
      <c r="E17" s="12">
        <f>SUM(D16)</f>
        <v>23587200</v>
      </c>
      <c r="F17" s="24"/>
    </row>
    <row r="18" spans="1:12" ht="16.5" customHeight="1" thickTop="1">
      <c r="A18" s="64"/>
      <c r="B18" s="25" t="s">
        <v>13</v>
      </c>
      <c r="C18" s="57"/>
      <c r="D18" s="10"/>
      <c r="E18" s="16"/>
      <c r="F18" s="24"/>
    </row>
    <row r="19" spans="1:12" ht="12" customHeight="1">
      <c r="A19" s="64"/>
      <c r="B19" s="7"/>
      <c r="C19" s="70" t="s">
        <v>14</v>
      </c>
      <c r="D19" s="71">
        <f>1200000*12</f>
        <v>14400000</v>
      </c>
      <c r="E19" s="10"/>
      <c r="F19" s="24" t="s">
        <v>115</v>
      </c>
    </row>
    <row r="20" spans="1:12" ht="12" customHeight="1">
      <c r="A20" s="64"/>
      <c r="B20" s="7"/>
      <c r="C20" s="70"/>
      <c r="D20" s="71"/>
      <c r="E20" s="10"/>
      <c r="F20" s="24" t="s">
        <v>124</v>
      </c>
    </row>
    <row r="21" spans="1:12" ht="16.5" customHeight="1">
      <c r="A21" s="64"/>
      <c r="B21" s="7"/>
      <c r="C21" s="57" t="s">
        <v>15</v>
      </c>
      <c r="D21" s="10">
        <f>240000*12</f>
        <v>2880000</v>
      </c>
      <c r="E21" s="10"/>
      <c r="F21" s="24" t="s">
        <v>125</v>
      </c>
    </row>
    <row r="22" spans="1:12" ht="16.5" customHeight="1">
      <c r="A22" s="64"/>
      <c r="B22" s="7"/>
      <c r="C22" s="57" t="s">
        <v>16</v>
      </c>
      <c r="D22" s="10">
        <v>100000</v>
      </c>
      <c r="E22" s="26"/>
      <c r="F22" s="24" t="s">
        <v>17</v>
      </c>
    </row>
    <row r="23" spans="1:12" ht="16.5" customHeight="1">
      <c r="A23" s="64"/>
      <c r="B23" s="7"/>
      <c r="C23" s="57" t="s">
        <v>18</v>
      </c>
      <c r="D23" s="10">
        <v>240000</v>
      </c>
      <c r="E23" s="26"/>
      <c r="F23" s="24" t="s">
        <v>116</v>
      </c>
      <c r="L23" s="53"/>
    </row>
    <row r="24" spans="1:12" ht="16.5" customHeight="1">
      <c r="A24" s="64"/>
      <c r="B24" s="7"/>
      <c r="C24" s="57" t="s">
        <v>19</v>
      </c>
      <c r="D24" s="10">
        <v>240000</v>
      </c>
      <c r="E24" s="26"/>
      <c r="F24" s="24" t="s">
        <v>138</v>
      </c>
    </row>
    <row r="25" spans="1:12" ht="16.5" customHeight="1">
      <c r="A25" s="64"/>
      <c r="B25" s="7"/>
      <c r="C25" s="57" t="s">
        <v>20</v>
      </c>
      <c r="D25" s="10">
        <v>200000</v>
      </c>
      <c r="E25" s="26"/>
      <c r="F25" s="24" t="s">
        <v>21</v>
      </c>
    </row>
    <row r="26" spans="1:12" ht="16.5" customHeight="1">
      <c r="A26" s="64"/>
      <c r="B26" s="7"/>
      <c r="C26" s="57" t="s">
        <v>22</v>
      </c>
      <c r="D26" s="10">
        <v>1200000</v>
      </c>
      <c r="E26" s="26"/>
      <c r="F26" s="24" t="s">
        <v>117</v>
      </c>
    </row>
    <row r="27" spans="1:12" ht="16.5" customHeight="1">
      <c r="A27" s="64"/>
      <c r="B27" s="7"/>
      <c r="C27" s="57" t="s">
        <v>23</v>
      </c>
      <c r="D27" s="10">
        <v>240000</v>
      </c>
      <c r="E27" s="26"/>
      <c r="F27" s="24" t="s">
        <v>118</v>
      </c>
    </row>
    <row r="28" spans="1:12" ht="16.5" customHeight="1">
      <c r="A28" s="64"/>
      <c r="B28" s="7"/>
      <c r="C28" s="57" t="s">
        <v>24</v>
      </c>
      <c r="D28" s="10">
        <v>120000</v>
      </c>
      <c r="E28" s="26"/>
      <c r="F28" s="24" t="s">
        <v>119</v>
      </c>
    </row>
    <row r="29" spans="1:12" ht="16.5" customHeight="1">
      <c r="A29" s="64"/>
      <c r="B29" s="7"/>
      <c r="C29" s="57" t="s">
        <v>25</v>
      </c>
      <c r="D29" s="10">
        <v>120000</v>
      </c>
      <c r="E29" s="26"/>
      <c r="F29" s="24" t="s">
        <v>120</v>
      </c>
    </row>
    <row r="30" spans="1:12" ht="16.5" customHeight="1">
      <c r="A30" s="64"/>
      <c r="B30" s="7"/>
      <c r="C30" s="57" t="s">
        <v>26</v>
      </c>
      <c r="D30" s="10">
        <v>240000</v>
      </c>
      <c r="E30" s="26"/>
      <c r="F30" s="27" t="s">
        <v>121</v>
      </c>
    </row>
    <row r="31" spans="1:12" ht="16.5" customHeight="1">
      <c r="A31" s="64"/>
      <c r="B31" s="7"/>
      <c r="C31" s="57" t="s">
        <v>27</v>
      </c>
      <c r="D31" s="10">
        <v>120000</v>
      </c>
      <c r="E31" s="26"/>
      <c r="F31" s="27" t="s">
        <v>122</v>
      </c>
    </row>
    <row r="32" spans="1:12" ht="16.5" customHeight="1">
      <c r="A32" s="64"/>
      <c r="B32" s="7"/>
      <c r="C32" s="57"/>
      <c r="D32" s="10"/>
      <c r="E32" s="26"/>
      <c r="F32" s="27"/>
    </row>
    <row r="33" spans="1:16" ht="16.5" customHeight="1" thickBot="1">
      <c r="A33" s="64"/>
      <c r="B33" s="7"/>
      <c r="C33" s="8" t="s">
        <v>9</v>
      </c>
      <c r="D33" s="10"/>
      <c r="E33" s="12">
        <f>SUM(D19:D31)</f>
        <v>20100000</v>
      </c>
      <c r="F33" s="27"/>
    </row>
    <row r="34" spans="1:16" ht="16.5" customHeight="1" thickTop="1">
      <c r="A34" s="64"/>
      <c r="B34" s="7"/>
      <c r="C34" s="57"/>
      <c r="D34" s="10"/>
      <c r="E34" s="16"/>
      <c r="F34" s="27"/>
    </row>
    <row r="35" spans="1:16" ht="16.5" customHeight="1">
      <c r="A35" s="65"/>
      <c r="B35" s="13"/>
      <c r="C35" s="28" t="s">
        <v>28</v>
      </c>
      <c r="D35" s="21"/>
      <c r="E35" s="29">
        <f>E17-E33</f>
        <v>3487200</v>
      </c>
      <c r="F35" s="30"/>
    </row>
    <row r="36" spans="1:16" ht="16.5" customHeight="1">
      <c r="P36" s="52"/>
    </row>
    <row r="37" spans="1:16" ht="16.5" customHeight="1">
      <c r="P37" s="52"/>
    </row>
  </sheetData>
  <mergeCells count="8">
    <mergeCell ref="B14:C15"/>
    <mergeCell ref="B1:F1"/>
    <mergeCell ref="B2:F2"/>
    <mergeCell ref="B3:C3"/>
    <mergeCell ref="A4:A13"/>
    <mergeCell ref="A14:A35"/>
    <mergeCell ref="C19:C20"/>
    <mergeCell ref="D19:D20"/>
  </mergeCells>
  <phoneticPr fontId="3"/>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9"/>
  <sheetViews>
    <sheetView workbookViewId="0">
      <selection activeCell="B7" sqref="B7"/>
    </sheetView>
  </sheetViews>
  <sheetFormatPr defaultRowHeight="13.5"/>
  <cols>
    <col min="1" max="1" width="30.125" customWidth="1"/>
    <col min="2" max="4" width="19.125" style="32" customWidth="1"/>
    <col min="5" max="8" width="9" style="32"/>
  </cols>
  <sheetData>
    <row r="1" spans="1:4">
      <c r="A1" s="78" t="s">
        <v>29</v>
      </c>
      <c r="B1" s="78"/>
      <c r="C1" s="78"/>
      <c r="D1" s="78"/>
    </row>
    <row r="2" spans="1:4">
      <c r="A2" s="79">
        <v>42825</v>
      </c>
      <c r="B2" s="80"/>
      <c r="C2" s="80"/>
      <c r="D2" s="80"/>
    </row>
    <row r="3" spans="1:4">
      <c r="A3" s="33" t="s">
        <v>0</v>
      </c>
      <c r="B3" s="81" t="s">
        <v>30</v>
      </c>
      <c r="C3" s="82"/>
      <c r="D3" s="82"/>
    </row>
    <row r="4" spans="1:4">
      <c r="A4" s="26" t="s">
        <v>31</v>
      </c>
      <c r="B4" s="5"/>
      <c r="C4" s="5"/>
      <c r="D4" s="5"/>
    </row>
    <row r="5" spans="1:4">
      <c r="A5" s="34" t="s">
        <v>32</v>
      </c>
      <c r="B5" s="10"/>
      <c r="C5" s="10"/>
      <c r="D5" s="10"/>
    </row>
    <row r="6" spans="1:4">
      <c r="A6" s="35" t="s">
        <v>33</v>
      </c>
      <c r="B6" s="10">
        <v>144200</v>
      </c>
      <c r="C6" s="10"/>
      <c r="D6" s="10"/>
    </row>
    <row r="7" spans="1:4">
      <c r="A7" s="35" t="s">
        <v>34</v>
      </c>
      <c r="B7" s="10">
        <f>SUM(B6:B6)</f>
        <v>144200</v>
      </c>
      <c r="C7" s="10">
        <f>SUM(B6:B6)</f>
        <v>144200</v>
      </c>
      <c r="D7" s="10"/>
    </row>
    <row r="8" spans="1:4">
      <c r="A8" s="34" t="s">
        <v>35</v>
      </c>
      <c r="B8" s="10"/>
      <c r="C8" s="10"/>
      <c r="D8" s="10"/>
    </row>
    <row r="9" spans="1:4">
      <c r="A9" s="34" t="s">
        <v>36</v>
      </c>
      <c r="B9" s="10"/>
      <c r="C9" s="10"/>
      <c r="D9" s="10"/>
    </row>
    <row r="10" spans="1:4">
      <c r="A10" s="35" t="s">
        <v>37</v>
      </c>
      <c r="B10" s="10">
        <v>0</v>
      </c>
      <c r="C10" s="10"/>
      <c r="D10" s="10"/>
    </row>
    <row r="11" spans="1:4">
      <c r="A11" s="35" t="s">
        <v>38</v>
      </c>
      <c r="B11" s="21"/>
      <c r="C11" s="10"/>
      <c r="D11" s="10"/>
    </row>
    <row r="12" spans="1:4">
      <c r="A12" s="35" t="s">
        <v>39</v>
      </c>
      <c r="B12" s="10">
        <f>SUM(B10:B11)</f>
        <v>0</v>
      </c>
      <c r="C12" s="10"/>
      <c r="D12" s="10"/>
    </row>
    <row r="13" spans="1:4">
      <c r="A13" s="34" t="s">
        <v>40</v>
      </c>
      <c r="B13" s="10"/>
      <c r="C13" s="10"/>
      <c r="D13" s="10"/>
    </row>
    <row r="14" spans="1:4">
      <c r="A14" s="35" t="s">
        <v>41</v>
      </c>
      <c r="B14" s="21">
        <v>0</v>
      </c>
      <c r="C14" s="10"/>
      <c r="D14" s="10"/>
    </row>
    <row r="15" spans="1:4">
      <c r="A15" s="35" t="s">
        <v>42</v>
      </c>
      <c r="B15" s="10">
        <f>SUM(B14)</f>
        <v>0</v>
      </c>
      <c r="C15" s="10"/>
      <c r="D15" s="10"/>
    </row>
    <row r="16" spans="1:4">
      <c r="A16" s="34" t="s">
        <v>43</v>
      </c>
      <c r="B16" s="10"/>
      <c r="C16" s="10"/>
      <c r="D16" s="10"/>
    </row>
    <row r="17" spans="1:12">
      <c r="A17" s="35" t="s">
        <v>44</v>
      </c>
      <c r="B17" s="21">
        <v>0</v>
      </c>
      <c r="C17" s="10"/>
      <c r="D17" s="10"/>
    </row>
    <row r="18" spans="1:12">
      <c r="A18" s="35" t="s">
        <v>45</v>
      </c>
      <c r="B18" s="10">
        <f>B17</f>
        <v>0</v>
      </c>
      <c r="C18" s="10"/>
      <c r="D18" s="10"/>
    </row>
    <row r="19" spans="1:12">
      <c r="A19" s="34" t="s">
        <v>46</v>
      </c>
      <c r="B19" s="10"/>
      <c r="C19" s="21">
        <f>B12+B15+B17</f>
        <v>0</v>
      </c>
      <c r="D19" s="10"/>
    </row>
    <row r="20" spans="1:12" ht="14.25" thickBot="1">
      <c r="A20" s="26" t="s">
        <v>47</v>
      </c>
      <c r="B20" s="10"/>
      <c r="C20" s="10"/>
      <c r="D20" s="36">
        <f>C7+C19</f>
        <v>144200</v>
      </c>
    </row>
    <row r="21" spans="1:12" ht="14.25" thickTop="1">
      <c r="A21" s="26"/>
      <c r="B21" s="10"/>
      <c r="C21" s="10"/>
      <c r="D21" s="10"/>
    </row>
    <row r="22" spans="1:12">
      <c r="A22" s="26" t="s">
        <v>48</v>
      </c>
      <c r="B22" s="10"/>
      <c r="C22" s="10"/>
      <c r="D22" s="10"/>
    </row>
    <row r="23" spans="1:12">
      <c r="A23" s="34" t="s">
        <v>49</v>
      </c>
      <c r="B23" s="10"/>
      <c r="C23" s="10"/>
      <c r="D23" s="10"/>
    </row>
    <row r="24" spans="1:12">
      <c r="A24" s="35" t="s">
        <v>50</v>
      </c>
      <c r="B24" s="10">
        <v>0</v>
      </c>
      <c r="C24" s="10"/>
      <c r="D24" s="10"/>
      <c r="L24" s="53"/>
    </row>
    <row r="25" spans="1:12">
      <c r="A25" s="35" t="s">
        <v>51</v>
      </c>
      <c r="B25" s="10">
        <v>0</v>
      </c>
      <c r="C25" s="10"/>
      <c r="D25" s="10"/>
    </row>
    <row r="26" spans="1:12">
      <c r="A26" s="35" t="s">
        <v>52</v>
      </c>
      <c r="B26" s="21">
        <v>50000</v>
      </c>
      <c r="C26" s="10"/>
      <c r="D26" s="10"/>
    </row>
    <row r="27" spans="1:12">
      <c r="A27" s="35" t="s">
        <v>53</v>
      </c>
      <c r="B27" s="10">
        <f>SUM(B24:B26)</f>
        <v>50000</v>
      </c>
      <c r="C27" s="10"/>
      <c r="D27" s="10"/>
    </row>
    <row r="28" spans="1:12">
      <c r="A28" s="34" t="s">
        <v>54</v>
      </c>
      <c r="B28" s="10"/>
      <c r="C28" s="10"/>
      <c r="D28" s="10"/>
    </row>
    <row r="29" spans="1:12">
      <c r="A29" s="35" t="s">
        <v>55</v>
      </c>
      <c r="B29" s="21"/>
      <c r="C29" s="10"/>
      <c r="D29" s="10"/>
    </row>
    <row r="30" spans="1:12">
      <c r="A30" s="35" t="s">
        <v>56</v>
      </c>
      <c r="B30" s="10">
        <f>SUM(B29)</f>
        <v>0</v>
      </c>
      <c r="C30" s="10"/>
      <c r="D30" s="10"/>
    </row>
    <row r="31" spans="1:12">
      <c r="A31" s="26" t="s">
        <v>57</v>
      </c>
      <c r="B31" s="10"/>
      <c r="C31" s="10"/>
      <c r="D31" s="10">
        <f>B27+B30</f>
        <v>50000</v>
      </c>
    </row>
    <row r="32" spans="1:12">
      <c r="A32" s="26" t="s">
        <v>58</v>
      </c>
      <c r="B32" s="10"/>
      <c r="C32" s="10"/>
      <c r="D32" s="10"/>
    </row>
    <row r="33" spans="1:17">
      <c r="A33" s="34" t="s">
        <v>59</v>
      </c>
      <c r="B33" s="10"/>
      <c r="C33" s="10">
        <v>0</v>
      </c>
      <c r="D33" s="10"/>
    </row>
    <row r="34" spans="1:17">
      <c r="A34" s="34" t="s">
        <v>60</v>
      </c>
      <c r="B34" s="10"/>
      <c r="C34" s="21">
        <f>平成29年度!E35</f>
        <v>-1827800</v>
      </c>
      <c r="D34" s="10"/>
    </row>
    <row r="35" spans="1:17">
      <c r="A35" s="34" t="s">
        <v>61</v>
      </c>
      <c r="B35" s="10"/>
      <c r="C35" s="10"/>
      <c r="D35" s="21">
        <f>SUM(C33:C34)</f>
        <v>-1827800</v>
      </c>
    </row>
    <row r="36" spans="1:17">
      <c r="A36" s="37" t="s">
        <v>62</v>
      </c>
      <c r="B36" s="21"/>
      <c r="C36" s="21"/>
      <c r="D36" s="21">
        <f>D31+D35</f>
        <v>-1777800</v>
      </c>
    </row>
    <row r="38" spans="1:17">
      <c r="P38" s="52"/>
    </row>
    <row r="39" spans="1:17">
      <c r="M39" s="51"/>
      <c r="P39" s="52"/>
      <c r="Q39" s="51"/>
    </row>
  </sheetData>
  <mergeCells count="3">
    <mergeCell ref="A1:D1"/>
    <mergeCell ref="A2:D2"/>
    <mergeCell ref="B3:D3"/>
  </mergeCells>
  <phoneticPr fontId="3"/>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9"/>
  <sheetViews>
    <sheetView workbookViewId="0">
      <selection activeCell="C21" sqref="C21"/>
    </sheetView>
  </sheetViews>
  <sheetFormatPr defaultRowHeight="13.5"/>
  <cols>
    <col min="1" max="1" width="30.125" customWidth="1"/>
    <col min="2" max="4" width="19.125" style="32" customWidth="1"/>
    <col min="5" max="5" width="9" style="32"/>
    <col min="6" max="6" width="9.25" style="32" bestFit="1" customWidth="1"/>
    <col min="7" max="8" width="9" style="32"/>
  </cols>
  <sheetData>
    <row r="1" spans="1:4">
      <c r="A1" s="78" t="s">
        <v>29</v>
      </c>
      <c r="B1" s="78"/>
      <c r="C1" s="78"/>
      <c r="D1" s="78"/>
    </row>
    <row r="2" spans="1:4">
      <c r="A2" s="79">
        <v>43190</v>
      </c>
      <c r="B2" s="80"/>
      <c r="C2" s="80"/>
      <c r="D2" s="80"/>
    </row>
    <row r="3" spans="1:4">
      <c r="A3" s="33" t="s">
        <v>0</v>
      </c>
      <c r="B3" s="81" t="s">
        <v>30</v>
      </c>
      <c r="C3" s="82"/>
      <c r="D3" s="82"/>
    </row>
    <row r="4" spans="1:4">
      <c r="A4" s="26" t="s">
        <v>31</v>
      </c>
      <c r="B4" s="5"/>
      <c r="C4" s="5"/>
      <c r="D4" s="5"/>
    </row>
    <row r="5" spans="1:4">
      <c r="A5" s="34" t="s">
        <v>32</v>
      </c>
      <c r="B5" s="10"/>
      <c r="C5" s="10"/>
      <c r="D5" s="10"/>
    </row>
    <row r="6" spans="1:4">
      <c r="A6" s="35" t="s">
        <v>33</v>
      </c>
      <c r="B6" s="10">
        <v>2447400</v>
      </c>
      <c r="C6" s="10"/>
      <c r="D6" s="10"/>
    </row>
    <row r="7" spans="1:4">
      <c r="A7" s="35" t="s">
        <v>34</v>
      </c>
      <c r="B7" s="10">
        <f>SUM(B6:B6)</f>
        <v>2447400</v>
      </c>
      <c r="C7" s="10">
        <f>SUM(B6:B6)</f>
        <v>2447400</v>
      </c>
      <c r="D7" s="10"/>
    </row>
    <row r="8" spans="1:4">
      <c r="A8" s="34" t="s">
        <v>35</v>
      </c>
      <c r="B8" s="10"/>
      <c r="C8" s="10"/>
      <c r="D8" s="10"/>
    </row>
    <row r="9" spans="1:4">
      <c r="A9" s="34" t="s">
        <v>36</v>
      </c>
      <c r="B9" s="10"/>
      <c r="C9" s="10"/>
      <c r="D9" s="10"/>
    </row>
    <row r="10" spans="1:4">
      <c r="A10" s="35" t="s">
        <v>37</v>
      </c>
      <c r="B10" s="10">
        <v>534000</v>
      </c>
      <c r="C10" s="10"/>
      <c r="D10" s="10"/>
    </row>
    <row r="11" spans="1:4">
      <c r="A11" s="35" t="s">
        <v>38</v>
      </c>
      <c r="B11" s="21">
        <v>500000</v>
      </c>
      <c r="C11" s="10"/>
      <c r="D11" s="10"/>
    </row>
    <row r="12" spans="1:4">
      <c r="A12" s="35" t="s">
        <v>39</v>
      </c>
      <c r="B12" s="10">
        <f>SUM(B10:B11)</f>
        <v>1034000</v>
      </c>
      <c r="C12" s="10"/>
      <c r="D12" s="10"/>
    </row>
    <row r="13" spans="1:4">
      <c r="A13" s="34" t="s">
        <v>40</v>
      </c>
      <c r="B13" s="10"/>
      <c r="C13" s="10"/>
      <c r="D13" s="10"/>
    </row>
    <row r="14" spans="1:4">
      <c r="A14" s="35" t="s">
        <v>63</v>
      </c>
      <c r="B14" s="21">
        <v>0</v>
      </c>
      <c r="C14" s="10"/>
      <c r="D14" s="10"/>
    </row>
    <row r="15" spans="1:4">
      <c r="A15" s="35" t="s">
        <v>42</v>
      </c>
      <c r="B15" s="10">
        <f>SUM(B14)</f>
        <v>0</v>
      </c>
      <c r="C15" s="10"/>
      <c r="D15" s="10"/>
    </row>
    <row r="16" spans="1:4">
      <c r="A16" s="34" t="s">
        <v>43</v>
      </c>
      <c r="B16" s="10"/>
      <c r="C16" s="10"/>
      <c r="D16" s="10"/>
    </row>
    <row r="17" spans="1:12">
      <c r="A17" s="35" t="s">
        <v>44</v>
      </c>
      <c r="B17" s="21"/>
      <c r="C17" s="10"/>
      <c r="D17" s="10"/>
    </row>
    <row r="18" spans="1:12">
      <c r="A18" s="35" t="s">
        <v>45</v>
      </c>
      <c r="B18" s="10">
        <v>250000</v>
      </c>
      <c r="C18" s="10"/>
      <c r="D18" s="10"/>
    </row>
    <row r="19" spans="1:12">
      <c r="A19" s="34" t="s">
        <v>46</v>
      </c>
      <c r="B19" s="10"/>
      <c r="C19" s="21">
        <f>B12+B15+B18</f>
        <v>1284000</v>
      </c>
      <c r="D19" s="10"/>
    </row>
    <row r="20" spans="1:12" ht="14.25" thickBot="1">
      <c r="A20" s="26" t="s">
        <v>47</v>
      </c>
      <c r="B20" s="10"/>
      <c r="C20" s="10"/>
      <c r="D20" s="36">
        <f>C7+C19</f>
        <v>3731400</v>
      </c>
    </row>
    <row r="21" spans="1:12" ht="14.25" thickTop="1">
      <c r="A21" s="26"/>
      <c r="B21" s="10"/>
      <c r="C21" s="10"/>
      <c r="D21" s="10"/>
    </row>
    <row r="22" spans="1:12">
      <c r="A22" s="26" t="s">
        <v>48</v>
      </c>
      <c r="B22" s="10"/>
      <c r="C22" s="10"/>
      <c r="D22" s="10"/>
    </row>
    <row r="23" spans="1:12">
      <c r="A23" s="34" t="s">
        <v>49</v>
      </c>
      <c r="B23" s="10"/>
      <c r="C23" s="10"/>
      <c r="D23" s="10"/>
    </row>
    <row r="24" spans="1:12">
      <c r="A24" s="35" t="s">
        <v>50</v>
      </c>
      <c r="B24" s="10">
        <v>0</v>
      </c>
      <c r="C24" s="10"/>
      <c r="D24" s="10"/>
      <c r="L24" s="53"/>
    </row>
    <row r="25" spans="1:12">
      <c r="A25" s="35" t="s">
        <v>51</v>
      </c>
      <c r="B25" s="10">
        <v>0</v>
      </c>
      <c r="C25" s="10"/>
      <c r="D25" s="10"/>
    </row>
    <row r="26" spans="1:12">
      <c r="A26" s="35" t="s">
        <v>52</v>
      </c>
      <c r="B26" s="21">
        <v>150000</v>
      </c>
      <c r="C26" s="10"/>
      <c r="D26" s="10"/>
    </row>
    <row r="27" spans="1:12">
      <c r="A27" s="35" t="s">
        <v>53</v>
      </c>
      <c r="B27" s="10">
        <f>SUM(B24:B26)</f>
        <v>150000</v>
      </c>
      <c r="C27" s="10"/>
      <c r="D27" s="10"/>
    </row>
    <row r="28" spans="1:12">
      <c r="A28" s="34" t="s">
        <v>54</v>
      </c>
      <c r="B28" s="10"/>
      <c r="C28" s="10"/>
      <c r="D28" s="10"/>
    </row>
    <row r="29" spans="1:12">
      <c r="A29" s="35" t="s">
        <v>55</v>
      </c>
      <c r="B29" s="21">
        <v>0</v>
      </c>
      <c r="C29" s="10"/>
      <c r="D29" s="10"/>
    </row>
    <row r="30" spans="1:12">
      <c r="A30" s="35" t="s">
        <v>56</v>
      </c>
      <c r="B30" s="10">
        <f>SUM(B29)</f>
        <v>0</v>
      </c>
      <c r="C30" s="10"/>
      <c r="D30" s="10"/>
    </row>
    <row r="31" spans="1:12">
      <c r="A31" s="26" t="s">
        <v>57</v>
      </c>
      <c r="B31" s="10"/>
      <c r="C31" s="10"/>
      <c r="D31" s="10">
        <f>B27+B30</f>
        <v>150000</v>
      </c>
    </row>
    <row r="32" spans="1:12">
      <c r="A32" s="26" t="s">
        <v>58</v>
      </c>
      <c r="B32" s="10"/>
      <c r="C32" s="10"/>
      <c r="D32" s="10"/>
    </row>
    <row r="33" spans="1:17">
      <c r="A33" s="34" t="s">
        <v>59</v>
      </c>
      <c r="B33" s="10"/>
      <c r="C33" s="10">
        <f>ＰＬＨ29年度!C34</f>
        <v>-1827800</v>
      </c>
      <c r="D33" s="10"/>
    </row>
    <row r="34" spans="1:17">
      <c r="A34" s="34" t="s">
        <v>60</v>
      </c>
      <c r="B34" s="10"/>
      <c r="C34" s="21">
        <f>平成30年度!E35</f>
        <v>3487200</v>
      </c>
      <c r="D34" s="10"/>
    </row>
    <row r="35" spans="1:17">
      <c r="A35" s="34" t="s">
        <v>61</v>
      </c>
      <c r="B35" s="10"/>
      <c r="C35" s="10"/>
      <c r="D35" s="21">
        <f>SUM(C33:C34)</f>
        <v>1659400</v>
      </c>
    </row>
    <row r="36" spans="1:17">
      <c r="A36" s="37" t="s">
        <v>62</v>
      </c>
      <c r="B36" s="21"/>
      <c r="C36" s="21"/>
      <c r="D36" s="21">
        <f>D31+D35</f>
        <v>1809400</v>
      </c>
    </row>
    <row r="38" spans="1:17">
      <c r="P38" s="52"/>
    </row>
    <row r="39" spans="1:17">
      <c r="M39" s="51"/>
      <c r="P39" s="52"/>
      <c r="Q39" s="51"/>
    </row>
  </sheetData>
  <mergeCells count="3">
    <mergeCell ref="A1:D1"/>
    <mergeCell ref="A2:D2"/>
    <mergeCell ref="B3:D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3</vt:i4>
      </vt:variant>
    </vt:vector>
  </HeadingPairs>
  <TitlesOfParts>
    <vt:vector size="12" baseType="lpstr">
      <vt:lpstr>コーリングサポ</vt:lpstr>
      <vt:lpstr>基礎</vt:lpstr>
      <vt:lpstr>表紙</vt:lpstr>
      <vt:lpstr>事業計画書</vt:lpstr>
      <vt:lpstr>財産目録</vt:lpstr>
      <vt:lpstr>平成29年度</vt:lpstr>
      <vt:lpstr>平成30年度</vt:lpstr>
      <vt:lpstr>ＰＬＨ29年度</vt:lpstr>
      <vt:lpstr>ＰＬＨ30年度</vt:lpstr>
      <vt:lpstr>コーリングサポ!Print_Area</vt:lpstr>
      <vt:lpstr>基礎!Print_Area</vt:lpstr>
      <vt:lpstr>コーリングサポ!Print_Titles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USER</cp:lastModifiedBy>
  <cp:lastPrinted>2016-08-11T00:26:02Z</cp:lastPrinted>
  <dcterms:created xsi:type="dcterms:W3CDTF">2014-03-29T00:07:08Z</dcterms:created>
  <dcterms:modified xsi:type="dcterms:W3CDTF">2021-09-13T01:02:55Z</dcterms:modified>
</cp:coreProperties>
</file>