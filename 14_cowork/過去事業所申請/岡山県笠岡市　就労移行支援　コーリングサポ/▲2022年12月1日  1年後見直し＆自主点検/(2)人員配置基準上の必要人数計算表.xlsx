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G:\共有ドライブ\福祉関連【ボード用】\00.コーリングサポ笠岡資料\01.申請書類\▲2022年12月1日  1年後見直し＆自主点検\"/>
    </mc:Choice>
  </mc:AlternateContent>
  <xr:revisionPtr revIDLastSave="0" documentId="13_ncr:1_{313EE9F0-9550-4E9F-9691-D90BDD13514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就労移行" sheetId="1" r:id="rId1"/>
    <sheet name="就労移行 (記載例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D10" i="2"/>
  <c r="E10" i="2" s="1"/>
  <c r="D7" i="2"/>
  <c r="E7" i="2" s="1"/>
  <c r="D15" i="1"/>
  <c r="D10" i="1"/>
  <c r="E10" i="1" s="1"/>
  <c r="D7" i="1"/>
  <c r="E7" i="1" s="1"/>
</calcChain>
</file>

<file path=xl/sharedStrings.xml><?xml version="1.0" encoding="utf-8"?>
<sst xmlns="http://schemas.openxmlformats.org/spreadsheetml/2006/main" count="42" uniqueCount="16">
  <si>
    <t>人員配置基準上の必要人数計算表</t>
  </si>
  <si>
    <t>　・就労移行支援</t>
  </si>
  <si>
    <t>対象期間：○○　　年　　月から令和　　年　　月まで</t>
  </si>
  <si>
    <t>　　　　職業指導員及び生活支援員の総数（それぞれ１人以上、また、いずれか１人以上常勤）</t>
  </si>
  <si>
    <t>延べ利用者数（A）</t>
  </si>
  <si>
    <t>開所日数（B）</t>
  </si>
  <si>
    <t>前年度の平均値（C）＝A/B</t>
  </si>
  <si>
    <t>基準上の必要人数（D)＝C/6　</t>
  </si>
  <si>
    <t>　　　　就労支援員（１人以上は常勤）</t>
  </si>
  <si>
    <t>※認定指定就労移行支援の場合、就労支援員は配置を要しない。</t>
  </si>
  <si>
    <t>基準上の必要人数（D)＝C/１５　</t>
  </si>
  <si>
    <t>※算出結果については、（Ｃ）は小数点第２位以下を切上げます。</t>
  </si>
  <si>
    <t>　　　　サービス管理責任者（1人以上は常勤）</t>
  </si>
  <si>
    <t>（C)の値が６０人以下：１人以上</t>
  </si>
  <si>
    <t>（C)の値が６１人以上：１人に、利用者数が６０人を超えて４０又はその端数を増すごとに１人を加えて得た数以上</t>
  </si>
  <si>
    <t>対象期間：令和３年１２月から令和４年11月まで</t>
    <rPh sb="5" eb="7">
      <t>レイワ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</si>
</sst>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8" fillId="0" borderId="0" applyBorder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38" fontId="5" fillId="2" borderId="1" xfId="1" applyFont="1" applyFill="1" applyBorder="1" applyAlignment="1" applyProtection="1">
      <alignment vertical="center"/>
    </xf>
    <xf numFmtId="3" fontId="5" fillId="2" borderId="1" xfId="0" applyNumberFormat="1" applyFont="1" applyFill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38" fontId="7" fillId="0" borderId="0" xfId="1" applyFont="1" applyBorder="1" applyAlignment="1" applyProtection="1">
      <alignment vertical="center"/>
    </xf>
    <xf numFmtId="0" fontId="1" fillId="0" borderId="0" xfId="0" applyFont="1" applyAlignment="1">
      <alignment horizontal="right" vertical="center"/>
    </xf>
    <xf numFmtId="38" fontId="0" fillId="0" borderId="1" xfId="1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176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0" xfId="0" applyFont="1" applyBorder="1" applyAlignment="1">
      <alignment horizontal="left" vertical="center" wrapText="1"/>
    </xf>
    <xf numFmtId="38" fontId="5" fillId="3" borderId="1" xfId="1" applyFont="1" applyFill="1" applyBorder="1" applyAlignment="1" applyProtection="1">
      <alignment vertical="center"/>
    </xf>
    <xf numFmtId="3" fontId="5" fillId="3" borderId="1" xfId="0" applyNumberFormat="1" applyFont="1" applyFill="1" applyBorder="1" applyAlignment="1">
      <alignment vertical="center"/>
    </xf>
  </cellXfs>
  <cellStyles count="2">
    <cellStyle name="Excel Built-in Comma [0]" xfId="1" xr:uid="{00000000-0005-0000-0000-000000000000}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7"/>
  <sheetViews>
    <sheetView tabSelected="1" zoomScaleNormal="100" zoomScaleSheetLayoutView="100" zoomScalePageLayoutView="90" workbookViewId="0">
      <selection activeCell="C4" sqref="C4"/>
    </sheetView>
  </sheetViews>
  <sheetFormatPr defaultColWidth="8.625" defaultRowHeight="13.5" x14ac:dyDescent="0.15"/>
  <cols>
    <col min="2" max="2" width="16.125" customWidth="1"/>
    <col min="3" max="3" width="17" customWidth="1"/>
    <col min="4" max="4" width="23.375" customWidth="1"/>
    <col min="5" max="5" width="24.5" customWidth="1"/>
    <col min="6" max="6" width="29.625" customWidth="1"/>
  </cols>
  <sheetData>
    <row r="1" spans="1:6" ht="20.25" customHeight="1" x14ac:dyDescent="0.15">
      <c r="A1" s="1" t="s">
        <v>0</v>
      </c>
    </row>
    <row r="2" spans="1:6" ht="20.25" customHeight="1" x14ac:dyDescent="0.15"/>
    <row r="3" spans="1:6" ht="20.25" customHeight="1" x14ac:dyDescent="0.15">
      <c r="A3" s="1" t="s">
        <v>1</v>
      </c>
      <c r="C3" s="2" t="s">
        <v>15</v>
      </c>
      <c r="F3" s="3"/>
    </row>
    <row r="4" spans="1:6" s="5" customFormat="1" ht="20.25" customHeight="1" x14ac:dyDescent="0.15">
      <c r="A4" s="4"/>
    </row>
    <row r="5" spans="1:6" s="1" customFormat="1" ht="20.25" customHeight="1" x14ac:dyDescent="0.15">
      <c r="A5" s="1" t="s">
        <v>3</v>
      </c>
    </row>
    <row r="6" spans="1:6" ht="20.25" customHeight="1" x14ac:dyDescent="0.15">
      <c r="B6" s="6" t="s">
        <v>4</v>
      </c>
      <c r="C6" s="6" t="s">
        <v>5</v>
      </c>
      <c r="D6" s="6" t="s">
        <v>6</v>
      </c>
      <c r="E6" s="6" t="s">
        <v>7</v>
      </c>
    </row>
    <row r="7" spans="1:6" ht="20.25" customHeight="1" x14ac:dyDescent="0.15">
      <c r="B7" s="23">
        <v>204</v>
      </c>
      <c r="C7" s="24">
        <v>102</v>
      </c>
      <c r="D7" s="9">
        <f>ROUNDUP(B7/C7,1)</f>
        <v>2</v>
      </c>
      <c r="E7" s="10">
        <f>ROUNDDOWN(D7/6,1)</f>
        <v>0.3</v>
      </c>
    </row>
    <row r="8" spans="1:6" s="1" customFormat="1" ht="20.25" customHeight="1" x14ac:dyDescent="0.15">
      <c r="A8" s="11" t="s">
        <v>8</v>
      </c>
      <c r="C8" s="12"/>
      <c r="F8" s="13" t="s">
        <v>9</v>
      </c>
    </row>
    <row r="9" spans="1:6" ht="20.25" customHeight="1" x14ac:dyDescent="0.15">
      <c r="B9" s="14" t="s">
        <v>4</v>
      </c>
      <c r="C9" s="6" t="s">
        <v>5</v>
      </c>
      <c r="D9" s="6" t="s">
        <v>6</v>
      </c>
      <c r="E9" s="6" t="s">
        <v>10</v>
      </c>
    </row>
    <row r="10" spans="1:6" ht="20.25" customHeight="1" x14ac:dyDescent="0.15">
      <c r="B10" s="23">
        <v>204</v>
      </c>
      <c r="C10" s="24">
        <v>102</v>
      </c>
      <c r="D10" s="9">
        <f>ROUNDUP(B10/C10,1)</f>
        <v>2</v>
      </c>
      <c r="E10" s="10">
        <f>IF(ROUNDDOWN(D10/15,1)&gt;=1,ROUNDDOWN(D10/15,1),1)</f>
        <v>1</v>
      </c>
    </row>
    <row r="11" spans="1:6" s="15" customFormat="1" ht="20.25" customHeight="1" x14ac:dyDescent="0.15">
      <c r="B11" s="16" t="s">
        <v>11</v>
      </c>
      <c r="C11" s="17"/>
      <c r="D11" s="17"/>
      <c r="E11" s="18"/>
      <c r="F11" s="19"/>
    </row>
    <row r="12" spans="1:6" s="15" customFormat="1" ht="20.25" customHeight="1" x14ac:dyDescent="0.15">
      <c r="B12" s="16"/>
      <c r="C12" s="17"/>
      <c r="D12" s="17"/>
      <c r="E12" s="18"/>
      <c r="F12" s="19"/>
    </row>
    <row r="13" spans="1:6" s="1" customFormat="1" ht="20.25" customHeight="1" x14ac:dyDescent="0.15">
      <c r="A13" s="1" t="s">
        <v>12</v>
      </c>
    </row>
    <row r="14" spans="1:6" s="1" customFormat="1" ht="20.25" customHeight="1" x14ac:dyDescent="0.15">
      <c r="B14" s="6" t="s">
        <v>4</v>
      </c>
      <c r="C14" s="6" t="s">
        <v>5</v>
      </c>
      <c r="D14" s="20" t="s">
        <v>6</v>
      </c>
    </row>
    <row r="15" spans="1:6" s="1" customFormat="1" ht="20.25" customHeight="1" x14ac:dyDescent="0.15">
      <c r="B15" s="24">
        <v>204</v>
      </c>
      <c r="C15" s="24">
        <v>102</v>
      </c>
      <c r="D15" s="9">
        <f>ROUNDUP(B15/C15,1)</f>
        <v>2</v>
      </c>
    </row>
    <row r="16" spans="1:6" s="21" customFormat="1" ht="20.25" customHeight="1" x14ac:dyDescent="0.15">
      <c r="B16" s="21" t="s">
        <v>13</v>
      </c>
      <c r="D16" s="17"/>
      <c r="E16" s="17"/>
    </row>
    <row r="17" spans="2:6" ht="20.25" customHeight="1" x14ac:dyDescent="0.15">
      <c r="B17" s="22" t="s">
        <v>14</v>
      </c>
      <c r="C17" s="22"/>
      <c r="D17" s="22"/>
      <c r="E17" s="22"/>
      <c r="F17" s="22"/>
    </row>
  </sheetData>
  <mergeCells count="1">
    <mergeCell ref="B17:F17"/>
  </mergeCells>
  <phoneticPr fontId="9"/>
  <pageMargins left="0.75" right="0.75" top="1" bottom="1" header="0.51180555555555596" footer="0.511811023622047"/>
  <pageSetup paperSize="9" orientation="landscape" horizontalDpi="300" verticalDpi="300" r:id="rId1"/>
  <headerFooter>
    <oddHeader>&amp;R別表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J17"/>
  <sheetViews>
    <sheetView view="pageBreakPreview" topLeftCell="B2" zoomScaleNormal="100" zoomScaleSheetLayoutView="100" zoomScalePageLayoutView="90" workbookViewId="0">
      <selection activeCell="C4" sqref="C4"/>
    </sheetView>
  </sheetViews>
  <sheetFormatPr defaultColWidth="9" defaultRowHeight="13.5" x14ac:dyDescent="0.15"/>
  <cols>
    <col min="1" max="1" width="9" style="21"/>
    <col min="2" max="2" width="16.125" style="21" customWidth="1"/>
    <col min="3" max="3" width="17" style="21" customWidth="1"/>
    <col min="4" max="4" width="23.375" style="21" customWidth="1"/>
    <col min="5" max="5" width="24.5" style="21" customWidth="1"/>
    <col min="6" max="6" width="29.625" style="21" customWidth="1"/>
    <col min="7" max="1024" width="9" style="21"/>
  </cols>
  <sheetData>
    <row r="1" spans="1:6" ht="20.25" customHeight="1" x14ac:dyDescent="0.15">
      <c r="A1" s="1" t="s">
        <v>0</v>
      </c>
    </row>
    <row r="2" spans="1:6" ht="20.25" customHeight="1" x14ac:dyDescent="0.15"/>
    <row r="3" spans="1:6" ht="20.25" customHeight="1" x14ac:dyDescent="0.15">
      <c r="A3" s="1" t="s">
        <v>1</v>
      </c>
      <c r="C3" s="2" t="s">
        <v>2</v>
      </c>
      <c r="F3" s="3"/>
    </row>
    <row r="4" spans="1:6" s="5" customFormat="1" ht="20.25" customHeight="1" x14ac:dyDescent="0.15">
      <c r="A4" s="4"/>
    </row>
    <row r="5" spans="1:6" s="1" customFormat="1" ht="20.25" customHeight="1" x14ac:dyDescent="0.15">
      <c r="A5" s="1" t="s">
        <v>3</v>
      </c>
    </row>
    <row r="6" spans="1:6" ht="20.25" customHeight="1" x14ac:dyDescent="0.15">
      <c r="B6" s="6" t="s">
        <v>4</v>
      </c>
      <c r="C6" s="6" t="s">
        <v>5</v>
      </c>
      <c r="D6" s="6" t="s">
        <v>6</v>
      </c>
      <c r="E6" s="6" t="s">
        <v>7</v>
      </c>
    </row>
    <row r="7" spans="1:6" ht="20.25" customHeight="1" x14ac:dyDescent="0.15">
      <c r="B7" s="7">
        <v>4035</v>
      </c>
      <c r="C7" s="8">
        <v>269</v>
      </c>
      <c r="D7" s="9">
        <f>ROUNDUP(B7/C7,1)</f>
        <v>15</v>
      </c>
      <c r="E7" s="10">
        <f>ROUNDDOWN(D7/6,1)</f>
        <v>2.5</v>
      </c>
    </row>
    <row r="8" spans="1:6" s="1" customFormat="1" ht="20.25" customHeight="1" x14ac:dyDescent="0.15">
      <c r="A8" s="11" t="s">
        <v>8</v>
      </c>
      <c r="C8" s="12"/>
      <c r="F8" s="13" t="s">
        <v>9</v>
      </c>
    </row>
    <row r="9" spans="1:6" ht="20.25" customHeight="1" x14ac:dyDescent="0.15">
      <c r="B9" s="14" t="s">
        <v>4</v>
      </c>
      <c r="C9" s="6" t="s">
        <v>5</v>
      </c>
      <c r="D9" s="6" t="s">
        <v>6</v>
      </c>
      <c r="E9" s="6" t="s">
        <v>10</v>
      </c>
    </row>
    <row r="10" spans="1:6" ht="20.25" customHeight="1" x14ac:dyDescent="0.15">
      <c r="B10" s="7">
        <v>4035</v>
      </c>
      <c r="C10" s="8">
        <v>269</v>
      </c>
      <c r="D10" s="9">
        <f>ROUNDUP(B10/C10,1)</f>
        <v>15</v>
      </c>
      <c r="E10" s="10">
        <f>IF(ROUNDDOWN(D10/15,1)&gt;=1,ROUNDDOWN(D10/15,1),1)</f>
        <v>1</v>
      </c>
    </row>
    <row r="11" spans="1:6" s="15" customFormat="1" ht="20.25" customHeight="1" x14ac:dyDescent="0.15">
      <c r="B11" s="16" t="s">
        <v>11</v>
      </c>
      <c r="C11" s="17"/>
      <c r="D11" s="17"/>
      <c r="E11" s="18"/>
      <c r="F11" s="19"/>
    </row>
    <row r="12" spans="1:6" s="15" customFormat="1" ht="20.25" customHeight="1" x14ac:dyDescent="0.15">
      <c r="B12" s="16"/>
      <c r="C12" s="17"/>
      <c r="D12" s="17"/>
      <c r="E12" s="18"/>
      <c r="F12" s="19"/>
    </row>
    <row r="13" spans="1:6" s="1" customFormat="1" ht="20.25" customHeight="1" x14ac:dyDescent="0.15">
      <c r="A13" s="1" t="s">
        <v>12</v>
      </c>
    </row>
    <row r="14" spans="1:6" s="1" customFormat="1" ht="20.25" customHeight="1" x14ac:dyDescent="0.15">
      <c r="B14" s="6" t="s">
        <v>4</v>
      </c>
      <c r="C14" s="6" t="s">
        <v>5</v>
      </c>
      <c r="D14" s="20" t="s">
        <v>6</v>
      </c>
    </row>
    <row r="15" spans="1:6" s="1" customFormat="1" ht="20.25" customHeight="1" x14ac:dyDescent="0.15">
      <c r="B15" s="8">
        <v>4135</v>
      </c>
      <c r="C15" s="8">
        <v>269</v>
      </c>
      <c r="D15" s="9">
        <f>ROUNDUP(B15/C15,1)</f>
        <v>15.4</v>
      </c>
    </row>
    <row r="16" spans="1:6" ht="20.25" customHeight="1" x14ac:dyDescent="0.15">
      <c r="B16" s="21" t="s">
        <v>13</v>
      </c>
      <c r="D16" s="17"/>
      <c r="E16" s="17"/>
    </row>
    <row r="17" spans="2:6" ht="20.25" customHeight="1" x14ac:dyDescent="0.15">
      <c r="B17" s="22" t="s">
        <v>14</v>
      </c>
      <c r="C17" s="22"/>
      <c r="D17" s="22"/>
      <c r="E17" s="22"/>
      <c r="F17" s="22"/>
    </row>
  </sheetData>
  <mergeCells count="1">
    <mergeCell ref="B17:F17"/>
  </mergeCells>
  <phoneticPr fontId="9"/>
  <pageMargins left="0.75" right="0.75" top="1" bottom="1" header="0.51180555555555596" footer="0.511811023622047"/>
  <pageSetup paperSize="9" orientation="landscape" horizontalDpi="300" verticalDpi="300" r:id="rId1"/>
  <headerFooter>
    <oddHeader>&amp;R別表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就労移行</vt:lpstr>
      <vt:lpstr>就労移行 (記載例)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okayamaken</dc:creator>
  <dc:description/>
  <cp:lastModifiedBy>住吉</cp:lastModifiedBy>
  <cp:revision>0</cp:revision>
  <cp:lastPrinted>2019-05-24T09:07:34Z</cp:lastPrinted>
  <dcterms:created xsi:type="dcterms:W3CDTF">2007-08-31T06:54:55Z</dcterms:created>
  <dcterms:modified xsi:type="dcterms:W3CDTF">2022-10-07T11:42:21Z</dcterms:modified>
  <dc:language>ja-JP</dc:language>
</cp:coreProperties>
</file>