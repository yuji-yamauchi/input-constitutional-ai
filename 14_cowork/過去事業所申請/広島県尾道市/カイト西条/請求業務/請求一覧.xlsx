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4000" windowHeight="14250" activeTab="3"/>
  </bookViews>
  <sheets>
    <sheet name="1月支払" sheetId="1" r:id="rId1"/>
    <sheet name="２月支払" sheetId="2" r:id="rId2"/>
    <sheet name="西条３月支払" sheetId="3" r:id="rId3"/>
    <sheet name="西条4月支払" sheetId="4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3" l="1"/>
  <c r="F42" i="3"/>
  <c r="F41" i="3"/>
  <c r="F40" i="3"/>
  <c r="F39" i="3"/>
  <c r="F38" i="3"/>
  <c r="F37" i="3"/>
  <c r="F36" i="3"/>
  <c r="F35" i="3"/>
  <c r="F34" i="3"/>
  <c r="F20" i="3"/>
  <c r="F15" i="3" l="1"/>
  <c r="F42" i="4"/>
  <c r="F41" i="4"/>
  <c r="F40" i="4"/>
  <c r="F39" i="4"/>
  <c r="F38" i="4"/>
  <c r="F37" i="4"/>
  <c r="F36" i="4"/>
  <c r="F35" i="4"/>
  <c r="C35" i="4"/>
  <c r="F34" i="4"/>
  <c r="F43" i="4" s="1"/>
  <c r="C30" i="4"/>
  <c r="F20" i="4"/>
  <c r="F15" i="4"/>
  <c r="F43" i="3" l="1"/>
  <c r="C30" i="3"/>
  <c r="C35" i="2" l="1"/>
  <c r="F35" i="2"/>
  <c r="F36" i="2"/>
  <c r="F37" i="2"/>
  <c r="F38" i="2"/>
  <c r="F39" i="2"/>
  <c r="F40" i="2"/>
  <c r="F41" i="2"/>
  <c r="F42" i="2"/>
  <c r="F34" i="2"/>
  <c r="F43" i="2" l="1"/>
  <c r="C30" i="2"/>
  <c r="F20" i="2"/>
  <c r="F6" i="2" l="1"/>
  <c r="F15" i="2" s="1"/>
  <c r="F22" i="1" l="1"/>
  <c r="F6" i="1"/>
  <c r="F5" i="1"/>
  <c r="F8" i="1" s="1"/>
</calcChain>
</file>

<file path=xl/sharedStrings.xml><?xml version="1.0" encoding="utf-8"?>
<sst xmlns="http://schemas.openxmlformats.org/spreadsheetml/2006/main" count="225" uniqueCount="86">
  <si>
    <t>支払先</t>
    <rPh sb="0" eb="2">
      <t>シハライ</t>
    </rPh>
    <rPh sb="2" eb="3">
      <t>サキ</t>
    </rPh>
    <phoneticPr fontId="2"/>
  </si>
  <si>
    <t>内容</t>
    <rPh sb="0" eb="2">
      <t>ナイヨウ</t>
    </rPh>
    <phoneticPr fontId="2"/>
  </si>
  <si>
    <t>請求日</t>
    <rPh sb="0" eb="2">
      <t>セイキュウ</t>
    </rPh>
    <rPh sb="2" eb="3">
      <t>ビ</t>
    </rPh>
    <phoneticPr fontId="2"/>
  </si>
  <si>
    <t>金額</t>
    <rPh sb="0" eb="2">
      <t>キンガク</t>
    </rPh>
    <phoneticPr fontId="2"/>
  </si>
  <si>
    <t>支払予定日</t>
    <rPh sb="0" eb="2">
      <t>シハラ</t>
    </rPh>
    <rPh sb="2" eb="4">
      <t>ヨテイ</t>
    </rPh>
    <rPh sb="4" eb="5">
      <t>ヒ</t>
    </rPh>
    <phoneticPr fontId="2"/>
  </si>
  <si>
    <t>支払方法</t>
    <rPh sb="0" eb="2">
      <t>シハラ</t>
    </rPh>
    <rPh sb="2" eb="4">
      <t>ホウホウ</t>
    </rPh>
    <phoneticPr fontId="2"/>
  </si>
  <si>
    <t>有）宣光社</t>
    <rPh sb="0" eb="1">
      <t>ユウ</t>
    </rPh>
    <rPh sb="2" eb="4">
      <t>ノブミツ</t>
    </rPh>
    <rPh sb="4" eb="5">
      <t>シャ</t>
    </rPh>
    <phoneticPr fontId="2"/>
  </si>
  <si>
    <t>看板アルミ複合版</t>
    <rPh sb="0" eb="2">
      <t>カンバン</t>
    </rPh>
    <rPh sb="5" eb="7">
      <t>フクゴウ</t>
    </rPh>
    <rPh sb="7" eb="8">
      <t>バン</t>
    </rPh>
    <phoneticPr fontId="2"/>
  </si>
  <si>
    <t>㈱アクシアシコム</t>
    <phoneticPr fontId="2"/>
  </si>
  <si>
    <t>インターネットプロバイダ料金</t>
    <rPh sb="12" eb="14">
      <t>リョウキン</t>
    </rPh>
    <phoneticPr fontId="2"/>
  </si>
  <si>
    <t>こさこ電気</t>
    <rPh sb="3" eb="5">
      <t>デンキ</t>
    </rPh>
    <phoneticPr fontId="2"/>
  </si>
  <si>
    <t>事務所テレビ設置工事等</t>
    <rPh sb="0" eb="2">
      <t>ジム</t>
    </rPh>
    <rPh sb="2" eb="3">
      <t>ショ</t>
    </rPh>
    <rPh sb="6" eb="8">
      <t>セッチ</t>
    </rPh>
    <rPh sb="8" eb="10">
      <t>コウジ</t>
    </rPh>
    <rPh sb="10" eb="11">
      <t>トウ</t>
    </rPh>
    <phoneticPr fontId="2"/>
  </si>
  <si>
    <t>晴れの国</t>
    <rPh sb="0" eb="1">
      <t>ハ</t>
    </rPh>
    <rPh sb="3" eb="4">
      <t>クニ</t>
    </rPh>
    <phoneticPr fontId="2"/>
  </si>
  <si>
    <t>ＤＶＤ100枚（コピー代込）</t>
    <rPh sb="6" eb="7">
      <t>マイ</t>
    </rPh>
    <rPh sb="11" eb="12">
      <t>ダイ</t>
    </rPh>
    <rPh sb="12" eb="13">
      <t>コ</t>
    </rPh>
    <phoneticPr fontId="2"/>
  </si>
  <si>
    <t>ゴトウ石油㈱</t>
    <rPh sb="3" eb="5">
      <t>セキユ</t>
    </rPh>
    <phoneticPr fontId="2"/>
  </si>
  <si>
    <t>ガソリン代</t>
    <rPh sb="4" eb="5">
      <t>ダイ</t>
    </rPh>
    <phoneticPr fontId="2"/>
  </si>
  <si>
    <t>振込</t>
    <rPh sb="0" eb="2">
      <t>フリコミ</t>
    </rPh>
    <phoneticPr fontId="2"/>
  </si>
  <si>
    <t>中国電力</t>
    <rPh sb="0" eb="2">
      <t>チュウゴク</t>
    </rPh>
    <rPh sb="2" eb="4">
      <t>デンリョク</t>
    </rPh>
    <phoneticPr fontId="2"/>
  </si>
  <si>
    <t>電気代11月分</t>
    <rPh sb="0" eb="3">
      <t>デンキダイ</t>
    </rPh>
    <rPh sb="5" eb="7">
      <t>ガツブン</t>
    </rPh>
    <phoneticPr fontId="2"/>
  </si>
  <si>
    <t>㈱セデナ</t>
    <phoneticPr fontId="2"/>
  </si>
  <si>
    <t>複合機トナー代</t>
    <rPh sb="0" eb="3">
      <t>フクゴウキ</t>
    </rPh>
    <rPh sb="6" eb="7">
      <t>ダイ</t>
    </rPh>
    <phoneticPr fontId="2"/>
  </si>
  <si>
    <t>ＮＴＴファイナンス</t>
    <phoneticPr fontId="2"/>
  </si>
  <si>
    <t>電話代12月分</t>
    <rPh sb="0" eb="3">
      <t>デンワダイ</t>
    </rPh>
    <rPh sb="5" eb="6">
      <t>ガツ</t>
    </rPh>
    <rPh sb="6" eb="7">
      <t>ブン</t>
    </rPh>
    <phoneticPr fontId="2"/>
  </si>
  <si>
    <t>電話代11月分＋新規工事代</t>
    <rPh sb="0" eb="3">
      <t>デンワダイ</t>
    </rPh>
    <rPh sb="5" eb="6">
      <t>ガツ</t>
    </rPh>
    <rPh sb="6" eb="7">
      <t>ブン</t>
    </rPh>
    <rPh sb="8" eb="10">
      <t>シンキ</t>
    </rPh>
    <rPh sb="10" eb="13">
      <t>コウジダイ</t>
    </rPh>
    <phoneticPr fontId="2"/>
  </si>
  <si>
    <t>ＳＭＢＣファイナンスサービス</t>
    <phoneticPr fontId="2"/>
  </si>
  <si>
    <t>11月分請求</t>
    <rPh sb="2" eb="4">
      <t>ガツブン</t>
    </rPh>
    <rPh sb="4" eb="6">
      <t>セイキュウ</t>
    </rPh>
    <phoneticPr fontId="2"/>
  </si>
  <si>
    <t>現金</t>
    <rPh sb="0" eb="2">
      <t>ゲンキン</t>
    </rPh>
    <phoneticPr fontId="2"/>
  </si>
  <si>
    <t>12月分</t>
    <rPh sb="2" eb="4">
      <t>ガツブン</t>
    </rPh>
    <phoneticPr fontId="2"/>
  </si>
  <si>
    <t>日本年金機構</t>
    <rPh sb="0" eb="2">
      <t>ニホン</t>
    </rPh>
    <rPh sb="2" eb="4">
      <t>ネンキン</t>
    </rPh>
    <rPh sb="4" eb="6">
      <t>キコウ</t>
    </rPh>
    <phoneticPr fontId="2"/>
  </si>
  <si>
    <t>社会保険料11月分</t>
    <rPh sb="0" eb="2">
      <t>シャカイ</t>
    </rPh>
    <rPh sb="2" eb="5">
      <t>ホケンリョウ</t>
    </rPh>
    <rPh sb="7" eb="9">
      <t>ガツブン</t>
    </rPh>
    <phoneticPr fontId="2"/>
  </si>
  <si>
    <t>従業員</t>
    <rPh sb="0" eb="3">
      <t>ジュウギョウイン</t>
    </rPh>
    <phoneticPr fontId="2"/>
  </si>
  <si>
    <t>利用者</t>
    <rPh sb="0" eb="3">
      <t>リヨウシャ</t>
    </rPh>
    <phoneticPr fontId="2"/>
  </si>
  <si>
    <t>12月分給料（別紙参照）</t>
    <rPh sb="2" eb="4">
      <t>ガツブン</t>
    </rPh>
    <rPh sb="4" eb="6">
      <t>キュウリョウ</t>
    </rPh>
    <rPh sb="7" eb="9">
      <t>ベッシ</t>
    </rPh>
    <rPh sb="9" eb="11">
      <t>サンショウ</t>
    </rPh>
    <phoneticPr fontId="2"/>
  </si>
  <si>
    <t>12月分工賃（別紙参照）</t>
    <rPh sb="2" eb="4">
      <t>ガツブン</t>
    </rPh>
    <rPh sb="4" eb="6">
      <t>コウチン</t>
    </rPh>
    <phoneticPr fontId="2"/>
  </si>
  <si>
    <t>1月支払（11月末〆等）　1月9日支払</t>
    <rPh sb="1" eb="2">
      <t>ガツ</t>
    </rPh>
    <rPh sb="2" eb="4">
      <t>シハラ</t>
    </rPh>
    <rPh sb="7" eb="8">
      <t>ガツ</t>
    </rPh>
    <rPh sb="8" eb="9">
      <t>マツ</t>
    </rPh>
    <rPh sb="10" eb="11">
      <t>トウ</t>
    </rPh>
    <rPh sb="14" eb="15">
      <t>ガツ</t>
    </rPh>
    <rPh sb="16" eb="17">
      <t>ニチ</t>
    </rPh>
    <rPh sb="17" eb="19">
      <t>シハラ</t>
    </rPh>
    <phoneticPr fontId="2"/>
  </si>
  <si>
    <t>1月支払（11月末〆等）　1月15日支払</t>
    <rPh sb="1" eb="2">
      <t>ガツ</t>
    </rPh>
    <rPh sb="2" eb="4">
      <t>シハラ</t>
    </rPh>
    <rPh sb="7" eb="8">
      <t>ガツ</t>
    </rPh>
    <rPh sb="8" eb="9">
      <t>マツ</t>
    </rPh>
    <rPh sb="10" eb="11">
      <t>トウ</t>
    </rPh>
    <rPh sb="14" eb="15">
      <t>ガツ</t>
    </rPh>
    <rPh sb="17" eb="18">
      <t>ニチ</t>
    </rPh>
    <rPh sb="18" eb="20">
      <t>シハラ</t>
    </rPh>
    <phoneticPr fontId="2"/>
  </si>
  <si>
    <t>1月支払（12月末〆等）　1月15日支払</t>
    <rPh sb="1" eb="2">
      <t>ガツ</t>
    </rPh>
    <rPh sb="2" eb="4">
      <t>シハラ</t>
    </rPh>
    <rPh sb="7" eb="8">
      <t>ガツ</t>
    </rPh>
    <rPh sb="8" eb="9">
      <t>マツ</t>
    </rPh>
    <rPh sb="10" eb="11">
      <t>トウ</t>
    </rPh>
    <rPh sb="14" eb="15">
      <t>ガツ</t>
    </rPh>
    <rPh sb="17" eb="18">
      <t>ニチ</t>
    </rPh>
    <rPh sb="18" eb="20">
      <t>シハラ</t>
    </rPh>
    <phoneticPr fontId="2"/>
  </si>
  <si>
    <t>アーバンハウス</t>
    <phoneticPr fontId="2"/>
  </si>
  <si>
    <t>車庫証明等</t>
    <rPh sb="0" eb="2">
      <t>シャコ</t>
    </rPh>
    <rPh sb="2" eb="5">
      <t>ショウメイトウ</t>
    </rPh>
    <phoneticPr fontId="2"/>
  </si>
  <si>
    <t>高垣設備</t>
    <rPh sb="0" eb="2">
      <t>タカガキ</t>
    </rPh>
    <rPh sb="2" eb="4">
      <t>セツビ</t>
    </rPh>
    <phoneticPr fontId="2"/>
  </si>
  <si>
    <t>給湯器取り付け・ガス料金</t>
    <rPh sb="0" eb="3">
      <t>キュウトウキ</t>
    </rPh>
    <rPh sb="3" eb="4">
      <t>ト</t>
    </rPh>
    <rPh sb="5" eb="6">
      <t>ツ</t>
    </rPh>
    <rPh sb="10" eb="12">
      <t>リョウキン</t>
    </rPh>
    <phoneticPr fontId="2"/>
  </si>
  <si>
    <t>(有)タイヤセンター</t>
    <rPh sb="0" eb="3">
      <t>ユウゲンガイシャ</t>
    </rPh>
    <phoneticPr fontId="2"/>
  </si>
  <si>
    <t>ストリーム　タイヤ交換</t>
    <rPh sb="9" eb="11">
      <t>コウカン</t>
    </rPh>
    <phoneticPr fontId="2"/>
  </si>
  <si>
    <t>1月分給料（別紙参照）</t>
    <rPh sb="1" eb="3">
      <t>ガツブン</t>
    </rPh>
    <rPh sb="3" eb="5">
      <t>キュウリョウ</t>
    </rPh>
    <rPh sb="6" eb="8">
      <t>ベッシ</t>
    </rPh>
    <rPh sb="8" eb="10">
      <t>サンショウ</t>
    </rPh>
    <phoneticPr fontId="2"/>
  </si>
  <si>
    <t>1月分工賃（別紙参照）</t>
    <rPh sb="1" eb="3">
      <t>ガツブン</t>
    </rPh>
    <rPh sb="3" eb="5">
      <t>コウチン</t>
    </rPh>
    <phoneticPr fontId="2"/>
  </si>
  <si>
    <t>電話代</t>
    <rPh sb="0" eb="3">
      <t>デンワダイ</t>
    </rPh>
    <phoneticPr fontId="2"/>
  </si>
  <si>
    <t>１月分電話代</t>
    <rPh sb="1" eb="3">
      <t>ガツブン</t>
    </rPh>
    <rPh sb="3" eb="6">
      <t>デンワダイ</t>
    </rPh>
    <phoneticPr fontId="2"/>
  </si>
  <si>
    <t>1月分</t>
    <rPh sb="1" eb="3">
      <t>ガツブン</t>
    </rPh>
    <phoneticPr fontId="2"/>
  </si>
  <si>
    <t>社会保険料12月分</t>
    <rPh sb="0" eb="2">
      <t>シャカイ</t>
    </rPh>
    <rPh sb="2" eb="5">
      <t>ホケンリョウ</t>
    </rPh>
    <rPh sb="7" eb="9">
      <t>ガツブン</t>
    </rPh>
    <phoneticPr fontId="2"/>
  </si>
  <si>
    <t>し尿汲み取り</t>
    <rPh sb="1" eb="2">
      <t>ニョウ</t>
    </rPh>
    <rPh sb="2" eb="3">
      <t>ク</t>
    </rPh>
    <rPh sb="4" eb="5">
      <t>ト</t>
    </rPh>
    <phoneticPr fontId="2"/>
  </si>
  <si>
    <t>１２月分</t>
    <rPh sb="2" eb="4">
      <t>ガツブン</t>
    </rPh>
    <phoneticPr fontId="2"/>
  </si>
  <si>
    <t>、</t>
    <phoneticPr fontId="2"/>
  </si>
  <si>
    <t>南高校学生</t>
    <rPh sb="0" eb="1">
      <t>ミナミ</t>
    </rPh>
    <rPh sb="1" eb="3">
      <t>コウコウ</t>
    </rPh>
    <rPh sb="3" eb="5">
      <t>ガクセイ</t>
    </rPh>
    <phoneticPr fontId="2"/>
  </si>
  <si>
    <t>1月分謝金（別紙参照）</t>
    <rPh sb="1" eb="3">
      <t>ガツブン</t>
    </rPh>
    <rPh sb="3" eb="5">
      <t>シャキン</t>
    </rPh>
    <phoneticPr fontId="2"/>
  </si>
  <si>
    <t>入金予定</t>
    <rPh sb="0" eb="2">
      <t>ニュウキン</t>
    </rPh>
    <rPh sb="2" eb="4">
      <t>ヨテイ</t>
    </rPh>
    <phoneticPr fontId="2"/>
  </si>
  <si>
    <t>広島県国保連</t>
    <rPh sb="0" eb="3">
      <t>ヒロシマケン</t>
    </rPh>
    <rPh sb="3" eb="5">
      <t>コクホ</t>
    </rPh>
    <rPh sb="5" eb="6">
      <t>レン</t>
    </rPh>
    <phoneticPr fontId="2"/>
  </si>
  <si>
    <t>藤鳶工業</t>
    <rPh sb="0" eb="1">
      <t>フジ</t>
    </rPh>
    <rPh sb="1" eb="2">
      <t>トビ</t>
    </rPh>
    <rPh sb="2" eb="4">
      <t>コウギョウ</t>
    </rPh>
    <phoneticPr fontId="2"/>
  </si>
  <si>
    <t>１月分委託費</t>
    <rPh sb="1" eb="3">
      <t>ガツブン</t>
    </rPh>
    <rPh sb="3" eb="5">
      <t>イタク</t>
    </rPh>
    <rPh sb="5" eb="6">
      <t>ヒ</t>
    </rPh>
    <phoneticPr fontId="2"/>
  </si>
  <si>
    <t>入金予定日</t>
    <rPh sb="0" eb="2">
      <t>ニュウキン</t>
    </rPh>
    <rPh sb="2" eb="4">
      <t>ヨテイ</t>
    </rPh>
    <rPh sb="4" eb="5">
      <t>ヒ</t>
    </rPh>
    <phoneticPr fontId="2"/>
  </si>
  <si>
    <t>11月・12月分訓練給付</t>
    <rPh sb="2" eb="3">
      <t>ガツ</t>
    </rPh>
    <rPh sb="6" eb="7">
      <t>ガツ</t>
    </rPh>
    <rPh sb="7" eb="8">
      <t>ブン</t>
    </rPh>
    <rPh sb="8" eb="10">
      <t>クンレン</t>
    </rPh>
    <rPh sb="10" eb="12">
      <t>キュウフ</t>
    </rPh>
    <phoneticPr fontId="2"/>
  </si>
  <si>
    <t>尾道市</t>
    <rPh sb="0" eb="3">
      <t>オノミチシ</t>
    </rPh>
    <phoneticPr fontId="2"/>
  </si>
  <si>
    <t>笠岡市</t>
    <rPh sb="0" eb="3">
      <t>カサオカシ</t>
    </rPh>
    <phoneticPr fontId="2"/>
  </si>
  <si>
    <t>今治市</t>
    <rPh sb="0" eb="3">
      <t>イマバリシ</t>
    </rPh>
    <phoneticPr fontId="2"/>
  </si>
  <si>
    <t>三原市</t>
    <rPh sb="0" eb="3">
      <t>ミハラシ</t>
    </rPh>
    <phoneticPr fontId="2"/>
  </si>
  <si>
    <t>世羅町</t>
    <rPh sb="0" eb="3">
      <t>セラチョウ</t>
    </rPh>
    <phoneticPr fontId="2"/>
  </si>
  <si>
    <t>福山市</t>
    <rPh sb="0" eb="3">
      <t>フクヤマシ</t>
    </rPh>
    <phoneticPr fontId="2"/>
  </si>
  <si>
    <t>市町村</t>
    <rPh sb="0" eb="3">
      <t>シチョウソン</t>
    </rPh>
    <phoneticPr fontId="2"/>
  </si>
  <si>
    <t>金額</t>
    <rPh sb="0" eb="2">
      <t>キンガク</t>
    </rPh>
    <phoneticPr fontId="2"/>
  </si>
  <si>
    <t>1月分訓練給付概算　（３月１５日入金予定）</t>
    <rPh sb="1" eb="3">
      <t>ガツブン</t>
    </rPh>
    <rPh sb="3" eb="5">
      <t>クンレン</t>
    </rPh>
    <rPh sb="5" eb="7">
      <t>キュウフ</t>
    </rPh>
    <rPh sb="7" eb="9">
      <t>ガイサン</t>
    </rPh>
    <rPh sb="12" eb="13">
      <t>ガツ</t>
    </rPh>
    <rPh sb="15" eb="16">
      <t>ニチ</t>
    </rPh>
    <rPh sb="16" eb="18">
      <t>ニュウキン</t>
    </rPh>
    <rPh sb="18" eb="20">
      <t>ヨテイ</t>
    </rPh>
    <phoneticPr fontId="2"/>
  </si>
  <si>
    <t>人件費＋電話代+電気代+年金</t>
    <rPh sb="0" eb="3">
      <t>ジンケンヒ</t>
    </rPh>
    <rPh sb="4" eb="7">
      <t>デンワダイ</t>
    </rPh>
    <rPh sb="8" eb="11">
      <t>デンキダイ</t>
    </rPh>
    <rPh sb="12" eb="14">
      <t>ネンキン</t>
    </rPh>
    <phoneticPr fontId="2"/>
  </si>
  <si>
    <t>金種</t>
    <rPh sb="0" eb="2">
      <t>キンシュ</t>
    </rPh>
    <phoneticPr fontId="2"/>
  </si>
  <si>
    <t>枚数</t>
    <rPh sb="0" eb="2">
      <t>マイスウ</t>
    </rPh>
    <phoneticPr fontId="2"/>
  </si>
  <si>
    <t>金額</t>
    <rPh sb="0" eb="2">
      <t>キンガク</t>
    </rPh>
    <phoneticPr fontId="2"/>
  </si>
  <si>
    <t>社長立替</t>
    <rPh sb="0" eb="2">
      <t>シャチョウ</t>
    </rPh>
    <rPh sb="2" eb="4">
      <t>タテカエ</t>
    </rPh>
    <phoneticPr fontId="2"/>
  </si>
  <si>
    <t>雇用保険</t>
    <rPh sb="0" eb="2">
      <t>コヨウ</t>
    </rPh>
    <rPh sb="2" eb="4">
      <t>ホケン</t>
    </rPh>
    <phoneticPr fontId="2"/>
  </si>
  <si>
    <t>所得税</t>
    <rPh sb="0" eb="3">
      <t>ショトクゼイ</t>
    </rPh>
    <phoneticPr fontId="2"/>
  </si>
  <si>
    <t>人件費</t>
    <rPh sb="0" eb="3">
      <t>ジンケンヒ</t>
    </rPh>
    <phoneticPr fontId="2"/>
  </si>
  <si>
    <t>2月14日見学会手土産代</t>
    <rPh sb="1" eb="2">
      <t>ガツ</t>
    </rPh>
    <rPh sb="4" eb="5">
      <t>ヒ</t>
    </rPh>
    <rPh sb="5" eb="8">
      <t>ケンガクカイ</t>
    </rPh>
    <rPh sb="8" eb="11">
      <t>テミヤゲ</t>
    </rPh>
    <rPh sb="11" eb="12">
      <t>ダイ</t>
    </rPh>
    <phoneticPr fontId="2"/>
  </si>
  <si>
    <t>2月分給与(スタッフ）</t>
    <rPh sb="1" eb="2">
      <t>ガツ</t>
    </rPh>
    <rPh sb="2" eb="3">
      <t>ブン</t>
    </rPh>
    <rPh sb="3" eb="5">
      <t>キュウヨ</t>
    </rPh>
    <phoneticPr fontId="2"/>
  </si>
  <si>
    <t>2月分利用者工賃（9名分）</t>
    <rPh sb="1" eb="2">
      <t>ガツ</t>
    </rPh>
    <rPh sb="2" eb="3">
      <t>ブン</t>
    </rPh>
    <rPh sb="3" eb="6">
      <t>リヨウシャ</t>
    </rPh>
    <rPh sb="6" eb="8">
      <t>コウチン</t>
    </rPh>
    <rPh sb="10" eb="11">
      <t>メイ</t>
    </rPh>
    <rPh sb="11" eb="12">
      <t>ブン</t>
    </rPh>
    <phoneticPr fontId="2"/>
  </si>
  <si>
    <t>４月支払（３月末〆等）　４月15日支払</t>
    <rPh sb="1" eb="2">
      <t>ガツ</t>
    </rPh>
    <rPh sb="2" eb="4">
      <t>シハラ</t>
    </rPh>
    <rPh sb="6" eb="7">
      <t>ガツ</t>
    </rPh>
    <rPh sb="7" eb="8">
      <t>マツ</t>
    </rPh>
    <rPh sb="9" eb="10">
      <t>トウ</t>
    </rPh>
    <rPh sb="13" eb="14">
      <t>ガツ</t>
    </rPh>
    <rPh sb="16" eb="17">
      <t>ニチ</t>
    </rPh>
    <rPh sb="17" eb="19">
      <t>シハラ</t>
    </rPh>
    <phoneticPr fontId="2"/>
  </si>
  <si>
    <t>３月分給与(スタッフ）</t>
    <rPh sb="1" eb="2">
      <t>ガツ</t>
    </rPh>
    <rPh sb="2" eb="3">
      <t>ブン</t>
    </rPh>
    <rPh sb="3" eb="5">
      <t>キュウヨ</t>
    </rPh>
    <phoneticPr fontId="2"/>
  </si>
  <si>
    <t>消費税</t>
    <rPh sb="0" eb="3">
      <t>ショウヒゼイ</t>
    </rPh>
    <phoneticPr fontId="2"/>
  </si>
  <si>
    <t>３月分利用者工賃（11名分）</t>
    <rPh sb="1" eb="2">
      <t>ガツ</t>
    </rPh>
    <rPh sb="2" eb="3">
      <t>ブン</t>
    </rPh>
    <rPh sb="3" eb="6">
      <t>リヨウシャ</t>
    </rPh>
    <rPh sb="6" eb="8">
      <t>コウチン</t>
    </rPh>
    <rPh sb="11" eb="12">
      <t>メイ</t>
    </rPh>
    <rPh sb="12" eb="13">
      <t>ブン</t>
    </rPh>
    <phoneticPr fontId="2"/>
  </si>
  <si>
    <t>３月支払（２月末〆等）　３月１５日支払</t>
    <rPh sb="1" eb="2">
      <t>ガツ</t>
    </rPh>
    <rPh sb="2" eb="4">
      <t>シハラ</t>
    </rPh>
    <rPh sb="6" eb="7">
      <t>ガツ</t>
    </rPh>
    <rPh sb="7" eb="8">
      <t>マツ</t>
    </rPh>
    <rPh sb="9" eb="10">
      <t>トウ</t>
    </rPh>
    <rPh sb="13" eb="14">
      <t>ガツ</t>
    </rPh>
    <rPh sb="16" eb="17">
      <t>ニチ</t>
    </rPh>
    <rPh sb="17" eb="19">
      <t>シハラ</t>
    </rPh>
    <phoneticPr fontId="2"/>
  </si>
  <si>
    <t>人件費手取り</t>
    <rPh sb="0" eb="3">
      <t>ジンケンヒ</t>
    </rPh>
    <rPh sb="3" eb="5">
      <t>テド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</si>
</sst>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¥&quot;#,##0;[Red]&quot;¥&quot;\-#,##0"/>
  </numFmts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5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8" fontId="0" fillId="0" borderId="0" xfId="1" applyFont="1" applyAlignment="1">
      <alignment horizontal="center" vertical="center"/>
    </xf>
    <xf numFmtId="0" fontId="0" fillId="0" borderId="0" xfId="0" applyAlignment="1">
      <alignment horizontal="left" vertical="center"/>
    </xf>
    <xf numFmtId="38" fontId="0" fillId="0" borderId="0" xfId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38" fontId="0" fillId="0" borderId="1" xfId="1" applyFont="1" applyBorder="1" applyAlignment="1">
      <alignment horizontal="right" vertical="center"/>
    </xf>
    <xf numFmtId="0" fontId="0" fillId="0" borderId="2" xfId="0" applyBorder="1" applyAlignment="1">
      <alignment horizontal="left" vertical="center" shrinkToFit="1"/>
    </xf>
    <xf numFmtId="0" fontId="0" fillId="0" borderId="3" xfId="0" applyBorder="1" applyAlignment="1">
      <alignment horizontal="center" vertical="center"/>
    </xf>
    <xf numFmtId="38" fontId="0" fillId="0" borderId="5" xfId="1" applyFon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left" vertical="center" shrinkToFit="1"/>
    </xf>
    <xf numFmtId="0" fontId="0" fillId="0" borderId="8" xfId="0" applyBorder="1" applyAlignment="1">
      <alignment horizontal="left" vertical="center"/>
    </xf>
    <xf numFmtId="14" fontId="0" fillId="0" borderId="8" xfId="0" applyNumberFormat="1" applyBorder="1" applyAlignment="1">
      <alignment horizontal="center" vertical="center"/>
    </xf>
    <xf numFmtId="38" fontId="0" fillId="0" borderId="8" xfId="1" applyFont="1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 vertical="center" shrinkToFit="1"/>
    </xf>
    <xf numFmtId="0" fontId="0" fillId="0" borderId="11" xfId="0" applyBorder="1" applyAlignment="1">
      <alignment horizontal="left" vertical="center"/>
    </xf>
    <xf numFmtId="14" fontId="0" fillId="0" borderId="11" xfId="0" applyNumberFormat="1" applyBorder="1" applyAlignment="1">
      <alignment horizontal="center" vertical="center"/>
    </xf>
    <xf numFmtId="38" fontId="0" fillId="0" borderId="11" xfId="1" applyFont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/>
    </xf>
    <xf numFmtId="38" fontId="0" fillId="0" borderId="14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8" fontId="0" fillId="0" borderId="0" xfId="1" applyFont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14" fontId="3" fillId="0" borderId="11" xfId="0" applyNumberFormat="1" applyFont="1" applyBorder="1">
      <alignment vertical="center"/>
    </xf>
    <xf numFmtId="14" fontId="3" fillId="0" borderId="1" xfId="0" applyNumberFormat="1" applyFont="1" applyBorder="1">
      <alignment vertical="center"/>
    </xf>
    <xf numFmtId="14" fontId="3" fillId="0" borderId="8" xfId="0" applyNumberFormat="1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38" fontId="0" fillId="0" borderId="3" xfId="1" applyFont="1" applyBorder="1" applyAlignment="1">
      <alignment horizontal="right" vertical="center"/>
    </xf>
    <xf numFmtId="0" fontId="0" fillId="0" borderId="10" xfId="0" applyBorder="1" applyAlignment="1">
      <alignment horizontal="center" vertical="center" shrinkToFit="1"/>
    </xf>
    <xf numFmtId="38" fontId="0" fillId="0" borderId="12" xfId="1" applyFont="1" applyBorder="1" applyAlignment="1">
      <alignment horizontal="right" vertical="center"/>
    </xf>
    <xf numFmtId="38" fontId="0" fillId="0" borderId="6" xfId="0" applyNumberFormat="1" applyBorder="1" applyAlignment="1">
      <alignment horizontal="right" vertical="center"/>
    </xf>
    <xf numFmtId="0" fontId="0" fillId="0" borderId="7" xfId="0" applyBorder="1" applyAlignment="1">
      <alignment horizontal="center" vertical="center" shrinkToFit="1"/>
    </xf>
    <xf numFmtId="38" fontId="0" fillId="0" borderId="9" xfId="1" applyFon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right" vertical="center" shrinkToFit="1"/>
    </xf>
    <xf numFmtId="0" fontId="0" fillId="0" borderId="2" xfId="0" applyBorder="1" applyAlignment="1">
      <alignment horizontal="right" vertical="center"/>
    </xf>
    <xf numFmtId="38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38" fontId="0" fillId="0" borderId="6" xfId="1" applyFon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8" xfId="0" applyBorder="1">
      <alignment vertical="center"/>
    </xf>
    <xf numFmtId="0" fontId="0" fillId="0" borderId="10" xfId="0" applyBorder="1" applyAlignment="1">
      <alignment horizontal="right" vertical="center" shrinkToFit="1"/>
    </xf>
    <xf numFmtId="0" fontId="0" fillId="0" borderId="11" xfId="0" applyBorder="1">
      <alignment vertical="center"/>
    </xf>
    <xf numFmtId="0" fontId="0" fillId="0" borderId="13" xfId="0" applyBorder="1" applyAlignment="1">
      <alignment horizontal="center" vertical="center"/>
    </xf>
    <xf numFmtId="38" fontId="0" fillId="0" borderId="15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left" vertical="center" shrinkToFit="1"/>
    </xf>
    <xf numFmtId="38" fontId="0" fillId="0" borderId="0" xfId="0" applyNumberFormat="1" applyAlignment="1">
      <alignment horizontal="left" vertical="center"/>
    </xf>
    <xf numFmtId="6" fontId="0" fillId="0" borderId="0" xfId="2" applyFont="1" applyAlignment="1">
      <alignment horizontal="center" vertical="center"/>
    </xf>
    <xf numFmtId="6" fontId="4" fillId="0" borderId="0" xfId="2" applyFont="1" applyAlignment="1">
      <alignment horizontal="center" vertical="center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2"/>
  <sheetViews>
    <sheetView workbookViewId="0">
      <selection activeCell="B27" sqref="B27"/>
    </sheetView>
  </sheetViews>
  <sheetFormatPr defaultRowHeight="19.5" customHeight="1" x14ac:dyDescent="0.15"/>
  <cols>
    <col min="1" max="1" width="2.625" customWidth="1"/>
    <col min="2" max="2" width="24.875" style="6" customWidth="1"/>
    <col min="3" max="3" width="41.625" style="1" customWidth="1"/>
    <col min="4" max="4" width="21.75" style="1" customWidth="1"/>
    <col min="5" max="5" width="14.625" customWidth="1"/>
    <col min="6" max="6" width="15.75" style="2" customWidth="1"/>
    <col min="7" max="7" width="11" customWidth="1"/>
  </cols>
  <sheetData>
    <row r="2" spans="2:7" ht="19.5" customHeight="1" thickBot="1" x14ac:dyDescent="0.2">
      <c r="B2" s="63" t="s">
        <v>34</v>
      </c>
      <c r="C2" s="63"/>
    </row>
    <row r="3" spans="2:7" ht="19.5" customHeight="1" thickBot="1" x14ac:dyDescent="0.2">
      <c r="B3" s="25" t="s">
        <v>0</v>
      </c>
      <c r="C3" s="26" t="s">
        <v>1</v>
      </c>
      <c r="D3" s="26" t="s">
        <v>2</v>
      </c>
      <c r="E3" s="26" t="s">
        <v>4</v>
      </c>
      <c r="F3" s="27" t="s">
        <v>3</v>
      </c>
      <c r="G3" s="28" t="s">
        <v>5</v>
      </c>
    </row>
    <row r="4" spans="2:7" ht="19.5" customHeight="1" thickTop="1" x14ac:dyDescent="0.15">
      <c r="B4" s="20" t="s">
        <v>17</v>
      </c>
      <c r="C4" s="21" t="s">
        <v>18</v>
      </c>
      <c r="D4" s="22">
        <v>41973</v>
      </c>
      <c r="E4" s="36">
        <v>42013</v>
      </c>
      <c r="F4" s="23">
        <v>42229</v>
      </c>
      <c r="G4" s="24" t="s">
        <v>26</v>
      </c>
    </row>
    <row r="5" spans="2:7" ht="19.5" customHeight="1" x14ac:dyDescent="0.15">
      <c r="B5" s="11" t="s">
        <v>21</v>
      </c>
      <c r="C5" s="8" t="s">
        <v>23</v>
      </c>
      <c r="D5" s="9">
        <v>41973</v>
      </c>
      <c r="E5" s="37">
        <v>42013</v>
      </c>
      <c r="F5" s="10">
        <f>17882+4390</f>
        <v>22272</v>
      </c>
      <c r="G5" s="12" t="s">
        <v>26</v>
      </c>
    </row>
    <row r="6" spans="2:7" ht="19.5" customHeight="1" x14ac:dyDescent="0.15">
      <c r="B6" s="11" t="s">
        <v>21</v>
      </c>
      <c r="C6" s="8" t="s">
        <v>22</v>
      </c>
      <c r="D6" s="9">
        <v>42004</v>
      </c>
      <c r="E6" s="37">
        <v>42013</v>
      </c>
      <c r="F6" s="10">
        <f>6011+25</f>
        <v>6036</v>
      </c>
      <c r="G6" s="12" t="s">
        <v>26</v>
      </c>
    </row>
    <row r="7" spans="2:7" ht="19.5" customHeight="1" thickBot="1" x14ac:dyDescent="0.2">
      <c r="B7" s="15" t="s">
        <v>24</v>
      </c>
      <c r="C7" s="16" t="s">
        <v>25</v>
      </c>
      <c r="D7" s="17">
        <v>41973</v>
      </c>
      <c r="E7" s="38">
        <v>42013</v>
      </c>
      <c r="F7" s="18">
        <v>23423</v>
      </c>
      <c r="G7" s="19" t="s">
        <v>26</v>
      </c>
    </row>
    <row r="8" spans="2:7" ht="19.5" customHeight="1" thickTop="1" thickBot="1" x14ac:dyDescent="0.2">
      <c r="B8" s="61">
        <v>42013</v>
      </c>
      <c r="C8" s="62"/>
      <c r="D8" s="62"/>
      <c r="E8" s="62"/>
      <c r="F8" s="13">
        <f>SUM(F4:F7)</f>
        <v>93960</v>
      </c>
      <c r="G8" s="14"/>
    </row>
    <row r="9" spans="2:7" ht="19.5" customHeight="1" x14ac:dyDescent="0.15">
      <c r="B9" s="32"/>
      <c r="C9" s="33"/>
      <c r="D9" s="33"/>
      <c r="E9" s="33"/>
      <c r="F9" s="34"/>
      <c r="G9" s="35"/>
    </row>
    <row r="10" spans="2:7" ht="19.5" customHeight="1" thickBot="1" x14ac:dyDescent="0.2">
      <c r="B10" s="63" t="s">
        <v>35</v>
      </c>
      <c r="C10" s="63"/>
      <c r="F10" s="4"/>
      <c r="G10" s="5"/>
    </row>
    <row r="11" spans="2:7" ht="19.5" customHeight="1" thickBot="1" x14ac:dyDescent="0.2">
      <c r="B11" s="25" t="s">
        <v>0</v>
      </c>
      <c r="C11" s="26" t="s">
        <v>1</v>
      </c>
      <c r="D11" s="26" t="s">
        <v>2</v>
      </c>
      <c r="E11" s="26" t="s">
        <v>4</v>
      </c>
      <c r="F11" s="27" t="s">
        <v>3</v>
      </c>
      <c r="G11" s="28" t="s">
        <v>5</v>
      </c>
    </row>
    <row r="12" spans="2:7" ht="19.5" customHeight="1" thickTop="1" x14ac:dyDescent="0.15">
      <c r="B12" s="20" t="s">
        <v>14</v>
      </c>
      <c r="C12" s="21" t="s">
        <v>15</v>
      </c>
      <c r="D12" s="22">
        <v>41973</v>
      </c>
      <c r="E12" s="36">
        <v>42019</v>
      </c>
      <c r="F12" s="23">
        <v>65530</v>
      </c>
      <c r="G12" s="24" t="s">
        <v>16</v>
      </c>
    </row>
    <row r="13" spans="2:7" ht="19.5" customHeight="1" x14ac:dyDescent="0.15">
      <c r="B13" s="11" t="s">
        <v>6</v>
      </c>
      <c r="C13" s="8" t="s">
        <v>7</v>
      </c>
      <c r="D13" s="9">
        <v>41968</v>
      </c>
      <c r="E13" s="37">
        <v>42019</v>
      </c>
      <c r="F13" s="10">
        <v>62640</v>
      </c>
      <c r="G13" s="12" t="s">
        <v>16</v>
      </c>
    </row>
    <row r="14" spans="2:7" ht="19.5" customHeight="1" x14ac:dyDescent="0.15">
      <c r="B14" s="11" t="s">
        <v>8</v>
      </c>
      <c r="C14" s="8" t="s">
        <v>9</v>
      </c>
      <c r="D14" s="9">
        <v>41973</v>
      </c>
      <c r="E14" s="37">
        <v>42019</v>
      </c>
      <c r="F14" s="10">
        <v>2970</v>
      </c>
      <c r="G14" s="12" t="s">
        <v>16</v>
      </c>
    </row>
    <row r="15" spans="2:7" ht="19.5" customHeight="1" x14ac:dyDescent="0.15">
      <c r="B15" s="11" t="s">
        <v>10</v>
      </c>
      <c r="C15" s="8" t="s">
        <v>11</v>
      </c>
      <c r="D15" s="9">
        <v>41973</v>
      </c>
      <c r="E15" s="37">
        <v>42019</v>
      </c>
      <c r="F15" s="10">
        <v>58860</v>
      </c>
      <c r="G15" s="12" t="s">
        <v>16</v>
      </c>
    </row>
    <row r="16" spans="2:7" ht="19.5" customHeight="1" x14ac:dyDescent="0.15">
      <c r="B16" s="11" t="s">
        <v>12</v>
      </c>
      <c r="C16" s="8" t="s">
        <v>13</v>
      </c>
      <c r="D16" s="9">
        <v>41973</v>
      </c>
      <c r="E16" s="37">
        <v>42019</v>
      </c>
      <c r="F16" s="10">
        <v>27000</v>
      </c>
      <c r="G16" s="12" t="s">
        <v>16</v>
      </c>
    </row>
    <row r="17" spans="2:7" ht="19.5" customHeight="1" x14ac:dyDescent="0.15">
      <c r="B17" s="11" t="s">
        <v>30</v>
      </c>
      <c r="C17" s="8" t="s">
        <v>32</v>
      </c>
      <c r="D17" s="9">
        <v>42004</v>
      </c>
      <c r="E17" s="37">
        <v>42019</v>
      </c>
      <c r="F17" s="10">
        <v>703155</v>
      </c>
      <c r="G17" s="12" t="s">
        <v>16</v>
      </c>
    </row>
    <row r="18" spans="2:7" ht="19.5" customHeight="1" x14ac:dyDescent="0.15">
      <c r="B18" s="11" t="s">
        <v>31</v>
      </c>
      <c r="C18" s="8" t="s">
        <v>33</v>
      </c>
      <c r="D18" s="9">
        <v>42004</v>
      </c>
      <c r="E18" s="37">
        <v>42019</v>
      </c>
      <c r="F18" s="10">
        <v>211300</v>
      </c>
      <c r="G18" s="12" t="s">
        <v>16</v>
      </c>
    </row>
    <row r="19" spans="2:7" ht="19.5" customHeight="1" x14ac:dyDescent="0.15">
      <c r="B19" s="11" t="s">
        <v>19</v>
      </c>
      <c r="C19" s="8" t="s">
        <v>20</v>
      </c>
      <c r="D19" s="9">
        <v>41973</v>
      </c>
      <c r="E19" s="37">
        <v>42019</v>
      </c>
      <c r="F19" s="10">
        <v>9720</v>
      </c>
      <c r="G19" s="12" t="s">
        <v>26</v>
      </c>
    </row>
    <row r="20" spans="2:7" ht="19.5" customHeight="1" x14ac:dyDescent="0.15">
      <c r="B20" s="11" t="s">
        <v>17</v>
      </c>
      <c r="C20" s="8" t="s">
        <v>27</v>
      </c>
      <c r="D20" s="9">
        <v>42004</v>
      </c>
      <c r="E20" s="37">
        <v>42019</v>
      </c>
      <c r="F20" s="10">
        <v>71320</v>
      </c>
      <c r="G20" s="12" t="s">
        <v>26</v>
      </c>
    </row>
    <row r="21" spans="2:7" ht="19.5" customHeight="1" thickBot="1" x14ac:dyDescent="0.2">
      <c r="B21" s="15" t="s">
        <v>28</v>
      </c>
      <c r="C21" s="16" t="s">
        <v>29</v>
      </c>
      <c r="D21" s="17">
        <v>41973</v>
      </c>
      <c r="E21" s="38">
        <v>42019</v>
      </c>
      <c r="F21" s="18">
        <v>77431</v>
      </c>
      <c r="G21" s="19" t="s">
        <v>26</v>
      </c>
    </row>
    <row r="22" spans="2:7" ht="19.5" customHeight="1" thickTop="1" thickBot="1" x14ac:dyDescent="0.2">
      <c r="B22" s="29"/>
      <c r="C22" s="30"/>
      <c r="D22" s="30"/>
      <c r="E22" s="31"/>
      <c r="F22" s="13">
        <f>SUM(F12:F21)</f>
        <v>1289926</v>
      </c>
      <c r="G22" s="14"/>
    </row>
    <row r="23" spans="2:7" ht="19.5" customHeight="1" x14ac:dyDescent="0.15">
      <c r="G23" s="5"/>
    </row>
    <row r="24" spans="2:7" ht="19.5" customHeight="1" x14ac:dyDescent="0.15">
      <c r="B24" s="7"/>
      <c r="C24" s="3"/>
      <c r="G24" s="5"/>
    </row>
    <row r="25" spans="2:7" ht="19.5" customHeight="1" x14ac:dyDescent="0.15">
      <c r="G25" s="1"/>
    </row>
    <row r="26" spans="2:7" ht="19.5" customHeight="1" x14ac:dyDescent="0.15">
      <c r="G26" s="1"/>
    </row>
    <row r="27" spans="2:7" ht="19.5" customHeight="1" x14ac:dyDescent="0.15">
      <c r="G27" s="1"/>
    </row>
    <row r="28" spans="2:7" ht="19.5" customHeight="1" x14ac:dyDescent="0.15">
      <c r="C28" s="3"/>
      <c r="F28" s="4"/>
      <c r="G28" s="5"/>
    </row>
    <row r="29" spans="2:7" ht="19.5" customHeight="1" x14ac:dyDescent="0.15">
      <c r="C29" s="3"/>
      <c r="F29" s="4"/>
      <c r="G29" s="5"/>
    </row>
    <row r="30" spans="2:7" ht="19.5" customHeight="1" x14ac:dyDescent="0.15">
      <c r="C30" s="3"/>
      <c r="F30" s="4"/>
      <c r="G30" s="5"/>
    </row>
    <row r="31" spans="2:7" ht="19.5" customHeight="1" x14ac:dyDescent="0.15">
      <c r="C31" s="3"/>
      <c r="F31" s="4"/>
      <c r="G31" s="5"/>
    </row>
    <row r="32" spans="2:7" ht="19.5" customHeight="1" x14ac:dyDescent="0.15">
      <c r="C32" s="3"/>
    </row>
  </sheetData>
  <mergeCells count="3">
    <mergeCell ref="B8:E8"/>
    <mergeCell ref="B2:C2"/>
    <mergeCell ref="B10:C10"/>
  </mergeCells>
  <phoneticPr fontId="2"/>
  <pageMargins left="0.7" right="0.7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>
      <selection activeCell="C37" sqref="C37"/>
    </sheetView>
  </sheetViews>
  <sheetFormatPr defaultRowHeight="19.5" customHeight="1" x14ac:dyDescent="0.15"/>
  <cols>
    <col min="1" max="1" width="2.625" customWidth="1"/>
    <col min="2" max="2" width="24.875" style="6" customWidth="1"/>
    <col min="3" max="3" width="41.625" style="1" customWidth="1"/>
    <col min="4" max="4" width="21.75" style="1" customWidth="1"/>
    <col min="5" max="5" width="14.625" customWidth="1"/>
    <col min="6" max="6" width="15.75" style="2" customWidth="1"/>
    <col min="7" max="7" width="11" customWidth="1"/>
  </cols>
  <sheetData>
    <row r="1" spans="2:7" ht="15.75" customHeight="1" thickBot="1" x14ac:dyDescent="0.2">
      <c r="B1" s="63" t="s">
        <v>36</v>
      </c>
      <c r="C1" s="63"/>
      <c r="F1" s="4"/>
      <c r="G1" s="5"/>
    </row>
    <row r="2" spans="2:7" ht="15.75" customHeight="1" thickBot="1" x14ac:dyDescent="0.2">
      <c r="B2" s="25" t="s">
        <v>0</v>
      </c>
      <c r="C2" s="26" t="s">
        <v>1</v>
      </c>
      <c r="D2" s="26" t="s">
        <v>2</v>
      </c>
      <c r="E2" s="26" t="s">
        <v>4</v>
      </c>
      <c r="F2" s="27" t="s">
        <v>3</v>
      </c>
      <c r="G2" s="28" t="s">
        <v>5</v>
      </c>
    </row>
    <row r="3" spans="2:7" ht="15.75" customHeight="1" thickTop="1" x14ac:dyDescent="0.15">
      <c r="B3" s="20" t="s">
        <v>14</v>
      </c>
      <c r="C3" s="21" t="s">
        <v>15</v>
      </c>
      <c r="D3" s="22">
        <v>42004</v>
      </c>
      <c r="E3" s="36">
        <v>42050</v>
      </c>
      <c r="F3" s="23">
        <v>155934</v>
      </c>
      <c r="G3" s="24" t="s">
        <v>16</v>
      </c>
    </row>
    <row r="4" spans="2:7" ht="15.75" customHeight="1" x14ac:dyDescent="0.15">
      <c r="B4" s="11" t="s">
        <v>37</v>
      </c>
      <c r="C4" s="8" t="s">
        <v>38</v>
      </c>
      <c r="D4" s="22">
        <v>42004</v>
      </c>
      <c r="E4" s="36">
        <v>42050</v>
      </c>
      <c r="F4" s="10">
        <v>23010</v>
      </c>
      <c r="G4" s="12" t="s">
        <v>16</v>
      </c>
    </row>
    <row r="5" spans="2:7" ht="15.75" customHeight="1" x14ac:dyDescent="0.15">
      <c r="B5" s="11" t="s">
        <v>8</v>
      </c>
      <c r="C5" s="8" t="s">
        <v>9</v>
      </c>
      <c r="D5" s="22">
        <v>42004</v>
      </c>
      <c r="E5" s="36">
        <v>42050</v>
      </c>
      <c r="F5" s="10">
        <v>2970</v>
      </c>
      <c r="G5" s="12" t="s">
        <v>16</v>
      </c>
    </row>
    <row r="6" spans="2:7" ht="15.75" customHeight="1" x14ac:dyDescent="0.15">
      <c r="B6" s="11" t="s">
        <v>39</v>
      </c>
      <c r="C6" s="8" t="s">
        <v>40</v>
      </c>
      <c r="D6" s="22">
        <v>42004</v>
      </c>
      <c r="E6" s="36">
        <v>42050</v>
      </c>
      <c r="F6" s="10">
        <f>6031+64800</f>
        <v>70831</v>
      </c>
      <c r="G6" s="12" t="s">
        <v>16</v>
      </c>
    </row>
    <row r="7" spans="2:7" ht="15.75" customHeight="1" x14ac:dyDescent="0.15">
      <c r="B7" s="11" t="s">
        <v>41</v>
      </c>
      <c r="C7" s="8" t="s">
        <v>42</v>
      </c>
      <c r="D7" s="22">
        <v>42004</v>
      </c>
      <c r="E7" s="36">
        <v>42050</v>
      </c>
      <c r="F7" s="10">
        <v>77760</v>
      </c>
      <c r="G7" s="12" t="s">
        <v>16</v>
      </c>
    </row>
    <row r="8" spans="2:7" ht="15.75" customHeight="1" x14ac:dyDescent="0.15">
      <c r="B8" s="11" t="s">
        <v>49</v>
      </c>
      <c r="C8" s="8" t="s">
        <v>50</v>
      </c>
      <c r="D8" s="22">
        <v>42004</v>
      </c>
      <c r="E8" s="36">
        <v>42050</v>
      </c>
      <c r="F8" s="10">
        <v>36350</v>
      </c>
      <c r="G8" s="12" t="s">
        <v>16</v>
      </c>
    </row>
    <row r="9" spans="2:7" ht="15.75" customHeight="1" x14ac:dyDescent="0.15">
      <c r="B9" s="11" t="s">
        <v>30</v>
      </c>
      <c r="C9" s="8" t="s">
        <v>43</v>
      </c>
      <c r="D9" s="22">
        <v>42035</v>
      </c>
      <c r="E9" s="36">
        <v>42050</v>
      </c>
      <c r="F9" s="10">
        <v>798155</v>
      </c>
      <c r="G9" s="12" t="s">
        <v>26</v>
      </c>
    </row>
    <row r="10" spans="2:7" ht="15.75" customHeight="1" x14ac:dyDescent="0.15">
      <c r="B10" s="11" t="s">
        <v>31</v>
      </c>
      <c r="C10" s="8" t="s">
        <v>44</v>
      </c>
      <c r="D10" s="22">
        <v>42035</v>
      </c>
      <c r="E10" s="36">
        <v>42050</v>
      </c>
      <c r="F10" s="10">
        <v>230100</v>
      </c>
      <c r="G10" s="12" t="s">
        <v>26</v>
      </c>
    </row>
    <row r="11" spans="2:7" ht="15.75" customHeight="1" x14ac:dyDescent="0.15">
      <c r="B11" s="11" t="s">
        <v>52</v>
      </c>
      <c r="C11" s="8" t="s">
        <v>53</v>
      </c>
      <c r="D11" s="22">
        <v>42035</v>
      </c>
      <c r="E11" s="36">
        <v>42050</v>
      </c>
      <c r="F11" s="10">
        <v>39000</v>
      </c>
      <c r="G11" s="12" t="s">
        <v>26</v>
      </c>
    </row>
    <row r="12" spans="2:7" ht="15.75" customHeight="1" x14ac:dyDescent="0.15">
      <c r="B12" s="11" t="s">
        <v>45</v>
      </c>
      <c r="C12" s="8" t="s">
        <v>46</v>
      </c>
      <c r="D12" s="22">
        <v>42035</v>
      </c>
      <c r="E12" s="36">
        <v>42050</v>
      </c>
      <c r="F12" s="10">
        <v>7647</v>
      </c>
      <c r="G12" s="12" t="s">
        <v>26</v>
      </c>
    </row>
    <row r="13" spans="2:7" ht="15.75" customHeight="1" x14ac:dyDescent="0.15">
      <c r="B13" s="11" t="s">
        <v>17</v>
      </c>
      <c r="C13" s="8" t="s">
        <v>47</v>
      </c>
      <c r="D13" s="22">
        <v>42035</v>
      </c>
      <c r="E13" s="36">
        <v>42050</v>
      </c>
      <c r="F13" s="10">
        <v>84052</v>
      </c>
      <c r="G13" s="12" t="s">
        <v>26</v>
      </c>
    </row>
    <row r="14" spans="2:7" ht="15.75" customHeight="1" thickBot="1" x14ac:dyDescent="0.2">
      <c r="B14" s="15" t="s">
        <v>28</v>
      </c>
      <c r="C14" s="16" t="s">
        <v>48</v>
      </c>
      <c r="D14" s="17">
        <v>42004</v>
      </c>
      <c r="E14" s="38">
        <v>42050</v>
      </c>
      <c r="F14" s="18">
        <v>77431</v>
      </c>
      <c r="G14" s="19" t="s">
        <v>26</v>
      </c>
    </row>
    <row r="15" spans="2:7" ht="15.75" customHeight="1" thickTop="1" thickBot="1" x14ac:dyDescent="0.2">
      <c r="B15" s="29"/>
      <c r="C15" s="30"/>
      <c r="D15" s="30"/>
      <c r="E15" s="31"/>
      <c r="F15" s="13">
        <f>SUM(F3:F14)</f>
        <v>1603240</v>
      </c>
      <c r="G15" s="14"/>
    </row>
    <row r="16" spans="2:7" ht="6.75" customHeight="1" thickBot="1" x14ac:dyDescent="0.2">
      <c r="G16" s="5"/>
    </row>
    <row r="17" spans="2:7" ht="15.75" customHeight="1" thickBot="1" x14ac:dyDescent="0.2">
      <c r="B17" s="25" t="s">
        <v>54</v>
      </c>
      <c r="C17" s="26" t="s">
        <v>1</v>
      </c>
      <c r="D17" s="26" t="s">
        <v>2</v>
      </c>
      <c r="E17" s="26" t="s">
        <v>58</v>
      </c>
      <c r="F17" s="27" t="s">
        <v>3</v>
      </c>
      <c r="G17" s="28" t="s">
        <v>5</v>
      </c>
    </row>
    <row r="18" spans="2:7" ht="15.75" customHeight="1" thickTop="1" x14ac:dyDescent="0.15">
      <c r="B18" s="11" t="s">
        <v>55</v>
      </c>
      <c r="C18" s="8" t="s">
        <v>59</v>
      </c>
      <c r="D18" s="22">
        <v>42035</v>
      </c>
      <c r="E18" s="36">
        <v>42050</v>
      </c>
      <c r="F18" s="10">
        <v>1200390</v>
      </c>
      <c r="G18" s="12" t="s">
        <v>26</v>
      </c>
    </row>
    <row r="19" spans="2:7" ht="15.75" customHeight="1" thickBot="1" x14ac:dyDescent="0.2">
      <c r="B19" s="15" t="s">
        <v>56</v>
      </c>
      <c r="C19" s="16" t="s">
        <v>57</v>
      </c>
      <c r="D19" s="17">
        <v>42004</v>
      </c>
      <c r="E19" s="38">
        <v>42050</v>
      </c>
      <c r="F19" s="18">
        <v>230100</v>
      </c>
      <c r="G19" s="19" t="s">
        <v>26</v>
      </c>
    </row>
    <row r="20" spans="2:7" ht="15.75" customHeight="1" thickTop="1" thickBot="1" x14ac:dyDescent="0.2">
      <c r="B20" s="29"/>
      <c r="C20" s="39"/>
      <c r="D20" s="39"/>
      <c r="E20" s="31"/>
      <c r="F20" s="13">
        <f>F18+F19</f>
        <v>1430490</v>
      </c>
      <c r="G20" s="14"/>
    </row>
    <row r="21" spans="2:7" ht="15.75" hidden="1" customHeight="1" x14ac:dyDescent="0.15">
      <c r="C21" s="3"/>
      <c r="F21" s="4" t="s">
        <v>51</v>
      </c>
      <c r="G21" s="5"/>
    </row>
    <row r="22" spans="2:7" ht="15.75" hidden="1" customHeight="1" thickBot="1" x14ac:dyDescent="0.2">
      <c r="B22" s="63" t="s">
        <v>68</v>
      </c>
      <c r="C22" s="63"/>
      <c r="F22" s="4"/>
      <c r="G22" s="5"/>
    </row>
    <row r="23" spans="2:7" ht="15.75" hidden="1" customHeight="1" thickBot="1" x14ac:dyDescent="0.2">
      <c r="B23" s="25" t="s">
        <v>66</v>
      </c>
      <c r="C23" s="28" t="s">
        <v>67</v>
      </c>
      <c r="F23" s="4"/>
      <c r="G23" s="5"/>
    </row>
    <row r="24" spans="2:7" ht="15.75" hidden="1" customHeight="1" thickTop="1" x14ac:dyDescent="0.15">
      <c r="B24" s="42" t="s">
        <v>60</v>
      </c>
      <c r="C24" s="43">
        <v>353510</v>
      </c>
      <c r="F24" s="4"/>
      <c r="G24" s="5"/>
    </row>
    <row r="25" spans="2:7" ht="15.75" hidden="1" customHeight="1" x14ac:dyDescent="0.15">
      <c r="B25" s="40" t="s">
        <v>61</v>
      </c>
      <c r="C25" s="41">
        <v>111910</v>
      </c>
      <c r="F25" s="4"/>
      <c r="G25" s="5"/>
    </row>
    <row r="26" spans="2:7" ht="15.75" hidden="1" customHeight="1" x14ac:dyDescent="0.15">
      <c r="B26" s="40" t="s">
        <v>62</v>
      </c>
      <c r="C26" s="41">
        <v>359290</v>
      </c>
    </row>
    <row r="27" spans="2:7" ht="15.75" hidden="1" customHeight="1" x14ac:dyDescent="0.15">
      <c r="B27" s="40" t="s">
        <v>63</v>
      </c>
      <c r="C27" s="41">
        <v>106020</v>
      </c>
    </row>
    <row r="28" spans="2:7" ht="15.75" hidden="1" customHeight="1" x14ac:dyDescent="0.15">
      <c r="B28" s="40" t="s">
        <v>64</v>
      </c>
      <c r="C28" s="41">
        <v>64790</v>
      </c>
    </row>
    <row r="29" spans="2:7" ht="15.75" hidden="1" customHeight="1" thickBot="1" x14ac:dyDescent="0.2">
      <c r="B29" s="45" t="s">
        <v>65</v>
      </c>
      <c r="C29" s="46">
        <v>80470</v>
      </c>
    </row>
    <row r="30" spans="2:7" ht="15.75" hidden="1" customHeight="1" thickTop="1" thickBot="1" x14ac:dyDescent="0.2">
      <c r="B30" s="29"/>
      <c r="C30" s="44">
        <f>SUM(C24:C29)</f>
        <v>1075990</v>
      </c>
    </row>
    <row r="31" spans="2:7" ht="19.5" hidden="1" customHeight="1" x14ac:dyDescent="0.15"/>
    <row r="32" spans="2:7" ht="19.5" customHeight="1" thickBot="1" x14ac:dyDescent="0.2"/>
    <row r="33" spans="3:6" ht="19.5" customHeight="1" thickBot="1" x14ac:dyDescent="0.2">
      <c r="D33" s="58" t="s">
        <v>70</v>
      </c>
      <c r="E33" s="26" t="s">
        <v>71</v>
      </c>
      <c r="F33" s="59" t="s">
        <v>72</v>
      </c>
    </row>
    <row r="34" spans="3:6" ht="18.75" customHeight="1" thickTop="1" x14ac:dyDescent="0.15">
      <c r="C34" s="3" t="s">
        <v>69</v>
      </c>
      <c r="D34" s="56">
        <v>10000</v>
      </c>
      <c r="E34" s="57">
        <v>112</v>
      </c>
      <c r="F34" s="43">
        <f>D34*E34</f>
        <v>1120000</v>
      </c>
    </row>
    <row r="35" spans="3:6" ht="18.75" customHeight="1" x14ac:dyDescent="0.15">
      <c r="C35" s="51">
        <f>SUM(F9:F14)</f>
        <v>1236385</v>
      </c>
      <c r="D35" s="49">
        <v>5000</v>
      </c>
      <c r="E35" s="48">
        <v>12</v>
      </c>
      <c r="F35" s="41">
        <f t="shared" ref="F35:F42" si="0">D35*E35</f>
        <v>60000</v>
      </c>
    </row>
    <row r="36" spans="3:6" ht="18.75" customHeight="1" x14ac:dyDescent="0.15">
      <c r="D36" s="49">
        <v>1000</v>
      </c>
      <c r="E36" s="48">
        <v>50</v>
      </c>
      <c r="F36" s="41">
        <f t="shared" si="0"/>
        <v>50000</v>
      </c>
    </row>
    <row r="37" spans="3:6" ht="18.75" customHeight="1" x14ac:dyDescent="0.15">
      <c r="D37" s="50">
        <v>500</v>
      </c>
      <c r="E37" s="48">
        <v>8</v>
      </c>
      <c r="F37" s="41">
        <f t="shared" si="0"/>
        <v>4000</v>
      </c>
    </row>
    <row r="38" spans="3:6" ht="18.75" customHeight="1" x14ac:dyDescent="0.15">
      <c r="D38" s="50">
        <v>100</v>
      </c>
      <c r="E38" s="48">
        <v>21</v>
      </c>
      <c r="F38" s="41">
        <f t="shared" si="0"/>
        <v>2100</v>
      </c>
    </row>
    <row r="39" spans="3:6" ht="18.75" customHeight="1" x14ac:dyDescent="0.15">
      <c r="D39" s="50">
        <v>50</v>
      </c>
      <c r="E39" s="48">
        <v>3</v>
      </c>
      <c r="F39" s="41">
        <f t="shared" si="0"/>
        <v>150</v>
      </c>
    </row>
    <row r="40" spans="3:6" ht="18.75" customHeight="1" x14ac:dyDescent="0.15">
      <c r="D40" s="50">
        <v>10</v>
      </c>
      <c r="E40" s="48">
        <v>12</v>
      </c>
      <c r="F40" s="41">
        <f t="shared" si="0"/>
        <v>120</v>
      </c>
    </row>
    <row r="41" spans="3:6" ht="18.75" customHeight="1" x14ac:dyDescent="0.15">
      <c r="D41" s="50">
        <v>5</v>
      </c>
      <c r="E41" s="48">
        <v>2</v>
      </c>
      <c r="F41" s="41">
        <f t="shared" si="0"/>
        <v>10</v>
      </c>
    </row>
    <row r="42" spans="3:6" ht="18.75" customHeight="1" thickBot="1" x14ac:dyDescent="0.2">
      <c r="D42" s="54">
        <v>1</v>
      </c>
      <c r="E42" s="55">
        <v>5</v>
      </c>
      <c r="F42" s="46">
        <f t="shared" si="0"/>
        <v>5</v>
      </c>
    </row>
    <row r="43" spans="3:6" ht="19.5" customHeight="1" thickTop="1" thickBot="1" x14ac:dyDescent="0.2">
      <c r="D43" s="52"/>
      <c r="E43" s="31"/>
      <c r="F43" s="53">
        <f>SUM(F34:F42)</f>
        <v>1236385</v>
      </c>
    </row>
  </sheetData>
  <mergeCells count="2">
    <mergeCell ref="B1:C1"/>
    <mergeCell ref="B22:C22"/>
  </mergeCells>
  <phoneticPr fontId="2"/>
  <pageMargins left="0.7" right="0.7" top="0.75" bottom="0.75" header="0.3" footer="0.3"/>
  <pageSetup paperSize="9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>
      <selection activeCell="C40" sqref="C40"/>
    </sheetView>
  </sheetViews>
  <sheetFormatPr defaultRowHeight="19.5" customHeight="1" x14ac:dyDescent="0.15"/>
  <cols>
    <col min="1" max="1" width="2.625" customWidth="1"/>
    <col min="2" max="2" width="24.875" style="6" customWidth="1"/>
    <col min="3" max="3" width="41.625" style="1" customWidth="1"/>
    <col min="4" max="4" width="21.75" style="1" customWidth="1"/>
    <col min="5" max="5" width="14.625" customWidth="1"/>
    <col min="6" max="6" width="15.75" style="2" customWidth="1"/>
    <col min="7" max="7" width="11" customWidth="1"/>
  </cols>
  <sheetData>
    <row r="1" spans="2:7" ht="15.75" customHeight="1" thickBot="1" x14ac:dyDescent="0.2">
      <c r="B1" s="63" t="s">
        <v>84</v>
      </c>
      <c r="C1" s="63"/>
      <c r="F1" s="4"/>
      <c r="G1" s="5"/>
    </row>
    <row r="2" spans="2:7" ht="15.75" customHeight="1" thickBot="1" x14ac:dyDescent="0.2">
      <c r="B2" s="25" t="s">
        <v>0</v>
      </c>
      <c r="C2" s="26" t="s">
        <v>1</v>
      </c>
      <c r="D2" s="26" t="s">
        <v>2</v>
      </c>
      <c r="E2" s="26" t="s">
        <v>4</v>
      </c>
      <c r="F2" s="27" t="s">
        <v>3</v>
      </c>
      <c r="G2" s="28" t="s">
        <v>5</v>
      </c>
    </row>
    <row r="3" spans="2:7" ht="15.75" customHeight="1" thickTop="1" x14ac:dyDescent="0.15">
      <c r="B3" s="20"/>
      <c r="C3" s="21"/>
      <c r="D3" s="22"/>
      <c r="E3" s="36"/>
      <c r="F3" s="23"/>
      <c r="G3" s="24" t="s">
        <v>16</v>
      </c>
    </row>
    <row r="4" spans="2:7" ht="15.75" customHeight="1" x14ac:dyDescent="0.15">
      <c r="B4" s="11"/>
      <c r="C4" s="8"/>
      <c r="D4" s="22"/>
      <c r="E4" s="36"/>
      <c r="F4" s="10"/>
      <c r="G4" s="12" t="s">
        <v>16</v>
      </c>
    </row>
    <row r="5" spans="2:7" ht="15.75" customHeight="1" x14ac:dyDescent="0.15">
      <c r="B5" s="11"/>
      <c r="C5" s="8"/>
      <c r="D5" s="22"/>
      <c r="E5" s="36"/>
      <c r="F5" s="10"/>
      <c r="G5" s="12" t="s">
        <v>16</v>
      </c>
    </row>
    <row r="6" spans="2:7" ht="15.75" customHeight="1" x14ac:dyDescent="0.15">
      <c r="B6" s="11"/>
      <c r="C6" s="8"/>
      <c r="D6" s="22"/>
      <c r="E6" s="36"/>
      <c r="F6" s="10"/>
      <c r="G6" s="12" t="s">
        <v>16</v>
      </c>
    </row>
    <row r="7" spans="2:7" ht="15.75" customHeight="1" x14ac:dyDescent="0.15">
      <c r="B7" s="11"/>
      <c r="C7" s="8"/>
      <c r="D7" s="22"/>
      <c r="E7" s="36"/>
      <c r="F7" s="10"/>
      <c r="G7" s="12" t="s">
        <v>16</v>
      </c>
    </row>
    <row r="8" spans="2:7" ht="15.75" customHeight="1" x14ac:dyDescent="0.15">
      <c r="B8" s="11"/>
      <c r="C8" s="8"/>
      <c r="D8" s="22"/>
      <c r="E8" s="36"/>
      <c r="F8" s="10"/>
      <c r="G8" s="12" t="s">
        <v>16</v>
      </c>
    </row>
    <row r="9" spans="2:7" ht="15.75" customHeight="1" x14ac:dyDescent="0.15">
      <c r="B9" s="11" t="s">
        <v>73</v>
      </c>
      <c r="C9" s="8" t="s">
        <v>77</v>
      </c>
      <c r="D9" s="22"/>
      <c r="E9" s="36"/>
      <c r="F9" s="10">
        <v>9120</v>
      </c>
      <c r="G9" s="12" t="s">
        <v>26</v>
      </c>
    </row>
    <row r="10" spans="2:7" ht="15.75" customHeight="1" x14ac:dyDescent="0.15">
      <c r="B10" s="11" t="s">
        <v>76</v>
      </c>
      <c r="C10" s="8" t="s">
        <v>78</v>
      </c>
      <c r="D10" s="22"/>
      <c r="E10" s="36">
        <v>42079</v>
      </c>
      <c r="F10" s="10">
        <v>599984</v>
      </c>
      <c r="G10" s="12" t="s">
        <v>26</v>
      </c>
    </row>
    <row r="11" spans="2:7" ht="15.75" customHeight="1" x14ac:dyDescent="0.15">
      <c r="B11" s="11"/>
      <c r="C11" s="8" t="s">
        <v>74</v>
      </c>
      <c r="D11" s="22"/>
      <c r="E11" s="36">
        <v>42079</v>
      </c>
      <c r="F11" s="10">
        <v>2574</v>
      </c>
      <c r="G11" s="12" t="s">
        <v>26</v>
      </c>
    </row>
    <row r="12" spans="2:7" ht="15.75" customHeight="1" x14ac:dyDescent="0.15">
      <c r="B12" s="11"/>
      <c r="C12" s="8" t="s">
        <v>75</v>
      </c>
      <c r="D12" s="22"/>
      <c r="E12" s="36">
        <v>42079</v>
      </c>
      <c r="F12" s="10">
        <v>10180</v>
      </c>
      <c r="G12" s="12" t="s">
        <v>26</v>
      </c>
    </row>
    <row r="13" spans="2:7" ht="15.75" customHeight="1" x14ac:dyDescent="0.15">
      <c r="B13" s="11"/>
      <c r="C13" s="8" t="s">
        <v>79</v>
      </c>
      <c r="D13" s="22"/>
      <c r="E13" s="36">
        <v>42079</v>
      </c>
      <c r="F13" s="10">
        <v>204030</v>
      </c>
      <c r="G13" s="12" t="s">
        <v>26</v>
      </c>
    </row>
    <row r="14" spans="2:7" ht="15.75" customHeight="1" thickBot="1" x14ac:dyDescent="0.2">
      <c r="B14" s="15"/>
      <c r="C14" s="16"/>
      <c r="D14" s="17"/>
      <c r="E14" s="38"/>
      <c r="F14" s="18"/>
      <c r="G14" s="19" t="s">
        <v>26</v>
      </c>
    </row>
    <row r="15" spans="2:7" ht="15.75" customHeight="1" thickTop="1" thickBot="1" x14ac:dyDescent="0.2">
      <c r="B15" s="29"/>
      <c r="C15" s="47"/>
      <c r="D15" s="47"/>
      <c r="E15" s="31"/>
      <c r="F15" s="13">
        <f>SUM(F3:F14)</f>
        <v>825888</v>
      </c>
      <c r="G15" s="14"/>
    </row>
    <row r="16" spans="2:7" ht="6.75" customHeight="1" thickBot="1" x14ac:dyDescent="0.2">
      <c r="G16" s="5"/>
    </row>
    <row r="17" spans="2:7" ht="15.75" customHeight="1" thickBot="1" x14ac:dyDescent="0.2">
      <c r="B17" s="25" t="s">
        <v>54</v>
      </c>
      <c r="C17" s="26" t="s">
        <v>1</v>
      </c>
      <c r="D17" s="26" t="s">
        <v>2</v>
      </c>
      <c r="E17" s="26" t="s">
        <v>58</v>
      </c>
      <c r="F17" s="27" t="s">
        <v>3</v>
      </c>
      <c r="G17" s="28" t="s">
        <v>5</v>
      </c>
    </row>
    <row r="18" spans="2:7" ht="15.75" customHeight="1" thickTop="1" x14ac:dyDescent="0.15">
      <c r="B18" s="11"/>
      <c r="C18" s="8"/>
      <c r="D18" s="22"/>
      <c r="E18" s="36"/>
      <c r="F18" s="10"/>
      <c r="G18" s="12" t="s">
        <v>26</v>
      </c>
    </row>
    <row r="19" spans="2:7" ht="15.75" customHeight="1" thickBot="1" x14ac:dyDescent="0.2">
      <c r="B19" s="15" t="s">
        <v>56</v>
      </c>
      <c r="C19" s="16"/>
      <c r="D19" s="17"/>
      <c r="E19" s="38">
        <v>42079</v>
      </c>
      <c r="F19" s="18">
        <v>204030</v>
      </c>
      <c r="G19" s="19" t="s">
        <v>26</v>
      </c>
    </row>
    <row r="20" spans="2:7" ht="15.75" customHeight="1" thickTop="1" thickBot="1" x14ac:dyDescent="0.2">
      <c r="B20" s="29"/>
      <c r="C20" s="47"/>
      <c r="D20" s="47"/>
      <c r="E20" s="31"/>
      <c r="F20" s="13">
        <f>SUM(F18:F19)</f>
        <v>204030</v>
      </c>
      <c r="G20" s="14"/>
    </row>
    <row r="21" spans="2:7" ht="15.75" hidden="1" customHeight="1" x14ac:dyDescent="0.15">
      <c r="C21" s="3"/>
      <c r="F21" s="4" t="s">
        <v>51</v>
      </c>
      <c r="G21" s="5"/>
    </row>
    <row r="22" spans="2:7" ht="15.75" hidden="1" customHeight="1" thickBot="1" x14ac:dyDescent="0.2">
      <c r="B22" s="63" t="s">
        <v>68</v>
      </c>
      <c r="C22" s="63"/>
      <c r="F22" s="4"/>
      <c r="G22" s="5"/>
    </row>
    <row r="23" spans="2:7" ht="15.75" hidden="1" customHeight="1" thickBot="1" x14ac:dyDescent="0.2">
      <c r="B23" s="25" t="s">
        <v>66</v>
      </c>
      <c r="C23" s="28" t="s">
        <v>3</v>
      </c>
      <c r="F23" s="4"/>
      <c r="G23" s="5"/>
    </row>
    <row r="24" spans="2:7" ht="15.75" hidden="1" customHeight="1" thickTop="1" x14ac:dyDescent="0.15">
      <c r="B24" s="42" t="s">
        <v>60</v>
      </c>
      <c r="C24" s="43">
        <v>353510</v>
      </c>
      <c r="F24" s="4"/>
      <c r="G24" s="5"/>
    </row>
    <row r="25" spans="2:7" ht="15.75" hidden="1" customHeight="1" x14ac:dyDescent="0.15">
      <c r="B25" s="40" t="s">
        <v>61</v>
      </c>
      <c r="C25" s="41">
        <v>111910</v>
      </c>
      <c r="F25" s="4"/>
      <c r="G25" s="5"/>
    </row>
    <row r="26" spans="2:7" ht="15.75" hidden="1" customHeight="1" x14ac:dyDescent="0.15">
      <c r="B26" s="40" t="s">
        <v>62</v>
      </c>
      <c r="C26" s="41">
        <v>359290</v>
      </c>
    </row>
    <row r="27" spans="2:7" ht="15.75" hidden="1" customHeight="1" x14ac:dyDescent="0.15">
      <c r="B27" s="40" t="s">
        <v>63</v>
      </c>
      <c r="C27" s="41">
        <v>106020</v>
      </c>
    </row>
    <row r="28" spans="2:7" ht="15.75" hidden="1" customHeight="1" x14ac:dyDescent="0.15">
      <c r="B28" s="40" t="s">
        <v>64</v>
      </c>
      <c r="C28" s="41">
        <v>64790</v>
      </c>
    </row>
    <row r="29" spans="2:7" ht="15.75" hidden="1" customHeight="1" thickBot="1" x14ac:dyDescent="0.2">
      <c r="B29" s="45" t="s">
        <v>65</v>
      </c>
      <c r="C29" s="46">
        <v>80470</v>
      </c>
    </row>
    <row r="30" spans="2:7" ht="15.75" hidden="1" customHeight="1" thickTop="1" thickBot="1" x14ac:dyDescent="0.2">
      <c r="B30" s="29"/>
      <c r="C30" s="44">
        <f>SUM(C24:C29)</f>
        <v>1075990</v>
      </c>
    </row>
    <row r="31" spans="2:7" ht="19.5" hidden="1" customHeight="1" x14ac:dyDescent="0.15"/>
    <row r="32" spans="2:7" ht="19.5" customHeight="1" thickBot="1" x14ac:dyDescent="0.2"/>
    <row r="33" spans="3:6" ht="19.5" customHeight="1" thickBot="1" x14ac:dyDescent="0.2">
      <c r="D33" s="58" t="s">
        <v>70</v>
      </c>
      <c r="E33" s="26" t="s">
        <v>71</v>
      </c>
      <c r="F33" s="59" t="s">
        <v>3</v>
      </c>
    </row>
    <row r="34" spans="3:6" ht="18.75" customHeight="1" thickTop="1" x14ac:dyDescent="0.15">
      <c r="C34" s="64"/>
      <c r="D34" s="56">
        <v>10000</v>
      </c>
      <c r="E34" s="57">
        <v>73</v>
      </c>
      <c r="F34" s="43">
        <f>SUM(D34*E34)</f>
        <v>730000</v>
      </c>
    </row>
    <row r="35" spans="3:6" ht="18.75" customHeight="1" x14ac:dyDescent="0.15">
      <c r="C35" s="65" t="s">
        <v>85</v>
      </c>
      <c r="D35" s="49">
        <v>5000</v>
      </c>
      <c r="E35" s="48">
        <v>9</v>
      </c>
      <c r="F35" s="43">
        <f t="shared" ref="F35:F42" si="0">SUM(D35*E35)</f>
        <v>45000</v>
      </c>
    </row>
    <row r="36" spans="3:6" ht="18.75" customHeight="1" x14ac:dyDescent="0.15">
      <c r="C36" s="66">
        <f>SUM(F10+F13)</f>
        <v>804014</v>
      </c>
      <c r="D36" s="49">
        <v>1000</v>
      </c>
      <c r="E36" s="48">
        <v>26</v>
      </c>
      <c r="F36" s="43">
        <f t="shared" si="0"/>
        <v>26000</v>
      </c>
    </row>
    <row r="37" spans="3:6" ht="18.75" customHeight="1" x14ac:dyDescent="0.15">
      <c r="D37" s="50">
        <v>500</v>
      </c>
      <c r="E37" s="48">
        <v>2</v>
      </c>
      <c r="F37" s="43">
        <f t="shared" si="0"/>
        <v>1000</v>
      </c>
    </row>
    <row r="38" spans="3:6" ht="18.75" customHeight="1" x14ac:dyDescent="0.15">
      <c r="D38" s="50">
        <v>100</v>
      </c>
      <c r="E38" s="48">
        <v>17</v>
      </c>
      <c r="F38" s="43">
        <f t="shared" si="0"/>
        <v>1700</v>
      </c>
    </row>
    <row r="39" spans="3:6" ht="18.75" customHeight="1" x14ac:dyDescent="0.15">
      <c r="D39" s="50">
        <v>50</v>
      </c>
      <c r="E39" s="48">
        <v>3</v>
      </c>
      <c r="F39" s="43">
        <f t="shared" si="0"/>
        <v>150</v>
      </c>
    </row>
    <row r="40" spans="3:6" ht="18.75" customHeight="1" x14ac:dyDescent="0.15">
      <c r="D40" s="50">
        <v>10</v>
      </c>
      <c r="E40" s="48">
        <v>15</v>
      </c>
      <c r="F40" s="43">
        <f t="shared" si="0"/>
        <v>150</v>
      </c>
    </row>
    <row r="41" spans="3:6" ht="18.75" customHeight="1" x14ac:dyDescent="0.15">
      <c r="D41" s="50">
        <v>5</v>
      </c>
      <c r="E41" s="48">
        <v>2</v>
      </c>
      <c r="F41" s="43">
        <f t="shared" si="0"/>
        <v>10</v>
      </c>
    </row>
    <row r="42" spans="3:6" ht="18.75" customHeight="1" thickBot="1" x14ac:dyDescent="0.2">
      <c r="D42" s="54">
        <v>1</v>
      </c>
      <c r="E42" s="55">
        <v>4</v>
      </c>
      <c r="F42" s="43">
        <f t="shared" si="0"/>
        <v>4</v>
      </c>
    </row>
    <row r="43" spans="3:6" ht="19.5" customHeight="1" thickTop="1" thickBot="1" x14ac:dyDescent="0.2">
      <c r="D43" s="52"/>
      <c r="E43" s="31"/>
      <c r="F43" s="53">
        <f>SUM(F34:F42)</f>
        <v>804014</v>
      </c>
    </row>
  </sheetData>
  <mergeCells count="2">
    <mergeCell ref="B1:C1"/>
    <mergeCell ref="B22:C22"/>
  </mergeCells>
  <phoneticPr fontId="2"/>
  <pageMargins left="0.7" right="0.7" top="0.75" bottom="0.75" header="0.3" footer="0.3"/>
  <pageSetup paperSize="9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tabSelected="1" workbookViewId="0">
      <selection activeCell="C39" sqref="C39"/>
    </sheetView>
  </sheetViews>
  <sheetFormatPr defaultRowHeight="19.5" customHeight="1" x14ac:dyDescent="0.15"/>
  <cols>
    <col min="1" max="1" width="2.625" customWidth="1"/>
    <col min="2" max="2" width="24.875" style="6" customWidth="1"/>
    <col min="3" max="3" width="41.625" style="1" customWidth="1"/>
    <col min="4" max="4" width="21.75" style="1" customWidth="1"/>
    <col min="5" max="5" width="14.625" customWidth="1"/>
    <col min="6" max="6" width="15.75" style="2" customWidth="1"/>
    <col min="7" max="7" width="11" customWidth="1"/>
  </cols>
  <sheetData>
    <row r="1" spans="2:7" ht="15.75" customHeight="1" thickBot="1" x14ac:dyDescent="0.2">
      <c r="B1" s="63" t="s">
        <v>80</v>
      </c>
      <c r="C1" s="63"/>
      <c r="F1" s="4"/>
      <c r="G1" s="5"/>
    </row>
    <row r="2" spans="2:7" ht="15.75" customHeight="1" thickBot="1" x14ac:dyDescent="0.2">
      <c r="B2" s="25" t="s">
        <v>0</v>
      </c>
      <c r="C2" s="26" t="s">
        <v>1</v>
      </c>
      <c r="D2" s="26" t="s">
        <v>2</v>
      </c>
      <c r="E2" s="26" t="s">
        <v>4</v>
      </c>
      <c r="F2" s="27" t="s">
        <v>3</v>
      </c>
      <c r="G2" s="28" t="s">
        <v>5</v>
      </c>
    </row>
    <row r="3" spans="2:7" ht="15.75" customHeight="1" thickTop="1" x14ac:dyDescent="0.15">
      <c r="B3" s="20" t="s">
        <v>15</v>
      </c>
      <c r="C3" s="21"/>
      <c r="D3" s="22"/>
      <c r="E3" s="36">
        <v>42109</v>
      </c>
      <c r="F3" s="23"/>
      <c r="G3" s="24" t="s">
        <v>16</v>
      </c>
    </row>
    <row r="4" spans="2:7" ht="15.75" customHeight="1" x14ac:dyDescent="0.15">
      <c r="B4" s="11" t="s">
        <v>82</v>
      </c>
      <c r="C4" s="8"/>
      <c r="D4" s="22"/>
      <c r="E4" s="36">
        <v>42109</v>
      </c>
      <c r="F4" s="10"/>
      <c r="G4" s="12" t="s">
        <v>16</v>
      </c>
    </row>
    <row r="5" spans="2:7" ht="15.75" customHeight="1" x14ac:dyDescent="0.15">
      <c r="B5" s="11" t="s">
        <v>12</v>
      </c>
      <c r="C5" s="8"/>
      <c r="D5" s="22"/>
      <c r="E5" s="36">
        <v>42109</v>
      </c>
      <c r="F5" s="10">
        <v>49000</v>
      </c>
      <c r="G5" s="12" t="s">
        <v>16</v>
      </c>
    </row>
    <row r="6" spans="2:7" ht="15.75" customHeight="1" x14ac:dyDescent="0.15">
      <c r="B6" s="11" t="s">
        <v>82</v>
      </c>
      <c r="C6" s="8"/>
      <c r="D6" s="22"/>
      <c r="E6" s="36">
        <v>42109</v>
      </c>
      <c r="F6" s="10">
        <v>3920</v>
      </c>
      <c r="G6" s="12" t="s">
        <v>16</v>
      </c>
    </row>
    <row r="7" spans="2:7" ht="15.75" customHeight="1" x14ac:dyDescent="0.15">
      <c r="B7" s="11"/>
      <c r="C7" s="8"/>
      <c r="D7" s="22"/>
      <c r="E7" s="36"/>
      <c r="F7" s="10"/>
      <c r="G7" s="12" t="s">
        <v>16</v>
      </c>
    </row>
    <row r="8" spans="2:7" ht="15.75" customHeight="1" x14ac:dyDescent="0.15">
      <c r="B8" s="11"/>
      <c r="C8" s="8"/>
      <c r="D8" s="22"/>
      <c r="E8" s="36"/>
      <c r="F8" s="10"/>
      <c r="G8" s="12" t="s">
        <v>16</v>
      </c>
    </row>
    <row r="9" spans="2:7" ht="15.75" customHeight="1" x14ac:dyDescent="0.15">
      <c r="B9" s="11"/>
      <c r="C9" s="8"/>
      <c r="D9" s="22"/>
      <c r="E9" s="36"/>
      <c r="F9" s="10"/>
      <c r="G9" s="12" t="s">
        <v>26</v>
      </c>
    </row>
    <row r="10" spans="2:7" ht="15.75" customHeight="1" x14ac:dyDescent="0.15">
      <c r="B10" s="11" t="s">
        <v>76</v>
      </c>
      <c r="C10" s="8" t="s">
        <v>81</v>
      </c>
      <c r="D10" s="22"/>
      <c r="E10" s="36"/>
      <c r="F10" s="10"/>
      <c r="G10" s="12" t="s">
        <v>26</v>
      </c>
    </row>
    <row r="11" spans="2:7" ht="15.75" customHeight="1" x14ac:dyDescent="0.15">
      <c r="B11" s="11"/>
      <c r="C11" s="8" t="s">
        <v>74</v>
      </c>
      <c r="D11" s="22"/>
      <c r="E11" s="36"/>
      <c r="F11" s="10"/>
      <c r="G11" s="12" t="s">
        <v>26</v>
      </c>
    </row>
    <row r="12" spans="2:7" ht="15.75" customHeight="1" x14ac:dyDescent="0.15">
      <c r="B12" s="11"/>
      <c r="C12" s="8" t="s">
        <v>75</v>
      </c>
      <c r="D12" s="22"/>
      <c r="E12" s="36"/>
      <c r="F12" s="10"/>
      <c r="G12" s="12" t="s">
        <v>26</v>
      </c>
    </row>
    <row r="13" spans="2:7" ht="15.75" customHeight="1" x14ac:dyDescent="0.15">
      <c r="B13" s="11"/>
      <c r="C13" s="8" t="s">
        <v>83</v>
      </c>
      <c r="D13" s="22"/>
      <c r="E13" s="36"/>
      <c r="F13" s="10"/>
      <c r="G13" s="12" t="s">
        <v>26</v>
      </c>
    </row>
    <row r="14" spans="2:7" ht="15.75" customHeight="1" thickBot="1" x14ac:dyDescent="0.2">
      <c r="B14" s="15"/>
      <c r="C14" s="16"/>
      <c r="D14" s="17"/>
      <c r="E14" s="38"/>
      <c r="F14" s="18"/>
      <c r="G14" s="19" t="s">
        <v>26</v>
      </c>
    </row>
    <row r="15" spans="2:7" ht="15.75" customHeight="1" thickTop="1" thickBot="1" x14ac:dyDescent="0.2">
      <c r="B15" s="29"/>
      <c r="C15" s="60"/>
      <c r="D15" s="60"/>
      <c r="E15" s="31"/>
      <c r="F15" s="13">
        <f>SUM(F3:F14)</f>
        <v>52920</v>
      </c>
      <c r="G15" s="14"/>
    </row>
    <row r="16" spans="2:7" ht="6.75" customHeight="1" thickBot="1" x14ac:dyDescent="0.2">
      <c r="G16" s="5"/>
    </row>
    <row r="17" spans="2:7" ht="15.75" customHeight="1" thickBot="1" x14ac:dyDescent="0.2">
      <c r="B17" s="25" t="s">
        <v>54</v>
      </c>
      <c r="C17" s="26" t="s">
        <v>1</v>
      </c>
      <c r="D17" s="26" t="s">
        <v>2</v>
      </c>
      <c r="E17" s="26" t="s">
        <v>58</v>
      </c>
      <c r="F17" s="27" t="s">
        <v>3</v>
      </c>
      <c r="G17" s="28" t="s">
        <v>5</v>
      </c>
    </row>
    <row r="18" spans="2:7" ht="15.75" customHeight="1" thickTop="1" x14ac:dyDescent="0.15">
      <c r="B18" s="11"/>
      <c r="C18" s="8"/>
      <c r="D18" s="22"/>
      <c r="E18" s="36"/>
      <c r="F18" s="10"/>
      <c r="G18" s="12" t="s">
        <v>26</v>
      </c>
    </row>
    <row r="19" spans="2:7" ht="15.75" customHeight="1" thickBot="1" x14ac:dyDescent="0.2">
      <c r="B19" s="15" t="s">
        <v>56</v>
      </c>
      <c r="C19" s="16"/>
      <c r="D19" s="17"/>
      <c r="E19" s="38"/>
      <c r="F19" s="18"/>
      <c r="G19" s="19" t="s">
        <v>26</v>
      </c>
    </row>
    <row r="20" spans="2:7" ht="15.75" customHeight="1" thickTop="1" thickBot="1" x14ac:dyDescent="0.2">
      <c r="B20" s="29"/>
      <c r="C20" s="60"/>
      <c r="D20" s="60"/>
      <c r="E20" s="31"/>
      <c r="F20" s="13">
        <f>F18+F19</f>
        <v>0</v>
      </c>
      <c r="G20" s="14"/>
    </row>
    <row r="21" spans="2:7" ht="15.75" hidden="1" customHeight="1" x14ac:dyDescent="0.15">
      <c r="C21" s="3"/>
      <c r="F21" s="4" t="s">
        <v>51</v>
      </c>
      <c r="G21" s="5"/>
    </row>
    <row r="22" spans="2:7" ht="15.75" hidden="1" customHeight="1" thickBot="1" x14ac:dyDescent="0.2">
      <c r="B22" s="63" t="s">
        <v>68</v>
      </c>
      <c r="C22" s="63"/>
      <c r="F22" s="4"/>
      <c r="G22" s="5"/>
    </row>
    <row r="23" spans="2:7" ht="15.75" hidden="1" customHeight="1" thickBot="1" x14ac:dyDescent="0.2">
      <c r="B23" s="25" t="s">
        <v>66</v>
      </c>
      <c r="C23" s="28" t="s">
        <v>3</v>
      </c>
      <c r="F23" s="4"/>
      <c r="G23" s="5"/>
    </row>
    <row r="24" spans="2:7" ht="15.75" hidden="1" customHeight="1" thickTop="1" x14ac:dyDescent="0.15">
      <c r="B24" s="42" t="s">
        <v>60</v>
      </c>
      <c r="C24" s="43">
        <v>353510</v>
      </c>
      <c r="F24" s="4"/>
      <c r="G24" s="5"/>
    </row>
    <row r="25" spans="2:7" ht="15.75" hidden="1" customHeight="1" x14ac:dyDescent="0.15">
      <c r="B25" s="40" t="s">
        <v>61</v>
      </c>
      <c r="C25" s="41">
        <v>111910</v>
      </c>
      <c r="F25" s="4"/>
      <c r="G25" s="5"/>
    </row>
    <row r="26" spans="2:7" ht="15.75" hidden="1" customHeight="1" x14ac:dyDescent="0.15">
      <c r="B26" s="40" t="s">
        <v>62</v>
      </c>
      <c r="C26" s="41">
        <v>359290</v>
      </c>
    </row>
    <row r="27" spans="2:7" ht="15.75" hidden="1" customHeight="1" x14ac:dyDescent="0.15">
      <c r="B27" s="40" t="s">
        <v>63</v>
      </c>
      <c r="C27" s="41">
        <v>106020</v>
      </c>
    </row>
    <row r="28" spans="2:7" ht="15.75" hidden="1" customHeight="1" x14ac:dyDescent="0.15">
      <c r="B28" s="40" t="s">
        <v>64</v>
      </c>
      <c r="C28" s="41">
        <v>64790</v>
      </c>
    </row>
    <row r="29" spans="2:7" ht="15.75" hidden="1" customHeight="1" thickBot="1" x14ac:dyDescent="0.2">
      <c r="B29" s="45" t="s">
        <v>65</v>
      </c>
      <c r="C29" s="46">
        <v>80470</v>
      </c>
    </row>
    <row r="30" spans="2:7" ht="15.75" hidden="1" customHeight="1" thickTop="1" thickBot="1" x14ac:dyDescent="0.2">
      <c r="B30" s="29"/>
      <c r="C30" s="44">
        <f>SUM(C24:C29)</f>
        <v>1075990</v>
      </c>
    </row>
    <row r="31" spans="2:7" ht="19.5" hidden="1" customHeight="1" x14ac:dyDescent="0.15"/>
    <row r="32" spans="2:7" ht="19.5" customHeight="1" thickBot="1" x14ac:dyDescent="0.2"/>
    <row r="33" spans="3:6" ht="19.5" customHeight="1" thickBot="1" x14ac:dyDescent="0.2">
      <c r="D33" s="58" t="s">
        <v>70</v>
      </c>
      <c r="E33" s="26" t="s">
        <v>71</v>
      </c>
      <c r="F33" s="59" t="s">
        <v>3</v>
      </c>
    </row>
    <row r="34" spans="3:6" ht="18.75" customHeight="1" thickTop="1" x14ac:dyDescent="0.15">
      <c r="C34" s="3" t="s">
        <v>69</v>
      </c>
      <c r="D34" s="56">
        <v>10000</v>
      </c>
      <c r="E34" s="57"/>
      <c r="F34" s="43">
        <f>D34*E34</f>
        <v>0</v>
      </c>
    </row>
    <row r="35" spans="3:6" ht="18.75" customHeight="1" x14ac:dyDescent="0.15">
      <c r="C35" s="51">
        <f>SUM(F9:F14)</f>
        <v>0</v>
      </c>
      <c r="D35" s="49">
        <v>5000</v>
      </c>
      <c r="E35" s="48"/>
      <c r="F35" s="41">
        <f t="shared" ref="F35:F42" si="0">D35*E35</f>
        <v>0</v>
      </c>
    </row>
    <row r="36" spans="3:6" ht="18.75" customHeight="1" x14ac:dyDescent="0.15">
      <c r="D36" s="49">
        <v>1000</v>
      </c>
      <c r="E36" s="48"/>
      <c r="F36" s="41">
        <f t="shared" si="0"/>
        <v>0</v>
      </c>
    </row>
    <row r="37" spans="3:6" ht="18.75" customHeight="1" x14ac:dyDescent="0.15">
      <c r="D37" s="50">
        <v>500</v>
      </c>
      <c r="E37" s="48"/>
      <c r="F37" s="41">
        <f t="shared" si="0"/>
        <v>0</v>
      </c>
    </row>
    <row r="38" spans="3:6" ht="18.75" customHeight="1" x14ac:dyDescent="0.15">
      <c r="D38" s="50">
        <v>100</v>
      </c>
      <c r="E38" s="48"/>
      <c r="F38" s="41">
        <f t="shared" si="0"/>
        <v>0</v>
      </c>
    </row>
    <row r="39" spans="3:6" ht="18.75" customHeight="1" x14ac:dyDescent="0.15">
      <c r="D39" s="50">
        <v>50</v>
      </c>
      <c r="E39" s="48"/>
      <c r="F39" s="41">
        <f t="shared" si="0"/>
        <v>0</v>
      </c>
    </row>
    <row r="40" spans="3:6" ht="18.75" customHeight="1" x14ac:dyDescent="0.15">
      <c r="D40" s="50">
        <v>10</v>
      </c>
      <c r="E40" s="48"/>
      <c r="F40" s="41">
        <f t="shared" si="0"/>
        <v>0</v>
      </c>
    </row>
    <row r="41" spans="3:6" ht="18.75" customHeight="1" x14ac:dyDescent="0.15">
      <c r="D41" s="50">
        <v>5</v>
      </c>
      <c r="E41" s="48"/>
      <c r="F41" s="41">
        <f t="shared" si="0"/>
        <v>0</v>
      </c>
    </row>
    <row r="42" spans="3:6" ht="18.75" customHeight="1" thickBot="1" x14ac:dyDescent="0.2">
      <c r="D42" s="54">
        <v>1</v>
      </c>
      <c r="E42" s="55"/>
      <c r="F42" s="46">
        <f t="shared" si="0"/>
        <v>0</v>
      </c>
    </row>
    <row r="43" spans="3:6" ht="19.5" customHeight="1" thickTop="1" thickBot="1" x14ac:dyDescent="0.2">
      <c r="D43" s="52"/>
      <c r="E43" s="31"/>
      <c r="F43" s="53">
        <f>SUM(F34:F42)</f>
        <v>0</v>
      </c>
    </row>
  </sheetData>
  <mergeCells count="2">
    <mergeCell ref="B1:C1"/>
    <mergeCell ref="B22:C22"/>
  </mergeCells>
  <phoneticPr fontId="2"/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1月支払</vt:lpstr>
      <vt:lpstr>２月支払</vt:lpstr>
      <vt:lpstr>西条３月支払</vt:lpstr>
      <vt:lpstr>西条4月支払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2015-03-11T05:01:11Z</cp:lastPrinted>
  <dcterms:created xsi:type="dcterms:W3CDTF">2015-01-04T23:49:03Z</dcterms:created>
  <dcterms:modified xsi:type="dcterms:W3CDTF">2015-03-11T05:02:44Z</dcterms:modified>
</cp:coreProperties>
</file>