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14250"/>
  </bookViews>
  <sheets>
    <sheet name="藤鳶工業請求" sheetId="1" r:id="rId1"/>
  </sheets>
  <definedNames>
    <definedName name="_xlnm.Print_Area" localSheetId="0">藤鳶工業請求!$A$1:$AH$60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9" i="1" l="1"/>
  <c r="AC50" i="1" s="1"/>
  <c r="AC51" i="1" l="1"/>
  <c r="AC52" i="1" s="1"/>
  <c r="M18" i="1" s="1"/>
</calcChain>
</file>

<file path=xl/sharedStrings.xml><?xml version="1.0" encoding="utf-8"?>
<sst xmlns="http://schemas.openxmlformats.org/spreadsheetml/2006/main" count="41" uniqueCount="33">
  <si>
    <t>請　求　明　細　書</t>
    <rPh sb="0" eb="1">
      <t>ショウ</t>
    </rPh>
    <rPh sb="2" eb="3">
      <t>モトム</t>
    </rPh>
    <rPh sb="4" eb="5">
      <t>メイ</t>
    </rPh>
    <rPh sb="6" eb="7">
      <t>ホソ</t>
    </rPh>
    <rPh sb="8" eb="9">
      <t>ショ</t>
    </rPh>
    <phoneticPr fontId="5"/>
  </si>
  <si>
    <t>藤鳶工業　株式会社</t>
    <rPh sb="0" eb="1">
      <t>フジ</t>
    </rPh>
    <rPh sb="1" eb="2">
      <t>トビ</t>
    </rPh>
    <rPh sb="2" eb="4">
      <t>コウギョウ</t>
    </rPh>
    <rPh sb="5" eb="7">
      <t>カブシキ</t>
    </rPh>
    <rPh sb="7" eb="9">
      <t>カイシャ</t>
    </rPh>
    <phoneticPr fontId="5"/>
  </si>
  <si>
    <t>殿</t>
    <rPh sb="0" eb="1">
      <t>ドノ</t>
    </rPh>
    <phoneticPr fontId="5"/>
  </si>
  <si>
    <t>下記のとおりご請求申し上げます。</t>
    <rPh sb="7" eb="9">
      <t>セイキュウ</t>
    </rPh>
    <phoneticPr fontId="5"/>
  </si>
  <si>
    <t>尚、本状と入れ違いに御入金の場合は何卒お許しください。</t>
    <rPh sb="0" eb="1">
      <t>ナオ</t>
    </rPh>
    <rPh sb="2" eb="4">
      <t>ホンジョウ</t>
    </rPh>
    <rPh sb="5" eb="6">
      <t>イ</t>
    </rPh>
    <rPh sb="7" eb="8">
      <t>チガ</t>
    </rPh>
    <rPh sb="10" eb="11">
      <t>ゴ</t>
    </rPh>
    <rPh sb="11" eb="13">
      <t>ニュウキン</t>
    </rPh>
    <rPh sb="14" eb="16">
      <t>バアイ</t>
    </rPh>
    <rPh sb="17" eb="19">
      <t>ナニトゾ</t>
    </rPh>
    <rPh sb="20" eb="21">
      <t>ユル</t>
    </rPh>
    <phoneticPr fontId="5"/>
  </si>
  <si>
    <t>　</t>
    <phoneticPr fontId="5"/>
  </si>
  <si>
    <t>　　　件　　名</t>
    <rPh sb="3" eb="4">
      <t>ケン</t>
    </rPh>
    <rPh sb="6" eb="7">
      <t>メイ</t>
    </rPh>
    <phoneticPr fontId="5"/>
  </si>
  <si>
    <r>
      <t xml:space="preserve">御請求額 </t>
    </r>
    <r>
      <rPr>
        <b/>
        <sz val="10"/>
        <rFont val="ＭＳ Ｐゴシック"/>
        <family val="3"/>
        <charset val="128"/>
      </rPr>
      <t>(消費税込)</t>
    </r>
    <rPh sb="0" eb="1">
      <t>ゴ</t>
    </rPh>
    <rPh sb="1" eb="3">
      <t>セイキュウ</t>
    </rPh>
    <rPh sb="3" eb="4">
      <t>ガク</t>
    </rPh>
    <rPh sb="6" eb="8">
      <t>ショウヒ</t>
    </rPh>
    <rPh sb="8" eb="10">
      <t>ゼイコ</t>
    </rPh>
    <phoneticPr fontId="5"/>
  </si>
  <si>
    <t>￥</t>
    <phoneticPr fontId="5"/>
  </si>
  <si>
    <t>-</t>
    <phoneticPr fontId="5"/>
  </si>
  <si>
    <t>番号</t>
    <rPh sb="0" eb="2">
      <t>バンゴウ</t>
    </rPh>
    <phoneticPr fontId="5"/>
  </si>
  <si>
    <t>明　細</t>
    <rPh sb="0" eb="1">
      <t>メイ</t>
    </rPh>
    <rPh sb="2" eb="3">
      <t>ホソ</t>
    </rPh>
    <phoneticPr fontId="5"/>
  </si>
  <si>
    <t>単価</t>
    <rPh sb="0" eb="2">
      <t>タンカ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</si>
  <si>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</si>
  <si>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</si>
  <si>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金額</t>
    <rPh sb="0" eb="2">
      <t>キンガク</t>
    </rPh>
    <phoneticPr fontId="5"/>
  </si>
  <si>
    <t>式</t>
    <rPh sb="0" eb="1">
      <t>シキ</t>
    </rPh>
    <phoneticPr fontId="5"/>
  </si>
  <si>
    <t>値引</t>
    <rPh sb="0" eb="2">
      <t>ネビ</t>
    </rPh>
    <phoneticPr fontId="5"/>
  </si>
  <si>
    <t>小計</t>
    <rPh sb="0" eb="2">
      <t>ショウケイ</t>
    </rPh>
    <phoneticPr fontId="5"/>
  </si>
  <si>
    <r>
      <t>(内消費税</t>
    </r>
    <r>
      <rPr>
        <sz val="11"/>
        <rFont val="ＭＳ Ｐゴシック"/>
        <family val="3"/>
        <charset val="128"/>
      </rPr>
      <t>)</t>
    </r>
    <rPh sb="1" eb="2">
      <t>ウチ</t>
    </rPh>
    <rPh sb="2" eb="5">
      <t>ショウヒゼイ</t>
    </rPh>
    <phoneticPr fontId="5"/>
  </si>
  <si>
    <t>合計</t>
    <rPh sb="0" eb="2">
      <t>ゴウケイ</t>
    </rPh>
    <phoneticPr fontId="5"/>
  </si>
  <si>
    <t>ご請求額</t>
    <rPh sb="1" eb="3">
      <t>セイキュウ</t>
    </rPh>
    <rPh sb="3" eb="4">
      <t>ガク</t>
    </rPh>
    <phoneticPr fontId="5"/>
  </si>
  <si>
    <t>通信欄</t>
    <rPh sb="0" eb="2">
      <t>ツウシン</t>
    </rPh>
    <rPh sb="2" eb="3">
      <t>ラン</t>
    </rPh>
    <phoneticPr fontId="5"/>
  </si>
  <si>
    <t>２月分　遊技機解体作業賃</t>
    <rPh sb="1" eb="3">
      <t>ガツブン</t>
    </rPh>
    <rPh sb="4" eb="7">
      <t>ユウギキ</t>
    </rPh>
    <rPh sb="7" eb="9">
      <t>カイタイ</t>
    </rPh>
    <rPh sb="9" eb="11">
      <t>サギョウ</t>
    </rPh>
    <rPh sb="11" eb="12">
      <t>チン</t>
    </rPh>
    <phoneticPr fontId="5"/>
  </si>
  <si>
    <t>木原　和樹</t>
    <rPh sb="0" eb="2">
      <t>キハラ</t>
    </rPh>
    <rPh sb="3" eb="5">
      <t>カズキ</t>
    </rPh>
    <phoneticPr fontId="5"/>
  </si>
  <si>
    <t>渡辺　直</t>
    <rPh sb="0" eb="2">
      <t>ワタナベ</t>
    </rPh>
    <rPh sb="3" eb="4">
      <t>スナオ</t>
    </rPh>
    <phoneticPr fontId="5"/>
  </si>
  <si>
    <t>村上　芳紀</t>
    <rPh sb="0" eb="2">
      <t>ムラカミ</t>
    </rPh>
    <rPh sb="3" eb="4">
      <t>ヨシ</t>
    </rPh>
    <rPh sb="4" eb="5">
      <t>キ</t>
    </rPh>
    <phoneticPr fontId="5"/>
  </si>
  <si>
    <t>村上　裕一</t>
    <rPh sb="0" eb="2">
      <t>ムラカミ</t>
    </rPh>
    <rPh sb="3" eb="5">
      <t>ユウイチ</t>
    </rPh>
    <phoneticPr fontId="5"/>
  </si>
  <si>
    <t>三由　幸美</t>
    <rPh sb="0" eb="2">
      <t>ミヨシ</t>
    </rPh>
    <rPh sb="3" eb="5">
      <t>ユキミ</t>
    </rPh>
    <phoneticPr fontId="5"/>
  </si>
  <si>
    <t>白石　鬼代志</t>
    <rPh sb="0" eb="2">
      <t>シライシ</t>
    </rPh>
    <rPh sb="3" eb="4">
      <t>オニ</t>
    </rPh>
    <rPh sb="4" eb="5">
      <t>ダイ</t>
    </rPh>
    <rPh sb="5" eb="6">
      <t>シ</t>
    </rPh>
    <phoneticPr fontId="5"/>
  </si>
  <si>
    <t>越智　毅</t>
    <rPh sb="0" eb="2">
      <t>オチ</t>
    </rPh>
    <rPh sb="3" eb="4">
      <t>タケシ</t>
    </rPh>
    <phoneticPr fontId="5"/>
  </si>
  <si>
    <t>桑村　信幸</t>
    <rPh sb="0" eb="2">
      <t>クワムラ</t>
    </rPh>
    <rPh sb="3" eb="5">
      <t>ノブユキ</t>
    </rPh>
    <phoneticPr fontId="5"/>
  </si>
  <si>
    <t>齋宮　学</t>
    <rPh sb="0" eb="2">
      <t>イツキ</t>
    </rPh>
    <rPh sb="3" eb="4">
      <t>マナ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</si>
</sst>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411]ggge&quot;年&quot;m&quot;月&quot;d&quot;日&quot;;@"/>
    <numFmt numFmtId="177" formatCode="#,##0;&quot;▲ &quot;#,##0"/>
    <numFmt numFmtId="178" formatCode="#,###;\-#,###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b/>
      <sz val="20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u/>
      <sz val="11"/>
      <name val="ＭＳ Ｐゴシック"/>
      <family val="3"/>
      <charset val="128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/>
    </fill>
    <fill>
      <patternFill patternType="darkGray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95">
    <xf numFmtId="0" fontId="0" fillId="0" borderId="0" xfId="0">
      <alignment vertical="center"/>
    </xf>
    <xf numFmtId="0" fontId="1" fillId="0" borderId="0" xfId="2"/>
    <xf numFmtId="0" fontId="1" fillId="0" borderId="0" xfId="2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0" fontId="1" fillId="0" borderId="0" xfId="2" applyBorder="1"/>
    <xf numFmtId="176" fontId="7" fillId="0" borderId="0" xfId="2" applyNumberFormat="1" applyFont="1" applyFill="1" applyBorder="1" applyAlignment="1">
      <alignment horizontal="right" vertical="center"/>
    </xf>
    <xf numFmtId="0" fontId="1" fillId="3" borderId="0" xfId="2" applyFill="1"/>
    <xf numFmtId="0" fontId="8" fillId="3" borderId="0" xfId="2" applyFont="1" applyFill="1" applyAlignment="1">
      <alignment horizontal="right"/>
    </xf>
    <xf numFmtId="0" fontId="1" fillId="3" borderId="0" xfId="2" applyFill="1" applyAlignment="1">
      <alignment horizontal="right"/>
    </xf>
    <xf numFmtId="0" fontId="1" fillId="4" borderId="0" xfId="2" applyFill="1"/>
    <xf numFmtId="0" fontId="10" fillId="4" borderId="0" xfId="3" applyFont="1" applyFill="1" applyAlignment="1" applyProtection="1">
      <alignment horizontal="right"/>
    </xf>
    <xf numFmtId="0" fontId="1" fillId="4" borderId="0" xfId="2" applyFill="1" applyAlignment="1">
      <alignment horizontal="right"/>
    </xf>
    <xf numFmtId="0" fontId="1" fillId="0" borderId="0" xfId="2" applyFill="1"/>
    <xf numFmtId="0" fontId="1" fillId="0" borderId="0" xfId="4" applyFont="1"/>
    <xf numFmtId="0" fontId="11" fillId="0" borderId="0" xfId="2" applyFont="1" applyFill="1" applyBorder="1" applyAlignment="1">
      <alignment horizontal="center" shrinkToFit="1"/>
    </xf>
    <xf numFmtId="0" fontId="1" fillId="0" borderId="0" xfId="2" applyAlignment="1">
      <alignment horizontal="center"/>
    </xf>
    <xf numFmtId="0" fontId="1" fillId="0" borderId="0" xfId="4" applyFont="1" applyBorder="1" applyAlignment="1"/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vertical="center"/>
    </xf>
    <xf numFmtId="0" fontId="14" fillId="1" borderId="0" xfId="2" applyFont="1" applyFill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2" applyFont="1" applyBorder="1" applyAlignment="1">
      <alignment horizontal="right"/>
    </xf>
    <xf numFmtId="0" fontId="14" fillId="1" borderId="1" xfId="2" applyFont="1" applyFill="1" applyBorder="1" applyAlignment="1">
      <alignment vertical="center"/>
    </xf>
    <xf numFmtId="0" fontId="14" fillId="1" borderId="1" xfId="2" applyFont="1" applyFill="1" applyBorder="1" applyAlignment="1">
      <alignment vertical="center" shrinkToFit="1"/>
    </xf>
    <xf numFmtId="0" fontId="1" fillId="0" borderId="2" xfId="2" applyBorder="1" applyAlignment="1"/>
    <xf numFmtId="0" fontId="1" fillId="0" borderId="3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3" xfId="2" applyBorder="1" applyAlignment="1"/>
    <xf numFmtId="0" fontId="1" fillId="0" borderId="4" xfId="2" applyBorder="1" applyAlignment="1"/>
    <xf numFmtId="38" fontId="11" fillId="1" borderId="0" xfId="2" applyNumberFormat="1" applyFont="1" applyFill="1" applyBorder="1" applyAlignment="1">
      <alignment vertical="center"/>
    </xf>
    <xf numFmtId="0" fontId="1" fillId="0" borderId="5" xfId="2" applyBorder="1" applyAlignment="1"/>
    <xf numFmtId="0" fontId="1" fillId="0" borderId="0" xfId="2" applyBorder="1" applyAlignment="1">
      <alignment horizontal="right"/>
    </xf>
    <xf numFmtId="0" fontId="1" fillId="0" borderId="6" xfId="2" applyBorder="1" applyAlignment="1">
      <alignment horizontal="right"/>
    </xf>
    <xf numFmtId="0" fontId="1" fillId="0" borderId="0" xfId="2" applyBorder="1" applyAlignment="1"/>
    <xf numFmtId="0" fontId="1" fillId="0" borderId="6" xfId="2" applyBorder="1" applyAlignment="1"/>
    <xf numFmtId="38" fontId="11" fillId="1" borderId="1" xfId="2" applyNumberFormat="1" applyFont="1" applyFill="1" applyBorder="1" applyAlignment="1">
      <alignment vertical="center"/>
    </xf>
    <xf numFmtId="0" fontId="1" fillId="0" borderId="7" xfId="2" applyBorder="1" applyAlignment="1"/>
    <xf numFmtId="0" fontId="1" fillId="0" borderId="1" xfId="2" applyBorder="1" applyAlignment="1">
      <alignment horizontal="right"/>
    </xf>
    <xf numFmtId="0" fontId="1" fillId="0" borderId="8" xfId="2" applyBorder="1" applyAlignment="1">
      <alignment horizontal="right"/>
    </xf>
    <xf numFmtId="0" fontId="1" fillId="0" borderId="1" xfId="2" applyBorder="1" applyAlignment="1"/>
    <xf numFmtId="0" fontId="1" fillId="0" borderId="8" xfId="2" applyBorder="1" applyAlignment="1"/>
    <xf numFmtId="0" fontId="1" fillId="0" borderId="1" xfId="4" applyFont="1" applyBorder="1" applyAlignment="1"/>
    <xf numFmtId="0" fontId="1" fillId="0" borderId="0" xfId="4" applyFont="1" applyBorder="1"/>
    <xf numFmtId="0" fontId="1" fillId="0" borderId="0" xfId="2" applyFill="1" applyBorder="1" applyAlignment="1"/>
    <xf numFmtId="0" fontId="1" fillId="0" borderId="0" xfId="2" applyFont="1" applyFill="1" applyBorder="1" applyAlignment="1"/>
    <xf numFmtId="0" fontId="1" fillId="0" borderId="0" xfId="2" applyFill="1" applyBorder="1"/>
    <xf numFmtId="0" fontId="1" fillId="3" borderId="7" xfId="2" applyFont="1" applyFill="1" applyBorder="1" applyAlignment="1"/>
    <xf numFmtId="0" fontId="1" fillId="3" borderId="1" xfId="2" applyFill="1" applyBorder="1" applyAlignment="1"/>
    <xf numFmtId="178" fontId="1" fillId="0" borderId="0" xfId="2" applyNumberFormat="1" applyFill="1" applyBorder="1" applyAlignment="1"/>
    <xf numFmtId="0" fontId="1" fillId="1" borderId="9" xfId="2" applyFont="1" applyFill="1" applyBorder="1" applyAlignment="1"/>
    <xf numFmtId="0" fontId="1" fillId="1" borderId="10" xfId="2" applyFill="1" applyBorder="1" applyAlignment="1"/>
    <xf numFmtId="0" fontId="1" fillId="1" borderId="10" xfId="2" applyFill="1" applyBorder="1" applyAlignment="1">
      <alignment horizontal="right"/>
    </xf>
    <xf numFmtId="0" fontId="1" fillId="1" borderId="11" xfId="2" applyFill="1" applyBorder="1" applyAlignment="1">
      <alignment horizontal="right"/>
    </xf>
    <xf numFmtId="0" fontId="1" fillId="3" borderId="2" xfId="2" applyFont="1" applyFill="1" applyBorder="1" applyAlignment="1"/>
    <xf numFmtId="0" fontId="1" fillId="3" borderId="3" xfId="2" applyFill="1" applyBorder="1" applyAlignment="1"/>
    <xf numFmtId="0" fontId="17" fillId="0" borderId="0" xfId="2" applyFont="1" applyFill="1" applyBorder="1" applyAlignment="1"/>
    <xf numFmtId="178" fontId="15" fillId="0" borderId="0" xfId="2" applyNumberFormat="1" applyFont="1" applyFill="1" applyBorder="1" applyAlignment="1"/>
    <xf numFmtId="0" fontId="15" fillId="0" borderId="0" xfId="2" applyFont="1" applyFill="1" applyBorder="1"/>
    <xf numFmtId="0" fontId="15" fillId="0" borderId="0" xfId="2" applyFont="1"/>
    <xf numFmtId="0" fontId="15" fillId="0" borderId="15" xfId="2" applyFont="1" applyBorder="1" applyAlignment="1"/>
    <xf numFmtId="0" fontId="15" fillId="0" borderId="16" xfId="2" applyFont="1" applyBorder="1" applyAlignment="1"/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3" borderId="9" xfId="2" applyFont="1" applyFill="1" applyBorder="1" applyAlignment="1"/>
    <xf numFmtId="0" fontId="12" fillId="3" borderId="10" xfId="2" applyFont="1" applyFill="1" applyBorder="1" applyAlignment="1"/>
    <xf numFmtId="0" fontId="15" fillId="0" borderId="0" xfId="2" applyFont="1" applyBorder="1" applyAlignment="1"/>
    <xf numFmtId="0" fontId="12" fillId="0" borderId="0" xfId="2" applyFont="1" applyFill="1" applyBorder="1" applyAlignment="1">
      <alignment horizontal="distributed"/>
    </xf>
    <xf numFmtId="0" fontId="15" fillId="0" borderId="0" xfId="2" applyFont="1" applyBorder="1" applyAlignment="1">
      <alignment horizontal="right"/>
    </xf>
    <xf numFmtId="38" fontId="15" fillId="0" borderId="0" xfId="2" applyNumberFormat="1" applyFont="1" applyBorder="1" applyAlignment="1">
      <alignment horizontal="right"/>
    </xf>
    <xf numFmtId="0" fontId="1" fillId="0" borderId="3" xfId="2" applyFont="1" applyBorder="1" applyAlignment="1"/>
    <xf numFmtId="0" fontId="1" fillId="0" borderId="3" xfId="2" applyFont="1" applyBorder="1" applyAlignment="1">
      <alignment horizontal="right"/>
    </xf>
    <xf numFmtId="0" fontId="17" fillId="0" borderId="3" xfId="2" applyFont="1" applyBorder="1" applyAlignment="1"/>
    <xf numFmtId="0" fontId="1" fillId="0" borderId="0" xfId="2" applyAlignment="1">
      <alignment horizontal="left"/>
    </xf>
    <xf numFmtId="0" fontId="17" fillId="0" borderId="0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1" fillId="0" borderId="0" xfId="2" applyBorder="1" applyAlignment="1">
      <alignment horizontal="left"/>
    </xf>
    <xf numFmtId="0" fontId="0" fillId="0" borderId="3" xfId="2" applyFont="1" applyBorder="1" applyAlignment="1"/>
    <xf numFmtId="0" fontId="3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 shrinkToFit="1"/>
    </xf>
    <xf numFmtId="0" fontId="11" fillId="0" borderId="1" xfId="2" applyFont="1" applyFill="1" applyBorder="1" applyAlignment="1">
      <alignment horizontal="center" vertical="center" shrinkToFit="1"/>
    </xf>
    <xf numFmtId="0" fontId="11" fillId="0" borderId="0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58" fontId="0" fillId="1" borderId="0" xfId="0" applyNumberFormat="1" applyFill="1" applyAlignment="1" applyProtection="1">
      <alignment horizontal="center"/>
      <protection locked="0"/>
    </xf>
    <xf numFmtId="0" fontId="12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horizontal="left" vertical="center" shrinkToFit="1"/>
    </xf>
    <xf numFmtId="0" fontId="14" fillId="1" borderId="1" xfId="2" applyFont="1" applyFill="1" applyBorder="1" applyAlignment="1">
      <alignment horizontal="left" vertical="center" shrinkToFit="1"/>
    </xf>
    <xf numFmtId="0" fontId="15" fillId="1" borderId="0" xfId="2" applyFont="1" applyFill="1" applyBorder="1" applyAlignment="1">
      <alignment horizontal="center" vertical="center" shrinkToFit="1"/>
    </xf>
    <xf numFmtId="0" fontId="15" fillId="1" borderId="1" xfId="2" applyFont="1" applyFill="1" applyBorder="1" applyAlignment="1">
      <alignment horizontal="center" vertical="center" shrinkToFit="1"/>
    </xf>
    <xf numFmtId="38" fontId="11" fillId="1" borderId="0" xfId="2" applyNumberFormat="1" applyFont="1" applyFill="1" applyBorder="1" applyAlignment="1">
      <alignment horizontal="center" vertical="center"/>
    </xf>
    <xf numFmtId="38" fontId="11" fillId="1" borderId="1" xfId="2" applyNumberFormat="1" applyFont="1" applyFill="1" applyBorder="1" applyAlignment="1">
      <alignment horizontal="center" vertical="center"/>
    </xf>
    <xf numFmtId="0" fontId="11" fillId="1" borderId="0" xfId="2" applyFont="1" applyFill="1" applyBorder="1" applyAlignment="1">
      <alignment horizontal="left" vertical="center"/>
    </xf>
    <xf numFmtId="0" fontId="11" fillId="1" borderId="1" xfId="2" applyFont="1" applyFill="1" applyBorder="1" applyAlignment="1">
      <alignment horizontal="left" vertical="center"/>
    </xf>
    <xf numFmtId="0" fontId="1" fillId="0" borderId="2" xfId="2" applyBorder="1" applyAlignment="1">
      <alignment horizontal="center"/>
    </xf>
    <xf numFmtId="0" fontId="1" fillId="0" borderId="4" xfId="2" applyBorder="1" applyAlignment="1">
      <alignment horizontal="center"/>
    </xf>
    <xf numFmtId="0" fontId="0" fillId="0" borderId="5" xfId="2" applyFont="1" applyBorder="1" applyAlignment="1">
      <alignment horizontal="left"/>
    </xf>
    <xf numFmtId="0" fontId="1" fillId="0" borderId="0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177" fontId="1" fillId="0" borderId="5" xfId="1" applyNumberFormat="1" applyBorder="1" applyAlignment="1">
      <alignment horizontal="right"/>
    </xf>
    <xf numFmtId="177" fontId="1" fillId="0" borderId="0" xfId="1" applyNumberFormat="1" applyBorder="1" applyAlignment="1">
      <alignment horizontal="right"/>
    </xf>
    <xf numFmtId="177" fontId="1" fillId="0" borderId="6" xfId="1" applyNumberFormat="1" applyBorder="1" applyAlignment="1">
      <alignment horizontal="right"/>
    </xf>
    <xf numFmtId="38" fontId="1" fillId="0" borderId="5" xfId="1" applyBorder="1" applyAlignment="1">
      <alignment horizontal="right"/>
    </xf>
    <xf numFmtId="38" fontId="1" fillId="0" borderId="6" xfId="1" applyBorder="1" applyAlignment="1">
      <alignment horizontal="right"/>
    </xf>
    <xf numFmtId="177" fontId="0" fillId="0" borderId="5" xfId="2" applyNumberFormat="1" applyFont="1" applyBorder="1" applyAlignment="1">
      <alignment horizontal="right" shrinkToFit="1"/>
    </xf>
    <xf numFmtId="177" fontId="1" fillId="0" borderId="6" xfId="2" applyNumberFormat="1" applyFont="1" applyBorder="1" applyAlignment="1">
      <alignment horizontal="right" shrinkToFit="1"/>
    </xf>
    <xf numFmtId="177" fontId="1" fillId="0" borderId="5" xfId="1" applyNumberFormat="1" applyBorder="1" applyAlignment="1">
      <alignment horizontal="right" shrinkToFit="1"/>
    </xf>
    <xf numFmtId="177" fontId="1" fillId="0" borderId="0" xfId="1" applyNumberFormat="1" applyBorder="1" applyAlignment="1">
      <alignment horizontal="right" shrinkToFit="1"/>
    </xf>
    <xf numFmtId="177" fontId="1" fillId="0" borderId="6" xfId="1" applyNumberFormat="1" applyBorder="1" applyAlignment="1">
      <alignment horizontal="right" shrinkToFit="1"/>
    </xf>
    <xf numFmtId="0" fontId="1" fillId="3" borderId="9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0" xfId="2" applyFill="1" applyBorder="1" applyAlignment="1">
      <alignment horizontal="center"/>
    </xf>
    <xf numFmtId="0" fontId="1" fillId="3" borderId="11" xfId="2" applyFill="1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6" xfId="2" applyBorder="1" applyAlignment="1">
      <alignment horizontal="center"/>
    </xf>
    <xf numFmtId="177" fontId="1" fillId="0" borderId="5" xfId="2" applyNumberFormat="1" applyFont="1" applyBorder="1" applyAlignment="1">
      <alignment horizontal="right" shrinkToFit="1"/>
    </xf>
    <xf numFmtId="0" fontId="1" fillId="1" borderId="5" xfId="2" applyFill="1" applyBorder="1" applyAlignment="1">
      <alignment horizontal="center"/>
    </xf>
    <xf numFmtId="0" fontId="1" fillId="1" borderId="6" xfId="2" applyFill="1" applyBorder="1" applyAlignment="1">
      <alignment horizontal="center"/>
    </xf>
    <xf numFmtId="0" fontId="0" fillId="1" borderId="5" xfId="2" applyFont="1" applyFill="1" applyBorder="1" applyAlignment="1">
      <alignment horizontal="left"/>
    </xf>
    <xf numFmtId="0" fontId="1" fillId="1" borderId="0" xfId="2" applyFont="1" applyFill="1" applyBorder="1" applyAlignment="1">
      <alignment horizontal="left"/>
    </xf>
    <xf numFmtId="0" fontId="1" fillId="1" borderId="6" xfId="2" applyFont="1" applyFill="1" applyBorder="1" applyAlignment="1">
      <alignment horizontal="left"/>
    </xf>
    <xf numFmtId="177" fontId="1" fillId="1" borderId="5" xfId="1" applyNumberFormat="1" applyFill="1" applyBorder="1" applyAlignment="1">
      <alignment horizontal="right"/>
    </xf>
    <xf numFmtId="177" fontId="1" fillId="1" borderId="0" xfId="1" applyNumberFormat="1" applyFill="1" applyBorder="1" applyAlignment="1">
      <alignment horizontal="right"/>
    </xf>
    <xf numFmtId="177" fontId="1" fillId="1" borderId="6" xfId="1" applyNumberFormat="1" applyFill="1" applyBorder="1" applyAlignment="1">
      <alignment horizontal="right"/>
    </xf>
    <xf numFmtId="0" fontId="1" fillId="1" borderId="5" xfId="2" applyFont="1" applyFill="1" applyBorder="1" applyAlignment="1">
      <alignment horizontal="right"/>
    </xf>
    <xf numFmtId="0" fontId="1" fillId="1" borderId="6" xfId="2" applyFont="1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 shrinkToFit="1"/>
    </xf>
    <xf numFmtId="177" fontId="1" fillId="1" borderId="6" xfId="2" applyNumberFormat="1" applyFont="1" applyFill="1" applyBorder="1" applyAlignment="1">
      <alignment horizontal="right" shrinkToFit="1"/>
    </xf>
    <xf numFmtId="177" fontId="1" fillId="1" borderId="5" xfId="1" applyNumberFormat="1" applyFill="1" applyBorder="1" applyAlignment="1">
      <alignment horizontal="right" shrinkToFit="1"/>
    </xf>
    <xf numFmtId="177" fontId="1" fillId="1" borderId="0" xfId="1" applyNumberFormat="1" applyFill="1" applyBorder="1" applyAlignment="1">
      <alignment horizontal="right" shrinkToFit="1"/>
    </xf>
    <xf numFmtId="177" fontId="1" fillId="1" borderId="6" xfId="1" applyNumberFormat="1" applyFill="1" applyBorder="1" applyAlignment="1">
      <alignment horizontal="right" shrinkToFit="1"/>
    </xf>
    <xf numFmtId="0" fontId="1" fillId="0" borderId="0" xfId="2" applyBorder="1" applyAlignment="1">
      <alignment horizontal="left"/>
    </xf>
    <xf numFmtId="0" fontId="1" fillId="0" borderId="6" xfId="2" applyBorder="1" applyAlignment="1">
      <alignment horizontal="left"/>
    </xf>
    <xf numFmtId="177" fontId="1" fillId="0" borderId="5" xfId="2" applyNumberFormat="1" applyFont="1" applyBorder="1" applyAlignment="1">
      <alignment horizontal="right"/>
    </xf>
    <xf numFmtId="177" fontId="1" fillId="0" borderId="6" xfId="2" applyNumberFormat="1" applyFont="1" applyBorder="1" applyAlignment="1">
      <alignment horizontal="right"/>
    </xf>
    <xf numFmtId="0" fontId="1" fillId="1" borderId="5" xfId="2" applyFill="1" applyBorder="1" applyAlignment="1">
      <alignment horizontal="right"/>
    </xf>
    <xf numFmtId="0" fontId="1" fillId="1" borderId="6" xfId="2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/>
    </xf>
    <xf numFmtId="177" fontId="1" fillId="1" borderId="6" xfId="2" applyNumberFormat="1" applyFill="1" applyBorder="1" applyAlignment="1">
      <alignment horizontal="right"/>
    </xf>
    <xf numFmtId="38" fontId="1" fillId="0" borderId="0" xfId="1" applyBorder="1" applyAlignment="1">
      <alignment horizontal="right"/>
    </xf>
    <xf numFmtId="0" fontId="1" fillId="1" borderId="0" xfId="2" applyFill="1" applyBorder="1" applyAlignment="1">
      <alignment horizontal="left"/>
    </xf>
    <xf numFmtId="0" fontId="1" fillId="1" borderId="6" xfId="2" applyFill="1" applyBorder="1" applyAlignment="1">
      <alignment horizontal="left"/>
    </xf>
    <xf numFmtId="0" fontId="1" fillId="0" borderId="5" xfId="2" applyFont="1" applyBorder="1" applyAlignment="1">
      <alignment horizontal="left"/>
    </xf>
    <xf numFmtId="0" fontId="1" fillId="1" borderId="5" xfId="2" applyFont="1" applyFill="1" applyBorder="1" applyAlignment="1">
      <alignment horizontal="left"/>
    </xf>
    <xf numFmtId="177" fontId="1" fillId="1" borderId="5" xfId="2" applyNumberFormat="1" applyFill="1" applyBorder="1" applyAlignment="1">
      <alignment horizontal="right"/>
    </xf>
    <xf numFmtId="38" fontId="1" fillId="1" borderId="5" xfId="1" applyFill="1" applyBorder="1" applyAlignment="1">
      <alignment horizontal="right"/>
    </xf>
    <xf numFmtId="38" fontId="1" fillId="1" borderId="0" xfId="1" applyFill="1" applyBorder="1" applyAlignment="1">
      <alignment horizontal="right"/>
    </xf>
    <xf numFmtId="38" fontId="1" fillId="1" borderId="6" xfId="1" applyFill="1" applyBorder="1" applyAlignment="1">
      <alignment horizontal="right"/>
    </xf>
    <xf numFmtId="177" fontId="1" fillId="1" borderId="6" xfId="2" applyNumberFormat="1" applyFont="1" applyFill="1" applyBorder="1" applyAlignment="1">
      <alignment horizontal="right"/>
    </xf>
    <xf numFmtId="0" fontId="1" fillId="0" borderId="5" xfId="2" applyFont="1" applyBorder="1" applyAlignment="1">
      <alignment horizontal="right"/>
    </xf>
    <xf numFmtId="0" fontId="1" fillId="0" borderId="6" xfId="2" applyFont="1" applyBorder="1" applyAlignment="1">
      <alignment horizontal="right"/>
    </xf>
    <xf numFmtId="0" fontId="1" fillId="3" borderId="1" xfId="2" applyFont="1" applyFill="1" applyBorder="1" applyAlignment="1">
      <alignment horizontal="distributed"/>
    </xf>
    <xf numFmtId="0" fontId="1" fillId="3" borderId="1" xfId="2" applyFill="1" applyBorder="1" applyAlignment="1">
      <alignment horizontal="distributed"/>
    </xf>
    <xf numFmtId="0" fontId="1" fillId="3" borderId="1" xfId="2" applyFill="1" applyBorder="1" applyAlignment="1">
      <alignment horizontal="right"/>
    </xf>
    <xf numFmtId="0" fontId="1" fillId="3" borderId="8" xfId="2" applyFill="1" applyBorder="1" applyAlignment="1">
      <alignment horizontal="right"/>
    </xf>
    <xf numFmtId="177" fontId="1" fillId="3" borderId="7" xfId="1" applyNumberFormat="1" applyFill="1" applyBorder="1" applyAlignment="1">
      <alignment horizontal="right"/>
    </xf>
    <xf numFmtId="177" fontId="1" fillId="3" borderId="1" xfId="1" applyNumberFormat="1" applyFill="1" applyBorder="1" applyAlignment="1">
      <alignment horizontal="right"/>
    </xf>
    <xf numFmtId="177" fontId="1" fillId="3" borderId="8" xfId="1" applyNumberFormat="1" applyFill="1" applyBorder="1" applyAlignment="1">
      <alignment horizontal="right"/>
    </xf>
    <xf numFmtId="0" fontId="1" fillId="1" borderId="10" xfId="2" applyFont="1" applyFill="1" applyBorder="1" applyAlignment="1">
      <alignment horizontal="distributed"/>
    </xf>
    <xf numFmtId="0" fontId="1" fillId="1" borderId="10" xfId="2" applyFill="1" applyBorder="1" applyAlignment="1">
      <alignment horizontal="distributed"/>
    </xf>
    <xf numFmtId="38" fontId="1" fillId="1" borderId="9" xfId="1" applyFill="1" applyBorder="1" applyAlignment="1">
      <alignment horizontal="right"/>
    </xf>
    <xf numFmtId="38" fontId="1" fillId="1" borderId="10" xfId="1" applyFill="1" applyBorder="1" applyAlignment="1">
      <alignment horizontal="right"/>
    </xf>
    <xf numFmtId="38" fontId="1" fillId="1" borderId="11" xfId="1" applyFill="1" applyBorder="1" applyAlignment="1">
      <alignment horizontal="right"/>
    </xf>
    <xf numFmtId="0" fontId="1" fillId="3" borderId="12" xfId="2" applyFont="1" applyFill="1" applyBorder="1" applyAlignment="1">
      <alignment horizontal="distributed"/>
    </xf>
    <xf numFmtId="9" fontId="0" fillId="5" borderId="12" xfId="0" applyNumberFormat="1" applyFill="1" applyBorder="1" applyAlignment="1" applyProtection="1">
      <alignment horizontal="right" vertical="center"/>
      <protection hidden="1"/>
    </xf>
    <xf numFmtId="9" fontId="0" fillId="5" borderId="13" xfId="0" applyNumberFormat="1" applyFill="1" applyBorder="1" applyAlignment="1" applyProtection="1">
      <alignment horizontal="right" vertical="center"/>
      <protection hidden="1"/>
    </xf>
    <xf numFmtId="38" fontId="1" fillId="3" borderId="14" xfId="1" applyFill="1" applyBorder="1" applyAlignment="1">
      <alignment horizontal="right"/>
    </xf>
    <xf numFmtId="38" fontId="1" fillId="3" borderId="12" xfId="1" applyFill="1" applyBorder="1" applyAlignment="1">
      <alignment horizontal="right"/>
    </xf>
    <xf numFmtId="38" fontId="1" fillId="3" borderId="13" xfId="1" applyFill="1" applyBorder="1" applyAlignment="1">
      <alignment horizontal="right"/>
    </xf>
    <xf numFmtId="0" fontId="1" fillId="1" borderId="7" xfId="2" applyFill="1" applyBorder="1" applyAlignment="1">
      <alignment horizontal="center"/>
    </xf>
    <xf numFmtId="0" fontId="1" fillId="1" borderId="8" xfId="2" applyFill="1" applyBorder="1" applyAlignment="1">
      <alignment horizontal="center"/>
    </xf>
    <xf numFmtId="0" fontId="1" fillId="1" borderId="7" xfId="2" applyFont="1" applyFill="1" applyBorder="1" applyAlignment="1">
      <alignment horizontal="left"/>
    </xf>
    <xf numFmtId="0" fontId="1" fillId="1" borderId="1" xfId="2" applyFill="1" applyBorder="1" applyAlignment="1">
      <alignment horizontal="left"/>
    </xf>
    <xf numFmtId="0" fontId="1" fillId="1" borderId="8" xfId="2" applyFill="1" applyBorder="1" applyAlignment="1">
      <alignment horizontal="left"/>
    </xf>
    <xf numFmtId="38" fontId="1" fillId="1" borderId="7" xfId="1" applyFill="1" applyBorder="1" applyAlignment="1">
      <alignment horizontal="right"/>
    </xf>
    <xf numFmtId="38" fontId="1" fillId="1" borderId="1" xfId="1" applyFill="1" applyBorder="1" applyAlignment="1">
      <alignment horizontal="right"/>
    </xf>
    <xf numFmtId="38" fontId="1" fillId="1" borderId="8" xfId="1" applyFill="1" applyBorder="1" applyAlignment="1">
      <alignment horizontal="right"/>
    </xf>
    <xf numFmtId="0" fontId="1" fillId="1" borderId="7" xfId="2" applyFill="1" applyBorder="1" applyAlignment="1">
      <alignment horizontal="right"/>
    </xf>
    <xf numFmtId="0" fontId="1" fillId="1" borderId="8" xfId="2" applyFill="1" applyBorder="1" applyAlignment="1">
      <alignment horizontal="right"/>
    </xf>
    <xf numFmtId="0" fontId="1" fillId="6" borderId="10" xfId="2" applyFont="1" applyFill="1" applyBorder="1" applyAlignment="1">
      <alignment horizontal="left"/>
    </xf>
    <xf numFmtId="0" fontId="12" fillId="0" borderId="16" xfId="2" applyFont="1" applyFill="1" applyBorder="1" applyAlignment="1">
      <alignment horizontal="distributed"/>
    </xf>
    <xf numFmtId="38" fontId="15" fillId="0" borderId="15" xfId="2" applyNumberFormat="1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2" fillId="3" borderId="10" xfId="2" applyFont="1" applyFill="1" applyBorder="1" applyAlignment="1">
      <alignment horizontal="distributed"/>
    </xf>
    <xf numFmtId="9" fontId="12" fillId="5" borderId="10" xfId="0" applyNumberFormat="1" applyFont="1" applyFill="1" applyBorder="1" applyAlignment="1" applyProtection="1">
      <alignment horizontal="right" vertical="center"/>
      <protection hidden="1"/>
    </xf>
    <xf numFmtId="9" fontId="12" fillId="5" borderId="11" xfId="0" applyNumberFormat="1" applyFont="1" applyFill="1" applyBorder="1" applyAlignment="1" applyProtection="1">
      <alignment horizontal="right" vertical="center"/>
      <protection hidden="1"/>
    </xf>
    <xf numFmtId="38" fontId="12" fillId="3" borderId="9" xfId="1" applyFont="1" applyFill="1" applyBorder="1" applyAlignment="1">
      <alignment horizontal="right"/>
    </xf>
    <xf numFmtId="38" fontId="12" fillId="3" borderId="10" xfId="1" applyFont="1" applyFill="1" applyBorder="1" applyAlignment="1">
      <alignment horizontal="right"/>
    </xf>
    <xf numFmtId="38" fontId="12" fillId="3" borderId="11" xfId="1" applyFont="1" applyFill="1" applyBorder="1" applyAlignment="1">
      <alignment horizontal="right"/>
    </xf>
    <xf numFmtId="0" fontId="17" fillId="0" borderId="0" xfId="2" applyFont="1" applyFill="1" applyBorder="1" applyAlignment="1">
      <alignment horizontal="left"/>
    </xf>
  </cellXfs>
  <cellStyles count="5">
    <cellStyle name="ハイパーリンク" xfId="3" builtinId="8"/>
    <cellStyle name="桁区切り" xfId="1" builtinId="6"/>
    <cellStyle name="標準" xfId="0" builtinId="0"/>
    <cellStyle name="標準_Sheet1" xfId="4"/>
    <cellStyle name="標準_コピー ～ ビズ7月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カイト西条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鈴木　修一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９９－１３６２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愛媛県西条市今在家１０７７番地３　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ＴＥＬ．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８９８－３５－５００９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ＦＡＸ．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８９８－３５－５０１９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abSelected="1" workbookViewId="0">
      <selection activeCell="AC24" sqref="AC24:AH24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80"/>
      <c r="AC1" s="80"/>
      <c r="AD1" s="80"/>
      <c r="AE1" s="80"/>
      <c r="AF1" s="80"/>
      <c r="AG1" s="80"/>
      <c r="AH1" s="80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81" t="s">
        <v>0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spans="1:42" ht="15" customHeight="1">
      <c r="D4" s="5"/>
      <c r="E4" s="5"/>
      <c r="F4" s="5"/>
      <c r="G4" s="5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82" t="s">
        <v>1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4" t="s">
        <v>2</v>
      </c>
      <c r="U9" s="84"/>
      <c r="V9" s="84"/>
      <c r="AB9" s="86">
        <v>42072</v>
      </c>
      <c r="AC9" s="86"/>
      <c r="AD9" s="86"/>
      <c r="AE9" s="86"/>
      <c r="AF9" s="86"/>
      <c r="AG9" s="86"/>
      <c r="AH9" s="86"/>
    </row>
    <row r="10" spans="1:42" ht="1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5"/>
      <c r="U10" s="85"/>
      <c r="V10" s="85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87"/>
      <c r="AA11" s="87"/>
      <c r="AB11" s="87"/>
      <c r="AC11" s="87"/>
      <c r="AD11" s="87"/>
      <c r="AE11" s="87"/>
      <c r="AF11" s="87"/>
      <c r="AG11" s="87"/>
      <c r="AH11" s="87"/>
    </row>
    <row r="12" spans="1:42" ht="15" customHeight="1">
      <c r="A12" s="16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88"/>
      <c r="AA12" s="88"/>
      <c r="AB12" s="88"/>
      <c r="AC12" s="88"/>
      <c r="AD12" s="88"/>
      <c r="AE12" s="88"/>
      <c r="AF12" s="88"/>
      <c r="AG12" s="88"/>
      <c r="AH12" s="88"/>
    </row>
    <row r="13" spans="1:42" ht="15" customHeight="1">
      <c r="A13" s="19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88"/>
      <c r="AA13" s="88"/>
      <c r="AB13" s="88"/>
      <c r="AC13" s="88"/>
      <c r="AD13" s="88"/>
      <c r="AE13" s="88"/>
      <c r="AF13" s="88"/>
      <c r="AG13" s="88"/>
      <c r="AH13" s="88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88"/>
      <c r="AA14" s="88"/>
      <c r="AB14" s="88"/>
      <c r="AC14" s="88"/>
      <c r="AD14" s="88"/>
      <c r="AE14" s="88"/>
      <c r="AF14" s="88"/>
      <c r="AG14" s="88"/>
      <c r="AH14" s="88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5</v>
      </c>
      <c r="B16" s="89" t="s">
        <v>6</v>
      </c>
      <c r="C16" s="89"/>
      <c r="D16" s="89"/>
      <c r="E16" s="89"/>
      <c r="F16" s="89"/>
      <c r="G16" s="89"/>
      <c r="H16" s="89"/>
      <c r="I16" s="89"/>
      <c r="J16" s="22"/>
      <c r="K16" s="91" t="s">
        <v>23</v>
      </c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90"/>
      <c r="C17" s="90"/>
      <c r="D17" s="90"/>
      <c r="E17" s="90"/>
      <c r="F17" s="90"/>
      <c r="G17" s="90"/>
      <c r="H17" s="90"/>
      <c r="I17" s="90"/>
      <c r="J17" s="26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89" t="s">
        <v>7</v>
      </c>
      <c r="C18" s="89"/>
      <c r="D18" s="89"/>
      <c r="E18" s="89"/>
      <c r="F18" s="89"/>
      <c r="G18" s="89"/>
      <c r="H18" s="89"/>
      <c r="I18" s="89"/>
      <c r="J18" s="89"/>
      <c r="K18" s="32"/>
      <c r="L18" s="93" t="s">
        <v>8</v>
      </c>
      <c r="M18" s="93">
        <f>AC52</f>
        <v>204030</v>
      </c>
      <c r="N18" s="93"/>
      <c r="O18" s="93"/>
      <c r="P18" s="93"/>
      <c r="Q18" s="93"/>
      <c r="R18" s="93"/>
      <c r="S18" s="95" t="s">
        <v>9</v>
      </c>
      <c r="T18" s="95"/>
      <c r="U18" s="95"/>
      <c r="V18" s="95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90"/>
      <c r="C19" s="90"/>
      <c r="D19" s="90"/>
      <c r="E19" s="90"/>
      <c r="F19" s="90"/>
      <c r="G19" s="90"/>
      <c r="H19" s="90"/>
      <c r="I19" s="90"/>
      <c r="J19" s="90"/>
      <c r="K19" s="38"/>
      <c r="L19" s="94"/>
      <c r="M19" s="94"/>
      <c r="N19" s="94"/>
      <c r="O19" s="94"/>
      <c r="P19" s="94"/>
      <c r="Q19" s="94"/>
      <c r="R19" s="94"/>
      <c r="S19" s="96"/>
      <c r="T19" s="96"/>
      <c r="U19" s="96"/>
      <c r="V19" s="96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12" t="s">
        <v>10</v>
      </c>
      <c r="B21" s="113"/>
      <c r="C21" s="112" t="s">
        <v>11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4"/>
      <c r="U21" s="112" t="s">
        <v>12</v>
      </c>
      <c r="V21" s="115"/>
      <c r="W21" s="115"/>
      <c r="X21" s="116"/>
      <c r="Y21" s="112" t="s">
        <v>13</v>
      </c>
      <c r="Z21" s="116"/>
      <c r="AA21" s="112" t="s">
        <v>14</v>
      </c>
      <c r="AB21" s="116"/>
      <c r="AC21" s="112" t="s">
        <v>15</v>
      </c>
      <c r="AD21" s="115"/>
      <c r="AE21" s="115"/>
      <c r="AF21" s="115"/>
      <c r="AG21" s="115"/>
      <c r="AH21" s="116"/>
    </row>
    <row r="22" spans="1:34" ht="14.25" customHeight="1">
      <c r="A22" s="97">
        <v>1</v>
      </c>
      <c r="B22" s="98"/>
      <c r="C22" s="99" t="s">
        <v>24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2"/>
      <c r="V22" s="103"/>
      <c r="W22" s="103"/>
      <c r="X22" s="104"/>
      <c r="Y22" s="105">
        <v>1</v>
      </c>
      <c r="Z22" s="106"/>
      <c r="AA22" s="107" t="s">
        <v>16</v>
      </c>
      <c r="AB22" s="108"/>
      <c r="AC22" s="109">
        <v>26000</v>
      </c>
      <c r="AD22" s="110"/>
      <c r="AE22" s="110"/>
      <c r="AF22" s="110"/>
      <c r="AG22" s="110"/>
      <c r="AH22" s="111"/>
    </row>
    <row r="23" spans="1:34" ht="14.25" customHeight="1">
      <c r="A23" s="120">
        <v>2</v>
      </c>
      <c r="B23" s="121"/>
      <c r="C23" s="122" t="s">
        <v>25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4"/>
      <c r="U23" s="125"/>
      <c r="V23" s="126"/>
      <c r="W23" s="126"/>
      <c r="X23" s="127"/>
      <c r="Y23" s="128">
        <v>1</v>
      </c>
      <c r="Z23" s="129"/>
      <c r="AA23" s="130" t="s">
        <v>16</v>
      </c>
      <c r="AB23" s="131"/>
      <c r="AC23" s="132">
        <v>19200</v>
      </c>
      <c r="AD23" s="133"/>
      <c r="AE23" s="133"/>
      <c r="AF23" s="133"/>
      <c r="AG23" s="133"/>
      <c r="AH23" s="134"/>
    </row>
    <row r="24" spans="1:34" ht="14.25" customHeight="1">
      <c r="A24" s="117">
        <v>3</v>
      </c>
      <c r="B24" s="118"/>
      <c r="C24" s="99" t="s">
        <v>26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102"/>
      <c r="V24" s="103"/>
      <c r="W24" s="103"/>
      <c r="X24" s="104"/>
      <c r="Y24" s="105">
        <v>1</v>
      </c>
      <c r="Z24" s="106"/>
      <c r="AA24" s="119" t="s">
        <v>16</v>
      </c>
      <c r="AB24" s="108"/>
      <c r="AC24" s="109">
        <v>25000</v>
      </c>
      <c r="AD24" s="110"/>
      <c r="AE24" s="110"/>
      <c r="AF24" s="110"/>
      <c r="AG24" s="110"/>
      <c r="AH24" s="111"/>
    </row>
    <row r="25" spans="1:34" ht="14.25" customHeight="1">
      <c r="A25" s="120">
        <v>4</v>
      </c>
      <c r="B25" s="121"/>
      <c r="C25" s="122" t="s">
        <v>27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4"/>
      <c r="U25" s="125"/>
      <c r="V25" s="126"/>
      <c r="W25" s="126"/>
      <c r="X25" s="127"/>
      <c r="Y25" s="139">
        <v>1</v>
      </c>
      <c r="Z25" s="140"/>
      <c r="AA25" s="141" t="s">
        <v>16</v>
      </c>
      <c r="AB25" s="142"/>
      <c r="AC25" s="125">
        <v>19000</v>
      </c>
      <c r="AD25" s="126"/>
      <c r="AE25" s="126"/>
      <c r="AF25" s="126"/>
      <c r="AG25" s="126"/>
      <c r="AH25" s="127"/>
    </row>
    <row r="26" spans="1:34" ht="14.25" customHeight="1">
      <c r="A26" s="117">
        <v>5</v>
      </c>
      <c r="B26" s="118"/>
      <c r="C26" s="99" t="s">
        <v>28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6"/>
      <c r="U26" s="102"/>
      <c r="V26" s="103"/>
      <c r="W26" s="103"/>
      <c r="X26" s="104"/>
      <c r="Y26" s="105">
        <v>1</v>
      </c>
      <c r="Z26" s="106"/>
      <c r="AA26" s="137" t="s">
        <v>16</v>
      </c>
      <c r="AB26" s="138"/>
      <c r="AC26" s="102">
        <v>16000</v>
      </c>
      <c r="AD26" s="103"/>
      <c r="AE26" s="103"/>
      <c r="AF26" s="103"/>
      <c r="AG26" s="103"/>
      <c r="AH26" s="104"/>
    </row>
    <row r="27" spans="1:34" ht="14.25" customHeight="1">
      <c r="A27" s="120">
        <v>6</v>
      </c>
      <c r="B27" s="121"/>
      <c r="C27" s="122" t="s">
        <v>29</v>
      </c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25"/>
      <c r="V27" s="126"/>
      <c r="W27" s="126"/>
      <c r="X27" s="127"/>
      <c r="Y27" s="139">
        <v>1</v>
      </c>
      <c r="Z27" s="140"/>
      <c r="AA27" s="141" t="s">
        <v>16</v>
      </c>
      <c r="AB27" s="142"/>
      <c r="AC27" s="125">
        <v>20000</v>
      </c>
      <c r="AD27" s="126"/>
      <c r="AE27" s="126"/>
      <c r="AF27" s="126"/>
      <c r="AG27" s="126"/>
      <c r="AH27" s="127"/>
    </row>
    <row r="28" spans="1:34" ht="14.25" customHeight="1">
      <c r="A28" s="117">
        <v>7</v>
      </c>
      <c r="B28" s="118"/>
      <c r="C28" s="99" t="s">
        <v>30</v>
      </c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6"/>
      <c r="U28" s="105"/>
      <c r="V28" s="143"/>
      <c r="W28" s="143"/>
      <c r="X28" s="106"/>
      <c r="Y28" s="105">
        <v>1</v>
      </c>
      <c r="Z28" s="106"/>
      <c r="AA28" s="137" t="s">
        <v>16</v>
      </c>
      <c r="AB28" s="138"/>
      <c r="AC28" s="102">
        <v>22000</v>
      </c>
      <c r="AD28" s="103"/>
      <c r="AE28" s="103"/>
      <c r="AF28" s="103"/>
      <c r="AG28" s="103"/>
      <c r="AH28" s="104"/>
    </row>
    <row r="29" spans="1:34" ht="14.25" customHeight="1">
      <c r="A29" s="120">
        <v>8</v>
      </c>
      <c r="B29" s="121"/>
      <c r="C29" s="122" t="s">
        <v>31</v>
      </c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4"/>
      <c r="U29" s="125"/>
      <c r="V29" s="126"/>
      <c r="W29" s="126"/>
      <c r="X29" s="127"/>
      <c r="Y29" s="139">
        <v>1</v>
      </c>
      <c r="Z29" s="140"/>
      <c r="AA29" s="141" t="s">
        <v>16</v>
      </c>
      <c r="AB29" s="142"/>
      <c r="AC29" s="125">
        <v>28750</v>
      </c>
      <c r="AD29" s="126"/>
      <c r="AE29" s="126"/>
      <c r="AF29" s="126"/>
      <c r="AG29" s="126"/>
      <c r="AH29" s="127"/>
    </row>
    <row r="30" spans="1:34" ht="14.25" customHeight="1">
      <c r="A30" s="117">
        <v>9</v>
      </c>
      <c r="B30" s="118"/>
      <c r="C30" s="99" t="s">
        <v>32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/>
      <c r="U30" s="105"/>
      <c r="V30" s="143"/>
      <c r="W30" s="143"/>
      <c r="X30" s="106"/>
      <c r="Y30" s="105">
        <v>1</v>
      </c>
      <c r="Z30" s="106"/>
      <c r="AA30" s="137" t="s">
        <v>16</v>
      </c>
      <c r="AB30" s="138"/>
      <c r="AC30" s="102">
        <v>28080</v>
      </c>
      <c r="AD30" s="103"/>
      <c r="AE30" s="103"/>
      <c r="AF30" s="103"/>
      <c r="AG30" s="103"/>
      <c r="AH30" s="104"/>
    </row>
    <row r="31" spans="1:34" ht="14.25" customHeight="1">
      <c r="A31" s="120"/>
      <c r="B31" s="121"/>
      <c r="C31" s="122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4"/>
      <c r="U31" s="125"/>
      <c r="V31" s="126"/>
      <c r="W31" s="126"/>
      <c r="X31" s="127"/>
      <c r="Y31" s="139"/>
      <c r="Z31" s="140"/>
      <c r="AA31" s="141"/>
      <c r="AB31" s="142"/>
      <c r="AC31" s="125"/>
      <c r="AD31" s="126"/>
      <c r="AE31" s="126"/>
      <c r="AF31" s="126"/>
      <c r="AG31" s="126"/>
      <c r="AH31" s="127"/>
    </row>
    <row r="32" spans="1:34" ht="14.25" customHeight="1">
      <c r="A32" s="117"/>
      <c r="B32" s="118"/>
      <c r="C32" s="146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102"/>
      <c r="V32" s="103"/>
      <c r="W32" s="103"/>
      <c r="X32" s="104"/>
      <c r="Y32" s="105"/>
      <c r="Z32" s="106"/>
      <c r="AA32" s="119"/>
      <c r="AB32" s="108"/>
      <c r="AC32" s="109"/>
      <c r="AD32" s="110"/>
      <c r="AE32" s="110"/>
      <c r="AF32" s="110"/>
      <c r="AG32" s="110"/>
      <c r="AH32" s="111"/>
    </row>
    <row r="33" spans="1:34" ht="14.25" customHeight="1">
      <c r="A33" s="120"/>
      <c r="B33" s="121"/>
      <c r="C33" s="147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4"/>
      <c r="U33" s="125"/>
      <c r="V33" s="126"/>
      <c r="W33" s="126"/>
      <c r="X33" s="127"/>
      <c r="Y33" s="139"/>
      <c r="Z33" s="140"/>
      <c r="AA33" s="148"/>
      <c r="AB33" s="142"/>
      <c r="AC33" s="125"/>
      <c r="AD33" s="126"/>
      <c r="AE33" s="126"/>
      <c r="AF33" s="126"/>
      <c r="AG33" s="126"/>
      <c r="AH33" s="127"/>
    </row>
    <row r="34" spans="1:34" ht="14.25" customHeight="1">
      <c r="A34" s="117"/>
      <c r="B34" s="118"/>
      <c r="C34" s="146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6"/>
      <c r="U34" s="102"/>
      <c r="V34" s="103"/>
      <c r="W34" s="103"/>
      <c r="X34" s="104"/>
      <c r="Y34" s="105"/>
      <c r="Z34" s="106"/>
      <c r="AA34" s="137"/>
      <c r="AB34" s="138"/>
      <c r="AC34" s="102"/>
      <c r="AD34" s="103"/>
      <c r="AE34" s="103"/>
      <c r="AF34" s="103"/>
      <c r="AG34" s="103"/>
      <c r="AH34" s="104"/>
    </row>
    <row r="35" spans="1:34" ht="14.25" customHeight="1">
      <c r="A35" s="120"/>
      <c r="B35" s="121"/>
      <c r="C35" s="147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5"/>
      <c r="U35" s="125"/>
      <c r="V35" s="126"/>
      <c r="W35" s="126"/>
      <c r="X35" s="127"/>
      <c r="Y35" s="139"/>
      <c r="Z35" s="140"/>
      <c r="AA35" s="141"/>
      <c r="AB35" s="142"/>
      <c r="AC35" s="125"/>
      <c r="AD35" s="126"/>
      <c r="AE35" s="126"/>
      <c r="AF35" s="126"/>
      <c r="AG35" s="126"/>
      <c r="AH35" s="127"/>
    </row>
    <row r="36" spans="1:34" ht="14.25" customHeight="1">
      <c r="A36" s="117"/>
      <c r="B36" s="118"/>
      <c r="C36" s="146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6"/>
      <c r="U36" s="105"/>
      <c r="V36" s="143"/>
      <c r="W36" s="143"/>
      <c r="X36" s="106"/>
      <c r="Y36" s="105"/>
      <c r="Z36" s="106"/>
      <c r="AA36" s="137"/>
      <c r="AB36" s="138"/>
      <c r="AC36" s="102"/>
      <c r="AD36" s="103"/>
      <c r="AE36" s="103"/>
      <c r="AF36" s="103"/>
      <c r="AG36" s="103"/>
      <c r="AH36" s="104"/>
    </row>
    <row r="37" spans="1:34" ht="14.25" customHeight="1">
      <c r="A37" s="120"/>
      <c r="B37" s="121"/>
      <c r="C37" s="147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4"/>
      <c r="U37" s="149"/>
      <c r="V37" s="150"/>
      <c r="W37" s="150"/>
      <c r="X37" s="151"/>
      <c r="Y37" s="139"/>
      <c r="Z37" s="140"/>
      <c r="AA37" s="141"/>
      <c r="AB37" s="142"/>
      <c r="AC37" s="125"/>
      <c r="AD37" s="126"/>
      <c r="AE37" s="126"/>
      <c r="AF37" s="126"/>
      <c r="AG37" s="126"/>
      <c r="AH37" s="127"/>
    </row>
    <row r="38" spans="1:34" ht="14.25" customHeight="1">
      <c r="A38" s="117"/>
      <c r="B38" s="118"/>
      <c r="C38" s="146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/>
      <c r="U38" s="105"/>
      <c r="V38" s="143"/>
      <c r="W38" s="143"/>
      <c r="X38" s="106"/>
      <c r="Y38" s="105"/>
      <c r="Z38" s="106"/>
      <c r="AA38" s="137"/>
      <c r="AB38" s="138"/>
      <c r="AC38" s="102"/>
      <c r="AD38" s="103"/>
      <c r="AE38" s="103"/>
      <c r="AF38" s="103"/>
      <c r="AG38" s="103"/>
      <c r="AH38" s="104"/>
    </row>
    <row r="39" spans="1:34" ht="14.25" customHeight="1">
      <c r="A39" s="120"/>
      <c r="B39" s="121"/>
      <c r="C39" s="147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  <c r="U39" s="149"/>
      <c r="V39" s="150"/>
      <c r="W39" s="150"/>
      <c r="X39" s="151"/>
      <c r="Y39" s="128"/>
      <c r="Z39" s="129"/>
      <c r="AA39" s="141"/>
      <c r="AB39" s="152"/>
      <c r="AC39" s="125"/>
      <c r="AD39" s="126"/>
      <c r="AE39" s="126"/>
      <c r="AF39" s="126"/>
      <c r="AG39" s="126"/>
      <c r="AH39" s="127"/>
    </row>
    <row r="40" spans="1:34" ht="14.25" customHeight="1">
      <c r="A40" s="117"/>
      <c r="B40" s="118"/>
      <c r="C40" s="146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1"/>
      <c r="U40" s="105"/>
      <c r="V40" s="143"/>
      <c r="W40" s="143"/>
      <c r="X40" s="106"/>
      <c r="Y40" s="105"/>
      <c r="Z40" s="106"/>
      <c r="AA40" s="137"/>
      <c r="AB40" s="138"/>
      <c r="AC40" s="102"/>
      <c r="AD40" s="103"/>
      <c r="AE40" s="103"/>
      <c r="AF40" s="103"/>
      <c r="AG40" s="103"/>
      <c r="AH40" s="104"/>
    </row>
    <row r="41" spans="1:34" ht="14.25" customHeight="1">
      <c r="A41" s="120"/>
      <c r="B41" s="121"/>
      <c r="C41" s="147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4"/>
      <c r="U41" s="149"/>
      <c r="V41" s="150"/>
      <c r="W41" s="150"/>
      <c r="X41" s="151"/>
      <c r="Y41" s="139"/>
      <c r="Z41" s="140"/>
      <c r="AA41" s="139"/>
      <c r="AB41" s="140"/>
      <c r="AC41" s="149"/>
      <c r="AD41" s="150"/>
      <c r="AE41" s="150"/>
      <c r="AF41" s="150"/>
      <c r="AG41" s="150"/>
      <c r="AH41" s="151"/>
    </row>
    <row r="42" spans="1:34" ht="14.25" customHeight="1">
      <c r="A42" s="117"/>
      <c r="B42" s="118"/>
      <c r="C42" s="146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1"/>
      <c r="U42" s="105"/>
      <c r="V42" s="143"/>
      <c r="W42" s="143"/>
      <c r="X42" s="106"/>
      <c r="Y42" s="105"/>
      <c r="Z42" s="106"/>
      <c r="AA42" s="153"/>
      <c r="AB42" s="154"/>
      <c r="AC42" s="105"/>
      <c r="AD42" s="143"/>
      <c r="AE42" s="143"/>
      <c r="AF42" s="143"/>
      <c r="AG42" s="143"/>
      <c r="AH42" s="106"/>
    </row>
    <row r="43" spans="1:34" ht="14.25" customHeight="1">
      <c r="A43" s="120"/>
      <c r="B43" s="121"/>
      <c r="C43" s="147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4"/>
      <c r="U43" s="149"/>
      <c r="V43" s="150"/>
      <c r="W43" s="150"/>
      <c r="X43" s="151"/>
      <c r="Y43" s="128"/>
      <c r="Z43" s="129"/>
      <c r="AA43" s="128"/>
      <c r="AB43" s="129"/>
      <c r="AC43" s="149"/>
      <c r="AD43" s="150"/>
      <c r="AE43" s="150"/>
      <c r="AF43" s="150"/>
      <c r="AG43" s="150"/>
      <c r="AH43" s="151"/>
    </row>
    <row r="44" spans="1:34" ht="14.25" customHeight="1">
      <c r="A44" s="117"/>
      <c r="B44" s="118"/>
      <c r="C44" s="146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05"/>
      <c r="V44" s="143"/>
      <c r="W44" s="143"/>
      <c r="X44" s="106"/>
      <c r="Y44" s="105"/>
      <c r="Z44" s="106"/>
      <c r="AA44" s="153"/>
      <c r="AB44" s="154"/>
      <c r="AC44" s="105"/>
      <c r="AD44" s="143"/>
      <c r="AE44" s="143"/>
      <c r="AF44" s="143"/>
      <c r="AG44" s="143"/>
      <c r="AH44" s="106"/>
    </row>
    <row r="45" spans="1:34" ht="14.25" customHeight="1">
      <c r="A45" s="120"/>
      <c r="B45" s="121"/>
      <c r="C45" s="147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4"/>
      <c r="U45" s="149"/>
      <c r="V45" s="150"/>
      <c r="W45" s="150"/>
      <c r="X45" s="151"/>
      <c r="Y45" s="128"/>
      <c r="Z45" s="129"/>
      <c r="AA45" s="128"/>
      <c r="AB45" s="129"/>
      <c r="AC45" s="149"/>
      <c r="AD45" s="150"/>
      <c r="AE45" s="150"/>
      <c r="AF45" s="150"/>
      <c r="AG45" s="150"/>
      <c r="AH45" s="151"/>
    </row>
    <row r="46" spans="1:34" ht="14.25" customHeight="1">
      <c r="A46" s="117"/>
      <c r="B46" s="118"/>
      <c r="C46" s="146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6"/>
      <c r="U46" s="105"/>
      <c r="V46" s="143"/>
      <c r="W46" s="143"/>
      <c r="X46" s="106"/>
      <c r="Y46" s="105"/>
      <c r="Z46" s="106"/>
      <c r="AA46" s="153"/>
      <c r="AB46" s="154"/>
      <c r="AC46" s="105"/>
      <c r="AD46" s="143"/>
      <c r="AE46" s="143"/>
      <c r="AF46" s="143"/>
      <c r="AG46" s="143"/>
      <c r="AH46" s="106"/>
    </row>
    <row r="47" spans="1:34" ht="14.25" customHeight="1">
      <c r="A47" s="173"/>
      <c r="B47" s="174"/>
      <c r="C47" s="175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7"/>
      <c r="U47" s="178"/>
      <c r="V47" s="179"/>
      <c r="W47" s="179"/>
      <c r="X47" s="180"/>
      <c r="Y47" s="181"/>
      <c r="Z47" s="182"/>
      <c r="AA47" s="181"/>
      <c r="AB47" s="182"/>
      <c r="AC47" s="178"/>
      <c r="AD47" s="179"/>
      <c r="AE47" s="179"/>
      <c r="AF47" s="179"/>
      <c r="AG47" s="179"/>
      <c r="AH47" s="180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155" t="s">
        <v>17</v>
      </c>
      <c r="W48" s="156"/>
      <c r="X48" s="156"/>
      <c r="Y48" s="156"/>
      <c r="Z48" s="50"/>
      <c r="AA48" s="157"/>
      <c r="AB48" s="158"/>
      <c r="AC48" s="159">
        <v>0</v>
      </c>
      <c r="AD48" s="160"/>
      <c r="AE48" s="160"/>
      <c r="AF48" s="160"/>
      <c r="AG48" s="160"/>
      <c r="AH48" s="161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62" t="s">
        <v>18</v>
      </c>
      <c r="W49" s="163"/>
      <c r="X49" s="163"/>
      <c r="Y49" s="163"/>
      <c r="Z49" s="53"/>
      <c r="AA49" s="54"/>
      <c r="AB49" s="55"/>
      <c r="AC49" s="164">
        <f>SUM(AC22:AH48)</f>
        <v>204030</v>
      </c>
      <c r="AD49" s="165"/>
      <c r="AE49" s="165"/>
      <c r="AF49" s="165"/>
      <c r="AG49" s="165"/>
      <c r="AH49" s="166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167" t="s">
        <v>19</v>
      </c>
      <c r="W50" s="167"/>
      <c r="X50" s="167"/>
      <c r="Y50" s="167"/>
      <c r="Z50" s="57"/>
      <c r="AA50" s="168"/>
      <c r="AB50" s="169"/>
      <c r="AC50" s="170">
        <f>INT(AC49/108*8)</f>
        <v>15113</v>
      </c>
      <c r="AD50" s="171"/>
      <c r="AE50" s="171"/>
      <c r="AF50" s="171"/>
      <c r="AG50" s="171"/>
      <c r="AH50" s="172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184" t="s">
        <v>20</v>
      </c>
      <c r="W51" s="184"/>
      <c r="X51" s="184"/>
      <c r="Y51" s="184"/>
      <c r="Z51" s="63"/>
      <c r="AA51" s="64"/>
      <c r="AB51" s="65"/>
      <c r="AC51" s="185">
        <f>AC49</f>
        <v>204030</v>
      </c>
      <c r="AD51" s="186"/>
      <c r="AE51" s="186"/>
      <c r="AF51" s="186"/>
      <c r="AG51" s="186"/>
      <c r="AH51" s="187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6"/>
      <c r="V52" s="188" t="s">
        <v>21</v>
      </c>
      <c r="W52" s="188"/>
      <c r="X52" s="188"/>
      <c r="Y52" s="188"/>
      <c r="Z52" s="67"/>
      <c r="AA52" s="189"/>
      <c r="AB52" s="190"/>
      <c r="AC52" s="191">
        <f>AC51</f>
        <v>204030</v>
      </c>
      <c r="AD52" s="192"/>
      <c r="AE52" s="192"/>
      <c r="AF52" s="192"/>
      <c r="AG52" s="192"/>
      <c r="AH52" s="193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68"/>
      <c r="V53" s="69"/>
      <c r="W53" s="69"/>
      <c r="X53" s="69"/>
      <c r="Y53" s="69"/>
      <c r="Z53" s="68"/>
      <c r="AA53" s="70"/>
      <c r="AB53" s="70"/>
      <c r="AC53" s="71"/>
      <c r="AD53" s="70"/>
      <c r="AE53" s="70"/>
      <c r="AF53" s="70"/>
      <c r="AG53" s="70"/>
      <c r="AH53" s="70"/>
    </row>
    <row r="54" spans="1:34" s="61" customFormat="1" ht="15" customHeight="1">
      <c r="A54" s="194" t="s">
        <v>22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</row>
    <row r="55" spans="1:34" s="61" customFormat="1" ht="14.2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</row>
    <row r="56" spans="1:34" s="61" customFormat="1" ht="1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</row>
    <row r="57" spans="1:34" s="61" customFormat="1" ht="1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</row>
    <row r="58" spans="1:34" s="61" customFormat="1" ht="1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</row>
    <row r="59" spans="1:34" ht="15" customHeight="1">
      <c r="A59" s="72"/>
      <c r="B59" s="72"/>
      <c r="C59" s="73"/>
      <c r="D59" s="74"/>
      <c r="E59" s="74"/>
      <c r="F59" s="74"/>
      <c r="G59" s="79"/>
      <c r="H59" s="72"/>
      <c r="I59" s="72"/>
      <c r="J59" s="72"/>
      <c r="K59" s="72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5"/>
      <c r="AG59" s="75"/>
    </row>
    <row r="60" spans="1:34" ht="15" customHeight="1">
      <c r="A60" s="76"/>
      <c r="B60" s="77"/>
      <c r="C60" s="76"/>
      <c r="D60" s="76"/>
      <c r="E60" s="76"/>
      <c r="F60" s="76"/>
      <c r="G60" s="76"/>
      <c r="H60" s="78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B60" s="75"/>
      <c r="AC60" s="75"/>
      <c r="AD60" s="75"/>
      <c r="AE60" s="75"/>
      <c r="AF60" s="75"/>
      <c r="AG60" s="75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</mergeCells>
  <phoneticPr fontId="2"/>
  <pageMargins left="0.70866141732283472" right="0.6692913385826772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藤鳶工業請求</vt:lpstr>
      <vt:lpstr>藤鳶工業請求!Print_Area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2015-03-11T04:35:09Z</cp:lastPrinted>
  <dcterms:created xsi:type="dcterms:W3CDTF">2014-12-22T05:24:53Z</dcterms:created>
  <dcterms:modified xsi:type="dcterms:W3CDTF">2015-03-11T04:36:13Z</dcterms:modified>
</cp:coreProperties>
</file>