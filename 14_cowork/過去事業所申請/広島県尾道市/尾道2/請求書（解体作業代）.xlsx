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カイト御調　請求書\カイト御調　請求書\"/>
    </mc:Choice>
  </mc:AlternateContent>
  <bookViews>
    <workbookView xWindow="0" yWindow="0" windowWidth="28800" windowHeight="12450" activeTab="2"/>
  </bookViews>
  <sheets>
    <sheet name="藤鳶工業請求4月分 " sheetId="1" r:id="rId1"/>
    <sheet name="藤鳶工業請求5月分 " sheetId="2" r:id="rId2"/>
    <sheet name="藤鳶工業請求6月分 " sheetId="3" r:id="rId3"/>
  </sheets>
  <definedNames>
    <definedName name="_xlnm.Print_Area" localSheetId="0">'藤鳶工業請求4月分 '!$A$1:$AH$60</definedName>
    <definedName name="_xlnm.Print_Area" localSheetId="1">'藤鳶工業請求5月分 '!$A$1:$AH$58</definedName>
    <definedName name="_xlnm.Print_Area" localSheetId="2">'藤鳶工業請求6月分 '!$A$1:$AH$58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8" i="3" l="1"/>
  <c r="AC27" i="3"/>
  <c r="AC26" i="3"/>
  <c r="AC25" i="3"/>
  <c r="AC24" i="3"/>
  <c r="AC23" i="3"/>
  <c r="AC22" i="3"/>
  <c r="AC49" i="3" l="1"/>
  <c r="AC50" i="3" s="1"/>
  <c r="AC51" i="3" s="1"/>
  <c r="AC52" i="3" s="1"/>
  <c r="M18" i="3" s="1"/>
  <c r="AC51" i="2"/>
  <c r="AC50" i="2"/>
  <c r="AC28" i="2"/>
  <c r="AC27" i="2"/>
  <c r="AC26" i="2"/>
  <c r="AC25" i="2"/>
  <c r="AC24" i="2"/>
  <c r="AC23" i="2"/>
  <c r="AC22" i="2"/>
  <c r="AC49" i="2"/>
  <c r="AC52" i="2" l="1"/>
  <c r="M18" i="2" s="1"/>
  <c r="AC49" i="1"/>
  <c r="AC50" i="1" s="1"/>
  <c r="AC51" i="1" l="1"/>
  <c r="AC52" i="1" s="1"/>
  <c r="M18" i="1" s="1"/>
</calcChain>
</file>

<file path=xl/sharedStrings.xml><?xml version="1.0" encoding="utf-8"?>
<sst xmlns="http://schemas.openxmlformats.org/spreadsheetml/2006/main" count="124" uniqueCount="50">
  <si>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</si>
  <si>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藤鳶工業　株式会社</t>
    <rPh sb="0" eb="1">
      <t>フジ</t>
    </rPh>
    <rPh sb="1" eb="2">
      <t>トビ</t>
    </rPh>
    <rPh sb="2" eb="4">
      <t>コウギョウ</t>
    </rPh>
    <rPh sb="5" eb="7">
      <t>カブシキ</t>
    </rPh>
    <rPh sb="7" eb="9">
      <t>カイシャ</t>
    </rPh>
    <phoneticPr fontId="5"/>
  </si>
  <si>
    <t>殿</t>
    <rPh sb="0" eb="1">
      <t>ドノ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</si>
  <si>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</si>
  <si>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</si>
  <si>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</si>
  <si>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</si>
  <si>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t>4月分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</si>
  <si>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</si>
  <si>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</si>
  <si>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</si>
  <si>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番号</t>
    <rPh sb="0" eb="2">
      <t>バンゴウ</t>
    </rPh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</si>
  <si>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</si>
  <si>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</si>
  <si>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</si>
  <si>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</si>
  <si>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</si>
  <si>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式</t>
    <rPh sb="0" eb="1">
      <t>シキ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</si>
  <si>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</si>
  <si>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</si>
  <si>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</si>
  <si>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</si>
  <si>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</si>
  <si>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</si>
  <si>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振込み先　　　　広島銀行　尾道栗原支店　普通預金　3143730</t>
    <rPh sb="0" eb="2">
      <t>フリコ</t>
    </rPh>
    <rPh sb="3" eb="4">
      <t>サキ</t>
    </rPh>
    <rPh sb="8" eb="10">
      <t>ヒロシマ</t>
    </rPh>
    <rPh sb="10" eb="12">
      <t>ギンコウ</t>
    </rPh>
    <rPh sb="13" eb="15">
      <t>オノミチ</t>
    </rPh>
    <rPh sb="15" eb="17">
      <t>クリハラ</t>
    </rPh>
    <rPh sb="17" eb="19">
      <t>シテン</t>
    </rPh>
    <rPh sb="20" eb="22">
      <t>フツウ</t>
    </rPh>
    <rPh sb="22" eb="24">
      <t>ヨキン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</si>
  <si>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</si>
  <si>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</si>
  <si>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</si>
  <si>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</si>
  <si>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</si>
  <si>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</si>
  <si>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カシワキ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</si>
  <si>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</si>
  <si>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倉谷　円</t>
    <rPh sb="0" eb="2">
      <t>クラタニ</t>
    </rPh>
    <rPh sb="3" eb="4">
      <t>マドカ</t>
    </rPh>
    <phoneticPr fontId="2"/>
  </si>
  <si>
    <t>葛篭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</si>
  <si>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</si>
  <si>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</si>
  <si>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ABS　混色</t>
    <phoneticPr fontId="2"/>
  </si>
  <si>
    <t>ABS　黒色</t>
    <phoneticPr fontId="2"/>
  </si>
  <si>
    <t>ABS　透明</t>
    <phoneticPr fontId="2"/>
  </si>
  <si>
    <t>PC　　透明</t>
    <phoneticPr fontId="2"/>
  </si>
  <si>
    <t>PC　　混色</t>
    <phoneticPr fontId="2"/>
  </si>
  <si>
    <t>銀　メッキ</t>
    <phoneticPr fontId="2"/>
  </si>
  <si>
    <t>PMMA　透明・混色</t>
    <phoneticPr fontId="2"/>
  </si>
  <si>
    <t>Kg</t>
    <phoneticPr fontId="5"/>
  </si>
  <si>
    <t>消費税</t>
    <phoneticPr fontId="5"/>
  </si>
  <si>
    <t>5月分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</si>
  <si>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t>6月分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</si>
  <si>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t>PC カーボン</t>
    <phoneticPr fontId="5"/>
  </si>
  <si>
    <t>ABS　カーボン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</si>
</sst>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auto="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54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0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0" borderId="0" xfId="2" applyBorder="1" applyAlignment="1">
      <alignment horizontal="left"/>
    </xf>
    <xf numFmtId="0" fontId="13" fillId="0" borderId="0" xfId="2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1" fillId="0" borderId="2" xfId="2" applyBorder="1" applyAlignment="1">
      <alignment horizontal="center"/>
    </xf>
    <xf numFmtId="0" fontId="1" fillId="0" borderId="4" xfId="2" applyBorder="1" applyAlignment="1">
      <alignment horizontal="center"/>
    </xf>
    <xf numFmtId="0" fontId="0" fillId="0" borderId="5" xfId="2" applyFont="1" applyBorder="1" applyAlignment="1">
      <alignment horizontal="lef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38" fontId="1" fillId="0" borderId="5" xfId="1" applyBorder="1" applyAlignment="1">
      <alignment horizontal="right"/>
    </xf>
    <xf numFmtId="38" fontId="1" fillId="0" borderId="6" xfId="1" applyBorder="1" applyAlignment="1">
      <alignment horizontal="right"/>
    </xf>
    <xf numFmtId="177" fontId="0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6" xfId="2" applyBorder="1" applyAlignment="1">
      <alignment horizontal="center"/>
    </xf>
    <xf numFmtId="177" fontId="1" fillId="0" borderId="5" xfId="2" applyNumberFormat="1" applyFont="1" applyBorder="1" applyAlignment="1">
      <alignment horizontal="right" shrinkToFit="1"/>
    </xf>
    <xf numFmtId="0" fontId="1" fillId="1" borderId="5" xfId="2" applyFill="1" applyBorder="1" applyAlignment="1">
      <alignment horizontal="center"/>
    </xf>
    <xf numFmtId="0" fontId="1" fillId="1" borderId="6" xfId="2" applyFill="1" applyBorder="1" applyAlignment="1">
      <alignment horizontal="center"/>
    </xf>
    <xf numFmtId="0" fontId="0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ill="1" applyBorder="1" applyAlignment="1">
      <alignment horizontal="right"/>
    </xf>
    <xf numFmtId="38" fontId="1" fillId="0" borderId="0" xfId="1" applyBorder="1" applyAlignment="1">
      <alignment horizontal="righ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38" fontId="1" fillId="1" borderId="5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0" fontId="1" fillId="0" borderId="5" xfId="2" applyFont="1" applyBorder="1" applyAlignment="1">
      <alignment horizontal="lef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1" borderId="5" xfId="2" applyFont="1" applyFill="1" applyBorder="1" applyAlignment="1">
      <alignment horizontal="lef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ill="1" applyBorder="1" applyAlignment="1">
      <alignment horizontal="center"/>
    </xf>
    <xf numFmtId="0" fontId="1" fillId="1" borderId="8" xfId="2" applyFill="1" applyBorder="1" applyAlignment="1">
      <alignment horizontal="center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0" fillId="6" borderId="10" xfId="2" applyFont="1" applyFill="1" applyBorder="1" applyAlignment="1">
      <alignment horizontal="lef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  <xf numFmtId="0" fontId="0" fillId="3" borderId="12" xfId="2" applyFont="1" applyFill="1" applyBorder="1" applyAlignment="1">
      <alignment horizontal="distributed"/>
    </xf>
    <xf numFmtId="0" fontId="1" fillId="7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1" fillId="7" borderId="21" xfId="2" applyFont="1" applyFill="1" applyBorder="1" applyAlignment="1">
      <alignment horizontal="left"/>
    </xf>
    <xf numFmtId="0" fontId="1" fillId="7" borderId="23" xfId="2" applyFill="1" applyBorder="1" applyAlignment="1">
      <alignment horizontal="left"/>
    </xf>
    <xf numFmtId="0" fontId="1" fillId="7" borderId="22" xfId="2" applyFill="1" applyBorder="1" applyAlignment="1">
      <alignment horizontal="left"/>
    </xf>
    <xf numFmtId="38" fontId="1" fillId="7" borderId="21" xfId="1" applyFill="1" applyBorder="1" applyAlignment="1">
      <alignment horizontal="right"/>
    </xf>
    <xf numFmtId="38" fontId="1" fillId="7" borderId="23" xfId="1" applyFill="1" applyBorder="1" applyAlignment="1">
      <alignment horizontal="right"/>
    </xf>
    <xf numFmtId="38" fontId="1" fillId="7" borderId="22" xfId="1" applyFill="1" applyBorder="1" applyAlignment="1">
      <alignment horizontal="right"/>
    </xf>
    <xf numFmtId="0" fontId="1" fillId="7" borderId="21" xfId="2" applyFill="1" applyBorder="1" applyAlignment="1">
      <alignment horizontal="right"/>
    </xf>
    <xf numFmtId="0" fontId="1" fillId="7" borderId="22" xfId="2" applyFill="1" applyBorder="1" applyAlignment="1">
      <alignment horizontal="right"/>
    </xf>
    <xf numFmtId="0" fontId="1" fillId="7" borderId="18" xfId="2" applyFill="1" applyBorder="1" applyAlignment="1">
      <alignment horizontal="center"/>
    </xf>
    <xf numFmtId="0" fontId="1" fillId="7" borderId="19" xfId="2" applyFill="1" applyBorder="1" applyAlignment="1">
      <alignment horizontal="center"/>
    </xf>
    <xf numFmtId="0" fontId="1" fillId="7" borderId="18" xfId="2" applyFont="1" applyFill="1" applyBorder="1" applyAlignment="1">
      <alignment horizontal="left"/>
    </xf>
    <xf numFmtId="0" fontId="1" fillId="7" borderId="20" xfId="2" applyFill="1" applyBorder="1" applyAlignment="1">
      <alignment horizontal="left"/>
    </xf>
    <xf numFmtId="0" fontId="1" fillId="7" borderId="19" xfId="2" applyFill="1" applyBorder="1" applyAlignment="1">
      <alignment horizontal="left"/>
    </xf>
    <xf numFmtId="38" fontId="1" fillId="7" borderId="18" xfId="1" applyFill="1" applyBorder="1" applyAlignment="1">
      <alignment horizontal="right"/>
    </xf>
    <xf numFmtId="38" fontId="1" fillId="7" borderId="20" xfId="1" applyFill="1" applyBorder="1" applyAlignment="1">
      <alignment horizontal="right"/>
    </xf>
    <xf numFmtId="38" fontId="1" fillId="7" borderId="19" xfId="1" applyFill="1" applyBorder="1" applyAlignment="1">
      <alignment horizontal="right"/>
    </xf>
    <xf numFmtId="0" fontId="1" fillId="7" borderId="18" xfId="2" applyFont="1" applyFill="1" applyBorder="1" applyAlignment="1">
      <alignment horizontal="right"/>
    </xf>
    <xf numFmtId="0" fontId="1" fillId="7" borderId="19" xfId="2" applyFont="1" applyFill="1" applyBorder="1" applyAlignment="1">
      <alignment horizontal="right"/>
    </xf>
    <xf numFmtId="0" fontId="1" fillId="7" borderId="20" xfId="2" applyFont="1" applyFill="1" applyBorder="1" applyAlignment="1">
      <alignment horizontal="left"/>
    </xf>
    <xf numFmtId="0" fontId="1" fillId="7" borderId="19" xfId="2" applyFont="1" applyFill="1" applyBorder="1" applyAlignment="1">
      <alignment horizontal="left"/>
    </xf>
    <xf numFmtId="0" fontId="1" fillId="7" borderId="18" xfId="2" applyFill="1" applyBorder="1" applyAlignment="1">
      <alignment horizontal="right"/>
    </xf>
    <xf numFmtId="0" fontId="1" fillId="7" borderId="19" xfId="2" applyFill="1" applyBorder="1" applyAlignment="1">
      <alignment horizontal="right"/>
    </xf>
    <xf numFmtId="177" fontId="1" fillId="7" borderId="18" xfId="2" applyNumberFormat="1" applyFont="1" applyFill="1" applyBorder="1" applyAlignment="1">
      <alignment horizontal="right"/>
    </xf>
    <xf numFmtId="177" fontId="1" fillId="7" borderId="19" xfId="2" applyNumberFormat="1" applyFont="1" applyFill="1" applyBorder="1" applyAlignment="1">
      <alignment horizontal="right"/>
    </xf>
    <xf numFmtId="177" fontId="1" fillId="7" borderId="18" xfId="1" applyNumberFormat="1" applyFill="1" applyBorder="1" applyAlignment="1">
      <alignment horizontal="right"/>
    </xf>
    <xf numFmtId="177" fontId="1" fillId="7" borderId="20" xfId="1" applyNumberFormat="1" applyFill="1" applyBorder="1" applyAlignment="1">
      <alignment horizontal="right"/>
    </xf>
    <xf numFmtId="177" fontId="1" fillId="7" borderId="19" xfId="1" applyNumberFormat="1" applyFill="1" applyBorder="1" applyAlignment="1">
      <alignment horizontal="right"/>
    </xf>
    <xf numFmtId="0" fontId="0" fillId="7" borderId="18" xfId="2" applyFont="1" applyFill="1" applyBorder="1" applyAlignment="1">
      <alignment horizontal="left"/>
    </xf>
    <xf numFmtId="177" fontId="1" fillId="7" borderId="18" xfId="1" applyNumberFormat="1" applyFill="1" applyBorder="1" applyAlignment="1">
      <alignment horizontal="right" shrinkToFit="1"/>
    </xf>
    <xf numFmtId="177" fontId="1" fillId="7" borderId="20" xfId="1" applyNumberFormat="1" applyFill="1" applyBorder="1" applyAlignment="1">
      <alignment horizontal="right" shrinkToFit="1"/>
    </xf>
    <xf numFmtId="177" fontId="1" fillId="7" borderId="19" xfId="1" applyNumberFormat="1" applyFill="1" applyBorder="1" applyAlignment="1">
      <alignment horizontal="right" shrinkToFit="1"/>
    </xf>
    <xf numFmtId="177" fontId="1" fillId="7" borderId="19" xfId="2" applyNumberFormat="1" applyFill="1" applyBorder="1" applyAlignment="1">
      <alignment horizontal="right"/>
    </xf>
    <xf numFmtId="177" fontId="0" fillId="7" borderId="18" xfId="2" applyNumberFormat="1" applyFont="1" applyFill="1" applyBorder="1" applyAlignment="1">
      <alignment horizontal="right"/>
    </xf>
    <xf numFmtId="177" fontId="0" fillId="7" borderId="18" xfId="2" applyNumberFormat="1" applyFont="1" applyFill="1" applyBorder="1" applyAlignment="1">
      <alignment horizontal="right" shrinkToFit="1"/>
    </xf>
    <xf numFmtId="177" fontId="1" fillId="7" borderId="19" xfId="2" applyNumberFormat="1" applyFont="1" applyFill="1" applyBorder="1" applyAlignment="1">
      <alignment horizontal="right" shrinkToFit="1"/>
    </xf>
    <xf numFmtId="0" fontId="1" fillId="7" borderId="2" xfId="2" applyFill="1" applyBorder="1" applyAlignment="1">
      <alignment horizontal="center"/>
    </xf>
    <xf numFmtId="0" fontId="1" fillId="7" borderId="4" xfId="2" applyFill="1" applyBorder="1" applyAlignment="1">
      <alignment horizontal="center"/>
    </xf>
    <xf numFmtId="0" fontId="0" fillId="7" borderId="5" xfId="2" applyFont="1" applyFill="1" applyBorder="1" applyAlignment="1">
      <alignment horizontal="left"/>
    </xf>
    <xf numFmtId="0" fontId="1" fillId="7" borderId="0" xfId="2" applyFont="1" applyFill="1" applyBorder="1" applyAlignment="1">
      <alignment horizontal="left"/>
    </xf>
    <xf numFmtId="0" fontId="1" fillId="7" borderId="6" xfId="2" applyFont="1" applyFill="1" applyBorder="1" applyAlignment="1">
      <alignment horizontal="left"/>
    </xf>
    <xf numFmtId="177" fontId="1" fillId="7" borderId="5" xfId="1" applyNumberFormat="1" applyFill="1" applyBorder="1" applyAlignment="1">
      <alignment horizontal="right"/>
    </xf>
    <xf numFmtId="177" fontId="1" fillId="7" borderId="0" xfId="1" applyNumberFormat="1" applyFill="1" applyBorder="1" applyAlignment="1">
      <alignment horizontal="right"/>
    </xf>
    <xf numFmtId="177" fontId="1" fillId="7" borderId="6" xfId="1" applyNumberFormat="1" applyFill="1" applyBorder="1" applyAlignment="1">
      <alignment horizontal="right"/>
    </xf>
    <xf numFmtId="38" fontId="1" fillId="7" borderId="5" xfId="1" applyFill="1" applyBorder="1" applyAlignment="1">
      <alignment horizontal="right"/>
    </xf>
    <xf numFmtId="38" fontId="1" fillId="7" borderId="6" xfId="1" applyFill="1" applyBorder="1" applyAlignment="1">
      <alignment horizontal="right"/>
    </xf>
    <xf numFmtId="177" fontId="0" fillId="7" borderId="5" xfId="2" applyNumberFormat="1" applyFont="1" applyFill="1" applyBorder="1" applyAlignment="1">
      <alignment horizontal="right" shrinkToFit="1"/>
    </xf>
    <xf numFmtId="177" fontId="1" fillId="7" borderId="6" xfId="2" applyNumberFormat="1" applyFont="1" applyFill="1" applyBorder="1" applyAlignment="1">
      <alignment horizontal="right" shrinkToFit="1"/>
    </xf>
    <xf numFmtId="177" fontId="1" fillId="7" borderId="5" xfId="1" applyNumberFormat="1" applyFill="1" applyBorder="1" applyAlignment="1">
      <alignment horizontal="right" shrinkToFit="1"/>
    </xf>
    <xf numFmtId="177" fontId="1" fillId="7" borderId="0" xfId="1" applyNumberFormat="1" applyFill="1" applyBorder="1" applyAlignment="1">
      <alignment horizontal="right" shrinkToFit="1"/>
    </xf>
    <xf numFmtId="177" fontId="1" fillId="7" borderId="6" xfId="1" applyNumberFormat="1" applyFill="1" applyBorder="1" applyAlignment="1">
      <alignment horizontal="right" shrinkToFit="1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岡﨑　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番地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0848-76-3701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147185" y="1596390"/>
          <a:ext cx="2070735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岡﨑　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番地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0848-76-3701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岡﨑　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番地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0848-76-3701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opLeftCell="A7" workbookViewId="0">
      <selection activeCell="C2" sqref="C2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6"/>
      <c r="AC1" s="86"/>
      <c r="AD1" s="86"/>
      <c r="AE1" s="86"/>
      <c r="AF1" s="86"/>
      <c r="AG1" s="86"/>
      <c r="AH1" s="86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7" t="s">
        <v>0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42" ht="15" customHeight="1">
      <c r="D4" s="5"/>
      <c r="E4" s="5"/>
      <c r="F4" s="5"/>
      <c r="G4" s="5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8" t="s">
        <v>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0" t="s">
        <v>2</v>
      </c>
      <c r="U9" s="90"/>
      <c r="V9" s="90"/>
      <c r="AB9" s="92">
        <v>42131</v>
      </c>
      <c r="AC9" s="92"/>
      <c r="AD9" s="92"/>
      <c r="AE9" s="92"/>
      <c r="AF9" s="92"/>
      <c r="AG9" s="92"/>
      <c r="AH9" s="92"/>
    </row>
    <row r="10" spans="1:42" ht="1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93"/>
      <c r="AA11" s="93"/>
      <c r="AB11" s="93"/>
      <c r="AC11" s="93"/>
      <c r="AD11" s="93"/>
      <c r="AE11" s="93"/>
      <c r="AF11" s="93"/>
      <c r="AG11" s="93"/>
      <c r="AH11" s="93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94"/>
      <c r="AA12" s="94"/>
      <c r="AB12" s="94"/>
      <c r="AC12" s="94"/>
      <c r="AD12" s="94"/>
      <c r="AE12" s="94"/>
      <c r="AF12" s="94"/>
      <c r="AG12" s="94"/>
      <c r="AH12" s="94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94"/>
      <c r="AA13" s="94"/>
      <c r="AB13" s="94"/>
      <c r="AC13" s="94"/>
      <c r="AD13" s="94"/>
      <c r="AE13" s="94"/>
      <c r="AF13" s="94"/>
      <c r="AG13" s="94"/>
      <c r="AH13" s="94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94"/>
      <c r="AA14" s="94"/>
      <c r="AB14" s="94"/>
      <c r="AC14" s="94"/>
      <c r="AD14" s="94"/>
      <c r="AE14" s="94"/>
      <c r="AF14" s="94"/>
      <c r="AG14" s="94"/>
      <c r="AH14" s="94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5</v>
      </c>
      <c r="B16" s="95" t="s">
        <v>6</v>
      </c>
      <c r="C16" s="95"/>
      <c r="D16" s="95"/>
      <c r="E16" s="95"/>
      <c r="F16" s="95"/>
      <c r="G16" s="95"/>
      <c r="H16" s="95"/>
      <c r="I16" s="95"/>
      <c r="J16" s="22"/>
      <c r="K16" s="97" t="s">
        <v>7</v>
      </c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6"/>
      <c r="C17" s="96"/>
      <c r="D17" s="96"/>
      <c r="E17" s="96"/>
      <c r="F17" s="96"/>
      <c r="G17" s="96"/>
      <c r="H17" s="96"/>
      <c r="I17" s="96"/>
      <c r="J17" s="26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95" t="s">
        <v>8</v>
      </c>
      <c r="C18" s="95"/>
      <c r="D18" s="95"/>
      <c r="E18" s="95"/>
      <c r="F18" s="95"/>
      <c r="G18" s="95"/>
      <c r="H18" s="95"/>
      <c r="I18" s="95"/>
      <c r="J18" s="95"/>
      <c r="K18" s="32"/>
      <c r="L18" s="99" t="s">
        <v>9</v>
      </c>
      <c r="M18" s="99">
        <f>AC52</f>
        <v>222000</v>
      </c>
      <c r="N18" s="99"/>
      <c r="O18" s="99"/>
      <c r="P18" s="99"/>
      <c r="Q18" s="99"/>
      <c r="R18" s="99"/>
      <c r="S18" s="101" t="s">
        <v>10</v>
      </c>
      <c r="T18" s="101"/>
      <c r="U18" s="101"/>
      <c r="V18" s="101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6"/>
      <c r="C19" s="96"/>
      <c r="D19" s="96"/>
      <c r="E19" s="96"/>
      <c r="F19" s="96"/>
      <c r="G19" s="96"/>
      <c r="H19" s="96"/>
      <c r="I19" s="96"/>
      <c r="J19" s="96"/>
      <c r="K19" s="38"/>
      <c r="L19" s="100"/>
      <c r="M19" s="100"/>
      <c r="N19" s="100"/>
      <c r="O19" s="100"/>
      <c r="P19" s="100"/>
      <c r="Q19" s="100"/>
      <c r="R19" s="100"/>
      <c r="S19" s="102"/>
      <c r="T19" s="102"/>
      <c r="U19" s="102"/>
      <c r="V19" s="102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8" t="s">
        <v>11</v>
      </c>
      <c r="B21" s="119"/>
      <c r="C21" s="118" t="s">
        <v>12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20"/>
      <c r="U21" s="118" t="s">
        <v>13</v>
      </c>
      <c r="V21" s="121"/>
      <c r="W21" s="121"/>
      <c r="X21" s="122"/>
      <c r="Y21" s="118" t="s">
        <v>14</v>
      </c>
      <c r="Z21" s="122"/>
      <c r="AA21" s="118" t="s">
        <v>15</v>
      </c>
      <c r="AB21" s="122"/>
      <c r="AC21" s="118" t="s">
        <v>16</v>
      </c>
      <c r="AD21" s="121"/>
      <c r="AE21" s="121"/>
      <c r="AF21" s="121"/>
      <c r="AG21" s="121"/>
      <c r="AH21" s="122"/>
    </row>
    <row r="22" spans="1:34" ht="14.25" customHeight="1">
      <c r="A22" s="103">
        <v>1</v>
      </c>
      <c r="B22" s="104"/>
      <c r="C22" s="105" t="s">
        <v>25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  <c r="U22" s="108"/>
      <c r="V22" s="109"/>
      <c r="W22" s="109"/>
      <c r="X22" s="110"/>
      <c r="Y22" s="111">
        <v>1</v>
      </c>
      <c r="Z22" s="112"/>
      <c r="AA22" s="113" t="s">
        <v>17</v>
      </c>
      <c r="AB22" s="114"/>
      <c r="AC22" s="115">
        <v>17000</v>
      </c>
      <c r="AD22" s="116"/>
      <c r="AE22" s="116"/>
      <c r="AF22" s="116"/>
      <c r="AG22" s="116"/>
      <c r="AH22" s="117"/>
    </row>
    <row r="23" spans="1:34" ht="14.25" customHeight="1">
      <c r="A23" s="126">
        <v>2</v>
      </c>
      <c r="B23" s="127"/>
      <c r="C23" s="128" t="s">
        <v>26</v>
      </c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30"/>
      <c r="U23" s="131"/>
      <c r="V23" s="132"/>
      <c r="W23" s="132"/>
      <c r="X23" s="133"/>
      <c r="Y23" s="134">
        <v>1</v>
      </c>
      <c r="Z23" s="135"/>
      <c r="AA23" s="136" t="s">
        <v>17</v>
      </c>
      <c r="AB23" s="137"/>
      <c r="AC23" s="138">
        <v>16000</v>
      </c>
      <c r="AD23" s="139"/>
      <c r="AE23" s="139"/>
      <c r="AF23" s="139"/>
      <c r="AG23" s="139"/>
      <c r="AH23" s="140"/>
    </row>
    <row r="24" spans="1:34" ht="14.25" customHeight="1">
      <c r="A24" s="123">
        <v>3</v>
      </c>
      <c r="B24" s="124"/>
      <c r="C24" s="105" t="s">
        <v>27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7"/>
      <c r="U24" s="108"/>
      <c r="V24" s="109"/>
      <c r="W24" s="109"/>
      <c r="X24" s="110"/>
      <c r="Y24" s="111">
        <v>1</v>
      </c>
      <c r="Z24" s="112"/>
      <c r="AA24" s="125" t="s">
        <v>17</v>
      </c>
      <c r="AB24" s="114"/>
      <c r="AC24" s="115">
        <v>0</v>
      </c>
      <c r="AD24" s="116"/>
      <c r="AE24" s="116"/>
      <c r="AF24" s="116"/>
      <c r="AG24" s="116"/>
      <c r="AH24" s="117"/>
    </row>
    <row r="25" spans="1:34" ht="14.25" customHeight="1">
      <c r="A25" s="126">
        <v>4</v>
      </c>
      <c r="B25" s="127"/>
      <c r="C25" s="128" t="s">
        <v>28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30"/>
      <c r="U25" s="131"/>
      <c r="V25" s="132"/>
      <c r="W25" s="132"/>
      <c r="X25" s="133"/>
      <c r="Y25" s="145">
        <v>1</v>
      </c>
      <c r="Z25" s="146"/>
      <c r="AA25" s="147" t="s">
        <v>17</v>
      </c>
      <c r="AB25" s="148"/>
      <c r="AC25" s="131">
        <v>33000</v>
      </c>
      <c r="AD25" s="132"/>
      <c r="AE25" s="132"/>
      <c r="AF25" s="132"/>
      <c r="AG25" s="132"/>
      <c r="AH25" s="133"/>
    </row>
    <row r="26" spans="1:34" ht="14.25" customHeight="1">
      <c r="A26" s="123">
        <v>5</v>
      </c>
      <c r="B26" s="124"/>
      <c r="C26" s="105" t="s">
        <v>29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108"/>
      <c r="V26" s="109"/>
      <c r="W26" s="109"/>
      <c r="X26" s="110"/>
      <c r="Y26" s="111">
        <v>1</v>
      </c>
      <c r="Z26" s="112"/>
      <c r="AA26" s="143" t="s">
        <v>17</v>
      </c>
      <c r="AB26" s="144"/>
      <c r="AC26" s="108">
        <v>33000</v>
      </c>
      <c r="AD26" s="109"/>
      <c r="AE26" s="109"/>
      <c r="AF26" s="109"/>
      <c r="AG26" s="109"/>
      <c r="AH26" s="110"/>
    </row>
    <row r="27" spans="1:34" ht="14.25" customHeight="1">
      <c r="A27" s="126">
        <v>6</v>
      </c>
      <c r="B27" s="127"/>
      <c r="C27" s="128" t="s">
        <v>30</v>
      </c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1"/>
      <c r="U27" s="131"/>
      <c r="V27" s="132"/>
      <c r="W27" s="132"/>
      <c r="X27" s="133"/>
      <c r="Y27" s="145">
        <v>1</v>
      </c>
      <c r="Z27" s="146"/>
      <c r="AA27" s="147" t="s">
        <v>17</v>
      </c>
      <c r="AB27" s="148"/>
      <c r="AC27" s="131">
        <v>16000</v>
      </c>
      <c r="AD27" s="132"/>
      <c r="AE27" s="132"/>
      <c r="AF27" s="132"/>
      <c r="AG27" s="132"/>
      <c r="AH27" s="133"/>
    </row>
    <row r="28" spans="1:34" ht="14.25" customHeight="1">
      <c r="A28" s="123">
        <v>7</v>
      </c>
      <c r="B28" s="124"/>
      <c r="C28" s="105" t="s">
        <v>31</v>
      </c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2"/>
      <c r="U28" s="111"/>
      <c r="V28" s="149"/>
      <c r="W28" s="149"/>
      <c r="X28" s="112"/>
      <c r="Y28" s="111">
        <v>1</v>
      </c>
      <c r="Z28" s="112"/>
      <c r="AA28" s="143" t="s">
        <v>17</v>
      </c>
      <c r="AB28" s="144"/>
      <c r="AC28" s="108">
        <v>38000</v>
      </c>
      <c r="AD28" s="109"/>
      <c r="AE28" s="109"/>
      <c r="AF28" s="109"/>
      <c r="AG28" s="109"/>
      <c r="AH28" s="110"/>
    </row>
    <row r="29" spans="1:34" ht="14.25" customHeight="1">
      <c r="A29" s="126">
        <v>8</v>
      </c>
      <c r="B29" s="127"/>
      <c r="C29" s="128" t="s">
        <v>32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30"/>
      <c r="U29" s="131"/>
      <c r="V29" s="132"/>
      <c r="W29" s="132"/>
      <c r="X29" s="133"/>
      <c r="Y29" s="145">
        <v>1</v>
      </c>
      <c r="Z29" s="146"/>
      <c r="AA29" s="147" t="s">
        <v>17</v>
      </c>
      <c r="AB29" s="148"/>
      <c r="AC29" s="131">
        <v>21000</v>
      </c>
      <c r="AD29" s="132"/>
      <c r="AE29" s="132"/>
      <c r="AF29" s="132"/>
      <c r="AG29" s="132"/>
      <c r="AH29" s="133"/>
    </row>
    <row r="30" spans="1:34" ht="14.25" customHeight="1">
      <c r="A30" s="123">
        <v>9</v>
      </c>
      <c r="B30" s="124"/>
      <c r="C30" s="105" t="s">
        <v>33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7"/>
      <c r="U30" s="111"/>
      <c r="V30" s="149"/>
      <c r="W30" s="149"/>
      <c r="X30" s="112"/>
      <c r="Y30" s="111">
        <v>1</v>
      </c>
      <c r="Z30" s="112"/>
      <c r="AA30" s="143" t="s">
        <v>17</v>
      </c>
      <c r="AB30" s="144"/>
      <c r="AC30" s="108">
        <v>19000</v>
      </c>
      <c r="AD30" s="109"/>
      <c r="AE30" s="109"/>
      <c r="AF30" s="109"/>
      <c r="AG30" s="109"/>
      <c r="AH30" s="110"/>
    </row>
    <row r="31" spans="1:34" ht="14.25" customHeight="1">
      <c r="A31" s="126">
        <v>10</v>
      </c>
      <c r="B31" s="127"/>
      <c r="C31" s="128" t="s">
        <v>34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30"/>
      <c r="U31" s="131"/>
      <c r="V31" s="132"/>
      <c r="W31" s="132"/>
      <c r="X31" s="133"/>
      <c r="Y31" s="152">
        <v>1</v>
      </c>
      <c r="Z31" s="153"/>
      <c r="AA31" s="147" t="s">
        <v>17</v>
      </c>
      <c r="AB31" s="154"/>
      <c r="AC31" s="131">
        <v>19000</v>
      </c>
      <c r="AD31" s="132"/>
      <c r="AE31" s="132"/>
      <c r="AF31" s="132"/>
      <c r="AG31" s="132"/>
      <c r="AH31" s="133"/>
    </row>
    <row r="32" spans="1:34" ht="14.25" customHeight="1">
      <c r="A32" s="123">
        <v>11</v>
      </c>
      <c r="B32" s="124"/>
      <c r="C32" s="105" t="s">
        <v>35</v>
      </c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7"/>
      <c r="U32" s="108"/>
      <c r="V32" s="109"/>
      <c r="W32" s="109"/>
      <c r="X32" s="110"/>
      <c r="Y32" s="111">
        <v>1</v>
      </c>
      <c r="Z32" s="112"/>
      <c r="AA32" s="143" t="s">
        <v>17</v>
      </c>
      <c r="AB32" s="144"/>
      <c r="AC32" s="115">
        <v>7000</v>
      </c>
      <c r="AD32" s="116"/>
      <c r="AE32" s="116"/>
      <c r="AF32" s="116"/>
      <c r="AG32" s="116"/>
      <c r="AH32" s="117"/>
    </row>
    <row r="33" spans="1:34" ht="14.25" customHeight="1">
      <c r="A33" s="126">
        <v>12</v>
      </c>
      <c r="B33" s="127"/>
      <c r="C33" s="128" t="s">
        <v>36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30"/>
      <c r="U33" s="131"/>
      <c r="V33" s="132"/>
      <c r="W33" s="132"/>
      <c r="X33" s="133"/>
      <c r="Y33" s="152">
        <v>1</v>
      </c>
      <c r="Z33" s="153"/>
      <c r="AA33" s="147" t="s">
        <v>17</v>
      </c>
      <c r="AB33" s="154"/>
      <c r="AC33" s="131">
        <v>3000</v>
      </c>
      <c r="AD33" s="132"/>
      <c r="AE33" s="132"/>
      <c r="AF33" s="132"/>
      <c r="AG33" s="132"/>
      <c r="AH33" s="133"/>
    </row>
    <row r="34" spans="1:34" ht="14.25" customHeight="1">
      <c r="A34" s="123"/>
      <c r="B34" s="124"/>
      <c r="C34" s="105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2"/>
      <c r="U34" s="108"/>
      <c r="V34" s="109"/>
      <c r="W34" s="109"/>
      <c r="X34" s="110"/>
      <c r="Y34" s="111"/>
      <c r="Z34" s="112"/>
      <c r="AA34" s="143"/>
      <c r="AB34" s="144"/>
      <c r="AC34" s="108"/>
      <c r="AD34" s="109"/>
      <c r="AE34" s="109"/>
      <c r="AF34" s="109"/>
      <c r="AG34" s="109"/>
      <c r="AH34" s="110"/>
    </row>
    <row r="35" spans="1:34" ht="14.25" customHeight="1">
      <c r="A35" s="126"/>
      <c r="B35" s="127"/>
      <c r="C35" s="128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1"/>
      <c r="U35" s="131"/>
      <c r="V35" s="132"/>
      <c r="W35" s="132"/>
      <c r="X35" s="133"/>
      <c r="Y35" s="152"/>
      <c r="Z35" s="153"/>
      <c r="AA35" s="147"/>
      <c r="AB35" s="154"/>
      <c r="AC35" s="131"/>
      <c r="AD35" s="132"/>
      <c r="AE35" s="132"/>
      <c r="AF35" s="132"/>
      <c r="AG35" s="132"/>
      <c r="AH35" s="133"/>
    </row>
    <row r="36" spans="1:34" ht="14.25" customHeight="1">
      <c r="A36" s="123"/>
      <c r="B36" s="124"/>
      <c r="C36" s="105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2"/>
      <c r="U36" s="111"/>
      <c r="V36" s="149"/>
      <c r="W36" s="149"/>
      <c r="X36" s="112"/>
      <c r="Y36" s="111"/>
      <c r="Z36" s="112"/>
      <c r="AA36" s="143"/>
      <c r="AB36" s="144"/>
      <c r="AC36" s="108"/>
      <c r="AD36" s="109"/>
      <c r="AE36" s="109"/>
      <c r="AF36" s="109"/>
      <c r="AG36" s="109"/>
      <c r="AH36" s="110"/>
    </row>
    <row r="37" spans="1:34" ht="14.25" customHeight="1">
      <c r="A37" s="123"/>
      <c r="B37" s="124"/>
      <c r="C37" s="128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30"/>
      <c r="U37" s="152"/>
      <c r="V37" s="155"/>
      <c r="W37" s="155"/>
      <c r="X37" s="153"/>
      <c r="Y37" s="152"/>
      <c r="Z37" s="153"/>
      <c r="AA37" s="147"/>
      <c r="AB37" s="154"/>
      <c r="AC37" s="131"/>
      <c r="AD37" s="132"/>
      <c r="AE37" s="132"/>
      <c r="AF37" s="132"/>
      <c r="AG37" s="132"/>
      <c r="AH37" s="133"/>
    </row>
    <row r="38" spans="1:34" ht="14.25" customHeight="1">
      <c r="A38" s="123"/>
      <c r="B38" s="124"/>
      <c r="C38" s="105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  <c r="U38" s="111"/>
      <c r="V38" s="149"/>
      <c r="W38" s="149"/>
      <c r="X38" s="112"/>
      <c r="Y38" s="111"/>
      <c r="Z38" s="112"/>
      <c r="AA38" s="143"/>
      <c r="AB38" s="144"/>
      <c r="AC38" s="108"/>
      <c r="AD38" s="109"/>
      <c r="AE38" s="109"/>
      <c r="AF38" s="109"/>
      <c r="AG38" s="109"/>
      <c r="AH38" s="110"/>
    </row>
    <row r="39" spans="1:34" ht="14.25" customHeight="1">
      <c r="A39" s="123"/>
      <c r="B39" s="124"/>
      <c r="C39" s="128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30"/>
      <c r="U39" s="152"/>
      <c r="V39" s="155"/>
      <c r="W39" s="155"/>
      <c r="X39" s="153"/>
      <c r="Y39" s="134"/>
      <c r="Z39" s="135"/>
      <c r="AA39" s="147"/>
      <c r="AB39" s="154"/>
      <c r="AC39" s="131"/>
      <c r="AD39" s="132"/>
      <c r="AE39" s="132"/>
      <c r="AF39" s="132"/>
      <c r="AG39" s="132"/>
      <c r="AH39" s="133"/>
    </row>
    <row r="40" spans="1:34" ht="14.25" customHeight="1">
      <c r="A40" s="123"/>
      <c r="B40" s="124"/>
      <c r="C40" s="15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7"/>
      <c r="U40" s="111"/>
      <c r="V40" s="149"/>
      <c r="W40" s="149"/>
      <c r="X40" s="112"/>
      <c r="Y40" s="111"/>
      <c r="Z40" s="112"/>
      <c r="AA40" s="143"/>
      <c r="AB40" s="144"/>
      <c r="AC40" s="108"/>
      <c r="AD40" s="109"/>
      <c r="AE40" s="109"/>
      <c r="AF40" s="109"/>
      <c r="AG40" s="109"/>
      <c r="AH40" s="110"/>
    </row>
    <row r="41" spans="1:34" ht="14.25" customHeight="1">
      <c r="A41" s="126"/>
      <c r="B41" s="127"/>
      <c r="C41" s="15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30"/>
      <c r="U41" s="152"/>
      <c r="V41" s="155"/>
      <c r="W41" s="155"/>
      <c r="X41" s="153"/>
      <c r="Y41" s="145"/>
      <c r="Z41" s="146"/>
      <c r="AA41" s="145"/>
      <c r="AB41" s="146"/>
      <c r="AC41" s="152"/>
      <c r="AD41" s="155"/>
      <c r="AE41" s="155"/>
      <c r="AF41" s="155"/>
      <c r="AG41" s="155"/>
      <c r="AH41" s="153"/>
    </row>
    <row r="42" spans="1:34" ht="14.25" customHeight="1">
      <c r="A42" s="123"/>
      <c r="B42" s="124"/>
      <c r="C42" s="15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7"/>
      <c r="U42" s="111"/>
      <c r="V42" s="149"/>
      <c r="W42" s="149"/>
      <c r="X42" s="112"/>
      <c r="Y42" s="111"/>
      <c r="Z42" s="112"/>
      <c r="AA42" s="157"/>
      <c r="AB42" s="158"/>
      <c r="AC42" s="111"/>
      <c r="AD42" s="149"/>
      <c r="AE42" s="149"/>
      <c r="AF42" s="149"/>
      <c r="AG42" s="149"/>
      <c r="AH42" s="112"/>
    </row>
    <row r="43" spans="1:34" ht="14.25" customHeight="1">
      <c r="A43" s="126"/>
      <c r="B43" s="127"/>
      <c r="C43" s="15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30"/>
      <c r="U43" s="152"/>
      <c r="V43" s="155"/>
      <c r="W43" s="155"/>
      <c r="X43" s="153"/>
      <c r="Y43" s="134"/>
      <c r="Z43" s="135"/>
      <c r="AA43" s="134"/>
      <c r="AB43" s="135"/>
      <c r="AC43" s="152"/>
      <c r="AD43" s="155"/>
      <c r="AE43" s="155"/>
      <c r="AF43" s="155"/>
      <c r="AG43" s="155"/>
      <c r="AH43" s="153"/>
    </row>
    <row r="44" spans="1:34" ht="14.25" customHeight="1">
      <c r="A44" s="123"/>
      <c r="B44" s="124"/>
      <c r="C44" s="156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2"/>
      <c r="U44" s="111"/>
      <c r="V44" s="149"/>
      <c r="W44" s="149"/>
      <c r="X44" s="112"/>
      <c r="Y44" s="111"/>
      <c r="Z44" s="112"/>
      <c r="AA44" s="157"/>
      <c r="AB44" s="158"/>
      <c r="AC44" s="111"/>
      <c r="AD44" s="149"/>
      <c r="AE44" s="149"/>
      <c r="AF44" s="149"/>
      <c r="AG44" s="149"/>
      <c r="AH44" s="112"/>
    </row>
    <row r="45" spans="1:34" ht="14.25" customHeight="1">
      <c r="A45" s="126"/>
      <c r="B45" s="127"/>
      <c r="C45" s="15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30"/>
      <c r="U45" s="152"/>
      <c r="V45" s="155"/>
      <c r="W45" s="155"/>
      <c r="X45" s="153"/>
      <c r="Y45" s="134"/>
      <c r="Z45" s="135"/>
      <c r="AA45" s="134"/>
      <c r="AB45" s="135"/>
      <c r="AC45" s="152"/>
      <c r="AD45" s="155"/>
      <c r="AE45" s="155"/>
      <c r="AF45" s="155"/>
      <c r="AG45" s="155"/>
      <c r="AH45" s="153"/>
    </row>
    <row r="46" spans="1:34" ht="14.25" customHeight="1">
      <c r="A46" s="123"/>
      <c r="B46" s="124"/>
      <c r="C46" s="156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2"/>
      <c r="U46" s="111"/>
      <c r="V46" s="149"/>
      <c r="W46" s="149"/>
      <c r="X46" s="112"/>
      <c r="Y46" s="111"/>
      <c r="Z46" s="112"/>
      <c r="AA46" s="157"/>
      <c r="AB46" s="158"/>
      <c r="AC46" s="111"/>
      <c r="AD46" s="149"/>
      <c r="AE46" s="149"/>
      <c r="AF46" s="149"/>
      <c r="AG46" s="149"/>
      <c r="AH46" s="112"/>
    </row>
    <row r="47" spans="1:34" ht="14.25" customHeight="1">
      <c r="A47" s="178"/>
      <c r="B47" s="179"/>
      <c r="C47" s="180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2"/>
      <c r="U47" s="183"/>
      <c r="V47" s="184"/>
      <c r="W47" s="184"/>
      <c r="X47" s="185"/>
      <c r="Y47" s="186"/>
      <c r="Z47" s="187"/>
      <c r="AA47" s="186"/>
      <c r="AB47" s="187"/>
      <c r="AC47" s="183"/>
      <c r="AD47" s="184"/>
      <c r="AE47" s="184"/>
      <c r="AF47" s="184"/>
      <c r="AG47" s="184"/>
      <c r="AH47" s="185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60" t="s">
        <v>18</v>
      </c>
      <c r="W48" s="161"/>
      <c r="X48" s="161"/>
      <c r="Y48" s="161"/>
      <c r="Z48" s="50"/>
      <c r="AA48" s="162"/>
      <c r="AB48" s="163"/>
      <c r="AC48" s="164">
        <v>0</v>
      </c>
      <c r="AD48" s="165"/>
      <c r="AE48" s="165"/>
      <c r="AF48" s="165"/>
      <c r="AG48" s="165"/>
      <c r="AH48" s="166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67" t="s">
        <v>19</v>
      </c>
      <c r="W49" s="168"/>
      <c r="X49" s="168"/>
      <c r="Y49" s="168"/>
      <c r="Z49" s="53"/>
      <c r="AA49" s="54"/>
      <c r="AB49" s="55"/>
      <c r="AC49" s="169">
        <f>SUM(AC22:AH48)</f>
        <v>222000</v>
      </c>
      <c r="AD49" s="170"/>
      <c r="AE49" s="170"/>
      <c r="AF49" s="170"/>
      <c r="AG49" s="170"/>
      <c r="AH49" s="171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72" t="s">
        <v>20</v>
      </c>
      <c r="W50" s="172"/>
      <c r="X50" s="172"/>
      <c r="Y50" s="172"/>
      <c r="Z50" s="57"/>
      <c r="AA50" s="173"/>
      <c r="AB50" s="174"/>
      <c r="AC50" s="175">
        <f>INT(AC49/108*8)</f>
        <v>16444</v>
      </c>
      <c r="AD50" s="176"/>
      <c r="AE50" s="176"/>
      <c r="AF50" s="176"/>
      <c r="AG50" s="176"/>
      <c r="AH50" s="177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90" t="s">
        <v>21</v>
      </c>
      <c r="W51" s="190"/>
      <c r="X51" s="190"/>
      <c r="Y51" s="190"/>
      <c r="Z51" s="63"/>
      <c r="AA51" s="64"/>
      <c r="AB51" s="65"/>
      <c r="AC51" s="191">
        <f>AC49</f>
        <v>222000</v>
      </c>
      <c r="AD51" s="192"/>
      <c r="AE51" s="192"/>
      <c r="AF51" s="192"/>
      <c r="AG51" s="192"/>
      <c r="AH51" s="193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8"/>
      <c r="V52" s="194" t="s">
        <v>22</v>
      </c>
      <c r="W52" s="194"/>
      <c r="X52" s="194"/>
      <c r="Y52" s="194"/>
      <c r="Z52" s="69"/>
      <c r="AA52" s="195"/>
      <c r="AB52" s="196"/>
      <c r="AC52" s="197">
        <f>AC51</f>
        <v>222000</v>
      </c>
      <c r="AD52" s="198"/>
      <c r="AE52" s="198"/>
      <c r="AF52" s="198"/>
      <c r="AG52" s="198"/>
      <c r="AH52" s="199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70"/>
      <c r="V53" s="71"/>
      <c r="W53" s="71"/>
      <c r="X53" s="71"/>
      <c r="Y53" s="71"/>
      <c r="Z53" s="70"/>
      <c r="AA53" s="72"/>
      <c r="AB53" s="72"/>
      <c r="AC53" s="73"/>
      <c r="AD53" s="72"/>
      <c r="AE53" s="72"/>
      <c r="AF53" s="72"/>
      <c r="AG53" s="72"/>
      <c r="AH53" s="72"/>
    </row>
    <row r="54" spans="1:34" s="61" customFormat="1" ht="15" customHeight="1">
      <c r="A54" s="200" t="s">
        <v>23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</row>
    <row r="55" spans="1:34" s="61" customFormat="1" ht="14.25" customHeight="1">
      <c r="A55" s="188" t="s">
        <v>24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</row>
    <row r="56" spans="1:34" s="61" customFormat="1" ht="1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</row>
    <row r="57" spans="1:34" s="61" customFormat="1" ht="1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</row>
    <row r="58" spans="1:34" s="61" customFormat="1" ht="1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</row>
    <row r="59" spans="1:34" ht="15" customHeight="1">
      <c r="A59" s="74"/>
      <c r="B59" s="74"/>
      <c r="C59" s="75"/>
      <c r="D59" s="76"/>
      <c r="E59" s="76"/>
      <c r="F59" s="76"/>
      <c r="G59" s="77"/>
      <c r="H59" s="74"/>
      <c r="I59" s="74"/>
      <c r="J59" s="74"/>
      <c r="K59" s="74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B59" s="78"/>
      <c r="AC59" s="78"/>
      <c r="AD59" s="78"/>
      <c r="AE59" s="78"/>
      <c r="AF59" s="78"/>
      <c r="AG59" s="78"/>
    </row>
    <row r="60" spans="1:34" ht="15" customHeight="1">
      <c r="A60" s="79"/>
      <c r="B60" s="80"/>
      <c r="C60" s="79"/>
      <c r="D60" s="79"/>
      <c r="E60" s="79"/>
      <c r="F60" s="79"/>
      <c r="G60" s="79"/>
      <c r="H60" s="81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B60" s="78"/>
      <c r="AC60" s="78"/>
      <c r="AD60" s="78"/>
      <c r="AE60" s="78"/>
      <c r="AF60" s="78"/>
      <c r="AG60" s="78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opLeftCell="A4" workbookViewId="0">
      <selection activeCell="AM6" sqref="AM6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6"/>
      <c r="AC1" s="86"/>
      <c r="AD1" s="86"/>
      <c r="AE1" s="86"/>
      <c r="AF1" s="86"/>
      <c r="AG1" s="86"/>
      <c r="AH1" s="86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7" t="s">
        <v>0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42" ht="15" customHeight="1">
      <c r="D4" s="5"/>
      <c r="E4" s="5"/>
      <c r="F4" s="5"/>
      <c r="G4" s="5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8" t="s">
        <v>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0" t="s">
        <v>2</v>
      </c>
      <c r="U9" s="90"/>
      <c r="V9" s="90"/>
      <c r="AB9" s="92">
        <v>42160</v>
      </c>
      <c r="AC9" s="92"/>
      <c r="AD9" s="92"/>
      <c r="AE9" s="92"/>
      <c r="AF9" s="92"/>
      <c r="AG9" s="92"/>
      <c r="AH9" s="92"/>
    </row>
    <row r="10" spans="1:42" ht="1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93"/>
      <c r="AA11" s="93"/>
      <c r="AB11" s="93"/>
      <c r="AC11" s="93"/>
      <c r="AD11" s="93"/>
      <c r="AE11" s="93"/>
      <c r="AF11" s="93"/>
      <c r="AG11" s="93"/>
      <c r="AH11" s="93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94"/>
      <c r="AA12" s="94"/>
      <c r="AB12" s="94"/>
      <c r="AC12" s="94"/>
      <c r="AD12" s="94"/>
      <c r="AE12" s="94"/>
      <c r="AF12" s="94"/>
      <c r="AG12" s="94"/>
      <c r="AH12" s="94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94"/>
      <c r="AA13" s="94"/>
      <c r="AB13" s="94"/>
      <c r="AC13" s="94"/>
      <c r="AD13" s="94"/>
      <c r="AE13" s="94"/>
      <c r="AF13" s="94"/>
      <c r="AG13" s="94"/>
      <c r="AH13" s="94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94"/>
      <c r="AA14" s="94"/>
      <c r="AB14" s="94"/>
      <c r="AC14" s="94"/>
      <c r="AD14" s="94"/>
      <c r="AE14" s="94"/>
      <c r="AF14" s="94"/>
      <c r="AG14" s="94"/>
      <c r="AH14" s="94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5</v>
      </c>
      <c r="B16" s="95" t="s">
        <v>6</v>
      </c>
      <c r="C16" s="95"/>
      <c r="D16" s="95"/>
      <c r="E16" s="95"/>
      <c r="F16" s="95"/>
      <c r="G16" s="95"/>
      <c r="H16" s="95"/>
      <c r="I16" s="95"/>
      <c r="J16" s="22"/>
      <c r="K16" s="97" t="s">
        <v>46</v>
      </c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6"/>
      <c r="C17" s="96"/>
      <c r="D17" s="96"/>
      <c r="E17" s="96"/>
      <c r="F17" s="96"/>
      <c r="G17" s="96"/>
      <c r="H17" s="96"/>
      <c r="I17" s="96"/>
      <c r="J17" s="26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95" t="s">
        <v>8</v>
      </c>
      <c r="C18" s="95"/>
      <c r="D18" s="95"/>
      <c r="E18" s="95"/>
      <c r="F18" s="95"/>
      <c r="G18" s="95"/>
      <c r="H18" s="95"/>
      <c r="I18" s="95"/>
      <c r="J18" s="95"/>
      <c r="K18" s="32"/>
      <c r="L18" s="99" t="s">
        <v>9</v>
      </c>
      <c r="M18" s="99">
        <f>AC52</f>
        <v>133315.20000000001</v>
      </c>
      <c r="N18" s="99"/>
      <c r="O18" s="99"/>
      <c r="P18" s="99"/>
      <c r="Q18" s="99"/>
      <c r="R18" s="99"/>
      <c r="S18" s="101" t="s">
        <v>10</v>
      </c>
      <c r="T18" s="101"/>
      <c r="U18" s="101"/>
      <c r="V18" s="101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6"/>
      <c r="C19" s="96"/>
      <c r="D19" s="96"/>
      <c r="E19" s="96"/>
      <c r="F19" s="96"/>
      <c r="G19" s="96"/>
      <c r="H19" s="96"/>
      <c r="I19" s="96"/>
      <c r="J19" s="96"/>
      <c r="K19" s="38"/>
      <c r="L19" s="100"/>
      <c r="M19" s="100"/>
      <c r="N19" s="100"/>
      <c r="O19" s="100"/>
      <c r="P19" s="100"/>
      <c r="Q19" s="100"/>
      <c r="R19" s="100"/>
      <c r="S19" s="102"/>
      <c r="T19" s="102"/>
      <c r="U19" s="102"/>
      <c r="V19" s="102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8" t="s">
        <v>11</v>
      </c>
      <c r="B21" s="119"/>
      <c r="C21" s="118" t="s">
        <v>12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20"/>
      <c r="U21" s="118" t="s">
        <v>13</v>
      </c>
      <c r="V21" s="121"/>
      <c r="W21" s="121"/>
      <c r="X21" s="122"/>
      <c r="Y21" s="118" t="s">
        <v>14</v>
      </c>
      <c r="Z21" s="122"/>
      <c r="AA21" s="118" t="s">
        <v>15</v>
      </c>
      <c r="AB21" s="122"/>
      <c r="AC21" s="118" t="s">
        <v>16</v>
      </c>
      <c r="AD21" s="121"/>
      <c r="AE21" s="121"/>
      <c r="AF21" s="121"/>
      <c r="AG21" s="121"/>
      <c r="AH21" s="122"/>
    </row>
    <row r="22" spans="1:34" ht="14.25" customHeight="1">
      <c r="A22" s="239">
        <v>1</v>
      </c>
      <c r="B22" s="240"/>
      <c r="C22" s="241" t="s">
        <v>37</v>
      </c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3"/>
      <c r="U22" s="244">
        <v>80</v>
      </c>
      <c r="V22" s="245"/>
      <c r="W22" s="245"/>
      <c r="X22" s="246"/>
      <c r="Y22" s="247">
        <v>139</v>
      </c>
      <c r="Z22" s="248"/>
      <c r="AA22" s="249" t="s">
        <v>44</v>
      </c>
      <c r="AB22" s="250"/>
      <c r="AC22" s="251">
        <f>U22*Y22</f>
        <v>11120</v>
      </c>
      <c r="AD22" s="252"/>
      <c r="AE22" s="252"/>
      <c r="AF22" s="252"/>
      <c r="AG22" s="252"/>
      <c r="AH22" s="253"/>
    </row>
    <row r="23" spans="1:34" ht="14.25" customHeight="1">
      <c r="A23" s="212">
        <v>2</v>
      </c>
      <c r="B23" s="213"/>
      <c r="C23" s="231" t="s">
        <v>38</v>
      </c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3"/>
      <c r="U23" s="228">
        <v>80</v>
      </c>
      <c r="V23" s="229"/>
      <c r="W23" s="229"/>
      <c r="X23" s="230"/>
      <c r="Y23" s="220">
        <v>491</v>
      </c>
      <c r="Z23" s="221"/>
      <c r="AA23" s="237" t="s">
        <v>44</v>
      </c>
      <c r="AB23" s="238"/>
      <c r="AC23" s="232">
        <f t="shared" ref="AC23:AC28" si="0">U23*Y23</f>
        <v>39280</v>
      </c>
      <c r="AD23" s="233"/>
      <c r="AE23" s="233"/>
      <c r="AF23" s="233"/>
      <c r="AG23" s="233"/>
      <c r="AH23" s="234"/>
    </row>
    <row r="24" spans="1:34" ht="14.25" customHeight="1">
      <c r="A24" s="212">
        <v>3</v>
      </c>
      <c r="B24" s="213"/>
      <c r="C24" s="231" t="s">
        <v>39</v>
      </c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3"/>
      <c r="U24" s="228">
        <v>80</v>
      </c>
      <c r="V24" s="229"/>
      <c r="W24" s="229"/>
      <c r="X24" s="230"/>
      <c r="Y24" s="217">
        <v>192</v>
      </c>
      <c r="Z24" s="219"/>
      <c r="AA24" s="237" t="s">
        <v>44</v>
      </c>
      <c r="AB24" s="238"/>
      <c r="AC24" s="232">
        <f t="shared" si="0"/>
        <v>15360</v>
      </c>
      <c r="AD24" s="233"/>
      <c r="AE24" s="233"/>
      <c r="AF24" s="233"/>
      <c r="AG24" s="233"/>
      <c r="AH24" s="234"/>
    </row>
    <row r="25" spans="1:34" ht="14.25" customHeight="1">
      <c r="A25" s="212">
        <v>4</v>
      </c>
      <c r="B25" s="213"/>
      <c r="C25" s="231" t="s">
        <v>40</v>
      </c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3"/>
      <c r="U25" s="228">
        <v>80</v>
      </c>
      <c r="V25" s="229"/>
      <c r="W25" s="229"/>
      <c r="X25" s="230"/>
      <c r="Y25" s="224">
        <v>321</v>
      </c>
      <c r="Z25" s="225"/>
      <c r="AA25" s="236" t="s">
        <v>44</v>
      </c>
      <c r="AB25" s="235"/>
      <c r="AC25" s="232">
        <f t="shared" si="0"/>
        <v>25680</v>
      </c>
      <c r="AD25" s="233"/>
      <c r="AE25" s="233"/>
      <c r="AF25" s="233"/>
      <c r="AG25" s="233"/>
      <c r="AH25" s="234"/>
    </row>
    <row r="26" spans="1:34" ht="14.25" customHeight="1">
      <c r="A26" s="212">
        <v>5</v>
      </c>
      <c r="B26" s="213"/>
      <c r="C26" s="231" t="s">
        <v>41</v>
      </c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228">
        <v>80</v>
      </c>
      <c r="V26" s="229"/>
      <c r="W26" s="229"/>
      <c r="X26" s="230"/>
      <c r="Y26" s="217">
        <v>95</v>
      </c>
      <c r="Z26" s="219"/>
      <c r="AA26" s="236" t="s">
        <v>44</v>
      </c>
      <c r="AB26" s="227"/>
      <c r="AC26" s="232">
        <f t="shared" si="0"/>
        <v>7600</v>
      </c>
      <c r="AD26" s="233"/>
      <c r="AE26" s="233"/>
      <c r="AF26" s="233"/>
      <c r="AG26" s="233"/>
      <c r="AH26" s="234"/>
    </row>
    <row r="27" spans="1:34" ht="14.25" customHeight="1">
      <c r="A27" s="212">
        <v>6</v>
      </c>
      <c r="B27" s="213"/>
      <c r="C27" s="231" t="s">
        <v>42</v>
      </c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228">
        <v>80</v>
      </c>
      <c r="V27" s="229"/>
      <c r="W27" s="229"/>
      <c r="X27" s="230"/>
      <c r="Y27" s="224">
        <v>89</v>
      </c>
      <c r="Z27" s="225"/>
      <c r="AA27" s="236" t="s">
        <v>44</v>
      </c>
      <c r="AB27" s="235"/>
      <c r="AC27" s="232">
        <f t="shared" si="0"/>
        <v>7120</v>
      </c>
      <c r="AD27" s="233"/>
      <c r="AE27" s="233"/>
      <c r="AF27" s="233"/>
      <c r="AG27" s="233"/>
      <c r="AH27" s="234"/>
    </row>
    <row r="28" spans="1:34" ht="14.25" customHeight="1">
      <c r="A28" s="212">
        <v>7</v>
      </c>
      <c r="B28" s="213"/>
      <c r="C28" s="231" t="s">
        <v>43</v>
      </c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217">
        <v>80</v>
      </c>
      <c r="V28" s="218"/>
      <c r="W28" s="218"/>
      <c r="X28" s="219"/>
      <c r="Y28" s="217">
        <v>216</v>
      </c>
      <c r="Z28" s="219"/>
      <c r="AA28" s="236" t="s">
        <v>44</v>
      </c>
      <c r="AB28" s="227"/>
      <c r="AC28" s="232">
        <f t="shared" si="0"/>
        <v>17280</v>
      </c>
      <c r="AD28" s="233"/>
      <c r="AE28" s="233"/>
      <c r="AF28" s="233"/>
      <c r="AG28" s="233"/>
      <c r="AH28" s="234"/>
    </row>
    <row r="29" spans="1:34" ht="14.25" customHeight="1">
      <c r="A29" s="212"/>
      <c r="B29" s="213"/>
      <c r="C29" s="231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3"/>
      <c r="U29" s="228"/>
      <c r="V29" s="229"/>
      <c r="W29" s="229"/>
      <c r="X29" s="230"/>
      <c r="Y29" s="224"/>
      <c r="Z29" s="225"/>
      <c r="AA29" s="226"/>
      <c r="AB29" s="235"/>
      <c r="AC29" s="228"/>
      <c r="AD29" s="229"/>
      <c r="AE29" s="229"/>
      <c r="AF29" s="229"/>
      <c r="AG29" s="229"/>
      <c r="AH29" s="230"/>
    </row>
    <row r="30" spans="1:34" ht="14.25" customHeight="1">
      <c r="A30" s="212"/>
      <c r="B30" s="213"/>
      <c r="C30" s="231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3"/>
      <c r="U30" s="217"/>
      <c r="V30" s="218"/>
      <c r="W30" s="218"/>
      <c r="X30" s="219"/>
      <c r="Y30" s="217"/>
      <c r="Z30" s="219"/>
      <c r="AA30" s="226"/>
      <c r="AB30" s="227"/>
      <c r="AC30" s="228"/>
      <c r="AD30" s="229"/>
      <c r="AE30" s="229"/>
      <c r="AF30" s="229"/>
      <c r="AG30" s="229"/>
      <c r="AH30" s="230"/>
    </row>
    <row r="31" spans="1:34" ht="14.25" customHeight="1">
      <c r="A31" s="212"/>
      <c r="B31" s="213"/>
      <c r="C31" s="231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3"/>
      <c r="U31" s="228"/>
      <c r="V31" s="229"/>
      <c r="W31" s="229"/>
      <c r="X31" s="230"/>
      <c r="Y31" s="217"/>
      <c r="Z31" s="219"/>
      <c r="AA31" s="226"/>
      <c r="AB31" s="227"/>
      <c r="AC31" s="228"/>
      <c r="AD31" s="229"/>
      <c r="AE31" s="229"/>
      <c r="AF31" s="229"/>
      <c r="AG31" s="229"/>
      <c r="AH31" s="230"/>
    </row>
    <row r="32" spans="1:34" ht="14.25" customHeight="1">
      <c r="A32" s="212"/>
      <c r="B32" s="213"/>
      <c r="C32" s="231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3"/>
      <c r="U32" s="228"/>
      <c r="V32" s="229"/>
      <c r="W32" s="229"/>
      <c r="X32" s="230"/>
      <c r="Y32" s="217"/>
      <c r="Z32" s="219"/>
      <c r="AA32" s="226"/>
      <c r="AB32" s="227"/>
      <c r="AC32" s="232"/>
      <c r="AD32" s="233"/>
      <c r="AE32" s="233"/>
      <c r="AF32" s="233"/>
      <c r="AG32" s="233"/>
      <c r="AH32" s="234"/>
    </row>
    <row r="33" spans="1:34" ht="14.25" customHeight="1">
      <c r="A33" s="212"/>
      <c r="B33" s="213"/>
      <c r="C33" s="231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3"/>
      <c r="U33" s="228"/>
      <c r="V33" s="229"/>
      <c r="W33" s="229"/>
      <c r="X33" s="230"/>
      <c r="Y33" s="217"/>
      <c r="Z33" s="219"/>
      <c r="AA33" s="226"/>
      <c r="AB33" s="227"/>
      <c r="AC33" s="228"/>
      <c r="AD33" s="229"/>
      <c r="AE33" s="229"/>
      <c r="AF33" s="229"/>
      <c r="AG33" s="229"/>
      <c r="AH33" s="230"/>
    </row>
    <row r="34" spans="1:34" ht="14.25" customHeight="1">
      <c r="A34" s="212"/>
      <c r="B34" s="213"/>
      <c r="C34" s="231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6"/>
      <c r="U34" s="228"/>
      <c r="V34" s="229"/>
      <c r="W34" s="229"/>
      <c r="X34" s="230"/>
      <c r="Y34" s="217"/>
      <c r="Z34" s="219"/>
      <c r="AA34" s="226"/>
      <c r="AB34" s="227"/>
      <c r="AC34" s="228"/>
      <c r="AD34" s="229"/>
      <c r="AE34" s="229"/>
      <c r="AF34" s="229"/>
      <c r="AG34" s="229"/>
      <c r="AH34" s="230"/>
    </row>
    <row r="35" spans="1:34" ht="14.25" customHeight="1">
      <c r="A35" s="212"/>
      <c r="B35" s="213"/>
      <c r="C35" s="231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6"/>
      <c r="U35" s="228"/>
      <c r="V35" s="229"/>
      <c r="W35" s="229"/>
      <c r="X35" s="230"/>
      <c r="Y35" s="217"/>
      <c r="Z35" s="219"/>
      <c r="AA35" s="226"/>
      <c r="AB35" s="227"/>
      <c r="AC35" s="228"/>
      <c r="AD35" s="229"/>
      <c r="AE35" s="229"/>
      <c r="AF35" s="229"/>
      <c r="AG35" s="229"/>
      <c r="AH35" s="230"/>
    </row>
    <row r="36" spans="1:34" ht="14.25" customHeight="1">
      <c r="A36" s="212"/>
      <c r="B36" s="213"/>
      <c r="C36" s="231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6"/>
      <c r="U36" s="217"/>
      <c r="V36" s="218"/>
      <c r="W36" s="218"/>
      <c r="X36" s="219"/>
      <c r="Y36" s="217"/>
      <c r="Z36" s="219"/>
      <c r="AA36" s="226"/>
      <c r="AB36" s="227"/>
      <c r="AC36" s="228"/>
      <c r="AD36" s="229"/>
      <c r="AE36" s="229"/>
      <c r="AF36" s="229"/>
      <c r="AG36" s="229"/>
      <c r="AH36" s="230"/>
    </row>
    <row r="37" spans="1:34" ht="14.25" customHeight="1">
      <c r="A37" s="212"/>
      <c r="B37" s="213"/>
      <c r="C37" s="231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3"/>
      <c r="U37" s="217"/>
      <c r="V37" s="218"/>
      <c r="W37" s="218"/>
      <c r="X37" s="219"/>
      <c r="Y37" s="217"/>
      <c r="Z37" s="219"/>
      <c r="AA37" s="226"/>
      <c r="AB37" s="227"/>
      <c r="AC37" s="228"/>
      <c r="AD37" s="229"/>
      <c r="AE37" s="229"/>
      <c r="AF37" s="229"/>
      <c r="AG37" s="229"/>
      <c r="AH37" s="230"/>
    </row>
    <row r="38" spans="1:34" ht="14.25" customHeight="1">
      <c r="A38" s="212"/>
      <c r="B38" s="213"/>
      <c r="C38" s="231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3"/>
      <c r="U38" s="217"/>
      <c r="V38" s="218"/>
      <c r="W38" s="218"/>
      <c r="X38" s="219"/>
      <c r="Y38" s="217"/>
      <c r="Z38" s="219"/>
      <c r="AA38" s="226"/>
      <c r="AB38" s="227"/>
      <c r="AC38" s="228"/>
      <c r="AD38" s="229"/>
      <c r="AE38" s="229"/>
      <c r="AF38" s="229"/>
      <c r="AG38" s="229"/>
      <c r="AH38" s="230"/>
    </row>
    <row r="39" spans="1:34" ht="14.25" customHeight="1">
      <c r="A39" s="212"/>
      <c r="B39" s="213"/>
      <c r="C39" s="231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3"/>
      <c r="U39" s="217"/>
      <c r="V39" s="218"/>
      <c r="W39" s="218"/>
      <c r="X39" s="219"/>
      <c r="Y39" s="220"/>
      <c r="Z39" s="221"/>
      <c r="AA39" s="226"/>
      <c r="AB39" s="227"/>
      <c r="AC39" s="228"/>
      <c r="AD39" s="229"/>
      <c r="AE39" s="229"/>
      <c r="AF39" s="229"/>
      <c r="AG39" s="229"/>
      <c r="AH39" s="230"/>
    </row>
    <row r="40" spans="1:34" ht="14.25" customHeight="1">
      <c r="A40" s="212"/>
      <c r="B40" s="213"/>
      <c r="C40" s="214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3"/>
      <c r="U40" s="217"/>
      <c r="V40" s="218"/>
      <c r="W40" s="218"/>
      <c r="X40" s="219"/>
      <c r="Y40" s="217"/>
      <c r="Z40" s="219"/>
      <c r="AA40" s="226"/>
      <c r="AB40" s="227"/>
      <c r="AC40" s="228"/>
      <c r="AD40" s="229"/>
      <c r="AE40" s="229"/>
      <c r="AF40" s="229"/>
      <c r="AG40" s="229"/>
      <c r="AH40" s="230"/>
    </row>
    <row r="41" spans="1:34" ht="14.25" customHeight="1">
      <c r="A41" s="212"/>
      <c r="B41" s="213"/>
      <c r="C41" s="214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3"/>
      <c r="U41" s="217"/>
      <c r="V41" s="218"/>
      <c r="W41" s="218"/>
      <c r="X41" s="219"/>
      <c r="Y41" s="224"/>
      <c r="Z41" s="225"/>
      <c r="AA41" s="224"/>
      <c r="AB41" s="225"/>
      <c r="AC41" s="217"/>
      <c r="AD41" s="218"/>
      <c r="AE41" s="218"/>
      <c r="AF41" s="218"/>
      <c r="AG41" s="218"/>
      <c r="AH41" s="219"/>
    </row>
    <row r="42" spans="1:34" ht="14.25" customHeight="1">
      <c r="A42" s="212"/>
      <c r="B42" s="213"/>
      <c r="C42" s="214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3"/>
      <c r="U42" s="217"/>
      <c r="V42" s="218"/>
      <c r="W42" s="218"/>
      <c r="X42" s="219"/>
      <c r="Y42" s="217"/>
      <c r="Z42" s="219"/>
      <c r="AA42" s="220"/>
      <c r="AB42" s="221"/>
      <c r="AC42" s="217"/>
      <c r="AD42" s="218"/>
      <c r="AE42" s="218"/>
      <c r="AF42" s="218"/>
      <c r="AG42" s="218"/>
      <c r="AH42" s="219"/>
    </row>
    <row r="43" spans="1:34" ht="14.25" customHeight="1">
      <c r="A43" s="212"/>
      <c r="B43" s="213"/>
      <c r="C43" s="214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3"/>
      <c r="U43" s="217"/>
      <c r="V43" s="218"/>
      <c r="W43" s="218"/>
      <c r="X43" s="219"/>
      <c r="Y43" s="220"/>
      <c r="Z43" s="221"/>
      <c r="AA43" s="220"/>
      <c r="AB43" s="221"/>
      <c r="AC43" s="217"/>
      <c r="AD43" s="218"/>
      <c r="AE43" s="218"/>
      <c r="AF43" s="218"/>
      <c r="AG43" s="218"/>
      <c r="AH43" s="219"/>
    </row>
    <row r="44" spans="1:34" ht="14.25" customHeight="1">
      <c r="A44" s="212"/>
      <c r="B44" s="213"/>
      <c r="C44" s="214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6"/>
      <c r="U44" s="217"/>
      <c r="V44" s="218"/>
      <c r="W44" s="218"/>
      <c r="X44" s="219"/>
      <c r="Y44" s="217"/>
      <c r="Z44" s="219"/>
      <c r="AA44" s="220"/>
      <c r="AB44" s="221"/>
      <c r="AC44" s="217"/>
      <c r="AD44" s="218"/>
      <c r="AE44" s="218"/>
      <c r="AF44" s="218"/>
      <c r="AG44" s="218"/>
      <c r="AH44" s="219"/>
    </row>
    <row r="45" spans="1:34" ht="14.25" customHeight="1">
      <c r="A45" s="212"/>
      <c r="B45" s="213"/>
      <c r="C45" s="214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3"/>
      <c r="U45" s="217"/>
      <c r="V45" s="218"/>
      <c r="W45" s="218"/>
      <c r="X45" s="219"/>
      <c r="Y45" s="220"/>
      <c r="Z45" s="221"/>
      <c r="AA45" s="220"/>
      <c r="AB45" s="221"/>
      <c r="AC45" s="217"/>
      <c r="AD45" s="218"/>
      <c r="AE45" s="218"/>
      <c r="AF45" s="218"/>
      <c r="AG45" s="218"/>
      <c r="AH45" s="219"/>
    </row>
    <row r="46" spans="1:34" ht="14.25" customHeight="1">
      <c r="A46" s="212"/>
      <c r="B46" s="213"/>
      <c r="C46" s="214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6"/>
      <c r="U46" s="217"/>
      <c r="V46" s="218"/>
      <c r="W46" s="218"/>
      <c r="X46" s="219"/>
      <c r="Y46" s="217"/>
      <c r="Z46" s="219"/>
      <c r="AA46" s="220"/>
      <c r="AB46" s="221"/>
      <c r="AC46" s="217"/>
      <c r="AD46" s="218"/>
      <c r="AE46" s="218"/>
      <c r="AF46" s="218"/>
      <c r="AG46" s="218"/>
      <c r="AH46" s="219"/>
    </row>
    <row r="47" spans="1:34" ht="14.25" customHeight="1">
      <c r="A47" s="202"/>
      <c r="B47" s="203"/>
      <c r="C47" s="204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6"/>
      <c r="U47" s="207"/>
      <c r="V47" s="208"/>
      <c r="W47" s="208"/>
      <c r="X47" s="209"/>
      <c r="Y47" s="210"/>
      <c r="Z47" s="211"/>
      <c r="AA47" s="210"/>
      <c r="AB47" s="211"/>
      <c r="AC47" s="207"/>
      <c r="AD47" s="208"/>
      <c r="AE47" s="208"/>
      <c r="AF47" s="208"/>
      <c r="AG47" s="208"/>
      <c r="AH47" s="209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60" t="s">
        <v>18</v>
      </c>
      <c r="W48" s="161"/>
      <c r="X48" s="161"/>
      <c r="Y48" s="161"/>
      <c r="Z48" s="50"/>
      <c r="AA48" s="162"/>
      <c r="AB48" s="163"/>
      <c r="AC48" s="164">
        <v>0</v>
      </c>
      <c r="AD48" s="165"/>
      <c r="AE48" s="165"/>
      <c r="AF48" s="165"/>
      <c r="AG48" s="165"/>
      <c r="AH48" s="166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67" t="s">
        <v>19</v>
      </c>
      <c r="W49" s="168"/>
      <c r="X49" s="168"/>
      <c r="Y49" s="168"/>
      <c r="Z49" s="53"/>
      <c r="AA49" s="54"/>
      <c r="AB49" s="55"/>
      <c r="AC49" s="169">
        <f>SUM(AC22:AH48)</f>
        <v>123440</v>
      </c>
      <c r="AD49" s="170"/>
      <c r="AE49" s="170"/>
      <c r="AF49" s="170"/>
      <c r="AG49" s="170"/>
      <c r="AH49" s="171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201" t="s">
        <v>45</v>
      </c>
      <c r="W50" s="172"/>
      <c r="X50" s="172"/>
      <c r="Y50" s="172"/>
      <c r="Z50" s="57"/>
      <c r="AA50" s="173"/>
      <c r="AB50" s="174"/>
      <c r="AC50" s="175">
        <f>AC49*0.08</f>
        <v>9875.2000000000007</v>
      </c>
      <c r="AD50" s="176"/>
      <c r="AE50" s="176"/>
      <c r="AF50" s="176"/>
      <c r="AG50" s="176"/>
      <c r="AH50" s="177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90" t="s">
        <v>21</v>
      </c>
      <c r="W51" s="190"/>
      <c r="X51" s="190"/>
      <c r="Y51" s="190"/>
      <c r="Z51" s="63"/>
      <c r="AA51" s="66"/>
      <c r="AB51" s="67"/>
      <c r="AC51" s="191">
        <f>AC49+AC50</f>
        <v>133315.20000000001</v>
      </c>
      <c r="AD51" s="192"/>
      <c r="AE51" s="192"/>
      <c r="AF51" s="192"/>
      <c r="AG51" s="192"/>
      <c r="AH51" s="193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8"/>
      <c r="V52" s="194" t="s">
        <v>22</v>
      </c>
      <c r="W52" s="194"/>
      <c r="X52" s="194"/>
      <c r="Y52" s="194"/>
      <c r="Z52" s="69"/>
      <c r="AA52" s="195"/>
      <c r="AB52" s="196"/>
      <c r="AC52" s="197">
        <f>AC51</f>
        <v>133315.20000000001</v>
      </c>
      <c r="AD52" s="198"/>
      <c r="AE52" s="198"/>
      <c r="AF52" s="198"/>
      <c r="AG52" s="198"/>
      <c r="AH52" s="199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70"/>
      <c r="V53" s="71"/>
      <c r="W53" s="71"/>
      <c r="X53" s="71"/>
      <c r="Y53" s="71"/>
      <c r="Z53" s="70"/>
      <c r="AA53" s="72"/>
      <c r="AB53" s="72"/>
      <c r="AC53" s="73"/>
      <c r="AD53" s="72"/>
      <c r="AE53" s="72"/>
      <c r="AF53" s="72"/>
      <c r="AG53" s="72"/>
      <c r="AH53" s="72"/>
    </row>
    <row r="54" spans="1:34" s="61" customFormat="1" ht="15" customHeight="1">
      <c r="A54" s="200" t="s">
        <v>23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</row>
    <row r="55" spans="1:34" s="61" customFormat="1" ht="14.25" customHeight="1">
      <c r="A55" s="188" t="s">
        <v>24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</row>
    <row r="56" spans="1:34" s="61" customFormat="1" ht="1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</row>
    <row r="57" spans="1:34" s="61" customFormat="1" ht="1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</row>
    <row r="58" spans="1:34" s="61" customFormat="1" ht="1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</row>
    <row r="59" spans="1:34" ht="15" customHeight="1">
      <c r="A59" s="74"/>
      <c r="B59" s="74"/>
      <c r="C59" s="75"/>
      <c r="D59" s="76"/>
      <c r="E59" s="76"/>
      <c r="F59" s="76"/>
      <c r="G59" s="77"/>
      <c r="H59" s="74"/>
      <c r="I59" s="74"/>
      <c r="J59" s="74"/>
      <c r="K59" s="74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B59" s="78"/>
      <c r="AC59" s="78"/>
      <c r="AD59" s="78"/>
      <c r="AE59" s="78"/>
      <c r="AF59" s="78"/>
      <c r="AG59" s="78"/>
    </row>
    <row r="60" spans="1:34" ht="15" customHeight="1">
      <c r="A60" s="79"/>
      <c r="B60" s="80"/>
      <c r="C60" s="79"/>
      <c r="D60" s="79"/>
      <c r="E60" s="79"/>
      <c r="F60" s="79"/>
      <c r="G60" s="79"/>
      <c r="H60" s="81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B60" s="78"/>
      <c r="AC60" s="78"/>
      <c r="AD60" s="78"/>
      <c r="AE60" s="78"/>
      <c r="AF60" s="78"/>
      <c r="AG60" s="78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</mergeCells>
  <phoneticPr fontId="5"/>
  <pageMargins left="0.59055118110236227" right="0.31496062992125984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workbookViewId="0">
      <selection activeCell="AC35" sqref="AC35:AH35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6"/>
      <c r="AC1" s="86"/>
      <c r="AD1" s="86"/>
      <c r="AE1" s="86"/>
      <c r="AF1" s="86"/>
      <c r="AG1" s="86"/>
      <c r="AH1" s="86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7" t="s">
        <v>0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42" ht="15" customHeight="1">
      <c r="D4" s="5"/>
      <c r="E4" s="5"/>
      <c r="F4" s="5"/>
      <c r="G4" s="5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8" t="s">
        <v>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0" t="s">
        <v>2</v>
      </c>
      <c r="U9" s="90"/>
      <c r="V9" s="90"/>
      <c r="AB9" s="92">
        <v>42160</v>
      </c>
      <c r="AC9" s="92"/>
      <c r="AD9" s="92"/>
      <c r="AE9" s="92"/>
      <c r="AF9" s="92"/>
      <c r="AG9" s="92"/>
      <c r="AH9" s="92"/>
    </row>
    <row r="10" spans="1:42" ht="1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93"/>
      <c r="AA11" s="93"/>
      <c r="AB11" s="93"/>
      <c r="AC11" s="93"/>
      <c r="AD11" s="93"/>
      <c r="AE11" s="93"/>
      <c r="AF11" s="93"/>
      <c r="AG11" s="93"/>
      <c r="AH11" s="93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94"/>
      <c r="AA12" s="94"/>
      <c r="AB12" s="94"/>
      <c r="AC12" s="94"/>
      <c r="AD12" s="94"/>
      <c r="AE12" s="94"/>
      <c r="AF12" s="94"/>
      <c r="AG12" s="94"/>
      <c r="AH12" s="94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94"/>
      <c r="AA13" s="94"/>
      <c r="AB13" s="94"/>
      <c r="AC13" s="94"/>
      <c r="AD13" s="94"/>
      <c r="AE13" s="94"/>
      <c r="AF13" s="94"/>
      <c r="AG13" s="94"/>
      <c r="AH13" s="94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94"/>
      <c r="AA14" s="94"/>
      <c r="AB14" s="94"/>
      <c r="AC14" s="94"/>
      <c r="AD14" s="94"/>
      <c r="AE14" s="94"/>
      <c r="AF14" s="94"/>
      <c r="AG14" s="94"/>
      <c r="AH14" s="94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85"/>
      <c r="AA15" s="85"/>
      <c r="AB15" s="85"/>
      <c r="AC15" s="85"/>
      <c r="AD15" s="85"/>
      <c r="AE15" s="85"/>
      <c r="AF15" s="85"/>
      <c r="AG15" s="85"/>
      <c r="AH15" s="85"/>
    </row>
    <row r="16" spans="1:42" ht="12.75" customHeight="1">
      <c r="A16" s="21" t="s">
        <v>5</v>
      </c>
      <c r="B16" s="95" t="s">
        <v>6</v>
      </c>
      <c r="C16" s="95"/>
      <c r="D16" s="95"/>
      <c r="E16" s="95"/>
      <c r="F16" s="95"/>
      <c r="G16" s="95"/>
      <c r="H16" s="95"/>
      <c r="I16" s="95"/>
      <c r="J16" s="22"/>
      <c r="K16" s="97" t="s">
        <v>47</v>
      </c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6"/>
      <c r="C17" s="96"/>
      <c r="D17" s="96"/>
      <c r="E17" s="96"/>
      <c r="F17" s="96"/>
      <c r="G17" s="96"/>
      <c r="H17" s="96"/>
      <c r="I17" s="96"/>
      <c r="J17" s="26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95" t="s">
        <v>8</v>
      </c>
      <c r="C18" s="95"/>
      <c r="D18" s="95"/>
      <c r="E18" s="95"/>
      <c r="F18" s="95"/>
      <c r="G18" s="95"/>
      <c r="H18" s="95"/>
      <c r="I18" s="95"/>
      <c r="J18" s="95"/>
      <c r="K18" s="32"/>
      <c r="L18" s="99" t="s">
        <v>9</v>
      </c>
      <c r="M18" s="99">
        <f>AC52</f>
        <v>198028.79999999999</v>
      </c>
      <c r="N18" s="99"/>
      <c r="O18" s="99"/>
      <c r="P18" s="99"/>
      <c r="Q18" s="99"/>
      <c r="R18" s="99"/>
      <c r="S18" s="101" t="s">
        <v>10</v>
      </c>
      <c r="T18" s="101"/>
      <c r="U18" s="101"/>
      <c r="V18" s="101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6"/>
      <c r="C19" s="96"/>
      <c r="D19" s="96"/>
      <c r="E19" s="96"/>
      <c r="F19" s="96"/>
      <c r="G19" s="96"/>
      <c r="H19" s="96"/>
      <c r="I19" s="96"/>
      <c r="J19" s="96"/>
      <c r="K19" s="38"/>
      <c r="L19" s="100"/>
      <c r="M19" s="100"/>
      <c r="N19" s="100"/>
      <c r="O19" s="100"/>
      <c r="P19" s="100"/>
      <c r="Q19" s="100"/>
      <c r="R19" s="100"/>
      <c r="S19" s="102"/>
      <c r="T19" s="102"/>
      <c r="U19" s="102"/>
      <c r="V19" s="102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8" t="s">
        <v>11</v>
      </c>
      <c r="B21" s="119"/>
      <c r="C21" s="118" t="s">
        <v>12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20"/>
      <c r="U21" s="118" t="s">
        <v>13</v>
      </c>
      <c r="V21" s="121"/>
      <c r="W21" s="121"/>
      <c r="X21" s="122"/>
      <c r="Y21" s="118" t="s">
        <v>14</v>
      </c>
      <c r="Z21" s="122"/>
      <c r="AA21" s="118" t="s">
        <v>15</v>
      </c>
      <c r="AB21" s="122"/>
      <c r="AC21" s="118" t="s">
        <v>16</v>
      </c>
      <c r="AD21" s="121"/>
      <c r="AE21" s="121"/>
      <c r="AF21" s="121"/>
      <c r="AG21" s="121"/>
      <c r="AH21" s="122"/>
    </row>
    <row r="22" spans="1:34" ht="14.25" customHeight="1">
      <c r="A22" s="239">
        <v>1</v>
      </c>
      <c r="B22" s="240"/>
      <c r="C22" s="241" t="s">
        <v>37</v>
      </c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3"/>
      <c r="U22" s="244">
        <v>80</v>
      </c>
      <c r="V22" s="245"/>
      <c r="W22" s="245"/>
      <c r="X22" s="246"/>
      <c r="Y22" s="247">
        <v>138</v>
      </c>
      <c r="Z22" s="248"/>
      <c r="AA22" s="249" t="s">
        <v>44</v>
      </c>
      <c r="AB22" s="250"/>
      <c r="AC22" s="251">
        <f>U22*Y22</f>
        <v>11040</v>
      </c>
      <c r="AD22" s="252"/>
      <c r="AE22" s="252"/>
      <c r="AF22" s="252"/>
      <c r="AG22" s="252"/>
      <c r="AH22" s="253"/>
    </row>
    <row r="23" spans="1:34" ht="14.25" customHeight="1">
      <c r="A23" s="212">
        <v>2</v>
      </c>
      <c r="B23" s="213"/>
      <c r="C23" s="231" t="s">
        <v>38</v>
      </c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3"/>
      <c r="U23" s="228">
        <v>80</v>
      </c>
      <c r="V23" s="229"/>
      <c r="W23" s="229"/>
      <c r="X23" s="230"/>
      <c r="Y23" s="220">
        <v>1243</v>
      </c>
      <c r="Z23" s="221"/>
      <c r="AA23" s="237" t="s">
        <v>44</v>
      </c>
      <c r="AB23" s="238"/>
      <c r="AC23" s="232">
        <f t="shared" ref="AC23:AC28" si="0">U23*Y23</f>
        <v>99440</v>
      </c>
      <c r="AD23" s="233"/>
      <c r="AE23" s="233"/>
      <c r="AF23" s="233"/>
      <c r="AG23" s="233"/>
      <c r="AH23" s="234"/>
    </row>
    <row r="24" spans="1:34" ht="14.25" customHeight="1">
      <c r="A24" s="212">
        <v>3</v>
      </c>
      <c r="B24" s="213"/>
      <c r="C24" s="231" t="s">
        <v>39</v>
      </c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3"/>
      <c r="U24" s="228">
        <v>80</v>
      </c>
      <c r="V24" s="229"/>
      <c r="W24" s="229"/>
      <c r="X24" s="230"/>
      <c r="Y24" s="217">
        <v>256</v>
      </c>
      <c r="Z24" s="219"/>
      <c r="AA24" s="237" t="s">
        <v>44</v>
      </c>
      <c r="AB24" s="238"/>
      <c r="AC24" s="232">
        <f t="shared" si="0"/>
        <v>20480</v>
      </c>
      <c r="AD24" s="233"/>
      <c r="AE24" s="233"/>
      <c r="AF24" s="233"/>
      <c r="AG24" s="233"/>
      <c r="AH24" s="234"/>
    </row>
    <row r="25" spans="1:34" ht="14.25" customHeight="1">
      <c r="A25" s="212">
        <v>4</v>
      </c>
      <c r="B25" s="213"/>
      <c r="C25" s="231" t="s">
        <v>49</v>
      </c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3"/>
      <c r="U25" s="228">
        <v>80</v>
      </c>
      <c r="V25" s="229"/>
      <c r="W25" s="229"/>
      <c r="X25" s="230"/>
      <c r="Y25" s="224">
        <v>74</v>
      </c>
      <c r="Z25" s="225"/>
      <c r="AA25" s="236" t="s">
        <v>44</v>
      </c>
      <c r="AB25" s="235"/>
      <c r="AC25" s="232">
        <f t="shared" si="0"/>
        <v>5920</v>
      </c>
      <c r="AD25" s="233"/>
      <c r="AE25" s="233"/>
      <c r="AF25" s="233"/>
      <c r="AG25" s="233"/>
      <c r="AH25" s="234"/>
    </row>
    <row r="26" spans="1:34" ht="14.25" customHeight="1">
      <c r="A26" s="212">
        <v>5</v>
      </c>
      <c r="B26" s="213"/>
      <c r="C26" s="231" t="s">
        <v>40</v>
      </c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3"/>
      <c r="U26" s="228">
        <v>80</v>
      </c>
      <c r="V26" s="229"/>
      <c r="W26" s="229"/>
      <c r="X26" s="230"/>
      <c r="Y26" s="224">
        <v>411</v>
      </c>
      <c r="Z26" s="225"/>
      <c r="AA26" s="236" t="s">
        <v>44</v>
      </c>
      <c r="AB26" s="235"/>
      <c r="AC26" s="232">
        <f t="shared" si="0"/>
        <v>32880</v>
      </c>
      <c r="AD26" s="233"/>
      <c r="AE26" s="233"/>
      <c r="AF26" s="233"/>
      <c r="AG26" s="233"/>
      <c r="AH26" s="234"/>
    </row>
    <row r="27" spans="1:34" ht="14.25" customHeight="1">
      <c r="A27" s="212">
        <v>6</v>
      </c>
      <c r="B27" s="213"/>
      <c r="C27" s="231" t="s">
        <v>41</v>
      </c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228">
        <v>80</v>
      </c>
      <c r="V27" s="229"/>
      <c r="W27" s="229"/>
      <c r="X27" s="230"/>
      <c r="Y27" s="217">
        <v>91</v>
      </c>
      <c r="Z27" s="219"/>
      <c r="AA27" s="236" t="s">
        <v>44</v>
      </c>
      <c r="AB27" s="227"/>
      <c r="AC27" s="232">
        <f t="shared" si="0"/>
        <v>7280</v>
      </c>
      <c r="AD27" s="233"/>
      <c r="AE27" s="233"/>
      <c r="AF27" s="233"/>
      <c r="AG27" s="233"/>
      <c r="AH27" s="234"/>
    </row>
    <row r="28" spans="1:34" ht="14.25" customHeight="1">
      <c r="A28" s="212">
        <v>7</v>
      </c>
      <c r="B28" s="213"/>
      <c r="C28" s="231" t="s">
        <v>48</v>
      </c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217">
        <v>80</v>
      </c>
      <c r="V28" s="218"/>
      <c r="W28" s="218"/>
      <c r="X28" s="219"/>
      <c r="Y28" s="217">
        <v>79</v>
      </c>
      <c r="Z28" s="219"/>
      <c r="AA28" s="236" t="s">
        <v>44</v>
      </c>
      <c r="AB28" s="227"/>
      <c r="AC28" s="232">
        <f t="shared" si="0"/>
        <v>6320</v>
      </c>
      <c r="AD28" s="233"/>
      <c r="AE28" s="233"/>
      <c r="AF28" s="233"/>
      <c r="AG28" s="233"/>
      <c r="AH28" s="234"/>
    </row>
    <row r="29" spans="1:34" ht="14.25" customHeight="1">
      <c r="A29" s="212"/>
      <c r="B29" s="213"/>
      <c r="C29" s="231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3"/>
      <c r="U29" s="228"/>
      <c r="V29" s="229"/>
      <c r="W29" s="229"/>
      <c r="X29" s="230"/>
      <c r="Y29" s="224"/>
      <c r="Z29" s="225"/>
      <c r="AA29" s="226"/>
      <c r="AB29" s="235"/>
      <c r="AC29" s="228"/>
      <c r="AD29" s="229"/>
      <c r="AE29" s="229"/>
      <c r="AF29" s="229"/>
      <c r="AG29" s="229"/>
      <c r="AH29" s="230"/>
    </row>
    <row r="30" spans="1:34" ht="14.25" customHeight="1">
      <c r="A30" s="212"/>
      <c r="B30" s="213"/>
      <c r="C30" s="231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3"/>
      <c r="U30" s="217"/>
      <c r="V30" s="218"/>
      <c r="W30" s="218"/>
      <c r="X30" s="219"/>
      <c r="Y30" s="217"/>
      <c r="Z30" s="219"/>
      <c r="AA30" s="226"/>
      <c r="AB30" s="227"/>
      <c r="AC30" s="228"/>
      <c r="AD30" s="229"/>
      <c r="AE30" s="229"/>
      <c r="AF30" s="229"/>
      <c r="AG30" s="229"/>
      <c r="AH30" s="230"/>
    </row>
    <row r="31" spans="1:34" ht="14.25" customHeight="1">
      <c r="A31" s="212"/>
      <c r="B31" s="213"/>
      <c r="C31" s="231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3"/>
      <c r="U31" s="228"/>
      <c r="V31" s="229"/>
      <c r="W31" s="229"/>
      <c r="X31" s="230"/>
      <c r="Y31" s="217"/>
      <c r="Z31" s="219"/>
      <c r="AA31" s="226"/>
      <c r="AB31" s="227"/>
      <c r="AC31" s="228"/>
      <c r="AD31" s="229"/>
      <c r="AE31" s="229"/>
      <c r="AF31" s="229"/>
      <c r="AG31" s="229"/>
      <c r="AH31" s="230"/>
    </row>
    <row r="32" spans="1:34" ht="14.25" customHeight="1">
      <c r="A32" s="212"/>
      <c r="B32" s="213"/>
      <c r="C32" s="231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3"/>
      <c r="U32" s="228"/>
      <c r="V32" s="229"/>
      <c r="W32" s="229"/>
      <c r="X32" s="230"/>
      <c r="Y32" s="217"/>
      <c r="Z32" s="219"/>
      <c r="AA32" s="226"/>
      <c r="AB32" s="227"/>
      <c r="AC32" s="232"/>
      <c r="AD32" s="233"/>
      <c r="AE32" s="233"/>
      <c r="AF32" s="233"/>
      <c r="AG32" s="233"/>
      <c r="AH32" s="234"/>
    </row>
    <row r="33" spans="1:34" ht="14.25" customHeight="1">
      <c r="A33" s="212"/>
      <c r="B33" s="213"/>
      <c r="C33" s="231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3"/>
      <c r="U33" s="228"/>
      <c r="V33" s="229"/>
      <c r="W33" s="229"/>
      <c r="X33" s="230"/>
      <c r="Y33" s="217"/>
      <c r="Z33" s="219"/>
      <c r="AA33" s="226"/>
      <c r="AB33" s="227"/>
      <c r="AC33" s="228"/>
      <c r="AD33" s="229"/>
      <c r="AE33" s="229"/>
      <c r="AF33" s="229"/>
      <c r="AG33" s="229"/>
      <c r="AH33" s="230"/>
    </row>
    <row r="34" spans="1:34" ht="14.25" customHeight="1">
      <c r="A34" s="212"/>
      <c r="B34" s="213"/>
      <c r="C34" s="231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6"/>
      <c r="U34" s="228"/>
      <c r="V34" s="229"/>
      <c r="W34" s="229"/>
      <c r="X34" s="230"/>
      <c r="Y34" s="217"/>
      <c r="Z34" s="219"/>
      <c r="AA34" s="226"/>
      <c r="AB34" s="227"/>
      <c r="AC34" s="228"/>
      <c r="AD34" s="229"/>
      <c r="AE34" s="229"/>
      <c r="AF34" s="229"/>
      <c r="AG34" s="229"/>
      <c r="AH34" s="230"/>
    </row>
    <row r="35" spans="1:34" ht="14.25" customHeight="1">
      <c r="A35" s="212"/>
      <c r="B35" s="213"/>
      <c r="C35" s="231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6"/>
      <c r="U35" s="228"/>
      <c r="V35" s="229"/>
      <c r="W35" s="229"/>
      <c r="X35" s="230"/>
      <c r="Y35" s="217"/>
      <c r="Z35" s="219"/>
      <c r="AA35" s="226"/>
      <c r="AB35" s="227"/>
      <c r="AC35" s="228"/>
      <c r="AD35" s="229"/>
      <c r="AE35" s="229"/>
      <c r="AF35" s="229"/>
      <c r="AG35" s="229"/>
      <c r="AH35" s="230"/>
    </row>
    <row r="36" spans="1:34" ht="14.25" customHeight="1">
      <c r="A36" s="212"/>
      <c r="B36" s="213"/>
      <c r="C36" s="231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6"/>
      <c r="U36" s="217"/>
      <c r="V36" s="218"/>
      <c r="W36" s="218"/>
      <c r="X36" s="219"/>
      <c r="Y36" s="217"/>
      <c r="Z36" s="219"/>
      <c r="AA36" s="226"/>
      <c r="AB36" s="227"/>
      <c r="AC36" s="228"/>
      <c r="AD36" s="229"/>
      <c r="AE36" s="229"/>
      <c r="AF36" s="229"/>
      <c r="AG36" s="229"/>
      <c r="AH36" s="230"/>
    </row>
    <row r="37" spans="1:34" ht="14.25" customHeight="1">
      <c r="A37" s="212"/>
      <c r="B37" s="213"/>
      <c r="C37" s="231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3"/>
      <c r="U37" s="217"/>
      <c r="V37" s="218"/>
      <c r="W37" s="218"/>
      <c r="X37" s="219"/>
      <c r="Y37" s="217"/>
      <c r="Z37" s="219"/>
      <c r="AA37" s="226"/>
      <c r="AB37" s="227"/>
      <c r="AC37" s="228"/>
      <c r="AD37" s="229"/>
      <c r="AE37" s="229"/>
      <c r="AF37" s="229"/>
      <c r="AG37" s="229"/>
      <c r="AH37" s="230"/>
    </row>
    <row r="38" spans="1:34" ht="14.25" customHeight="1">
      <c r="A38" s="212"/>
      <c r="B38" s="213"/>
      <c r="C38" s="231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3"/>
      <c r="U38" s="217"/>
      <c r="V38" s="218"/>
      <c r="W38" s="218"/>
      <c r="X38" s="219"/>
      <c r="Y38" s="217"/>
      <c r="Z38" s="219"/>
      <c r="AA38" s="226"/>
      <c r="AB38" s="227"/>
      <c r="AC38" s="228"/>
      <c r="AD38" s="229"/>
      <c r="AE38" s="229"/>
      <c r="AF38" s="229"/>
      <c r="AG38" s="229"/>
      <c r="AH38" s="230"/>
    </row>
    <row r="39" spans="1:34" ht="14.25" customHeight="1">
      <c r="A39" s="212"/>
      <c r="B39" s="213"/>
      <c r="C39" s="231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3"/>
      <c r="U39" s="217"/>
      <c r="V39" s="218"/>
      <c r="W39" s="218"/>
      <c r="X39" s="219"/>
      <c r="Y39" s="220"/>
      <c r="Z39" s="221"/>
      <c r="AA39" s="226"/>
      <c r="AB39" s="227"/>
      <c r="AC39" s="228"/>
      <c r="AD39" s="229"/>
      <c r="AE39" s="229"/>
      <c r="AF39" s="229"/>
      <c r="AG39" s="229"/>
      <c r="AH39" s="230"/>
    </row>
    <row r="40" spans="1:34" ht="14.25" customHeight="1">
      <c r="A40" s="212"/>
      <c r="B40" s="213"/>
      <c r="C40" s="214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3"/>
      <c r="U40" s="217"/>
      <c r="V40" s="218"/>
      <c r="W40" s="218"/>
      <c r="X40" s="219"/>
      <c r="Y40" s="217"/>
      <c r="Z40" s="219"/>
      <c r="AA40" s="226"/>
      <c r="AB40" s="227"/>
      <c r="AC40" s="228"/>
      <c r="AD40" s="229"/>
      <c r="AE40" s="229"/>
      <c r="AF40" s="229"/>
      <c r="AG40" s="229"/>
      <c r="AH40" s="230"/>
    </row>
    <row r="41" spans="1:34" ht="14.25" customHeight="1">
      <c r="A41" s="212"/>
      <c r="B41" s="213"/>
      <c r="C41" s="214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3"/>
      <c r="U41" s="217"/>
      <c r="V41" s="218"/>
      <c r="W41" s="218"/>
      <c r="X41" s="219"/>
      <c r="Y41" s="224"/>
      <c r="Z41" s="225"/>
      <c r="AA41" s="224"/>
      <c r="AB41" s="225"/>
      <c r="AC41" s="217"/>
      <c r="AD41" s="218"/>
      <c r="AE41" s="218"/>
      <c r="AF41" s="218"/>
      <c r="AG41" s="218"/>
      <c r="AH41" s="219"/>
    </row>
    <row r="42" spans="1:34" ht="14.25" customHeight="1">
      <c r="A42" s="212"/>
      <c r="B42" s="213"/>
      <c r="C42" s="214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3"/>
      <c r="U42" s="217"/>
      <c r="V42" s="218"/>
      <c r="W42" s="218"/>
      <c r="X42" s="219"/>
      <c r="Y42" s="217"/>
      <c r="Z42" s="219"/>
      <c r="AA42" s="220"/>
      <c r="AB42" s="221"/>
      <c r="AC42" s="217"/>
      <c r="AD42" s="218"/>
      <c r="AE42" s="218"/>
      <c r="AF42" s="218"/>
      <c r="AG42" s="218"/>
      <c r="AH42" s="219"/>
    </row>
    <row r="43" spans="1:34" ht="14.25" customHeight="1">
      <c r="A43" s="212"/>
      <c r="B43" s="213"/>
      <c r="C43" s="214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3"/>
      <c r="U43" s="217"/>
      <c r="V43" s="218"/>
      <c r="W43" s="218"/>
      <c r="X43" s="219"/>
      <c r="Y43" s="220"/>
      <c r="Z43" s="221"/>
      <c r="AA43" s="220"/>
      <c r="AB43" s="221"/>
      <c r="AC43" s="217"/>
      <c r="AD43" s="218"/>
      <c r="AE43" s="218"/>
      <c r="AF43" s="218"/>
      <c r="AG43" s="218"/>
      <c r="AH43" s="219"/>
    </row>
    <row r="44" spans="1:34" ht="14.25" customHeight="1">
      <c r="A44" s="212"/>
      <c r="B44" s="213"/>
      <c r="C44" s="214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6"/>
      <c r="U44" s="217"/>
      <c r="V44" s="218"/>
      <c r="W44" s="218"/>
      <c r="X44" s="219"/>
      <c r="Y44" s="217"/>
      <c r="Z44" s="219"/>
      <c r="AA44" s="220"/>
      <c r="AB44" s="221"/>
      <c r="AC44" s="217"/>
      <c r="AD44" s="218"/>
      <c r="AE44" s="218"/>
      <c r="AF44" s="218"/>
      <c r="AG44" s="218"/>
      <c r="AH44" s="219"/>
    </row>
    <row r="45" spans="1:34" ht="14.25" customHeight="1">
      <c r="A45" s="212"/>
      <c r="B45" s="213"/>
      <c r="C45" s="214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3"/>
      <c r="U45" s="217"/>
      <c r="V45" s="218"/>
      <c r="W45" s="218"/>
      <c r="X45" s="219"/>
      <c r="Y45" s="220"/>
      <c r="Z45" s="221"/>
      <c r="AA45" s="220"/>
      <c r="AB45" s="221"/>
      <c r="AC45" s="217"/>
      <c r="AD45" s="218"/>
      <c r="AE45" s="218"/>
      <c r="AF45" s="218"/>
      <c r="AG45" s="218"/>
      <c r="AH45" s="219"/>
    </row>
    <row r="46" spans="1:34" ht="14.25" customHeight="1">
      <c r="A46" s="212"/>
      <c r="B46" s="213"/>
      <c r="C46" s="214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6"/>
      <c r="U46" s="217"/>
      <c r="V46" s="218"/>
      <c r="W46" s="218"/>
      <c r="X46" s="219"/>
      <c r="Y46" s="217"/>
      <c r="Z46" s="219"/>
      <c r="AA46" s="220"/>
      <c r="AB46" s="221"/>
      <c r="AC46" s="217"/>
      <c r="AD46" s="218"/>
      <c r="AE46" s="218"/>
      <c r="AF46" s="218"/>
      <c r="AG46" s="218"/>
      <c r="AH46" s="219"/>
    </row>
    <row r="47" spans="1:34" ht="14.25" customHeight="1">
      <c r="A47" s="202"/>
      <c r="B47" s="203"/>
      <c r="C47" s="204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6"/>
      <c r="U47" s="207"/>
      <c r="V47" s="208"/>
      <c r="W47" s="208"/>
      <c r="X47" s="209"/>
      <c r="Y47" s="210"/>
      <c r="Z47" s="211"/>
      <c r="AA47" s="210"/>
      <c r="AB47" s="211"/>
      <c r="AC47" s="207"/>
      <c r="AD47" s="208"/>
      <c r="AE47" s="208"/>
      <c r="AF47" s="208"/>
      <c r="AG47" s="208"/>
      <c r="AH47" s="209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60" t="s">
        <v>18</v>
      </c>
      <c r="W48" s="161"/>
      <c r="X48" s="161"/>
      <c r="Y48" s="161"/>
      <c r="Z48" s="50"/>
      <c r="AA48" s="162"/>
      <c r="AB48" s="163"/>
      <c r="AC48" s="164">
        <v>0</v>
      </c>
      <c r="AD48" s="165"/>
      <c r="AE48" s="165"/>
      <c r="AF48" s="165"/>
      <c r="AG48" s="165"/>
      <c r="AH48" s="166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67" t="s">
        <v>19</v>
      </c>
      <c r="W49" s="168"/>
      <c r="X49" s="168"/>
      <c r="Y49" s="168"/>
      <c r="Z49" s="53"/>
      <c r="AA49" s="54"/>
      <c r="AB49" s="55"/>
      <c r="AC49" s="169">
        <f>SUM(AC22:AH48)</f>
        <v>183360</v>
      </c>
      <c r="AD49" s="170"/>
      <c r="AE49" s="170"/>
      <c r="AF49" s="170"/>
      <c r="AG49" s="170"/>
      <c r="AH49" s="171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201" t="s">
        <v>45</v>
      </c>
      <c r="W50" s="172"/>
      <c r="X50" s="172"/>
      <c r="Y50" s="172"/>
      <c r="Z50" s="57"/>
      <c r="AA50" s="173"/>
      <c r="AB50" s="174"/>
      <c r="AC50" s="175">
        <f>AC49*0.08</f>
        <v>14668.800000000001</v>
      </c>
      <c r="AD50" s="176"/>
      <c r="AE50" s="176"/>
      <c r="AF50" s="176"/>
      <c r="AG50" s="176"/>
      <c r="AH50" s="177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90" t="s">
        <v>21</v>
      </c>
      <c r="W51" s="190"/>
      <c r="X51" s="190"/>
      <c r="Y51" s="190"/>
      <c r="Z51" s="63"/>
      <c r="AA51" s="82"/>
      <c r="AB51" s="83"/>
      <c r="AC51" s="191">
        <f>AC49+AC50</f>
        <v>198028.79999999999</v>
      </c>
      <c r="AD51" s="192"/>
      <c r="AE51" s="192"/>
      <c r="AF51" s="192"/>
      <c r="AG51" s="192"/>
      <c r="AH51" s="193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8"/>
      <c r="V52" s="194" t="s">
        <v>22</v>
      </c>
      <c r="W52" s="194"/>
      <c r="X52" s="194"/>
      <c r="Y52" s="194"/>
      <c r="Z52" s="69"/>
      <c r="AA52" s="195"/>
      <c r="AB52" s="196"/>
      <c r="AC52" s="197">
        <f>AC51</f>
        <v>198028.79999999999</v>
      </c>
      <c r="AD52" s="198"/>
      <c r="AE52" s="198"/>
      <c r="AF52" s="198"/>
      <c r="AG52" s="198"/>
      <c r="AH52" s="199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70"/>
      <c r="V53" s="71"/>
      <c r="W53" s="71"/>
      <c r="X53" s="71"/>
      <c r="Y53" s="71"/>
      <c r="Z53" s="70"/>
      <c r="AA53" s="72"/>
      <c r="AB53" s="72"/>
      <c r="AC53" s="73"/>
      <c r="AD53" s="72"/>
      <c r="AE53" s="72"/>
      <c r="AF53" s="72"/>
      <c r="AG53" s="72"/>
      <c r="AH53" s="72"/>
    </row>
    <row r="54" spans="1:34" s="61" customFormat="1" ht="15" customHeight="1">
      <c r="A54" s="200" t="s">
        <v>23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</row>
    <row r="55" spans="1:34" s="61" customFormat="1" ht="14.25" customHeight="1">
      <c r="A55" s="188" t="s">
        <v>24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</row>
    <row r="56" spans="1:34" s="61" customFormat="1" ht="1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</row>
    <row r="57" spans="1:34" s="61" customFormat="1" ht="1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</row>
    <row r="58" spans="1:34" s="61" customFormat="1" ht="1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</row>
    <row r="59" spans="1:34" ht="15" customHeight="1">
      <c r="A59" s="74"/>
      <c r="B59" s="74"/>
      <c r="C59" s="75"/>
      <c r="D59" s="76"/>
      <c r="E59" s="76"/>
      <c r="F59" s="76"/>
      <c r="G59" s="77"/>
      <c r="H59" s="74"/>
      <c r="I59" s="74"/>
      <c r="J59" s="74"/>
      <c r="K59" s="74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B59" s="78"/>
      <c r="AC59" s="78"/>
      <c r="AD59" s="78"/>
      <c r="AE59" s="78"/>
      <c r="AF59" s="78"/>
      <c r="AG59" s="78"/>
    </row>
    <row r="60" spans="1:34" ht="15" customHeight="1">
      <c r="A60" s="79"/>
      <c r="B60" s="80"/>
      <c r="C60" s="79"/>
      <c r="D60" s="79"/>
      <c r="E60" s="79"/>
      <c r="F60" s="79"/>
      <c r="G60" s="79"/>
      <c r="H60" s="84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B60" s="78"/>
      <c r="AC60" s="78"/>
      <c r="AD60" s="78"/>
      <c r="AE60" s="78"/>
      <c r="AF60" s="78"/>
      <c r="AG60" s="78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A22:B22"/>
    <mergeCell ref="C22:T22"/>
    <mergeCell ref="U22:X22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Z12:AH12"/>
    <mergeCell ref="Z13:AH13"/>
    <mergeCell ref="Z14:AH14"/>
    <mergeCell ref="B16:I17"/>
    <mergeCell ref="K16:V17"/>
    <mergeCell ref="B18:J19"/>
    <mergeCell ref="L18:L19"/>
    <mergeCell ref="M18:R19"/>
    <mergeCell ref="S18:T19"/>
    <mergeCell ref="U18:V19"/>
    <mergeCell ref="AB1:AH1"/>
    <mergeCell ref="H3:AA4"/>
    <mergeCell ref="A9:S10"/>
    <mergeCell ref="T9:V10"/>
    <mergeCell ref="AB9:AH9"/>
    <mergeCell ref="Z11:AH11"/>
  </mergeCells>
  <phoneticPr fontId="5"/>
  <pageMargins left="0.59055118110236227" right="0.31496062992125984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藤鳶工業請求4月分 </vt:lpstr>
      <vt:lpstr>藤鳶工業請求5月分 </vt:lpstr>
      <vt:lpstr>藤鳶工業請求6月分 </vt:lpstr>
      <vt:lpstr>'藤鳶工業請求4月分 '!Print_Area</vt:lpstr>
      <vt:lpstr>'藤鳶工業請求5月分 '!Print_Area</vt:lpstr>
      <vt:lpstr>'藤鳶工業請求6月分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2015-06-06T07:26:27Z</cp:lastPrinted>
  <dcterms:created xsi:type="dcterms:W3CDTF">2015-05-08T03:28:51Z</dcterms:created>
  <dcterms:modified xsi:type="dcterms:W3CDTF">2015-06-30T05:42:39Z</dcterms:modified>
</cp:coreProperties>
</file>