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調査票（月額）" sheetId="1" r:id="rId1"/>
    <sheet name="記入例（月額）" sheetId="15" r:id="rId2"/>
    <sheet name="調査票（日額）" sheetId="7" r:id="rId3"/>
    <sheet name="記入例（日額）" sheetId="11" r:id="rId4"/>
    <sheet name="調査票（時間額）" sheetId="9" r:id="rId5"/>
    <sheet name="記入例（時間額）" sheetId="12" r:id="rId6"/>
  </sheets>
  <calcPr calcId="152511"/>
</workbook>
</file>

<file path=xl/calcChain.xml><?xml version="1.0" encoding="utf-8"?>
<calcChain xmlns="http://schemas.openxmlformats.org/spreadsheetml/2006/main">
  <c r="E28" i="12" l="1"/>
  <c r="E28" i="1" l="1"/>
  <c r="D28" i="1"/>
  <c r="C28" i="1"/>
  <c r="F28" i="7"/>
  <c r="E28" i="7"/>
  <c r="D28" i="7"/>
  <c r="G28" i="7" s="1"/>
  <c r="C28" i="7"/>
  <c r="E28" i="9"/>
  <c r="D28" i="9"/>
  <c r="C28" i="9"/>
  <c r="F28" i="9" l="1"/>
  <c r="F28" i="1"/>
  <c r="D28" i="12"/>
  <c r="F28" i="12" s="1"/>
  <c r="C28" i="12"/>
  <c r="E28" i="15"/>
  <c r="D28" i="15"/>
  <c r="C28" i="15"/>
  <c r="F28" i="11"/>
  <c r="E28" i="11"/>
  <c r="D28" i="11"/>
  <c r="C28" i="11"/>
  <c r="G28" i="11" l="1"/>
  <c r="F28" i="15"/>
</calcChain>
</file>

<file path=xl/sharedStrings.xml><?xml version="1.0" encoding="utf-8"?>
<sst xmlns="http://schemas.openxmlformats.org/spreadsheetml/2006/main" count="320" uniqueCount="69">
  <si>
    <t>サービス種別</t>
    <rPh sb="4" eb="6">
      <t>シュベツ</t>
    </rPh>
    <phoneticPr fontId="2"/>
  </si>
  <si>
    <t>施設名</t>
    <rPh sb="0" eb="2">
      <t>シセツ</t>
    </rPh>
    <rPh sb="2" eb="3">
      <t>メイ</t>
    </rPh>
    <phoneticPr fontId="2"/>
  </si>
  <si>
    <t>所在地</t>
    <rPh sb="0" eb="3">
      <t>ショザイチ</t>
    </rPh>
    <phoneticPr fontId="2"/>
  </si>
  <si>
    <t>定員</t>
    <rPh sb="0" eb="2">
      <t>テイイン</t>
    </rPh>
    <phoneticPr fontId="2"/>
  </si>
  <si>
    <t>支払対象者数</t>
    <rPh sb="0" eb="2">
      <t>シハラ</t>
    </rPh>
    <rPh sb="2" eb="5">
      <t>タイショウシャ</t>
    </rPh>
    <rPh sb="5" eb="6">
      <t>スウ</t>
    </rPh>
    <phoneticPr fontId="2"/>
  </si>
  <si>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</si>
  <si>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</si>
  <si>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</si>
  <si>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</si>
  <si>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</si>
  <si>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</si>
  <si>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</si>
  <si>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</si>
  <si>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</si>
  <si>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</si>
  <si>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</si>
  <si>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</si>
  <si>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合計</t>
    <rPh sb="0" eb="2">
      <t>ゴウケイ</t>
    </rPh>
    <phoneticPr fontId="2"/>
  </si>
  <si>
    <t>月別</t>
    <rPh sb="0" eb="2">
      <t>ツキベツ</t>
    </rPh>
    <phoneticPr fontId="2"/>
  </si>
  <si>
    <t>１　施設名称等</t>
    <phoneticPr fontId="2"/>
  </si>
  <si>
    <t>（単位：円）</t>
    <rPh sb="1" eb="3">
      <t>タンイ</t>
    </rPh>
    <rPh sb="4" eb="5">
      <t>エン</t>
    </rPh>
    <phoneticPr fontId="2"/>
  </si>
  <si>
    <t>（年間延実人数）</t>
    <rPh sb="1" eb="3">
      <t>ネンカン</t>
    </rPh>
    <rPh sb="3" eb="4">
      <t>ノ</t>
    </rPh>
    <rPh sb="4" eb="5">
      <t>ジツ</t>
    </rPh>
    <rPh sb="5" eb="7">
      <t>ニンズウ</t>
    </rPh>
    <phoneticPr fontId="2"/>
  </si>
  <si>
    <t>（年間工賃支払総額）</t>
    <rPh sb="1" eb="3">
      <t>ネンカン</t>
    </rPh>
    <rPh sb="3" eb="5">
      <t>コウチン</t>
    </rPh>
    <rPh sb="5" eb="7">
      <t>シハラ</t>
    </rPh>
    <rPh sb="7" eb="9">
      <t>ソウガク</t>
    </rPh>
    <phoneticPr fontId="2"/>
  </si>
  <si>
    <t>※小数点第2位を四捨五入</t>
    <phoneticPr fontId="2"/>
  </si>
  <si>
    <t>※小数点第2位を四捨五入</t>
    <phoneticPr fontId="2"/>
  </si>
  <si>
    <t>【参考】</t>
    <rPh sb="1" eb="3">
      <t>サンコウ</t>
    </rPh>
    <phoneticPr fontId="2"/>
  </si>
  <si>
    <t>延べ労働日数</t>
    <rPh sb="0" eb="1">
      <t>ノ</t>
    </rPh>
    <rPh sb="2" eb="4">
      <t>ロウドウ</t>
    </rPh>
    <rPh sb="4" eb="6">
      <t>ニッスウ</t>
    </rPh>
    <phoneticPr fontId="2"/>
  </si>
  <si>
    <t>（一月あたり）</t>
    <rPh sb="1" eb="3">
      <t>ヒトツキ</t>
    </rPh>
    <phoneticPr fontId="2"/>
  </si>
  <si>
    <t>延べ労働時間</t>
    <rPh sb="0" eb="1">
      <t>ノ</t>
    </rPh>
    <rPh sb="2" eb="4">
      <t>ロウドウ</t>
    </rPh>
    <rPh sb="4" eb="6">
      <t>ジカン</t>
    </rPh>
    <phoneticPr fontId="2"/>
  </si>
  <si>
    <t>（実人数）</t>
    <rPh sb="1" eb="2">
      <t>ジツ</t>
    </rPh>
    <rPh sb="2" eb="4">
      <t>ニンズウ</t>
    </rPh>
    <phoneticPr fontId="2"/>
  </si>
  <si>
    <t>（年間延べ労働日数）</t>
    <rPh sb="1" eb="3">
      <t>ネンカン</t>
    </rPh>
    <rPh sb="3" eb="4">
      <t>ノ</t>
    </rPh>
    <rPh sb="5" eb="7">
      <t>ロウドウ</t>
    </rPh>
    <rPh sb="7" eb="9">
      <t>ニッスウ</t>
    </rPh>
    <phoneticPr fontId="2"/>
  </si>
  <si>
    <t>（年間延べ労働時間）</t>
    <rPh sb="1" eb="3">
      <t>ネンカン</t>
    </rPh>
    <rPh sb="3" eb="4">
      <t>ノ</t>
    </rPh>
    <rPh sb="5" eb="7">
      <t>ロウドウ</t>
    </rPh>
    <rPh sb="7" eb="9">
      <t>ジカン</t>
    </rPh>
    <phoneticPr fontId="2"/>
  </si>
  <si>
    <t>○○○</t>
    <phoneticPr fontId="2"/>
  </si>
  <si>
    <t>法人名</t>
    <rPh sb="0" eb="2">
      <t>ホウジン</t>
    </rPh>
    <rPh sb="2" eb="3">
      <t>メイ</t>
    </rPh>
    <phoneticPr fontId="2"/>
  </si>
  <si>
    <t>○○○</t>
    <phoneticPr fontId="2"/>
  </si>
  <si>
    <t>○○市○○町○丁目○－○</t>
    <rPh sb="2" eb="3">
      <t>シ</t>
    </rPh>
    <rPh sb="5" eb="6">
      <t>チョウ</t>
    </rPh>
    <rPh sb="7" eb="9">
      <t>チョウメ</t>
    </rPh>
    <phoneticPr fontId="2"/>
  </si>
  <si>
    <t>目標工賃額
（H27年度）</t>
    <rPh sb="0" eb="2">
      <t>モクヒョウ</t>
    </rPh>
    <rPh sb="2" eb="4">
      <t>コウチン</t>
    </rPh>
    <rPh sb="4" eb="5">
      <t>ガク</t>
    </rPh>
    <rPh sb="10" eb="12">
      <t>ネンド</t>
    </rPh>
    <phoneticPr fontId="2"/>
  </si>
  <si>
    <t>目標工賃額
（H28年度）</t>
    <rPh sb="0" eb="2">
      <t>モクヒョウ</t>
    </rPh>
    <rPh sb="2" eb="4">
      <t>コウチン</t>
    </rPh>
    <rPh sb="4" eb="5">
      <t>ガク</t>
    </rPh>
    <rPh sb="10" eb="12">
      <t>ネンド</t>
    </rPh>
    <phoneticPr fontId="2"/>
  </si>
  <si>
    <t>目標工賃額
（H29年度）</t>
    <rPh sb="0" eb="2">
      <t>モクヒョウ</t>
    </rPh>
    <rPh sb="2" eb="4">
      <t>コウチン</t>
    </rPh>
    <rPh sb="4" eb="5">
      <t>ガク</t>
    </rPh>
    <rPh sb="10" eb="12">
      <t>ネンド</t>
    </rPh>
    <phoneticPr fontId="2"/>
  </si>
  <si>
    <t>メールアドレス</t>
    <phoneticPr fontId="2"/>
  </si>
  <si>
    <t>記入者氏名</t>
    <rPh sb="0" eb="2">
      <t>キニュウ</t>
    </rPh>
    <rPh sb="2" eb="3">
      <t>シャ</t>
    </rPh>
    <rPh sb="3" eb="5">
      <t>シメイ</t>
    </rPh>
    <phoneticPr fontId="2"/>
  </si>
  <si>
    <t>電　　話</t>
    <rPh sb="0" eb="1">
      <t>デン</t>
    </rPh>
    <rPh sb="3" eb="4">
      <t>ハナシ</t>
    </rPh>
    <phoneticPr fontId="2"/>
  </si>
  <si>
    <t>（B÷A）</t>
  </si>
  <si>
    <t>（B）</t>
  </si>
  <si>
    <t>（Ｂ）</t>
  </si>
  <si>
    <t>（Ｃ）</t>
  </si>
  <si>
    <t>（Ａ）</t>
    <phoneticPr fontId="2"/>
  </si>
  <si>
    <t>記　入　例</t>
    <rPh sb="0" eb="1">
      <t>キ</t>
    </rPh>
    <rPh sb="2" eb="3">
      <t>ニュウ</t>
    </rPh>
    <rPh sb="4" eb="5">
      <t>レイ</t>
    </rPh>
    <phoneticPr fontId="2"/>
  </si>
  <si>
    <t>区分</t>
    <rPh sb="0" eb="2">
      <t>クブン</t>
    </rPh>
    <phoneticPr fontId="2"/>
  </si>
  <si>
    <t>（Ｃ÷Ｂ）</t>
    <phoneticPr fontId="2"/>
  </si>
  <si>
    <t>月額</t>
    <rPh sb="0" eb="2">
      <t>ゲツガク</t>
    </rPh>
    <phoneticPr fontId="2"/>
  </si>
  <si>
    <t>日額</t>
    <rPh sb="0" eb="2">
      <t>ニチガク</t>
    </rPh>
    <phoneticPr fontId="2"/>
  </si>
  <si>
    <t>時間額</t>
    <rPh sb="0" eb="3">
      <t>ジカンガク</t>
    </rPh>
    <phoneticPr fontId="2"/>
  </si>
  <si>
    <t>２　平成26年度の工賃実績平均額</t>
  </si>
  <si>
    <t>平均工賃</t>
    <rPh sb="0" eb="2">
      <t>ヘイキン</t>
    </rPh>
    <phoneticPr fontId="2"/>
  </si>
  <si>
    <t>工賃総額</t>
  </si>
  <si>
    <t>３　目標工賃　　　※設定している場合は，記入する。</t>
    <rPh sb="2" eb="4">
      <t>モクヒョウ</t>
    </rPh>
    <rPh sb="10" eb="12">
      <t>セッテイ</t>
    </rPh>
    <rPh sb="16" eb="18">
      <t>バアイ</t>
    </rPh>
    <rPh sb="20" eb="22">
      <t>キニュウ</t>
    </rPh>
    <phoneticPr fontId="2"/>
  </si>
  <si>
    <t>工賃実績報告書　（就業継続支援Ｂ型）</t>
    <rPh sb="2" eb="4">
      <t>ジッセキ</t>
    </rPh>
    <rPh sb="4" eb="6">
      <t>ホウコク</t>
    </rPh>
    <rPh sb="6" eb="7">
      <t>ショ</t>
    </rPh>
    <phoneticPr fontId="2"/>
  </si>
  <si>
    <t>就労継続支援Ｂ型</t>
    <rPh sb="0" eb="2">
      <t>シュウロウ</t>
    </rPh>
    <rPh sb="2" eb="4">
      <t>ケイゾク</t>
    </rPh>
    <rPh sb="4" eb="6">
      <t>シエン</t>
    </rPh>
    <phoneticPr fontId="2"/>
  </si>
  <si>
    <t>工賃実績報告書　（就業継続支援Ｂ型）</t>
    <rPh sb="2" eb="4">
      <t>ジッセキ</t>
    </rPh>
    <rPh sb="4" eb="6">
      <t>ホウコク</t>
    </rPh>
    <rPh sb="6" eb="7">
      <t>ショ</t>
    </rPh>
    <rPh sb="9" eb="11">
      <t>シュウギョウ</t>
    </rPh>
    <rPh sb="11" eb="13">
      <t>ケイゾク</t>
    </rPh>
    <rPh sb="13" eb="15">
      <t>シエン</t>
    </rPh>
    <phoneticPr fontId="2"/>
  </si>
  <si>
    <r>
      <t>平均工賃を</t>
    </r>
    <r>
      <rPr>
        <u/>
        <sz val="11"/>
        <color rgb="FFFF0000"/>
        <rFont val="ＭＳ Ｐゴシック"/>
        <family val="3"/>
        <charset val="128"/>
      </rPr>
      <t>月額</t>
    </r>
    <r>
      <rPr>
        <u/>
        <sz val="11"/>
        <rFont val="ＭＳ Ｐゴシック"/>
        <family val="3"/>
        <charset val="128"/>
      </rPr>
      <t>により算定する場合</t>
    </r>
    <rPh sb="0" eb="2">
      <t>ヘイキン</t>
    </rPh>
    <rPh sb="5" eb="7">
      <t>ゲツガク</t>
    </rPh>
    <rPh sb="10" eb="12">
      <t>サンテイ</t>
    </rPh>
    <rPh sb="14" eb="16">
      <t>バアイ</t>
    </rPh>
    <phoneticPr fontId="2"/>
  </si>
  <si>
    <r>
      <t>平均工賃を</t>
    </r>
    <r>
      <rPr>
        <u/>
        <sz val="11"/>
        <color rgb="FFFF0000"/>
        <rFont val="ＭＳ Ｐゴシック"/>
        <family val="3"/>
        <charset val="128"/>
      </rPr>
      <t>日額</t>
    </r>
    <r>
      <rPr>
        <u/>
        <sz val="11"/>
        <rFont val="ＭＳ Ｐゴシック"/>
        <family val="3"/>
        <charset val="128"/>
      </rPr>
      <t>により算定する場合</t>
    </r>
    <rPh sb="0" eb="2">
      <t>ヘイキン</t>
    </rPh>
    <rPh sb="5" eb="7">
      <t>ニチガク</t>
    </rPh>
    <rPh sb="10" eb="12">
      <t>サンテイ</t>
    </rPh>
    <rPh sb="14" eb="16">
      <t>バアイ</t>
    </rPh>
    <phoneticPr fontId="2"/>
  </si>
  <si>
    <r>
      <t>平均工賃を</t>
    </r>
    <r>
      <rPr>
        <u/>
        <sz val="11"/>
        <color rgb="FFFF0000"/>
        <rFont val="ＭＳ Ｐゴシック"/>
        <family val="3"/>
        <charset val="128"/>
      </rPr>
      <t>時間額</t>
    </r>
    <r>
      <rPr>
        <u/>
        <sz val="11"/>
        <rFont val="ＭＳ Ｐゴシック"/>
        <family val="3"/>
        <charset val="128"/>
      </rPr>
      <t>により算定する場合</t>
    </r>
    <rPh sb="0" eb="2">
      <t>ヘイキン</t>
    </rPh>
    <rPh sb="5" eb="8">
      <t>ジカンガク</t>
    </rPh>
    <rPh sb="11" eb="13">
      <t>サンテイ</t>
    </rPh>
    <rPh sb="15" eb="17">
      <t>バアイ</t>
    </rPh>
    <phoneticPr fontId="2"/>
  </si>
  <si>
    <t>岡﨑　峻喬</t>
    <rPh sb="0" eb="2">
      <t>オカザキ</t>
    </rPh>
    <rPh sb="3" eb="4">
      <t>シュン</t>
    </rPh>
    <rPh sb="4" eb="5">
      <t>キョウ</t>
    </rPh>
    <phoneticPr fontId="2"/>
  </si>
  <si>
    <t>（0848）76-3701</t>
    <phoneticPr fontId="2"/>
  </si>
  <si>
    <t>kaitomitugi.okazaki@gmail.com</t>
    <phoneticPr fontId="2"/>
  </si>
  <si>
    <t>一般社団法人
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</si>
  <si>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カイト御調</t>
    <rPh sb="3" eb="5">
      <t>ミツギ</t>
    </rPh>
    <phoneticPr fontId="2"/>
  </si>
  <si>
    <t>尾道市御調町大田718-12</t>
    <rPh sb="0" eb="3">
      <t>オノミチシ</t>
    </rPh>
    <rPh sb="3" eb="6">
      <t>ミツギチョウ</t>
    </rPh>
    <rPh sb="6" eb="8">
      <t>オオタ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</si>
</sst>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#,##0.0_);[Red]\(#,##0.0\)"/>
    <numFmt numFmtId="178" formatCode="#,##0_ ;[Red]\-#,##0\ 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/>
      <right style="thin">
        <color indexed="64"/>
      </right>
      <top/>
      <bottom style="double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0" fontId="5" fillId="0" borderId="0" xfId="0" applyFont="1" applyBorder="1" applyAlignment="1">
      <alignment vertical="center" shrinkToFit="1"/>
    </xf>
    <xf numFmtId="0" fontId="0" fillId="0" borderId="0" xfId="0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8" xfId="0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0" fillId="0" borderId="8" xfId="0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0" fillId="0" borderId="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0" fillId="4" borderId="1" xfId="0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8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76" fontId="8" fillId="0" borderId="8" xfId="0" applyNumberFormat="1" applyFont="1" applyFill="1" applyBorder="1">
      <alignment vertical="center"/>
    </xf>
    <xf numFmtId="0" fontId="8" fillId="2" borderId="5" xfId="0" applyFont="1" applyFill="1" applyBorder="1" applyAlignment="1">
      <alignment horizontal="center" vertical="center"/>
    </xf>
    <xf numFmtId="176" fontId="8" fillId="0" borderId="9" xfId="0" applyNumberFormat="1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176" fontId="8" fillId="3" borderId="3" xfId="0" applyNumberFormat="1" applyFont="1" applyFill="1" applyBorder="1">
      <alignment vertical="center"/>
    </xf>
    <xf numFmtId="177" fontId="8" fillId="3" borderId="19" xfId="0" applyNumberFormat="1" applyFont="1" applyFill="1" applyBorder="1" applyAlignment="1">
      <alignment horizontal="right" vertical="center"/>
    </xf>
    <xf numFmtId="178" fontId="8" fillId="0" borderId="8" xfId="1" applyNumberFormat="1" applyFont="1" applyBorder="1">
      <alignment vertical="center"/>
    </xf>
    <xf numFmtId="177" fontId="8" fillId="3" borderId="3" xfId="0" applyNumberFormat="1" applyFont="1" applyFill="1" applyBorder="1" applyAlignment="1">
      <alignment vertical="center"/>
    </xf>
    <xf numFmtId="0" fontId="8" fillId="0" borderId="0" xfId="0" applyFont="1">
      <alignment vertical="center"/>
    </xf>
    <xf numFmtId="0" fontId="0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8" xfId="0" applyFill="1" applyBorder="1" applyAlignment="1">
      <alignment horizontal="center" vertical="center" shrinkToFit="1"/>
    </xf>
    <xf numFmtId="0" fontId="0" fillId="0" borderId="8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4" xfId="2" applyBorder="1" applyAlignment="1">
      <alignment horizontal="center" vertical="center" shrinkToFit="1"/>
    </xf>
  </cellXfs>
  <cellStyles count="3">
    <cellStyle name="ハイパーリンク" xfId="2" builtinId="8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itomitugi.okazak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34"/>
  <sheetViews>
    <sheetView showZeros="0" tabSelected="1" zoomScaleNormal="100" workbookViewId="0">
      <selection activeCell="E28" sqref="E28"/>
    </sheetView>
  </sheetViews>
  <sheetFormatPr defaultRowHeight="13.5"/>
  <cols>
    <col min="1" max="1" width="3.625" customWidth="1"/>
    <col min="2" max="7" width="14.125" customWidth="1"/>
  </cols>
  <sheetData>
    <row r="1" spans="1:8" ht="22.5" customHeight="1">
      <c r="G1" s="8"/>
    </row>
    <row r="2" spans="1:8" ht="24" customHeight="1">
      <c r="A2" s="51" t="s">
        <v>59</v>
      </c>
      <c r="B2" s="51"/>
      <c r="C2" s="51"/>
      <c r="D2" s="51"/>
      <c r="E2" s="51"/>
      <c r="F2" s="51"/>
      <c r="G2" s="51"/>
      <c r="H2" s="13"/>
    </row>
    <row r="3" spans="1:8" ht="22.5" customHeight="1">
      <c r="A3" s="5" t="s">
        <v>60</v>
      </c>
    </row>
    <row r="4" spans="1:8" ht="22.5" customHeight="1">
      <c r="E4" s="20" t="s">
        <v>40</v>
      </c>
      <c r="F4" s="52" t="s">
        <v>63</v>
      </c>
      <c r="G4" s="53"/>
    </row>
    <row r="5" spans="1:8" ht="22.5" customHeight="1">
      <c r="E5" s="20" t="s">
        <v>41</v>
      </c>
      <c r="F5" s="52" t="s">
        <v>64</v>
      </c>
      <c r="G5" s="53"/>
    </row>
    <row r="6" spans="1:8" ht="22.5" customHeight="1">
      <c r="E6" s="20" t="s">
        <v>39</v>
      </c>
      <c r="F6" s="61" t="s">
        <v>65</v>
      </c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44" t="s">
        <v>58</v>
      </c>
      <c r="C9" s="45" t="s">
        <v>66</v>
      </c>
      <c r="D9" s="45" t="s">
        <v>67</v>
      </c>
      <c r="E9" s="47" t="s">
        <v>68</v>
      </c>
      <c r="F9" s="47"/>
      <c r="G9" s="31">
        <v>20</v>
      </c>
    </row>
    <row r="10" spans="1:8" ht="13.5" customHeight="1">
      <c r="B10" s="2"/>
      <c r="C10" s="2"/>
      <c r="D10" s="2"/>
      <c r="E10" s="2"/>
      <c r="F10" s="2"/>
      <c r="G10" s="2"/>
      <c r="H10" s="2"/>
    </row>
    <row r="11" spans="1:8" ht="22.5" customHeight="1">
      <c r="A11" t="s">
        <v>53</v>
      </c>
    </row>
    <row r="12" spans="1:8" ht="15" customHeight="1">
      <c r="F12" s="6" t="s">
        <v>20</v>
      </c>
    </row>
    <row r="13" spans="1:8" ht="15.75" customHeight="1">
      <c r="B13" s="22"/>
      <c r="C13" s="21" t="s">
        <v>4</v>
      </c>
      <c r="D13" s="21" t="s">
        <v>18</v>
      </c>
      <c r="E13" s="46" t="s">
        <v>28</v>
      </c>
      <c r="F13" s="21" t="s">
        <v>54</v>
      </c>
    </row>
    <row r="14" spans="1:8" ht="15.75" customHeight="1">
      <c r="B14" s="42" t="s">
        <v>48</v>
      </c>
      <c r="C14" s="25" t="s">
        <v>29</v>
      </c>
      <c r="D14" s="24" t="s">
        <v>55</v>
      </c>
      <c r="E14" s="26" t="s">
        <v>27</v>
      </c>
      <c r="F14" s="24" t="s">
        <v>50</v>
      </c>
    </row>
    <row r="15" spans="1:8" ht="15.75" customHeight="1">
      <c r="B15" s="27"/>
      <c r="C15" s="24" t="s">
        <v>46</v>
      </c>
      <c r="D15" s="24" t="s">
        <v>43</v>
      </c>
      <c r="E15" s="28" t="s">
        <v>25</v>
      </c>
      <c r="F15" s="29" t="s">
        <v>42</v>
      </c>
    </row>
    <row r="16" spans="1:8" ht="24" customHeight="1">
      <c r="B16" s="32" t="s">
        <v>5</v>
      </c>
      <c r="C16" s="33"/>
      <c r="D16" s="33"/>
      <c r="E16" s="33"/>
      <c r="F16" s="48"/>
      <c r="G16" s="41"/>
    </row>
    <row r="17" spans="1:7" ht="24" customHeight="1">
      <c r="B17" s="32" t="s">
        <v>6</v>
      </c>
      <c r="C17" s="33"/>
      <c r="D17" s="33"/>
      <c r="E17" s="33"/>
      <c r="F17" s="49"/>
      <c r="G17" s="41"/>
    </row>
    <row r="18" spans="1:7" ht="24" customHeight="1">
      <c r="B18" s="32" t="s">
        <v>7</v>
      </c>
      <c r="C18" s="33"/>
      <c r="D18" s="33"/>
      <c r="E18" s="33"/>
      <c r="F18" s="49"/>
      <c r="G18" s="41"/>
    </row>
    <row r="19" spans="1:7" ht="24" customHeight="1">
      <c r="B19" s="32" t="s">
        <v>8</v>
      </c>
      <c r="C19" s="33"/>
      <c r="D19" s="33"/>
      <c r="E19" s="33"/>
      <c r="F19" s="49"/>
      <c r="G19" s="41"/>
    </row>
    <row r="20" spans="1:7" ht="24" customHeight="1">
      <c r="B20" s="32" t="s">
        <v>9</v>
      </c>
      <c r="C20" s="33"/>
      <c r="D20" s="33"/>
      <c r="E20" s="33"/>
      <c r="F20" s="49"/>
      <c r="G20" s="41"/>
    </row>
    <row r="21" spans="1:7" ht="24" customHeight="1">
      <c r="B21" s="32" t="s">
        <v>10</v>
      </c>
      <c r="C21" s="33"/>
      <c r="D21" s="33"/>
      <c r="E21" s="33"/>
      <c r="F21" s="49"/>
      <c r="G21" s="41"/>
    </row>
    <row r="22" spans="1:7" ht="24" customHeight="1">
      <c r="B22" s="32" t="s">
        <v>11</v>
      </c>
      <c r="C22" s="33"/>
      <c r="D22" s="33"/>
      <c r="E22" s="33"/>
      <c r="F22" s="49"/>
      <c r="G22" s="41"/>
    </row>
    <row r="23" spans="1:7" ht="24" customHeight="1">
      <c r="B23" s="32" t="s">
        <v>12</v>
      </c>
      <c r="C23" s="33">
        <v>6</v>
      </c>
      <c r="D23" s="33">
        <v>40200</v>
      </c>
      <c r="E23" s="33">
        <v>610</v>
      </c>
      <c r="F23" s="49"/>
      <c r="G23" s="41"/>
    </row>
    <row r="24" spans="1:7" ht="24" customHeight="1">
      <c r="B24" s="32" t="s">
        <v>13</v>
      </c>
      <c r="C24" s="33">
        <v>10</v>
      </c>
      <c r="D24" s="33">
        <v>211300</v>
      </c>
      <c r="E24" s="33">
        <v>940</v>
      </c>
      <c r="F24" s="49"/>
      <c r="G24" s="41"/>
    </row>
    <row r="25" spans="1:7" ht="24" customHeight="1">
      <c r="B25" s="32" t="s">
        <v>14</v>
      </c>
      <c r="C25" s="33">
        <v>10</v>
      </c>
      <c r="D25" s="33">
        <v>207300</v>
      </c>
      <c r="E25" s="33">
        <v>925</v>
      </c>
      <c r="F25" s="49"/>
      <c r="G25" s="41"/>
    </row>
    <row r="26" spans="1:7" ht="24" customHeight="1">
      <c r="B26" s="32" t="s">
        <v>15</v>
      </c>
      <c r="C26" s="33">
        <v>9</v>
      </c>
      <c r="D26" s="33">
        <v>214000</v>
      </c>
      <c r="E26" s="33">
        <v>890</v>
      </c>
      <c r="F26" s="49"/>
      <c r="G26" s="41"/>
    </row>
    <row r="27" spans="1:7" ht="24" customHeight="1" thickBot="1">
      <c r="B27" s="34" t="s">
        <v>16</v>
      </c>
      <c r="C27" s="35">
        <v>10</v>
      </c>
      <c r="D27" s="35">
        <v>235500</v>
      </c>
      <c r="E27" s="35">
        <v>1010</v>
      </c>
      <c r="F27" s="50"/>
      <c r="G27" s="41"/>
    </row>
    <row r="28" spans="1:7" ht="24" customHeight="1" thickTop="1">
      <c r="B28" s="36" t="s">
        <v>17</v>
      </c>
      <c r="C28" s="37">
        <f>SUM(C16:C27)</f>
        <v>45</v>
      </c>
      <c r="D28" s="37">
        <f>SUM(D16:D27)</f>
        <v>908300</v>
      </c>
      <c r="E28" s="37">
        <f>SUM(E16:E27)</f>
        <v>4375</v>
      </c>
      <c r="F28" s="40">
        <f>IF(AND(C28&gt;0,D28&gt;0),D28/C28,0)</f>
        <v>20184.444444444445</v>
      </c>
      <c r="G28" s="41"/>
    </row>
    <row r="29" spans="1:7" ht="18" customHeight="1">
      <c r="B29" s="1"/>
      <c r="C29" s="4" t="s">
        <v>21</v>
      </c>
      <c r="D29" s="4" t="s">
        <v>22</v>
      </c>
      <c r="E29" s="4" t="s">
        <v>31</v>
      </c>
      <c r="F29" s="9" t="s">
        <v>23</v>
      </c>
    </row>
    <row r="30" spans="1:7">
      <c r="B30" s="2"/>
      <c r="C30" s="7"/>
      <c r="D30" s="7"/>
      <c r="E30" s="7"/>
      <c r="F30" s="2"/>
    </row>
    <row r="31" spans="1:7" ht="22.5" customHeight="1">
      <c r="A31" t="s">
        <v>56</v>
      </c>
      <c r="C31" s="5"/>
    </row>
    <row r="32" spans="1:7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/>
      <c r="C34" s="39"/>
      <c r="D34" s="39"/>
    </row>
  </sheetData>
  <mergeCells count="7">
    <mergeCell ref="E9:F9"/>
    <mergeCell ref="F16:F27"/>
    <mergeCell ref="A2:G2"/>
    <mergeCell ref="F4:G4"/>
    <mergeCell ref="F5:G5"/>
    <mergeCell ref="F6:G6"/>
    <mergeCell ref="E8:F8"/>
  </mergeCells>
  <phoneticPr fontId="2"/>
  <hyperlinks>
    <hyperlink ref="F6" r:id="rId1"/>
  </hyperlinks>
  <printOptions horizontalCentered="1"/>
  <pageMargins left="0.78740157480314965" right="0.78740157480314965" top="0.78740157480314965" bottom="0.78740157480314965" header="0.51181102362204722" footer="0.51181102362204722"/>
  <pageSetup paperSize="9" scale="95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34"/>
  <sheetViews>
    <sheetView zoomScaleNormal="100" workbookViewId="0">
      <selection activeCell="B5" sqref="B5"/>
    </sheetView>
  </sheetViews>
  <sheetFormatPr defaultRowHeight="13.5"/>
  <cols>
    <col min="1" max="1" width="3.625" customWidth="1"/>
    <col min="2" max="7" width="14.125" customWidth="1"/>
  </cols>
  <sheetData>
    <row r="1" spans="1:8" ht="22.5" customHeight="1" thickBot="1">
      <c r="A1" s="56" t="s">
        <v>47</v>
      </c>
      <c r="B1" s="57"/>
      <c r="G1" s="8"/>
    </row>
    <row r="2" spans="1:8" ht="24" customHeight="1">
      <c r="A2" s="51" t="s">
        <v>59</v>
      </c>
      <c r="B2" s="51"/>
      <c r="C2" s="51"/>
      <c r="D2" s="51"/>
      <c r="E2" s="51"/>
      <c r="F2" s="51"/>
      <c r="G2" s="51"/>
      <c r="H2" s="13"/>
    </row>
    <row r="3" spans="1:8" ht="22.5" customHeight="1">
      <c r="A3" s="5" t="s">
        <v>60</v>
      </c>
    </row>
    <row r="4" spans="1:8" ht="22.5" customHeight="1">
      <c r="E4" s="20" t="s">
        <v>40</v>
      </c>
      <c r="F4" s="52"/>
      <c r="G4" s="53"/>
    </row>
    <row r="5" spans="1:8" ht="22.5" customHeight="1">
      <c r="E5" s="20" t="s">
        <v>41</v>
      </c>
      <c r="F5" s="52"/>
      <c r="G5" s="53"/>
    </row>
    <row r="6" spans="1:8" ht="22.5" customHeight="1">
      <c r="E6" s="20" t="s">
        <v>39</v>
      </c>
      <c r="F6" s="52"/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14" t="s">
        <v>58</v>
      </c>
      <c r="C9" s="18" t="s">
        <v>34</v>
      </c>
      <c r="D9" s="18" t="s">
        <v>32</v>
      </c>
      <c r="E9" s="47" t="s">
        <v>35</v>
      </c>
      <c r="F9" s="47"/>
      <c r="G9" s="31">
        <v>20</v>
      </c>
    </row>
    <row r="10" spans="1:8" ht="13.5" customHeight="1">
      <c r="B10" s="2"/>
      <c r="C10" s="2"/>
      <c r="D10" s="2"/>
      <c r="E10" s="2"/>
      <c r="F10" s="2"/>
      <c r="G10" s="2"/>
      <c r="H10" s="2"/>
    </row>
    <row r="11" spans="1:8" ht="22.5" customHeight="1">
      <c r="A11" t="s">
        <v>53</v>
      </c>
    </row>
    <row r="12" spans="1:8" ht="15" customHeight="1">
      <c r="F12" s="6" t="s">
        <v>20</v>
      </c>
    </row>
    <row r="13" spans="1:8" ht="15.75" customHeight="1">
      <c r="B13" s="22"/>
      <c r="C13" s="21" t="s">
        <v>4</v>
      </c>
      <c r="D13" s="21" t="s">
        <v>18</v>
      </c>
      <c r="E13" s="23" t="s">
        <v>28</v>
      </c>
      <c r="F13" s="21" t="s">
        <v>54</v>
      </c>
    </row>
    <row r="14" spans="1:8" ht="15.75" customHeight="1">
      <c r="B14" s="42" t="s">
        <v>48</v>
      </c>
      <c r="C14" s="25" t="s">
        <v>29</v>
      </c>
      <c r="D14" s="24" t="s">
        <v>55</v>
      </c>
      <c r="E14" s="26" t="s">
        <v>27</v>
      </c>
      <c r="F14" s="24" t="s">
        <v>50</v>
      </c>
    </row>
    <row r="15" spans="1:8" ht="15.75" customHeight="1">
      <c r="B15" s="27"/>
      <c r="C15" s="24" t="s">
        <v>46</v>
      </c>
      <c r="D15" s="24" t="s">
        <v>43</v>
      </c>
      <c r="E15" s="28" t="s">
        <v>25</v>
      </c>
      <c r="F15" s="29" t="s">
        <v>42</v>
      </c>
    </row>
    <row r="16" spans="1:8" ht="24" customHeight="1">
      <c r="B16" s="32" t="s">
        <v>5</v>
      </c>
      <c r="C16" s="33">
        <v>20</v>
      </c>
      <c r="D16" s="33">
        <v>350000</v>
      </c>
      <c r="E16" s="33">
        <v>1500</v>
      </c>
      <c r="F16" s="48"/>
      <c r="G16" s="41"/>
    </row>
    <row r="17" spans="1:7" ht="24" customHeight="1">
      <c r="B17" s="32" t="s">
        <v>6</v>
      </c>
      <c r="C17" s="33">
        <v>20</v>
      </c>
      <c r="D17" s="33">
        <v>340000</v>
      </c>
      <c r="E17" s="33">
        <v>1500</v>
      </c>
      <c r="F17" s="49"/>
      <c r="G17" s="41"/>
    </row>
    <row r="18" spans="1:7" ht="24" customHeight="1">
      <c r="B18" s="32" t="s">
        <v>7</v>
      </c>
      <c r="C18" s="33">
        <v>19</v>
      </c>
      <c r="D18" s="33">
        <v>320000</v>
      </c>
      <c r="E18" s="33">
        <v>1425</v>
      </c>
      <c r="F18" s="49"/>
      <c r="G18" s="41"/>
    </row>
    <row r="19" spans="1:7" ht="24" customHeight="1">
      <c r="B19" s="32" t="s">
        <v>8</v>
      </c>
      <c r="C19" s="33">
        <v>21</v>
      </c>
      <c r="D19" s="33">
        <v>360000</v>
      </c>
      <c r="E19" s="33">
        <v>2100</v>
      </c>
      <c r="F19" s="49"/>
      <c r="G19" s="41"/>
    </row>
    <row r="20" spans="1:7" ht="24" customHeight="1">
      <c r="B20" s="32" t="s">
        <v>9</v>
      </c>
      <c r="C20" s="33">
        <v>18</v>
      </c>
      <c r="D20" s="33">
        <v>331000</v>
      </c>
      <c r="E20" s="33">
        <v>1330</v>
      </c>
      <c r="F20" s="49"/>
      <c r="G20" s="41"/>
    </row>
    <row r="21" spans="1:7" ht="24" customHeight="1">
      <c r="B21" s="32" t="s">
        <v>10</v>
      </c>
      <c r="C21" s="33">
        <v>17</v>
      </c>
      <c r="D21" s="33">
        <v>309000</v>
      </c>
      <c r="E21" s="33">
        <v>1190</v>
      </c>
      <c r="F21" s="49"/>
      <c r="G21" s="41"/>
    </row>
    <row r="22" spans="1:7" ht="24" customHeight="1">
      <c r="B22" s="32" t="s">
        <v>11</v>
      </c>
      <c r="C22" s="33">
        <v>21</v>
      </c>
      <c r="D22" s="33">
        <v>356000</v>
      </c>
      <c r="E22" s="33">
        <v>1680</v>
      </c>
      <c r="F22" s="49"/>
      <c r="G22" s="41"/>
    </row>
    <row r="23" spans="1:7" ht="24" customHeight="1">
      <c r="B23" s="32" t="s">
        <v>12</v>
      </c>
      <c r="C23" s="33">
        <v>20</v>
      </c>
      <c r="D23" s="33">
        <v>357000</v>
      </c>
      <c r="E23" s="33">
        <v>1400</v>
      </c>
      <c r="F23" s="49"/>
      <c r="G23" s="41"/>
    </row>
    <row r="24" spans="1:7" ht="24" customHeight="1">
      <c r="B24" s="32" t="s">
        <v>13</v>
      </c>
      <c r="C24" s="33">
        <v>19</v>
      </c>
      <c r="D24" s="33">
        <v>321000</v>
      </c>
      <c r="E24" s="33">
        <v>1425</v>
      </c>
      <c r="F24" s="49"/>
      <c r="G24" s="41"/>
    </row>
    <row r="25" spans="1:7" ht="24" customHeight="1">
      <c r="B25" s="32" t="s">
        <v>14</v>
      </c>
      <c r="C25" s="33">
        <v>20</v>
      </c>
      <c r="D25" s="33">
        <v>366000</v>
      </c>
      <c r="E25" s="33">
        <v>1500</v>
      </c>
      <c r="F25" s="49"/>
      <c r="G25" s="41"/>
    </row>
    <row r="26" spans="1:7" ht="24" customHeight="1">
      <c r="B26" s="32" t="s">
        <v>15</v>
      </c>
      <c r="C26" s="33">
        <v>20</v>
      </c>
      <c r="D26" s="33">
        <v>345000</v>
      </c>
      <c r="E26" s="33">
        <v>1600</v>
      </c>
      <c r="F26" s="49"/>
      <c r="G26" s="41"/>
    </row>
    <row r="27" spans="1:7" ht="24" customHeight="1" thickBot="1">
      <c r="B27" s="34" t="s">
        <v>16</v>
      </c>
      <c r="C27" s="35">
        <v>20</v>
      </c>
      <c r="D27" s="35">
        <v>357000</v>
      </c>
      <c r="E27" s="35">
        <v>1500</v>
      </c>
      <c r="F27" s="50"/>
      <c r="G27" s="41"/>
    </row>
    <row r="28" spans="1:7" ht="24" customHeight="1" thickTop="1">
      <c r="B28" s="36" t="s">
        <v>17</v>
      </c>
      <c r="C28" s="37">
        <f>SUM(C16:C27)</f>
        <v>235</v>
      </c>
      <c r="D28" s="37">
        <f>SUM(D16:D27)</f>
        <v>4112000</v>
      </c>
      <c r="E28" s="37">
        <f>SUM(E16:E27)</f>
        <v>18150</v>
      </c>
      <c r="F28" s="40">
        <f>IF(AND(C28&gt;0,D28&gt;0),D28/C28,0)</f>
        <v>17497.872340425532</v>
      </c>
      <c r="G28" s="41"/>
    </row>
    <row r="29" spans="1:7" ht="18" customHeight="1">
      <c r="B29" s="1"/>
      <c r="C29" s="4" t="s">
        <v>21</v>
      </c>
      <c r="D29" s="4" t="s">
        <v>22</v>
      </c>
      <c r="E29" s="4" t="s">
        <v>31</v>
      </c>
      <c r="F29" s="9" t="s">
        <v>23</v>
      </c>
    </row>
    <row r="30" spans="1:7">
      <c r="B30" s="2"/>
      <c r="C30" s="7"/>
      <c r="D30" s="7"/>
      <c r="E30" s="7"/>
      <c r="F30" s="2"/>
    </row>
    <row r="31" spans="1:7" ht="22.5" customHeight="1">
      <c r="A31" t="s">
        <v>56</v>
      </c>
      <c r="C31" s="5"/>
    </row>
    <row r="32" spans="1:7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>
        <v>56000</v>
      </c>
      <c r="C34" s="39">
        <v>57000</v>
      </c>
      <c r="D34" s="39">
        <v>58000</v>
      </c>
    </row>
  </sheetData>
  <mergeCells count="8">
    <mergeCell ref="A1:B1"/>
    <mergeCell ref="E9:F9"/>
    <mergeCell ref="F16:F27"/>
    <mergeCell ref="A2:G2"/>
    <mergeCell ref="E8:F8"/>
    <mergeCell ref="F4:G4"/>
    <mergeCell ref="F5:G5"/>
    <mergeCell ref="F6:G6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34"/>
  <sheetViews>
    <sheetView showZeros="0" zoomScaleNormal="100" zoomScaleSheetLayoutView="100" workbookViewId="0">
      <selection activeCell="B5" sqref="B5"/>
    </sheetView>
  </sheetViews>
  <sheetFormatPr defaultRowHeight="13.5"/>
  <cols>
    <col min="1" max="1" width="3.625" customWidth="1"/>
    <col min="2" max="7" width="14.125" customWidth="1"/>
    <col min="8" max="8" width="9.75" customWidth="1"/>
  </cols>
  <sheetData>
    <row r="1" spans="1:8" ht="22.5" customHeight="1">
      <c r="G1" s="8"/>
    </row>
    <row r="2" spans="1:8" ht="24" customHeight="1">
      <c r="A2" s="51" t="s">
        <v>57</v>
      </c>
      <c r="B2" s="51"/>
      <c r="C2" s="51"/>
      <c r="D2" s="51"/>
      <c r="E2" s="51"/>
      <c r="F2" s="51"/>
      <c r="G2" s="51"/>
      <c r="H2" s="43"/>
    </row>
    <row r="3" spans="1:8" ht="22.5" customHeight="1">
      <c r="A3" s="5" t="s">
        <v>61</v>
      </c>
    </row>
    <row r="4" spans="1:8" ht="22.5" customHeight="1">
      <c r="E4" s="20" t="s">
        <v>40</v>
      </c>
      <c r="F4" s="52"/>
      <c r="G4" s="53"/>
    </row>
    <row r="5" spans="1:8" ht="22.5" customHeight="1">
      <c r="E5" s="20" t="s">
        <v>41</v>
      </c>
      <c r="F5" s="52"/>
      <c r="G5" s="53"/>
    </row>
    <row r="6" spans="1:8" ht="22.5" customHeight="1">
      <c r="E6" s="20" t="s">
        <v>39</v>
      </c>
      <c r="F6" s="52"/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44" t="s">
        <v>58</v>
      </c>
      <c r="C9" s="45"/>
      <c r="D9" s="45"/>
      <c r="E9" s="47"/>
      <c r="F9" s="47"/>
      <c r="G9" s="31"/>
    </row>
    <row r="10" spans="1:8" ht="13.5" customHeight="1">
      <c r="B10" s="2"/>
      <c r="C10" s="2"/>
      <c r="D10" s="2"/>
      <c r="E10" s="2"/>
      <c r="F10" s="2"/>
      <c r="G10" s="2"/>
      <c r="H10" s="2"/>
    </row>
    <row r="11" spans="1:8" ht="22.5" customHeight="1">
      <c r="A11" t="s">
        <v>53</v>
      </c>
    </row>
    <row r="12" spans="1:8" ht="15" customHeight="1">
      <c r="F12" s="6"/>
      <c r="G12" s="6" t="s">
        <v>20</v>
      </c>
      <c r="H12" s="6"/>
    </row>
    <row r="13" spans="1:8" ht="15.75" customHeight="1">
      <c r="B13" s="22"/>
      <c r="C13" s="21" t="s">
        <v>4</v>
      </c>
      <c r="D13" s="46" t="s">
        <v>26</v>
      </c>
      <c r="E13" s="21" t="s">
        <v>18</v>
      </c>
      <c r="F13" s="46" t="s">
        <v>28</v>
      </c>
      <c r="G13" s="21" t="s">
        <v>54</v>
      </c>
      <c r="H13" s="11"/>
    </row>
    <row r="14" spans="1:8" ht="15.75" customHeight="1">
      <c r="B14" s="42" t="s">
        <v>48</v>
      </c>
      <c r="C14" s="25" t="s">
        <v>29</v>
      </c>
      <c r="D14" s="26" t="s">
        <v>27</v>
      </c>
      <c r="E14" s="24" t="s">
        <v>55</v>
      </c>
      <c r="F14" s="26" t="s">
        <v>27</v>
      </c>
      <c r="G14" s="24" t="s">
        <v>51</v>
      </c>
      <c r="H14" s="11"/>
    </row>
    <row r="15" spans="1:8" ht="15.75" customHeight="1">
      <c r="B15" s="27"/>
      <c r="C15" s="24" t="s">
        <v>46</v>
      </c>
      <c r="D15" s="28" t="s">
        <v>44</v>
      </c>
      <c r="E15" s="24" t="s">
        <v>45</v>
      </c>
      <c r="F15" s="28" t="s">
        <v>25</v>
      </c>
      <c r="G15" s="29" t="s">
        <v>49</v>
      </c>
      <c r="H15" s="11"/>
    </row>
    <row r="16" spans="1:8" ht="24" customHeight="1">
      <c r="B16" s="32" t="s">
        <v>5</v>
      </c>
      <c r="C16" s="33"/>
      <c r="D16" s="33"/>
      <c r="E16" s="33"/>
      <c r="F16" s="33"/>
      <c r="G16" s="48"/>
      <c r="H16" s="7"/>
    </row>
    <row r="17" spans="1:8" ht="24" customHeight="1">
      <c r="B17" s="32" t="s">
        <v>6</v>
      </c>
      <c r="C17" s="33"/>
      <c r="D17" s="33"/>
      <c r="E17" s="33"/>
      <c r="F17" s="33"/>
      <c r="G17" s="49"/>
      <c r="H17" s="7"/>
    </row>
    <row r="18" spans="1:8" ht="24" customHeight="1">
      <c r="B18" s="32" t="s">
        <v>7</v>
      </c>
      <c r="C18" s="33"/>
      <c r="D18" s="33"/>
      <c r="E18" s="33"/>
      <c r="F18" s="33"/>
      <c r="G18" s="49"/>
      <c r="H18" s="7"/>
    </row>
    <row r="19" spans="1:8" ht="24" customHeight="1">
      <c r="B19" s="32" t="s">
        <v>8</v>
      </c>
      <c r="C19" s="33"/>
      <c r="D19" s="33"/>
      <c r="E19" s="33"/>
      <c r="F19" s="33"/>
      <c r="G19" s="49"/>
      <c r="H19" s="7"/>
    </row>
    <row r="20" spans="1:8" ht="24" customHeight="1">
      <c r="B20" s="32" t="s">
        <v>9</v>
      </c>
      <c r="C20" s="33"/>
      <c r="D20" s="33"/>
      <c r="E20" s="33"/>
      <c r="F20" s="33"/>
      <c r="G20" s="49"/>
      <c r="H20" s="7"/>
    </row>
    <row r="21" spans="1:8" ht="24" customHeight="1">
      <c r="B21" s="32" t="s">
        <v>10</v>
      </c>
      <c r="C21" s="33"/>
      <c r="D21" s="33"/>
      <c r="E21" s="33"/>
      <c r="F21" s="33"/>
      <c r="G21" s="49"/>
      <c r="H21" s="7"/>
    </row>
    <row r="22" spans="1:8" ht="24" customHeight="1">
      <c r="B22" s="32" t="s">
        <v>11</v>
      </c>
      <c r="C22" s="33"/>
      <c r="D22" s="33"/>
      <c r="E22" s="33"/>
      <c r="F22" s="33"/>
      <c r="G22" s="49"/>
      <c r="H22" s="7"/>
    </row>
    <row r="23" spans="1:8" ht="24" customHeight="1">
      <c r="B23" s="32" t="s">
        <v>12</v>
      </c>
      <c r="C23" s="33"/>
      <c r="D23" s="33"/>
      <c r="E23" s="33"/>
      <c r="F23" s="33"/>
      <c r="G23" s="49"/>
      <c r="H23" s="7"/>
    </row>
    <row r="24" spans="1:8" ht="24" customHeight="1">
      <c r="B24" s="32" t="s">
        <v>13</v>
      </c>
      <c r="C24" s="33"/>
      <c r="D24" s="33"/>
      <c r="E24" s="33"/>
      <c r="F24" s="33"/>
      <c r="G24" s="49"/>
      <c r="H24" s="7"/>
    </row>
    <row r="25" spans="1:8" ht="24" customHeight="1">
      <c r="B25" s="32" t="s">
        <v>14</v>
      </c>
      <c r="C25" s="33"/>
      <c r="D25" s="33"/>
      <c r="E25" s="33"/>
      <c r="F25" s="33"/>
      <c r="G25" s="49"/>
      <c r="H25" s="7"/>
    </row>
    <row r="26" spans="1:8" ht="24" customHeight="1">
      <c r="B26" s="32" t="s">
        <v>15</v>
      </c>
      <c r="C26" s="33"/>
      <c r="D26" s="33"/>
      <c r="E26" s="33"/>
      <c r="F26" s="33"/>
      <c r="G26" s="49"/>
      <c r="H26" s="7"/>
    </row>
    <row r="27" spans="1:8" ht="24" customHeight="1" thickBot="1">
      <c r="B27" s="34" t="s">
        <v>16</v>
      </c>
      <c r="C27" s="35"/>
      <c r="D27" s="35"/>
      <c r="E27" s="35"/>
      <c r="F27" s="35"/>
      <c r="G27" s="50"/>
      <c r="H27" s="7"/>
    </row>
    <row r="28" spans="1:8" ht="24" customHeight="1" thickTop="1">
      <c r="B28" s="36" t="s">
        <v>17</v>
      </c>
      <c r="C28" s="37">
        <f>SUM(C16:C27)</f>
        <v>0</v>
      </c>
      <c r="D28" s="37">
        <f>SUM(D16:D27)</f>
        <v>0</v>
      </c>
      <c r="E28" s="37">
        <f>SUM(E16:E27)</f>
        <v>0</v>
      </c>
      <c r="F28" s="37">
        <f>SUM(F16:F27)</f>
        <v>0</v>
      </c>
      <c r="G28" s="40">
        <f>IF(AND(D28&gt;0,E28&gt;0),E28/D28,0)</f>
        <v>0</v>
      </c>
      <c r="H28" s="12"/>
    </row>
    <row r="29" spans="1:8" ht="18" customHeight="1">
      <c r="B29" s="1"/>
      <c r="C29" s="4" t="s">
        <v>21</v>
      </c>
      <c r="D29" s="4" t="s">
        <v>30</v>
      </c>
      <c r="E29" s="4" t="s">
        <v>22</v>
      </c>
      <c r="F29" s="4" t="s">
        <v>31</v>
      </c>
      <c r="G29" s="9" t="s">
        <v>23</v>
      </c>
      <c r="H29" s="10"/>
    </row>
    <row r="30" spans="1:8">
      <c r="B30" s="2"/>
      <c r="C30" s="7"/>
      <c r="D30" s="7"/>
      <c r="E30" s="7"/>
      <c r="F30" s="2"/>
    </row>
    <row r="31" spans="1:8" ht="22.5" customHeight="1">
      <c r="A31" t="s">
        <v>56</v>
      </c>
      <c r="C31" s="5"/>
    </row>
    <row r="32" spans="1:8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/>
      <c r="C34" s="39"/>
      <c r="D34" s="39"/>
    </row>
  </sheetData>
  <mergeCells count="7">
    <mergeCell ref="E9:F9"/>
    <mergeCell ref="G16:G27"/>
    <mergeCell ref="A2:G2"/>
    <mergeCell ref="F4:G4"/>
    <mergeCell ref="F5:G5"/>
    <mergeCell ref="F6:G6"/>
    <mergeCell ref="E8:F8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scale="9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34"/>
  <sheetViews>
    <sheetView showZeros="0" zoomScaleNormal="100" workbookViewId="0">
      <selection activeCell="B5" sqref="B5"/>
    </sheetView>
  </sheetViews>
  <sheetFormatPr defaultRowHeight="13.5"/>
  <cols>
    <col min="1" max="1" width="3.625" customWidth="1"/>
    <col min="2" max="7" width="14.125" customWidth="1"/>
    <col min="8" max="8" width="9.75" customWidth="1"/>
  </cols>
  <sheetData>
    <row r="1" spans="1:8" ht="22.5" customHeight="1" thickBot="1">
      <c r="A1" s="56" t="s">
        <v>47</v>
      </c>
      <c r="B1" s="57"/>
      <c r="G1" s="8"/>
    </row>
    <row r="2" spans="1:8" ht="24" customHeight="1">
      <c r="A2" s="51" t="s">
        <v>57</v>
      </c>
      <c r="B2" s="51"/>
      <c r="C2" s="51"/>
      <c r="D2" s="51"/>
      <c r="E2" s="51"/>
      <c r="F2" s="51"/>
      <c r="G2" s="51"/>
      <c r="H2" s="15"/>
    </row>
    <row r="3" spans="1:8" ht="22.5" customHeight="1">
      <c r="A3" s="5" t="s">
        <v>61</v>
      </c>
    </row>
    <row r="4" spans="1:8" ht="22.5" customHeight="1">
      <c r="E4" s="20" t="s">
        <v>40</v>
      </c>
      <c r="F4" s="52"/>
      <c r="G4" s="53"/>
    </row>
    <row r="5" spans="1:8" ht="22.5" customHeight="1">
      <c r="E5" s="20" t="s">
        <v>41</v>
      </c>
      <c r="F5" s="52"/>
      <c r="G5" s="53"/>
    </row>
    <row r="6" spans="1:8" ht="22.5" customHeight="1">
      <c r="E6" s="20" t="s">
        <v>39</v>
      </c>
      <c r="F6" s="52"/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16" t="s">
        <v>58</v>
      </c>
      <c r="C9" s="19" t="s">
        <v>32</v>
      </c>
      <c r="D9" s="19" t="s">
        <v>32</v>
      </c>
      <c r="E9" s="47" t="s">
        <v>35</v>
      </c>
      <c r="F9" s="47"/>
      <c r="G9" s="31">
        <v>20</v>
      </c>
    </row>
    <row r="10" spans="1:8" ht="13.5" customHeight="1">
      <c r="B10" s="2"/>
      <c r="C10" s="2"/>
      <c r="D10" s="2"/>
      <c r="E10" s="2"/>
      <c r="F10" s="2"/>
      <c r="G10" s="2"/>
      <c r="H10" s="2"/>
    </row>
    <row r="11" spans="1:8" ht="22.5" customHeight="1">
      <c r="A11" t="s">
        <v>53</v>
      </c>
    </row>
    <row r="12" spans="1:8" ht="15" customHeight="1">
      <c r="F12" s="6"/>
      <c r="G12" s="6" t="s">
        <v>20</v>
      </c>
      <c r="H12" s="6"/>
    </row>
    <row r="13" spans="1:8" ht="15.75" customHeight="1">
      <c r="B13" s="22"/>
      <c r="C13" s="21" t="s">
        <v>4</v>
      </c>
      <c r="D13" s="23" t="s">
        <v>26</v>
      </c>
      <c r="E13" s="21" t="s">
        <v>18</v>
      </c>
      <c r="F13" s="23" t="s">
        <v>28</v>
      </c>
      <c r="G13" s="21" t="s">
        <v>54</v>
      </c>
      <c r="H13" s="11"/>
    </row>
    <row r="14" spans="1:8" ht="15.75" customHeight="1">
      <c r="B14" s="42" t="s">
        <v>48</v>
      </c>
      <c r="C14" s="25" t="s">
        <v>29</v>
      </c>
      <c r="D14" s="26" t="s">
        <v>27</v>
      </c>
      <c r="E14" s="24" t="s">
        <v>55</v>
      </c>
      <c r="F14" s="26" t="s">
        <v>27</v>
      </c>
      <c r="G14" s="24" t="s">
        <v>51</v>
      </c>
      <c r="H14" s="11"/>
    </row>
    <row r="15" spans="1:8" ht="15.75" customHeight="1">
      <c r="B15" s="27"/>
      <c r="C15" s="24" t="s">
        <v>46</v>
      </c>
      <c r="D15" s="28" t="s">
        <v>44</v>
      </c>
      <c r="E15" s="24" t="s">
        <v>45</v>
      </c>
      <c r="F15" s="28" t="s">
        <v>25</v>
      </c>
      <c r="G15" s="29" t="s">
        <v>49</v>
      </c>
      <c r="H15" s="11"/>
    </row>
    <row r="16" spans="1:8" ht="24" customHeight="1">
      <c r="B16" s="32" t="s">
        <v>5</v>
      </c>
      <c r="C16" s="33">
        <v>20</v>
      </c>
      <c r="D16" s="33">
        <v>300</v>
      </c>
      <c r="E16" s="33">
        <v>350000</v>
      </c>
      <c r="F16" s="33">
        <v>1500</v>
      </c>
      <c r="G16" s="48"/>
      <c r="H16" s="7"/>
    </row>
    <row r="17" spans="1:8" ht="24" customHeight="1">
      <c r="B17" s="32" t="s">
        <v>6</v>
      </c>
      <c r="C17" s="33">
        <v>20</v>
      </c>
      <c r="D17" s="33">
        <v>298</v>
      </c>
      <c r="E17" s="33">
        <v>340000</v>
      </c>
      <c r="F17" s="33">
        <v>1500</v>
      </c>
      <c r="G17" s="49"/>
      <c r="H17" s="7"/>
    </row>
    <row r="18" spans="1:8" ht="24" customHeight="1">
      <c r="B18" s="32" t="s">
        <v>7</v>
      </c>
      <c r="C18" s="33">
        <v>19</v>
      </c>
      <c r="D18" s="33">
        <v>280</v>
      </c>
      <c r="E18" s="33">
        <v>320000</v>
      </c>
      <c r="F18" s="33">
        <v>1425</v>
      </c>
      <c r="G18" s="49"/>
      <c r="H18" s="7"/>
    </row>
    <row r="19" spans="1:8" ht="24" customHeight="1">
      <c r="B19" s="32" t="s">
        <v>8</v>
      </c>
      <c r="C19" s="33">
        <v>21</v>
      </c>
      <c r="D19" s="33">
        <v>311</v>
      </c>
      <c r="E19" s="33">
        <v>360000</v>
      </c>
      <c r="F19" s="33">
        <v>2100</v>
      </c>
      <c r="G19" s="49"/>
      <c r="H19" s="7"/>
    </row>
    <row r="20" spans="1:8" ht="24" customHeight="1">
      <c r="B20" s="32" t="s">
        <v>9</v>
      </c>
      <c r="C20" s="33">
        <v>18</v>
      </c>
      <c r="D20" s="33">
        <v>277</v>
      </c>
      <c r="E20" s="33">
        <v>331000</v>
      </c>
      <c r="F20" s="33">
        <v>1330</v>
      </c>
      <c r="G20" s="49"/>
      <c r="H20" s="7"/>
    </row>
    <row r="21" spans="1:8" ht="24" customHeight="1">
      <c r="B21" s="32" t="s">
        <v>10</v>
      </c>
      <c r="C21" s="33">
        <v>17</v>
      </c>
      <c r="D21" s="33">
        <v>265</v>
      </c>
      <c r="E21" s="33">
        <v>309000</v>
      </c>
      <c r="F21" s="33">
        <v>1190</v>
      </c>
      <c r="G21" s="49"/>
      <c r="H21" s="7"/>
    </row>
    <row r="22" spans="1:8" ht="24" customHeight="1">
      <c r="B22" s="32" t="s">
        <v>11</v>
      </c>
      <c r="C22" s="33">
        <v>21</v>
      </c>
      <c r="D22" s="33">
        <v>309</v>
      </c>
      <c r="E22" s="33">
        <v>356000</v>
      </c>
      <c r="F22" s="33">
        <v>1680</v>
      </c>
      <c r="G22" s="49"/>
      <c r="H22" s="7"/>
    </row>
    <row r="23" spans="1:8" ht="24" customHeight="1">
      <c r="B23" s="32" t="s">
        <v>12</v>
      </c>
      <c r="C23" s="33">
        <v>20</v>
      </c>
      <c r="D23" s="33">
        <v>280</v>
      </c>
      <c r="E23" s="33">
        <v>357000</v>
      </c>
      <c r="F23" s="33">
        <v>1400</v>
      </c>
      <c r="G23" s="49"/>
      <c r="H23" s="7"/>
    </row>
    <row r="24" spans="1:8" ht="24" customHeight="1">
      <c r="B24" s="32" t="s">
        <v>13</v>
      </c>
      <c r="C24" s="33">
        <v>19</v>
      </c>
      <c r="D24" s="33">
        <v>288</v>
      </c>
      <c r="E24" s="33">
        <v>321000</v>
      </c>
      <c r="F24" s="33">
        <v>1425</v>
      </c>
      <c r="G24" s="49"/>
      <c r="H24" s="7"/>
    </row>
    <row r="25" spans="1:8" ht="24" customHeight="1">
      <c r="B25" s="32" t="s">
        <v>14</v>
      </c>
      <c r="C25" s="33">
        <v>20</v>
      </c>
      <c r="D25" s="33">
        <v>295</v>
      </c>
      <c r="E25" s="33">
        <v>366000</v>
      </c>
      <c r="F25" s="33">
        <v>1500</v>
      </c>
      <c r="G25" s="49"/>
      <c r="H25" s="7"/>
    </row>
    <row r="26" spans="1:8" ht="24" customHeight="1">
      <c r="B26" s="32" t="s">
        <v>15</v>
      </c>
      <c r="C26" s="33">
        <v>20</v>
      </c>
      <c r="D26" s="33">
        <v>289</v>
      </c>
      <c r="E26" s="33">
        <v>345000</v>
      </c>
      <c r="F26" s="33">
        <v>1600</v>
      </c>
      <c r="G26" s="49"/>
      <c r="H26" s="7"/>
    </row>
    <row r="27" spans="1:8" ht="24" customHeight="1" thickBot="1">
      <c r="B27" s="34" t="s">
        <v>16</v>
      </c>
      <c r="C27" s="35">
        <v>20</v>
      </c>
      <c r="D27" s="35">
        <v>294</v>
      </c>
      <c r="E27" s="35">
        <v>357000</v>
      </c>
      <c r="F27" s="35">
        <v>1500</v>
      </c>
      <c r="G27" s="50"/>
      <c r="H27" s="7"/>
    </row>
    <row r="28" spans="1:8" ht="24" customHeight="1" thickTop="1">
      <c r="B28" s="36" t="s">
        <v>17</v>
      </c>
      <c r="C28" s="37">
        <f>SUM(C16:C27)</f>
        <v>235</v>
      </c>
      <c r="D28" s="37">
        <f>SUM(D16:D27)</f>
        <v>3486</v>
      </c>
      <c r="E28" s="37">
        <f>SUM(E16:E27)</f>
        <v>4112000</v>
      </c>
      <c r="F28" s="37">
        <f>SUM(F16:F27)</f>
        <v>18150</v>
      </c>
      <c r="G28" s="40">
        <f>IF(AND(D28&gt;0,E28&gt;0),E28/D28,0)</f>
        <v>1179.5754446356857</v>
      </c>
      <c r="H28" s="12"/>
    </row>
    <row r="29" spans="1:8" ht="18" customHeight="1">
      <c r="B29" s="1"/>
      <c r="C29" s="4" t="s">
        <v>21</v>
      </c>
      <c r="D29" s="4" t="s">
        <v>30</v>
      </c>
      <c r="E29" s="4" t="s">
        <v>22</v>
      </c>
      <c r="F29" s="4" t="s">
        <v>31</v>
      </c>
      <c r="G29" s="9" t="s">
        <v>24</v>
      </c>
      <c r="H29" s="10"/>
    </row>
    <row r="30" spans="1:8">
      <c r="B30" s="2"/>
      <c r="C30" s="7"/>
      <c r="D30" s="7"/>
      <c r="E30" s="7"/>
      <c r="F30" s="2"/>
    </row>
    <row r="31" spans="1:8" ht="22.5" customHeight="1">
      <c r="A31" t="s">
        <v>56</v>
      </c>
      <c r="C31" s="5"/>
    </row>
    <row r="32" spans="1:8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>
        <v>3200</v>
      </c>
      <c r="C34" s="39">
        <v>3250</v>
      </c>
      <c r="D34" s="39">
        <v>3300</v>
      </c>
    </row>
  </sheetData>
  <mergeCells count="8">
    <mergeCell ref="G16:G27"/>
    <mergeCell ref="E9:F9"/>
    <mergeCell ref="A1:B1"/>
    <mergeCell ref="F4:G4"/>
    <mergeCell ref="F5:G5"/>
    <mergeCell ref="F6:G6"/>
    <mergeCell ref="E8:F8"/>
    <mergeCell ref="A2:G2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scale="9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H34"/>
  <sheetViews>
    <sheetView showZeros="0" zoomScaleNormal="100" workbookViewId="0">
      <selection activeCell="B5" sqref="B5"/>
    </sheetView>
  </sheetViews>
  <sheetFormatPr defaultRowHeight="13.5"/>
  <cols>
    <col min="1" max="1" width="3.625" customWidth="1"/>
    <col min="2" max="7" width="14.125" customWidth="1"/>
  </cols>
  <sheetData>
    <row r="1" spans="1:8" ht="22.5" customHeight="1">
      <c r="G1" s="8"/>
    </row>
    <row r="2" spans="1:8" ht="24" customHeight="1">
      <c r="A2" s="51" t="s">
        <v>57</v>
      </c>
      <c r="B2" s="51"/>
      <c r="C2" s="51"/>
      <c r="D2" s="51"/>
      <c r="E2" s="51"/>
      <c r="F2" s="51"/>
      <c r="G2" s="51"/>
      <c r="H2" s="43"/>
    </row>
    <row r="3" spans="1:8" ht="22.5" customHeight="1">
      <c r="A3" s="5" t="s">
        <v>62</v>
      </c>
    </row>
    <row r="4" spans="1:8" ht="22.5" customHeight="1">
      <c r="E4" s="20" t="s">
        <v>40</v>
      </c>
      <c r="F4" s="52"/>
      <c r="G4" s="53"/>
    </row>
    <row r="5" spans="1:8" ht="22.5" customHeight="1">
      <c r="E5" s="20" t="s">
        <v>41</v>
      </c>
      <c r="F5" s="52"/>
      <c r="G5" s="53"/>
    </row>
    <row r="6" spans="1:8" ht="22.5" customHeight="1">
      <c r="E6" s="20" t="s">
        <v>39</v>
      </c>
      <c r="F6" s="52"/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44" t="s">
        <v>58</v>
      </c>
      <c r="C9" s="45"/>
      <c r="D9" s="45"/>
      <c r="E9" s="47"/>
      <c r="F9" s="47"/>
      <c r="G9" s="31"/>
    </row>
    <row r="10" spans="1:8" ht="13.5" customHeight="1">
      <c r="B10" s="2"/>
      <c r="C10" s="2"/>
      <c r="D10" s="2"/>
      <c r="E10" s="2"/>
      <c r="F10" s="2"/>
      <c r="G10" s="2"/>
    </row>
    <row r="11" spans="1:8" ht="22.5" customHeight="1">
      <c r="A11" t="s">
        <v>53</v>
      </c>
    </row>
    <row r="12" spans="1:8" ht="15" customHeight="1">
      <c r="F12" s="6" t="s">
        <v>20</v>
      </c>
    </row>
    <row r="13" spans="1:8" ht="15.75" customHeight="1">
      <c r="B13" s="22"/>
      <c r="C13" s="21" t="s">
        <v>4</v>
      </c>
      <c r="D13" s="46" t="s">
        <v>28</v>
      </c>
      <c r="E13" s="21" t="s">
        <v>18</v>
      </c>
      <c r="F13" s="21" t="s">
        <v>54</v>
      </c>
    </row>
    <row r="14" spans="1:8" ht="15.75" customHeight="1">
      <c r="B14" s="42" t="s">
        <v>48</v>
      </c>
      <c r="C14" s="25" t="s">
        <v>29</v>
      </c>
      <c r="D14" s="26" t="s">
        <v>27</v>
      </c>
      <c r="E14" s="24" t="s">
        <v>55</v>
      </c>
      <c r="F14" s="24" t="s">
        <v>52</v>
      </c>
    </row>
    <row r="15" spans="1:8" ht="15.75" customHeight="1">
      <c r="B15" s="27"/>
      <c r="C15" s="24" t="s">
        <v>46</v>
      </c>
      <c r="D15" s="28" t="s">
        <v>44</v>
      </c>
      <c r="E15" s="24" t="s">
        <v>45</v>
      </c>
      <c r="F15" s="29" t="s">
        <v>49</v>
      </c>
    </row>
    <row r="16" spans="1:8" ht="24" customHeight="1">
      <c r="B16" s="32" t="s">
        <v>5</v>
      </c>
      <c r="C16" s="33"/>
      <c r="D16" s="33"/>
      <c r="E16" s="33"/>
      <c r="F16" s="58"/>
    </row>
    <row r="17" spans="1:6" ht="24" customHeight="1">
      <c r="B17" s="32" t="s">
        <v>6</v>
      </c>
      <c r="C17" s="33"/>
      <c r="D17" s="33"/>
      <c r="E17" s="33"/>
      <c r="F17" s="59"/>
    </row>
    <row r="18" spans="1:6" ht="24" customHeight="1">
      <c r="B18" s="32" t="s">
        <v>7</v>
      </c>
      <c r="C18" s="33"/>
      <c r="D18" s="33"/>
      <c r="E18" s="33"/>
      <c r="F18" s="59"/>
    </row>
    <row r="19" spans="1:6" ht="24" customHeight="1">
      <c r="B19" s="32" t="s">
        <v>8</v>
      </c>
      <c r="C19" s="33"/>
      <c r="D19" s="33"/>
      <c r="E19" s="33"/>
      <c r="F19" s="59"/>
    </row>
    <row r="20" spans="1:6" ht="24" customHeight="1">
      <c r="B20" s="32" t="s">
        <v>9</v>
      </c>
      <c r="C20" s="33"/>
      <c r="D20" s="33"/>
      <c r="E20" s="33"/>
      <c r="F20" s="59"/>
    </row>
    <row r="21" spans="1:6" ht="24" customHeight="1">
      <c r="B21" s="32" t="s">
        <v>10</v>
      </c>
      <c r="C21" s="33"/>
      <c r="D21" s="33"/>
      <c r="E21" s="33"/>
      <c r="F21" s="59"/>
    </row>
    <row r="22" spans="1:6" ht="24" customHeight="1">
      <c r="B22" s="32" t="s">
        <v>11</v>
      </c>
      <c r="C22" s="33"/>
      <c r="D22" s="33"/>
      <c r="E22" s="33"/>
      <c r="F22" s="59"/>
    </row>
    <row r="23" spans="1:6" ht="24" customHeight="1">
      <c r="B23" s="32" t="s">
        <v>12</v>
      </c>
      <c r="C23" s="33"/>
      <c r="D23" s="33"/>
      <c r="E23" s="33"/>
      <c r="F23" s="59"/>
    </row>
    <row r="24" spans="1:6" ht="24" customHeight="1">
      <c r="B24" s="32" t="s">
        <v>13</v>
      </c>
      <c r="C24" s="33"/>
      <c r="D24" s="33"/>
      <c r="E24" s="33"/>
      <c r="F24" s="59"/>
    </row>
    <row r="25" spans="1:6" ht="24" customHeight="1">
      <c r="B25" s="32" t="s">
        <v>14</v>
      </c>
      <c r="C25" s="33"/>
      <c r="D25" s="33"/>
      <c r="E25" s="33"/>
      <c r="F25" s="59"/>
    </row>
    <row r="26" spans="1:6" ht="24" customHeight="1">
      <c r="B26" s="32" t="s">
        <v>15</v>
      </c>
      <c r="C26" s="33"/>
      <c r="D26" s="33"/>
      <c r="E26" s="33"/>
      <c r="F26" s="59"/>
    </row>
    <row r="27" spans="1:6" ht="24" customHeight="1" thickBot="1">
      <c r="B27" s="34" t="s">
        <v>16</v>
      </c>
      <c r="C27" s="35"/>
      <c r="D27" s="35"/>
      <c r="E27" s="35"/>
      <c r="F27" s="60"/>
    </row>
    <row r="28" spans="1:6" ht="24" customHeight="1" thickTop="1">
      <c r="B28" s="36" t="s">
        <v>17</v>
      </c>
      <c r="C28" s="37">
        <f>SUM(C16:C27)</f>
        <v>0</v>
      </c>
      <c r="D28" s="37">
        <f>SUM(D16:D27)</f>
        <v>0</v>
      </c>
      <c r="E28" s="37">
        <f>SUM(E16:E27)</f>
        <v>0</v>
      </c>
      <c r="F28" s="38">
        <f>IF(AND(D28&gt;0,E28&gt;0),E28/D28,0)</f>
        <v>0</v>
      </c>
    </row>
    <row r="29" spans="1:6" ht="18" customHeight="1">
      <c r="B29" s="1"/>
      <c r="C29" s="3" t="s">
        <v>21</v>
      </c>
      <c r="D29" s="4" t="s">
        <v>31</v>
      </c>
      <c r="E29" s="4" t="s">
        <v>22</v>
      </c>
      <c r="F29" s="17" t="s">
        <v>23</v>
      </c>
    </row>
    <row r="30" spans="1:6">
      <c r="B30" s="2"/>
      <c r="C30" s="7"/>
      <c r="D30" s="7"/>
      <c r="E30" s="7"/>
      <c r="F30" s="7"/>
    </row>
    <row r="31" spans="1:6" ht="22.5" customHeight="1">
      <c r="A31" t="s">
        <v>56</v>
      </c>
      <c r="C31" s="5"/>
    </row>
    <row r="32" spans="1:6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/>
      <c r="C34" s="39"/>
      <c r="D34" s="39"/>
    </row>
  </sheetData>
  <mergeCells count="7">
    <mergeCell ref="A2:G2"/>
    <mergeCell ref="E9:F9"/>
    <mergeCell ref="F16:F27"/>
    <mergeCell ref="F4:G4"/>
    <mergeCell ref="F5:G5"/>
    <mergeCell ref="F6:G6"/>
    <mergeCell ref="E8:F8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scale="9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H34"/>
  <sheetViews>
    <sheetView showZeros="0" zoomScaleNormal="100" workbookViewId="0">
      <selection activeCell="B5" sqref="B5"/>
    </sheetView>
  </sheetViews>
  <sheetFormatPr defaultRowHeight="13.5"/>
  <cols>
    <col min="1" max="1" width="3.625" customWidth="1"/>
    <col min="2" max="7" width="14.125" customWidth="1"/>
  </cols>
  <sheetData>
    <row r="1" spans="1:8" ht="22.5" customHeight="1" thickBot="1">
      <c r="A1" s="56" t="s">
        <v>47</v>
      </c>
      <c r="B1" s="57"/>
      <c r="G1" s="8"/>
    </row>
    <row r="2" spans="1:8" ht="24" customHeight="1">
      <c r="A2" s="51" t="s">
        <v>57</v>
      </c>
      <c r="B2" s="51"/>
      <c r="C2" s="51"/>
      <c r="D2" s="51"/>
      <c r="E2" s="51"/>
      <c r="F2" s="51"/>
      <c r="G2" s="51"/>
      <c r="H2" s="15"/>
    </row>
    <row r="3" spans="1:8" ht="22.5" customHeight="1">
      <c r="A3" s="5" t="s">
        <v>62</v>
      </c>
    </row>
    <row r="4" spans="1:8" ht="22.5" customHeight="1">
      <c r="E4" s="20" t="s">
        <v>40</v>
      </c>
      <c r="F4" s="52"/>
      <c r="G4" s="53"/>
    </row>
    <row r="5" spans="1:8" ht="22.5" customHeight="1">
      <c r="E5" s="20" t="s">
        <v>41</v>
      </c>
      <c r="F5" s="52"/>
      <c r="G5" s="53"/>
    </row>
    <row r="6" spans="1:8" ht="22.5" customHeight="1">
      <c r="E6" s="20" t="s">
        <v>39</v>
      </c>
      <c r="F6" s="52"/>
      <c r="G6" s="53"/>
    </row>
    <row r="7" spans="1:8" ht="22.5" customHeight="1">
      <c r="A7" t="s">
        <v>19</v>
      </c>
    </row>
    <row r="8" spans="1:8" ht="24" customHeight="1">
      <c r="B8" s="21" t="s">
        <v>0</v>
      </c>
      <c r="C8" s="21" t="s">
        <v>33</v>
      </c>
      <c r="D8" s="21" t="s">
        <v>1</v>
      </c>
      <c r="E8" s="54" t="s">
        <v>2</v>
      </c>
      <c r="F8" s="55"/>
      <c r="G8" s="21" t="s">
        <v>3</v>
      </c>
    </row>
    <row r="9" spans="1:8" ht="52.5" customHeight="1">
      <c r="B9" s="16" t="s">
        <v>58</v>
      </c>
      <c r="C9" s="19" t="s">
        <v>32</v>
      </c>
      <c r="D9" s="19" t="s">
        <v>32</v>
      </c>
      <c r="E9" s="47" t="s">
        <v>35</v>
      </c>
      <c r="F9" s="47"/>
      <c r="G9" s="31">
        <v>20</v>
      </c>
    </row>
    <row r="10" spans="1:8" ht="13.5" customHeight="1">
      <c r="B10" s="2"/>
      <c r="C10" s="2"/>
      <c r="D10" s="2"/>
      <c r="E10" s="2"/>
      <c r="F10" s="2"/>
      <c r="G10" s="2"/>
    </row>
    <row r="11" spans="1:8" ht="22.5" customHeight="1">
      <c r="A11" t="s">
        <v>53</v>
      </c>
    </row>
    <row r="12" spans="1:8" ht="15" customHeight="1">
      <c r="F12" s="6" t="s">
        <v>20</v>
      </c>
    </row>
    <row r="13" spans="1:8" ht="15.75" customHeight="1">
      <c r="B13" s="22"/>
      <c r="C13" s="21" t="s">
        <v>4</v>
      </c>
      <c r="D13" s="23" t="s">
        <v>28</v>
      </c>
      <c r="E13" s="21" t="s">
        <v>18</v>
      </c>
      <c r="F13" s="21" t="s">
        <v>54</v>
      </c>
    </row>
    <row r="14" spans="1:8" ht="15.75" customHeight="1">
      <c r="B14" s="42" t="s">
        <v>48</v>
      </c>
      <c r="C14" s="25" t="s">
        <v>29</v>
      </c>
      <c r="D14" s="26" t="s">
        <v>27</v>
      </c>
      <c r="E14" s="24" t="s">
        <v>55</v>
      </c>
      <c r="F14" s="24" t="s">
        <v>52</v>
      </c>
    </row>
    <row r="15" spans="1:8" ht="15.75" customHeight="1">
      <c r="B15" s="27"/>
      <c r="C15" s="24" t="s">
        <v>46</v>
      </c>
      <c r="D15" s="28" t="s">
        <v>44</v>
      </c>
      <c r="E15" s="24" t="s">
        <v>45</v>
      </c>
      <c r="F15" s="29" t="s">
        <v>49</v>
      </c>
    </row>
    <row r="16" spans="1:8" ht="24" customHeight="1">
      <c r="B16" s="32" t="s">
        <v>5</v>
      </c>
      <c r="C16" s="33">
        <v>20</v>
      </c>
      <c r="D16" s="33">
        <v>1500</v>
      </c>
      <c r="E16" s="33">
        <v>350000</v>
      </c>
      <c r="F16" s="58"/>
    </row>
    <row r="17" spans="1:6" ht="24" customHeight="1">
      <c r="B17" s="32" t="s">
        <v>6</v>
      </c>
      <c r="C17" s="33">
        <v>20</v>
      </c>
      <c r="D17" s="33">
        <v>1500</v>
      </c>
      <c r="E17" s="33">
        <v>340000</v>
      </c>
      <c r="F17" s="59"/>
    </row>
    <row r="18" spans="1:6" ht="24" customHeight="1">
      <c r="B18" s="32" t="s">
        <v>7</v>
      </c>
      <c r="C18" s="33">
        <v>19</v>
      </c>
      <c r="D18" s="33">
        <v>1425</v>
      </c>
      <c r="E18" s="33">
        <v>320000</v>
      </c>
      <c r="F18" s="59"/>
    </row>
    <row r="19" spans="1:6" ht="24" customHeight="1">
      <c r="B19" s="32" t="s">
        <v>8</v>
      </c>
      <c r="C19" s="33">
        <v>21</v>
      </c>
      <c r="D19" s="33">
        <v>2100</v>
      </c>
      <c r="E19" s="33">
        <v>360000</v>
      </c>
      <c r="F19" s="59"/>
    </row>
    <row r="20" spans="1:6" ht="24" customHeight="1">
      <c r="B20" s="32" t="s">
        <v>9</v>
      </c>
      <c r="C20" s="33">
        <v>18</v>
      </c>
      <c r="D20" s="33">
        <v>1330</v>
      </c>
      <c r="E20" s="33">
        <v>331000</v>
      </c>
      <c r="F20" s="59"/>
    </row>
    <row r="21" spans="1:6" ht="24" customHeight="1">
      <c r="B21" s="32" t="s">
        <v>10</v>
      </c>
      <c r="C21" s="33">
        <v>17</v>
      </c>
      <c r="D21" s="33">
        <v>1190</v>
      </c>
      <c r="E21" s="33">
        <v>309000</v>
      </c>
      <c r="F21" s="59"/>
    </row>
    <row r="22" spans="1:6" ht="24" customHeight="1">
      <c r="B22" s="32" t="s">
        <v>11</v>
      </c>
      <c r="C22" s="33">
        <v>21</v>
      </c>
      <c r="D22" s="33">
        <v>1680</v>
      </c>
      <c r="E22" s="33">
        <v>356000</v>
      </c>
      <c r="F22" s="59"/>
    </row>
    <row r="23" spans="1:6" ht="24" customHeight="1">
      <c r="B23" s="32" t="s">
        <v>12</v>
      </c>
      <c r="C23" s="33">
        <v>20</v>
      </c>
      <c r="D23" s="33">
        <v>1400</v>
      </c>
      <c r="E23" s="33">
        <v>357000</v>
      </c>
      <c r="F23" s="59"/>
    </row>
    <row r="24" spans="1:6" ht="24" customHeight="1">
      <c r="B24" s="32" t="s">
        <v>13</v>
      </c>
      <c r="C24" s="33">
        <v>19</v>
      </c>
      <c r="D24" s="33">
        <v>1425</v>
      </c>
      <c r="E24" s="33">
        <v>321000</v>
      </c>
      <c r="F24" s="59"/>
    </row>
    <row r="25" spans="1:6" ht="24" customHeight="1">
      <c r="B25" s="32" t="s">
        <v>14</v>
      </c>
      <c r="C25" s="33">
        <v>20</v>
      </c>
      <c r="D25" s="33">
        <v>1500</v>
      </c>
      <c r="E25" s="33">
        <v>366000</v>
      </c>
      <c r="F25" s="59"/>
    </row>
    <row r="26" spans="1:6" ht="24" customHeight="1">
      <c r="B26" s="32" t="s">
        <v>15</v>
      </c>
      <c r="C26" s="33">
        <v>20</v>
      </c>
      <c r="D26" s="33">
        <v>1600</v>
      </c>
      <c r="E26" s="33">
        <v>345000</v>
      </c>
      <c r="F26" s="59"/>
    </row>
    <row r="27" spans="1:6" ht="24" customHeight="1" thickBot="1">
      <c r="B27" s="34" t="s">
        <v>16</v>
      </c>
      <c r="C27" s="35">
        <v>20</v>
      </c>
      <c r="D27" s="35">
        <v>1500</v>
      </c>
      <c r="E27" s="35">
        <v>357000</v>
      </c>
      <c r="F27" s="60"/>
    </row>
    <row r="28" spans="1:6" ht="24" customHeight="1" thickTop="1">
      <c r="B28" s="36" t="s">
        <v>17</v>
      </c>
      <c r="C28" s="37">
        <f>SUM(C16:C27)</f>
        <v>235</v>
      </c>
      <c r="D28" s="37">
        <f>SUM(D16:D27)</f>
        <v>18150</v>
      </c>
      <c r="E28" s="37">
        <f>SUM(E16:E27)</f>
        <v>4112000</v>
      </c>
      <c r="F28" s="38">
        <f>IF(AND(D28&gt;0,E28&gt;0),E28/D28,0)</f>
        <v>226.55647382920111</v>
      </c>
    </row>
    <row r="29" spans="1:6" ht="18" customHeight="1">
      <c r="B29" s="1"/>
      <c r="C29" s="3" t="s">
        <v>21</v>
      </c>
      <c r="D29" s="4" t="s">
        <v>31</v>
      </c>
      <c r="E29" s="4" t="s">
        <v>22</v>
      </c>
      <c r="F29" s="17" t="s">
        <v>24</v>
      </c>
    </row>
    <row r="30" spans="1:6">
      <c r="B30" s="2"/>
      <c r="C30" s="7"/>
      <c r="D30" s="7"/>
      <c r="E30" s="7"/>
      <c r="F30" s="7"/>
    </row>
    <row r="31" spans="1:6" ht="22.5" customHeight="1">
      <c r="A31" t="s">
        <v>56</v>
      </c>
      <c r="C31" s="5"/>
    </row>
    <row r="32" spans="1:6" ht="15" customHeight="1">
      <c r="C32" s="5"/>
      <c r="D32" s="6" t="s">
        <v>20</v>
      </c>
    </row>
    <row r="33" spans="2:4" ht="32.25" customHeight="1">
      <c r="B33" s="30" t="s">
        <v>36</v>
      </c>
      <c r="C33" s="30" t="s">
        <v>37</v>
      </c>
      <c r="D33" s="30" t="s">
        <v>38</v>
      </c>
    </row>
    <row r="34" spans="2:4" ht="24" customHeight="1">
      <c r="B34" s="39">
        <v>730</v>
      </c>
      <c r="C34" s="39">
        <v>735</v>
      </c>
      <c r="D34" s="39">
        <v>740</v>
      </c>
    </row>
  </sheetData>
  <mergeCells count="8">
    <mergeCell ref="A1:B1"/>
    <mergeCell ref="A2:G2"/>
    <mergeCell ref="F16:F27"/>
    <mergeCell ref="F4:G4"/>
    <mergeCell ref="F5:G5"/>
    <mergeCell ref="F6:G6"/>
    <mergeCell ref="E8:F8"/>
    <mergeCell ref="E9:F9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調査票（月額）</vt:lpstr>
      <vt:lpstr>記入例（月額）</vt:lpstr>
      <vt:lpstr>調査票（日額）</vt:lpstr>
      <vt:lpstr>記入例（日額）</vt:lpstr>
      <vt:lpstr>調査票（時間額）</vt:lpstr>
      <vt:lpstr>記入例（時間額）</vt:lpstr>
    </vt:vector>
  </TitlesOfParts>
  <Company>広島県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広島県</dc:creator>
  <cp:lastModifiedBy>okazaki</cp:lastModifiedBy>
  <cp:lastPrinted>2015-04-28T08:06:44Z</cp:lastPrinted>
  <dcterms:created xsi:type="dcterms:W3CDTF">2009-04-15T09:25:07Z</dcterms:created>
  <dcterms:modified xsi:type="dcterms:W3CDTF">2015-06-23T07:26:18Z</dcterms:modified>
</cp:coreProperties>
</file>