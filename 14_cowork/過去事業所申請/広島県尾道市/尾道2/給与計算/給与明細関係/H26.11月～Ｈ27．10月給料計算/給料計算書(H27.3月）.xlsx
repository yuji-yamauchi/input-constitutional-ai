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H26.11月～Ｈ27．10月給料計算\"/>
    </mc:Choice>
  </mc:AlternateContent>
  <bookViews>
    <workbookView xWindow="0" yWindow="0" windowWidth="28800" windowHeight="12450" activeTab="4"/>
  </bookViews>
  <sheets>
    <sheet name="3月分" sheetId="1" r:id="rId1"/>
    <sheet name="賃金集計表" sheetId="5" r:id="rId2"/>
    <sheet name="給料支払明細書" sheetId="4" r:id="rId3"/>
    <sheet name="給料支払明細書（2）" sheetId="3" r:id="rId4"/>
    <sheet name="Sheet1" sheetId="6" r:id="rId5"/>
  </sheets>
  <definedNames>
    <definedName name="_xlnm.Print_Area" localSheetId="0">'3月分'!$A$1:$AO$34</definedName>
    <definedName name="_xlnm.Print_Area" localSheetId="2">給料支払明細書!$A$1:$P$75</definedName>
    <definedName name="_xlnm.Print_Area" localSheetId="3">'給料支払明細書（2）'!$A$1:$AI$204</definedName>
    <definedName name="_xlnm.Print_Area" localSheetId="1">賃金集計表!$A$1:$X$40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6" l="1"/>
  <c r="F34" i="6"/>
  <c r="F33" i="6"/>
  <c r="F30" i="6"/>
  <c r="F29" i="6"/>
  <c r="F28" i="6"/>
  <c r="F27" i="6"/>
  <c r="F26" i="6"/>
  <c r="F23" i="6"/>
  <c r="F22" i="6"/>
  <c r="F21" i="6"/>
  <c r="F20" i="6"/>
  <c r="F19" i="6"/>
  <c r="F17" i="6"/>
  <c r="F16" i="6"/>
  <c r="F15" i="6"/>
  <c r="F14" i="6"/>
  <c r="F13" i="6"/>
  <c r="F12" i="6"/>
  <c r="F9" i="6"/>
  <c r="F8" i="6"/>
  <c r="F7" i="6"/>
  <c r="F6" i="6"/>
  <c r="F5" i="6"/>
  <c r="T64" i="4" l="1"/>
  <c r="B31" i="5"/>
  <c r="B30" i="5"/>
  <c r="B29" i="5"/>
  <c r="B25" i="5"/>
  <c r="B24" i="5"/>
  <c r="B23" i="5"/>
  <c r="B22" i="5"/>
  <c r="B21" i="5"/>
  <c r="B20" i="5"/>
  <c r="B19" i="5"/>
  <c r="B18" i="5"/>
  <c r="B17" i="5"/>
  <c r="B16" i="5"/>
  <c r="B12" i="5"/>
  <c r="B11" i="5"/>
  <c r="B10" i="5"/>
  <c r="B6" i="5"/>
  <c r="B5" i="5"/>
  <c r="H304" i="4" l="1"/>
  <c r="H289" i="4"/>
  <c r="H274" i="4"/>
  <c r="H229" i="4"/>
  <c r="H214" i="4"/>
  <c r="O205" i="4"/>
  <c r="H199" i="4"/>
  <c r="O190" i="4"/>
  <c r="I187" i="4"/>
  <c r="H184" i="4"/>
  <c r="O175" i="4"/>
  <c r="H169" i="4"/>
  <c r="O160" i="4"/>
  <c r="H154" i="4"/>
  <c r="O145" i="4"/>
  <c r="H139" i="4"/>
  <c r="O130" i="4"/>
  <c r="H124" i="4"/>
  <c r="O115" i="4"/>
  <c r="H109" i="4"/>
  <c r="O100" i="4"/>
  <c r="H94" i="4"/>
  <c r="A82" i="4"/>
  <c r="K79" i="4"/>
  <c r="H79" i="4"/>
  <c r="O70" i="4"/>
  <c r="K64" i="4"/>
  <c r="H64" i="4"/>
  <c r="O55" i="4"/>
  <c r="O25" i="4"/>
  <c r="O10" i="4"/>
  <c r="I10" i="4"/>
  <c r="G10" i="4"/>
  <c r="E10" i="4"/>
  <c r="C10" i="4"/>
  <c r="A10" i="4"/>
  <c r="H19" i="4"/>
  <c r="A22" i="4"/>
  <c r="I25" i="4"/>
  <c r="I55" i="4"/>
  <c r="G55" i="4"/>
  <c r="E55" i="4"/>
  <c r="C55" i="4"/>
  <c r="A55" i="4"/>
  <c r="I52" i="4"/>
  <c r="A52" i="4"/>
  <c r="H49" i="4"/>
  <c r="I7" i="4" l="1"/>
  <c r="A7" i="4"/>
  <c r="H4" i="4"/>
  <c r="C303" i="4"/>
  <c r="C288" i="4"/>
  <c r="C273" i="4"/>
  <c r="C228" i="4"/>
  <c r="C213" i="4"/>
  <c r="C198" i="4"/>
  <c r="C183" i="4"/>
  <c r="C168" i="4"/>
  <c r="C153" i="4"/>
  <c r="C138" i="4"/>
  <c r="C123" i="4"/>
  <c r="C108" i="4"/>
  <c r="C93" i="4"/>
  <c r="C78" i="4"/>
  <c r="C63" i="4"/>
  <c r="C48" i="4"/>
  <c r="C18" i="4"/>
  <c r="C3" i="4"/>
  <c r="D298" i="4"/>
  <c r="D283" i="4"/>
  <c r="C262" i="4"/>
  <c r="A268" i="4" s="1"/>
  <c r="H259" i="4"/>
  <c r="D253" i="4"/>
  <c r="A253" i="4"/>
  <c r="G253" i="4" s="1"/>
  <c r="H244" i="4"/>
  <c r="D238" i="4"/>
  <c r="D208" i="4"/>
  <c r="D193" i="4"/>
  <c r="D163" i="4"/>
  <c r="D148" i="4"/>
  <c r="C127" i="4"/>
  <c r="D118" i="4"/>
  <c r="D103" i="4"/>
  <c r="C82" i="4"/>
  <c r="A88" i="4" s="1"/>
  <c r="D313" i="4" l="1"/>
  <c r="D268" i="4"/>
  <c r="G268" i="4" s="1"/>
  <c r="D223" i="4"/>
  <c r="D178" i="4"/>
  <c r="G178" i="4" s="1"/>
  <c r="D133" i="4"/>
  <c r="D88" i="4"/>
  <c r="G88" i="4" s="1"/>
  <c r="W36" i="5"/>
  <c r="V36" i="5"/>
  <c r="U36" i="5"/>
  <c r="T36" i="5"/>
  <c r="S36" i="5"/>
  <c r="R36" i="5"/>
  <c r="Q36" i="5"/>
  <c r="P36" i="5"/>
  <c r="N36" i="5"/>
  <c r="M36" i="5"/>
  <c r="L36" i="5"/>
  <c r="K36" i="5"/>
  <c r="J36" i="5"/>
  <c r="I36" i="5"/>
  <c r="W33" i="5"/>
  <c r="W27" i="5"/>
  <c r="V27" i="5"/>
  <c r="L27" i="5"/>
  <c r="W14" i="5"/>
  <c r="V14" i="5"/>
  <c r="S14" i="5"/>
  <c r="R14" i="5"/>
  <c r="M14" i="5"/>
  <c r="H14" i="5"/>
  <c r="X8" i="5"/>
  <c r="W8" i="5"/>
  <c r="S8" i="5"/>
  <c r="R8" i="5"/>
  <c r="Q8" i="5"/>
  <c r="P8" i="5"/>
  <c r="O8" i="5"/>
  <c r="M8" i="5"/>
  <c r="H8" i="5"/>
  <c r="W200" i="3"/>
  <c r="W199" i="3"/>
  <c r="W184" i="3"/>
  <c r="N200" i="3"/>
  <c r="N199" i="3"/>
  <c r="E200" i="3"/>
  <c r="E199" i="3"/>
  <c r="N165" i="3"/>
  <c r="E165" i="3"/>
  <c r="E166" i="3" s="1"/>
  <c r="AF131" i="3"/>
  <c r="AF132" i="3" s="1"/>
  <c r="W131" i="3"/>
  <c r="W132" i="3" s="1"/>
  <c r="W121" i="3"/>
  <c r="N132" i="3"/>
  <c r="N124" i="3"/>
  <c r="E131" i="3"/>
  <c r="E132" i="3" s="1"/>
  <c r="AF97" i="3"/>
  <c r="AF98" i="3" s="1"/>
  <c r="W98" i="3"/>
  <c r="N97" i="3"/>
  <c r="N98" i="3" s="1"/>
  <c r="E97" i="3"/>
  <c r="E98" i="3" s="1"/>
  <c r="Y179" i="3"/>
  <c r="P179" i="3"/>
  <c r="G179" i="3"/>
  <c r="P145" i="3"/>
  <c r="G145" i="3"/>
  <c r="AH111" i="3"/>
  <c r="Y111" i="3"/>
  <c r="P111" i="3"/>
  <c r="G111" i="3"/>
  <c r="AH77" i="3"/>
  <c r="Y77" i="3"/>
  <c r="P77" i="3"/>
  <c r="G77" i="3"/>
  <c r="S175" i="3"/>
  <c r="J175" i="3"/>
  <c r="A175" i="3"/>
  <c r="J141" i="3"/>
  <c r="A141" i="3"/>
  <c r="AB175" i="3"/>
  <c r="AB141" i="3"/>
  <c r="S141" i="3"/>
  <c r="AB107" i="3"/>
  <c r="S107" i="3"/>
  <c r="J107" i="3"/>
  <c r="A107" i="3"/>
  <c r="AB73" i="3"/>
  <c r="S73" i="3"/>
  <c r="J73" i="3"/>
  <c r="A73" i="3"/>
  <c r="E99" i="3"/>
  <c r="E48" i="3"/>
  <c r="AF29" i="3"/>
  <c r="W29" i="3"/>
  <c r="W26" i="3"/>
  <c r="W20" i="3"/>
  <c r="W14" i="3"/>
  <c r="N31" i="3"/>
  <c r="N30" i="3"/>
  <c r="N26" i="3"/>
  <c r="N22" i="3"/>
  <c r="N14" i="3"/>
  <c r="E31" i="3"/>
  <c r="E30" i="3"/>
  <c r="E27" i="3"/>
  <c r="E26" i="3"/>
  <c r="E25" i="3"/>
  <c r="E24" i="3"/>
  <c r="E23" i="3"/>
  <c r="E22" i="3"/>
  <c r="E20" i="3"/>
  <c r="E14" i="3"/>
  <c r="X6" i="5"/>
  <c r="X5" i="5"/>
  <c r="W25" i="5"/>
  <c r="N166" i="3" s="1"/>
  <c r="W31" i="5"/>
  <c r="W30" i="5"/>
  <c r="W29" i="5"/>
  <c r="W24" i="5"/>
  <c r="W23" i="5"/>
  <c r="W22" i="5"/>
  <c r="W21" i="5"/>
  <c r="W20" i="5"/>
  <c r="W19" i="5"/>
  <c r="W18" i="5"/>
  <c r="W17" i="5"/>
  <c r="W16" i="5"/>
  <c r="W12" i="5"/>
  <c r="W11" i="5"/>
  <c r="AF30" i="3" s="1"/>
  <c r="W10" i="5"/>
  <c r="W30" i="3" s="1"/>
  <c r="W6" i="5"/>
  <c r="W5" i="5"/>
  <c r="O31" i="5"/>
  <c r="X31" i="5" s="1"/>
  <c r="W201" i="3" s="1"/>
  <c r="O21" i="5"/>
  <c r="X21" i="5" s="1"/>
  <c r="N133" i="3" s="1"/>
  <c r="O10" i="5"/>
  <c r="W22" i="3" s="1"/>
  <c r="O6" i="5"/>
  <c r="O5" i="5"/>
  <c r="O12" i="5"/>
  <c r="O11" i="5"/>
  <c r="O14" i="5" s="1"/>
  <c r="H31" i="5"/>
  <c r="A307" i="4" s="1"/>
  <c r="A313" i="4" s="1"/>
  <c r="H30" i="5"/>
  <c r="A292" i="4" s="1"/>
  <c r="A298" i="4" s="1"/>
  <c r="G298" i="4" s="1"/>
  <c r="H29" i="5"/>
  <c r="A277" i="4" s="1"/>
  <c r="A283" i="4" s="1"/>
  <c r="G283" i="4" s="1"/>
  <c r="H25" i="5"/>
  <c r="A232" i="4" s="1"/>
  <c r="A238" i="4" s="1"/>
  <c r="G238" i="4" s="1"/>
  <c r="H24" i="5"/>
  <c r="A217" i="4" s="1"/>
  <c r="A223" i="4" s="1"/>
  <c r="H23" i="5"/>
  <c r="A202" i="4" s="1"/>
  <c r="A208" i="4" s="1"/>
  <c r="G208" i="4" s="1"/>
  <c r="H22" i="5"/>
  <c r="A187" i="4" s="1"/>
  <c r="A193" i="4" s="1"/>
  <c r="G193" i="4" s="1"/>
  <c r="H21" i="5"/>
  <c r="A172" i="4" s="1"/>
  <c r="A178" i="4" s="1"/>
  <c r="H20" i="5"/>
  <c r="A157" i="4" s="1"/>
  <c r="A163" i="4" s="1"/>
  <c r="G163" i="4" s="1"/>
  <c r="H19" i="5"/>
  <c r="A142" i="4" s="1"/>
  <c r="A148" i="4" s="1"/>
  <c r="G148" i="4" s="1"/>
  <c r="H18" i="5"/>
  <c r="A127" i="4" s="1"/>
  <c r="A133" i="4" s="1"/>
  <c r="H17" i="5"/>
  <c r="A112" i="4" s="1"/>
  <c r="A118" i="4" s="1"/>
  <c r="G118" i="4" s="1"/>
  <c r="H16" i="5"/>
  <c r="A97" i="4" s="1"/>
  <c r="A103" i="4" s="1"/>
  <c r="G103" i="4" s="1"/>
  <c r="D73" i="4"/>
  <c r="A73" i="4"/>
  <c r="G73" i="4" s="1"/>
  <c r="N64" i="4"/>
  <c r="D58" i="4"/>
  <c r="A58" i="4"/>
  <c r="G58" i="4" s="1"/>
  <c r="N49" i="4"/>
  <c r="A43" i="4"/>
  <c r="D28" i="4"/>
  <c r="A28" i="4"/>
  <c r="G28" i="4" s="1"/>
  <c r="D13" i="4"/>
  <c r="A13" i="4"/>
  <c r="G13" i="4" s="1"/>
  <c r="G313" i="4" l="1"/>
  <c r="O30" i="5"/>
  <c r="N192" i="3" s="1"/>
  <c r="N184" i="3"/>
  <c r="H33" i="5"/>
  <c r="O29" i="5"/>
  <c r="E184" i="3"/>
  <c r="O25" i="5"/>
  <c r="N158" i="3" s="1"/>
  <c r="O23" i="5"/>
  <c r="X23" i="5" s="1"/>
  <c r="AF133" i="3" s="1"/>
  <c r="O19" i="5"/>
  <c r="AF82" i="3" s="1"/>
  <c r="AF90" i="3" s="1"/>
  <c r="O17" i="5"/>
  <c r="N82" i="3" s="1"/>
  <c r="W116" i="3"/>
  <c r="E150" i="3"/>
  <c r="E158" i="3" s="1"/>
  <c r="E167" i="3" s="1"/>
  <c r="H27" i="5"/>
  <c r="O18" i="5"/>
  <c r="W82" i="3" s="1"/>
  <c r="W90" i="3" s="1"/>
  <c r="O20" i="5"/>
  <c r="X20" i="5" s="1"/>
  <c r="E133" i="3" s="1"/>
  <c r="O22" i="5"/>
  <c r="X22" i="5" s="1"/>
  <c r="W133" i="3" s="1"/>
  <c r="O24" i="5"/>
  <c r="X24" i="5" s="1"/>
  <c r="E116" i="3"/>
  <c r="E124" i="3" s="1"/>
  <c r="N116" i="3"/>
  <c r="AF116" i="3"/>
  <c r="AF124" i="3" s="1"/>
  <c r="G133" i="4"/>
  <c r="G223" i="4"/>
  <c r="O16" i="5"/>
  <c r="X11" i="5"/>
  <c r="W192" i="3"/>
  <c r="W124" i="3"/>
  <c r="X10" i="5"/>
  <c r="W31" i="3" s="1"/>
  <c r="X17" i="5"/>
  <c r="X19" i="5"/>
  <c r="X25" i="5"/>
  <c r="N167" i="3" s="1"/>
  <c r="X30" i="5"/>
  <c r="N201" i="3" s="1"/>
  <c r="N90" i="3"/>
  <c r="X12" i="5"/>
  <c r="X16" i="5"/>
  <c r="X18" i="5"/>
  <c r="AF22" i="3"/>
  <c r="E82" i="3"/>
  <c r="N150" i="3"/>
  <c r="D43" i="4"/>
  <c r="G43" i="4" s="1"/>
  <c r="G43" i="3"/>
  <c r="AH9" i="3"/>
  <c r="Y9" i="3"/>
  <c r="P9" i="3"/>
  <c r="G9" i="3"/>
  <c r="A39" i="3"/>
  <c r="AB5" i="3"/>
  <c r="S5" i="3"/>
  <c r="J5" i="3"/>
  <c r="A5" i="3"/>
  <c r="AF31" i="3" l="1"/>
  <c r="X14" i="5"/>
  <c r="H36" i="5"/>
  <c r="X29" i="5"/>
  <c r="O33" i="5"/>
  <c r="E192" i="3"/>
  <c r="X27" i="5"/>
  <c r="E90" i="3"/>
  <c r="O27" i="5"/>
  <c r="O36" i="5" s="1"/>
  <c r="E56" i="3"/>
  <c r="E65" i="3"/>
  <c r="E201" i="3" l="1"/>
  <c r="X33" i="5"/>
  <c r="X36" i="5" s="1"/>
</calcChain>
</file>

<file path=xl/sharedStrings.xml><?xml version="1.0" encoding="utf-8"?>
<sst xmlns="http://schemas.openxmlformats.org/spreadsheetml/2006/main" count="1959" uniqueCount="116">
  <si>
    <t>平成　27年　3月度</t>
    <rPh sb="0" eb="2">
      <t>ヘイセイ</t>
    </rPh>
    <rPh sb="5" eb="6">
      <t>ネン</t>
    </rPh>
    <rPh sb="8" eb="10">
      <t>ガツド</t>
    </rPh>
    <phoneticPr fontId="2"/>
  </si>
  <si>
    <t>出　　　勤　　　簿</t>
    <rPh sb="0" eb="1">
      <t>デ</t>
    </rPh>
    <rPh sb="4" eb="5">
      <t>ツトム</t>
    </rPh>
    <rPh sb="8" eb="9">
      <t>ボ</t>
    </rPh>
    <phoneticPr fontId="2"/>
  </si>
  <si>
    <t>　　　　　　　　　　日</t>
    <rPh sb="10" eb="11">
      <t>ヒ</t>
    </rPh>
    <phoneticPr fontId="2"/>
  </si>
  <si>
    <t>出勤日数</t>
    <rPh sb="0" eb="2">
      <t>シュッキン</t>
    </rPh>
    <rPh sb="2" eb="4">
      <t>ニッスウ</t>
    </rPh>
    <phoneticPr fontId="2"/>
  </si>
  <si>
    <t>休日出勤日数</t>
    <rPh sb="0" eb="2">
      <t>キュウジツ</t>
    </rPh>
    <rPh sb="2" eb="4">
      <t>シュッキン</t>
    </rPh>
    <rPh sb="4" eb="6">
      <t>ニッスウ</t>
    </rPh>
    <phoneticPr fontId="2"/>
  </si>
  <si>
    <t>欠勤日数</t>
    <rPh sb="0" eb="2">
      <t>ケッキン</t>
    </rPh>
    <rPh sb="2" eb="4">
      <t>ニッスウ</t>
    </rPh>
    <phoneticPr fontId="2"/>
  </si>
  <si>
    <t>遅刻早引時間</t>
    <rPh sb="0" eb="2">
      <t>チコク</t>
    </rPh>
    <rPh sb="2" eb="3">
      <t>ハヤ</t>
    </rPh>
    <rPh sb="3" eb="4">
      <t>ヒ</t>
    </rPh>
    <rPh sb="4" eb="6">
      <t>ジカン</t>
    </rPh>
    <phoneticPr fontId="2"/>
  </si>
  <si>
    <t>時間外労働</t>
    <rPh sb="0" eb="3">
      <t>ジカンガイ</t>
    </rPh>
    <rPh sb="3" eb="5">
      <t>ロウドウ</t>
    </rPh>
    <phoneticPr fontId="2"/>
  </si>
  <si>
    <r>
      <t>氏　　名　　　　　</t>
    </r>
    <r>
      <rPr>
        <sz val="9"/>
        <rFont val="ＭＳ Ｐゴシック"/>
        <family val="3"/>
        <charset val="128"/>
      </rPr>
      <t>曜</t>
    </r>
    <rPh sb="0" eb="1">
      <t>シ</t>
    </rPh>
    <rPh sb="3" eb="4">
      <t>メイ</t>
    </rPh>
    <rPh sb="9" eb="10">
      <t>ヒカリ</t>
    </rPh>
    <phoneticPr fontId="2"/>
  </si>
  <si>
    <t>日</t>
    <rPh sb="0" eb="1">
      <t>ニチ</t>
    </rPh>
    <phoneticPr fontId="2"/>
  </si>
  <si>
    <t>月</t>
    <rPh sb="0" eb="1">
      <t>ツキ</t>
    </rPh>
    <phoneticPr fontId="2"/>
  </si>
  <si>
    <t>火</t>
    <rPh sb="0" eb="1">
      <t>ヒ</t>
    </rPh>
    <phoneticPr fontId="2"/>
  </si>
  <si>
    <t>水</t>
    <rPh sb="0" eb="1">
      <t>ミズ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</si>
  <si>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</si>
  <si>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</si>
  <si>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土</t>
    <rPh sb="0" eb="1">
      <t>ツチ</t>
    </rPh>
    <phoneticPr fontId="2"/>
  </si>
  <si>
    <t>早出残業</t>
    <rPh sb="0" eb="2">
      <t>ハヤデ</t>
    </rPh>
    <rPh sb="2" eb="4">
      <t>ザンギョウ</t>
    </rPh>
    <phoneticPr fontId="2"/>
  </si>
  <si>
    <t>深夜</t>
    <rPh sb="0" eb="2">
      <t>シンヤ</t>
    </rPh>
    <phoneticPr fontId="2"/>
  </si>
  <si>
    <t>休日</t>
    <rPh sb="0" eb="2">
      <t>キュウジツ</t>
    </rPh>
    <phoneticPr fontId="2"/>
  </si>
  <si>
    <t>休</t>
    <rPh sb="0" eb="1">
      <t>ヤス</t>
    </rPh>
    <phoneticPr fontId="2"/>
  </si>
  <si>
    <t>岡崎　峻喬</t>
    <rPh sb="0" eb="2">
      <t>オカザキ</t>
    </rPh>
    <rPh sb="3" eb="4">
      <t>シュン</t>
    </rPh>
    <rPh sb="4" eb="5">
      <t>タカシ</t>
    </rPh>
    <phoneticPr fontId="2"/>
  </si>
  <si>
    <t>山内　雄司</t>
    <rPh sb="0" eb="2">
      <t>ヤマウチ</t>
    </rPh>
    <rPh sb="3" eb="5">
      <t>ユウジ</t>
    </rPh>
    <phoneticPr fontId="2"/>
  </si>
  <si>
    <t>大元　照美</t>
    <rPh sb="0" eb="2">
      <t>オオモト</t>
    </rPh>
    <rPh sb="3" eb="4">
      <t>テル</t>
    </rPh>
    <rPh sb="4" eb="5">
      <t>ミ</t>
    </rPh>
    <phoneticPr fontId="2"/>
  </si>
  <si>
    <t>給料支払明細書</t>
    <rPh sb="0" eb="2">
      <t>キュウリョウ</t>
    </rPh>
    <rPh sb="2" eb="4">
      <t>シハラ</t>
    </rPh>
    <rPh sb="4" eb="7">
      <t>メイサイショ</t>
    </rPh>
    <phoneticPr fontId="2"/>
  </si>
  <si>
    <t>平成27年3月分</t>
    <rPh sb="0" eb="2">
      <t>ヘイセイ</t>
    </rPh>
    <rPh sb="4" eb="5">
      <t>ネン</t>
    </rPh>
    <rPh sb="6" eb="7">
      <t>ガツ</t>
    </rPh>
    <rPh sb="7" eb="8">
      <t>ブン</t>
    </rPh>
    <phoneticPr fontId="2"/>
  </si>
  <si>
    <t>氏名</t>
    <rPh sb="0" eb="2">
      <t>シメイ</t>
    </rPh>
    <phoneticPr fontId="2"/>
  </si>
  <si>
    <t>労働日数</t>
    <rPh sb="0" eb="2">
      <t>ロウドウ</t>
    </rPh>
    <rPh sb="2" eb="3">
      <t>ヒ</t>
    </rPh>
    <rPh sb="3" eb="4">
      <t>カズ</t>
    </rPh>
    <phoneticPr fontId="2"/>
  </si>
  <si>
    <t>労働時間</t>
    <rPh sb="0" eb="2">
      <t>ロウドウ</t>
    </rPh>
    <rPh sb="2" eb="4">
      <t>ジカン</t>
    </rPh>
    <phoneticPr fontId="2"/>
  </si>
  <si>
    <t>時間外労働時間</t>
    <rPh sb="0" eb="3">
      <t>ジカンガイ</t>
    </rPh>
    <rPh sb="3" eb="5">
      <t>ロウドウ</t>
    </rPh>
    <rPh sb="5" eb="7">
      <t>ジカン</t>
    </rPh>
    <phoneticPr fontId="2"/>
  </si>
  <si>
    <t>基本給</t>
    <rPh sb="0" eb="3">
      <t>キホンキュウ</t>
    </rPh>
    <phoneticPr fontId="2"/>
  </si>
  <si>
    <t>手当</t>
    <rPh sb="0" eb="2">
      <t>テアテ</t>
    </rPh>
    <phoneticPr fontId="2"/>
  </si>
  <si>
    <t>社会保険料</t>
    <rPh sb="0" eb="2">
      <t>シャカイ</t>
    </rPh>
    <rPh sb="2" eb="4">
      <t>ホケン</t>
    </rPh>
    <rPh sb="4" eb="5">
      <t>リョウ</t>
    </rPh>
    <phoneticPr fontId="2"/>
  </si>
  <si>
    <t>厚生年金</t>
    <rPh sb="0" eb="2">
      <t>コウセイ</t>
    </rPh>
    <rPh sb="2" eb="4">
      <t>ネンキン</t>
    </rPh>
    <phoneticPr fontId="2"/>
  </si>
  <si>
    <t>雇用保険料</t>
    <rPh sb="0" eb="2">
      <t>コヨウ</t>
    </rPh>
    <rPh sb="2" eb="4">
      <t>ホケン</t>
    </rPh>
    <rPh sb="4" eb="5">
      <t>リョウ</t>
    </rPh>
    <phoneticPr fontId="2"/>
  </si>
  <si>
    <t>市民税</t>
    <rPh sb="0" eb="3">
      <t>シミンゼイ</t>
    </rPh>
    <phoneticPr fontId="2"/>
  </si>
  <si>
    <t>所得税</t>
    <rPh sb="0" eb="3">
      <t>ショトクゼイ</t>
    </rPh>
    <phoneticPr fontId="2"/>
  </si>
  <si>
    <t>総支給額</t>
    <rPh sb="0" eb="1">
      <t>ソウ</t>
    </rPh>
    <rPh sb="1" eb="4">
      <t>シキュウガク</t>
    </rPh>
    <phoneticPr fontId="2"/>
  </si>
  <si>
    <t>控除額</t>
    <rPh sb="0" eb="2">
      <t>コウジョ</t>
    </rPh>
    <rPh sb="2" eb="3">
      <t>ガク</t>
    </rPh>
    <phoneticPr fontId="2"/>
  </si>
  <si>
    <t>差引支給額</t>
    <rPh sb="0" eb="2">
      <t>サシヒ</t>
    </rPh>
    <rPh sb="2" eb="5">
      <t>シキュウガク</t>
    </rPh>
    <phoneticPr fontId="2"/>
  </si>
  <si>
    <t>一般社団法人　チャレンジド尾道</t>
    <rPh sb="0" eb="2">
      <t>イッパン</t>
    </rPh>
    <rPh sb="2" eb="4">
      <t>シャダン</t>
    </rPh>
    <rPh sb="4" eb="6">
      <t>ホウジン</t>
    </rPh>
    <rPh sb="13" eb="15">
      <t>オノミチ</t>
    </rPh>
    <phoneticPr fontId="2"/>
  </si>
  <si>
    <t>就労継続支援（Ｂ型）施設　カイト御調</t>
    <rPh sb="0" eb="2">
      <t>シュウロウ</t>
    </rPh>
    <rPh sb="2" eb="4">
      <t>ケイゾク</t>
    </rPh>
    <rPh sb="4" eb="6">
      <t>シエン</t>
    </rPh>
    <rPh sb="8" eb="9">
      <t>ガタ</t>
    </rPh>
    <rPh sb="10" eb="12">
      <t>シセツ</t>
    </rPh>
    <rPh sb="16" eb="18">
      <t>ミツギ</t>
    </rPh>
    <phoneticPr fontId="2"/>
  </si>
  <si>
    <t>出</t>
    <rPh sb="0" eb="1">
      <t>デ</t>
    </rPh>
    <phoneticPr fontId="2"/>
  </si>
  <si>
    <t>4Ｈ</t>
    <phoneticPr fontId="2"/>
  </si>
  <si>
    <t>瀬戸　光代</t>
    <rPh sb="0" eb="2">
      <t>セト</t>
    </rPh>
    <rPh sb="3" eb="5">
      <t>ミツヨ</t>
    </rPh>
    <phoneticPr fontId="2"/>
  </si>
  <si>
    <t>給料支払明細書</t>
    <rPh sb="0" eb="2">
      <t>キュウリョウ</t>
    </rPh>
    <rPh sb="2" eb="4">
      <t>シハライ</t>
    </rPh>
    <rPh sb="4" eb="7">
      <t>メイサイショ</t>
    </rPh>
    <phoneticPr fontId="2"/>
  </si>
  <si>
    <t>平成</t>
    <rPh sb="0" eb="2">
      <t>ヘイセイ</t>
    </rPh>
    <phoneticPr fontId="2"/>
  </si>
  <si>
    <t>年</t>
    <rPh sb="0" eb="1">
      <t>ネン</t>
    </rPh>
    <phoneticPr fontId="2"/>
  </si>
  <si>
    <t>月分</t>
    <rPh sb="0" eb="1">
      <t>ツキ</t>
    </rPh>
    <rPh sb="1" eb="2">
      <t>ブン</t>
    </rPh>
    <phoneticPr fontId="2"/>
  </si>
  <si>
    <t>所属　</t>
    <rPh sb="0" eb="2">
      <t>ショゾク</t>
    </rPh>
    <phoneticPr fontId="2"/>
  </si>
  <si>
    <t>：　</t>
    <phoneticPr fontId="2"/>
  </si>
  <si>
    <t>カイト御調</t>
    <rPh sb="3" eb="5">
      <t>ミツギ</t>
    </rPh>
    <phoneticPr fontId="2"/>
  </si>
  <si>
    <t>殿</t>
    <rPh sb="0" eb="1">
      <t>ドノ</t>
    </rPh>
    <phoneticPr fontId="2"/>
  </si>
  <si>
    <t>賃金計算期間</t>
    <rPh sb="0" eb="2">
      <t>チンギン</t>
    </rPh>
    <rPh sb="2" eb="4">
      <t>ケイサン</t>
    </rPh>
    <rPh sb="4" eb="6">
      <t>キカン</t>
    </rPh>
    <phoneticPr fontId="2"/>
  </si>
  <si>
    <t>労働時間数</t>
    <rPh sb="0" eb="2">
      <t>ロウドウ</t>
    </rPh>
    <rPh sb="2" eb="5">
      <t>ジカンスウ</t>
    </rPh>
    <phoneticPr fontId="2"/>
  </si>
  <si>
    <t>休日労働時間数</t>
    <rPh sb="0" eb="2">
      <t>キュウジツ</t>
    </rPh>
    <rPh sb="2" eb="4">
      <t>ロウドウ</t>
    </rPh>
    <rPh sb="4" eb="7">
      <t>ジカンスウ</t>
    </rPh>
    <phoneticPr fontId="2"/>
  </si>
  <si>
    <t>早出残業時間数</t>
    <rPh sb="0" eb="2">
      <t>ハヤデ</t>
    </rPh>
    <rPh sb="2" eb="4">
      <t>ザンギョウ</t>
    </rPh>
    <rPh sb="4" eb="6">
      <t>ジカン</t>
    </rPh>
    <rPh sb="6" eb="7">
      <t>スウ</t>
    </rPh>
    <phoneticPr fontId="2"/>
  </si>
  <si>
    <t>深夜労働時間数</t>
    <rPh sb="0" eb="2">
      <t>シンヤ</t>
    </rPh>
    <rPh sb="2" eb="4">
      <t>ロウドウ</t>
    </rPh>
    <rPh sb="4" eb="6">
      <t>ジカン</t>
    </rPh>
    <rPh sb="6" eb="7">
      <t>スウ</t>
    </rPh>
    <phoneticPr fontId="2"/>
  </si>
  <si>
    <t>基本賃金</t>
    <rPh sb="0" eb="2">
      <t>キホン</t>
    </rPh>
    <rPh sb="2" eb="4">
      <t>チンギン</t>
    </rPh>
    <phoneticPr fontId="2"/>
  </si>
  <si>
    <t>所定時間外割増賃金</t>
    <rPh sb="0" eb="2">
      <t>ショテイ</t>
    </rPh>
    <rPh sb="2" eb="5">
      <t>ジカンガイ</t>
    </rPh>
    <rPh sb="5" eb="7">
      <t>ワリマシ</t>
    </rPh>
    <rPh sb="7" eb="9">
      <t>チンギン</t>
    </rPh>
    <phoneticPr fontId="2"/>
  </si>
  <si>
    <t>住宅手当</t>
    <rPh sb="0" eb="2">
      <t>ジュウタク</t>
    </rPh>
    <rPh sb="2" eb="4">
      <t>テアテ</t>
    </rPh>
    <phoneticPr fontId="2"/>
  </si>
  <si>
    <t>家族手当</t>
    <rPh sb="0" eb="2">
      <t>カゾク</t>
    </rPh>
    <rPh sb="2" eb="4">
      <t>テアテ</t>
    </rPh>
    <phoneticPr fontId="2"/>
  </si>
  <si>
    <t>通勤手当</t>
    <rPh sb="0" eb="2">
      <t>ツウキン</t>
    </rPh>
    <rPh sb="2" eb="4">
      <t>テアテ</t>
    </rPh>
    <phoneticPr fontId="2"/>
  </si>
  <si>
    <t>精勤手当</t>
    <rPh sb="0" eb="2">
      <t>セイキン</t>
    </rPh>
    <rPh sb="2" eb="4">
      <t>テアテ</t>
    </rPh>
    <phoneticPr fontId="2"/>
  </si>
  <si>
    <t>資格手当</t>
    <rPh sb="0" eb="2">
      <t>シカク</t>
    </rPh>
    <rPh sb="2" eb="4">
      <t>テアテ</t>
    </rPh>
    <phoneticPr fontId="2"/>
  </si>
  <si>
    <t>小計</t>
    <rPh sb="0" eb="2">
      <t>ショウケイ</t>
    </rPh>
    <phoneticPr fontId="2"/>
  </si>
  <si>
    <t>健康保険</t>
    <rPh sb="0" eb="2">
      <t>ケンコウ</t>
    </rPh>
    <rPh sb="2" eb="4">
      <t>ホケン</t>
    </rPh>
    <phoneticPr fontId="2"/>
  </si>
  <si>
    <t>雇用保険</t>
    <rPh sb="0" eb="2">
      <t>コヨウ</t>
    </rPh>
    <rPh sb="2" eb="4">
      <t>ホケン</t>
    </rPh>
    <phoneticPr fontId="2"/>
  </si>
  <si>
    <t>差引支払額</t>
    <rPh sb="0" eb="2">
      <t>サシヒ</t>
    </rPh>
    <rPh sb="2" eb="4">
      <t>シハライ</t>
    </rPh>
    <rPh sb="4" eb="5">
      <t>ガク</t>
    </rPh>
    <phoneticPr fontId="2"/>
  </si>
  <si>
    <t>（事業所名）</t>
    <rPh sb="1" eb="4">
      <t>ジギョウショ</t>
    </rPh>
    <rPh sb="4" eb="5">
      <t>メイ</t>
    </rPh>
    <phoneticPr fontId="2"/>
  </si>
  <si>
    <t>労働日数</t>
    <rPh sb="0" eb="2">
      <t>ロウドウ</t>
    </rPh>
    <rPh sb="2" eb="3">
      <t>ニチ</t>
    </rPh>
    <rPh sb="3" eb="4">
      <t>スウ</t>
    </rPh>
    <phoneticPr fontId="2"/>
  </si>
  <si>
    <t>分</t>
    <rPh sb="0" eb="1">
      <t>フン</t>
    </rPh>
    <phoneticPr fontId="2"/>
  </si>
  <si>
    <t>時間</t>
    <rPh sb="0" eb="2">
      <t>ジカン</t>
    </rPh>
    <phoneticPr fontId="2"/>
  </si>
  <si>
    <t>印</t>
    <rPh sb="0" eb="1">
      <t>イン</t>
    </rPh>
    <phoneticPr fontId="2"/>
  </si>
  <si>
    <t>　　　　カイト　御調</t>
    <rPh sb="8" eb="10">
      <t>ミツギ</t>
    </rPh>
    <phoneticPr fontId="2"/>
  </si>
  <si>
    <t>3月1日～3月31日</t>
    <rPh sb="1" eb="2">
      <t>ガツ</t>
    </rPh>
    <rPh sb="3" eb="4">
      <t>ニチ</t>
    </rPh>
    <rPh sb="6" eb="7">
      <t>ガツ</t>
    </rPh>
    <rPh sb="9" eb="10">
      <t>ニチ</t>
    </rPh>
    <phoneticPr fontId="2"/>
  </si>
  <si>
    <t>労働日数</t>
    <rPh sb="0" eb="2">
      <t>ロウドウ</t>
    </rPh>
    <rPh sb="2" eb="4">
      <t>ニッスウ</t>
    </rPh>
    <phoneticPr fontId="2"/>
  </si>
  <si>
    <t>休日労働時間数</t>
    <rPh sb="0" eb="2">
      <t>キュウジツ</t>
    </rPh>
    <rPh sb="2" eb="4">
      <t>ロウドウ</t>
    </rPh>
    <rPh sb="4" eb="6">
      <t>ジカン</t>
    </rPh>
    <rPh sb="6" eb="7">
      <t>カズ</t>
    </rPh>
    <phoneticPr fontId="2"/>
  </si>
  <si>
    <t>差引支払金</t>
    <rPh sb="0" eb="2">
      <t>サシヒキ</t>
    </rPh>
    <rPh sb="2" eb="4">
      <t>シハライ</t>
    </rPh>
    <rPh sb="4" eb="5">
      <t>キン</t>
    </rPh>
    <phoneticPr fontId="2"/>
  </si>
  <si>
    <t>山内ノリ子</t>
    <rPh sb="0" eb="2">
      <t>ヤマウチ</t>
    </rPh>
    <rPh sb="4" eb="5">
      <t>コ</t>
    </rPh>
    <phoneticPr fontId="2"/>
  </si>
  <si>
    <t>山内　龍一</t>
    <rPh sb="0" eb="2">
      <t>ヤマウチ</t>
    </rPh>
    <rPh sb="3" eb="5">
      <t>リュウイチ</t>
    </rPh>
    <phoneticPr fontId="2"/>
  </si>
  <si>
    <t>山下恵美子</t>
    <rPh sb="0" eb="2">
      <t>ヤマシタ</t>
    </rPh>
    <rPh sb="2" eb="5">
      <t>エミコ</t>
    </rPh>
    <phoneticPr fontId="2"/>
  </si>
  <si>
    <t>川上　智樹</t>
    <rPh sb="0" eb="2">
      <t>カワウエ</t>
    </rPh>
    <rPh sb="3" eb="4">
      <t>トモ</t>
    </rPh>
    <rPh sb="4" eb="5">
      <t>キ</t>
    </rPh>
    <phoneticPr fontId="2"/>
  </si>
  <si>
    <t>上松　正和</t>
    <rPh sb="0" eb="2">
      <t>ウエマツ</t>
    </rPh>
    <rPh sb="3" eb="5">
      <t>マサカズ</t>
    </rPh>
    <phoneticPr fontId="2"/>
  </si>
  <si>
    <t>上松　浩二</t>
    <rPh sb="0" eb="2">
      <t>ウエマツ</t>
    </rPh>
    <rPh sb="3" eb="5">
      <t>コウジ</t>
    </rPh>
    <phoneticPr fontId="2"/>
  </si>
  <si>
    <t>若林　哲也</t>
    <rPh sb="0" eb="2">
      <t>ワカバヤシ</t>
    </rPh>
    <rPh sb="3" eb="5">
      <t>テツヤ</t>
    </rPh>
    <phoneticPr fontId="2"/>
  </si>
  <si>
    <t>柏木　憲太</t>
    <rPh sb="0" eb="2">
      <t>カシキ</t>
    </rPh>
    <rPh sb="3" eb="5">
      <t>ケンタ</t>
    </rPh>
    <phoneticPr fontId="2"/>
  </si>
  <si>
    <t>大元裕美子</t>
    <rPh sb="0" eb="2">
      <t>オオモト</t>
    </rPh>
    <rPh sb="2" eb="5">
      <t>ユミコ</t>
    </rPh>
    <phoneticPr fontId="2"/>
  </si>
  <si>
    <t>倉谷　円</t>
    <rPh sb="0" eb="2">
      <t>クラタニ</t>
    </rPh>
    <rPh sb="3" eb="4">
      <t>マドカ</t>
    </rPh>
    <phoneticPr fontId="2"/>
  </si>
  <si>
    <t>葛籠　沙葵</t>
    <rPh sb="0" eb="1">
      <t>クズ</t>
    </rPh>
    <rPh sb="1" eb="2">
      <t>カゴ</t>
    </rPh>
    <rPh sb="3" eb="4">
      <t>サ</t>
    </rPh>
    <rPh sb="4" eb="5">
      <t>アオイ</t>
    </rPh>
    <phoneticPr fontId="2"/>
  </si>
  <si>
    <t>櫻武　隆一</t>
    <rPh sb="0" eb="1">
      <t>サクラ</t>
    </rPh>
    <rPh sb="1" eb="2">
      <t>ブ</t>
    </rPh>
    <rPh sb="3" eb="5">
      <t>リュウイチ</t>
    </rPh>
    <phoneticPr fontId="2"/>
  </si>
  <si>
    <t>佐藤　皓喜</t>
    <rPh sb="0" eb="2">
      <t>サトウ</t>
    </rPh>
    <rPh sb="3" eb="4">
      <t>ヒカル</t>
    </rPh>
    <rPh sb="4" eb="5">
      <t>キ</t>
    </rPh>
    <phoneticPr fontId="2"/>
  </si>
  <si>
    <t>吉原　祐平</t>
    <rPh sb="0" eb="2">
      <t>ヨシハラ</t>
    </rPh>
    <rPh sb="3" eb="5">
      <t>ユウヘイ</t>
    </rPh>
    <phoneticPr fontId="2"/>
  </si>
  <si>
    <t>給料体系</t>
    <rPh sb="0" eb="2">
      <t>キュウリョウ</t>
    </rPh>
    <rPh sb="2" eb="4">
      <t>タイケイ</t>
    </rPh>
    <phoneticPr fontId="2"/>
  </si>
  <si>
    <t>弁当代</t>
    <rPh sb="0" eb="2">
      <t>ベントウ</t>
    </rPh>
    <rPh sb="2" eb="3">
      <t>ダイ</t>
    </rPh>
    <phoneticPr fontId="2"/>
  </si>
  <si>
    <t>弁当代</t>
    <rPh sb="0" eb="2">
      <t>ベントウ</t>
    </rPh>
    <rPh sb="2" eb="3">
      <t>ダイ</t>
    </rPh>
    <phoneticPr fontId="2"/>
  </si>
  <si>
    <t>給料手当</t>
    <rPh sb="0" eb="2">
      <t>キュウリョウ</t>
    </rPh>
    <rPh sb="2" eb="4">
      <t>テアテ</t>
    </rPh>
    <phoneticPr fontId="2"/>
  </si>
  <si>
    <t>原　賃金</t>
    <rPh sb="0" eb="1">
      <t>ゲン</t>
    </rPh>
    <rPh sb="2" eb="4">
      <t>チンギン</t>
    </rPh>
    <phoneticPr fontId="2"/>
  </si>
  <si>
    <t>訓練等給付費</t>
    <rPh sb="0" eb="2">
      <t>クンレン</t>
    </rPh>
    <rPh sb="2" eb="3">
      <t>トウ</t>
    </rPh>
    <rPh sb="3" eb="5">
      <t>キュウフ</t>
    </rPh>
    <rPh sb="5" eb="6">
      <t>ヒ</t>
    </rPh>
    <phoneticPr fontId="2"/>
  </si>
  <si>
    <t>謝金</t>
    <rPh sb="0" eb="2">
      <t>シャキン</t>
    </rPh>
    <phoneticPr fontId="2"/>
  </si>
  <si>
    <t>合計</t>
    <rPh sb="0" eb="2">
      <t>ゴウケイ</t>
    </rPh>
    <phoneticPr fontId="2"/>
  </si>
  <si>
    <t>賃　　　金　　　集　　　計　　　表</t>
    <rPh sb="0" eb="1">
      <t>チン</t>
    </rPh>
    <rPh sb="4" eb="5">
      <t>キン</t>
    </rPh>
    <rPh sb="8" eb="9">
      <t>シュウ</t>
    </rPh>
    <rPh sb="12" eb="13">
      <t>ケイ</t>
    </rPh>
    <rPh sb="16" eb="17">
      <t>オモテ</t>
    </rPh>
    <phoneticPr fontId="2"/>
  </si>
  <si>
    <t>殿</t>
    <rPh sb="0" eb="1">
      <t>ドノ</t>
    </rPh>
    <phoneticPr fontId="2"/>
  </si>
  <si>
    <t>弁当代</t>
    <rPh sb="0" eb="2">
      <t>ベントウ</t>
    </rPh>
    <rPh sb="2" eb="3">
      <t>ダイ</t>
    </rPh>
    <phoneticPr fontId="2"/>
  </si>
  <si>
    <t>101;26</t>
    <phoneticPr fontId="2"/>
  </si>
  <si>
    <t>曜日</t>
    <rPh sb="0" eb="2">
      <t>ヨウビ</t>
    </rPh>
    <phoneticPr fontId="2"/>
  </si>
  <si>
    <t>出社時間</t>
    <rPh sb="0" eb="2">
      <t>シュッシャ</t>
    </rPh>
    <rPh sb="2" eb="4">
      <t>ジカン</t>
    </rPh>
    <phoneticPr fontId="2"/>
  </si>
  <si>
    <t>退社時間</t>
    <rPh sb="0" eb="2">
      <t>タイシャ</t>
    </rPh>
    <rPh sb="2" eb="4">
      <t>ジカン</t>
    </rPh>
    <phoneticPr fontId="2"/>
  </si>
  <si>
    <t>休憩時間</t>
    <rPh sb="0" eb="2">
      <t>キュウケイ</t>
    </rPh>
    <rPh sb="2" eb="4">
      <t>ジカン</t>
    </rPh>
    <phoneticPr fontId="2"/>
  </si>
  <si>
    <t>勤務時間</t>
    <rPh sb="0" eb="2">
      <t>キンム</t>
    </rPh>
    <rPh sb="2" eb="4">
      <t>ジカン</t>
    </rPh>
    <phoneticPr fontId="2"/>
  </si>
  <si>
    <t>計算年月</t>
    <rPh sb="0" eb="2">
      <t>ケイサン</t>
    </rPh>
    <rPh sb="2" eb="4">
      <t>ネンゲツ</t>
    </rPh>
    <phoneticPr fontId="2"/>
  </si>
  <si>
    <t>平成27年</t>
    <rPh sb="0" eb="2">
      <t>ヘイセイ</t>
    </rPh>
    <rPh sb="4" eb="5">
      <t>ネン</t>
    </rPh>
    <phoneticPr fontId="2"/>
  </si>
  <si>
    <t>3月</t>
    <rPh sb="1" eb="2">
      <t>ガツ</t>
    </rPh>
    <phoneticPr fontId="2"/>
  </si>
  <si>
    <t>月</t>
    <rPh sb="0" eb="1">
      <t>ゲツ</t>
    </rPh>
    <phoneticPr fontId="2"/>
  </si>
  <si>
    <t>火</t>
    <rPh sb="0" eb="1">
      <t>カ</t>
    </rPh>
    <phoneticPr fontId="2"/>
  </si>
  <si>
    <t>水</t>
    <rPh sb="0" eb="1">
      <t>スイ</t>
    </rPh>
    <phoneticPr fontId="2"/>
  </si>
  <si>
    <t>土</t>
    <rPh sb="0" eb="1">
      <t>ド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</si>
</sst>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_ "/>
    <numFmt numFmtId="177" formatCode="0_);[Red]\(0\)"/>
    <numFmt numFmtId="178" formatCode="h:mm;@"/>
  </numFmts>
  <fonts count="21"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4"/>
      <name val="ＭＳ 明朝"/>
      <family val="1"/>
      <charset val="128"/>
    </font>
    <font>
      <b/>
      <sz val="18"/>
      <name val="ＭＳ 明朝"/>
      <family val="1"/>
      <charset val="128"/>
    </font>
    <font>
      <b/>
      <sz val="12"/>
      <name val="ＭＳ 明朝"/>
      <family val="1"/>
      <charset val="128"/>
    </font>
    <font>
      <b/>
      <sz val="16"/>
      <name val="HGSｺﾞｼｯｸM"/>
      <family val="3"/>
      <charset val="128"/>
    </font>
    <font>
      <sz val="11"/>
      <name val="HGSｺﾞｼｯｸM"/>
      <family val="3"/>
      <charset val="128"/>
    </font>
    <font>
      <b/>
      <sz val="18"/>
      <name val="HGP明朝E"/>
      <family val="1"/>
      <charset val="128"/>
    </font>
    <font>
      <sz val="11"/>
      <name val="HGP明朝E"/>
      <family val="1"/>
      <charset val="128"/>
    </font>
    <font>
      <sz val="8"/>
      <name val="HGP明朝E"/>
      <family val="1"/>
      <charset val="128"/>
    </font>
    <font>
      <sz val="14"/>
      <name val="HGP明朝E"/>
      <family val="1"/>
      <charset val="128"/>
    </font>
    <font>
      <b/>
      <sz val="14"/>
      <name val="HGP明朝E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ashDotDot">
        <color auto="1"/>
      </top>
      <bottom/>
      <diagonal/>
    </border>
    <border>
      <left/>
      <right/>
      <top/>
      <bottom style="dashDotDot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5">
    <xf numFmtId="0" fontId="0" fillId="0" borderId="0" xfId="0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horizontal="right" vertical="top"/>
    </xf>
    <xf numFmtId="0" fontId="5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vertical="top"/>
    </xf>
    <xf numFmtId="0" fontId="5" fillId="0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justify" vertical="center"/>
    </xf>
    <xf numFmtId="0" fontId="0" fillId="0" borderId="16" xfId="0" applyFont="1" applyFill="1" applyBorder="1" applyAlignment="1">
      <alignment horizontal="center" vertical="center"/>
    </xf>
    <xf numFmtId="0" fontId="0" fillId="3" borderId="16" xfId="0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8" fillId="0" borderId="15" xfId="0" applyFont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2" borderId="16" xfId="0" applyFont="1" applyFill="1" applyBorder="1">
      <alignment vertical="center"/>
    </xf>
    <xf numFmtId="0" fontId="0" fillId="0" borderId="16" xfId="0" applyFont="1" applyFill="1" applyBorder="1">
      <alignment vertical="center"/>
    </xf>
    <xf numFmtId="0" fontId="0" fillId="0" borderId="16" xfId="0" applyBorder="1">
      <alignment vertical="center"/>
    </xf>
    <xf numFmtId="0" fontId="8" fillId="0" borderId="16" xfId="0" applyFont="1" applyBorder="1">
      <alignment vertical="center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9" fillId="2" borderId="16" xfId="0" applyFont="1" applyFill="1" applyBorder="1" applyAlignment="1">
      <alignment horizontal="center" vertical="center"/>
    </xf>
    <xf numFmtId="0" fontId="0" fillId="3" borderId="16" xfId="0" applyFont="1" applyFill="1" applyBorder="1">
      <alignment vertical="center"/>
    </xf>
    <xf numFmtId="0" fontId="10" fillId="0" borderId="16" xfId="0" applyFont="1" applyBorder="1">
      <alignment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176" fontId="10" fillId="0" borderId="16" xfId="0" applyNumberFormat="1" applyFont="1" applyBorder="1">
      <alignment vertical="center"/>
    </xf>
    <xf numFmtId="0" fontId="0" fillId="0" borderId="20" xfId="0" applyFont="1" applyFill="1" applyBorder="1" applyAlignment="1">
      <alignment horizontal="center" vertical="center"/>
    </xf>
    <xf numFmtId="20" fontId="0" fillId="0" borderId="16" xfId="0" applyNumberFormat="1" applyFont="1" applyFill="1" applyBorder="1" applyAlignment="1">
      <alignment horizontal="center" vertical="center"/>
    </xf>
    <xf numFmtId="20" fontId="0" fillId="3" borderId="16" xfId="0" applyNumberFormat="1" applyFont="1" applyFill="1" applyBorder="1" applyAlignment="1">
      <alignment horizontal="center" vertical="center"/>
    </xf>
    <xf numFmtId="46" fontId="0" fillId="0" borderId="16" xfId="0" applyNumberFormat="1" applyBorder="1" applyAlignment="1">
      <alignment vertical="center" shrinkToFit="1"/>
    </xf>
    <xf numFmtId="177" fontId="8" fillId="0" borderId="16" xfId="0" applyNumberFormat="1" applyFont="1" applyBorder="1">
      <alignment vertical="center"/>
    </xf>
    <xf numFmtId="46" fontId="0" fillId="0" borderId="16" xfId="0" applyNumberFormat="1" applyBorder="1">
      <alignment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justify" vertical="center"/>
    </xf>
    <xf numFmtId="0" fontId="0" fillId="2" borderId="11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8" fillId="0" borderId="11" xfId="0" applyFont="1" applyBorder="1">
      <alignment vertical="center"/>
    </xf>
    <xf numFmtId="0" fontId="0" fillId="0" borderId="13" xfId="0" applyBorder="1">
      <alignment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176" fontId="0" fillId="0" borderId="0" xfId="0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3" fontId="11" fillId="0" borderId="0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11" fillId="0" borderId="0" xfId="0" applyFont="1" applyBorder="1">
      <alignment vertical="center"/>
    </xf>
    <xf numFmtId="0" fontId="0" fillId="0" borderId="29" xfId="0" applyBorder="1">
      <alignment vertical="center"/>
    </xf>
    <xf numFmtId="0" fontId="9" fillId="2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20" fontId="0" fillId="0" borderId="16" xfId="0" applyNumberFormat="1" applyFont="1" applyFill="1" applyBorder="1">
      <alignment vertical="center"/>
    </xf>
    <xf numFmtId="20" fontId="0" fillId="0" borderId="16" xfId="0" applyNumberFormat="1" applyBorder="1" applyAlignment="1">
      <alignment vertical="center" shrinkToFit="1"/>
    </xf>
    <xf numFmtId="20" fontId="0" fillId="0" borderId="0" xfId="0" applyNumberFormat="1">
      <alignment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1" xfId="0" applyFont="1" applyBorder="1">
      <alignment vertical="center"/>
    </xf>
    <xf numFmtId="0" fontId="15" fillId="0" borderId="0" xfId="0" applyFont="1" applyBorder="1">
      <alignment vertical="center"/>
    </xf>
    <xf numFmtId="0" fontId="15" fillId="0" borderId="20" xfId="0" applyFont="1" applyBorder="1">
      <alignment vertical="center"/>
    </xf>
    <xf numFmtId="0" fontId="15" fillId="0" borderId="36" xfId="0" applyFont="1" applyBorder="1">
      <alignment vertical="center"/>
    </xf>
    <xf numFmtId="0" fontId="15" fillId="0" borderId="32" xfId="0" applyFont="1" applyBorder="1">
      <alignment vertical="center"/>
    </xf>
    <xf numFmtId="0" fontId="15" fillId="0" borderId="31" xfId="0" applyFont="1" applyBorder="1">
      <alignment vertical="center"/>
    </xf>
    <xf numFmtId="0" fontId="15" fillId="0" borderId="37" xfId="0" applyFont="1" applyBorder="1">
      <alignment vertical="center"/>
    </xf>
    <xf numFmtId="0" fontId="15" fillId="0" borderId="38" xfId="0" applyFont="1" applyBorder="1">
      <alignment vertical="center"/>
    </xf>
    <xf numFmtId="0" fontId="15" fillId="0" borderId="39" xfId="0" applyFont="1" applyBorder="1">
      <alignment vertical="center"/>
    </xf>
    <xf numFmtId="0" fontId="15" fillId="0" borderId="2" xfId="0" applyFont="1" applyBorder="1" applyAlignment="1">
      <alignment vertical="center" shrinkToFit="1"/>
    </xf>
    <xf numFmtId="0" fontId="15" fillId="0" borderId="2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15" fillId="0" borderId="20" xfId="0" applyFont="1" applyBorder="1" applyAlignment="1">
      <alignment vertical="center" shrinkToFit="1"/>
    </xf>
    <xf numFmtId="0" fontId="0" fillId="0" borderId="51" xfId="0" applyBorder="1">
      <alignment vertical="center"/>
    </xf>
    <xf numFmtId="0" fontId="17" fillId="0" borderId="0" xfId="0" applyFont="1">
      <alignment vertical="center"/>
    </xf>
    <xf numFmtId="0" fontId="17" fillId="0" borderId="16" xfId="0" applyFont="1" applyBorder="1">
      <alignment vertical="center"/>
    </xf>
    <xf numFmtId="3" fontId="17" fillId="0" borderId="16" xfId="0" applyNumberFormat="1" applyFont="1" applyBorder="1">
      <alignment vertical="center"/>
    </xf>
    <xf numFmtId="0" fontId="17" fillId="0" borderId="51" xfId="0" applyFont="1" applyBorder="1">
      <alignment vertical="center"/>
    </xf>
    <xf numFmtId="3" fontId="17" fillId="0" borderId="51" xfId="0" applyNumberFormat="1" applyFont="1" applyBorder="1">
      <alignment vertical="center"/>
    </xf>
    <xf numFmtId="0" fontId="17" fillId="0" borderId="53" xfId="0" applyFont="1" applyBorder="1">
      <alignment vertical="center"/>
    </xf>
    <xf numFmtId="3" fontId="17" fillId="0" borderId="53" xfId="0" applyNumberFormat="1" applyFont="1" applyBorder="1">
      <alignment vertical="center"/>
    </xf>
    <xf numFmtId="0" fontId="17" fillId="0" borderId="15" xfId="0" applyFont="1" applyBorder="1">
      <alignment vertical="center"/>
    </xf>
    <xf numFmtId="3" fontId="17" fillId="0" borderId="15" xfId="0" applyNumberFormat="1" applyFont="1" applyBorder="1">
      <alignment vertical="center"/>
    </xf>
    <xf numFmtId="45" fontId="17" fillId="0" borderId="51" xfId="0" applyNumberFormat="1" applyFont="1" applyBorder="1">
      <alignment vertical="center"/>
    </xf>
    <xf numFmtId="45" fontId="17" fillId="0" borderId="53" xfId="0" applyNumberFormat="1" applyFont="1" applyBorder="1">
      <alignment vertical="center"/>
    </xf>
    <xf numFmtId="0" fontId="17" fillId="0" borderId="54" xfId="0" applyFont="1" applyBorder="1">
      <alignment vertical="center"/>
    </xf>
    <xf numFmtId="0" fontId="19" fillId="0" borderId="16" xfId="0" applyFont="1" applyBorder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 shrinkToFit="1"/>
    </xf>
    <xf numFmtId="3" fontId="17" fillId="0" borderId="20" xfId="0" applyNumberFormat="1" applyFont="1" applyBorder="1">
      <alignment vertical="center"/>
    </xf>
    <xf numFmtId="3" fontId="17" fillId="0" borderId="37" xfId="0" applyNumberFormat="1" applyFont="1" applyBorder="1">
      <alignment vertical="center"/>
    </xf>
    <xf numFmtId="3" fontId="17" fillId="0" borderId="55" xfId="0" applyNumberFormat="1" applyFont="1" applyBorder="1">
      <alignment vertical="center"/>
    </xf>
    <xf numFmtId="3" fontId="17" fillId="0" borderId="40" xfId="0" applyNumberFormat="1" applyFont="1" applyBorder="1">
      <alignment vertical="center"/>
    </xf>
    <xf numFmtId="0" fontId="17" fillId="0" borderId="40" xfId="0" applyFont="1" applyBorder="1">
      <alignment vertical="center"/>
    </xf>
    <xf numFmtId="0" fontId="17" fillId="0" borderId="48" xfId="0" applyFont="1" applyBorder="1">
      <alignment vertical="center"/>
    </xf>
    <xf numFmtId="3" fontId="17" fillId="0" borderId="31" xfId="0" applyNumberFormat="1" applyFont="1" applyBorder="1">
      <alignment vertical="center"/>
    </xf>
    <xf numFmtId="3" fontId="17" fillId="0" borderId="38" xfId="0" applyNumberFormat="1" applyFont="1" applyBorder="1">
      <alignment vertical="center"/>
    </xf>
    <xf numFmtId="3" fontId="17" fillId="0" borderId="56" xfId="0" applyNumberFormat="1" applyFont="1" applyBorder="1">
      <alignment vertical="center"/>
    </xf>
    <xf numFmtId="3" fontId="17" fillId="0" borderId="57" xfId="0" applyNumberFormat="1" applyFont="1" applyBorder="1">
      <alignment vertical="center"/>
    </xf>
    <xf numFmtId="0" fontId="17" fillId="0" borderId="57" xfId="0" applyFont="1" applyBorder="1">
      <alignment vertical="center"/>
    </xf>
    <xf numFmtId="0" fontId="17" fillId="0" borderId="58" xfId="0" applyFont="1" applyBorder="1">
      <alignment vertical="center"/>
    </xf>
    <xf numFmtId="3" fontId="17" fillId="0" borderId="59" xfId="0" applyNumberFormat="1" applyFont="1" applyBorder="1">
      <alignment vertical="center"/>
    </xf>
    <xf numFmtId="3" fontId="17" fillId="0" borderId="60" xfId="0" applyNumberFormat="1" applyFont="1" applyBorder="1">
      <alignment vertical="center"/>
    </xf>
    <xf numFmtId="3" fontId="17" fillId="0" borderId="50" xfId="0" applyNumberFormat="1" applyFont="1" applyBorder="1">
      <alignment vertical="center"/>
    </xf>
    <xf numFmtId="3" fontId="17" fillId="0" borderId="61" xfId="0" applyNumberFormat="1" applyFont="1" applyBorder="1">
      <alignment vertical="center"/>
    </xf>
    <xf numFmtId="0" fontId="17" fillId="0" borderId="61" xfId="0" applyFont="1" applyBorder="1">
      <alignment vertical="center"/>
    </xf>
    <xf numFmtId="0" fontId="17" fillId="0" borderId="62" xfId="0" applyFont="1" applyBorder="1">
      <alignment vertical="center"/>
    </xf>
    <xf numFmtId="0" fontId="19" fillId="0" borderId="18" xfId="0" applyFont="1" applyBorder="1">
      <alignment vertical="center"/>
    </xf>
    <xf numFmtId="0" fontId="19" fillId="0" borderId="63" xfId="0" applyFont="1" applyBorder="1">
      <alignment vertical="center"/>
    </xf>
    <xf numFmtId="0" fontId="19" fillId="0" borderId="14" xfId="0" applyFont="1" applyBorder="1">
      <alignment vertical="center"/>
    </xf>
    <xf numFmtId="0" fontId="19" fillId="0" borderId="64" xfId="0" applyFont="1" applyBorder="1">
      <alignment vertical="center"/>
    </xf>
    <xf numFmtId="0" fontId="17" fillId="0" borderId="52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shrinkToFit="1"/>
    </xf>
    <xf numFmtId="0" fontId="18" fillId="0" borderId="53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shrinkToFit="1"/>
    </xf>
    <xf numFmtId="0" fontId="0" fillId="0" borderId="63" xfId="0" applyBorder="1" applyAlignment="1">
      <alignment horizontal="center" vertical="center"/>
    </xf>
    <xf numFmtId="0" fontId="1" fillId="0" borderId="54" xfId="0" applyFont="1" applyBorder="1" applyAlignment="1">
      <alignment horizontal="justify" vertical="center"/>
    </xf>
    <xf numFmtId="0" fontId="0" fillId="2" borderId="51" xfId="0" applyFont="1" applyFill="1" applyBorder="1" applyAlignment="1">
      <alignment horizontal="center" vertical="center"/>
    </xf>
    <xf numFmtId="0" fontId="0" fillId="0" borderId="51" xfId="0" applyFont="1" applyFill="1" applyBorder="1" applyAlignment="1">
      <alignment horizontal="center" vertical="center"/>
    </xf>
    <xf numFmtId="0" fontId="0" fillId="3" borderId="51" xfId="0" applyFont="1" applyFill="1" applyBorder="1" applyAlignment="1">
      <alignment horizontal="center" vertical="center"/>
    </xf>
    <xf numFmtId="0" fontId="0" fillId="0" borderId="63" xfId="0" applyBorder="1">
      <alignment vertical="center"/>
    </xf>
    <xf numFmtId="0" fontId="8" fillId="0" borderId="51" xfId="0" applyFont="1" applyBorder="1">
      <alignment vertical="center"/>
    </xf>
    <xf numFmtId="0" fontId="0" fillId="0" borderId="65" xfId="0" applyBorder="1">
      <alignment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19" fillId="0" borderId="5" xfId="0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46" fontId="0" fillId="0" borderId="0" xfId="0" applyNumberFormat="1">
      <alignment vertical="center"/>
    </xf>
    <xf numFmtId="20" fontId="17" fillId="0" borderId="16" xfId="0" applyNumberFormat="1" applyFont="1" applyBorder="1">
      <alignment vertical="center"/>
    </xf>
    <xf numFmtId="178" fontId="17" fillId="0" borderId="16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3" fontId="11" fillId="0" borderId="12" xfId="0" applyNumberFormat="1" applyFont="1" applyBorder="1" applyAlignment="1">
      <alignment vertical="center"/>
    </xf>
    <xf numFmtId="3" fontId="11" fillId="0" borderId="11" xfId="0" applyNumberFormat="1" applyFont="1" applyBorder="1" applyAlignment="1">
      <alignment vertical="center"/>
    </xf>
    <xf numFmtId="3" fontId="11" fillId="0" borderId="13" xfId="0" applyNumberFormat="1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3" fontId="11" fillId="0" borderId="26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2" fillId="0" borderId="2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shrinkToFit="1"/>
    </xf>
    <xf numFmtId="46" fontId="11" fillId="0" borderId="11" xfId="0" applyNumberFormat="1" applyFont="1" applyBorder="1" applyAlignment="1">
      <alignment horizontal="center" vertical="center"/>
    </xf>
    <xf numFmtId="20" fontId="11" fillId="0" borderId="11" xfId="0" applyNumberFormat="1" applyFont="1" applyBorder="1" applyAlignment="1">
      <alignment horizontal="center" vertical="center"/>
    </xf>
    <xf numFmtId="45" fontId="11" fillId="0" borderId="11" xfId="0" applyNumberFormat="1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shrinkToFit="1"/>
    </xf>
    <xf numFmtId="0" fontId="15" fillId="0" borderId="16" xfId="0" applyFont="1" applyBorder="1" applyAlignment="1">
      <alignment horizontal="center" vertical="center" shrinkToFit="1"/>
    </xf>
    <xf numFmtId="3" fontId="15" fillId="0" borderId="40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15" fillId="0" borderId="41" xfId="0" applyFont="1" applyBorder="1" applyAlignment="1">
      <alignment horizontal="right" vertical="center"/>
    </xf>
    <xf numFmtId="0" fontId="15" fillId="0" borderId="40" xfId="0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textRotation="255" shrinkToFit="1"/>
    </xf>
    <xf numFmtId="0" fontId="15" fillId="0" borderId="44" xfId="0" applyFont="1" applyBorder="1" applyAlignment="1">
      <alignment vertical="center"/>
    </xf>
    <xf numFmtId="0" fontId="0" fillId="0" borderId="45" xfId="0" applyBorder="1" applyAlignment="1">
      <alignment vertical="center"/>
    </xf>
    <xf numFmtId="0" fontId="15" fillId="0" borderId="46" xfId="0" applyFont="1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15" fillId="0" borderId="37" xfId="0" applyFont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48" xfId="0" applyBorder="1" applyAlignment="1">
      <alignment horizontal="center" vertical="center" shrinkToFit="1"/>
    </xf>
    <xf numFmtId="0" fontId="0" fillId="0" borderId="49" xfId="0" applyBorder="1" applyAlignment="1">
      <alignment horizontal="center" vertical="center" shrinkToFit="1"/>
    </xf>
    <xf numFmtId="0" fontId="0" fillId="0" borderId="42" xfId="0" applyBorder="1" applyAlignment="1">
      <alignment horizontal="center" vertical="center" shrinkToFit="1"/>
    </xf>
    <xf numFmtId="0" fontId="0" fillId="0" borderId="43" xfId="0" applyBorder="1" applyAlignment="1">
      <alignment horizontal="center" vertical="center" shrinkToFit="1"/>
    </xf>
    <xf numFmtId="0" fontId="15" fillId="0" borderId="47" xfId="0" applyFont="1" applyBorder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15" fillId="0" borderId="20" xfId="0" applyFont="1" applyBorder="1" applyAlignment="1">
      <alignment horizontal="right" vertical="center"/>
    </xf>
    <xf numFmtId="0" fontId="15" fillId="0" borderId="36" xfId="0" applyFont="1" applyBorder="1" applyAlignment="1">
      <alignment horizontal="right" vertical="center"/>
    </xf>
    <xf numFmtId="0" fontId="15" fillId="0" borderId="32" xfId="0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textRotation="255"/>
    </xf>
    <xf numFmtId="3" fontId="15" fillId="0" borderId="20" xfId="0" applyNumberFormat="1" applyFont="1" applyBorder="1" applyAlignment="1">
      <alignment horizontal="right" vertical="center"/>
    </xf>
    <xf numFmtId="0" fontId="15" fillId="0" borderId="3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34" xfId="0" applyFont="1" applyBorder="1" applyAlignment="1">
      <alignment horizontal="center" vertical="center" shrinkToFit="1"/>
    </xf>
    <xf numFmtId="0" fontId="15" fillId="0" borderId="33" xfId="0" applyFont="1" applyBorder="1" applyAlignment="1">
      <alignment horizontal="center" vertical="center" shrinkToFit="1"/>
    </xf>
    <xf numFmtId="0" fontId="15" fillId="0" borderId="35" xfId="0" applyFont="1" applyBorder="1" applyAlignment="1">
      <alignment horizontal="center" vertical="center" shrinkToFit="1"/>
    </xf>
    <xf numFmtId="3" fontId="15" fillId="0" borderId="1" xfId="0" applyNumberFormat="1" applyFont="1" applyBorder="1" applyAlignment="1">
      <alignment horizontal="right" vertical="center"/>
    </xf>
    <xf numFmtId="3" fontId="15" fillId="0" borderId="41" xfId="0" applyNumberFormat="1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3" fontId="15" fillId="0" borderId="36" xfId="0" applyNumberFormat="1" applyFont="1" applyBorder="1" applyAlignment="1">
      <alignment horizontal="right" vertical="center"/>
    </xf>
    <xf numFmtId="3" fontId="15" fillId="0" borderId="32" xfId="0" applyNumberFormat="1" applyFont="1" applyBorder="1" applyAlignment="1">
      <alignment horizontal="right" vertical="center"/>
    </xf>
    <xf numFmtId="0" fontId="0" fillId="0" borderId="16" xfId="0" applyBorder="1" applyAlignment="1">
      <alignment horizontal="center" vertical="center"/>
    </xf>
    <xf numFmtId="20" fontId="0" fillId="0" borderId="16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</xdr:col>
      <xdr:colOff>1190625</xdr:colOff>
      <xdr:row>2</xdr:row>
      <xdr:rowOff>219075</xdr:rowOff>
    </xdr:to>
    <xdr:cxnSp macro="">
      <xdr:nvCxnSpPr>
        <xdr:cNvPr id="2" name="AutoShape 1"/>
        <xdr:cNvCxnSpPr>
          <a:cxnSpLocks noChangeShapeType="1"/>
        </xdr:cNvCxnSpPr>
      </xdr:nvCxnSpPr>
      <xdr:spPr bwMode="auto">
        <a:xfrm>
          <a:off x="285750" y="466725"/>
          <a:ext cx="1190625" cy="2095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</xdr:row>
      <xdr:rowOff>85725</xdr:rowOff>
    </xdr:from>
    <xdr:to>
      <xdr:col>1</xdr:col>
      <xdr:colOff>1190625</xdr:colOff>
      <xdr:row>3</xdr:row>
      <xdr:rowOff>247650</xdr:rowOff>
    </xdr:to>
    <xdr:cxnSp macro="">
      <xdr:nvCxnSpPr>
        <xdr:cNvPr id="3" name="AutoShape 2"/>
        <xdr:cNvCxnSpPr>
          <a:cxnSpLocks noChangeShapeType="1"/>
        </xdr:cNvCxnSpPr>
      </xdr:nvCxnSpPr>
      <xdr:spPr bwMode="auto">
        <a:xfrm>
          <a:off x="285750" y="447675"/>
          <a:ext cx="1190625" cy="6000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46"/>
  <sheetViews>
    <sheetView zoomScaleNormal="100" workbookViewId="0">
      <selection activeCell="AI10" sqref="AI10"/>
    </sheetView>
  </sheetViews>
  <sheetFormatPr defaultRowHeight="13.5"/>
  <cols>
    <col min="1" max="1" width="3.75" customWidth="1"/>
    <col min="2" max="2" width="15.75" customWidth="1"/>
    <col min="3" max="41" width="4.625" customWidth="1"/>
  </cols>
  <sheetData>
    <row r="1" spans="1:44" ht="28.5">
      <c r="A1" s="148" t="s">
        <v>0</v>
      </c>
      <c r="B1" s="148"/>
      <c r="C1" s="148"/>
      <c r="Q1" s="149" t="s">
        <v>1</v>
      </c>
      <c r="R1" s="149"/>
      <c r="S1" s="149"/>
      <c r="T1" s="149"/>
      <c r="U1" s="149"/>
      <c r="V1" s="149"/>
      <c r="W1" s="149"/>
      <c r="X1" s="149"/>
      <c r="Y1" s="149"/>
    </row>
    <row r="2" spans="1:44" ht="7.5" customHeight="1" thickBot="1">
      <c r="A2" s="150"/>
      <c r="B2" s="150"/>
      <c r="C2" s="150"/>
    </row>
    <row r="3" spans="1:44" ht="27" customHeight="1">
      <c r="A3" s="1"/>
      <c r="B3" s="2" t="s">
        <v>2</v>
      </c>
      <c r="C3" s="3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5">
        <v>7</v>
      </c>
      <c r="J3" s="3">
        <v>8</v>
      </c>
      <c r="K3" s="4">
        <v>9</v>
      </c>
      <c r="L3" s="4">
        <v>10</v>
      </c>
      <c r="M3" s="4">
        <v>11</v>
      </c>
      <c r="N3" s="4">
        <v>12</v>
      </c>
      <c r="O3" s="4">
        <v>13</v>
      </c>
      <c r="P3" s="5">
        <v>14</v>
      </c>
      <c r="Q3" s="3">
        <v>15</v>
      </c>
      <c r="R3" s="4">
        <v>16</v>
      </c>
      <c r="S3" s="4">
        <v>17</v>
      </c>
      <c r="T3" s="4">
        <v>18</v>
      </c>
      <c r="U3" s="4">
        <v>19</v>
      </c>
      <c r="V3" s="4">
        <v>20</v>
      </c>
      <c r="W3" s="5">
        <v>21</v>
      </c>
      <c r="X3" s="3">
        <v>22</v>
      </c>
      <c r="Y3" s="4">
        <v>23</v>
      </c>
      <c r="Z3" s="4">
        <v>24</v>
      </c>
      <c r="AA3" s="4">
        <v>25</v>
      </c>
      <c r="AB3" s="4">
        <v>26</v>
      </c>
      <c r="AC3" s="4">
        <v>27</v>
      </c>
      <c r="AD3" s="5">
        <v>28</v>
      </c>
      <c r="AE3" s="3">
        <v>29</v>
      </c>
      <c r="AF3" s="4">
        <v>30</v>
      </c>
      <c r="AG3" s="6">
        <v>31</v>
      </c>
      <c r="AH3" s="151" t="s">
        <v>3</v>
      </c>
      <c r="AI3" s="144" t="s">
        <v>27</v>
      </c>
      <c r="AJ3" s="144" t="s">
        <v>4</v>
      </c>
      <c r="AK3" s="144" t="s">
        <v>5</v>
      </c>
      <c r="AL3" s="144" t="s">
        <v>6</v>
      </c>
      <c r="AM3" s="146" t="s">
        <v>7</v>
      </c>
      <c r="AN3" s="146"/>
      <c r="AO3" s="147"/>
    </row>
    <row r="4" spans="1:44" ht="27" customHeight="1" thickBot="1">
      <c r="A4" s="7"/>
      <c r="B4" s="8" t="s">
        <v>8</v>
      </c>
      <c r="C4" s="9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11" t="s">
        <v>15</v>
      </c>
      <c r="J4" s="9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1" t="s">
        <v>15</v>
      </c>
      <c r="Q4" s="9" t="s">
        <v>9</v>
      </c>
      <c r="R4" s="10" t="s">
        <v>10</v>
      </c>
      <c r="S4" s="10" t="s">
        <v>11</v>
      </c>
      <c r="T4" s="10" t="s">
        <v>12</v>
      </c>
      <c r="U4" s="10" t="s">
        <v>13</v>
      </c>
      <c r="V4" s="10" t="s">
        <v>14</v>
      </c>
      <c r="W4" s="11" t="s">
        <v>15</v>
      </c>
      <c r="X4" s="9" t="s">
        <v>9</v>
      </c>
      <c r="Y4" s="10" t="s">
        <v>10</v>
      </c>
      <c r="Z4" s="10" t="s">
        <v>11</v>
      </c>
      <c r="AA4" s="10" t="s">
        <v>12</v>
      </c>
      <c r="AB4" s="10" t="s">
        <v>13</v>
      </c>
      <c r="AC4" s="10" t="s">
        <v>14</v>
      </c>
      <c r="AD4" s="11" t="s">
        <v>15</v>
      </c>
      <c r="AE4" s="9" t="s">
        <v>9</v>
      </c>
      <c r="AF4" s="10" t="s">
        <v>10</v>
      </c>
      <c r="AG4" s="10" t="s">
        <v>11</v>
      </c>
      <c r="AH4" s="152"/>
      <c r="AI4" s="145"/>
      <c r="AJ4" s="145"/>
      <c r="AK4" s="145"/>
      <c r="AL4" s="145"/>
      <c r="AM4" s="12" t="s">
        <v>16</v>
      </c>
      <c r="AN4" s="13" t="s">
        <v>17</v>
      </c>
      <c r="AO4" s="14" t="s">
        <v>18</v>
      </c>
    </row>
    <row r="5" spans="1:44" ht="30" customHeight="1">
      <c r="A5" s="138">
        <v>1</v>
      </c>
      <c r="B5" s="139" t="s">
        <v>20</v>
      </c>
      <c r="C5" s="60" t="s">
        <v>19</v>
      </c>
      <c r="D5" s="61" t="s">
        <v>41</v>
      </c>
      <c r="E5" s="61" t="s">
        <v>41</v>
      </c>
      <c r="F5" s="61" t="s">
        <v>41</v>
      </c>
      <c r="G5" s="61" t="s">
        <v>41</v>
      </c>
      <c r="H5" s="61" t="s">
        <v>41</v>
      </c>
      <c r="I5" s="33" t="s">
        <v>19</v>
      </c>
      <c r="J5" s="60" t="s">
        <v>19</v>
      </c>
      <c r="K5" s="61" t="s">
        <v>41</v>
      </c>
      <c r="L5" s="61" t="s">
        <v>41</v>
      </c>
      <c r="M5" s="61" t="s">
        <v>41</v>
      </c>
      <c r="N5" s="61" t="s">
        <v>41</v>
      </c>
      <c r="O5" s="61" t="s">
        <v>41</v>
      </c>
      <c r="P5" s="33" t="s">
        <v>19</v>
      </c>
      <c r="Q5" s="60" t="s">
        <v>19</v>
      </c>
      <c r="R5" s="61" t="s">
        <v>41</v>
      </c>
      <c r="S5" s="61" t="s">
        <v>41</v>
      </c>
      <c r="T5" s="61" t="s">
        <v>41</v>
      </c>
      <c r="U5" s="61" t="s">
        <v>41</v>
      </c>
      <c r="V5" s="61" t="s">
        <v>41</v>
      </c>
      <c r="W5" s="33" t="s">
        <v>19</v>
      </c>
      <c r="X5" s="60" t="s">
        <v>19</v>
      </c>
      <c r="Y5" s="61" t="s">
        <v>41</v>
      </c>
      <c r="Z5" s="61" t="s">
        <v>41</v>
      </c>
      <c r="AA5" s="61" t="s">
        <v>41</v>
      </c>
      <c r="AB5" s="61" t="s">
        <v>41</v>
      </c>
      <c r="AC5" s="61" t="s">
        <v>41</v>
      </c>
      <c r="AD5" s="33" t="s">
        <v>19</v>
      </c>
      <c r="AE5" s="60" t="s">
        <v>19</v>
      </c>
      <c r="AF5" s="61" t="s">
        <v>41</v>
      </c>
      <c r="AG5" s="61" t="s">
        <v>41</v>
      </c>
      <c r="AH5" s="19">
        <v>22</v>
      </c>
      <c r="AI5" s="20"/>
      <c r="AJ5" s="20"/>
      <c r="AK5" s="20"/>
      <c r="AL5" s="21"/>
      <c r="AM5" s="20"/>
      <c r="AN5" s="20"/>
      <c r="AO5" s="22"/>
      <c r="AQ5">
        <v>280000</v>
      </c>
      <c r="AR5">
        <v>10000</v>
      </c>
    </row>
    <row r="6" spans="1:44" ht="30" customHeight="1">
      <c r="A6" s="136">
        <v>2</v>
      </c>
      <c r="B6" s="95" t="s">
        <v>21</v>
      </c>
      <c r="C6" s="60" t="s">
        <v>19</v>
      </c>
      <c r="D6" s="61" t="s">
        <v>41</v>
      </c>
      <c r="E6" s="61" t="s">
        <v>41</v>
      </c>
      <c r="F6" s="61" t="s">
        <v>41</v>
      </c>
      <c r="G6" s="61" t="s">
        <v>41</v>
      </c>
      <c r="H6" s="61" t="s">
        <v>41</v>
      </c>
      <c r="I6" s="33" t="s">
        <v>19</v>
      </c>
      <c r="J6" s="60" t="s">
        <v>19</v>
      </c>
      <c r="K6" s="61" t="s">
        <v>41</v>
      </c>
      <c r="L6" s="61" t="s">
        <v>41</v>
      </c>
      <c r="M6" s="61" t="s">
        <v>41</v>
      </c>
      <c r="N6" s="61" t="s">
        <v>41</v>
      </c>
      <c r="O6" s="61" t="s">
        <v>41</v>
      </c>
      <c r="P6" s="62" t="s">
        <v>41</v>
      </c>
      <c r="Q6" s="60" t="s">
        <v>19</v>
      </c>
      <c r="R6" s="61" t="s">
        <v>41</v>
      </c>
      <c r="S6" s="61" t="s">
        <v>41</v>
      </c>
      <c r="T6" s="61" t="s">
        <v>41</v>
      </c>
      <c r="U6" s="61" t="s">
        <v>41</v>
      </c>
      <c r="V6" s="61" t="s">
        <v>41</v>
      </c>
      <c r="W6" s="62" t="s">
        <v>41</v>
      </c>
      <c r="X6" s="60" t="s">
        <v>19</v>
      </c>
      <c r="Y6" s="61" t="s">
        <v>41</v>
      </c>
      <c r="Z6" s="61" t="s">
        <v>41</v>
      </c>
      <c r="AA6" s="34" t="s">
        <v>19</v>
      </c>
      <c r="AB6" s="61" t="s">
        <v>41</v>
      </c>
      <c r="AC6" s="34" t="s">
        <v>19</v>
      </c>
      <c r="AD6" s="33" t="s">
        <v>19</v>
      </c>
      <c r="AE6" s="60" t="s">
        <v>19</v>
      </c>
      <c r="AF6" s="61" t="s">
        <v>41</v>
      </c>
      <c r="AG6" s="61" t="s">
        <v>41</v>
      </c>
      <c r="AH6" s="19">
        <v>22</v>
      </c>
      <c r="AI6" s="26"/>
      <c r="AJ6" s="26"/>
      <c r="AK6" s="26"/>
      <c r="AL6" s="27"/>
      <c r="AM6" s="26"/>
      <c r="AN6" s="26"/>
      <c r="AO6" s="28"/>
      <c r="AQ6">
        <v>200000</v>
      </c>
    </row>
    <row r="7" spans="1:44" ht="30" customHeight="1">
      <c r="A7" s="23">
        <v>3</v>
      </c>
      <c r="B7" s="15"/>
      <c r="C7" s="60"/>
      <c r="D7" s="61"/>
      <c r="E7" s="61"/>
      <c r="F7" s="61"/>
      <c r="G7" s="61"/>
      <c r="H7" s="61"/>
      <c r="I7" s="33"/>
      <c r="J7" s="60"/>
      <c r="K7" s="61"/>
      <c r="L7" s="61"/>
      <c r="M7" s="61"/>
      <c r="N7" s="61"/>
      <c r="O7" s="61"/>
      <c r="P7" s="62"/>
      <c r="Q7" s="60"/>
      <c r="R7" s="61"/>
      <c r="S7" s="61"/>
      <c r="T7" s="61"/>
      <c r="U7" s="61"/>
      <c r="V7" s="61"/>
      <c r="W7" s="62"/>
      <c r="X7" s="60"/>
      <c r="Y7" s="61"/>
      <c r="Z7" s="61"/>
      <c r="AA7" s="34"/>
      <c r="AB7" s="61"/>
      <c r="AC7" s="34"/>
      <c r="AD7" s="33"/>
      <c r="AE7" s="60"/>
      <c r="AF7" s="61"/>
      <c r="AG7" s="61"/>
      <c r="AH7" s="19"/>
      <c r="AI7" s="26"/>
      <c r="AJ7" s="26"/>
      <c r="AK7" s="26"/>
      <c r="AL7" s="27"/>
      <c r="AM7" s="26"/>
      <c r="AN7" s="26"/>
      <c r="AO7" s="28"/>
    </row>
    <row r="8" spans="1:44" ht="30" customHeight="1">
      <c r="A8" s="136">
        <v>4</v>
      </c>
      <c r="B8" s="95" t="s">
        <v>22</v>
      </c>
      <c r="C8" s="60" t="s">
        <v>19</v>
      </c>
      <c r="D8" s="61" t="s">
        <v>41</v>
      </c>
      <c r="E8" s="61" t="s">
        <v>41</v>
      </c>
      <c r="F8" s="61" t="s">
        <v>41</v>
      </c>
      <c r="G8" s="61" t="s">
        <v>41</v>
      </c>
      <c r="H8" s="61" t="s">
        <v>41</v>
      </c>
      <c r="I8" s="33" t="s">
        <v>19</v>
      </c>
      <c r="J8" s="60" t="s">
        <v>19</v>
      </c>
      <c r="K8" s="61" t="s">
        <v>41</v>
      </c>
      <c r="L8" s="61" t="s">
        <v>41</v>
      </c>
      <c r="M8" s="61" t="s">
        <v>41</v>
      </c>
      <c r="N8" s="61" t="s">
        <v>42</v>
      </c>
      <c r="O8" s="61" t="s">
        <v>41</v>
      </c>
      <c r="P8" s="62" t="s">
        <v>42</v>
      </c>
      <c r="Q8" s="60" t="s">
        <v>19</v>
      </c>
      <c r="R8" s="61" t="s">
        <v>41</v>
      </c>
      <c r="S8" s="61" t="s">
        <v>41</v>
      </c>
      <c r="T8" s="61" t="s">
        <v>41</v>
      </c>
      <c r="U8" s="61" t="s">
        <v>41</v>
      </c>
      <c r="V8" s="61" t="s">
        <v>41</v>
      </c>
      <c r="W8" s="33" t="s">
        <v>19</v>
      </c>
      <c r="X8" s="60" t="s">
        <v>19</v>
      </c>
      <c r="Y8" s="61" t="s">
        <v>41</v>
      </c>
      <c r="Z8" s="61" t="s">
        <v>41</v>
      </c>
      <c r="AA8" s="61" t="s">
        <v>41</v>
      </c>
      <c r="AB8" s="61" t="s">
        <v>41</v>
      </c>
      <c r="AC8" s="61" t="s">
        <v>41</v>
      </c>
      <c r="AD8" s="33" t="s">
        <v>19</v>
      </c>
      <c r="AE8" s="60" t="s">
        <v>19</v>
      </c>
      <c r="AF8" s="61" t="s">
        <v>41</v>
      </c>
      <c r="AG8" s="61" t="s">
        <v>41</v>
      </c>
      <c r="AH8" s="29">
        <v>23</v>
      </c>
      <c r="AI8" s="26"/>
      <c r="AJ8" s="26"/>
      <c r="AK8" s="26"/>
      <c r="AL8" s="27"/>
      <c r="AM8" s="26"/>
      <c r="AN8" s="26"/>
      <c r="AO8" s="28"/>
      <c r="AQ8">
        <v>150000</v>
      </c>
      <c r="AR8">
        <v>10000</v>
      </c>
    </row>
    <row r="9" spans="1:44" ht="30" customHeight="1">
      <c r="A9" s="136">
        <v>5</v>
      </c>
      <c r="B9" s="95" t="s">
        <v>78</v>
      </c>
      <c r="C9" s="60" t="s">
        <v>19</v>
      </c>
      <c r="D9" s="38">
        <v>0.19236111111111112</v>
      </c>
      <c r="E9" s="38">
        <v>0.19444444444444445</v>
      </c>
      <c r="F9" s="38">
        <v>0.19236111111111112</v>
      </c>
      <c r="G9" s="38">
        <v>0.19930555555555554</v>
      </c>
      <c r="H9" s="38">
        <v>0.19444444444444445</v>
      </c>
      <c r="I9" s="33" t="s">
        <v>19</v>
      </c>
      <c r="J9" s="60" t="s">
        <v>19</v>
      </c>
      <c r="K9" s="38">
        <v>0.18055555555555555</v>
      </c>
      <c r="L9" s="38">
        <v>0.20208333333333331</v>
      </c>
      <c r="M9" s="63">
        <v>0.19791666666666666</v>
      </c>
      <c r="N9" s="38">
        <v>0.19027777777777777</v>
      </c>
      <c r="O9" s="38">
        <v>0.19791666666666666</v>
      </c>
      <c r="P9" s="39">
        <v>0.12847222222222224</v>
      </c>
      <c r="Q9" s="60" t="s">
        <v>19</v>
      </c>
      <c r="R9" s="38">
        <v>0.19791666666666666</v>
      </c>
      <c r="S9" s="38">
        <v>0.19999999999999998</v>
      </c>
      <c r="T9" s="38">
        <v>7.3611111111111113E-2</v>
      </c>
      <c r="U9" s="63">
        <v>0.18819444444444444</v>
      </c>
      <c r="V9" s="63">
        <v>0.19305555555555554</v>
      </c>
      <c r="W9" s="33" t="s">
        <v>19</v>
      </c>
      <c r="X9" s="60" t="s">
        <v>19</v>
      </c>
      <c r="Y9" s="38">
        <v>0.18888888888888888</v>
      </c>
      <c r="Z9" s="38">
        <v>0.19305555555555554</v>
      </c>
      <c r="AA9" s="63">
        <v>0.19930555555555554</v>
      </c>
      <c r="AB9" s="38">
        <v>0.15555555555555556</v>
      </c>
      <c r="AC9" s="38">
        <v>0.18611111111111112</v>
      </c>
      <c r="AD9" s="33" t="s">
        <v>19</v>
      </c>
      <c r="AE9" s="60" t="s">
        <v>19</v>
      </c>
      <c r="AF9" s="63">
        <v>0.19236111111111112</v>
      </c>
      <c r="AG9" s="38">
        <v>0.18819444444444444</v>
      </c>
      <c r="AH9" s="29">
        <v>23</v>
      </c>
      <c r="AI9" s="40">
        <v>4.2263888888888888</v>
      </c>
      <c r="AJ9" s="26"/>
      <c r="AK9" s="26"/>
      <c r="AL9" s="27"/>
      <c r="AM9" s="26"/>
      <c r="AN9" s="26"/>
      <c r="AO9" s="28"/>
      <c r="AQ9">
        <v>800</v>
      </c>
    </row>
    <row r="10" spans="1:44" ht="30" customHeight="1">
      <c r="A10" s="136">
        <v>6</v>
      </c>
      <c r="B10" s="95" t="s">
        <v>43</v>
      </c>
      <c r="C10" s="18"/>
      <c r="D10" s="16"/>
      <c r="E10" s="16"/>
      <c r="F10" s="16"/>
      <c r="G10" s="16"/>
      <c r="H10" s="16"/>
      <c r="I10" s="31"/>
      <c r="J10" s="18"/>
      <c r="K10" s="25"/>
      <c r="L10" s="16"/>
      <c r="M10" s="25"/>
      <c r="N10" s="16"/>
      <c r="O10" s="16"/>
      <c r="P10" s="17"/>
      <c r="Q10" s="18"/>
      <c r="R10" s="16"/>
      <c r="S10" s="16"/>
      <c r="T10" s="16"/>
      <c r="U10" s="16"/>
      <c r="V10" s="25"/>
      <c r="W10" s="17"/>
      <c r="X10" s="30"/>
      <c r="Y10" s="25"/>
      <c r="Z10" s="16"/>
      <c r="AA10" s="25"/>
      <c r="AB10" s="16"/>
      <c r="AC10" s="16"/>
      <c r="AD10" s="17"/>
      <c r="AE10" s="18"/>
      <c r="AF10" s="38">
        <v>0.21805555555555556</v>
      </c>
      <c r="AG10" s="38">
        <v>0.22500000000000001</v>
      </c>
      <c r="AH10" s="29">
        <v>2</v>
      </c>
      <c r="AI10" s="64">
        <v>0.44305555555555554</v>
      </c>
      <c r="AJ10" s="26"/>
      <c r="AK10" s="26"/>
      <c r="AL10" s="27"/>
      <c r="AM10" s="26"/>
      <c r="AN10" s="26"/>
      <c r="AO10" s="28"/>
      <c r="AQ10">
        <v>800</v>
      </c>
    </row>
    <row r="11" spans="1:44" ht="30" customHeight="1">
      <c r="A11" s="23">
        <v>7</v>
      </c>
      <c r="B11" s="15"/>
      <c r="C11" s="60"/>
      <c r="D11" s="38"/>
      <c r="E11" s="38"/>
      <c r="F11" s="38"/>
      <c r="G11" s="38"/>
      <c r="H11" s="38"/>
      <c r="I11" s="33"/>
      <c r="J11" s="60"/>
      <c r="K11" s="38"/>
      <c r="L11" s="38"/>
      <c r="M11" s="63"/>
      <c r="N11" s="38"/>
      <c r="O11" s="38"/>
      <c r="P11" s="39"/>
      <c r="Q11" s="60"/>
      <c r="R11" s="38"/>
      <c r="S11" s="38"/>
      <c r="T11" s="38"/>
      <c r="U11" s="63"/>
      <c r="V11" s="63"/>
      <c r="W11" s="33"/>
      <c r="X11" s="60"/>
      <c r="Y11" s="38"/>
      <c r="Z11" s="38"/>
      <c r="AA11" s="63"/>
      <c r="AB11" s="38"/>
      <c r="AC11" s="38"/>
      <c r="AD11" s="33"/>
      <c r="AE11" s="60"/>
      <c r="AF11" s="63"/>
      <c r="AG11" s="38"/>
      <c r="AH11" s="29"/>
      <c r="AI11" s="40"/>
      <c r="AJ11" s="26"/>
      <c r="AK11" s="26"/>
      <c r="AL11" s="27"/>
      <c r="AM11" s="26"/>
      <c r="AN11" s="26"/>
      <c r="AO11" s="28"/>
    </row>
    <row r="12" spans="1:44" ht="30" customHeight="1">
      <c r="A12" s="136">
        <v>8</v>
      </c>
      <c r="B12" s="95" t="s">
        <v>79</v>
      </c>
      <c r="C12" s="60" t="s">
        <v>19</v>
      </c>
      <c r="D12" s="16"/>
      <c r="E12" s="16"/>
      <c r="F12" s="16"/>
      <c r="G12" s="16"/>
      <c r="H12" s="16"/>
      <c r="I12" s="33" t="s">
        <v>19</v>
      </c>
      <c r="J12" s="60" t="s">
        <v>19</v>
      </c>
      <c r="K12" s="16"/>
      <c r="L12" s="16"/>
      <c r="M12" s="16"/>
      <c r="N12" s="16"/>
      <c r="O12" s="16"/>
      <c r="P12" s="17"/>
      <c r="Q12" s="60" t="s">
        <v>19</v>
      </c>
      <c r="R12" s="16"/>
      <c r="S12" s="16"/>
      <c r="T12" s="16"/>
      <c r="U12" s="16"/>
      <c r="V12" s="16"/>
      <c r="W12" s="33" t="s">
        <v>19</v>
      </c>
      <c r="X12" s="60" t="s">
        <v>19</v>
      </c>
      <c r="Y12" s="16"/>
      <c r="Z12" s="16"/>
      <c r="AA12" s="16"/>
      <c r="AB12" s="16"/>
      <c r="AC12" s="16"/>
      <c r="AD12" s="33" t="s">
        <v>19</v>
      </c>
      <c r="AE12" s="60" t="s">
        <v>19</v>
      </c>
      <c r="AF12" s="16"/>
      <c r="AG12" s="16"/>
      <c r="AH12" s="29">
        <v>21</v>
      </c>
      <c r="AI12" s="26"/>
      <c r="AJ12" s="26"/>
      <c r="AK12" s="26"/>
      <c r="AL12" s="27"/>
      <c r="AM12" s="26"/>
      <c r="AN12" s="26"/>
      <c r="AO12" s="28"/>
    </row>
    <row r="13" spans="1:44" ht="30" customHeight="1">
      <c r="A13" s="136">
        <v>9</v>
      </c>
      <c r="B13" s="95" t="s">
        <v>80</v>
      </c>
      <c r="C13" s="60" t="s">
        <v>19</v>
      </c>
      <c r="D13" s="16"/>
      <c r="E13" s="16"/>
      <c r="F13" s="16"/>
      <c r="G13" s="16"/>
      <c r="H13" s="16"/>
      <c r="I13" s="33" t="s">
        <v>19</v>
      </c>
      <c r="J13" s="60" t="s">
        <v>19</v>
      </c>
      <c r="K13" s="16"/>
      <c r="L13" s="16"/>
      <c r="M13" s="16"/>
      <c r="N13" s="16"/>
      <c r="O13" s="16"/>
      <c r="P13" s="17"/>
      <c r="Q13" s="60" t="s">
        <v>19</v>
      </c>
      <c r="R13" s="16"/>
      <c r="S13" s="16"/>
      <c r="T13" s="16"/>
      <c r="U13" s="16"/>
      <c r="V13" s="16"/>
      <c r="W13" s="33" t="s">
        <v>19</v>
      </c>
      <c r="X13" s="60" t="s">
        <v>19</v>
      </c>
      <c r="Y13" s="16"/>
      <c r="Z13" s="16"/>
      <c r="AA13" s="16"/>
      <c r="AB13" s="16"/>
      <c r="AC13" s="16"/>
      <c r="AD13" s="33" t="s">
        <v>19</v>
      </c>
      <c r="AE13" s="60" t="s">
        <v>19</v>
      </c>
      <c r="AF13" s="16"/>
      <c r="AG13" s="16"/>
      <c r="AH13" s="29">
        <v>20</v>
      </c>
      <c r="AI13" s="26"/>
      <c r="AJ13" s="26"/>
      <c r="AK13" s="26"/>
      <c r="AL13" s="27"/>
      <c r="AM13" s="26"/>
      <c r="AN13" s="26"/>
      <c r="AO13" s="28"/>
    </row>
    <row r="14" spans="1:44" ht="30" customHeight="1">
      <c r="A14" s="136">
        <v>10</v>
      </c>
      <c r="B14" s="95" t="s">
        <v>81</v>
      </c>
      <c r="C14" s="60" t="s">
        <v>19</v>
      </c>
      <c r="D14" s="16"/>
      <c r="E14" s="16"/>
      <c r="F14" s="16"/>
      <c r="G14" s="16"/>
      <c r="H14" s="16"/>
      <c r="I14" s="33" t="s">
        <v>19</v>
      </c>
      <c r="J14" s="60" t="s">
        <v>19</v>
      </c>
      <c r="K14" s="16"/>
      <c r="L14" s="16"/>
      <c r="M14" s="16"/>
      <c r="N14" s="16"/>
      <c r="O14" s="16"/>
      <c r="P14" s="17"/>
      <c r="Q14" s="60" t="s">
        <v>19</v>
      </c>
      <c r="R14" s="16"/>
      <c r="S14" s="16"/>
      <c r="T14" s="16"/>
      <c r="U14" s="16"/>
      <c r="V14" s="16"/>
      <c r="W14" s="33" t="s">
        <v>19</v>
      </c>
      <c r="X14" s="60" t="s">
        <v>19</v>
      </c>
      <c r="Y14" s="16"/>
      <c r="Z14" s="16"/>
      <c r="AA14" s="16"/>
      <c r="AB14" s="16"/>
      <c r="AC14" s="16"/>
      <c r="AD14" s="33" t="s">
        <v>19</v>
      </c>
      <c r="AE14" s="60" t="s">
        <v>19</v>
      </c>
      <c r="AF14" s="16"/>
      <c r="AG14" s="16"/>
      <c r="AH14" s="29">
        <v>16</v>
      </c>
      <c r="AI14" s="26"/>
      <c r="AJ14" s="26"/>
      <c r="AK14" s="26"/>
      <c r="AL14" s="27"/>
      <c r="AM14" s="26"/>
      <c r="AN14" s="26"/>
      <c r="AO14" s="28"/>
    </row>
    <row r="15" spans="1:44" ht="30" customHeight="1">
      <c r="A15" s="136">
        <v>11</v>
      </c>
      <c r="B15" s="95" t="s">
        <v>82</v>
      </c>
      <c r="C15" s="60" t="s">
        <v>19</v>
      </c>
      <c r="D15" s="16"/>
      <c r="E15" s="16"/>
      <c r="F15" s="16"/>
      <c r="G15" s="16"/>
      <c r="H15" s="16"/>
      <c r="I15" s="33" t="s">
        <v>19</v>
      </c>
      <c r="J15" s="60" t="s">
        <v>19</v>
      </c>
      <c r="K15" s="16"/>
      <c r="L15" s="16"/>
      <c r="M15" s="16"/>
      <c r="N15" s="16"/>
      <c r="O15" s="16"/>
      <c r="P15" s="17"/>
      <c r="Q15" s="60" t="s">
        <v>19</v>
      </c>
      <c r="R15" s="16"/>
      <c r="S15" s="16"/>
      <c r="T15" s="16"/>
      <c r="U15" s="16"/>
      <c r="V15" s="16"/>
      <c r="W15" s="33" t="s">
        <v>19</v>
      </c>
      <c r="X15" s="60" t="s">
        <v>19</v>
      </c>
      <c r="Y15" s="16"/>
      <c r="Z15" s="16"/>
      <c r="AA15" s="16"/>
      <c r="AB15" s="16"/>
      <c r="AC15" s="16"/>
      <c r="AD15" s="33" t="s">
        <v>19</v>
      </c>
      <c r="AE15" s="60" t="s">
        <v>19</v>
      </c>
      <c r="AF15" s="16"/>
      <c r="AG15" s="16"/>
      <c r="AH15" s="29">
        <v>21</v>
      </c>
      <c r="AI15" s="26"/>
      <c r="AJ15" s="26"/>
      <c r="AK15" s="26"/>
      <c r="AL15" s="27"/>
      <c r="AM15" s="26"/>
      <c r="AN15" s="26"/>
      <c r="AO15" s="28"/>
    </row>
    <row r="16" spans="1:44" ht="30" customHeight="1">
      <c r="A16" s="136">
        <v>12</v>
      </c>
      <c r="B16" s="95" t="s">
        <v>83</v>
      </c>
      <c r="C16" s="60" t="s">
        <v>19</v>
      </c>
      <c r="D16" s="61" t="s">
        <v>41</v>
      </c>
      <c r="E16" s="61" t="s">
        <v>41</v>
      </c>
      <c r="F16" s="61" t="s">
        <v>41</v>
      </c>
      <c r="G16" s="61" t="s">
        <v>41</v>
      </c>
      <c r="H16" s="61" t="s">
        <v>41</v>
      </c>
      <c r="I16" s="33" t="s">
        <v>19</v>
      </c>
      <c r="J16" s="60" t="s">
        <v>19</v>
      </c>
      <c r="K16" s="61" t="s">
        <v>41</v>
      </c>
      <c r="L16" s="61" t="s">
        <v>41</v>
      </c>
      <c r="M16" s="61" t="s">
        <v>41</v>
      </c>
      <c r="N16" s="61" t="s">
        <v>41</v>
      </c>
      <c r="O16" s="61" t="s">
        <v>41</v>
      </c>
      <c r="P16" s="62" t="s">
        <v>41</v>
      </c>
      <c r="Q16" s="60" t="s">
        <v>19</v>
      </c>
      <c r="R16" s="61" t="s">
        <v>41</v>
      </c>
      <c r="S16" s="61" t="s">
        <v>41</v>
      </c>
      <c r="T16" s="61" t="s">
        <v>41</v>
      </c>
      <c r="U16" s="61" t="s">
        <v>41</v>
      </c>
      <c r="V16" s="61" t="s">
        <v>41</v>
      </c>
      <c r="W16" s="33" t="s">
        <v>19</v>
      </c>
      <c r="X16" s="60" t="s">
        <v>19</v>
      </c>
      <c r="Y16" s="61" t="s">
        <v>41</v>
      </c>
      <c r="Z16" s="61" t="s">
        <v>41</v>
      </c>
      <c r="AA16" s="61" t="s">
        <v>41</v>
      </c>
      <c r="AB16" s="61" t="s">
        <v>41</v>
      </c>
      <c r="AC16" s="61" t="s">
        <v>41</v>
      </c>
      <c r="AD16" s="33" t="s">
        <v>19</v>
      </c>
      <c r="AE16" s="60" t="s">
        <v>19</v>
      </c>
      <c r="AF16" s="61" t="s">
        <v>41</v>
      </c>
      <c r="AG16" s="61" t="s">
        <v>41</v>
      </c>
      <c r="AH16" s="29">
        <v>23</v>
      </c>
      <c r="AI16" s="26"/>
      <c r="AJ16" s="26"/>
      <c r="AK16" s="26"/>
      <c r="AL16" s="27"/>
      <c r="AM16" s="26"/>
      <c r="AN16" s="26"/>
      <c r="AO16" s="28"/>
    </row>
    <row r="17" spans="1:43" ht="30" customHeight="1">
      <c r="A17" s="136">
        <v>13</v>
      </c>
      <c r="B17" s="95" t="s">
        <v>84</v>
      </c>
      <c r="C17" s="60" t="s">
        <v>19</v>
      </c>
      <c r="D17" s="16"/>
      <c r="E17" s="16"/>
      <c r="F17" s="16"/>
      <c r="G17" s="16"/>
      <c r="H17" s="16"/>
      <c r="I17" s="33" t="s">
        <v>19</v>
      </c>
      <c r="J17" s="60" t="s">
        <v>19</v>
      </c>
      <c r="K17" s="16"/>
      <c r="L17" s="16"/>
      <c r="M17" s="16"/>
      <c r="N17" s="16"/>
      <c r="O17" s="16"/>
      <c r="P17" s="17"/>
      <c r="Q17" s="60" t="s">
        <v>19</v>
      </c>
      <c r="R17" s="16"/>
      <c r="S17" s="16"/>
      <c r="T17" s="16"/>
      <c r="U17" s="16"/>
      <c r="V17" s="16"/>
      <c r="W17" s="33" t="s">
        <v>19</v>
      </c>
      <c r="X17" s="60" t="s">
        <v>19</v>
      </c>
      <c r="Y17" s="16"/>
      <c r="Z17" s="16"/>
      <c r="AA17" s="16"/>
      <c r="AB17" s="16"/>
      <c r="AC17" s="16"/>
      <c r="AD17" s="33" t="s">
        <v>19</v>
      </c>
      <c r="AE17" s="60" t="s">
        <v>19</v>
      </c>
      <c r="AF17" s="16"/>
      <c r="AG17" s="16"/>
      <c r="AH17" s="29">
        <v>16</v>
      </c>
      <c r="AI17" s="26"/>
      <c r="AJ17" s="26"/>
      <c r="AK17" s="26"/>
      <c r="AL17" s="27"/>
      <c r="AM17" s="26"/>
      <c r="AN17" s="26"/>
      <c r="AO17" s="28"/>
    </row>
    <row r="18" spans="1:43" ht="30" customHeight="1">
      <c r="A18" s="136">
        <v>14</v>
      </c>
      <c r="B18" s="95" t="s">
        <v>85</v>
      </c>
      <c r="C18" s="60" t="s">
        <v>19</v>
      </c>
      <c r="D18" s="61" t="s">
        <v>41</v>
      </c>
      <c r="E18" s="61" t="s">
        <v>41</v>
      </c>
      <c r="F18" s="61" t="s">
        <v>41</v>
      </c>
      <c r="G18" s="61" t="s">
        <v>41</v>
      </c>
      <c r="H18" s="61" t="s">
        <v>41</v>
      </c>
      <c r="I18" s="33" t="s">
        <v>19</v>
      </c>
      <c r="J18" s="60" t="s">
        <v>19</v>
      </c>
      <c r="K18" s="61" t="s">
        <v>41</v>
      </c>
      <c r="L18" s="61" t="s">
        <v>41</v>
      </c>
      <c r="M18" s="61" t="s">
        <v>41</v>
      </c>
      <c r="N18" s="61" t="s">
        <v>41</v>
      </c>
      <c r="O18" s="61" t="s">
        <v>41</v>
      </c>
      <c r="P18" s="62" t="s">
        <v>41</v>
      </c>
      <c r="Q18" s="60" t="s">
        <v>19</v>
      </c>
      <c r="R18" s="61" t="s">
        <v>41</v>
      </c>
      <c r="S18" s="61" t="s">
        <v>41</v>
      </c>
      <c r="T18" s="61" t="s">
        <v>41</v>
      </c>
      <c r="U18" s="61" t="s">
        <v>41</v>
      </c>
      <c r="V18" s="61" t="s">
        <v>41</v>
      </c>
      <c r="W18" s="33" t="s">
        <v>19</v>
      </c>
      <c r="X18" s="60" t="s">
        <v>19</v>
      </c>
      <c r="Y18" s="61" t="s">
        <v>41</v>
      </c>
      <c r="Z18" s="61" t="s">
        <v>41</v>
      </c>
      <c r="AA18" s="61" t="s">
        <v>41</v>
      </c>
      <c r="AB18" s="61" t="s">
        <v>41</v>
      </c>
      <c r="AC18" s="61" t="s">
        <v>41</v>
      </c>
      <c r="AD18" s="33" t="s">
        <v>19</v>
      </c>
      <c r="AE18" s="60" t="s">
        <v>19</v>
      </c>
      <c r="AF18" s="61" t="s">
        <v>41</v>
      </c>
      <c r="AG18" s="61" t="s">
        <v>41</v>
      </c>
      <c r="AH18" s="29">
        <v>23</v>
      </c>
      <c r="AI18" s="26"/>
      <c r="AJ18" s="26"/>
      <c r="AK18" s="26"/>
      <c r="AL18" s="27"/>
      <c r="AM18" s="26"/>
      <c r="AN18" s="26"/>
      <c r="AO18" s="28"/>
    </row>
    <row r="19" spans="1:43" ht="30" customHeight="1">
      <c r="A19" s="136">
        <v>15</v>
      </c>
      <c r="B19" s="95" t="s">
        <v>86</v>
      </c>
      <c r="C19" s="60" t="s">
        <v>19</v>
      </c>
      <c r="D19" s="61" t="s">
        <v>41</v>
      </c>
      <c r="E19" s="61" t="s">
        <v>41</v>
      </c>
      <c r="F19" s="61" t="s">
        <v>41</v>
      </c>
      <c r="G19" s="61" t="s">
        <v>41</v>
      </c>
      <c r="H19" s="61" t="s">
        <v>41</v>
      </c>
      <c r="I19" s="33" t="s">
        <v>19</v>
      </c>
      <c r="J19" s="60" t="s">
        <v>19</v>
      </c>
      <c r="K19" s="61" t="s">
        <v>41</v>
      </c>
      <c r="L19" s="61" t="s">
        <v>41</v>
      </c>
      <c r="M19" s="61" t="s">
        <v>41</v>
      </c>
      <c r="N19" s="61" t="s">
        <v>41</v>
      </c>
      <c r="O19" s="61" t="s">
        <v>41</v>
      </c>
      <c r="P19" s="62" t="s">
        <v>41</v>
      </c>
      <c r="Q19" s="60" t="s">
        <v>19</v>
      </c>
      <c r="R19" s="61" t="s">
        <v>41</v>
      </c>
      <c r="S19" s="61" t="s">
        <v>41</v>
      </c>
      <c r="T19" s="61" t="s">
        <v>41</v>
      </c>
      <c r="U19" s="61" t="s">
        <v>41</v>
      </c>
      <c r="V19" s="61" t="s">
        <v>41</v>
      </c>
      <c r="W19" s="33" t="s">
        <v>19</v>
      </c>
      <c r="X19" s="60" t="s">
        <v>19</v>
      </c>
      <c r="Y19" s="61" t="s">
        <v>41</v>
      </c>
      <c r="Z19" s="61" t="s">
        <v>41</v>
      </c>
      <c r="AA19" s="61" t="s">
        <v>41</v>
      </c>
      <c r="AB19" s="61" t="s">
        <v>41</v>
      </c>
      <c r="AC19" s="61" t="s">
        <v>41</v>
      </c>
      <c r="AD19" s="33" t="s">
        <v>19</v>
      </c>
      <c r="AE19" s="60" t="s">
        <v>19</v>
      </c>
      <c r="AF19" s="61" t="s">
        <v>41</v>
      </c>
      <c r="AG19" s="61" t="s">
        <v>41</v>
      </c>
      <c r="AH19" s="29">
        <v>23</v>
      </c>
      <c r="AI19" s="26"/>
      <c r="AJ19" s="26"/>
      <c r="AK19" s="26"/>
      <c r="AL19" s="27"/>
      <c r="AM19" s="26"/>
      <c r="AN19" s="26"/>
      <c r="AO19" s="28"/>
    </row>
    <row r="20" spans="1:43" ht="30" customHeight="1">
      <c r="A20" s="136">
        <v>16</v>
      </c>
      <c r="B20" s="95" t="s">
        <v>87</v>
      </c>
      <c r="C20" s="60" t="s">
        <v>19</v>
      </c>
      <c r="D20" s="16"/>
      <c r="E20" s="16"/>
      <c r="F20" s="16"/>
      <c r="G20" s="16"/>
      <c r="H20" s="16"/>
      <c r="I20" s="33" t="s">
        <v>19</v>
      </c>
      <c r="J20" s="60" t="s">
        <v>19</v>
      </c>
      <c r="K20" s="16"/>
      <c r="L20" s="16"/>
      <c r="M20" s="16"/>
      <c r="N20" s="16"/>
      <c r="O20" s="16"/>
      <c r="P20" s="17"/>
      <c r="Q20" s="60" t="s">
        <v>19</v>
      </c>
      <c r="R20" s="16"/>
      <c r="S20" s="16"/>
      <c r="T20" s="16"/>
      <c r="U20" s="16"/>
      <c r="V20" s="16"/>
      <c r="W20" s="33" t="s">
        <v>19</v>
      </c>
      <c r="X20" s="60" t="s">
        <v>19</v>
      </c>
      <c r="Y20" s="16"/>
      <c r="Z20" s="16"/>
      <c r="AA20" s="16"/>
      <c r="AB20" s="16"/>
      <c r="AC20" s="16"/>
      <c r="AD20" s="33" t="s">
        <v>19</v>
      </c>
      <c r="AE20" s="60" t="s">
        <v>19</v>
      </c>
      <c r="AF20" s="16"/>
      <c r="AG20" s="16"/>
      <c r="AH20" s="29">
        <v>13</v>
      </c>
      <c r="AI20" s="26"/>
      <c r="AJ20" s="26"/>
      <c r="AK20" s="26"/>
      <c r="AL20" s="27"/>
      <c r="AM20" s="26"/>
      <c r="AN20" s="26"/>
      <c r="AO20" s="28"/>
    </row>
    <row r="21" spans="1:43" ht="30" customHeight="1">
      <c r="A21" s="136">
        <v>17</v>
      </c>
      <c r="B21" s="95" t="s">
        <v>88</v>
      </c>
      <c r="C21" s="60" t="s">
        <v>19</v>
      </c>
      <c r="D21" s="16"/>
      <c r="E21" s="16"/>
      <c r="F21" s="16"/>
      <c r="G21" s="16"/>
      <c r="H21" s="16"/>
      <c r="I21" s="33" t="s">
        <v>19</v>
      </c>
      <c r="J21" s="60" t="s">
        <v>19</v>
      </c>
      <c r="K21" s="16"/>
      <c r="L21" s="16"/>
      <c r="M21" s="16"/>
      <c r="N21" s="16"/>
      <c r="O21" s="16"/>
      <c r="P21" s="17"/>
      <c r="Q21" s="60" t="s">
        <v>19</v>
      </c>
      <c r="R21" s="16"/>
      <c r="S21" s="16"/>
      <c r="T21" s="16"/>
      <c r="U21" s="16"/>
      <c r="V21" s="16"/>
      <c r="W21" s="33" t="s">
        <v>19</v>
      </c>
      <c r="X21" s="60" t="s">
        <v>19</v>
      </c>
      <c r="Y21" s="16"/>
      <c r="Z21" s="16"/>
      <c r="AA21" s="16"/>
      <c r="AB21" s="16"/>
      <c r="AC21" s="16"/>
      <c r="AD21" s="33" t="s">
        <v>19</v>
      </c>
      <c r="AE21" s="60" t="s">
        <v>19</v>
      </c>
      <c r="AF21" s="16"/>
      <c r="AG21" s="16"/>
      <c r="AH21" s="29">
        <v>13</v>
      </c>
      <c r="AI21" s="26"/>
      <c r="AJ21" s="26"/>
      <c r="AK21" s="26"/>
      <c r="AL21" s="27"/>
      <c r="AM21" s="26"/>
      <c r="AN21" s="26"/>
      <c r="AO21" s="28"/>
    </row>
    <row r="22" spans="1:43" ht="30" customHeight="1">
      <c r="A22" s="23">
        <v>18</v>
      </c>
      <c r="B22" s="15"/>
      <c r="C22" s="18"/>
      <c r="D22" s="16"/>
      <c r="E22" s="16"/>
      <c r="F22" s="16"/>
      <c r="G22" s="16"/>
      <c r="H22" s="16"/>
      <c r="I22" s="31"/>
      <c r="J22" s="18"/>
      <c r="K22" s="25"/>
      <c r="L22" s="16"/>
      <c r="M22" s="25"/>
      <c r="N22" s="16"/>
      <c r="O22" s="16"/>
      <c r="P22" s="17"/>
      <c r="Q22" s="18"/>
      <c r="R22" s="16"/>
      <c r="S22" s="16"/>
      <c r="T22" s="16"/>
      <c r="U22" s="16"/>
      <c r="V22" s="25"/>
      <c r="W22" s="17"/>
      <c r="X22" s="30"/>
      <c r="Y22" s="25"/>
      <c r="Z22" s="16"/>
      <c r="AA22" s="25"/>
      <c r="AB22" s="16"/>
      <c r="AC22" s="16"/>
      <c r="AD22" s="17"/>
      <c r="AE22" s="18"/>
      <c r="AF22" s="38"/>
      <c r="AG22" s="38"/>
      <c r="AH22" s="29"/>
      <c r="AI22" s="64"/>
      <c r="AJ22" s="26"/>
      <c r="AK22" s="26"/>
      <c r="AL22" s="27"/>
      <c r="AM22" s="26"/>
      <c r="AN22" s="26"/>
      <c r="AO22" s="28"/>
      <c r="AQ22">
        <v>800</v>
      </c>
    </row>
    <row r="23" spans="1:43" ht="30" customHeight="1">
      <c r="A23" s="136">
        <v>19</v>
      </c>
      <c r="B23" s="95" t="s">
        <v>91</v>
      </c>
      <c r="C23" s="60" t="s">
        <v>19</v>
      </c>
      <c r="D23" s="16"/>
      <c r="E23" s="16"/>
      <c r="F23" s="16"/>
      <c r="G23" s="34"/>
      <c r="H23" s="34"/>
      <c r="I23" s="33" t="s">
        <v>19</v>
      </c>
      <c r="J23" s="60" t="s">
        <v>19</v>
      </c>
      <c r="K23" s="16"/>
      <c r="L23" s="16"/>
      <c r="M23" s="16"/>
      <c r="N23" s="16"/>
      <c r="O23" s="16"/>
      <c r="P23" s="17"/>
      <c r="Q23" s="60" t="s">
        <v>19</v>
      </c>
      <c r="R23" s="16"/>
      <c r="S23" s="16"/>
      <c r="T23" s="16"/>
      <c r="U23" s="16"/>
      <c r="V23" s="16"/>
      <c r="W23" s="33" t="s">
        <v>19</v>
      </c>
      <c r="X23" s="60" t="s">
        <v>19</v>
      </c>
      <c r="Y23" s="16"/>
      <c r="Z23" s="16"/>
      <c r="AA23" s="34"/>
      <c r="AB23" s="16"/>
      <c r="AC23" s="16"/>
      <c r="AD23" s="33" t="s">
        <v>19</v>
      </c>
      <c r="AE23" s="60" t="s">
        <v>19</v>
      </c>
      <c r="AF23" s="16"/>
      <c r="AG23" s="16"/>
      <c r="AH23" s="35">
        <v>15</v>
      </c>
      <c r="AI23" s="26"/>
      <c r="AJ23" s="26"/>
      <c r="AK23" s="26"/>
      <c r="AL23" s="32"/>
      <c r="AM23" s="26"/>
      <c r="AN23" s="26"/>
      <c r="AO23" s="28"/>
    </row>
    <row r="24" spans="1:43" ht="30" customHeight="1">
      <c r="A24" s="137">
        <v>20</v>
      </c>
      <c r="B24" s="95" t="s">
        <v>89</v>
      </c>
      <c r="C24" s="60" t="s">
        <v>19</v>
      </c>
      <c r="D24" s="16"/>
      <c r="E24" s="16"/>
      <c r="F24" s="16"/>
      <c r="G24" s="16"/>
      <c r="H24" s="16"/>
      <c r="I24" s="33" t="s">
        <v>19</v>
      </c>
      <c r="J24" s="60" t="s">
        <v>19</v>
      </c>
      <c r="K24" s="25"/>
      <c r="L24" s="16"/>
      <c r="M24" s="16"/>
      <c r="N24" s="16"/>
      <c r="O24" s="16"/>
      <c r="P24" s="17"/>
      <c r="Q24" s="60" t="s">
        <v>19</v>
      </c>
      <c r="R24" s="16"/>
      <c r="S24" s="16"/>
      <c r="T24" s="16"/>
      <c r="U24" s="16"/>
      <c r="V24" s="16"/>
      <c r="W24" s="33" t="s">
        <v>19</v>
      </c>
      <c r="X24" s="60" t="s">
        <v>19</v>
      </c>
      <c r="Y24" s="16"/>
      <c r="Z24" s="16"/>
      <c r="AA24" s="16"/>
      <c r="AB24" s="16"/>
      <c r="AC24" s="16"/>
      <c r="AD24" s="33" t="s">
        <v>19</v>
      </c>
      <c r="AE24" s="60" t="s">
        <v>19</v>
      </c>
      <c r="AF24" s="16"/>
      <c r="AG24" s="16"/>
      <c r="AH24" s="29">
        <v>13</v>
      </c>
      <c r="AI24" s="26"/>
      <c r="AJ24" s="26"/>
      <c r="AK24" s="26"/>
      <c r="AL24" s="27"/>
      <c r="AM24" s="26"/>
      <c r="AN24" s="26"/>
      <c r="AO24" s="28"/>
    </row>
    <row r="25" spans="1:43" ht="30" customHeight="1">
      <c r="A25" s="136">
        <v>21</v>
      </c>
      <c r="B25" s="95" t="s">
        <v>90</v>
      </c>
      <c r="C25" s="60" t="s">
        <v>19</v>
      </c>
      <c r="D25" s="16"/>
      <c r="E25" s="16"/>
      <c r="F25" s="16"/>
      <c r="G25" s="16"/>
      <c r="H25" s="16"/>
      <c r="I25" s="33" t="s">
        <v>19</v>
      </c>
      <c r="J25" s="60" t="s">
        <v>19</v>
      </c>
      <c r="K25" s="16"/>
      <c r="L25" s="16"/>
      <c r="M25" s="34"/>
      <c r="N25" s="16"/>
      <c r="O25" s="16"/>
      <c r="P25" s="17"/>
      <c r="Q25" s="60" t="s">
        <v>19</v>
      </c>
      <c r="R25" s="16"/>
      <c r="S25" s="16"/>
      <c r="T25" s="16"/>
      <c r="U25" s="16"/>
      <c r="V25" s="16"/>
      <c r="W25" s="33" t="s">
        <v>19</v>
      </c>
      <c r="X25" s="60" t="s">
        <v>19</v>
      </c>
      <c r="Y25" s="25"/>
      <c r="Z25" s="16"/>
      <c r="AA25" s="25"/>
      <c r="AB25" s="16"/>
      <c r="AC25" s="16"/>
      <c r="AD25" s="33" t="s">
        <v>19</v>
      </c>
      <c r="AE25" s="60" t="s">
        <v>19</v>
      </c>
      <c r="AF25" s="16"/>
      <c r="AG25" s="16"/>
      <c r="AH25" s="29">
        <v>10</v>
      </c>
      <c r="AI25" s="26"/>
      <c r="AJ25" s="26"/>
      <c r="AK25" s="26"/>
      <c r="AL25" s="36"/>
      <c r="AM25" s="26"/>
      <c r="AN25" s="26"/>
      <c r="AO25" s="28"/>
    </row>
    <row r="26" spans="1:43" ht="30" customHeight="1">
      <c r="A26" s="23">
        <v>22</v>
      </c>
      <c r="B26" s="15"/>
      <c r="C26" s="18"/>
      <c r="D26" s="16"/>
      <c r="E26" s="16"/>
      <c r="F26" s="16"/>
      <c r="G26" s="16"/>
      <c r="H26" s="16"/>
      <c r="I26" s="17"/>
      <c r="J26" s="18"/>
      <c r="K26" s="16"/>
      <c r="L26" s="16"/>
      <c r="M26" s="16"/>
      <c r="N26" s="16"/>
      <c r="O26" s="16"/>
      <c r="P26" s="17"/>
      <c r="Q26" s="18"/>
      <c r="R26" s="16"/>
      <c r="S26" s="16"/>
      <c r="T26" s="16"/>
      <c r="U26" s="16"/>
      <c r="V26" s="16"/>
      <c r="W26" s="17"/>
      <c r="X26" s="18"/>
      <c r="Y26" s="16"/>
      <c r="Z26" s="16"/>
      <c r="AA26" s="16"/>
      <c r="AB26" s="16"/>
      <c r="AC26" s="16"/>
      <c r="AD26" s="17"/>
      <c r="AE26" s="18"/>
      <c r="AF26" s="16"/>
      <c r="AG26" s="37"/>
      <c r="AH26" s="29"/>
      <c r="AI26" s="26"/>
      <c r="AJ26" s="26"/>
      <c r="AK26" s="26"/>
      <c r="AL26" s="27"/>
      <c r="AM26" s="26"/>
      <c r="AN26" s="26"/>
      <c r="AO26" s="28"/>
    </row>
    <row r="27" spans="1:43" ht="30" customHeight="1">
      <c r="A27" s="23">
        <v>23</v>
      </c>
      <c r="B27" s="15"/>
      <c r="C27" s="30"/>
      <c r="D27" s="38"/>
      <c r="E27" s="38"/>
      <c r="F27" s="38"/>
      <c r="G27" s="38"/>
      <c r="H27" s="38"/>
      <c r="I27" s="39"/>
      <c r="J27" s="30"/>
      <c r="K27" s="38"/>
      <c r="L27" s="38"/>
      <c r="M27" s="38"/>
      <c r="N27" s="38"/>
      <c r="O27" s="38"/>
      <c r="P27" s="39"/>
      <c r="Q27" s="30"/>
      <c r="R27" s="38"/>
      <c r="S27" s="38"/>
      <c r="T27" s="38"/>
      <c r="U27" s="38"/>
      <c r="V27" s="38"/>
      <c r="W27" s="33"/>
      <c r="X27" s="30"/>
      <c r="Y27" s="38"/>
      <c r="Z27" s="38"/>
      <c r="AA27" s="38"/>
      <c r="AB27" s="38"/>
      <c r="AC27" s="38"/>
      <c r="AD27" s="39"/>
      <c r="AE27" s="30"/>
      <c r="AF27" s="38"/>
      <c r="AG27" s="38"/>
      <c r="AH27" s="35"/>
      <c r="AI27" s="40"/>
      <c r="AJ27" s="41"/>
      <c r="AK27" s="26"/>
      <c r="AL27" s="27"/>
      <c r="AM27" s="26"/>
      <c r="AN27" s="26"/>
      <c r="AO27" s="28"/>
    </row>
    <row r="28" spans="1:43" ht="30" customHeight="1">
      <c r="A28" s="23">
        <v>24</v>
      </c>
      <c r="B28" s="15"/>
      <c r="C28" s="30"/>
      <c r="D28" s="16"/>
      <c r="E28" s="16"/>
      <c r="F28" s="16"/>
      <c r="G28" s="16"/>
      <c r="H28" s="16"/>
      <c r="I28" s="17"/>
      <c r="J28" s="18"/>
      <c r="K28" s="16"/>
      <c r="L28" s="16"/>
      <c r="M28" s="16"/>
      <c r="N28" s="16"/>
      <c r="O28" s="16"/>
      <c r="P28" s="17"/>
      <c r="Q28" s="18"/>
      <c r="R28" s="16"/>
      <c r="S28" s="16"/>
      <c r="T28" s="16"/>
      <c r="U28" s="16"/>
      <c r="V28" s="16"/>
      <c r="W28" s="17"/>
      <c r="X28" s="18"/>
      <c r="Y28" s="16"/>
      <c r="Z28" s="16"/>
      <c r="AA28" s="16"/>
      <c r="AB28" s="16"/>
      <c r="AC28" s="16"/>
      <c r="AD28" s="17"/>
      <c r="AE28" s="18"/>
      <c r="AF28" s="16"/>
      <c r="AG28" s="16"/>
      <c r="AH28" s="29"/>
      <c r="AI28" s="42"/>
      <c r="AJ28" s="26"/>
      <c r="AK28" s="26"/>
      <c r="AL28" s="27"/>
      <c r="AM28" s="26"/>
      <c r="AN28" s="26"/>
      <c r="AO28" s="28"/>
    </row>
    <row r="29" spans="1:43" ht="30" customHeight="1">
      <c r="A29" s="23">
        <v>25</v>
      </c>
      <c r="B29" s="15"/>
      <c r="C29" s="18"/>
      <c r="D29" s="16"/>
      <c r="E29" s="16"/>
      <c r="F29" s="16"/>
      <c r="G29" s="16"/>
      <c r="H29" s="16"/>
      <c r="I29" s="17"/>
      <c r="J29" s="18"/>
      <c r="K29" s="16"/>
      <c r="L29" s="16"/>
      <c r="M29" s="16"/>
      <c r="N29" s="16"/>
      <c r="O29" s="16"/>
      <c r="P29" s="17"/>
      <c r="Q29" s="18"/>
      <c r="R29" s="16"/>
      <c r="S29" s="16"/>
      <c r="T29" s="16"/>
      <c r="U29" s="16"/>
      <c r="V29" s="16"/>
      <c r="W29" s="17"/>
      <c r="X29" s="18"/>
      <c r="Y29" s="16"/>
      <c r="Z29" s="16"/>
      <c r="AA29" s="16"/>
      <c r="AB29" s="16"/>
      <c r="AC29" s="16"/>
      <c r="AD29" s="17"/>
      <c r="AE29" s="18"/>
      <c r="AF29" s="16"/>
      <c r="AG29" s="16"/>
      <c r="AH29" s="29"/>
      <c r="AI29" s="26"/>
      <c r="AJ29" s="26"/>
      <c r="AK29" s="26"/>
      <c r="AL29" s="27"/>
      <c r="AM29" s="26"/>
      <c r="AN29" s="26"/>
      <c r="AO29" s="28"/>
    </row>
    <row r="30" spans="1:43" ht="30" customHeight="1">
      <c r="A30" s="23">
        <v>26</v>
      </c>
      <c r="B30" s="15"/>
      <c r="C30" s="18"/>
      <c r="D30" s="16"/>
      <c r="E30" s="16"/>
      <c r="F30" s="16"/>
      <c r="G30" s="16"/>
      <c r="H30" s="16"/>
      <c r="I30" s="17"/>
      <c r="J30" s="24"/>
      <c r="K30" s="16"/>
      <c r="L30" s="16"/>
      <c r="M30" s="16"/>
      <c r="N30" s="16"/>
      <c r="O30" s="16"/>
      <c r="P30" s="17"/>
      <c r="Q30" s="18"/>
      <c r="R30" s="16"/>
      <c r="S30" s="16"/>
      <c r="T30" s="16"/>
      <c r="U30" s="16"/>
      <c r="V30" s="16"/>
      <c r="W30" s="17"/>
      <c r="X30" s="18"/>
      <c r="Y30" s="16"/>
      <c r="Z30" s="25"/>
      <c r="AA30" s="16"/>
      <c r="AB30" s="16"/>
      <c r="AC30" s="16"/>
      <c r="AD30" s="17"/>
      <c r="AE30" s="18"/>
      <c r="AF30" s="16"/>
      <c r="AG30" s="16"/>
      <c r="AH30" s="29"/>
      <c r="AI30" s="26"/>
      <c r="AJ30" s="26"/>
      <c r="AK30" s="26"/>
      <c r="AL30" s="27"/>
      <c r="AM30" s="26"/>
      <c r="AN30" s="26"/>
      <c r="AO30" s="28"/>
    </row>
    <row r="31" spans="1:43" ht="30" customHeight="1">
      <c r="A31" s="23">
        <v>27</v>
      </c>
      <c r="B31" s="15"/>
      <c r="C31" s="18"/>
      <c r="D31" s="16"/>
      <c r="E31" s="16"/>
      <c r="F31" s="16"/>
      <c r="G31" s="16"/>
      <c r="H31" s="25"/>
      <c r="I31" s="17"/>
      <c r="J31" s="18"/>
      <c r="K31" s="16"/>
      <c r="L31" s="16"/>
      <c r="M31" s="16"/>
      <c r="N31" s="16"/>
      <c r="O31" s="16"/>
      <c r="P31" s="17"/>
      <c r="Q31" s="18"/>
      <c r="R31" s="16"/>
      <c r="S31" s="16"/>
      <c r="T31" s="16"/>
      <c r="U31" s="16"/>
      <c r="V31" s="25"/>
      <c r="W31" s="17"/>
      <c r="X31" s="18"/>
      <c r="Y31" s="16"/>
      <c r="Z31" s="16"/>
      <c r="AA31" s="16"/>
      <c r="AB31" s="16"/>
      <c r="AC31" s="25"/>
      <c r="AD31" s="17"/>
      <c r="AE31" s="18"/>
      <c r="AF31" s="16"/>
      <c r="AG31" s="16"/>
      <c r="AH31" s="29"/>
      <c r="AI31" s="26"/>
      <c r="AJ31" s="26"/>
      <c r="AK31" s="26"/>
      <c r="AL31" s="27"/>
      <c r="AM31" s="26"/>
      <c r="AN31" s="26"/>
      <c r="AO31" s="28"/>
    </row>
    <row r="32" spans="1:43" ht="30" customHeight="1">
      <c r="A32" s="23">
        <v>28</v>
      </c>
      <c r="B32" s="15"/>
      <c r="C32" s="18"/>
      <c r="D32" s="16"/>
      <c r="E32" s="16"/>
      <c r="F32" s="16"/>
      <c r="G32" s="16"/>
      <c r="H32" s="16"/>
      <c r="I32" s="17"/>
      <c r="J32" s="18"/>
      <c r="K32" s="16"/>
      <c r="L32" s="16"/>
      <c r="M32" s="16"/>
      <c r="N32" s="16"/>
      <c r="O32" s="16"/>
      <c r="P32" s="17"/>
      <c r="Q32" s="18"/>
      <c r="R32" s="16"/>
      <c r="S32" s="16"/>
      <c r="T32" s="16"/>
      <c r="U32" s="16"/>
      <c r="V32" s="16"/>
      <c r="W32" s="17"/>
      <c r="X32" s="18"/>
      <c r="Y32" s="16"/>
      <c r="Z32" s="16"/>
      <c r="AA32" s="16"/>
      <c r="AB32" s="16"/>
      <c r="AC32" s="16"/>
      <c r="AD32" s="17"/>
      <c r="AE32" s="18"/>
      <c r="AF32" s="16"/>
      <c r="AG32" s="16"/>
      <c r="AH32" s="29"/>
      <c r="AI32" s="26"/>
      <c r="AJ32" s="26"/>
      <c r="AK32" s="26"/>
      <c r="AL32" s="27"/>
      <c r="AM32" s="26"/>
      <c r="AN32" s="26"/>
      <c r="AO32" s="28"/>
    </row>
    <row r="33" spans="1:41" ht="30" customHeight="1">
      <c r="A33" s="128">
        <v>29</v>
      </c>
      <c r="B33" s="129"/>
      <c r="C33" s="130"/>
      <c r="D33" s="131"/>
      <c r="E33" s="131"/>
      <c r="F33" s="131"/>
      <c r="G33" s="131"/>
      <c r="H33" s="131"/>
      <c r="I33" s="132"/>
      <c r="J33" s="130"/>
      <c r="K33" s="131"/>
      <c r="L33" s="131"/>
      <c r="M33" s="131"/>
      <c r="N33" s="131"/>
      <c r="O33" s="131"/>
      <c r="P33" s="132"/>
      <c r="Q33" s="130"/>
      <c r="R33" s="131"/>
      <c r="S33" s="131"/>
      <c r="T33" s="131"/>
      <c r="U33" s="131"/>
      <c r="V33" s="131"/>
      <c r="W33" s="132"/>
      <c r="X33" s="130"/>
      <c r="Y33" s="131"/>
      <c r="Z33" s="131"/>
      <c r="AA33" s="131"/>
      <c r="AB33" s="131"/>
      <c r="AC33" s="131"/>
      <c r="AD33" s="132"/>
      <c r="AE33" s="130"/>
      <c r="AF33" s="131"/>
      <c r="AG33" s="131"/>
      <c r="AH33" s="133"/>
      <c r="AI33" s="82"/>
      <c r="AJ33" s="82"/>
      <c r="AK33" s="82"/>
      <c r="AL33" s="134"/>
      <c r="AM33" s="82"/>
      <c r="AN33" s="82"/>
      <c r="AO33" s="135"/>
    </row>
    <row r="34" spans="1:41" ht="30" customHeight="1" thickBot="1">
      <c r="A34" s="43">
        <v>30</v>
      </c>
      <c r="B34" s="44"/>
      <c r="C34" s="45"/>
      <c r="D34" s="10"/>
      <c r="E34" s="10"/>
      <c r="F34" s="10"/>
      <c r="G34" s="10"/>
      <c r="H34" s="10"/>
      <c r="I34" s="46"/>
      <c r="J34" s="45"/>
      <c r="K34" s="10"/>
      <c r="L34" s="10"/>
      <c r="M34" s="10"/>
      <c r="N34" s="10"/>
      <c r="O34" s="10"/>
      <c r="P34" s="46"/>
      <c r="Q34" s="45"/>
      <c r="R34" s="10"/>
      <c r="S34" s="10"/>
      <c r="T34" s="10"/>
      <c r="U34" s="10"/>
      <c r="V34" s="10"/>
      <c r="W34" s="46"/>
      <c r="X34" s="45"/>
      <c r="Y34" s="10"/>
      <c r="Z34" s="10"/>
      <c r="AA34" s="10"/>
      <c r="AB34" s="10"/>
      <c r="AC34" s="10"/>
      <c r="AD34" s="46"/>
      <c r="AE34" s="45"/>
      <c r="AF34" s="10"/>
      <c r="AG34" s="10"/>
      <c r="AH34" s="47"/>
      <c r="AI34" s="48"/>
      <c r="AJ34" s="48"/>
      <c r="AK34" s="48"/>
      <c r="AL34" s="49"/>
      <c r="AM34" s="48"/>
      <c r="AN34" s="48"/>
      <c r="AO34" s="50"/>
    </row>
    <row r="35" spans="1:41"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</row>
    <row r="36" spans="1:41"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3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</row>
    <row r="37" spans="1:41"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</row>
    <row r="38" spans="1:41"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4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</row>
    <row r="39" spans="1:41"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2"/>
      <c r="Y39" s="53"/>
      <c r="Z39" s="52"/>
      <c r="AA39" s="52"/>
      <c r="AB39" s="52"/>
      <c r="AC39" s="52"/>
      <c r="AD39" s="52"/>
      <c r="AE39" s="52"/>
      <c r="AF39" s="52"/>
      <c r="AG39" s="53"/>
    </row>
    <row r="40" spans="1:41">
      <c r="C40" s="52"/>
      <c r="D40" s="52"/>
      <c r="E40" s="52"/>
      <c r="F40" s="52"/>
      <c r="G40" s="52"/>
      <c r="H40" s="53"/>
      <c r="I40" s="53"/>
      <c r="J40" s="53"/>
      <c r="K40" s="53"/>
      <c r="L40" s="53"/>
      <c r="M40" s="53"/>
      <c r="N40" s="52"/>
      <c r="O40" s="53"/>
      <c r="P40" s="53"/>
      <c r="Q40" s="52"/>
      <c r="R40" s="53"/>
      <c r="S40" s="52"/>
      <c r="T40" s="53"/>
      <c r="U40" s="52"/>
      <c r="V40" s="53"/>
      <c r="W40" s="53"/>
      <c r="X40" s="52"/>
      <c r="Y40" s="53"/>
      <c r="Z40" s="52"/>
      <c r="AA40" s="53"/>
      <c r="AB40" s="52"/>
      <c r="AC40" s="53"/>
      <c r="AD40" s="53"/>
      <c r="AE40" s="53"/>
      <c r="AF40" s="53"/>
      <c r="AG40" s="52"/>
    </row>
    <row r="41" spans="1:41"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</row>
    <row r="42" spans="1:41"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</row>
    <row r="43" spans="1:41"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</row>
    <row r="44" spans="1:41"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</row>
    <row r="45" spans="1:41"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</row>
    <row r="46" spans="1:41"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</row>
  </sheetData>
  <mergeCells count="9">
    <mergeCell ref="AK3:AK4"/>
    <mergeCell ref="AL3:AL4"/>
    <mergeCell ref="AM3:AO3"/>
    <mergeCell ref="A1:C1"/>
    <mergeCell ref="Q1:Y1"/>
    <mergeCell ref="A2:C2"/>
    <mergeCell ref="AH3:AH4"/>
    <mergeCell ref="AI3:AI4"/>
    <mergeCell ref="AJ3:AJ4"/>
  </mergeCells>
  <phoneticPr fontId="2"/>
  <pageMargins left="0.62992125984251968" right="0.19685039370078741" top="1.1811023622047245" bottom="0" header="0.11811023622047245" footer="0.15748031496062992"/>
  <pageSetup paperSize="9" scale="55" orientation="landscape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6"/>
  <sheetViews>
    <sheetView workbookViewId="0">
      <selection activeCell="J12" sqref="J12"/>
    </sheetView>
  </sheetViews>
  <sheetFormatPr defaultRowHeight="13.5"/>
  <cols>
    <col min="1" max="1" width="14.75" customWidth="1"/>
    <col min="2" max="2" width="6.875" customWidth="1"/>
    <col min="3" max="3" width="8.125" customWidth="1"/>
    <col min="4" max="4" width="8.25" customWidth="1"/>
    <col min="5" max="7" width="4.5" customWidth="1"/>
    <col min="8" max="8" width="9.375" customWidth="1"/>
    <col min="9" max="11" width="4.5" customWidth="1"/>
    <col min="12" max="13" width="7.5" customWidth="1"/>
    <col min="14" max="14" width="6.875" customWidth="1"/>
    <col min="15" max="15" width="9.375" customWidth="1"/>
    <col min="16" max="22" width="7.5" customWidth="1"/>
    <col min="23" max="23" width="9.375" customWidth="1"/>
    <col min="24" max="24" width="10.625" customWidth="1"/>
  </cols>
  <sheetData>
    <row r="1" spans="1:24" ht="34.5" customHeight="1">
      <c r="A1" s="153" t="s">
        <v>100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</row>
    <row r="2" spans="1:24" ht="20.25" customHeight="1">
      <c r="A2" s="83" t="s">
        <v>24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</row>
    <row r="3" spans="1:24" ht="14.25" thickBot="1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</row>
    <row r="4" spans="1:24" ht="28.5" customHeight="1" thickBot="1">
      <c r="A4" s="120" t="s">
        <v>25</v>
      </c>
      <c r="B4" s="121" t="s">
        <v>75</v>
      </c>
      <c r="C4" s="121" t="s">
        <v>92</v>
      </c>
      <c r="D4" s="122" t="s">
        <v>53</v>
      </c>
      <c r="E4" s="123" t="s">
        <v>76</v>
      </c>
      <c r="F4" s="123" t="s">
        <v>55</v>
      </c>
      <c r="G4" s="123" t="s">
        <v>56</v>
      </c>
      <c r="H4" s="123" t="s">
        <v>57</v>
      </c>
      <c r="I4" s="123" t="s">
        <v>60</v>
      </c>
      <c r="J4" s="123" t="s">
        <v>59</v>
      </c>
      <c r="K4" s="123" t="s">
        <v>61</v>
      </c>
      <c r="L4" s="123" t="s">
        <v>62</v>
      </c>
      <c r="M4" s="123" t="s">
        <v>63</v>
      </c>
      <c r="N4" s="124"/>
      <c r="O4" s="125" t="s">
        <v>64</v>
      </c>
      <c r="P4" s="126" t="s">
        <v>65</v>
      </c>
      <c r="Q4" s="123" t="s">
        <v>32</v>
      </c>
      <c r="R4" s="123" t="s">
        <v>66</v>
      </c>
      <c r="S4" s="123" t="s">
        <v>35</v>
      </c>
      <c r="T4" s="123" t="s">
        <v>34</v>
      </c>
      <c r="U4" s="121"/>
      <c r="V4" s="124" t="s">
        <v>93</v>
      </c>
      <c r="W4" s="125" t="s">
        <v>64</v>
      </c>
      <c r="X4" s="127" t="s">
        <v>77</v>
      </c>
    </row>
    <row r="5" spans="1:24" ht="19.5" customHeight="1">
      <c r="A5" s="118" t="s">
        <v>20</v>
      </c>
      <c r="B5" s="90">
        <f>'3月分'!AH5</f>
        <v>22</v>
      </c>
      <c r="C5" s="91">
        <v>280000</v>
      </c>
      <c r="D5" s="91"/>
      <c r="E5" s="91"/>
      <c r="F5" s="91"/>
      <c r="G5" s="91"/>
      <c r="H5" s="91">
        <v>280000</v>
      </c>
      <c r="I5" s="91"/>
      <c r="J5" s="91"/>
      <c r="K5" s="91"/>
      <c r="L5" s="91"/>
      <c r="M5" s="91">
        <v>10000</v>
      </c>
      <c r="N5" s="101"/>
      <c r="O5" s="113">
        <f>SUM(H5:N5)</f>
        <v>290000</v>
      </c>
      <c r="P5" s="107">
        <v>14042</v>
      </c>
      <c r="Q5" s="91">
        <v>24464</v>
      </c>
      <c r="R5" s="91">
        <v>1450</v>
      </c>
      <c r="S5" s="91">
        <v>4920</v>
      </c>
      <c r="T5" s="91"/>
      <c r="U5" s="91"/>
      <c r="V5" s="101"/>
      <c r="W5" s="113">
        <f>SUM(P5:V5)</f>
        <v>44876</v>
      </c>
      <c r="X5" s="113">
        <f>O5-W5</f>
        <v>245124</v>
      </c>
    </row>
    <row r="6" spans="1:24" ht="19.5" customHeight="1">
      <c r="A6" s="116" t="s">
        <v>21</v>
      </c>
      <c r="B6" s="84">
        <f>'3月分'!AH6</f>
        <v>22</v>
      </c>
      <c r="C6" s="85">
        <v>200000</v>
      </c>
      <c r="D6" s="85"/>
      <c r="E6" s="85"/>
      <c r="F6" s="85"/>
      <c r="G6" s="85"/>
      <c r="H6" s="85">
        <v>200000</v>
      </c>
      <c r="I6" s="85"/>
      <c r="J6" s="85"/>
      <c r="K6" s="85"/>
      <c r="L6" s="85"/>
      <c r="M6" s="85"/>
      <c r="N6" s="98"/>
      <c r="O6" s="110">
        <f>SUM(H6:N6)</f>
        <v>200000</v>
      </c>
      <c r="P6" s="104"/>
      <c r="Q6" s="85"/>
      <c r="R6" s="85"/>
      <c r="S6" s="85">
        <v>3140</v>
      </c>
      <c r="T6" s="85"/>
      <c r="U6" s="85"/>
      <c r="V6" s="98"/>
      <c r="W6" s="110">
        <f>SUM(P6:V6)</f>
        <v>3140</v>
      </c>
      <c r="X6" s="110">
        <f>O6-W6</f>
        <v>196860</v>
      </c>
    </row>
    <row r="7" spans="1:24" ht="19.5" customHeight="1" thickBot="1">
      <c r="A7" s="117"/>
      <c r="B7" s="86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99"/>
      <c r="O7" s="111"/>
      <c r="P7" s="105"/>
      <c r="Q7" s="87"/>
      <c r="R7" s="87"/>
      <c r="S7" s="87"/>
      <c r="T7" s="87"/>
      <c r="U7" s="87"/>
      <c r="V7" s="99"/>
      <c r="W7" s="111"/>
      <c r="X7" s="111"/>
    </row>
    <row r="8" spans="1:24" ht="19.5" customHeight="1" thickBot="1">
      <c r="A8" s="96" t="s">
        <v>95</v>
      </c>
      <c r="B8" s="88"/>
      <c r="C8" s="89"/>
      <c r="D8" s="89"/>
      <c r="E8" s="89"/>
      <c r="F8" s="89"/>
      <c r="G8" s="89"/>
      <c r="H8" s="89">
        <f>SUM(H5:H7)</f>
        <v>480000</v>
      </c>
      <c r="I8" s="89"/>
      <c r="J8" s="89"/>
      <c r="K8" s="89"/>
      <c r="L8" s="89"/>
      <c r="M8" s="89">
        <f>SUM(M5:M7)</f>
        <v>10000</v>
      </c>
      <c r="N8" s="100"/>
      <c r="O8" s="112">
        <f>SUM(O5:O7)</f>
        <v>490000</v>
      </c>
      <c r="P8" s="106">
        <f t="shared" ref="P8:S8" si="0">SUM(P5:P7)</f>
        <v>14042</v>
      </c>
      <c r="Q8" s="89">
        <f t="shared" si="0"/>
        <v>24464</v>
      </c>
      <c r="R8" s="89">
        <f t="shared" si="0"/>
        <v>1450</v>
      </c>
      <c r="S8" s="89">
        <f t="shared" si="0"/>
        <v>8060</v>
      </c>
      <c r="T8" s="89"/>
      <c r="U8" s="89"/>
      <c r="V8" s="100"/>
      <c r="W8" s="112">
        <f t="shared" ref="W8" si="1">SUM(W5:W7)</f>
        <v>48016</v>
      </c>
      <c r="X8" s="112">
        <f t="shared" ref="X8" si="2">SUM(X5:X7)</f>
        <v>441984</v>
      </c>
    </row>
    <row r="9" spans="1:24" ht="19.5" customHeight="1">
      <c r="A9" s="118"/>
      <c r="B9" s="90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101"/>
      <c r="O9" s="113"/>
      <c r="P9" s="107"/>
      <c r="Q9" s="91"/>
      <c r="R9" s="91"/>
      <c r="S9" s="91"/>
      <c r="T9" s="91"/>
      <c r="U9" s="91"/>
      <c r="V9" s="101"/>
      <c r="W9" s="113"/>
      <c r="X9" s="113"/>
    </row>
    <row r="10" spans="1:24" ht="19.5" customHeight="1">
      <c r="A10" s="116" t="s">
        <v>22</v>
      </c>
      <c r="B10" s="84">
        <f>'3月分'!AH8</f>
        <v>23</v>
      </c>
      <c r="C10" s="85">
        <v>150000</v>
      </c>
      <c r="D10" s="85"/>
      <c r="E10" s="85"/>
      <c r="F10" s="85"/>
      <c r="G10" s="85"/>
      <c r="H10" s="85">
        <v>150000</v>
      </c>
      <c r="I10" s="85"/>
      <c r="J10" s="85"/>
      <c r="K10" s="85"/>
      <c r="L10" s="85"/>
      <c r="M10" s="85">
        <v>10000</v>
      </c>
      <c r="N10" s="98"/>
      <c r="O10" s="110">
        <f t="shared" ref="O10:O31" si="3">SUM(H10:N10)</f>
        <v>160000</v>
      </c>
      <c r="P10" s="104"/>
      <c r="Q10" s="85"/>
      <c r="R10" s="85">
        <v>800</v>
      </c>
      <c r="S10" s="85">
        <v>3340</v>
      </c>
      <c r="T10" s="85"/>
      <c r="U10" s="85"/>
      <c r="V10" s="98">
        <v>2100</v>
      </c>
      <c r="W10" s="110">
        <f t="shared" ref="W10:W25" si="4">SUM(P10:V10)</f>
        <v>6240</v>
      </c>
      <c r="X10" s="110">
        <f t="shared" ref="X10:X31" si="5">O10-W10</f>
        <v>153760</v>
      </c>
    </row>
    <row r="11" spans="1:24" ht="19.5" customHeight="1">
      <c r="A11" s="116" t="s">
        <v>78</v>
      </c>
      <c r="B11" s="84">
        <f>'3月分'!AH9</f>
        <v>23</v>
      </c>
      <c r="C11" s="85">
        <v>800</v>
      </c>
      <c r="D11" s="143" t="s">
        <v>103</v>
      </c>
      <c r="E11" s="85"/>
      <c r="F11" s="85"/>
      <c r="G11" s="85"/>
      <c r="H11" s="85">
        <v>81147</v>
      </c>
      <c r="I11" s="85"/>
      <c r="J11" s="85"/>
      <c r="K11" s="85"/>
      <c r="L11" s="85"/>
      <c r="M11" s="85"/>
      <c r="N11" s="98"/>
      <c r="O11" s="110">
        <f t="shared" si="3"/>
        <v>81147</v>
      </c>
      <c r="P11" s="104"/>
      <c r="Q11" s="85"/>
      <c r="R11" s="85"/>
      <c r="S11" s="85"/>
      <c r="T11" s="85"/>
      <c r="U11" s="85"/>
      <c r="V11" s="98">
        <v>8050</v>
      </c>
      <c r="W11" s="110">
        <f t="shared" si="4"/>
        <v>8050</v>
      </c>
      <c r="X11" s="110">
        <f t="shared" si="5"/>
        <v>73097</v>
      </c>
    </row>
    <row r="12" spans="1:24" ht="19.5" customHeight="1">
      <c r="A12" s="116" t="s">
        <v>43</v>
      </c>
      <c r="B12" s="84">
        <f>'3月分'!AH10</f>
        <v>2</v>
      </c>
      <c r="C12" s="85">
        <v>800</v>
      </c>
      <c r="D12" s="142">
        <v>0.44305555555555554</v>
      </c>
      <c r="E12" s="85"/>
      <c r="F12" s="85"/>
      <c r="G12" s="85"/>
      <c r="H12" s="85">
        <v>8507</v>
      </c>
      <c r="I12" s="85"/>
      <c r="J12" s="85"/>
      <c r="K12" s="85"/>
      <c r="L12" s="85"/>
      <c r="M12" s="85"/>
      <c r="N12" s="98"/>
      <c r="O12" s="110">
        <f t="shared" si="3"/>
        <v>8507</v>
      </c>
      <c r="P12" s="104"/>
      <c r="Q12" s="85"/>
      <c r="R12" s="85"/>
      <c r="S12" s="85"/>
      <c r="T12" s="85"/>
      <c r="U12" s="85"/>
      <c r="V12" s="98"/>
      <c r="W12" s="110">
        <f t="shared" si="4"/>
        <v>0</v>
      </c>
      <c r="X12" s="110">
        <f t="shared" si="5"/>
        <v>8507</v>
      </c>
    </row>
    <row r="13" spans="1:24" ht="19.5" customHeight="1" thickBot="1">
      <c r="A13" s="117"/>
      <c r="B13" s="86"/>
      <c r="C13" s="87"/>
      <c r="D13" s="92"/>
      <c r="E13" s="87"/>
      <c r="F13" s="87"/>
      <c r="G13" s="87"/>
      <c r="H13" s="87"/>
      <c r="I13" s="87"/>
      <c r="J13" s="87"/>
      <c r="K13" s="87"/>
      <c r="L13" s="87"/>
      <c r="M13" s="87"/>
      <c r="N13" s="99"/>
      <c r="O13" s="111"/>
      <c r="P13" s="105"/>
      <c r="Q13" s="87"/>
      <c r="R13" s="87"/>
      <c r="S13" s="87"/>
      <c r="T13" s="87"/>
      <c r="U13" s="87"/>
      <c r="V13" s="99"/>
      <c r="W13" s="111"/>
      <c r="X13" s="111"/>
    </row>
    <row r="14" spans="1:24" ht="19.5" customHeight="1" thickBot="1">
      <c r="A14" s="96" t="s">
        <v>96</v>
      </c>
      <c r="B14" s="88"/>
      <c r="C14" s="89"/>
      <c r="D14" s="93"/>
      <c r="E14" s="89"/>
      <c r="F14" s="89"/>
      <c r="G14" s="89"/>
      <c r="H14" s="89">
        <f>SUM(H10:H13)</f>
        <v>239654</v>
      </c>
      <c r="I14" s="89"/>
      <c r="J14" s="89"/>
      <c r="K14" s="89"/>
      <c r="L14" s="89"/>
      <c r="M14" s="89">
        <f>SUM(M10:M13)</f>
        <v>10000</v>
      </c>
      <c r="N14" s="100"/>
      <c r="O14" s="112">
        <f>SUM(O10:O13)</f>
        <v>249654</v>
      </c>
      <c r="P14" s="106"/>
      <c r="Q14" s="89"/>
      <c r="R14" s="89">
        <f>SUM(R10:R13)</f>
        <v>800</v>
      </c>
      <c r="S14" s="89">
        <f>SUM(S10:S13)</f>
        <v>3340</v>
      </c>
      <c r="T14" s="89"/>
      <c r="U14" s="89"/>
      <c r="V14" s="100">
        <f>SUM(V10:V13)</f>
        <v>10150</v>
      </c>
      <c r="W14" s="112">
        <f>SUM(W10:W13)</f>
        <v>14290</v>
      </c>
      <c r="X14" s="112">
        <f>SUM(X10:X13)</f>
        <v>235364</v>
      </c>
    </row>
    <row r="15" spans="1:24" ht="19.5" customHeight="1">
      <c r="A15" s="118"/>
      <c r="B15" s="90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101"/>
      <c r="O15" s="113"/>
      <c r="P15" s="107"/>
      <c r="Q15" s="91"/>
      <c r="R15" s="91"/>
      <c r="S15" s="91"/>
      <c r="T15" s="91"/>
      <c r="U15" s="91"/>
      <c r="V15" s="101"/>
      <c r="W15" s="113"/>
      <c r="X15" s="113"/>
    </row>
    <row r="16" spans="1:24" ht="19.5" customHeight="1">
      <c r="A16" s="116" t="s">
        <v>79</v>
      </c>
      <c r="B16" s="84">
        <f>'3月分'!AH12</f>
        <v>21</v>
      </c>
      <c r="C16" s="85">
        <v>1000</v>
      </c>
      <c r="D16" s="85"/>
      <c r="E16" s="85"/>
      <c r="F16" s="85"/>
      <c r="G16" s="85"/>
      <c r="H16" s="85">
        <f>B16*C16</f>
        <v>21000</v>
      </c>
      <c r="I16" s="85"/>
      <c r="J16" s="85"/>
      <c r="K16" s="85"/>
      <c r="L16" s="85"/>
      <c r="M16" s="85"/>
      <c r="N16" s="98"/>
      <c r="O16" s="110">
        <f t="shared" si="3"/>
        <v>21000</v>
      </c>
      <c r="P16" s="104"/>
      <c r="Q16" s="85"/>
      <c r="R16" s="85"/>
      <c r="S16" s="85"/>
      <c r="T16" s="85"/>
      <c r="U16" s="85"/>
      <c r="V16" s="98">
        <v>7350</v>
      </c>
      <c r="W16" s="110">
        <f t="shared" si="4"/>
        <v>7350</v>
      </c>
      <c r="X16" s="110">
        <f t="shared" si="5"/>
        <v>13650</v>
      </c>
    </row>
    <row r="17" spans="1:24" ht="19.5" customHeight="1">
      <c r="A17" s="116" t="s">
        <v>80</v>
      </c>
      <c r="B17" s="84">
        <f>'3月分'!AH13</f>
        <v>20</v>
      </c>
      <c r="C17" s="85">
        <v>1000</v>
      </c>
      <c r="D17" s="85"/>
      <c r="E17" s="85"/>
      <c r="F17" s="85"/>
      <c r="G17" s="85"/>
      <c r="H17" s="85">
        <f t="shared" ref="H17:H25" si="6">B17*C17</f>
        <v>20000</v>
      </c>
      <c r="I17" s="85"/>
      <c r="J17" s="85"/>
      <c r="K17" s="85"/>
      <c r="L17" s="85"/>
      <c r="M17" s="85"/>
      <c r="N17" s="98"/>
      <c r="O17" s="110">
        <f t="shared" si="3"/>
        <v>20000</v>
      </c>
      <c r="P17" s="104"/>
      <c r="Q17" s="85"/>
      <c r="R17" s="85"/>
      <c r="S17" s="85"/>
      <c r="T17" s="85"/>
      <c r="U17" s="85"/>
      <c r="V17" s="98">
        <v>7000</v>
      </c>
      <c r="W17" s="110">
        <f t="shared" si="4"/>
        <v>7000</v>
      </c>
      <c r="X17" s="110">
        <f t="shared" si="5"/>
        <v>13000</v>
      </c>
    </row>
    <row r="18" spans="1:24" ht="19.5" customHeight="1">
      <c r="A18" s="116" t="s">
        <v>81</v>
      </c>
      <c r="B18" s="84">
        <f>'3月分'!AH14</f>
        <v>16</v>
      </c>
      <c r="C18" s="85">
        <v>1500</v>
      </c>
      <c r="D18" s="85"/>
      <c r="E18" s="85"/>
      <c r="F18" s="85"/>
      <c r="G18" s="85"/>
      <c r="H18" s="85">
        <f t="shared" si="6"/>
        <v>24000</v>
      </c>
      <c r="I18" s="85"/>
      <c r="J18" s="85"/>
      <c r="K18" s="85"/>
      <c r="L18" s="85"/>
      <c r="M18" s="85"/>
      <c r="N18" s="98"/>
      <c r="O18" s="110">
        <f t="shared" si="3"/>
        <v>24000</v>
      </c>
      <c r="P18" s="104"/>
      <c r="Q18" s="85"/>
      <c r="R18" s="85"/>
      <c r="S18" s="85"/>
      <c r="T18" s="85"/>
      <c r="U18" s="85"/>
      <c r="V18" s="98"/>
      <c r="W18" s="110">
        <f t="shared" si="4"/>
        <v>0</v>
      </c>
      <c r="X18" s="110">
        <f t="shared" si="5"/>
        <v>24000</v>
      </c>
    </row>
    <row r="19" spans="1:24" ht="19.5" customHeight="1">
      <c r="A19" s="116" t="s">
        <v>82</v>
      </c>
      <c r="B19" s="84">
        <f>'3月分'!AH15</f>
        <v>21</v>
      </c>
      <c r="C19" s="85">
        <v>1500</v>
      </c>
      <c r="D19" s="85"/>
      <c r="E19" s="85"/>
      <c r="F19" s="85"/>
      <c r="G19" s="85"/>
      <c r="H19" s="85">
        <f t="shared" si="6"/>
        <v>31500</v>
      </c>
      <c r="I19" s="85"/>
      <c r="J19" s="85"/>
      <c r="K19" s="85"/>
      <c r="L19" s="85"/>
      <c r="M19" s="85"/>
      <c r="N19" s="98"/>
      <c r="O19" s="110">
        <f t="shared" si="3"/>
        <v>31500</v>
      </c>
      <c r="P19" s="104"/>
      <c r="Q19" s="85"/>
      <c r="R19" s="85"/>
      <c r="S19" s="85"/>
      <c r="T19" s="85"/>
      <c r="U19" s="85"/>
      <c r="V19" s="98">
        <v>7000</v>
      </c>
      <c r="W19" s="110">
        <f t="shared" si="4"/>
        <v>7000</v>
      </c>
      <c r="X19" s="110">
        <f t="shared" si="5"/>
        <v>24500</v>
      </c>
    </row>
    <row r="20" spans="1:24" ht="19.5" customHeight="1">
      <c r="A20" s="116" t="s">
        <v>83</v>
      </c>
      <c r="B20" s="84">
        <f>'3月分'!AH16</f>
        <v>23</v>
      </c>
      <c r="C20" s="85">
        <v>1500</v>
      </c>
      <c r="D20" s="85"/>
      <c r="E20" s="85"/>
      <c r="F20" s="85"/>
      <c r="G20" s="85"/>
      <c r="H20" s="85">
        <f t="shared" si="6"/>
        <v>34500</v>
      </c>
      <c r="I20" s="85"/>
      <c r="J20" s="85"/>
      <c r="K20" s="85"/>
      <c r="L20" s="85"/>
      <c r="M20" s="85"/>
      <c r="N20" s="98"/>
      <c r="O20" s="110">
        <f t="shared" si="3"/>
        <v>34500</v>
      </c>
      <c r="P20" s="104"/>
      <c r="Q20" s="85"/>
      <c r="R20" s="85"/>
      <c r="S20" s="85"/>
      <c r="T20" s="85"/>
      <c r="U20" s="85"/>
      <c r="V20" s="98">
        <v>7350</v>
      </c>
      <c r="W20" s="110">
        <f t="shared" si="4"/>
        <v>7350</v>
      </c>
      <c r="X20" s="110">
        <f t="shared" si="5"/>
        <v>27150</v>
      </c>
    </row>
    <row r="21" spans="1:24" ht="19.5" customHeight="1">
      <c r="A21" s="116" t="s">
        <v>84</v>
      </c>
      <c r="B21" s="84">
        <f>'3月分'!AH17</f>
        <v>16</v>
      </c>
      <c r="C21" s="85">
        <v>1000</v>
      </c>
      <c r="D21" s="85"/>
      <c r="E21" s="85"/>
      <c r="F21" s="85"/>
      <c r="G21" s="85"/>
      <c r="H21" s="85">
        <f t="shared" si="6"/>
        <v>16000</v>
      </c>
      <c r="I21" s="85"/>
      <c r="J21" s="85"/>
      <c r="K21" s="85"/>
      <c r="L21" s="85"/>
      <c r="M21" s="85"/>
      <c r="N21" s="98"/>
      <c r="O21" s="110">
        <f t="shared" si="3"/>
        <v>16000</v>
      </c>
      <c r="P21" s="104"/>
      <c r="Q21" s="85"/>
      <c r="R21" s="85"/>
      <c r="S21" s="85"/>
      <c r="T21" s="85"/>
      <c r="U21" s="85"/>
      <c r="V21" s="98"/>
      <c r="W21" s="110">
        <f t="shared" si="4"/>
        <v>0</v>
      </c>
      <c r="X21" s="110">
        <f t="shared" si="5"/>
        <v>16000</v>
      </c>
    </row>
    <row r="22" spans="1:24" ht="19.5" customHeight="1">
      <c r="A22" s="116" t="s">
        <v>85</v>
      </c>
      <c r="B22" s="84">
        <f>'3月分'!AH18</f>
        <v>23</v>
      </c>
      <c r="C22" s="85">
        <v>1500</v>
      </c>
      <c r="D22" s="85"/>
      <c r="E22" s="85"/>
      <c r="F22" s="85"/>
      <c r="G22" s="85"/>
      <c r="H22" s="85">
        <f t="shared" si="6"/>
        <v>34500</v>
      </c>
      <c r="I22" s="85"/>
      <c r="J22" s="85"/>
      <c r="K22" s="85"/>
      <c r="L22" s="85">
        <v>5000</v>
      </c>
      <c r="M22" s="85"/>
      <c r="N22" s="98"/>
      <c r="O22" s="110">
        <f t="shared" si="3"/>
        <v>39500</v>
      </c>
      <c r="P22" s="104"/>
      <c r="Q22" s="85"/>
      <c r="R22" s="85"/>
      <c r="S22" s="85"/>
      <c r="T22" s="85"/>
      <c r="U22" s="85"/>
      <c r="V22" s="98">
        <v>8050</v>
      </c>
      <c r="W22" s="110">
        <f t="shared" si="4"/>
        <v>8050</v>
      </c>
      <c r="X22" s="110">
        <f t="shared" si="5"/>
        <v>31450</v>
      </c>
    </row>
    <row r="23" spans="1:24" ht="19.5" customHeight="1">
      <c r="A23" s="116" t="s">
        <v>86</v>
      </c>
      <c r="B23" s="84">
        <f>'3月分'!AH19</f>
        <v>23</v>
      </c>
      <c r="C23" s="85">
        <v>1000</v>
      </c>
      <c r="D23" s="85"/>
      <c r="E23" s="85"/>
      <c r="F23" s="85"/>
      <c r="G23" s="85"/>
      <c r="H23" s="85">
        <f t="shared" si="6"/>
        <v>23000</v>
      </c>
      <c r="I23" s="85"/>
      <c r="J23" s="85"/>
      <c r="K23" s="85"/>
      <c r="L23" s="85"/>
      <c r="M23" s="85"/>
      <c r="N23" s="98"/>
      <c r="O23" s="110">
        <f t="shared" si="3"/>
        <v>23000</v>
      </c>
      <c r="P23" s="104"/>
      <c r="Q23" s="85"/>
      <c r="R23" s="85"/>
      <c r="S23" s="85"/>
      <c r="T23" s="85"/>
      <c r="U23" s="85"/>
      <c r="V23" s="98">
        <v>350</v>
      </c>
      <c r="W23" s="110">
        <f t="shared" si="4"/>
        <v>350</v>
      </c>
      <c r="X23" s="110">
        <f t="shared" si="5"/>
        <v>22650</v>
      </c>
    </row>
    <row r="24" spans="1:24" ht="19.5" customHeight="1">
      <c r="A24" s="116" t="s">
        <v>87</v>
      </c>
      <c r="B24" s="84">
        <f>'3月分'!AH20</f>
        <v>13</v>
      </c>
      <c r="C24" s="85">
        <v>1000</v>
      </c>
      <c r="D24" s="85"/>
      <c r="E24" s="85"/>
      <c r="F24" s="85"/>
      <c r="G24" s="85"/>
      <c r="H24" s="85">
        <f t="shared" si="6"/>
        <v>13000</v>
      </c>
      <c r="I24" s="85"/>
      <c r="J24" s="85"/>
      <c r="K24" s="85"/>
      <c r="L24" s="85"/>
      <c r="M24" s="85"/>
      <c r="N24" s="98"/>
      <c r="O24" s="110">
        <f t="shared" si="3"/>
        <v>13000</v>
      </c>
      <c r="P24" s="104"/>
      <c r="Q24" s="85"/>
      <c r="R24" s="85"/>
      <c r="S24" s="85"/>
      <c r="T24" s="85"/>
      <c r="U24" s="85"/>
      <c r="V24" s="98"/>
      <c r="W24" s="110">
        <f t="shared" si="4"/>
        <v>0</v>
      </c>
      <c r="X24" s="110">
        <f t="shared" si="5"/>
        <v>13000</v>
      </c>
    </row>
    <row r="25" spans="1:24" ht="19.5" customHeight="1">
      <c r="A25" s="116" t="s">
        <v>88</v>
      </c>
      <c r="B25" s="84">
        <f>'3月分'!AH21</f>
        <v>13</v>
      </c>
      <c r="C25" s="85">
        <v>1000</v>
      </c>
      <c r="D25" s="85"/>
      <c r="E25" s="85"/>
      <c r="F25" s="85"/>
      <c r="G25" s="85"/>
      <c r="H25" s="85">
        <f t="shared" si="6"/>
        <v>13000</v>
      </c>
      <c r="I25" s="85"/>
      <c r="J25" s="85"/>
      <c r="K25" s="85"/>
      <c r="L25" s="85"/>
      <c r="M25" s="85"/>
      <c r="N25" s="98"/>
      <c r="O25" s="110">
        <f t="shared" si="3"/>
        <v>13000</v>
      </c>
      <c r="P25" s="104"/>
      <c r="Q25" s="85"/>
      <c r="R25" s="85"/>
      <c r="S25" s="85"/>
      <c r="T25" s="85"/>
      <c r="U25" s="85"/>
      <c r="V25" s="98"/>
      <c r="W25" s="110">
        <f t="shared" si="4"/>
        <v>0</v>
      </c>
      <c r="X25" s="110">
        <f t="shared" si="5"/>
        <v>13000</v>
      </c>
    </row>
    <row r="26" spans="1:24" ht="19.5" customHeight="1" thickBot="1">
      <c r="A26" s="117"/>
      <c r="B26" s="86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99"/>
      <c r="O26" s="111"/>
      <c r="P26" s="105"/>
      <c r="Q26" s="87"/>
      <c r="R26" s="87"/>
      <c r="S26" s="87"/>
      <c r="T26" s="87"/>
      <c r="U26" s="87"/>
      <c r="V26" s="99"/>
      <c r="W26" s="111"/>
      <c r="X26" s="111"/>
    </row>
    <row r="27" spans="1:24" ht="19.5" customHeight="1" thickBot="1">
      <c r="A27" s="97" t="s">
        <v>97</v>
      </c>
      <c r="B27" s="88"/>
      <c r="C27" s="89"/>
      <c r="D27" s="89"/>
      <c r="E27" s="89"/>
      <c r="F27" s="89"/>
      <c r="G27" s="89"/>
      <c r="H27" s="89">
        <f>SUM(H16:H26)</f>
        <v>230500</v>
      </c>
      <c r="I27" s="89"/>
      <c r="J27" s="89"/>
      <c r="K27" s="89"/>
      <c r="L27" s="89">
        <f>SUM(L16:L25)</f>
        <v>5000</v>
      </c>
      <c r="M27" s="89"/>
      <c r="N27" s="100"/>
      <c r="O27" s="112">
        <f>SUM(O16:O26)</f>
        <v>235500</v>
      </c>
      <c r="P27" s="106"/>
      <c r="Q27" s="89"/>
      <c r="R27" s="89"/>
      <c r="S27" s="89"/>
      <c r="T27" s="89"/>
      <c r="U27" s="89"/>
      <c r="V27" s="100">
        <f>SUM(V16:V25)</f>
        <v>37100</v>
      </c>
      <c r="W27" s="112">
        <f>SUM(W16:W26)</f>
        <v>37100</v>
      </c>
      <c r="X27" s="112">
        <f>SUM(X16:X26)</f>
        <v>198400</v>
      </c>
    </row>
    <row r="28" spans="1:24" ht="19.5" customHeight="1">
      <c r="A28" s="118"/>
      <c r="B28" s="90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101"/>
      <c r="O28" s="113"/>
      <c r="P28" s="107"/>
      <c r="Q28" s="91"/>
      <c r="R28" s="91"/>
      <c r="S28" s="91"/>
      <c r="T28" s="91"/>
      <c r="U28" s="91"/>
      <c r="V28" s="101"/>
      <c r="W28" s="113"/>
      <c r="X28" s="113"/>
    </row>
    <row r="29" spans="1:24" ht="19.5" customHeight="1">
      <c r="A29" s="116" t="s">
        <v>91</v>
      </c>
      <c r="B29" s="84">
        <f>'3月分'!AH23</f>
        <v>15</v>
      </c>
      <c r="C29" s="85">
        <v>1000</v>
      </c>
      <c r="D29" s="85"/>
      <c r="E29" s="85"/>
      <c r="F29" s="85"/>
      <c r="G29" s="85"/>
      <c r="H29" s="85">
        <f>B29*C29</f>
        <v>15000</v>
      </c>
      <c r="I29" s="85"/>
      <c r="J29" s="85"/>
      <c r="K29" s="85"/>
      <c r="L29" s="85"/>
      <c r="M29" s="85"/>
      <c r="N29" s="98"/>
      <c r="O29" s="110">
        <f t="shared" si="3"/>
        <v>15000</v>
      </c>
      <c r="P29" s="104"/>
      <c r="Q29" s="85"/>
      <c r="R29" s="85"/>
      <c r="S29" s="85"/>
      <c r="T29" s="85"/>
      <c r="U29" s="85"/>
      <c r="V29" s="98"/>
      <c r="W29" s="110">
        <f>SUM(P25:V25)</f>
        <v>0</v>
      </c>
      <c r="X29" s="110">
        <f t="shared" si="5"/>
        <v>15000</v>
      </c>
    </row>
    <row r="30" spans="1:24" ht="19.5" customHeight="1">
      <c r="A30" s="116" t="s">
        <v>89</v>
      </c>
      <c r="B30" s="84">
        <f>'3月分'!AH24</f>
        <v>13</v>
      </c>
      <c r="C30" s="85">
        <v>1000</v>
      </c>
      <c r="D30" s="85"/>
      <c r="E30" s="85"/>
      <c r="F30" s="85"/>
      <c r="G30" s="85"/>
      <c r="H30" s="85">
        <f t="shared" ref="H30:H31" si="7">B30*C30</f>
        <v>13000</v>
      </c>
      <c r="I30" s="85"/>
      <c r="J30" s="85"/>
      <c r="K30" s="85"/>
      <c r="L30" s="85"/>
      <c r="M30" s="85"/>
      <c r="N30" s="98"/>
      <c r="O30" s="110">
        <f t="shared" si="3"/>
        <v>13000</v>
      </c>
      <c r="P30" s="104"/>
      <c r="Q30" s="85"/>
      <c r="R30" s="85"/>
      <c r="S30" s="85"/>
      <c r="T30" s="85"/>
      <c r="U30" s="85"/>
      <c r="V30" s="98"/>
      <c r="W30" s="110">
        <f t="shared" ref="W30:W31" si="8">SUM(P28:V28)</f>
        <v>0</v>
      </c>
      <c r="X30" s="110">
        <f t="shared" si="5"/>
        <v>13000</v>
      </c>
    </row>
    <row r="31" spans="1:24" ht="19.5" customHeight="1">
      <c r="A31" s="116" t="s">
        <v>90</v>
      </c>
      <c r="B31" s="84">
        <f>'3月分'!AH25</f>
        <v>10</v>
      </c>
      <c r="C31" s="85">
        <v>1000</v>
      </c>
      <c r="D31" s="85"/>
      <c r="E31" s="85"/>
      <c r="F31" s="85"/>
      <c r="G31" s="85"/>
      <c r="H31" s="85">
        <f t="shared" si="7"/>
        <v>10000</v>
      </c>
      <c r="I31" s="85"/>
      <c r="J31" s="85"/>
      <c r="K31" s="85"/>
      <c r="L31" s="85"/>
      <c r="M31" s="85"/>
      <c r="N31" s="98"/>
      <c r="O31" s="110">
        <f t="shared" si="3"/>
        <v>10000</v>
      </c>
      <c r="P31" s="104"/>
      <c r="Q31" s="85"/>
      <c r="R31" s="85"/>
      <c r="S31" s="85"/>
      <c r="T31" s="85"/>
      <c r="U31" s="85"/>
      <c r="V31" s="98"/>
      <c r="W31" s="110">
        <f t="shared" si="8"/>
        <v>0</v>
      </c>
      <c r="X31" s="110">
        <f t="shared" si="5"/>
        <v>10000</v>
      </c>
    </row>
    <row r="32" spans="1:24" ht="19.5" customHeight="1" thickBot="1">
      <c r="A32" s="117"/>
      <c r="B32" s="86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99"/>
      <c r="O32" s="111"/>
      <c r="P32" s="105"/>
      <c r="Q32" s="87"/>
      <c r="R32" s="87"/>
      <c r="S32" s="87"/>
      <c r="T32" s="87"/>
      <c r="U32" s="87"/>
      <c r="V32" s="99"/>
      <c r="W32" s="111"/>
      <c r="X32" s="111"/>
    </row>
    <row r="33" spans="1:24" ht="19.5" customHeight="1" thickBot="1">
      <c r="A33" s="96" t="s">
        <v>98</v>
      </c>
      <c r="B33" s="88"/>
      <c r="C33" s="89"/>
      <c r="D33" s="89"/>
      <c r="E33" s="89"/>
      <c r="F33" s="89"/>
      <c r="G33" s="89"/>
      <c r="H33" s="89">
        <f>SUM(H29:H32)</f>
        <v>38000</v>
      </c>
      <c r="I33" s="89"/>
      <c r="J33" s="89"/>
      <c r="K33" s="89"/>
      <c r="L33" s="89"/>
      <c r="M33" s="89"/>
      <c r="N33" s="100"/>
      <c r="O33" s="112">
        <f>SUM(O29:O32)</f>
        <v>38000</v>
      </c>
      <c r="P33" s="106"/>
      <c r="Q33" s="89"/>
      <c r="R33" s="89"/>
      <c r="S33" s="89"/>
      <c r="T33" s="89"/>
      <c r="U33" s="89"/>
      <c r="V33" s="100"/>
      <c r="W33" s="112">
        <f>SUM(W31)</f>
        <v>0</v>
      </c>
      <c r="X33" s="112">
        <f>SUM(X29:X32)</f>
        <v>38000</v>
      </c>
    </row>
    <row r="34" spans="1:24" ht="19.5" customHeight="1">
      <c r="A34" s="118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102"/>
      <c r="O34" s="114"/>
      <c r="P34" s="108"/>
      <c r="Q34" s="90"/>
      <c r="R34" s="90"/>
      <c r="S34" s="90"/>
      <c r="T34" s="90"/>
      <c r="U34" s="90"/>
      <c r="V34" s="102"/>
      <c r="W34" s="114"/>
      <c r="X34" s="114"/>
    </row>
    <row r="35" spans="1:24" ht="19.5" customHeight="1" thickBot="1">
      <c r="A35" s="119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103"/>
      <c r="O35" s="115"/>
      <c r="P35" s="109"/>
      <c r="Q35" s="94"/>
      <c r="R35" s="94"/>
      <c r="S35" s="94"/>
      <c r="T35" s="94"/>
      <c r="U35" s="94"/>
      <c r="V35" s="103"/>
      <c r="W35" s="115"/>
      <c r="X35" s="115"/>
    </row>
    <row r="36" spans="1:24" ht="30.75" customHeight="1" thickBot="1">
      <c r="A36" s="96" t="s">
        <v>99</v>
      </c>
      <c r="B36" s="88"/>
      <c r="C36" s="88"/>
      <c r="D36" s="88"/>
      <c r="E36" s="88"/>
      <c r="F36" s="88"/>
      <c r="G36" s="88"/>
      <c r="H36" s="89">
        <f>H8+H14+H27+H33</f>
        <v>988154</v>
      </c>
      <c r="I36" s="89">
        <f t="shared" ref="I36:X36" si="9">I8+I14+I27+I33</f>
        <v>0</v>
      </c>
      <c r="J36" s="89">
        <f t="shared" si="9"/>
        <v>0</v>
      </c>
      <c r="K36" s="89">
        <f t="shared" si="9"/>
        <v>0</v>
      </c>
      <c r="L36" s="89">
        <f t="shared" si="9"/>
        <v>5000</v>
      </c>
      <c r="M36" s="89">
        <f t="shared" si="9"/>
        <v>20000</v>
      </c>
      <c r="N36" s="100">
        <f t="shared" si="9"/>
        <v>0</v>
      </c>
      <c r="O36" s="112">
        <f t="shared" si="9"/>
        <v>1013154</v>
      </c>
      <c r="P36" s="106">
        <f t="shared" si="9"/>
        <v>14042</v>
      </c>
      <c r="Q36" s="89">
        <f t="shared" si="9"/>
        <v>24464</v>
      </c>
      <c r="R36" s="89">
        <f t="shared" si="9"/>
        <v>2250</v>
      </c>
      <c r="S36" s="89">
        <f t="shared" si="9"/>
        <v>11400</v>
      </c>
      <c r="T36" s="89">
        <f t="shared" si="9"/>
        <v>0</v>
      </c>
      <c r="U36" s="89">
        <f t="shared" si="9"/>
        <v>0</v>
      </c>
      <c r="V36" s="100">
        <f t="shared" si="9"/>
        <v>47250</v>
      </c>
      <c r="W36" s="112">
        <f t="shared" si="9"/>
        <v>99406</v>
      </c>
      <c r="X36" s="112">
        <f t="shared" si="9"/>
        <v>913748</v>
      </c>
    </row>
  </sheetData>
  <mergeCells count="1">
    <mergeCell ref="A1:X1"/>
  </mergeCells>
  <phoneticPr fontId="2"/>
  <pageMargins left="0.7" right="0.7" top="0.75" bottom="0.75" header="0.3" footer="0.3"/>
  <pageSetup paperSize="9" scale="68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4"/>
  <sheetViews>
    <sheetView workbookViewId="0">
      <selection activeCell="R80" sqref="R80"/>
    </sheetView>
  </sheetViews>
  <sheetFormatPr defaultRowHeight="13.5"/>
  <cols>
    <col min="1" max="11" width="5.75" customWidth="1"/>
    <col min="12" max="16" width="5.625" customWidth="1"/>
    <col min="18" max="18" width="9.25" bestFit="1" customWidth="1"/>
    <col min="20" max="20" width="11.375" bestFit="1" customWidth="1"/>
  </cols>
  <sheetData>
    <row r="1" spans="1:16" ht="30" customHeight="1">
      <c r="A1" s="162" t="s">
        <v>23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3" t="s">
        <v>24</v>
      </c>
      <c r="N1" s="163"/>
      <c r="O1" s="163"/>
      <c r="P1" s="163"/>
    </row>
    <row r="2" spans="1:16" ht="14.25" thickBot="1"/>
    <row r="3" spans="1:16" ht="21.75" customHeight="1">
      <c r="A3" s="159" t="s">
        <v>25</v>
      </c>
      <c r="B3" s="160"/>
      <c r="C3" s="187" t="str">
        <f>賃金集計表!A5</f>
        <v>岡崎　峻喬</v>
      </c>
      <c r="D3" s="188"/>
      <c r="E3" s="188"/>
      <c r="F3" s="188"/>
      <c r="G3" s="191" t="s">
        <v>101</v>
      </c>
      <c r="H3" s="160" t="s">
        <v>26</v>
      </c>
      <c r="I3" s="160"/>
      <c r="J3" s="160"/>
      <c r="K3" s="160" t="s">
        <v>27</v>
      </c>
      <c r="L3" s="160"/>
      <c r="M3" s="160"/>
      <c r="N3" s="160" t="s">
        <v>28</v>
      </c>
      <c r="O3" s="160"/>
      <c r="P3" s="166"/>
    </row>
    <row r="4" spans="1:16" ht="21.75" customHeight="1" thickBot="1">
      <c r="A4" s="164"/>
      <c r="B4" s="165"/>
      <c r="C4" s="189"/>
      <c r="D4" s="190"/>
      <c r="E4" s="190"/>
      <c r="F4" s="190"/>
      <c r="G4" s="192"/>
      <c r="H4" s="167">
        <f>賃金集計表!B5</f>
        <v>22</v>
      </c>
      <c r="I4" s="167"/>
      <c r="J4" s="167"/>
      <c r="K4" s="167"/>
      <c r="L4" s="167"/>
      <c r="M4" s="167"/>
      <c r="N4" s="167"/>
      <c r="O4" s="167"/>
      <c r="P4" s="168"/>
    </row>
    <row r="5" spans="1:16" ht="9" customHeight="1" thickBot="1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</row>
    <row r="6" spans="1:16" ht="21.75" customHeight="1">
      <c r="A6" s="159" t="s">
        <v>29</v>
      </c>
      <c r="B6" s="160"/>
      <c r="C6" s="161" t="s">
        <v>28</v>
      </c>
      <c r="D6" s="161"/>
      <c r="E6" s="160"/>
      <c r="F6" s="160"/>
      <c r="G6" s="160"/>
      <c r="H6" s="160"/>
      <c r="I6" s="160" t="s">
        <v>30</v>
      </c>
      <c r="J6" s="160"/>
      <c r="K6" s="154"/>
      <c r="L6" s="154"/>
      <c r="M6" s="154"/>
      <c r="N6" s="154"/>
      <c r="O6" s="154"/>
      <c r="P6" s="155"/>
    </row>
    <row r="7" spans="1:16" ht="30" customHeight="1" thickBot="1">
      <c r="A7" s="156">
        <f>賃金集計表!H5</f>
        <v>280000</v>
      </c>
      <c r="B7" s="157"/>
      <c r="C7" s="157"/>
      <c r="D7" s="157"/>
      <c r="E7" s="157"/>
      <c r="F7" s="157"/>
      <c r="G7" s="157"/>
      <c r="H7" s="157"/>
      <c r="I7" s="157">
        <f>賃金集計表!M5</f>
        <v>10000</v>
      </c>
      <c r="J7" s="157"/>
      <c r="K7" s="157"/>
      <c r="L7" s="157"/>
      <c r="M7" s="157"/>
      <c r="N7" s="157"/>
      <c r="O7" s="157"/>
      <c r="P7" s="158"/>
    </row>
    <row r="8" spans="1:16" ht="9" customHeight="1" thickBo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</row>
    <row r="9" spans="1:16" ht="21.75" customHeight="1">
      <c r="A9" s="159" t="s">
        <v>31</v>
      </c>
      <c r="B9" s="160"/>
      <c r="C9" s="161" t="s">
        <v>32</v>
      </c>
      <c r="D9" s="161"/>
      <c r="E9" s="160" t="s">
        <v>33</v>
      </c>
      <c r="F9" s="160"/>
      <c r="G9" s="160" t="s">
        <v>34</v>
      </c>
      <c r="H9" s="160"/>
      <c r="I9" s="160" t="s">
        <v>35</v>
      </c>
      <c r="J9" s="160"/>
      <c r="K9" s="154"/>
      <c r="L9" s="154"/>
      <c r="M9" s="154"/>
      <c r="N9" s="154"/>
      <c r="O9" s="160" t="s">
        <v>102</v>
      </c>
      <c r="P9" s="166"/>
    </row>
    <row r="10" spans="1:16" ht="30" customHeight="1" thickBot="1">
      <c r="A10" s="156">
        <f>賃金集計表!P5</f>
        <v>14042</v>
      </c>
      <c r="B10" s="157"/>
      <c r="C10" s="157">
        <f>賃金集計表!Q5</f>
        <v>24464</v>
      </c>
      <c r="D10" s="157"/>
      <c r="E10" s="157">
        <f>賃金集計表!R5</f>
        <v>1450</v>
      </c>
      <c r="F10" s="157"/>
      <c r="G10" s="157">
        <f>賃金集計表!T5</f>
        <v>0</v>
      </c>
      <c r="H10" s="157"/>
      <c r="I10" s="157">
        <f>賃金集計表!S5</f>
        <v>4920</v>
      </c>
      <c r="J10" s="157"/>
      <c r="K10" s="157"/>
      <c r="L10" s="157"/>
      <c r="M10" s="157"/>
      <c r="N10" s="157"/>
      <c r="O10" s="157">
        <f>賃金集計表!V5</f>
        <v>0</v>
      </c>
      <c r="P10" s="158"/>
    </row>
    <row r="11" spans="1:16" ht="9" customHeight="1" thickBo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</row>
    <row r="12" spans="1:16" ht="21.75" customHeight="1" thickTop="1">
      <c r="A12" s="169" t="s">
        <v>36</v>
      </c>
      <c r="B12" s="170"/>
      <c r="C12" s="170"/>
      <c r="D12" s="170" t="s">
        <v>37</v>
      </c>
      <c r="E12" s="170"/>
      <c r="F12" s="170"/>
      <c r="G12" s="170" t="s">
        <v>38</v>
      </c>
      <c r="H12" s="170"/>
      <c r="I12" s="171"/>
      <c r="J12" s="66"/>
      <c r="K12" s="172" t="s">
        <v>39</v>
      </c>
      <c r="L12" s="173"/>
      <c r="M12" s="173"/>
      <c r="N12" s="173"/>
      <c r="O12" s="173"/>
      <c r="P12" s="173"/>
    </row>
    <row r="13" spans="1:16" ht="30" customHeight="1" thickBot="1">
      <c r="A13" s="174">
        <f>SUM(A7:P7)</f>
        <v>290000</v>
      </c>
      <c r="B13" s="175"/>
      <c r="C13" s="175"/>
      <c r="D13" s="176">
        <f>SUM(A10:P10)</f>
        <v>44876</v>
      </c>
      <c r="E13" s="175"/>
      <c r="F13" s="175"/>
      <c r="G13" s="176">
        <f>A13-D13</f>
        <v>245124</v>
      </c>
      <c r="H13" s="175"/>
      <c r="I13" s="177"/>
      <c r="J13" s="56"/>
      <c r="K13" s="178" t="s">
        <v>40</v>
      </c>
      <c r="L13" s="179"/>
      <c r="M13" s="179"/>
      <c r="N13" s="179"/>
      <c r="O13" s="179"/>
      <c r="P13" s="179"/>
    </row>
    <row r="14" spans="1:16" ht="14.25" thickTop="1"/>
    <row r="16" spans="1:16" ht="30" customHeight="1">
      <c r="A16" s="180" t="s">
        <v>23</v>
      </c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1" t="s">
        <v>24</v>
      </c>
      <c r="N16" s="181"/>
      <c r="O16" s="181"/>
      <c r="P16" s="181"/>
    </row>
    <row r="17" spans="1:16" ht="14.25" thickBot="1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</row>
    <row r="18" spans="1:16" ht="21.75" customHeight="1">
      <c r="A18" s="159" t="s">
        <v>25</v>
      </c>
      <c r="B18" s="160"/>
      <c r="C18" s="187" t="str">
        <f>賃金集計表!A6</f>
        <v>山内　雄司</v>
      </c>
      <c r="D18" s="188"/>
      <c r="E18" s="188"/>
      <c r="F18" s="188"/>
      <c r="G18" s="191" t="s">
        <v>101</v>
      </c>
      <c r="H18" s="160" t="s">
        <v>26</v>
      </c>
      <c r="I18" s="160"/>
      <c r="J18" s="160"/>
      <c r="K18" s="160" t="s">
        <v>27</v>
      </c>
      <c r="L18" s="160"/>
      <c r="M18" s="160"/>
      <c r="N18" s="160" t="s">
        <v>28</v>
      </c>
      <c r="O18" s="160"/>
      <c r="P18" s="166"/>
    </row>
    <row r="19" spans="1:16" ht="21.75" customHeight="1" thickBot="1">
      <c r="A19" s="164"/>
      <c r="B19" s="165"/>
      <c r="C19" s="189"/>
      <c r="D19" s="190"/>
      <c r="E19" s="190"/>
      <c r="F19" s="190"/>
      <c r="G19" s="192"/>
      <c r="H19" s="167">
        <f>賃金集計表!B6</f>
        <v>22</v>
      </c>
      <c r="I19" s="167"/>
      <c r="J19" s="167"/>
      <c r="K19" s="167"/>
      <c r="L19" s="167"/>
      <c r="M19" s="167"/>
      <c r="N19" s="167"/>
      <c r="O19" s="167"/>
      <c r="P19" s="168"/>
    </row>
    <row r="20" spans="1:16" ht="9" customHeight="1" thickBot="1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</row>
    <row r="21" spans="1:16" ht="21.75" customHeight="1">
      <c r="A21" s="159" t="s">
        <v>29</v>
      </c>
      <c r="B21" s="160"/>
      <c r="C21" s="161" t="s">
        <v>28</v>
      </c>
      <c r="D21" s="161"/>
      <c r="E21" s="160"/>
      <c r="F21" s="160"/>
      <c r="G21" s="160"/>
      <c r="H21" s="160"/>
      <c r="I21" s="160" t="s">
        <v>30</v>
      </c>
      <c r="J21" s="160"/>
      <c r="K21" s="154"/>
      <c r="L21" s="154"/>
      <c r="M21" s="154"/>
      <c r="N21" s="154"/>
      <c r="O21" s="154"/>
      <c r="P21" s="155"/>
    </row>
    <row r="22" spans="1:16" ht="30" customHeight="1" thickBot="1">
      <c r="A22" s="156">
        <f>賃金集計表!H6</f>
        <v>200000</v>
      </c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8"/>
    </row>
    <row r="23" spans="1:16" ht="9" customHeight="1" thickBo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</row>
    <row r="24" spans="1:16" ht="21.75" customHeight="1">
      <c r="A24" s="159" t="s">
        <v>31</v>
      </c>
      <c r="B24" s="160"/>
      <c r="C24" s="161" t="s">
        <v>32</v>
      </c>
      <c r="D24" s="161"/>
      <c r="E24" s="160" t="s">
        <v>33</v>
      </c>
      <c r="F24" s="160"/>
      <c r="G24" s="160" t="s">
        <v>34</v>
      </c>
      <c r="H24" s="160"/>
      <c r="I24" s="160" t="s">
        <v>35</v>
      </c>
      <c r="J24" s="160"/>
      <c r="K24" s="154"/>
      <c r="L24" s="154"/>
      <c r="M24" s="154"/>
      <c r="N24" s="154"/>
      <c r="O24" s="160" t="s">
        <v>93</v>
      </c>
      <c r="P24" s="166"/>
    </row>
    <row r="25" spans="1:16" ht="30" customHeight="1" thickBot="1">
      <c r="A25" s="156"/>
      <c r="B25" s="157"/>
      <c r="C25" s="157"/>
      <c r="D25" s="157"/>
      <c r="E25" s="157"/>
      <c r="F25" s="157"/>
      <c r="G25" s="157"/>
      <c r="H25" s="157"/>
      <c r="I25" s="157">
        <f>賃金集計表!S6</f>
        <v>3140</v>
      </c>
      <c r="J25" s="157"/>
      <c r="K25" s="157"/>
      <c r="L25" s="157"/>
      <c r="M25" s="157"/>
      <c r="N25" s="157"/>
      <c r="O25" s="157">
        <f>賃金集計表!V6</f>
        <v>0</v>
      </c>
      <c r="P25" s="158"/>
    </row>
    <row r="26" spans="1:16" ht="9" customHeight="1" thickBo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</row>
    <row r="27" spans="1:16" ht="21.75" customHeight="1" thickTop="1">
      <c r="A27" s="169" t="s">
        <v>36</v>
      </c>
      <c r="B27" s="170"/>
      <c r="C27" s="170"/>
      <c r="D27" s="170" t="s">
        <v>37</v>
      </c>
      <c r="E27" s="170"/>
      <c r="F27" s="170"/>
      <c r="G27" s="170" t="s">
        <v>38</v>
      </c>
      <c r="H27" s="170"/>
      <c r="I27" s="171"/>
      <c r="J27" s="66"/>
      <c r="K27" s="172" t="s">
        <v>39</v>
      </c>
      <c r="L27" s="182"/>
      <c r="M27" s="182"/>
      <c r="N27" s="182"/>
      <c r="O27" s="182"/>
      <c r="P27" s="182"/>
    </row>
    <row r="28" spans="1:16" ht="30" customHeight="1" thickBot="1">
      <c r="A28" s="174">
        <f>SUM(A22:P22)</f>
        <v>200000</v>
      </c>
      <c r="B28" s="175"/>
      <c r="C28" s="175"/>
      <c r="D28" s="176">
        <f>SUM(A25:P25)</f>
        <v>3140</v>
      </c>
      <c r="E28" s="175"/>
      <c r="F28" s="175"/>
      <c r="G28" s="176">
        <f>A28-D28</f>
        <v>196860</v>
      </c>
      <c r="H28" s="175"/>
      <c r="I28" s="177"/>
      <c r="J28" s="56"/>
      <c r="K28" s="178" t="s">
        <v>40</v>
      </c>
      <c r="L28" s="183"/>
      <c r="M28" s="183"/>
      <c r="N28" s="183"/>
      <c r="O28" s="183"/>
      <c r="P28" s="183"/>
    </row>
    <row r="29" spans="1:16" ht="14.25" thickTop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</row>
    <row r="30" spans="1:16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</row>
    <row r="31" spans="1:16" ht="30" customHeight="1">
      <c r="A31" s="162" t="s">
        <v>23</v>
      </c>
      <c r="B31" s="162"/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3" t="s">
        <v>24</v>
      </c>
      <c r="N31" s="163"/>
      <c r="O31" s="163"/>
      <c r="P31" s="163"/>
    </row>
    <row r="32" spans="1:16" ht="14.25" thickBot="1"/>
    <row r="33" spans="1:16" ht="21.75" customHeight="1">
      <c r="A33" s="159" t="s">
        <v>25</v>
      </c>
      <c r="B33" s="160"/>
      <c r="C33" s="187"/>
      <c r="D33" s="188"/>
      <c r="E33" s="188"/>
      <c r="F33" s="188"/>
      <c r="G33" s="191" t="s">
        <v>101</v>
      </c>
      <c r="H33" s="160" t="s">
        <v>26</v>
      </c>
      <c r="I33" s="160"/>
      <c r="J33" s="160"/>
      <c r="K33" s="160" t="s">
        <v>27</v>
      </c>
      <c r="L33" s="160"/>
      <c r="M33" s="160"/>
      <c r="N33" s="160" t="s">
        <v>28</v>
      </c>
      <c r="O33" s="160"/>
      <c r="P33" s="166"/>
    </row>
    <row r="34" spans="1:16" ht="21.75" customHeight="1" thickBot="1">
      <c r="A34" s="164"/>
      <c r="B34" s="165"/>
      <c r="C34" s="189"/>
      <c r="D34" s="190"/>
      <c r="E34" s="190"/>
      <c r="F34" s="190"/>
      <c r="G34" s="192"/>
      <c r="H34" s="167"/>
      <c r="I34" s="167"/>
      <c r="J34" s="167"/>
      <c r="K34" s="167"/>
      <c r="L34" s="167"/>
      <c r="M34" s="167"/>
      <c r="N34" s="167"/>
      <c r="O34" s="167"/>
      <c r="P34" s="168"/>
    </row>
    <row r="35" spans="1:16" ht="9" customHeight="1" thickBo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</row>
    <row r="36" spans="1:16" ht="21.75" customHeight="1">
      <c r="A36" s="159" t="s">
        <v>29</v>
      </c>
      <c r="B36" s="160"/>
      <c r="C36" s="161" t="s">
        <v>28</v>
      </c>
      <c r="D36" s="161"/>
      <c r="E36" s="160"/>
      <c r="F36" s="160"/>
      <c r="G36" s="160"/>
      <c r="H36" s="160"/>
      <c r="I36" s="160" t="s">
        <v>30</v>
      </c>
      <c r="J36" s="160"/>
      <c r="K36" s="154"/>
      <c r="L36" s="154"/>
      <c r="M36" s="154"/>
      <c r="N36" s="154"/>
      <c r="O36" s="154"/>
      <c r="P36" s="155"/>
    </row>
    <row r="37" spans="1:16" ht="30" customHeight="1" thickBot="1">
      <c r="A37" s="156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8"/>
    </row>
    <row r="38" spans="1:16" ht="9" customHeight="1" thickBo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</row>
    <row r="39" spans="1:16" ht="21.75" customHeight="1">
      <c r="A39" s="159" t="s">
        <v>31</v>
      </c>
      <c r="B39" s="160"/>
      <c r="C39" s="161" t="s">
        <v>32</v>
      </c>
      <c r="D39" s="161"/>
      <c r="E39" s="160" t="s">
        <v>33</v>
      </c>
      <c r="F39" s="160"/>
      <c r="G39" s="160" t="s">
        <v>34</v>
      </c>
      <c r="H39" s="160"/>
      <c r="I39" s="160" t="s">
        <v>35</v>
      </c>
      <c r="J39" s="160"/>
      <c r="K39" s="154"/>
      <c r="L39" s="154"/>
      <c r="M39" s="154"/>
      <c r="N39" s="154"/>
      <c r="O39" s="160" t="s">
        <v>93</v>
      </c>
      <c r="P39" s="166"/>
    </row>
    <row r="40" spans="1:16" ht="30" customHeight="1" thickBot="1">
      <c r="A40" s="156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8"/>
    </row>
    <row r="41" spans="1:16" ht="9" customHeight="1" thickBo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</row>
    <row r="42" spans="1:16" ht="21.75" customHeight="1" thickTop="1">
      <c r="A42" s="169" t="s">
        <v>36</v>
      </c>
      <c r="B42" s="170"/>
      <c r="C42" s="170"/>
      <c r="D42" s="170" t="s">
        <v>37</v>
      </c>
      <c r="E42" s="170"/>
      <c r="F42" s="170"/>
      <c r="G42" s="170" t="s">
        <v>38</v>
      </c>
      <c r="H42" s="170"/>
      <c r="I42" s="171"/>
      <c r="J42" s="66"/>
      <c r="K42" s="172" t="s">
        <v>39</v>
      </c>
      <c r="L42" s="173"/>
      <c r="M42" s="173"/>
      <c r="N42" s="173"/>
      <c r="O42" s="173"/>
      <c r="P42" s="173"/>
    </row>
    <row r="43" spans="1:16" ht="30" customHeight="1" thickBot="1">
      <c r="A43" s="174">
        <f>SUM(A37:P37)</f>
        <v>0</v>
      </c>
      <c r="B43" s="175"/>
      <c r="C43" s="175"/>
      <c r="D43" s="176">
        <f>SUM(A40:P40)</f>
        <v>0</v>
      </c>
      <c r="E43" s="175"/>
      <c r="F43" s="175"/>
      <c r="G43" s="176">
        <f>A43-D43</f>
        <v>0</v>
      </c>
      <c r="H43" s="175"/>
      <c r="I43" s="177"/>
      <c r="J43" s="56"/>
      <c r="K43" s="178" t="s">
        <v>40</v>
      </c>
      <c r="L43" s="179"/>
      <c r="M43" s="179"/>
      <c r="N43" s="179"/>
      <c r="O43" s="179"/>
      <c r="P43" s="179"/>
    </row>
    <row r="44" spans="1:16" ht="14.25" thickTop="1"/>
    <row r="46" spans="1:16" ht="30" customHeight="1">
      <c r="A46" s="162" t="s">
        <v>23</v>
      </c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3" t="s">
        <v>24</v>
      </c>
      <c r="N46" s="163"/>
      <c r="O46" s="163"/>
      <c r="P46" s="163"/>
    </row>
    <row r="47" spans="1:16" ht="14.25" thickBot="1"/>
    <row r="48" spans="1:16" ht="21.75" customHeight="1">
      <c r="A48" s="159" t="s">
        <v>25</v>
      </c>
      <c r="B48" s="160"/>
      <c r="C48" s="187" t="str">
        <f>賃金集計表!A10</f>
        <v>大元　照美</v>
      </c>
      <c r="D48" s="188"/>
      <c r="E48" s="188"/>
      <c r="F48" s="188"/>
      <c r="G48" s="191" t="s">
        <v>101</v>
      </c>
      <c r="H48" s="160" t="s">
        <v>26</v>
      </c>
      <c r="I48" s="160"/>
      <c r="J48" s="160"/>
      <c r="K48" s="160" t="s">
        <v>27</v>
      </c>
      <c r="L48" s="160"/>
      <c r="M48" s="160"/>
      <c r="N48" s="160" t="s">
        <v>28</v>
      </c>
      <c r="O48" s="160"/>
      <c r="P48" s="166"/>
    </row>
    <row r="49" spans="1:20" ht="21.75" customHeight="1" thickBot="1">
      <c r="A49" s="164"/>
      <c r="B49" s="165"/>
      <c r="C49" s="189"/>
      <c r="D49" s="190"/>
      <c r="E49" s="190"/>
      <c r="F49" s="190"/>
      <c r="G49" s="192"/>
      <c r="H49" s="167">
        <f>賃金集計表!B10</f>
        <v>23</v>
      </c>
      <c r="I49" s="167"/>
      <c r="J49" s="167"/>
      <c r="K49" s="184"/>
      <c r="L49" s="167"/>
      <c r="M49" s="167"/>
      <c r="N49" s="167">
        <f>'3月分'!AM11</f>
        <v>0</v>
      </c>
      <c r="O49" s="167"/>
      <c r="P49" s="168"/>
    </row>
    <row r="50" spans="1:20" ht="9" customHeight="1" thickBo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</row>
    <row r="51" spans="1:20" ht="21.75" customHeight="1">
      <c r="A51" s="159" t="s">
        <v>29</v>
      </c>
      <c r="B51" s="160"/>
      <c r="C51" s="161" t="s">
        <v>28</v>
      </c>
      <c r="D51" s="161"/>
      <c r="E51" s="160"/>
      <c r="F51" s="160"/>
      <c r="G51" s="160"/>
      <c r="H51" s="160"/>
      <c r="I51" s="160" t="s">
        <v>30</v>
      </c>
      <c r="J51" s="160"/>
      <c r="K51" s="154"/>
      <c r="L51" s="154"/>
      <c r="M51" s="154"/>
      <c r="N51" s="154"/>
      <c r="O51" s="154"/>
      <c r="P51" s="155"/>
      <c r="R51" s="65"/>
      <c r="T51" s="65"/>
    </row>
    <row r="52" spans="1:20" ht="30" customHeight="1" thickBot="1">
      <c r="A52" s="156">
        <f>賃金集計表!H10</f>
        <v>150000</v>
      </c>
      <c r="B52" s="157"/>
      <c r="C52" s="157"/>
      <c r="D52" s="157"/>
      <c r="E52" s="157"/>
      <c r="F52" s="157"/>
      <c r="G52" s="157"/>
      <c r="H52" s="157"/>
      <c r="I52" s="157">
        <f>賃金集計表!M10</f>
        <v>10000</v>
      </c>
      <c r="J52" s="157"/>
      <c r="K52" s="157"/>
      <c r="L52" s="157"/>
      <c r="M52" s="157"/>
      <c r="N52" s="157"/>
      <c r="O52" s="157"/>
      <c r="P52" s="158"/>
    </row>
    <row r="53" spans="1:20" ht="9" customHeight="1" thickBo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</row>
    <row r="54" spans="1:20" ht="21.75" customHeight="1">
      <c r="A54" s="159" t="s">
        <v>31</v>
      </c>
      <c r="B54" s="160"/>
      <c r="C54" s="161" t="s">
        <v>32</v>
      </c>
      <c r="D54" s="161"/>
      <c r="E54" s="160" t="s">
        <v>33</v>
      </c>
      <c r="F54" s="160"/>
      <c r="G54" s="160" t="s">
        <v>34</v>
      </c>
      <c r="H54" s="160"/>
      <c r="I54" s="160" t="s">
        <v>35</v>
      </c>
      <c r="J54" s="160"/>
      <c r="K54" s="154"/>
      <c r="L54" s="154"/>
      <c r="M54" s="154"/>
      <c r="N54" s="154"/>
      <c r="O54" s="160" t="s">
        <v>93</v>
      </c>
      <c r="P54" s="166"/>
    </row>
    <row r="55" spans="1:20" ht="30" customHeight="1" thickBot="1">
      <c r="A55" s="156">
        <f>賃金集計表!P10</f>
        <v>0</v>
      </c>
      <c r="B55" s="157"/>
      <c r="C55" s="157">
        <f>賃金集計表!Q10</f>
        <v>0</v>
      </c>
      <c r="D55" s="157"/>
      <c r="E55" s="157">
        <f>賃金集計表!R10</f>
        <v>800</v>
      </c>
      <c r="F55" s="157"/>
      <c r="G55" s="157">
        <f>賃金集計表!T10</f>
        <v>0</v>
      </c>
      <c r="H55" s="157"/>
      <c r="I55" s="157">
        <f>賃金集計表!S10</f>
        <v>3340</v>
      </c>
      <c r="J55" s="157"/>
      <c r="K55" s="157"/>
      <c r="L55" s="157"/>
      <c r="M55" s="157"/>
      <c r="N55" s="157"/>
      <c r="O55" s="157">
        <f>賃金集計表!V10</f>
        <v>2100</v>
      </c>
      <c r="P55" s="158"/>
    </row>
    <row r="56" spans="1:20" ht="9" customHeight="1" thickBo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</row>
    <row r="57" spans="1:20" ht="21.75" customHeight="1" thickTop="1">
      <c r="A57" s="169" t="s">
        <v>36</v>
      </c>
      <c r="B57" s="170"/>
      <c r="C57" s="170"/>
      <c r="D57" s="170" t="s">
        <v>37</v>
      </c>
      <c r="E57" s="170"/>
      <c r="F57" s="170"/>
      <c r="G57" s="170" t="s">
        <v>38</v>
      </c>
      <c r="H57" s="170"/>
      <c r="I57" s="171"/>
      <c r="J57" s="66"/>
      <c r="K57" s="172" t="s">
        <v>39</v>
      </c>
      <c r="L57" s="173"/>
      <c r="M57" s="173"/>
      <c r="N57" s="173"/>
      <c r="O57" s="173"/>
      <c r="P57" s="173"/>
    </row>
    <row r="58" spans="1:20" ht="30" customHeight="1" thickBot="1">
      <c r="A58" s="174">
        <f>SUM(A52:P52)</f>
        <v>160000</v>
      </c>
      <c r="B58" s="175"/>
      <c r="C58" s="175"/>
      <c r="D58" s="176">
        <f>SUM(A55:P55)</f>
        <v>6240</v>
      </c>
      <c r="E58" s="175"/>
      <c r="F58" s="175"/>
      <c r="G58" s="176">
        <f>A58-D58</f>
        <v>153760</v>
      </c>
      <c r="H58" s="175"/>
      <c r="I58" s="177"/>
      <c r="J58" s="56"/>
      <c r="K58" s="178" t="s">
        <v>40</v>
      </c>
      <c r="L58" s="179"/>
      <c r="M58" s="179"/>
      <c r="N58" s="179"/>
      <c r="O58" s="179"/>
      <c r="P58" s="179"/>
    </row>
    <row r="59" spans="1:20" ht="14.25" thickTop="1"/>
    <row r="61" spans="1:20" ht="30" customHeight="1">
      <c r="A61" s="180" t="s">
        <v>23</v>
      </c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1" t="s">
        <v>24</v>
      </c>
      <c r="N61" s="181"/>
      <c r="O61" s="181"/>
      <c r="P61" s="181"/>
    </row>
    <row r="62" spans="1:20" ht="14.25" thickBo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</row>
    <row r="63" spans="1:20" ht="21.75" customHeight="1">
      <c r="A63" s="159" t="s">
        <v>25</v>
      </c>
      <c r="B63" s="160"/>
      <c r="C63" s="187" t="str">
        <f>賃金集計表!A11</f>
        <v>山内ノリ子</v>
      </c>
      <c r="D63" s="188"/>
      <c r="E63" s="188"/>
      <c r="F63" s="188"/>
      <c r="G63" s="191" t="s">
        <v>101</v>
      </c>
      <c r="H63" s="160" t="s">
        <v>26</v>
      </c>
      <c r="I63" s="160"/>
      <c r="J63" s="160"/>
      <c r="K63" s="160" t="s">
        <v>27</v>
      </c>
      <c r="L63" s="160"/>
      <c r="M63" s="160"/>
      <c r="N63" s="160" t="s">
        <v>28</v>
      </c>
      <c r="O63" s="160"/>
      <c r="P63" s="166"/>
    </row>
    <row r="64" spans="1:20" ht="21.75" customHeight="1" thickBot="1">
      <c r="A64" s="164"/>
      <c r="B64" s="165"/>
      <c r="C64" s="189"/>
      <c r="D64" s="190"/>
      <c r="E64" s="190"/>
      <c r="F64" s="190"/>
      <c r="G64" s="192"/>
      <c r="H64" s="167">
        <f>賃金集計表!B11</f>
        <v>23</v>
      </c>
      <c r="I64" s="167"/>
      <c r="J64" s="167"/>
      <c r="K64" s="185" t="str">
        <f>賃金集計表!D11</f>
        <v>101;26</v>
      </c>
      <c r="L64" s="167"/>
      <c r="M64" s="167"/>
      <c r="N64" s="167">
        <f>'3月分'!AM22</f>
        <v>0</v>
      </c>
      <c r="O64" s="167"/>
      <c r="P64" s="168"/>
      <c r="R64" s="141">
        <v>4.2263888888888888</v>
      </c>
      <c r="S64">
        <v>800</v>
      </c>
      <c r="T64" s="141">
        <f>R64*S64</f>
        <v>3381.1111111111109</v>
      </c>
    </row>
    <row r="65" spans="1:16" ht="9" customHeight="1" thickBo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</row>
    <row r="66" spans="1:16" ht="21.75" customHeight="1">
      <c r="A66" s="159" t="s">
        <v>29</v>
      </c>
      <c r="B66" s="160"/>
      <c r="C66" s="161" t="s">
        <v>28</v>
      </c>
      <c r="D66" s="161"/>
      <c r="E66" s="160"/>
      <c r="F66" s="160"/>
      <c r="G66" s="160"/>
      <c r="H66" s="160"/>
      <c r="I66" s="160" t="s">
        <v>30</v>
      </c>
      <c r="J66" s="160"/>
      <c r="K66" s="154"/>
      <c r="L66" s="154"/>
      <c r="M66" s="154"/>
      <c r="N66" s="154"/>
      <c r="O66" s="154"/>
      <c r="P66" s="155"/>
    </row>
    <row r="67" spans="1:16" ht="30" customHeight="1" thickBot="1">
      <c r="A67" s="156">
        <v>81147</v>
      </c>
      <c r="B67" s="157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8"/>
    </row>
    <row r="68" spans="1:16" ht="9" customHeight="1" thickBo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</row>
    <row r="69" spans="1:16" ht="21.75" customHeight="1">
      <c r="A69" s="159" t="s">
        <v>31</v>
      </c>
      <c r="B69" s="160"/>
      <c r="C69" s="161" t="s">
        <v>32</v>
      </c>
      <c r="D69" s="161"/>
      <c r="E69" s="160" t="s">
        <v>33</v>
      </c>
      <c r="F69" s="160"/>
      <c r="G69" s="160" t="s">
        <v>34</v>
      </c>
      <c r="H69" s="160"/>
      <c r="I69" s="160" t="s">
        <v>35</v>
      </c>
      <c r="J69" s="160"/>
      <c r="K69" s="154"/>
      <c r="L69" s="154"/>
      <c r="M69" s="154"/>
      <c r="N69" s="154"/>
      <c r="O69" s="160" t="s">
        <v>93</v>
      </c>
      <c r="P69" s="166"/>
    </row>
    <row r="70" spans="1:16" ht="30" customHeight="1" thickBot="1">
      <c r="A70" s="156"/>
      <c r="B70" s="157"/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>
        <f>賃金集計表!V11</f>
        <v>8050</v>
      </c>
      <c r="P70" s="158"/>
    </row>
    <row r="71" spans="1:16" ht="9" customHeight="1" thickBo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</row>
    <row r="72" spans="1:16" ht="21.75" customHeight="1" thickTop="1">
      <c r="A72" s="169" t="s">
        <v>36</v>
      </c>
      <c r="B72" s="170"/>
      <c r="C72" s="170"/>
      <c r="D72" s="170" t="s">
        <v>37</v>
      </c>
      <c r="E72" s="170"/>
      <c r="F72" s="170"/>
      <c r="G72" s="170" t="s">
        <v>38</v>
      </c>
      <c r="H72" s="170"/>
      <c r="I72" s="171"/>
      <c r="J72" s="66"/>
      <c r="K72" s="172" t="s">
        <v>39</v>
      </c>
      <c r="L72" s="182"/>
      <c r="M72" s="182"/>
      <c r="N72" s="182"/>
      <c r="O72" s="182"/>
      <c r="P72" s="182"/>
    </row>
    <row r="73" spans="1:16" ht="30" customHeight="1" thickBot="1">
      <c r="A73" s="174">
        <f>SUM(A67:P67)</f>
        <v>81147</v>
      </c>
      <c r="B73" s="175"/>
      <c r="C73" s="175"/>
      <c r="D73" s="176">
        <f>SUM(A70:P70)</f>
        <v>8050</v>
      </c>
      <c r="E73" s="175"/>
      <c r="F73" s="175"/>
      <c r="G73" s="176">
        <f>A73-D73</f>
        <v>73097</v>
      </c>
      <c r="H73" s="175"/>
      <c r="I73" s="177"/>
      <c r="J73" s="56"/>
      <c r="K73" s="178" t="s">
        <v>40</v>
      </c>
      <c r="L73" s="183"/>
      <c r="M73" s="183"/>
      <c r="N73" s="183"/>
      <c r="O73" s="183"/>
      <c r="P73" s="183"/>
    </row>
    <row r="74" spans="1:16" ht="14.25" thickTop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</row>
    <row r="75" spans="1:16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</row>
    <row r="76" spans="1:16" ht="30" customHeight="1">
      <c r="A76" s="162" t="s">
        <v>23</v>
      </c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3" t="s">
        <v>24</v>
      </c>
      <c r="N76" s="163"/>
      <c r="O76" s="163"/>
      <c r="P76" s="163"/>
    </row>
    <row r="77" spans="1:16" ht="14.25" thickBot="1"/>
    <row r="78" spans="1:16" ht="21.75" customHeight="1">
      <c r="A78" s="159" t="s">
        <v>25</v>
      </c>
      <c r="B78" s="160"/>
      <c r="C78" s="187" t="str">
        <f>賃金集計表!A12</f>
        <v>瀬戸　光代</v>
      </c>
      <c r="D78" s="188"/>
      <c r="E78" s="188"/>
      <c r="F78" s="188"/>
      <c r="G78" s="191" t="s">
        <v>101</v>
      </c>
      <c r="H78" s="160" t="s">
        <v>26</v>
      </c>
      <c r="I78" s="160"/>
      <c r="J78" s="160"/>
      <c r="K78" s="160" t="s">
        <v>27</v>
      </c>
      <c r="L78" s="160"/>
      <c r="M78" s="160"/>
      <c r="N78" s="160" t="s">
        <v>28</v>
      </c>
      <c r="O78" s="160"/>
      <c r="P78" s="166"/>
    </row>
    <row r="79" spans="1:16" ht="21.75" customHeight="1" thickBot="1">
      <c r="A79" s="164"/>
      <c r="B79" s="165"/>
      <c r="C79" s="189"/>
      <c r="D79" s="190"/>
      <c r="E79" s="190"/>
      <c r="F79" s="190"/>
      <c r="G79" s="192"/>
      <c r="H79" s="167">
        <f>賃金集計表!B12</f>
        <v>2</v>
      </c>
      <c r="I79" s="167"/>
      <c r="J79" s="167"/>
      <c r="K79" s="186">
        <f>賃金集計表!D12</f>
        <v>0.44305555555555554</v>
      </c>
      <c r="L79" s="167"/>
      <c r="M79" s="167"/>
      <c r="N79" s="167"/>
      <c r="O79" s="167"/>
      <c r="P79" s="168"/>
    </row>
    <row r="80" spans="1:16" ht="9" customHeight="1" thickBo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</row>
    <row r="81" spans="1:20" ht="21.75" customHeight="1">
      <c r="A81" s="159" t="s">
        <v>29</v>
      </c>
      <c r="B81" s="160"/>
      <c r="C81" s="161" t="s">
        <v>28</v>
      </c>
      <c r="D81" s="161"/>
      <c r="E81" s="160"/>
      <c r="F81" s="160"/>
      <c r="G81" s="160"/>
      <c r="H81" s="160"/>
      <c r="I81" s="160" t="s">
        <v>30</v>
      </c>
      <c r="J81" s="160"/>
      <c r="K81" s="154"/>
      <c r="L81" s="154"/>
      <c r="M81" s="154"/>
      <c r="N81" s="154"/>
      <c r="O81" s="154"/>
      <c r="P81" s="155"/>
    </row>
    <row r="82" spans="1:20" ht="30" customHeight="1" thickBot="1">
      <c r="A82" s="156">
        <f>賃金集計表!H12</f>
        <v>8507</v>
      </c>
      <c r="B82" s="157"/>
      <c r="C82" s="157">
        <f>K79*S79</f>
        <v>0</v>
      </c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8"/>
    </row>
    <row r="83" spans="1:20" ht="9" customHeight="1" thickBo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</row>
    <row r="84" spans="1:20" ht="21.75" customHeight="1">
      <c r="A84" s="159" t="s">
        <v>31</v>
      </c>
      <c r="B84" s="160"/>
      <c r="C84" s="161" t="s">
        <v>32</v>
      </c>
      <c r="D84" s="161"/>
      <c r="E84" s="160" t="s">
        <v>33</v>
      </c>
      <c r="F84" s="160"/>
      <c r="G84" s="160" t="s">
        <v>34</v>
      </c>
      <c r="H84" s="160"/>
      <c r="I84" s="160" t="s">
        <v>35</v>
      </c>
      <c r="J84" s="160"/>
      <c r="K84" s="154"/>
      <c r="L84" s="154"/>
      <c r="M84" s="154"/>
      <c r="N84" s="154"/>
      <c r="O84" s="160" t="s">
        <v>93</v>
      </c>
      <c r="P84" s="166"/>
    </row>
    <row r="85" spans="1:20" ht="30" customHeight="1" thickBot="1">
      <c r="A85" s="156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8"/>
    </row>
    <row r="86" spans="1:20" ht="9" customHeight="1" thickBo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</row>
    <row r="87" spans="1:20" ht="21.75" customHeight="1" thickTop="1">
      <c r="A87" s="169" t="s">
        <v>36</v>
      </c>
      <c r="B87" s="170"/>
      <c r="C87" s="170"/>
      <c r="D87" s="170" t="s">
        <v>37</v>
      </c>
      <c r="E87" s="170"/>
      <c r="F87" s="170"/>
      <c r="G87" s="170" t="s">
        <v>38</v>
      </c>
      <c r="H87" s="170"/>
      <c r="I87" s="171"/>
      <c r="J87" s="140"/>
      <c r="K87" s="172" t="s">
        <v>39</v>
      </c>
      <c r="L87" s="173"/>
      <c r="M87" s="173"/>
      <c r="N87" s="173"/>
      <c r="O87" s="173"/>
      <c r="P87" s="173"/>
    </row>
    <row r="88" spans="1:20" ht="30" customHeight="1" thickBot="1">
      <c r="A88" s="174">
        <f>SUM(A82:P82)</f>
        <v>8507</v>
      </c>
      <c r="B88" s="175"/>
      <c r="C88" s="175"/>
      <c r="D88" s="176">
        <f>SUM(A85:P85)</f>
        <v>0</v>
      </c>
      <c r="E88" s="175"/>
      <c r="F88" s="175"/>
      <c r="G88" s="176">
        <f>A88-D88</f>
        <v>8507</v>
      </c>
      <c r="H88" s="175"/>
      <c r="I88" s="177"/>
      <c r="J88" s="56"/>
      <c r="K88" s="178" t="s">
        <v>40</v>
      </c>
      <c r="L88" s="179"/>
      <c r="M88" s="179"/>
      <c r="N88" s="179"/>
      <c r="O88" s="179"/>
      <c r="P88" s="179"/>
    </row>
    <row r="89" spans="1:20" ht="14.25" thickTop="1"/>
    <row r="91" spans="1:20" ht="30" customHeight="1">
      <c r="A91" s="162" t="s">
        <v>23</v>
      </c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3" t="s">
        <v>24</v>
      </c>
      <c r="N91" s="163"/>
      <c r="O91" s="163"/>
      <c r="P91" s="163"/>
    </row>
    <row r="92" spans="1:20" ht="14.25" thickBot="1"/>
    <row r="93" spans="1:20" ht="21.75" customHeight="1">
      <c r="A93" s="159" t="s">
        <v>25</v>
      </c>
      <c r="B93" s="160"/>
      <c r="C93" s="187" t="str">
        <f>賃金集計表!A16</f>
        <v>山内　龍一</v>
      </c>
      <c r="D93" s="188"/>
      <c r="E93" s="188"/>
      <c r="F93" s="188"/>
      <c r="G93" s="191" t="s">
        <v>101</v>
      </c>
      <c r="H93" s="160" t="s">
        <v>26</v>
      </c>
      <c r="I93" s="160"/>
      <c r="J93" s="160"/>
      <c r="K93" s="160" t="s">
        <v>27</v>
      </c>
      <c r="L93" s="160"/>
      <c r="M93" s="160"/>
      <c r="N93" s="160" t="s">
        <v>28</v>
      </c>
      <c r="O93" s="160"/>
      <c r="P93" s="166"/>
    </row>
    <row r="94" spans="1:20" ht="21.75" customHeight="1" thickBot="1">
      <c r="A94" s="164"/>
      <c r="B94" s="165"/>
      <c r="C94" s="189"/>
      <c r="D94" s="190"/>
      <c r="E94" s="190"/>
      <c r="F94" s="190"/>
      <c r="G94" s="192"/>
      <c r="H94" s="167">
        <f>賃金集計表!B16</f>
        <v>21</v>
      </c>
      <c r="I94" s="167"/>
      <c r="J94" s="167"/>
      <c r="K94" s="184"/>
      <c r="L94" s="167"/>
      <c r="M94" s="167"/>
      <c r="N94" s="167"/>
      <c r="O94" s="167"/>
      <c r="P94" s="168"/>
    </row>
    <row r="95" spans="1:20" ht="9" customHeight="1" thickBo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</row>
    <row r="96" spans="1:20" ht="21.75" customHeight="1">
      <c r="A96" s="159" t="s">
        <v>29</v>
      </c>
      <c r="B96" s="160"/>
      <c r="C96" s="161" t="s">
        <v>28</v>
      </c>
      <c r="D96" s="161"/>
      <c r="E96" s="160"/>
      <c r="F96" s="160"/>
      <c r="G96" s="160"/>
      <c r="H96" s="160"/>
      <c r="I96" s="160" t="s">
        <v>30</v>
      </c>
      <c r="J96" s="160"/>
      <c r="K96" s="154"/>
      <c r="L96" s="154"/>
      <c r="M96" s="154"/>
      <c r="N96" s="154"/>
      <c r="O96" s="154"/>
      <c r="P96" s="155"/>
      <c r="R96" s="65"/>
      <c r="T96" s="65"/>
    </row>
    <row r="97" spans="1:16" ht="30" customHeight="1" thickBot="1">
      <c r="A97" s="156">
        <f>賃金集計表!H16</f>
        <v>21000</v>
      </c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8"/>
    </row>
    <row r="98" spans="1:16" ht="9" customHeight="1" thickBo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</row>
    <row r="99" spans="1:16" ht="21.75" customHeight="1">
      <c r="A99" s="159" t="s">
        <v>31</v>
      </c>
      <c r="B99" s="160"/>
      <c r="C99" s="161" t="s">
        <v>32</v>
      </c>
      <c r="D99" s="161"/>
      <c r="E99" s="160" t="s">
        <v>33</v>
      </c>
      <c r="F99" s="160"/>
      <c r="G99" s="160" t="s">
        <v>34</v>
      </c>
      <c r="H99" s="160"/>
      <c r="I99" s="160" t="s">
        <v>35</v>
      </c>
      <c r="J99" s="160"/>
      <c r="K99" s="154"/>
      <c r="L99" s="154"/>
      <c r="M99" s="154"/>
      <c r="N99" s="154"/>
      <c r="O99" s="160" t="s">
        <v>93</v>
      </c>
      <c r="P99" s="166"/>
    </row>
    <row r="100" spans="1:16" ht="30" customHeight="1" thickBot="1">
      <c r="A100" s="156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>
        <f>賃金集計表!W16</f>
        <v>7350</v>
      </c>
      <c r="P100" s="158"/>
    </row>
    <row r="101" spans="1:16" ht="9" customHeight="1" thickBo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</row>
    <row r="102" spans="1:16" ht="21.75" customHeight="1" thickTop="1">
      <c r="A102" s="169" t="s">
        <v>36</v>
      </c>
      <c r="B102" s="170"/>
      <c r="C102" s="170"/>
      <c r="D102" s="170" t="s">
        <v>37</v>
      </c>
      <c r="E102" s="170"/>
      <c r="F102" s="170"/>
      <c r="G102" s="170" t="s">
        <v>38</v>
      </c>
      <c r="H102" s="170"/>
      <c r="I102" s="171"/>
      <c r="J102" s="140"/>
      <c r="K102" s="172" t="s">
        <v>39</v>
      </c>
      <c r="L102" s="173"/>
      <c r="M102" s="173"/>
      <c r="N102" s="173"/>
      <c r="O102" s="173"/>
      <c r="P102" s="173"/>
    </row>
    <row r="103" spans="1:16" ht="30" customHeight="1" thickBot="1">
      <c r="A103" s="174">
        <f>SUM(A97:P97)</f>
        <v>21000</v>
      </c>
      <c r="B103" s="175"/>
      <c r="C103" s="175"/>
      <c r="D103" s="176">
        <f>SUM(A100:P100)</f>
        <v>7350</v>
      </c>
      <c r="E103" s="175"/>
      <c r="F103" s="175"/>
      <c r="G103" s="176">
        <f>A103-D103</f>
        <v>13650</v>
      </c>
      <c r="H103" s="175"/>
      <c r="I103" s="177"/>
      <c r="J103" s="56"/>
      <c r="K103" s="178" t="s">
        <v>40</v>
      </c>
      <c r="L103" s="179"/>
      <c r="M103" s="179"/>
      <c r="N103" s="179"/>
      <c r="O103" s="179"/>
      <c r="P103" s="179"/>
    </row>
    <row r="104" spans="1:16" ht="14.25" thickTop="1"/>
    <row r="106" spans="1:16" ht="30" customHeight="1">
      <c r="A106" s="180" t="s">
        <v>23</v>
      </c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1" t="s">
        <v>24</v>
      </c>
      <c r="N106" s="181"/>
      <c r="O106" s="181"/>
      <c r="P106" s="181"/>
    </row>
    <row r="107" spans="1:16" ht="14.25" thickBo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</row>
    <row r="108" spans="1:16" ht="21.75" customHeight="1">
      <c r="A108" s="159" t="s">
        <v>25</v>
      </c>
      <c r="B108" s="160"/>
      <c r="C108" s="187" t="str">
        <f>賃金集計表!A17</f>
        <v>山下恵美子</v>
      </c>
      <c r="D108" s="188"/>
      <c r="E108" s="188"/>
      <c r="F108" s="188"/>
      <c r="G108" s="191" t="s">
        <v>101</v>
      </c>
      <c r="H108" s="160" t="s">
        <v>26</v>
      </c>
      <c r="I108" s="160"/>
      <c r="J108" s="160"/>
      <c r="K108" s="160" t="s">
        <v>27</v>
      </c>
      <c r="L108" s="160"/>
      <c r="M108" s="160"/>
      <c r="N108" s="160" t="s">
        <v>28</v>
      </c>
      <c r="O108" s="160"/>
      <c r="P108" s="166"/>
    </row>
    <row r="109" spans="1:16" ht="21.75" customHeight="1" thickBot="1">
      <c r="A109" s="164"/>
      <c r="B109" s="165"/>
      <c r="C109" s="189"/>
      <c r="D109" s="190"/>
      <c r="E109" s="190"/>
      <c r="F109" s="190"/>
      <c r="G109" s="192"/>
      <c r="H109" s="167">
        <f>賃金集計表!B17</f>
        <v>20</v>
      </c>
      <c r="I109" s="167"/>
      <c r="J109" s="167"/>
      <c r="K109" s="185"/>
      <c r="L109" s="167"/>
      <c r="M109" s="167"/>
      <c r="N109" s="167"/>
      <c r="O109" s="167"/>
      <c r="P109" s="168"/>
    </row>
    <row r="110" spans="1:16" ht="9" customHeight="1" thickBo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</row>
    <row r="111" spans="1:16" ht="21.75" customHeight="1">
      <c r="A111" s="159" t="s">
        <v>29</v>
      </c>
      <c r="B111" s="160"/>
      <c r="C111" s="161" t="s">
        <v>28</v>
      </c>
      <c r="D111" s="161"/>
      <c r="E111" s="160"/>
      <c r="F111" s="160"/>
      <c r="G111" s="160"/>
      <c r="H111" s="160"/>
      <c r="I111" s="160" t="s">
        <v>30</v>
      </c>
      <c r="J111" s="160"/>
      <c r="K111" s="154"/>
      <c r="L111" s="154"/>
      <c r="M111" s="154"/>
      <c r="N111" s="154"/>
      <c r="O111" s="154"/>
      <c r="P111" s="155"/>
    </row>
    <row r="112" spans="1:16" ht="30" customHeight="1" thickBot="1">
      <c r="A112" s="156">
        <f>賃金集計表!H17</f>
        <v>20000</v>
      </c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8"/>
    </row>
    <row r="113" spans="1:16" ht="9" customHeight="1" thickBo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</row>
    <row r="114" spans="1:16" ht="21.75" customHeight="1">
      <c r="A114" s="159" t="s">
        <v>31</v>
      </c>
      <c r="B114" s="160"/>
      <c r="C114" s="161" t="s">
        <v>32</v>
      </c>
      <c r="D114" s="161"/>
      <c r="E114" s="160" t="s">
        <v>33</v>
      </c>
      <c r="F114" s="160"/>
      <c r="G114" s="160" t="s">
        <v>34</v>
      </c>
      <c r="H114" s="160"/>
      <c r="I114" s="160" t="s">
        <v>35</v>
      </c>
      <c r="J114" s="160"/>
      <c r="K114" s="154"/>
      <c r="L114" s="154"/>
      <c r="M114" s="154"/>
      <c r="N114" s="154"/>
      <c r="O114" s="160" t="s">
        <v>93</v>
      </c>
      <c r="P114" s="166"/>
    </row>
    <row r="115" spans="1:16" ht="30" customHeight="1" thickBot="1">
      <c r="A115" s="156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>
        <f>賃金集計表!V17</f>
        <v>7000</v>
      </c>
      <c r="P115" s="158"/>
    </row>
    <row r="116" spans="1:16" ht="9" customHeight="1" thickBo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</row>
    <row r="117" spans="1:16" ht="21.75" customHeight="1" thickTop="1">
      <c r="A117" s="169" t="s">
        <v>36</v>
      </c>
      <c r="B117" s="170"/>
      <c r="C117" s="170"/>
      <c r="D117" s="170" t="s">
        <v>37</v>
      </c>
      <c r="E117" s="170"/>
      <c r="F117" s="170"/>
      <c r="G117" s="170" t="s">
        <v>38</v>
      </c>
      <c r="H117" s="170"/>
      <c r="I117" s="171"/>
      <c r="J117" s="140"/>
      <c r="K117" s="172" t="s">
        <v>39</v>
      </c>
      <c r="L117" s="182"/>
      <c r="M117" s="182"/>
      <c r="N117" s="182"/>
      <c r="O117" s="182"/>
      <c r="P117" s="182"/>
    </row>
    <row r="118" spans="1:16" ht="30" customHeight="1" thickBot="1">
      <c r="A118" s="174">
        <f>SUM(A112:P112)</f>
        <v>20000</v>
      </c>
      <c r="B118" s="175"/>
      <c r="C118" s="175"/>
      <c r="D118" s="176">
        <f>SUM(A115:P115)</f>
        <v>7000</v>
      </c>
      <c r="E118" s="175"/>
      <c r="F118" s="175"/>
      <c r="G118" s="176">
        <f>A118-D118</f>
        <v>13000</v>
      </c>
      <c r="H118" s="175"/>
      <c r="I118" s="177"/>
      <c r="J118" s="56"/>
      <c r="K118" s="178" t="s">
        <v>40</v>
      </c>
      <c r="L118" s="183"/>
      <c r="M118" s="183"/>
      <c r="N118" s="183"/>
      <c r="O118" s="183"/>
      <c r="P118" s="183"/>
    </row>
    <row r="119" spans="1:16" ht="14.25" thickTop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</row>
    <row r="120" spans="1:16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</row>
    <row r="121" spans="1:16" ht="30" customHeight="1">
      <c r="A121" s="162" t="s">
        <v>23</v>
      </c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3" t="s">
        <v>24</v>
      </c>
      <c r="N121" s="163"/>
      <c r="O121" s="163"/>
      <c r="P121" s="163"/>
    </row>
    <row r="122" spans="1:16" ht="14.25" thickBot="1"/>
    <row r="123" spans="1:16" ht="21.75" customHeight="1">
      <c r="A123" s="159" t="s">
        <v>25</v>
      </c>
      <c r="B123" s="160"/>
      <c r="C123" s="187" t="str">
        <f>賃金集計表!A18</f>
        <v>川上　智樹</v>
      </c>
      <c r="D123" s="188"/>
      <c r="E123" s="188"/>
      <c r="F123" s="188"/>
      <c r="G123" s="191" t="s">
        <v>101</v>
      </c>
      <c r="H123" s="160" t="s">
        <v>26</v>
      </c>
      <c r="I123" s="160"/>
      <c r="J123" s="160"/>
      <c r="K123" s="160" t="s">
        <v>27</v>
      </c>
      <c r="L123" s="160"/>
      <c r="M123" s="160"/>
      <c r="N123" s="160" t="s">
        <v>28</v>
      </c>
      <c r="O123" s="160"/>
      <c r="P123" s="166"/>
    </row>
    <row r="124" spans="1:16" ht="21.75" customHeight="1" thickBot="1">
      <c r="A124" s="164"/>
      <c r="B124" s="165"/>
      <c r="C124" s="189"/>
      <c r="D124" s="190"/>
      <c r="E124" s="190"/>
      <c r="F124" s="190"/>
      <c r="G124" s="192"/>
      <c r="H124" s="167">
        <f>賃金集計表!B18</f>
        <v>16</v>
      </c>
      <c r="I124" s="167"/>
      <c r="J124" s="167"/>
      <c r="K124" s="167"/>
      <c r="L124" s="167"/>
      <c r="M124" s="167"/>
      <c r="N124" s="167"/>
      <c r="O124" s="167"/>
      <c r="P124" s="168"/>
    </row>
    <row r="125" spans="1:16" ht="9" customHeight="1" thickBo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</row>
    <row r="126" spans="1:16" ht="21.75" customHeight="1">
      <c r="A126" s="159" t="s">
        <v>29</v>
      </c>
      <c r="B126" s="160"/>
      <c r="C126" s="161" t="s">
        <v>28</v>
      </c>
      <c r="D126" s="161"/>
      <c r="E126" s="160"/>
      <c r="F126" s="160"/>
      <c r="G126" s="160"/>
      <c r="H126" s="160"/>
      <c r="I126" s="160" t="s">
        <v>30</v>
      </c>
      <c r="J126" s="160"/>
      <c r="K126" s="154"/>
      <c r="L126" s="154"/>
      <c r="M126" s="154"/>
      <c r="N126" s="154"/>
      <c r="O126" s="154"/>
      <c r="P126" s="155"/>
    </row>
    <row r="127" spans="1:16" ht="30" customHeight="1" thickBot="1">
      <c r="A127" s="156">
        <f>賃金集計表!H18</f>
        <v>24000</v>
      </c>
      <c r="B127" s="157"/>
      <c r="C127" s="157">
        <f>K124*S124</f>
        <v>0</v>
      </c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8"/>
    </row>
    <row r="128" spans="1:16" ht="9" customHeight="1" thickBo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</row>
    <row r="129" spans="1:20" ht="21.75" customHeight="1">
      <c r="A129" s="159" t="s">
        <v>31</v>
      </c>
      <c r="B129" s="160"/>
      <c r="C129" s="161" t="s">
        <v>32</v>
      </c>
      <c r="D129" s="161"/>
      <c r="E129" s="160" t="s">
        <v>33</v>
      </c>
      <c r="F129" s="160"/>
      <c r="G129" s="160" t="s">
        <v>34</v>
      </c>
      <c r="H129" s="160"/>
      <c r="I129" s="160" t="s">
        <v>35</v>
      </c>
      <c r="J129" s="160"/>
      <c r="K129" s="154"/>
      <c r="L129" s="154"/>
      <c r="M129" s="154"/>
      <c r="N129" s="154"/>
      <c r="O129" s="160" t="s">
        <v>93</v>
      </c>
      <c r="P129" s="166"/>
    </row>
    <row r="130" spans="1:20" ht="30" customHeight="1" thickBot="1">
      <c r="A130" s="156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>
        <f>賃金集計表!V18</f>
        <v>0</v>
      </c>
      <c r="P130" s="158"/>
    </row>
    <row r="131" spans="1:20" ht="9" customHeight="1" thickBo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</row>
    <row r="132" spans="1:20" ht="21.75" customHeight="1" thickTop="1">
      <c r="A132" s="169" t="s">
        <v>36</v>
      </c>
      <c r="B132" s="170"/>
      <c r="C132" s="170"/>
      <c r="D132" s="170" t="s">
        <v>37</v>
      </c>
      <c r="E132" s="170"/>
      <c r="F132" s="170"/>
      <c r="G132" s="170" t="s">
        <v>38</v>
      </c>
      <c r="H132" s="170"/>
      <c r="I132" s="171"/>
      <c r="J132" s="140"/>
      <c r="K132" s="172" t="s">
        <v>39</v>
      </c>
      <c r="L132" s="173"/>
      <c r="M132" s="173"/>
      <c r="N132" s="173"/>
      <c r="O132" s="173"/>
      <c r="P132" s="173"/>
    </row>
    <row r="133" spans="1:20" ht="30" customHeight="1" thickBot="1">
      <c r="A133" s="174">
        <f>SUM(A127:P127)</f>
        <v>24000</v>
      </c>
      <c r="B133" s="175"/>
      <c r="C133" s="175"/>
      <c r="D133" s="176">
        <f>SUM(A130:P130)</f>
        <v>0</v>
      </c>
      <c r="E133" s="175"/>
      <c r="F133" s="175"/>
      <c r="G133" s="176">
        <f>A133-D133</f>
        <v>24000</v>
      </c>
      <c r="H133" s="175"/>
      <c r="I133" s="177"/>
      <c r="J133" s="56"/>
      <c r="K133" s="178" t="s">
        <v>40</v>
      </c>
      <c r="L133" s="179"/>
      <c r="M133" s="179"/>
      <c r="N133" s="179"/>
      <c r="O133" s="179"/>
      <c r="P133" s="179"/>
    </row>
    <row r="134" spans="1:20" ht="14.25" thickTop="1"/>
    <row r="136" spans="1:20" ht="30" customHeight="1">
      <c r="A136" s="162" t="s">
        <v>23</v>
      </c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3" t="s">
        <v>24</v>
      </c>
      <c r="N136" s="163"/>
      <c r="O136" s="163"/>
      <c r="P136" s="163"/>
    </row>
    <row r="137" spans="1:20" ht="14.25" thickBot="1"/>
    <row r="138" spans="1:20" ht="21.75" customHeight="1">
      <c r="A138" s="159" t="s">
        <v>25</v>
      </c>
      <c r="B138" s="160"/>
      <c r="C138" s="187" t="str">
        <f>賃金集計表!A19</f>
        <v>上松　正和</v>
      </c>
      <c r="D138" s="188"/>
      <c r="E138" s="188"/>
      <c r="F138" s="188"/>
      <c r="G138" s="191" t="s">
        <v>101</v>
      </c>
      <c r="H138" s="160" t="s">
        <v>26</v>
      </c>
      <c r="I138" s="160"/>
      <c r="J138" s="160"/>
      <c r="K138" s="160" t="s">
        <v>27</v>
      </c>
      <c r="L138" s="160"/>
      <c r="M138" s="160"/>
      <c r="N138" s="160" t="s">
        <v>28</v>
      </c>
      <c r="O138" s="160"/>
      <c r="P138" s="166"/>
    </row>
    <row r="139" spans="1:20" ht="21.75" customHeight="1" thickBot="1">
      <c r="A139" s="164"/>
      <c r="B139" s="165"/>
      <c r="C139" s="189"/>
      <c r="D139" s="190"/>
      <c r="E139" s="190"/>
      <c r="F139" s="190"/>
      <c r="G139" s="192"/>
      <c r="H139" s="167">
        <f>賃金集計表!B19</f>
        <v>21</v>
      </c>
      <c r="I139" s="167"/>
      <c r="J139" s="167"/>
      <c r="K139" s="184"/>
      <c r="L139" s="167"/>
      <c r="M139" s="167"/>
      <c r="N139" s="167"/>
      <c r="O139" s="167"/>
      <c r="P139" s="168"/>
    </row>
    <row r="140" spans="1:20" ht="9" customHeight="1" thickBo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</row>
    <row r="141" spans="1:20" ht="21.75" customHeight="1">
      <c r="A141" s="159" t="s">
        <v>29</v>
      </c>
      <c r="B141" s="160"/>
      <c r="C141" s="161" t="s">
        <v>28</v>
      </c>
      <c r="D141" s="161"/>
      <c r="E141" s="160"/>
      <c r="F141" s="160"/>
      <c r="G141" s="160"/>
      <c r="H141" s="160"/>
      <c r="I141" s="160" t="s">
        <v>30</v>
      </c>
      <c r="J141" s="160"/>
      <c r="K141" s="154"/>
      <c r="L141" s="154"/>
      <c r="M141" s="154"/>
      <c r="N141" s="154"/>
      <c r="O141" s="154"/>
      <c r="P141" s="155"/>
      <c r="R141" s="65"/>
      <c r="T141" s="65"/>
    </row>
    <row r="142" spans="1:20" ht="30" customHeight="1" thickBot="1">
      <c r="A142" s="156">
        <f>賃金集計表!H19</f>
        <v>31500</v>
      </c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8"/>
    </row>
    <row r="143" spans="1:20" ht="9" customHeight="1" thickBo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</row>
    <row r="144" spans="1:20" ht="21.75" customHeight="1">
      <c r="A144" s="159" t="s">
        <v>31</v>
      </c>
      <c r="B144" s="160"/>
      <c r="C144" s="161" t="s">
        <v>32</v>
      </c>
      <c r="D144" s="161"/>
      <c r="E144" s="160" t="s">
        <v>33</v>
      </c>
      <c r="F144" s="160"/>
      <c r="G144" s="160" t="s">
        <v>34</v>
      </c>
      <c r="H144" s="160"/>
      <c r="I144" s="160" t="s">
        <v>35</v>
      </c>
      <c r="J144" s="160"/>
      <c r="K144" s="154"/>
      <c r="L144" s="154"/>
      <c r="M144" s="154"/>
      <c r="N144" s="154"/>
      <c r="O144" s="160" t="s">
        <v>93</v>
      </c>
      <c r="P144" s="166"/>
    </row>
    <row r="145" spans="1:16" ht="30" customHeight="1" thickBot="1">
      <c r="A145" s="156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>
        <f>賃金集計表!V19</f>
        <v>7000</v>
      </c>
      <c r="P145" s="158"/>
    </row>
    <row r="146" spans="1:16" ht="9" customHeight="1" thickBo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</row>
    <row r="147" spans="1:16" ht="21.75" customHeight="1" thickTop="1">
      <c r="A147" s="169" t="s">
        <v>36</v>
      </c>
      <c r="B147" s="170"/>
      <c r="C147" s="170"/>
      <c r="D147" s="170" t="s">
        <v>37</v>
      </c>
      <c r="E147" s="170"/>
      <c r="F147" s="170"/>
      <c r="G147" s="170" t="s">
        <v>38</v>
      </c>
      <c r="H147" s="170"/>
      <c r="I147" s="171"/>
      <c r="J147" s="140"/>
      <c r="K147" s="172" t="s">
        <v>39</v>
      </c>
      <c r="L147" s="173"/>
      <c r="M147" s="173"/>
      <c r="N147" s="173"/>
      <c r="O147" s="173"/>
      <c r="P147" s="173"/>
    </row>
    <row r="148" spans="1:16" ht="30" customHeight="1" thickBot="1">
      <c r="A148" s="174">
        <f>SUM(A142:P142)</f>
        <v>31500</v>
      </c>
      <c r="B148" s="175"/>
      <c r="C148" s="175"/>
      <c r="D148" s="176">
        <f>SUM(A145:P145)</f>
        <v>7000</v>
      </c>
      <c r="E148" s="175"/>
      <c r="F148" s="175"/>
      <c r="G148" s="176">
        <f>A148-D148</f>
        <v>24500</v>
      </c>
      <c r="H148" s="175"/>
      <c r="I148" s="177"/>
      <c r="J148" s="56"/>
      <c r="K148" s="178" t="s">
        <v>40</v>
      </c>
      <c r="L148" s="179"/>
      <c r="M148" s="179"/>
      <c r="N148" s="179"/>
      <c r="O148" s="179"/>
      <c r="P148" s="179"/>
    </row>
    <row r="149" spans="1:16" ht="14.25" thickTop="1"/>
    <row r="151" spans="1:16" ht="30" customHeight="1">
      <c r="A151" s="180" t="s">
        <v>23</v>
      </c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1" t="s">
        <v>24</v>
      </c>
      <c r="N151" s="181"/>
      <c r="O151" s="181"/>
      <c r="P151" s="181"/>
    </row>
    <row r="152" spans="1:16" ht="14.25" thickBo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</row>
    <row r="153" spans="1:16" ht="21.75" customHeight="1">
      <c r="A153" s="159" t="s">
        <v>25</v>
      </c>
      <c r="B153" s="160"/>
      <c r="C153" s="187" t="str">
        <f>賃金集計表!A20</f>
        <v>上松　浩二</v>
      </c>
      <c r="D153" s="188"/>
      <c r="E153" s="188"/>
      <c r="F153" s="188"/>
      <c r="G153" s="191" t="s">
        <v>101</v>
      </c>
      <c r="H153" s="160" t="s">
        <v>26</v>
      </c>
      <c r="I153" s="160"/>
      <c r="J153" s="160"/>
      <c r="K153" s="160" t="s">
        <v>27</v>
      </c>
      <c r="L153" s="160"/>
      <c r="M153" s="160"/>
      <c r="N153" s="160" t="s">
        <v>28</v>
      </c>
      <c r="O153" s="160"/>
      <c r="P153" s="166"/>
    </row>
    <row r="154" spans="1:16" ht="21.75" customHeight="1" thickBot="1">
      <c r="A154" s="164"/>
      <c r="B154" s="165"/>
      <c r="C154" s="189"/>
      <c r="D154" s="190"/>
      <c r="E154" s="190"/>
      <c r="F154" s="190"/>
      <c r="G154" s="192"/>
      <c r="H154" s="167">
        <f>賃金集計表!B20</f>
        <v>23</v>
      </c>
      <c r="I154" s="167"/>
      <c r="J154" s="167"/>
      <c r="K154" s="185"/>
      <c r="L154" s="167"/>
      <c r="M154" s="167"/>
      <c r="N154" s="167"/>
      <c r="O154" s="167"/>
      <c r="P154" s="168"/>
    </row>
    <row r="155" spans="1:16" ht="9" customHeight="1" thickBo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</row>
    <row r="156" spans="1:16" ht="21.75" customHeight="1">
      <c r="A156" s="159" t="s">
        <v>29</v>
      </c>
      <c r="B156" s="160"/>
      <c r="C156" s="161" t="s">
        <v>28</v>
      </c>
      <c r="D156" s="161"/>
      <c r="E156" s="160"/>
      <c r="F156" s="160"/>
      <c r="G156" s="160"/>
      <c r="H156" s="160"/>
      <c r="I156" s="160" t="s">
        <v>30</v>
      </c>
      <c r="J156" s="160"/>
      <c r="K156" s="154"/>
      <c r="L156" s="154"/>
      <c r="M156" s="154"/>
      <c r="N156" s="154"/>
      <c r="O156" s="154"/>
      <c r="P156" s="155"/>
    </row>
    <row r="157" spans="1:16" ht="30" customHeight="1" thickBot="1">
      <c r="A157" s="156">
        <f>賃金集計表!H20</f>
        <v>34500</v>
      </c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8"/>
    </row>
    <row r="158" spans="1:16" ht="9" customHeight="1" thickBo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</row>
    <row r="159" spans="1:16" ht="21.75" customHeight="1">
      <c r="A159" s="159" t="s">
        <v>31</v>
      </c>
      <c r="B159" s="160"/>
      <c r="C159" s="161" t="s">
        <v>32</v>
      </c>
      <c r="D159" s="161"/>
      <c r="E159" s="160" t="s">
        <v>33</v>
      </c>
      <c r="F159" s="160"/>
      <c r="G159" s="160" t="s">
        <v>34</v>
      </c>
      <c r="H159" s="160"/>
      <c r="I159" s="160" t="s">
        <v>35</v>
      </c>
      <c r="J159" s="160"/>
      <c r="K159" s="154"/>
      <c r="L159" s="154"/>
      <c r="M159" s="154"/>
      <c r="N159" s="154"/>
      <c r="O159" s="160" t="s">
        <v>93</v>
      </c>
      <c r="P159" s="166"/>
    </row>
    <row r="160" spans="1:16" ht="30" customHeight="1" thickBot="1">
      <c r="A160" s="156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>
        <f>賃金集計表!V20</f>
        <v>7350</v>
      </c>
      <c r="P160" s="158"/>
    </row>
    <row r="161" spans="1:16" ht="9" customHeight="1" thickBo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</row>
    <row r="162" spans="1:16" ht="21.75" customHeight="1" thickTop="1">
      <c r="A162" s="169" t="s">
        <v>36</v>
      </c>
      <c r="B162" s="170"/>
      <c r="C162" s="170"/>
      <c r="D162" s="170" t="s">
        <v>37</v>
      </c>
      <c r="E162" s="170"/>
      <c r="F162" s="170"/>
      <c r="G162" s="170" t="s">
        <v>38</v>
      </c>
      <c r="H162" s="170"/>
      <c r="I162" s="171"/>
      <c r="J162" s="140"/>
      <c r="K162" s="172" t="s">
        <v>39</v>
      </c>
      <c r="L162" s="182"/>
      <c r="M162" s="182"/>
      <c r="N162" s="182"/>
      <c r="O162" s="182"/>
      <c r="P162" s="182"/>
    </row>
    <row r="163" spans="1:16" ht="30" customHeight="1" thickBot="1">
      <c r="A163" s="174">
        <f>SUM(A157:P157)</f>
        <v>34500</v>
      </c>
      <c r="B163" s="175"/>
      <c r="C163" s="175"/>
      <c r="D163" s="176">
        <f>SUM(A160:P160)</f>
        <v>7350</v>
      </c>
      <c r="E163" s="175"/>
      <c r="F163" s="175"/>
      <c r="G163" s="176">
        <f>A163-D163</f>
        <v>27150</v>
      </c>
      <c r="H163" s="175"/>
      <c r="I163" s="177"/>
      <c r="J163" s="56"/>
      <c r="K163" s="178" t="s">
        <v>40</v>
      </c>
      <c r="L163" s="183"/>
      <c r="M163" s="183"/>
      <c r="N163" s="183"/>
      <c r="O163" s="183"/>
      <c r="P163" s="183"/>
    </row>
    <row r="164" spans="1:16" ht="14.25" thickTop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</row>
    <row r="165" spans="1:16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</row>
    <row r="166" spans="1:16" ht="30" customHeight="1">
      <c r="A166" s="162" t="s">
        <v>23</v>
      </c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3" t="s">
        <v>24</v>
      </c>
      <c r="N166" s="163"/>
      <c r="O166" s="163"/>
      <c r="P166" s="163"/>
    </row>
    <row r="167" spans="1:16" ht="14.25" thickBot="1"/>
    <row r="168" spans="1:16" ht="21.75" customHeight="1">
      <c r="A168" s="159" t="s">
        <v>25</v>
      </c>
      <c r="B168" s="160"/>
      <c r="C168" s="187" t="str">
        <f>賃金集計表!A21</f>
        <v>若林　哲也</v>
      </c>
      <c r="D168" s="188"/>
      <c r="E168" s="188"/>
      <c r="F168" s="188"/>
      <c r="G168" s="191" t="s">
        <v>101</v>
      </c>
      <c r="H168" s="160" t="s">
        <v>26</v>
      </c>
      <c r="I168" s="160"/>
      <c r="J168" s="160"/>
      <c r="K168" s="160" t="s">
        <v>27</v>
      </c>
      <c r="L168" s="160"/>
      <c r="M168" s="160"/>
      <c r="N168" s="160" t="s">
        <v>28</v>
      </c>
      <c r="O168" s="160"/>
      <c r="P168" s="166"/>
    </row>
    <row r="169" spans="1:16" ht="21.75" customHeight="1" thickBot="1">
      <c r="A169" s="164"/>
      <c r="B169" s="165"/>
      <c r="C169" s="189"/>
      <c r="D169" s="190"/>
      <c r="E169" s="190"/>
      <c r="F169" s="190"/>
      <c r="G169" s="192"/>
      <c r="H169" s="167">
        <f>賃金集計表!B21</f>
        <v>16</v>
      </c>
      <c r="I169" s="167"/>
      <c r="J169" s="167"/>
      <c r="K169" s="167"/>
      <c r="L169" s="167"/>
      <c r="M169" s="167"/>
      <c r="N169" s="167"/>
      <c r="O169" s="167"/>
      <c r="P169" s="168"/>
    </row>
    <row r="170" spans="1:16" ht="9" customHeight="1" thickBo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</row>
    <row r="171" spans="1:16" ht="21.75" customHeight="1">
      <c r="A171" s="159" t="s">
        <v>29</v>
      </c>
      <c r="B171" s="160"/>
      <c r="C171" s="161" t="s">
        <v>28</v>
      </c>
      <c r="D171" s="161"/>
      <c r="E171" s="160"/>
      <c r="F171" s="160"/>
      <c r="G171" s="160"/>
      <c r="H171" s="160"/>
      <c r="I171" s="160" t="s">
        <v>30</v>
      </c>
      <c r="J171" s="160"/>
      <c r="K171" s="154"/>
      <c r="L171" s="154"/>
      <c r="M171" s="154"/>
      <c r="N171" s="154"/>
      <c r="O171" s="154"/>
      <c r="P171" s="155"/>
    </row>
    <row r="172" spans="1:16" ht="30" customHeight="1" thickBot="1">
      <c r="A172" s="156">
        <f>賃金集計表!H21</f>
        <v>16000</v>
      </c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8"/>
    </row>
    <row r="173" spans="1:16" ht="9" customHeight="1" thickBo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</row>
    <row r="174" spans="1:16" ht="21.75" customHeight="1">
      <c r="A174" s="159" t="s">
        <v>31</v>
      </c>
      <c r="B174" s="160"/>
      <c r="C174" s="161" t="s">
        <v>32</v>
      </c>
      <c r="D174" s="161"/>
      <c r="E174" s="160" t="s">
        <v>33</v>
      </c>
      <c r="F174" s="160"/>
      <c r="G174" s="160" t="s">
        <v>34</v>
      </c>
      <c r="H174" s="160"/>
      <c r="I174" s="160" t="s">
        <v>35</v>
      </c>
      <c r="J174" s="160"/>
      <c r="K174" s="154"/>
      <c r="L174" s="154"/>
      <c r="M174" s="154"/>
      <c r="N174" s="154"/>
      <c r="O174" s="160" t="s">
        <v>93</v>
      </c>
      <c r="P174" s="166"/>
    </row>
    <row r="175" spans="1:16" ht="30" customHeight="1" thickBot="1">
      <c r="A175" s="156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>
        <f>賃金集計表!V21</f>
        <v>0</v>
      </c>
      <c r="P175" s="158"/>
    </row>
    <row r="176" spans="1:16" ht="9" customHeight="1" thickBo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</row>
    <row r="177" spans="1:20" ht="21.75" customHeight="1" thickTop="1">
      <c r="A177" s="169" t="s">
        <v>36</v>
      </c>
      <c r="B177" s="170"/>
      <c r="C177" s="170"/>
      <c r="D177" s="170" t="s">
        <v>37</v>
      </c>
      <c r="E177" s="170"/>
      <c r="F177" s="170"/>
      <c r="G177" s="170" t="s">
        <v>38</v>
      </c>
      <c r="H177" s="170"/>
      <c r="I177" s="171"/>
      <c r="J177" s="140"/>
      <c r="K177" s="172" t="s">
        <v>39</v>
      </c>
      <c r="L177" s="173"/>
      <c r="M177" s="173"/>
      <c r="N177" s="173"/>
      <c r="O177" s="173"/>
      <c r="P177" s="173"/>
    </row>
    <row r="178" spans="1:20" ht="30" customHeight="1" thickBot="1">
      <c r="A178" s="174">
        <f>SUM(A172:P172)</f>
        <v>16000</v>
      </c>
      <c r="B178" s="175"/>
      <c r="C178" s="175"/>
      <c r="D178" s="176">
        <f>SUM(A175:P175)</f>
        <v>0</v>
      </c>
      <c r="E178" s="175"/>
      <c r="F178" s="175"/>
      <c r="G178" s="176">
        <f>A178-D178</f>
        <v>16000</v>
      </c>
      <c r="H178" s="175"/>
      <c r="I178" s="177"/>
      <c r="J178" s="56"/>
      <c r="K178" s="178" t="s">
        <v>40</v>
      </c>
      <c r="L178" s="179"/>
      <c r="M178" s="179"/>
      <c r="N178" s="179"/>
      <c r="O178" s="179"/>
      <c r="P178" s="179"/>
    </row>
    <row r="179" spans="1:20" ht="14.25" thickTop="1"/>
    <row r="181" spans="1:20" ht="30" customHeight="1">
      <c r="A181" s="162" t="s">
        <v>23</v>
      </c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3" t="s">
        <v>24</v>
      </c>
      <c r="N181" s="163"/>
      <c r="O181" s="163"/>
      <c r="P181" s="163"/>
    </row>
    <row r="182" spans="1:20" ht="14.25" thickBot="1"/>
    <row r="183" spans="1:20" ht="21.75" customHeight="1">
      <c r="A183" s="159" t="s">
        <v>25</v>
      </c>
      <c r="B183" s="160"/>
      <c r="C183" s="187" t="str">
        <f>賃金集計表!A22</f>
        <v>柏木　憲太</v>
      </c>
      <c r="D183" s="188"/>
      <c r="E183" s="188"/>
      <c r="F183" s="188"/>
      <c r="G183" s="191" t="s">
        <v>101</v>
      </c>
      <c r="H183" s="160" t="s">
        <v>26</v>
      </c>
      <c r="I183" s="160"/>
      <c r="J183" s="160"/>
      <c r="K183" s="160" t="s">
        <v>27</v>
      </c>
      <c r="L183" s="160"/>
      <c r="M183" s="160"/>
      <c r="N183" s="160" t="s">
        <v>28</v>
      </c>
      <c r="O183" s="160"/>
      <c r="P183" s="166"/>
    </row>
    <row r="184" spans="1:20" ht="21.75" customHeight="1" thickBot="1">
      <c r="A184" s="164"/>
      <c r="B184" s="165"/>
      <c r="C184" s="189"/>
      <c r="D184" s="190"/>
      <c r="E184" s="190"/>
      <c r="F184" s="190"/>
      <c r="G184" s="192"/>
      <c r="H184" s="167">
        <f>賃金集計表!B22</f>
        <v>23</v>
      </c>
      <c r="I184" s="167"/>
      <c r="J184" s="167"/>
      <c r="K184" s="184"/>
      <c r="L184" s="167"/>
      <c r="M184" s="167"/>
      <c r="N184" s="167"/>
      <c r="O184" s="167"/>
      <c r="P184" s="168"/>
    </row>
    <row r="185" spans="1:20" ht="9" customHeight="1" thickBo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</row>
    <row r="186" spans="1:20" ht="21.75" customHeight="1">
      <c r="A186" s="159" t="s">
        <v>29</v>
      </c>
      <c r="B186" s="160"/>
      <c r="C186" s="161" t="s">
        <v>28</v>
      </c>
      <c r="D186" s="161"/>
      <c r="E186" s="160"/>
      <c r="F186" s="160"/>
      <c r="G186" s="160"/>
      <c r="H186" s="160"/>
      <c r="I186" s="160" t="s">
        <v>30</v>
      </c>
      <c r="J186" s="160"/>
      <c r="K186" s="154"/>
      <c r="L186" s="154"/>
      <c r="M186" s="154"/>
      <c r="N186" s="154"/>
      <c r="O186" s="154"/>
      <c r="P186" s="155"/>
      <c r="R186" s="65"/>
      <c r="T186" s="65"/>
    </row>
    <row r="187" spans="1:20" ht="30" customHeight="1" thickBot="1">
      <c r="A187" s="156">
        <f>賃金集計表!H22</f>
        <v>34500</v>
      </c>
      <c r="B187" s="157"/>
      <c r="C187" s="157"/>
      <c r="D187" s="157"/>
      <c r="E187" s="157"/>
      <c r="F187" s="157"/>
      <c r="G187" s="157"/>
      <c r="H187" s="157"/>
      <c r="I187" s="157">
        <f>賃金集計表!L22</f>
        <v>5000</v>
      </c>
      <c r="J187" s="157"/>
      <c r="K187" s="157"/>
      <c r="L187" s="157"/>
      <c r="M187" s="157"/>
      <c r="N187" s="157"/>
      <c r="O187" s="157"/>
      <c r="P187" s="158"/>
    </row>
    <row r="188" spans="1:20" ht="9" customHeight="1" thickBo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</row>
    <row r="189" spans="1:20" ht="21.75" customHeight="1">
      <c r="A189" s="159" t="s">
        <v>31</v>
      </c>
      <c r="B189" s="160"/>
      <c r="C189" s="161" t="s">
        <v>32</v>
      </c>
      <c r="D189" s="161"/>
      <c r="E189" s="160" t="s">
        <v>33</v>
      </c>
      <c r="F189" s="160"/>
      <c r="G189" s="160" t="s">
        <v>34</v>
      </c>
      <c r="H189" s="160"/>
      <c r="I189" s="160" t="s">
        <v>35</v>
      </c>
      <c r="J189" s="160"/>
      <c r="K189" s="154"/>
      <c r="L189" s="154"/>
      <c r="M189" s="154"/>
      <c r="N189" s="154"/>
      <c r="O189" s="160" t="s">
        <v>93</v>
      </c>
      <c r="P189" s="166"/>
    </row>
    <row r="190" spans="1:20" ht="30" customHeight="1" thickBot="1">
      <c r="A190" s="156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>
        <f>賃金集計表!V22</f>
        <v>8050</v>
      </c>
      <c r="P190" s="158"/>
    </row>
    <row r="191" spans="1:20" ht="9" customHeight="1" thickBo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</row>
    <row r="192" spans="1:20" ht="21.75" customHeight="1" thickTop="1">
      <c r="A192" s="169" t="s">
        <v>36</v>
      </c>
      <c r="B192" s="170"/>
      <c r="C192" s="170"/>
      <c r="D192" s="170" t="s">
        <v>37</v>
      </c>
      <c r="E192" s="170"/>
      <c r="F192" s="170"/>
      <c r="G192" s="170" t="s">
        <v>38</v>
      </c>
      <c r="H192" s="170"/>
      <c r="I192" s="171"/>
      <c r="J192" s="140"/>
      <c r="K192" s="172" t="s">
        <v>39</v>
      </c>
      <c r="L192" s="173"/>
      <c r="M192" s="173"/>
      <c r="N192" s="173"/>
      <c r="O192" s="173"/>
      <c r="P192" s="173"/>
    </row>
    <row r="193" spans="1:16" ht="30" customHeight="1" thickBot="1">
      <c r="A193" s="174">
        <f>SUM(A187:P187)</f>
        <v>39500</v>
      </c>
      <c r="B193" s="175"/>
      <c r="C193" s="175"/>
      <c r="D193" s="176">
        <f>SUM(A190:P190)</f>
        <v>8050</v>
      </c>
      <c r="E193" s="175"/>
      <c r="F193" s="175"/>
      <c r="G193" s="176">
        <f>A193-D193</f>
        <v>31450</v>
      </c>
      <c r="H193" s="175"/>
      <c r="I193" s="177"/>
      <c r="J193" s="56"/>
      <c r="K193" s="178" t="s">
        <v>40</v>
      </c>
      <c r="L193" s="179"/>
      <c r="M193" s="179"/>
      <c r="N193" s="179"/>
      <c r="O193" s="179"/>
      <c r="P193" s="179"/>
    </row>
    <row r="194" spans="1:16" ht="14.25" thickTop="1"/>
    <row r="196" spans="1:16" ht="30" customHeight="1">
      <c r="A196" s="180" t="s">
        <v>23</v>
      </c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1" t="s">
        <v>24</v>
      </c>
      <c r="N196" s="181"/>
      <c r="O196" s="181"/>
      <c r="P196" s="181"/>
    </row>
    <row r="197" spans="1:16" ht="14.25" thickBo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</row>
    <row r="198" spans="1:16" ht="21.75" customHeight="1">
      <c r="A198" s="159" t="s">
        <v>25</v>
      </c>
      <c r="B198" s="160"/>
      <c r="C198" s="187" t="str">
        <f>賃金集計表!A23</f>
        <v>大元裕美子</v>
      </c>
      <c r="D198" s="188"/>
      <c r="E198" s="188"/>
      <c r="F198" s="188"/>
      <c r="G198" s="191" t="s">
        <v>101</v>
      </c>
      <c r="H198" s="160" t="s">
        <v>26</v>
      </c>
      <c r="I198" s="160"/>
      <c r="J198" s="160"/>
      <c r="K198" s="160" t="s">
        <v>27</v>
      </c>
      <c r="L198" s="160"/>
      <c r="M198" s="160"/>
      <c r="N198" s="160" t="s">
        <v>28</v>
      </c>
      <c r="O198" s="160"/>
      <c r="P198" s="166"/>
    </row>
    <row r="199" spans="1:16" ht="21.75" customHeight="1" thickBot="1">
      <c r="A199" s="164"/>
      <c r="B199" s="165"/>
      <c r="C199" s="189"/>
      <c r="D199" s="190"/>
      <c r="E199" s="190"/>
      <c r="F199" s="190"/>
      <c r="G199" s="192"/>
      <c r="H199" s="167">
        <f>賃金集計表!B23</f>
        <v>23</v>
      </c>
      <c r="I199" s="167"/>
      <c r="J199" s="167"/>
      <c r="K199" s="185"/>
      <c r="L199" s="167"/>
      <c r="M199" s="167"/>
      <c r="N199" s="167"/>
      <c r="O199" s="167"/>
      <c r="P199" s="168"/>
    </row>
    <row r="200" spans="1:16" ht="9" customHeight="1" thickBo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</row>
    <row r="201" spans="1:16" ht="21.75" customHeight="1">
      <c r="A201" s="159" t="s">
        <v>29</v>
      </c>
      <c r="B201" s="160"/>
      <c r="C201" s="161" t="s">
        <v>28</v>
      </c>
      <c r="D201" s="161"/>
      <c r="E201" s="160"/>
      <c r="F201" s="160"/>
      <c r="G201" s="160"/>
      <c r="H201" s="160"/>
      <c r="I201" s="160" t="s">
        <v>30</v>
      </c>
      <c r="J201" s="160"/>
      <c r="K201" s="154"/>
      <c r="L201" s="154"/>
      <c r="M201" s="154"/>
      <c r="N201" s="154"/>
      <c r="O201" s="154"/>
      <c r="P201" s="155"/>
    </row>
    <row r="202" spans="1:16" ht="30" customHeight="1" thickBot="1">
      <c r="A202" s="156">
        <f>賃金集計表!H23</f>
        <v>23000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8"/>
    </row>
    <row r="203" spans="1:16" ht="9" customHeight="1" thickBo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</row>
    <row r="204" spans="1:16" ht="21.75" customHeight="1">
      <c r="A204" s="159" t="s">
        <v>31</v>
      </c>
      <c r="B204" s="160"/>
      <c r="C204" s="161" t="s">
        <v>32</v>
      </c>
      <c r="D204" s="161"/>
      <c r="E204" s="160" t="s">
        <v>33</v>
      </c>
      <c r="F204" s="160"/>
      <c r="G204" s="160" t="s">
        <v>34</v>
      </c>
      <c r="H204" s="160"/>
      <c r="I204" s="160" t="s">
        <v>35</v>
      </c>
      <c r="J204" s="160"/>
      <c r="K204" s="154"/>
      <c r="L204" s="154"/>
      <c r="M204" s="154"/>
      <c r="N204" s="154"/>
      <c r="O204" s="160" t="s">
        <v>93</v>
      </c>
      <c r="P204" s="166"/>
    </row>
    <row r="205" spans="1:16" ht="30" customHeight="1" thickBot="1">
      <c r="A205" s="156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>
        <f>賃金集計表!V23</f>
        <v>350</v>
      </c>
      <c r="P205" s="158"/>
    </row>
    <row r="206" spans="1:16" ht="9" customHeight="1" thickBo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</row>
    <row r="207" spans="1:16" ht="21.75" customHeight="1" thickTop="1">
      <c r="A207" s="169" t="s">
        <v>36</v>
      </c>
      <c r="B207" s="170"/>
      <c r="C207" s="170"/>
      <c r="D207" s="170" t="s">
        <v>37</v>
      </c>
      <c r="E207" s="170"/>
      <c r="F207" s="170"/>
      <c r="G207" s="170" t="s">
        <v>38</v>
      </c>
      <c r="H207" s="170"/>
      <c r="I207" s="171"/>
      <c r="J207" s="140"/>
      <c r="K207" s="172" t="s">
        <v>39</v>
      </c>
      <c r="L207" s="182"/>
      <c r="M207" s="182"/>
      <c r="N207" s="182"/>
      <c r="O207" s="182"/>
      <c r="P207" s="182"/>
    </row>
    <row r="208" spans="1:16" ht="30" customHeight="1" thickBot="1">
      <c r="A208" s="174">
        <f>SUM(A202:P202)</f>
        <v>23000</v>
      </c>
      <c r="B208" s="175"/>
      <c r="C208" s="175"/>
      <c r="D208" s="176">
        <f>SUM(A205:P205)</f>
        <v>350</v>
      </c>
      <c r="E208" s="175"/>
      <c r="F208" s="175"/>
      <c r="G208" s="176">
        <f>A208-D208</f>
        <v>22650</v>
      </c>
      <c r="H208" s="175"/>
      <c r="I208" s="177"/>
      <c r="J208" s="56"/>
      <c r="K208" s="178" t="s">
        <v>40</v>
      </c>
      <c r="L208" s="183"/>
      <c r="M208" s="183"/>
      <c r="N208" s="183"/>
      <c r="O208" s="183"/>
      <c r="P208" s="183"/>
    </row>
    <row r="209" spans="1:16" ht="14.25" thickTop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</row>
    <row r="210" spans="1:16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</row>
    <row r="211" spans="1:16" ht="30" customHeight="1">
      <c r="A211" s="162" t="s">
        <v>23</v>
      </c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3" t="s">
        <v>24</v>
      </c>
      <c r="N211" s="163"/>
      <c r="O211" s="163"/>
      <c r="P211" s="163"/>
    </row>
    <row r="212" spans="1:16" ht="14.25" thickBot="1"/>
    <row r="213" spans="1:16" ht="21.75" customHeight="1">
      <c r="A213" s="159" t="s">
        <v>25</v>
      </c>
      <c r="B213" s="160"/>
      <c r="C213" s="187" t="str">
        <f>賃金集計表!A24</f>
        <v>倉谷　円</v>
      </c>
      <c r="D213" s="188"/>
      <c r="E213" s="188"/>
      <c r="F213" s="188"/>
      <c r="G213" s="191" t="s">
        <v>101</v>
      </c>
      <c r="H213" s="160" t="s">
        <v>26</v>
      </c>
      <c r="I213" s="160"/>
      <c r="J213" s="160"/>
      <c r="K213" s="160" t="s">
        <v>27</v>
      </c>
      <c r="L213" s="160"/>
      <c r="M213" s="160"/>
      <c r="N213" s="160" t="s">
        <v>28</v>
      </c>
      <c r="O213" s="160"/>
      <c r="P213" s="166"/>
    </row>
    <row r="214" spans="1:16" ht="21.75" customHeight="1" thickBot="1">
      <c r="A214" s="164"/>
      <c r="B214" s="165"/>
      <c r="C214" s="189"/>
      <c r="D214" s="190"/>
      <c r="E214" s="190"/>
      <c r="F214" s="190"/>
      <c r="G214" s="192"/>
      <c r="H214" s="167">
        <f>賃金集計表!B24</f>
        <v>13</v>
      </c>
      <c r="I214" s="167"/>
      <c r="J214" s="167"/>
      <c r="K214" s="167"/>
      <c r="L214" s="167"/>
      <c r="M214" s="167"/>
      <c r="N214" s="167"/>
      <c r="O214" s="167"/>
      <c r="P214" s="168"/>
    </row>
    <row r="215" spans="1:16" ht="9" customHeight="1" thickBo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</row>
    <row r="216" spans="1:16" ht="21.75" customHeight="1">
      <c r="A216" s="159" t="s">
        <v>29</v>
      </c>
      <c r="B216" s="160"/>
      <c r="C216" s="161" t="s">
        <v>28</v>
      </c>
      <c r="D216" s="161"/>
      <c r="E216" s="160"/>
      <c r="F216" s="160"/>
      <c r="G216" s="160"/>
      <c r="H216" s="160"/>
      <c r="I216" s="160" t="s">
        <v>30</v>
      </c>
      <c r="J216" s="160"/>
      <c r="K216" s="154"/>
      <c r="L216" s="154"/>
      <c r="M216" s="154"/>
      <c r="N216" s="154"/>
      <c r="O216" s="154"/>
      <c r="P216" s="155"/>
    </row>
    <row r="217" spans="1:16" ht="30" customHeight="1" thickBot="1">
      <c r="A217" s="156">
        <f>賃金集計表!H24</f>
        <v>13000</v>
      </c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8"/>
    </row>
    <row r="218" spans="1:16" ht="9" customHeight="1" thickBo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</row>
    <row r="219" spans="1:16" ht="21.75" customHeight="1">
      <c r="A219" s="159" t="s">
        <v>31</v>
      </c>
      <c r="B219" s="160"/>
      <c r="C219" s="161" t="s">
        <v>32</v>
      </c>
      <c r="D219" s="161"/>
      <c r="E219" s="160" t="s">
        <v>33</v>
      </c>
      <c r="F219" s="160"/>
      <c r="G219" s="160" t="s">
        <v>34</v>
      </c>
      <c r="H219" s="160"/>
      <c r="I219" s="160" t="s">
        <v>35</v>
      </c>
      <c r="J219" s="160"/>
      <c r="K219" s="154"/>
      <c r="L219" s="154"/>
      <c r="M219" s="154"/>
      <c r="N219" s="154"/>
      <c r="O219" s="160" t="s">
        <v>93</v>
      </c>
      <c r="P219" s="166"/>
    </row>
    <row r="220" spans="1:16" ht="30" customHeight="1" thickBot="1">
      <c r="A220" s="156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8"/>
    </row>
    <row r="221" spans="1:16" ht="9" customHeight="1" thickBo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</row>
    <row r="222" spans="1:16" ht="21.75" customHeight="1" thickTop="1">
      <c r="A222" s="169" t="s">
        <v>36</v>
      </c>
      <c r="B222" s="170"/>
      <c r="C222" s="170"/>
      <c r="D222" s="170" t="s">
        <v>37</v>
      </c>
      <c r="E222" s="170"/>
      <c r="F222" s="170"/>
      <c r="G222" s="170" t="s">
        <v>38</v>
      </c>
      <c r="H222" s="170"/>
      <c r="I222" s="171"/>
      <c r="J222" s="140"/>
      <c r="K222" s="172" t="s">
        <v>39</v>
      </c>
      <c r="L222" s="173"/>
      <c r="M222" s="173"/>
      <c r="N222" s="173"/>
      <c r="O222" s="173"/>
      <c r="P222" s="173"/>
    </row>
    <row r="223" spans="1:16" ht="30" customHeight="1" thickBot="1">
      <c r="A223" s="174">
        <f>SUM(A217:P217)</f>
        <v>13000</v>
      </c>
      <c r="B223" s="175"/>
      <c r="C223" s="175"/>
      <c r="D223" s="176">
        <f>SUM(A220:P220)</f>
        <v>0</v>
      </c>
      <c r="E223" s="175"/>
      <c r="F223" s="175"/>
      <c r="G223" s="176">
        <f>A223-D223</f>
        <v>13000</v>
      </c>
      <c r="H223" s="175"/>
      <c r="I223" s="177"/>
      <c r="J223" s="56"/>
      <c r="K223" s="178" t="s">
        <v>40</v>
      </c>
      <c r="L223" s="179"/>
      <c r="M223" s="179"/>
      <c r="N223" s="179"/>
      <c r="O223" s="179"/>
      <c r="P223" s="179"/>
    </row>
    <row r="224" spans="1:16" ht="14.25" thickTop="1"/>
    <row r="226" spans="1:20" ht="30" customHeight="1">
      <c r="A226" s="162" t="s">
        <v>23</v>
      </c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3" t="s">
        <v>24</v>
      </c>
      <c r="N226" s="163"/>
      <c r="O226" s="163"/>
      <c r="P226" s="163"/>
    </row>
    <row r="227" spans="1:20" ht="14.25" thickBot="1"/>
    <row r="228" spans="1:20" ht="21.75" customHeight="1">
      <c r="A228" s="159" t="s">
        <v>25</v>
      </c>
      <c r="B228" s="160"/>
      <c r="C228" s="187" t="str">
        <f>賃金集計表!A25</f>
        <v>葛籠　沙葵</v>
      </c>
      <c r="D228" s="188"/>
      <c r="E228" s="188"/>
      <c r="F228" s="188"/>
      <c r="G228" s="191" t="s">
        <v>101</v>
      </c>
      <c r="H228" s="160" t="s">
        <v>26</v>
      </c>
      <c r="I228" s="160"/>
      <c r="J228" s="160"/>
      <c r="K228" s="160" t="s">
        <v>27</v>
      </c>
      <c r="L228" s="160"/>
      <c r="M228" s="160"/>
      <c r="N228" s="160" t="s">
        <v>28</v>
      </c>
      <c r="O228" s="160"/>
      <c r="P228" s="166"/>
    </row>
    <row r="229" spans="1:20" ht="21.75" customHeight="1" thickBot="1">
      <c r="A229" s="164"/>
      <c r="B229" s="165"/>
      <c r="C229" s="189"/>
      <c r="D229" s="190"/>
      <c r="E229" s="190"/>
      <c r="F229" s="190"/>
      <c r="G229" s="192"/>
      <c r="H229" s="167">
        <f>賃金集計表!B25</f>
        <v>13</v>
      </c>
      <c r="I229" s="167"/>
      <c r="J229" s="167"/>
      <c r="K229" s="184"/>
      <c r="L229" s="167"/>
      <c r="M229" s="167"/>
      <c r="N229" s="167"/>
      <c r="O229" s="167"/>
      <c r="P229" s="168"/>
    </row>
    <row r="230" spans="1:20" ht="9" customHeight="1" thickBo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</row>
    <row r="231" spans="1:20" ht="21.75" customHeight="1">
      <c r="A231" s="159" t="s">
        <v>29</v>
      </c>
      <c r="B231" s="160"/>
      <c r="C231" s="161" t="s">
        <v>28</v>
      </c>
      <c r="D231" s="161"/>
      <c r="E231" s="160"/>
      <c r="F231" s="160"/>
      <c r="G231" s="160"/>
      <c r="H231" s="160"/>
      <c r="I231" s="160" t="s">
        <v>30</v>
      </c>
      <c r="J231" s="160"/>
      <c r="K231" s="154"/>
      <c r="L231" s="154"/>
      <c r="M231" s="154"/>
      <c r="N231" s="154"/>
      <c r="O231" s="154"/>
      <c r="P231" s="155"/>
      <c r="R231" s="65"/>
      <c r="T231" s="65"/>
    </row>
    <row r="232" spans="1:20" ht="30" customHeight="1" thickBot="1">
      <c r="A232" s="156">
        <f>賃金集計表!H25</f>
        <v>13000</v>
      </c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8"/>
    </row>
    <row r="233" spans="1:20" ht="9" customHeight="1" thickBo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</row>
    <row r="234" spans="1:20" ht="21.75" customHeight="1">
      <c r="A234" s="159" t="s">
        <v>31</v>
      </c>
      <c r="B234" s="160"/>
      <c r="C234" s="161" t="s">
        <v>32</v>
      </c>
      <c r="D234" s="161"/>
      <c r="E234" s="160" t="s">
        <v>33</v>
      </c>
      <c r="F234" s="160"/>
      <c r="G234" s="160" t="s">
        <v>34</v>
      </c>
      <c r="H234" s="160"/>
      <c r="I234" s="160" t="s">
        <v>35</v>
      </c>
      <c r="J234" s="160"/>
      <c r="K234" s="154"/>
      <c r="L234" s="154"/>
      <c r="M234" s="154"/>
      <c r="N234" s="154"/>
      <c r="O234" s="160" t="s">
        <v>93</v>
      </c>
      <c r="P234" s="166"/>
    </row>
    <row r="235" spans="1:20" ht="30" customHeight="1" thickBot="1">
      <c r="A235" s="156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8"/>
    </row>
    <row r="236" spans="1:20" ht="9" customHeight="1" thickBo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</row>
    <row r="237" spans="1:20" ht="21.75" customHeight="1" thickTop="1">
      <c r="A237" s="169" t="s">
        <v>36</v>
      </c>
      <c r="B237" s="170"/>
      <c r="C237" s="170"/>
      <c r="D237" s="170" t="s">
        <v>37</v>
      </c>
      <c r="E237" s="170"/>
      <c r="F237" s="170"/>
      <c r="G237" s="170" t="s">
        <v>38</v>
      </c>
      <c r="H237" s="170"/>
      <c r="I237" s="171"/>
      <c r="J237" s="140"/>
      <c r="K237" s="172" t="s">
        <v>39</v>
      </c>
      <c r="L237" s="173"/>
      <c r="M237" s="173"/>
      <c r="N237" s="173"/>
      <c r="O237" s="173"/>
      <c r="P237" s="173"/>
    </row>
    <row r="238" spans="1:20" ht="30" customHeight="1" thickBot="1">
      <c r="A238" s="174">
        <f>SUM(A232:P232)</f>
        <v>13000</v>
      </c>
      <c r="B238" s="175"/>
      <c r="C238" s="175"/>
      <c r="D238" s="176">
        <f>SUM(A235:P235)</f>
        <v>0</v>
      </c>
      <c r="E238" s="175"/>
      <c r="F238" s="175"/>
      <c r="G238" s="176">
        <f>A238-D238</f>
        <v>13000</v>
      </c>
      <c r="H238" s="175"/>
      <c r="I238" s="177"/>
      <c r="J238" s="56"/>
      <c r="K238" s="178" t="s">
        <v>40</v>
      </c>
      <c r="L238" s="179"/>
      <c r="M238" s="179"/>
      <c r="N238" s="179"/>
      <c r="O238" s="179"/>
      <c r="P238" s="179"/>
    </row>
    <row r="239" spans="1:20" ht="14.25" thickTop="1"/>
    <row r="241" spans="1:16" ht="30" customHeight="1">
      <c r="A241" s="180" t="s">
        <v>23</v>
      </c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1" t="s">
        <v>24</v>
      </c>
      <c r="N241" s="181"/>
      <c r="O241" s="181"/>
      <c r="P241" s="181"/>
    </row>
    <row r="242" spans="1:16" ht="14.25" thickBo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</row>
    <row r="243" spans="1:16" ht="21.75" customHeight="1">
      <c r="A243" s="159" t="s">
        <v>25</v>
      </c>
      <c r="B243" s="160"/>
      <c r="C243" s="187"/>
      <c r="D243" s="188"/>
      <c r="E243" s="188"/>
      <c r="F243" s="188"/>
      <c r="G243" s="191" t="s">
        <v>101</v>
      </c>
      <c r="H243" s="160" t="s">
        <v>26</v>
      </c>
      <c r="I243" s="160"/>
      <c r="J243" s="160"/>
      <c r="K243" s="160" t="s">
        <v>27</v>
      </c>
      <c r="L243" s="160"/>
      <c r="M243" s="160"/>
      <c r="N243" s="160" t="s">
        <v>28</v>
      </c>
      <c r="O243" s="160"/>
      <c r="P243" s="166"/>
    </row>
    <row r="244" spans="1:16" ht="21.75" customHeight="1" thickBot="1">
      <c r="A244" s="164"/>
      <c r="B244" s="165"/>
      <c r="C244" s="189"/>
      <c r="D244" s="190"/>
      <c r="E244" s="190"/>
      <c r="F244" s="190"/>
      <c r="G244" s="192"/>
      <c r="H244" s="167">
        <f>'3月分'!AH202</f>
        <v>0</v>
      </c>
      <c r="I244" s="167"/>
      <c r="J244" s="167"/>
      <c r="K244" s="185"/>
      <c r="L244" s="167"/>
      <c r="M244" s="167"/>
      <c r="N244" s="167"/>
      <c r="O244" s="167"/>
      <c r="P244" s="168"/>
    </row>
    <row r="245" spans="1:16" ht="9" customHeight="1" thickBo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</row>
    <row r="246" spans="1:16" ht="21.75" customHeight="1">
      <c r="A246" s="159" t="s">
        <v>29</v>
      </c>
      <c r="B246" s="160"/>
      <c r="C246" s="161" t="s">
        <v>28</v>
      </c>
      <c r="D246" s="161"/>
      <c r="E246" s="160"/>
      <c r="F246" s="160"/>
      <c r="G246" s="160"/>
      <c r="H246" s="160"/>
      <c r="I246" s="160" t="s">
        <v>30</v>
      </c>
      <c r="J246" s="160"/>
      <c r="K246" s="154"/>
      <c r="L246" s="154"/>
      <c r="M246" s="154"/>
      <c r="N246" s="154"/>
      <c r="O246" s="154"/>
      <c r="P246" s="155"/>
    </row>
    <row r="247" spans="1:16" ht="30" customHeight="1" thickBot="1">
      <c r="A247" s="156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8"/>
    </row>
    <row r="248" spans="1:16" ht="9" customHeight="1" thickBo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</row>
    <row r="249" spans="1:16" ht="21.75" customHeight="1">
      <c r="A249" s="159" t="s">
        <v>31</v>
      </c>
      <c r="B249" s="160"/>
      <c r="C249" s="161" t="s">
        <v>32</v>
      </c>
      <c r="D249" s="161"/>
      <c r="E249" s="160" t="s">
        <v>33</v>
      </c>
      <c r="F249" s="160"/>
      <c r="G249" s="160" t="s">
        <v>34</v>
      </c>
      <c r="H249" s="160"/>
      <c r="I249" s="160" t="s">
        <v>35</v>
      </c>
      <c r="J249" s="160"/>
      <c r="K249" s="154"/>
      <c r="L249" s="154"/>
      <c r="M249" s="154"/>
      <c r="N249" s="154"/>
      <c r="O249" s="160" t="s">
        <v>93</v>
      </c>
      <c r="P249" s="166"/>
    </row>
    <row r="250" spans="1:16" ht="30" customHeight="1" thickBot="1">
      <c r="A250" s="156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8"/>
    </row>
    <row r="251" spans="1:16" ht="9" customHeight="1" thickBo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</row>
    <row r="252" spans="1:16" ht="21.75" customHeight="1" thickTop="1">
      <c r="A252" s="169" t="s">
        <v>36</v>
      </c>
      <c r="B252" s="170"/>
      <c r="C252" s="170"/>
      <c r="D252" s="170" t="s">
        <v>37</v>
      </c>
      <c r="E252" s="170"/>
      <c r="F252" s="170"/>
      <c r="G252" s="170" t="s">
        <v>38</v>
      </c>
      <c r="H252" s="170"/>
      <c r="I252" s="171"/>
      <c r="J252" s="140"/>
      <c r="K252" s="172" t="s">
        <v>39</v>
      </c>
      <c r="L252" s="182"/>
      <c r="M252" s="182"/>
      <c r="N252" s="182"/>
      <c r="O252" s="182"/>
      <c r="P252" s="182"/>
    </row>
    <row r="253" spans="1:16" ht="30" customHeight="1" thickBot="1">
      <c r="A253" s="174">
        <f>SUM(A247:P247)</f>
        <v>0</v>
      </c>
      <c r="B253" s="175"/>
      <c r="C253" s="175"/>
      <c r="D253" s="176">
        <f>SUM(A250:P250)</f>
        <v>0</v>
      </c>
      <c r="E253" s="175"/>
      <c r="F253" s="175"/>
      <c r="G253" s="176">
        <f>A253-D253</f>
        <v>0</v>
      </c>
      <c r="H253" s="175"/>
      <c r="I253" s="177"/>
      <c r="J253" s="56"/>
      <c r="K253" s="178" t="s">
        <v>40</v>
      </c>
      <c r="L253" s="183"/>
      <c r="M253" s="183"/>
      <c r="N253" s="183"/>
      <c r="O253" s="183"/>
      <c r="P253" s="183"/>
    </row>
    <row r="254" spans="1:16" ht="14.25" thickTop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</row>
    <row r="255" spans="1:16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</row>
    <row r="256" spans="1:16" ht="30" customHeight="1">
      <c r="A256" s="162" t="s">
        <v>23</v>
      </c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3" t="s">
        <v>24</v>
      </c>
      <c r="N256" s="163"/>
      <c r="O256" s="163"/>
      <c r="P256" s="163"/>
    </row>
    <row r="257" spans="1:16" ht="14.25" thickBot="1"/>
    <row r="258" spans="1:16" ht="21.75" customHeight="1">
      <c r="A258" s="159" t="s">
        <v>25</v>
      </c>
      <c r="B258" s="160"/>
      <c r="C258" s="187"/>
      <c r="D258" s="188"/>
      <c r="E258" s="188"/>
      <c r="F258" s="188"/>
      <c r="G258" s="191" t="s">
        <v>101</v>
      </c>
      <c r="H258" s="160" t="s">
        <v>26</v>
      </c>
      <c r="I258" s="160"/>
      <c r="J258" s="160"/>
      <c r="K258" s="160" t="s">
        <v>27</v>
      </c>
      <c r="L258" s="160"/>
      <c r="M258" s="160"/>
      <c r="N258" s="160" t="s">
        <v>28</v>
      </c>
      <c r="O258" s="160"/>
      <c r="P258" s="166"/>
    </row>
    <row r="259" spans="1:16" ht="21.75" customHeight="1" thickBot="1">
      <c r="A259" s="164"/>
      <c r="B259" s="165"/>
      <c r="C259" s="189"/>
      <c r="D259" s="190"/>
      <c r="E259" s="190"/>
      <c r="F259" s="190"/>
      <c r="G259" s="192"/>
      <c r="H259" s="167">
        <f>'3月分'!AH234</f>
        <v>0</v>
      </c>
      <c r="I259" s="167"/>
      <c r="J259" s="167"/>
      <c r="K259" s="167"/>
      <c r="L259" s="167"/>
      <c r="M259" s="167"/>
      <c r="N259" s="167"/>
      <c r="O259" s="167"/>
      <c r="P259" s="168"/>
    </row>
    <row r="260" spans="1:16" ht="9" customHeight="1" thickBo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</row>
    <row r="261" spans="1:16" ht="21.75" customHeight="1">
      <c r="A261" s="159" t="s">
        <v>29</v>
      </c>
      <c r="B261" s="160"/>
      <c r="C261" s="161" t="s">
        <v>28</v>
      </c>
      <c r="D261" s="161"/>
      <c r="E261" s="160"/>
      <c r="F261" s="160"/>
      <c r="G261" s="160"/>
      <c r="H261" s="160"/>
      <c r="I261" s="160" t="s">
        <v>30</v>
      </c>
      <c r="J261" s="160"/>
      <c r="K261" s="154"/>
      <c r="L261" s="154"/>
      <c r="M261" s="154"/>
      <c r="N261" s="154"/>
      <c r="O261" s="154"/>
      <c r="P261" s="155"/>
    </row>
    <row r="262" spans="1:16" ht="30" customHeight="1" thickBot="1">
      <c r="A262" s="156"/>
      <c r="B262" s="157"/>
      <c r="C262" s="157">
        <f>K259*S259</f>
        <v>0</v>
      </c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8"/>
    </row>
    <row r="263" spans="1:16" ht="9" customHeight="1" thickBo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</row>
    <row r="264" spans="1:16" ht="21.75" customHeight="1">
      <c r="A264" s="159" t="s">
        <v>31</v>
      </c>
      <c r="B264" s="160"/>
      <c r="C264" s="161" t="s">
        <v>32</v>
      </c>
      <c r="D264" s="161"/>
      <c r="E264" s="160" t="s">
        <v>33</v>
      </c>
      <c r="F264" s="160"/>
      <c r="G264" s="160" t="s">
        <v>34</v>
      </c>
      <c r="H264" s="160"/>
      <c r="I264" s="160" t="s">
        <v>35</v>
      </c>
      <c r="J264" s="160"/>
      <c r="K264" s="154"/>
      <c r="L264" s="154"/>
      <c r="M264" s="154"/>
      <c r="N264" s="154"/>
      <c r="O264" s="160" t="s">
        <v>93</v>
      </c>
      <c r="P264" s="166"/>
    </row>
    <row r="265" spans="1:16" ht="30" customHeight="1" thickBot="1">
      <c r="A265" s="156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8"/>
    </row>
    <row r="266" spans="1:16" ht="9" customHeight="1" thickBo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</row>
    <row r="267" spans="1:16" ht="21.75" customHeight="1" thickTop="1">
      <c r="A267" s="169" t="s">
        <v>36</v>
      </c>
      <c r="B267" s="170"/>
      <c r="C267" s="170"/>
      <c r="D267" s="170" t="s">
        <v>37</v>
      </c>
      <c r="E267" s="170"/>
      <c r="F267" s="170"/>
      <c r="G267" s="170" t="s">
        <v>38</v>
      </c>
      <c r="H267" s="170"/>
      <c r="I267" s="171"/>
      <c r="J267" s="140"/>
      <c r="K267" s="172" t="s">
        <v>39</v>
      </c>
      <c r="L267" s="173"/>
      <c r="M267" s="173"/>
      <c r="N267" s="173"/>
      <c r="O267" s="173"/>
      <c r="P267" s="173"/>
    </row>
    <row r="268" spans="1:16" ht="30" customHeight="1" thickBot="1">
      <c r="A268" s="174">
        <f>SUM(A262:P262)</f>
        <v>0</v>
      </c>
      <c r="B268" s="175"/>
      <c r="C268" s="175"/>
      <c r="D268" s="176">
        <f>SUM(A265:P265)</f>
        <v>0</v>
      </c>
      <c r="E268" s="175"/>
      <c r="F268" s="175"/>
      <c r="G268" s="176">
        <f>A268-D268</f>
        <v>0</v>
      </c>
      <c r="H268" s="175"/>
      <c r="I268" s="177"/>
      <c r="J268" s="56"/>
      <c r="K268" s="178" t="s">
        <v>40</v>
      </c>
      <c r="L268" s="179"/>
      <c r="M268" s="179"/>
      <c r="N268" s="179"/>
      <c r="O268" s="179"/>
      <c r="P268" s="179"/>
    </row>
    <row r="269" spans="1:16" ht="14.25" thickTop="1"/>
    <row r="271" spans="1:16" ht="30" customHeight="1">
      <c r="A271" s="162" t="s">
        <v>23</v>
      </c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3" t="s">
        <v>24</v>
      </c>
      <c r="N271" s="163"/>
      <c r="O271" s="163"/>
      <c r="P271" s="163"/>
    </row>
    <row r="272" spans="1:16" ht="14.25" thickBot="1"/>
    <row r="273" spans="1:20" ht="21.75" customHeight="1">
      <c r="A273" s="159" t="s">
        <v>25</v>
      </c>
      <c r="B273" s="160"/>
      <c r="C273" s="187" t="str">
        <f>賃金集計表!A29</f>
        <v>吉原　祐平</v>
      </c>
      <c r="D273" s="188"/>
      <c r="E273" s="188"/>
      <c r="F273" s="188"/>
      <c r="G273" s="191" t="s">
        <v>101</v>
      </c>
      <c r="H273" s="160" t="s">
        <v>26</v>
      </c>
      <c r="I273" s="160"/>
      <c r="J273" s="160"/>
      <c r="K273" s="160" t="s">
        <v>27</v>
      </c>
      <c r="L273" s="160"/>
      <c r="M273" s="160"/>
      <c r="N273" s="160" t="s">
        <v>28</v>
      </c>
      <c r="O273" s="160"/>
      <c r="P273" s="166"/>
    </row>
    <row r="274" spans="1:20" ht="21.75" customHeight="1" thickBot="1">
      <c r="A274" s="164"/>
      <c r="B274" s="165"/>
      <c r="C274" s="189"/>
      <c r="D274" s="190"/>
      <c r="E274" s="190"/>
      <c r="F274" s="190"/>
      <c r="G274" s="192"/>
      <c r="H274" s="167">
        <f>賃金集計表!B29</f>
        <v>15</v>
      </c>
      <c r="I274" s="167"/>
      <c r="J274" s="167"/>
      <c r="K274" s="184"/>
      <c r="L274" s="167"/>
      <c r="M274" s="167"/>
      <c r="N274" s="167"/>
      <c r="O274" s="167"/>
      <c r="P274" s="168"/>
    </row>
    <row r="275" spans="1:20" ht="9" customHeight="1" thickBo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</row>
    <row r="276" spans="1:20" ht="21.75" customHeight="1">
      <c r="A276" s="159" t="s">
        <v>29</v>
      </c>
      <c r="B276" s="160"/>
      <c r="C276" s="161" t="s">
        <v>28</v>
      </c>
      <c r="D276" s="161"/>
      <c r="E276" s="160"/>
      <c r="F276" s="160"/>
      <c r="G276" s="160"/>
      <c r="H276" s="160"/>
      <c r="I276" s="160" t="s">
        <v>30</v>
      </c>
      <c r="J276" s="160"/>
      <c r="K276" s="154"/>
      <c r="L276" s="154"/>
      <c r="M276" s="154"/>
      <c r="N276" s="154"/>
      <c r="O276" s="154"/>
      <c r="P276" s="155"/>
      <c r="R276" s="65"/>
      <c r="T276" s="65"/>
    </row>
    <row r="277" spans="1:20" ht="30" customHeight="1" thickBot="1">
      <c r="A277" s="156">
        <f>賃金集計表!H29</f>
        <v>15000</v>
      </c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8"/>
    </row>
    <row r="278" spans="1:20" ht="9" customHeight="1" thickBo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</row>
    <row r="279" spans="1:20" ht="21.75" customHeight="1">
      <c r="A279" s="159" t="s">
        <v>31</v>
      </c>
      <c r="B279" s="160"/>
      <c r="C279" s="161" t="s">
        <v>32</v>
      </c>
      <c r="D279" s="161"/>
      <c r="E279" s="160" t="s">
        <v>33</v>
      </c>
      <c r="F279" s="160"/>
      <c r="G279" s="160" t="s">
        <v>34</v>
      </c>
      <c r="H279" s="160"/>
      <c r="I279" s="160" t="s">
        <v>35</v>
      </c>
      <c r="J279" s="160"/>
      <c r="K279" s="154"/>
      <c r="L279" s="154"/>
      <c r="M279" s="154"/>
      <c r="N279" s="154"/>
      <c r="O279" s="160" t="s">
        <v>93</v>
      </c>
      <c r="P279" s="166"/>
    </row>
    <row r="280" spans="1:20" ht="30" customHeight="1" thickBot="1">
      <c r="A280" s="156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8"/>
    </row>
    <row r="281" spans="1:20" ht="9" customHeight="1" thickBo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</row>
    <row r="282" spans="1:20" ht="21.75" customHeight="1" thickTop="1">
      <c r="A282" s="169" t="s">
        <v>36</v>
      </c>
      <c r="B282" s="170"/>
      <c r="C282" s="170"/>
      <c r="D282" s="170" t="s">
        <v>37</v>
      </c>
      <c r="E282" s="170"/>
      <c r="F282" s="170"/>
      <c r="G282" s="170" t="s">
        <v>38</v>
      </c>
      <c r="H282" s="170"/>
      <c r="I282" s="171"/>
      <c r="J282" s="140"/>
      <c r="K282" s="172" t="s">
        <v>39</v>
      </c>
      <c r="L282" s="173"/>
      <c r="M282" s="173"/>
      <c r="N282" s="173"/>
      <c r="O282" s="173"/>
      <c r="P282" s="173"/>
    </row>
    <row r="283" spans="1:20" ht="30" customHeight="1" thickBot="1">
      <c r="A283" s="174">
        <f>SUM(A277:P277)</f>
        <v>15000</v>
      </c>
      <c r="B283" s="175"/>
      <c r="C283" s="175"/>
      <c r="D283" s="176">
        <f>SUM(A280:P280)</f>
        <v>0</v>
      </c>
      <c r="E283" s="175"/>
      <c r="F283" s="175"/>
      <c r="G283" s="176">
        <f>A283-D283</f>
        <v>15000</v>
      </c>
      <c r="H283" s="175"/>
      <c r="I283" s="177"/>
      <c r="J283" s="56"/>
      <c r="K283" s="178" t="s">
        <v>40</v>
      </c>
      <c r="L283" s="179"/>
      <c r="M283" s="179"/>
      <c r="N283" s="179"/>
      <c r="O283" s="179"/>
      <c r="P283" s="179"/>
    </row>
    <row r="284" spans="1:20" ht="14.25" thickTop="1"/>
    <row r="286" spans="1:20" ht="30" customHeight="1">
      <c r="A286" s="180" t="s">
        <v>23</v>
      </c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1" t="s">
        <v>24</v>
      </c>
      <c r="N286" s="181"/>
      <c r="O286" s="181"/>
      <c r="P286" s="181"/>
    </row>
    <row r="287" spans="1:20" ht="14.25" thickBo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</row>
    <row r="288" spans="1:20" ht="21.75" customHeight="1">
      <c r="A288" s="159" t="s">
        <v>25</v>
      </c>
      <c r="B288" s="160"/>
      <c r="C288" s="187" t="str">
        <f>賃金集計表!A30</f>
        <v>櫻武　隆一</v>
      </c>
      <c r="D288" s="188"/>
      <c r="E288" s="188"/>
      <c r="F288" s="188"/>
      <c r="G288" s="191" t="s">
        <v>101</v>
      </c>
      <c r="H288" s="160" t="s">
        <v>26</v>
      </c>
      <c r="I288" s="160"/>
      <c r="J288" s="160"/>
      <c r="K288" s="160" t="s">
        <v>27</v>
      </c>
      <c r="L288" s="160"/>
      <c r="M288" s="160"/>
      <c r="N288" s="160" t="s">
        <v>28</v>
      </c>
      <c r="O288" s="160"/>
      <c r="P288" s="166"/>
    </row>
    <row r="289" spans="1:16" ht="21.75" customHeight="1" thickBot="1">
      <c r="A289" s="164"/>
      <c r="B289" s="165"/>
      <c r="C289" s="189"/>
      <c r="D289" s="190"/>
      <c r="E289" s="190"/>
      <c r="F289" s="190"/>
      <c r="G289" s="192"/>
      <c r="H289" s="167">
        <f>賃金集計表!B30</f>
        <v>13</v>
      </c>
      <c r="I289" s="167"/>
      <c r="J289" s="167"/>
      <c r="K289" s="185"/>
      <c r="L289" s="167"/>
      <c r="M289" s="167"/>
      <c r="N289" s="167"/>
      <c r="O289" s="167"/>
      <c r="P289" s="168"/>
    </row>
    <row r="290" spans="1:16" ht="9" customHeight="1" thickBo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</row>
    <row r="291" spans="1:16" ht="21.75" customHeight="1">
      <c r="A291" s="159" t="s">
        <v>29</v>
      </c>
      <c r="B291" s="160"/>
      <c r="C291" s="161" t="s">
        <v>28</v>
      </c>
      <c r="D291" s="161"/>
      <c r="E291" s="160"/>
      <c r="F291" s="160"/>
      <c r="G291" s="160"/>
      <c r="H291" s="160"/>
      <c r="I291" s="160" t="s">
        <v>30</v>
      </c>
      <c r="J291" s="160"/>
      <c r="K291" s="154"/>
      <c r="L291" s="154"/>
      <c r="M291" s="154"/>
      <c r="N291" s="154"/>
      <c r="O291" s="154"/>
      <c r="P291" s="155"/>
    </row>
    <row r="292" spans="1:16" ht="30" customHeight="1" thickBot="1">
      <c r="A292" s="156">
        <f>賃金集計表!H30</f>
        <v>13000</v>
      </c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8"/>
    </row>
    <row r="293" spans="1:16" ht="9" customHeight="1" thickBo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</row>
    <row r="294" spans="1:16" ht="21.75" customHeight="1">
      <c r="A294" s="159" t="s">
        <v>31</v>
      </c>
      <c r="B294" s="160"/>
      <c r="C294" s="161" t="s">
        <v>32</v>
      </c>
      <c r="D294" s="161"/>
      <c r="E294" s="160" t="s">
        <v>33</v>
      </c>
      <c r="F294" s="160"/>
      <c r="G294" s="160" t="s">
        <v>34</v>
      </c>
      <c r="H294" s="160"/>
      <c r="I294" s="160" t="s">
        <v>35</v>
      </c>
      <c r="J294" s="160"/>
      <c r="K294" s="154"/>
      <c r="L294" s="154"/>
      <c r="M294" s="154"/>
      <c r="N294" s="154"/>
      <c r="O294" s="160" t="s">
        <v>93</v>
      </c>
      <c r="P294" s="166"/>
    </row>
    <row r="295" spans="1:16" ht="30" customHeight="1" thickBot="1">
      <c r="A295" s="156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8"/>
    </row>
    <row r="296" spans="1:16" ht="9" customHeight="1" thickBo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</row>
    <row r="297" spans="1:16" ht="21.75" customHeight="1" thickTop="1">
      <c r="A297" s="169" t="s">
        <v>36</v>
      </c>
      <c r="B297" s="170"/>
      <c r="C297" s="170"/>
      <c r="D297" s="170" t="s">
        <v>37</v>
      </c>
      <c r="E297" s="170"/>
      <c r="F297" s="170"/>
      <c r="G297" s="170" t="s">
        <v>38</v>
      </c>
      <c r="H297" s="170"/>
      <c r="I297" s="171"/>
      <c r="J297" s="140"/>
      <c r="K297" s="172" t="s">
        <v>39</v>
      </c>
      <c r="L297" s="182"/>
      <c r="M297" s="182"/>
      <c r="N297" s="182"/>
      <c r="O297" s="182"/>
      <c r="P297" s="182"/>
    </row>
    <row r="298" spans="1:16" ht="30" customHeight="1" thickBot="1">
      <c r="A298" s="174">
        <f>SUM(A292:P292)</f>
        <v>13000</v>
      </c>
      <c r="B298" s="175"/>
      <c r="C298" s="175"/>
      <c r="D298" s="176">
        <f>SUM(A295:P295)</f>
        <v>0</v>
      </c>
      <c r="E298" s="175"/>
      <c r="F298" s="175"/>
      <c r="G298" s="176">
        <f>A298-D298</f>
        <v>13000</v>
      </c>
      <c r="H298" s="175"/>
      <c r="I298" s="177"/>
      <c r="J298" s="56"/>
      <c r="K298" s="178" t="s">
        <v>40</v>
      </c>
      <c r="L298" s="183"/>
      <c r="M298" s="183"/>
      <c r="N298" s="183"/>
      <c r="O298" s="183"/>
      <c r="P298" s="183"/>
    </row>
    <row r="299" spans="1:16" ht="14.25" thickTop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</row>
    <row r="300" spans="1:16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</row>
    <row r="301" spans="1:16" ht="30" customHeight="1">
      <c r="A301" s="162" t="s">
        <v>23</v>
      </c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3" t="s">
        <v>24</v>
      </c>
      <c r="N301" s="163"/>
      <c r="O301" s="163"/>
      <c r="P301" s="163"/>
    </row>
    <row r="302" spans="1:16" ht="14.25" thickBot="1"/>
    <row r="303" spans="1:16" ht="21.75" customHeight="1">
      <c r="A303" s="159" t="s">
        <v>25</v>
      </c>
      <c r="B303" s="160"/>
      <c r="C303" s="187" t="str">
        <f>賃金集計表!A31</f>
        <v>佐藤　皓喜</v>
      </c>
      <c r="D303" s="188"/>
      <c r="E303" s="188"/>
      <c r="F303" s="188"/>
      <c r="G303" s="191" t="s">
        <v>101</v>
      </c>
      <c r="H303" s="160" t="s">
        <v>26</v>
      </c>
      <c r="I303" s="160"/>
      <c r="J303" s="160"/>
      <c r="K303" s="160" t="s">
        <v>27</v>
      </c>
      <c r="L303" s="160"/>
      <c r="M303" s="160"/>
      <c r="N303" s="160" t="s">
        <v>28</v>
      </c>
      <c r="O303" s="160"/>
      <c r="P303" s="166"/>
    </row>
    <row r="304" spans="1:16" ht="21.75" customHeight="1" thickBot="1">
      <c r="A304" s="164"/>
      <c r="B304" s="165"/>
      <c r="C304" s="189"/>
      <c r="D304" s="190"/>
      <c r="E304" s="190"/>
      <c r="F304" s="190"/>
      <c r="G304" s="192"/>
      <c r="H304" s="167">
        <f>賃金集計表!B31</f>
        <v>10</v>
      </c>
      <c r="I304" s="167"/>
      <c r="J304" s="167"/>
      <c r="K304" s="167"/>
      <c r="L304" s="167"/>
      <c r="M304" s="167"/>
      <c r="N304" s="167"/>
      <c r="O304" s="167"/>
      <c r="P304" s="168"/>
    </row>
    <row r="305" spans="1:16" ht="9" customHeight="1" thickBo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</row>
    <row r="306" spans="1:16" ht="21.75" customHeight="1">
      <c r="A306" s="159" t="s">
        <v>29</v>
      </c>
      <c r="B306" s="160"/>
      <c r="C306" s="161" t="s">
        <v>28</v>
      </c>
      <c r="D306" s="161"/>
      <c r="E306" s="160"/>
      <c r="F306" s="160"/>
      <c r="G306" s="160"/>
      <c r="H306" s="160"/>
      <c r="I306" s="160" t="s">
        <v>30</v>
      </c>
      <c r="J306" s="160"/>
      <c r="K306" s="154"/>
      <c r="L306" s="154"/>
      <c r="M306" s="154"/>
      <c r="N306" s="154"/>
      <c r="O306" s="154"/>
      <c r="P306" s="155"/>
    </row>
    <row r="307" spans="1:16" ht="30" customHeight="1" thickBot="1">
      <c r="A307" s="156">
        <f>賃金集計表!H31</f>
        <v>10000</v>
      </c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8"/>
    </row>
    <row r="308" spans="1:16" ht="9" customHeight="1" thickBo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</row>
    <row r="309" spans="1:16" ht="21.75" customHeight="1">
      <c r="A309" s="159" t="s">
        <v>31</v>
      </c>
      <c r="B309" s="160"/>
      <c r="C309" s="161" t="s">
        <v>32</v>
      </c>
      <c r="D309" s="161"/>
      <c r="E309" s="160" t="s">
        <v>33</v>
      </c>
      <c r="F309" s="160"/>
      <c r="G309" s="160" t="s">
        <v>34</v>
      </c>
      <c r="H309" s="160"/>
      <c r="I309" s="160" t="s">
        <v>35</v>
      </c>
      <c r="J309" s="160"/>
      <c r="K309" s="154"/>
      <c r="L309" s="154"/>
      <c r="M309" s="154"/>
      <c r="N309" s="154"/>
      <c r="O309" s="154"/>
      <c r="P309" s="155"/>
    </row>
    <row r="310" spans="1:16" ht="30" customHeight="1" thickBot="1">
      <c r="A310" s="156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8"/>
    </row>
    <row r="311" spans="1:16" ht="9" customHeight="1" thickBo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</row>
    <row r="312" spans="1:16" ht="21.75" customHeight="1" thickTop="1">
      <c r="A312" s="169" t="s">
        <v>36</v>
      </c>
      <c r="B312" s="170"/>
      <c r="C312" s="170"/>
      <c r="D312" s="170" t="s">
        <v>37</v>
      </c>
      <c r="E312" s="170"/>
      <c r="F312" s="170"/>
      <c r="G312" s="170" t="s">
        <v>38</v>
      </c>
      <c r="H312" s="170"/>
      <c r="I312" s="171"/>
      <c r="J312" s="140"/>
      <c r="K312" s="172" t="s">
        <v>39</v>
      </c>
      <c r="L312" s="173"/>
      <c r="M312" s="173"/>
      <c r="N312" s="173"/>
      <c r="O312" s="173"/>
      <c r="P312" s="173"/>
    </row>
    <row r="313" spans="1:16" ht="30" customHeight="1" thickBot="1">
      <c r="A313" s="174">
        <f>SUM(A307:P307)</f>
        <v>10000</v>
      </c>
      <c r="B313" s="175"/>
      <c r="C313" s="175"/>
      <c r="D313" s="176">
        <f>SUM(A310:P310)</f>
        <v>0</v>
      </c>
      <c r="E313" s="175"/>
      <c r="F313" s="175"/>
      <c r="G313" s="176">
        <f>A313-D313</f>
        <v>10000</v>
      </c>
      <c r="H313" s="175"/>
      <c r="I313" s="177"/>
      <c r="J313" s="56"/>
      <c r="K313" s="178" t="s">
        <v>40</v>
      </c>
      <c r="L313" s="179"/>
      <c r="M313" s="179"/>
      <c r="N313" s="179"/>
      <c r="O313" s="179"/>
      <c r="P313" s="179"/>
    </row>
    <row r="314" spans="1:16" ht="14.25" thickTop="1"/>
  </sheetData>
  <mergeCells count="1071">
    <mergeCell ref="A313:C313"/>
    <mergeCell ref="D313:F313"/>
    <mergeCell ref="G313:I313"/>
    <mergeCell ref="K313:P313"/>
    <mergeCell ref="G3:G4"/>
    <mergeCell ref="C3:F4"/>
    <mergeCell ref="C18:F19"/>
    <mergeCell ref="G18:G19"/>
    <mergeCell ref="C33:F34"/>
    <mergeCell ref="G33:G34"/>
    <mergeCell ref="C48:F49"/>
    <mergeCell ref="G48:G49"/>
    <mergeCell ref="C63:F64"/>
    <mergeCell ref="G63:G64"/>
    <mergeCell ref="C78:F79"/>
    <mergeCell ref="G78:G79"/>
    <mergeCell ref="C93:F94"/>
    <mergeCell ref="G93:G94"/>
    <mergeCell ref="C108:F109"/>
    <mergeCell ref="G108:G109"/>
    <mergeCell ref="C123:F124"/>
    <mergeCell ref="G123:G124"/>
    <mergeCell ref="C138:F139"/>
    <mergeCell ref="G138:G13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A312:C312"/>
    <mergeCell ref="D312:F312"/>
    <mergeCell ref="G312:I312"/>
    <mergeCell ref="K312:P312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A303:B304"/>
    <mergeCell ref="H303:J303"/>
    <mergeCell ref="K303:M303"/>
    <mergeCell ref="N303:P303"/>
    <mergeCell ref="H304:J304"/>
    <mergeCell ref="K304:M304"/>
    <mergeCell ref="N304:P304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C303:F304"/>
    <mergeCell ref="G303:G304"/>
    <mergeCell ref="A297:C297"/>
    <mergeCell ref="D297:F297"/>
    <mergeCell ref="G297:I297"/>
    <mergeCell ref="K297:P297"/>
    <mergeCell ref="A298:C298"/>
    <mergeCell ref="D298:F298"/>
    <mergeCell ref="G298:I298"/>
    <mergeCell ref="K298:P298"/>
    <mergeCell ref="A301:L301"/>
    <mergeCell ref="M301:P301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A283:C283"/>
    <mergeCell ref="D283:F283"/>
    <mergeCell ref="G283:I283"/>
    <mergeCell ref="K283:P283"/>
    <mergeCell ref="A286:L286"/>
    <mergeCell ref="M286:P286"/>
    <mergeCell ref="A288:B289"/>
    <mergeCell ref="H288:J288"/>
    <mergeCell ref="K288:M288"/>
    <mergeCell ref="N288:P288"/>
    <mergeCell ref="H289:J289"/>
    <mergeCell ref="K289:M289"/>
    <mergeCell ref="N289:P289"/>
    <mergeCell ref="C288:F289"/>
    <mergeCell ref="G288:G289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A282:C282"/>
    <mergeCell ref="D282:F282"/>
    <mergeCell ref="G282:I282"/>
    <mergeCell ref="K282:P282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A273:B274"/>
    <mergeCell ref="H273:J273"/>
    <mergeCell ref="K273:M273"/>
    <mergeCell ref="N273:P273"/>
    <mergeCell ref="H274:J274"/>
    <mergeCell ref="K274:M274"/>
    <mergeCell ref="N274:P274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C273:F274"/>
    <mergeCell ref="G273:G274"/>
    <mergeCell ref="A267:C267"/>
    <mergeCell ref="D267:F267"/>
    <mergeCell ref="G267:I267"/>
    <mergeCell ref="K267:P267"/>
    <mergeCell ref="A268:C268"/>
    <mergeCell ref="D268:F268"/>
    <mergeCell ref="G268:I268"/>
    <mergeCell ref="K268:P268"/>
    <mergeCell ref="A271:L271"/>
    <mergeCell ref="M271:P271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A253:C253"/>
    <mergeCell ref="D253:F253"/>
    <mergeCell ref="G253:I253"/>
    <mergeCell ref="K253:P253"/>
    <mergeCell ref="A256:L256"/>
    <mergeCell ref="M256:P256"/>
    <mergeCell ref="A258:B259"/>
    <mergeCell ref="H258:J258"/>
    <mergeCell ref="K258:M258"/>
    <mergeCell ref="N258:P258"/>
    <mergeCell ref="H259:J259"/>
    <mergeCell ref="K259:M259"/>
    <mergeCell ref="N259:P259"/>
    <mergeCell ref="C258:F259"/>
    <mergeCell ref="G258:G25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A252:C252"/>
    <mergeCell ref="D252:F252"/>
    <mergeCell ref="G252:I252"/>
    <mergeCell ref="K252:P252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A243:B244"/>
    <mergeCell ref="H243:J243"/>
    <mergeCell ref="K243:M243"/>
    <mergeCell ref="N243:P243"/>
    <mergeCell ref="H244:J244"/>
    <mergeCell ref="K244:M244"/>
    <mergeCell ref="N244:P244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C243:F244"/>
    <mergeCell ref="G243:G244"/>
    <mergeCell ref="A237:C237"/>
    <mergeCell ref="D237:F237"/>
    <mergeCell ref="G237:I237"/>
    <mergeCell ref="K237:P237"/>
    <mergeCell ref="A238:C238"/>
    <mergeCell ref="D238:F238"/>
    <mergeCell ref="G238:I238"/>
    <mergeCell ref="K238:P238"/>
    <mergeCell ref="A241:L241"/>
    <mergeCell ref="M241:P241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A223:C223"/>
    <mergeCell ref="D223:F223"/>
    <mergeCell ref="G223:I223"/>
    <mergeCell ref="K223:P223"/>
    <mergeCell ref="A226:L226"/>
    <mergeCell ref="M226:P226"/>
    <mergeCell ref="A228:B229"/>
    <mergeCell ref="H228:J228"/>
    <mergeCell ref="K228:M228"/>
    <mergeCell ref="N228:P228"/>
    <mergeCell ref="H229:J229"/>
    <mergeCell ref="K229:M229"/>
    <mergeCell ref="N229:P229"/>
    <mergeCell ref="C228:F229"/>
    <mergeCell ref="G228:G22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A222:C222"/>
    <mergeCell ref="D222:F222"/>
    <mergeCell ref="G222:I222"/>
    <mergeCell ref="K222:P222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A213:B214"/>
    <mergeCell ref="H213:J213"/>
    <mergeCell ref="K213:M213"/>
    <mergeCell ref="N213:P213"/>
    <mergeCell ref="H214:J214"/>
    <mergeCell ref="K214:M214"/>
    <mergeCell ref="N214:P214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C213:F214"/>
    <mergeCell ref="G213:G214"/>
    <mergeCell ref="A207:C207"/>
    <mergeCell ref="D207:F207"/>
    <mergeCell ref="G207:I207"/>
    <mergeCell ref="K207:P207"/>
    <mergeCell ref="A208:C208"/>
    <mergeCell ref="D208:F208"/>
    <mergeCell ref="G208:I208"/>
    <mergeCell ref="K208:P208"/>
    <mergeCell ref="A211:L211"/>
    <mergeCell ref="M211:P211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A193:C193"/>
    <mergeCell ref="D193:F193"/>
    <mergeCell ref="G193:I193"/>
    <mergeCell ref="K193:P193"/>
    <mergeCell ref="A196:L196"/>
    <mergeCell ref="M196:P196"/>
    <mergeCell ref="A198:B199"/>
    <mergeCell ref="H198:J198"/>
    <mergeCell ref="K198:M198"/>
    <mergeCell ref="N198:P198"/>
    <mergeCell ref="H199:J199"/>
    <mergeCell ref="K199:M199"/>
    <mergeCell ref="N199:P199"/>
    <mergeCell ref="C198:F199"/>
    <mergeCell ref="G198:G19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A192:C192"/>
    <mergeCell ref="D192:F192"/>
    <mergeCell ref="G192:I192"/>
    <mergeCell ref="K192:P192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A183:B184"/>
    <mergeCell ref="H183:J183"/>
    <mergeCell ref="K183:M183"/>
    <mergeCell ref="N183:P183"/>
    <mergeCell ref="H184:J184"/>
    <mergeCell ref="K184:M184"/>
    <mergeCell ref="N184:P184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C183:F184"/>
    <mergeCell ref="G183:G184"/>
    <mergeCell ref="A177:C177"/>
    <mergeCell ref="D177:F177"/>
    <mergeCell ref="G177:I177"/>
    <mergeCell ref="K177:P177"/>
    <mergeCell ref="A178:C178"/>
    <mergeCell ref="D178:F178"/>
    <mergeCell ref="G178:I178"/>
    <mergeCell ref="K178:P178"/>
    <mergeCell ref="A181:L181"/>
    <mergeCell ref="M181:P181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A163:C163"/>
    <mergeCell ref="D163:F163"/>
    <mergeCell ref="G163:I163"/>
    <mergeCell ref="K163:P163"/>
    <mergeCell ref="A166:L166"/>
    <mergeCell ref="M166:P166"/>
    <mergeCell ref="A168:B169"/>
    <mergeCell ref="H168:J168"/>
    <mergeCell ref="K168:M168"/>
    <mergeCell ref="N168:P168"/>
    <mergeCell ref="H169:J169"/>
    <mergeCell ref="K169:M169"/>
    <mergeCell ref="N169:P169"/>
    <mergeCell ref="C168:F169"/>
    <mergeCell ref="G168:G16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A162:C162"/>
    <mergeCell ref="D162:F162"/>
    <mergeCell ref="G162:I162"/>
    <mergeCell ref="K162:P162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A153:B154"/>
    <mergeCell ref="H153:J153"/>
    <mergeCell ref="K153:M153"/>
    <mergeCell ref="N153:P153"/>
    <mergeCell ref="H154:J154"/>
    <mergeCell ref="K154:M154"/>
    <mergeCell ref="N154:P154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C153:F154"/>
    <mergeCell ref="G153:G154"/>
    <mergeCell ref="A147:C147"/>
    <mergeCell ref="D147:F147"/>
    <mergeCell ref="G147:I147"/>
    <mergeCell ref="K147:P147"/>
    <mergeCell ref="A148:C148"/>
    <mergeCell ref="D148:F148"/>
    <mergeCell ref="G148:I148"/>
    <mergeCell ref="K148:P148"/>
    <mergeCell ref="A151:L151"/>
    <mergeCell ref="M151:P151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A133:C133"/>
    <mergeCell ref="D133:F133"/>
    <mergeCell ref="G133:I133"/>
    <mergeCell ref="K133:P133"/>
    <mergeCell ref="A136:L136"/>
    <mergeCell ref="M136:P136"/>
    <mergeCell ref="A138:B139"/>
    <mergeCell ref="H138:J138"/>
    <mergeCell ref="K138:M138"/>
    <mergeCell ref="N138:P138"/>
    <mergeCell ref="H139:J139"/>
    <mergeCell ref="K139:M139"/>
    <mergeCell ref="N139:P13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A132:C132"/>
    <mergeCell ref="D132:F132"/>
    <mergeCell ref="G132:I132"/>
    <mergeCell ref="K132:P132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A123:B124"/>
    <mergeCell ref="H123:J123"/>
    <mergeCell ref="K123:M123"/>
    <mergeCell ref="N123:P123"/>
    <mergeCell ref="H124:J124"/>
    <mergeCell ref="K124:M124"/>
    <mergeCell ref="N124:P124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A117:C117"/>
    <mergeCell ref="D117:F117"/>
    <mergeCell ref="G117:I117"/>
    <mergeCell ref="K117:P117"/>
    <mergeCell ref="A118:C118"/>
    <mergeCell ref="D118:F118"/>
    <mergeCell ref="G118:I118"/>
    <mergeCell ref="K118:P118"/>
    <mergeCell ref="A121:L121"/>
    <mergeCell ref="M121:P121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A103:C103"/>
    <mergeCell ref="D103:F103"/>
    <mergeCell ref="G103:I103"/>
    <mergeCell ref="K103:P103"/>
    <mergeCell ref="A106:L106"/>
    <mergeCell ref="M106:P106"/>
    <mergeCell ref="A108:B109"/>
    <mergeCell ref="H108:J108"/>
    <mergeCell ref="K108:M108"/>
    <mergeCell ref="N108:P108"/>
    <mergeCell ref="H109:J109"/>
    <mergeCell ref="K109:M109"/>
    <mergeCell ref="N109:P10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A102:C102"/>
    <mergeCell ref="D102:F102"/>
    <mergeCell ref="G102:I102"/>
    <mergeCell ref="K102:P102"/>
    <mergeCell ref="A97:B97"/>
    <mergeCell ref="C97:D97"/>
    <mergeCell ref="E97:F97"/>
    <mergeCell ref="G97:H97"/>
    <mergeCell ref="I97:J97"/>
    <mergeCell ref="K97:L97"/>
    <mergeCell ref="M97:N97"/>
    <mergeCell ref="O97:P97"/>
    <mergeCell ref="A99:B99"/>
    <mergeCell ref="C99:D99"/>
    <mergeCell ref="E99:F99"/>
    <mergeCell ref="G99:H99"/>
    <mergeCell ref="I99:J99"/>
    <mergeCell ref="K99:L99"/>
    <mergeCell ref="M99:N99"/>
    <mergeCell ref="O99:P99"/>
    <mergeCell ref="A93:B94"/>
    <mergeCell ref="H93:J93"/>
    <mergeCell ref="K93:M93"/>
    <mergeCell ref="N93:P93"/>
    <mergeCell ref="H94:J94"/>
    <mergeCell ref="K94:M94"/>
    <mergeCell ref="N94:P94"/>
    <mergeCell ref="A96:B96"/>
    <mergeCell ref="C96:D96"/>
    <mergeCell ref="E96:F96"/>
    <mergeCell ref="G96:H96"/>
    <mergeCell ref="I96:J96"/>
    <mergeCell ref="K96:L96"/>
    <mergeCell ref="M96:N96"/>
    <mergeCell ref="O96:P96"/>
    <mergeCell ref="A87:C87"/>
    <mergeCell ref="D87:F87"/>
    <mergeCell ref="G87:I87"/>
    <mergeCell ref="K87:P87"/>
    <mergeCell ref="A88:C88"/>
    <mergeCell ref="D88:F88"/>
    <mergeCell ref="G88:I88"/>
    <mergeCell ref="K88:P88"/>
    <mergeCell ref="A91:L91"/>
    <mergeCell ref="M91:P91"/>
    <mergeCell ref="A84:B84"/>
    <mergeCell ref="C84:D84"/>
    <mergeCell ref="E84:F84"/>
    <mergeCell ref="G84:H84"/>
    <mergeCell ref="I84:J84"/>
    <mergeCell ref="K84:L84"/>
    <mergeCell ref="M84:N84"/>
    <mergeCell ref="O84:P84"/>
    <mergeCell ref="A85:B85"/>
    <mergeCell ref="C85:D85"/>
    <mergeCell ref="E85:F85"/>
    <mergeCell ref="G85:H85"/>
    <mergeCell ref="I85:J85"/>
    <mergeCell ref="K85:L85"/>
    <mergeCell ref="M85:N85"/>
    <mergeCell ref="O85:P85"/>
    <mergeCell ref="A81:B81"/>
    <mergeCell ref="C81:D81"/>
    <mergeCell ref="E81:F81"/>
    <mergeCell ref="G81:H81"/>
    <mergeCell ref="I81:J81"/>
    <mergeCell ref="K81:L81"/>
    <mergeCell ref="M81:N81"/>
    <mergeCell ref="O81:P81"/>
    <mergeCell ref="A82:B82"/>
    <mergeCell ref="C82:D82"/>
    <mergeCell ref="E82:F82"/>
    <mergeCell ref="G82:H82"/>
    <mergeCell ref="I82:J82"/>
    <mergeCell ref="K82:L82"/>
    <mergeCell ref="M82:N82"/>
    <mergeCell ref="O82:P82"/>
    <mergeCell ref="A76:L76"/>
    <mergeCell ref="M76:P76"/>
    <mergeCell ref="A78:B79"/>
    <mergeCell ref="H78:J78"/>
    <mergeCell ref="K78:M78"/>
    <mergeCell ref="N78:P78"/>
    <mergeCell ref="H79:J79"/>
    <mergeCell ref="K79:M79"/>
    <mergeCell ref="N79:P79"/>
    <mergeCell ref="A72:C72"/>
    <mergeCell ref="D72:F72"/>
    <mergeCell ref="G72:I72"/>
    <mergeCell ref="K72:P72"/>
    <mergeCell ref="A73:C73"/>
    <mergeCell ref="D73:F73"/>
    <mergeCell ref="G73:I73"/>
    <mergeCell ref="K73:P73"/>
    <mergeCell ref="M69:N69"/>
    <mergeCell ref="O69:P69"/>
    <mergeCell ref="A70:B70"/>
    <mergeCell ref="C70:D70"/>
    <mergeCell ref="E70:F70"/>
    <mergeCell ref="G70:H70"/>
    <mergeCell ref="I70:J70"/>
    <mergeCell ref="K70:L70"/>
    <mergeCell ref="M70:N70"/>
    <mergeCell ref="O70:P70"/>
    <mergeCell ref="A69:B69"/>
    <mergeCell ref="C69:D69"/>
    <mergeCell ref="E69:F69"/>
    <mergeCell ref="G69:H69"/>
    <mergeCell ref="I69:J69"/>
    <mergeCell ref="K69:L69"/>
    <mergeCell ref="M66:N66"/>
    <mergeCell ref="O66:P66"/>
    <mergeCell ref="A67:B67"/>
    <mergeCell ref="C67:D67"/>
    <mergeCell ref="E67:F67"/>
    <mergeCell ref="G67:H67"/>
    <mergeCell ref="I67:J67"/>
    <mergeCell ref="K67:L67"/>
    <mergeCell ref="M67:N67"/>
    <mergeCell ref="O67:P67"/>
    <mergeCell ref="A66:B66"/>
    <mergeCell ref="C66:D66"/>
    <mergeCell ref="E66:F66"/>
    <mergeCell ref="G66:H66"/>
    <mergeCell ref="I66:J66"/>
    <mergeCell ref="K66:L66"/>
    <mergeCell ref="A61:L61"/>
    <mergeCell ref="M61:P61"/>
    <mergeCell ref="A63:B64"/>
    <mergeCell ref="H63:J63"/>
    <mergeCell ref="K63:M63"/>
    <mergeCell ref="N63:P63"/>
    <mergeCell ref="H64:J64"/>
    <mergeCell ref="K64:M64"/>
    <mergeCell ref="N64:P64"/>
    <mergeCell ref="A57:C57"/>
    <mergeCell ref="D57:F57"/>
    <mergeCell ref="G57:I57"/>
    <mergeCell ref="K57:P57"/>
    <mergeCell ref="A58:C58"/>
    <mergeCell ref="D58:F58"/>
    <mergeCell ref="G58:I58"/>
    <mergeCell ref="K58:P58"/>
    <mergeCell ref="M54:N54"/>
    <mergeCell ref="O54:P54"/>
    <mergeCell ref="A55:B55"/>
    <mergeCell ref="C55:D55"/>
    <mergeCell ref="E55:F55"/>
    <mergeCell ref="G55:H55"/>
    <mergeCell ref="I55:J55"/>
    <mergeCell ref="K55:L55"/>
    <mergeCell ref="M55:N55"/>
    <mergeCell ref="O55:P55"/>
    <mergeCell ref="A54:B54"/>
    <mergeCell ref="C54:D54"/>
    <mergeCell ref="E54:F54"/>
    <mergeCell ref="G54:H54"/>
    <mergeCell ref="I54:J54"/>
    <mergeCell ref="K54:L54"/>
    <mergeCell ref="M51:N51"/>
    <mergeCell ref="O51:P51"/>
    <mergeCell ref="A52:B52"/>
    <mergeCell ref="C52:D52"/>
    <mergeCell ref="E52:F52"/>
    <mergeCell ref="G52:H52"/>
    <mergeCell ref="I52:J52"/>
    <mergeCell ref="K52:L52"/>
    <mergeCell ref="M52:N52"/>
    <mergeCell ref="O52:P52"/>
    <mergeCell ref="A51:B51"/>
    <mergeCell ref="C51:D51"/>
    <mergeCell ref="E51:F51"/>
    <mergeCell ref="G51:H51"/>
    <mergeCell ref="I51:J51"/>
    <mergeCell ref="K51:L51"/>
    <mergeCell ref="A46:L46"/>
    <mergeCell ref="M46:P46"/>
    <mergeCell ref="A48:B49"/>
    <mergeCell ref="H48:J48"/>
    <mergeCell ref="K48:M48"/>
    <mergeCell ref="N48:P48"/>
    <mergeCell ref="H49:J49"/>
    <mergeCell ref="K49:M49"/>
    <mergeCell ref="N49:P49"/>
    <mergeCell ref="A42:C42"/>
    <mergeCell ref="D42:F42"/>
    <mergeCell ref="G42:I42"/>
    <mergeCell ref="K42:P42"/>
    <mergeCell ref="A43:C43"/>
    <mergeCell ref="D43:F43"/>
    <mergeCell ref="G43:I43"/>
    <mergeCell ref="K43:P43"/>
    <mergeCell ref="M39:N39"/>
    <mergeCell ref="O39:P39"/>
    <mergeCell ref="A40:B40"/>
    <mergeCell ref="C40:D40"/>
    <mergeCell ref="E40:F40"/>
    <mergeCell ref="G40:H40"/>
    <mergeCell ref="I40:J40"/>
    <mergeCell ref="K40:L40"/>
    <mergeCell ref="M40:N40"/>
    <mergeCell ref="O40:P40"/>
    <mergeCell ref="A39:B39"/>
    <mergeCell ref="C39:D39"/>
    <mergeCell ref="E39:F39"/>
    <mergeCell ref="G39:H39"/>
    <mergeCell ref="I39:J39"/>
    <mergeCell ref="K39:L39"/>
    <mergeCell ref="M36:N36"/>
    <mergeCell ref="O36:P36"/>
    <mergeCell ref="A37:B37"/>
    <mergeCell ref="C37:D37"/>
    <mergeCell ref="E37:F37"/>
    <mergeCell ref="G37:H37"/>
    <mergeCell ref="I37:J37"/>
    <mergeCell ref="K37:L37"/>
    <mergeCell ref="M37:N37"/>
    <mergeCell ref="O37:P37"/>
    <mergeCell ref="A36:B36"/>
    <mergeCell ref="C36:D36"/>
    <mergeCell ref="E36:F36"/>
    <mergeCell ref="G36:H36"/>
    <mergeCell ref="I36:J36"/>
    <mergeCell ref="K36:L36"/>
    <mergeCell ref="A31:L31"/>
    <mergeCell ref="M31:P31"/>
    <mergeCell ref="A33:B34"/>
    <mergeCell ref="H33:J33"/>
    <mergeCell ref="K33:M33"/>
    <mergeCell ref="N33:P33"/>
    <mergeCell ref="H34:J34"/>
    <mergeCell ref="K34:M34"/>
    <mergeCell ref="N34:P34"/>
    <mergeCell ref="A27:C27"/>
    <mergeCell ref="D27:F27"/>
    <mergeCell ref="G27:I27"/>
    <mergeCell ref="K27:P27"/>
    <mergeCell ref="A28:C28"/>
    <mergeCell ref="D28:F28"/>
    <mergeCell ref="G28:I28"/>
    <mergeCell ref="K28:P28"/>
    <mergeCell ref="M24:N24"/>
    <mergeCell ref="O24:P24"/>
    <mergeCell ref="A25:B25"/>
    <mergeCell ref="C25:D25"/>
    <mergeCell ref="E25:F25"/>
    <mergeCell ref="G25:H25"/>
    <mergeCell ref="I25:J25"/>
    <mergeCell ref="K25:L25"/>
    <mergeCell ref="M25:N25"/>
    <mergeCell ref="O25:P25"/>
    <mergeCell ref="A24:B24"/>
    <mergeCell ref="C24:D24"/>
    <mergeCell ref="E24:F24"/>
    <mergeCell ref="G24:H24"/>
    <mergeCell ref="I24:J24"/>
    <mergeCell ref="K24:L24"/>
    <mergeCell ref="M21:N21"/>
    <mergeCell ref="O21:P21"/>
    <mergeCell ref="A22:B22"/>
    <mergeCell ref="C22:D22"/>
    <mergeCell ref="E22:F22"/>
    <mergeCell ref="G22:H22"/>
    <mergeCell ref="I22:J22"/>
    <mergeCell ref="K22:L22"/>
    <mergeCell ref="M22:N22"/>
    <mergeCell ref="O22:P22"/>
    <mergeCell ref="A21:B21"/>
    <mergeCell ref="C21:D21"/>
    <mergeCell ref="E21:F21"/>
    <mergeCell ref="G21:H21"/>
    <mergeCell ref="I21:J21"/>
    <mergeCell ref="K21:L21"/>
    <mergeCell ref="A16:L16"/>
    <mergeCell ref="M16:P16"/>
    <mergeCell ref="A18:B19"/>
    <mergeCell ref="H18:J18"/>
    <mergeCell ref="K18:M18"/>
    <mergeCell ref="N18:P18"/>
    <mergeCell ref="H19:J19"/>
    <mergeCell ref="K19:M19"/>
    <mergeCell ref="N19:P19"/>
    <mergeCell ref="A12:C12"/>
    <mergeCell ref="D12:F12"/>
    <mergeCell ref="G12:I12"/>
    <mergeCell ref="K12:P12"/>
    <mergeCell ref="A13:C13"/>
    <mergeCell ref="D13:F13"/>
    <mergeCell ref="G13:I13"/>
    <mergeCell ref="K13:P13"/>
    <mergeCell ref="M9:N9"/>
    <mergeCell ref="O9:P9"/>
    <mergeCell ref="A10:B10"/>
    <mergeCell ref="C10:D10"/>
    <mergeCell ref="E10:F10"/>
    <mergeCell ref="G10:H10"/>
    <mergeCell ref="I10:J10"/>
    <mergeCell ref="K10:L10"/>
    <mergeCell ref="M10:N10"/>
    <mergeCell ref="O10:P10"/>
    <mergeCell ref="A9:B9"/>
    <mergeCell ref="C9:D9"/>
    <mergeCell ref="E9:F9"/>
    <mergeCell ref="G9:H9"/>
    <mergeCell ref="I9:J9"/>
    <mergeCell ref="K9:L9"/>
    <mergeCell ref="M6:N6"/>
    <mergeCell ref="O6:P6"/>
    <mergeCell ref="A7:B7"/>
    <mergeCell ref="C7:D7"/>
    <mergeCell ref="E7:F7"/>
    <mergeCell ref="G7:H7"/>
    <mergeCell ref="I7:J7"/>
    <mergeCell ref="K7:L7"/>
    <mergeCell ref="M7:N7"/>
    <mergeCell ref="O7:P7"/>
    <mergeCell ref="A6:B6"/>
    <mergeCell ref="C6:D6"/>
    <mergeCell ref="E6:F6"/>
    <mergeCell ref="G6:H6"/>
    <mergeCell ref="I6:J6"/>
    <mergeCell ref="K6:L6"/>
    <mergeCell ref="A1:L1"/>
    <mergeCell ref="M1:P1"/>
    <mergeCell ref="A3:B4"/>
    <mergeCell ref="H3:J3"/>
    <mergeCell ref="K3:M3"/>
    <mergeCell ref="N3:P3"/>
    <mergeCell ref="H4:J4"/>
    <mergeCell ref="K4:M4"/>
    <mergeCell ref="N4:P4"/>
  </mergeCells>
  <phoneticPr fontId="2"/>
  <pageMargins left="0.62992125984251968" right="0.23622047244094491" top="0.15748031496062992" bottom="0.15748031496062992" header="0.31496062992125984" footer="0.31496062992125984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5"/>
  <sheetViews>
    <sheetView topLeftCell="A79" workbookViewId="0">
      <selection activeCell="AR11" sqref="AR11"/>
    </sheetView>
  </sheetViews>
  <sheetFormatPr defaultRowHeight="13.5"/>
  <cols>
    <col min="1" max="8" width="4.125" customWidth="1"/>
    <col min="9" max="9" width="2.75" customWidth="1"/>
    <col min="10" max="17" width="4.125" customWidth="1"/>
    <col min="18" max="18" width="2.75" customWidth="1"/>
    <col min="19" max="26" width="4.125" customWidth="1"/>
    <col min="27" max="27" width="2.75" customWidth="1"/>
    <col min="28" max="35" width="4.125" customWidth="1"/>
    <col min="36" max="36" width="4" customWidth="1"/>
  </cols>
  <sheetData>
    <row r="1" spans="1:35" ht="28.5" customHeight="1">
      <c r="A1" s="240" t="s">
        <v>44</v>
      </c>
      <c r="B1" s="240"/>
      <c r="C1" s="240"/>
      <c r="D1" s="240"/>
      <c r="E1" s="240"/>
      <c r="F1" s="240"/>
      <c r="G1" s="240"/>
      <c r="H1" s="240"/>
      <c r="J1" s="240" t="s">
        <v>44</v>
      </c>
      <c r="K1" s="240"/>
      <c r="L1" s="240"/>
      <c r="M1" s="240"/>
      <c r="N1" s="240"/>
      <c r="O1" s="240"/>
      <c r="P1" s="240"/>
      <c r="Q1" s="240"/>
      <c r="S1" s="240" t="s">
        <v>44</v>
      </c>
      <c r="T1" s="240"/>
      <c r="U1" s="240"/>
      <c r="V1" s="240"/>
      <c r="W1" s="240"/>
      <c r="X1" s="240"/>
      <c r="Y1" s="240"/>
      <c r="Z1" s="240"/>
      <c r="AB1" s="240" t="s">
        <v>44</v>
      </c>
      <c r="AC1" s="240"/>
      <c r="AD1" s="240"/>
      <c r="AE1" s="240"/>
      <c r="AF1" s="240"/>
      <c r="AG1" s="240"/>
      <c r="AH1" s="240"/>
      <c r="AI1" s="240"/>
    </row>
    <row r="2" spans="1:35" ht="8.25" customHeight="1">
      <c r="A2" s="67"/>
      <c r="B2" s="67"/>
      <c r="C2" s="67"/>
      <c r="D2" s="67"/>
      <c r="E2" s="67"/>
      <c r="F2" s="67"/>
      <c r="G2" s="67"/>
      <c r="H2" s="67"/>
      <c r="J2" s="67"/>
      <c r="K2" s="67"/>
      <c r="L2" s="67"/>
      <c r="M2" s="67"/>
      <c r="N2" s="67"/>
      <c r="O2" s="67"/>
      <c r="P2" s="67"/>
      <c r="Q2" s="67"/>
      <c r="S2" s="67"/>
      <c r="T2" s="67"/>
      <c r="U2" s="67"/>
      <c r="V2" s="67"/>
      <c r="W2" s="67"/>
      <c r="X2" s="67"/>
      <c r="Y2" s="67"/>
      <c r="Z2" s="67"/>
      <c r="AB2" s="67"/>
      <c r="AC2" s="67"/>
      <c r="AD2" s="67"/>
      <c r="AE2" s="67"/>
      <c r="AF2" s="67"/>
      <c r="AG2" s="67"/>
      <c r="AH2" s="67"/>
      <c r="AI2" s="67"/>
    </row>
    <row r="3" spans="1:35" ht="23.25" customHeight="1">
      <c r="A3" s="67"/>
      <c r="B3" s="67"/>
      <c r="C3" s="79" t="s">
        <v>45</v>
      </c>
      <c r="D3" s="67">
        <v>27</v>
      </c>
      <c r="E3" s="67" t="s">
        <v>46</v>
      </c>
      <c r="F3" s="67">
        <v>3</v>
      </c>
      <c r="G3" s="80" t="s">
        <v>47</v>
      </c>
      <c r="H3" s="67"/>
      <c r="J3" s="67"/>
      <c r="K3" s="67"/>
      <c r="L3" s="79" t="s">
        <v>45</v>
      </c>
      <c r="M3" s="67">
        <v>27</v>
      </c>
      <c r="N3" s="67" t="s">
        <v>46</v>
      </c>
      <c r="O3" s="67">
        <v>3</v>
      </c>
      <c r="P3" s="80" t="s">
        <v>47</v>
      </c>
      <c r="Q3" s="67"/>
      <c r="S3" s="67"/>
      <c r="T3" s="67"/>
      <c r="U3" s="79" t="s">
        <v>45</v>
      </c>
      <c r="V3" s="67">
        <v>27</v>
      </c>
      <c r="W3" s="67" t="s">
        <v>46</v>
      </c>
      <c r="X3" s="67">
        <v>3</v>
      </c>
      <c r="Y3" s="80" t="s">
        <v>47</v>
      </c>
      <c r="Z3" s="67"/>
      <c r="AB3" s="67"/>
      <c r="AC3" s="67"/>
      <c r="AD3" s="79" t="s">
        <v>45</v>
      </c>
      <c r="AE3" s="67">
        <v>27</v>
      </c>
      <c r="AF3" s="67" t="s">
        <v>46</v>
      </c>
      <c r="AG3" s="67">
        <v>3</v>
      </c>
      <c r="AH3" s="80" t="s">
        <v>47</v>
      </c>
      <c r="AI3" s="67"/>
    </row>
    <row r="4" spans="1:35" ht="20.25" customHeight="1">
      <c r="A4" s="68" t="s">
        <v>48</v>
      </c>
      <c r="B4" s="68" t="s">
        <v>49</v>
      </c>
      <c r="C4" s="68" t="s">
        <v>50</v>
      </c>
      <c r="D4" s="68"/>
      <c r="E4" s="68"/>
      <c r="F4" s="67"/>
      <c r="G4" s="67"/>
      <c r="H4" s="67"/>
      <c r="J4" s="68" t="s">
        <v>48</v>
      </c>
      <c r="K4" s="68" t="s">
        <v>49</v>
      </c>
      <c r="L4" s="68" t="s">
        <v>50</v>
      </c>
      <c r="M4" s="68"/>
      <c r="N4" s="68"/>
      <c r="O4" s="67"/>
      <c r="P4" s="67"/>
      <c r="Q4" s="67"/>
      <c r="S4" s="68" t="s">
        <v>48</v>
      </c>
      <c r="T4" s="68" t="s">
        <v>49</v>
      </c>
      <c r="U4" s="68" t="s">
        <v>50</v>
      </c>
      <c r="V4" s="68"/>
      <c r="W4" s="68"/>
      <c r="X4" s="67"/>
      <c r="Y4" s="67"/>
      <c r="Z4" s="67"/>
      <c r="AB4" s="68" t="s">
        <v>48</v>
      </c>
      <c r="AC4" s="68" t="s">
        <v>49</v>
      </c>
      <c r="AD4" s="68" t="s">
        <v>50</v>
      </c>
      <c r="AE4" s="68"/>
      <c r="AF4" s="68"/>
      <c r="AG4" s="67"/>
      <c r="AH4" s="67"/>
      <c r="AI4" s="67"/>
    </row>
    <row r="5" spans="1:35">
      <c r="A5" s="230" t="str">
        <f>'3月分'!B5</f>
        <v>岡崎　峻喬</v>
      </c>
      <c r="B5" s="230"/>
      <c r="C5" s="230"/>
      <c r="D5" s="230"/>
      <c r="E5" s="230"/>
      <c r="F5" s="230"/>
      <c r="G5" s="230"/>
      <c r="H5" s="69"/>
      <c r="J5" s="230">
        <f>'3月分'!B7</f>
        <v>0</v>
      </c>
      <c r="K5" s="230"/>
      <c r="L5" s="230"/>
      <c r="M5" s="230"/>
      <c r="N5" s="230"/>
      <c r="O5" s="230"/>
      <c r="P5" s="230"/>
      <c r="Q5" s="69"/>
      <c r="S5" s="230" t="str">
        <f>'3月分'!B9</f>
        <v>山内ノリ子</v>
      </c>
      <c r="T5" s="230"/>
      <c r="U5" s="230"/>
      <c r="V5" s="230"/>
      <c r="W5" s="230"/>
      <c r="X5" s="230"/>
      <c r="Y5" s="230"/>
      <c r="Z5" s="69"/>
      <c r="AB5" s="230">
        <f>'3月分'!B11</f>
        <v>0</v>
      </c>
      <c r="AC5" s="230"/>
      <c r="AD5" s="230"/>
      <c r="AE5" s="230"/>
      <c r="AF5" s="230"/>
      <c r="AG5" s="230"/>
      <c r="AH5" s="230"/>
      <c r="AI5" s="69"/>
    </row>
    <row r="6" spans="1:35">
      <c r="A6" s="231"/>
      <c r="B6" s="231"/>
      <c r="C6" s="231"/>
      <c r="D6" s="231"/>
      <c r="E6" s="231"/>
      <c r="F6" s="231"/>
      <c r="G6" s="231"/>
      <c r="H6" s="68" t="s">
        <v>51</v>
      </c>
      <c r="J6" s="231"/>
      <c r="K6" s="231"/>
      <c r="L6" s="231"/>
      <c r="M6" s="231"/>
      <c r="N6" s="231"/>
      <c r="O6" s="231"/>
      <c r="P6" s="231"/>
      <c r="Q6" s="68" t="s">
        <v>51</v>
      </c>
      <c r="S6" s="231"/>
      <c r="T6" s="231"/>
      <c r="U6" s="231"/>
      <c r="V6" s="231"/>
      <c r="W6" s="231"/>
      <c r="X6" s="231"/>
      <c r="Y6" s="231"/>
      <c r="Z6" s="68" t="s">
        <v>51</v>
      </c>
      <c r="AB6" s="231"/>
      <c r="AC6" s="231"/>
      <c r="AD6" s="231"/>
      <c r="AE6" s="231"/>
      <c r="AF6" s="231"/>
      <c r="AG6" s="231"/>
      <c r="AH6" s="231"/>
      <c r="AI6" s="68" t="s">
        <v>51</v>
      </c>
    </row>
    <row r="7" spans="1:35" ht="6" customHeight="1" thickBot="1">
      <c r="A7" s="67"/>
      <c r="B7" s="67"/>
      <c r="C7" s="67"/>
      <c r="D7" s="67"/>
      <c r="E7" s="67"/>
      <c r="F7" s="67"/>
      <c r="G7" s="67"/>
      <c r="H7" s="67"/>
      <c r="J7" s="67"/>
      <c r="K7" s="67"/>
      <c r="L7" s="67"/>
      <c r="M7" s="67"/>
      <c r="N7" s="67"/>
      <c r="O7" s="67"/>
      <c r="P7" s="67"/>
      <c r="Q7" s="67"/>
      <c r="S7" s="67"/>
      <c r="T7" s="67"/>
      <c r="U7" s="67"/>
      <c r="V7" s="67"/>
      <c r="W7" s="67"/>
      <c r="X7" s="67"/>
      <c r="Y7" s="67"/>
      <c r="Z7" s="67"/>
      <c r="AB7" s="67"/>
      <c r="AC7" s="67"/>
      <c r="AD7" s="67"/>
      <c r="AE7" s="67"/>
      <c r="AF7" s="67"/>
      <c r="AG7" s="67"/>
      <c r="AH7" s="67"/>
      <c r="AI7" s="67"/>
    </row>
    <row r="8" spans="1:35" ht="15" customHeight="1" thickTop="1">
      <c r="A8" s="233" t="s">
        <v>52</v>
      </c>
      <c r="B8" s="234"/>
      <c r="C8" s="234"/>
      <c r="D8" s="234"/>
      <c r="E8" s="235" t="s">
        <v>74</v>
      </c>
      <c r="F8" s="236"/>
      <c r="G8" s="236"/>
      <c r="H8" s="237"/>
      <c r="J8" s="201" t="s">
        <v>52</v>
      </c>
      <c r="K8" s="202"/>
      <c r="L8" s="202"/>
      <c r="M8" s="202"/>
      <c r="N8" s="235" t="s">
        <v>74</v>
      </c>
      <c r="O8" s="236"/>
      <c r="P8" s="236"/>
      <c r="Q8" s="237"/>
      <c r="S8" s="201" t="s">
        <v>52</v>
      </c>
      <c r="T8" s="202"/>
      <c r="U8" s="202"/>
      <c r="V8" s="202"/>
      <c r="W8" s="235" t="s">
        <v>74</v>
      </c>
      <c r="X8" s="236"/>
      <c r="Y8" s="236"/>
      <c r="Z8" s="237"/>
      <c r="AB8" s="201" t="s">
        <v>52</v>
      </c>
      <c r="AC8" s="202"/>
      <c r="AD8" s="202"/>
      <c r="AE8" s="202"/>
      <c r="AF8" s="235" t="s">
        <v>74</v>
      </c>
      <c r="AG8" s="236"/>
      <c r="AH8" s="236"/>
      <c r="AI8" s="237"/>
    </row>
    <row r="9" spans="1:35" ht="15" customHeight="1">
      <c r="A9" s="203" t="s">
        <v>69</v>
      </c>
      <c r="B9" s="204"/>
      <c r="C9" s="204"/>
      <c r="D9" s="204"/>
      <c r="E9" s="70"/>
      <c r="F9" s="71"/>
      <c r="G9" s="71">
        <f>'3月分'!AH5</f>
        <v>22</v>
      </c>
      <c r="H9" s="72" t="s">
        <v>9</v>
      </c>
      <c r="J9" s="197" t="s">
        <v>69</v>
      </c>
      <c r="K9" s="193"/>
      <c r="L9" s="193"/>
      <c r="M9" s="193"/>
      <c r="N9" s="70"/>
      <c r="O9" s="71"/>
      <c r="P9" s="71">
        <f>'3月分'!AH7</f>
        <v>0</v>
      </c>
      <c r="Q9" s="72" t="s">
        <v>9</v>
      </c>
      <c r="S9" s="197" t="s">
        <v>69</v>
      </c>
      <c r="T9" s="193"/>
      <c r="U9" s="193"/>
      <c r="V9" s="193"/>
      <c r="W9" s="70"/>
      <c r="X9" s="71"/>
      <c r="Y9" s="71">
        <f>'3月分'!AH9</f>
        <v>23</v>
      </c>
      <c r="Z9" s="72" t="s">
        <v>9</v>
      </c>
      <c r="AB9" s="197" t="s">
        <v>69</v>
      </c>
      <c r="AC9" s="193"/>
      <c r="AD9" s="193"/>
      <c r="AE9" s="193"/>
      <c r="AF9" s="70"/>
      <c r="AG9" s="71"/>
      <c r="AH9" s="71">
        <f>'3月分'!AH11</f>
        <v>0</v>
      </c>
      <c r="AI9" s="72" t="s">
        <v>9</v>
      </c>
    </row>
    <row r="10" spans="1:35" ht="15" customHeight="1">
      <c r="A10" s="203" t="s">
        <v>53</v>
      </c>
      <c r="B10" s="204"/>
      <c r="C10" s="204"/>
      <c r="D10" s="204"/>
      <c r="E10" s="70"/>
      <c r="F10" s="73" t="s">
        <v>71</v>
      </c>
      <c r="G10" s="70"/>
      <c r="H10" s="72" t="s">
        <v>70</v>
      </c>
      <c r="J10" s="197" t="s">
        <v>53</v>
      </c>
      <c r="K10" s="193"/>
      <c r="L10" s="193"/>
      <c r="M10" s="193"/>
      <c r="N10" s="70"/>
      <c r="O10" s="73" t="s">
        <v>71</v>
      </c>
      <c r="P10" s="70"/>
      <c r="Q10" s="72" t="s">
        <v>70</v>
      </c>
      <c r="S10" s="197" t="s">
        <v>53</v>
      </c>
      <c r="T10" s="193"/>
      <c r="U10" s="193"/>
      <c r="V10" s="193"/>
      <c r="W10" s="70"/>
      <c r="X10" s="73" t="s">
        <v>71</v>
      </c>
      <c r="Y10" s="70"/>
      <c r="Z10" s="72" t="s">
        <v>70</v>
      </c>
      <c r="AB10" s="197" t="s">
        <v>53</v>
      </c>
      <c r="AC10" s="193"/>
      <c r="AD10" s="193"/>
      <c r="AE10" s="193"/>
      <c r="AF10" s="81">
        <v>101</v>
      </c>
      <c r="AG10" s="71" t="s">
        <v>71</v>
      </c>
      <c r="AH10" s="71">
        <v>23</v>
      </c>
      <c r="AI10" s="72" t="s">
        <v>70</v>
      </c>
    </row>
    <row r="11" spans="1:35" ht="15" customHeight="1">
      <c r="A11" s="203" t="s">
        <v>54</v>
      </c>
      <c r="B11" s="204"/>
      <c r="C11" s="204"/>
      <c r="D11" s="204"/>
      <c r="E11" s="70"/>
      <c r="F11" s="73" t="s">
        <v>71</v>
      </c>
      <c r="G11" s="70"/>
      <c r="H11" s="72" t="s">
        <v>70</v>
      </c>
      <c r="J11" s="197" t="s">
        <v>54</v>
      </c>
      <c r="K11" s="193"/>
      <c r="L11" s="193"/>
      <c r="M11" s="193"/>
      <c r="N11" s="70"/>
      <c r="O11" s="73" t="s">
        <v>71</v>
      </c>
      <c r="P11" s="70"/>
      <c r="Q11" s="72" t="s">
        <v>70</v>
      </c>
      <c r="S11" s="197" t="s">
        <v>54</v>
      </c>
      <c r="T11" s="193"/>
      <c r="U11" s="193"/>
      <c r="V11" s="193"/>
      <c r="W11" s="70"/>
      <c r="X11" s="73" t="s">
        <v>71</v>
      </c>
      <c r="Y11" s="70"/>
      <c r="Z11" s="72" t="s">
        <v>70</v>
      </c>
      <c r="AB11" s="197" t="s">
        <v>54</v>
      </c>
      <c r="AC11" s="193"/>
      <c r="AD11" s="193"/>
      <c r="AE11" s="193"/>
      <c r="AF11" s="70"/>
      <c r="AG11" s="73" t="s">
        <v>71</v>
      </c>
      <c r="AH11" s="70"/>
      <c r="AI11" s="72" t="s">
        <v>70</v>
      </c>
    </row>
    <row r="12" spans="1:35" ht="15" customHeight="1">
      <c r="A12" s="203" t="s">
        <v>55</v>
      </c>
      <c r="B12" s="204"/>
      <c r="C12" s="204"/>
      <c r="D12" s="204"/>
      <c r="E12" s="70"/>
      <c r="F12" s="73" t="s">
        <v>71</v>
      </c>
      <c r="G12" s="70"/>
      <c r="H12" s="72" t="s">
        <v>70</v>
      </c>
      <c r="J12" s="197" t="s">
        <v>55</v>
      </c>
      <c r="K12" s="193"/>
      <c r="L12" s="193"/>
      <c r="M12" s="193"/>
      <c r="N12" s="70"/>
      <c r="O12" s="73" t="s">
        <v>71</v>
      </c>
      <c r="P12" s="70"/>
      <c r="Q12" s="72" t="s">
        <v>70</v>
      </c>
      <c r="S12" s="197" t="s">
        <v>55</v>
      </c>
      <c r="T12" s="193"/>
      <c r="U12" s="193"/>
      <c r="V12" s="193"/>
      <c r="W12" s="70"/>
      <c r="X12" s="73" t="s">
        <v>71</v>
      </c>
      <c r="Y12" s="70"/>
      <c r="Z12" s="72" t="s">
        <v>70</v>
      </c>
      <c r="AB12" s="197" t="s">
        <v>55</v>
      </c>
      <c r="AC12" s="193"/>
      <c r="AD12" s="193"/>
      <c r="AE12" s="193"/>
      <c r="AF12" s="70"/>
      <c r="AG12" s="73" t="s">
        <v>71</v>
      </c>
      <c r="AH12" s="70"/>
      <c r="AI12" s="72" t="s">
        <v>70</v>
      </c>
    </row>
    <row r="13" spans="1:35" ht="15" customHeight="1">
      <c r="A13" s="203" t="s">
        <v>56</v>
      </c>
      <c r="B13" s="204"/>
      <c r="C13" s="204"/>
      <c r="D13" s="204"/>
      <c r="E13" s="74"/>
      <c r="F13" s="75" t="s">
        <v>71</v>
      </c>
      <c r="G13" s="74"/>
      <c r="H13" s="76" t="s">
        <v>70</v>
      </c>
      <c r="J13" s="197" t="s">
        <v>56</v>
      </c>
      <c r="K13" s="193"/>
      <c r="L13" s="193"/>
      <c r="M13" s="193"/>
      <c r="N13" s="74"/>
      <c r="O13" s="75" t="s">
        <v>71</v>
      </c>
      <c r="P13" s="74"/>
      <c r="Q13" s="76" t="s">
        <v>70</v>
      </c>
      <c r="S13" s="197" t="s">
        <v>56</v>
      </c>
      <c r="T13" s="193"/>
      <c r="U13" s="193"/>
      <c r="V13" s="193"/>
      <c r="W13" s="74"/>
      <c r="X13" s="75" t="s">
        <v>71</v>
      </c>
      <c r="Y13" s="74"/>
      <c r="Z13" s="76" t="s">
        <v>70</v>
      </c>
      <c r="AB13" s="197" t="s">
        <v>56</v>
      </c>
      <c r="AC13" s="193"/>
      <c r="AD13" s="193"/>
      <c r="AE13" s="193"/>
      <c r="AF13" s="74"/>
      <c r="AG13" s="75" t="s">
        <v>71</v>
      </c>
      <c r="AH13" s="74"/>
      <c r="AI13" s="76" t="s">
        <v>70</v>
      </c>
    </row>
    <row r="14" spans="1:35" ht="15" customHeight="1">
      <c r="A14" s="203" t="s">
        <v>57</v>
      </c>
      <c r="B14" s="204"/>
      <c r="C14" s="204"/>
      <c r="D14" s="204"/>
      <c r="E14" s="226">
        <f>賃金集計表!H5</f>
        <v>280000</v>
      </c>
      <c r="F14" s="241"/>
      <c r="G14" s="241"/>
      <c r="H14" s="242"/>
      <c r="J14" s="197" t="s">
        <v>57</v>
      </c>
      <c r="K14" s="193"/>
      <c r="L14" s="193"/>
      <c r="M14" s="193"/>
      <c r="N14" s="226">
        <f>賃金集計表!H6</f>
        <v>200000</v>
      </c>
      <c r="O14" s="223"/>
      <c r="P14" s="223"/>
      <c r="Q14" s="224"/>
      <c r="S14" s="197" t="s">
        <v>57</v>
      </c>
      <c r="T14" s="193"/>
      <c r="U14" s="193"/>
      <c r="V14" s="193"/>
      <c r="W14" s="226">
        <f>賃金集計表!H10</f>
        <v>150000</v>
      </c>
      <c r="X14" s="223"/>
      <c r="Y14" s="223"/>
      <c r="Z14" s="224"/>
      <c r="AB14" s="197" t="s">
        <v>57</v>
      </c>
      <c r="AC14" s="193"/>
      <c r="AD14" s="193"/>
      <c r="AE14" s="193"/>
      <c r="AF14" s="226">
        <v>81107</v>
      </c>
      <c r="AG14" s="241"/>
      <c r="AH14" s="241"/>
      <c r="AI14" s="242"/>
    </row>
    <row r="15" spans="1:35" ht="15" customHeight="1">
      <c r="A15" s="203" t="s">
        <v>58</v>
      </c>
      <c r="B15" s="204"/>
      <c r="C15" s="204"/>
      <c r="D15" s="204"/>
      <c r="E15" s="226"/>
      <c r="F15" s="241"/>
      <c r="G15" s="241"/>
      <c r="H15" s="242"/>
      <c r="J15" s="203" t="s">
        <v>58</v>
      </c>
      <c r="K15" s="204"/>
      <c r="L15" s="204"/>
      <c r="M15" s="204"/>
      <c r="N15" s="222"/>
      <c r="O15" s="223"/>
      <c r="P15" s="223"/>
      <c r="Q15" s="224"/>
      <c r="S15" s="203" t="s">
        <v>58</v>
      </c>
      <c r="T15" s="204"/>
      <c r="U15" s="204"/>
      <c r="V15" s="204"/>
      <c r="W15" s="222"/>
      <c r="X15" s="223"/>
      <c r="Y15" s="223"/>
      <c r="Z15" s="224"/>
      <c r="AB15" s="203" t="s">
        <v>58</v>
      </c>
      <c r="AC15" s="204"/>
      <c r="AD15" s="204"/>
      <c r="AE15" s="204"/>
      <c r="AF15" s="226"/>
      <c r="AG15" s="241"/>
      <c r="AH15" s="241"/>
      <c r="AI15" s="242"/>
    </row>
    <row r="16" spans="1:35" ht="15" customHeight="1">
      <c r="A16" s="209" t="s">
        <v>30</v>
      </c>
      <c r="B16" s="204" t="s">
        <v>60</v>
      </c>
      <c r="C16" s="204"/>
      <c r="D16" s="204"/>
      <c r="E16" s="226"/>
      <c r="F16" s="241"/>
      <c r="G16" s="241"/>
      <c r="H16" s="242"/>
      <c r="J16" s="225" t="s">
        <v>30</v>
      </c>
      <c r="K16" s="193" t="s">
        <v>60</v>
      </c>
      <c r="L16" s="193"/>
      <c r="M16" s="193"/>
      <c r="N16" s="222"/>
      <c r="O16" s="223"/>
      <c r="P16" s="223"/>
      <c r="Q16" s="224"/>
      <c r="S16" s="225" t="s">
        <v>30</v>
      </c>
      <c r="T16" s="193" t="s">
        <v>60</v>
      </c>
      <c r="U16" s="193"/>
      <c r="V16" s="193"/>
      <c r="W16" s="222"/>
      <c r="X16" s="223"/>
      <c r="Y16" s="223"/>
      <c r="Z16" s="224"/>
      <c r="AB16" s="225" t="s">
        <v>30</v>
      </c>
      <c r="AC16" s="193" t="s">
        <v>60</v>
      </c>
      <c r="AD16" s="193"/>
      <c r="AE16" s="193"/>
      <c r="AF16" s="226"/>
      <c r="AG16" s="241"/>
      <c r="AH16" s="241"/>
      <c r="AI16" s="242"/>
    </row>
    <row r="17" spans="1:35" ht="15" customHeight="1">
      <c r="A17" s="209"/>
      <c r="B17" s="204" t="s">
        <v>59</v>
      </c>
      <c r="C17" s="204"/>
      <c r="D17" s="204"/>
      <c r="E17" s="226"/>
      <c r="F17" s="241"/>
      <c r="G17" s="241"/>
      <c r="H17" s="242"/>
      <c r="J17" s="225"/>
      <c r="K17" s="193" t="s">
        <v>59</v>
      </c>
      <c r="L17" s="193"/>
      <c r="M17" s="193"/>
      <c r="N17" s="222"/>
      <c r="O17" s="223"/>
      <c r="P17" s="223"/>
      <c r="Q17" s="224"/>
      <c r="S17" s="225"/>
      <c r="T17" s="193" t="s">
        <v>59</v>
      </c>
      <c r="U17" s="193"/>
      <c r="V17" s="193"/>
      <c r="W17" s="222"/>
      <c r="X17" s="223"/>
      <c r="Y17" s="223"/>
      <c r="Z17" s="224"/>
      <c r="AB17" s="225"/>
      <c r="AC17" s="193" t="s">
        <v>59</v>
      </c>
      <c r="AD17" s="193"/>
      <c r="AE17" s="193"/>
      <c r="AF17" s="226"/>
      <c r="AG17" s="241"/>
      <c r="AH17" s="241"/>
      <c r="AI17" s="242"/>
    </row>
    <row r="18" spans="1:35" ht="15" customHeight="1">
      <c r="A18" s="209"/>
      <c r="B18" s="204" t="s">
        <v>61</v>
      </c>
      <c r="C18" s="204"/>
      <c r="D18" s="204"/>
      <c r="E18" s="226"/>
      <c r="F18" s="241"/>
      <c r="G18" s="241"/>
      <c r="H18" s="242"/>
      <c r="J18" s="225"/>
      <c r="K18" s="193" t="s">
        <v>61</v>
      </c>
      <c r="L18" s="193"/>
      <c r="M18" s="193"/>
      <c r="N18" s="222"/>
      <c r="O18" s="223"/>
      <c r="P18" s="223"/>
      <c r="Q18" s="224"/>
      <c r="S18" s="225"/>
      <c r="T18" s="193" t="s">
        <v>61</v>
      </c>
      <c r="U18" s="193"/>
      <c r="V18" s="193"/>
      <c r="W18" s="222"/>
      <c r="X18" s="223"/>
      <c r="Y18" s="223"/>
      <c r="Z18" s="224"/>
      <c r="AB18" s="225"/>
      <c r="AC18" s="193" t="s">
        <v>61</v>
      </c>
      <c r="AD18" s="193"/>
      <c r="AE18" s="193"/>
      <c r="AF18" s="226"/>
      <c r="AG18" s="241"/>
      <c r="AH18" s="241"/>
      <c r="AI18" s="242"/>
    </row>
    <row r="19" spans="1:35" ht="15" customHeight="1">
      <c r="A19" s="209"/>
      <c r="B19" s="204" t="s">
        <v>62</v>
      </c>
      <c r="C19" s="204"/>
      <c r="D19" s="204"/>
      <c r="E19" s="226"/>
      <c r="F19" s="241"/>
      <c r="G19" s="241"/>
      <c r="H19" s="242"/>
      <c r="J19" s="225"/>
      <c r="K19" s="193" t="s">
        <v>62</v>
      </c>
      <c r="L19" s="193"/>
      <c r="M19" s="193"/>
      <c r="N19" s="222"/>
      <c r="O19" s="223"/>
      <c r="P19" s="223"/>
      <c r="Q19" s="224"/>
      <c r="S19" s="225"/>
      <c r="T19" s="193" t="s">
        <v>62</v>
      </c>
      <c r="U19" s="193"/>
      <c r="V19" s="193"/>
      <c r="W19" s="222"/>
      <c r="X19" s="223"/>
      <c r="Y19" s="223"/>
      <c r="Z19" s="224"/>
      <c r="AB19" s="225"/>
      <c r="AC19" s="193" t="s">
        <v>62</v>
      </c>
      <c r="AD19" s="193"/>
      <c r="AE19" s="193"/>
      <c r="AF19" s="226"/>
      <c r="AG19" s="241"/>
      <c r="AH19" s="241"/>
      <c r="AI19" s="242"/>
    </row>
    <row r="20" spans="1:35" ht="15" customHeight="1">
      <c r="A20" s="209"/>
      <c r="B20" s="204" t="s">
        <v>63</v>
      </c>
      <c r="C20" s="204"/>
      <c r="D20" s="204"/>
      <c r="E20" s="226">
        <f>賃金集計表!M5</f>
        <v>10000</v>
      </c>
      <c r="F20" s="241"/>
      <c r="G20" s="241"/>
      <c r="H20" s="242"/>
      <c r="J20" s="225"/>
      <c r="K20" s="193" t="s">
        <v>63</v>
      </c>
      <c r="L20" s="193"/>
      <c r="M20" s="193"/>
      <c r="N20" s="222"/>
      <c r="O20" s="223"/>
      <c r="P20" s="223"/>
      <c r="Q20" s="224"/>
      <c r="S20" s="225"/>
      <c r="T20" s="193" t="s">
        <v>63</v>
      </c>
      <c r="U20" s="193"/>
      <c r="V20" s="193"/>
      <c r="W20" s="226">
        <f>賃金集計表!M10</f>
        <v>10000</v>
      </c>
      <c r="X20" s="223"/>
      <c r="Y20" s="223"/>
      <c r="Z20" s="224"/>
      <c r="AB20" s="225"/>
      <c r="AC20" s="193" t="s">
        <v>63</v>
      </c>
      <c r="AD20" s="193"/>
      <c r="AE20" s="193"/>
      <c r="AF20" s="226"/>
      <c r="AG20" s="241"/>
      <c r="AH20" s="241"/>
      <c r="AI20" s="242"/>
    </row>
    <row r="21" spans="1:35" ht="15" customHeight="1">
      <c r="A21" s="209"/>
      <c r="B21" s="204"/>
      <c r="C21" s="204"/>
      <c r="D21" s="204"/>
      <c r="E21" s="205"/>
      <c r="F21" s="238"/>
      <c r="G21" s="238"/>
      <c r="H21" s="239"/>
      <c r="J21" s="225"/>
      <c r="K21" s="193"/>
      <c r="L21" s="193"/>
      <c r="M21" s="193"/>
      <c r="N21" s="208"/>
      <c r="O21" s="206"/>
      <c r="P21" s="206"/>
      <c r="Q21" s="207"/>
      <c r="S21" s="225"/>
      <c r="T21" s="193"/>
      <c r="U21" s="193"/>
      <c r="V21" s="193"/>
      <c r="W21" s="208"/>
      <c r="X21" s="206"/>
      <c r="Y21" s="206"/>
      <c r="Z21" s="207"/>
      <c r="AB21" s="225"/>
      <c r="AC21" s="193"/>
      <c r="AD21" s="193"/>
      <c r="AE21" s="193"/>
      <c r="AF21" s="205"/>
      <c r="AG21" s="238"/>
      <c r="AH21" s="238"/>
      <c r="AI21" s="239"/>
    </row>
    <row r="22" spans="1:35" ht="15" customHeight="1">
      <c r="A22" s="203" t="s">
        <v>64</v>
      </c>
      <c r="B22" s="204"/>
      <c r="C22" s="204"/>
      <c r="D22" s="204"/>
      <c r="E22" s="205">
        <f>賃金集計表!O5</f>
        <v>290000</v>
      </c>
      <c r="F22" s="238"/>
      <c r="G22" s="238"/>
      <c r="H22" s="239"/>
      <c r="J22" s="197" t="s">
        <v>64</v>
      </c>
      <c r="K22" s="193"/>
      <c r="L22" s="193"/>
      <c r="M22" s="193"/>
      <c r="N22" s="205">
        <f>賃金集計表!O6</f>
        <v>200000</v>
      </c>
      <c r="O22" s="206"/>
      <c r="P22" s="206"/>
      <c r="Q22" s="207"/>
      <c r="S22" s="197" t="s">
        <v>64</v>
      </c>
      <c r="T22" s="193"/>
      <c r="U22" s="193"/>
      <c r="V22" s="193"/>
      <c r="W22" s="205">
        <f>賃金集計表!O10</f>
        <v>160000</v>
      </c>
      <c r="X22" s="206"/>
      <c r="Y22" s="206"/>
      <c r="Z22" s="207"/>
      <c r="AB22" s="197" t="s">
        <v>64</v>
      </c>
      <c r="AC22" s="193"/>
      <c r="AD22" s="193"/>
      <c r="AE22" s="193"/>
      <c r="AF22" s="205">
        <f>賃金集計表!O11</f>
        <v>81147</v>
      </c>
      <c r="AG22" s="238"/>
      <c r="AH22" s="238"/>
      <c r="AI22" s="239"/>
    </row>
    <row r="23" spans="1:35" ht="15" customHeight="1">
      <c r="A23" s="209" t="s">
        <v>37</v>
      </c>
      <c r="B23" s="204" t="s">
        <v>65</v>
      </c>
      <c r="C23" s="204"/>
      <c r="D23" s="204"/>
      <c r="E23" s="205">
        <f>賃金集計表!P5</f>
        <v>14042</v>
      </c>
      <c r="F23" s="238"/>
      <c r="G23" s="238"/>
      <c r="H23" s="239"/>
      <c r="J23" s="209" t="s">
        <v>37</v>
      </c>
      <c r="K23" s="193" t="s">
        <v>65</v>
      </c>
      <c r="L23" s="193"/>
      <c r="M23" s="193"/>
      <c r="N23" s="208"/>
      <c r="O23" s="206"/>
      <c r="P23" s="206"/>
      <c r="Q23" s="207"/>
      <c r="S23" s="209" t="s">
        <v>37</v>
      </c>
      <c r="T23" s="193" t="s">
        <v>65</v>
      </c>
      <c r="U23" s="193"/>
      <c r="V23" s="193"/>
      <c r="W23" s="208"/>
      <c r="X23" s="206"/>
      <c r="Y23" s="206"/>
      <c r="Z23" s="207"/>
      <c r="AB23" s="209" t="s">
        <v>37</v>
      </c>
      <c r="AC23" s="193" t="s">
        <v>65</v>
      </c>
      <c r="AD23" s="193"/>
      <c r="AE23" s="193"/>
      <c r="AF23" s="205"/>
      <c r="AG23" s="238"/>
      <c r="AH23" s="238"/>
      <c r="AI23" s="239"/>
    </row>
    <row r="24" spans="1:35" ht="15" customHeight="1">
      <c r="A24" s="209"/>
      <c r="B24" s="204" t="s">
        <v>32</v>
      </c>
      <c r="C24" s="204"/>
      <c r="D24" s="204"/>
      <c r="E24" s="205">
        <f>賃金集計表!Q5</f>
        <v>24464</v>
      </c>
      <c r="F24" s="238"/>
      <c r="G24" s="238"/>
      <c r="H24" s="239"/>
      <c r="J24" s="209"/>
      <c r="K24" s="193" t="s">
        <v>32</v>
      </c>
      <c r="L24" s="193"/>
      <c r="M24" s="193"/>
      <c r="N24" s="208"/>
      <c r="O24" s="206"/>
      <c r="P24" s="206"/>
      <c r="Q24" s="207"/>
      <c r="S24" s="209"/>
      <c r="T24" s="193" t="s">
        <v>32</v>
      </c>
      <c r="U24" s="193"/>
      <c r="V24" s="193"/>
      <c r="W24" s="208"/>
      <c r="X24" s="206"/>
      <c r="Y24" s="206"/>
      <c r="Z24" s="207"/>
      <c r="AB24" s="209"/>
      <c r="AC24" s="193" t="s">
        <v>32</v>
      </c>
      <c r="AD24" s="193"/>
      <c r="AE24" s="193"/>
      <c r="AF24" s="205"/>
      <c r="AG24" s="238"/>
      <c r="AH24" s="238"/>
      <c r="AI24" s="239"/>
    </row>
    <row r="25" spans="1:35" ht="15" customHeight="1">
      <c r="A25" s="209"/>
      <c r="B25" s="204" t="s">
        <v>66</v>
      </c>
      <c r="C25" s="204"/>
      <c r="D25" s="204"/>
      <c r="E25" s="205">
        <f>賃金集計表!R5</f>
        <v>1450</v>
      </c>
      <c r="F25" s="238"/>
      <c r="G25" s="238"/>
      <c r="H25" s="239"/>
      <c r="J25" s="209"/>
      <c r="K25" s="193" t="s">
        <v>66</v>
      </c>
      <c r="L25" s="193"/>
      <c r="M25" s="193"/>
      <c r="N25" s="208"/>
      <c r="O25" s="206"/>
      <c r="P25" s="206"/>
      <c r="Q25" s="207"/>
      <c r="S25" s="209"/>
      <c r="T25" s="193" t="s">
        <v>66</v>
      </c>
      <c r="U25" s="193"/>
      <c r="V25" s="193"/>
      <c r="W25" s="208"/>
      <c r="X25" s="206"/>
      <c r="Y25" s="206"/>
      <c r="Z25" s="207"/>
      <c r="AB25" s="209"/>
      <c r="AC25" s="193" t="s">
        <v>66</v>
      </c>
      <c r="AD25" s="193"/>
      <c r="AE25" s="193"/>
      <c r="AF25" s="205"/>
      <c r="AG25" s="238"/>
      <c r="AH25" s="238"/>
      <c r="AI25" s="239"/>
    </row>
    <row r="26" spans="1:35" ht="15" customHeight="1">
      <c r="A26" s="209"/>
      <c r="B26" s="204" t="s">
        <v>35</v>
      </c>
      <c r="C26" s="204"/>
      <c r="D26" s="204"/>
      <c r="E26" s="205">
        <f>賃金集計表!S5</f>
        <v>4920</v>
      </c>
      <c r="F26" s="238"/>
      <c r="G26" s="238"/>
      <c r="H26" s="239"/>
      <c r="J26" s="209"/>
      <c r="K26" s="193" t="s">
        <v>35</v>
      </c>
      <c r="L26" s="193"/>
      <c r="M26" s="193"/>
      <c r="N26" s="205">
        <f>賃金集計表!S6</f>
        <v>3140</v>
      </c>
      <c r="O26" s="206"/>
      <c r="P26" s="206"/>
      <c r="Q26" s="207"/>
      <c r="S26" s="209"/>
      <c r="T26" s="193" t="s">
        <v>35</v>
      </c>
      <c r="U26" s="193"/>
      <c r="V26" s="193"/>
      <c r="W26" s="205">
        <f>賃金集計表!S10</f>
        <v>3340</v>
      </c>
      <c r="X26" s="206"/>
      <c r="Y26" s="206"/>
      <c r="Z26" s="207"/>
      <c r="AB26" s="209"/>
      <c r="AC26" s="193" t="s">
        <v>35</v>
      </c>
      <c r="AD26" s="193"/>
      <c r="AE26" s="193"/>
      <c r="AF26" s="205"/>
      <c r="AG26" s="238"/>
      <c r="AH26" s="238"/>
      <c r="AI26" s="239"/>
    </row>
    <row r="27" spans="1:35" ht="15" customHeight="1">
      <c r="A27" s="209"/>
      <c r="B27" s="204" t="s">
        <v>34</v>
      </c>
      <c r="C27" s="204"/>
      <c r="D27" s="204"/>
      <c r="E27" s="205">
        <f>賃金集計表!T5</f>
        <v>0</v>
      </c>
      <c r="F27" s="238"/>
      <c r="G27" s="238"/>
      <c r="H27" s="239"/>
      <c r="J27" s="209"/>
      <c r="K27" s="193" t="s">
        <v>34</v>
      </c>
      <c r="L27" s="193"/>
      <c r="M27" s="193"/>
      <c r="N27" s="208"/>
      <c r="O27" s="206"/>
      <c r="P27" s="206"/>
      <c r="Q27" s="207"/>
      <c r="S27" s="209"/>
      <c r="T27" s="193" t="s">
        <v>34</v>
      </c>
      <c r="U27" s="193"/>
      <c r="V27" s="193"/>
      <c r="W27" s="208"/>
      <c r="X27" s="206"/>
      <c r="Y27" s="206"/>
      <c r="Z27" s="207"/>
      <c r="AB27" s="209"/>
      <c r="AC27" s="193" t="s">
        <v>34</v>
      </c>
      <c r="AD27" s="193"/>
      <c r="AE27" s="193"/>
      <c r="AF27" s="205"/>
      <c r="AG27" s="238"/>
      <c r="AH27" s="238"/>
      <c r="AI27" s="239"/>
    </row>
    <row r="28" spans="1:35" ht="15" customHeight="1">
      <c r="A28" s="209"/>
      <c r="B28" s="204"/>
      <c r="C28" s="204"/>
      <c r="D28" s="204"/>
      <c r="E28" s="205"/>
      <c r="F28" s="238"/>
      <c r="G28" s="238"/>
      <c r="H28" s="239"/>
      <c r="J28" s="209"/>
      <c r="K28" s="193"/>
      <c r="L28" s="193"/>
      <c r="M28" s="193"/>
      <c r="N28" s="208"/>
      <c r="O28" s="206"/>
      <c r="P28" s="206"/>
      <c r="Q28" s="207"/>
      <c r="S28" s="209"/>
      <c r="T28" s="193"/>
      <c r="U28" s="193"/>
      <c r="V28" s="193"/>
      <c r="W28" s="208"/>
      <c r="X28" s="206"/>
      <c r="Y28" s="206"/>
      <c r="Z28" s="207"/>
      <c r="AB28" s="209"/>
      <c r="AC28" s="193"/>
      <c r="AD28" s="193"/>
      <c r="AE28" s="193"/>
      <c r="AF28" s="205"/>
      <c r="AG28" s="238"/>
      <c r="AH28" s="238"/>
      <c r="AI28" s="239"/>
    </row>
    <row r="29" spans="1:35" ht="15" customHeight="1">
      <c r="A29" s="209"/>
      <c r="B29" s="204"/>
      <c r="C29" s="204"/>
      <c r="D29" s="204"/>
      <c r="E29" s="205"/>
      <c r="F29" s="238"/>
      <c r="G29" s="238"/>
      <c r="H29" s="239"/>
      <c r="J29" s="209"/>
      <c r="K29" s="193"/>
      <c r="L29" s="193"/>
      <c r="M29" s="193"/>
      <c r="N29" s="208"/>
      <c r="O29" s="206"/>
      <c r="P29" s="206"/>
      <c r="Q29" s="207"/>
      <c r="S29" s="209"/>
      <c r="T29" s="193" t="s">
        <v>94</v>
      </c>
      <c r="U29" s="193"/>
      <c r="V29" s="193"/>
      <c r="W29" s="205">
        <f>賃金集計表!V10</f>
        <v>2100</v>
      </c>
      <c r="X29" s="206"/>
      <c r="Y29" s="206"/>
      <c r="Z29" s="207"/>
      <c r="AB29" s="209"/>
      <c r="AC29" s="193" t="s">
        <v>94</v>
      </c>
      <c r="AD29" s="193"/>
      <c r="AE29" s="193"/>
      <c r="AF29" s="205">
        <f>賃金集計表!V11</f>
        <v>8050</v>
      </c>
      <c r="AG29" s="238"/>
      <c r="AH29" s="238"/>
      <c r="AI29" s="239"/>
    </row>
    <row r="30" spans="1:35" ht="15" customHeight="1">
      <c r="A30" s="209"/>
      <c r="B30" s="204" t="s">
        <v>64</v>
      </c>
      <c r="C30" s="204"/>
      <c r="D30" s="204"/>
      <c r="E30" s="205">
        <f>賃金集計表!W5</f>
        <v>44876</v>
      </c>
      <c r="F30" s="238"/>
      <c r="G30" s="238"/>
      <c r="H30" s="239"/>
      <c r="J30" s="209"/>
      <c r="K30" s="193" t="s">
        <v>64</v>
      </c>
      <c r="L30" s="193"/>
      <c r="M30" s="193"/>
      <c r="N30" s="205">
        <f>賃金集計表!W6</f>
        <v>3140</v>
      </c>
      <c r="O30" s="206"/>
      <c r="P30" s="206"/>
      <c r="Q30" s="207"/>
      <c r="S30" s="209"/>
      <c r="T30" s="193" t="s">
        <v>64</v>
      </c>
      <c r="U30" s="193"/>
      <c r="V30" s="193"/>
      <c r="W30" s="205">
        <f>賃金集計表!W10</f>
        <v>6240</v>
      </c>
      <c r="X30" s="206"/>
      <c r="Y30" s="206"/>
      <c r="Z30" s="207"/>
      <c r="AB30" s="209"/>
      <c r="AC30" s="193" t="s">
        <v>64</v>
      </c>
      <c r="AD30" s="193"/>
      <c r="AE30" s="193"/>
      <c r="AF30" s="205">
        <f>賃金集計表!W11</f>
        <v>8050</v>
      </c>
      <c r="AG30" s="238"/>
      <c r="AH30" s="238"/>
      <c r="AI30" s="239"/>
    </row>
    <row r="31" spans="1:35" ht="15" customHeight="1">
      <c r="A31" s="203" t="s">
        <v>67</v>
      </c>
      <c r="B31" s="204"/>
      <c r="C31" s="204"/>
      <c r="D31" s="204"/>
      <c r="E31" s="205">
        <f>賃金集計表!X5</f>
        <v>245124</v>
      </c>
      <c r="F31" s="238"/>
      <c r="G31" s="238"/>
      <c r="H31" s="239"/>
      <c r="J31" s="197" t="s">
        <v>67</v>
      </c>
      <c r="K31" s="193"/>
      <c r="L31" s="193"/>
      <c r="M31" s="193"/>
      <c r="N31" s="205">
        <f>賃金集計表!X6</f>
        <v>196860</v>
      </c>
      <c r="O31" s="206"/>
      <c r="P31" s="206"/>
      <c r="Q31" s="207"/>
      <c r="S31" s="197" t="s">
        <v>67</v>
      </c>
      <c r="T31" s="193"/>
      <c r="U31" s="193"/>
      <c r="V31" s="193"/>
      <c r="W31" s="205">
        <f>賃金集計表!X10</f>
        <v>153760</v>
      </c>
      <c r="X31" s="206"/>
      <c r="Y31" s="206"/>
      <c r="Z31" s="207"/>
      <c r="AB31" s="197" t="s">
        <v>67</v>
      </c>
      <c r="AC31" s="193"/>
      <c r="AD31" s="193"/>
      <c r="AE31" s="193"/>
      <c r="AF31" s="205">
        <f>賃金集計表!X11</f>
        <v>73097</v>
      </c>
      <c r="AG31" s="238"/>
      <c r="AH31" s="238"/>
      <c r="AI31" s="239"/>
    </row>
    <row r="32" spans="1:35" ht="15" customHeight="1">
      <c r="A32" s="212" t="s">
        <v>68</v>
      </c>
      <c r="B32" s="213"/>
      <c r="C32" s="213"/>
      <c r="D32" s="77"/>
      <c r="E32" s="78"/>
      <c r="F32" s="78"/>
      <c r="G32" s="214" t="s">
        <v>72</v>
      </c>
      <c r="H32" s="215"/>
      <c r="J32" s="212" t="s">
        <v>68</v>
      </c>
      <c r="K32" s="213"/>
      <c r="L32" s="213"/>
      <c r="M32" s="77"/>
      <c r="N32" s="78"/>
      <c r="O32" s="78"/>
      <c r="P32" s="214" t="s">
        <v>72</v>
      </c>
      <c r="Q32" s="215"/>
      <c r="S32" s="212" t="s">
        <v>68</v>
      </c>
      <c r="T32" s="213"/>
      <c r="U32" s="213"/>
      <c r="V32" s="77"/>
      <c r="W32" s="78"/>
      <c r="X32" s="78"/>
      <c r="Y32" s="214" t="s">
        <v>72</v>
      </c>
      <c r="Z32" s="215"/>
      <c r="AB32" s="212" t="s">
        <v>68</v>
      </c>
      <c r="AC32" s="213"/>
      <c r="AD32" s="213"/>
      <c r="AE32" s="77"/>
      <c r="AF32" s="78"/>
      <c r="AG32" s="78"/>
      <c r="AH32" s="214" t="s">
        <v>72</v>
      </c>
      <c r="AI32" s="215"/>
    </row>
    <row r="33" spans="1:35" ht="18" customHeight="1">
      <c r="A33" s="220" t="s">
        <v>39</v>
      </c>
      <c r="B33" s="221"/>
      <c r="C33" s="221"/>
      <c r="D33" s="221"/>
      <c r="E33" s="221"/>
      <c r="F33" s="221"/>
      <c r="G33" s="216"/>
      <c r="H33" s="217"/>
      <c r="J33" s="220" t="s">
        <v>39</v>
      </c>
      <c r="K33" s="221"/>
      <c r="L33" s="221"/>
      <c r="M33" s="221"/>
      <c r="N33" s="221"/>
      <c r="O33" s="221"/>
      <c r="P33" s="216"/>
      <c r="Q33" s="217"/>
      <c r="S33" s="220" t="s">
        <v>39</v>
      </c>
      <c r="T33" s="221"/>
      <c r="U33" s="221"/>
      <c r="V33" s="221"/>
      <c r="W33" s="221"/>
      <c r="X33" s="221"/>
      <c r="Y33" s="216"/>
      <c r="Z33" s="217"/>
      <c r="AB33" s="220" t="s">
        <v>39</v>
      </c>
      <c r="AC33" s="221"/>
      <c r="AD33" s="221"/>
      <c r="AE33" s="221"/>
      <c r="AF33" s="221"/>
      <c r="AG33" s="221"/>
      <c r="AH33" s="216"/>
      <c r="AI33" s="217"/>
    </row>
    <row r="34" spans="1:35" ht="22.5" customHeight="1" thickBot="1">
      <c r="A34" s="210" t="s">
        <v>73</v>
      </c>
      <c r="B34" s="211"/>
      <c r="C34" s="211"/>
      <c r="D34" s="211"/>
      <c r="E34" s="211"/>
      <c r="F34" s="211"/>
      <c r="G34" s="218"/>
      <c r="H34" s="219"/>
      <c r="J34" s="210" t="s">
        <v>73</v>
      </c>
      <c r="K34" s="211"/>
      <c r="L34" s="211"/>
      <c r="M34" s="211"/>
      <c r="N34" s="211"/>
      <c r="O34" s="211"/>
      <c r="P34" s="218"/>
      <c r="Q34" s="219"/>
      <c r="S34" s="210" t="s">
        <v>73</v>
      </c>
      <c r="T34" s="211"/>
      <c r="U34" s="211"/>
      <c r="V34" s="211"/>
      <c r="W34" s="211"/>
      <c r="X34" s="211"/>
      <c r="Y34" s="218"/>
      <c r="Z34" s="219"/>
      <c r="AB34" s="210" t="s">
        <v>73</v>
      </c>
      <c r="AC34" s="211"/>
      <c r="AD34" s="211"/>
      <c r="AE34" s="211"/>
      <c r="AF34" s="211"/>
      <c r="AG34" s="211"/>
      <c r="AH34" s="218"/>
      <c r="AI34" s="219"/>
    </row>
    <row r="35" spans="1:35" ht="28.5" customHeight="1" thickTop="1">
      <c r="A35" s="240" t="s">
        <v>44</v>
      </c>
      <c r="B35" s="240"/>
      <c r="C35" s="240"/>
      <c r="D35" s="240"/>
      <c r="E35" s="240"/>
      <c r="F35" s="240"/>
      <c r="G35" s="240"/>
      <c r="H35" s="240"/>
      <c r="J35" s="240" t="s">
        <v>44</v>
      </c>
      <c r="K35" s="240"/>
      <c r="L35" s="240"/>
      <c r="M35" s="240"/>
      <c r="N35" s="240"/>
      <c r="O35" s="240"/>
      <c r="P35" s="240"/>
      <c r="Q35" s="240"/>
      <c r="S35" s="240" t="s">
        <v>44</v>
      </c>
      <c r="T35" s="240"/>
      <c r="U35" s="240"/>
      <c r="V35" s="240"/>
      <c r="W35" s="240"/>
      <c r="X35" s="240"/>
      <c r="Y35" s="240"/>
      <c r="Z35" s="240"/>
      <c r="AB35" s="240" t="s">
        <v>44</v>
      </c>
      <c r="AC35" s="240"/>
      <c r="AD35" s="240"/>
      <c r="AE35" s="240"/>
      <c r="AF35" s="240"/>
      <c r="AG35" s="240"/>
      <c r="AH35" s="240"/>
      <c r="AI35" s="240"/>
    </row>
    <row r="36" spans="1:35" ht="8.25" customHeight="1">
      <c r="A36" s="67"/>
      <c r="B36" s="67"/>
      <c r="C36" s="67"/>
      <c r="D36" s="67"/>
      <c r="E36" s="67"/>
      <c r="F36" s="67"/>
      <c r="G36" s="67"/>
      <c r="H36" s="67"/>
      <c r="J36" s="67"/>
      <c r="K36" s="67"/>
      <c r="L36" s="67"/>
      <c r="M36" s="67"/>
      <c r="N36" s="67"/>
      <c r="O36" s="67"/>
      <c r="P36" s="67"/>
      <c r="Q36" s="67"/>
      <c r="S36" s="67"/>
      <c r="T36" s="67"/>
      <c r="U36" s="67"/>
      <c r="V36" s="67"/>
      <c r="W36" s="67"/>
      <c r="X36" s="67"/>
      <c r="Y36" s="67"/>
      <c r="Z36" s="67"/>
      <c r="AB36" s="67"/>
      <c r="AC36" s="67"/>
      <c r="AD36" s="67"/>
      <c r="AE36" s="67"/>
      <c r="AF36" s="67"/>
      <c r="AG36" s="67"/>
      <c r="AH36" s="67"/>
      <c r="AI36" s="67"/>
    </row>
    <row r="37" spans="1:35" ht="23.25" customHeight="1">
      <c r="A37" s="67"/>
      <c r="B37" s="67"/>
      <c r="C37" s="79" t="s">
        <v>45</v>
      </c>
      <c r="D37" s="67">
        <v>27</v>
      </c>
      <c r="E37" s="67" t="s">
        <v>46</v>
      </c>
      <c r="F37" s="67">
        <v>3</v>
      </c>
      <c r="G37" s="80" t="s">
        <v>47</v>
      </c>
      <c r="H37" s="67"/>
      <c r="J37" s="67"/>
      <c r="K37" s="67"/>
      <c r="L37" s="67" t="s">
        <v>45</v>
      </c>
      <c r="M37" s="67"/>
      <c r="N37" s="67" t="s">
        <v>46</v>
      </c>
      <c r="O37" s="67"/>
      <c r="P37" s="67" t="s">
        <v>47</v>
      </c>
      <c r="Q37" s="67"/>
      <c r="S37" s="67"/>
      <c r="T37" s="67"/>
      <c r="U37" s="67" t="s">
        <v>45</v>
      </c>
      <c r="V37" s="67"/>
      <c r="W37" s="67" t="s">
        <v>46</v>
      </c>
      <c r="X37" s="67"/>
      <c r="Y37" s="67" t="s">
        <v>47</v>
      </c>
      <c r="Z37" s="67"/>
      <c r="AB37" s="67"/>
      <c r="AC37" s="67"/>
      <c r="AD37" s="67" t="s">
        <v>45</v>
      </c>
      <c r="AE37" s="67"/>
      <c r="AF37" s="67" t="s">
        <v>46</v>
      </c>
      <c r="AG37" s="67"/>
      <c r="AH37" s="67" t="s">
        <v>47</v>
      </c>
      <c r="AI37" s="67"/>
    </row>
    <row r="38" spans="1:35" ht="20.25" customHeight="1">
      <c r="A38" s="68" t="s">
        <v>48</v>
      </c>
      <c r="B38" s="68" t="s">
        <v>49</v>
      </c>
      <c r="C38" s="68" t="s">
        <v>50</v>
      </c>
      <c r="D38" s="68"/>
      <c r="E38" s="68"/>
      <c r="F38" s="67"/>
      <c r="G38" s="67"/>
      <c r="H38" s="67"/>
      <c r="J38" s="68" t="s">
        <v>48</v>
      </c>
      <c r="K38" s="68" t="s">
        <v>49</v>
      </c>
      <c r="L38" s="68" t="s">
        <v>50</v>
      </c>
      <c r="M38" s="68"/>
      <c r="N38" s="68"/>
      <c r="O38" s="67"/>
      <c r="P38" s="67"/>
      <c r="Q38" s="67"/>
      <c r="S38" s="68" t="s">
        <v>48</v>
      </c>
      <c r="T38" s="68" t="s">
        <v>49</v>
      </c>
      <c r="U38" s="68" t="s">
        <v>50</v>
      </c>
      <c r="V38" s="68"/>
      <c r="W38" s="68"/>
      <c r="X38" s="67"/>
      <c r="Y38" s="67"/>
      <c r="Z38" s="67"/>
      <c r="AB38" s="68" t="s">
        <v>48</v>
      </c>
      <c r="AC38" s="68" t="s">
        <v>49</v>
      </c>
      <c r="AD38" s="68" t="s">
        <v>50</v>
      </c>
      <c r="AE38" s="68"/>
      <c r="AF38" s="68"/>
      <c r="AG38" s="67"/>
      <c r="AH38" s="67"/>
      <c r="AI38" s="67"/>
    </row>
    <row r="39" spans="1:35">
      <c r="A39" s="230">
        <f>'3月分'!B22</f>
        <v>0</v>
      </c>
      <c r="B39" s="230"/>
      <c r="C39" s="230"/>
      <c r="D39" s="230"/>
      <c r="E39" s="230"/>
      <c r="F39" s="230"/>
      <c r="G39" s="230"/>
      <c r="H39" s="69"/>
      <c r="J39" s="232"/>
      <c r="K39" s="232"/>
      <c r="L39" s="232"/>
      <c r="M39" s="232"/>
      <c r="N39" s="232"/>
      <c r="O39" s="232"/>
      <c r="P39" s="232"/>
      <c r="Q39" s="69"/>
      <c r="S39" s="232"/>
      <c r="T39" s="232"/>
      <c r="U39" s="232"/>
      <c r="V39" s="232"/>
      <c r="W39" s="232"/>
      <c r="X39" s="232"/>
      <c r="Y39" s="232"/>
      <c r="Z39" s="69"/>
      <c r="AB39" s="232"/>
      <c r="AC39" s="232"/>
      <c r="AD39" s="232"/>
      <c r="AE39" s="232"/>
      <c r="AF39" s="232"/>
      <c r="AG39" s="232"/>
      <c r="AH39" s="232"/>
      <c r="AI39" s="69"/>
    </row>
    <row r="40" spans="1:35">
      <c r="A40" s="231"/>
      <c r="B40" s="231"/>
      <c r="C40" s="231"/>
      <c r="D40" s="231"/>
      <c r="E40" s="231"/>
      <c r="F40" s="231"/>
      <c r="G40" s="231"/>
      <c r="H40" s="68" t="s">
        <v>51</v>
      </c>
      <c r="J40" s="195"/>
      <c r="K40" s="195"/>
      <c r="L40" s="195"/>
      <c r="M40" s="195"/>
      <c r="N40" s="195"/>
      <c r="O40" s="195"/>
      <c r="P40" s="195"/>
      <c r="Q40" s="68" t="s">
        <v>51</v>
      </c>
      <c r="S40" s="195"/>
      <c r="T40" s="195"/>
      <c r="U40" s="195"/>
      <c r="V40" s="195"/>
      <c r="W40" s="195"/>
      <c r="X40" s="195"/>
      <c r="Y40" s="195"/>
      <c r="Z40" s="68" t="s">
        <v>51</v>
      </c>
      <c r="AB40" s="195"/>
      <c r="AC40" s="195"/>
      <c r="AD40" s="195"/>
      <c r="AE40" s="195"/>
      <c r="AF40" s="195"/>
      <c r="AG40" s="195"/>
      <c r="AH40" s="195"/>
      <c r="AI40" s="68" t="s">
        <v>51</v>
      </c>
    </row>
    <row r="41" spans="1:35" ht="6" customHeight="1" thickBot="1">
      <c r="A41" s="67"/>
      <c r="B41" s="67"/>
      <c r="C41" s="67"/>
      <c r="D41" s="67"/>
      <c r="E41" s="67"/>
      <c r="F41" s="67"/>
      <c r="G41" s="67"/>
      <c r="H41" s="67"/>
      <c r="J41" s="67"/>
      <c r="K41" s="67"/>
      <c r="L41" s="67"/>
      <c r="M41" s="67"/>
      <c r="N41" s="67"/>
      <c r="O41" s="67"/>
      <c r="P41" s="67"/>
      <c r="Q41" s="67"/>
      <c r="S41" s="67"/>
      <c r="T41" s="67"/>
      <c r="U41" s="67"/>
      <c r="V41" s="67"/>
      <c r="W41" s="67"/>
      <c r="X41" s="67"/>
      <c r="Y41" s="67"/>
      <c r="Z41" s="67"/>
      <c r="AB41" s="67"/>
      <c r="AC41" s="67"/>
      <c r="AD41" s="67"/>
      <c r="AE41" s="67"/>
      <c r="AF41" s="67"/>
      <c r="AG41" s="67"/>
      <c r="AH41" s="67"/>
      <c r="AI41" s="67"/>
    </row>
    <row r="42" spans="1:35" ht="15" customHeight="1" thickTop="1">
      <c r="A42" s="233" t="s">
        <v>52</v>
      </c>
      <c r="B42" s="234"/>
      <c r="C42" s="234"/>
      <c r="D42" s="234"/>
      <c r="E42" s="235" t="s">
        <v>74</v>
      </c>
      <c r="F42" s="236"/>
      <c r="G42" s="236"/>
      <c r="H42" s="237"/>
      <c r="J42" s="201" t="s">
        <v>52</v>
      </c>
      <c r="K42" s="202"/>
      <c r="L42" s="202"/>
      <c r="M42" s="202"/>
      <c r="N42" s="227"/>
      <c r="O42" s="228"/>
      <c r="P42" s="228"/>
      <c r="Q42" s="229"/>
      <c r="S42" s="201" t="s">
        <v>52</v>
      </c>
      <c r="T42" s="202"/>
      <c r="U42" s="202"/>
      <c r="V42" s="202"/>
      <c r="W42" s="227"/>
      <c r="X42" s="228"/>
      <c r="Y42" s="228"/>
      <c r="Z42" s="229"/>
      <c r="AB42" s="201" t="s">
        <v>52</v>
      </c>
      <c r="AC42" s="202"/>
      <c r="AD42" s="202"/>
      <c r="AE42" s="202"/>
      <c r="AF42" s="227"/>
      <c r="AG42" s="228"/>
      <c r="AH42" s="228"/>
      <c r="AI42" s="229"/>
    </row>
    <row r="43" spans="1:35" ht="15" customHeight="1">
      <c r="A43" s="203" t="s">
        <v>69</v>
      </c>
      <c r="B43" s="204"/>
      <c r="C43" s="204"/>
      <c r="D43" s="204"/>
      <c r="E43" s="70"/>
      <c r="F43" s="71"/>
      <c r="G43" s="71">
        <f>'3月分'!AH22</f>
        <v>0</v>
      </c>
      <c r="H43" s="72" t="s">
        <v>9</v>
      </c>
      <c r="J43" s="197" t="s">
        <v>69</v>
      </c>
      <c r="K43" s="193"/>
      <c r="L43" s="193"/>
      <c r="M43" s="193"/>
      <c r="N43" s="70"/>
      <c r="O43" s="71"/>
      <c r="P43" s="71"/>
      <c r="Q43" s="72" t="s">
        <v>9</v>
      </c>
      <c r="S43" s="197" t="s">
        <v>69</v>
      </c>
      <c r="T43" s="193"/>
      <c r="U43" s="193"/>
      <c r="V43" s="193"/>
      <c r="W43" s="70"/>
      <c r="X43" s="71"/>
      <c r="Y43" s="71"/>
      <c r="Z43" s="72" t="s">
        <v>9</v>
      </c>
      <c r="AB43" s="197" t="s">
        <v>69</v>
      </c>
      <c r="AC43" s="193"/>
      <c r="AD43" s="193"/>
      <c r="AE43" s="193"/>
      <c r="AF43" s="70"/>
      <c r="AG43" s="71"/>
      <c r="AH43" s="71"/>
      <c r="AI43" s="72" t="s">
        <v>9</v>
      </c>
    </row>
    <row r="44" spans="1:35" ht="15" customHeight="1">
      <c r="A44" s="203" t="s">
        <v>53</v>
      </c>
      <c r="B44" s="204"/>
      <c r="C44" s="204"/>
      <c r="D44" s="204"/>
      <c r="E44" s="70">
        <v>10</v>
      </c>
      <c r="F44" s="73" t="s">
        <v>71</v>
      </c>
      <c r="G44" s="70">
        <v>38</v>
      </c>
      <c r="H44" s="72" t="s">
        <v>70</v>
      </c>
      <c r="J44" s="197" t="s">
        <v>53</v>
      </c>
      <c r="K44" s="193"/>
      <c r="L44" s="193"/>
      <c r="M44" s="193"/>
      <c r="N44" s="70"/>
      <c r="O44" s="73" t="s">
        <v>71</v>
      </c>
      <c r="P44" s="70"/>
      <c r="Q44" s="72" t="s">
        <v>70</v>
      </c>
      <c r="S44" s="197" t="s">
        <v>53</v>
      </c>
      <c r="T44" s="193"/>
      <c r="U44" s="193"/>
      <c r="V44" s="193"/>
      <c r="W44" s="70"/>
      <c r="X44" s="73" t="s">
        <v>71</v>
      </c>
      <c r="Y44" s="70"/>
      <c r="Z44" s="72" t="s">
        <v>70</v>
      </c>
      <c r="AB44" s="197" t="s">
        <v>53</v>
      </c>
      <c r="AC44" s="193"/>
      <c r="AD44" s="193"/>
      <c r="AE44" s="193"/>
      <c r="AF44" s="70"/>
      <c r="AG44" s="73" t="s">
        <v>71</v>
      </c>
      <c r="AH44" s="70"/>
      <c r="AI44" s="72" t="s">
        <v>70</v>
      </c>
    </row>
    <row r="45" spans="1:35" ht="15" customHeight="1">
      <c r="A45" s="203" t="s">
        <v>54</v>
      </c>
      <c r="B45" s="204"/>
      <c r="C45" s="204"/>
      <c r="D45" s="204"/>
      <c r="E45" s="70"/>
      <c r="F45" s="73" t="s">
        <v>71</v>
      </c>
      <c r="G45" s="70"/>
      <c r="H45" s="72" t="s">
        <v>70</v>
      </c>
      <c r="J45" s="197" t="s">
        <v>54</v>
      </c>
      <c r="K45" s="193"/>
      <c r="L45" s="193"/>
      <c r="M45" s="193"/>
      <c r="N45" s="70"/>
      <c r="O45" s="73" t="s">
        <v>71</v>
      </c>
      <c r="P45" s="70"/>
      <c r="Q45" s="72" t="s">
        <v>70</v>
      </c>
      <c r="S45" s="197" t="s">
        <v>54</v>
      </c>
      <c r="T45" s="193"/>
      <c r="U45" s="193"/>
      <c r="V45" s="193"/>
      <c r="W45" s="70"/>
      <c r="X45" s="73" t="s">
        <v>71</v>
      </c>
      <c r="Y45" s="70"/>
      <c r="Z45" s="72" t="s">
        <v>70</v>
      </c>
      <c r="AB45" s="197" t="s">
        <v>54</v>
      </c>
      <c r="AC45" s="193"/>
      <c r="AD45" s="193"/>
      <c r="AE45" s="193"/>
      <c r="AF45" s="70"/>
      <c r="AG45" s="73" t="s">
        <v>71</v>
      </c>
      <c r="AH45" s="70"/>
      <c r="AI45" s="72" t="s">
        <v>70</v>
      </c>
    </row>
    <row r="46" spans="1:35" ht="15" customHeight="1">
      <c r="A46" s="203" t="s">
        <v>55</v>
      </c>
      <c r="B46" s="204"/>
      <c r="C46" s="204"/>
      <c r="D46" s="204"/>
      <c r="E46" s="70"/>
      <c r="F46" s="73" t="s">
        <v>71</v>
      </c>
      <c r="G46" s="70"/>
      <c r="H46" s="72" t="s">
        <v>70</v>
      </c>
      <c r="J46" s="197" t="s">
        <v>55</v>
      </c>
      <c r="K46" s="193"/>
      <c r="L46" s="193"/>
      <c r="M46" s="193"/>
      <c r="N46" s="70"/>
      <c r="O46" s="73" t="s">
        <v>71</v>
      </c>
      <c r="P46" s="70"/>
      <c r="Q46" s="72" t="s">
        <v>70</v>
      </c>
      <c r="S46" s="197" t="s">
        <v>55</v>
      </c>
      <c r="T46" s="193"/>
      <c r="U46" s="193"/>
      <c r="V46" s="193"/>
      <c r="W46" s="70"/>
      <c r="X46" s="73" t="s">
        <v>71</v>
      </c>
      <c r="Y46" s="70"/>
      <c r="Z46" s="72" t="s">
        <v>70</v>
      </c>
      <c r="AB46" s="197" t="s">
        <v>55</v>
      </c>
      <c r="AC46" s="193"/>
      <c r="AD46" s="193"/>
      <c r="AE46" s="193"/>
      <c r="AF46" s="70"/>
      <c r="AG46" s="73" t="s">
        <v>71</v>
      </c>
      <c r="AH46" s="70"/>
      <c r="AI46" s="72" t="s">
        <v>70</v>
      </c>
    </row>
    <row r="47" spans="1:35" ht="15" customHeight="1">
      <c r="A47" s="203" t="s">
        <v>56</v>
      </c>
      <c r="B47" s="204"/>
      <c r="C47" s="204"/>
      <c r="D47" s="204"/>
      <c r="E47" s="74"/>
      <c r="F47" s="75" t="s">
        <v>71</v>
      </c>
      <c r="G47" s="74"/>
      <c r="H47" s="76" t="s">
        <v>70</v>
      </c>
      <c r="J47" s="197" t="s">
        <v>56</v>
      </c>
      <c r="K47" s="193"/>
      <c r="L47" s="193"/>
      <c r="M47" s="193"/>
      <c r="N47" s="74"/>
      <c r="O47" s="75" t="s">
        <v>71</v>
      </c>
      <c r="P47" s="74"/>
      <c r="Q47" s="76" t="s">
        <v>70</v>
      </c>
      <c r="S47" s="197" t="s">
        <v>56</v>
      </c>
      <c r="T47" s="193"/>
      <c r="U47" s="193"/>
      <c r="V47" s="193"/>
      <c r="W47" s="74"/>
      <c r="X47" s="75" t="s">
        <v>71</v>
      </c>
      <c r="Y47" s="74"/>
      <c r="Z47" s="76" t="s">
        <v>70</v>
      </c>
      <c r="AB47" s="197" t="s">
        <v>56</v>
      </c>
      <c r="AC47" s="193"/>
      <c r="AD47" s="193"/>
      <c r="AE47" s="193"/>
      <c r="AF47" s="74"/>
      <c r="AG47" s="75" t="s">
        <v>71</v>
      </c>
      <c r="AH47" s="74"/>
      <c r="AI47" s="76" t="s">
        <v>70</v>
      </c>
    </row>
    <row r="48" spans="1:35" ht="15" customHeight="1">
      <c r="A48" s="203" t="s">
        <v>57</v>
      </c>
      <c r="B48" s="204"/>
      <c r="C48" s="204"/>
      <c r="D48" s="204"/>
      <c r="E48" s="226">
        <f>賃金集計表!H12</f>
        <v>8507</v>
      </c>
      <c r="F48" s="223"/>
      <c r="G48" s="223"/>
      <c r="H48" s="224"/>
      <c r="J48" s="197" t="s">
        <v>57</v>
      </c>
      <c r="K48" s="193"/>
      <c r="L48" s="193"/>
      <c r="M48" s="193"/>
      <c r="N48" s="198"/>
      <c r="O48" s="199"/>
      <c r="P48" s="199"/>
      <c r="Q48" s="200"/>
      <c r="S48" s="197" t="s">
        <v>57</v>
      </c>
      <c r="T48" s="193"/>
      <c r="U48" s="193"/>
      <c r="V48" s="193"/>
      <c r="W48" s="198"/>
      <c r="X48" s="199"/>
      <c r="Y48" s="199"/>
      <c r="Z48" s="200"/>
      <c r="AB48" s="197" t="s">
        <v>57</v>
      </c>
      <c r="AC48" s="193"/>
      <c r="AD48" s="193"/>
      <c r="AE48" s="193"/>
      <c r="AF48" s="198"/>
      <c r="AG48" s="199"/>
      <c r="AH48" s="199"/>
      <c r="AI48" s="200"/>
    </row>
    <row r="49" spans="1:35" ht="15" customHeight="1">
      <c r="A49" s="203" t="s">
        <v>58</v>
      </c>
      <c r="B49" s="204"/>
      <c r="C49" s="204"/>
      <c r="D49" s="204"/>
      <c r="E49" s="222"/>
      <c r="F49" s="223"/>
      <c r="G49" s="223"/>
      <c r="H49" s="224"/>
      <c r="J49" s="203" t="s">
        <v>58</v>
      </c>
      <c r="K49" s="204"/>
      <c r="L49" s="204"/>
      <c r="M49" s="204"/>
      <c r="N49" s="198"/>
      <c r="O49" s="199"/>
      <c r="P49" s="199"/>
      <c r="Q49" s="200"/>
      <c r="S49" s="203" t="s">
        <v>58</v>
      </c>
      <c r="T49" s="204"/>
      <c r="U49" s="204"/>
      <c r="V49" s="204"/>
      <c r="W49" s="198"/>
      <c r="X49" s="199"/>
      <c r="Y49" s="199"/>
      <c r="Z49" s="200"/>
      <c r="AB49" s="203" t="s">
        <v>58</v>
      </c>
      <c r="AC49" s="204"/>
      <c r="AD49" s="204"/>
      <c r="AE49" s="204"/>
      <c r="AF49" s="198"/>
      <c r="AG49" s="199"/>
      <c r="AH49" s="199"/>
      <c r="AI49" s="200"/>
    </row>
    <row r="50" spans="1:35" ht="15" customHeight="1">
      <c r="A50" s="209" t="s">
        <v>30</v>
      </c>
      <c r="B50" s="204" t="s">
        <v>60</v>
      </c>
      <c r="C50" s="204"/>
      <c r="D50" s="204"/>
      <c r="E50" s="222"/>
      <c r="F50" s="223"/>
      <c r="G50" s="223"/>
      <c r="H50" s="224"/>
      <c r="J50" s="225" t="s">
        <v>30</v>
      </c>
      <c r="K50" s="193" t="s">
        <v>60</v>
      </c>
      <c r="L50" s="193"/>
      <c r="M50" s="193"/>
      <c r="N50" s="198"/>
      <c r="O50" s="199"/>
      <c r="P50" s="199"/>
      <c r="Q50" s="200"/>
      <c r="S50" s="225" t="s">
        <v>30</v>
      </c>
      <c r="T50" s="193" t="s">
        <v>60</v>
      </c>
      <c r="U50" s="193"/>
      <c r="V50" s="193"/>
      <c r="W50" s="198"/>
      <c r="X50" s="199"/>
      <c r="Y50" s="199"/>
      <c r="Z50" s="200"/>
      <c r="AB50" s="225" t="s">
        <v>30</v>
      </c>
      <c r="AC50" s="193" t="s">
        <v>60</v>
      </c>
      <c r="AD50" s="193"/>
      <c r="AE50" s="193"/>
      <c r="AF50" s="198"/>
      <c r="AG50" s="199"/>
      <c r="AH50" s="199"/>
      <c r="AI50" s="200"/>
    </row>
    <row r="51" spans="1:35" ht="15" customHeight="1">
      <c r="A51" s="209"/>
      <c r="B51" s="204" t="s">
        <v>59</v>
      </c>
      <c r="C51" s="204"/>
      <c r="D51" s="204"/>
      <c r="E51" s="222"/>
      <c r="F51" s="223"/>
      <c r="G51" s="223"/>
      <c r="H51" s="224"/>
      <c r="J51" s="225"/>
      <c r="K51" s="193" t="s">
        <v>59</v>
      </c>
      <c r="L51" s="193"/>
      <c r="M51" s="193"/>
      <c r="N51" s="198"/>
      <c r="O51" s="199"/>
      <c r="P51" s="199"/>
      <c r="Q51" s="200"/>
      <c r="S51" s="225"/>
      <c r="T51" s="193" t="s">
        <v>59</v>
      </c>
      <c r="U51" s="193"/>
      <c r="V51" s="193"/>
      <c r="W51" s="198"/>
      <c r="X51" s="199"/>
      <c r="Y51" s="199"/>
      <c r="Z51" s="200"/>
      <c r="AB51" s="225"/>
      <c r="AC51" s="193" t="s">
        <v>59</v>
      </c>
      <c r="AD51" s="193"/>
      <c r="AE51" s="193"/>
      <c r="AF51" s="198"/>
      <c r="AG51" s="199"/>
      <c r="AH51" s="199"/>
      <c r="AI51" s="200"/>
    </row>
    <row r="52" spans="1:35" ht="15" customHeight="1">
      <c r="A52" s="209"/>
      <c r="B52" s="204" t="s">
        <v>61</v>
      </c>
      <c r="C52" s="204"/>
      <c r="D52" s="204"/>
      <c r="E52" s="222"/>
      <c r="F52" s="223"/>
      <c r="G52" s="223"/>
      <c r="H52" s="224"/>
      <c r="J52" s="225"/>
      <c r="K52" s="193" t="s">
        <v>61</v>
      </c>
      <c r="L52" s="193"/>
      <c r="M52" s="193"/>
      <c r="N52" s="198"/>
      <c r="O52" s="199"/>
      <c r="P52" s="199"/>
      <c r="Q52" s="200"/>
      <c r="S52" s="225"/>
      <c r="T52" s="193" t="s">
        <v>61</v>
      </c>
      <c r="U52" s="193"/>
      <c r="V52" s="193"/>
      <c r="W52" s="198"/>
      <c r="X52" s="199"/>
      <c r="Y52" s="199"/>
      <c r="Z52" s="200"/>
      <c r="AB52" s="225"/>
      <c r="AC52" s="193" t="s">
        <v>61</v>
      </c>
      <c r="AD52" s="193"/>
      <c r="AE52" s="193"/>
      <c r="AF52" s="198"/>
      <c r="AG52" s="199"/>
      <c r="AH52" s="199"/>
      <c r="AI52" s="200"/>
    </row>
    <row r="53" spans="1:35" ht="15" customHeight="1">
      <c r="A53" s="209"/>
      <c r="B53" s="204" t="s">
        <v>62</v>
      </c>
      <c r="C53" s="204"/>
      <c r="D53" s="204"/>
      <c r="E53" s="222"/>
      <c r="F53" s="223"/>
      <c r="G53" s="223"/>
      <c r="H53" s="224"/>
      <c r="J53" s="225"/>
      <c r="K53" s="193" t="s">
        <v>62</v>
      </c>
      <c r="L53" s="193"/>
      <c r="M53" s="193"/>
      <c r="N53" s="198"/>
      <c r="O53" s="199"/>
      <c r="P53" s="199"/>
      <c r="Q53" s="200"/>
      <c r="S53" s="225"/>
      <c r="T53" s="193" t="s">
        <v>62</v>
      </c>
      <c r="U53" s="193"/>
      <c r="V53" s="193"/>
      <c r="W53" s="198"/>
      <c r="X53" s="199"/>
      <c r="Y53" s="199"/>
      <c r="Z53" s="200"/>
      <c r="AB53" s="225"/>
      <c r="AC53" s="193" t="s">
        <v>62</v>
      </c>
      <c r="AD53" s="193"/>
      <c r="AE53" s="193"/>
      <c r="AF53" s="198"/>
      <c r="AG53" s="199"/>
      <c r="AH53" s="199"/>
      <c r="AI53" s="200"/>
    </row>
    <row r="54" spans="1:35" ht="15" customHeight="1">
      <c r="A54" s="209"/>
      <c r="B54" s="204" t="s">
        <v>63</v>
      </c>
      <c r="C54" s="204"/>
      <c r="D54" s="204"/>
      <c r="E54" s="222"/>
      <c r="F54" s="223"/>
      <c r="G54" s="223"/>
      <c r="H54" s="224"/>
      <c r="J54" s="225"/>
      <c r="K54" s="193" t="s">
        <v>63</v>
      </c>
      <c r="L54" s="193"/>
      <c r="M54" s="193"/>
      <c r="N54" s="198"/>
      <c r="O54" s="199"/>
      <c r="P54" s="199"/>
      <c r="Q54" s="200"/>
      <c r="S54" s="225"/>
      <c r="T54" s="193" t="s">
        <v>63</v>
      </c>
      <c r="U54" s="193"/>
      <c r="V54" s="193"/>
      <c r="W54" s="198"/>
      <c r="X54" s="199"/>
      <c r="Y54" s="199"/>
      <c r="Z54" s="200"/>
      <c r="AB54" s="225"/>
      <c r="AC54" s="193" t="s">
        <v>63</v>
      </c>
      <c r="AD54" s="193"/>
      <c r="AE54" s="193"/>
      <c r="AF54" s="198"/>
      <c r="AG54" s="199"/>
      <c r="AH54" s="199"/>
      <c r="AI54" s="200"/>
    </row>
    <row r="55" spans="1:35" ht="15" customHeight="1">
      <c r="A55" s="209"/>
      <c r="B55" s="204"/>
      <c r="C55" s="204"/>
      <c r="D55" s="204"/>
      <c r="E55" s="208"/>
      <c r="F55" s="206"/>
      <c r="G55" s="206"/>
      <c r="H55" s="207"/>
      <c r="J55" s="225"/>
      <c r="K55" s="193"/>
      <c r="L55" s="193"/>
      <c r="M55" s="193"/>
      <c r="N55" s="194"/>
      <c r="O55" s="195"/>
      <c r="P55" s="195"/>
      <c r="Q55" s="196"/>
      <c r="S55" s="225"/>
      <c r="T55" s="193"/>
      <c r="U55" s="193"/>
      <c r="V55" s="193"/>
      <c r="W55" s="194"/>
      <c r="X55" s="195"/>
      <c r="Y55" s="195"/>
      <c r="Z55" s="196"/>
      <c r="AB55" s="225"/>
      <c r="AC55" s="193"/>
      <c r="AD55" s="193"/>
      <c r="AE55" s="193"/>
      <c r="AF55" s="194"/>
      <c r="AG55" s="195"/>
      <c r="AH55" s="195"/>
      <c r="AI55" s="196"/>
    </row>
    <row r="56" spans="1:35" ht="15" customHeight="1">
      <c r="A56" s="203" t="s">
        <v>64</v>
      </c>
      <c r="B56" s="204"/>
      <c r="C56" s="204"/>
      <c r="D56" s="204"/>
      <c r="E56" s="205">
        <f>賃金集計表!X12</f>
        <v>8507</v>
      </c>
      <c r="F56" s="206"/>
      <c r="G56" s="206"/>
      <c r="H56" s="207"/>
      <c r="J56" s="197" t="s">
        <v>64</v>
      </c>
      <c r="K56" s="193"/>
      <c r="L56" s="193"/>
      <c r="M56" s="193"/>
      <c r="N56" s="194"/>
      <c r="O56" s="195"/>
      <c r="P56" s="195"/>
      <c r="Q56" s="196"/>
      <c r="S56" s="197" t="s">
        <v>64</v>
      </c>
      <c r="T56" s="193"/>
      <c r="U56" s="193"/>
      <c r="V56" s="193"/>
      <c r="W56" s="194"/>
      <c r="X56" s="195"/>
      <c r="Y56" s="195"/>
      <c r="Z56" s="196"/>
      <c r="AB56" s="197" t="s">
        <v>64</v>
      </c>
      <c r="AC56" s="193"/>
      <c r="AD56" s="193"/>
      <c r="AE56" s="193"/>
      <c r="AF56" s="194"/>
      <c r="AG56" s="195"/>
      <c r="AH56" s="195"/>
      <c r="AI56" s="196"/>
    </row>
    <row r="57" spans="1:35" ht="15" customHeight="1">
      <c r="A57" s="209" t="s">
        <v>37</v>
      </c>
      <c r="B57" s="204" t="s">
        <v>65</v>
      </c>
      <c r="C57" s="204"/>
      <c r="D57" s="204"/>
      <c r="E57" s="208"/>
      <c r="F57" s="206"/>
      <c r="G57" s="206"/>
      <c r="H57" s="207"/>
      <c r="J57" s="209" t="s">
        <v>37</v>
      </c>
      <c r="K57" s="193" t="s">
        <v>65</v>
      </c>
      <c r="L57" s="193"/>
      <c r="M57" s="193"/>
      <c r="N57" s="194"/>
      <c r="O57" s="195"/>
      <c r="P57" s="195"/>
      <c r="Q57" s="196"/>
      <c r="S57" s="209" t="s">
        <v>37</v>
      </c>
      <c r="T57" s="193" t="s">
        <v>65</v>
      </c>
      <c r="U57" s="193"/>
      <c r="V57" s="193"/>
      <c r="W57" s="194"/>
      <c r="X57" s="195"/>
      <c r="Y57" s="195"/>
      <c r="Z57" s="196"/>
      <c r="AB57" s="209" t="s">
        <v>37</v>
      </c>
      <c r="AC57" s="193" t="s">
        <v>65</v>
      </c>
      <c r="AD57" s="193"/>
      <c r="AE57" s="193"/>
      <c r="AF57" s="194"/>
      <c r="AG57" s="195"/>
      <c r="AH57" s="195"/>
      <c r="AI57" s="196"/>
    </row>
    <row r="58" spans="1:35" ht="15" customHeight="1">
      <c r="A58" s="209"/>
      <c r="B58" s="204" t="s">
        <v>32</v>
      </c>
      <c r="C58" s="204"/>
      <c r="D58" s="204"/>
      <c r="E58" s="208"/>
      <c r="F58" s="206"/>
      <c r="G58" s="206"/>
      <c r="H58" s="207"/>
      <c r="J58" s="209"/>
      <c r="K58" s="193" t="s">
        <v>32</v>
      </c>
      <c r="L58" s="193"/>
      <c r="M58" s="193"/>
      <c r="N58" s="194"/>
      <c r="O58" s="195"/>
      <c r="P58" s="195"/>
      <c r="Q58" s="196"/>
      <c r="S58" s="209"/>
      <c r="T58" s="193" t="s">
        <v>32</v>
      </c>
      <c r="U58" s="193"/>
      <c r="V58" s="193"/>
      <c r="W58" s="194"/>
      <c r="X58" s="195"/>
      <c r="Y58" s="195"/>
      <c r="Z58" s="196"/>
      <c r="AB58" s="209"/>
      <c r="AC58" s="193" t="s">
        <v>32</v>
      </c>
      <c r="AD58" s="193"/>
      <c r="AE58" s="193"/>
      <c r="AF58" s="194"/>
      <c r="AG58" s="195"/>
      <c r="AH58" s="195"/>
      <c r="AI58" s="196"/>
    </row>
    <row r="59" spans="1:35" ht="15" customHeight="1">
      <c r="A59" s="209"/>
      <c r="B59" s="204" t="s">
        <v>66</v>
      </c>
      <c r="C59" s="204"/>
      <c r="D59" s="204"/>
      <c r="E59" s="208"/>
      <c r="F59" s="206"/>
      <c r="G59" s="206"/>
      <c r="H59" s="207"/>
      <c r="J59" s="209"/>
      <c r="K59" s="193" t="s">
        <v>66</v>
      </c>
      <c r="L59" s="193"/>
      <c r="M59" s="193"/>
      <c r="N59" s="194"/>
      <c r="O59" s="195"/>
      <c r="P59" s="195"/>
      <c r="Q59" s="196"/>
      <c r="S59" s="209"/>
      <c r="T59" s="193" t="s">
        <v>66</v>
      </c>
      <c r="U59" s="193"/>
      <c r="V59" s="193"/>
      <c r="W59" s="194"/>
      <c r="X59" s="195"/>
      <c r="Y59" s="195"/>
      <c r="Z59" s="196"/>
      <c r="AB59" s="209"/>
      <c r="AC59" s="193" t="s">
        <v>66</v>
      </c>
      <c r="AD59" s="193"/>
      <c r="AE59" s="193"/>
      <c r="AF59" s="194"/>
      <c r="AG59" s="195"/>
      <c r="AH59" s="195"/>
      <c r="AI59" s="196"/>
    </row>
    <row r="60" spans="1:35" ht="15" customHeight="1">
      <c r="A60" s="209"/>
      <c r="B60" s="204" t="s">
        <v>35</v>
      </c>
      <c r="C60" s="204"/>
      <c r="D60" s="204"/>
      <c r="E60" s="208"/>
      <c r="F60" s="206"/>
      <c r="G60" s="206"/>
      <c r="H60" s="207"/>
      <c r="J60" s="209"/>
      <c r="K60" s="193" t="s">
        <v>35</v>
      </c>
      <c r="L60" s="193"/>
      <c r="M60" s="193"/>
      <c r="N60" s="194"/>
      <c r="O60" s="195"/>
      <c r="P60" s="195"/>
      <c r="Q60" s="196"/>
      <c r="S60" s="209"/>
      <c r="T60" s="193" t="s">
        <v>35</v>
      </c>
      <c r="U60" s="193"/>
      <c r="V60" s="193"/>
      <c r="W60" s="194"/>
      <c r="X60" s="195"/>
      <c r="Y60" s="195"/>
      <c r="Z60" s="196"/>
      <c r="AB60" s="209"/>
      <c r="AC60" s="193" t="s">
        <v>35</v>
      </c>
      <c r="AD60" s="193"/>
      <c r="AE60" s="193"/>
      <c r="AF60" s="194"/>
      <c r="AG60" s="195"/>
      <c r="AH60" s="195"/>
      <c r="AI60" s="196"/>
    </row>
    <row r="61" spans="1:35" ht="15" customHeight="1">
      <c r="A61" s="209"/>
      <c r="B61" s="204" t="s">
        <v>34</v>
      </c>
      <c r="C61" s="204"/>
      <c r="D61" s="204"/>
      <c r="E61" s="208"/>
      <c r="F61" s="206"/>
      <c r="G61" s="206"/>
      <c r="H61" s="207"/>
      <c r="J61" s="209"/>
      <c r="K61" s="193" t="s">
        <v>34</v>
      </c>
      <c r="L61" s="193"/>
      <c r="M61" s="193"/>
      <c r="N61" s="194"/>
      <c r="O61" s="195"/>
      <c r="P61" s="195"/>
      <c r="Q61" s="196"/>
      <c r="S61" s="209"/>
      <c r="T61" s="193" t="s">
        <v>34</v>
      </c>
      <c r="U61" s="193"/>
      <c r="V61" s="193"/>
      <c r="W61" s="194"/>
      <c r="X61" s="195"/>
      <c r="Y61" s="195"/>
      <c r="Z61" s="196"/>
      <c r="AB61" s="209"/>
      <c r="AC61" s="193" t="s">
        <v>34</v>
      </c>
      <c r="AD61" s="193"/>
      <c r="AE61" s="193"/>
      <c r="AF61" s="194"/>
      <c r="AG61" s="195"/>
      <c r="AH61" s="195"/>
      <c r="AI61" s="196"/>
    </row>
    <row r="62" spans="1:35" ht="15" customHeight="1">
      <c r="A62" s="209"/>
      <c r="B62" s="204"/>
      <c r="C62" s="204"/>
      <c r="D62" s="204"/>
      <c r="E62" s="208"/>
      <c r="F62" s="206"/>
      <c r="G62" s="206"/>
      <c r="H62" s="207"/>
      <c r="J62" s="209"/>
      <c r="K62" s="193"/>
      <c r="L62" s="193"/>
      <c r="M62" s="193"/>
      <c r="N62" s="194"/>
      <c r="O62" s="195"/>
      <c r="P62" s="195"/>
      <c r="Q62" s="196"/>
      <c r="S62" s="209"/>
      <c r="T62" s="193"/>
      <c r="U62" s="193"/>
      <c r="V62" s="193"/>
      <c r="W62" s="194"/>
      <c r="X62" s="195"/>
      <c r="Y62" s="195"/>
      <c r="Z62" s="196"/>
      <c r="AB62" s="209"/>
      <c r="AC62" s="193"/>
      <c r="AD62" s="193"/>
      <c r="AE62" s="193"/>
      <c r="AF62" s="194"/>
      <c r="AG62" s="195"/>
      <c r="AH62" s="195"/>
      <c r="AI62" s="196"/>
    </row>
    <row r="63" spans="1:35" ht="15" customHeight="1">
      <c r="A63" s="209"/>
      <c r="B63" s="204"/>
      <c r="C63" s="204"/>
      <c r="D63" s="204"/>
      <c r="E63" s="208"/>
      <c r="F63" s="206"/>
      <c r="G63" s="206"/>
      <c r="H63" s="207"/>
      <c r="J63" s="209"/>
      <c r="K63" s="193"/>
      <c r="L63" s="193"/>
      <c r="M63" s="193"/>
      <c r="N63" s="194"/>
      <c r="O63" s="195"/>
      <c r="P63" s="195"/>
      <c r="Q63" s="196"/>
      <c r="S63" s="209"/>
      <c r="T63" s="193"/>
      <c r="U63" s="193"/>
      <c r="V63" s="193"/>
      <c r="W63" s="194"/>
      <c r="X63" s="195"/>
      <c r="Y63" s="195"/>
      <c r="Z63" s="196"/>
      <c r="AB63" s="209"/>
      <c r="AC63" s="193"/>
      <c r="AD63" s="193"/>
      <c r="AE63" s="193"/>
      <c r="AF63" s="194"/>
      <c r="AG63" s="195"/>
      <c r="AH63" s="195"/>
      <c r="AI63" s="196"/>
    </row>
    <row r="64" spans="1:35" ht="15" customHeight="1">
      <c r="A64" s="209"/>
      <c r="B64" s="204" t="s">
        <v>64</v>
      </c>
      <c r="C64" s="204"/>
      <c r="D64" s="204"/>
      <c r="E64" s="208"/>
      <c r="F64" s="206"/>
      <c r="G64" s="206"/>
      <c r="H64" s="207"/>
      <c r="J64" s="209"/>
      <c r="K64" s="193" t="s">
        <v>64</v>
      </c>
      <c r="L64" s="193"/>
      <c r="M64" s="193"/>
      <c r="N64" s="194"/>
      <c r="O64" s="195"/>
      <c r="P64" s="195"/>
      <c r="Q64" s="196"/>
      <c r="S64" s="209"/>
      <c r="T64" s="193" t="s">
        <v>64</v>
      </c>
      <c r="U64" s="193"/>
      <c r="V64" s="193"/>
      <c r="W64" s="194"/>
      <c r="X64" s="195"/>
      <c r="Y64" s="195"/>
      <c r="Z64" s="196"/>
      <c r="AB64" s="209"/>
      <c r="AC64" s="193" t="s">
        <v>64</v>
      </c>
      <c r="AD64" s="193"/>
      <c r="AE64" s="193"/>
      <c r="AF64" s="194"/>
      <c r="AG64" s="195"/>
      <c r="AH64" s="195"/>
      <c r="AI64" s="196"/>
    </row>
    <row r="65" spans="1:35" ht="15" customHeight="1">
      <c r="A65" s="203" t="s">
        <v>67</v>
      </c>
      <c r="B65" s="204"/>
      <c r="C65" s="204"/>
      <c r="D65" s="204"/>
      <c r="E65" s="205">
        <f>賃金集計表!X12</f>
        <v>8507</v>
      </c>
      <c r="F65" s="206"/>
      <c r="G65" s="206"/>
      <c r="H65" s="207"/>
      <c r="J65" s="197" t="s">
        <v>67</v>
      </c>
      <c r="K65" s="193"/>
      <c r="L65" s="193"/>
      <c r="M65" s="193"/>
      <c r="N65" s="194"/>
      <c r="O65" s="195"/>
      <c r="P65" s="195"/>
      <c r="Q65" s="196"/>
      <c r="S65" s="197" t="s">
        <v>67</v>
      </c>
      <c r="T65" s="193"/>
      <c r="U65" s="193"/>
      <c r="V65" s="193"/>
      <c r="W65" s="194"/>
      <c r="X65" s="195"/>
      <c r="Y65" s="195"/>
      <c r="Z65" s="196"/>
      <c r="AB65" s="197" t="s">
        <v>67</v>
      </c>
      <c r="AC65" s="193"/>
      <c r="AD65" s="193"/>
      <c r="AE65" s="193"/>
      <c r="AF65" s="194"/>
      <c r="AG65" s="195"/>
      <c r="AH65" s="195"/>
      <c r="AI65" s="196"/>
    </row>
    <row r="66" spans="1:35" ht="15" customHeight="1">
      <c r="A66" s="212" t="s">
        <v>68</v>
      </c>
      <c r="B66" s="213"/>
      <c r="C66" s="213"/>
      <c r="D66" s="77"/>
      <c r="E66" s="78"/>
      <c r="F66" s="78"/>
      <c r="G66" s="214" t="s">
        <v>72</v>
      </c>
      <c r="H66" s="215"/>
      <c r="J66" s="212" t="s">
        <v>68</v>
      </c>
      <c r="K66" s="213"/>
      <c r="L66" s="213"/>
      <c r="M66" s="77"/>
      <c r="N66" s="78"/>
      <c r="O66" s="78"/>
      <c r="P66" s="214" t="s">
        <v>72</v>
      </c>
      <c r="Q66" s="215"/>
      <c r="S66" s="212" t="s">
        <v>68</v>
      </c>
      <c r="T66" s="213"/>
      <c r="U66" s="213"/>
      <c r="V66" s="77"/>
      <c r="W66" s="78"/>
      <c r="X66" s="78"/>
      <c r="Y66" s="214" t="s">
        <v>72</v>
      </c>
      <c r="Z66" s="215"/>
      <c r="AB66" s="212" t="s">
        <v>68</v>
      </c>
      <c r="AC66" s="213"/>
      <c r="AD66" s="213"/>
      <c r="AE66" s="77"/>
      <c r="AF66" s="78"/>
      <c r="AG66" s="78"/>
      <c r="AH66" s="214" t="s">
        <v>72</v>
      </c>
      <c r="AI66" s="215"/>
    </row>
    <row r="67" spans="1:35" ht="18" customHeight="1">
      <c r="A67" s="220" t="s">
        <v>39</v>
      </c>
      <c r="B67" s="221"/>
      <c r="C67" s="221"/>
      <c r="D67" s="221"/>
      <c r="E67" s="221"/>
      <c r="F67" s="221"/>
      <c r="G67" s="216"/>
      <c r="H67" s="217"/>
      <c r="J67" s="220" t="s">
        <v>39</v>
      </c>
      <c r="K67" s="221"/>
      <c r="L67" s="221"/>
      <c r="M67" s="221"/>
      <c r="N67" s="221"/>
      <c r="O67" s="221"/>
      <c r="P67" s="216"/>
      <c r="Q67" s="217"/>
      <c r="S67" s="220" t="s">
        <v>39</v>
      </c>
      <c r="T67" s="221"/>
      <c r="U67" s="221"/>
      <c r="V67" s="221"/>
      <c r="W67" s="221"/>
      <c r="X67" s="221"/>
      <c r="Y67" s="216"/>
      <c r="Z67" s="217"/>
      <c r="AB67" s="220" t="s">
        <v>39</v>
      </c>
      <c r="AC67" s="221"/>
      <c r="AD67" s="221"/>
      <c r="AE67" s="221"/>
      <c r="AF67" s="221"/>
      <c r="AG67" s="221"/>
      <c r="AH67" s="216"/>
      <c r="AI67" s="217"/>
    </row>
    <row r="68" spans="1:35" ht="22.5" customHeight="1" thickBot="1">
      <c r="A68" s="210" t="s">
        <v>73</v>
      </c>
      <c r="B68" s="211"/>
      <c r="C68" s="211"/>
      <c r="D68" s="211"/>
      <c r="E68" s="211"/>
      <c r="F68" s="211"/>
      <c r="G68" s="218"/>
      <c r="H68" s="219"/>
      <c r="J68" s="210" t="s">
        <v>73</v>
      </c>
      <c r="K68" s="211"/>
      <c r="L68" s="211"/>
      <c r="M68" s="211"/>
      <c r="N68" s="211"/>
      <c r="O68" s="211"/>
      <c r="P68" s="218"/>
      <c r="Q68" s="219"/>
      <c r="S68" s="210" t="s">
        <v>73</v>
      </c>
      <c r="T68" s="211"/>
      <c r="U68" s="211"/>
      <c r="V68" s="211"/>
      <c r="W68" s="211"/>
      <c r="X68" s="211"/>
      <c r="Y68" s="218"/>
      <c r="Z68" s="219"/>
      <c r="AB68" s="210" t="s">
        <v>73</v>
      </c>
      <c r="AC68" s="211"/>
      <c r="AD68" s="211"/>
      <c r="AE68" s="211"/>
      <c r="AF68" s="211"/>
      <c r="AG68" s="211"/>
      <c r="AH68" s="218"/>
      <c r="AI68" s="219"/>
    </row>
    <row r="69" spans="1:35" ht="28.5" customHeight="1" thickTop="1">
      <c r="A69" s="240" t="s">
        <v>44</v>
      </c>
      <c r="B69" s="240"/>
      <c r="C69" s="240"/>
      <c r="D69" s="240"/>
      <c r="E69" s="240"/>
      <c r="F69" s="240"/>
      <c r="G69" s="240"/>
      <c r="H69" s="240"/>
      <c r="J69" s="240" t="s">
        <v>44</v>
      </c>
      <c r="K69" s="240"/>
      <c r="L69" s="240"/>
      <c r="M69" s="240"/>
      <c r="N69" s="240"/>
      <c r="O69" s="240"/>
      <c r="P69" s="240"/>
      <c r="Q69" s="240"/>
      <c r="S69" s="240" t="s">
        <v>44</v>
      </c>
      <c r="T69" s="240"/>
      <c r="U69" s="240"/>
      <c r="V69" s="240"/>
      <c r="W69" s="240"/>
      <c r="X69" s="240"/>
      <c r="Y69" s="240"/>
      <c r="Z69" s="240"/>
      <c r="AB69" s="240" t="s">
        <v>44</v>
      </c>
      <c r="AC69" s="240"/>
      <c r="AD69" s="240"/>
      <c r="AE69" s="240"/>
      <c r="AF69" s="240"/>
      <c r="AG69" s="240"/>
      <c r="AH69" s="240"/>
      <c r="AI69" s="240"/>
    </row>
    <row r="70" spans="1:35" ht="8.25" customHeight="1">
      <c r="A70" s="67"/>
      <c r="B70" s="67"/>
      <c r="C70" s="67"/>
      <c r="D70" s="67"/>
      <c r="E70" s="67"/>
      <c r="F70" s="67"/>
      <c r="G70" s="67"/>
      <c r="H70" s="67"/>
      <c r="J70" s="67"/>
      <c r="K70" s="67"/>
      <c r="L70" s="67"/>
      <c r="M70" s="67"/>
      <c r="N70" s="67"/>
      <c r="O70" s="67"/>
      <c r="P70" s="67"/>
      <c r="Q70" s="67"/>
      <c r="S70" s="67"/>
      <c r="T70" s="67"/>
      <c r="U70" s="67"/>
      <c r="V70" s="67"/>
      <c r="W70" s="67"/>
      <c r="X70" s="67"/>
      <c r="Y70" s="67"/>
      <c r="Z70" s="67"/>
      <c r="AB70" s="67"/>
      <c r="AC70" s="67"/>
      <c r="AD70" s="67"/>
      <c r="AE70" s="67"/>
      <c r="AF70" s="67"/>
      <c r="AG70" s="67"/>
      <c r="AH70" s="67"/>
      <c r="AI70" s="67"/>
    </row>
    <row r="71" spans="1:35" ht="23.25" customHeight="1">
      <c r="A71" s="67"/>
      <c r="B71" s="67"/>
      <c r="C71" s="79" t="s">
        <v>45</v>
      </c>
      <c r="D71" s="67">
        <v>27</v>
      </c>
      <c r="E71" s="67" t="s">
        <v>46</v>
      </c>
      <c r="F71" s="67">
        <v>3</v>
      </c>
      <c r="G71" s="80" t="s">
        <v>47</v>
      </c>
      <c r="H71" s="67"/>
      <c r="J71" s="67"/>
      <c r="K71" s="67"/>
      <c r="L71" s="79" t="s">
        <v>45</v>
      </c>
      <c r="M71" s="67">
        <v>27</v>
      </c>
      <c r="N71" s="67" t="s">
        <v>46</v>
      </c>
      <c r="O71" s="67">
        <v>3</v>
      </c>
      <c r="P71" s="80" t="s">
        <v>47</v>
      </c>
      <c r="Q71" s="67"/>
      <c r="S71" s="67"/>
      <c r="T71" s="67"/>
      <c r="U71" s="79" t="s">
        <v>45</v>
      </c>
      <c r="V71" s="67">
        <v>27</v>
      </c>
      <c r="W71" s="67" t="s">
        <v>46</v>
      </c>
      <c r="X71" s="67">
        <v>3</v>
      </c>
      <c r="Y71" s="80" t="s">
        <v>47</v>
      </c>
      <c r="Z71" s="67"/>
      <c r="AB71" s="67"/>
      <c r="AC71" s="67"/>
      <c r="AD71" s="79" t="s">
        <v>45</v>
      </c>
      <c r="AE71" s="67">
        <v>27</v>
      </c>
      <c r="AF71" s="67" t="s">
        <v>46</v>
      </c>
      <c r="AG71" s="67">
        <v>3</v>
      </c>
      <c r="AH71" s="80" t="s">
        <v>47</v>
      </c>
      <c r="AI71" s="67"/>
    </row>
    <row r="72" spans="1:35" ht="20.25" customHeight="1">
      <c r="A72" s="68" t="s">
        <v>48</v>
      </c>
      <c r="B72" s="68" t="s">
        <v>49</v>
      </c>
      <c r="C72" s="68" t="s">
        <v>50</v>
      </c>
      <c r="D72" s="68"/>
      <c r="E72" s="68"/>
      <c r="F72" s="67"/>
      <c r="G72" s="67"/>
      <c r="H72" s="67"/>
      <c r="J72" s="68" t="s">
        <v>48</v>
      </c>
      <c r="K72" s="68" t="s">
        <v>49</v>
      </c>
      <c r="L72" s="68" t="s">
        <v>50</v>
      </c>
      <c r="M72" s="68"/>
      <c r="N72" s="68"/>
      <c r="O72" s="67"/>
      <c r="P72" s="67"/>
      <c r="Q72" s="67"/>
      <c r="S72" s="68" t="s">
        <v>48</v>
      </c>
      <c r="T72" s="68" t="s">
        <v>49</v>
      </c>
      <c r="U72" s="68" t="s">
        <v>50</v>
      </c>
      <c r="V72" s="68"/>
      <c r="W72" s="68"/>
      <c r="X72" s="67"/>
      <c r="Y72" s="67"/>
      <c r="Z72" s="67"/>
      <c r="AB72" s="68" t="s">
        <v>48</v>
      </c>
      <c r="AC72" s="68" t="s">
        <v>49</v>
      </c>
      <c r="AD72" s="68" t="s">
        <v>50</v>
      </c>
      <c r="AE72" s="68"/>
      <c r="AF72" s="68"/>
      <c r="AG72" s="67"/>
      <c r="AH72" s="67"/>
      <c r="AI72" s="67"/>
    </row>
    <row r="73" spans="1:35">
      <c r="A73" s="230" t="str">
        <f>賃金集計表!A16</f>
        <v>山内　龍一</v>
      </c>
      <c r="B73" s="230"/>
      <c r="C73" s="230"/>
      <c r="D73" s="230"/>
      <c r="E73" s="230"/>
      <c r="F73" s="230"/>
      <c r="G73" s="230"/>
      <c r="H73" s="69"/>
      <c r="J73" s="230" t="str">
        <f>賃金集計表!A17</f>
        <v>山下恵美子</v>
      </c>
      <c r="K73" s="230"/>
      <c r="L73" s="230"/>
      <c r="M73" s="230"/>
      <c r="N73" s="230"/>
      <c r="O73" s="230"/>
      <c r="P73" s="230"/>
      <c r="Q73" s="69"/>
      <c r="S73" s="230" t="str">
        <f>賃金集計表!A18</f>
        <v>川上　智樹</v>
      </c>
      <c r="T73" s="230"/>
      <c r="U73" s="230"/>
      <c r="V73" s="230"/>
      <c r="W73" s="230"/>
      <c r="X73" s="230"/>
      <c r="Y73" s="230"/>
      <c r="Z73" s="69"/>
      <c r="AB73" s="230" t="str">
        <f>賃金集計表!A19</f>
        <v>上松　正和</v>
      </c>
      <c r="AC73" s="230"/>
      <c r="AD73" s="230"/>
      <c r="AE73" s="230"/>
      <c r="AF73" s="230"/>
      <c r="AG73" s="230"/>
      <c r="AH73" s="230"/>
      <c r="AI73" s="69"/>
    </row>
    <row r="74" spans="1:35">
      <c r="A74" s="231"/>
      <c r="B74" s="231"/>
      <c r="C74" s="231"/>
      <c r="D74" s="231"/>
      <c r="E74" s="231"/>
      <c r="F74" s="231"/>
      <c r="G74" s="231"/>
      <c r="H74" s="68" t="s">
        <v>51</v>
      </c>
      <c r="J74" s="231"/>
      <c r="K74" s="231"/>
      <c r="L74" s="231"/>
      <c r="M74" s="231"/>
      <c r="N74" s="231"/>
      <c r="O74" s="231"/>
      <c r="P74" s="231"/>
      <c r="Q74" s="68" t="s">
        <v>51</v>
      </c>
      <c r="S74" s="231"/>
      <c r="T74" s="231"/>
      <c r="U74" s="231"/>
      <c r="V74" s="231"/>
      <c r="W74" s="231"/>
      <c r="X74" s="231"/>
      <c r="Y74" s="231"/>
      <c r="Z74" s="68" t="s">
        <v>51</v>
      </c>
      <c r="AB74" s="231"/>
      <c r="AC74" s="231"/>
      <c r="AD74" s="231"/>
      <c r="AE74" s="231"/>
      <c r="AF74" s="231"/>
      <c r="AG74" s="231"/>
      <c r="AH74" s="231"/>
      <c r="AI74" s="68" t="s">
        <v>51</v>
      </c>
    </row>
    <row r="75" spans="1:35" ht="6" customHeight="1" thickBot="1">
      <c r="A75" s="67"/>
      <c r="B75" s="67"/>
      <c r="C75" s="67"/>
      <c r="D75" s="67"/>
      <c r="E75" s="67"/>
      <c r="F75" s="67"/>
      <c r="G75" s="67"/>
      <c r="H75" s="67"/>
      <c r="J75" s="67"/>
      <c r="K75" s="67"/>
      <c r="L75" s="67"/>
      <c r="M75" s="67"/>
      <c r="N75" s="67"/>
      <c r="O75" s="67"/>
      <c r="P75" s="67"/>
      <c r="Q75" s="67"/>
      <c r="S75" s="67"/>
      <c r="T75" s="67"/>
      <c r="U75" s="67"/>
      <c r="V75" s="67"/>
      <c r="W75" s="67"/>
      <c r="X75" s="67"/>
      <c r="Y75" s="67"/>
      <c r="Z75" s="67"/>
      <c r="AB75" s="67"/>
      <c r="AC75" s="67"/>
      <c r="AD75" s="67"/>
      <c r="AE75" s="67"/>
      <c r="AF75" s="67"/>
      <c r="AG75" s="67"/>
      <c r="AH75" s="67"/>
      <c r="AI75" s="67"/>
    </row>
    <row r="76" spans="1:35" ht="15" customHeight="1" thickTop="1">
      <c r="A76" s="233" t="s">
        <v>52</v>
      </c>
      <c r="B76" s="234"/>
      <c r="C76" s="234"/>
      <c r="D76" s="234"/>
      <c r="E76" s="235" t="s">
        <v>74</v>
      </c>
      <c r="F76" s="236"/>
      <c r="G76" s="236"/>
      <c r="H76" s="237"/>
      <c r="J76" s="201" t="s">
        <v>52</v>
      </c>
      <c r="K76" s="202"/>
      <c r="L76" s="202"/>
      <c r="M76" s="202"/>
      <c r="N76" s="235" t="s">
        <v>74</v>
      </c>
      <c r="O76" s="236"/>
      <c r="P76" s="236"/>
      <c r="Q76" s="237"/>
      <c r="S76" s="201" t="s">
        <v>52</v>
      </c>
      <c r="T76" s="202"/>
      <c r="U76" s="202"/>
      <c r="V76" s="202"/>
      <c r="W76" s="235" t="s">
        <v>74</v>
      </c>
      <c r="X76" s="236"/>
      <c r="Y76" s="236"/>
      <c r="Z76" s="237"/>
      <c r="AB76" s="201" t="s">
        <v>52</v>
      </c>
      <c r="AC76" s="202"/>
      <c r="AD76" s="202"/>
      <c r="AE76" s="202"/>
      <c r="AF76" s="235" t="s">
        <v>74</v>
      </c>
      <c r="AG76" s="236"/>
      <c r="AH76" s="236"/>
      <c r="AI76" s="237"/>
    </row>
    <row r="77" spans="1:35" ht="15" customHeight="1">
      <c r="A77" s="203" t="s">
        <v>69</v>
      </c>
      <c r="B77" s="204"/>
      <c r="C77" s="204"/>
      <c r="D77" s="204"/>
      <c r="E77" s="70"/>
      <c r="F77" s="71"/>
      <c r="G77" s="71">
        <f>賃金集計表!B16</f>
        <v>21</v>
      </c>
      <c r="H77" s="72" t="s">
        <v>9</v>
      </c>
      <c r="J77" s="197" t="s">
        <v>69</v>
      </c>
      <c r="K77" s="193"/>
      <c r="L77" s="193"/>
      <c r="M77" s="193"/>
      <c r="N77" s="70"/>
      <c r="O77" s="71"/>
      <c r="P77" s="71">
        <f>賃金集計表!B17</f>
        <v>20</v>
      </c>
      <c r="Q77" s="72" t="s">
        <v>9</v>
      </c>
      <c r="S77" s="197" t="s">
        <v>69</v>
      </c>
      <c r="T77" s="193"/>
      <c r="U77" s="193"/>
      <c r="V77" s="193"/>
      <c r="W77" s="70"/>
      <c r="X77" s="71"/>
      <c r="Y77" s="71">
        <f>賃金集計表!B18</f>
        <v>16</v>
      </c>
      <c r="Z77" s="72" t="s">
        <v>9</v>
      </c>
      <c r="AB77" s="197" t="s">
        <v>69</v>
      </c>
      <c r="AC77" s="193"/>
      <c r="AD77" s="193"/>
      <c r="AE77" s="193"/>
      <c r="AF77" s="70"/>
      <c r="AG77" s="71"/>
      <c r="AH77" s="71">
        <f>賃金集計表!B19</f>
        <v>21</v>
      </c>
      <c r="AI77" s="72" t="s">
        <v>9</v>
      </c>
    </row>
    <row r="78" spans="1:35" ht="15" customHeight="1">
      <c r="A78" s="203" t="s">
        <v>53</v>
      </c>
      <c r="B78" s="204"/>
      <c r="C78" s="204"/>
      <c r="D78" s="204"/>
      <c r="E78" s="70"/>
      <c r="F78" s="73" t="s">
        <v>71</v>
      </c>
      <c r="G78" s="70"/>
      <c r="H78" s="72" t="s">
        <v>70</v>
      </c>
      <c r="J78" s="197" t="s">
        <v>53</v>
      </c>
      <c r="K78" s="193"/>
      <c r="L78" s="193"/>
      <c r="M78" s="193"/>
      <c r="N78" s="70"/>
      <c r="O78" s="73" t="s">
        <v>71</v>
      </c>
      <c r="P78" s="70"/>
      <c r="Q78" s="72" t="s">
        <v>70</v>
      </c>
      <c r="S78" s="197" t="s">
        <v>53</v>
      </c>
      <c r="T78" s="193"/>
      <c r="U78" s="193"/>
      <c r="V78" s="193"/>
      <c r="W78" s="70"/>
      <c r="X78" s="73" t="s">
        <v>71</v>
      </c>
      <c r="Y78" s="70"/>
      <c r="Z78" s="72" t="s">
        <v>70</v>
      </c>
      <c r="AB78" s="197" t="s">
        <v>53</v>
      </c>
      <c r="AC78" s="193"/>
      <c r="AD78" s="193"/>
      <c r="AE78" s="193"/>
      <c r="AF78" s="70"/>
      <c r="AG78" s="73" t="s">
        <v>71</v>
      </c>
      <c r="AH78" s="70"/>
      <c r="AI78" s="72" t="s">
        <v>70</v>
      </c>
    </row>
    <row r="79" spans="1:35" ht="15" customHeight="1">
      <c r="A79" s="203" t="s">
        <v>54</v>
      </c>
      <c r="B79" s="204"/>
      <c r="C79" s="204"/>
      <c r="D79" s="204"/>
      <c r="E79" s="70"/>
      <c r="F79" s="73" t="s">
        <v>71</v>
      </c>
      <c r="G79" s="70"/>
      <c r="H79" s="72" t="s">
        <v>70</v>
      </c>
      <c r="J79" s="197" t="s">
        <v>54</v>
      </c>
      <c r="K79" s="193"/>
      <c r="L79" s="193"/>
      <c r="M79" s="193"/>
      <c r="N79" s="70"/>
      <c r="O79" s="73" t="s">
        <v>71</v>
      </c>
      <c r="P79" s="70"/>
      <c r="Q79" s="72" t="s">
        <v>70</v>
      </c>
      <c r="S79" s="197" t="s">
        <v>54</v>
      </c>
      <c r="T79" s="193"/>
      <c r="U79" s="193"/>
      <c r="V79" s="193"/>
      <c r="W79" s="70"/>
      <c r="X79" s="73" t="s">
        <v>71</v>
      </c>
      <c r="Y79" s="70"/>
      <c r="Z79" s="72" t="s">
        <v>70</v>
      </c>
      <c r="AB79" s="197" t="s">
        <v>54</v>
      </c>
      <c r="AC79" s="193"/>
      <c r="AD79" s="193"/>
      <c r="AE79" s="193"/>
      <c r="AF79" s="70"/>
      <c r="AG79" s="73" t="s">
        <v>71</v>
      </c>
      <c r="AH79" s="70"/>
      <c r="AI79" s="72" t="s">
        <v>70</v>
      </c>
    </row>
    <row r="80" spans="1:35" ht="15" customHeight="1">
      <c r="A80" s="203" t="s">
        <v>55</v>
      </c>
      <c r="B80" s="204"/>
      <c r="C80" s="204"/>
      <c r="D80" s="204"/>
      <c r="E80" s="70"/>
      <c r="F80" s="73" t="s">
        <v>71</v>
      </c>
      <c r="G80" s="70"/>
      <c r="H80" s="72" t="s">
        <v>70</v>
      </c>
      <c r="J80" s="197" t="s">
        <v>55</v>
      </c>
      <c r="K80" s="193"/>
      <c r="L80" s="193"/>
      <c r="M80" s="193"/>
      <c r="N80" s="70"/>
      <c r="O80" s="73" t="s">
        <v>71</v>
      </c>
      <c r="P80" s="70"/>
      <c r="Q80" s="72" t="s">
        <v>70</v>
      </c>
      <c r="S80" s="197" t="s">
        <v>55</v>
      </c>
      <c r="T80" s="193"/>
      <c r="U80" s="193"/>
      <c r="V80" s="193"/>
      <c r="W80" s="70"/>
      <c r="X80" s="73" t="s">
        <v>71</v>
      </c>
      <c r="Y80" s="70"/>
      <c r="Z80" s="72" t="s">
        <v>70</v>
      </c>
      <c r="AB80" s="197" t="s">
        <v>55</v>
      </c>
      <c r="AC80" s="193"/>
      <c r="AD80" s="193"/>
      <c r="AE80" s="193"/>
      <c r="AF80" s="70"/>
      <c r="AG80" s="73" t="s">
        <v>71</v>
      </c>
      <c r="AH80" s="70"/>
      <c r="AI80" s="72" t="s">
        <v>70</v>
      </c>
    </row>
    <row r="81" spans="1:35" ht="15" customHeight="1">
      <c r="A81" s="203" t="s">
        <v>56</v>
      </c>
      <c r="B81" s="204"/>
      <c r="C81" s="204"/>
      <c r="D81" s="204"/>
      <c r="E81" s="74"/>
      <c r="F81" s="75" t="s">
        <v>71</v>
      </c>
      <c r="G81" s="74"/>
      <c r="H81" s="76" t="s">
        <v>70</v>
      </c>
      <c r="J81" s="197" t="s">
        <v>56</v>
      </c>
      <c r="K81" s="193"/>
      <c r="L81" s="193"/>
      <c r="M81" s="193"/>
      <c r="N81" s="74"/>
      <c r="O81" s="75" t="s">
        <v>71</v>
      </c>
      <c r="P81" s="74"/>
      <c r="Q81" s="76" t="s">
        <v>70</v>
      </c>
      <c r="S81" s="197" t="s">
        <v>56</v>
      </c>
      <c r="T81" s="193"/>
      <c r="U81" s="193"/>
      <c r="V81" s="193"/>
      <c r="W81" s="74"/>
      <c r="X81" s="75" t="s">
        <v>71</v>
      </c>
      <c r="Y81" s="74"/>
      <c r="Z81" s="76" t="s">
        <v>70</v>
      </c>
      <c r="AB81" s="197" t="s">
        <v>56</v>
      </c>
      <c r="AC81" s="193"/>
      <c r="AD81" s="193"/>
      <c r="AE81" s="193"/>
      <c r="AF81" s="74"/>
      <c r="AG81" s="75" t="s">
        <v>71</v>
      </c>
      <c r="AH81" s="74"/>
      <c r="AI81" s="76" t="s">
        <v>70</v>
      </c>
    </row>
    <row r="82" spans="1:35" ht="15" customHeight="1">
      <c r="A82" s="203" t="s">
        <v>57</v>
      </c>
      <c r="B82" s="204"/>
      <c r="C82" s="204"/>
      <c r="D82" s="204"/>
      <c r="E82" s="226">
        <f>賃金集計表!O16</f>
        <v>21000</v>
      </c>
      <c r="F82" s="223"/>
      <c r="G82" s="223"/>
      <c r="H82" s="224"/>
      <c r="J82" s="197" t="s">
        <v>57</v>
      </c>
      <c r="K82" s="193"/>
      <c r="L82" s="193"/>
      <c r="M82" s="193"/>
      <c r="N82" s="226">
        <f>賃金集計表!O17</f>
        <v>20000</v>
      </c>
      <c r="O82" s="223"/>
      <c r="P82" s="223"/>
      <c r="Q82" s="224"/>
      <c r="S82" s="197" t="s">
        <v>57</v>
      </c>
      <c r="T82" s="193"/>
      <c r="U82" s="193"/>
      <c r="V82" s="193"/>
      <c r="W82" s="226">
        <f>賃金集計表!O18</f>
        <v>24000</v>
      </c>
      <c r="X82" s="223"/>
      <c r="Y82" s="223"/>
      <c r="Z82" s="224"/>
      <c r="AB82" s="197" t="s">
        <v>57</v>
      </c>
      <c r="AC82" s="193"/>
      <c r="AD82" s="193"/>
      <c r="AE82" s="193"/>
      <c r="AF82" s="226">
        <f>賃金集計表!O19</f>
        <v>31500</v>
      </c>
      <c r="AG82" s="223"/>
      <c r="AH82" s="223"/>
      <c r="AI82" s="224"/>
    </row>
    <row r="83" spans="1:35" ht="15" customHeight="1">
      <c r="A83" s="203" t="s">
        <v>58</v>
      </c>
      <c r="B83" s="204"/>
      <c r="C83" s="204"/>
      <c r="D83" s="204"/>
      <c r="E83" s="222"/>
      <c r="F83" s="223"/>
      <c r="G83" s="223"/>
      <c r="H83" s="224"/>
      <c r="J83" s="203" t="s">
        <v>58</v>
      </c>
      <c r="K83" s="204"/>
      <c r="L83" s="204"/>
      <c r="M83" s="204"/>
      <c r="N83" s="222"/>
      <c r="O83" s="223"/>
      <c r="P83" s="223"/>
      <c r="Q83" s="224"/>
      <c r="S83" s="203" t="s">
        <v>58</v>
      </c>
      <c r="T83" s="204"/>
      <c r="U83" s="204"/>
      <c r="V83" s="204"/>
      <c r="W83" s="222"/>
      <c r="X83" s="223"/>
      <c r="Y83" s="223"/>
      <c r="Z83" s="224"/>
      <c r="AB83" s="203" t="s">
        <v>58</v>
      </c>
      <c r="AC83" s="204"/>
      <c r="AD83" s="204"/>
      <c r="AE83" s="204"/>
      <c r="AF83" s="222"/>
      <c r="AG83" s="223"/>
      <c r="AH83" s="223"/>
      <c r="AI83" s="224"/>
    </row>
    <row r="84" spans="1:35" ht="15" customHeight="1">
      <c r="A84" s="209" t="s">
        <v>30</v>
      </c>
      <c r="B84" s="204" t="s">
        <v>60</v>
      </c>
      <c r="C84" s="204"/>
      <c r="D84" s="204"/>
      <c r="E84" s="222"/>
      <c r="F84" s="223"/>
      <c r="G84" s="223"/>
      <c r="H84" s="224"/>
      <c r="J84" s="225" t="s">
        <v>30</v>
      </c>
      <c r="K84" s="193" t="s">
        <v>60</v>
      </c>
      <c r="L84" s="193"/>
      <c r="M84" s="193"/>
      <c r="N84" s="222"/>
      <c r="O84" s="223"/>
      <c r="P84" s="223"/>
      <c r="Q84" s="224"/>
      <c r="S84" s="225" t="s">
        <v>30</v>
      </c>
      <c r="T84" s="193" t="s">
        <v>60</v>
      </c>
      <c r="U84" s="193"/>
      <c r="V84" s="193"/>
      <c r="W84" s="222"/>
      <c r="X84" s="223"/>
      <c r="Y84" s="223"/>
      <c r="Z84" s="224"/>
      <c r="AB84" s="225" t="s">
        <v>30</v>
      </c>
      <c r="AC84" s="193" t="s">
        <v>60</v>
      </c>
      <c r="AD84" s="193"/>
      <c r="AE84" s="193"/>
      <c r="AF84" s="222"/>
      <c r="AG84" s="223"/>
      <c r="AH84" s="223"/>
      <c r="AI84" s="224"/>
    </row>
    <row r="85" spans="1:35" ht="15" customHeight="1">
      <c r="A85" s="209"/>
      <c r="B85" s="204" t="s">
        <v>59</v>
      </c>
      <c r="C85" s="204"/>
      <c r="D85" s="204"/>
      <c r="E85" s="222"/>
      <c r="F85" s="223"/>
      <c r="G85" s="223"/>
      <c r="H85" s="224"/>
      <c r="J85" s="225"/>
      <c r="K85" s="193" t="s">
        <v>59</v>
      </c>
      <c r="L85" s="193"/>
      <c r="M85" s="193"/>
      <c r="N85" s="222"/>
      <c r="O85" s="223"/>
      <c r="P85" s="223"/>
      <c r="Q85" s="224"/>
      <c r="S85" s="225"/>
      <c r="T85" s="193" t="s">
        <v>59</v>
      </c>
      <c r="U85" s="193"/>
      <c r="V85" s="193"/>
      <c r="W85" s="222"/>
      <c r="X85" s="223"/>
      <c r="Y85" s="223"/>
      <c r="Z85" s="224"/>
      <c r="AB85" s="225"/>
      <c r="AC85" s="193" t="s">
        <v>59</v>
      </c>
      <c r="AD85" s="193"/>
      <c r="AE85" s="193"/>
      <c r="AF85" s="222"/>
      <c r="AG85" s="223"/>
      <c r="AH85" s="223"/>
      <c r="AI85" s="224"/>
    </row>
    <row r="86" spans="1:35" ht="15" customHeight="1">
      <c r="A86" s="209"/>
      <c r="B86" s="204" t="s">
        <v>61</v>
      </c>
      <c r="C86" s="204"/>
      <c r="D86" s="204"/>
      <c r="E86" s="222"/>
      <c r="F86" s="223"/>
      <c r="G86" s="223"/>
      <c r="H86" s="224"/>
      <c r="J86" s="225"/>
      <c r="K86" s="193" t="s">
        <v>61</v>
      </c>
      <c r="L86" s="193"/>
      <c r="M86" s="193"/>
      <c r="N86" s="222"/>
      <c r="O86" s="223"/>
      <c r="P86" s="223"/>
      <c r="Q86" s="224"/>
      <c r="S86" s="225"/>
      <c r="T86" s="193" t="s">
        <v>61</v>
      </c>
      <c r="U86" s="193"/>
      <c r="V86" s="193"/>
      <c r="W86" s="222"/>
      <c r="X86" s="223"/>
      <c r="Y86" s="223"/>
      <c r="Z86" s="224"/>
      <c r="AB86" s="225"/>
      <c r="AC86" s="193" t="s">
        <v>61</v>
      </c>
      <c r="AD86" s="193"/>
      <c r="AE86" s="193"/>
      <c r="AF86" s="222"/>
      <c r="AG86" s="223"/>
      <c r="AH86" s="223"/>
      <c r="AI86" s="224"/>
    </row>
    <row r="87" spans="1:35" ht="15" customHeight="1">
      <c r="A87" s="209"/>
      <c r="B87" s="204" t="s">
        <v>62</v>
      </c>
      <c r="C87" s="204"/>
      <c r="D87" s="204"/>
      <c r="E87" s="222"/>
      <c r="F87" s="223"/>
      <c r="G87" s="223"/>
      <c r="H87" s="224"/>
      <c r="J87" s="225"/>
      <c r="K87" s="193" t="s">
        <v>62</v>
      </c>
      <c r="L87" s="193"/>
      <c r="M87" s="193"/>
      <c r="N87" s="222"/>
      <c r="O87" s="223"/>
      <c r="P87" s="223"/>
      <c r="Q87" s="224"/>
      <c r="S87" s="225"/>
      <c r="T87" s="193" t="s">
        <v>62</v>
      </c>
      <c r="U87" s="193"/>
      <c r="V87" s="193"/>
      <c r="W87" s="222"/>
      <c r="X87" s="223"/>
      <c r="Y87" s="223"/>
      <c r="Z87" s="224"/>
      <c r="AB87" s="225"/>
      <c r="AC87" s="193" t="s">
        <v>62</v>
      </c>
      <c r="AD87" s="193"/>
      <c r="AE87" s="193"/>
      <c r="AF87" s="222"/>
      <c r="AG87" s="223"/>
      <c r="AH87" s="223"/>
      <c r="AI87" s="224"/>
    </row>
    <row r="88" spans="1:35" ht="15" customHeight="1">
      <c r="A88" s="209"/>
      <c r="B88" s="204" t="s">
        <v>63</v>
      </c>
      <c r="C88" s="204"/>
      <c r="D88" s="204"/>
      <c r="E88" s="222"/>
      <c r="F88" s="223"/>
      <c r="G88" s="223"/>
      <c r="H88" s="224"/>
      <c r="J88" s="225"/>
      <c r="K88" s="193" t="s">
        <v>63</v>
      </c>
      <c r="L88" s="193"/>
      <c r="M88" s="193"/>
      <c r="N88" s="222"/>
      <c r="O88" s="223"/>
      <c r="P88" s="223"/>
      <c r="Q88" s="224"/>
      <c r="S88" s="225"/>
      <c r="T88" s="193" t="s">
        <v>63</v>
      </c>
      <c r="U88" s="193"/>
      <c r="V88" s="193"/>
      <c r="W88" s="222"/>
      <c r="X88" s="223"/>
      <c r="Y88" s="223"/>
      <c r="Z88" s="224"/>
      <c r="AB88" s="225"/>
      <c r="AC88" s="193" t="s">
        <v>63</v>
      </c>
      <c r="AD88" s="193"/>
      <c r="AE88" s="193"/>
      <c r="AF88" s="222"/>
      <c r="AG88" s="223"/>
      <c r="AH88" s="223"/>
      <c r="AI88" s="224"/>
    </row>
    <row r="89" spans="1:35" ht="15" customHeight="1">
      <c r="A89" s="209"/>
      <c r="B89" s="204"/>
      <c r="C89" s="204"/>
      <c r="D89" s="204"/>
      <c r="E89" s="208"/>
      <c r="F89" s="206"/>
      <c r="G89" s="206"/>
      <c r="H89" s="207"/>
      <c r="J89" s="225"/>
      <c r="K89" s="193"/>
      <c r="L89" s="193"/>
      <c r="M89" s="193"/>
      <c r="N89" s="208"/>
      <c r="O89" s="206"/>
      <c r="P89" s="206"/>
      <c r="Q89" s="207"/>
      <c r="S89" s="225"/>
      <c r="T89" s="193"/>
      <c r="U89" s="193"/>
      <c r="V89" s="193"/>
      <c r="W89" s="208"/>
      <c r="X89" s="206"/>
      <c r="Y89" s="206"/>
      <c r="Z89" s="207"/>
      <c r="AB89" s="225"/>
      <c r="AC89" s="193"/>
      <c r="AD89" s="193"/>
      <c r="AE89" s="193"/>
      <c r="AF89" s="208"/>
      <c r="AG89" s="206"/>
      <c r="AH89" s="206"/>
      <c r="AI89" s="207"/>
    </row>
    <row r="90" spans="1:35" ht="15" customHeight="1">
      <c r="A90" s="203" t="s">
        <v>64</v>
      </c>
      <c r="B90" s="204"/>
      <c r="C90" s="204"/>
      <c r="D90" s="204"/>
      <c r="E90" s="205">
        <f>賃金集計表!O16</f>
        <v>21000</v>
      </c>
      <c r="F90" s="206"/>
      <c r="G90" s="206"/>
      <c r="H90" s="207"/>
      <c r="J90" s="197" t="s">
        <v>64</v>
      </c>
      <c r="K90" s="193"/>
      <c r="L90" s="193"/>
      <c r="M90" s="193"/>
      <c r="N90" s="226">
        <f>賃金集計表!O25</f>
        <v>13000</v>
      </c>
      <c r="O90" s="223"/>
      <c r="P90" s="223"/>
      <c r="Q90" s="224"/>
      <c r="S90" s="197" t="s">
        <v>64</v>
      </c>
      <c r="T90" s="193"/>
      <c r="U90" s="193"/>
      <c r="V90" s="193"/>
      <c r="W90" s="226">
        <f>W82</f>
        <v>24000</v>
      </c>
      <c r="X90" s="223"/>
      <c r="Y90" s="223"/>
      <c r="Z90" s="224"/>
      <c r="AB90" s="197" t="s">
        <v>64</v>
      </c>
      <c r="AC90" s="193"/>
      <c r="AD90" s="193"/>
      <c r="AE90" s="193"/>
      <c r="AF90" s="205">
        <f>AF82</f>
        <v>31500</v>
      </c>
      <c r="AG90" s="206"/>
      <c r="AH90" s="206"/>
      <c r="AI90" s="207"/>
    </row>
    <row r="91" spans="1:35" ht="15" customHeight="1">
      <c r="A91" s="209" t="s">
        <v>37</v>
      </c>
      <c r="B91" s="204" t="s">
        <v>65</v>
      </c>
      <c r="C91" s="204"/>
      <c r="D91" s="204"/>
      <c r="E91" s="208"/>
      <c r="F91" s="206"/>
      <c r="G91" s="206"/>
      <c r="H91" s="207"/>
      <c r="J91" s="209" t="s">
        <v>37</v>
      </c>
      <c r="K91" s="193" t="s">
        <v>65</v>
      </c>
      <c r="L91" s="193"/>
      <c r="M91" s="193"/>
      <c r="N91" s="208"/>
      <c r="O91" s="206"/>
      <c r="P91" s="206"/>
      <c r="Q91" s="207"/>
      <c r="S91" s="209" t="s">
        <v>37</v>
      </c>
      <c r="T91" s="193" t="s">
        <v>65</v>
      </c>
      <c r="U91" s="193"/>
      <c r="V91" s="193"/>
      <c r="W91" s="208"/>
      <c r="X91" s="206"/>
      <c r="Y91" s="206"/>
      <c r="Z91" s="207"/>
      <c r="AB91" s="209" t="s">
        <v>37</v>
      </c>
      <c r="AC91" s="193" t="s">
        <v>65</v>
      </c>
      <c r="AD91" s="193"/>
      <c r="AE91" s="193"/>
      <c r="AF91" s="208"/>
      <c r="AG91" s="206"/>
      <c r="AH91" s="206"/>
      <c r="AI91" s="207"/>
    </row>
    <row r="92" spans="1:35" ht="15" customHeight="1">
      <c r="A92" s="209"/>
      <c r="B92" s="204" t="s">
        <v>32</v>
      </c>
      <c r="C92" s="204"/>
      <c r="D92" s="204"/>
      <c r="E92" s="208"/>
      <c r="F92" s="206"/>
      <c r="G92" s="206"/>
      <c r="H92" s="207"/>
      <c r="J92" s="209"/>
      <c r="K92" s="193" t="s">
        <v>32</v>
      </c>
      <c r="L92" s="193"/>
      <c r="M92" s="193"/>
      <c r="N92" s="208"/>
      <c r="O92" s="206"/>
      <c r="P92" s="206"/>
      <c r="Q92" s="207"/>
      <c r="S92" s="209"/>
      <c r="T92" s="193" t="s">
        <v>32</v>
      </c>
      <c r="U92" s="193"/>
      <c r="V92" s="193"/>
      <c r="W92" s="208"/>
      <c r="X92" s="206"/>
      <c r="Y92" s="206"/>
      <c r="Z92" s="207"/>
      <c r="AB92" s="209"/>
      <c r="AC92" s="193" t="s">
        <v>32</v>
      </c>
      <c r="AD92" s="193"/>
      <c r="AE92" s="193"/>
      <c r="AF92" s="208"/>
      <c r="AG92" s="206"/>
      <c r="AH92" s="206"/>
      <c r="AI92" s="207"/>
    </row>
    <row r="93" spans="1:35" ht="15" customHeight="1">
      <c r="A93" s="209"/>
      <c r="B93" s="204" t="s">
        <v>66</v>
      </c>
      <c r="C93" s="204"/>
      <c r="D93" s="204"/>
      <c r="E93" s="208"/>
      <c r="F93" s="206"/>
      <c r="G93" s="206"/>
      <c r="H93" s="207"/>
      <c r="J93" s="209"/>
      <c r="K93" s="193" t="s">
        <v>66</v>
      </c>
      <c r="L93" s="193"/>
      <c r="M93" s="193"/>
      <c r="N93" s="208"/>
      <c r="O93" s="206"/>
      <c r="P93" s="206"/>
      <c r="Q93" s="207"/>
      <c r="S93" s="209"/>
      <c r="T93" s="193" t="s">
        <v>66</v>
      </c>
      <c r="U93" s="193"/>
      <c r="V93" s="193"/>
      <c r="W93" s="208"/>
      <c r="X93" s="206"/>
      <c r="Y93" s="206"/>
      <c r="Z93" s="207"/>
      <c r="AB93" s="209"/>
      <c r="AC93" s="193" t="s">
        <v>66</v>
      </c>
      <c r="AD93" s="193"/>
      <c r="AE93" s="193"/>
      <c r="AF93" s="208"/>
      <c r="AG93" s="206"/>
      <c r="AH93" s="206"/>
      <c r="AI93" s="207"/>
    </row>
    <row r="94" spans="1:35" ht="15" customHeight="1">
      <c r="A94" s="209"/>
      <c r="B94" s="204" t="s">
        <v>35</v>
      </c>
      <c r="C94" s="204"/>
      <c r="D94" s="204"/>
      <c r="E94" s="208"/>
      <c r="F94" s="206"/>
      <c r="G94" s="206"/>
      <c r="H94" s="207"/>
      <c r="J94" s="209"/>
      <c r="K94" s="193" t="s">
        <v>35</v>
      </c>
      <c r="L94" s="193"/>
      <c r="M94" s="193"/>
      <c r="N94" s="208"/>
      <c r="O94" s="206"/>
      <c r="P94" s="206"/>
      <c r="Q94" s="207"/>
      <c r="S94" s="209"/>
      <c r="T94" s="193" t="s">
        <v>35</v>
      </c>
      <c r="U94" s="193"/>
      <c r="V94" s="193"/>
      <c r="W94" s="208"/>
      <c r="X94" s="206"/>
      <c r="Y94" s="206"/>
      <c r="Z94" s="207"/>
      <c r="AB94" s="209"/>
      <c r="AC94" s="193" t="s">
        <v>35</v>
      </c>
      <c r="AD94" s="193"/>
      <c r="AE94" s="193"/>
      <c r="AF94" s="208"/>
      <c r="AG94" s="206"/>
      <c r="AH94" s="206"/>
      <c r="AI94" s="207"/>
    </row>
    <row r="95" spans="1:35" ht="15" customHeight="1">
      <c r="A95" s="209"/>
      <c r="B95" s="204" t="s">
        <v>34</v>
      </c>
      <c r="C95" s="204"/>
      <c r="D95" s="204"/>
      <c r="E95" s="208"/>
      <c r="F95" s="206"/>
      <c r="G95" s="206"/>
      <c r="H95" s="207"/>
      <c r="J95" s="209"/>
      <c r="K95" s="193" t="s">
        <v>34</v>
      </c>
      <c r="L95" s="193"/>
      <c r="M95" s="193"/>
      <c r="N95" s="208"/>
      <c r="O95" s="206"/>
      <c r="P95" s="206"/>
      <c r="Q95" s="207"/>
      <c r="S95" s="209"/>
      <c r="T95" s="193" t="s">
        <v>34</v>
      </c>
      <c r="U95" s="193"/>
      <c r="V95" s="193"/>
      <c r="W95" s="208"/>
      <c r="X95" s="206"/>
      <c r="Y95" s="206"/>
      <c r="Z95" s="207"/>
      <c r="AB95" s="209"/>
      <c r="AC95" s="193" t="s">
        <v>34</v>
      </c>
      <c r="AD95" s="193"/>
      <c r="AE95" s="193"/>
      <c r="AF95" s="208"/>
      <c r="AG95" s="206"/>
      <c r="AH95" s="206"/>
      <c r="AI95" s="207"/>
    </row>
    <row r="96" spans="1:35" ht="15" customHeight="1">
      <c r="A96" s="209"/>
      <c r="B96" s="204"/>
      <c r="C96" s="204"/>
      <c r="D96" s="204"/>
      <c r="E96" s="208"/>
      <c r="F96" s="206"/>
      <c r="G96" s="206"/>
      <c r="H96" s="207"/>
      <c r="J96" s="209"/>
      <c r="K96" s="193"/>
      <c r="L96" s="193"/>
      <c r="M96" s="193"/>
      <c r="N96" s="208"/>
      <c r="O96" s="206"/>
      <c r="P96" s="206"/>
      <c r="Q96" s="207"/>
      <c r="S96" s="209"/>
      <c r="T96" s="193"/>
      <c r="U96" s="193"/>
      <c r="V96" s="193"/>
      <c r="W96" s="208"/>
      <c r="X96" s="206"/>
      <c r="Y96" s="206"/>
      <c r="Z96" s="207"/>
      <c r="AB96" s="209"/>
      <c r="AC96" s="193"/>
      <c r="AD96" s="193"/>
      <c r="AE96" s="193"/>
      <c r="AF96" s="208"/>
      <c r="AG96" s="206"/>
      <c r="AH96" s="206"/>
      <c r="AI96" s="207"/>
    </row>
    <row r="97" spans="1:35" ht="15" customHeight="1">
      <c r="A97" s="209"/>
      <c r="B97" s="193" t="s">
        <v>94</v>
      </c>
      <c r="C97" s="193"/>
      <c r="D97" s="193"/>
      <c r="E97" s="205">
        <f>賃金集計表!V16</f>
        <v>7350</v>
      </c>
      <c r="F97" s="206"/>
      <c r="G97" s="206"/>
      <c r="H97" s="207"/>
      <c r="J97" s="209"/>
      <c r="K97" s="193" t="s">
        <v>94</v>
      </c>
      <c r="L97" s="193"/>
      <c r="M97" s="193"/>
      <c r="N97" s="205">
        <f>賃金集計表!V17</f>
        <v>7000</v>
      </c>
      <c r="O97" s="206"/>
      <c r="P97" s="206"/>
      <c r="Q97" s="207"/>
      <c r="S97" s="209"/>
      <c r="T97" s="193" t="s">
        <v>94</v>
      </c>
      <c r="U97" s="193"/>
      <c r="V97" s="193"/>
      <c r="W97" s="208"/>
      <c r="X97" s="206"/>
      <c r="Y97" s="206"/>
      <c r="Z97" s="207"/>
      <c r="AB97" s="209"/>
      <c r="AC97" s="193" t="s">
        <v>94</v>
      </c>
      <c r="AD97" s="193"/>
      <c r="AE97" s="193"/>
      <c r="AF97" s="205">
        <f>賃金集計表!V19</f>
        <v>7000</v>
      </c>
      <c r="AG97" s="206"/>
      <c r="AH97" s="206"/>
      <c r="AI97" s="207"/>
    </row>
    <row r="98" spans="1:35" ht="15" customHeight="1">
      <c r="A98" s="209"/>
      <c r="B98" s="204" t="s">
        <v>64</v>
      </c>
      <c r="C98" s="204"/>
      <c r="D98" s="204"/>
      <c r="E98" s="208">
        <f>SUM(E91:H97)</f>
        <v>7350</v>
      </c>
      <c r="F98" s="206"/>
      <c r="G98" s="206"/>
      <c r="H98" s="207"/>
      <c r="J98" s="209"/>
      <c r="K98" s="193" t="s">
        <v>64</v>
      </c>
      <c r="L98" s="193"/>
      <c r="M98" s="193"/>
      <c r="N98" s="208">
        <f>SUM(N91:Q97)</f>
        <v>7000</v>
      </c>
      <c r="O98" s="206"/>
      <c r="P98" s="206"/>
      <c r="Q98" s="207"/>
      <c r="S98" s="209"/>
      <c r="T98" s="193" t="s">
        <v>64</v>
      </c>
      <c r="U98" s="193"/>
      <c r="V98" s="193"/>
      <c r="W98" s="208">
        <f>SUM(W91:Z97)</f>
        <v>0</v>
      </c>
      <c r="X98" s="206"/>
      <c r="Y98" s="206"/>
      <c r="Z98" s="207"/>
      <c r="AB98" s="209"/>
      <c r="AC98" s="193" t="s">
        <v>64</v>
      </c>
      <c r="AD98" s="193"/>
      <c r="AE98" s="193"/>
      <c r="AF98" s="208">
        <f>SUM(AF91:AI97)</f>
        <v>7000</v>
      </c>
      <c r="AG98" s="206"/>
      <c r="AH98" s="206"/>
      <c r="AI98" s="207"/>
    </row>
    <row r="99" spans="1:35" ht="15" customHeight="1">
      <c r="A99" s="203" t="s">
        <v>67</v>
      </c>
      <c r="B99" s="204"/>
      <c r="C99" s="204"/>
      <c r="D99" s="204"/>
      <c r="E99" s="205">
        <f>賃金集計表!X53</f>
        <v>0</v>
      </c>
      <c r="F99" s="206"/>
      <c r="G99" s="206"/>
      <c r="H99" s="207"/>
      <c r="J99" s="197" t="s">
        <v>67</v>
      </c>
      <c r="K99" s="193"/>
      <c r="L99" s="193"/>
      <c r="M99" s="193"/>
      <c r="N99" s="208"/>
      <c r="O99" s="206"/>
      <c r="P99" s="206"/>
      <c r="Q99" s="207"/>
      <c r="S99" s="197" t="s">
        <v>67</v>
      </c>
      <c r="T99" s="193"/>
      <c r="U99" s="193"/>
      <c r="V99" s="193"/>
      <c r="W99" s="208"/>
      <c r="X99" s="206"/>
      <c r="Y99" s="206"/>
      <c r="Z99" s="207"/>
      <c r="AB99" s="197" t="s">
        <v>67</v>
      </c>
      <c r="AC99" s="193"/>
      <c r="AD99" s="193"/>
      <c r="AE99" s="193"/>
      <c r="AF99" s="208"/>
      <c r="AG99" s="206"/>
      <c r="AH99" s="206"/>
      <c r="AI99" s="207"/>
    </row>
    <row r="100" spans="1:35" ht="15" customHeight="1">
      <c r="A100" s="212" t="s">
        <v>68</v>
      </c>
      <c r="B100" s="213"/>
      <c r="C100" s="213"/>
      <c r="D100" s="77"/>
      <c r="E100" s="78"/>
      <c r="F100" s="78"/>
      <c r="G100" s="214" t="s">
        <v>72</v>
      </c>
      <c r="H100" s="215"/>
      <c r="J100" s="212" t="s">
        <v>68</v>
      </c>
      <c r="K100" s="213"/>
      <c r="L100" s="213"/>
      <c r="M100" s="77"/>
      <c r="N100" s="78"/>
      <c r="O100" s="78"/>
      <c r="P100" s="214" t="s">
        <v>72</v>
      </c>
      <c r="Q100" s="215"/>
      <c r="S100" s="212" t="s">
        <v>68</v>
      </c>
      <c r="T100" s="213"/>
      <c r="U100" s="213"/>
      <c r="V100" s="77"/>
      <c r="W100" s="78"/>
      <c r="X100" s="78"/>
      <c r="Y100" s="214" t="s">
        <v>72</v>
      </c>
      <c r="Z100" s="215"/>
      <c r="AB100" s="212" t="s">
        <v>68</v>
      </c>
      <c r="AC100" s="213"/>
      <c r="AD100" s="213"/>
      <c r="AE100" s="77"/>
      <c r="AF100" s="78"/>
      <c r="AG100" s="78"/>
      <c r="AH100" s="214" t="s">
        <v>72</v>
      </c>
      <c r="AI100" s="215"/>
    </row>
    <row r="101" spans="1:35" ht="18" customHeight="1">
      <c r="A101" s="220" t="s">
        <v>39</v>
      </c>
      <c r="B101" s="221"/>
      <c r="C101" s="221"/>
      <c r="D101" s="221"/>
      <c r="E101" s="221"/>
      <c r="F101" s="221"/>
      <c r="G101" s="216"/>
      <c r="H101" s="217"/>
      <c r="J101" s="220" t="s">
        <v>39</v>
      </c>
      <c r="K101" s="221"/>
      <c r="L101" s="221"/>
      <c r="M101" s="221"/>
      <c r="N101" s="221"/>
      <c r="O101" s="221"/>
      <c r="P101" s="216"/>
      <c r="Q101" s="217"/>
      <c r="S101" s="220" t="s">
        <v>39</v>
      </c>
      <c r="T101" s="221"/>
      <c r="U101" s="221"/>
      <c r="V101" s="221"/>
      <c r="W101" s="221"/>
      <c r="X101" s="221"/>
      <c r="Y101" s="216"/>
      <c r="Z101" s="217"/>
      <c r="AB101" s="220" t="s">
        <v>39</v>
      </c>
      <c r="AC101" s="221"/>
      <c r="AD101" s="221"/>
      <c r="AE101" s="221"/>
      <c r="AF101" s="221"/>
      <c r="AG101" s="221"/>
      <c r="AH101" s="216"/>
      <c r="AI101" s="217"/>
    </row>
    <row r="102" spans="1:35" ht="22.5" customHeight="1" thickBot="1">
      <c r="A102" s="210" t="s">
        <v>73</v>
      </c>
      <c r="B102" s="211"/>
      <c r="C102" s="211"/>
      <c r="D102" s="211"/>
      <c r="E102" s="211"/>
      <c r="F102" s="211"/>
      <c r="G102" s="218"/>
      <c r="H102" s="219"/>
      <c r="J102" s="210" t="s">
        <v>73</v>
      </c>
      <c r="K102" s="211"/>
      <c r="L102" s="211"/>
      <c r="M102" s="211"/>
      <c r="N102" s="211"/>
      <c r="O102" s="211"/>
      <c r="P102" s="218"/>
      <c r="Q102" s="219"/>
      <c r="S102" s="210" t="s">
        <v>73</v>
      </c>
      <c r="T102" s="211"/>
      <c r="U102" s="211"/>
      <c r="V102" s="211"/>
      <c r="W102" s="211"/>
      <c r="X102" s="211"/>
      <c r="Y102" s="218"/>
      <c r="Z102" s="219"/>
      <c r="AB102" s="210" t="s">
        <v>73</v>
      </c>
      <c r="AC102" s="211"/>
      <c r="AD102" s="211"/>
      <c r="AE102" s="211"/>
      <c r="AF102" s="211"/>
      <c r="AG102" s="211"/>
      <c r="AH102" s="218"/>
      <c r="AI102" s="219"/>
    </row>
    <row r="103" spans="1:35" ht="28.5" customHeight="1" thickTop="1">
      <c r="A103" s="240" t="s">
        <v>44</v>
      </c>
      <c r="B103" s="240"/>
      <c r="C103" s="240"/>
      <c r="D103" s="240"/>
      <c r="E103" s="240"/>
      <c r="F103" s="240"/>
      <c r="G103" s="240"/>
      <c r="H103" s="240"/>
      <c r="J103" s="240" t="s">
        <v>44</v>
      </c>
      <c r="K103" s="240"/>
      <c r="L103" s="240"/>
      <c r="M103" s="240"/>
      <c r="N103" s="240"/>
      <c r="O103" s="240"/>
      <c r="P103" s="240"/>
      <c r="Q103" s="240"/>
      <c r="S103" s="240" t="s">
        <v>44</v>
      </c>
      <c r="T103" s="240"/>
      <c r="U103" s="240"/>
      <c r="V103" s="240"/>
      <c r="W103" s="240"/>
      <c r="X103" s="240"/>
      <c r="Y103" s="240"/>
      <c r="Z103" s="240"/>
      <c r="AB103" s="240" t="s">
        <v>44</v>
      </c>
      <c r="AC103" s="240"/>
      <c r="AD103" s="240"/>
      <c r="AE103" s="240"/>
      <c r="AF103" s="240"/>
      <c r="AG103" s="240"/>
      <c r="AH103" s="240"/>
      <c r="AI103" s="240"/>
    </row>
    <row r="104" spans="1:35" ht="8.25" customHeight="1">
      <c r="A104" s="67"/>
      <c r="B104" s="67"/>
      <c r="C104" s="67"/>
      <c r="D104" s="67"/>
      <c r="E104" s="67"/>
      <c r="F104" s="67"/>
      <c r="G104" s="67"/>
      <c r="H104" s="67"/>
      <c r="J104" s="67"/>
      <c r="K104" s="67"/>
      <c r="L104" s="67"/>
      <c r="M104" s="67"/>
      <c r="N104" s="67"/>
      <c r="O104" s="67"/>
      <c r="P104" s="67"/>
      <c r="Q104" s="67"/>
      <c r="S104" s="67"/>
      <c r="T104" s="67"/>
      <c r="U104" s="67"/>
      <c r="V104" s="67"/>
      <c r="W104" s="67"/>
      <c r="X104" s="67"/>
      <c r="Y104" s="67"/>
      <c r="Z104" s="67"/>
      <c r="AB104" s="67"/>
      <c r="AC104" s="67"/>
      <c r="AD104" s="67"/>
      <c r="AE104" s="67"/>
      <c r="AF104" s="67"/>
      <c r="AG104" s="67"/>
      <c r="AH104" s="67"/>
      <c r="AI104" s="67"/>
    </row>
    <row r="105" spans="1:35" ht="23.25" customHeight="1">
      <c r="A105" s="67"/>
      <c r="B105" s="67"/>
      <c r="C105" s="79" t="s">
        <v>45</v>
      </c>
      <c r="D105" s="67">
        <v>27</v>
      </c>
      <c r="E105" s="67" t="s">
        <v>46</v>
      </c>
      <c r="F105" s="67">
        <v>3</v>
      </c>
      <c r="G105" s="80" t="s">
        <v>47</v>
      </c>
      <c r="H105" s="67"/>
      <c r="J105" s="67"/>
      <c r="K105" s="67"/>
      <c r="L105" s="79" t="s">
        <v>45</v>
      </c>
      <c r="M105" s="67">
        <v>27</v>
      </c>
      <c r="N105" s="67" t="s">
        <v>46</v>
      </c>
      <c r="O105" s="67">
        <v>3</v>
      </c>
      <c r="P105" s="80" t="s">
        <v>47</v>
      </c>
      <c r="Q105" s="67"/>
      <c r="S105" s="67"/>
      <c r="T105" s="67"/>
      <c r="U105" s="79" t="s">
        <v>45</v>
      </c>
      <c r="V105" s="67">
        <v>27</v>
      </c>
      <c r="W105" s="67" t="s">
        <v>46</v>
      </c>
      <c r="X105" s="67">
        <v>3</v>
      </c>
      <c r="Y105" s="80" t="s">
        <v>47</v>
      </c>
      <c r="Z105" s="67"/>
      <c r="AB105" s="67"/>
      <c r="AC105" s="67"/>
      <c r="AD105" s="79" t="s">
        <v>45</v>
      </c>
      <c r="AE105" s="67">
        <v>27</v>
      </c>
      <c r="AF105" s="67" t="s">
        <v>46</v>
      </c>
      <c r="AG105" s="67">
        <v>3</v>
      </c>
      <c r="AH105" s="80" t="s">
        <v>47</v>
      </c>
      <c r="AI105" s="67"/>
    </row>
    <row r="106" spans="1:35" ht="20.25" customHeight="1">
      <c r="A106" s="68" t="s">
        <v>48</v>
      </c>
      <c r="B106" s="68" t="s">
        <v>49</v>
      </c>
      <c r="C106" s="68" t="s">
        <v>50</v>
      </c>
      <c r="D106" s="68"/>
      <c r="E106" s="68"/>
      <c r="F106" s="67"/>
      <c r="G106" s="67"/>
      <c r="H106" s="67"/>
      <c r="J106" s="68" t="s">
        <v>48</v>
      </c>
      <c r="K106" s="68" t="s">
        <v>49</v>
      </c>
      <c r="L106" s="68" t="s">
        <v>50</v>
      </c>
      <c r="M106" s="68"/>
      <c r="N106" s="68"/>
      <c r="O106" s="67"/>
      <c r="P106" s="67"/>
      <c r="Q106" s="67"/>
      <c r="S106" s="68" t="s">
        <v>48</v>
      </c>
      <c r="T106" s="68" t="s">
        <v>49</v>
      </c>
      <c r="U106" s="68" t="s">
        <v>50</v>
      </c>
      <c r="V106" s="68"/>
      <c r="W106" s="68"/>
      <c r="X106" s="67"/>
      <c r="Y106" s="67"/>
      <c r="Z106" s="67"/>
      <c r="AB106" s="68" t="s">
        <v>48</v>
      </c>
      <c r="AC106" s="68" t="s">
        <v>49</v>
      </c>
      <c r="AD106" s="68" t="s">
        <v>50</v>
      </c>
      <c r="AE106" s="68"/>
      <c r="AF106" s="68"/>
      <c r="AG106" s="67"/>
      <c r="AH106" s="67"/>
      <c r="AI106" s="67"/>
    </row>
    <row r="107" spans="1:35">
      <c r="A107" s="230" t="str">
        <f>賃金集計表!A20</f>
        <v>上松　浩二</v>
      </c>
      <c r="B107" s="230"/>
      <c r="C107" s="230"/>
      <c r="D107" s="230"/>
      <c r="E107" s="230"/>
      <c r="F107" s="230"/>
      <c r="G107" s="230"/>
      <c r="H107" s="69"/>
      <c r="J107" s="230" t="str">
        <f>賃金集計表!A21</f>
        <v>若林　哲也</v>
      </c>
      <c r="K107" s="230"/>
      <c r="L107" s="230"/>
      <c r="M107" s="230"/>
      <c r="N107" s="230"/>
      <c r="O107" s="230"/>
      <c r="P107" s="230"/>
      <c r="Q107" s="69"/>
      <c r="S107" s="230" t="str">
        <f>賃金集計表!A22</f>
        <v>柏木　憲太</v>
      </c>
      <c r="T107" s="230"/>
      <c r="U107" s="230"/>
      <c r="V107" s="230"/>
      <c r="W107" s="230"/>
      <c r="X107" s="230"/>
      <c r="Y107" s="230"/>
      <c r="Z107" s="69"/>
      <c r="AB107" s="230" t="str">
        <f>賃金集計表!A23</f>
        <v>大元裕美子</v>
      </c>
      <c r="AC107" s="230"/>
      <c r="AD107" s="230"/>
      <c r="AE107" s="230"/>
      <c r="AF107" s="230"/>
      <c r="AG107" s="230"/>
      <c r="AH107" s="230"/>
      <c r="AI107" s="69"/>
    </row>
    <row r="108" spans="1:35">
      <c r="A108" s="231"/>
      <c r="B108" s="231"/>
      <c r="C108" s="231"/>
      <c r="D108" s="231"/>
      <c r="E108" s="231"/>
      <c r="F108" s="231"/>
      <c r="G108" s="231"/>
      <c r="H108" s="68" t="s">
        <v>51</v>
      </c>
      <c r="J108" s="231"/>
      <c r="K108" s="231"/>
      <c r="L108" s="231"/>
      <c r="M108" s="231"/>
      <c r="N108" s="231"/>
      <c r="O108" s="231"/>
      <c r="P108" s="231"/>
      <c r="Q108" s="68" t="s">
        <v>51</v>
      </c>
      <c r="S108" s="231"/>
      <c r="T108" s="231"/>
      <c r="U108" s="231"/>
      <c r="V108" s="231"/>
      <c r="W108" s="231"/>
      <c r="X108" s="231"/>
      <c r="Y108" s="231"/>
      <c r="Z108" s="68" t="s">
        <v>51</v>
      </c>
      <c r="AB108" s="231"/>
      <c r="AC108" s="231"/>
      <c r="AD108" s="231"/>
      <c r="AE108" s="231"/>
      <c r="AF108" s="231"/>
      <c r="AG108" s="231"/>
      <c r="AH108" s="231"/>
      <c r="AI108" s="68" t="s">
        <v>51</v>
      </c>
    </row>
    <row r="109" spans="1:35" ht="6" customHeight="1" thickBot="1">
      <c r="A109" s="67"/>
      <c r="B109" s="67"/>
      <c r="C109" s="67"/>
      <c r="D109" s="67"/>
      <c r="E109" s="67"/>
      <c r="F109" s="67"/>
      <c r="G109" s="67"/>
      <c r="H109" s="67"/>
      <c r="J109" s="67"/>
      <c r="K109" s="67"/>
      <c r="L109" s="67"/>
      <c r="M109" s="67"/>
      <c r="N109" s="67"/>
      <c r="O109" s="67"/>
      <c r="P109" s="67"/>
      <c r="Q109" s="67"/>
      <c r="S109" s="67"/>
      <c r="T109" s="67"/>
      <c r="U109" s="67"/>
      <c r="V109" s="67"/>
      <c r="W109" s="67"/>
      <c r="X109" s="67"/>
      <c r="Y109" s="67"/>
      <c r="Z109" s="67"/>
      <c r="AB109" s="67"/>
      <c r="AC109" s="67"/>
      <c r="AD109" s="67"/>
      <c r="AE109" s="67"/>
      <c r="AF109" s="67"/>
      <c r="AG109" s="67"/>
      <c r="AH109" s="67"/>
      <c r="AI109" s="67"/>
    </row>
    <row r="110" spans="1:35" ht="15" customHeight="1" thickTop="1">
      <c r="A110" s="233" t="s">
        <v>52</v>
      </c>
      <c r="B110" s="234"/>
      <c r="C110" s="234"/>
      <c r="D110" s="234"/>
      <c r="E110" s="235" t="s">
        <v>74</v>
      </c>
      <c r="F110" s="236"/>
      <c r="G110" s="236"/>
      <c r="H110" s="237"/>
      <c r="J110" s="201" t="s">
        <v>52</v>
      </c>
      <c r="K110" s="202"/>
      <c r="L110" s="202"/>
      <c r="M110" s="202"/>
      <c r="N110" s="235" t="s">
        <v>74</v>
      </c>
      <c r="O110" s="236"/>
      <c r="P110" s="236"/>
      <c r="Q110" s="237"/>
      <c r="S110" s="201" t="s">
        <v>52</v>
      </c>
      <c r="T110" s="202"/>
      <c r="U110" s="202"/>
      <c r="V110" s="202"/>
      <c r="W110" s="235" t="s">
        <v>74</v>
      </c>
      <c r="X110" s="236"/>
      <c r="Y110" s="236"/>
      <c r="Z110" s="237"/>
      <c r="AB110" s="201" t="s">
        <v>52</v>
      </c>
      <c r="AC110" s="202"/>
      <c r="AD110" s="202"/>
      <c r="AE110" s="202"/>
      <c r="AF110" s="235" t="s">
        <v>74</v>
      </c>
      <c r="AG110" s="236"/>
      <c r="AH110" s="236"/>
      <c r="AI110" s="237"/>
    </row>
    <row r="111" spans="1:35" ht="15" customHeight="1">
      <c r="A111" s="203" t="s">
        <v>69</v>
      </c>
      <c r="B111" s="204"/>
      <c r="C111" s="204"/>
      <c r="D111" s="204"/>
      <c r="E111" s="70"/>
      <c r="F111" s="71"/>
      <c r="G111" s="71">
        <f>賃金集計表!B20</f>
        <v>23</v>
      </c>
      <c r="H111" s="72" t="s">
        <v>9</v>
      </c>
      <c r="J111" s="197" t="s">
        <v>69</v>
      </c>
      <c r="K111" s="193"/>
      <c r="L111" s="193"/>
      <c r="M111" s="193"/>
      <c r="N111" s="70"/>
      <c r="O111" s="71"/>
      <c r="P111" s="71">
        <f>賃金集計表!B21</f>
        <v>16</v>
      </c>
      <c r="Q111" s="72" t="s">
        <v>9</v>
      </c>
      <c r="S111" s="197" t="s">
        <v>69</v>
      </c>
      <c r="T111" s="193"/>
      <c r="U111" s="193"/>
      <c r="V111" s="193"/>
      <c r="W111" s="70"/>
      <c r="X111" s="71"/>
      <c r="Y111" s="71">
        <f>賃金集計表!B22</f>
        <v>23</v>
      </c>
      <c r="Z111" s="72" t="s">
        <v>9</v>
      </c>
      <c r="AB111" s="197" t="s">
        <v>69</v>
      </c>
      <c r="AC111" s="193"/>
      <c r="AD111" s="193"/>
      <c r="AE111" s="193"/>
      <c r="AF111" s="70"/>
      <c r="AG111" s="71"/>
      <c r="AH111" s="71">
        <f>賃金集計表!B23</f>
        <v>23</v>
      </c>
      <c r="AI111" s="72" t="s">
        <v>9</v>
      </c>
    </row>
    <row r="112" spans="1:35" ht="15" customHeight="1">
      <c r="A112" s="203" t="s">
        <v>53</v>
      </c>
      <c r="B112" s="204"/>
      <c r="C112" s="204"/>
      <c r="D112" s="204"/>
      <c r="E112" s="70">
        <v>10</v>
      </c>
      <c r="F112" s="73" t="s">
        <v>71</v>
      </c>
      <c r="G112" s="70">
        <v>38</v>
      </c>
      <c r="H112" s="72" t="s">
        <v>70</v>
      </c>
      <c r="J112" s="197" t="s">
        <v>53</v>
      </c>
      <c r="K112" s="193"/>
      <c r="L112" s="193"/>
      <c r="M112" s="193"/>
      <c r="N112" s="70"/>
      <c r="O112" s="73" t="s">
        <v>71</v>
      </c>
      <c r="P112" s="70"/>
      <c r="Q112" s="72" t="s">
        <v>70</v>
      </c>
      <c r="S112" s="197" t="s">
        <v>53</v>
      </c>
      <c r="T112" s="193"/>
      <c r="U112" s="193"/>
      <c r="V112" s="193"/>
      <c r="W112" s="70"/>
      <c r="X112" s="73" t="s">
        <v>71</v>
      </c>
      <c r="Y112" s="70"/>
      <c r="Z112" s="72" t="s">
        <v>70</v>
      </c>
      <c r="AB112" s="197" t="s">
        <v>53</v>
      </c>
      <c r="AC112" s="193"/>
      <c r="AD112" s="193"/>
      <c r="AE112" s="193"/>
      <c r="AF112" s="70"/>
      <c r="AG112" s="73" t="s">
        <v>71</v>
      </c>
      <c r="AH112" s="70"/>
      <c r="AI112" s="72" t="s">
        <v>70</v>
      </c>
    </row>
    <row r="113" spans="1:35" ht="15" customHeight="1">
      <c r="A113" s="203" t="s">
        <v>54</v>
      </c>
      <c r="B113" s="204"/>
      <c r="C113" s="204"/>
      <c r="D113" s="204"/>
      <c r="E113" s="70"/>
      <c r="F113" s="73" t="s">
        <v>71</v>
      </c>
      <c r="G113" s="70"/>
      <c r="H113" s="72" t="s">
        <v>70</v>
      </c>
      <c r="J113" s="197" t="s">
        <v>54</v>
      </c>
      <c r="K113" s="193"/>
      <c r="L113" s="193"/>
      <c r="M113" s="193"/>
      <c r="N113" s="70"/>
      <c r="O113" s="73" t="s">
        <v>71</v>
      </c>
      <c r="P113" s="70"/>
      <c r="Q113" s="72" t="s">
        <v>70</v>
      </c>
      <c r="S113" s="197" t="s">
        <v>54</v>
      </c>
      <c r="T113" s="193"/>
      <c r="U113" s="193"/>
      <c r="V113" s="193"/>
      <c r="W113" s="70"/>
      <c r="X113" s="73" t="s">
        <v>71</v>
      </c>
      <c r="Y113" s="70"/>
      <c r="Z113" s="72" t="s">
        <v>70</v>
      </c>
      <c r="AB113" s="197" t="s">
        <v>54</v>
      </c>
      <c r="AC113" s="193"/>
      <c r="AD113" s="193"/>
      <c r="AE113" s="193"/>
      <c r="AF113" s="70"/>
      <c r="AG113" s="73" t="s">
        <v>71</v>
      </c>
      <c r="AH113" s="70"/>
      <c r="AI113" s="72" t="s">
        <v>70</v>
      </c>
    </row>
    <row r="114" spans="1:35" ht="15" customHeight="1">
      <c r="A114" s="203" t="s">
        <v>55</v>
      </c>
      <c r="B114" s="204"/>
      <c r="C114" s="204"/>
      <c r="D114" s="204"/>
      <c r="E114" s="70"/>
      <c r="F114" s="73" t="s">
        <v>71</v>
      </c>
      <c r="G114" s="70"/>
      <c r="H114" s="72" t="s">
        <v>70</v>
      </c>
      <c r="J114" s="197" t="s">
        <v>55</v>
      </c>
      <c r="K114" s="193"/>
      <c r="L114" s="193"/>
      <c r="M114" s="193"/>
      <c r="N114" s="70"/>
      <c r="O114" s="73" t="s">
        <v>71</v>
      </c>
      <c r="P114" s="70"/>
      <c r="Q114" s="72" t="s">
        <v>70</v>
      </c>
      <c r="S114" s="197" t="s">
        <v>55</v>
      </c>
      <c r="T114" s="193"/>
      <c r="U114" s="193"/>
      <c r="V114" s="193"/>
      <c r="W114" s="70"/>
      <c r="X114" s="73" t="s">
        <v>71</v>
      </c>
      <c r="Y114" s="70"/>
      <c r="Z114" s="72" t="s">
        <v>70</v>
      </c>
      <c r="AB114" s="197" t="s">
        <v>55</v>
      </c>
      <c r="AC114" s="193"/>
      <c r="AD114" s="193"/>
      <c r="AE114" s="193"/>
      <c r="AF114" s="70"/>
      <c r="AG114" s="73" t="s">
        <v>71</v>
      </c>
      <c r="AH114" s="70"/>
      <c r="AI114" s="72" t="s">
        <v>70</v>
      </c>
    </row>
    <row r="115" spans="1:35" ht="15" customHeight="1">
      <c r="A115" s="203" t="s">
        <v>56</v>
      </c>
      <c r="B115" s="204"/>
      <c r="C115" s="204"/>
      <c r="D115" s="204"/>
      <c r="E115" s="74"/>
      <c r="F115" s="75" t="s">
        <v>71</v>
      </c>
      <c r="G115" s="74"/>
      <c r="H115" s="76" t="s">
        <v>70</v>
      </c>
      <c r="J115" s="197" t="s">
        <v>56</v>
      </c>
      <c r="K115" s="193"/>
      <c r="L115" s="193"/>
      <c r="M115" s="193"/>
      <c r="N115" s="74"/>
      <c r="O115" s="75" t="s">
        <v>71</v>
      </c>
      <c r="P115" s="74"/>
      <c r="Q115" s="76" t="s">
        <v>70</v>
      </c>
      <c r="S115" s="197" t="s">
        <v>56</v>
      </c>
      <c r="T115" s="193"/>
      <c r="U115" s="193"/>
      <c r="V115" s="193"/>
      <c r="W115" s="74"/>
      <c r="X115" s="75" t="s">
        <v>71</v>
      </c>
      <c r="Y115" s="74"/>
      <c r="Z115" s="76" t="s">
        <v>70</v>
      </c>
      <c r="AB115" s="197" t="s">
        <v>56</v>
      </c>
      <c r="AC115" s="193"/>
      <c r="AD115" s="193"/>
      <c r="AE115" s="193"/>
      <c r="AF115" s="74"/>
      <c r="AG115" s="75" t="s">
        <v>71</v>
      </c>
      <c r="AH115" s="74"/>
      <c r="AI115" s="76" t="s">
        <v>70</v>
      </c>
    </row>
    <row r="116" spans="1:35" ht="15" customHeight="1">
      <c r="A116" s="203" t="s">
        <v>57</v>
      </c>
      <c r="B116" s="204"/>
      <c r="C116" s="204"/>
      <c r="D116" s="204"/>
      <c r="E116" s="226">
        <f>賃金集計表!H20</f>
        <v>34500</v>
      </c>
      <c r="F116" s="223"/>
      <c r="G116" s="223"/>
      <c r="H116" s="224"/>
      <c r="J116" s="197" t="s">
        <v>57</v>
      </c>
      <c r="K116" s="193"/>
      <c r="L116" s="193"/>
      <c r="M116" s="193"/>
      <c r="N116" s="226">
        <f>賃金集計表!H21</f>
        <v>16000</v>
      </c>
      <c r="O116" s="223"/>
      <c r="P116" s="223"/>
      <c r="Q116" s="224"/>
      <c r="S116" s="197" t="s">
        <v>57</v>
      </c>
      <c r="T116" s="193"/>
      <c r="U116" s="193"/>
      <c r="V116" s="193"/>
      <c r="W116" s="226">
        <f>賃金集計表!H22</f>
        <v>34500</v>
      </c>
      <c r="X116" s="223"/>
      <c r="Y116" s="223"/>
      <c r="Z116" s="224"/>
      <c r="AB116" s="197" t="s">
        <v>57</v>
      </c>
      <c r="AC116" s="193"/>
      <c r="AD116" s="193"/>
      <c r="AE116" s="193"/>
      <c r="AF116" s="226">
        <f>賃金集計表!H23</f>
        <v>23000</v>
      </c>
      <c r="AG116" s="223"/>
      <c r="AH116" s="223"/>
      <c r="AI116" s="224"/>
    </row>
    <row r="117" spans="1:35" ht="15" customHeight="1">
      <c r="A117" s="203" t="s">
        <v>58</v>
      </c>
      <c r="B117" s="204"/>
      <c r="C117" s="204"/>
      <c r="D117" s="204"/>
      <c r="E117" s="222"/>
      <c r="F117" s="223"/>
      <c r="G117" s="223"/>
      <c r="H117" s="224"/>
      <c r="J117" s="203" t="s">
        <v>58</v>
      </c>
      <c r="K117" s="204"/>
      <c r="L117" s="204"/>
      <c r="M117" s="204"/>
      <c r="N117" s="222"/>
      <c r="O117" s="223"/>
      <c r="P117" s="223"/>
      <c r="Q117" s="224"/>
      <c r="S117" s="203" t="s">
        <v>58</v>
      </c>
      <c r="T117" s="204"/>
      <c r="U117" s="204"/>
      <c r="V117" s="204"/>
      <c r="W117" s="222"/>
      <c r="X117" s="223"/>
      <c r="Y117" s="223"/>
      <c r="Z117" s="224"/>
      <c r="AB117" s="203" t="s">
        <v>58</v>
      </c>
      <c r="AC117" s="204"/>
      <c r="AD117" s="204"/>
      <c r="AE117" s="204"/>
      <c r="AF117" s="222"/>
      <c r="AG117" s="223"/>
      <c r="AH117" s="223"/>
      <c r="AI117" s="224"/>
    </row>
    <row r="118" spans="1:35" ht="15" customHeight="1">
      <c r="A118" s="209" t="s">
        <v>30</v>
      </c>
      <c r="B118" s="204" t="s">
        <v>60</v>
      </c>
      <c r="C118" s="204"/>
      <c r="D118" s="204"/>
      <c r="E118" s="222"/>
      <c r="F118" s="223"/>
      <c r="G118" s="223"/>
      <c r="H118" s="224"/>
      <c r="J118" s="225" t="s">
        <v>30</v>
      </c>
      <c r="K118" s="193" t="s">
        <v>60</v>
      </c>
      <c r="L118" s="193"/>
      <c r="M118" s="193"/>
      <c r="N118" s="222"/>
      <c r="O118" s="223"/>
      <c r="P118" s="223"/>
      <c r="Q118" s="224"/>
      <c r="S118" s="225" t="s">
        <v>30</v>
      </c>
      <c r="T118" s="193" t="s">
        <v>60</v>
      </c>
      <c r="U118" s="193"/>
      <c r="V118" s="193"/>
      <c r="W118" s="222"/>
      <c r="X118" s="223"/>
      <c r="Y118" s="223"/>
      <c r="Z118" s="224"/>
      <c r="AB118" s="225" t="s">
        <v>30</v>
      </c>
      <c r="AC118" s="193" t="s">
        <v>60</v>
      </c>
      <c r="AD118" s="193"/>
      <c r="AE118" s="193"/>
      <c r="AF118" s="222"/>
      <c r="AG118" s="223"/>
      <c r="AH118" s="223"/>
      <c r="AI118" s="224"/>
    </row>
    <row r="119" spans="1:35" ht="15" customHeight="1">
      <c r="A119" s="209"/>
      <c r="B119" s="204" t="s">
        <v>59</v>
      </c>
      <c r="C119" s="204"/>
      <c r="D119" s="204"/>
      <c r="E119" s="222"/>
      <c r="F119" s="223"/>
      <c r="G119" s="223"/>
      <c r="H119" s="224"/>
      <c r="J119" s="225"/>
      <c r="K119" s="193" t="s">
        <v>59</v>
      </c>
      <c r="L119" s="193"/>
      <c r="M119" s="193"/>
      <c r="N119" s="222"/>
      <c r="O119" s="223"/>
      <c r="P119" s="223"/>
      <c r="Q119" s="224"/>
      <c r="S119" s="225"/>
      <c r="T119" s="193" t="s">
        <v>59</v>
      </c>
      <c r="U119" s="193"/>
      <c r="V119" s="193"/>
      <c r="W119" s="222"/>
      <c r="X119" s="223"/>
      <c r="Y119" s="223"/>
      <c r="Z119" s="224"/>
      <c r="AB119" s="225"/>
      <c r="AC119" s="193" t="s">
        <v>59</v>
      </c>
      <c r="AD119" s="193"/>
      <c r="AE119" s="193"/>
      <c r="AF119" s="222"/>
      <c r="AG119" s="223"/>
      <c r="AH119" s="223"/>
      <c r="AI119" s="224"/>
    </row>
    <row r="120" spans="1:35" ht="15" customHeight="1">
      <c r="A120" s="209"/>
      <c r="B120" s="204" t="s">
        <v>61</v>
      </c>
      <c r="C120" s="204"/>
      <c r="D120" s="204"/>
      <c r="E120" s="222"/>
      <c r="F120" s="223"/>
      <c r="G120" s="223"/>
      <c r="H120" s="224"/>
      <c r="J120" s="225"/>
      <c r="K120" s="193" t="s">
        <v>61</v>
      </c>
      <c r="L120" s="193"/>
      <c r="M120" s="193"/>
      <c r="N120" s="222"/>
      <c r="O120" s="223"/>
      <c r="P120" s="223"/>
      <c r="Q120" s="224"/>
      <c r="S120" s="225"/>
      <c r="T120" s="193" t="s">
        <v>61</v>
      </c>
      <c r="U120" s="193"/>
      <c r="V120" s="193"/>
      <c r="W120" s="222"/>
      <c r="X120" s="223"/>
      <c r="Y120" s="223"/>
      <c r="Z120" s="224"/>
      <c r="AB120" s="225"/>
      <c r="AC120" s="193" t="s">
        <v>61</v>
      </c>
      <c r="AD120" s="193"/>
      <c r="AE120" s="193"/>
      <c r="AF120" s="222"/>
      <c r="AG120" s="223"/>
      <c r="AH120" s="223"/>
      <c r="AI120" s="224"/>
    </row>
    <row r="121" spans="1:35" ht="15" customHeight="1">
      <c r="A121" s="209"/>
      <c r="B121" s="204" t="s">
        <v>62</v>
      </c>
      <c r="C121" s="204"/>
      <c r="D121" s="204"/>
      <c r="E121" s="222"/>
      <c r="F121" s="223"/>
      <c r="G121" s="223"/>
      <c r="H121" s="224"/>
      <c r="J121" s="225"/>
      <c r="K121" s="193" t="s">
        <v>62</v>
      </c>
      <c r="L121" s="193"/>
      <c r="M121" s="193"/>
      <c r="N121" s="222"/>
      <c r="O121" s="223"/>
      <c r="P121" s="223"/>
      <c r="Q121" s="224"/>
      <c r="S121" s="225"/>
      <c r="T121" s="193" t="s">
        <v>62</v>
      </c>
      <c r="U121" s="193"/>
      <c r="V121" s="193"/>
      <c r="W121" s="226">
        <f>賃金集計表!L22</f>
        <v>5000</v>
      </c>
      <c r="X121" s="223"/>
      <c r="Y121" s="223"/>
      <c r="Z121" s="224"/>
      <c r="AB121" s="225"/>
      <c r="AC121" s="193" t="s">
        <v>62</v>
      </c>
      <c r="AD121" s="193"/>
      <c r="AE121" s="193"/>
      <c r="AF121" s="222"/>
      <c r="AG121" s="223"/>
      <c r="AH121" s="223"/>
      <c r="AI121" s="224"/>
    </row>
    <row r="122" spans="1:35" ht="15" customHeight="1">
      <c r="A122" s="209"/>
      <c r="B122" s="204" t="s">
        <v>63</v>
      </c>
      <c r="C122" s="204"/>
      <c r="D122" s="204"/>
      <c r="E122" s="222"/>
      <c r="F122" s="223"/>
      <c r="G122" s="223"/>
      <c r="H122" s="224"/>
      <c r="J122" s="225"/>
      <c r="K122" s="193" t="s">
        <v>63</v>
      </c>
      <c r="L122" s="193"/>
      <c r="M122" s="193"/>
      <c r="N122" s="222"/>
      <c r="O122" s="223"/>
      <c r="P122" s="223"/>
      <c r="Q122" s="224"/>
      <c r="S122" s="225"/>
      <c r="T122" s="193" t="s">
        <v>63</v>
      </c>
      <c r="U122" s="193"/>
      <c r="V122" s="193"/>
      <c r="W122" s="222"/>
      <c r="X122" s="223"/>
      <c r="Y122" s="223"/>
      <c r="Z122" s="224"/>
      <c r="AB122" s="225"/>
      <c r="AC122" s="193" t="s">
        <v>63</v>
      </c>
      <c r="AD122" s="193"/>
      <c r="AE122" s="193"/>
      <c r="AF122" s="222"/>
      <c r="AG122" s="223"/>
      <c r="AH122" s="223"/>
      <c r="AI122" s="224"/>
    </row>
    <row r="123" spans="1:35" ht="15" customHeight="1">
      <c r="A123" s="209"/>
      <c r="B123" s="204"/>
      <c r="C123" s="204"/>
      <c r="D123" s="204"/>
      <c r="E123" s="208"/>
      <c r="F123" s="206"/>
      <c r="G123" s="206"/>
      <c r="H123" s="207"/>
      <c r="J123" s="225"/>
      <c r="K123" s="193"/>
      <c r="L123" s="193"/>
      <c r="M123" s="193"/>
      <c r="N123" s="208"/>
      <c r="O123" s="206"/>
      <c r="P123" s="206"/>
      <c r="Q123" s="207"/>
      <c r="S123" s="225"/>
      <c r="T123" s="193"/>
      <c r="U123" s="193"/>
      <c r="V123" s="193"/>
      <c r="W123" s="208"/>
      <c r="X123" s="206"/>
      <c r="Y123" s="206"/>
      <c r="Z123" s="207"/>
      <c r="AB123" s="225"/>
      <c r="AC123" s="193"/>
      <c r="AD123" s="193"/>
      <c r="AE123" s="193"/>
      <c r="AF123" s="208"/>
      <c r="AG123" s="206"/>
      <c r="AH123" s="206"/>
      <c r="AI123" s="207"/>
    </row>
    <row r="124" spans="1:35" ht="15" customHeight="1">
      <c r="A124" s="203" t="s">
        <v>64</v>
      </c>
      <c r="B124" s="204"/>
      <c r="C124" s="204"/>
      <c r="D124" s="204"/>
      <c r="E124" s="205">
        <f>SUM(E116:H123)</f>
        <v>34500</v>
      </c>
      <c r="F124" s="206"/>
      <c r="G124" s="206"/>
      <c r="H124" s="207"/>
      <c r="J124" s="197" t="s">
        <v>64</v>
      </c>
      <c r="K124" s="193"/>
      <c r="L124" s="193"/>
      <c r="M124" s="193"/>
      <c r="N124" s="205">
        <f>賃金集計表!H21</f>
        <v>16000</v>
      </c>
      <c r="O124" s="206"/>
      <c r="P124" s="206"/>
      <c r="Q124" s="207"/>
      <c r="S124" s="197" t="s">
        <v>64</v>
      </c>
      <c r="T124" s="193"/>
      <c r="U124" s="193"/>
      <c r="V124" s="193"/>
      <c r="W124" s="205">
        <f>SUM(W116:Z123)</f>
        <v>39500</v>
      </c>
      <c r="X124" s="206"/>
      <c r="Y124" s="206"/>
      <c r="Z124" s="207"/>
      <c r="AB124" s="197" t="s">
        <v>64</v>
      </c>
      <c r="AC124" s="193"/>
      <c r="AD124" s="193"/>
      <c r="AE124" s="193"/>
      <c r="AF124" s="205">
        <f>SUM(AF116:AI123)</f>
        <v>23000</v>
      </c>
      <c r="AG124" s="206"/>
      <c r="AH124" s="206"/>
      <c r="AI124" s="207"/>
    </row>
    <row r="125" spans="1:35" ht="15" customHeight="1">
      <c r="A125" s="209" t="s">
        <v>37</v>
      </c>
      <c r="B125" s="204" t="s">
        <v>65</v>
      </c>
      <c r="C125" s="204"/>
      <c r="D125" s="204"/>
      <c r="E125" s="208"/>
      <c r="F125" s="206"/>
      <c r="G125" s="206"/>
      <c r="H125" s="207"/>
      <c r="J125" s="209" t="s">
        <v>37</v>
      </c>
      <c r="K125" s="193" t="s">
        <v>65</v>
      </c>
      <c r="L125" s="193"/>
      <c r="M125" s="193"/>
      <c r="N125" s="208"/>
      <c r="O125" s="206"/>
      <c r="P125" s="206"/>
      <c r="Q125" s="207"/>
      <c r="S125" s="209" t="s">
        <v>37</v>
      </c>
      <c r="T125" s="193" t="s">
        <v>65</v>
      </c>
      <c r="U125" s="193"/>
      <c r="V125" s="193"/>
      <c r="W125" s="208"/>
      <c r="X125" s="206"/>
      <c r="Y125" s="206"/>
      <c r="Z125" s="207"/>
      <c r="AB125" s="209" t="s">
        <v>37</v>
      </c>
      <c r="AC125" s="193" t="s">
        <v>65</v>
      </c>
      <c r="AD125" s="193"/>
      <c r="AE125" s="193"/>
      <c r="AF125" s="208"/>
      <c r="AG125" s="206"/>
      <c r="AH125" s="206"/>
      <c r="AI125" s="207"/>
    </row>
    <row r="126" spans="1:35" ht="15" customHeight="1">
      <c r="A126" s="209"/>
      <c r="B126" s="204" t="s">
        <v>32</v>
      </c>
      <c r="C126" s="204"/>
      <c r="D126" s="204"/>
      <c r="E126" s="208"/>
      <c r="F126" s="206"/>
      <c r="G126" s="206"/>
      <c r="H126" s="207"/>
      <c r="J126" s="209"/>
      <c r="K126" s="193" t="s">
        <v>32</v>
      </c>
      <c r="L126" s="193"/>
      <c r="M126" s="193"/>
      <c r="N126" s="208"/>
      <c r="O126" s="206"/>
      <c r="P126" s="206"/>
      <c r="Q126" s="207"/>
      <c r="S126" s="209"/>
      <c r="T126" s="193" t="s">
        <v>32</v>
      </c>
      <c r="U126" s="193"/>
      <c r="V126" s="193"/>
      <c r="W126" s="208"/>
      <c r="X126" s="206"/>
      <c r="Y126" s="206"/>
      <c r="Z126" s="207"/>
      <c r="AB126" s="209"/>
      <c r="AC126" s="193" t="s">
        <v>32</v>
      </c>
      <c r="AD126" s="193"/>
      <c r="AE126" s="193"/>
      <c r="AF126" s="208"/>
      <c r="AG126" s="206"/>
      <c r="AH126" s="206"/>
      <c r="AI126" s="207"/>
    </row>
    <row r="127" spans="1:35" ht="15" customHeight="1">
      <c r="A127" s="209"/>
      <c r="B127" s="204" t="s">
        <v>66</v>
      </c>
      <c r="C127" s="204"/>
      <c r="D127" s="204"/>
      <c r="E127" s="208"/>
      <c r="F127" s="206"/>
      <c r="G127" s="206"/>
      <c r="H127" s="207"/>
      <c r="J127" s="209"/>
      <c r="K127" s="193" t="s">
        <v>66</v>
      </c>
      <c r="L127" s="193"/>
      <c r="M127" s="193"/>
      <c r="N127" s="208"/>
      <c r="O127" s="206"/>
      <c r="P127" s="206"/>
      <c r="Q127" s="207"/>
      <c r="S127" s="209"/>
      <c r="T127" s="193" t="s">
        <v>66</v>
      </c>
      <c r="U127" s="193"/>
      <c r="V127" s="193"/>
      <c r="W127" s="208"/>
      <c r="X127" s="206"/>
      <c r="Y127" s="206"/>
      <c r="Z127" s="207"/>
      <c r="AB127" s="209"/>
      <c r="AC127" s="193" t="s">
        <v>66</v>
      </c>
      <c r="AD127" s="193"/>
      <c r="AE127" s="193"/>
      <c r="AF127" s="208"/>
      <c r="AG127" s="206"/>
      <c r="AH127" s="206"/>
      <c r="AI127" s="207"/>
    </row>
    <row r="128" spans="1:35" ht="15" customHeight="1">
      <c r="A128" s="209"/>
      <c r="B128" s="204" t="s">
        <v>35</v>
      </c>
      <c r="C128" s="204"/>
      <c r="D128" s="204"/>
      <c r="E128" s="208"/>
      <c r="F128" s="206"/>
      <c r="G128" s="206"/>
      <c r="H128" s="207"/>
      <c r="J128" s="209"/>
      <c r="K128" s="193" t="s">
        <v>35</v>
      </c>
      <c r="L128" s="193"/>
      <c r="M128" s="193"/>
      <c r="N128" s="208"/>
      <c r="O128" s="206"/>
      <c r="P128" s="206"/>
      <c r="Q128" s="207"/>
      <c r="S128" s="209"/>
      <c r="T128" s="193" t="s">
        <v>35</v>
      </c>
      <c r="U128" s="193"/>
      <c r="V128" s="193"/>
      <c r="W128" s="208"/>
      <c r="X128" s="206"/>
      <c r="Y128" s="206"/>
      <c r="Z128" s="207"/>
      <c r="AB128" s="209"/>
      <c r="AC128" s="193" t="s">
        <v>35</v>
      </c>
      <c r="AD128" s="193"/>
      <c r="AE128" s="193"/>
      <c r="AF128" s="208"/>
      <c r="AG128" s="206"/>
      <c r="AH128" s="206"/>
      <c r="AI128" s="207"/>
    </row>
    <row r="129" spans="1:35" ht="15" customHeight="1">
      <c r="A129" s="209"/>
      <c r="B129" s="204" t="s">
        <v>34</v>
      </c>
      <c r="C129" s="204"/>
      <c r="D129" s="204"/>
      <c r="E129" s="208"/>
      <c r="F129" s="206"/>
      <c r="G129" s="206"/>
      <c r="H129" s="207"/>
      <c r="J129" s="209"/>
      <c r="K129" s="193" t="s">
        <v>34</v>
      </c>
      <c r="L129" s="193"/>
      <c r="M129" s="193"/>
      <c r="N129" s="208"/>
      <c r="O129" s="206"/>
      <c r="P129" s="206"/>
      <c r="Q129" s="207"/>
      <c r="S129" s="209"/>
      <c r="T129" s="193" t="s">
        <v>34</v>
      </c>
      <c r="U129" s="193"/>
      <c r="V129" s="193"/>
      <c r="W129" s="208"/>
      <c r="X129" s="206"/>
      <c r="Y129" s="206"/>
      <c r="Z129" s="207"/>
      <c r="AB129" s="209"/>
      <c r="AC129" s="193" t="s">
        <v>34</v>
      </c>
      <c r="AD129" s="193"/>
      <c r="AE129" s="193"/>
      <c r="AF129" s="208"/>
      <c r="AG129" s="206"/>
      <c r="AH129" s="206"/>
      <c r="AI129" s="207"/>
    </row>
    <row r="130" spans="1:35" ht="15" customHeight="1">
      <c r="A130" s="209"/>
      <c r="B130" s="204"/>
      <c r="C130" s="204"/>
      <c r="D130" s="204"/>
      <c r="E130" s="208"/>
      <c r="F130" s="206"/>
      <c r="G130" s="206"/>
      <c r="H130" s="207"/>
      <c r="J130" s="209"/>
      <c r="K130" s="193"/>
      <c r="L130" s="193"/>
      <c r="M130" s="193"/>
      <c r="N130" s="208"/>
      <c r="O130" s="206"/>
      <c r="P130" s="206"/>
      <c r="Q130" s="207"/>
      <c r="S130" s="209"/>
      <c r="T130" s="193"/>
      <c r="U130" s="193"/>
      <c r="V130" s="193"/>
      <c r="W130" s="208"/>
      <c r="X130" s="206"/>
      <c r="Y130" s="206"/>
      <c r="Z130" s="207"/>
      <c r="AB130" s="209"/>
      <c r="AC130" s="193"/>
      <c r="AD130" s="193"/>
      <c r="AE130" s="193"/>
      <c r="AF130" s="208"/>
      <c r="AG130" s="206"/>
      <c r="AH130" s="206"/>
      <c r="AI130" s="207"/>
    </row>
    <row r="131" spans="1:35" ht="15" customHeight="1">
      <c r="A131" s="209"/>
      <c r="B131" s="193" t="s">
        <v>94</v>
      </c>
      <c r="C131" s="193"/>
      <c r="D131" s="193"/>
      <c r="E131" s="205">
        <f>賃金集計表!V20</f>
        <v>7350</v>
      </c>
      <c r="F131" s="206"/>
      <c r="G131" s="206"/>
      <c r="H131" s="207"/>
      <c r="J131" s="209"/>
      <c r="K131" s="193" t="s">
        <v>94</v>
      </c>
      <c r="L131" s="193"/>
      <c r="M131" s="193"/>
      <c r="N131" s="208"/>
      <c r="O131" s="206"/>
      <c r="P131" s="206"/>
      <c r="Q131" s="207"/>
      <c r="S131" s="209"/>
      <c r="T131" s="193" t="s">
        <v>94</v>
      </c>
      <c r="U131" s="193"/>
      <c r="V131" s="193"/>
      <c r="W131" s="205">
        <f>賃金集計表!V22</f>
        <v>8050</v>
      </c>
      <c r="X131" s="206"/>
      <c r="Y131" s="206"/>
      <c r="Z131" s="207"/>
      <c r="AB131" s="209"/>
      <c r="AC131" s="193" t="s">
        <v>94</v>
      </c>
      <c r="AD131" s="193"/>
      <c r="AE131" s="193"/>
      <c r="AF131" s="205">
        <f>賃金集計表!V23</f>
        <v>350</v>
      </c>
      <c r="AG131" s="206"/>
      <c r="AH131" s="206"/>
      <c r="AI131" s="207"/>
    </row>
    <row r="132" spans="1:35" ht="15" customHeight="1">
      <c r="A132" s="209"/>
      <c r="B132" s="204" t="s">
        <v>64</v>
      </c>
      <c r="C132" s="204"/>
      <c r="D132" s="204"/>
      <c r="E132" s="208">
        <f>SUM(E125:H131)</f>
        <v>7350</v>
      </c>
      <c r="F132" s="206"/>
      <c r="G132" s="206"/>
      <c r="H132" s="207"/>
      <c r="J132" s="209"/>
      <c r="K132" s="193" t="s">
        <v>64</v>
      </c>
      <c r="L132" s="193"/>
      <c r="M132" s="193"/>
      <c r="N132" s="208">
        <f>SUM(N125:Q131)</f>
        <v>0</v>
      </c>
      <c r="O132" s="206"/>
      <c r="P132" s="206"/>
      <c r="Q132" s="207"/>
      <c r="S132" s="209"/>
      <c r="T132" s="193" t="s">
        <v>64</v>
      </c>
      <c r="U132" s="193"/>
      <c r="V132" s="193"/>
      <c r="W132" s="208">
        <f>SUM(W125:Z131)</f>
        <v>8050</v>
      </c>
      <c r="X132" s="206"/>
      <c r="Y132" s="206"/>
      <c r="Z132" s="207"/>
      <c r="AB132" s="209"/>
      <c r="AC132" s="193" t="s">
        <v>64</v>
      </c>
      <c r="AD132" s="193"/>
      <c r="AE132" s="193"/>
      <c r="AF132" s="208">
        <f>SUM(AF125:AI131)</f>
        <v>350</v>
      </c>
      <c r="AG132" s="206"/>
      <c r="AH132" s="206"/>
      <c r="AI132" s="207"/>
    </row>
    <row r="133" spans="1:35" ht="15" customHeight="1">
      <c r="A133" s="203" t="s">
        <v>67</v>
      </c>
      <c r="B133" s="204"/>
      <c r="C133" s="204"/>
      <c r="D133" s="204"/>
      <c r="E133" s="205">
        <f>賃金集計表!X20</f>
        <v>27150</v>
      </c>
      <c r="F133" s="206"/>
      <c r="G133" s="206"/>
      <c r="H133" s="207"/>
      <c r="J133" s="197" t="s">
        <v>67</v>
      </c>
      <c r="K133" s="193"/>
      <c r="L133" s="193"/>
      <c r="M133" s="193"/>
      <c r="N133" s="205">
        <f>賃金集計表!X21</f>
        <v>16000</v>
      </c>
      <c r="O133" s="206"/>
      <c r="P133" s="206"/>
      <c r="Q133" s="207"/>
      <c r="S133" s="197" t="s">
        <v>67</v>
      </c>
      <c r="T133" s="193"/>
      <c r="U133" s="193"/>
      <c r="V133" s="193"/>
      <c r="W133" s="205">
        <f>賃金集計表!X22</f>
        <v>31450</v>
      </c>
      <c r="X133" s="206"/>
      <c r="Y133" s="206"/>
      <c r="Z133" s="207"/>
      <c r="AB133" s="197" t="s">
        <v>67</v>
      </c>
      <c r="AC133" s="193"/>
      <c r="AD133" s="193"/>
      <c r="AE133" s="193"/>
      <c r="AF133" s="205">
        <f>賃金集計表!X23</f>
        <v>22650</v>
      </c>
      <c r="AG133" s="206"/>
      <c r="AH133" s="206"/>
      <c r="AI133" s="207"/>
    </row>
    <row r="134" spans="1:35" ht="15" customHeight="1">
      <c r="A134" s="212" t="s">
        <v>68</v>
      </c>
      <c r="B134" s="213"/>
      <c r="C134" s="213"/>
      <c r="D134" s="77"/>
      <c r="E134" s="78"/>
      <c r="F134" s="78"/>
      <c r="G134" s="214" t="s">
        <v>72</v>
      </c>
      <c r="H134" s="215"/>
      <c r="J134" s="212" t="s">
        <v>68</v>
      </c>
      <c r="K134" s="213"/>
      <c r="L134" s="213"/>
      <c r="M134" s="77"/>
      <c r="N134" s="78"/>
      <c r="O134" s="78"/>
      <c r="P134" s="214" t="s">
        <v>72</v>
      </c>
      <c r="Q134" s="215"/>
      <c r="S134" s="212" t="s">
        <v>68</v>
      </c>
      <c r="T134" s="213"/>
      <c r="U134" s="213"/>
      <c r="V134" s="77"/>
      <c r="W134" s="78"/>
      <c r="X134" s="78"/>
      <c r="Y134" s="214" t="s">
        <v>72</v>
      </c>
      <c r="Z134" s="215"/>
      <c r="AB134" s="212" t="s">
        <v>68</v>
      </c>
      <c r="AC134" s="213"/>
      <c r="AD134" s="213"/>
      <c r="AE134" s="77"/>
      <c r="AF134" s="78"/>
      <c r="AG134" s="78"/>
      <c r="AH134" s="214" t="s">
        <v>72</v>
      </c>
      <c r="AI134" s="215"/>
    </row>
    <row r="135" spans="1:35" ht="18" customHeight="1">
      <c r="A135" s="220" t="s">
        <v>39</v>
      </c>
      <c r="B135" s="221"/>
      <c r="C135" s="221"/>
      <c r="D135" s="221"/>
      <c r="E135" s="221"/>
      <c r="F135" s="221"/>
      <c r="G135" s="216"/>
      <c r="H135" s="217"/>
      <c r="J135" s="220" t="s">
        <v>39</v>
      </c>
      <c r="K135" s="221"/>
      <c r="L135" s="221"/>
      <c r="M135" s="221"/>
      <c r="N135" s="221"/>
      <c r="O135" s="221"/>
      <c r="P135" s="216"/>
      <c r="Q135" s="217"/>
      <c r="S135" s="220" t="s">
        <v>39</v>
      </c>
      <c r="T135" s="221"/>
      <c r="U135" s="221"/>
      <c r="V135" s="221"/>
      <c r="W135" s="221"/>
      <c r="X135" s="221"/>
      <c r="Y135" s="216"/>
      <c r="Z135" s="217"/>
      <c r="AB135" s="220" t="s">
        <v>39</v>
      </c>
      <c r="AC135" s="221"/>
      <c r="AD135" s="221"/>
      <c r="AE135" s="221"/>
      <c r="AF135" s="221"/>
      <c r="AG135" s="221"/>
      <c r="AH135" s="216"/>
      <c r="AI135" s="217"/>
    </row>
    <row r="136" spans="1:35" ht="22.5" customHeight="1" thickBot="1">
      <c r="A136" s="210" t="s">
        <v>73</v>
      </c>
      <c r="B136" s="211"/>
      <c r="C136" s="211"/>
      <c r="D136" s="211"/>
      <c r="E136" s="211"/>
      <c r="F136" s="211"/>
      <c r="G136" s="218"/>
      <c r="H136" s="219"/>
      <c r="J136" s="210" t="s">
        <v>73</v>
      </c>
      <c r="K136" s="211"/>
      <c r="L136" s="211"/>
      <c r="M136" s="211"/>
      <c r="N136" s="211"/>
      <c r="O136" s="211"/>
      <c r="P136" s="218"/>
      <c r="Q136" s="219"/>
      <c r="S136" s="210" t="s">
        <v>73</v>
      </c>
      <c r="T136" s="211"/>
      <c r="U136" s="211"/>
      <c r="V136" s="211"/>
      <c r="W136" s="211"/>
      <c r="X136" s="211"/>
      <c r="Y136" s="218"/>
      <c r="Z136" s="219"/>
      <c r="AB136" s="210" t="s">
        <v>73</v>
      </c>
      <c r="AC136" s="211"/>
      <c r="AD136" s="211"/>
      <c r="AE136" s="211"/>
      <c r="AF136" s="211"/>
      <c r="AG136" s="211"/>
      <c r="AH136" s="218"/>
      <c r="AI136" s="219"/>
    </row>
    <row r="137" spans="1:35" ht="28.5" customHeight="1" thickTop="1">
      <c r="A137" s="240" t="s">
        <v>44</v>
      </c>
      <c r="B137" s="240"/>
      <c r="C137" s="240"/>
      <c r="D137" s="240"/>
      <c r="E137" s="240"/>
      <c r="F137" s="240"/>
      <c r="G137" s="240"/>
      <c r="H137" s="240"/>
      <c r="J137" s="240" t="s">
        <v>44</v>
      </c>
      <c r="K137" s="240"/>
      <c r="L137" s="240"/>
      <c r="M137" s="240"/>
      <c r="N137" s="240"/>
      <c r="O137" s="240"/>
      <c r="P137" s="240"/>
      <c r="Q137" s="240"/>
      <c r="S137" s="240" t="s">
        <v>44</v>
      </c>
      <c r="T137" s="240"/>
      <c r="U137" s="240"/>
      <c r="V137" s="240"/>
      <c r="W137" s="240"/>
      <c r="X137" s="240"/>
      <c r="Y137" s="240"/>
      <c r="Z137" s="240"/>
      <c r="AB137" s="240" t="s">
        <v>44</v>
      </c>
      <c r="AC137" s="240"/>
      <c r="AD137" s="240"/>
      <c r="AE137" s="240"/>
      <c r="AF137" s="240"/>
      <c r="AG137" s="240"/>
      <c r="AH137" s="240"/>
      <c r="AI137" s="240"/>
    </row>
    <row r="138" spans="1:35" ht="8.25" customHeight="1">
      <c r="A138" s="67"/>
      <c r="B138" s="67"/>
      <c r="C138" s="67"/>
      <c r="D138" s="67"/>
      <c r="E138" s="67"/>
      <c r="F138" s="67"/>
      <c r="G138" s="67"/>
      <c r="H138" s="67"/>
      <c r="J138" s="67"/>
      <c r="K138" s="67"/>
      <c r="L138" s="67"/>
      <c r="M138" s="67"/>
      <c r="N138" s="67"/>
      <c r="O138" s="67"/>
      <c r="P138" s="67"/>
      <c r="Q138" s="67"/>
      <c r="S138" s="67"/>
      <c r="T138" s="67"/>
      <c r="U138" s="67"/>
      <c r="V138" s="67"/>
      <c r="W138" s="67"/>
      <c r="X138" s="67"/>
      <c r="Y138" s="67"/>
      <c r="Z138" s="67"/>
      <c r="AB138" s="67"/>
      <c r="AC138" s="67"/>
      <c r="AD138" s="67"/>
      <c r="AE138" s="67"/>
      <c r="AF138" s="67"/>
      <c r="AG138" s="67"/>
      <c r="AH138" s="67"/>
      <c r="AI138" s="67"/>
    </row>
    <row r="139" spans="1:35" ht="23.25" customHeight="1">
      <c r="A139" s="67"/>
      <c r="B139" s="67"/>
      <c r="C139" s="79" t="s">
        <v>45</v>
      </c>
      <c r="D139" s="67">
        <v>27</v>
      </c>
      <c r="E139" s="67" t="s">
        <v>46</v>
      </c>
      <c r="F139" s="67">
        <v>3</v>
      </c>
      <c r="G139" s="80" t="s">
        <v>47</v>
      </c>
      <c r="H139" s="67"/>
      <c r="J139" s="67"/>
      <c r="K139" s="67"/>
      <c r="L139" s="79" t="s">
        <v>45</v>
      </c>
      <c r="M139" s="67">
        <v>27</v>
      </c>
      <c r="N139" s="67" t="s">
        <v>46</v>
      </c>
      <c r="O139" s="67">
        <v>3</v>
      </c>
      <c r="P139" s="80" t="s">
        <v>47</v>
      </c>
      <c r="Q139" s="67"/>
      <c r="S139" s="67"/>
      <c r="T139" s="67"/>
      <c r="U139" s="79" t="s">
        <v>45</v>
      </c>
      <c r="V139" s="67">
        <v>27</v>
      </c>
      <c r="W139" s="67" t="s">
        <v>46</v>
      </c>
      <c r="X139" s="67">
        <v>3</v>
      </c>
      <c r="Y139" s="80" t="s">
        <v>47</v>
      </c>
      <c r="Z139" s="67"/>
      <c r="AB139" s="67"/>
      <c r="AC139" s="67"/>
      <c r="AD139" s="79" t="s">
        <v>45</v>
      </c>
      <c r="AE139" s="67">
        <v>27</v>
      </c>
      <c r="AF139" s="67" t="s">
        <v>46</v>
      </c>
      <c r="AG139" s="67">
        <v>3</v>
      </c>
      <c r="AH139" s="80" t="s">
        <v>47</v>
      </c>
      <c r="AI139" s="67"/>
    </row>
    <row r="140" spans="1:35" ht="20.25" customHeight="1">
      <c r="A140" s="68" t="s">
        <v>48</v>
      </c>
      <c r="B140" s="68" t="s">
        <v>49</v>
      </c>
      <c r="C140" s="68" t="s">
        <v>50</v>
      </c>
      <c r="D140" s="68"/>
      <c r="E140" s="68"/>
      <c r="F140" s="67"/>
      <c r="G140" s="67"/>
      <c r="H140" s="67"/>
      <c r="J140" s="68" t="s">
        <v>48</v>
      </c>
      <c r="K140" s="68" t="s">
        <v>49</v>
      </c>
      <c r="L140" s="68" t="s">
        <v>50</v>
      </c>
      <c r="M140" s="68"/>
      <c r="N140" s="68"/>
      <c r="O140" s="67"/>
      <c r="P140" s="67"/>
      <c r="Q140" s="67"/>
      <c r="S140" s="68" t="s">
        <v>48</v>
      </c>
      <c r="T140" s="68" t="s">
        <v>49</v>
      </c>
      <c r="U140" s="68" t="s">
        <v>50</v>
      </c>
      <c r="V140" s="68"/>
      <c r="W140" s="68"/>
      <c r="X140" s="67"/>
      <c r="Y140" s="67"/>
      <c r="Z140" s="67"/>
      <c r="AB140" s="68" t="s">
        <v>48</v>
      </c>
      <c r="AC140" s="68" t="s">
        <v>49</v>
      </c>
      <c r="AD140" s="68" t="s">
        <v>50</v>
      </c>
      <c r="AE140" s="68"/>
      <c r="AF140" s="68"/>
      <c r="AG140" s="67"/>
      <c r="AH140" s="67"/>
      <c r="AI140" s="67"/>
    </row>
    <row r="141" spans="1:35">
      <c r="A141" s="230" t="str">
        <f>賃金集計表!A24</f>
        <v>倉谷　円</v>
      </c>
      <c r="B141" s="230"/>
      <c r="C141" s="230"/>
      <c r="D141" s="230"/>
      <c r="E141" s="230"/>
      <c r="F141" s="230"/>
      <c r="G141" s="230"/>
      <c r="H141" s="69"/>
      <c r="J141" s="230" t="str">
        <f>賃金集計表!A25</f>
        <v>葛籠　沙葵</v>
      </c>
      <c r="K141" s="230"/>
      <c r="L141" s="230"/>
      <c r="M141" s="230"/>
      <c r="N141" s="230"/>
      <c r="O141" s="230"/>
      <c r="P141" s="230"/>
      <c r="Q141" s="69"/>
      <c r="S141" s="230">
        <f>'3月分'!T125</f>
        <v>0</v>
      </c>
      <c r="T141" s="230"/>
      <c r="U141" s="230"/>
      <c r="V141" s="230"/>
      <c r="W141" s="230"/>
      <c r="X141" s="230"/>
      <c r="Y141" s="230"/>
      <c r="Z141" s="69"/>
      <c r="AB141" s="230">
        <f>'3月分'!AC125</f>
        <v>0</v>
      </c>
      <c r="AC141" s="230"/>
      <c r="AD141" s="230"/>
      <c r="AE141" s="230"/>
      <c r="AF141" s="230"/>
      <c r="AG141" s="230"/>
      <c r="AH141" s="230"/>
      <c r="AI141" s="69"/>
    </row>
    <row r="142" spans="1:35">
      <c r="A142" s="231"/>
      <c r="B142" s="231"/>
      <c r="C142" s="231"/>
      <c r="D142" s="231"/>
      <c r="E142" s="231"/>
      <c r="F142" s="231"/>
      <c r="G142" s="231"/>
      <c r="H142" s="68" t="s">
        <v>51</v>
      </c>
      <c r="J142" s="231"/>
      <c r="K142" s="231"/>
      <c r="L142" s="231"/>
      <c r="M142" s="231"/>
      <c r="N142" s="231"/>
      <c r="O142" s="231"/>
      <c r="P142" s="231"/>
      <c r="Q142" s="68" t="s">
        <v>51</v>
      </c>
      <c r="S142" s="231"/>
      <c r="T142" s="231"/>
      <c r="U142" s="231"/>
      <c r="V142" s="231"/>
      <c r="W142" s="231"/>
      <c r="X142" s="231"/>
      <c r="Y142" s="231"/>
      <c r="Z142" s="68" t="s">
        <v>51</v>
      </c>
      <c r="AB142" s="231"/>
      <c r="AC142" s="231"/>
      <c r="AD142" s="231"/>
      <c r="AE142" s="231"/>
      <c r="AF142" s="231"/>
      <c r="AG142" s="231"/>
      <c r="AH142" s="231"/>
      <c r="AI142" s="68" t="s">
        <v>51</v>
      </c>
    </row>
    <row r="143" spans="1:35" ht="6" customHeight="1" thickBot="1">
      <c r="A143" s="67"/>
      <c r="B143" s="67"/>
      <c r="C143" s="67"/>
      <c r="D143" s="67"/>
      <c r="E143" s="67"/>
      <c r="F143" s="67"/>
      <c r="G143" s="67"/>
      <c r="H143" s="67"/>
      <c r="J143" s="67"/>
      <c r="K143" s="67"/>
      <c r="L143" s="67"/>
      <c r="M143" s="67"/>
      <c r="N143" s="67"/>
      <c r="O143" s="67"/>
      <c r="P143" s="67"/>
      <c r="Q143" s="67"/>
      <c r="S143" s="67"/>
      <c r="T143" s="67"/>
      <c r="U143" s="67"/>
      <c r="V143" s="67"/>
      <c r="W143" s="67"/>
      <c r="X143" s="67"/>
      <c r="Y143" s="67"/>
      <c r="Z143" s="67"/>
      <c r="AB143" s="67"/>
      <c r="AC143" s="67"/>
      <c r="AD143" s="67"/>
      <c r="AE143" s="67"/>
      <c r="AF143" s="67"/>
      <c r="AG143" s="67"/>
      <c r="AH143" s="67"/>
      <c r="AI143" s="67"/>
    </row>
    <row r="144" spans="1:35" ht="15" customHeight="1" thickTop="1">
      <c r="A144" s="233" t="s">
        <v>52</v>
      </c>
      <c r="B144" s="234"/>
      <c r="C144" s="234"/>
      <c r="D144" s="234"/>
      <c r="E144" s="235" t="s">
        <v>74</v>
      </c>
      <c r="F144" s="236"/>
      <c r="G144" s="236"/>
      <c r="H144" s="237"/>
      <c r="J144" s="201" t="s">
        <v>52</v>
      </c>
      <c r="K144" s="202"/>
      <c r="L144" s="202"/>
      <c r="M144" s="202"/>
      <c r="N144" s="235" t="s">
        <v>74</v>
      </c>
      <c r="O144" s="236"/>
      <c r="P144" s="236"/>
      <c r="Q144" s="237"/>
      <c r="S144" s="201" t="s">
        <v>52</v>
      </c>
      <c r="T144" s="202"/>
      <c r="U144" s="202"/>
      <c r="V144" s="202"/>
      <c r="W144" s="227"/>
      <c r="X144" s="228"/>
      <c r="Y144" s="228"/>
      <c r="Z144" s="229"/>
      <c r="AB144" s="201" t="s">
        <v>52</v>
      </c>
      <c r="AC144" s="202"/>
      <c r="AD144" s="202"/>
      <c r="AE144" s="202"/>
      <c r="AF144" s="227"/>
      <c r="AG144" s="228"/>
      <c r="AH144" s="228"/>
      <c r="AI144" s="229"/>
    </row>
    <row r="145" spans="1:35" ht="15" customHeight="1">
      <c r="A145" s="203" t="s">
        <v>69</v>
      </c>
      <c r="B145" s="204"/>
      <c r="C145" s="204"/>
      <c r="D145" s="204"/>
      <c r="E145" s="70"/>
      <c r="F145" s="71"/>
      <c r="G145" s="71">
        <f>賃金集計表!B24</f>
        <v>13</v>
      </c>
      <c r="H145" s="72" t="s">
        <v>9</v>
      </c>
      <c r="J145" s="197" t="s">
        <v>69</v>
      </c>
      <c r="K145" s="193"/>
      <c r="L145" s="193"/>
      <c r="M145" s="193"/>
      <c r="N145" s="70"/>
      <c r="O145" s="71"/>
      <c r="P145" s="71">
        <f>賃金集計表!B25</f>
        <v>13</v>
      </c>
      <c r="Q145" s="72" t="s">
        <v>9</v>
      </c>
      <c r="S145" s="197" t="s">
        <v>69</v>
      </c>
      <c r="T145" s="193"/>
      <c r="U145" s="193"/>
      <c r="V145" s="193"/>
      <c r="W145" s="70"/>
      <c r="X145" s="71"/>
      <c r="Y145" s="71"/>
      <c r="Z145" s="72" t="s">
        <v>9</v>
      </c>
      <c r="AB145" s="197" t="s">
        <v>69</v>
      </c>
      <c r="AC145" s="193"/>
      <c r="AD145" s="193"/>
      <c r="AE145" s="193"/>
      <c r="AF145" s="70"/>
      <c r="AG145" s="71"/>
      <c r="AH145" s="71"/>
      <c r="AI145" s="72" t="s">
        <v>9</v>
      </c>
    </row>
    <row r="146" spans="1:35" ht="15" customHeight="1">
      <c r="A146" s="203" t="s">
        <v>53</v>
      </c>
      <c r="B146" s="204"/>
      <c r="C146" s="204"/>
      <c r="D146" s="204"/>
      <c r="E146" s="70"/>
      <c r="F146" s="73" t="s">
        <v>71</v>
      </c>
      <c r="G146" s="70"/>
      <c r="H146" s="72" t="s">
        <v>70</v>
      </c>
      <c r="J146" s="197" t="s">
        <v>53</v>
      </c>
      <c r="K146" s="193"/>
      <c r="L146" s="193"/>
      <c r="M146" s="193"/>
      <c r="N146" s="70"/>
      <c r="O146" s="73" t="s">
        <v>71</v>
      </c>
      <c r="P146" s="70"/>
      <c r="Q146" s="72" t="s">
        <v>70</v>
      </c>
      <c r="S146" s="197" t="s">
        <v>53</v>
      </c>
      <c r="T146" s="193"/>
      <c r="U146" s="193"/>
      <c r="V146" s="193"/>
      <c r="W146" s="70"/>
      <c r="X146" s="73" t="s">
        <v>71</v>
      </c>
      <c r="Y146" s="70"/>
      <c r="Z146" s="72" t="s">
        <v>70</v>
      </c>
      <c r="AB146" s="197" t="s">
        <v>53</v>
      </c>
      <c r="AC146" s="193"/>
      <c r="AD146" s="193"/>
      <c r="AE146" s="193"/>
      <c r="AF146" s="70"/>
      <c r="AG146" s="73" t="s">
        <v>71</v>
      </c>
      <c r="AH146" s="70"/>
      <c r="AI146" s="72" t="s">
        <v>70</v>
      </c>
    </row>
    <row r="147" spans="1:35" ht="15" customHeight="1">
      <c r="A147" s="203" t="s">
        <v>54</v>
      </c>
      <c r="B147" s="204"/>
      <c r="C147" s="204"/>
      <c r="D147" s="204"/>
      <c r="E147" s="70"/>
      <c r="F147" s="73" t="s">
        <v>71</v>
      </c>
      <c r="G147" s="70"/>
      <c r="H147" s="72" t="s">
        <v>70</v>
      </c>
      <c r="J147" s="197" t="s">
        <v>54</v>
      </c>
      <c r="K147" s="193"/>
      <c r="L147" s="193"/>
      <c r="M147" s="193"/>
      <c r="N147" s="70"/>
      <c r="O147" s="73" t="s">
        <v>71</v>
      </c>
      <c r="P147" s="70"/>
      <c r="Q147" s="72" t="s">
        <v>70</v>
      </c>
      <c r="S147" s="197" t="s">
        <v>54</v>
      </c>
      <c r="T147" s="193"/>
      <c r="U147" s="193"/>
      <c r="V147" s="193"/>
      <c r="W147" s="70"/>
      <c r="X147" s="73" t="s">
        <v>71</v>
      </c>
      <c r="Y147" s="70"/>
      <c r="Z147" s="72" t="s">
        <v>70</v>
      </c>
      <c r="AB147" s="197" t="s">
        <v>54</v>
      </c>
      <c r="AC147" s="193"/>
      <c r="AD147" s="193"/>
      <c r="AE147" s="193"/>
      <c r="AF147" s="70"/>
      <c r="AG147" s="73" t="s">
        <v>71</v>
      </c>
      <c r="AH147" s="70"/>
      <c r="AI147" s="72" t="s">
        <v>70</v>
      </c>
    </row>
    <row r="148" spans="1:35" ht="15" customHeight="1">
      <c r="A148" s="203" t="s">
        <v>55</v>
      </c>
      <c r="B148" s="204"/>
      <c r="C148" s="204"/>
      <c r="D148" s="204"/>
      <c r="E148" s="70"/>
      <c r="F148" s="73" t="s">
        <v>71</v>
      </c>
      <c r="G148" s="70"/>
      <c r="H148" s="72" t="s">
        <v>70</v>
      </c>
      <c r="J148" s="197" t="s">
        <v>55</v>
      </c>
      <c r="K148" s="193"/>
      <c r="L148" s="193"/>
      <c r="M148" s="193"/>
      <c r="N148" s="70"/>
      <c r="O148" s="73" t="s">
        <v>71</v>
      </c>
      <c r="P148" s="70"/>
      <c r="Q148" s="72" t="s">
        <v>70</v>
      </c>
      <c r="S148" s="197" t="s">
        <v>55</v>
      </c>
      <c r="T148" s="193"/>
      <c r="U148" s="193"/>
      <c r="V148" s="193"/>
      <c r="W148" s="70"/>
      <c r="X148" s="73" t="s">
        <v>71</v>
      </c>
      <c r="Y148" s="70"/>
      <c r="Z148" s="72" t="s">
        <v>70</v>
      </c>
      <c r="AB148" s="197" t="s">
        <v>55</v>
      </c>
      <c r="AC148" s="193"/>
      <c r="AD148" s="193"/>
      <c r="AE148" s="193"/>
      <c r="AF148" s="70"/>
      <c r="AG148" s="73" t="s">
        <v>71</v>
      </c>
      <c r="AH148" s="70"/>
      <c r="AI148" s="72" t="s">
        <v>70</v>
      </c>
    </row>
    <row r="149" spans="1:35" ht="15" customHeight="1">
      <c r="A149" s="203" t="s">
        <v>56</v>
      </c>
      <c r="B149" s="204"/>
      <c r="C149" s="204"/>
      <c r="D149" s="204"/>
      <c r="E149" s="74"/>
      <c r="F149" s="75" t="s">
        <v>71</v>
      </c>
      <c r="G149" s="74"/>
      <c r="H149" s="76" t="s">
        <v>70</v>
      </c>
      <c r="J149" s="197" t="s">
        <v>56</v>
      </c>
      <c r="K149" s="193"/>
      <c r="L149" s="193"/>
      <c r="M149" s="193"/>
      <c r="N149" s="74"/>
      <c r="O149" s="75" t="s">
        <v>71</v>
      </c>
      <c r="P149" s="74"/>
      <c r="Q149" s="76" t="s">
        <v>70</v>
      </c>
      <c r="S149" s="197" t="s">
        <v>56</v>
      </c>
      <c r="T149" s="193"/>
      <c r="U149" s="193"/>
      <c r="V149" s="193"/>
      <c r="W149" s="74"/>
      <c r="X149" s="75" t="s">
        <v>71</v>
      </c>
      <c r="Y149" s="74"/>
      <c r="Z149" s="76" t="s">
        <v>70</v>
      </c>
      <c r="AB149" s="197" t="s">
        <v>56</v>
      </c>
      <c r="AC149" s="193"/>
      <c r="AD149" s="193"/>
      <c r="AE149" s="193"/>
      <c r="AF149" s="74"/>
      <c r="AG149" s="75" t="s">
        <v>71</v>
      </c>
      <c r="AH149" s="74"/>
      <c r="AI149" s="76" t="s">
        <v>70</v>
      </c>
    </row>
    <row r="150" spans="1:35" ht="15" customHeight="1">
      <c r="A150" s="203" t="s">
        <v>57</v>
      </c>
      <c r="B150" s="204"/>
      <c r="C150" s="204"/>
      <c r="D150" s="204"/>
      <c r="E150" s="226">
        <f>賃金集計表!H24</f>
        <v>13000</v>
      </c>
      <c r="F150" s="223"/>
      <c r="G150" s="223"/>
      <c r="H150" s="224"/>
      <c r="J150" s="197" t="s">
        <v>57</v>
      </c>
      <c r="K150" s="193"/>
      <c r="L150" s="193"/>
      <c r="M150" s="193"/>
      <c r="N150" s="226">
        <f>賃金集計表!O25</f>
        <v>13000</v>
      </c>
      <c r="O150" s="223"/>
      <c r="P150" s="223"/>
      <c r="Q150" s="224"/>
      <c r="S150" s="197" t="s">
        <v>57</v>
      </c>
      <c r="T150" s="193"/>
      <c r="U150" s="193"/>
      <c r="V150" s="193"/>
      <c r="W150" s="222"/>
      <c r="X150" s="223"/>
      <c r="Y150" s="223"/>
      <c r="Z150" s="224"/>
      <c r="AB150" s="197" t="s">
        <v>57</v>
      </c>
      <c r="AC150" s="193"/>
      <c r="AD150" s="193"/>
      <c r="AE150" s="193"/>
      <c r="AF150" s="222"/>
      <c r="AG150" s="223"/>
      <c r="AH150" s="223"/>
      <c r="AI150" s="224"/>
    </row>
    <row r="151" spans="1:35" ht="15" customHeight="1">
      <c r="A151" s="203" t="s">
        <v>58</v>
      </c>
      <c r="B151" s="204"/>
      <c r="C151" s="204"/>
      <c r="D151" s="204"/>
      <c r="E151" s="222"/>
      <c r="F151" s="223"/>
      <c r="G151" s="223"/>
      <c r="H151" s="224"/>
      <c r="J151" s="203" t="s">
        <v>58</v>
      </c>
      <c r="K151" s="204"/>
      <c r="L151" s="204"/>
      <c r="M151" s="204"/>
      <c r="N151" s="222"/>
      <c r="O151" s="223"/>
      <c r="P151" s="223"/>
      <c r="Q151" s="224"/>
      <c r="S151" s="203" t="s">
        <v>58</v>
      </c>
      <c r="T151" s="204"/>
      <c r="U151" s="204"/>
      <c r="V151" s="204"/>
      <c r="W151" s="222"/>
      <c r="X151" s="223"/>
      <c r="Y151" s="223"/>
      <c r="Z151" s="224"/>
      <c r="AB151" s="203" t="s">
        <v>58</v>
      </c>
      <c r="AC151" s="204"/>
      <c r="AD151" s="204"/>
      <c r="AE151" s="204"/>
      <c r="AF151" s="222"/>
      <c r="AG151" s="223"/>
      <c r="AH151" s="223"/>
      <c r="AI151" s="224"/>
    </row>
    <row r="152" spans="1:35" ht="15" customHeight="1">
      <c r="A152" s="209" t="s">
        <v>30</v>
      </c>
      <c r="B152" s="204" t="s">
        <v>60</v>
      </c>
      <c r="C152" s="204"/>
      <c r="D152" s="204"/>
      <c r="E152" s="222"/>
      <c r="F152" s="223"/>
      <c r="G152" s="223"/>
      <c r="H152" s="224"/>
      <c r="J152" s="225" t="s">
        <v>30</v>
      </c>
      <c r="K152" s="193" t="s">
        <v>60</v>
      </c>
      <c r="L152" s="193"/>
      <c r="M152" s="193"/>
      <c r="N152" s="222"/>
      <c r="O152" s="223"/>
      <c r="P152" s="223"/>
      <c r="Q152" s="224"/>
      <c r="S152" s="225" t="s">
        <v>30</v>
      </c>
      <c r="T152" s="193" t="s">
        <v>60</v>
      </c>
      <c r="U152" s="193"/>
      <c r="V152" s="193"/>
      <c r="W152" s="222"/>
      <c r="X152" s="223"/>
      <c r="Y152" s="223"/>
      <c r="Z152" s="224"/>
      <c r="AB152" s="225" t="s">
        <v>30</v>
      </c>
      <c r="AC152" s="193" t="s">
        <v>60</v>
      </c>
      <c r="AD152" s="193"/>
      <c r="AE152" s="193"/>
      <c r="AF152" s="222"/>
      <c r="AG152" s="223"/>
      <c r="AH152" s="223"/>
      <c r="AI152" s="224"/>
    </row>
    <row r="153" spans="1:35" ht="15" customHeight="1">
      <c r="A153" s="209"/>
      <c r="B153" s="204" t="s">
        <v>59</v>
      </c>
      <c r="C153" s="204"/>
      <c r="D153" s="204"/>
      <c r="E153" s="222"/>
      <c r="F153" s="223"/>
      <c r="G153" s="223"/>
      <c r="H153" s="224"/>
      <c r="J153" s="225"/>
      <c r="K153" s="193" t="s">
        <v>59</v>
      </c>
      <c r="L153" s="193"/>
      <c r="M153" s="193"/>
      <c r="N153" s="222"/>
      <c r="O153" s="223"/>
      <c r="P153" s="223"/>
      <c r="Q153" s="224"/>
      <c r="S153" s="225"/>
      <c r="T153" s="193" t="s">
        <v>59</v>
      </c>
      <c r="U153" s="193"/>
      <c r="V153" s="193"/>
      <c r="W153" s="222"/>
      <c r="X153" s="223"/>
      <c r="Y153" s="223"/>
      <c r="Z153" s="224"/>
      <c r="AB153" s="225"/>
      <c r="AC153" s="193" t="s">
        <v>59</v>
      </c>
      <c r="AD153" s="193"/>
      <c r="AE153" s="193"/>
      <c r="AF153" s="222"/>
      <c r="AG153" s="223"/>
      <c r="AH153" s="223"/>
      <c r="AI153" s="224"/>
    </row>
    <row r="154" spans="1:35" ht="15" customHeight="1">
      <c r="A154" s="209"/>
      <c r="B154" s="204" t="s">
        <v>61</v>
      </c>
      <c r="C154" s="204"/>
      <c r="D154" s="204"/>
      <c r="E154" s="222"/>
      <c r="F154" s="223"/>
      <c r="G154" s="223"/>
      <c r="H154" s="224"/>
      <c r="J154" s="225"/>
      <c r="K154" s="193" t="s">
        <v>61</v>
      </c>
      <c r="L154" s="193"/>
      <c r="M154" s="193"/>
      <c r="N154" s="222"/>
      <c r="O154" s="223"/>
      <c r="P154" s="223"/>
      <c r="Q154" s="224"/>
      <c r="S154" s="225"/>
      <c r="T154" s="193" t="s">
        <v>61</v>
      </c>
      <c r="U154" s="193"/>
      <c r="V154" s="193"/>
      <c r="W154" s="222"/>
      <c r="X154" s="223"/>
      <c r="Y154" s="223"/>
      <c r="Z154" s="224"/>
      <c r="AB154" s="225"/>
      <c r="AC154" s="193" t="s">
        <v>61</v>
      </c>
      <c r="AD154" s="193"/>
      <c r="AE154" s="193"/>
      <c r="AF154" s="222"/>
      <c r="AG154" s="223"/>
      <c r="AH154" s="223"/>
      <c r="AI154" s="224"/>
    </row>
    <row r="155" spans="1:35" ht="15" customHeight="1">
      <c r="A155" s="209"/>
      <c r="B155" s="204" t="s">
        <v>62</v>
      </c>
      <c r="C155" s="204"/>
      <c r="D155" s="204"/>
      <c r="E155" s="222"/>
      <c r="F155" s="223"/>
      <c r="G155" s="223"/>
      <c r="H155" s="224"/>
      <c r="J155" s="225"/>
      <c r="K155" s="193" t="s">
        <v>62</v>
      </c>
      <c r="L155" s="193"/>
      <c r="M155" s="193"/>
      <c r="N155" s="222"/>
      <c r="O155" s="223"/>
      <c r="P155" s="223"/>
      <c r="Q155" s="224"/>
      <c r="S155" s="225"/>
      <c r="T155" s="193" t="s">
        <v>62</v>
      </c>
      <c r="U155" s="193"/>
      <c r="V155" s="193"/>
      <c r="W155" s="222"/>
      <c r="X155" s="223"/>
      <c r="Y155" s="223"/>
      <c r="Z155" s="224"/>
      <c r="AB155" s="225"/>
      <c r="AC155" s="193" t="s">
        <v>62</v>
      </c>
      <c r="AD155" s="193"/>
      <c r="AE155" s="193"/>
      <c r="AF155" s="222"/>
      <c r="AG155" s="223"/>
      <c r="AH155" s="223"/>
      <c r="AI155" s="224"/>
    </row>
    <row r="156" spans="1:35" ht="15" customHeight="1">
      <c r="A156" s="209"/>
      <c r="B156" s="204" t="s">
        <v>63</v>
      </c>
      <c r="C156" s="204"/>
      <c r="D156" s="204"/>
      <c r="E156" s="222"/>
      <c r="F156" s="223"/>
      <c r="G156" s="223"/>
      <c r="H156" s="224"/>
      <c r="J156" s="225"/>
      <c r="K156" s="193" t="s">
        <v>63</v>
      </c>
      <c r="L156" s="193"/>
      <c r="M156" s="193"/>
      <c r="N156" s="222"/>
      <c r="O156" s="223"/>
      <c r="P156" s="223"/>
      <c r="Q156" s="224"/>
      <c r="S156" s="225"/>
      <c r="T156" s="193" t="s">
        <v>63</v>
      </c>
      <c r="U156" s="193"/>
      <c r="V156" s="193"/>
      <c r="W156" s="222"/>
      <c r="X156" s="223"/>
      <c r="Y156" s="223"/>
      <c r="Z156" s="224"/>
      <c r="AB156" s="225"/>
      <c r="AC156" s="193" t="s">
        <v>63</v>
      </c>
      <c r="AD156" s="193"/>
      <c r="AE156" s="193"/>
      <c r="AF156" s="222"/>
      <c r="AG156" s="223"/>
      <c r="AH156" s="223"/>
      <c r="AI156" s="224"/>
    </row>
    <row r="157" spans="1:35" ht="15" customHeight="1">
      <c r="A157" s="209"/>
      <c r="B157" s="204"/>
      <c r="C157" s="204"/>
      <c r="D157" s="204"/>
      <c r="E157" s="208"/>
      <c r="F157" s="206"/>
      <c r="G157" s="206"/>
      <c r="H157" s="207"/>
      <c r="J157" s="225"/>
      <c r="K157" s="193"/>
      <c r="L157" s="193"/>
      <c r="M157" s="193"/>
      <c r="N157" s="208"/>
      <c r="O157" s="206"/>
      <c r="P157" s="206"/>
      <c r="Q157" s="207"/>
      <c r="S157" s="225"/>
      <c r="T157" s="193"/>
      <c r="U157" s="193"/>
      <c r="V157" s="193"/>
      <c r="W157" s="208"/>
      <c r="X157" s="206"/>
      <c r="Y157" s="206"/>
      <c r="Z157" s="207"/>
      <c r="AB157" s="225"/>
      <c r="AC157" s="193"/>
      <c r="AD157" s="193"/>
      <c r="AE157" s="193"/>
      <c r="AF157" s="208"/>
      <c r="AG157" s="206"/>
      <c r="AH157" s="206"/>
      <c r="AI157" s="207"/>
    </row>
    <row r="158" spans="1:35" ht="15" customHeight="1">
      <c r="A158" s="203" t="s">
        <v>64</v>
      </c>
      <c r="B158" s="204"/>
      <c r="C158" s="204"/>
      <c r="D158" s="204"/>
      <c r="E158" s="205">
        <f>SUM(E150:H157)</f>
        <v>13000</v>
      </c>
      <c r="F158" s="206"/>
      <c r="G158" s="206"/>
      <c r="H158" s="207"/>
      <c r="J158" s="197" t="s">
        <v>64</v>
      </c>
      <c r="K158" s="193"/>
      <c r="L158" s="193"/>
      <c r="M158" s="193"/>
      <c r="N158" s="205">
        <f>賃金集計表!O25</f>
        <v>13000</v>
      </c>
      <c r="O158" s="206"/>
      <c r="P158" s="206"/>
      <c r="Q158" s="207"/>
      <c r="S158" s="197" t="s">
        <v>64</v>
      </c>
      <c r="T158" s="193"/>
      <c r="U158" s="193"/>
      <c r="V158" s="193"/>
      <c r="W158" s="208"/>
      <c r="X158" s="206"/>
      <c r="Y158" s="206"/>
      <c r="Z158" s="207"/>
      <c r="AB158" s="197" t="s">
        <v>64</v>
      </c>
      <c r="AC158" s="193"/>
      <c r="AD158" s="193"/>
      <c r="AE158" s="193"/>
      <c r="AF158" s="208"/>
      <c r="AG158" s="206"/>
      <c r="AH158" s="206"/>
      <c r="AI158" s="207"/>
    </row>
    <row r="159" spans="1:35" ht="15" customHeight="1">
      <c r="A159" s="209" t="s">
        <v>37</v>
      </c>
      <c r="B159" s="204" t="s">
        <v>65</v>
      </c>
      <c r="C159" s="204"/>
      <c r="D159" s="204"/>
      <c r="E159" s="208"/>
      <c r="F159" s="206"/>
      <c r="G159" s="206"/>
      <c r="H159" s="207"/>
      <c r="J159" s="209" t="s">
        <v>37</v>
      </c>
      <c r="K159" s="193" t="s">
        <v>65</v>
      </c>
      <c r="L159" s="193"/>
      <c r="M159" s="193"/>
      <c r="N159" s="208"/>
      <c r="O159" s="206"/>
      <c r="P159" s="206"/>
      <c r="Q159" s="207"/>
      <c r="S159" s="209" t="s">
        <v>37</v>
      </c>
      <c r="T159" s="193" t="s">
        <v>65</v>
      </c>
      <c r="U159" s="193"/>
      <c r="V159" s="193"/>
      <c r="W159" s="208"/>
      <c r="X159" s="206"/>
      <c r="Y159" s="206"/>
      <c r="Z159" s="207"/>
      <c r="AB159" s="209" t="s">
        <v>37</v>
      </c>
      <c r="AC159" s="193" t="s">
        <v>65</v>
      </c>
      <c r="AD159" s="193"/>
      <c r="AE159" s="193"/>
      <c r="AF159" s="208"/>
      <c r="AG159" s="206"/>
      <c r="AH159" s="206"/>
      <c r="AI159" s="207"/>
    </row>
    <row r="160" spans="1:35" ht="15" customHeight="1">
      <c r="A160" s="209"/>
      <c r="B160" s="204" t="s">
        <v>32</v>
      </c>
      <c r="C160" s="204"/>
      <c r="D160" s="204"/>
      <c r="E160" s="208"/>
      <c r="F160" s="206"/>
      <c r="G160" s="206"/>
      <c r="H160" s="207"/>
      <c r="J160" s="209"/>
      <c r="K160" s="193" t="s">
        <v>32</v>
      </c>
      <c r="L160" s="193"/>
      <c r="M160" s="193"/>
      <c r="N160" s="208"/>
      <c r="O160" s="206"/>
      <c r="P160" s="206"/>
      <c r="Q160" s="207"/>
      <c r="S160" s="209"/>
      <c r="T160" s="193" t="s">
        <v>32</v>
      </c>
      <c r="U160" s="193"/>
      <c r="V160" s="193"/>
      <c r="W160" s="208"/>
      <c r="X160" s="206"/>
      <c r="Y160" s="206"/>
      <c r="Z160" s="207"/>
      <c r="AB160" s="209"/>
      <c r="AC160" s="193" t="s">
        <v>32</v>
      </c>
      <c r="AD160" s="193"/>
      <c r="AE160" s="193"/>
      <c r="AF160" s="208"/>
      <c r="AG160" s="206"/>
      <c r="AH160" s="206"/>
      <c r="AI160" s="207"/>
    </row>
    <row r="161" spans="1:35" ht="15" customHeight="1">
      <c r="A161" s="209"/>
      <c r="B161" s="204" t="s">
        <v>66</v>
      </c>
      <c r="C161" s="204"/>
      <c r="D161" s="204"/>
      <c r="E161" s="208"/>
      <c r="F161" s="206"/>
      <c r="G161" s="206"/>
      <c r="H161" s="207"/>
      <c r="J161" s="209"/>
      <c r="K161" s="193" t="s">
        <v>66</v>
      </c>
      <c r="L161" s="193"/>
      <c r="M161" s="193"/>
      <c r="N161" s="208"/>
      <c r="O161" s="206"/>
      <c r="P161" s="206"/>
      <c r="Q161" s="207"/>
      <c r="S161" s="209"/>
      <c r="T161" s="193" t="s">
        <v>66</v>
      </c>
      <c r="U161" s="193"/>
      <c r="V161" s="193"/>
      <c r="W161" s="208"/>
      <c r="X161" s="206"/>
      <c r="Y161" s="206"/>
      <c r="Z161" s="207"/>
      <c r="AB161" s="209"/>
      <c r="AC161" s="193" t="s">
        <v>66</v>
      </c>
      <c r="AD161" s="193"/>
      <c r="AE161" s="193"/>
      <c r="AF161" s="208"/>
      <c r="AG161" s="206"/>
      <c r="AH161" s="206"/>
      <c r="AI161" s="207"/>
    </row>
    <row r="162" spans="1:35" ht="15" customHeight="1">
      <c r="A162" s="209"/>
      <c r="B162" s="204" t="s">
        <v>35</v>
      </c>
      <c r="C162" s="204"/>
      <c r="D162" s="204"/>
      <c r="E162" s="208"/>
      <c r="F162" s="206"/>
      <c r="G162" s="206"/>
      <c r="H162" s="207"/>
      <c r="J162" s="209"/>
      <c r="K162" s="193" t="s">
        <v>35</v>
      </c>
      <c r="L162" s="193"/>
      <c r="M162" s="193"/>
      <c r="N162" s="208"/>
      <c r="O162" s="206"/>
      <c r="P162" s="206"/>
      <c r="Q162" s="207"/>
      <c r="S162" s="209"/>
      <c r="T162" s="193" t="s">
        <v>35</v>
      </c>
      <c r="U162" s="193"/>
      <c r="V162" s="193"/>
      <c r="W162" s="208"/>
      <c r="X162" s="206"/>
      <c r="Y162" s="206"/>
      <c r="Z162" s="207"/>
      <c r="AB162" s="209"/>
      <c r="AC162" s="193" t="s">
        <v>35</v>
      </c>
      <c r="AD162" s="193"/>
      <c r="AE162" s="193"/>
      <c r="AF162" s="208"/>
      <c r="AG162" s="206"/>
      <c r="AH162" s="206"/>
      <c r="AI162" s="207"/>
    </row>
    <row r="163" spans="1:35" ht="15" customHeight="1">
      <c r="A163" s="209"/>
      <c r="B163" s="204" t="s">
        <v>34</v>
      </c>
      <c r="C163" s="204"/>
      <c r="D163" s="204"/>
      <c r="E163" s="208"/>
      <c r="F163" s="206"/>
      <c r="G163" s="206"/>
      <c r="H163" s="207"/>
      <c r="J163" s="209"/>
      <c r="K163" s="193" t="s">
        <v>34</v>
      </c>
      <c r="L163" s="193"/>
      <c r="M163" s="193"/>
      <c r="N163" s="208"/>
      <c r="O163" s="206"/>
      <c r="P163" s="206"/>
      <c r="Q163" s="207"/>
      <c r="S163" s="209"/>
      <c r="T163" s="193" t="s">
        <v>34</v>
      </c>
      <c r="U163" s="193"/>
      <c r="V163" s="193"/>
      <c r="W163" s="208"/>
      <c r="X163" s="206"/>
      <c r="Y163" s="206"/>
      <c r="Z163" s="207"/>
      <c r="AB163" s="209"/>
      <c r="AC163" s="193" t="s">
        <v>34</v>
      </c>
      <c r="AD163" s="193"/>
      <c r="AE163" s="193"/>
      <c r="AF163" s="208"/>
      <c r="AG163" s="206"/>
      <c r="AH163" s="206"/>
      <c r="AI163" s="207"/>
    </row>
    <row r="164" spans="1:35" ht="15" customHeight="1">
      <c r="A164" s="209"/>
      <c r="B164" s="204"/>
      <c r="C164" s="204"/>
      <c r="D164" s="204"/>
      <c r="E164" s="208"/>
      <c r="F164" s="206"/>
      <c r="G164" s="206"/>
      <c r="H164" s="207"/>
      <c r="J164" s="209"/>
      <c r="K164" s="193"/>
      <c r="L164" s="193"/>
      <c r="M164" s="193"/>
      <c r="N164" s="208"/>
      <c r="O164" s="206"/>
      <c r="P164" s="206"/>
      <c r="Q164" s="207"/>
      <c r="S164" s="209"/>
      <c r="T164" s="193"/>
      <c r="U164" s="193"/>
      <c r="V164" s="193"/>
      <c r="W164" s="208"/>
      <c r="X164" s="206"/>
      <c r="Y164" s="206"/>
      <c r="Z164" s="207"/>
      <c r="AB164" s="209"/>
      <c r="AC164" s="193"/>
      <c r="AD164" s="193"/>
      <c r="AE164" s="193"/>
      <c r="AF164" s="208"/>
      <c r="AG164" s="206"/>
      <c r="AH164" s="206"/>
      <c r="AI164" s="207"/>
    </row>
    <row r="165" spans="1:35" ht="15" customHeight="1">
      <c r="A165" s="209"/>
      <c r="B165" s="193" t="s">
        <v>94</v>
      </c>
      <c r="C165" s="193"/>
      <c r="D165" s="193"/>
      <c r="E165" s="205">
        <f>賃金集計表!V24</f>
        <v>0</v>
      </c>
      <c r="F165" s="206"/>
      <c r="G165" s="206"/>
      <c r="H165" s="207"/>
      <c r="J165" s="209"/>
      <c r="K165" s="193" t="s">
        <v>94</v>
      </c>
      <c r="L165" s="193"/>
      <c r="M165" s="193"/>
      <c r="N165" s="205">
        <f>賃金集計表!V25</f>
        <v>0</v>
      </c>
      <c r="O165" s="206"/>
      <c r="P165" s="206"/>
      <c r="Q165" s="207"/>
      <c r="S165" s="209"/>
      <c r="T165" s="193" t="s">
        <v>94</v>
      </c>
      <c r="U165" s="193"/>
      <c r="V165" s="193"/>
      <c r="W165" s="208"/>
      <c r="X165" s="206"/>
      <c r="Y165" s="206"/>
      <c r="Z165" s="207"/>
      <c r="AB165" s="209"/>
      <c r="AC165" s="193" t="s">
        <v>94</v>
      </c>
      <c r="AD165" s="193"/>
      <c r="AE165" s="193"/>
      <c r="AF165" s="208"/>
      <c r="AG165" s="206"/>
      <c r="AH165" s="206"/>
      <c r="AI165" s="207"/>
    </row>
    <row r="166" spans="1:35" ht="15" customHeight="1">
      <c r="A166" s="209"/>
      <c r="B166" s="204" t="s">
        <v>64</v>
      </c>
      <c r="C166" s="204"/>
      <c r="D166" s="204"/>
      <c r="E166" s="208">
        <f>SUM(E159:H165)</f>
        <v>0</v>
      </c>
      <c r="F166" s="206"/>
      <c r="G166" s="206"/>
      <c r="H166" s="207"/>
      <c r="J166" s="209"/>
      <c r="K166" s="193" t="s">
        <v>64</v>
      </c>
      <c r="L166" s="193"/>
      <c r="M166" s="193"/>
      <c r="N166" s="205">
        <f>賃金集計表!W25</f>
        <v>0</v>
      </c>
      <c r="O166" s="206"/>
      <c r="P166" s="206"/>
      <c r="Q166" s="207"/>
      <c r="S166" s="209"/>
      <c r="T166" s="193" t="s">
        <v>64</v>
      </c>
      <c r="U166" s="193"/>
      <c r="V166" s="193"/>
      <c r="W166" s="208"/>
      <c r="X166" s="206"/>
      <c r="Y166" s="206"/>
      <c r="Z166" s="207"/>
      <c r="AB166" s="209"/>
      <c r="AC166" s="193" t="s">
        <v>64</v>
      </c>
      <c r="AD166" s="193"/>
      <c r="AE166" s="193"/>
      <c r="AF166" s="208"/>
      <c r="AG166" s="206"/>
      <c r="AH166" s="206"/>
      <c r="AI166" s="207"/>
    </row>
    <row r="167" spans="1:35" ht="15" customHeight="1">
      <c r="A167" s="203" t="s">
        <v>67</v>
      </c>
      <c r="B167" s="204"/>
      <c r="C167" s="204"/>
      <c r="D167" s="204"/>
      <c r="E167" s="205">
        <f>E158-E166</f>
        <v>13000</v>
      </c>
      <c r="F167" s="206"/>
      <c r="G167" s="206"/>
      <c r="H167" s="207"/>
      <c r="J167" s="197" t="s">
        <v>67</v>
      </c>
      <c r="K167" s="193"/>
      <c r="L167" s="193"/>
      <c r="M167" s="193"/>
      <c r="N167" s="205">
        <f>賃金集計表!X25</f>
        <v>13000</v>
      </c>
      <c r="O167" s="206"/>
      <c r="P167" s="206"/>
      <c r="Q167" s="207"/>
      <c r="S167" s="197" t="s">
        <v>67</v>
      </c>
      <c r="T167" s="193"/>
      <c r="U167" s="193"/>
      <c r="V167" s="193"/>
      <c r="W167" s="208"/>
      <c r="X167" s="206"/>
      <c r="Y167" s="206"/>
      <c r="Z167" s="207"/>
      <c r="AB167" s="197" t="s">
        <v>67</v>
      </c>
      <c r="AC167" s="193"/>
      <c r="AD167" s="193"/>
      <c r="AE167" s="193"/>
      <c r="AF167" s="208"/>
      <c r="AG167" s="206"/>
      <c r="AH167" s="206"/>
      <c r="AI167" s="207"/>
    </row>
    <row r="168" spans="1:35" ht="15" customHeight="1">
      <c r="A168" s="212" t="s">
        <v>68</v>
      </c>
      <c r="B168" s="213"/>
      <c r="C168" s="213"/>
      <c r="D168" s="77"/>
      <c r="E168" s="78"/>
      <c r="F168" s="78"/>
      <c r="G168" s="214" t="s">
        <v>72</v>
      </c>
      <c r="H168" s="215"/>
      <c r="J168" s="212" t="s">
        <v>68</v>
      </c>
      <c r="K168" s="213"/>
      <c r="L168" s="213"/>
      <c r="M168" s="77"/>
      <c r="N168" s="78"/>
      <c r="O168" s="78"/>
      <c r="P168" s="214" t="s">
        <v>72</v>
      </c>
      <c r="Q168" s="215"/>
      <c r="S168" s="212" t="s">
        <v>68</v>
      </c>
      <c r="T168" s="213"/>
      <c r="U168" s="213"/>
      <c r="V168" s="77"/>
      <c r="W168" s="78"/>
      <c r="X168" s="78"/>
      <c r="Y168" s="214" t="s">
        <v>72</v>
      </c>
      <c r="Z168" s="215"/>
      <c r="AB168" s="212" t="s">
        <v>68</v>
      </c>
      <c r="AC168" s="213"/>
      <c r="AD168" s="213"/>
      <c r="AE168" s="77"/>
      <c r="AF168" s="78"/>
      <c r="AG168" s="78"/>
      <c r="AH168" s="214" t="s">
        <v>72</v>
      </c>
      <c r="AI168" s="215"/>
    </row>
    <row r="169" spans="1:35" ht="18" customHeight="1">
      <c r="A169" s="220" t="s">
        <v>39</v>
      </c>
      <c r="B169" s="221"/>
      <c r="C169" s="221"/>
      <c r="D169" s="221"/>
      <c r="E169" s="221"/>
      <c r="F169" s="221"/>
      <c r="G169" s="216"/>
      <c r="H169" s="217"/>
      <c r="J169" s="220" t="s">
        <v>39</v>
      </c>
      <c r="K169" s="221"/>
      <c r="L169" s="221"/>
      <c r="M169" s="221"/>
      <c r="N169" s="221"/>
      <c r="O169" s="221"/>
      <c r="P169" s="216"/>
      <c r="Q169" s="217"/>
      <c r="S169" s="220" t="s">
        <v>39</v>
      </c>
      <c r="T169" s="221"/>
      <c r="U169" s="221"/>
      <c r="V169" s="221"/>
      <c r="W169" s="221"/>
      <c r="X169" s="221"/>
      <c r="Y169" s="216"/>
      <c r="Z169" s="217"/>
      <c r="AB169" s="220" t="s">
        <v>39</v>
      </c>
      <c r="AC169" s="221"/>
      <c r="AD169" s="221"/>
      <c r="AE169" s="221"/>
      <c r="AF169" s="221"/>
      <c r="AG169" s="221"/>
      <c r="AH169" s="216"/>
      <c r="AI169" s="217"/>
    </row>
    <row r="170" spans="1:35" ht="22.5" customHeight="1" thickBot="1">
      <c r="A170" s="210" t="s">
        <v>73</v>
      </c>
      <c r="B170" s="211"/>
      <c r="C170" s="211"/>
      <c r="D170" s="211"/>
      <c r="E170" s="211"/>
      <c r="F170" s="211"/>
      <c r="G170" s="218"/>
      <c r="H170" s="219"/>
      <c r="J170" s="210" t="s">
        <v>73</v>
      </c>
      <c r="K170" s="211"/>
      <c r="L170" s="211"/>
      <c r="M170" s="211"/>
      <c r="N170" s="211"/>
      <c r="O170" s="211"/>
      <c r="P170" s="218"/>
      <c r="Q170" s="219"/>
      <c r="S170" s="210" t="s">
        <v>73</v>
      </c>
      <c r="T170" s="211"/>
      <c r="U170" s="211"/>
      <c r="V170" s="211"/>
      <c r="W170" s="211"/>
      <c r="X170" s="211"/>
      <c r="Y170" s="218"/>
      <c r="Z170" s="219"/>
      <c r="AB170" s="210" t="s">
        <v>73</v>
      </c>
      <c r="AC170" s="211"/>
      <c r="AD170" s="211"/>
      <c r="AE170" s="211"/>
      <c r="AF170" s="211"/>
      <c r="AG170" s="211"/>
      <c r="AH170" s="218"/>
      <c r="AI170" s="219"/>
    </row>
    <row r="171" spans="1:35" ht="28.5" customHeight="1" thickTop="1">
      <c r="A171" s="240" t="s">
        <v>44</v>
      </c>
      <c r="B171" s="240"/>
      <c r="C171" s="240"/>
      <c r="D171" s="240"/>
      <c r="E171" s="240"/>
      <c r="F171" s="240"/>
      <c r="G171" s="240"/>
      <c r="H171" s="240"/>
      <c r="J171" s="240" t="s">
        <v>44</v>
      </c>
      <c r="K171" s="240"/>
      <c r="L171" s="240"/>
      <c r="M171" s="240"/>
      <c r="N171" s="240"/>
      <c r="O171" s="240"/>
      <c r="P171" s="240"/>
      <c r="Q171" s="240"/>
      <c r="S171" s="240" t="s">
        <v>44</v>
      </c>
      <c r="T171" s="240"/>
      <c r="U171" s="240"/>
      <c r="V171" s="240"/>
      <c r="W171" s="240"/>
      <c r="X171" s="240"/>
      <c r="Y171" s="240"/>
      <c r="Z171" s="240"/>
      <c r="AB171" s="240" t="s">
        <v>44</v>
      </c>
      <c r="AC171" s="240"/>
      <c r="AD171" s="240"/>
      <c r="AE171" s="240"/>
      <c r="AF171" s="240"/>
      <c r="AG171" s="240"/>
      <c r="AH171" s="240"/>
      <c r="AI171" s="240"/>
    </row>
    <row r="172" spans="1:35" ht="8.25" customHeight="1">
      <c r="A172" s="67"/>
      <c r="B172" s="67"/>
      <c r="C172" s="67"/>
      <c r="D172" s="67"/>
      <c r="E172" s="67"/>
      <c r="F172" s="67"/>
      <c r="G172" s="67"/>
      <c r="H172" s="67"/>
      <c r="J172" s="67"/>
      <c r="K172" s="67"/>
      <c r="L172" s="67"/>
      <c r="M172" s="67"/>
      <c r="N172" s="67"/>
      <c r="O172" s="67"/>
      <c r="P172" s="67"/>
      <c r="Q172" s="67"/>
      <c r="S172" s="67"/>
      <c r="T172" s="67"/>
      <c r="U172" s="67"/>
      <c r="V172" s="67"/>
      <c r="W172" s="67"/>
      <c r="X172" s="67"/>
      <c r="Y172" s="67"/>
      <c r="Z172" s="67"/>
      <c r="AB172" s="67"/>
      <c r="AC172" s="67"/>
      <c r="AD172" s="67"/>
      <c r="AE172" s="67"/>
      <c r="AF172" s="67"/>
      <c r="AG172" s="67"/>
      <c r="AH172" s="67"/>
      <c r="AI172" s="67"/>
    </row>
    <row r="173" spans="1:35" ht="23.25" customHeight="1">
      <c r="A173" s="67"/>
      <c r="B173" s="67"/>
      <c r="C173" s="79" t="s">
        <v>45</v>
      </c>
      <c r="D173" s="67">
        <v>27</v>
      </c>
      <c r="E173" s="67" t="s">
        <v>46</v>
      </c>
      <c r="F173" s="67">
        <v>3</v>
      </c>
      <c r="G173" s="80" t="s">
        <v>47</v>
      </c>
      <c r="H173" s="67"/>
      <c r="J173" s="67"/>
      <c r="K173" s="67"/>
      <c r="L173" s="79" t="s">
        <v>45</v>
      </c>
      <c r="M173" s="67">
        <v>27</v>
      </c>
      <c r="N173" s="67" t="s">
        <v>46</v>
      </c>
      <c r="O173" s="67">
        <v>3</v>
      </c>
      <c r="P173" s="80" t="s">
        <v>47</v>
      </c>
      <c r="Q173" s="67"/>
      <c r="S173" s="67"/>
      <c r="T173" s="67"/>
      <c r="U173" s="79" t="s">
        <v>45</v>
      </c>
      <c r="V173" s="67">
        <v>27</v>
      </c>
      <c r="W173" s="67" t="s">
        <v>46</v>
      </c>
      <c r="X173" s="67">
        <v>3</v>
      </c>
      <c r="Y173" s="80" t="s">
        <v>47</v>
      </c>
      <c r="Z173" s="67"/>
      <c r="AB173" s="67"/>
      <c r="AC173" s="67"/>
      <c r="AD173" s="67" t="s">
        <v>45</v>
      </c>
      <c r="AE173" s="67"/>
      <c r="AF173" s="67" t="s">
        <v>46</v>
      </c>
      <c r="AG173" s="67"/>
      <c r="AH173" s="67" t="s">
        <v>47</v>
      </c>
      <c r="AI173" s="67"/>
    </row>
    <row r="174" spans="1:35" ht="20.25" customHeight="1">
      <c r="A174" s="68" t="s">
        <v>48</v>
      </c>
      <c r="B174" s="68" t="s">
        <v>49</v>
      </c>
      <c r="C174" s="68" t="s">
        <v>50</v>
      </c>
      <c r="D174" s="68"/>
      <c r="E174" s="68"/>
      <c r="F174" s="67"/>
      <c r="G174" s="67"/>
      <c r="H174" s="67"/>
      <c r="J174" s="68" t="s">
        <v>48</v>
      </c>
      <c r="K174" s="68" t="s">
        <v>49</v>
      </c>
      <c r="L174" s="68" t="s">
        <v>50</v>
      </c>
      <c r="M174" s="68"/>
      <c r="N174" s="68"/>
      <c r="O174" s="67"/>
      <c r="P174" s="67"/>
      <c r="Q174" s="67"/>
      <c r="S174" s="68" t="s">
        <v>48</v>
      </c>
      <c r="T174" s="68" t="s">
        <v>49</v>
      </c>
      <c r="U174" s="68" t="s">
        <v>50</v>
      </c>
      <c r="V174" s="68"/>
      <c r="W174" s="68"/>
      <c r="X174" s="67"/>
      <c r="Y174" s="67"/>
      <c r="Z174" s="67"/>
      <c r="AB174" s="68" t="s">
        <v>48</v>
      </c>
      <c r="AC174" s="68" t="s">
        <v>49</v>
      </c>
      <c r="AD174" s="68" t="s">
        <v>50</v>
      </c>
      <c r="AE174" s="68"/>
      <c r="AF174" s="68"/>
      <c r="AG174" s="67"/>
      <c r="AH174" s="67"/>
      <c r="AI174" s="67"/>
    </row>
    <row r="175" spans="1:35">
      <c r="A175" s="230" t="str">
        <f>賃金集計表!A29</f>
        <v>吉原　祐平</v>
      </c>
      <c r="B175" s="230"/>
      <c r="C175" s="230"/>
      <c r="D175" s="230"/>
      <c r="E175" s="230"/>
      <c r="F175" s="230"/>
      <c r="G175" s="230"/>
      <c r="H175" s="69"/>
      <c r="J175" s="230" t="str">
        <f>賃金集計表!A30</f>
        <v>櫻武　隆一</v>
      </c>
      <c r="K175" s="230"/>
      <c r="L175" s="230"/>
      <c r="M175" s="230"/>
      <c r="N175" s="230"/>
      <c r="O175" s="230"/>
      <c r="P175" s="230"/>
      <c r="Q175" s="69"/>
      <c r="S175" s="230" t="str">
        <f>賃金集計表!A31</f>
        <v>佐藤　皓喜</v>
      </c>
      <c r="T175" s="230"/>
      <c r="U175" s="230"/>
      <c r="V175" s="230"/>
      <c r="W175" s="230"/>
      <c r="X175" s="230"/>
      <c r="Y175" s="230"/>
      <c r="Z175" s="69"/>
      <c r="AB175" s="230">
        <f>'3月分'!AC159</f>
        <v>0</v>
      </c>
      <c r="AC175" s="230"/>
      <c r="AD175" s="230"/>
      <c r="AE175" s="230"/>
      <c r="AF175" s="230"/>
      <c r="AG175" s="230"/>
      <c r="AH175" s="230"/>
      <c r="AI175" s="69"/>
    </row>
    <row r="176" spans="1:35">
      <c r="A176" s="231"/>
      <c r="B176" s="231"/>
      <c r="C176" s="231"/>
      <c r="D176" s="231"/>
      <c r="E176" s="231"/>
      <c r="F176" s="231"/>
      <c r="G176" s="231"/>
      <c r="H176" s="68" t="s">
        <v>51</v>
      </c>
      <c r="J176" s="231"/>
      <c r="K176" s="231"/>
      <c r="L176" s="231"/>
      <c r="M176" s="231"/>
      <c r="N176" s="231"/>
      <c r="O176" s="231"/>
      <c r="P176" s="231"/>
      <c r="Q176" s="68" t="s">
        <v>51</v>
      </c>
      <c r="S176" s="231"/>
      <c r="T176" s="231"/>
      <c r="U176" s="231"/>
      <c r="V176" s="231"/>
      <c r="W176" s="231"/>
      <c r="X176" s="231"/>
      <c r="Y176" s="231"/>
      <c r="Z176" s="68" t="s">
        <v>51</v>
      </c>
      <c r="AB176" s="231"/>
      <c r="AC176" s="231"/>
      <c r="AD176" s="231"/>
      <c r="AE176" s="231"/>
      <c r="AF176" s="231"/>
      <c r="AG176" s="231"/>
      <c r="AH176" s="231"/>
      <c r="AI176" s="68" t="s">
        <v>51</v>
      </c>
    </row>
    <row r="177" spans="1:35" ht="6" customHeight="1" thickBot="1">
      <c r="A177" s="67"/>
      <c r="B177" s="67"/>
      <c r="C177" s="67"/>
      <c r="D177" s="67"/>
      <c r="E177" s="67"/>
      <c r="F177" s="67"/>
      <c r="G177" s="67"/>
      <c r="H177" s="67"/>
      <c r="J177" s="67"/>
      <c r="K177" s="67"/>
      <c r="L177" s="67"/>
      <c r="M177" s="67"/>
      <c r="N177" s="67"/>
      <c r="O177" s="67"/>
      <c r="P177" s="67"/>
      <c r="Q177" s="67"/>
      <c r="S177" s="67"/>
      <c r="T177" s="67"/>
      <c r="U177" s="67"/>
      <c r="V177" s="67"/>
      <c r="W177" s="67"/>
      <c r="X177" s="67"/>
      <c r="Y177" s="67"/>
      <c r="Z177" s="67"/>
      <c r="AB177" s="67"/>
      <c r="AC177" s="67"/>
      <c r="AD177" s="67"/>
      <c r="AE177" s="67"/>
      <c r="AF177" s="67"/>
      <c r="AG177" s="67"/>
      <c r="AH177" s="67"/>
      <c r="AI177" s="67"/>
    </row>
    <row r="178" spans="1:35" ht="15" customHeight="1" thickTop="1">
      <c r="A178" s="233" t="s">
        <v>52</v>
      </c>
      <c r="B178" s="234"/>
      <c r="C178" s="234"/>
      <c r="D178" s="234"/>
      <c r="E178" s="235" t="s">
        <v>74</v>
      </c>
      <c r="F178" s="236"/>
      <c r="G178" s="236"/>
      <c r="H178" s="237"/>
      <c r="J178" s="201" t="s">
        <v>52</v>
      </c>
      <c r="K178" s="202"/>
      <c r="L178" s="202"/>
      <c r="M178" s="202"/>
      <c r="N178" s="235" t="s">
        <v>74</v>
      </c>
      <c r="O178" s="236"/>
      <c r="P178" s="236"/>
      <c r="Q178" s="237"/>
      <c r="S178" s="201" t="s">
        <v>52</v>
      </c>
      <c r="T178" s="202"/>
      <c r="U178" s="202"/>
      <c r="V178" s="202"/>
      <c r="W178" s="235" t="s">
        <v>74</v>
      </c>
      <c r="X178" s="236"/>
      <c r="Y178" s="236"/>
      <c r="Z178" s="237"/>
      <c r="AB178" s="201" t="s">
        <v>52</v>
      </c>
      <c r="AC178" s="202"/>
      <c r="AD178" s="202"/>
      <c r="AE178" s="202"/>
      <c r="AF178" s="235" t="s">
        <v>74</v>
      </c>
      <c r="AG178" s="236"/>
      <c r="AH178" s="236"/>
      <c r="AI178" s="237"/>
    </row>
    <row r="179" spans="1:35" ht="15" customHeight="1">
      <c r="A179" s="203" t="s">
        <v>69</v>
      </c>
      <c r="B179" s="204"/>
      <c r="C179" s="204"/>
      <c r="D179" s="204"/>
      <c r="E179" s="70"/>
      <c r="F179" s="71"/>
      <c r="G179" s="71">
        <f>賃金集計表!B29</f>
        <v>15</v>
      </c>
      <c r="H179" s="72" t="s">
        <v>9</v>
      </c>
      <c r="J179" s="197" t="s">
        <v>69</v>
      </c>
      <c r="K179" s="193"/>
      <c r="L179" s="193"/>
      <c r="M179" s="193"/>
      <c r="N179" s="70"/>
      <c r="O179" s="71"/>
      <c r="P179" s="71">
        <f>賃金集計表!B30</f>
        <v>13</v>
      </c>
      <c r="Q179" s="72" t="s">
        <v>9</v>
      </c>
      <c r="S179" s="197" t="s">
        <v>69</v>
      </c>
      <c r="T179" s="193"/>
      <c r="U179" s="193"/>
      <c r="V179" s="193"/>
      <c r="W179" s="70"/>
      <c r="X179" s="71"/>
      <c r="Y179" s="71">
        <f>賃金集計表!B31</f>
        <v>10</v>
      </c>
      <c r="Z179" s="72" t="s">
        <v>9</v>
      </c>
      <c r="AB179" s="197" t="s">
        <v>69</v>
      </c>
      <c r="AC179" s="193"/>
      <c r="AD179" s="193"/>
      <c r="AE179" s="193"/>
      <c r="AF179" s="70"/>
      <c r="AG179" s="71"/>
      <c r="AH179" s="71"/>
      <c r="AI179" s="72" t="s">
        <v>9</v>
      </c>
    </row>
    <row r="180" spans="1:35" ht="15" customHeight="1">
      <c r="A180" s="203" t="s">
        <v>53</v>
      </c>
      <c r="B180" s="204"/>
      <c r="C180" s="204"/>
      <c r="D180" s="204"/>
      <c r="E180" s="70"/>
      <c r="F180" s="73" t="s">
        <v>71</v>
      </c>
      <c r="G180" s="70"/>
      <c r="H180" s="72" t="s">
        <v>70</v>
      </c>
      <c r="J180" s="197" t="s">
        <v>53</v>
      </c>
      <c r="K180" s="193"/>
      <c r="L180" s="193"/>
      <c r="M180" s="193"/>
      <c r="N180" s="70"/>
      <c r="O180" s="73" t="s">
        <v>71</v>
      </c>
      <c r="P180" s="70"/>
      <c r="Q180" s="72" t="s">
        <v>70</v>
      </c>
      <c r="S180" s="197" t="s">
        <v>53</v>
      </c>
      <c r="T180" s="193"/>
      <c r="U180" s="193"/>
      <c r="V180" s="193"/>
      <c r="W180" s="70"/>
      <c r="X180" s="73" t="s">
        <v>71</v>
      </c>
      <c r="Y180" s="70"/>
      <c r="Z180" s="72" t="s">
        <v>70</v>
      </c>
      <c r="AB180" s="197" t="s">
        <v>53</v>
      </c>
      <c r="AC180" s="193"/>
      <c r="AD180" s="193"/>
      <c r="AE180" s="193"/>
      <c r="AF180" s="70"/>
      <c r="AG180" s="73" t="s">
        <v>71</v>
      </c>
      <c r="AH180" s="70"/>
      <c r="AI180" s="72" t="s">
        <v>70</v>
      </c>
    </row>
    <row r="181" spans="1:35" ht="15" customHeight="1">
      <c r="A181" s="203" t="s">
        <v>54</v>
      </c>
      <c r="B181" s="204"/>
      <c r="C181" s="204"/>
      <c r="D181" s="204"/>
      <c r="E181" s="70"/>
      <c r="F181" s="73" t="s">
        <v>71</v>
      </c>
      <c r="G181" s="70"/>
      <c r="H181" s="72" t="s">
        <v>70</v>
      </c>
      <c r="J181" s="197" t="s">
        <v>54</v>
      </c>
      <c r="K181" s="193"/>
      <c r="L181" s="193"/>
      <c r="M181" s="193"/>
      <c r="N181" s="70"/>
      <c r="O181" s="73" t="s">
        <v>71</v>
      </c>
      <c r="P181" s="70"/>
      <c r="Q181" s="72" t="s">
        <v>70</v>
      </c>
      <c r="S181" s="197" t="s">
        <v>54</v>
      </c>
      <c r="T181" s="193"/>
      <c r="U181" s="193"/>
      <c r="V181" s="193"/>
      <c r="W181" s="70"/>
      <c r="X181" s="73" t="s">
        <v>71</v>
      </c>
      <c r="Y181" s="70"/>
      <c r="Z181" s="72" t="s">
        <v>70</v>
      </c>
      <c r="AB181" s="197" t="s">
        <v>54</v>
      </c>
      <c r="AC181" s="193"/>
      <c r="AD181" s="193"/>
      <c r="AE181" s="193"/>
      <c r="AF181" s="70"/>
      <c r="AG181" s="73" t="s">
        <v>71</v>
      </c>
      <c r="AH181" s="70"/>
      <c r="AI181" s="72" t="s">
        <v>70</v>
      </c>
    </row>
    <row r="182" spans="1:35" ht="15" customHeight="1">
      <c r="A182" s="203" t="s">
        <v>55</v>
      </c>
      <c r="B182" s="204"/>
      <c r="C182" s="204"/>
      <c r="D182" s="204"/>
      <c r="E182" s="70"/>
      <c r="F182" s="73" t="s">
        <v>71</v>
      </c>
      <c r="G182" s="70"/>
      <c r="H182" s="72" t="s">
        <v>70</v>
      </c>
      <c r="J182" s="197" t="s">
        <v>55</v>
      </c>
      <c r="K182" s="193"/>
      <c r="L182" s="193"/>
      <c r="M182" s="193"/>
      <c r="N182" s="70"/>
      <c r="O182" s="73" t="s">
        <v>71</v>
      </c>
      <c r="P182" s="70"/>
      <c r="Q182" s="72" t="s">
        <v>70</v>
      </c>
      <c r="S182" s="197" t="s">
        <v>55</v>
      </c>
      <c r="T182" s="193"/>
      <c r="U182" s="193"/>
      <c r="V182" s="193"/>
      <c r="W182" s="70"/>
      <c r="X182" s="73" t="s">
        <v>71</v>
      </c>
      <c r="Y182" s="70"/>
      <c r="Z182" s="72" t="s">
        <v>70</v>
      </c>
      <c r="AB182" s="197" t="s">
        <v>55</v>
      </c>
      <c r="AC182" s="193"/>
      <c r="AD182" s="193"/>
      <c r="AE182" s="193"/>
      <c r="AF182" s="70"/>
      <c r="AG182" s="73" t="s">
        <v>71</v>
      </c>
      <c r="AH182" s="70"/>
      <c r="AI182" s="72" t="s">
        <v>70</v>
      </c>
    </row>
    <row r="183" spans="1:35" ht="15" customHeight="1">
      <c r="A183" s="203" t="s">
        <v>56</v>
      </c>
      <c r="B183" s="204"/>
      <c r="C183" s="204"/>
      <c r="D183" s="204"/>
      <c r="E183" s="74"/>
      <c r="F183" s="75" t="s">
        <v>71</v>
      </c>
      <c r="G183" s="74"/>
      <c r="H183" s="76" t="s">
        <v>70</v>
      </c>
      <c r="J183" s="197" t="s">
        <v>56</v>
      </c>
      <c r="K183" s="193"/>
      <c r="L183" s="193"/>
      <c r="M183" s="193"/>
      <c r="N183" s="74"/>
      <c r="O183" s="75" t="s">
        <v>71</v>
      </c>
      <c r="P183" s="74"/>
      <c r="Q183" s="76" t="s">
        <v>70</v>
      </c>
      <c r="S183" s="197" t="s">
        <v>56</v>
      </c>
      <c r="T183" s="193"/>
      <c r="U183" s="193"/>
      <c r="V183" s="193"/>
      <c r="W183" s="74"/>
      <c r="X183" s="75" t="s">
        <v>71</v>
      </c>
      <c r="Y183" s="74"/>
      <c r="Z183" s="76" t="s">
        <v>70</v>
      </c>
      <c r="AB183" s="197" t="s">
        <v>56</v>
      </c>
      <c r="AC183" s="193"/>
      <c r="AD183" s="193"/>
      <c r="AE183" s="193"/>
      <c r="AF183" s="74"/>
      <c r="AG183" s="75" t="s">
        <v>71</v>
      </c>
      <c r="AH183" s="74"/>
      <c r="AI183" s="76" t="s">
        <v>70</v>
      </c>
    </row>
    <row r="184" spans="1:35" ht="15" customHeight="1">
      <c r="A184" s="203" t="s">
        <v>57</v>
      </c>
      <c r="B184" s="204"/>
      <c r="C184" s="204"/>
      <c r="D184" s="204"/>
      <c r="E184" s="226">
        <f>賃金集計表!H29</f>
        <v>15000</v>
      </c>
      <c r="F184" s="223"/>
      <c r="G184" s="223"/>
      <c r="H184" s="224"/>
      <c r="J184" s="197" t="s">
        <v>57</v>
      </c>
      <c r="K184" s="193"/>
      <c r="L184" s="193"/>
      <c r="M184" s="193"/>
      <c r="N184" s="226">
        <f>賃金集計表!H30</f>
        <v>13000</v>
      </c>
      <c r="O184" s="223"/>
      <c r="P184" s="223"/>
      <c r="Q184" s="224"/>
      <c r="S184" s="197" t="s">
        <v>57</v>
      </c>
      <c r="T184" s="193"/>
      <c r="U184" s="193"/>
      <c r="V184" s="193"/>
      <c r="W184" s="226">
        <f>賃金集計表!H31</f>
        <v>10000</v>
      </c>
      <c r="X184" s="223"/>
      <c r="Y184" s="223"/>
      <c r="Z184" s="224"/>
      <c r="AB184" s="197" t="s">
        <v>57</v>
      </c>
      <c r="AC184" s="193"/>
      <c r="AD184" s="193"/>
      <c r="AE184" s="193"/>
      <c r="AF184" s="222"/>
      <c r="AG184" s="223"/>
      <c r="AH184" s="223"/>
      <c r="AI184" s="224"/>
    </row>
    <row r="185" spans="1:35" ht="15" customHeight="1">
      <c r="A185" s="203" t="s">
        <v>58</v>
      </c>
      <c r="B185" s="204"/>
      <c r="C185" s="204"/>
      <c r="D185" s="204"/>
      <c r="E185" s="222"/>
      <c r="F185" s="223"/>
      <c r="G185" s="223"/>
      <c r="H185" s="224"/>
      <c r="J185" s="203" t="s">
        <v>58</v>
      </c>
      <c r="K185" s="204"/>
      <c r="L185" s="204"/>
      <c r="M185" s="204"/>
      <c r="N185" s="222"/>
      <c r="O185" s="223"/>
      <c r="P185" s="223"/>
      <c r="Q185" s="224"/>
      <c r="S185" s="203" t="s">
        <v>58</v>
      </c>
      <c r="T185" s="204"/>
      <c r="U185" s="204"/>
      <c r="V185" s="204"/>
      <c r="W185" s="222"/>
      <c r="X185" s="223"/>
      <c r="Y185" s="223"/>
      <c r="Z185" s="224"/>
      <c r="AB185" s="203" t="s">
        <v>58</v>
      </c>
      <c r="AC185" s="204"/>
      <c r="AD185" s="204"/>
      <c r="AE185" s="204"/>
      <c r="AF185" s="222"/>
      <c r="AG185" s="223"/>
      <c r="AH185" s="223"/>
      <c r="AI185" s="224"/>
    </row>
    <row r="186" spans="1:35" ht="15" customHeight="1">
      <c r="A186" s="209" t="s">
        <v>30</v>
      </c>
      <c r="B186" s="204" t="s">
        <v>60</v>
      </c>
      <c r="C186" s="204"/>
      <c r="D186" s="204"/>
      <c r="E186" s="222"/>
      <c r="F186" s="223"/>
      <c r="G186" s="223"/>
      <c r="H186" s="224"/>
      <c r="J186" s="225" t="s">
        <v>30</v>
      </c>
      <c r="K186" s="193" t="s">
        <v>60</v>
      </c>
      <c r="L186" s="193"/>
      <c r="M186" s="193"/>
      <c r="N186" s="222"/>
      <c r="O186" s="223"/>
      <c r="P186" s="223"/>
      <c r="Q186" s="224"/>
      <c r="S186" s="225" t="s">
        <v>30</v>
      </c>
      <c r="T186" s="193" t="s">
        <v>60</v>
      </c>
      <c r="U186" s="193"/>
      <c r="V186" s="193"/>
      <c r="W186" s="222"/>
      <c r="X186" s="223"/>
      <c r="Y186" s="223"/>
      <c r="Z186" s="224"/>
      <c r="AB186" s="225" t="s">
        <v>30</v>
      </c>
      <c r="AC186" s="193" t="s">
        <v>60</v>
      </c>
      <c r="AD186" s="193"/>
      <c r="AE186" s="193"/>
      <c r="AF186" s="222"/>
      <c r="AG186" s="223"/>
      <c r="AH186" s="223"/>
      <c r="AI186" s="224"/>
    </row>
    <row r="187" spans="1:35" ht="15" customHeight="1">
      <c r="A187" s="209"/>
      <c r="B187" s="204" t="s">
        <v>59</v>
      </c>
      <c r="C187" s="204"/>
      <c r="D187" s="204"/>
      <c r="E187" s="222"/>
      <c r="F187" s="223"/>
      <c r="G187" s="223"/>
      <c r="H187" s="224"/>
      <c r="J187" s="225"/>
      <c r="K187" s="193" t="s">
        <v>59</v>
      </c>
      <c r="L187" s="193"/>
      <c r="M187" s="193"/>
      <c r="N187" s="222"/>
      <c r="O187" s="223"/>
      <c r="P187" s="223"/>
      <c r="Q187" s="224"/>
      <c r="S187" s="225"/>
      <c r="T187" s="193" t="s">
        <v>59</v>
      </c>
      <c r="U187" s="193"/>
      <c r="V187" s="193"/>
      <c r="W187" s="222"/>
      <c r="X187" s="223"/>
      <c r="Y187" s="223"/>
      <c r="Z187" s="224"/>
      <c r="AB187" s="225"/>
      <c r="AC187" s="193" t="s">
        <v>59</v>
      </c>
      <c r="AD187" s="193"/>
      <c r="AE187" s="193"/>
      <c r="AF187" s="222"/>
      <c r="AG187" s="223"/>
      <c r="AH187" s="223"/>
      <c r="AI187" s="224"/>
    </row>
    <row r="188" spans="1:35" ht="15" customHeight="1">
      <c r="A188" s="209"/>
      <c r="B188" s="204" t="s">
        <v>61</v>
      </c>
      <c r="C188" s="204"/>
      <c r="D188" s="204"/>
      <c r="E188" s="222"/>
      <c r="F188" s="223"/>
      <c r="G188" s="223"/>
      <c r="H188" s="224"/>
      <c r="J188" s="225"/>
      <c r="K188" s="193" t="s">
        <v>61</v>
      </c>
      <c r="L188" s="193"/>
      <c r="M188" s="193"/>
      <c r="N188" s="222"/>
      <c r="O188" s="223"/>
      <c r="P188" s="223"/>
      <c r="Q188" s="224"/>
      <c r="S188" s="225"/>
      <c r="T188" s="193" t="s">
        <v>61</v>
      </c>
      <c r="U188" s="193"/>
      <c r="V188" s="193"/>
      <c r="W188" s="222"/>
      <c r="X188" s="223"/>
      <c r="Y188" s="223"/>
      <c r="Z188" s="224"/>
      <c r="AB188" s="225"/>
      <c r="AC188" s="193" t="s">
        <v>61</v>
      </c>
      <c r="AD188" s="193"/>
      <c r="AE188" s="193"/>
      <c r="AF188" s="222"/>
      <c r="AG188" s="223"/>
      <c r="AH188" s="223"/>
      <c r="AI188" s="224"/>
    </row>
    <row r="189" spans="1:35" ht="15" customHeight="1">
      <c r="A189" s="209"/>
      <c r="B189" s="204" t="s">
        <v>62</v>
      </c>
      <c r="C189" s="204"/>
      <c r="D189" s="204"/>
      <c r="E189" s="222"/>
      <c r="F189" s="223"/>
      <c r="G189" s="223"/>
      <c r="H189" s="224"/>
      <c r="J189" s="225"/>
      <c r="K189" s="193" t="s">
        <v>62</v>
      </c>
      <c r="L189" s="193"/>
      <c r="M189" s="193"/>
      <c r="N189" s="222"/>
      <c r="O189" s="223"/>
      <c r="P189" s="223"/>
      <c r="Q189" s="224"/>
      <c r="S189" s="225"/>
      <c r="T189" s="193" t="s">
        <v>62</v>
      </c>
      <c r="U189" s="193"/>
      <c r="V189" s="193"/>
      <c r="W189" s="222"/>
      <c r="X189" s="223"/>
      <c r="Y189" s="223"/>
      <c r="Z189" s="224"/>
      <c r="AB189" s="225"/>
      <c r="AC189" s="193" t="s">
        <v>62</v>
      </c>
      <c r="AD189" s="193"/>
      <c r="AE189" s="193"/>
      <c r="AF189" s="222"/>
      <c r="AG189" s="223"/>
      <c r="AH189" s="223"/>
      <c r="AI189" s="224"/>
    </row>
    <row r="190" spans="1:35" ht="15" customHeight="1">
      <c r="A190" s="209"/>
      <c r="B190" s="204" t="s">
        <v>63</v>
      </c>
      <c r="C190" s="204"/>
      <c r="D190" s="204"/>
      <c r="E190" s="222"/>
      <c r="F190" s="223"/>
      <c r="G190" s="223"/>
      <c r="H190" s="224"/>
      <c r="J190" s="225"/>
      <c r="K190" s="193" t="s">
        <v>63</v>
      </c>
      <c r="L190" s="193"/>
      <c r="M190" s="193"/>
      <c r="N190" s="222"/>
      <c r="O190" s="223"/>
      <c r="P190" s="223"/>
      <c r="Q190" s="224"/>
      <c r="S190" s="225"/>
      <c r="T190" s="193" t="s">
        <v>63</v>
      </c>
      <c r="U190" s="193"/>
      <c r="V190" s="193"/>
      <c r="W190" s="222"/>
      <c r="X190" s="223"/>
      <c r="Y190" s="223"/>
      <c r="Z190" s="224"/>
      <c r="AB190" s="225"/>
      <c r="AC190" s="193" t="s">
        <v>63</v>
      </c>
      <c r="AD190" s="193"/>
      <c r="AE190" s="193"/>
      <c r="AF190" s="222"/>
      <c r="AG190" s="223"/>
      <c r="AH190" s="223"/>
      <c r="AI190" s="224"/>
    </row>
    <row r="191" spans="1:35" ht="15" customHeight="1">
      <c r="A191" s="209"/>
      <c r="B191" s="204"/>
      <c r="C191" s="204"/>
      <c r="D191" s="204"/>
      <c r="E191" s="208"/>
      <c r="F191" s="206"/>
      <c r="G191" s="206"/>
      <c r="H191" s="207"/>
      <c r="J191" s="225"/>
      <c r="K191" s="193"/>
      <c r="L191" s="193"/>
      <c r="M191" s="193"/>
      <c r="N191" s="208"/>
      <c r="O191" s="206"/>
      <c r="P191" s="206"/>
      <c r="Q191" s="207"/>
      <c r="S191" s="225"/>
      <c r="T191" s="193"/>
      <c r="U191" s="193"/>
      <c r="V191" s="193"/>
      <c r="W191" s="208"/>
      <c r="X191" s="206"/>
      <c r="Y191" s="206"/>
      <c r="Z191" s="207"/>
      <c r="AB191" s="225"/>
      <c r="AC191" s="193"/>
      <c r="AD191" s="193"/>
      <c r="AE191" s="193"/>
      <c r="AF191" s="208"/>
      <c r="AG191" s="206"/>
      <c r="AH191" s="206"/>
      <c r="AI191" s="207"/>
    </row>
    <row r="192" spans="1:35" ht="15" customHeight="1">
      <c r="A192" s="203" t="s">
        <v>64</v>
      </c>
      <c r="B192" s="204"/>
      <c r="C192" s="204"/>
      <c r="D192" s="204"/>
      <c r="E192" s="205">
        <f>賃金集計表!O29</f>
        <v>15000</v>
      </c>
      <c r="F192" s="206"/>
      <c r="G192" s="206"/>
      <c r="H192" s="207"/>
      <c r="J192" s="197" t="s">
        <v>64</v>
      </c>
      <c r="K192" s="193"/>
      <c r="L192" s="193"/>
      <c r="M192" s="193"/>
      <c r="N192" s="205">
        <f>賃金集計表!O30</f>
        <v>13000</v>
      </c>
      <c r="O192" s="206"/>
      <c r="P192" s="206"/>
      <c r="Q192" s="207"/>
      <c r="S192" s="197" t="s">
        <v>64</v>
      </c>
      <c r="T192" s="193"/>
      <c r="U192" s="193"/>
      <c r="V192" s="193"/>
      <c r="W192" s="205">
        <f>賃金集計表!O31</f>
        <v>10000</v>
      </c>
      <c r="X192" s="206"/>
      <c r="Y192" s="206"/>
      <c r="Z192" s="207"/>
      <c r="AB192" s="197" t="s">
        <v>64</v>
      </c>
      <c r="AC192" s="193"/>
      <c r="AD192" s="193"/>
      <c r="AE192" s="193"/>
      <c r="AF192" s="208"/>
      <c r="AG192" s="206"/>
      <c r="AH192" s="206"/>
      <c r="AI192" s="207"/>
    </row>
    <row r="193" spans="1:35" ht="15" customHeight="1">
      <c r="A193" s="209" t="s">
        <v>37</v>
      </c>
      <c r="B193" s="204" t="s">
        <v>65</v>
      </c>
      <c r="C193" s="204"/>
      <c r="D193" s="204"/>
      <c r="E193" s="208"/>
      <c r="F193" s="206"/>
      <c r="G193" s="206"/>
      <c r="H193" s="207"/>
      <c r="J193" s="209" t="s">
        <v>37</v>
      </c>
      <c r="K193" s="193" t="s">
        <v>65</v>
      </c>
      <c r="L193" s="193"/>
      <c r="M193" s="193"/>
      <c r="N193" s="208"/>
      <c r="O193" s="206"/>
      <c r="P193" s="206"/>
      <c r="Q193" s="207"/>
      <c r="S193" s="209" t="s">
        <v>37</v>
      </c>
      <c r="T193" s="193" t="s">
        <v>65</v>
      </c>
      <c r="U193" s="193"/>
      <c r="V193" s="193"/>
      <c r="W193" s="208"/>
      <c r="X193" s="206"/>
      <c r="Y193" s="206"/>
      <c r="Z193" s="207"/>
      <c r="AB193" s="209" t="s">
        <v>37</v>
      </c>
      <c r="AC193" s="193" t="s">
        <v>65</v>
      </c>
      <c r="AD193" s="193"/>
      <c r="AE193" s="193"/>
      <c r="AF193" s="208"/>
      <c r="AG193" s="206"/>
      <c r="AH193" s="206"/>
      <c r="AI193" s="207"/>
    </row>
    <row r="194" spans="1:35" ht="15" customHeight="1">
      <c r="A194" s="209"/>
      <c r="B194" s="204" t="s">
        <v>32</v>
      </c>
      <c r="C194" s="204"/>
      <c r="D194" s="204"/>
      <c r="E194" s="208"/>
      <c r="F194" s="206"/>
      <c r="G194" s="206"/>
      <c r="H194" s="207"/>
      <c r="J194" s="209"/>
      <c r="K194" s="193" t="s">
        <v>32</v>
      </c>
      <c r="L194" s="193"/>
      <c r="M194" s="193"/>
      <c r="N194" s="208"/>
      <c r="O194" s="206"/>
      <c r="P194" s="206"/>
      <c r="Q194" s="207"/>
      <c r="S194" s="209"/>
      <c r="T194" s="193" t="s">
        <v>32</v>
      </c>
      <c r="U194" s="193"/>
      <c r="V194" s="193"/>
      <c r="W194" s="208"/>
      <c r="X194" s="206"/>
      <c r="Y194" s="206"/>
      <c r="Z194" s="207"/>
      <c r="AB194" s="209"/>
      <c r="AC194" s="193" t="s">
        <v>32</v>
      </c>
      <c r="AD194" s="193"/>
      <c r="AE194" s="193"/>
      <c r="AF194" s="208"/>
      <c r="AG194" s="206"/>
      <c r="AH194" s="206"/>
      <c r="AI194" s="207"/>
    </row>
    <row r="195" spans="1:35" ht="15" customHeight="1">
      <c r="A195" s="209"/>
      <c r="B195" s="204" t="s">
        <v>66</v>
      </c>
      <c r="C195" s="204"/>
      <c r="D195" s="204"/>
      <c r="E195" s="208"/>
      <c r="F195" s="206"/>
      <c r="G195" s="206"/>
      <c r="H195" s="207"/>
      <c r="J195" s="209"/>
      <c r="K195" s="193" t="s">
        <v>66</v>
      </c>
      <c r="L195" s="193"/>
      <c r="M195" s="193"/>
      <c r="N195" s="208"/>
      <c r="O195" s="206"/>
      <c r="P195" s="206"/>
      <c r="Q195" s="207"/>
      <c r="S195" s="209"/>
      <c r="T195" s="193" t="s">
        <v>66</v>
      </c>
      <c r="U195" s="193"/>
      <c r="V195" s="193"/>
      <c r="W195" s="208"/>
      <c r="X195" s="206"/>
      <c r="Y195" s="206"/>
      <c r="Z195" s="207"/>
      <c r="AB195" s="209"/>
      <c r="AC195" s="193" t="s">
        <v>66</v>
      </c>
      <c r="AD195" s="193"/>
      <c r="AE195" s="193"/>
      <c r="AF195" s="208"/>
      <c r="AG195" s="206"/>
      <c r="AH195" s="206"/>
      <c r="AI195" s="207"/>
    </row>
    <row r="196" spans="1:35" ht="15" customHeight="1">
      <c r="A196" s="209"/>
      <c r="B196" s="204" t="s">
        <v>35</v>
      </c>
      <c r="C196" s="204"/>
      <c r="D196" s="204"/>
      <c r="E196" s="208"/>
      <c r="F196" s="206"/>
      <c r="G196" s="206"/>
      <c r="H196" s="207"/>
      <c r="J196" s="209"/>
      <c r="K196" s="193" t="s">
        <v>35</v>
      </c>
      <c r="L196" s="193"/>
      <c r="M196" s="193"/>
      <c r="N196" s="208"/>
      <c r="O196" s="206"/>
      <c r="P196" s="206"/>
      <c r="Q196" s="207"/>
      <c r="S196" s="209"/>
      <c r="T196" s="193" t="s">
        <v>35</v>
      </c>
      <c r="U196" s="193"/>
      <c r="V196" s="193"/>
      <c r="W196" s="208"/>
      <c r="X196" s="206"/>
      <c r="Y196" s="206"/>
      <c r="Z196" s="207"/>
      <c r="AB196" s="209"/>
      <c r="AC196" s="193" t="s">
        <v>35</v>
      </c>
      <c r="AD196" s="193"/>
      <c r="AE196" s="193"/>
      <c r="AF196" s="208"/>
      <c r="AG196" s="206"/>
      <c r="AH196" s="206"/>
      <c r="AI196" s="207"/>
    </row>
    <row r="197" spans="1:35" ht="15" customHeight="1">
      <c r="A197" s="209"/>
      <c r="B197" s="204" t="s">
        <v>34</v>
      </c>
      <c r="C197" s="204"/>
      <c r="D197" s="204"/>
      <c r="E197" s="208"/>
      <c r="F197" s="206"/>
      <c r="G197" s="206"/>
      <c r="H197" s="207"/>
      <c r="J197" s="209"/>
      <c r="K197" s="193" t="s">
        <v>34</v>
      </c>
      <c r="L197" s="193"/>
      <c r="M197" s="193"/>
      <c r="N197" s="208"/>
      <c r="O197" s="206"/>
      <c r="P197" s="206"/>
      <c r="Q197" s="207"/>
      <c r="S197" s="209"/>
      <c r="T197" s="193" t="s">
        <v>34</v>
      </c>
      <c r="U197" s="193"/>
      <c r="V197" s="193"/>
      <c r="W197" s="208"/>
      <c r="X197" s="206"/>
      <c r="Y197" s="206"/>
      <c r="Z197" s="207"/>
      <c r="AB197" s="209"/>
      <c r="AC197" s="193" t="s">
        <v>34</v>
      </c>
      <c r="AD197" s="193"/>
      <c r="AE197" s="193"/>
      <c r="AF197" s="208"/>
      <c r="AG197" s="206"/>
      <c r="AH197" s="206"/>
      <c r="AI197" s="207"/>
    </row>
    <row r="198" spans="1:35" ht="15" customHeight="1">
      <c r="A198" s="209"/>
      <c r="B198" s="204"/>
      <c r="C198" s="204"/>
      <c r="D198" s="204"/>
      <c r="E198" s="208"/>
      <c r="F198" s="206"/>
      <c r="G198" s="206"/>
      <c r="H198" s="207"/>
      <c r="J198" s="209"/>
      <c r="K198" s="193"/>
      <c r="L198" s="193"/>
      <c r="M198" s="193"/>
      <c r="N198" s="208"/>
      <c r="O198" s="206"/>
      <c r="P198" s="206"/>
      <c r="Q198" s="207"/>
      <c r="S198" s="209"/>
      <c r="T198" s="193"/>
      <c r="U198" s="193"/>
      <c r="V198" s="193"/>
      <c r="W198" s="208"/>
      <c r="X198" s="206"/>
      <c r="Y198" s="206"/>
      <c r="Z198" s="207"/>
      <c r="AB198" s="209"/>
      <c r="AC198" s="193"/>
      <c r="AD198" s="193"/>
      <c r="AE198" s="193"/>
      <c r="AF198" s="208"/>
      <c r="AG198" s="206"/>
      <c r="AH198" s="206"/>
      <c r="AI198" s="207"/>
    </row>
    <row r="199" spans="1:35" ht="15" customHeight="1">
      <c r="A199" s="209"/>
      <c r="B199" s="193" t="s">
        <v>94</v>
      </c>
      <c r="C199" s="193"/>
      <c r="D199" s="193"/>
      <c r="E199" s="205">
        <f>賃金集計表!V29</f>
        <v>0</v>
      </c>
      <c r="F199" s="206"/>
      <c r="G199" s="206"/>
      <c r="H199" s="207"/>
      <c r="J199" s="209"/>
      <c r="K199" s="193" t="s">
        <v>94</v>
      </c>
      <c r="L199" s="193"/>
      <c r="M199" s="193"/>
      <c r="N199" s="205">
        <f>賃金集計表!V30</f>
        <v>0</v>
      </c>
      <c r="O199" s="206"/>
      <c r="P199" s="206"/>
      <c r="Q199" s="207"/>
      <c r="S199" s="209"/>
      <c r="T199" s="193" t="s">
        <v>94</v>
      </c>
      <c r="U199" s="193"/>
      <c r="V199" s="193"/>
      <c r="W199" s="205">
        <f>賃金集計表!V31</f>
        <v>0</v>
      </c>
      <c r="X199" s="206"/>
      <c r="Y199" s="206"/>
      <c r="Z199" s="207"/>
      <c r="AB199" s="209"/>
      <c r="AC199" s="193" t="s">
        <v>94</v>
      </c>
      <c r="AD199" s="193"/>
      <c r="AE199" s="193"/>
      <c r="AF199" s="208"/>
      <c r="AG199" s="206"/>
      <c r="AH199" s="206"/>
      <c r="AI199" s="207"/>
    </row>
    <row r="200" spans="1:35" ht="15" customHeight="1">
      <c r="A200" s="209"/>
      <c r="B200" s="204" t="s">
        <v>64</v>
      </c>
      <c r="C200" s="204"/>
      <c r="D200" s="204"/>
      <c r="E200" s="205">
        <f>賃金集計表!W29</f>
        <v>0</v>
      </c>
      <c r="F200" s="206"/>
      <c r="G200" s="206"/>
      <c r="H200" s="207"/>
      <c r="J200" s="209"/>
      <c r="K200" s="193" t="s">
        <v>64</v>
      </c>
      <c r="L200" s="193"/>
      <c r="M200" s="193"/>
      <c r="N200" s="205">
        <f>賃金集計表!W30</f>
        <v>0</v>
      </c>
      <c r="O200" s="206"/>
      <c r="P200" s="206"/>
      <c r="Q200" s="207"/>
      <c r="S200" s="209"/>
      <c r="T200" s="193" t="s">
        <v>64</v>
      </c>
      <c r="U200" s="193"/>
      <c r="V200" s="193"/>
      <c r="W200" s="205">
        <f>賃金集計表!W31</f>
        <v>0</v>
      </c>
      <c r="X200" s="206"/>
      <c r="Y200" s="206"/>
      <c r="Z200" s="207"/>
      <c r="AB200" s="209"/>
      <c r="AC200" s="193" t="s">
        <v>64</v>
      </c>
      <c r="AD200" s="193"/>
      <c r="AE200" s="193"/>
      <c r="AF200" s="208"/>
      <c r="AG200" s="206"/>
      <c r="AH200" s="206"/>
      <c r="AI200" s="207"/>
    </row>
    <row r="201" spans="1:35" ht="15" customHeight="1">
      <c r="A201" s="203" t="s">
        <v>67</v>
      </c>
      <c r="B201" s="204"/>
      <c r="C201" s="204"/>
      <c r="D201" s="204"/>
      <c r="E201" s="205">
        <f>賃金集計表!X29</f>
        <v>15000</v>
      </c>
      <c r="F201" s="206"/>
      <c r="G201" s="206"/>
      <c r="H201" s="207"/>
      <c r="J201" s="197" t="s">
        <v>67</v>
      </c>
      <c r="K201" s="193"/>
      <c r="L201" s="193"/>
      <c r="M201" s="193"/>
      <c r="N201" s="205">
        <f>賃金集計表!X30</f>
        <v>13000</v>
      </c>
      <c r="O201" s="206"/>
      <c r="P201" s="206"/>
      <c r="Q201" s="207"/>
      <c r="S201" s="197" t="s">
        <v>67</v>
      </c>
      <c r="T201" s="193"/>
      <c r="U201" s="193"/>
      <c r="V201" s="193"/>
      <c r="W201" s="205">
        <f>賃金集計表!X31</f>
        <v>10000</v>
      </c>
      <c r="X201" s="206"/>
      <c r="Y201" s="206"/>
      <c r="Z201" s="207"/>
      <c r="AB201" s="197" t="s">
        <v>67</v>
      </c>
      <c r="AC201" s="193"/>
      <c r="AD201" s="193"/>
      <c r="AE201" s="193"/>
      <c r="AF201" s="208"/>
      <c r="AG201" s="206"/>
      <c r="AH201" s="206"/>
      <c r="AI201" s="207"/>
    </row>
    <row r="202" spans="1:35" ht="15" customHeight="1">
      <c r="A202" s="212" t="s">
        <v>68</v>
      </c>
      <c r="B202" s="213"/>
      <c r="C202" s="213"/>
      <c r="D202" s="77"/>
      <c r="E202" s="78"/>
      <c r="F202" s="78"/>
      <c r="G202" s="214" t="s">
        <v>72</v>
      </c>
      <c r="H202" s="215"/>
      <c r="J202" s="212" t="s">
        <v>68</v>
      </c>
      <c r="K202" s="213"/>
      <c r="L202" s="213"/>
      <c r="M202" s="77"/>
      <c r="N202" s="78"/>
      <c r="O202" s="78"/>
      <c r="P202" s="214" t="s">
        <v>72</v>
      </c>
      <c r="Q202" s="215"/>
      <c r="S202" s="212" t="s">
        <v>68</v>
      </c>
      <c r="T202" s="213"/>
      <c r="U202" s="213"/>
      <c r="V202" s="77"/>
      <c r="W202" s="78"/>
      <c r="X202" s="78"/>
      <c r="Y202" s="214" t="s">
        <v>72</v>
      </c>
      <c r="Z202" s="215"/>
      <c r="AB202" s="212" t="s">
        <v>68</v>
      </c>
      <c r="AC202" s="213"/>
      <c r="AD202" s="213"/>
      <c r="AE202" s="77"/>
      <c r="AF202" s="78"/>
      <c r="AG202" s="78"/>
      <c r="AH202" s="214" t="s">
        <v>72</v>
      </c>
      <c r="AI202" s="215"/>
    </row>
    <row r="203" spans="1:35" ht="18" customHeight="1">
      <c r="A203" s="220" t="s">
        <v>39</v>
      </c>
      <c r="B203" s="221"/>
      <c r="C203" s="221"/>
      <c r="D203" s="221"/>
      <c r="E203" s="221"/>
      <c r="F203" s="221"/>
      <c r="G203" s="216"/>
      <c r="H203" s="217"/>
      <c r="J203" s="220" t="s">
        <v>39</v>
      </c>
      <c r="K203" s="221"/>
      <c r="L203" s="221"/>
      <c r="M203" s="221"/>
      <c r="N203" s="221"/>
      <c r="O203" s="221"/>
      <c r="P203" s="216"/>
      <c r="Q203" s="217"/>
      <c r="S203" s="220" t="s">
        <v>39</v>
      </c>
      <c r="T203" s="221"/>
      <c r="U203" s="221"/>
      <c r="V203" s="221"/>
      <c r="W203" s="221"/>
      <c r="X203" s="221"/>
      <c r="Y203" s="216"/>
      <c r="Z203" s="217"/>
      <c r="AB203" s="220" t="s">
        <v>39</v>
      </c>
      <c r="AC203" s="221"/>
      <c r="AD203" s="221"/>
      <c r="AE203" s="221"/>
      <c r="AF203" s="221"/>
      <c r="AG203" s="221"/>
      <c r="AH203" s="216"/>
      <c r="AI203" s="217"/>
    </row>
    <row r="204" spans="1:35" ht="22.5" customHeight="1" thickBot="1">
      <c r="A204" s="210" t="s">
        <v>73</v>
      </c>
      <c r="B204" s="211"/>
      <c r="C204" s="211"/>
      <c r="D204" s="211"/>
      <c r="E204" s="211"/>
      <c r="F204" s="211"/>
      <c r="G204" s="218"/>
      <c r="H204" s="219"/>
      <c r="J204" s="210" t="s">
        <v>73</v>
      </c>
      <c r="K204" s="211"/>
      <c r="L204" s="211"/>
      <c r="M204" s="211"/>
      <c r="N204" s="211"/>
      <c r="O204" s="211"/>
      <c r="P204" s="218"/>
      <c r="Q204" s="219"/>
      <c r="S204" s="210" t="s">
        <v>73</v>
      </c>
      <c r="T204" s="211"/>
      <c r="U204" s="211"/>
      <c r="V204" s="211"/>
      <c r="W204" s="211"/>
      <c r="X204" s="211"/>
      <c r="Y204" s="218"/>
      <c r="Z204" s="219"/>
      <c r="AB204" s="210" t="s">
        <v>73</v>
      </c>
      <c r="AC204" s="211"/>
      <c r="AD204" s="211"/>
      <c r="AE204" s="211"/>
      <c r="AF204" s="211"/>
      <c r="AG204" s="211"/>
      <c r="AH204" s="218"/>
      <c r="AI204" s="219"/>
    </row>
    <row r="205" spans="1:35" ht="14.25" thickTop="1"/>
  </sheetData>
  <mergeCells count="1224">
    <mergeCell ref="A202:C202"/>
    <mergeCell ref="G202:H204"/>
    <mergeCell ref="J202:L202"/>
    <mergeCell ref="P202:Q204"/>
    <mergeCell ref="S202:U202"/>
    <mergeCell ref="Y202:Z204"/>
    <mergeCell ref="AB202:AD202"/>
    <mergeCell ref="AH202:AI204"/>
    <mergeCell ref="A203:F203"/>
    <mergeCell ref="J203:O203"/>
    <mergeCell ref="S203:X203"/>
    <mergeCell ref="AB203:AG203"/>
    <mergeCell ref="A204:F204"/>
    <mergeCell ref="J204:O204"/>
    <mergeCell ref="S204:X204"/>
    <mergeCell ref="AB204:AG204"/>
    <mergeCell ref="AC200:AE200"/>
    <mergeCell ref="AF200:AI200"/>
    <mergeCell ref="A201:D201"/>
    <mergeCell ref="E201:H201"/>
    <mergeCell ref="J201:M201"/>
    <mergeCell ref="N201:Q201"/>
    <mergeCell ref="S201:V201"/>
    <mergeCell ref="W201:Z201"/>
    <mergeCell ref="AB201:AE201"/>
    <mergeCell ref="AF201:AI201"/>
    <mergeCell ref="T200:V200"/>
    <mergeCell ref="W200:Z200"/>
    <mergeCell ref="AC198:AE198"/>
    <mergeCell ref="AF198:AI198"/>
    <mergeCell ref="B199:D199"/>
    <mergeCell ref="E199:H199"/>
    <mergeCell ref="K199:M199"/>
    <mergeCell ref="N199:Q199"/>
    <mergeCell ref="T199:V199"/>
    <mergeCell ref="W199:Z199"/>
    <mergeCell ref="AC199:AE199"/>
    <mergeCell ref="AF199:AI199"/>
    <mergeCell ref="AC196:AE196"/>
    <mergeCell ref="AF196:AI196"/>
    <mergeCell ref="B197:D197"/>
    <mergeCell ref="E197:H197"/>
    <mergeCell ref="K197:M197"/>
    <mergeCell ref="N197:Q197"/>
    <mergeCell ref="T197:V197"/>
    <mergeCell ref="W197:Z197"/>
    <mergeCell ref="AC197:AE197"/>
    <mergeCell ref="AF197:AI197"/>
    <mergeCell ref="AB193:AB200"/>
    <mergeCell ref="AC193:AE193"/>
    <mergeCell ref="AF193:AI193"/>
    <mergeCell ref="B194:D194"/>
    <mergeCell ref="E194:H194"/>
    <mergeCell ref="K194:M194"/>
    <mergeCell ref="N194:Q194"/>
    <mergeCell ref="T194:V194"/>
    <mergeCell ref="W194:Z194"/>
    <mergeCell ref="AC194:AE194"/>
    <mergeCell ref="AF194:AI194"/>
    <mergeCell ref="B195:D195"/>
    <mergeCell ref="E195:H195"/>
    <mergeCell ref="K195:M195"/>
    <mergeCell ref="N195:Q195"/>
    <mergeCell ref="T195:V195"/>
    <mergeCell ref="W195:Z195"/>
    <mergeCell ref="AC195:AE195"/>
    <mergeCell ref="AF195:AI195"/>
    <mergeCell ref="B196:D196"/>
    <mergeCell ref="E196:H196"/>
    <mergeCell ref="K196:M196"/>
    <mergeCell ref="N196:Q196"/>
    <mergeCell ref="T196:V196"/>
    <mergeCell ref="A193:A200"/>
    <mergeCell ref="B193:D193"/>
    <mergeCell ref="E193:H193"/>
    <mergeCell ref="J193:J200"/>
    <mergeCell ref="K193:M193"/>
    <mergeCell ref="N193:Q193"/>
    <mergeCell ref="S193:S200"/>
    <mergeCell ref="T193:V193"/>
    <mergeCell ref="W193:Z193"/>
    <mergeCell ref="W196:Z196"/>
    <mergeCell ref="B198:D198"/>
    <mergeCell ref="E198:H198"/>
    <mergeCell ref="K198:M198"/>
    <mergeCell ref="N198:Q198"/>
    <mergeCell ref="T198:V198"/>
    <mergeCell ref="W198:Z198"/>
    <mergeCell ref="B200:D200"/>
    <mergeCell ref="E200:H200"/>
    <mergeCell ref="K200:M200"/>
    <mergeCell ref="N200:Q200"/>
    <mergeCell ref="A192:D192"/>
    <mergeCell ref="E192:H192"/>
    <mergeCell ref="J192:M192"/>
    <mergeCell ref="N192:Q192"/>
    <mergeCell ref="S192:V192"/>
    <mergeCell ref="W192:Z192"/>
    <mergeCell ref="AB192:AE192"/>
    <mergeCell ref="AF192:AI192"/>
    <mergeCell ref="AC189:AE189"/>
    <mergeCell ref="AF189:AI189"/>
    <mergeCell ref="B190:D190"/>
    <mergeCell ref="E190:H190"/>
    <mergeCell ref="K190:M190"/>
    <mergeCell ref="N190:Q190"/>
    <mergeCell ref="T190:V190"/>
    <mergeCell ref="W190:Z190"/>
    <mergeCell ref="AC190:AE190"/>
    <mergeCell ref="AF190:AI190"/>
    <mergeCell ref="AB186:AB191"/>
    <mergeCell ref="AC186:AE186"/>
    <mergeCell ref="AF186:AI186"/>
    <mergeCell ref="B187:D187"/>
    <mergeCell ref="E187:H187"/>
    <mergeCell ref="K187:M187"/>
    <mergeCell ref="N187:Q187"/>
    <mergeCell ref="T187:V187"/>
    <mergeCell ref="W187:Z187"/>
    <mergeCell ref="AC187:AE187"/>
    <mergeCell ref="AF187:AI187"/>
    <mergeCell ref="B188:D188"/>
    <mergeCell ref="E188:H188"/>
    <mergeCell ref="K188:M188"/>
    <mergeCell ref="N188:Q188"/>
    <mergeCell ref="T188:V188"/>
    <mergeCell ref="W188:Z188"/>
    <mergeCell ref="AC188:AE188"/>
    <mergeCell ref="AF188:AI188"/>
    <mergeCell ref="B189:D189"/>
    <mergeCell ref="E189:H189"/>
    <mergeCell ref="K189:M189"/>
    <mergeCell ref="N189:Q189"/>
    <mergeCell ref="T189:V189"/>
    <mergeCell ref="A186:A191"/>
    <mergeCell ref="B186:D186"/>
    <mergeCell ref="E186:H186"/>
    <mergeCell ref="J186:J191"/>
    <mergeCell ref="K186:M186"/>
    <mergeCell ref="N186:Q186"/>
    <mergeCell ref="S186:S191"/>
    <mergeCell ref="T186:V186"/>
    <mergeCell ref="W186:Z186"/>
    <mergeCell ref="W189:Z189"/>
    <mergeCell ref="B191:D191"/>
    <mergeCell ref="E191:H191"/>
    <mergeCell ref="K191:M191"/>
    <mergeCell ref="N191:Q191"/>
    <mergeCell ref="T191:V191"/>
    <mergeCell ref="W191:Z191"/>
    <mergeCell ref="AC191:AE191"/>
    <mergeCell ref="AF191:AI191"/>
    <mergeCell ref="AF184:AI184"/>
    <mergeCell ref="A185:D185"/>
    <mergeCell ref="E185:H185"/>
    <mergeCell ref="J185:M185"/>
    <mergeCell ref="N185:Q185"/>
    <mergeCell ref="S185:V185"/>
    <mergeCell ref="W185:Z185"/>
    <mergeCell ref="AB185:AE185"/>
    <mergeCell ref="AF185:AI185"/>
    <mergeCell ref="A182:D182"/>
    <mergeCell ref="J182:M182"/>
    <mergeCell ref="S182:V182"/>
    <mergeCell ref="AB182:AE182"/>
    <mergeCell ref="A183:D183"/>
    <mergeCell ref="J183:M183"/>
    <mergeCell ref="S183:V183"/>
    <mergeCell ref="AB183:AE183"/>
    <mergeCell ref="A184:D184"/>
    <mergeCell ref="E184:H184"/>
    <mergeCell ref="J184:M184"/>
    <mergeCell ref="N184:Q184"/>
    <mergeCell ref="S184:V184"/>
    <mergeCell ref="W184:Z184"/>
    <mergeCell ref="AB184:AE184"/>
    <mergeCell ref="A179:D179"/>
    <mergeCell ref="J179:M179"/>
    <mergeCell ref="S179:V179"/>
    <mergeCell ref="AB179:AE179"/>
    <mergeCell ref="A180:D180"/>
    <mergeCell ref="J180:M180"/>
    <mergeCell ref="S180:V180"/>
    <mergeCell ref="AB180:AE180"/>
    <mergeCell ref="A181:D181"/>
    <mergeCell ref="J181:M181"/>
    <mergeCell ref="S181:V181"/>
    <mergeCell ref="AB181:AE181"/>
    <mergeCell ref="A171:H171"/>
    <mergeCell ref="J171:Q171"/>
    <mergeCell ref="S171:Z171"/>
    <mergeCell ref="AB171:AI171"/>
    <mergeCell ref="A175:G176"/>
    <mergeCell ref="J175:P176"/>
    <mergeCell ref="S175:Y176"/>
    <mergeCell ref="AB175:AH176"/>
    <mergeCell ref="A178:D178"/>
    <mergeCell ref="E178:H178"/>
    <mergeCell ref="J178:M178"/>
    <mergeCell ref="N178:Q178"/>
    <mergeCell ref="S178:V178"/>
    <mergeCell ref="W178:Z178"/>
    <mergeCell ref="AB178:AE178"/>
    <mergeCell ref="AF178:AI178"/>
    <mergeCell ref="A168:C168"/>
    <mergeCell ref="G168:H170"/>
    <mergeCell ref="J168:L168"/>
    <mergeCell ref="P168:Q170"/>
    <mergeCell ref="S168:U168"/>
    <mergeCell ref="Y168:Z170"/>
    <mergeCell ref="AB168:AD168"/>
    <mergeCell ref="AH168:AI170"/>
    <mergeCell ref="A169:F169"/>
    <mergeCell ref="J169:O169"/>
    <mergeCell ref="S169:X169"/>
    <mergeCell ref="AB169:AG169"/>
    <mergeCell ref="A170:F170"/>
    <mergeCell ref="J170:O170"/>
    <mergeCell ref="S170:X170"/>
    <mergeCell ref="AB170:AG170"/>
    <mergeCell ref="AC166:AE166"/>
    <mergeCell ref="AF166:AI166"/>
    <mergeCell ref="A167:D167"/>
    <mergeCell ref="E167:H167"/>
    <mergeCell ref="J167:M167"/>
    <mergeCell ref="N167:Q167"/>
    <mergeCell ref="S167:V167"/>
    <mergeCell ref="W167:Z167"/>
    <mergeCell ref="AB167:AE167"/>
    <mergeCell ref="AF167:AI167"/>
    <mergeCell ref="T166:V166"/>
    <mergeCell ref="W166:Z166"/>
    <mergeCell ref="AC164:AE164"/>
    <mergeCell ref="AF164:AI164"/>
    <mergeCell ref="B165:D165"/>
    <mergeCell ref="E165:H165"/>
    <mergeCell ref="K165:M165"/>
    <mergeCell ref="N165:Q165"/>
    <mergeCell ref="T165:V165"/>
    <mergeCell ref="W165:Z165"/>
    <mergeCell ref="AC165:AE165"/>
    <mergeCell ref="AF165:AI165"/>
    <mergeCell ref="AC162:AE162"/>
    <mergeCell ref="AF162:AI162"/>
    <mergeCell ref="B163:D163"/>
    <mergeCell ref="E163:H163"/>
    <mergeCell ref="K163:M163"/>
    <mergeCell ref="N163:Q163"/>
    <mergeCell ref="T163:V163"/>
    <mergeCell ref="W163:Z163"/>
    <mergeCell ref="AC163:AE163"/>
    <mergeCell ref="AF163:AI163"/>
    <mergeCell ref="AB159:AB166"/>
    <mergeCell ref="AC159:AE159"/>
    <mergeCell ref="AF159:AI159"/>
    <mergeCell ref="B160:D160"/>
    <mergeCell ref="E160:H160"/>
    <mergeCell ref="K160:M160"/>
    <mergeCell ref="N160:Q160"/>
    <mergeCell ref="T160:V160"/>
    <mergeCell ref="W160:Z160"/>
    <mergeCell ref="AC160:AE160"/>
    <mergeCell ref="AF160:AI160"/>
    <mergeCell ref="B161:D161"/>
    <mergeCell ref="E161:H161"/>
    <mergeCell ref="K161:M161"/>
    <mergeCell ref="N161:Q161"/>
    <mergeCell ref="T161:V161"/>
    <mergeCell ref="W161:Z161"/>
    <mergeCell ref="AC161:AE161"/>
    <mergeCell ref="AF161:AI161"/>
    <mergeCell ref="B162:D162"/>
    <mergeCell ref="E162:H162"/>
    <mergeCell ref="K162:M162"/>
    <mergeCell ref="N162:Q162"/>
    <mergeCell ref="T162:V162"/>
    <mergeCell ref="A159:A166"/>
    <mergeCell ref="B159:D159"/>
    <mergeCell ref="E159:H159"/>
    <mergeCell ref="J159:J166"/>
    <mergeCell ref="K159:M159"/>
    <mergeCell ref="N159:Q159"/>
    <mergeCell ref="S159:S166"/>
    <mergeCell ref="T159:V159"/>
    <mergeCell ref="W159:Z159"/>
    <mergeCell ref="W162:Z162"/>
    <mergeCell ref="B164:D164"/>
    <mergeCell ref="E164:H164"/>
    <mergeCell ref="K164:M164"/>
    <mergeCell ref="N164:Q164"/>
    <mergeCell ref="T164:V164"/>
    <mergeCell ref="W164:Z164"/>
    <mergeCell ref="B166:D166"/>
    <mergeCell ref="E166:H166"/>
    <mergeCell ref="K166:M166"/>
    <mergeCell ref="N166:Q166"/>
    <mergeCell ref="A158:D158"/>
    <mergeCell ref="E158:H158"/>
    <mergeCell ref="J158:M158"/>
    <mergeCell ref="N158:Q158"/>
    <mergeCell ref="S158:V158"/>
    <mergeCell ref="W158:Z158"/>
    <mergeCell ref="AB158:AE158"/>
    <mergeCell ref="AF158:AI158"/>
    <mergeCell ref="AC155:AE155"/>
    <mergeCell ref="AF155:AI155"/>
    <mergeCell ref="B156:D156"/>
    <mergeCell ref="E156:H156"/>
    <mergeCell ref="K156:M156"/>
    <mergeCell ref="N156:Q156"/>
    <mergeCell ref="T156:V156"/>
    <mergeCell ref="W156:Z156"/>
    <mergeCell ref="AC156:AE156"/>
    <mergeCell ref="AF156:AI156"/>
    <mergeCell ref="AB152:AB157"/>
    <mergeCell ref="AC152:AE152"/>
    <mergeCell ref="AF152:AI152"/>
    <mergeCell ref="B153:D153"/>
    <mergeCell ref="E153:H153"/>
    <mergeCell ref="K153:M153"/>
    <mergeCell ref="N153:Q153"/>
    <mergeCell ref="T153:V153"/>
    <mergeCell ref="W153:Z153"/>
    <mergeCell ref="AC153:AE153"/>
    <mergeCell ref="AF153:AI153"/>
    <mergeCell ref="B154:D154"/>
    <mergeCell ref="E154:H154"/>
    <mergeCell ref="K154:M154"/>
    <mergeCell ref="N154:Q154"/>
    <mergeCell ref="T154:V154"/>
    <mergeCell ref="W154:Z154"/>
    <mergeCell ref="AC154:AE154"/>
    <mergeCell ref="AF154:AI154"/>
    <mergeCell ref="B155:D155"/>
    <mergeCell ref="E155:H155"/>
    <mergeCell ref="K155:M155"/>
    <mergeCell ref="N155:Q155"/>
    <mergeCell ref="T155:V155"/>
    <mergeCell ref="A152:A157"/>
    <mergeCell ref="B152:D152"/>
    <mergeCell ref="E152:H152"/>
    <mergeCell ref="J152:J157"/>
    <mergeCell ref="K152:M152"/>
    <mergeCell ref="N152:Q152"/>
    <mergeCell ref="S152:S157"/>
    <mergeCell ref="T152:V152"/>
    <mergeCell ref="W152:Z152"/>
    <mergeCell ref="W155:Z155"/>
    <mergeCell ref="B157:D157"/>
    <mergeCell ref="E157:H157"/>
    <mergeCell ref="K157:M157"/>
    <mergeCell ref="N157:Q157"/>
    <mergeCell ref="T157:V157"/>
    <mergeCell ref="W157:Z157"/>
    <mergeCell ref="AC157:AE157"/>
    <mergeCell ref="AF157:AI157"/>
    <mergeCell ref="AF150:AI150"/>
    <mergeCell ref="A151:D151"/>
    <mergeCell ref="E151:H151"/>
    <mergeCell ref="J151:M151"/>
    <mergeCell ref="N151:Q151"/>
    <mergeCell ref="S151:V151"/>
    <mergeCell ref="W151:Z151"/>
    <mergeCell ref="AB151:AE151"/>
    <mergeCell ref="AF151:AI151"/>
    <mergeCell ref="A148:D148"/>
    <mergeCell ref="J148:M148"/>
    <mergeCell ref="S148:V148"/>
    <mergeCell ref="AB148:AE148"/>
    <mergeCell ref="A149:D149"/>
    <mergeCell ref="J149:M149"/>
    <mergeCell ref="S149:V149"/>
    <mergeCell ref="AB149:AE149"/>
    <mergeCell ref="A150:D150"/>
    <mergeCell ref="E150:H150"/>
    <mergeCell ref="J150:M150"/>
    <mergeCell ref="N150:Q150"/>
    <mergeCell ref="S150:V150"/>
    <mergeCell ref="W150:Z150"/>
    <mergeCell ref="AB150:AE150"/>
    <mergeCell ref="A145:D145"/>
    <mergeCell ref="J145:M145"/>
    <mergeCell ref="S145:V145"/>
    <mergeCell ref="AB145:AE145"/>
    <mergeCell ref="A146:D146"/>
    <mergeCell ref="J146:M146"/>
    <mergeCell ref="S146:V146"/>
    <mergeCell ref="AB146:AE146"/>
    <mergeCell ref="A147:D147"/>
    <mergeCell ref="J147:M147"/>
    <mergeCell ref="S147:V147"/>
    <mergeCell ref="AB147:AE147"/>
    <mergeCell ref="A137:H137"/>
    <mergeCell ref="J137:Q137"/>
    <mergeCell ref="S137:Z137"/>
    <mergeCell ref="AB137:AI137"/>
    <mergeCell ref="A141:G142"/>
    <mergeCell ref="J141:P142"/>
    <mergeCell ref="S141:Y142"/>
    <mergeCell ref="AB141:AH142"/>
    <mergeCell ref="A144:D144"/>
    <mergeCell ref="E144:H144"/>
    <mergeCell ref="J144:M144"/>
    <mergeCell ref="N144:Q144"/>
    <mergeCell ref="S144:V144"/>
    <mergeCell ref="W144:Z144"/>
    <mergeCell ref="AB144:AE144"/>
    <mergeCell ref="AF144:AI144"/>
    <mergeCell ref="A134:C134"/>
    <mergeCell ref="G134:H136"/>
    <mergeCell ref="J134:L134"/>
    <mergeCell ref="P134:Q136"/>
    <mergeCell ref="S134:U134"/>
    <mergeCell ref="Y134:Z136"/>
    <mergeCell ref="AB134:AD134"/>
    <mergeCell ref="AH134:AI136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C132:AE132"/>
    <mergeCell ref="AF132:AI132"/>
    <mergeCell ref="A133:D133"/>
    <mergeCell ref="E133:H133"/>
    <mergeCell ref="J133:M133"/>
    <mergeCell ref="N133:Q133"/>
    <mergeCell ref="S133:V133"/>
    <mergeCell ref="W133:Z133"/>
    <mergeCell ref="AB133:AE133"/>
    <mergeCell ref="AF133:AI133"/>
    <mergeCell ref="T132:V132"/>
    <mergeCell ref="W132:Z132"/>
    <mergeCell ref="AC130:AE130"/>
    <mergeCell ref="AF130:AI130"/>
    <mergeCell ref="B131:D131"/>
    <mergeCell ref="E131:H131"/>
    <mergeCell ref="K131:M131"/>
    <mergeCell ref="N131:Q131"/>
    <mergeCell ref="T131:V131"/>
    <mergeCell ref="W131:Z131"/>
    <mergeCell ref="AC131:AE131"/>
    <mergeCell ref="AF131:AI131"/>
    <mergeCell ref="AC128:AE128"/>
    <mergeCell ref="AF128:AI128"/>
    <mergeCell ref="B129:D129"/>
    <mergeCell ref="E129:H129"/>
    <mergeCell ref="K129:M129"/>
    <mergeCell ref="N129:Q129"/>
    <mergeCell ref="T129:V129"/>
    <mergeCell ref="W129:Z129"/>
    <mergeCell ref="AC129:AE129"/>
    <mergeCell ref="AF129:AI129"/>
    <mergeCell ref="AB125:AB132"/>
    <mergeCell ref="AC125:AE125"/>
    <mergeCell ref="AF125:AI125"/>
    <mergeCell ref="B126:D126"/>
    <mergeCell ref="E126:H126"/>
    <mergeCell ref="K126:M126"/>
    <mergeCell ref="N126:Q126"/>
    <mergeCell ref="T126:V126"/>
    <mergeCell ref="W126:Z126"/>
    <mergeCell ref="AC126:AE126"/>
    <mergeCell ref="AF126:AI126"/>
    <mergeCell ref="B127:D127"/>
    <mergeCell ref="E127:H127"/>
    <mergeCell ref="K127:M127"/>
    <mergeCell ref="N127:Q127"/>
    <mergeCell ref="T127:V127"/>
    <mergeCell ref="W127:Z127"/>
    <mergeCell ref="AC127:AE127"/>
    <mergeCell ref="AF127:AI127"/>
    <mergeCell ref="B128:D128"/>
    <mergeCell ref="E128:H128"/>
    <mergeCell ref="K128:M128"/>
    <mergeCell ref="N128:Q128"/>
    <mergeCell ref="T128:V128"/>
    <mergeCell ref="A125:A132"/>
    <mergeCell ref="B125:D125"/>
    <mergeCell ref="E125:H125"/>
    <mergeCell ref="J125:J132"/>
    <mergeCell ref="K125:M125"/>
    <mergeCell ref="N125:Q125"/>
    <mergeCell ref="S125:S132"/>
    <mergeCell ref="T125:V125"/>
    <mergeCell ref="W125:Z125"/>
    <mergeCell ref="W128:Z128"/>
    <mergeCell ref="B130:D130"/>
    <mergeCell ref="E130:H130"/>
    <mergeCell ref="K130:M130"/>
    <mergeCell ref="N130:Q130"/>
    <mergeCell ref="T130:V130"/>
    <mergeCell ref="W130:Z130"/>
    <mergeCell ref="B132:D132"/>
    <mergeCell ref="E132:H132"/>
    <mergeCell ref="K132:M132"/>
    <mergeCell ref="N132:Q132"/>
    <mergeCell ref="A124:D124"/>
    <mergeCell ref="E124:H124"/>
    <mergeCell ref="J124:M124"/>
    <mergeCell ref="N124:Q124"/>
    <mergeCell ref="S124:V124"/>
    <mergeCell ref="W124:Z124"/>
    <mergeCell ref="AB124:AE124"/>
    <mergeCell ref="AF124:AI124"/>
    <mergeCell ref="AC121:AE121"/>
    <mergeCell ref="AF121:AI121"/>
    <mergeCell ref="B122:D122"/>
    <mergeCell ref="E122:H122"/>
    <mergeCell ref="K122:M122"/>
    <mergeCell ref="N122:Q122"/>
    <mergeCell ref="T122:V122"/>
    <mergeCell ref="W122:Z122"/>
    <mergeCell ref="AC122:AE122"/>
    <mergeCell ref="AF122:AI122"/>
    <mergeCell ref="AB118:AB123"/>
    <mergeCell ref="AC118:AE118"/>
    <mergeCell ref="AF118:AI118"/>
    <mergeCell ref="B119:D119"/>
    <mergeCell ref="E119:H119"/>
    <mergeCell ref="K119:M119"/>
    <mergeCell ref="N119:Q119"/>
    <mergeCell ref="T119:V119"/>
    <mergeCell ref="W119:Z119"/>
    <mergeCell ref="AC119:AE119"/>
    <mergeCell ref="AF119:AI119"/>
    <mergeCell ref="B120:D120"/>
    <mergeCell ref="E120:H120"/>
    <mergeCell ref="K120:M120"/>
    <mergeCell ref="N120:Q120"/>
    <mergeCell ref="T120:V120"/>
    <mergeCell ref="W120:Z120"/>
    <mergeCell ref="AC120:AE120"/>
    <mergeCell ref="AF120:AI120"/>
    <mergeCell ref="B121:D121"/>
    <mergeCell ref="E121:H121"/>
    <mergeCell ref="K121:M121"/>
    <mergeCell ref="N121:Q121"/>
    <mergeCell ref="T121:V121"/>
    <mergeCell ref="A118:A123"/>
    <mergeCell ref="B118:D118"/>
    <mergeCell ref="E118:H118"/>
    <mergeCell ref="J118:J123"/>
    <mergeCell ref="K118:M118"/>
    <mergeCell ref="N118:Q118"/>
    <mergeCell ref="S118:S123"/>
    <mergeCell ref="T118:V118"/>
    <mergeCell ref="W118:Z118"/>
    <mergeCell ref="W121:Z121"/>
    <mergeCell ref="B123:D123"/>
    <mergeCell ref="E123:H123"/>
    <mergeCell ref="K123:M123"/>
    <mergeCell ref="N123:Q123"/>
    <mergeCell ref="T123:V123"/>
    <mergeCell ref="W123:Z123"/>
    <mergeCell ref="AC123:AE123"/>
    <mergeCell ref="AF123:AI123"/>
    <mergeCell ref="AF116:AI116"/>
    <mergeCell ref="A117:D117"/>
    <mergeCell ref="E117:H117"/>
    <mergeCell ref="J117:M117"/>
    <mergeCell ref="N117:Q117"/>
    <mergeCell ref="S117:V117"/>
    <mergeCell ref="W117:Z117"/>
    <mergeCell ref="AB117:AE117"/>
    <mergeCell ref="AF117:AI117"/>
    <mergeCell ref="A114:D114"/>
    <mergeCell ref="J114:M114"/>
    <mergeCell ref="S114:V114"/>
    <mergeCell ref="AB114:AE114"/>
    <mergeCell ref="A115:D115"/>
    <mergeCell ref="J115:M115"/>
    <mergeCell ref="S115:V115"/>
    <mergeCell ref="AB115:AE115"/>
    <mergeCell ref="A116:D116"/>
    <mergeCell ref="E116:H116"/>
    <mergeCell ref="J116:M116"/>
    <mergeCell ref="N116:Q116"/>
    <mergeCell ref="S116:V116"/>
    <mergeCell ref="W116:Z116"/>
    <mergeCell ref="AB116:AE116"/>
    <mergeCell ref="A111:D111"/>
    <mergeCell ref="J111:M111"/>
    <mergeCell ref="S111:V111"/>
    <mergeCell ref="AB111:AE111"/>
    <mergeCell ref="A112:D112"/>
    <mergeCell ref="J112:M112"/>
    <mergeCell ref="S112:V112"/>
    <mergeCell ref="AB112:AE112"/>
    <mergeCell ref="A113:D113"/>
    <mergeCell ref="J113:M113"/>
    <mergeCell ref="S113:V113"/>
    <mergeCell ref="AB113:AE113"/>
    <mergeCell ref="A103:H103"/>
    <mergeCell ref="J103:Q103"/>
    <mergeCell ref="S103:Z103"/>
    <mergeCell ref="AB103:AI103"/>
    <mergeCell ref="A107:G108"/>
    <mergeCell ref="J107:P108"/>
    <mergeCell ref="S107:Y108"/>
    <mergeCell ref="AB107:AH108"/>
    <mergeCell ref="A110:D110"/>
    <mergeCell ref="E110:H110"/>
    <mergeCell ref="J110:M110"/>
    <mergeCell ref="N110:Q110"/>
    <mergeCell ref="S110:V110"/>
    <mergeCell ref="W110:Z110"/>
    <mergeCell ref="AB110:AE110"/>
    <mergeCell ref="AF110:AI110"/>
    <mergeCell ref="A100:C100"/>
    <mergeCell ref="G100:H102"/>
    <mergeCell ref="J100:L100"/>
    <mergeCell ref="P100:Q102"/>
    <mergeCell ref="S100:U100"/>
    <mergeCell ref="Y100:Z102"/>
    <mergeCell ref="AB100:AD100"/>
    <mergeCell ref="AH100:AI102"/>
    <mergeCell ref="A101:F101"/>
    <mergeCell ref="J101:O101"/>
    <mergeCell ref="S101:X101"/>
    <mergeCell ref="AB101:AG101"/>
    <mergeCell ref="A102:F102"/>
    <mergeCell ref="J102:O102"/>
    <mergeCell ref="S102:X102"/>
    <mergeCell ref="AB102:AG102"/>
    <mergeCell ref="AC98:AE98"/>
    <mergeCell ref="AF98:AI98"/>
    <mergeCell ref="A99:D99"/>
    <mergeCell ref="E99:H99"/>
    <mergeCell ref="J99:M99"/>
    <mergeCell ref="N99:Q99"/>
    <mergeCell ref="S99:V99"/>
    <mergeCell ref="W99:Z99"/>
    <mergeCell ref="AB99:AE99"/>
    <mergeCell ref="AF99:AI99"/>
    <mergeCell ref="T98:V98"/>
    <mergeCell ref="W98:Z98"/>
    <mergeCell ref="AC96:AE96"/>
    <mergeCell ref="AF96:AI96"/>
    <mergeCell ref="B97:D97"/>
    <mergeCell ref="E97:H97"/>
    <mergeCell ref="K97:M97"/>
    <mergeCell ref="N97:Q97"/>
    <mergeCell ref="T97:V97"/>
    <mergeCell ref="W97:Z97"/>
    <mergeCell ref="AC97:AE97"/>
    <mergeCell ref="AF97:AI97"/>
    <mergeCell ref="AC94:AE94"/>
    <mergeCell ref="AF94:AI94"/>
    <mergeCell ref="B95:D95"/>
    <mergeCell ref="E95:H95"/>
    <mergeCell ref="K95:M95"/>
    <mergeCell ref="N95:Q95"/>
    <mergeCell ref="T95:V95"/>
    <mergeCell ref="W95:Z95"/>
    <mergeCell ref="AC95:AE95"/>
    <mergeCell ref="AF95:AI95"/>
    <mergeCell ref="AB91:AB98"/>
    <mergeCell ref="AC91:AE91"/>
    <mergeCell ref="AF91:AI91"/>
    <mergeCell ref="B92:D92"/>
    <mergeCell ref="E92:H92"/>
    <mergeCell ref="K92:M92"/>
    <mergeCell ref="N92:Q92"/>
    <mergeCell ref="T92:V92"/>
    <mergeCell ref="W92:Z92"/>
    <mergeCell ref="AC92:AE92"/>
    <mergeCell ref="AF92:AI92"/>
    <mergeCell ref="B93:D93"/>
    <mergeCell ref="E93:H93"/>
    <mergeCell ref="K93:M93"/>
    <mergeCell ref="N93:Q93"/>
    <mergeCell ref="T93:V93"/>
    <mergeCell ref="W93:Z93"/>
    <mergeCell ref="AC93:AE93"/>
    <mergeCell ref="AF93:AI93"/>
    <mergeCell ref="B94:D94"/>
    <mergeCell ref="E94:H94"/>
    <mergeCell ref="K94:M94"/>
    <mergeCell ref="N94:Q94"/>
    <mergeCell ref="T94:V94"/>
    <mergeCell ref="A91:A98"/>
    <mergeCell ref="B91:D91"/>
    <mergeCell ref="E91:H91"/>
    <mergeCell ref="J91:J98"/>
    <mergeCell ref="K91:M91"/>
    <mergeCell ref="N91:Q91"/>
    <mergeCell ref="S91:S98"/>
    <mergeCell ref="T91:V91"/>
    <mergeCell ref="W91:Z91"/>
    <mergeCell ref="W94:Z94"/>
    <mergeCell ref="B96:D96"/>
    <mergeCell ref="E96:H96"/>
    <mergeCell ref="K96:M96"/>
    <mergeCell ref="N96:Q96"/>
    <mergeCell ref="T96:V96"/>
    <mergeCell ref="W96:Z96"/>
    <mergeCell ref="B98:D98"/>
    <mergeCell ref="E98:H98"/>
    <mergeCell ref="K98:M98"/>
    <mergeCell ref="N98:Q98"/>
    <mergeCell ref="A90:D90"/>
    <mergeCell ref="E90:H90"/>
    <mergeCell ref="J90:M90"/>
    <mergeCell ref="N90:Q90"/>
    <mergeCell ref="S90:V90"/>
    <mergeCell ref="W90:Z90"/>
    <mergeCell ref="AB90:AE90"/>
    <mergeCell ref="AF90:AI90"/>
    <mergeCell ref="AC87:AE87"/>
    <mergeCell ref="AF87:AI87"/>
    <mergeCell ref="B88:D88"/>
    <mergeCell ref="E88:H88"/>
    <mergeCell ref="K88:M88"/>
    <mergeCell ref="N88:Q88"/>
    <mergeCell ref="T88:V88"/>
    <mergeCell ref="W88:Z88"/>
    <mergeCell ref="AC88:AE88"/>
    <mergeCell ref="AF88:AI88"/>
    <mergeCell ref="AB84:AB89"/>
    <mergeCell ref="AC84:AE84"/>
    <mergeCell ref="AF84:AI84"/>
    <mergeCell ref="B85:D85"/>
    <mergeCell ref="E85:H85"/>
    <mergeCell ref="K85:M85"/>
    <mergeCell ref="N85:Q85"/>
    <mergeCell ref="T85:V85"/>
    <mergeCell ref="W85:Z85"/>
    <mergeCell ref="AC85:AE85"/>
    <mergeCell ref="AF85:AI85"/>
    <mergeCell ref="B86:D86"/>
    <mergeCell ref="E86:H86"/>
    <mergeCell ref="K86:M86"/>
    <mergeCell ref="N86:Q86"/>
    <mergeCell ref="T86:V86"/>
    <mergeCell ref="W86:Z86"/>
    <mergeCell ref="AC86:AE86"/>
    <mergeCell ref="AF86:AI86"/>
    <mergeCell ref="B87:D87"/>
    <mergeCell ref="E87:H87"/>
    <mergeCell ref="K87:M87"/>
    <mergeCell ref="N87:Q87"/>
    <mergeCell ref="T87:V87"/>
    <mergeCell ref="A84:A89"/>
    <mergeCell ref="B84:D84"/>
    <mergeCell ref="E84:H84"/>
    <mergeCell ref="J84:J89"/>
    <mergeCell ref="K84:M84"/>
    <mergeCell ref="N84:Q84"/>
    <mergeCell ref="S84:S89"/>
    <mergeCell ref="T84:V84"/>
    <mergeCell ref="W84:Z84"/>
    <mergeCell ref="W87:Z87"/>
    <mergeCell ref="B89:D89"/>
    <mergeCell ref="E89:H89"/>
    <mergeCell ref="K89:M89"/>
    <mergeCell ref="N89:Q89"/>
    <mergeCell ref="T89:V89"/>
    <mergeCell ref="W89:Z89"/>
    <mergeCell ref="AC89:AE89"/>
    <mergeCell ref="AF89:AI89"/>
    <mergeCell ref="AF82:AI82"/>
    <mergeCell ref="A83:D83"/>
    <mergeCell ref="E83:H83"/>
    <mergeCell ref="J83:M83"/>
    <mergeCell ref="N83:Q83"/>
    <mergeCell ref="S83:V83"/>
    <mergeCell ref="W83:Z83"/>
    <mergeCell ref="AB83:AE83"/>
    <mergeCell ref="AF83:AI83"/>
    <mergeCell ref="A81:D81"/>
    <mergeCell ref="J81:M81"/>
    <mergeCell ref="S81:V81"/>
    <mergeCell ref="AB81:AE81"/>
    <mergeCell ref="A82:D82"/>
    <mergeCell ref="E82:H82"/>
    <mergeCell ref="J82:M82"/>
    <mergeCell ref="N82:Q82"/>
    <mergeCell ref="S82:V82"/>
    <mergeCell ref="W82:Z82"/>
    <mergeCell ref="AB82:AE82"/>
    <mergeCell ref="A78:D78"/>
    <mergeCell ref="J78:M78"/>
    <mergeCell ref="S78:V78"/>
    <mergeCell ref="AB78:AE78"/>
    <mergeCell ref="A79:D79"/>
    <mergeCell ref="J79:M79"/>
    <mergeCell ref="S79:V79"/>
    <mergeCell ref="AB79:AE79"/>
    <mergeCell ref="A80:D80"/>
    <mergeCell ref="J80:M80"/>
    <mergeCell ref="S80:V80"/>
    <mergeCell ref="AB80:AE80"/>
    <mergeCell ref="A76:D76"/>
    <mergeCell ref="E76:H76"/>
    <mergeCell ref="J76:M76"/>
    <mergeCell ref="N76:Q76"/>
    <mergeCell ref="S76:V76"/>
    <mergeCell ref="W76:Z76"/>
    <mergeCell ref="AB76:AE76"/>
    <mergeCell ref="A77:D77"/>
    <mergeCell ref="J77:M77"/>
    <mergeCell ref="S77:V77"/>
    <mergeCell ref="AB77:AE77"/>
    <mergeCell ref="A15:D15"/>
    <mergeCell ref="A69:H69"/>
    <mergeCell ref="J69:Q69"/>
    <mergeCell ref="S69:Z69"/>
    <mergeCell ref="AB69:AI69"/>
    <mergeCell ref="A73:G74"/>
    <mergeCell ref="J73:P74"/>
    <mergeCell ref="S73:Y74"/>
    <mergeCell ref="AB73:AH74"/>
    <mergeCell ref="A1:H1"/>
    <mergeCell ref="A5:G6"/>
    <mergeCell ref="E8:H8"/>
    <mergeCell ref="E14:H14"/>
    <mergeCell ref="E15:H15"/>
    <mergeCell ref="E16:H16"/>
    <mergeCell ref="A22:D22"/>
    <mergeCell ref="B23:D23"/>
    <mergeCell ref="B24:D24"/>
    <mergeCell ref="B16:D16"/>
    <mergeCell ref="B17:D17"/>
    <mergeCell ref="B18:D18"/>
    <mergeCell ref="B19:D19"/>
    <mergeCell ref="B20:D20"/>
    <mergeCell ref="B21:D21"/>
    <mergeCell ref="A16:A21"/>
    <mergeCell ref="A23:A30"/>
    <mergeCell ref="A8:D8"/>
    <mergeCell ref="A13:D13"/>
    <mergeCell ref="A14:D14"/>
    <mergeCell ref="E17:H17"/>
    <mergeCell ref="E18:H18"/>
    <mergeCell ref="E19:H19"/>
    <mergeCell ref="E20:H20"/>
    <mergeCell ref="E21:H21"/>
    <mergeCell ref="E22:H22"/>
    <mergeCell ref="B28:D28"/>
    <mergeCell ref="B29:D29"/>
    <mergeCell ref="B30:D30"/>
    <mergeCell ref="B25:D25"/>
    <mergeCell ref="B26:D26"/>
    <mergeCell ref="B27:D27"/>
    <mergeCell ref="E29:H29"/>
    <mergeCell ref="E30:H30"/>
    <mergeCell ref="AF76:AI76"/>
    <mergeCell ref="E23:H23"/>
    <mergeCell ref="E24:H24"/>
    <mergeCell ref="E25:H25"/>
    <mergeCell ref="E26:H26"/>
    <mergeCell ref="E27:H27"/>
    <mergeCell ref="E28:H28"/>
    <mergeCell ref="A31:D31"/>
    <mergeCell ref="W30:Z30"/>
    <mergeCell ref="S23:S30"/>
    <mergeCell ref="T23:V23"/>
    <mergeCell ref="W23:Z23"/>
    <mergeCell ref="T24:V24"/>
    <mergeCell ref="W24:Z24"/>
    <mergeCell ref="T25:V25"/>
    <mergeCell ref="W25:Z25"/>
    <mergeCell ref="T26:V26"/>
    <mergeCell ref="W26:Z26"/>
    <mergeCell ref="T27:V27"/>
    <mergeCell ref="AB23:AB30"/>
    <mergeCell ref="AC23:AE23"/>
    <mergeCell ref="J13:M13"/>
    <mergeCell ref="J14:M14"/>
    <mergeCell ref="N14:Q14"/>
    <mergeCell ref="J15:M15"/>
    <mergeCell ref="N15:Q15"/>
    <mergeCell ref="J1:Q1"/>
    <mergeCell ref="J5:P6"/>
    <mergeCell ref="J8:M8"/>
    <mergeCell ref="N8:Q8"/>
    <mergeCell ref="J9:M9"/>
    <mergeCell ref="J10:M10"/>
    <mergeCell ref="J31:M31"/>
    <mergeCell ref="N31:Q31"/>
    <mergeCell ref="N24:Q24"/>
    <mergeCell ref="J16:J21"/>
    <mergeCell ref="K16:M16"/>
    <mergeCell ref="N16:Q16"/>
    <mergeCell ref="K17:M17"/>
    <mergeCell ref="N17:Q17"/>
    <mergeCell ref="K18:M18"/>
    <mergeCell ref="N18:Q18"/>
    <mergeCell ref="A9:D9"/>
    <mergeCell ref="A10:D10"/>
    <mergeCell ref="A11:D11"/>
    <mergeCell ref="A12:D12"/>
    <mergeCell ref="S1:Z1"/>
    <mergeCell ref="S5:Y6"/>
    <mergeCell ref="S8:V8"/>
    <mergeCell ref="W8:Z8"/>
    <mergeCell ref="S9:V9"/>
    <mergeCell ref="K28:M28"/>
    <mergeCell ref="N28:Q28"/>
    <mergeCell ref="K29:M29"/>
    <mergeCell ref="N29:Q29"/>
    <mergeCell ref="K25:M25"/>
    <mergeCell ref="N25:Q25"/>
    <mergeCell ref="K26:M26"/>
    <mergeCell ref="N26:Q26"/>
    <mergeCell ref="K27:M27"/>
    <mergeCell ref="N27:Q27"/>
    <mergeCell ref="N20:Q20"/>
    <mergeCell ref="K21:M21"/>
    <mergeCell ref="N21:Q21"/>
    <mergeCell ref="J22:M22"/>
    <mergeCell ref="N22:Q22"/>
    <mergeCell ref="J23:J30"/>
    <mergeCell ref="K23:M23"/>
    <mergeCell ref="N23:Q23"/>
    <mergeCell ref="K24:M24"/>
    <mergeCell ref="S10:V10"/>
    <mergeCell ref="S11:V11"/>
    <mergeCell ref="S12:V12"/>
    <mergeCell ref="S13:V13"/>
    <mergeCell ref="S14:V14"/>
    <mergeCell ref="W14:Z14"/>
    <mergeCell ref="K30:M30"/>
    <mergeCell ref="N30:Q30"/>
    <mergeCell ref="K19:M19"/>
    <mergeCell ref="N19:Q19"/>
    <mergeCell ref="K20:M20"/>
    <mergeCell ref="J11:M11"/>
    <mergeCell ref="J12:M12"/>
    <mergeCell ref="W19:Z19"/>
    <mergeCell ref="T20:V20"/>
    <mergeCell ref="W20:Z20"/>
    <mergeCell ref="T21:V21"/>
    <mergeCell ref="W21:Z21"/>
    <mergeCell ref="S22:V22"/>
    <mergeCell ref="W22:Z22"/>
    <mergeCell ref="S15:V15"/>
    <mergeCell ref="W15:Z15"/>
    <mergeCell ref="S16:S21"/>
    <mergeCell ref="T16:V16"/>
    <mergeCell ref="W16:Z16"/>
    <mergeCell ref="T17:V17"/>
    <mergeCell ref="W17:Z17"/>
    <mergeCell ref="T18:V18"/>
    <mergeCell ref="W18:Z18"/>
    <mergeCell ref="T19:V19"/>
    <mergeCell ref="W27:Z27"/>
    <mergeCell ref="T28:V28"/>
    <mergeCell ref="W28:Z28"/>
    <mergeCell ref="T29:V29"/>
    <mergeCell ref="W29:Z29"/>
    <mergeCell ref="T30:V30"/>
    <mergeCell ref="AB11:AE11"/>
    <mergeCell ref="AB12:AE12"/>
    <mergeCell ref="AB13:AE13"/>
    <mergeCell ref="AB14:AE14"/>
    <mergeCell ref="AF14:AI14"/>
    <mergeCell ref="AB15:AE15"/>
    <mergeCell ref="AF15:AI15"/>
    <mergeCell ref="AB1:AI1"/>
    <mergeCell ref="AB5:AH6"/>
    <mergeCell ref="AB8:AE8"/>
    <mergeCell ref="AF8:AI8"/>
    <mergeCell ref="AB9:AE9"/>
    <mergeCell ref="AB10:AE10"/>
    <mergeCell ref="AF20:AI20"/>
    <mergeCell ref="AC21:AE21"/>
    <mergeCell ref="AF21:AI21"/>
    <mergeCell ref="AB22:AE22"/>
    <mergeCell ref="AF22:AI22"/>
    <mergeCell ref="AF23:AI23"/>
    <mergeCell ref="AC24:AE24"/>
    <mergeCell ref="AF24:AI24"/>
    <mergeCell ref="AB16:AB21"/>
    <mergeCell ref="AC16:AE16"/>
    <mergeCell ref="AF16:AI16"/>
    <mergeCell ref="AC17:AE17"/>
    <mergeCell ref="AF17:AI17"/>
    <mergeCell ref="AC18:AE18"/>
    <mergeCell ref="AF18:AI18"/>
    <mergeCell ref="AC19:AE19"/>
    <mergeCell ref="AF19:AI19"/>
    <mergeCell ref="AC20:AE20"/>
    <mergeCell ref="AC28:AE28"/>
    <mergeCell ref="AF28:AI28"/>
    <mergeCell ref="AC29:AE29"/>
    <mergeCell ref="AF29:AI29"/>
    <mergeCell ref="AC30:AE30"/>
    <mergeCell ref="AF30:AI30"/>
    <mergeCell ref="AC25:AE25"/>
    <mergeCell ref="AF25:AI25"/>
    <mergeCell ref="AC26:AE26"/>
    <mergeCell ref="AF26:AI26"/>
    <mergeCell ref="AC27:AE27"/>
    <mergeCell ref="AF27:AI27"/>
    <mergeCell ref="AB31:AE31"/>
    <mergeCell ref="AF31:AI31"/>
    <mergeCell ref="AB33:AG33"/>
    <mergeCell ref="AB34:AG34"/>
    <mergeCell ref="A35:H35"/>
    <mergeCell ref="J35:Q35"/>
    <mergeCell ref="S35:Z35"/>
    <mergeCell ref="AB35:AI35"/>
    <mergeCell ref="J32:L32"/>
    <mergeCell ref="S31:V31"/>
    <mergeCell ref="W31:Z31"/>
    <mergeCell ref="S33:X33"/>
    <mergeCell ref="S34:X34"/>
    <mergeCell ref="A32:C32"/>
    <mergeCell ref="G32:H34"/>
    <mergeCell ref="P32:Q34"/>
    <mergeCell ref="S32:U32"/>
    <mergeCell ref="Y32:Z34"/>
    <mergeCell ref="J34:O34"/>
    <mergeCell ref="AB32:AD32"/>
    <mergeCell ref="AH32:AI34"/>
    <mergeCell ref="E31:H31"/>
    <mergeCell ref="A33:F33"/>
    <mergeCell ref="A34:F34"/>
    <mergeCell ref="J33:O33"/>
    <mergeCell ref="AF42:AI42"/>
    <mergeCell ref="A43:D43"/>
    <mergeCell ref="J43:M43"/>
    <mergeCell ref="S43:V43"/>
    <mergeCell ref="AB43:AE43"/>
    <mergeCell ref="A39:G40"/>
    <mergeCell ref="J39:P40"/>
    <mergeCell ref="S39:Y40"/>
    <mergeCell ref="AB39:AH40"/>
    <mergeCell ref="A42:D42"/>
    <mergeCell ref="E42:H42"/>
    <mergeCell ref="J42:M42"/>
    <mergeCell ref="N42:Q42"/>
    <mergeCell ref="S42:V42"/>
    <mergeCell ref="W42:Z42"/>
    <mergeCell ref="A46:D46"/>
    <mergeCell ref="J46:M46"/>
    <mergeCell ref="S46:V46"/>
    <mergeCell ref="AB46:AE46"/>
    <mergeCell ref="A47:D47"/>
    <mergeCell ref="J47:M47"/>
    <mergeCell ref="S47:V47"/>
    <mergeCell ref="AB47:AE47"/>
    <mergeCell ref="A44:D44"/>
    <mergeCell ref="J44:M44"/>
    <mergeCell ref="S44:V44"/>
    <mergeCell ref="AB44:AE44"/>
    <mergeCell ref="A45:D45"/>
    <mergeCell ref="J45:M45"/>
    <mergeCell ref="S45:V45"/>
    <mergeCell ref="AB45:AE45"/>
    <mergeCell ref="E50:H50"/>
    <mergeCell ref="J50:J55"/>
    <mergeCell ref="K50:M50"/>
    <mergeCell ref="N50:Q50"/>
    <mergeCell ref="B51:D51"/>
    <mergeCell ref="E51:H51"/>
    <mergeCell ref="K51:M51"/>
    <mergeCell ref="N51:Q51"/>
    <mergeCell ref="AB48:AE48"/>
    <mergeCell ref="A49:D49"/>
    <mergeCell ref="E49:H49"/>
    <mergeCell ref="J49:M49"/>
    <mergeCell ref="N49:Q49"/>
    <mergeCell ref="S49:V49"/>
    <mergeCell ref="W49:Z49"/>
    <mergeCell ref="AB49:AE49"/>
    <mergeCell ref="A48:D48"/>
    <mergeCell ref="E48:H48"/>
    <mergeCell ref="J48:M48"/>
    <mergeCell ref="N48:Q48"/>
    <mergeCell ref="S48:V48"/>
    <mergeCell ref="W48:Z48"/>
    <mergeCell ref="B53:D53"/>
    <mergeCell ref="E53:H53"/>
    <mergeCell ref="K53:M53"/>
    <mergeCell ref="N53:Q53"/>
    <mergeCell ref="T53:V53"/>
    <mergeCell ref="W53:Z53"/>
    <mergeCell ref="AC53:AE53"/>
    <mergeCell ref="AF53:AI53"/>
    <mergeCell ref="B52:D52"/>
    <mergeCell ref="E52:H52"/>
    <mergeCell ref="K52:M52"/>
    <mergeCell ref="N52:Q52"/>
    <mergeCell ref="T52:V52"/>
    <mergeCell ref="W52:Z52"/>
    <mergeCell ref="S50:S55"/>
    <mergeCell ref="T50:V50"/>
    <mergeCell ref="W50:Z50"/>
    <mergeCell ref="AB50:AB55"/>
    <mergeCell ref="AC50:AE50"/>
    <mergeCell ref="AF50:AI50"/>
    <mergeCell ref="T51:V51"/>
    <mergeCell ref="W51:Z51"/>
    <mergeCell ref="AC51:AE51"/>
    <mergeCell ref="AF51:AI51"/>
    <mergeCell ref="W61:Z61"/>
    <mergeCell ref="AC61:AE61"/>
    <mergeCell ref="AF61:AI61"/>
    <mergeCell ref="A56:D56"/>
    <mergeCell ref="E56:H56"/>
    <mergeCell ref="J56:M56"/>
    <mergeCell ref="N56:Q56"/>
    <mergeCell ref="S56:V56"/>
    <mergeCell ref="W56:Z56"/>
    <mergeCell ref="AC54:AE54"/>
    <mergeCell ref="AF54:AI54"/>
    <mergeCell ref="B55:D55"/>
    <mergeCell ref="E55:H55"/>
    <mergeCell ref="K55:M55"/>
    <mergeCell ref="N55:Q55"/>
    <mergeCell ref="T55:V55"/>
    <mergeCell ref="W55:Z55"/>
    <mergeCell ref="AC55:AE55"/>
    <mergeCell ref="AF55:AI55"/>
    <mergeCell ref="B54:D54"/>
    <mergeCell ref="E54:H54"/>
    <mergeCell ref="K54:M54"/>
    <mergeCell ref="N54:Q54"/>
    <mergeCell ref="T54:V54"/>
    <mergeCell ref="W54:Z54"/>
    <mergeCell ref="A50:A55"/>
    <mergeCell ref="B50:D50"/>
    <mergeCell ref="N62:Q62"/>
    <mergeCell ref="T62:V62"/>
    <mergeCell ref="W62:Z62"/>
    <mergeCell ref="B59:D59"/>
    <mergeCell ref="E59:H59"/>
    <mergeCell ref="K59:M59"/>
    <mergeCell ref="N59:Q59"/>
    <mergeCell ref="T59:V59"/>
    <mergeCell ref="W59:Z59"/>
    <mergeCell ref="AC59:AE59"/>
    <mergeCell ref="AF59:AI59"/>
    <mergeCell ref="W57:Z57"/>
    <mergeCell ref="AB57:AB64"/>
    <mergeCell ref="AC57:AE57"/>
    <mergeCell ref="AF57:AI57"/>
    <mergeCell ref="B58:D58"/>
    <mergeCell ref="E58:H58"/>
    <mergeCell ref="K58:M58"/>
    <mergeCell ref="N58:Q58"/>
    <mergeCell ref="T58:V58"/>
    <mergeCell ref="W58:Z58"/>
    <mergeCell ref="B57:D57"/>
    <mergeCell ref="E57:H57"/>
    <mergeCell ref="J57:J64"/>
    <mergeCell ref="K57:M57"/>
    <mergeCell ref="N57:Q57"/>
    <mergeCell ref="S57:S64"/>
    <mergeCell ref="B61:D61"/>
    <mergeCell ref="E61:H61"/>
    <mergeCell ref="K61:M61"/>
    <mergeCell ref="N61:Q61"/>
    <mergeCell ref="T61:V61"/>
    <mergeCell ref="A68:F68"/>
    <mergeCell ref="J68:O68"/>
    <mergeCell ref="S68:X68"/>
    <mergeCell ref="AB68:AG68"/>
    <mergeCell ref="A66:C66"/>
    <mergeCell ref="G66:H68"/>
    <mergeCell ref="A67:F67"/>
    <mergeCell ref="J67:O67"/>
    <mergeCell ref="S67:X67"/>
    <mergeCell ref="J66:L66"/>
    <mergeCell ref="P66:Q68"/>
    <mergeCell ref="S66:U66"/>
    <mergeCell ref="Y66:Z68"/>
    <mergeCell ref="AB66:AD66"/>
    <mergeCell ref="AH66:AI68"/>
    <mergeCell ref="AB67:AG67"/>
    <mergeCell ref="B60:D60"/>
    <mergeCell ref="E60:H60"/>
    <mergeCell ref="K60:M60"/>
    <mergeCell ref="N60:Q60"/>
    <mergeCell ref="T60:V60"/>
    <mergeCell ref="W60:Z60"/>
    <mergeCell ref="B63:D63"/>
    <mergeCell ref="E63:H63"/>
    <mergeCell ref="K63:M63"/>
    <mergeCell ref="N63:Q63"/>
    <mergeCell ref="T63:V63"/>
    <mergeCell ref="W63:Z63"/>
    <mergeCell ref="AC63:AE63"/>
    <mergeCell ref="AF63:AI63"/>
    <mergeCell ref="B62:D62"/>
    <mergeCell ref="E62:H62"/>
    <mergeCell ref="AC64:AE64"/>
    <mergeCell ref="AF64:AI64"/>
    <mergeCell ref="AC62:AE62"/>
    <mergeCell ref="AF62:AI62"/>
    <mergeCell ref="AC60:AE60"/>
    <mergeCell ref="AF60:AI60"/>
    <mergeCell ref="AC58:AE58"/>
    <mergeCell ref="AF58:AI58"/>
    <mergeCell ref="AB56:AE56"/>
    <mergeCell ref="AF56:AI56"/>
    <mergeCell ref="AC52:AE52"/>
    <mergeCell ref="AF52:AI52"/>
    <mergeCell ref="AF48:AI48"/>
    <mergeCell ref="AF49:AI49"/>
    <mergeCell ref="AB42:AE42"/>
    <mergeCell ref="A65:D65"/>
    <mergeCell ref="E65:H65"/>
    <mergeCell ref="J65:M65"/>
    <mergeCell ref="N65:Q65"/>
    <mergeCell ref="S65:V65"/>
    <mergeCell ref="W65:Z65"/>
    <mergeCell ref="AB65:AE65"/>
    <mergeCell ref="AF65:AI65"/>
    <mergeCell ref="B64:D64"/>
    <mergeCell ref="E64:H64"/>
    <mergeCell ref="K64:M64"/>
    <mergeCell ref="N64:Q64"/>
    <mergeCell ref="T64:V64"/>
    <mergeCell ref="W64:Z64"/>
    <mergeCell ref="A57:A64"/>
    <mergeCell ref="T57:V57"/>
    <mergeCell ref="K62:M62"/>
  </mergeCells>
  <phoneticPr fontId="2"/>
  <pageMargins left="0.39370078740157483" right="0.31496062992125984" top="0.74803149606299213" bottom="0.74803149606299213" header="0.31496062992125984" footer="0.31496062992125984"/>
  <pageSetup paperSize="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E18" sqref="E18"/>
    </sheetView>
  </sheetViews>
  <sheetFormatPr defaultRowHeight="13.5"/>
  <cols>
    <col min="1" max="1" width="3" customWidth="1"/>
    <col min="2" max="2" width="5" customWidth="1"/>
    <col min="6" max="6" width="9.25" bestFit="1" customWidth="1"/>
  </cols>
  <sheetData>
    <row r="1" spans="1:6">
      <c r="C1" t="s">
        <v>25</v>
      </c>
    </row>
    <row r="2" spans="1:6">
      <c r="C2" t="s">
        <v>109</v>
      </c>
      <c r="D2" t="s">
        <v>110</v>
      </c>
      <c r="E2" t="s">
        <v>111</v>
      </c>
    </row>
    <row r="3" spans="1:6">
      <c r="A3" s="243" t="s">
        <v>9</v>
      </c>
      <c r="B3" s="243" t="s">
        <v>104</v>
      </c>
      <c r="C3" s="26" t="s">
        <v>105</v>
      </c>
      <c r="D3" s="26" t="s">
        <v>106</v>
      </c>
      <c r="E3" s="26" t="s">
        <v>107</v>
      </c>
      <c r="F3" s="26" t="s">
        <v>108</v>
      </c>
    </row>
    <row r="4" spans="1:6">
      <c r="A4" s="243">
        <v>1</v>
      </c>
      <c r="B4" s="243" t="s">
        <v>9</v>
      </c>
      <c r="C4" s="26"/>
      <c r="D4" s="26"/>
      <c r="E4" s="26"/>
      <c r="F4" s="26"/>
    </row>
    <row r="5" spans="1:6">
      <c r="A5" s="243">
        <v>2</v>
      </c>
      <c r="B5" s="243" t="s">
        <v>112</v>
      </c>
      <c r="C5" s="244">
        <v>0.39583333333333331</v>
      </c>
      <c r="D5" s="244">
        <v>0.62986111111111109</v>
      </c>
      <c r="E5" s="244">
        <v>4.1666666666666664E-2</v>
      </c>
      <c r="F5" s="244">
        <f>D5-C5-E5</f>
        <v>0.19236111111111112</v>
      </c>
    </row>
    <row r="6" spans="1:6">
      <c r="A6" s="243">
        <v>3</v>
      </c>
      <c r="B6" s="243" t="s">
        <v>113</v>
      </c>
      <c r="C6" s="244">
        <v>0.3923611111111111</v>
      </c>
      <c r="D6" s="244">
        <v>0.62847222222222221</v>
      </c>
      <c r="E6" s="244">
        <v>4.1666666666666664E-2</v>
      </c>
      <c r="F6" s="244">
        <f t="shared" ref="F6:F9" si="0">D6-C6-E6</f>
        <v>0.19444444444444445</v>
      </c>
    </row>
    <row r="7" spans="1:6">
      <c r="A7" s="243">
        <v>4</v>
      </c>
      <c r="B7" s="243" t="s">
        <v>114</v>
      </c>
      <c r="C7" s="244">
        <v>0.39305555555555555</v>
      </c>
      <c r="D7" s="244">
        <v>0.62708333333333333</v>
      </c>
      <c r="E7" s="244">
        <v>4.1666666666666664E-2</v>
      </c>
      <c r="F7" s="244">
        <f t="shared" si="0"/>
        <v>0.19236111111111112</v>
      </c>
    </row>
    <row r="8" spans="1:6">
      <c r="A8" s="243">
        <v>5</v>
      </c>
      <c r="B8" s="243" t="s">
        <v>13</v>
      </c>
      <c r="C8" s="244">
        <v>0.38680555555555557</v>
      </c>
      <c r="D8" s="244">
        <v>0.62777777777777777</v>
      </c>
      <c r="E8" s="244">
        <v>4.1666666666666664E-2</v>
      </c>
      <c r="F8" s="244">
        <f t="shared" si="0"/>
        <v>0.19930555555555554</v>
      </c>
    </row>
    <row r="9" spans="1:6">
      <c r="A9" s="243">
        <v>6</v>
      </c>
      <c r="B9" s="243" t="s">
        <v>14</v>
      </c>
      <c r="C9" s="244">
        <v>0.3888888888888889</v>
      </c>
      <c r="D9" s="244">
        <v>0.625</v>
      </c>
      <c r="E9" s="244">
        <v>4.1666666666666664E-2</v>
      </c>
      <c r="F9" s="244">
        <f t="shared" si="0"/>
        <v>0.19444444444444445</v>
      </c>
    </row>
    <row r="10" spans="1:6">
      <c r="A10" s="243">
        <v>7</v>
      </c>
      <c r="B10" s="243" t="s">
        <v>115</v>
      </c>
      <c r="C10" s="26"/>
      <c r="D10" s="26"/>
      <c r="E10" s="26"/>
      <c r="F10" s="26"/>
    </row>
    <row r="11" spans="1:6">
      <c r="A11" s="243">
        <v>8</v>
      </c>
      <c r="B11" s="243" t="s">
        <v>9</v>
      </c>
      <c r="C11" s="26"/>
      <c r="D11" s="26"/>
      <c r="E11" s="26"/>
      <c r="F11" s="26"/>
    </row>
    <row r="12" spans="1:6">
      <c r="A12" s="243">
        <v>9</v>
      </c>
      <c r="B12" s="243" t="s">
        <v>112</v>
      </c>
      <c r="C12" s="244">
        <v>0.4055555555555555</v>
      </c>
      <c r="D12" s="244">
        <v>0.62777777777777777</v>
      </c>
      <c r="E12" s="244">
        <v>4.1666666666666664E-2</v>
      </c>
      <c r="F12" s="244">
        <f t="shared" ref="F12:F23" si="1">D12-C12-E12</f>
        <v>0.18055555555555561</v>
      </c>
    </row>
    <row r="13" spans="1:6">
      <c r="A13" s="243">
        <v>10</v>
      </c>
      <c r="B13" s="243" t="s">
        <v>113</v>
      </c>
      <c r="C13" s="244">
        <v>0.44305555555555554</v>
      </c>
      <c r="D13" s="244">
        <v>0.68680555555555556</v>
      </c>
      <c r="E13" s="244">
        <v>4.1666666666666664E-2</v>
      </c>
      <c r="F13" s="244">
        <f t="shared" si="1"/>
        <v>0.20208333333333336</v>
      </c>
    </row>
    <row r="14" spans="1:6">
      <c r="A14" s="243">
        <v>11</v>
      </c>
      <c r="B14" s="243" t="s">
        <v>114</v>
      </c>
      <c r="C14" s="244">
        <v>0.38819444444444445</v>
      </c>
      <c r="D14" s="244">
        <v>0.62777777777777777</v>
      </c>
      <c r="E14" s="244">
        <v>4.1666666666666664E-2</v>
      </c>
      <c r="F14" s="244">
        <f t="shared" si="1"/>
        <v>0.19791666666666666</v>
      </c>
    </row>
    <row r="15" spans="1:6">
      <c r="A15" s="243">
        <v>12</v>
      </c>
      <c r="B15" s="243" t="s">
        <v>13</v>
      </c>
      <c r="C15" s="244">
        <v>0.39513888888888887</v>
      </c>
      <c r="D15" s="244">
        <v>0.62708333333333333</v>
      </c>
      <c r="E15" s="244">
        <v>4.1666666666666664E-2</v>
      </c>
      <c r="F15" s="244">
        <f t="shared" si="1"/>
        <v>0.1902777777777778</v>
      </c>
    </row>
    <row r="16" spans="1:6">
      <c r="A16" s="243">
        <v>13</v>
      </c>
      <c r="B16" s="243" t="s">
        <v>14</v>
      </c>
      <c r="C16" s="244">
        <v>0.38750000000000001</v>
      </c>
      <c r="D16" s="244">
        <v>0.62708333333333333</v>
      </c>
      <c r="E16" s="244">
        <v>4.1666666666666664E-2</v>
      </c>
      <c r="F16" s="244">
        <f t="shared" si="1"/>
        <v>0.19791666666666666</v>
      </c>
    </row>
    <row r="17" spans="1:6">
      <c r="A17" s="243">
        <v>14</v>
      </c>
      <c r="B17" s="243" t="s">
        <v>115</v>
      </c>
      <c r="C17" s="244">
        <v>0.3979166666666667</v>
      </c>
      <c r="D17" s="244">
        <v>0.52638888888888891</v>
      </c>
      <c r="E17" s="244"/>
      <c r="F17" s="244">
        <f t="shared" si="1"/>
        <v>0.12847222222222221</v>
      </c>
    </row>
    <row r="18" spans="1:6">
      <c r="A18" s="243">
        <v>15</v>
      </c>
      <c r="B18" s="243" t="s">
        <v>9</v>
      </c>
      <c r="C18" s="26"/>
      <c r="D18" s="26"/>
      <c r="E18" s="26"/>
      <c r="F18" s="26"/>
    </row>
    <row r="19" spans="1:6">
      <c r="A19" s="243">
        <v>16</v>
      </c>
      <c r="B19" s="243" t="s">
        <v>112</v>
      </c>
      <c r="C19" s="244">
        <v>0.38819444444444445</v>
      </c>
      <c r="D19" s="244">
        <v>0.62777777777777777</v>
      </c>
      <c r="E19" s="244">
        <v>4.1666666666666664E-2</v>
      </c>
      <c r="F19" s="244">
        <f t="shared" si="1"/>
        <v>0.19791666666666666</v>
      </c>
    </row>
    <row r="20" spans="1:6">
      <c r="A20" s="243">
        <v>17</v>
      </c>
      <c r="B20" s="243" t="s">
        <v>113</v>
      </c>
      <c r="C20" s="244">
        <v>0.38611111111111113</v>
      </c>
      <c r="D20" s="244">
        <v>0.62777777777777777</v>
      </c>
      <c r="E20" s="244">
        <v>4.1666666666666664E-2</v>
      </c>
      <c r="F20" s="244">
        <f t="shared" si="1"/>
        <v>0.19999999999999998</v>
      </c>
    </row>
    <row r="21" spans="1:6">
      <c r="A21" s="243">
        <v>18</v>
      </c>
      <c r="B21" s="243" t="s">
        <v>114</v>
      </c>
      <c r="C21" s="244">
        <v>0.51388888888888895</v>
      </c>
      <c r="D21" s="244">
        <v>0.62916666666666665</v>
      </c>
      <c r="E21" s="244">
        <v>4.1666666666666664E-2</v>
      </c>
      <c r="F21" s="244">
        <f t="shared" si="1"/>
        <v>7.3611111111111044E-2</v>
      </c>
    </row>
    <row r="22" spans="1:6">
      <c r="A22" s="243">
        <v>19</v>
      </c>
      <c r="B22" s="243" t="s">
        <v>13</v>
      </c>
      <c r="C22" s="244">
        <v>0.39583333333333331</v>
      </c>
      <c r="D22" s="244">
        <v>0.62569444444444444</v>
      </c>
      <c r="E22" s="244">
        <v>4.1666666666666664E-2</v>
      </c>
      <c r="F22" s="244">
        <f t="shared" si="1"/>
        <v>0.18819444444444447</v>
      </c>
    </row>
    <row r="23" spans="1:6">
      <c r="A23" s="243">
        <v>20</v>
      </c>
      <c r="B23" s="243" t="s">
        <v>14</v>
      </c>
      <c r="C23" s="244">
        <v>0.3923611111111111</v>
      </c>
      <c r="D23" s="244">
        <v>0.62708333333333333</v>
      </c>
      <c r="E23" s="244">
        <v>4.1666666666666664E-2</v>
      </c>
      <c r="F23" s="244">
        <f t="shared" si="1"/>
        <v>0.19305555555555556</v>
      </c>
    </row>
    <row r="24" spans="1:6">
      <c r="A24" s="243">
        <v>21</v>
      </c>
      <c r="B24" s="243" t="s">
        <v>115</v>
      </c>
      <c r="C24" s="26"/>
      <c r="D24" s="26"/>
      <c r="E24" s="26"/>
      <c r="F24" s="26"/>
    </row>
    <row r="25" spans="1:6">
      <c r="A25" s="243">
        <v>22</v>
      </c>
      <c r="B25" s="243" t="s">
        <v>9</v>
      </c>
      <c r="C25" s="26"/>
      <c r="D25" s="26"/>
      <c r="E25" s="26"/>
      <c r="F25" s="26"/>
    </row>
    <row r="26" spans="1:6">
      <c r="A26" s="243">
        <v>23</v>
      </c>
      <c r="B26" s="243" t="s">
        <v>112</v>
      </c>
      <c r="C26" s="244">
        <v>0.39583333333333331</v>
      </c>
      <c r="D26" s="244">
        <v>0.62638888888888888</v>
      </c>
      <c r="E26" s="244">
        <v>4.1666666666666664E-2</v>
      </c>
      <c r="F26" s="244">
        <f t="shared" ref="F26:F30" si="2">D26-C26-E26</f>
        <v>0.18888888888888891</v>
      </c>
    </row>
    <row r="27" spans="1:6">
      <c r="A27" s="243">
        <v>24</v>
      </c>
      <c r="B27" s="243" t="s">
        <v>113</v>
      </c>
      <c r="C27" s="244">
        <v>0.3923611111111111</v>
      </c>
      <c r="D27" s="244">
        <v>0.62708333333333333</v>
      </c>
      <c r="E27" s="244">
        <v>4.1666666666666664E-2</v>
      </c>
      <c r="F27" s="244">
        <f t="shared" si="2"/>
        <v>0.19305555555555556</v>
      </c>
    </row>
    <row r="28" spans="1:6">
      <c r="A28" s="243">
        <v>25</v>
      </c>
      <c r="B28" s="243" t="s">
        <v>114</v>
      </c>
      <c r="C28" s="244">
        <v>0.38680555555555557</v>
      </c>
      <c r="D28" s="244">
        <v>0.62777777777777777</v>
      </c>
      <c r="E28" s="244">
        <v>4.1666666666666664E-2</v>
      </c>
      <c r="F28" s="244">
        <f t="shared" si="2"/>
        <v>0.19930555555555554</v>
      </c>
    </row>
    <row r="29" spans="1:6">
      <c r="A29" s="243">
        <v>26</v>
      </c>
      <c r="B29" s="243" t="s">
        <v>13</v>
      </c>
      <c r="C29" s="244">
        <v>0.39444444444444443</v>
      </c>
      <c r="D29" s="244">
        <v>0.59236111111111112</v>
      </c>
      <c r="E29" s="244">
        <v>4.1666666666666664E-2</v>
      </c>
      <c r="F29" s="244">
        <f t="shared" si="2"/>
        <v>0.15625000000000003</v>
      </c>
    </row>
    <row r="30" spans="1:6">
      <c r="A30" s="243">
        <v>27</v>
      </c>
      <c r="B30" s="243" t="s">
        <v>14</v>
      </c>
      <c r="C30" s="244">
        <v>0.39930555555555558</v>
      </c>
      <c r="D30" s="244">
        <v>0.62708333333333333</v>
      </c>
      <c r="E30" s="244">
        <v>4.1666666666666664E-2</v>
      </c>
      <c r="F30" s="244">
        <f t="shared" si="2"/>
        <v>0.18611111111111109</v>
      </c>
    </row>
    <row r="31" spans="1:6">
      <c r="A31" s="243">
        <v>28</v>
      </c>
      <c r="B31" s="243" t="s">
        <v>115</v>
      </c>
      <c r="C31" s="244"/>
      <c r="D31" s="26"/>
      <c r="E31" s="26"/>
      <c r="F31" s="26"/>
    </row>
    <row r="32" spans="1:6">
      <c r="A32" s="243">
        <v>29</v>
      </c>
      <c r="B32" s="243" t="s">
        <v>9</v>
      </c>
      <c r="C32" s="26"/>
      <c r="D32" s="26"/>
      <c r="E32" s="26"/>
      <c r="F32" s="26"/>
    </row>
    <row r="33" spans="1:6">
      <c r="A33" s="243">
        <v>30</v>
      </c>
      <c r="B33" s="243" t="s">
        <v>112</v>
      </c>
      <c r="C33" s="244">
        <v>0.39166666666666666</v>
      </c>
      <c r="D33" s="244">
        <v>0.62569444444444444</v>
      </c>
      <c r="E33" s="244">
        <v>4.1666666666666664E-2</v>
      </c>
      <c r="F33" s="244">
        <f t="shared" ref="F33:F34" si="3">D33-C33-E33</f>
        <v>0.19236111111111112</v>
      </c>
    </row>
    <row r="34" spans="1:6">
      <c r="A34" s="243">
        <v>31</v>
      </c>
      <c r="B34" s="243" t="s">
        <v>113</v>
      </c>
      <c r="C34" s="244">
        <v>0.39652777777777781</v>
      </c>
      <c r="D34" s="244">
        <v>0.62638888888888888</v>
      </c>
      <c r="E34" s="244">
        <v>4.1666666666666664E-2</v>
      </c>
      <c r="F34" s="244">
        <f t="shared" si="3"/>
        <v>0.18819444444444441</v>
      </c>
    </row>
    <row r="35" spans="1:6">
      <c r="E35" t="s">
        <v>99</v>
      </c>
      <c r="F35" s="141">
        <f>SUM(F4:F34)</f>
        <v>4.2270833333333337</v>
      </c>
    </row>
  </sheetData>
  <phoneticPr fontId="2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3月分</vt:lpstr>
      <vt:lpstr>賃金集計表</vt:lpstr>
      <vt:lpstr>給料支払明細書</vt:lpstr>
      <vt:lpstr>給料支払明細書（2）</vt:lpstr>
      <vt:lpstr>Sheet1</vt:lpstr>
      <vt:lpstr>'3月分'!Print_Area</vt:lpstr>
      <vt:lpstr>給料支払明細書!Print_Area</vt:lpstr>
      <vt:lpstr>'給料支払明細書（2）'!Print_Area</vt:lpstr>
      <vt:lpstr>賃金集計表!Print_Area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fujitobi-murakami</cp:lastModifiedBy>
  <cp:lastPrinted>2015-04-21T02:17:32Z</cp:lastPrinted>
  <dcterms:created xsi:type="dcterms:W3CDTF">2015-04-15T05:06:26Z</dcterms:created>
  <dcterms:modified xsi:type="dcterms:W3CDTF">2015-04-28T04:22:34Z</dcterms:modified>
</cp:coreProperties>
</file>