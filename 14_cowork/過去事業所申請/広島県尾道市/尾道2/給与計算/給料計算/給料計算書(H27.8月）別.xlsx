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給与計算\給料計算\"/>
    </mc:Choice>
  </mc:AlternateContent>
  <bookViews>
    <workbookView xWindow="0" yWindow="0" windowWidth="24000" windowHeight="14250" firstSheet="2" activeTab="2"/>
  </bookViews>
  <sheets>
    <sheet name="8月分" sheetId="1" r:id="rId1"/>
    <sheet name="賃金集計表" sheetId="5" r:id="rId2"/>
    <sheet name="給料支払明細書" sheetId="4" r:id="rId3"/>
    <sheet name="時給計算書" sheetId="6" r:id="rId4"/>
    <sheet name="8月集計表" sheetId="7" r:id="rId5"/>
    <sheet name="Sheet2" sheetId="8" r:id="rId6"/>
  </sheets>
  <definedNames>
    <definedName name="_xlnm.Print_Area" localSheetId="4">'8月集計表'!$A$1:$L$38</definedName>
    <definedName name="_xlnm.Print_Area" localSheetId="0">'8月分'!$A$1:$AO$34</definedName>
    <definedName name="_xlnm.Print_Area" localSheetId="2">給料支払明細書!$A$1:$P$390</definedName>
    <definedName name="_xlnm.Print_Area" localSheetId="1">賃金集計表!$A$1:$X$45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7" l="1"/>
  <c r="R5" i="5" l="1"/>
  <c r="R11" i="5"/>
  <c r="H38" i="7" l="1"/>
  <c r="E70" i="4" l="1"/>
  <c r="O385" i="4"/>
  <c r="I382" i="4"/>
  <c r="C378" i="4"/>
  <c r="O370" i="4"/>
  <c r="C363" i="4"/>
  <c r="L36" i="5"/>
  <c r="V36" i="5"/>
  <c r="W35" i="5"/>
  <c r="B35" i="5"/>
  <c r="H35" i="5" s="1"/>
  <c r="W34" i="5"/>
  <c r="B34" i="5"/>
  <c r="H34" i="5" s="1"/>
  <c r="O34" i="5" s="1"/>
  <c r="X34" i="5" s="1"/>
  <c r="H379" i="4" l="1"/>
  <c r="O35" i="5"/>
  <c r="X35" i="5" s="1"/>
  <c r="A382" i="4"/>
  <c r="A367" i="4"/>
  <c r="H364" i="4"/>
  <c r="K34" i="7"/>
  <c r="I70" i="4" l="1"/>
  <c r="A82" i="4"/>
  <c r="K79" i="4"/>
  <c r="H79" i="4"/>
  <c r="C78" i="4"/>
  <c r="O355" i="4"/>
  <c r="I352" i="4"/>
  <c r="C348" i="4"/>
  <c r="O340" i="4"/>
  <c r="I337" i="4"/>
  <c r="C333" i="4"/>
  <c r="O325" i="4"/>
  <c r="I322" i="4"/>
  <c r="C318" i="4"/>
  <c r="W33" i="5"/>
  <c r="W32" i="5"/>
  <c r="W31" i="5"/>
  <c r="H35" i="6"/>
  <c r="G35" i="6"/>
  <c r="B33" i="5" l="1"/>
  <c r="B32" i="5"/>
  <c r="B31" i="5"/>
  <c r="H32" i="5" l="1"/>
  <c r="H334" i="4"/>
  <c r="H31" i="5"/>
  <c r="H319" i="4"/>
  <c r="H33" i="5"/>
  <c r="H349" i="4"/>
  <c r="O33" i="5" l="1"/>
  <c r="X33" i="5" s="1"/>
  <c r="A352" i="4"/>
  <c r="O31" i="5"/>
  <c r="X31" i="5" s="1"/>
  <c r="A322" i="4"/>
  <c r="O32" i="5"/>
  <c r="X32" i="5" s="1"/>
  <c r="A337" i="4"/>
  <c r="I232" i="4"/>
  <c r="I217" i="4"/>
  <c r="O415" i="4" l="1"/>
  <c r="O445" i="4"/>
  <c r="O430" i="4"/>
  <c r="O295" i="4"/>
  <c r="O280" i="4"/>
  <c r="O265" i="4"/>
  <c r="O250" i="4"/>
  <c r="O235" i="4"/>
  <c r="O220" i="4"/>
  <c r="O205" i="4"/>
  <c r="O190" i="4"/>
  <c r="O175" i="4"/>
  <c r="O160" i="4"/>
  <c r="O145" i="4"/>
  <c r="O115" i="4"/>
  <c r="O100" i="4"/>
  <c r="I97" i="4"/>
  <c r="O55" i="4"/>
  <c r="I67" i="4"/>
  <c r="H40" i="5" l="1"/>
  <c r="C38" i="7" l="1"/>
  <c r="H26" i="7"/>
  <c r="H19" i="7"/>
  <c r="H12" i="7"/>
  <c r="N45" i="5"/>
  <c r="M45" i="5"/>
  <c r="K45" i="5"/>
  <c r="J45" i="5"/>
  <c r="I45" i="5"/>
  <c r="K36" i="5"/>
  <c r="Q14" i="5"/>
  <c r="P14" i="5"/>
  <c r="O310" i="4" l="1"/>
  <c r="C303" i="4"/>
  <c r="C288" i="4"/>
  <c r="C273" i="4"/>
  <c r="I412" i="4"/>
  <c r="C408" i="4"/>
  <c r="I427" i="4"/>
  <c r="C423" i="4"/>
  <c r="C438" i="4"/>
  <c r="D448" i="4"/>
  <c r="I442" i="4"/>
  <c r="D433" i="4"/>
  <c r="D418" i="4"/>
  <c r="B30" i="5"/>
  <c r="H304" i="4" s="1"/>
  <c r="B29" i="5"/>
  <c r="H289" i="4" s="1"/>
  <c r="B28" i="5"/>
  <c r="H274" i="4" s="1"/>
  <c r="O400" i="4"/>
  <c r="D403" i="4" s="1"/>
  <c r="I397" i="4"/>
  <c r="A397" i="4"/>
  <c r="H394" i="4"/>
  <c r="C393" i="4"/>
  <c r="D388" i="4"/>
  <c r="D373" i="4"/>
  <c r="I367" i="4"/>
  <c r="D358" i="4"/>
  <c r="O70" i="4"/>
  <c r="O25" i="4"/>
  <c r="O10" i="4"/>
  <c r="H29" i="5" l="1"/>
  <c r="O29" i="5" s="1"/>
  <c r="A388" i="4"/>
  <c r="G388" i="4" s="1"/>
  <c r="A358" i="4"/>
  <c r="G358" i="4" s="1"/>
  <c r="A373" i="4"/>
  <c r="G373" i="4" s="1"/>
  <c r="A403" i="4"/>
  <c r="G403" i="4" s="1"/>
  <c r="H28" i="5"/>
  <c r="H30" i="5"/>
  <c r="A292" i="4" l="1"/>
  <c r="A277" i="4"/>
  <c r="O28" i="5"/>
  <c r="A307" i="4"/>
  <c r="O30" i="5"/>
  <c r="N36" i="5"/>
  <c r="I187" i="4"/>
  <c r="H439" i="4"/>
  <c r="H409" i="4" l="1"/>
  <c r="H424" i="4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71" i="6" l="1"/>
  <c r="AI9" i="1" s="1"/>
  <c r="I262" i="4"/>
  <c r="I247" i="4"/>
  <c r="W30" i="5"/>
  <c r="W29" i="5"/>
  <c r="X29" i="5" s="1"/>
  <c r="W28" i="5"/>
  <c r="X28" i="5" s="1"/>
  <c r="W27" i="5"/>
  <c r="W26" i="5"/>
  <c r="B27" i="5"/>
  <c r="B26" i="5"/>
  <c r="A27" i="5"/>
  <c r="A26" i="5"/>
  <c r="X30" i="5" l="1"/>
  <c r="C258" i="4"/>
  <c r="C243" i="4"/>
  <c r="H26" i="5"/>
  <c r="H244" i="4"/>
  <c r="H27" i="5"/>
  <c r="H259" i="4"/>
  <c r="L8" i="5"/>
  <c r="L14" i="5"/>
  <c r="L44" i="5"/>
  <c r="M44" i="5"/>
  <c r="M36" i="5"/>
  <c r="D328" i="4"/>
  <c r="D343" i="4"/>
  <c r="W39" i="5"/>
  <c r="W40" i="5"/>
  <c r="K14" i="5"/>
  <c r="V14" i="5"/>
  <c r="V8" i="5"/>
  <c r="V44" i="5"/>
  <c r="W38" i="5"/>
  <c r="W42" i="5"/>
  <c r="W41" i="5"/>
  <c r="V45" i="5" l="1"/>
  <c r="W44" i="5"/>
  <c r="O26" i="5"/>
  <c r="A247" i="4"/>
  <c r="A262" i="4"/>
  <c r="O27" i="5"/>
  <c r="H42" i="5"/>
  <c r="H41" i="5"/>
  <c r="F34" i="6"/>
  <c r="F29" i="6"/>
  <c r="F28" i="6"/>
  <c r="F22" i="6"/>
  <c r="F21" i="6"/>
  <c r="F15" i="6"/>
  <c r="F14" i="6"/>
  <c r="F8" i="6"/>
  <c r="F7" i="6"/>
  <c r="X26" i="5" l="1"/>
  <c r="X27" i="5"/>
  <c r="O41" i="5"/>
  <c r="A328" i="4"/>
  <c r="G328" i="4" s="1"/>
  <c r="A343" i="4"/>
  <c r="G343" i="4" s="1"/>
  <c r="O42" i="5"/>
  <c r="F33" i="6"/>
  <c r="F32" i="6"/>
  <c r="F31" i="6"/>
  <c r="F30" i="6"/>
  <c r="F27" i="6"/>
  <c r="F26" i="6"/>
  <c r="F25" i="6"/>
  <c r="F24" i="6"/>
  <c r="F23" i="6"/>
  <c r="F20" i="6"/>
  <c r="F19" i="6"/>
  <c r="F18" i="6"/>
  <c r="F17" i="6"/>
  <c r="F16" i="6"/>
  <c r="F13" i="6"/>
  <c r="F12" i="6"/>
  <c r="F11" i="6"/>
  <c r="F10" i="6"/>
  <c r="F9" i="6"/>
  <c r="F6" i="6"/>
  <c r="F5" i="6"/>
  <c r="F4" i="6"/>
  <c r="X42" i="5" l="1"/>
  <c r="X41" i="5"/>
  <c r="F35" i="6"/>
  <c r="D10" i="5" s="1"/>
  <c r="D11" i="5"/>
  <c r="H11" i="5" s="1"/>
  <c r="A5" i="5"/>
  <c r="A67" i="4" l="1"/>
  <c r="H12" i="5"/>
  <c r="AI8" i="1"/>
  <c r="G82" i="4"/>
  <c r="T64" i="4" l="1"/>
  <c r="B25" i="5"/>
  <c r="B24" i="5"/>
  <c r="B23" i="5"/>
  <c r="B22" i="5"/>
  <c r="B21" i="5"/>
  <c r="B18" i="5"/>
  <c r="B17" i="5"/>
  <c r="B16" i="5"/>
  <c r="B11" i="5"/>
  <c r="B10" i="5"/>
  <c r="H10" i="5" s="1"/>
  <c r="B6" i="5"/>
  <c r="H229" i="4" l="1"/>
  <c r="H214" i="4"/>
  <c r="H199" i="4"/>
  <c r="H184" i="4"/>
  <c r="H169" i="4"/>
  <c r="H154" i="4"/>
  <c r="H139" i="4"/>
  <c r="H124" i="4"/>
  <c r="H109" i="4"/>
  <c r="H94" i="4"/>
  <c r="K64" i="4"/>
  <c r="H64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H49" i="4"/>
  <c r="I7" i="4" l="1"/>
  <c r="A7" i="4"/>
  <c r="H4" i="4"/>
  <c r="C228" i="4"/>
  <c r="C213" i="4"/>
  <c r="C198" i="4"/>
  <c r="C183" i="4"/>
  <c r="C168" i="4"/>
  <c r="C153" i="4"/>
  <c r="C138" i="4"/>
  <c r="C123" i="4"/>
  <c r="C108" i="4"/>
  <c r="C93" i="4"/>
  <c r="C63" i="4"/>
  <c r="C48" i="4"/>
  <c r="C18" i="4"/>
  <c r="C3" i="4"/>
  <c r="D298" i="4"/>
  <c r="D283" i="4"/>
  <c r="C262" i="4"/>
  <c r="A268" i="4" s="1"/>
  <c r="D253" i="4"/>
  <c r="A253" i="4"/>
  <c r="D238" i="4"/>
  <c r="D208" i="4"/>
  <c r="D193" i="4"/>
  <c r="D163" i="4"/>
  <c r="D148" i="4"/>
  <c r="C127" i="4"/>
  <c r="D118" i="4"/>
  <c r="A88" i="4"/>
  <c r="G253" i="4" l="1"/>
  <c r="D313" i="4"/>
  <c r="D268" i="4"/>
  <c r="G268" i="4" s="1"/>
  <c r="D223" i="4"/>
  <c r="D133" i="4"/>
  <c r="D88" i="4"/>
  <c r="G88" i="4" s="1"/>
  <c r="U45" i="5"/>
  <c r="T45" i="5"/>
  <c r="Q45" i="5"/>
  <c r="P45" i="5"/>
  <c r="L45" i="5"/>
  <c r="S14" i="5"/>
  <c r="S45" i="5" s="1"/>
  <c r="M14" i="5"/>
  <c r="H14" i="5"/>
  <c r="S8" i="5"/>
  <c r="R8" i="5"/>
  <c r="Q8" i="5"/>
  <c r="P8" i="5"/>
  <c r="O8" i="5"/>
  <c r="M8" i="5"/>
  <c r="H8" i="5"/>
  <c r="W25" i="5"/>
  <c r="W24" i="5"/>
  <c r="W23" i="5"/>
  <c r="W22" i="5"/>
  <c r="W21" i="5"/>
  <c r="D178" i="4" s="1"/>
  <c r="W20" i="5"/>
  <c r="W19" i="5"/>
  <c r="W18" i="5"/>
  <c r="W17" i="5"/>
  <c r="W16" i="5"/>
  <c r="W12" i="5"/>
  <c r="W11" i="5"/>
  <c r="W6" i="5"/>
  <c r="W5" i="5"/>
  <c r="X5" i="5" s="1"/>
  <c r="O10" i="5"/>
  <c r="O6" i="5"/>
  <c r="O5" i="5"/>
  <c r="O12" i="5"/>
  <c r="O11" i="5"/>
  <c r="H39" i="5"/>
  <c r="H38" i="5"/>
  <c r="H25" i="5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D73" i="4"/>
  <c r="A73" i="4"/>
  <c r="N64" i="4"/>
  <c r="A58" i="4"/>
  <c r="A43" i="4"/>
  <c r="D28" i="4"/>
  <c r="A28" i="4"/>
  <c r="D13" i="4"/>
  <c r="A13" i="4"/>
  <c r="W8" i="5" l="1"/>
  <c r="W36" i="5"/>
  <c r="O14" i="5"/>
  <c r="A412" i="4"/>
  <c r="A418" i="4" s="1"/>
  <c r="G418" i="4" s="1"/>
  <c r="A313" i="4"/>
  <c r="G313" i="4" s="1"/>
  <c r="A442" i="4"/>
  <c r="A448" i="4" s="1"/>
  <c r="G448" i="4" s="1"/>
  <c r="D103" i="4"/>
  <c r="G103" i="4" s="1"/>
  <c r="A298" i="4"/>
  <c r="G298" i="4" s="1"/>
  <c r="A427" i="4"/>
  <c r="A433" i="4" s="1"/>
  <c r="G433" i="4" s="1"/>
  <c r="G13" i="4"/>
  <c r="G28" i="4"/>
  <c r="A232" i="4"/>
  <c r="A238" i="4" s="1"/>
  <c r="G238" i="4" s="1"/>
  <c r="R10" i="5"/>
  <c r="A283" i="4"/>
  <c r="G283" i="4" s="1"/>
  <c r="H44" i="5"/>
  <c r="X6" i="5"/>
  <c r="O21" i="5"/>
  <c r="X21" i="5" s="1"/>
  <c r="G73" i="4"/>
  <c r="O40" i="5"/>
  <c r="G178" i="4"/>
  <c r="O39" i="5"/>
  <c r="O38" i="5"/>
  <c r="O25" i="5"/>
  <c r="O23" i="5"/>
  <c r="X23" i="5" s="1"/>
  <c r="O19" i="5"/>
  <c r="O17" i="5"/>
  <c r="H36" i="5"/>
  <c r="O18" i="5"/>
  <c r="O20" i="5"/>
  <c r="X20" i="5" s="1"/>
  <c r="O22" i="5"/>
  <c r="X22" i="5" s="1"/>
  <c r="O24" i="5"/>
  <c r="G133" i="4"/>
  <c r="G223" i="4"/>
  <c r="O16" i="5"/>
  <c r="X11" i="5"/>
  <c r="X12" i="5"/>
  <c r="D43" i="4"/>
  <c r="G43" i="4" s="1"/>
  <c r="X24" i="5" l="1"/>
  <c r="O36" i="5"/>
  <c r="X16" i="5"/>
  <c r="H45" i="5"/>
  <c r="O47" i="5" s="1"/>
  <c r="O44" i="5"/>
  <c r="E55" i="4"/>
  <c r="D58" i="4" s="1"/>
  <c r="G58" i="4" s="1"/>
  <c r="R14" i="5"/>
  <c r="R45" i="5" s="1"/>
  <c r="W10" i="5"/>
  <c r="X40" i="5"/>
  <c r="X8" i="5"/>
  <c r="X19" i="5"/>
  <c r="X18" i="5"/>
  <c r="X39" i="5"/>
  <c r="X17" i="5"/>
  <c r="X25" i="5"/>
  <c r="X38" i="5"/>
  <c r="O45" i="5" l="1"/>
  <c r="X45" i="5" s="1"/>
  <c r="X14" i="5"/>
  <c r="W14" i="5"/>
  <c r="W45" i="5" s="1"/>
  <c r="X10" i="5"/>
  <c r="X44" i="5"/>
  <c r="X36" i="5"/>
</calcChain>
</file>

<file path=xl/sharedStrings.xml><?xml version="1.0" encoding="utf-8"?>
<sst xmlns="http://schemas.openxmlformats.org/spreadsheetml/2006/main" count="1254" uniqueCount="146">
  <si>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</si>
  <si>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</si>
  <si>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</si>
  <si>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</si>
  <si>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</si>
  <si>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</si>
  <si>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</si>
  <si>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</si>
  <si>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</si>
  <si>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</si>
  <si>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</si>
  <si>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</si>
  <si>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</si>
  <si>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</si>
  <si>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</si>
  <si>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</si>
  <si>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</si>
  <si>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</si>
  <si>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</si>
  <si>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</si>
  <si>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</si>
  <si>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</si>
  <si>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</si>
  <si>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</si>
  <si>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</si>
  <si>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</si>
  <si>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</si>
  <si>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</si>
  <si>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</si>
  <si>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</si>
  <si>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</si>
  <si>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</si>
  <si>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</si>
  <si>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瀬戸　光代</t>
    <rPh sb="0" eb="2">
      <t>セト</t>
    </rPh>
    <rPh sb="3" eb="5">
      <t>ミツヨ</t>
    </rPh>
    <phoneticPr fontId="2"/>
  </si>
  <si>
    <t>殿</t>
    <rPh sb="0" eb="1">
      <t>ドノ</t>
    </rPh>
    <phoneticPr fontId="2"/>
  </si>
  <si>
    <t>労働時間数</t>
    <rPh sb="0" eb="2">
      <t>ロウドウ</t>
    </rPh>
    <rPh sb="2" eb="5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</si>
  <si>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</si>
  <si>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</si>
  <si>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</si>
  <si>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</si>
  <si>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</si>
  <si>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</si>
  <si>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</si>
  <si>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</si>
  <si>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</si>
  <si>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</si>
  <si>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</si>
  <si>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</si>
  <si>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</si>
  <si>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</si>
  <si>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</si>
  <si>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</si>
  <si>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</si>
  <si>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</si>
  <si>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</si>
  <si>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</si>
  <si>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</si>
  <si>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</si>
  <si>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</si>
  <si>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</si>
  <si>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</si>
  <si>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</si>
  <si>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</si>
  <si>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</si>
  <si>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</si>
  <si>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</si>
  <si>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</si>
  <si>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</si>
  <si>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</si>
  <si>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</si>
  <si>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</si>
  <si>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</si>
  <si>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25日/7Ｈ</t>
    <rPh sb="2" eb="3">
      <t>ニチ</t>
    </rPh>
    <phoneticPr fontId="2"/>
  </si>
  <si>
    <t>6000円</t>
    <rPh sb="4" eb="5">
      <t>エン</t>
    </rPh>
    <phoneticPr fontId="2"/>
  </si>
  <si>
    <t>通勤手当</t>
    <rPh sb="0" eb="2">
      <t>ツウキン</t>
    </rPh>
    <rPh sb="2" eb="4">
      <t>テアテ</t>
    </rPh>
    <phoneticPr fontId="2"/>
  </si>
  <si>
    <t>岡﨑　峻喬</t>
    <rPh sb="0" eb="2">
      <t>オカザキ</t>
    </rPh>
    <rPh sb="3" eb="4">
      <t>シュン</t>
    </rPh>
    <rPh sb="4" eb="5">
      <t>タカシ</t>
    </rPh>
    <phoneticPr fontId="2"/>
  </si>
  <si>
    <t>1H/858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</si>
  <si>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</si>
  <si>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</si>
  <si>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</si>
  <si>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</si>
  <si>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</si>
  <si>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</si>
  <si>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</si>
  <si>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水</t>
    <rPh sb="0" eb="1">
      <t>スイ</t>
    </rPh>
    <phoneticPr fontId="2"/>
  </si>
  <si>
    <t>土</t>
    <rPh sb="0" eb="1">
      <t>ド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</si>
  <si>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</si>
  <si>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</si>
  <si>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</si>
  <si>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</si>
  <si>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手当</t>
    <rPh sb="0" eb="2">
      <t>テアテ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</si>
  <si>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</si>
  <si>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吉岡　一夫</t>
    <rPh sb="0" eb="2">
      <t>ヨシオカ</t>
    </rPh>
    <rPh sb="3" eb="5">
      <t>カズオ</t>
    </rPh>
    <phoneticPr fontId="2"/>
  </si>
  <si>
    <t>宇江　寿江</t>
    <rPh sb="0" eb="1">
      <t>ウ</t>
    </rPh>
    <rPh sb="1" eb="2">
      <t>エ</t>
    </rPh>
    <rPh sb="3" eb="5">
      <t>スミエ</t>
    </rPh>
    <phoneticPr fontId="2"/>
  </si>
  <si>
    <t>1日＝6000</t>
    <rPh sb="1" eb="2">
      <t>ニチ</t>
    </rPh>
    <phoneticPr fontId="2"/>
  </si>
  <si>
    <t>支払先</t>
    <rPh sb="0" eb="2">
      <t>シハライ</t>
    </rPh>
    <rPh sb="2" eb="3">
      <t>サキ</t>
    </rPh>
    <phoneticPr fontId="2"/>
  </si>
  <si>
    <t>内容</t>
    <rPh sb="0" eb="2">
      <t>ナイヨウ</t>
    </rPh>
    <phoneticPr fontId="2"/>
  </si>
  <si>
    <t>支払予定</t>
    <rPh sb="0" eb="2">
      <t>シハライ</t>
    </rPh>
    <rPh sb="2" eb="4">
      <t>ヨテイ</t>
    </rPh>
    <phoneticPr fontId="2"/>
  </si>
  <si>
    <t>金額</t>
    <rPh sb="0" eb="2">
      <t>キンガク</t>
    </rPh>
    <phoneticPr fontId="2"/>
  </si>
  <si>
    <t>支払方法</t>
    <rPh sb="0" eb="2">
      <t>シハライ</t>
    </rPh>
    <rPh sb="2" eb="4">
      <t>ホウホウ</t>
    </rPh>
    <phoneticPr fontId="2"/>
  </si>
  <si>
    <t>ゴトウ石油㈱</t>
    <rPh sb="3" eb="5">
      <t>セキユ</t>
    </rPh>
    <phoneticPr fontId="2"/>
  </si>
  <si>
    <t>ガソリン代</t>
    <rPh sb="4" eb="5">
      <t>ダイ</t>
    </rPh>
    <phoneticPr fontId="2"/>
  </si>
  <si>
    <t>ミール</t>
    <phoneticPr fontId="2"/>
  </si>
  <si>
    <t>振込み</t>
    <rPh sb="0" eb="2">
      <t>フリコ</t>
    </rPh>
    <phoneticPr fontId="2"/>
  </si>
  <si>
    <t>現金</t>
    <rPh sb="0" eb="2">
      <t>ゲンキン</t>
    </rPh>
    <phoneticPr fontId="2"/>
  </si>
  <si>
    <t>従業員</t>
    <rPh sb="0" eb="3">
      <t>ジュウギョウイン</t>
    </rPh>
    <phoneticPr fontId="2"/>
  </si>
  <si>
    <t>利用者</t>
    <rPh sb="0" eb="3">
      <t>リヨウシャ</t>
    </rPh>
    <phoneticPr fontId="2"/>
  </si>
  <si>
    <t>請求先</t>
    <rPh sb="0" eb="2">
      <t>セイキュウ</t>
    </rPh>
    <rPh sb="2" eb="3">
      <t>サキ</t>
    </rPh>
    <phoneticPr fontId="2"/>
  </si>
  <si>
    <t>広島県国保連</t>
    <rPh sb="0" eb="3">
      <t>ヒロシマケン</t>
    </rPh>
    <rPh sb="3" eb="6">
      <t>コクホレン</t>
    </rPh>
    <phoneticPr fontId="2"/>
  </si>
  <si>
    <t>藤鳶工業(株)</t>
    <rPh sb="0" eb="1">
      <t>フジ</t>
    </rPh>
    <rPh sb="1" eb="2">
      <t>トビ</t>
    </rPh>
    <rPh sb="2" eb="4">
      <t>コウギョウ</t>
    </rPh>
    <rPh sb="4" eb="7">
      <t>カブ</t>
    </rPh>
    <phoneticPr fontId="2"/>
  </si>
  <si>
    <t>入金予定</t>
    <rPh sb="0" eb="2">
      <t>ニュウキン</t>
    </rPh>
    <rPh sb="2" eb="4">
      <t>ヨテイ</t>
    </rPh>
    <phoneticPr fontId="2"/>
  </si>
  <si>
    <t>未払金</t>
    <rPh sb="0" eb="3">
      <t>ミバライキン</t>
    </rPh>
    <phoneticPr fontId="2"/>
  </si>
  <si>
    <t>尾道市</t>
    <rPh sb="0" eb="3">
      <t>オノミチシ</t>
    </rPh>
    <phoneticPr fontId="2"/>
  </si>
  <si>
    <t>笠岡市</t>
    <rPh sb="0" eb="3">
      <t>カサオカシ</t>
    </rPh>
    <phoneticPr fontId="2"/>
  </si>
  <si>
    <t>今治市</t>
    <rPh sb="0" eb="3">
      <t>イマバリシ</t>
    </rPh>
    <phoneticPr fontId="2"/>
  </si>
  <si>
    <t>福山市</t>
    <rPh sb="0" eb="3">
      <t>フクヤマシ</t>
    </rPh>
    <phoneticPr fontId="2"/>
  </si>
  <si>
    <t>三原市</t>
    <rPh sb="0" eb="3">
      <t>ミハラシ</t>
    </rPh>
    <phoneticPr fontId="2"/>
  </si>
  <si>
    <t>世羅町</t>
    <rPh sb="0" eb="3">
      <t>セラチョウ</t>
    </rPh>
    <phoneticPr fontId="2"/>
  </si>
  <si>
    <t>給料支払い金種表</t>
    <rPh sb="0" eb="2">
      <t>キュウリョウ</t>
    </rPh>
    <rPh sb="2" eb="4">
      <t>シハラ</t>
    </rPh>
    <rPh sb="5" eb="7">
      <t>キンシュ</t>
    </rPh>
    <rPh sb="7" eb="8">
      <t>ヒョウ</t>
    </rPh>
    <phoneticPr fontId="2"/>
  </si>
  <si>
    <t>手持ち金</t>
    <rPh sb="0" eb="2">
      <t>テモ</t>
    </rPh>
    <rPh sb="3" eb="4">
      <t>キン</t>
    </rPh>
    <phoneticPr fontId="2"/>
  </si>
  <si>
    <t>支払金</t>
    <rPh sb="0" eb="2">
      <t>シハライ</t>
    </rPh>
    <rPh sb="2" eb="3">
      <t>キン</t>
    </rPh>
    <phoneticPr fontId="2"/>
  </si>
  <si>
    <t>御調へ渡す金額</t>
    <rPh sb="0" eb="2">
      <t>ミツギ</t>
    </rPh>
    <rPh sb="3" eb="4">
      <t>ワタ</t>
    </rPh>
    <rPh sb="5" eb="7">
      <t>キンガク</t>
    </rPh>
    <phoneticPr fontId="2"/>
  </si>
  <si>
    <t>仁井　諭</t>
    <rPh sb="0" eb="2">
      <t>ニイ</t>
    </rPh>
    <rPh sb="3" eb="4">
      <t>サトル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</si>
  <si>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</si>
  <si>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</si>
  <si>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</si>
  <si>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キ</t>
    </rPh>
    <phoneticPr fontId="2"/>
  </si>
  <si>
    <t>土</t>
    <rPh sb="0" eb="1">
      <t>ツチ</t>
    </rPh>
    <phoneticPr fontId="2"/>
  </si>
  <si>
    <t>志並　智美</t>
    <rPh sb="0" eb="1">
      <t>シ</t>
    </rPh>
    <rPh sb="1" eb="2">
      <t>ナミ</t>
    </rPh>
    <rPh sb="3" eb="5">
      <t>トモミ</t>
    </rPh>
    <phoneticPr fontId="2"/>
  </si>
  <si>
    <t>林　　命</t>
    <rPh sb="0" eb="1">
      <t>ハヤシ</t>
    </rPh>
    <rPh sb="3" eb="4">
      <t>イノチ</t>
    </rPh>
    <phoneticPr fontId="2"/>
  </si>
  <si>
    <t>(4月）福山市</t>
    <rPh sb="2" eb="3">
      <t>ガツ</t>
    </rPh>
    <rPh sb="4" eb="6">
      <t>フクヤマ</t>
    </rPh>
    <rPh sb="6" eb="7">
      <t>シ</t>
    </rPh>
    <phoneticPr fontId="2"/>
  </si>
  <si>
    <t>(5月）今治市</t>
    <rPh sb="2" eb="3">
      <t>ガツ</t>
    </rPh>
    <rPh sb="4" eb="6">
      <t>イマバリ</t>
    </rPh>
    <rPh sb="6" eb="7">
      <t>シ</t>
    </rPh>
    <phoneticPr fontId="2"/>
  </si>
  <si>
    <t>(5月）福山市</t>
    <rPh sb="2" eb="3">
      <t>ガツ</t>
    </rPh>
    <rPh sb="4" eb="7">
      <t>フクヤマシ</t>
    </rPh>
    <phoneticPr fontId="2"/>
  </si>
  <si>
    <t>平成　27年　8月度</t>
    <rPh sb="0" eb="2">
      <t>ヘイセイ</t>
    </rPh>
    <rPh sb="5" eb="6">
      <t>ネン</t>
    </rPh>
    <rPh sb="8" eb="10">
      <t>ガツド</t>
    </rPh>
    <phoneticPr fontId="2"/>
  </si>
  <si>
    <t>休</t>
    <rPh sb="0" eb="1">
      <t>ヤス</t>
    </rPh>
    <phoneticPr fontId="2"/>
  </si>
  <si>
    <t>平成27年8月分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</si>
  <si>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8月</t>
    <rPh sb="1" eb="2">
      <t>ツキ</t>
    </rPh>
    <phoneticPr fontId="2"/>
  </si>
  <si>
    <t>8月集計表</t>
    <rPh sb="1" eb="2">
      <t>ガツ</t>
    </rPh>
    <rPh sb="2" eb="5">
      <t>シュウケイヒョウ</t>
    </rPh>
    <phoneticPr fontId="2"/>
  </si>
  <si>
    <t>国保9月15日入金予定額</t>
    <rPh sb="0" eb="2">
      <t>コクホ</t>
    </rPh>
    <rPh sb="3" eb="4">
      <t>ガツ</t>
    </rPh>
    <rPh sb="6" eb="7">
      <t>ニチ</t>
    </rPh>
    <rPh sb="7" eb="9">
      <t>ニュウキン</t>
    </rPh>
    <rPh sb="9" eb="11">
      <t>ヨテイ</t>
    </rPh>
    <rPh sb="11" eb="12">
      <t>ガク</t>
    </rPh>
    <phoneticPr fontId="2"/>
  </si>
  <si>
    <t>8月分家賃</t>
    <rPh sb="1" eb="2">
      <t>ガツ</t>
    </rPh>
    <rPh sb="2" eb="3">
      <t>ブン</t>
    </rPh>
    <rPh sb="3" eb="5">
      <t>ヤチン</t>
    </rPh>
    <phoneticPr fontId="2"/>
  </si>
  <si>
    <t>8月分技術指導料</t>
    <rPh sb="1" eb="2">
      <t>ガツ</t>
    </rPh>
    <rPh sb="2" eb="3">
      <t>ブン</t>
    </rPh>
    <rPh sb="3" eb="5">
      <t>ギジュツ</t>
    </rPh>
    <rPh sb="5" eb="8">
      <t>シドウリョウ</t>
    </rPh>
    <phoneticPr fontId="2"/>
  </si>
  <si>
    <t>訓練給付金(8月請求金額）</t>
    <rPh sb="0" eb="2">
      <t>クンレン</t>
    </rPh>
    <rPh sb="2" eb="5">
      <t>キュウフキン</t>
    </rPh>
    <rPh sb="7" eb="8">
      <t>ガツ</t>
    </rPh>
    <rPh sb="8" eb="10">
      <t>セイキュウ</t>
    </rPh>
    <rPh sb="10" eb="12">
      <t>キンガク</t>
    </rPh>
    <phoneticPr fontId="2"/>
  </si>
  <si>
    <t>パチンコ台解体費（8月分）</t>
    <rPh sb="4" eb="5">
      <t>ダイ</t>
    </rPh>
    <rPh sb="5" eb="7">
      <t>カイタイ</t>
    </rPh>
    <rPh sb="7" eb="8">
      <t>ヒ</t>
    </rPh>
    <rPh sb="10" eb="11">
      <t>ガツ</t>
    </rPh>
    <rPh sb="11" eb="12">
      <t>ブン</t>
    </rPh>
    <phoneticPr fontId="2"/>
  </si>
  <si>
    <t>8月分給料</t>
    <rPh sb="1" eb="2">
      <t>ガツ</t>
    </rPh>
    <rPh sb="2" eb="3">
      <t>ブン</t>
    </rPh>
    <rPh sb="3" eb="5">
      <t>キュウリョウ</t>
    </rPh>
    <phoneticPr fontId="2"/>
  </si>
  <si>
    <t>8月分工賃</t>
    <rPh sb="1" eb="2">
      <t>ガツ</t>
    </rPh>
    <rPh sb="2" eb="3">
      <t>ブン</t>
    </rPh>
    <rPh sb="3" eb="5">
      <t>コウチン</t>
    </rPh>
    <phoneticPr fontId="2"/>
  </si>
  <si>
    <t>こさこ電気</t>
    <rPh sb="3" eb="5">
      <t>デンキ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</si>
</sst>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 "/>
    <numFmt numFmtId="177" formatCode="0_);[Red]\(0\)"/>
    <numFmt numFmtId="178" formatCode="h:mm;@"/>
    <numFmt numFmtId="179" formatCode="#,##0_);[Red]\(#,##0\)"/>
  </numFmts>
  <fonts count="20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  <font>
      <sz val="9"/>
      <name val="HGP明朝E"/>
      <family val="1"/>
      <charset val="128"/>
    </font>
    <font>
      <b/>
      <sz val="12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1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0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0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9" fillId="0" borderId="16" xfId="0" applyFont="1" applyBorder="1">
      <alignment vertical="center"/>
    </xf>
    <xf numFmtId="0" fontId="0" fillId="0" borderId="18" xfId="0" applyBorder="1" applyAlignment="1">
      <alignment vertical="center"/>
    </xf>
    <xf numFmtId="176" fontId="9" fillId="0" borderId="16" xfId="0" applyNumberFormat="1" applyFont="1" applyBorder="1">
      <alignment vertical="center"/>
    </xf>
    <xf numFmtId="20" fontId="0" fillId="0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0" fillId="0" borderId="0" xfId="0" applyFont="1">
      <alignment vertical="center"/>
    </xf>
    <xf numFmtId="3" fontId="10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0" xfId="0" applyFont="1" applyBorder="1">
      <alignment vertical="center"/>
    </xf>
    <xf numFmtId="0" fontId="0" fillId="0" borderId="29" xfId="0" applyBorder="1">
      <alignment vertical="center"/>
    </xf>
    <xf numFmtId="20" fontId="0" fillId="0" borderId="16" xfId="0" applyNumberFormat="1" applyFont="1" applyFill="1" applyBorder="1">
      <alignment vertical="center"/>
    </xf>
    <xf numFmtId="20" fontId="0" fillId="0" borderId="0" xfId="0" applyNumberFormat="1">
      <alignment vertical="center"/>
    </xf>
    <xf numFmtId="0" fontId="12" fillId="0" borderId="0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14" fillId="0" borderId="0" xfId="0" applyFont="1">
      <alignment vertical="center"/>
    </xf>
    <xf numFmtId="0" fontId="14" fillId="0" borderId="16" xfId="0" applyFont="1" applyBorder="1">
      <alignment vertical="center"/>
    </xf>
    <xf numFmtId="3" fontId="14" fillId="0" borderId="16" xfId="0" applyNumberFormat="1" applyFont="1" applyBorder="1">
      <alignment vertical="center"/>
    </xf>
    <xf numFmtId="0" fontId="14" fillId="0" borderId="36" xfId="0" applyFont="1" applyBorder="1">
      <alignment vertical="center"/>
    </xf>
    <xf numFmtId="3" fontId="14" fillId="0" borderId="36" xfId="0" applyNumberFormat="1" applyFont="1" applyBorder="1">
      <alignment vertical="center"/>
    </xf>
    <xf numFmtId="0" fontId="14" fillId="0" borderId="38" xfId="0" applyFont="1" applyBorder="1">
      <alignment vertical="center"/>
    </xf>
    <xf numFmtId="3" fontId="14" fillId="0" borderId="38" xfId="0" applyNumberFormat="1" applyFont="1" applyBorder="1">
      <alignment vertical="center"/>
    </xf>
    <xf numFmtId="0" fontId="14" fillId="0" borderId="15" xfId="0" applyFont="1" applyBorder="1">
      <alignment vertical="center"/>
    </xf>
    <xf numFmtId="3" fontId="14" fillId="0" borderId="15" xfId="0" applyNumberFormat="1" applyFont="1" applyBorder="1">
      <alignment vertical="center"/>
    </xf>
    <xf numFmtId="45" fontId="14" fillId="0" borderId="36" xfId="0" applyNumberFormat="1" applyFont="1" applyBorder="1">
      <alignment vertical="center"/>
    </xf>
    <xf numFmtId="45" fontId="14" fillId="0" borderId="38" xfId="0" applyNumberFormat="1" applyFont="1" applyBorder="1">
      <alignment vertical="center"/>
    </xf>
    <xf numFmtId="0" fontId="16" fillId="0" borderId="16" xfId="0" applyFont="1" applyBorder="1">
      <alignment vertical="center"/>
    </xf>
    <xf numFmtId="0" fontId="17" fillId="0" borderId="37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shrinkToFit="1"/>
    </xf>
    <xf numFmtId="3" fontId="14" fillId="0" borderId="20" xfId="0" applyNumberFormat="1" applyFont="1" applyBorder="1">
      <alignment vertical="center"/>
    </xf>
    <xf numFmtId="3" fontId="14" fillId="0" borderId="31" xfId="0" applyNumberFormat="1" applyFont="1" applyBorder="1">
      <alignment vertical="center"/>
    </xf>
    <xf numFmtId="3" fontId="14" fillId="0" borderId="40" xfId="0" applyNumberFormat="1" applyFont="1" applyBorder="1">
      <alignment vertical="center"/>
    </xf>
    <xf numFmtId="3" fontId="14" fillId="0" borderId="33" xfId="0" applyNumberFormat="1" applyFont="1" applyBorder="1">
      <alignment vertical="center"/>
    </xf>
    <xf numFmtId="0" fontId="14" fillId="0" borderId="33" xfId="0" applyFont="1" applyBorder="1">
      <alignment vertical="center"/>
    </xf>
    <xf numFmtId="3" fontId="14" fillId="0" borderId="30" xfId="0" applyNumberFormat="1" applyFont="1" applyBorder="1">
      <alignment vertical="center"/>
    </xf>
    <xf numFmtId="3" fontId="14" fillId="0" borderId="32" xfId="0" applyNumberFormat="1" applyFont="1" applyBorder="1">
      <alignment vertical="center"/>
    </xf>
    <xf numFmtId="3" fontId="14" fillId="0" borderId="41" xfId="0" applyNumberFormat="1" applyFont="1" applyBorder="1">
      <alignment vertical="center"/>
    </xf>
    <xf numFmtId="3" fontId="14" fillId="0" borderId="42" xfId="0" applyNumberFormat="1" applyFont="1" applyBorder="1">
      <alignment vertical="center"/>
    </xf>
    <xf numFmtId="0" fontId="14" fillId="0" borderId="42" xfId="0" applyFont="1" applyBorder="1">
      <alignment vertical="center"/>
    </xf>
    <xf numFmtId="3" fontId="14" fillId="0" borderId="43" xfId="0" applyNumberFormat="1" applyFont="1" applyBorder="1">
      <alignment vertical="center"/>
    </xf>
    <xf numFmtId="3" fontId="14" fillId="0" borderId="44" xfId="0" applyNumberFormat="1" applyFont="1" applyBorder="1">
      <alignment vertical="center"/>
    </xf>
    <xf numFmtId="3" fontId="14" fillId="0" borderId="35" xfId="0" applyNumberFormat="1" applyFont="1" applyBorder="1">
      <alignment vertical="center"/>
    </xf>
    <xf numFmtId="3" fontId="14" fillId="0" borderId="45" xfId="0" applyNumberFormat="1" applyFont="1" applyBorder="1">
      <alignment vertical="center"/>
    </xf>
    <xf numFmtId="0" fontId="14" fillId="0" borderId="45" xfId="0" applyFont="1" applyBorder="1">
      <alignment vertical="center"/>
    </xf>
    <xf numFmtId="0" fontId="16" fillId="0" borderId="18" xfId="0" applyFont="1" applyBorder="1">
      <alignment vertical="center"/>
    </xf>
    <xf numFmtId="0" fontId="16" fillId="0" borderId="46" xfId="0" applyFont="1" applyBorder="1">
      <alignment vertical="center"/>
    </xf>
    <xf numFmtId="0" fontId="16" fillId="0" borderId="14" xfId="0" applyFont="1" applyBorder="1">
      <alignment vertical="center"/>
    </xf>
    <xf numFmtId="0" fontId="14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 shrinkToFit="1"/>
    </xf>
    <xf numFmtId="0" fontId="15" fillId="0" borderId="38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shrinkToFit="1"/>
    </xf>
    <xf numFmtId="0" fontId="0" fillId="0" borderId="46" xfId="0" applyBorder="1" applyAlignment="1">
      <alignment horizontal="center" vertical="center"/>
    </xf>
    <xf numFmtId="0" fontId="1" fillId="0" borderId="39" xfId="0" applyFont="1" applyBorder="1" applyAlignment="1">
      <alignment horizontal="justify" vertical="center"/>
    </xf>
    <xf numFmtId="0" fontId="0" fillId="2" borderId="36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8" fillId="0" borderId="36" xfId="0" applyFont="1" applyBorder="1">
      <alignment vertical="center"/>
    </xf>
    <xf numFmtId="0" fontId="0" fillId="0" borderId="47" xfId="0" applyBorder="1">
      <alignment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6" fillId="0" borderId="5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0" fontId="0" fillId="0" borderId="34" xfId="0" applyBorder="1">
      <alignment vertical="center"/>
    </xf>
    <xf numFmtId="0" fontId="0" fillId="0" borderId="56" xfId="0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0" fillId="0" borderId="16" xfId="0" applyNumberFormat="1" applyBorder="1">
      <alignment vertical="center"/>
    </xf>
    <xf numFmtId="178" fontId="0" fillId="0" borderId="16" xfId="0" applyNumberFormat="1" applyFont="1" applyFill="1" applyBorder="1" applyAlignment="1">
      <alignment horizontal="center" vertical="center" shrinkToFit="1"/>
    </xf>
    <xf numFmtId="46" fontId="14" fillId="0" borderId="16" xfId="0" applyNumberFormat="1" applyFont="1" applyBorder="1" applyAlignment="1">
      <alignment horizontal="right" vertical="center" shrinkToFit="1"/>
    </xf>
    <xf numFmtId="46" fontId="14" fillId="0" borderId="16" xfId="0" applyNumberFormat="1" applyFont="1" applyBorder="1" applyAlignment="1">
      <alignment vertical="center" shrinkToFit="1"/>
    </xf>
    <xf numFmtId="0" fontId="12" fillId="0" borderId="0" xfId="0" applyFont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178" fontId="0" fillId="0" borderId="0" xfId="0" applyNumberFormat="1">
      <alignment vertical="center"/>
    </xf>
    <xf numFmtId="46" fontId="14" fillId="0" borderId="15" xfId="0" applyNumberFormat="1" applyFont="1" applyBorder="1" applyAlignment="1">
      <alignment vertical="center" shrinkToFit="1"/>
    </xf>
    <xf numFmtId="178" fontId="14" fillId="0" borderId="15" xfId="0" applyNumberFormat="1" applyFont="1" applyBorder="1" applyAlignment="1">
      <alignment vertical="center" shrinkToFit="1"/>
    </xf>
    <xf numFmtId="3" fontId="14" fillId="0" borderId="15" xfId="0" applyNumberFormat="1" applyFont="1" applyBorder="1" applyAlignment="1">
      <alignment vertical="center" shrinkToFit="1"/>
    </xf>
    <xf numFmtId="0" fontId="0" fillId="0" borderId="16" xfId="0" applyFont="1" applyBorder="1" applyAlignment="1">
      <alignment horizontal="center" vertical="center"/>
    </xf>
    <xf numFmtId="20" fontId="0" fillId="0" borderId="16" xfId="0" applyNumberFormat="1" applyFont="1" applyFill="1" applyBorder="1" applyAlignment="1">
      <alignment horizontal="center" vertical="center" shrinkToFit="1"/>
    </xf>
    <xf numFmtId="0" fontId="0" fillId="3" borderId="16" xfId="0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20" fontId="0" fillId="2" borderId="16" xfId="0" applyNumberFormat="1" applyFont="1" applyFill="1" applyBorder="1" applyAlignment="1">
      <alignment horizontal="center" vertical="center"/>
    </xf>
    <xf numFmtId="3" fontId="18" fillId="0" borderId="16" xfId="0" applyNumberFormat="1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179" fontId="14" fillId="0" borderId="16" xfId="0" applyNumberFormat="1" applyFont="1" applyBorder="1">
      <alignment vertical="center"/>
    </xf>
    <xf numFmtId="3" fontId="0" fillId="0" borderId="0" xfId="0" applyNumberFormat="1">
      <alignment vertical="center"/>
    </xf>
    <xf numFmtId="14" fontId="0" fillId="0" borderId="16" xfId="0" applyNumberFormat="1" applyBorder="1">
      <alignment vertical="center"/>
    </xf>
    <xf numFmtId="3" fontId="0" fillId="0" borderId="16" xfId="0" applyNumberFormat="1" applyBorder="1">
      <alignment vertical="center"/>
    </xf>
    <xf numFmtId="3" fontId="0" fillId="0" borderId="11" xfId="0" applyNumberFormat="1" applyBorder="1">
      <alignment vertical="center"/>
    </xf>
    <xf numFmtId="14" fontId="0" fillId="0" borderId="15" xfId="0" applyNumberFormat="1" applyBorder="1">
      <alignment vertical="center"/>
    </xf>
    <xf numFmtId="3" fontId="0" fillId="0" borderId="15" xfId="0" applyNumberFormat="1" applyBorder="1">
      <alignment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3" fontId="0" fillId="0" borderId="64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23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7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2" xfId="0" applyNumberFormat="1" applyBorder="1">
      <alignment vertical="center"/>
    </xf>
    <xf numFmtId="0" fontId="0" fillId="0" borderId="13" xfId="0" applyBorder="1" applyAlignment="1">
      <alignment vertical="center" shrinkToFit="1"/>
    </xf>
    <xf numFmtId="20" fontId="0" fillId="0" borderId="0" xfId="0" applyNumberFormat="1" applyFill="1" applyBorder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3" fontId="0" fillId="4" borderId="65" xfId="0" applyNumberFormat="1" applyFill="1" applyBorder="1">
      <alignment vertical="center"/>
    </xf>
    <xf numFmtId="3" fontId="0" fillId="4" borderId="19" xfId="0" applyNumberFormat="1" applyFill="1" applyBorder="1">
      <alignment vertical="center"/>
    </xf>
    <xf numFmtId="0" fontId="0" fillId="0" borderId="63" xfId="0" applyBorder="1">
      <alignment vertical="center"/>
    </xf>
    <xf numFmtId="0" fontId="10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0" fillId="0" borderId="0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178" fontId="0" fillId="3" borderId="15" xfId="0" applyNumberFormat="1" applyFont="1" applyFill="1" applyBorder="1" applyAlignment="1">
      <alignment horizontal="center" vertical="center" shrinkToFit="1"/>
    </xf>
    <xf numFmtId="178" fontId="0" fillId="3" borderId="16" xfId="0" applyNumberFormat="1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0" fillId="0" borderId="2" xfId="0" applyNumberFormat="1" applyFill="1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3" fontId="10" fillId="0" borderId="12" xfId="0" applyNumberFormat="1" applyFont="1" applyBorder="1" applyAlignment="1">
      <alignment vertical="center"/>
    </xf>
    <xf numFmtId="3" fontId="10" fillId="0" borderId="11" xfId="0" applyNumberFormat="1" applyFont="1" applyBorder="1" applyAlignment="1">
      <alignment vertical="center"/>
    </xf>
    <xf numFmtId="3" fontId="10" fillId="0" borderId="13" xfId="0" applyNumberFormat="1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3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1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/>
    </xf>
    <xf numFmtId="46" fontId="10" fillId="0" borderId="11" xfId="0" applyNumberFormat="1" applyFont="1" applyBorder="1" applyAlignment="1">
      <alignment horizontal="center" vertical="center"/>
    </xf>
    <xf numFmtId="20" fontId="10" fillId="0" borderId="11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3" fontId="0" fillId="0" borderId="16" xfId="0" applyNumberFormat="1" applyBorder="1" applyAlignment="1">
      <alignment vertical="center"/>
    </xf>
    <xf numFmtId="3" fontId="0" fillId="0" borderId="20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3" fontId="0" fillId="0" borderId="11" xfId="0" applyNumberFormat="1" applyBorder="1" applyAlignment="1">
      <alignment vertical="center"/>
    </xf>
    <xf numFmtId="3" fontId="0" fillId="0" borderId="62" xfId="0" applyNumberFormat="1" applyBorder="1" applyAlignment="1">
      <alignment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0" fillId="0" borderId="33" xfId="0" applyNumberFormat="1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7" xfId="0" applyBorder="1" applyAlignment="1">
      <alignment horizontal="center" vertical="center" shrinkToFit="1"/>
    </xf>
    <xf numFmtId="0" fontId="0" fillId="0" borderId="58" xfId="0" applyBorder="1" applyAlignment="1">
      <alignment horizontal="center" vertical="center" shrinkToFit="1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6" xfId="0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FFFFC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="78" zoomScaleNormal="78" workbookViewId="0">
      <selection activeCell="C16" sqref="C16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5" ht="28.5">
      <c r="A1" s="167" t="s">
        <v>133</v>
      </c>
      <c r="B1" s="167"/>
      <c r="C1" s="167"/>
      <c r="Q1" s="168" t="s">
        <v>0</v>
      </c>
      <c r="R1" s="168"/>
      <c r="S1" s="168"/>
      <c r="T1" s="168"/>
      <c r="U1" s="168"/>
      <c r="V1" s="168"/>
      <c r="W1" s="168"/>
      <c r="X1" s="168"/>
      <c r="Y1" s="168"/>
    </row>
    <row r="2" spans="1:45" ht="7.5" customHeight="1" thickBot="1">
      <c r="A2" s="169"/>
      <c r="B2" s="169"/>
      <c r="C2" s="169"/>
    </row>
    <row r="3" spans="1:45" ht="27" customHeight="1">
      <c r="A3" s="1"/>
      <c r="B3" s="2" t="s">
        <v>1</v>
      </c>
      <c r="C3" s="155">
        <v>1</v>
      </c>
      <c r="D3" s="157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155">
        <v>8</v>
      </c>
      <c r="K3" s="157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155">
        <v>15</v>
      </c>
      <c r="R3" s="157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155">
        <v>22</v>
      </c>
      <c r="Y3" s="157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155">
        <v>29</v>
      </c>
      <c r="AF3" s="157">
        <v>30</v>
      </c>
      <c r="AG3" s="145">
        <v>31</v>
      </c>
      <c r="AH3" s="170" t="s">
        <v>2</v>
      </c>
      <c r="AI3" s="163" t="s">
        <v>19</v>
      </c>
      <c r="AJ3" s="163" t="s">
        <v>3</v>
      </c>
      <c r="AK3" s="163" t="s">
        <v>4</v>
      </c>
      <c r="AL3" s="163" t="s">
        <v>5</v>
      </c>
      <c r="AM3" s="165" t="s">
        <v>6</v>
      </c>
      <c r="AN3" s="165"/>
      <c r="AO3" s="166"/>
    </row>
    <row r="4" spans="1:45" ht="27" customHeight="1" thickBot="1">
      <c r="A4" s="4"/>
      <c r="B4" s="5" t="s">
        <v>7</v>
      </c>
      <c r="C4" s="156" t="s">
        <v>127</v>
      </c>
      <c r="D4" s="158" t="s">
        <v>8</v>
      </c>
      <c r="E4" s="6" t="s">
        <v>123</v>
      </c>
      <c r="F4" s="6" t="s">
        <v>124</v>
      </c>
      <c r="G4" s="6" t="s">
        <v>125</v>
      </c>
      <c r="H4" s="6" t="s">
        <v>126</v>
      </c>
      <c r="I4" s="6" t="s">
        <v>10</v>
      </c>
      <c r="J4" s="156" t="s">
        <v>127</v>
      </c>
      <c r="K4" s="158" t="s">
        <v>8</v>
      </c>
      <c r="L4" s="6" t="s">
        <v>123</v>
      </c>
      <c r="M4" s="6" t="s">
        <v>124</v>
      </c>
      <c r="N4" s="6" t="s">
        <v>125</v>
      </c>
      <c r="O4" s="6" t="s">
        <v>126</v>
      </c>
      <c r="P4" s="6" t="s">
        <v>10</v>
      </c>
      <c r="Q4" s="156" t="s">
        <v>127</v>
      </c>
      <c r="R4" s="158" t="s">
        <v>8</v>
      </c>
      <c r="S4" s="6" t="s">
        <v>123</v>
      </c>
      <c r="T4" s="6" t="s">
        <v>124</v>
      </c>
      <c r="U4" s="6" t="s">
        <v>125</v>
      </c>
      <c r="V4" s="6" t="s">
        <v>126</v>
      </c>
      <c r="W4" s="6" t="s">
        <v>10</v>
      </c>
      <c r="X4" s="156" t="s">
        <v>127</v>
      </c>
      <c r="Y4" s="158" t="s">
        <v>8</v>
      </c>
      <c r="Z4" s="6" t="s">
        <v>123</v>
      </c>
      <c r="AA4" s="6" t="s">
        <v>124</v>
      </c>
      <c r="AB4" s="6" t="s">
        <v>125</v>
      </c>
      <c r="AC4" s="6" t="s">
        <v>126</v>
      </c>
      <c r="AD4" s="6" t="s">
        <v>10</v>
      </c>
      <c r="AE4" s="156" t="s">
        <v>127</v>
      </c>
      <c r="AF4" s="158" t="s">
        <v>8</v>
      </c>
      <c r="AG4" s="6" t="s">
        <v>123</v>
      </c>
      <c r="AH4" s="171"/>
      <c r="AI4" s="164"/>
      <c r="AJ4" s="164"/>
      <c r="AK4" s="164"/>
      <c r="AL4" s="164"/>
      <c r="AM4" s="7" t="s">
        <v>11</v>
      </c>
      <c r="AN4" s="8" t="s">
        <v>12</v>
      </c>
      <c r="AO4" s="9" t="s">
        <v>13</v>
      </c>
    </row>
    <row r="5" spans="1:45" ht="30" customHeight="1">
      <c r="A5" s="99">
        <v>1</v>
      </c>
      <c r="B5" s="100" t="s">
        <v>75</v>
      </c>
      <c r="C5" s="161" t="s">
        <v>134</v>
      </c>
      <c r="D5" s="147" t="s">
        <v>134</v>
      </c>
      <c r="E5" s="11"/>
      <c r="F5" s="119"/>
      <c r="G5" s="11"/>
      <c r="H5" s="11"/>
      <c r="I5" s="11"/>
      <c r="J5" s="161" t="s">
        <v>134</v>
      </c>
      <c r="K5" s="147" t="s">
        <v>134</v>
      </c>
      <c r="L5" s="11"/>
      <c r="M5" s="119"/>
      <c r="N5" s="11"/>
      <c r="O5" s="11"/>
      <c r="P5" s="148" t="s">
        <v>134</v>
      </c>
      <c r="Q5" s="161" t="s">
        <v>134</v>
      </c>
      <c r="R5" s="147" t="s">
        <v>134</v>
      </c>
      <c r="S5" s="11"/>
      <c r="T5" s="11"/>
      <c r="U5" s="11"/>
      <c r="V5" s="11"/>
      <c r="W5" s="11"/>
      <c r="X5" s="161"/>
      <c r="Y5" s="147" t="s">
        <v>134</v>
      </c>
      <c r="Z5" s="11"/>
      <c r="AA5" s="119"/>
      <c r="AB5" s="11"/>
      <c r="AC5" s="11"/>
      <c r="AD5" s="11"/>
      <c r="AE5" s="161" t="s">
        <v>134</v>
      </c>
      <c r="AF5" s="147" t="s">
        <v>134</v>
      </c>
      <c r="AG5" s="11"/>
      <c r="AH5" s="12">
        <v>21</v>
      </c>
      <c r="AI5" s="13"/>
      <c r="AJ5" s="13"/>
      <c r="AK5" s="13"/>
      <c r="AL5" s="14"/>
      <c r="AM5" s="13"/>
      <c r="AN5" s="13"/>
      <c r="AO5" s="15"/>
      <c r="AQ5">
        <v>280000</v>
      </c>
      <c r="AR5">
        <v>10000</v>
      </c>
    </row>
    <row r="6" spans="1:45" ht="30" customHeight="1">
      <c r="A6" s="97">
        <v>2</v>
      </c>
      <c r="B6" s="60" t="s">
        <v>14</v>
      </c>
      <c r="C6" s="161" t="s">
        <v>134</v>
      </c>
      <c r="D6" s="147" t="s">
        <v>134</v>
      </c>
      <c r="E6" s="11"/>
      <c r="F6" s="11"/>
      <c r="G6" s="11"/>
      <c r="H6" s="11"/>
      <c r="I6" s="11"/>
      <c r="J6" s="161" t="s">
        <v>134</v>
      </c>
      <c r="K6" s="147" t="s">
        <v>134</v>
      </c>
      <c r="L6" s="11"/>
      <c r="M6" s="11"/>
      <c r="N6" s="11"/>
      <c r="O6" s="11"/>
      <c r="P6" s="148" t="s">
        <v>134</v>
      </c>
      <c r="Q6" s="161" t="s">
        <v>134</v>
      </c>
      <c r="R6" s="147" t="s">
        <v>134</v>
      </c>
      <c r="S6" s="11"/>
      <c r="T6" s="119"/>
      <c r="U6" s="11"/>
      <c r="V6" s="11"/>
      <c r="W6" s="11"/>
      <c r="X6" s="120"/>
      <c r="Y6" s="147" t="s">
        <v>134</v>
      </c>
      <c r="Z6" s="11"/>
      <c r="AA6" s="11"/>
      <c r="AB6" s="11"/>
      <c r="AC6" s="11"/>
      <c r="AD6" s="11"/>
      <c r="AE6" s="161" t="s">
        <v>134</v>
      </c>
      <c r="AF6" s="147" t="s">
        <v>134</v>
      </c>
      <c r="AG6" s="11"/>
      <c r="AH6" s="12">
        <v>21</v>
      </c>
      <c r="AI6" s="17"/>
      <c r="AJ6" s="17"/>
      <c r="AK6" s="17"/>
      <c r="AL6" s="18"/>
      <c r="AM6" s="17"/>
      <c r="AN6" s="17"/>
      <c r="AO6" s="19"/>
      <c r="AQ6">
        <v>200000</v>
      </c>
    </row>
    <row r="7" spans="1:45" ht="30" customHeight="1">
      <c r="A7" s="16">
        <v>3</v>
      </c>
      <c r="B7" s="10"/>
      <c r="C7" s="146"/>
      <c r="D7" s="123"/>
      <c r="E7" s="11"/>
      <c r="F7" s="11"/>
      <c r="G7" s="122"/>
      <c r="H7" s="11"/>
      <c r="I7" s="11"/>
      <c r="J7" s="146"/>
      <c r="K7" s="123"/>
      <c r="L7" s="11"/>
      <c r="M7" s="11"/>
      <c r="N7" s="122"/>
      <c r="O7" s="11"/>
      <c r="P7" s="11"/>
      <c r="Q7" s="146"/>
      <c r="R7" s="123"/>
      <c r="S7" s="11"/>
      <c r="T7" s="11"/>
      <c r="U7" s="122"/>
      <c r="V7" s="11"/>
      <c r="W7" s="11"/>
      <c r="X7" s="146"/>
      <c r="Y7" s="123"/>
      <c r="Z7" s="11"/>
      <c r="AA7" s="11"/>
      <c r="AB7" s="122"/>
      <c r="AC7" s="11"/>
      <c r="AD7" s="11"/>
      <c r="AE7" s="146"/>
      <c r="AF7" s="123"/>
      <c r="AG7" s="11"/>
      <c r="AH7" s="12"/>
      <c r="AI7" s="17"/>
      <c r="AJ7" s="17"/>
      <c r="AK7" s="17"/>
      <c r="AL7" s="18"/>
      <c r="AM7" s="17"/>
      <c r="AN7" s="17"/>
      <c r="AO7" s="19"/>
    </row>
    <row r="8" spans="1:45" ht="30" customHeight="1">
      <c r="A8" s="97">
        <v>4</v>
      </c>
      <c r="B8" s="60" t="s">
        <v>15</v>
      </c>
      <c r="C8" s="159"/>
      <c r="D8" s="147" t="s">
        <v>134</v>
      </c>
      <c r="E8" s="109"/>
      <c r="F8" s="119"/>
      <c r="G8" s="11"/>
      <c r="H8" s="109"/>
      <c r="I8" s="11"/>
      <c r="J8" s="159"/>
      <c r="K8" s="147" t="s">
        <v>134</v>
      </c>
      <c r="L8" s="109"/>
      <c r="M8" s="119"/>
      <c r="N8" s="11"/>
      <c r="O8" s="11"/>
      <c r="P8" s="148"/>
      <c r="Q8" s="161" t="s">
        <v>134</v>
      </c>
      <c r="R8" s="147" t="s">
        <v>134</v>
      </c>
      <c r="S8" s="109"/>
      <c r="T8" s="109"/>
      <c r="U8" s="11"/>
      <c r="V8" s="11"/>
      <c r="W8" s="11"/>
      <c r="X8" s="159"/>
      <c r="Y8" s="147" t="s">
        <v>134</v>
      </c>
      <c r="Z8" s="119"/>
      <c r="AA8" s="119"/>
      <c r="AB8" s="11"/>
      <c r="AC8" s="11"/>
      <c r="AD8" s="11"/>
      <c r="AE8" s="161"/>
      <c r="AF8" s="147" t="s">
        <v>134</v>
      </c>
      <c r="AG8" s="119"/>
      <c r="AH8" s="20">
        <v>25</v>
      </c>
      <c r="AI8" s="25">
        <f>時給計算書!F35</f>
        <v>7.1229166666666668</v>
      </c>
      <c r="AJ8" s="17"/>
      <c r="AK8" s="17"/>
      <c r="AL8" s="18"/>
      <c r="AM8" s="17"/>
      <c r="AN8" s="17"/>
      <c r="AO8" s="19"/>
      <c r="AQ8">
        <v>6000</v>
      </c>
      <c r="AS8">
        <v>858</v>
      </c>
    </row>
    <row r="9" spans="1:45" ht="30" customHeight="1">
      <c r="A9" s="97">
        <v>5</v>
      </c>
      <c r="B9" s="60" t="s">
        <v>33</v>
      </c>
      <c r="C9" s="161" t="s">
        <v>134</v>
      </c>
      <c r="D9" s="147" t="s">
        <v>134</v>
      </c>
      <c r="E9" s="24"/>
      <c r="F9" s="24"/>
      <c r="G9" s="11"/>
      <c r="H9" s="11"/>
      <c r="I9" s="11"/>
      <c r="J9" s="161" t="s">
        <v>134</v>
      </c>
      <c r="K9" s="147" t="s">
        <v>134</v>
      </c>
      <c r="L9" s="24"/>
      <c r="M9" s="24"/>
      <c r="N9" s="11"/>
      <c r="O9" s="11"/>
      <c r="P9" s="148" t="s">
        <v>134</v>
      </c>
      <c r="Q9" s="161" t="s">
        <v>134</v>
      </c>
      <c r="R9" s="147" t="s">
        <v>134</v>
      </c>
      <c r="S9" s="24"/>
      <c r="T9" s="24"/>
      <c r="U9" s="11"/>
      <c r="V9" s="11"/>
      <c r="W9" s="11"/>
      <c r="X9" s="160"/>
      <c r="Y9" s="147" t="s">
        <v>134</v>
      </c>
      <c r="Z9" s="24"/>
      <c r="AA9" s="24"/>
      <c r="AB9" s="11"/>
      <c r="AC9" s="11"/>
      <c r="AD9" s="11"/>
      <c r="AE9" s="161" t="s">
        <v>134</v>
      </c>
      <c r="AF9" s="147" t="s">
        <v>134</v>
      </c>
      <c r="AG9" s="24"/>
      <c r="AH9" s="20">
        <v>21</v>
      </c>
      <c r="AI9" s="25">
        <f>時給計算書!F71</f>
        <v>6.1923611111111114</v>
      </c>
      <c r="AJ9" s="17"/>
      <c r="AK9" s="17"/>
      <c r="AL9" s="18"/>
      <c r="AM9" s="17"/>
      <c r="AN9" s="17"/>
      <c r="AO9" s="19"/>
      <c r="AQ9">
        <v>800</v>
      </c>
      <c r="AR9">
        <v>5000</v>
      </c>
    </row>
    <row r="10" spans="1:45" ht="30" customHeight="1">
      <c r="A10" s="97">
        <v>6</v>
      </c>
      <c r="B10" s="60"/>
      <c r="C10" s="121"/>
      <c r="D10" s="124"/>
      <c r="E10" s="24"/>
      <c r="F10" s="11"/>
      <c r="G10" s="122"/>
      <c r="H10" s="24"/>
      <c r="I10" s="45"/>
      <c r="J10" s="121"/>
      <c r="K10" s="124"/>
      <c r="L10" s="24"/>
      <c r="M10" s="11"/>
      <c r="N10" s="122"/>
      <c r="O10" s="24"/>
      <c r="P10" s="24"/>
      <c r="Q10" s="121"/>
      <c r="R10" s="124"/>
      <c r="S10" s="24"/>
      <c r="T10" s="11"/>
      <c r="U10" s="122"/>
      <c r="V10" s="45"/>
      <c r="W10" s="24"/>
      <c r="X10" s="160"/>
      <c r="Y10" s="124"/>
      <c r="Z10" s="24"/>
      <c r="AA10" s="11"/>
      <c r="AB10" s="122"/>
      <c r="AC10" s="24"/>
      <c r="AD10" s="24"/>
      <c r="AE10" s="121"/>
      <c r="AF10" s="124"/>
      <c r="AG10" s="24"/>
      <c r="AH10" s="20"/>
      <c r="AI10" s="25"/>
      <c r="AJ10" s="17"/>
      <c r="AK10" s="17"/>
      <c r="AL10" s="18"/>
      <c r="AM10" s="17"/>
      <c r="AN10" s="17"/>
      <c r="AO10" s="19"/>
      <c r="AQ10">
        <v>800</v>
      </c>
    </row>
    <row r="11" spans="1:45" ht="30" customHeight="1">
      <c r="A11" s="16">
        <v>7</v>
      </c>
      <c r="B11" s="10"/>
      <c r="C11" s="146"/>
      <c r="D11" s="124"/>
      <c r="E11" s="24"/>
      <c r="F11" s="11"/>
      <c r="G11" s="122"/>
      <c r="H11" s="24"/>
      <c r="I11" s="11"/>
      <c r="J11" s="146"/>
      <c r="K11" s="124"/>
      <c r="L11" s="24"/>
      <c r="M11" s="11"/>
      <c r="N11" s="122"/>
      <c r="O11" s="24"/>
      <c r="P11" s="24"/>
      <c r="Q11" s="146"/>
      <c r="R11" s="124"/>
      <c r="S11" s="24"/>
      <c r="T11" s="11"/>
      <c r="U11" s="122"/>
      <c r="V11" s="45"/>
      <c r="W11" s="11"/>
      <c r="X11" s="146"/>
      <c r="Y11" s="124"/>
      <c r="Z11" s="24"/>
      <c r="AA11" s="11"/>
      <c r="AB11" s="122"/>
      <c r="AC11" s="24"/>
      <c r="AD11" s="11"/>
      <c r="AE11" s="146"/>
      <c r="AF11" s="124"/>
      <c r="AG11" s="24"/>
      <c r="AH11" s="20"/>
      <c r="AI11" s="25"/>
      <c r="AJ11" s="17"/>
      <c r="AK11" s="17"/>
      <c r="AL11" s="18"/>
      <c r="AM11" s="17"/>
      <c r="AN11" s="17"/>
      <c r="AO11" s="19"/>
    </row>
    <row r="12" spans="1:45" ht="30" customHeight="1">
      <c r="A12" s="97">
        <v>8</v>
      </c>
      <c r="B12" s="60" t="s">
        <v>50</v>
      </c>
      <c r="C12" s="161" t="s">
        <v>134</v>
      </c>
      <c r="D12" s="147" t="s">
        <v>134</v>
      </c>
      <c r="E12" s="11"/>
      <c r="F12" s="119"/>
      <c r="G12" s="11"/>
      <c r="H12" s="11"/>
      <c r="I12" s="11"/>
      <c r="J12" s="161" t="s">
        <v>134</v>
      </c>
      <c r="K12" s="147" t="s">
        <v>134</v>
      </c>
      <c r="L12" s="11"/>
      <c r="M12" s="119"/>
      <c r="N12" s="11"/>
      <c r="O12" s="148" t="s">
        <v>134</v>
      </c>
      <c r="P12" s="148" t="s">
        <v>134</v>
      </c>
      <c r="Q12" s="161" t="s">
        <v>134</v>
      </c>
      <c r="R12" s="147" t="s">
        <v>134</v>
      </c>
      <c r="S12" s="11"/>
      <c r="T12" s="119"/>
      <c r="U12" s="11"/>
      <c r="V12" s="11"/>
      <c r="W12" s="11"/>
      <c r="X12" s="161" t="s">
        <v>134</v>
      </c>
      <c r="Y12" s="147" t="s">
        <v>134</v>
      </c>
      <c r="Z12" s="11"/>
      <c r="AA12" s="122"/>
      <c r="AB12" s="11"/>
      <c r="AC12" s="11"/>
      <c r="AD12" s="11"/>
      <c r="AE12" s="161" t="s">
        <v>134</v>
      </c>
      <c r="AF12" s="147" t="s">
        <v>134</v>
      </c>
      <c r="AG12" s="11"/>
      <c r="AH12" s="20">
        <v>19</v>
      </c>
      <c r="AI12" s="17"/>
      <c r="AJ12" s="17"/>
      <c r="AK12" s="17"/>
      <c r="AL12" s="18"/>
      <c r="AM12" s="17"/>
      <c r="AN12" s="17"/>
      <c r="AO12" s="19"/>
      <c r="AQ12">
        <v>1000</v>
      </c>
    </row>
    <row r="13" spans="1:45" ht="30" customHeight="1">
      <c r="A13" s="97">
        <v>9</v>
      </c>
      <c r="B13" s="60" t="s">
        <v>51</v>
      </c>
      <c r="C13" s="161" t="s">
        <v>134</v>
      </c>
      <c r="D13" s="147" t="s">
        <v>134</v>
      </c>
      <c r="E13" s="11"/>
      <c r="F13" s="119"/>
      <c r="G13" s="11"/>
      <c r="H13" s="148" t="s">
        <v>134</v>
      </c>
      <c r="I13" s="11"/>
      <c r="J13" s="161" t="s">
        <v>134</v>
      </c>
      <c r="K13" s="147" t="s">
        <v>134</v>
      </c>
      <c r="L13" s="11"/>
      <c r="M13" s="119"/>
      <c r="N13" s="11"/>
      <c r="O13" s="11"/>
      <c r="P13" s="148" t="s">
        <v>134</v>
      </c>
      <c r="Q13" s="161" t="s">
        <v>134</v>
      </c>
      <c r="R13" s="147" t="s">
        <v>134</v>
      </c>
      <c r="S13" s="11"/>
      <c r="T13" s="119"/>
      <c r="U13" s="11"/>
      <c r="V13" s="11"/>
      <c r="W13" s="11"/>
      <c r="X13" s="161" t="s">
        <v>134</v>
      </c>
      <c r="Y13" s="147" t="s">
        <v>134</v>
      </c>
      <c r="Z13" s="11"/>
      <c r="AA13" s="119"/>
      <c r="AB13" s="11"/>
      <c r="AC13" s="11"/>
      <c r="AD13" s="11"/>
      <c r="AE13" s="161" t="s">
        <v>134</v>
      </c>
      <c r="AF13" s="147" t="s">
        <v>134</v>
      </c>
      <c r="AG13" s="11"/>
      <c r="AH13" s="20">
        <v>19</v>
      </c>
      <c r="AI13" s="17"/>
      <c r="AJ13" s="17"/>
      <c r="AK13" s="17"/>
      <c r="AL13" s="18"/>
      <c r="AM13" s="17"/>
      <c r="AN13" s="17"/>
      <c r="AO13" s="19"/>
      <c r="AQ13">
        <v>1000</v>
      </c>
    </row>
    <row r="14" spans="1:45" ht="30" customHeight="1">
      <c r="A14" s="97">
        <v>10</v>
      </c>
      <c r="B14" s="60" t="s">
        <v>52</v>
      </c>
      <c r="C14" s="161" t="s">
        <v>134</v>
      </c>
      <c r="D14" s="147" t="s">
        <v>134</v>
      </c>
      <c r="E14" s="11"/>
      <c r="F14" s="119"/>
      <c r="G14" s="11"/>
      <c r="H14" s="11"/>
      <c r="I14" s="11"/>
      <c r="J14" s="161" t="s">
        <v>134</v>
      </c>
      <c r="K14" s="147" t="s">
        <v>134</v>
      </c>
      <c r="L14" s="11"/>
      <c r="M14" s="119"/>
      <c r="N14" s="11"/>
      <c r="O14" s="11"/>
      <c r="P14" s="148" t="s">
        <v>134</v>
      </c>
      <c r="Q14" s="161" t="s">
        <v>134</v>
      </c>
      <c r="R14" s="147" t="s">
        <v>134</v>
      </c>
      <c r="S14" s="11"/>
      <c r="T14" s="119"/>
      <c r="U14" s="11"/>
      <c r="V14" s="11"/>
      <c r="W14" s="11"/>
      <c r="X14" s="120"/>
      <c r="Y14" s="147" t="s">
        <v>134</v>
      </c>
      <c r="Z14" s="11"/>
      <c r="AA14" s="11"/>
      <c r="AB14" s="148" t="s">
        <v>134</v>
      </c>
      <c r="AC14" s="11"/>
      <c r="AD14" s="11"/>
      <c r="AE14" s="161" t="s">
        <v>134</v>
      </c>
      <c r="AF14" s="147" t="s">
        <v>134</v>
      </c>
      <c r="AG14" s="11"/>
      <c r="AH14" s="20">
        <v>20</v>
      </c>
      <c r="AI14" s="17"/>
      <c r="AJ14" s="17"/>
      <c r="AK14" s="17"/>
      <c r="AL14" s="18"/>
      <c r="AM14" s="17"/>
      <c r="AN14" s="17"/>
      <c r="AO14" s="19"/>
      <c r="AQ14">
        <v>1500</v>
      </c>
    </row>
    <row r="15" spans="1:45" ht="30" customHeight="1">
      <c r="A15" s="97">
        <v>11</v>
      </c>
      <c r="B15" s="60" t="s">
        <v>53</v>
      </c>
      <c r="C15" s="161"/>
      <c r="D15" s="147" t="s">
        <v>134</v>
      </c>
      <c r="E15" s="11"/>
      <c r="F15" s="119"/>
      <c r="G15" s="11"/>
      <c r="H15" s="11"/>
      <c r="I15" s="11"/>
      <c r="J15" s="161" t="s">
        <v>134</v>
      </c>
      <c r="K15" s="147" t="s">
        <v>134</v>
      </c>
      <c r="L15" s="11"/>
      <c r="M15" s="119"/>
      <c r="N15" s="11"/>
      <c r="O15" s="11"/>
      <c r="P15" s="148" t="s">
        <v>134</v>
      </c>
      <c r="Q15" s="161" t="s">
        <v>134</v>
      </c>
      <c r="R15" s="147" t="s">
        <v>134</v>
      </c>
      <c r="S15" s="11"/>
      <c r="T15" s="11"/>
      <c r="U15" s="11"/>
      <c r="V15" s="148" t="s">
        <v>134</v>
      </c>
      <c r="W15" s="148" t="s">
        <v>134</v>
      </c>
      <c r="X15" s="146"/>
      <c r="Y15" s="147" t="s">
        <v>134</v>
      </c>
      <c r="Z15" s="11"/>
      <c r="AA15" s="11"/>
      <c r="AB15" s="11"/>
      <c r="AC15" s="11"/>
      <c r="AD15" s="11"/>
      <c r="AE15" s="161" t="s">
        <v>134</v>
      </c>
      <c r="AF15" s="147" t="s">
        <v>134</v>
      </c>
      <c r="AG15" s="11"/>
      <c r="AH15" s="20">
        <v>19</v>
      </c>
      <c r="AI15" s="17"/>
      <c r="AJ15" s="17"/>
      <c r="AK15" s="17"/>
      <c r="AL15" s="18"/>
      <c r="AM15" s="17"/>
      <c r="AN15" s="17"/>
      <c r="AO15" s="19"/>
      <c r="AQ15">
        <v>1500</v>
      </c>
    </row>
    <row r="16" spans="1:45" ht="30" customHeight="1">
      <c r="A16" s="97">
        <v>12</v>
      </c>
      <c r="B16" s="60" t="s">
        <v>54</v>
      </c>
      <c r="C16" s="161"/>
      <c r="D16" s="147" t="s">
        <v>134</v>
      </c>
      <c r="E16" s="11"/>
      <c r="F16" s="119"/>
      <c r="G16" s="11"/>
      <c r="H16" s="11"/>
      <c r="I16" s="11"/>
      <c r="J16" s="161" t="s">
        <v>134</v>
      </c>
      <c r="K16" s="147" t="s">
        <v>134</v>
      </c>
      <c r="L16" s="11"/>
      <c r="M16" s="119"/>
      <c r="N16" s="11"/>
      <c r="O16" s="11"/>
      <c r="P16" s="148" t="s">
        <v>134</v>
      </c>
      <c r="Q16" s="161" t="s">
        <v>134</v>
      </c>
      <c r="R16" s="147" t="s">
        <v>134</v>
      </c>
      <c r="S16" s="11"/>
      <c r="T16" s="11"/>
      <c r="U16" s="11"/>
      <c r="V16" s="11"/>
      <c r="W16" s="11"/>
      <c r="X16" s="146"/>
      <c r="Y16" s="147" t="s">
        <v>134</v>
      </c>
      <c r="Z16" s="11"/>
      <c r="AA16" s="11"/>
      <c r="AB16" s="11"/>
      <c r="AC16" s="11"/>
      <c r="AD16" s="11"/>
      <c r="AE16" s="161"/>
      <c r="AF16" s="147" t="s">
        <v>134</v>
      </c>
      <c r="AG16" s="11"/>
      <c r="AH16" s="20">
        <v>22</v>
      </c>
      <c r="AI16" s="17"/>
      <c r="AJ16" s="17"/>
      <c r="AK16" s="17"/>
      <c r="AL16" s="18"/>
      <c r="AM16" s="17"/>
      <c r="AN16" s="17"/>
      <c r="AO16" s="19"/>
      <c r="AQ16">
        <v>1500</v>
      </c>
    </row>
    <row r="17" spans="1:44" ht="30" customHeight="1">
      <c r="A17" s="97">
        <v>13</v>
      </c>
      <c r="B17" s="60" t="s">
        <v>55</v>
      </c>
      <c r="C17" s="161" t="s">
        <v>134</v>
      </c>
      <c r="D17" s="147" t="s">
        <v>134</v>
      </c>
      <c r="E17" s="148" t="s">
        <v>134</v>
      </c>
      <c r="F17" s="148" t="s">
        <v>134</v>
      </c>
      <c r="G17" s="148" t="s">
        <v>134</v>
      </c>
      <c r="H17" s="148" t="s">
        <v>134</v>
      </c>
      <c r="I17" s="148" t="s">
        <v>134</v>
      </c>
      <c r="J17" s="161" t="s">
        <v>134</v>
      </c>
      <c r="K17" s="147" t="s">
        <v>134</v>
      </c>
      <c r="L17" s="148" t="s">
        <v>134</v>
      </c>
      <c r="M17" s="148" t="s">
        <v>134</v>
      </c>
      <c r="N17" s="148" t="s">
        <v>134</v>
      </c>
      <c r="O17" s="148" t="s">
        <v>134</v>
      </c>
      <c r="P17" s="148" t="s">
        <v>134</v>
      </c>
      <c r="Q17" s="161" t="s">
        <v>134</v>
      </c>
      <c r="R17" s="147" t="s">
        <v>134</v>
      </c>
      <c r="S17" s="148" t="s">
        <v>134</v>
      </c>
      <c r="T17" s="148" t="s">
        <v>134</v>
      </c>
      <c r="U17" s="148" t="s">
        <v>134</v>
      </c>
      <c r="V17" s="148" t="s">
        <v>134</v>
      </c>
      <c r="W17" s="148" t="s">
        <v>134</v>
      </c>
      <c r="X17" s="161" t="s">
        <v>134</v>
      </c>
      <c r="Y17" s="147" t="s">
        <v>134</v>
      </c>
      <c r="Z17" s="148" t="s">
        <v>134</v>
      </c>
      <c r="AA17" s="148" t="s">
        <v>134</v>
      </c>
      <c r="AB17" s="148" t="s">
        <v>134</v>
      </c>
      <c r="AC17" s="148" t="s">
        <v>134</v>
      </c>
      <c r="AD17" s="148" t="s">
        <v>134</v>
      </c>
      <c r="AE17" s="161" t="s">
        <v>134</v>
      </c>
      <c r="AF17" s="147" t="s">
        <v>134</v>
      </c>
      <c r="AG17" s="148" t="s">
        <v>134</v>
      </c>
      <c r="AH17" s="20">
        <v>0</v>
      </c>
      <c r="AI17" s="17"/>
      <c r="AJ17" s="17"/>
      <c r="AK17" s="17"/>
      <c r="AL17" s="18"/>
      <c r="AM17" s="17"/>
      <c r="AN17" s="17"/>
      <c r="AO17" s="19"/>
      <c r="AQ17">
        <v>1000</v>
      </c>
    </row>
    <row r="18" spans="1:44" ht="30" customHeight="1">
      <c r="A18" s="97">
        <v>14</v>
      </c>
      <c r="B18" s="60" t="s">
        <v>56</v>
      </c>
      <c r="C18" s="161" t="s">
        <v>134</v>
      </c>
      <c r="D18" s="147" t="s">
        <v>134</v>
      </c>
      <c r="E18" s="11"/>
      <c r="F18" s="119"/>
      <c r="G18" s="11"/>
      <c r="H18" s="11"/>
      <c r="I18" s="11"/>
      <c r="J18" s="161" t="s">
        <v>134</v>
      </c>
      <c r="K18" s="147" t="s">
        <v>134</v>
      </c>
      <c r="L18" s="11"/>
      <c r="M18" s="119"/>
      <c r="N18" s="11"/>
      <c r="O18" s="11"/>
      <c r="P18" s="148" t="s">
        <v>134</v>
      </c>
      <c r="Q18" s="161" t="s">
        <v>134</v>
      </c>
      <c r="R18" s="147" t="s">
        <v>134</v>
      </c>
      <c r="S18" s="11"/>
      <c r="T18" s="119"/>
      <c r="U18" s="11"/>
      <c r="V18" s="11"/>
      <c r="W18" s="11"/>
      <c r="X18" s="146"/>
      <c r="Y18" s="147" t="s">
        <v>134</v>
      </c>
      <c r="Z18" s="11"/>
      <c r="AA18" s="11"/>
      <c r="AB18" s="11"/>
      <c r="AC18" s="11"/>
      <c r="AD18" s="11"/>
      <c r="AE18" s="161" t="s">
        <v>134</v>
      </c>
      <c r="AF18" s="147" t="s">
        <v>134</v>
      </c>
      <c r="AG18" s="11"/>
      <c r="AH18" s="20">
        <v>21</v>
      </c>
      <c r="AI18" s="17"/>
      <c r="AJ18" s="17"/>
      <c r="AK18" s="17"/>
      <c r="AL18" s="18"/>
      <c r="AM18" s="17"/>
      <c r="AN18" s="17"/>
      <c r="AO18" s="19"/>
      <c r="AQ18">
        <v>1500</v>
      </c>
      <c r="AR18">
        <v>5000</v>
      </c>
    </row>
    <row r="19" spans="1:44" ht="30" customHeight="1">
      <c r="A19" s="97">
        <v>15</v>
      </c>
      <c r="B19" s="60" t="s">
        <v>57</v>
      </c>
      <c r="C19" s="161" t="s">
        <v>134</v>
      </c>
      <c r="D19" s="147" t="s">
        <v>134</v>
      </c>
      <c r="E19" s="11"/>
      <c r="F19" s="148" t="s">
        <v>134</v>
      </c>
      <c r="G19" s="11"/>
      <c r="H19" s="148" t="s">
        <v>134</v>
      </c>
      <c r="I19" s="11"/>
      <c r="J19" s="161" t="s">
        <v>134</v>
      </c>
      <c r="K19" s="147" t="s">
        <v>134</v>
      </c>
      <c r="L19" s="11"/>
      <c r="M19" s="148" t="s">
        <v>134</v>
      </c>
      <c r="N19" s="11"/>
      <c r="O19" s="11"/>
      <c r="P19" s="148" t="s">
        <v>134</v>
      </c>
      <c r="Q19" s="161" t="s">
        <v>134</v>
      </c>
      <c r="R19" s="147" t="s">
        <v>134</v>
      </c>
      <c r="S19" s="11"/>
      <c r="T19" s="148" t="s">
        <v>134</v>
      </c>
      <c r="U19" s="11"/>
      <c r="V19" s="148" t="s">
        <v>134</v>
      </c>
      <c r="W19" s="11"/>
      <c r="X19" s="161" t="s">
        <v>134</v>
      </c>
      <c r="Y19" s="147" t="s">
        <v>134</v>
      </c>
      <c r="Z19" s="148"/>
      <c r="AA19" s="148" t="s">
        <v>134</v>
      </c>
      <c r="AB19" s="11"/>
      <c r="AC19" s="148" t="s">
        <v>134</v>
      </c>
      <c r="AD19" s="11"/>
      <c r="AE19" s="161" t="s">
        <v>134</v>
      </c>
      <c r="AF19" s="147" t="s">
        <v>134</v>
      </c>
      <c r="AG19" s="11"/>
      <c r="AH19" s="20">
        <v>13</v>
      </c>
      <c r="AI19" s="17"/>
      <c r="AJ19" s="17"/>
      <c r="AK19" s="17"/>
      <c r="AL19" s="18"/>
      <c r="AM19" s="17"/>
      <c r="AN19" s="17"/>
      <c r="AO19" s="19"/>
      <c r="AQ19">
        <v>1000</v>
      </c>
    </row>
    <row r="20" spans="1:44" ht="30" customHeight="1">
      <c r="A20" s="97">
        <v>16</v>
      </c>
      <c r="B20" s="60" t="s">
        <v>58</v>
      </c>
      <c r="C20" s="161" t="s">
        <v>134</v>
      </c>
      <c r="D20" s="147" t="s">
        <v>134</v>
      </c>
      <c r="E20" s="11"/>
      <c r="F20" s="11"/>
      <c r="G20" s="11"/>
      <c r="H20" s="11"/>
      <c r="I20" s="11"/>
      <c r="J20" s="161" t="s">
        <v>134</v>
      </c>
      <c r="K20" s="147" t="s">
        <v>134</v>
      </c>
      <c r="L20" s="11"/>
      <c r="M20" s="11"/>
      <c r="N20" s="122"/>
      <c r="O20" s="11"/>
      <c r="P20" s="148" t="s">
        <v>134</v>
      </c>
      <c r="Q20" s="161" t="s">
        <v>134</v>
      </c>
      <c r="R20" s="147" t="s">
        <v>134</v>
      </c>
      <c r="S20" s="11"/>
      <c r="T20" s="119"/>
      <c r="U20" s="11"/>
      <c r="V20" s="11"/>
      <c r="W20" s="11"/>
      <c r="X20" s="120"/>
      <c r="Y20" s="147" t="s">
        <v>134</v>
      </c>
      <c r="Z20" s="11"/>
      <c r="AA20" s="148" t="s">
        <v>134</v>
      </c>
      <c r="AB20" s="11"/>
      <c r="AC20" s="11"/>
      <c r="AD20" s="11"/>
      <c r="AE20" s="161" t="s">
        <v>134</v>
      </c>
      <c r="AF20" s="147" t="s">
        <v>134</v>
      </c>
      <c r="AG20" s="148" t="s">
        <v>134</v>
      </c>
      <c r="AH20" s="20">
        <v>19</v>
      </c>
      <c r="AI20" s="17"/>
      <c r="AJ20" s="17"/>
      <c r="AK20" s="17"/>
      <c r="AL20" s="18"/>
      <c r="AM20" s="17"/>
      <c r="AN20" s="17"/>
      <c r="AO20" s="19"/>
      <c r="AQ20">
        <v>1000</v>
      </c>
    </row>
    <row r="21" spans="1:44" ht="30" customHeight="1">
      <c r="A21" s="97">
        <v>17</v>
      </c>
      <c r="B21" s="60" t="s">
        <v>59</v>
      </c>
      <c r="C21" s="161" t="s">
        <v>134</v>
      </c>
      <c r="D21" s="147" t="s">
        <v>134</v>
      </c>
      <c r="E21" s="11"/>
      <c r="F21" s="148" t="s">
        <v>134</v>
      </c>
      <c r="G21" s="148" t="s">
        <v>134</v>
      </c>
      <c r="H21" s="11"/>
      <c r="I21" s="11"/>
      <c r="J21" s="161" t="s">
        <v>134</v>
      </c>
      <c r="K21" s="147" t="s">
        <v>134</v>
      </c>
      <c r="L21" s="11"/>
      <c r="M21" s="119"/>
      <c r="N21" s="11"/>
      <c r="O21" s="11"/>
      <c r="P21" s="148" t="s">
        <v>134</v>
      </c>
      <c r="Q21" s="161" t="s">
        <v>134</v>
      </c>
      <c r="R21" s="147" t="s">
        <v>134</v>
      </c>
      <c r="S21" s="11"/>
      <c r="T21" s="148" t="s">
        <v>134</v>
      </c>
      <c r="U21" s="11"/>
      <c r="V21" s="11"/>
      <c r="W21" s="11"/>
      <c r="X21" s="161" t="s">
        <v>134</v>
      </c>
      <c r="Y21" s="147" t="s">
        <v>134</v>
      </c>
      <c r="Z21" s="11"/>
      <c r="AA21" s="119"/>
      <c r="AB21" s="11"/>
      <c r="AC21" s="11"/>
      <c r="AD21" s="11"/>
      <c r="AE21" s="161" t="s">
        <v>134</v>
      </c>
      <c r="AF21" s="147" t="s">
        <v>134</v>
      </c>
      <c r="AG21" s="11"/>
      <c r="AH21" s="20">
        <v>17</v>
      </c>
      <c r="AI21" s="17"/>
      <c r="AJ21" s="17"/>
      <c r="AK21" s="17"/>
      <c r="AL21" s="18"/>
      <c r="AM21" s="17"/>
      <c r="AN21" s="17"/>
      <c r="AO21" s="19"/>
      <c r="AQ21">
        <v>1000</v>
      </c>
    </row>
    <row r="22" spans="1:44" ht="30" customHeight="1">
      <c r="A22" s="16">
        <v>18</v>
      </c>
      <c r="B22" s="10" t="s">
        <v>88</v>
      </c>
      <c r="C22" s="161" t="s">
        <v>134</v>
      </c>
      <c r="D22" s="147" t="s">
        <v>134</v>
      </c>
      <c r="E22" s="148"/>
      <c r="F22" s="148" t="s">
        <v>134</v>
      </c>
      <c r="G22" s="148" t="s">
        <v>134</v>
      </c>
      <c r="H22" s="148" t="s">
        <v>134</v>
      </c>
      <c r="I22" s="148" t="s">
        <v>134</v>
      </c>
      <c r="J22" s="161" t="s">
        <v>134</v>
      </c>
      <c r="K22" s="147" t="s">
        <v>134</v>
      </c>
      <c r="L22" s="148" t="s">
        <v>134</v>
      </c>
      <c r="M22" s="148" t="s">
        <v>134</v>
      </c>
      <c r="N22" s="148" t="s">
        <v>134</v>
      </c>
      <c r="O22" s="148" t="s">
        <v>134</v>
      </c>
      <c r="P22" s="148" t="s">
        <v>134</v>
      </c>
      <c r="Q22" s="161" t="s">
        <v>134</v>
      </c>
      <c r="R22" s="147" t="s">
        <v>134</v>
      </c>
      <c r="S22" s="148" t="s">
        <v>134</v>
      </c>
      <c r="T22" s="148" t="s">
        <v>134</v>
      </c>
      <c r="U22" s="148" t="s">
        <v>134</v>
      </c>
      <c r="V22" s="148" t="s">
        <v>134</v>
      </c>
      <c r="W22" s="148" t="s">
        <v>134</v>
      </c>
      <c r="X22" s="161" t="s">
        <v>134</v>
      </c>
      <c r="Y22" s="147" t="s">
        <v>134</v>
      </c>
      <c r="Z22" s="148" t="s">
        <v>134</v>
      </c>
      <c r="AA22" s="148" t="s">
        <v>134</v>
      </c>
      <c r="AB22" s="148" t="s">
        <v>134</v>
      </c>
      <c r="AC22" s="148" t="s">
        <v>134</v>
      </c>
      <c r="AD22" s="148" t="s">
        <v>134</v>
      </c>
      <c r="AE22" s="161" t="s">
        <v>134</v>
      </c>
      <c r="AF22" s="147" t="s">
        <v>134</v>
      </c>
      <c r="AG22" s="148" t="s">
        <v>134</v>
      </c>
      <c r="AH22" s="20">
        <v>1</v>
      </c>
      <c r="AI22" s="17"/>
      <c r="AJ22" s="17"/>
      <c r="AK22" s="17"/>
      <c r="AL22" s="18"/>
      <c r="AM22" s="17"/>
      <c r="AN22" s="17"/>
      <c r="AO22" s="19"/>
      <c r="AQ22">
        <v>1000</v>
      </c>
    </row>
    <row r="23" spans="1:44" ht="30" customHeight="1">
      <c r="A23" s="97">
        <v>19</v>
      </c>
      <c r="B23" s="10" t="s">
        <v>89</v>
      </c>
      <c r="C23" s="161" t="s">
        <v>134</v>
      </c>
      <c r="D23" s="147" t="s">
        <v>134</v>
      </c>
      <c r="E23" s="148" t="s">
        <v>134</v>
      </c>
      <c r="F23" s="119"/>
      <c r="G23" s="148" t="s">
        <v>134</v>
      </c>
      <c r="H23" s="148" t="s">
        <v>134</v>
      </c>
      <c r="I23" s="11"/>
      <c r="J23" s="161" t="s">
        <v>134</v>
      </c>
      <c r="K23" s="147" t="s">
        <v>134</v>
      </c>
      <c r="L23" s="11"/>
      <c r="M23" s="119"/>
      <c r="N23" s="148" t="s">
        <v>134</v>
      </c>
      <c r="O23" s="11"/>
      <c r="P23" s="148" t="s">
        <v>134</v>
      </c>
      <c r="Q23" s="161" t="s">
        <v>134</v>
      </c>
      <c r="R23" s="147" t="s">
        <v>134</v>
      </c>
      <c r="S23" s="11"/>
      <c r="T23" s="119"/>
      <c r="U23" s="148" t="s">
        <v>134</v>
      </c>
      <c r="V23" s="148" t="s">
        <v>134</v>
      </c>
      <c r="W23" s="11"/>
      <c r="X23" s="120"/>
      <c r="Y23" s="147" t="s">
        <v>134</v>
      </c>
      <c r="Z23" s="11"/>
      <c r="AA23" s="11"/>
      <c r="AB23" s="148" t="s">
        <v>134</v>
      </c>
      <c r="AC23" s="11"/>
      <c r="AD23" s="11"/>
      <c r="AE23" s="161" t="s">
        <v>134</v>
      </c>
      <c r="AF23" s="147" t="s">
        <v>134</v>
      </c>
      <c r="AG23" s="11"/>
      <c r="AH23" s="22">
        <v>14</v>
      </c>
      <c r="AI23" s="17"/>
      <c r="AJ23" s="17"/>
      <c r="AK23" s="17"/>
      <c r="AL23" s="21"/>
      <c r="AM23" s="17"/>
      <c r="AN23" s="17"/>
      <c r="AO23" s="19"/>
      <c r="AQ23">
        <v>1000</v>
      </c>
    </row>
    <row r="24" spans="1:44" ht="30" customHeight="1">
      <c r="A24" s="98">
        <v>20</v>
      </c>
      <c r="B24" s="60" t="s">
        <v>91</v>
      </c>
      <c r="C24" s="161" t="s">
        <v>134</v>
      </c>
      <c r="D24" s="147" t="s">
        <v>134</v>
      </c>
      <c r="E24" s="148" t="s">
        <v>134</v>
      </c>
      <c r="F24" s="148" t="s">
        <v>134</v>
      </c>
      <c r="G24" s="11"/>
      <c r="H24" s="148" t="s">
        <v>134</v>
      </c>
      <c r="I24" s="148" t="s">
        <v>134</v>
      </c>
      <c r="J24" s="161" t="s">
        <v>134</v>
      </c>
      <c r="K24" s="147" t="s">
        <v>134</v>
      </c>
      <c r="L24" s="11"/>
      <c r="M24" s="148" t="s">
        <v>134</v>
      </c>
      <c r="N24" s="148" t="s">
        <v>134</v>
      </c>
      <c r="O24" s="148" t="s">
        <v>134</v>
      </c>
      <c r="P24" s="148" t="s">
        <v>134</v>
      </c>
      <c r="Q24" s="161" t="s">
        <v>134</v>
      </c>
      <c r="R24" s="147" t="s">
        <v>134</v>
      </c>
      <c r="S24" s="148" t="s">
        <v>134</v>
      </c>
      <c r="T24" s="148" t="s">
        <v>134</v>
      </c>
      <c r="U24" s="148" t="s">
        <v>134</v>
      </c>
      <c r="V24" s="148" t="s">
        <v>134</v>
      </c>
      <c r="W24" s="11"/>
      <c r="X24" s="161" t="s">
        <v>134</v>
      </c>
      <c r="Y24" s="147" t="s">
        <v>134</v>
      </c>
      <c r="Z24" s="11"/>
      <c r="AA24" s="148" t="s">
        <v>134</v>
      </c>
      <c r="AB24" s="11"/>
      <c r="AC24" s="148" t="s">
        <v>134</v>
      </c>
      <c r="AD24" s="11"/>
      <c r="AE24" s="161" t="s">
        <v>134</v>
      </c>
      <c r="AF24" s="147" t="s">
        <v>134</v>
      </c>
      <c r="AG24" s="11"/>
      <c r="AH24" s="20">
        <v>7</v>
      </c>
      <c r="AI24" s="17"/>
      <c r="AJ24" s="17"/>
      <c r="AK24" s="17"/>
      <c r="AL24" s="18"/>
      <c r="AM24" s="17"/>
      <c r="AN24" s="17"/>
      <c r="AO24" s="19"/>
      <c r="AQ24">
        <v>1000</v>
      </c>
    </row>
    <row r="25" spans="1:44" ht="30" customHeight="1">
      <c r="A25" s="97">
        <v>21</v>
      </c>
      <c r="B25" s="60" t="s">
        <v>92</v>
      </c>
      <c r="C25" s="161" t="s">
        <v>134</v>
      </c>
      <c r="D25" s="147" t="s">
        <v>134</v>
      </c>
      <c r="E25" s="11"/>
      <c r="F25" s="119"/>
      <c r="G25" s="11"/>
      <c r="H25" s="148" t="s">
        <v>134</v>
      </c>
      <c r="I25" s="148" t="s">
        <v>134</v>
      </c>
      <c r="J25" s="161" t="s">
        <v>134</v>
      </c>
      <c r="K25" s="147" t="s">
        <v>134</v>
      </c>
      <c r="L25" s="11"/>
      <c r="M25" s="119"/>
      <c r="N25" s="11"/>
      <c r="O25" s="11"/>
      <c r="P25" s="148" t="s">
        <v>134</v>
      </c>
      <c r="Q25" s="161" t="s">
        <v>134</v>
      </c>
      <c r="R25" s="147" t="s">
        <v>134</v>
      </c>
      <c r="S25" s="11"/>
      <c r="T25" s="11"/>
      <c r="U25" s="11"/>
      <c r="V25" s="11"/>
      <c r="W25" s="11"/>
      <c r="X25" s="120"/>
      <c r="Y25" s="147" t="s">
        <v>134</v>
      </c>
      <c r="Z25" s="11"/>
      <c r="AA25" s="119"/>
      <c r="AB25" s="11"/>
      <c r="AC25" s="148" t="s">
        <v>134</v>
      </c>
      <c r="AD25" s="11"/>
      <c r="AE25" s="161" t="s">
        <v>134</v>
      </c>
      <c r="AF25" s="147" t="s">
        <v>134</v>
      </c>
      <c r="AG25" s="11"/>
      <c r="AH25" s="20">
        <v>18</v>
      </c>
      <c r="AI25" s="17"/>
      <c r="AJ25" s="17"/>
      <c r="AK25" s="17"/>
      <c r="AL25" s="23"/>
      <c r="AM25" s="17"/>
      <c r="AN25" s="17"/>
      <c r="AO25" s="19"/>
      <c r="AQ25">
        <v>1000</v>
      </c>
    </row>
    <row r="26" spans="1:44" ht="30" customHeight="1">
      <c r="A26" s="16">
        <v>22</v>
      </c>
      <c r="B26" s="10" t="s">
        <v>93</v>
      </c>
      <c r="C26" s="161" t="s">
        <v>134</v>
      </c>
      <c r="D26" s="147" t="s">
        <v>134</v>
      </c>
      <c r="E26" s="11"/>
      <c r="F26" s="148" t="s">
        <v>134</v>
      </c>
      <c r="G26" s="11"/>
      <c r="H26" s="11"/>
      <c r="I26" s="11"/>
      <c r="J26" s="161" t="s">
        <v>134</v>
      </c>
      <c r="K26" s="147" t="s">
        <v>134</v>
      </c>
      <c r="L26" s="11"/>
      <c r="M26" s="119"/>
      <c r="N26" s="148" t="s">
        <v>134</v>
      </c>
      <c r="O26" s="11"/>
      <c r="P26" s="148" t="s">
        <v>134</v>
      </c>
      <c r="Q26" s="161" t="s">
        <v>134</v>
      </c>
      <c r="R26" s="147" t="s">
        <v>134</v>
      </c>
      <c r="S26" s="11"/>
      <c r="T26" s="119"/>
      <c r="U26" s="11"/>
      <c r="V26" s="148" t="s">
        <v>134</v>
      </c>
      <c r="W26" s="11"/>
      <c r="X26" s="120"/>
      <c r="Y26" s="147" t="s">
        <v>134</v>
      </c>
      <c r="Z26" s="11"/>
      <c r="AA26" s="148" t="s">
        <v>134</v>
      </c>
      <c r="AB26" s="11"/>
      <c r="AC26" s="11"/>
      <c r="AD26" s="11"/>
      <c r="AE26" s="161" t="s">
        <v>134</v>
      </c>
      <c r="AF26" s="147" t="s">
        <v>134</v>
      </c>
      <c r="AG26" s="148" t="s">
        <v>134</v>
      </c>
      <c r="AH26" s="20">
        <v>16</v>
      </c>
      <c r="AI26" s="17"/>
      <c r="AJ26" s="17"/>
      <c r="AK26" s="17"/>
      <c r="AL26" s="18"/>
      <c r="AM26" s="17"/>
      <c r="AN26" s="17"/>
      <c r="AO26" s="19"/>
      <c r="AQ26">
        <v>1000</v>
      </c>
    </row>
    <row r="27" spans="1:44" ht="30" customHeight="1">
      <c r="A27" s="16">
        <v>23</v>
      </c>
      <c r="B27" s="60" t="s">
        <v>61</v>
      </c>
      <c r="C27" s="161" t="s">
        <v>134</v>
      </c>
      <c r="D27" s="147" t="s">
        <v>134</v>
      </c>
      <c r="E27" s="24"/>
      <c r="F27" s="119"/>
      <c r="G27" s="11"/>
      <c r="H27" s="11"/>
      <c r="I27" s="11"/>
      <c r="J27" s="161" t="s">
        <v>134</v>
      </c>
      <c r="K27" s="147" t="s">
        <v>134</v>
      </c>
      <c r="L27" s="24"/>
      <c r="M27" s="119"/>
      <c r="N27" s="11"/>
      <c r="O27" s="11"/>
      <c r="P27" s="148" t="s">
        <v>134</v>
      </c>
      <c r="Q27" s="161" t="s">
        <v>134</v>
      </c>
      <c r="R27" s="147" t="s">
        <v>134</v>
      </c>
      <c r="S27" s="11"/>
      <c r="T27" s="119"/>
      <c r="U27" s="11"/>
      <c r="V27" s="11"/>
      <c r="W27" s="11"/>
      <c r="X27" s="120"/>
      <c r="Y27" s="147" t="s">
        <v>134</v>
      </c>
      <c r="Z27" s="24"/>
      <c r="AA27" s="11"/>
      <c r="AB27" s="11"/>
      <c r="AC27" s="11"/>
      <c r="AD27" s="11"/>
      <c r="AE27" s="161" t="s">
        <v>134</v>
      </c>
      <c r="AF27" s="147" t="s">
        <v>134</v>
      </c>
      <c r="AG27" s="24"/>
      <c r="AH27" s="22">
        <v>21</v>
      </c>
      <c r="AI27" s="25"/>
      <c r="AJ27" s="26"/>
      <c r="AK27" s="17"/>
      <c r="AL27" s="18"/>
      <c r="AM27" s="17"/>
      <c r="AN27" s="17"/>
      <c r="AO27" s="19"/>
      <c r="AQ27">
        <v>1000</v>
      </c>
    </row>
    <row r="28" spans="1:44" ht="30" customHeight="1">
      <c r="A28" s="16">
        <v>24</v>
      </c>
      <c r="B28" s="60" t="s">
        <v>60</v>
      </c>
      <c r="C28" s="161" t="s">
        <v>134</v>
      </c>
      <c r="D28" s="147" t="s">
        <v>134</v>
      </c>
      <c r="E28" s="11"/>
      <c r="F28" s="119"/>
      <c r="G28" s="11"/>
      <c r="H28" s="11"/>
      <c r="I28" s="148" t="s">
        <v>134</v>
      </c>
      <c r="J28" s="161" t="s">
        <v>134</v>
      </c>
      <c r="K28" s="147" t="s">
        <v>134</v>
      </c>
      <c r="L28" s="11"/>
      <c r="M28" s="148" t="s">
        <v>134</v>
      </c>
      <c r="N28" s="11"/>
      <c r="O28" s="148" t="s">
        <v>134</v>
      </c>
      <c r="P28" s="148" t="s">
        <v>134</v>
      </c>
      <c r="Q28" s="161" t="s">
        <v>134</v>
      </c>
      <c r="R28" s="147" t="s">
        <v>134</v>
      </c>
      <c r="S28" s="11"/>
      <c r="T28" s="119"/>
      <c r="U28" s="11"/>
      <c r="V28" s="148" t="s">
        <v>134</v>
      </c>
      <c r="W28" s="11"/>
      <c r="X28" s="120"/>
      <c r="Y28" s="147" t="s">
        <v>134</v>
      </c>
      <c r="Z28" s="148" t="s">
        <v>134</v>
      </c>
      <c r="AA28" s="11"/>
      <c r="AB28" s="11"/>
      <c r="AC28" s="11"/>
      <c r="AD28" s="148" t="s">
        <v>134</v>
      </c>
      <c r="AE28" s="161" t="s">
        <v>134</v>
      </c>
      <c r="AF28" s="147" t="s">
        <v>134</v>
      </c>
      <c r="AG28" s="11"/>
      <c r="AH28" s="22">
        <v>15</v>
      </c>
      <c r="AI28" s="27"/>
      <c r="AJ28" s="17"/>
      <c r="AK28" s="17"/>
      <c r="AL28" s="18"/>
      <c r="AM28" s="17"/>
      <c r="AN28" s="17"/>
      <c r="AO28" s="19"/>
      <c r="AQ28">
        <v>1000</v>
      </c>
    </row>
    <row r="29" spans="1:44" ht="30" customHeight="1">
      <c r="A29" s="16">
        <v>25</v>
      </c>
      <c r="B29" s="60" t="s">
        <v>128</v>
      </c>
      <c r="C29" s="161" t="s">
        <v>134</v>
      </c>
      <c r="D29" s="147" t="s">
        <v>134</v>
      </c>
      <c r="E29" s="11"/>
      <c r="F29" s="148" t="s">
        <v>134</v>
      </c>
      <c r="G29" s="148" t="s">
        <v>134</v>
      </c>
      <c r="H29" s="11"/>
      <c r="I29" s="148" t="s">
        <v>134</v>
      </c>
      <c r="J29" s="161" t="s">
        <v>134</v>
      </c>
      <c r="K29" s="147" t="s">
        <v>134</v>
      </c>
      <c r="L29" s="11"/>
      <c r="M29" s="148" t="s">
        <v>134</v>
      </c>
      <c r="N29" s="148" t="s">
        <v>134</v>
      </c>
      <c r="O29" s="148" t="s">
        <v>134</v>
      </c>
      <c r="P29" s="148" t="s">
        <v>134</v>
      </c>
      <c r="Q29" s="161" t="s">
        <v>134</v>
      </c>
      <c r="R29" s="147" t="s">
        <v>134</v>
      </c>
      <c r="S29" s="11"/>
      <c r="T29" s="148" t="s">
        <v>134</v>
      </c>
      <c r="U29" s="148" t="s">
        <v>134</v>
      </c>
      <c r="V29" s="148" t="s">
        <v>134</v>
      </c>
      <c r="W29" s="148" t="s">
        <v>134</v>
      </c>
      <c r="X29" s="161" t="s">
        <v>134</v>
      </c>
      <c r="Y29" s="147" t="s">
        <v>134</v>
      </c>
      <c r="Z29" s="148" t="s">
        <v>134</v>
      </c>
      <c r="AA29" s="148" t="s">
        <v>134</v>
      </c>
      <c r="AB29" s="148" t="s">
        <v>134</v>
      </c>
      <c r="AC29" s="148" t="s">
        <v>134</v>
      </c>
      <c r="AD29" s="148" t="s">
        <v>134</v>
      </c>
      <c r="AE29" s="161" t="s">
        <v>134</v>
      </c>
      <c r="AF29" s="147" t="s">
        <v>134</v>
      </c>
      <c r="AG29" s="11"/>
      <c r="AH29" s="20">
        <v>5</v>
      </c>
      <c r="AI29" s="17"/>
      <c r="AJ29" s="17"/>
      <c r="AK29" s="17"/>
      <c r="AL29" s="18"/>
      <c r="AM29" s="17"/>
      <c r="AN29" s="17"/>
      <c r="AO29" s="19"/>
      <c r="AQ29">
        <v>1000</v>
      </c>
    </row>
    <row r="30" spans="1:44" ht="30" customHeight="1">
      <c r="A30" s="16">
        <v>26</v>
      </c>
      <c r="B30" s="10" t="s">
        <v>122</v>
      </c>
      <c r="C30" s="161" t="s">
        <v>134</v>
      </c>
      <c r="D30" s="147" t="s">
        <v>134</v>
      </c>
      <c r="E30" s="11"/>
      <c r="F30" s="119"/>
      <c r="G30" s="11"/>
      <c r="H30" s="11"/>
      <c r="I30" s="11"/>
      <c r="J30" s="161" t="s">
        <v>134</v>
      </c>
      <c r="K30" s="147" t="s">
        <v>134</v>
      </c>
      <c r="L30" s="11"/>
      <c r="M30" s="119"/>
      <c r="N30" s="11"/>
      <c r="O30" s="11"/>
      <c r="P30" s="148" t="s">
        <v>134</v>
      </c>
      <c r="Q30" s="161" t="s">
        <v>134</v>
      </c>
      <c r="R30" s="147" t="s">
        <v>134</v>
      </c>
      <c r="S30" s="11"/>
      <c r="T30" s="119"/>
      <c r="U30" s="11"/>
      <c r="V30" s="11"/>
      <c r="W30" s="11"/>
      <c r="X30" s="120"/>
      <c r="Y30" s="147" t="s">
        <v>134</v>
      </c>
      <c r="Z30" s="11"/>
      <c r="AA30" s="11"/>
      <c r="AB30" s="11"/>
      <c r="AC30" s="11"/>
      <c r="AD30" s="11"/>
      <c r="AE30" s="161" t="s">
        <v>134</v>
      </c>
      <c r="AF30" s="147" t="s">
        <v>134</v>
      </c>
      <c r="AG30" s="11"/>
      <c r="AH30" s="20">
        <v>21</v>
      </c>
      <c r="AI30" s="17"/>
      <c r="AJ30" s="17"/>
      <c r="AK30" s="17"/>
      <c r="AL30" s="18"/>
      <c r="AM30" s="17"/>
      <c r="AN30" s="17"/>
      <c r="AO30" s="19"/>
      <c r="AQ30">
        <v>1000</v>
      </c>
    </row>
    <row r="31" spans="1:44" ht="30" customHeight="1">
      <c r="A31" s="16">
        <v>27</v>
      </c>
      <c r="B31" s="10" t="s">
        <v>129</v>
      </c>
      <c r="C31" s="161" t="s">
        <v>134</v>
      </c>
      <c r="D31" s="147" t="s">
        <v>134</v>
      </c>
      <c r="E31" s="148" t="s">
        <v>134</v>
      </c>
      <c r="F31" s="122"/>
      <c r="G31" s="122"/>
      <c r="H31" s="11"/>
      <c r="I31" s="148" t="s">
        <v>134</v>
      </c>
      <c r="J31" s="161" t="s">
        <v>134</v>
      </c>
      <c r="K31" s="147" t="s">
        <v>134</v>
      </c>
      <c r="L31" s="11"/>
      <c r="M31" s="148" t="s">
        <v>134</v>
      </c>
      <c r="N31" s="148" t="s">
        <v>134</v>
      </c>
      <c r="O31" s="148" t="s">
        <v>134</v>
      </c>
      <c r="P31" s="148" t="s">
        <v>134</v>
      </c>
      <c r="Q31" s="161" t="s">
        <v>134</v>
      </c>
      <c r="R31" s="147" t="s">
        <v>134</v>
      </c>
      <c r="S31" s="11"/>
      <c r="T31" s="119"/>
      <c r="U31" s="11"/>
      <c r="V31" s="148" t="s">
        <v>134</v>
      </c>
      <c r="W31" s="148" t="s">
        <v>134</v>
      </c>
      <c r="X31" s="161"/>
      <c r="Y31" s="147" t="s">
        <v>134</v>
      </c>
      <c r="Z31" s="148" t="s">
        <v>134</v>
      </c>
      <c r="AA31" s="148" t="s">
        <v>134</v>
      </c>
      <c r="AB31" s="11"/>
      <c r="AC31" s="148" t="s">
        <v>134</v>
      </c>
      <c r="AD31" s="11"/>
      <c r="AE31" s="161" t="s">
        <v>134</v>
      </c>
      <c r="AF31" s="147" t="s">
        <v>134</v>
      </c>
      <c r="AG31" s="148" t="s">
        <v>134</v>
      </c>
      <c r="AH31" s="20">
        <v>10</v>
      </c>
      <c r="AI31" s="17"/>
      <c r="AJ31" s="17"/>
      <c r="AK31" s="17"/>
      <c r="AL31" s="18"/>
      <c r="AM31" s="17"/>
      <c r="AN31" s="17"/>
      <c r="AO31" s="19"/>
      <c r="AQ31">
        <v>1000</v>
      </c>
    </row>
    <row r="32" spans="1:44" ht="30" customHeight="1">
      <c r="A32" s="16">
        <v>28</v>
      </c>
      <c r="B32" s="10"/>
      <c r="C32" s="120"/>
      <c r="D32" s="124"/>
      <c r="E32" s="24"/>
      <c r="F32" s="11"/>
      <c r="G32" s="122"/>
      <c r="H32" s="24"/>
      <c r="I32" s="24"/>
      <c r="J32" s="120"/>
      <c r="K32" s="124"/>
      <c r="L32" s="24"/>
      <c r="M32" s="11"/>
      <c r="N32" s="122"/>
      <c r="O32" s="24"/>
      <c r="P32" s="24"/>
      <c r="Q32" s="120"/>
      <c r="R32" s="124"/>
      <c r="S32" s="24"/>
      <c r="T32" s="11"/>
      <c r="U32" s="122"/>
      <c r="V32" s="24"/>
      <c r="W32" s="11"/>
      <c r="X32" s="120"/>
      <c r="Y32" s="124"/>
      <c r="Z32" s="24"/>
      <c r="AA32" s="11"/>
      <c r="AB32" s="122"/>
      <c r="AC32" s="24"/>
      <c r="AD32" s="24"/>
      <c r="AE32" s="146"/>
      <c r="AF32" s="124"/>
      <c r="AG32" s="24"/>
      <c r="AH32" s="22"/>
      <c r="AI32" s="17"/>
      <c r="AJ32" s="17"/>
      <c r="AK32" s="17"/>
      <c r="AL32" s="18"/>
      <c r="AM32" s="17"/>
      <c r="AN32" s="17"/>
      <c r="AO32" s="19"/>
    </row>
    <row r="33" spans="1:41" ht="30" customHeight="1">
      <c r="A33" s="89">
        <v>29</v>
      </c>
      <c r="B33" s="90"/>
      <c r="C33" s="93"/>
      <c r="D33" s="91"/>
      <c r="E33" s="92"/>
      <c r="F33" s="92"/>
      <c r="G33" s="92"/>
      <c r="H33" s="92"/>
      <c r="I33" s="92"/>
      <c r="J33" s="93"/>
      <c r="K33" s="91"/>
      <c r="L33" s="92"/>
      <c r="M33" s="92"/>
      <c r="N33" s="92"/>
      <c r="O33" s="92"/>
      <c r="P33" s="92"/>
      <c r="Q33" s="93"/>
      <c r="R33" s="91"/>
      <c r="S33" s="92"/>
      <c r="T33" s="92"/>
      <c r="U33" s="92"/>
      <c r="V33" s="92"/>
      <c r="W33" s="92"/>
      <c r="X33" s="93"/>
      <c r="Y33" s="91"/>
      <c r="Z33" s="92"/>
      <c r="AA33" s="92"/>
      <c r="AB33" s="92"/>
      <c r="AC33" s="92"/>
      <c r="AD33" s="92"/>
      <c r="AE33" s="93"/>
      <c r="AF33" s="91"/>
      <c r="AG33" s="92"/>
      <c r="AH33" s="94"/>
      <c r="AI33" s="48"/>
      <c r="AJ33" s="48"/>
      <c r="AK33" s="48"/>
      <c r="AL33" s="95"/>
      <c r="AM33" s="48"/>
      <c r="AN33" s="48"/>
      <c r="AO33" s="96"/>
    </row>
    <row r="34" spans="1:41" ht="30" customHeight="1" thickBot="1">
      <c r="A34" s="28">
        <v>30</v>
      </c>
      <c r="B34" s="29"/>
      <c r="C34" s="31"/>
      <c r="D34" s="30"/>
      <c r="E34" s="6"/>
      <c r="F34" s="6"/>
      <c r="G34" s="6"/>
      <c r="H34" s="6"/>
      <c r="I34" s="6"/>
      <c r="J34" s="31"/>
      <c r="K34" s="30"/>
      <c r="L34" s="6"/>
      <c r="M34" s="6"/>
      <c r="N34" s="6"/>
      <c r="O34" s="6"/>
      <c r="P34" s="6"/>
      <c r="Q34" s="31"/>
      <c r="R34" s="30"/>
      <c r="S34" s="6"/>
      <c r="T34" s="6"/>
      <c r="U34" s="6"/>
      <c r="V34" s="6"/>
      <c r="W34" s="6"/>
      <c r="X34" s="31"/>
      <c r="Y34" s="30"/>
      <c r="Z34" s="6"/>
      <c r="AA34" s="6"/>
      <c r="AB34" s="6"/>
      <c r="AC34" s="6"/>
      <c r="AD34" s="6"/>
      <c r="AE34" s="31"/>
      <c r="AF34" s="30"/>
      <c r="AG34" s="6"/>
      <c r="AH34" s="32"/>
      <c r="AI34" s="33"/>
      <c r="AJ34" s="33"/>
      <c r="AK34" s="33"/>
      <c r="AL34" s="34"/>
      <c r="AM34" s="33"/>
      <c r="AN34" s="33"/>
      <c r="AO34" s="35"/>
    </row>
    <row r="35" spans="1:41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41"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8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</row>
    <row r="37" spans="1:41"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</row>
    <row r="38" spans="1:41"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9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</row>
    <row r="39" spans="1:41"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7"/>
      <c r="Y39" s="38"/>
      <c r="Z39" s="37"/>
      <c r="AA39" s="37"/>
      <c r="AB39" s="37"/>
      <c r="AC39" s="37"/>
      <c r="AD39" s="37"/>
      <c r="AE39" s="37"/>
      <c r="AF39" s="37"/>
      <c r="AG39" s="38"/>
    </row>
    <row r="40" spans="1:41">
      <c r="C40" s="37"/>
      <c r="D40" s="37"/>
      <c r="E40" s="37"/>
      <c r="F40" s="37"/>
      <c r="G40" s="37"/>
      <c r="H40" s="38"/>
      <c r="I40" s="38"/>
      <c r="J40" s="38"/>
      <c r="K40" s="38"/>
      <c r="L40" s="38"/>
      <c r="M40" s="38"/>
      <c r="N40" s="37"/>
      <c r="O40" s="38"/>
      <c r="P40" s="38"/>
      <c r="Q40" s="37"/>
      <c r="R40" s="38"/>
      <c r="S40" s="37"/>
      <c r="T40" s="38"/>
      <c r="U40" s="37"/>
      <c r="V40" s="38"/>
      <c r="W40" s="38"/>
      <c r="X40" s="37"/>
      <c r="Y40" s="38"/>
      <c r="Z40" s="37"/>
      <c r="AA40" s="38"/>
      <c r="AB40" s="37"/>
      <c r="AC40" s="38"/>
      <c r="AD40" s="38"/>
      <c r="AE40" s="38"/>
      <c r="AF40" s="38"/>
      <c r="AG40" s="37"/>
    </row>
    <row r="41" spans="1:41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</row>
    <row r="42" spans="1:41"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</row>
    <row r="43" spans="1:41"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</row>
    <row r="44" spans="1:41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</row>
    <row r="45" spans="1:41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</row>
    <row r="46" spans="1:41"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topLeftCell="A16" zoomScale="81" zoomScaleNormal="81" workbookViewId="0">
      <selection activeCell="B21" sqref="B21"/>
    </sheetView>
  </sheetViews>
  <sheetFormatPr defaultRowHeight="13.5"/>
  <cols>
    <col min="1" max="1" width="18.125" customWidth="1"/>
    <col min="2" max="2" width="7.5" customWidth="1"/>
    <col min="3" max="3" width="10.625" customWidth="1"/>
    <col min="4" max="4" width="6.25" customWidth="1"/>
    <col min="5" max="7" width="5.25" customWidth="1"/>
    <col min="8" max="8" width="12.5" customWidth="1"/>
    <col min="9" max="14" width="8" customWidth="1"/>
    <col min="15" max="15" width="12.5" customWidth="1"/>
    <col min="16" max="22" width="8" customWidth="1"/>
    <col min="23" max="23" width="12.5" customWidth="1"/>
    <col min="24" max="24" width="16.625" customWidth="1"/>
  </cols>
  <sheetData>
    <row r="1" spans="1:28" ht="34.5" customHeight="1">
      <c r="A1" s="172" t="s">
        <v>69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</row>
    <row r="2" spans="1:28" ht="22.5" customHeight="1">
      <c r="A2" s="49" t="s">
        <v>135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 spans="1:28" ht="14.25" thickBo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28" ht="28.5" customHeight="1" thickBot="1">
      <c r="A4" s="81" t="s">
        <v>17</v>
      </c>
      <c r="B4" s="82" t="s">
        <v>47</v>
      </c>
      <c r="C4" s="82" t="s">
        <v>62</v>
      </c>
      <c r="D4" s="83" t="s">
        <v>35</v>
      </c>
      <c r="E4" s="84" t="s">
        <v>48</v>
      </c>
      <c r="F4" s="84" t="s">
        <v>36</v>
      </c>
      <c r="G4" s="84" t="s">
        <v>37</v>
      </c>
      <c r="H4" s="84" t="s">
        <v>38</v>
      </c>
      <c r="I4" s="84" t="s">
        <v>40</v>
      </c>
      <c r="J4" s="84" t="s">
        <v>39</v>
      </c>
      <c r="K4" s="84" t="s">
        <v>41</v>
      </c>
      <c r="L4" s="84" t="s">
        <v>42</v>
      </c>
      <c r="M4" s="84" t="s">
        <v>43</v>
      </c>
      <c r="N4" s="85" t="s">
        <v>90</v>
      </c>
      <c r="O4" s="86" t="s">
        <v>44</v>
      </c>
      <c r="P4" s="87" t="s">
        <v>45</v>
      </c>
      <c r="Q4" s="84" t="s">
        <v>24</v>
      </c>
      <c r="R4" s="84" t="s">
        <v>46</v>
      </c>
      <c r="S4" s="84" t="s">
        <v>27</v>
      </c>
      <c r="T4" s="84" t="s">
        <v>26</v>
      </c>
      <c r="U4" s="82"/>
      <c r="V4" s="85" t="s">
        <v>63</v>
      </c>
      <c r="W4" s="86" t="s">
        <v>44</v>
      </c>
      <c r="X4" s="88" t="s">
        <v>49</v>
      </c>
    </row>
    <row r="5" spans="1:28" ht="21.75" customHeight="1">
      <c r="A5" s="80" t="str">
        <f>'8月分'!B5</f>
        <v>岡﨑　峻喬</v>
      </c>
      <c r="B5" s="56">
        <v>21</v>
      </c>
      <c r="C5" s="57">
        <v>280000</v>
      </c>
      <c r="D5" s="57"/>
      <c r="E5" s="57"/>
      <c r="F5" s="57"/>
      <c r="G5" s="57"/>
      <c r="H5" s="57">
        <v>280000</v>
      </c>
      <c r="I5" s="57"/>
      <c r="J5" s="57"/>
      <c r="K5" s="57"/>
      <c r="L5" s="57"/>
      <c r="M5" s="57">
        <v>10000</v>
      </c>
      <c r="N5" s="66"/>
      <c r="O5" s="76">
        <f>SUM(H5:N5)</f>
        <v>290000</v>
      </c>
      <c r="P5" s="71">
        <v>14042</v>
      </c>
      <c r="Q5" s="57">
        <v>24464</v>
      </c>
      <c r="R5" s="57">
        <f>O5*5/1000</f>
        <v>1450</v>
      </c>
      <c r="S5" s="57">
        <v>4920</v>
      </c>
      <c r="T5" s="57"/>
      <c r="U5" s="57"/>
      <c r="V5" s="66"/>
      <c r="W5" s="76">
        <f>SUM(P5:V5)</f>
        <v>44876</v>
      </c>
      <c r="X5" s="76">
        <f>O5-W5</f>
        <v>245124</v>
      </c>
    </row>
    <row r="6" spans="1:28" ht="21.75" customHeight="1">
      <c r="A6" s="78" t="s">
        <v>14</v>
      </c>
      <c r="B6" s="50">
        <f>'8月分'!AH6</f>
        <v>21</v>
      </c>
      <c r="C6" s="51">
        <v>200000</v>
      </c>
      <c r="D6" s="51"/>
      <c r="E6" s="51"/>
      <c r="F6" s="51"/>
      <c r="G6" s="51"/>
      <c r="H6" s="51">
        <v>200000</v>
      </c>
      <c r="I6" s="51"/>
      <c r="J6" s="51"/>
      <c r="K6" s="51"/>
      <c r="L6" s="51"/>
      <c r="M6" s="51"/>
      <c r="N6" s="63"/>
      <c r="O6" s="73">
        <f>SUM(H6:N6)</f>
        <v>200000</v>
      </c>
      <c r="P6" s="68"/>
      <c r="Q6" s="51"/>
      <c r="R6" s="51"/>
      <c r="S6" s="51">
        <v>3140</v>
      </c>
      <c r="T6" s="51"/>
      <c r="U6" s="51"/>
      <c r="V6" s="63"/>
      <c r="W6" s="73">
        <f>SUM(P6:V6)</f>
        <v>3140</v>
      </c>
      <c r="X6" s="73">
        <f>O6-W6</f>
        <v>196860</v>
      </c>
    </row>
    <row r="7" spans="1:28" ht="21.75" customHeight="1" thickBot="1">
      <c r="A7" s="79"/>
      <c r="B7" s="52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64"/>
      <c r="O7" s="74"/>
      <c r="P7" s="69"/>
      <c r="Q7" s="53"/>
      <c r="R7" s="53"/>
      <c r="S7" s="53"/>
      <c r="T7" s="53"/>
      <c r="U7" s="53"/>
      <c r="V7" s="64"/>
      <c r="W7" s="74"/>
      <c r="X7" s="74"/>
    </row>
    <row r="8" spans="1:28" ht="21.75" customHeight="1" thickBot="1">
      <c r="A8" s="61" t="s">
        <v>64</v>
      </c>
      <c r="B8" s="54"/>
      <c r="C8" s="55"/>
      <c r="D8" s="55"/>
      <c r="E8" s="55"/>
      <c r="F8" s="55"/>
      <c r="G8" s="55"/>
      <c r="H8" s="55">
        <f>SUM(H5:H7)</f>
        <v>480000</v>
      </c>
      <c r="I8" s="55"/>
      <c r="J8" s="55"/>
      <c r="K8" s="55"/>
      <c r="L8" s="55">
        <f>SUM(L5:L7)</f>
        <v>0</v>
      </c>
      <c r="M8" s="55">
        <f>SUM(M5:M7)</f>
        <v>10000</v>
      </c>
      <c r="N8" s="65"/>
      <c r="O8" s="75">
        <f>SUM(O5:O7)</f>
        <v>490000</v>
      </c>
      <c r="P8" s="70">
        <f t="shared" ref="P8:S8" si="0">SUM(P5:P7)</f>
        <v>14042</v>
      </c>
      <c r="Q8" s="55">
        <f t="shared" si="0"/>
        <v>24464</v>
      </c>
      <c r="R8" s="55">
        <f t="shared" si="0"/>
        <v>1450</v>
      </c>
      <c r="S8" s="55">
        <f t="shared" si="0"/>
        <v>8060</v>
      </c>
      <c r="T8" s="55"/>
      <c r="U8" s="55"/>
      <c r="V8" s="65">
        <f>SUM(V5:V7)</f>
        <v>0</v>
      </c>
      <c r="W8" s="75">
        <f t="shared" ref="W8" si="1">SUM(W5:W7)</f>
        <v>48016</v>
      </c>
      <c r="X8" s="75">
        <f t="shared" ref="X8" si="2">SUM(X5:X7)</f>
        <v>441984</v>
      </c>
    </row>
    <row r="9" spans="1:28" ht="21.75" customHeight="1">
      <c r="A9" s="80"/>
      <c r="B9" s="56"/>
      <c r="C9" s="57"/>
      <c r="D9" s="115"/>
      <c r="E9" s="57"/>
      <c r="F9" s="116"/>
      <c r="G9" s="57"/>
      <c r="H9" s="57"/>
      <c r="I9" s="117"/>
      <c r="J9" s="57"/>
      <c r="K9" s="57"/>
      <c r="L9" s="57"/>
      <c r="M9" s="57"/>
      <c r="N9" s="66"/>
      <c r="O9" s="76"/>
      <c r="P9" s="71"/>
      <c r="Q9" s="57"/>
      <c r="R9" s="57"/>
      <c r="S9" s="57"/>
      <c r="T9" s="57"/>
      <c r="U9" s="57"/>
      <c r="V9" s="66"/>
      <c r="W9" s="76"/>
      <c r="X9" s="76"/>
    </row>
    <row r="10" spans="1:28" ht="21.75" customHeight="1">
      <c r="A10" s="78" t="s">
        <v>15</v>
      </c>
      <c r="B10" s="50">
        <f>'8月分'!AH8</f>
        <v>25</v>
      </c>
      <c r="C10" s="51">
        <v>6000</v>
      </c>
      <c r="D10" s="111">
        <f>時給計算書!F35</f>
        <v>7.1229166666666668</v>
      </c>
      <c r="E10" s="125">
        <v>1157</v>
      </c>
      <c r="F10" s="125">
        <v>1071</v>
      </c>
      <c r="G10" s="125">
        <v>1288</v>
      </c>
      <c r="H10" s="127">
        <f>B10*C10</f>
        <v>150000</v>
      </c>
      <c r="I10" s="51"/>
      <c r="J10" s="51"/>
      <c r="K10" s="51"/>
      <c r="L10" s="51"/>
      <c r="M10" s="51"/>
      <c r="N10" s="63"/>
      <c r="O10" s="73">
        <f t="shared" ref="O10:O40" si="3">SUM(H10:N10)</f>
        <v>150000</v>
      </c>
      <c r="P10" s="68">
        <v>8708</v>
      </c>
      <c r="Q10" s="51">
        <v>13106</v>
      </c>
      <c r="R10" s="51">
        <f>O10*5/1000</f>
        <v>750</v>
      </c>
      <c r="S10" s="51">
        <v>2150</v>
      </c>
      <c r="T10" s="51"/>
      <c r="U10" s="51"/>
      <c r="V10" s="63"/>
      <c r="W10" s="73">
        <f t="shared" ref="W10:W35" si="4">SUM(P10:V10)</f>
        <v>24714</v>
      </c>
      <c r="X10" s="73">
        <f t="shared" ref="X10:X39" si="5">O10-W10</f>
        <v>125286</v>
      </c>
      <c r="Z10" t="s">
        <v>72</v>
      </c>
      <c r="AA10" t="s">
        <v>73</v>
      </c>
      <c r="AB10" t="s">
        <v>76</v>
      </c>
    </row>
    <row r="11" spans="1:28" ht="21.75" customHeight="1">
      <c r="A11" s="78" t="s">
        <v>33</v>
      </c>
      <c r="B11" s="50">
        <f>'8月分'!AH9</f>
        <v>21</v>
      </c>
      <c r="C11" s="51">
        <v>800</v>
      </c>
      <c r="D11" s="110">
        <f>'8月分'!AI9</f>
        <v>6.1923611111111114</v>
      </c>
      <c r="E11" s="51"/>
      <c r="F11" s="125">
        <v>1000</v>
      </c>
      <c r="G11" s="51"/>
      <c r="H11" s="51">
        <f>D11*24*C11</f>
        <v>118893.33333333334</v>
      </c>
      <c r="I11" s="51"/>
      <c r="J11" s="51"/>
      <c r="K11" s="51">
        <v>5000</v>
      </c>
      <c r="L11" s="51"/>
      <c r="M11" s="51"/>
      <c r="N11" s="63"/>
      <c r="O11" s="73">
        <f t="shared" si="3"/>
        <v>123893.33333333334</v>
      </c>
      <c r="P11" s="68"/>
      <c r="Q11" s="51"/>
      <c r="R11" s="51">
        <f>O11*5/1000</f>
        <v>619.4666666666667</v>
      </c>
      <c r="S11" s="51">
        <v>1950</v>
      </c>
      <c r="T11" s="51"/>
      <c r="U11" s="51"/>
      <c r="V11" s="63"/>
      <c r="W11" s="73">
        <f t="shared" si="4"/>
        <v>2569.4666666666667</v>
      </c>
      <c r="X11" s="73">
        <f t="shared" si="5"/>
        <v>121323.86666666668</v>
      </c>
    </row>
    <row r="12" spans="1:28" ht="21.75" customHeight="1">
      <c r="A12" s="78"/>
      <c r="B12" s="50"/>
      <c r="C12" s="51"/>
      <c r="D12" s="111"/>
      <c r="E12" s="51"/>
      <c r="F12" s="51"/>
      <c r="G12" s="51"/>
      <c r="H12" s="51">
        <f>D12*24*C12</f>
        <v>0</v>
      </c>
      <c r="I12" s="51"/>
      <c r="J12" s="51"/>
      <c r="K12" s="51"/>
      <c r="L12" s="51"/>
      <c r="M12" s="51"/>
      <c r="N12" s="63"/>
      <c r="O12" s="73">
        <f t="shared" si="3"/>
        <v>0</v>
      </c>
      <c r="P12" s="68"/>
      <c r="Q12" s="51"/>
      <c r="R12" s="51"/>
      <c r="S12" s="51"/>
      <c r="T12" s="51"/>
      <c r="U12" s="51"/>
      <c r="V12" s="63"/>
      <c r="W12" s="73">
        <f t="shared" si="4"/>
        <v>0</v>
      </c>
      <c r="X12" s="73">
        <f t="shared" si="5"/>
        <v>0</v>
      </c>
    </row>
    <row r="13" spans="1:28" ht="21.75" customHeight="1" thickBot="1">
      <c r="A13" s="79"/>
      <c r="B13" s="52"/>
      <c r="C13" s="53"/>
      <c r="D13" s="58"/>
      <c r="E13" s="53"/>
      <c r="F13" s="53"/>
      <c r="G13" s="53"/>
      <c r="H13" s="53"/>
      <c r="I13" s="53"/>
      <c r="J13" s="53"/>
      <c r="K13" s="53"/>
      <c r="L13" s="53"/>
      <c r="M13" s="53"/>
      <c r="N13" s="64"/>
      <c r="O13" s="74"/>
      <c r="P13" s="69"/>
      <c r="Q13" s="53"/>
      <c r="R13" s="53"/>
      <c r="S13" s="53"/>
      <c r="T13" s="53"/>
      <c r="U13" s="53"/>
      <c r="V13" s="64"/>
      <c r="W13" s="74"/>
      <c r="X13" s="74"/>
    </row>
    <row r="14" spans="1:28" ht="21.75" customHeight="1" thickBot="1">
      <c r="A14" s="61" t="s">
        <v>65</v>
      </c>
      <c r="B14" s="54"/>
      <c r="C14" s="55"/>
      <c r="D14" s="59"/>
      <c r="E14" s="55"/>
      <c r="F14" s="55"/>
      <c r="G14" s="55"/>
      <c r="H14" s="55">
        <f>SUM(H10:H13)</f>
        <v>268893.33333333337</v>
      </c>
      <c r="I14" s="55"/>
      <c r="J14" s="55"/>
      <c r="K14" s="55">
        <f>SUM(K10:K12)</f>
        <v>5000</v>
      </c>
      <c r="L14" s="55">
        <f>SUM(L9:L13)</f>
        <v>0</v>
      </c>
      <c r="M14" s="55">
        <f>SUM(M10:M13)</f>
        <v>0</v>
      </c>
      <c r="N14" s="65"/>
      <c r="O14" s="75">
        <f>SUM(O10:O13)</f>
        <v>273893.33333333337</v>
      </c>
      <c r="P14" s="70">
        <f>SUM(P10:P12)</f>
        <v>8708</v>
      </c>
      <c r="Q14" s="55">
        <f>SUM(Q10:Q13)</f>
        <v>13106</v>
      </c>
      <c r="R14" s="55">
        <f>SUM(R10:R13)</f>
        <v>1369.4666666666667</v>
      </c>
      <c r="S14" s="55">
        <f>SUM(S10:S13)</f>
        <v>4100</v>
      </c>
      <c r="T14" s="55"/>
      <c r="U14" s="55"/>
      <c r="V14" s="65">
        <f>SUM(V9:V13)</f>
        <v>0</v>
      </c>
      <c r="W14" s="75">
        <f>SUM(W10:W13)</f>
        <v>27283.466666666667</v>
      </c>
      <c r="X14" s="75">
        <f>O14-P14-Q14-R14-S14-V14</f>
        <v>246609.8666666667</v>
      </c>
    </row>
    <row r="15" spans="1:28" ht="21.75" customHeight="1">
      <c r="A15" s="80"/>
      <c r="B15" s="56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66"/>
      <c r="O15" s="76"/>
      <c r="P15" s="71"/>
      <c r="Q15" s="57"/>
      <c r="R15" s="57"/>
      <c r="S15" s="57"/>
      <c r="T15" s="57"/>
      <c r="U15" s="57"/>
      <c r="V15" s="66"/>
      <c r="W15" s="76"/>
      <c r="X15" s="76"/>
    </row>
    <row r="16" spans="1:28" ht="21.75" customHeight="1">
      <c r="A16" s="78" t="s">
        <v>50</v>
      </c>
      <c r="B16" s="50">
        <f>'8月分'!AH12</f>
        <v>19</v>
      </c>
      <c r="C16" s="51">
        <v>1000</v>
      </c>
      <c r="D16" s="51"/>
      <c r="E16" s="51"/>
      <c r="F16" s="51"/>
      <c r="G16" s="51"/>
      <c r="H16" s="51">
        <f>B16*C16</f>
        <v>19000</v>
      </c>
      <c r="I16" s="51"/>
      <c r="J16" s="51"/>
      <c r="K16" s="51"/>
      <c r="L16" s="51"/>
      <c r="M16" s="51"/>
      <c r="N16" s="63"/>
      <c r="O16" s="73">
        <f t="shared" si="3"/>
        <v>19000</v>
      </c>
      <c r="P16" s="68"/>
      <c r="Q16" s="51"/>
      <c r="R16" s="51"/>
      <c r="S16" s="51"/>
      <c r="T16" s="51"/>
      <c r="U16" s="51"/>
      <c r="V16" s="63">
        <v>6300</v>
      </c>
      <c r="W16" s="73">
        <f t="shared" si="4"/>
        <v>6300</v>
      </c>
      <c r="X16" s="73">
        <f t="shared" si="5"/>
        <v>12700</v>
      </c>
    </row>
    <row r="17" spans="1:24" ht="21.75" customHeight="1">
      <c r="A17" s="78" t="s">
        <v>51</v>
      </c>
      <c r="B17" s="50">
        <f>'8月分'!AH13</f>
        <v>19</v>
      </c>
      <c r="C17" s="51">
        <v>1000</v>
      </c>
      <c r="D17" s="51"/>
      <c r="E17" s="51"/>
      <c r="F17" s="51"/>
      <c r="G17" s="51"/>
      <c r="H17" s="51">
        <f t="shared" ref="H17:H33" si="6">B17*C17</f>
        <v>19000</v>
      </c>
      <c r="I17" s="51"/>
      <c r="J17" s="51"/>
      <c r="K17" s="51"/>
      <c r="L17" s="51"/>
      <c r="M17" s="51"/>
      <c r="N17" s="63"/>
      <c r="O17" s="73">
        <f t="shared" si="3"/>
        <v>19000</v>
      </c>
      <c r="P17" s="68"/>
      <c r="Q17" s="51"/>
      <c r="R17" s="51"/>
      <c r="S17" s="51"/>
      <c r="T17" s="51"/>
      <c r="U17" s="51"/>
      <c r="V17" s="63">
        <v>6300</v>
      </c>
      <c r="W17" s="73">
        <f t="shared" si="4"/>
        <v>6300</v>
      </c>
      <c r="X17" s="73">
        <f t="shared" si="5"/>
        <v>12700</v>
      </c>
    </row>
    <row r="18" spans="1:24" ht="21.75" customHeight="1">
      <c r="A18" s="78" t="s">
        <v>52</v>
      </c>
      <c r="B18" s="50">
        <f>'8月分'!AH14</f>
        <v>20</v>
      </c>
      <c r="C18" s="51">
        <v>1500</v>
      </c>
      <c r="D18" s="51"/>
      <c r="E18" s="51"/>
      <c r="F18" s="51"/>
      <c r="G18" s="51"/>
      <c r="H18" s="51">
        <f t="shared" si="6"/>
        <v>30000</v>
      </c>
      <c r="I18" s="51"/>
      <c r="J18" s="51"/>
      <c r="K18" s="51"/>
      <c r="L18" s="51"/>
      <c r="M18" s="51"/>
      <c r="N18" s="63"/>
      <c r="O18" s="73">
        <f t="shared" si="3"/>
        <v>30000</v>
      </c>
      <c r="P18" s="68"/>
      <c r="Q18" s="51"/>
      <c r="R18" s="51"/>
      <c r="S18" s="51"/>
      <c r="T18" s="51"/>
      <c r="U18" s="51"/>
      <c r="V18" s="63"/>
      <c r="W18" s="73">
        <f t="shared" si="4"/>
        <v>0</v>
      </c>
      <c r="X18" s="73">
        <f t="shared" si="5"/>
        <v>30000</v>
      </c>
    </row>
    <row r="19" spans="1:24" ht="21.75" customHeight="1">
      <c r="A19" s="78" t="s">
        <v>53</v>
      </c>
      <c r="B19" s="50">
        <v>20</v>
      </c>
      <c r="C19" s="51">
        <v>1500</v>
      </c>
      <c r="D19" s="51"/>
      <c r="E19" s="51"/>
      <c r="F19" s="51"/>
      <c r="G19" s="51"/>
      <c r="H19" s="51">
        <f t="shared" si="6"/>
        <v>30000</v>
      </c>
      <c r="I19" s="51"/>
      <c r="J19" s="51"/>
      <c r="K19" s="51"/>
      <c r="L19" s="51"/>
      <c r="M19" s="51"/>
      <c r="N19" s="63"/>
      <c r="O19" s="73">
        <f t="shared" si="3"/>
        <v>30000</v>
      </c>
      <c r="P19" s="68"/>
      <c r="Q19" s="51"/>
      <c r="R19" s="51"/>
      <c r="S19" s="51"/>
      <c r="T19" s="51"/>
      <c r="U19" s="51"/>
      <c r="V19" s="63"/>
      <c r="W19" s="73">
        <f t="shared" si="4"/>
        <v>0</v>
      </c>
      <c r="X19" s="73">
        <f t="shared" si="5"/>
        <v>30000</v>
      </c>
    </row>
    <row r="20" spans="1:24" ht="21.75" customHeight="1">
      <c r="A20" s="78" t="s">
        <v>54</v>
      </c>
      <c r="B20" s="50">
        <v>23</v>
      </c>
      <c r="C20" s="51">
        <v>1500</v>
      </c>
      <c r="D20" s="51"/>
      <c r="E20" s="51"/>
      <c r="F20" s="51"/>
      <c r="G20" s="51"/>
      <c r="H20" s="51">
        <f t="shared" si="6"/>
        <v>34500</v>
      </c>
      <c r="I20" s="51"/>
      <c r="J20" s="51"/>
      <c r="K20" s="51"/>
      <c r="L20" s="51"/>
      <c r="M20" s="51"/>
      <c r="N20" s="63"/>
      <c r="O20" s="73">
        <f t="shared" si="3"/>
        <v>34500</v>
      </c>
      <c r="P20" s="68"/>
      <c r="Q20" s="51"/>
      <c r="R20" s="51"/>
      <c r="S20" s="51"/>
      <c r="T20" s="51"/>
      <c r="U20" s="51"/>
      <c r="V20" s="63"/>
      <c r="W20" s="73">
        <f t="shared" si="4"/>
        <v>0</v>
      </c>
      <c r="X20" s="73">
        <f t="shared" si="5"/>
        <v>34500</v>
      </c>
    </row>
    <row r="21" spans="1:24" ht="21.75" customHeight="1">
      <c r="A21" s="78" t="s">
        <v>55</v>
      </c>
      <c r="B21" s="50">
        <f>'8月分'!AH17</f>
        <v>0</v>
      </c>
      <c r="C21" s="51">
        <v>1000</v>
      </c>
      <c r="D21" s="51"/>
      <c r="E21" s="51"/>
      <c r="F21" s="51"/>
      <c r="G21" s="51"/>
      <c r="H21" s="51">
        <f t="shared" si="6"/>
        <v>0</v>
      </c>
      <c r="I21" s="51"/>
      <c r="J21" s="51"/>
      <c r="K21" s="51"/>
      <c r="L21" s="51"/>
      <c r="M21" s="51"/>
      <c r="N21" s="63"/>
      <c r="O21" s="73">
        <f t="shared" si="3"/>
        <v>0</v>
      </c>
      <c r="P21" s="68"/>
      <c r="Q21" s="51"/>
      <c r="R21" s="51"/>
      <c r="S21" s="51"/>
      <c r="T21" s="51"/>
      <c r="U21" s="51"/>
      <c r="V21" s="63"/>
      <c r="W21" s="73">
        <f t="shared" si="4"/>
        <v>0</v>
      </c>
      <c r="X21" s="73">
        <f t="shared" si="5"/>
        <v>0</v>
      </c>
    </row>
    <row r="22" spans="1:24" ht="21.75" customHeight="1">
      <c r="A22" s="78" t="s">
        <v>56</v>
      </c>
      <c r="B22" s="50">
        <f>'8月分'!AH18</f>
        <v>21</v>
      </c>
      <c r="C22" s="51">
        <v>1500</v>
      </c>
      <c r="D22" s="51"/>
      <c r="E22" s="51"/>
      <c r="F22" s="51"/>
      <c r="G22" s="51"/>
      <c r="H22" s="51">
        <f t="shared" si="6"/>
        <v>31500</v>
      </c>
      <c r="I22" s="51"/>
      <c r="J22" s="51"/>
      <c r="K22" s="51"/>
      <c r="L22" s="51"/>
      <c r="M22" s="51"/>
      <c r="N22" s="63">
        <v>5000</v>
      </c>
      <c r="O22" s="73">
        <f t="shared" si="3"/>
        <v>36500</v>
      </c>
      <c r="P22" s="68"/>
      <c r="Q22" s="51"/>
      <c r="R22" s="51"/>
      <c r="S22" s="51"/>
      <c r="T22" s="51"/>
      <c r="U22" s="51"/>
      <c r="V22" s="63">
        <v>7000</v>
      </c>
      <c r="W22" s="73">
        <f t="shared" si="4"/>
        <v>7000</v>
      </c>
      <c r="X22" s="73">
        <f t="shared" si="5"/>
        <v>29500</v>
      </c>
    </row>
    <row r="23" spans="1:24" ht="21.75" customHeight="1">
      <c r="A23" s="78" t="s">
        <v>57</v>
      </c>
      <c r="B23" s="50">
        <f>'8月分'!AH19</f>
        <v>13</v>
      </c>
      <c r="C23" s="51">
        <v>1000</v>
      </c>
      <c r="D23" s="51"/>
      <c r="E23" s="51"/>
      <c r="F23" s="51"/>
      <c r="G23" s="51"/>
      <c r="H23" s="51">
        <f t="shared" si="6"/>
        <v>13000</v>
      </c>
      <c r="I23" s="51"/>
      <c r="J23" s="51"/>
      <c r="K23" s="51"/>
      <c r="L23" s="51"/>
      <c r="M23" s="51"/>
      <c r="N23" s="63"/>
      <c r="O23" s="73">
        <f t="shared" si="3"/>
        <v>13000</v>
      </c>
      <c r="P23" s="68"/>
      <c r="Q23" s="51"/>
      <c r="R23" s="51"/>
      <c r="S23" s="51"/>
      <c r="T23" s="51"/>
      <c r="U23" s="51"/>
      <c r="V23" s="63">
        <v>3150</v>
      </c>
      <c r="W23" s="73">
        <f t="shared" si="4"/>
        <v>3150</v>
      </c>
      <c r="X23" s="73">
        <f t="shared" si="5"/>
        <v>9850</v>
      </c>
    </row>
    <row r="24" spans="1:24" ht="21.75" customHeight="1">
      <c r="A24" s="78" t="s">
        <v>58</v>
      </c>
      <c r="B24" s="50">
        <f>'8月分'!AH20</f>
        <v>19</v>
      </c>
      <c r="C24" s="51">
        <v>1000</v>
      </c>
      <c r="D24" s="51"/>
      <c r="E24" s="51"/>
      <c r="F24" s="51"/>
      <c r="G24" s="51"/>
      <c r="H24" s="51">
        <f t="shared" si="6"/>
        <v>19000</v>
      </c>
      <c r="I24" s="51"/>
      <c r="J24" s="51"/>
      <c r="K24" s="51"/>
      <c r="L24" s="51"/>
      <c r="M24" s="51"/>
      <c r="N24" s="63"/>
      <c r="O24" s="73">
        <f t="shared" si="3"/>
        <v>19000</v>
      </c>
      <c r="P24" s="68"/>
      <c r="Q24" s="51"/>
      <c r="R24" s="51"/>
      <c r="S24" s="51"/>
      <c r="T24" s="51"/>
      <c r="U24" s="51"/>
      <c r="V24" s="63"/>
      <c r="W24" s="73">
        <f t="shared" si="4"/>
        <v>0</v>
      </c>
      <c r="X24" s="73">
        <f t="shared" si="5"/>
        <v>19000</v>
      </c>
    </row>
    <row r="25" spans="1:24" ht="21.75" customHeight="1">
      <c r="A25" s="78" t="s">
        <v>59</v>
      </c>
      <c r="B25" s="50">
        <f>'8月分'!AH21</f>
        <v>17</v>
      </c>
      <c r="C25" s="51">
        <v>1000</v>
      </c>
      <c r="D25" s="51"/>
      <c r="E25" s="51"/>
      <c r="F25" s="51"/>
      <c r="G25" s="51"/>
      <c r="H25" s="51">
        <f t="shared" si="6"/>
        <v>17000</v>
      </c>
      <c r="I25" s="51"/>
      <c r="J25" s="51"/>
      <c r="K25" s="51"/>
      <c r="L25" s="51">
        <v>5600</v>
      </c>
      <c r="M25" s="51"/>
      <c r="N25" s="63"/>
      <c r="O25" s="73">
        <f t="shared" si="3"/>
        <v>22600</v>
      </c>
      <c r="P25" s="68"/>
      <c r="Q25" s="51"/>
      <c r="R25" s="51"/>
      <c r="S25" s="51"/>
      <c r="T25" s="51"/>
      <c r="U25" s="51"/>
      <c r="V25" s="63">
        <v>5600</v>
      </c>
      <c r="W25" s="73">
        <f t="shared" si="4"/>
        <v>5600</v>
      </c>
      <c r="X25" s="73">
        <f t="shared" si="5"/>
        <v>17000</v>
      </c>
    </row>
    <row r="26" spans="1:24" ht="21.75" customHeight="1">
      <c r="A26" s="79" t="str">
        <f>'8月分'!B22</f>
        <v>岡田　直明</v>
      </c>
      <c r="B26" s="52">
        <f>'8月分'!AH22</f>
        <v>1</v>
      </c>
      <c r="C26" s="53">
        <v>1000</v>
      </c>
      <c r="D26" s="53"/>
      <c r="E26" s="53"/>
      <c r="F26" s="53"/>
      <c r="G26" s="53"/>
      <c r="H26" s="51">
        <f t="shared" si="6"/>
        <v>1000</v>
      </c>
      <c r="I26" s="53"/>
      <c r="J26" s="53"/>
      <c r="K26" s="53"/>
      <c r="L26" s="53"/>
      <c r="M26" s="53"/>
      <c r="N26" s="64"/>
      <c r="O26" s="73">
        <f t="shared" si="3"/>
        <v>1000</v>
      </c>
      <c r="P26" s="69"/>
      <c r="Q26" s="53"/>
      <c r="R26" s="53"/>
      <c r="S26" s="53"/>
      <c r="T26" s="53"/>
      <c r="U26" s="53"/>
      <c r="V26" s="64"/>
      <c r="W26" s="73">
        <f t="shared" si="4"/>
        <v>0</v>
      </c>
      <c r="X26" s="73">
        <f t="shared" si="5"/>
        <v>1000</v>
      </c>
    </row>
    <row r="27" spans="1:24" ht="21.75" customHeight="1">
      <c r="A27" s="79" t="str">
        <f>'8月分'!B23</f>
        <v>神田　幸弘</v>
      </c>
      <c r="B27" s="52">
        <f>'8月分'!AH23</f>
        <v>14</v>
      </c>
      <c r="C27" s="53">
        <v>1000</v>
      </c>
      <c r="D27" s="53"/>
      <c r="E27" s="53"/>
      <c r="F27" s="53"/>
      <c r="G27" s="53"/>
      <c r="H27" s="51">
        <f t="shared" si="6"/>
        <v>14000</v>
      </c>
      <c r="I27" s="53"/>
      <c r="J27" s="53"/>
      <c r="K27" s="53"/>
      <c r="L27" s="53"/>
      <c r="M27" s="53"/>
      <c r="N27" s="64"/>
      <c r="O27" s="73">
        <f t="shared" si="3"/>
        <v>14000</v>
      </c>
      <c r="P27" s="69"/>
      <c r="Q27" s="53"/>
      <c r="R27" s="53"/>
      <c r="S27" s="53"/>
      <c r="T27" s="53"/>
      <c r="U27" s="53"/>
      <c r="V27" s="64"/>
      <c r="W27" s="73">
        <f t="shared" si="4"/>
        <v>0</v>
      </c>
      <c r="X27" s="73">
        <f t="shared" si="5"/>
        <v>14000</v>
      </c>
    </row>
    <row r="28" spans="1:24" ht="21.75" customHeight="1">
      <c r="A28" s="60" t="s">
        <v>91</v>
      </c>
      <c r="B28" s="52">
        <f>'8月分'!AH24</f>
        <v>7</v>
      </c>
      <c r="C28" s="53">
        <v>1000</v>
      </c>
      <c r="D28" s="53"/>
      <c r="E28" s="53"/>
      <c r="F28" s="53"/>
      <c r="G28" s="53"/>
      <c r="H28" s="53">
        <f t="shared" si="6"/>
        <v>7000</v>
      </c>
      <c r="I28" s="53"/>
      <c r="J28" s="53"/>
      <c r="K28" s="53"/>
      <c r="L28" s="53"/>
      <c r="M28" s="53"/>
      <c r="N28" s="64"/>
      <c r="O28" s="74">
        <f t="shared" si="3"/>
        <v>7000</v>
      </c>
      <c r="P28" s="69"/>
      <c r="Q28" s="53"/>
      <c r="R28" s="53"/>
      <c r="S28" s="53"/>
      <c r="T28" s="53"/>
      <c r="U28" s="53"/>
      <c r="V28" s="64"/>
      <c r="W28" s="73">
        <f t="shared" si="4"/>
        <v>0</v>
      </c>
      <c r="X28" s="73">
        <f t="shared" si="5"/>
        <v>7000</v>
      </c>
    </row>
    <row r="29" spans="1:24" ht="21.75" customHeight="1">
      <c r="A29" s="60" t="s">
        <v>92</v>
      </c>
      <c r="B29" s="52">
        <f>'8月分'!AH25</f>
        <v>18</v>
      </c>
      <c r="C29" s="53">
        <v>1000</v>
      </c>
      <c r="D29" s="53"/>
      <c r="E29" s="53"/>
      <c r="F29" s="53"/>
      <c r="G29" s="53"/>
      <c r="H29" s="53">
        <f t="shared" si="6"/>
        <v>18000</v>
      </c>
      <c r="I29" s="53"/>
      <c r="J29" s="53"/>
      <c r="K29" s="53"/>
      <c r="L29" s="53"/>
      <c r="M29" s="53"/>
      <c r="N29" s="64"/>
      <c r="O29" s="74">
        <f t="shared" si="3"/>
        <v>18000</v>
      </c>
      <c r="P29" s="69"/>
      <c r="Q29" s="53"/>
      <c r="R29" s="53"/>
      <c r="S29" s="53"/>
      <c r="T29" s="53"/>
      <c r="U29" s="53"/>
      <c r="V29" s="64"/>
      <c r="W29" s="73">
        <f t="shared" si="4"/>
        <v>0</v>
      </c>
      <c r="X29" s="73">
        <f t="shared" si="5"/>
        <v>18000</v>
      </c>
    </row>
    <row r="30" spans="1:24" ht="21.75" customHeight="1">
      <c r="A30" s="10" t="s">
        <v>93</v>
      </c>
      <c r="B30" s="52">
        <f>'8月分'!AH26</f>
        <v>16</v>
      </c>
      <c r="C30" s="53">
        <v>1000</v>
      </c>
      <c r="D30" s="53"/>
      <c r="E30" s="53"/>
      <c r="F30" s="53"/>
      <c r="G30" s="53"/>
      <c r="H30" s="53">
        <f t="shared" si="6"/>
        <v>16000</v>
      </c>
      <c r="I30" s="53"/>
      <c r="J30" s="53"/>
      <c r="K30" s="53"/>
      <c r="L30" s="53"/>
      <c r="M30" s="53"/>
      <c r="N30" s="64"/>
      <c r="O30" s="74">
        <f t="shared" si="3"/>
        <v>16000</v>
      </c>
      <c r="P30" s="69"/>
      <c r="Q30" s="53"/>
      <c r="R30" s="53"/>
      <c r="S30" s="53"/>
      <c r="T30" s="53"/>
      <c r="U30" s="53"/>
      <c r="V30" s="64"/>
      <c r="W30" s="73">
        <f t="shared" si="4"/>
        <v>0</v>
      </c>
      <c r="X30" s="73">
        <f t="shared" si="5"/>
        <v>16000</v>
      </c>
    </row>
    <row r="31" spans="1:24" ht="21.75" customHeight="1">
      <c r="A31" s="60" t="s">
        <v>61</v>
      </c>
      <c r="B31" s="52">
        <f>'8月分'!AH27</f>
        <v>21</v>
      </c>
      <c r="C31" s="53">
        <v>1000</v>
      </c>
      <c r="D31" s="53"/>
      <c r="E31" s="53"/>
      <c r="F31" s="53"/>
      <c r="G31" s="53"/>
      <c r="H31" s="53">
        <f t="shared" si="6"/>
        <v>21000</v>
      </c>
      <c r="I31" s="53"/>
      <c r="J31" s="53"/>
      <c r="K31" s="53"/>
      <c r="L31" s="53">
        <v>7000</v>
      </c>
      <c r="M31" s="53"/>
      <c r="N31" s="64"/>
      <c r="O31" s="74">
        <f t="shared" si="3"/>
        <v>28000</v>
      </c>
      <c r="P31" s="69"/>
      <c r="Q31" s="53"/>
      <c r="R31" s="53"/>
      <c r="S31" s="53"/>
      <c r="T31" s="53"/>
      <c r="U31" s="53"/>
      <c r="V31" s="64">
        <v>7000</v>
      </c>
      <c r="W31" s="73">
        <f t="shared" si="4"/>
        <v>7000</v>
      </c>
      <c r="X31" s="73">
        <f t="shared" si="5"/>
        <v>21000</v>
      </c>
    </row>
    <row r="32" spans="1:24" ht="21.75" customHeight="1">
      <c r="A32" s="60" t="s">
        <v>60</v>
      </c>
      <c r="B32" s="52">
        <f>'8月分'!AH28</f>
        <v>15</v>
      </c>
      <c r="C32" s="53">
        <v>1000</v>
      </c>
      <c r="D32" s="53"/>
      <c r="E32" s="53"/>
      <c r="F32" s="53"/>
      <c r="G32" s="53"/>
      <c r="H32" s="53">
        <f t="shared" si="6"/>
        <v>15000</v>
      </c>
      <c r="I32" s="53"/>
      <c r="J32" s="53"/>
      <c r="K32" s="53"/>
      <c r="L32" s="53">
        <v>5250</v>
      </c>
      <c r="M32" s="53"/>
      <c r="N32" s="64"/>
      <c r="O32" s="74">
        <f t="shared" si="3"/>
        <v>20250</v>
      </c>
      <c r="P32" s="69"/>
      <c r="Q32" s="53"/>
      <c r="R32" s="53"/>
      <c r="S32" s="53"/>
      <c r="T32" s="53"/>
      <c r="U32" s="53"/>
      <c r="V32" s="64">
        <v>5250</v>
      </c>
      <c r="W32" s="73">
        <f t="shared" si="4"/>
        <v>5250</v>
      </c>
      <c r="X32" s="73">
        <f t="shared" si="5"/>
        <v>15000</v>
      </c>
    </row>
    <row r="33" spans="1:25" ht="21.75" customHeight="1">
      <c r="A33" s="60" t="s">
        <v>128</v>
      </c>
      <c r="B33" s="52">
        <f>'8月分'!AH29</f>
        <v>5</v>
      </c>
      <c r="C33" s="53">
        <v>1000</v>
      </c>
      <c r="D33" s="53"/>
      <c r="E33" s="53"/>
      <c r="F33" s="53"/>
      <c r="G33" s="53"/>
      <c r="H33" s="53">
        <f t="shared" si="6"/>
        <v>5000</v>
      </c>
      <c r="I33" s="53"/>
      <c r="J33" s="53"/>
      <c r="K33" s="53"/>
      <c r="L33" s="53"/>
      <c r="M33" s="53"/>
      <c r="N33" s="64"/>
      <c r="O33" s="74">
        <f t="shared" si="3"/>
        <v>5000</v>
      </c>
      <c r="P33" s="69"/>
      <c r="Q33" s="53"/>
      <c r="R33" s="53"/>
      <c r="S33" s="53"/>
      <c r="T33" s="53"/>
      <c r="U33" s="53"/>
      <c r="V33" s="64"/>
      <c r="W33" s="73">
        <f t="shared" si="4"/>
        <v>0</v>
      </c>
      <c r="X33" s="73">
        <f t="shared" si="5"/>
        <v>5000</v>
      </c>
    </row>
    <row r="34" spans="1:25" ht="21.75" customHeight="1">
      <c r="A34" s="78" t="s">
        <v>122</v>
      </c>
      <c r="B34" s="50">
        <f>'8月分'!AH30</f>
        <v>21</v>
      </c>
      <c r="C34" s="51">
        <v>1000</v>
      </c>
      <c r="D34" s="53"/>
      <c r="E34" s="53"/>
      <c r="F34" s="53"/>
      <c r="G34" s="53"/>
      <c r="H34" s="53">
        <f>B34*C34</f>
        <v>21000</v>
      </c>
      <c r="I34" s="53"/>
      <c r="J34" s="53"/>
      <c r="K34" s="53"/>
      <c r="L34" s="53"/>
      <c r="M34" s="53"/>
      <c r="N34" s="64"/>
      <c r="O34" s="74">
        <f t="shared" si="3"/>
        <v>21000</v>
      </c>
      <c r="P34" s="69"/>
      <c r="Q34" s="53"/>
      <c r="R34" s="53"/>
      <c r="S34" s="53"/>
      <c r="T34" s="53"/>
      <c r="U34" s="53"/>
      <c r="V34" s="64">
        <v>6300</v>
      </c>
      <c r="W34" s="73">
        <f t="shared" si="4"/>
        <v>6300</v>
      </c>
      <c r="X34" s="73">
        <f t="shared" si="5"/>
        <v>14700</v>
      </c>
    </row>
    <row r="35" spans="1:25" ht="21.75" customHeight="1" thickBot="1">
      <c r="A35" s="79" t="s">
        <v>129</v>
      </c>
      <c r="B35" s="52">
        <f>'8月分'!AH31</f>
        <v>10</v>
      </c>
      <c r="C35" s="53">
        <v>1000</v>
      </c>
      <c r="D35" s="53"/>
      <c r="E35" s="53"/>
      <c r="F35" s="53"/>
      <c r="G35" s="53"/>
      <c r="H35" s="53">
        <f>B35*C35</f>
        <v>10000</v>
      </c>
      <c r="I35" s="53"/>
      <c r="J35" s="53"/>
      <c r="K35" s="53"/>
      <c r="L35" s="53">
        <v>3500</v>
      </c>
      <c r="M35" s="53"/>
      <c r="N35" s="64"/>
      <c r="O35" s="74">
        <f t="shared" si="3"/>
        <v>13500</v>
      </c>
      <c r="P35" s="69"/>
      <c r="Q35" s="53"/>
      <c r="R35" s="53"/>
      <c r="S35" s="53"/>
      <c r="T35" s="53"/>
      <c r="U35" s="53"/>
      <c r="V35" s="64">
        <v>3500</v>
      </c>
      <c r="W35" s="74">
        <f t="shared" si="4"/>
        <v>3500</v>
      </c>
      <c r="X35" s="74">
        <f t="shared" si="5"/>
        <v>10000</v>
      </c>
    </row>
    <row r="36" spans="1:25" ht="21.75" customHeight="1" thickBot="1">
      <c r="A36" s="62" t="s">
        <v>66</v>
      </c>
      <c r="B36" s="54"/>
      <c r="C36" s="55"/>
      <c r="D36" s="55"/>
      <c r="E36" s="55"/>
      <c r="F36" s="55"/>
      <c r="G36" s="55"/>
      <c r="H36" s="55">
        <f>SUM(H16:H35)</f>
        <v>341000</v>
      </c>
      <c r="I36" s="55"/>
      <c r="J36" s="55"/>
      <c r="K36" s="55">
        <f>SUM(K16:K35)</f>
        <v>0</v>
      </c>
      <c r="L36" s="55">
        <f>SUM(L15:L35)</f>
        <v>21350</v>
      </c>
      <c r="M36" s="55">
        <f>SUM(M16:M25)</f>
        <v>0</v>
      </c>
      <c r="N36" s="65">
        <f>SUM(N15:N35)</f>
        <v>5000</v>
      </c>
      <c r="O36" s="75">
        <f>SUM(O16:O35)</f>
        <v>367350</v>
      </c>
      <c r="P36" s="70"/>
      <c r="Q36" s="55"/>
      <c r="R36" s="55"/>
      <c r="S36" s="55"/>
      <c r="T36" s="55"/>
      <c r="U36" s="55"/>
      <c r="V36" s="65">
        <f>SUM(V16:V35)</f>
        <v>50400</v>
      </c>
      <c r="W36" s="75">
        <f>SUM(W16:W35)</f>
        <v>50400</v>
      </c>
      <c r="X36" s="75">
        <f>SUM(X16:X35)</f>
        <v>316950</v>
      </c>
    </row>
    <row r="37" spans="1:25" ht="21.75" customHeight="1">
      <c r="A37" s="80"/>
      <c r="B37" s="56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66"/>
      <c r="O37" s="76"/>
      <c r="P37" s="71"/>
      <c r="Q37" s="57"/>
      <c r="R37" s="57"/>
      <c r="S37" s="57"/>
      <c r="T37" s="57"/>
      <c r="U37" s="57"/>
      <c r="V37" s="66"/>
      <c r="W37" s="76"/>
      <c r="X37" s="76"/>
    </row>
    <row r="38" spans="1:25" ht="21.75" customHeight="1">
      <c r="A38" s="78"/>
      <c r="B38" s="50"/>
      <c r="C38" s="51"/>
      <c r="D38" s="51"/>
      <c r="E38" s="51"/>
      <c r="F38" s="51"/>
      <c r="G38" s="51"/>
      <c r="H38" s="51">
        <f>B38*C38</f>
        <v>0</v>
      </c>
      <c r="I38" s="51"/>
      <c r="J38" s="51"/>
      <c r="K38" s="51"/>
      <c r="L38" s="51"/>
      <c r="M38" s="51"/>
      <c r="N38" s="63"/>
      <c r="O38" s="73">
        <f t="shared" si="3"/>
        <v>0</v>
      </c>
      <c r="P38" s="68"/>
      <c r="Q38" s="51"/>
      <c r="R38" s="51"/>
      <c r="S38" s="51"/>
      <c r="T38" s="51"/>
      <c r="U38" s="51"/>
      <c r="V38" s="63"/>
      <c r="W38" s="73">
        <f>SUM(P38:V38)</f>
        <v>0</v>
      </c>
      <c r="X38" s="73">
        <f t="shared" si="5"/>
        <v>0</v>
      </c>
    </row>
    <row r="39" spans="1:25" ht="21.75" customHeight="1">
      <c r="A39" s="78"/>
      <c r="B39" s="50"/>
      <c r="C39" s="51"/>
      <c r="D39" s="51"/>
      <c r="E39" s="51"/>
      <c r="F39" s="51"/>
      <c r="G39" s="51"/>
      <c r="H39" s="51">
        <f t="shared" ref="H39" si="7">B39*C39</f>
        <v>0</v>
      </c>
      <c r="I39" s="51"/>
      <c r="J39" s="51"/>
      <c r="K39" s="51"/>
      <c r="L39" s="51"/>
      <c r="M39" s="51"/>
      <c r="N39" s="63"/>
      <c r="O39" s="73">
        <f t="shared" si="3"/>
        <v>0</v>
      </c>
      <c r="P39" s="68"/>
      <c r="Q39" s="51"/>
      <c r="R39" s="51"/>
      <c r="S39" s="51"/>
      <c r="T39" s="51"/>
      <c r="U39" s="51"/>
      <c r="V39" s="63"/>
      <c r="W39" s="73">
        <f>SUM(P39:V39)</f>
        <v>0</v>
      </c>
      <c r="X39" s="73">
        <f t="shared" si="5"/>
        <v>0</v>
      </c>
    </row>
    <row r="40" spans="1:25" ht="21.75" customHeight="1">
      <c r="A40" s="78"/>
      <c r="B40" s="50"/>
      <c r="C40" s="51"/>
      <c r="D40" s="51"/>
      <c r="E40" s="51"/>
      <c r="F40" s="51"/>
      <c r="G40" s="51"/>
      <c r="H40" s="51">
        <f>B40*C40</f>
        <v>0</v>
      </c>
      <c r="I40" s="51"/>
      <c r="J40" s="51"/>
      <c r="K40" s="51"/>
      <c r="L40" s="51"/>
      <c r="M40" s="51"/>
      <c r="N40" s="63"/>
      <c r="O40" s="73">
        <f t="shared" si="3"/>
        <v>0</v>
      </c>
      <c r="P40" s="68"/>
      <c r="Q40" s="51"/>
      <c r="R40" s="51"/>
      <c r="S40" s="51"/>
      <c r="T40" s="51"/>
      <c r="U40" s="51"/>
      <c r="V40" s="63"/>
      <c r="W40" s="73">
        <f>SUM(P40:V40)</f>
        <v>0</v>
      </c>
      <c r="X40" s="73">
        <f>O40-W40</f>
        <v>0</v>
      </c>
    </row>
    <row r="41" spans="1:25" ht="21.75" customHeight="1">
      <c r="A41" s="79"/>
      <c r="B41" s="52"/>
      <c r="C41" s="53"/>
      <c r="D41" s="53"/>
      <c r="E41" s="53"/>
      <c r="F41" s="53"/>
      <c r="G41" s="53"/>
      <c r="H41" s="53">
        <f>B41*C41</f>
        <v>0</v>
      </c>
      <c r="I41" s="53"/>
      <c r="J41" s="53"/>
      <c r="K41" s="53"/>
      <c r="L41" s="53"/>
      <c r="M41" s="53"/>
      <c r="N41" s="64"/>
      <c r="O41" s="74">
        <f>SUM(H41:N41)</f>
        <v>0</v>
      </c>
      <c r="P41" s="69"/>
      <c r="Q41" s="53"/>
      <c r="R41" s="53"/>
      <c r="S41" s="53"/>
      <c r="T41" s="53"/>
      <c r="U41" s="53"/>
      <c r="V41" s="64">
        <v>0</v>
      </c>
      <c r="W41" s="74">
        <f>SUM(P41:V41)</f>
        <v>0</v>
      </c>
      <c r="X41" s="74">
        <f>O41-W41</f>
        <v>0</v>
      </c>
    </row>
    <row r="42" spans="1:25" ht="21.75" customHeight="1">
      <c r="A42" s="113"/>
      <c r="B42" s="50"/>
      <c r="C42" s="51"/>
      <c r="D42" s="51"/>
      <c r="E42" s="51"/>
      <c r="F42" s="51"/>
      <c r="G42" s="51"/>
      <c r="H42" s="51">
        <f>B42*C42</f>
        <v>0</v>
      </c>
      <c r="I42" s="51"/>
      <c r="J42" s="51"/>
      <c r="K42" s="51"/>
      <c r="L42" s="51"/>
      <c r="M42" s="51"/>
      <c r="N42" s="63"/>
      <c r="O42" s="73">
        <f>SUM(H42:N42)</f>
        <v>0</v>
      </c>
      <c r="P42" s="68"/>
      <c r="Q42" s="51"/>
      <c r="R42" s="51"/>
      <c r="S42" s="51"/>
      <c r="T42" s="51"/>
      <c r="U42" s="51"/>
      <c r="V42" s="63">
        <v>0</v>
      </c>
      <c r="W42" s="73">
        <f>SUM(P42:V42)</f>
        <v>0</v>
      </c>
      <c r="X42" s="73">
        <f>O42-W42</f>
        <v>0</v>
      </c>
    </row>
    <row r="43" spans="1:25" ht="21.75" customHeight="1" thickBot="1">
      <c r="A43" s="80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67"/>
      <c r="O43" s="77"/>
      <c r="P43" s="72"/>
      <c r="Q43" s="56"/>
      <c r="R43" s="56"/>
      <c r="S43" s="56"/>
      <c r="T43" s="56"/>
      <c r="U43" s="56"/>
      <c r="V43" s="67"/>
      <c r="W43" s="77"/>
      <c r="X43" s="77"/>
    </row>
    <row r="44" spans="1:25" ht="21.75" customHeight="1" thickBot="1">
      <c r="A44" s="61" t="s">
        <v>67</v>
      </c>
      <c r="B44" s="54"/>
      <c r="C44" s="55"/>
      <c r="D44" s="55"/>
      <c r="E44" s="55"/>
      <c r="F44" s="55"/>
      <c r="G44" s="55"/>
      <c r="H44" s="55">
        <f>SUM(H38:H43)</f>
        <v>0</v>
      </c>
      <c r="I44" s="55"/>
      <c r="J44" s="55"/>
      <c r="K44" s="55"/>
      <c r="L44" s="55">
        <f>SUM(L38:L43)</f>
        <v>0</v>
      </c>
      <c r="M44" s="55">
        <f>SUM(M38:M42)</f>
        <v>0</v>
      </c>
      <c r="N44" s="65"/>
      <c r="O44" s="75">
        <f>SUM(O38:O43)</f>
        <v>0</v>
      </c>
      <c r="P44" s="70"/>
      <c r="Q44" s="55"/>
      <c r="R44" s="55"/>
      <c r="S44" s="55"/>
      <c r="T44" s="55"/>
      <c r="U44" s="55"/>
      <c r="V44" s="65">
        <f>SUM(V38:V43)</f>
        <v>0</v>
      </c>
      <c r="W44" s="75">
        <f>SUM(W38:W43)</f>
        <v>0</v>
      </c>
      <c r="X44" s="75">
        <f>SUM(X38:X43)</f>
        <v>0</v>
      </c>
    </row>
    <row r="45" spans="1:25" ht="33.75" customHeight="1" thickBot="1">
      <c r="A45" s="61" t="s">
        <v>68</v>
      </c>
      <c r="B45" s="54"/>
      <c r="C45" s="54"/>
      <c r="D45" s="54"/>
      <c r="E45" s="54"/>
      <c r="F45" s="54"/>
      <c r="G45" s="54"/>
      <c r="H45" s="55">
        <f>H8+H14+H36+H44</f>
        <v>1089893.3333333335</v>
      </c>
      <c r="I45" s="55">
        <f>I8+I14+I36+I44</f>
        <v>0</v>
      </c>
      <c r="J45" s="55">
        <f t="shared" ref="J45:N45" si="8">J8+J14+J36+J44</f>
        <v>0</v>
      </c>
      <c r="K45" s="55">
        <f t="shared" si="8"/>
        <v>5000</v>
      </c>
      <c r="L45" s="55">
        <f t="shared" si="8"/>
        <v>21350</v>
      </c>
      <c r="M45" s="55">
        <f t="shared" si="8"/>
        <v>10000</v>
      </c>
      <c r="N45" s="55">
        <f t="shared" si="8"/>
        <v>5000</v>
      </c>
      <c r="O45" s="75">
        <f>O8+O14+O36+O44</f>
        <v>1131243.3333333335</v>
      </c>
      <c r="P45" s="70">
        <f t="shared" ref="P45:U45" si="9">P8+P14+P36+P42</f>
        <v>22750</v>
      </c>
      <c r="Q45" s="55">
        <f t="shared" si="9"/>
        <v>37570</v>
      </c>
      <c r="R45" s="55">
        <f t="shared" si="9"/>
        <v>2819.4666666666667</v>
      </c>
      <c r="S45" s="55">
        <f t="shared" si="9"/>
        <v>12160</v>
      </c>
      <c r="T45" s="55">
        <f t="shared" si="9"/>
        <v>0</v>
      </c>
      <c r="U45" s="55">
        <f t="shared" si="9"/>
        <v>0</v>
      </c>
      <c r="V45" s="65">
        <f>V8+V14+V36+V44</f>
        <v>50400</v>
      </c>
      <c r="W45" s="75">
        <f>W8+W14+W36+W44</f>
        <v>125699.46666666667</v>
      </c>
      <c r="X45" s="75">
        <f>O45-P45-Q45-R45-S45-V45</f>
        <v>1005543.8666666669</v>
      </c>
      <c r="Y45" s="128"/>
    </row>
    <row r="47" spans="1:25">
      <c r="O47" s="128">
        <f>H45+I45+J45+K45+L45+M45+N45</f>
        <v>1131243.3333333335</v>
      </c>
    </row>
  </sheetData>
  <mergeCells count="1">
    <mergeCell ref="A1:X1"/>
  </mergeCells>
  <phoneticPr fontId="2"/>
  <pageMargins left="1.299212598425197" right="0.70866141732283472" top="0.74803149606299213" bottom="0.74803149606299213" header="0.31496062992125984" footer="0.31496062992125984"/>
  <pageSetup paperSize="9" scale="53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9"/>
  <sheetViews>
    <sheetView tabSelected="1" workbookViewId="0">
      <selection sqref="A1:P390"/>
    </sheetView>
  </sheetViews>
  <sheetFormatPr defaultRowHeight="13.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>
      <c r="A1" s="181" t="s">
        <v>16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2" t="s">
        <v>135</v>
      </c>
      <c r="N1" s="182"/>
      <c r="O1" s="182"/>
      <c r="P1" s="182"/>
    </row>
    <row r="2" spans="1:16" ht="14.25" thickBot="1"/>
    <row r="3" spans="1:16" ht="21.75" customHeight="1">
      <c r="A3" s="178" t="s">
        <v>17</v>
      </c>
      <c r="B3" s="179"/>
      <c r="C3" s="207" t="str">
        <f>賃金集計表!A5</f>
        <v>岡﨑　峻喬</v>
      </c>
      <c r="D3" s="208"/>
      <c r="E3" s="208"/>
      <c r="F3" s="208"/>
      <c r="G3" s="211" t="s">
        <v>70</v>
      </c>
      <c r="H3" s="179" t="s">
        <v>18</v>
      </c>
      <c r="I3" s="179"/>
      <c r="J3" s="179"/>
      <c r="K3" s="179" t="s">
        <v>19</v>
      </c>
      <c r="L3" s="179"/>
      <c r="M3" s="179"/>
      <c r="N3" s="179" t="s">
        <v>20</v>
      </c>
      <c r="O3" s="179"/>
      <c r="P3" s="185"/>
    </row>
    <row r="4" spans="1:16" ht="21.75" customHeight="1" thickBot="1">
      <c r="A4" s="183"/>
      <c r="B4" s="184"/>
      <c r="C4" s="209"/>
      <c r="D4" s="210"/>
      <c r="E4" s="210"/>
      <c r="F4" s="210"/>
      <c r="G4" s="212"/>
      <c r="H4" s="186">
        <f>賃金集計表!B5</f>
        <v>21</v>
      </c>
      <c r="I4" s="186"/>
      <c r="J4" s="186"/>
      <c r="K4" s="186"/>
      <c r="L4" s="186"/>
      <c r="M4" s="186"/>
      <c r="N4" s="186"/>
      <c r="O4" s="186"/>
      <c r="P4" s="187"/>
    </row>
    <row r="5" spans="1:16" ht="9" customHeight="1" thickBo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21.75" customHeight="1">
      <c r="A6" s="178" t="s">
        <v>21</v>
      </c>
      <c r="B6" s="179"/>
      <c r="C6" s="180" t="s">
        <v>20</v>
      </c>
      <c r="D6" s="180"/>
      <c r="E6" s="179"/>
      <c r="F6" s="179"/>
      <c r="G6" s="179"/>
      <c r="H6" s="179"/>
      <c r="I6" s="179" t="s">
        <v>22</v>
      </c>
      <c r="J6" s="179"/>
      <c r="K6" s="173"/>
      <c r="L6" s="173"/>
      <c r="M6" s="173"/>
      <c r="N6" s="173"/>
      <c r="O6" s="173"/>
      <c r="P6" s="174"/>
    </row>
    <row r="7" spans="1:16" ht="30" customHeight="1" thickBot="1">
      <c r="A7" s="175">
        <f>賃金集計表!H5</f>
        <v>280000</v>
      </c>
      <c r="B7" s="176"/>
      <c r="C7" s="176"/>
      <c r="D7" s="176"/>
      <c r="E7" s="176"/>
      <c r="F7" s="176"/>
      <c r="G7" s="176"/>
      <c r="H7" s="176"/>
      <c r="I7" s="176">
        <f>賃金集計表!M5</f>
        <v>10000</v>
      </c>
      <c r="J7" s="176"/>
      <c r="K7" s="176"/>
      <c r="L7" s="176"/>
      <c r="M7" s="176"/>
      <c r="N7" s="176"/>
      <c r="O7" s="176"/>
      <c r="P7" s="177"/>
    </row>
    <row r="8" spans="1:16" ht="9" customHeight="1" thickBo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 ht="21.75" customHeight="1">
      <c r="A9" s="178" t="s">
        <v>23</v>
      </c>
      <c r="B9" s="179"/>
      <c r="C9" s="180" t="s">
        <v>24</v>
      </c>
      <c r="D9" s="180"/>
      <c r="E9" s="179" t="s">
        <v>25</v>
      </c>
      <c r="F9" s="179"/>
      <c r="G9" s="179" t="s">
        <v>26</v>
      </c>
      <c r="H9" s="179"/>
      <c r="I9" s="179" t="s">
        <v>27</v>
      </c>
      <c r="J9" s="179"/>
      <c r="K9" s="173"/>
      <c r="L9" s="173"/>
      <c r="M9" s="173"/>
      <c r="N9" s="173"/>
      <c r="O9" s="179" t="s">
        <v>71</v>
      </c>
      <c r="P9" s="185"/>
    </row>
    <row r="10" spans="1:16" ht="30" customHeight="1" thickBot="1">
      <c r="A10" s="175">
        <f>賃金集計表!P5</f>
        <v>14042</v>
      </c>
      <c r="B10" s="176"/>
      <c r="C10" s="176">
        <f>賃金集計表!Q5</f>
        <v>24464</v>
      </c>
      <c r="D10" s="176"/>
      <c r="E10" s="176">
        <f>賃金集計表!R5</f>
        <v>1450</v>
      </c>
      <c r="F10" s="176"/>
      <c r="G10" s="176">
        <f>賃金集計表!T5</f>
        <v>0</v>
      </c>
      <c r="H10" s="176"/>
      <c r="I10" s="176">
        <f>賃金集計表!S5</f>
        <v>4920</v>
      </c>
      <c r="J10" s="176"/>
      <c r="K10" s="176"/>
      <c r="L10" s="176"/>
      <c r="M10" s="176"/>
      <c r="N10" s="176"/>
      <c r="O10" s="176">
        <f>賃金集計表!V5</f>
        <v>0</v>
      </c>
      <c r="P10" s="177"/>
    </row>
    <row r="11" spans="1:16" ht="9" customHeight="1" thickBo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</row>
    <row r="12" spans="1:16" ht="21.75" customHeight="1" thickTop="1">
      <c r="A12" s="188" t="s">
        <v>28</v>
      </c>
      <c r="B12" s="189"/>
      <c r="C12" s="189"/>
      <c r="D12" s="189" t="s">
        <v>29</v>
      </c>
      <c r="E12" s="189"/>
      <c r="F12" s="189"/>
      <c r="G12" s="189" t="s">
        <v>30</v>
      </c>
      <c r="H12" s="189"/>
      <c r="I12" s="190"/>
      <c r="J12" s="47"/>
      <c r="K12" s="191" t="s">
        <v>31</v>
      </c>
      <c r="L12" s="192"/>
      <c r="M12" s="192"/>
      <c r="N12" s="192"/>
      <c r="O12" s="192"/>
      <c r="P12" s="192"/>
    </row>
    <row r="13" spans="1:16" ht="30" customHeight="1" thickBot="1">
      <c r="A13" s="193">
        <f>SUM(A7:P7)</f>
        <v>290000</v>
      </c>
      <c r="B13" s="194"/>
      <c r="C13" s="194"/>
      <c r="D13" s="195">
        <f>SUM(A10:P10)</f>
        <v>44876</v>
      </c>
      <c r="E13" s="194"/>
      <c r="F13" s="194"/>
      <c r="G13" s="195">
        <f>A13-D13</f>
        <v>245124</v>
      </c>
      <c r="H13" s="194"/>
      <c r="I13" s="196"/>
      <c r="J13" s="41"/>
      <c r="K13" s="197" t="s">
        <v>32</v>
      </c>
      <c r="L13" s="198"/>
      <c r="M13" s="198"/>
      <c r="N13" s="198"/>
      <c r="O13" s="198"/>
      <c r="P13" s="198"/>
    </row>
    <row r="14" spans="1:16" ht="14.25" thickTop="1"/>
    <row r="16" spans="1:16" ht="30" customHeight="1">
      <c r="A16" s="199" t="s">
        <v>16</v>
      </c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200" t="s">
        <v>135</v>
      </c>
      <c r="N16" s="200"/>
      <c r="O16" s="200"/>
      <c r="P16" s="200"/>
    </row>
    <row r="17" spans="1:16" ht="14.25" thickBo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</row>
    <row r="18" spans="1:16" ht="21.75" customHeight="1">
      <c r="A18" s="178" t="s">
        <v>17</v>
      </c>
      <c r="B18" s="179"/>
      <c r="C18" s="207" t="str">
        <f>賃金集計表!A6</f>
        <v>山内　雄司</v>
      </c>
      <c r="D18" s="208"/>
      <c r="E18" s="208"/>
      <c r="F18" s="208"/>
      <c r="G18" s="211" t="s">
        <v>70</v>
      </c>
      <c r="H18" s="179" t="s">
        <v>18</v>
      </c>
      <c r="I18" s="179"/>
      <c r="J18" s="179"/>
      <c r="K18" s="179" t="s">
        <v>19</v>
      </c>
      <c r="L18" s="179"/>
      <c r="M18" s="179"/>
      <c r="N18" s="179" t="s">
        <v>20</v>
      </c>
      <c r="O18" s="179"/>
      <c r="P18" s="185"/>
    </row>
    <row r="19" spans="1:16" ht="21.75" customHeight="1" thickBot="1">
      <c r="A19" s="183"/>
      <c r="B19" s="184"/>
      <c r="C19" s="209"/>
      <c r="D19" s="210"/>
      <c r="E19" s="210"/>
      <c r="F19" s="210"/>
      <c r="G19" s="212"/>
      <c r="H19" s="186">
        <f>賃金集計表!B6</f>
        <v>21</v>
      </c>
      <c r="I19" s="186"/>
      <c r="J19" s="186"/>
      <c r="K19" s="186"/>
      <c r="L19" s="186"/>
      <c r="M19" s="186"/>
      <c r="N19" s="186"/>
      <c r="O19" s="186"/>
      <c r="P19" s="187"/>
    </row>
    <row r="20" spans="1:16" ht="9" customHeight="1" thickBo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</row>
    <row r="21" spans="1:16" ht="21.75" customHeight="1">
      <c r="A21" s="178" t="s">
        <v>21</v>
      </c>
      <c r="B21" s="179"/>
      <c r="C21" s="180" t="s">
        <v>20</v>
      </c>
      <c r="D21" s="180"/>
      <c r="E21" s="179"/>
      <c r="F21" s="179"/>
      <c r="G21" s="179"/>
      <c r="H21" s="179"/>
      <c r="I21" s="179" t="s">
        <v>22</v>
      </c>
      <c r="J21" s="179"/>
      <c r="K21" s="173"/>
      <c r="L21" s="173"/>
      <c r="M21" s="173"/>
      <c r="N21" s="173"/>
      <c r="O21" s="173"/>
      <c r="P21" s="174"/>
    </row>
    <row r="22" spans="1:16" ht="30" customHeight="1" thickBot="1">
      <c r="A22" s="175">
        <f>賃金集計表!H6</f>
        <v>200000</v>
      </c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7"/>
    </row>
    <row r="23" spans="1:16" ht="9" customHeight="1" thickBo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16" ht="21.75" customHeight="1">
      <c r="A24" s="178" t="s">
        <v>23</v>
      </c>
      <c r="B24" s="179"/>
      <c r="C24" s="180" t="s">
        <v>24</v>
      </c>
      <c r="D24" s="180"/>
      <c r="E24" s="179" t="s">
        <v>25</v>
      </c>
      <c r="F24" s="179"/>
      <c r="G24" s="179" t="s">
        <v>26</v>
      </c>
      <c r="H24" s="179"/>
      <c r="I24" s="179" t="s">
        <v>27</v>
      </c>
      <c r="J24" s="179"/>
      <c r="K24" s="173"/>
      <c r="L24" s="173"/>
      <c r="M24" s="179" t="s">
        <v>101</v>
      </c>
      <c r="N24" s="179"/>
      <c r="O24" s="179" t="s">
        <v>63</v>
      </c>
      <c r="P24" s="185"/>
    </row>
    <row r="25" spans="1:16" ht="30" customHeight="1" thickBot="1">
      <c r="A25" s="175"/>
      <c r="B25" s="176"/>
      <c r="C25" s="176"/>
      <c r="D25" s="176"/>
      <c r="E25" s="176"/>
      <c r="F25" s="176"/>
      <c r="G25" s="176"/>
      <c r="H25" s="176"/>
      <c r="I25" s="176">
        <f>賃金集計表!S6</f>
        <v>3140</v>
      </c>
      <c r="J25" s="176"/>
      <c r="K25" s="176"/>
      <c r="L25" s="176"/>
      <c r="M25" s="176">
        <v>46555</v>
      </c>
      <c r="N25" s="176"/>
      <c r="O25" s="176">
        <f>賃金集計表!V6</f>
        <v>0</v>
      </c>
      <c r="P25" s="177"/>
    </row>
    <row r="26" spans="1:16" ht="9" customHeight="1" thickBo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1:16" ht="21.75" customHeight="1" thickTop="1">
      <c r="A27" s="188" t="s">
        <v>28</v>
      </c>
      <c r="B27" s="189"/>
      <c r="C27" s="189"/>
      <c r="D27" s="189" t="s">
        <v>29</v>
      </c>
      <c r="E27" s="189"/>
      <c r="F27" s="189"/>
      <c r="G27" s="189" t="s">
        <v>30</v>
      </c>
      <c r="H27" s="189"/>
      <c r="I27" s="190"/>
      <c r="J27" s="47"/>
      <c r="K27" s="191" t="s">
        <v>31</v>
      </c>
      <c r="L27" s="201"/>
      <c r="M27" s="201"/>
      <c r="N27" s="201"/>
      <c r="O27" s="201"/>
      <c r="P27" s="201"/>
    </row>
    <row r="28" spans="1:16" ht="30" customHeight="1" thickBot="1">
      <c r="A28" s="193">
        <f>SUM(A22:P22)</f>
        <v>200000</v>
      </c>
      <c r="B28" s="194"/>
      <c r="C28" s="194"/>
      <c r="D28" s="195">
        <f>SUM(A25:P25)</f>
        <v>49695</v>
      </c>
      <c r="E28" s="194"/>
      <c r="F28" s="194"/>
      <c r="G28" s="195">
        <f>A28-D28</f>
        <v>150305</v>
      </c>
      <c r="H28" s="194"/>
      <c r="I28" s="196"/>
      <c r="J28" s="41"/>
      <c r="K28" s="197" t="s">
        <v>32</v>
      </c>
      <c r="L28" s="202"/>
      <c r="M28" s="202"/>
      <c r="N28" s="202"/>
      <c r="O28" s="202"/>
      <c r="P28" s="202"/>
    </row>
    <row r="29" spans="1:16" ht="14.25" thickTop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</row>
    <row r="30" spans="1:16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1:16" ht="30" customHeight="1">
      <c r="A31" s="181" t="s">
        <v>16</v>
      </c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2" t="s">
        <v>135</v>
      </c>
      <c r="N31" s="182"/>
      <c r="O31" s="182"/>
      <c r="P31" s="182"/>
    </row>
    <row r="32" spans="1:16" ht="14.25" thickBot="1"/>
    <row r="33" spans="1:16" ht="21.75" customHeight="1">
      <c r="A33" s="178" t="s">
        <v>17</v>
      </c>
      <c r="B33" s="179"/>
      <c r="C33" s="207"/>
      <c r="D33" s="208"/>
      <c r="E33" s="208"/>
      <c r="F33" s="208"/>
      <c r="G33" s="211" t="s">
        <v>70</v>
      </c>
      <c r="H33" s="179" t="s">
        <v>18</v>
      </c>
      <c r="I33" s="179"/>
      <c r="J33" s="179"/>
      <c r="K33" s="179" t="s">
        <v>19</v>
      </c>
      <c r="L33" s="179"/>
      <c r="M33" s="179"/>
      <c r="N33" s="179" t="s">
        <v>20</v>
      </c>
      <c r="O33" s="179"/>
      <c r="P33" s="185"/>
    </row>
    <row r="34" spans="1:16" ht="21.75" customHeight="1" thickBot="1">
      <c r="A34" s="183"/>
      <c r="B34" s="184"/>
      <c r="C34" s="209"/>
      <c r="D34" s="210"/>
      <c r="E34" s="210"/>
      <c r="F34" s="210"/>
      <c r="G34" s="212"/>
      <c r="H34" s="186"/>
      <c r="I34" s="186"/>
      <c r="J34" s="186"/>
      <c r="K34" s="186"/>
      <c r="L34" s="186"/>
      <c r="M34" s="186"/>
      <c r="N34" s="186"/>
      <c r="O34" s="186"/>
      <c r="P34" s="187"/>
    </row>
    <row r="35" spans="1:16" ht="9" customHeight="1" thickBo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</row>
    <row r="36" spans="1:16" ht="21.75" customHeight="1">
      <c r="A36" s="178" t="s">
        <v>21</v>
      </c>
      <c r="B36" s="179"/>
      <c r="C36" s="180" t="s">
        <v>20</v>
      </c>
      <c r="D36" s="180"/>
      <c r="E36" s="179"/>
      <c r="F36" s="179"/>
      <c r="G36" s="179"/>
      <c r="H36" s="179"/>
      <c r="I36" s="179" t="s">
        <v>22</v>
      </c>
      <c r="J36" s="179"/>
      <c r="K36" s="173"/>
      <c r="L36" s="173"/>
      <c r="M36" s="173"/>
      <c r="N36" s="173"/>
      <c r="O36" s="173"/>
      <c r="P36" s="174"/>
    </row>
    <row r="37" spans="1:16" ht="30" customHeight="1" thickBot="1">
      <c r="A37" s="175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7"/>
    </row>
    <row r="38" spans="1:16" ht="9" customHeight="1" thickBo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</row>
    <row r="39" spans="1:16" ht="21.75" customHeight="1">
      <c r="A39" s="178" t="s">
        <v>23</v>
      </c>
      <c r="B39" s="179"/>
      <c r="C39" s="180" t="s">
        <v>24</v>
      </c>
      <c r="D39" s="180"/>
      <c r="E39" s="179" t="s">
        <v>25</v>
      </c>
      <c r="F39" s="179"/>
      <c r="G39" s="179" t="s">
        <v>26</v>
      </c>
      <c r="H39" s="179"/>
      <c r="I39" s="179" t="s">
        <v>27</v>
      </c>
      <c r="J39" s="179"/>
      <c r="K39" s="173"/>
      <c r="L39" s="173"/>
      <c r="M39" s="173"/>
      <c r="N39" s="173"/>
      <c r="O39" s="179" t="s">
        <v>63</v>
      </c>
      <c r="P39" s="185"/>
    </row>
    <row r="40" spans="1:16" ht="30" customHeight="1" thickBot="1">
      <c r="A40" s="175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7"/>
    </row>
    <row r="41" spans="1:16" ht="9" customHeight="1" thickBo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</row>
    <row r="42" spans="1:16" ht="21.75" customHeight="1" thickTop="1">
      <c r="A42" s="188" t="s">
        <v>28</v>
      </c>
      <c r="B42" s="189"/>
      <c r="C42" s="189"/>
      <c r="D42" s="189" t="s">
        <v>29</v>
      </c>
      <c r="E42" s="189"/>
      <c r="F42" s="189"/>
      <c r="G42" s="189" t="s">
        <v>30</v>
      </c>
      <c r="H42" s="189"/>
      <c r="I42" s="190"/>
      <c r="J42" s="47"/>
      <c r="K42" s="191" t="s">
        <v>31</v>
      </c>
      <c r="L42" s="192"/>
      <c r="M42" s="192"/>
      <c r="N42" s="192"/>
      <c r="O42" s="192"/>
      <c r="P42" s="192"/>
    </row>
    <row r="43" spans="1:16" ht="30" customHeight="1" thickBot="1">
      <c r="A43" s="193">
        <f>SUM(A37:P37)</f>
        <v>0</v>
      </c>
      <c r="B43" s="194"/>
      <c r="C43" s="194"/>
      <c r="D43" s="195">
        <f>SUM(A40:P40)</f>
        <v>0</v>
      </c>
      <c r="E43" s="194"/>
      <c r="F43" s="194"/>
      <c r="G43" s="195">
        <f>A43-D43</f>
        <v>0</v>
      </c>
      <c r="H43" s="194"/>
      <c r="I43" s="196"/>
      <c r="J43" s="41"/>
      <c r="K43" s="197" t="s">
        <v>32</v>
      </c>
      <c r="L43" s="198"/>
      <c r="M43" s="198"/>
      <c r="N43" s="198"/>
      <c r="O43" s="198"/>
      <c r="P43" s="198"/>
    </row>
    <row r="44" spans="1:16" ht="13.5" customHeight="1" thickTop="1">
      <c r="A44" s="41"/>
      <c r="B44" s="154"/>
      <c r="C44" s="154"/>
      <c r="D44" s="41"/>
      <c r="E44" s="154"/>
      <c r="F44" s="154"/>
      <c r="G44" s="41"/>
      <c r="H44" s="154"/>
      <c r="I44" s="154"/>
      <c r="J44" s="41"/>
      <c r="K44" s="152"/>
      <c r="L44" s="153"/>
      <c r="M44" s="153"/>
      <c r="N44" s="153"/>
      <c r="O44" s="153"/>
      <c r="P44" s="153"/>
    </row>
    <row r="45" spans="1:16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</row>
    <row r="46" spans="1:16" ht="30" customHeight="1">
      <c r="A46" s="203" t="s">
        <v>16</v>
      </c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182" t="s">
        <v>135</v>
      </c>
      <c r="N46" s="182"/>
      <c r="O46" s="182"/>
      <c r="P46" s="182"/>
    </row>
    <row r="47" spans="1:16" ht="14.25" thickBot="1"/>
    <row r="48" spans="1:16" ht="21.75" customHeight="1">
      <c r="A48" s="178" t="s">
        <v>17</v>
      </c>
      <c r="B48" s="179"/>
      <c r="C48" s="207" t="str">
        <f>賃金集計表!A10</f>
        <v>大元　照美</v>
      </c>
      <c r="D48" s="208"/>
      <c r="E48" s="208"/>
      <c r="F48" s="208"/>
      <c r="G48" s="211" t="s">
        <v>70</v>
      </c>
      <c r="H48" s="179" t="s">
        <v>18</v>
      </c>
      <c r="I48" s="179"/>
      <c r="J48" s="179"/>
      <c r="K48" s="179" t="s">
        <v>19</v>
      </c>
      <c r="L48" s="179"/>
      <c r="M48" s="179"/>
      <c r="N48" s="179" t="s">
        <v>20</v>
      </c>
      <c r="O48" s="179"/>
      <c r="P48" s="185"/>
    </row>
    <row r="49" spans="1:20" ht="21.75" customHeight="1" thickBot="1">
      <c r="A49" s="183"/>
      <c r="B49" s="184"/>
      <c r="C49" s="209"/>
      <c r="D49" s="210"/>
      <c r="E49" s="210"/>
      <c r="F49" s="210"/>
      <c r="G49" s="212"/>
      <c r="H49" s="186">
        <f>賃金集計表!B10</f>
        <v>25</v>
      </c>
      <c r="I49" s="186"/>
      <c r="J49" s="186"/>
      <c r="K49" s="204"/>
      <c r="L49" s="186"/>
      <c r="M49" s="186"/>
      <c r="N49" s="186"/>
      <c r="O49" s="186"/>
      <c r="P49" s="187"/>
      <c r="R49" t="s">
        <v>94</v>
      </c>
    </row>
    <row r="50" spans="1:20" ht="9" customHeight="1" thickBo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</row>
    <row r="51" spans="1:20" ht="21.75" customHeight="1">
      <c r="A51" s="178" t="s">
        <v>21</v>
      </c>
      <c r="B51" s="179"/>
      <c r="C51" s="180" t="s">
        <v>20</v>
      </c>
      <c r="D51" s="180"/>
      <c r="E51" s="179"/>
      <c r="F51" s="179"/>
      <c r="G51" s="179"/>
      <c r="H51" s="179"/>
      <c r="I51" s="179" t="s">
        <v>22</v>
      </c>
      <c r="J51" s="179"/>
      <c r="K51" s="173"/>
      <c r="L51" s="173"/>
      <c r="M51" s="173"/>
      <c r="N51" s="173"/>
      <c r="O51" s="173"/>
      <c r="P51" s="174"/>
      <c r="R51" s="46"/>
      <c r="T51" s="46"/>
    </row>
    <row r="52" spans="1:20" ht="30" customHeight="1" thickBot="1">
      <c r="A52" s="175">
        <f>賃金集計表!H10</f>
        <v>150000</v>
      </c>
      <c r="B52" s="176"/>
      <c r="C52" s="176"/>
      <c r="D52" s="176"/>
      <c r="E52" s="176"/>
      <c r="F52" s="176"/>
      <c r="G52" s="176"/>
      <c r="H52" s="176"/>
      <c r="I52" s="176">
        <f>賃金集計表!M10</f>
        <v>0</v>
      </c>
      <c r="J52" s="176"/>
      <c r="K52" s="176"/>
      <c r="L52" s="176"/>
      <c r="M52" s="176"/>
      <c r="N52" s="176"/>
      <c r="O52" s="176"/>
      <c r="P52" s="177"/>
    </row>
    <row r="53" spans="1:20" ht="9" customHeight="1" thickBo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1:20" ht="21.75" customHeight="1">
      <c r="A54" s="178" t="s">
        <v>23</v>
      </c>
      <c r="B54" s="179"/>
      <c r="C54" s="180" t="s">
        <v>24</v>
      </c>
      <c r="D54" s="180"/>
      <c r="E54" s="179" t="s">
        <v>25</v>
      </c>
      <c r="F54" s="179"/>
      <c r="G54" s="179" t="s">
        <v>26</v>
      </c>
      <c r="H54" s="179"/>
      <c r="I54" s="179" t="s">
        <v>27</v>
      </c>
      <c r="J54" s="179"/>
      <c r="K54" s="173"/>
      <c r="L54" s="173"/>
      <c r="M54" s="173"/>
      <c r="N54" s="173"/>
      <c r="O54" s="179" t="s">
        <v>63</v>
      </c>
      <c r="P54" s="185"/>
    </row>
    <row r="55" spans="1:20" ht="30" customHeight="1" thickBot="1">
      <c r="A55" s="175">
        <f>賃金集計表!P10</f>
        <v>8708</v>
      </c>
      <c r="B55" s="176"/>
      <c r="C55" s="176">
        <f>賃金集計表!Q10</f>
        <v>13106</v>
      </c>
      <c r="D55" s="176"/>
      <c r="E55" s="176">
        <f>賃金集計表!R10</f>
        <v>750</v>
      </c>
      <c r="F55" s="176"/>
      <c r="G55" s="176">
        <f>賃金集計表!T10</f>
        <v>0</v>
      </c>
      <c r="H55" s="176"/>
      <c r="I55" s="176">
        <f>賃金集計表!S10</f>
        <v>2150</v>
      </c>
      <c r="J55" s="176"/>
      <c r="K55" s="176"/>
      <c r="L55" s="176"/>
      <c r="M55" s="176"/>
      <c r="N55" s="176"/>
      <c r="O55" s="176">
        <f>賃金集計表!V10</f>
        <v>0</v>
      </c>
      <c r="P55" s="177"/>
    </row>
    <row r="56" spans="1:20" ht="9" customHeight="1" thickBo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</row>
    <row r="57" spans="1:20" ht="21.75" customHeight="1" thickTop="1">
      <c r="A57" s="188" t="s">
        <v>28</v>
      </c>
      <c r="B57" s="189"/>
      <c r="C57" s="189"/>
      <c r="D57" s="189" t="s">
        <v>29</v>
      </c>
      <c r="E57" s="189"/>
      <c r="F57" s="189"/>
      <c r="G57" s="189" t="s">
        <v>30</v>
      </c>
      <c r="H57" s="189"/>
      <c r="I57" s="190"/>
      <c r="J57" s="47"/>
      <c r="K57" s="191" t="s">
        <v>31</v>
      </c>
      <c r="L57" s="192"/>
      <c r="M57" s="192"/>
      <c r="N57" s="192"/>
      <c r="O57" s="192"/>
      <c r="P57" s="192"/>
    </row>
    <row r="58" spans="1:20" ht="30" customHeight="1" thickBot="1">
      <c r="A58" s="193">
        <f>SUM(A52:P52)</f>
        <v>150000</v>
      </c>
      <c r="B58" s="194"/>
      <c r="C58" s="194"/>
      <c r="D58" s="195">
        <f>SUM(A55:P55)</f>
        <v>24714</v>
      </c>
      <c r="E58" s="194"/>
      <c r="F58" s="194"/>
      <c r="G58" s="195">
        <f>A58-D58</f>
        <v>125286</v>
      </c>
      <c r="H58" s="194"/>
      <c r="I58" s="196"/>
      <c r="J58" s="41"/>
      <c r="K58" s="197" t="s">
        <v>32</v>
      </c>
      <c r="L58" s="198"/>
      <c r="M58" s="198"/>
      <c r="N58" s="198"/>
      <c r="O58" s="198"/>
      <c r="P58" s="198"/>
    </row>
    <row r="59" spans="1:20" ht="14.25" thickTop="1"/>
    <row r="61" spans="1:20" ht="30" customHeight="1">
      <c r="A61" s="199" t="s">
        <v>16</v>
      </c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200" t="s">
        <v>135</v>
      </c>
      <c r="N61" s="200"/>
      <c r="O61" s="200"/>
      <c r="P61" s="200"/>
    </row>
    <row r="62" spans="1:20" ht="14.25" thickBo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</row>
    <row r="63" spans="1:20" ht="21.75" customHeight="1">
      <c r="A63" s="178" t="s">
        <v>17</v>
      </c>
      <c r="B63" s="179"/>
      <c r="C63" s="207" t="str">
        <f>賃金集計表!A11</f>
        <v>瀬戸　光代</v>
      </c>
      <c r="D63" s="208"/>
      <c r="E63" s="208"/>
      <c r="F63" s="208"/>
      <c r="G63" s="211" t="s">
        <v>70</v>
      </c>
      <c r="H63" s="179" t="s">
        <v>18</v>
      </c>
      <c r="I63" s="179"/>
      <c r="J63" s="179"/>
      <c r="K63" s="179" t="s">
        <v>19</v>
      </c>
      <c r="L63" s="179"/>
      <c r="M63" s="179"/>
      <c r="N63" s="179" t="s">
        <v>20</v>
      </c>
      <c r="O63" s="179"/>
      <c r="P63" s="185"/>
    </row>
    <row r="64" spans="1:20" ht="21.75" customHeight="1" thickBot="1">
      <c r="A64" s="183"/>
      <c r="B64" s="184"/>
      <c r="C64" s="209"/>
      <c r="D64" s="210"/>
      <c r="E64" s="210"/>
      <c r="F64" s="210"/>
      <c r="G64" s="212"/>
      <c r="H64" s="186">
        <f>賃金集計表!B11</f>
        <v>21</v>
      </c>
      <c r="I64" s="186"/>
      <c r="J64" s="186"/>
      <c r="K64" s="204">
        <f>賃金集計表!D11</f>
        <v>6.1923611111111114</v>
      </c>
      <c r="L64" s="204"/>
      <c r="M64" s="204"/>
      <c r="N64" s="186">
        <f>'8月分'!AM22</f>
        <v>0</v>
      </c>
      <c r="O64" s="186"/>
      <c r="P64" s="187"/>
      <c r="R64" s="102">
        <v>4.2263888888888888</v>
      </c>
      <c r="S64">
        <v>800</v>
      </c>
      <c r="T64" s="102">
        <f>R64*S64</f>
        <v>3381.1111111111109</v>
      </c>
    </row>
    <row r="65" spans="1:16" ht="9" customHeight="1" thickBo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 ht="21.75" customHeight="1">
      <c r="A66" s="178" t="s">
        <v>21</v>
      </c>
      <c r="B66" s="179"/>
      <c r="C66" s="180" t="s">
        <v>20</v>
      </c>
      <c r="D66" s="180"/>
      <c r="E66" s="179"/>
      <c r="F66" s="179"/>
      <c r="G66" s="179"/>
      <c r="H66" s="179"/>
      <c r="I66" s="179" t="s">
        <v>22</v>
      </c>
      <c r="J66" s="179"/>
      <c r="K66" s="173"/>
      <c r="L66" s="173"/>
      <c r="M66" s="173"/>
      <c r="N66" s="173"/>
      <c r="O66" s="173"/>
      <c r="P66" s="174"/>
    </row>
    <row r="67" spans="1:16" ht="30" customHeight="1" thickBot="1">
      <c r="A67" s="175">
        <f>賃金集計表!H11</f>
        <v>118893.33333333334</v>
      </c>
      <c r="B67" s="176"/>
      <c r="C67" s="176"/>
      <c r="D67" s="176"/>
      <c r="E67" s="176"/>
      <c r="F67" s="176"/>
      <c r="G67" s="176"/>
      <c r="H67" s="176"/>
      <c r="I67" s="176">
        <f>賃金集計表!K11</f>
        <v>5000</v>
      </c>
      <c r="J67" s="176"/>
      <c r="K67" s="176"/>
      <c r="L67" s="176"/>
      <c r="M67" s="176"/>
      <c r="N67" s="176"/>
      <c r="O67" s="176"/>
      <c r="P67" s="177"/>
    </row>
    <row r="68" spans="1:16" ht="9" customHeight="1" thickBo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 ht="21.75" customHeight="1">
      <c r="A69" s="178" t="s">
        <v>23</v>
      </c>
      <c r="B69" s="179"/>
      <c r="C69" s="180" t="s">
        <v>24</v>
      </c>
      <c r="D69" s="180"/>
      <c r="E69" s="179" t="s">
        <v>25</v>
      </c>
      <c r="F69" s="179"/>
      <c r="G69" s="179" t="s">
        <v>26</v>
      </c>
      <c r="H69" s="179"/>
      <c r="I69" s="179" t="s">
        <v>27</v>
      </c>
      <c r="J69" s="179"/>
      <c r="K69" s="173"/>
      <c r="L69" s="173"/>
      <c r="M69" s="173"/>
      <c r="N69" s="173"/>
      <c r="O69" s="179" t="s">
        <v>63</v>
      </c>
      <c r="P69" s="185"/>
    </row>
    <row r="70" spans="1:16" ht="30" customHeight="1" thickBot="1">
      <c r="A70" s="175"/>
      <c r="B70" s="176"/>
      <c r="C70" s="176"/>
      <c r="D70" s="176"/>
      <c r="E70" s="176">
        <f>賃金集計表!R11</f>
        <v>619.4666666666667</v>
      </c>
      <c r="F70" s="176"/>
      <c r="G70" s="176"/>
      <c r="H70" s="176"/>
      <c r="I70" s="176">
        <f>賃金集計表!S11</f>
        <v>1950</v>
      </c>
      <c r="J70" s="176"/>
      <c r="K70" s="176"/>
      <c r="L70" s="176"/>
      <c r="M70" s="176"/>
      <c r="N70" s="176"/>
      <c r="O70" s="176">
        <f>賃金集計表!V11</f>
        <v>0</v>
      </c>
      <c r="P70" s="177"/>
    </row>
    <row r="71" spans="1:16" ht="9" customHeight="1" thickBo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 ht="21.75" customHeight="1" thickTop="1">
      <c r="A72" s="188" t="s">
        <v>28</v>
      </c>
      <c r="B72" s="189"/>
      <c r="C72" s="189"/>
      <c r="D72" s="189" t="s">
        <v>29</v>
      </c>
      <c r="E72" s="189"/>
      <c r="F72" s="189"/>
      <c r="G72" s="189" t="s">
        <v>30</v>
      </c>
      <c r="H72" s="189"/>
      <c r="I72" s="190"/>
      <c r="J72" s="47"/>
      <c r="K72" s="191" t="s">
        <v>31</v>
      </c>
      <c r="L72" s="201"/>
      <c r="M72" s="201"/>
      <c r="N72" s="201"/>
      <c r="O72" s="201"/>
      <c r="P72" s="201"/>
    </row>
    <row r="73" spans="1:16" ht="30" customHeight="1" thickBot="1">
      <c r="A73" s="193">
        <f>SUM(A67:P67)</f>
        <v>123893.33333333334</v>
      </c>
      <c r="B73" s="194"/>
      <c r="C73" s="194"/>
      <c r="D73" s="195">
        <f>SUM(A70:P70)</f>
        <v>2569.4666666666667</v>
      </c>
      <c r="E73" s="194"/>
      <c r="F73" s="194"/>
      <c r="G73" s="195">
        <f>A73-D73</f>
        <v>121323.86666666668</v>
      </c>
      <c r="H73" s="194"/>
      <c r="I73" s="196"/>
      <c r="J73" s="41"/>
      <c r="K73" s="197" t="s">
        <v>32</v>
      </c>
      <c r="L73" s="202"/>
      <c r="M73" s="202"/>
      <c r="N73" s="202"/>
      <c r="O73" s="202"/>
      <c r="P73" s="202"/>
    </row>
    <row r="74" spans="1:16" ht="14.25" thickTop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</row>
    <row r="75" spans="1:16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spans="1:16" ht="30" customHeight="1">
      <c r="A76" s="181" t="s">
        <v>16</v>
      </c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2" t="s">
        <v>135</v>
      </c>
      <c r="N76" s="182"/>
      <c r="O76" s="182"/>
      <c r="P76" s="182"/>
    </row>
    <row r="77" spans="1:16" ht="14.25" thickBot="1"/>
    <row r="78" spans="1:16" ht="21.75" customHeight="1">
      <c r="A78" s="178" t="s">
        <v>17</v>
      </c>
      <c r="B78" s="179"/>
      <c r="C78" s="207">
        <f>賃金集計表!A12</f>
        <v>0</v>
      </c>
      <c r="D78" s="208"/>
      <c r="E78" s="208"/>
      <c r="F78" s="208"/>
      <c r="G78" s="211" t="s">
        <v>70</v>
      </c>
      <c r="H78" s="179" t="s">
        <v>18</v>
      </c>
      <c r="I78" s="179"/>
      <c r="J78" s="179"/>
      <c r="K78" s="179" t="s">
        <v>19</v>
      </c>
      <c r="L78" s="179"/>
      <c r="M78" s="179"/>
      <c r="N78" s="179" t="s">
        <v>20</v>
      </c>
      <c r="O78" s="179"/>
      <c r="P78" s="185"/>
    </row>
    <row r="79" spans="1:16" ht="21.75" customHeight="1" thickBot="1">
      <c r="A79" s="183"/>
      <c r="B79" s="184"/>
      <c r="C79" s="209"/>
      <c r="D79" s="210"/>
      <c r="E79" s="210"/>
      <c r="F79" s="210"/>
      <c r="G79" s="212"/>
      <c r="H79" s="186">
        <f>賃金集計表!B12</f>
        <v>0</v>
      </c>
      <c r="I79" s="186"/>
      <c r="J79" s="186"/>
      <c r="K79" s="204">
        <f>賃金集計表!D12</f>
        <v>0</v>
      </c>
      <c r="L79" s="204"/>
      <c r="M79" s="204"/>
      <c r="N79" s="186"/>
      <c r="O79" s="186"/>
      <c r="P79" s="187"/>
    </row>
    <row r="80" spans="1:16" ht="9" customHeight="1" thickBo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</row>
    <row r="81" spans="1:20" ht="21.75" customHeight="1">
      <c r="A81" s="178" t="s">
        <v>21</v>
      </c>
      <c r="B81" s="179"/>
      <c r="C81" s="180" t="s">
        <v>20</v>
      </c>
      <c r="D81" s="180"/>
      <c r="E81" s="179"/>
      <c r="F81" s="179"/>
      <c r="G81" s="179" t="s">
        <v>74</v>
      </c>
      <c r="H81" s="179"/>
      <c r="I81" s="179" t="s">
        <v>22</v>
      </c>
      <c r="J81" s="179"/>
      <c r="K81" s="173"/>
      <c r="L81" s="173"/>
      <c r="M81" s="173"/>
      <c r="N81" s="173"/>
      <c r="O81" s="173"/>
      <c r="P81" s="174"/>
    </row>
    <row r="82" spans="1:20" ht="30" customHeight="1" thickBot="1">
      <c r="A82" s="175">
        <f>賃金集計表!H12</f>
        <v>0</v>
      </c>
      <c r="B82" s="176"/>
      <c r="C82" s="176"/>
      <c r="D82" s="176"/>
      <c r="E82" s="176"/>
      <c r="F82" s="176"/>
      <c r="G82" s="176">
        <f>賃金集計表!K12</f>
        <v>0</v>
      </c>
      <c r="H82" s="176"/>
      <c r="I82" s="176"/>
      <c r="J82" s="176"/>
      <c r="K82" s="176"/>
      <c r="L82" s="176"/>
      <c r="M82" s="176"/>
      <c r="N82" s="176"/>
      <c r="O82" s="176"/>
      <c r="P82" s="177"/>
    </row>
    <row r="83" spans="1:20" ht="9" customHeight="1" thickBo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</row>
    <row r="84" spans="1:20" ht="21.75" customHeight="1">
      <c r="A84" s="178" t="s">
        <v>23</v>
      </c>
      <c r="B84" s="179"/>
      <c r="C84" s="180" t="s">
        <v>24</v>
      </c>
      <c r="D84" s="180"/>
      <c r="E84" s="179" t="s">
        <v>25</v>
      </c>
      <c r="F84" s="179"/>
      <c r="G84" s="179" t="s">
        <v>26</v>
      </c>
      <c r="H84" s="179"/>
      <c r="I84" s="179" t="s">
        <v>27</v>
      </c>
      <c r="J84" s="179"/>
      <c r="K84" s="173"/>
      <c r="L84" s="173"/>
      <c r="M84" s="173"/>
      <c r="N84" s="173"/>
      <c r="O84" s="179" t="s">
        <v>63</v>
      </c>
      <c r="P84" s="185"/>
    </row>
    <row r="85" spans="1:20" ht="30" customHeight="1" thickBot="1">
      <c r="A85" s="175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7"/>
    </row>
    <row r="86" spans="1:20" ht="9" customHeight="1" thickBo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</row>
    <row r="87" spans="1:20" ht="21.75" customHeight="1" thickTop="1">
      <c r="A87" s="188" t="s">
        <v>28</v>
      </c>
      <c r="B87" s="189"/>
      <c r="C87" s="189"/>
      <c r="D87" s="189" t="s">
        <v>29</v>
      </c>
      <c r="E87" s="189"/>
      <c r="F87" s="189"/>
      <c r="G87" s="189" t="s">
        <v>30</v>
      </c>
      <c r="H87" s="189"/>
      <c r="I87" s="190"/>
      <c r="J87" s="101"/>
      <c r="K87" s="191" t="s">
        <v>31</v>
      </c>
      <c r="L87" s="192"/>
      <c r="M87" s="192"/>
      <c r="N87" s="192"/>
      <c r="O87" s="192"/>
      <c r="P87" s="192"/>
    </row>
    <row r="88" spans="1:20" ht="30" customHeight="1" thickBot="1">
      <c r="A88" s="193">
        <f>SUM(A82:P82)</f>
        <v>0</v>
      </c>
      <c r="B88" s="194"/>
      <c r="C88" s="194"/>
      <c r="D88" s="195">
        <f>SUM(A85:P85)</f>
        <v>0</v>
      </c>
      <c r="E88" s="194"/>
      <c r="F88" s="194"/>
      <c r="G88" s="195">
        <f>A88-D88</f>
        <v>0</v>
      </c>
      <c r="H88" s="194"/>
      <c r="I88" s="196"/>
      <c r="J88" s="41"/>
      <c r="K88" s="197" t="s">
        <v>32</v>
      </c>
      <c r="L88" s="198"/>
      <c r="M88" s="198"/>
      <c r="N88" s="198"/>
      <c r="O88" s="198"/>
      <c r="P88" s="198"/>
    </row>
    <row r="89" spans="1:20" ht="13.5" customHeight="1" thickTop="1">
      <c r="A89" s="41"/>
      <c r="B89" s="154"/>
      <c r="C89" s="154"/>
      <c r="D89" s="41"/>
      <c r="E89" s="154"/>
      <c r="F89" s="154"/>
      <c r="G89" s="41"/>
      <c r="H89" s="154"/>
      <c r="I89" s="154"/>
      <c r="J89" s="41"/>
      <c r="K89" s="152"/>
      <c r="L89" s="153"/>
      <c r="M89" s="153"/>
      <c r="N89" s="153"/>
      <c r="O89" s="153"/>
      <c r="P89" s="153"/>
    </row>
    <row r="90" spans="1:2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</row>
    <row r="91" spans="1:20" ht="30" customHeight="1">
      <c r="A91" s="203" t="s">
        <v>16</v>
      </c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182" t="s">
        <v>135</v>
      </c>
      <c r="N91" s="182"/>
      <c r="O91" s="182"/>
      <c r="P91" s="182"/>
    </row>
    <row r="92" spans="1:20" ht="14.25" thickBot="1"/>
    <row r="93" spans="1:20" ht="21.75" customHeight="1">
      <c r="A93" s="178" t="s">
        <v>17</v>
      </c>
      <c r="B93" s="179"/>
      <c r="C93" s="207" t="str">
        <f>賃金集計表!A16</f>
        <v>山内　龍一</v>
      </c>
      <c r="D93" s="208"/>
      <c r="E93" s="208"/>
      <c r="F93" s="208"/>
      <c r="G93" s="211" t="s">
        <v>70</v>
      </c>
      <c r="H93" s="179" t="s">
        <v>18</v>
      </c>
      <c r="I93" s="179"/>
      <c r="J93" s="179"/>
      <c r="K93" s="179" t="s">
        <v>19</v>
      </c>
      <c r="L93" s="179"/>
      <c r="M93" s="179"/>
      <c r="N93" s="179" t="s">
        <v>20</v>
      </c>
      <c r="O93" s="179"/>
      <c r="P93" s="185"/>
    </row>
    <row r="94" spans="1:20" ht="21.75" customHeight="1" thickBot="1">
      <c r="A94" s="183"/>
      <c r="B94" s="184"/>
      <c r="C94" s="209"/>
      <c r="D94" s="210"/>
      <c r="E94" s="210"/>
      <c r="F94" s="210"/>
      <c r="G94" s="212"/>
      <c r="H94" s="186">
        <f>賃金集計表!B16</f>
        <v>19</v>
      </c>
      <c r="I94" s="186"/>
      <c r="J94" s="186"/>
      <c r="K94" s="204"/>
      <c r="L94" s="186"/>
      <c r="M94" s="186"/>
      <c r="N94" s="186"/>
      <c r="O94" s="186"/>
      <c r="P94" s="187"/>
    </row>
    <row r="95" spans="1:20" ht="9" customHeight="1" thickBo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</row>
    <row r="96" spans="1:20" ht="21.75" customHeight="1">
      <c r="A96" s="178" t="s">
        <v>21</v>
      </c>
      <c r="B96" s="179"/>
      <c r="C96" s="180" t="s">
        <v>20</v>
      </c>
      <c r="D96" s="180"/>
      <c r="E96" s="179"/>
      <c r="F96" s="179"/>
      <c r="G96" s="179"/>
      <c r="H96" s="179"/>
      <c r="I96" s="179" t="s">
        <v>22</v>
      </c>
      <c r="J96" s="179"/>
      <c r="K96" s="173"/>
      <c r="L96" s="173"/>
      <c r="M96" s="173"/>
      <c r="N96" s="173"/>
      <c r="O96" s="173"/>
      <c r="P96" s="174"/>
      <c r="R96" s="46"/>
      <c r="T96" s="46"/>
    </row>
    <row r="97" spans="1:16" ht="30" customHeight="1" thickBot="1">
      <c r="A97" s="175">
        <f>賃金集計表!H16</f>
        <v>19000</v>
      </c>
      <c r="B97" s="176"/>
      <c r="C97" s="176"/>
      <c r="D97" s="176"/>
      <c r="E97" s="176"/>
      <c r="F97" s="176"/>
      <c r="G97" s="176"/>
      <c r="H97" s="176"/>
      <c r="I97" s="176">
        <f>賃金集計表!K16</f>
        <v>0</v>
      </c>
      <c r="J97" s="176"/>
      <c r="K97" s="176"/>
      <c r="L97" s="176"/>
      <c r="M97" s="176"/>
      <c r="N97" s="176"/>
      <c r="O97" s="176"/>
      <c r="P97" s="177"/>
    </row>
    <row r="98" spans="1:16" ht="9" customHeight="1" thickBo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</row>
    <row r="99" spans="1:16" ht="21.75" customHeight="1">
      <c r="A99" s="178" t="s">
        <v>23</v>
      </c>
      <c r="B99" s="179"/>
      <c r="C99" s="180" t="s">
        <v>24</v>
      </c>
      <c r="D99" s="180"/>
      <c r="E99" s="179" t="s">
        <v>25</v>
      </c>
      <c r="F99" s="179"/>
      <c r="G99" s="179" t="s">
        <v>26</v>
      </c>
      <c r="H99" s="179"/>
      <c r="I99" s="179" t="s">
        <v>27</v>
      </c>
      <c r="J99" s="179"/>
      <c r="K99" s="173"/>
      <c r="L99" s="173"/>
      <c r="M99" s="173"/>
      <c r="N99" s="173"/>
      <c r="O99" s="179" t="s">
        <v>63</v>
      </c>
      <c r="P99" s="185"/>
    </row>
    <row r="100" spans="1:16" ht="30" customHeight="1" thickBot="1">
      <c r="A100" s="175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>
        <f>賃金集計表!V16</f>
        <v>6300</v>
      </c>
      <c r="P100" s="177"/>
    </row>
    <row r="101" spans="1:16" ht="9" customHeight="1" thickBo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</row>
    <row r="102" spans="1:16" ht="21.75" customHeight="1" thickTop="1">
      <c r="A102" s="188" t="s">
        <v>28</v>
      </c>
      <c r="B102" s="189"/>
      <c r="C102" s="189"/>
      <c r="D102" s="189" t="s">
        <v>29</v>
      </c>
      <c r="E102" s="189"/>
      <c r="F102" s="189"/>
      <c r="G102" s="189" t="s">
        <v>30</v>
      </c>
      <c r="H102" s="189"/>
      <c r="I102" s="190"/>
      <c r="J102" s="101"/>
      <c r="K102" s="191" t="s">
        <v>31</v>
      </c>
      <c r="L102" s="192"/>
      <c r="M102" s="192"/>
      <c r="N102" s="192"/>
      <c r="O102" s="192"/>
      <c r="P102" s="192"/>
    </row>
    <row r="103" spans="1:16" ht="30" customHeight="1" thickBot="1">
      <c r="A103" s="193">
        <f>SUM(A97:P97)</f>
        <v>19000</v>
      </c>
      <c r="B103" s="194"/>
      <c r="C103" s="194"/>
      <c r="D103" s="195">
        <f>SUM(A100:P100)</f>
        <v>6300</v>
      </c>
      <c r="E103" s="194"/>
      <c r="F103" s="194"/>
      <c r="G103" s="195">
        <f>A103-D103</f>
        <v>12700</v>
      </c>
      <c r="H103" s="194"/>
      <c r="I103" s="196"/>
      <c r="J103" s="41"/>
      <c r="K103" s="197" t="s">
        <v>32</v>
      </c>
      <c r="L103" s="198"/>
      <c r="M103" s="198"/>
      <c r="N103" s="198"/>
      <c r="O103" s="198"/>
      <c r="P103" s="198"/>
    </row>
    <row r="104" spans="1:16" ht="14.25" thickTop="1"/>
    <row r="106" spans="1:16" ht="30" customHeight="1">
      <c r="A106" s="199" t="s">
        <v>16</v>
      </c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200" t="s">
        <v>135</v>
      </c>
      <c r="N106" s="200"/>
      <c r="O106" s="200"/>
      <c r="P106" s="200"/>
    </row>
    <row r="107" spans="1:16" ht="14.25" thickBo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</row>
    <row r="108" spans="1:16" ht="21.75" customHeight="1">
      <c r="A108" s="178" t="s">
        <v>17</v>
      </c>
      <c r="B108" s="179"/>
      <c r="C108" s="207" t="str">
        <f>賃金集計表!A17</f>
        <v>山下恵美子</v>
      </c>
      <c r="D108" s="208"/>
      <c r="E108" s="208"/>
      <c r="F108" s="208"/>
      <c r="G108" s="211" t="s">
        <v>70</v>
      </c>
      <c r="H108" s="179" t="s">
        <v>18</v>
      </c>
      <c r="I108" s="179"/>
      <c r="J108" s="179"/>
      <c r="K108" s="179" t="s">
        <v>19</v>
      </c>
      <c r="L108" s="179"/>
      <c r="M108" s="179"/>
      <c r="N108" s="179" t="s">
        <v>20</v>
      </c>
      <c r="O108" s="179"/>
      <c r="P108" s="185"/>
    </row>
    <row r="109" spans="1:16" ht="21.75" customHeight="1" thickBot="1">
      <c r="A109" s="183"/>
      <c r="B109" s="184"/>
      <c r="C109" s="209"/>
      <c r="D109" s="210"/>
      <c r="E109" s="210"/>
      <c r="F109" s="210"/>
      <c r="G109" s="212"/>
      <c r="H109" s="186">
        <f>賃金集計表!B17</f>
        <v>19</v>
      </c>
      <c r="I109" s="186"/>
      <c r="J109" s="186"/>
      <c r="K109" s="205"/>
      <c r="L109" s="186"/>
      <c r="M109" s="186"/>
      <c r="N109" s="186"/>
      <c r="O109" s="186"/>
      <c r="P109" s="187"/>
    </row>
    <row r="110" spans="1:16" ht="9" customHeight="1" thickBo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</row>
    <row r="111" spans="1:16" ht="21.75" customHeight="1">
      <c r="A111" s="178" t="s">
        <v>21</v>
      </c>
      <c r="B111" s="179"/>
      <c r="C111" s="180" t="s">
        <v>20</v>
      </c>
      <c r="D111" s="180"/>
      <c r="E111" s="179"/>
      <c r="F111" s="179"/>
      <c r="G111" s="179"/>
      <c r="H111" s="179"/>
      <c r="I111" s="179" t="s">
        <v>22</v>
      </c>
      <c r="J111" s="179"/>
      <c r="K111" s="173"/>
      <c r="L111" s="173"/>
      <c r="M111" s="173"/>
      <c r="N111" s="173"/>
      <c r="O111" s="173"/>
      <c r="P111" s="174"/>
    </row>
    <row r="112" spans="1:16" ht="30" customHeight="1" thickBot="1">
      <c r="A112" s="175">
        <f>賃金集計表!H17</f>
        <v>19000</v>
      </c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7"/>
    </row>
    <row r="113" spans="1:16" ht="9" customHeight="1" thickBo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</row>
    <row r="114" spans="1:16" ht="21.75" customHeight="1">
      <c r="A114" s="178" t="s">
        <v>23</v>
      </c>
      <c r="B114" s="179"/>
      <c r="C114" s="180" t="s">
        <v>24</v>
      </c>
      <c r="D114" s="180"/>
      <c r="E114" s="179" t="s">
        <v>25</v>
      </c>
      <c r="F114" s="179"/>
      <c r="G114" s="179" t="s">
        <v>26</v>
      </c>
      <c r="H114" s="179"/>
      <c r="I114" s="179" t="s">
        <v>27</v>
      </c>
      <c r="J114" s="179"/>
      <c r="K114" s="173"/>
      <c r="L114" s="173"/>
      <c r="M114" s="173"/>
      <c r="N114" s="173"/>
      <c r="O114" s="179" t="s">
        <v>63</v>
      </c>
      <c r="P114" s="185"/>
    </row>
    <row r="115" spans="1:16" ht="30" customHeight="1" thickBot="1">
      <c r="A115" s="175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>
        <f>賃金集計表!V17</f>
        <v>6300</v>
      </c>
      <c r="P115" s="177"/>
    </row>
    <row r="116" spans="1:16" ht="9" customHeight="1" thickBo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</row>
    <row r="117" spans="1:16" ht="21.75" customHeight="1" thickTop="1">
      <c r="A117" s="188" t="s">
        <v>28</v>
      </c>
      <c r="B117" s="189"/>
      <c r="C117" s="189"/>
      <c r="D117" s="189" t="s">
        <v>29</v>
      </c>
      <c r="E117" s="189"/>
      <c r="F117" s="189"/>
      <c r="G117" s="189" t="s">
        <v>30</v>
      </c>
      <c r="H117" s="189"/>
      <c r="I117" s="190"/>
      <c r="J117" s="101"/>
      <c r="K117" s="191" t="s">
        <v>31</v>
      </c>
      <c r="L117" s="201"/>
      <c r="M117" s="201"/>
      <c r="N117" s="201"/>
      <c r="O117" s="201"/>
      <c r="P117" s="201"/>
    </row>
    <row r="118" spans="1:16" ht="30" customHeight="1" thickBot="1">
      <c r="A118" s="193">
        <f>SUM(A112:P112)</f>
        <v>19000</v>
      </c>
      <c r="B118" s="194"/>
      <c r="C118" s="194"/>
      <c r="D118" s="195">
        <f>SUM(A115:P115)</f>
        <v>6300</v>
      </c>
      <c r="E118" s="194"/>
      <c r="F118" s="194"/>
      <c r="G118" s="195">
        <f>A118-D118</f>
        <v>12700</v>
      </c>
      <c r="H118" s="194"/>
      <c r="I118" s="196"/>
      <c r="J118" s="41"/>
      <c r="K118" s="197" t="s">
        <v>32</v>
      </c>
      <c r="L118" s="202"/>
      <c r="M118" s="202"/>
      <c r="N118" s="202"/>
      <c r="O118" s="202"/>
      <c r="P118" s="202"/>
    </row>
    <row r="119" spans="1:16" ht="14.25" thickTop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</row>
    <row r="120" spans="1:16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</row>
    <row r="121" spans="1:16" ht="30" customHeight="1">
      <c r="A121" s="181" t="s">
        <v>16</v>
      </c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200" t="s">
        <v>135</v>
      </c>
      <c r="N121" s="200"/>
      <c r="O121" s="200"/>
      <c r="P121" s="200"/>
    </row>
    <row r="122" spans="1:16" ht="14.25" thickBot="1"/>
    <row r="123" spans="1:16" ht="21.75" customHeight="1">
      <c r="A123" s="178" t="s">
        <v>17</v>
      </c>
      <c r="B123" s="179"/>
      <c r="C123" s="207" t="str">
        <f>賃金集計表!A18</f>
        <v>川上　智樹</v>
      </c>
      <c r="D123" s="208"/>
      <c r="E123" s="208"/>
      <c r="F123" s="208"/>
      <c r="G123" s="211" t="s">
        <v>70</v>
      </c>
      <c r="H123" s="179" t="s">
        <v>18</v>
      </c>
      <c r="I123" s="179"/>
      <c r="J123" s="179"/>
      <c r="K123" s="179" t="s">
        <v>19</v>
      </c>
      <c r="L123" s="179"/>
      <c r="M123" s="179"/>
      <c r="N123" s="179" t="s">
        <v>20</v>
      </c>
      <c r="O123" s="179"/>
      <c r="P123" s="185"/>
    </row>
    <row r="124" spans="1:16" ht="21.75" customHeight="1" thickBot="1">
      <c r="A124" s="183"/>
      <c r="B124" s="184"/>
      <c r="C124" s="209"/>
      <c r="D124" s="210"/>
      <c r="E124" s="210"/>
      <c r="F124" s="210"/>
      <c r="G124" s="212"/>
      <c r="H124" s="186">
        <f>賃金集計表!B18</f>
        <v>20</v>
      </c>
      <c r="I124" s="186"/>
      <c r="J124" s="186"/>
      <c r="K124" s="186"/>
      <c r="L124" s="186"/>
      <c r="M124" s="186"/>
      <c r="N124" s="186"/>
      <c r="O124" s="186"/>
      <c r="P124" s="187"/>
    </row>
    <row r="125" spans="1:16" ht="9" customHeight="1" thickBo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</row>
    <row r="126" spans="1:16" ht="21.75" customHeight="1">
      <c r="A126" s="178" t="s">
        <v>21</v>
      </c>
      <c r="B126" s="179"/>
      <c r="C126" s="180" t="s">
        <v>20</v>
      </c>
      <c r="D126" s="180"/>
      <c r="E126" s="179"/>
      <c r="F126" s="179"/>
      <c r="G126" s="179"/>
      <c r="H126" s="179"/>
      <c r="I126" s="179" t="s">
        <v>22</v>
      </c>
      <c r="J126" s="179"/>
      <c r="K126" s="173"/>
      <c r="L126" s="173"/>
      <c r="M126" s="173"/>
      <c r="N126" s="173"/>
      <c r="O126" s="173"/>
      <c r="P126" s="174"/>
    </row>
    <row r="127" spans="1:16" ht="30" customHeight="1" thickBot="1">
      <c r="A127" s="175">
        <f>賃金集計表!H18</f>
        <v>30000</v>
      </c>
      <c r="B127" s="176"/>
      <c r="C127" s="176">
        <f>K124*S124</f>
        <v>0</v>
      </c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7"/>
    </row>
    <row r="128" spans="1:16" ht="9" customHeight="1" thickBo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</row>
    <row r="129" spans="1:20" ht="21.75" customHeight="1">
      <c r="A129" s="178" t="s">
        <v>23</v>
      </c>
      <c r="B129" s="179"/>
      <c r="C129" s="180" t="s">
        <v>24</v>
      </c>
      <c r="D129" s="180"/>
      <c r="E129" s="179" t="s">
        <v>25</v>
      </c>
      <c r="F129" s="179"/>
      <c r="G129" s="179" t="s">
        <v>26</v>
      </c>
      <c r="H129" s="179"/>
      <c r="I129" s="179" t="s">
        <v>27</v>
      </c>
      <c r="J129" s="179"/>
      <c r="K129" s="173"/>
      <c r="L129" s="173"/>
      <c r="M129" s="173"/>
      <c r="N129" s="173"/>
      <c r="O129" s="179" t="s">
        <v>63</v>
      </c>
      <c r="P129" s="185"/>
    </row>
    <row r="130" spans="1:20" ht="30" customHeight="1" thickBot="1">
      <c r="A130" s="175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7"/>
    </row>
    <row r="131" spans="1:20" ht="9" customHeight="1" thickBo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</row>
    <row r="132" spans="1:20" ht="21.75" customHeight="1" thickTop="1">
      <c r="A132" s="188" t="s">
        <v>28</v>
      </c>
      <c r="B132" s="189"/>
      <c r="C132" s="189"/>
      <c r="D132" s="189" t="s">
        <v>29</v>
      </c>
      <c r="E132" s="189"/>
      <c r="F132" s="189"/>
      <c r="G132" s="189" t="s">
        <v>30</v>
      </c>
      <c r="H132" s="189"/>
      <c r="I132" s="190"/>
      <c r="J132" s="101"/>
      <c r="K132" s="191" t="s">
        <v>31</v>
      </c>
      <c r="L132" s="192"/>
      <c r="M132" s="192"/>
      <c r="N132" s="192"/>
      <c r="O132" s="192"/>
      <c r="P132" s="192"/>
    </row>
    <row r="133" spans="1:20" ht="30" customHeight="1" thickBot="1">
      <c r="A133" s="193">
        <f>SUM(A127:P127)</f>
        <v>30000</v>
      </c>
      <c r="B133" s="194"/>
      <c r="C133" s="194"/>
      <c r="D133" s="195">
        <f>SUM(A130:P130)</f>
        <v>0</v>
      </c>
      <c r="E133" s="194"/>
      <c r="F133" s="194"/>
      <c r="G133" s="195">
        <f>A133-D133</f>
        <v>30000</v>
      </c>
      <c r="H133" s="194"/>
      <c r="I133" s="196"/>
      <c r="J133" s="41"/>
      <c r="K133" s="197" t="s">
        <v>32</v>
      </c>
      <c r="L133" s="198"/>
      <c r="M133" s="198"/>
      <c r="N133" s="198"/>
      <c r="O133" s="198"/>
      <c r="P133" s="198"/>
    </row>
    <row r="134" spans="1:20" ht="13.5" customHeight="1" thickTop="1">
      <c r="A134" s="41"/>
      <c r="B134" s="154"/>
      <c r="C134" s="154"/>
      <c r="D134" s="41"/>
      <c r="E134" s="154"/>
      <c r="F134" s="154"/>
      <c r="G134" s="41"/>
      <c r="H134" s="154"/>
      <c r="I134" s="154"/>
      <c r="J134" s="41"/>
      <c r="K134" s="152"/>
      <c r="L134" s="153"/>
      <c r="M134" s="153"/>
      <c r="N134" s="153"/>
      <c r="O134" s="153"/>
      <c r="P134" s="153"/>
    </row>
    <row r="135" spans="1:20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</row>
    <row r="136" spans="1:20" ht="30" customHeight="1">
      <c r="A136" s="203" t="s">
        <v>16</v>
      </c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6" t="s">
        <v>135</v>
      </c>
      <c r="N136" s="206"/>
      <c r="O136" s="206"/>
      <c r="P136" s="206"/>
    </row>
    <row r="137" spans="1:20" ht="14.25" thickBot="1"/>
    <row r="138" spans="1:20" ht="21.75" customHeight="1">
      <c r="A138" s="178" t="s">
        <v>17</v>
      </c>
      <c r="B138" s="179"/>
      <c r="C138" s="207" t="str">
        <f>賃金集計表!A19</f>
        <v>上松　正和</v>
      </c>
      <c r="D138" s="208"/>
      <c r="E138" s="208"/>
      <c r="F138" s="208"/>
      <c r="G138" s="211" t="s">
        <v>70</v>
      </c>
      <c r="H138" s="179" t="s">
        <v>18</v>
      </c>
      <c r="I138" s="179"/>
      <c r="J138" s="179"/>
      <c r="K138" s="179" t="s">
        <v>19</v>
      </c>
      <c r="L138" s="179"/>
      <c r="M138" s="179"/>
      <c r="N138" s="179" t="s">
        <v>20</v>
      </c>
      <c r="O138" s="179"/>
      <c r="P138" s="185"/>
    </row>
    <row r="139" spans="1:20" ht="21.75" customHeight="1" thickBot="1">
      <c r="A139" s="183"/>
      <c r="B139" s="184"/>
      <c r="C139" s="209"/>
      <c r="D139" s="210"/>
      <c r="E139" s="210"/>
      <c r="F139" s="210"/>
      <c r="G139" s="212"/>
      <c r="H139" s="186">
        <f>賃金集計表!B19</f>
        <v>20</v>
      </c>
      <c r="I139" s="186"/>
      <c r="J139" s="186"/>
      <c r="K139" s="204"/>
      <c r="L139" s="186"/>
      <c r="M139" s="186"/>
      <c r="N139" s="186"/>
      <c r="O139" s="186"/>
      <c r="P139" s="187"/>
    </row>
    <row r="140" spans="1:20" ht="9" customHeight="1" thickBo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</row>
    <row r="141" spans="1:20" ht="21.75" customHeight="1">
      <c r="A141" s="178" t="s">
        <v>21</v>
      </c>
      <c r="B141" s="179"/>
      <c r="C141" s="180" t="s">
        <v>20</v>
      </c>
      <c r="D141" s="180"/>
      <c r="E141" s="179"/>
      <c r="F141" s="179"/>
      <c r="G141" s="179"/>
      <c r="H141" s="179"/>
      <c r="I141" s="179" t="s">
        <v>22</v>
      </c>
      <c r="J141" s="179"/>
      <c r="K141" s="173"/>
      <c r="L141" s="173"/>
      <c r="M141" s="173"/>
      <c r="N141" s="173"/>
      <c r="O141" s="173"/>
      <c r="P141" s="174"/>
      <c r="R141" s="46"/>
      <c r="T141" s="46"/>
    </row>
    <row r="142" spans="1:20" ht="30" customHeight="1" thickBot="1">
      <c r="A142" s="175">
        <f>賃金集計表!H19</f>
        <v>30000</v>
      </c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7"/>
    </row>
    <row r="143" spans="1:20" ht="9" customHeight="1" thickBo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</row>
    <row r="144" spans="1:20" ht="21.75" customHeight="1">
      <c r="A144" s="178" t="s">
        <v>23</v>
      </c>
      <c r="B144" s="179"/>
      <c r="C144" s="180" t="s">
        <v>24</v>
      </c>
      <c r="D144" s="180"/>
      <c r="E144" s="179" t="s">
        <v>25</v>
      </c>
      <c r="F144" s="179"/>
      <c r="G144" s="179" t="s">
        <v>26</v>
      </c>
      <c r="H144" s="179"/>
      <c r="I144" s="179" t="s">
        <v>27</v>
      </c>
      <c r="J144" s="179"/>
      <c r="K144" s="173"/>
      <c r="L144" s="173"/>
      <c r="M144" s="173"/>
      <c r="N144" s="173"/>
      <c r="O144" s="179" t="s">
        <v>63</v>
      </c>
      <c r="P144" s="185"/>
    </row>
    <row r="145" spans="1:16" ht="30" customHeight="1" thickBot="1">
      <c r="A145" s="175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>
        <f>賃金集計表!V19</f>
        <v>0</v>
      </c>
      <c r="P145" s="177"/>
    </row>
    <row r="146" spans="1:16" ht="9" customHeight="1" thickBo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</row>
    <row r="147" spans="1:16" ht="21.75" customHeight="1" thickTop="1">
      <c r="A147" s="188" t="s">
        <v>28</v>
      </c>
      <c r="B147" s="189"/>
      <c r="C147" s="189"/>
      <c r="D147" s="189" t="s">
        <v>29</v>
      </c>
      <c r="E147" s="189"/>
      <c r="F147" s="189"/>
      <c r="G147" s="189" t="s">
        <v>30</v>
      </c>
      <c r="H147" s="189"/>
      <c r="I147" s="190"/>
      <c r="J147" s="101"/>
      <c r="K147" s="191" t="s">
        <v>31</v>
      </c>
      <c r="L147" s="192"/>
      <c r="M147" s="192"/>
      <c r="N147" s="192"/>
      <c r="O147" s="192"/>
      <c r="P147" s="192"/>
    </row>
    <row r="148" spans="1:16" ht="30" customHeight="1" thickBot="1">
      <c r="A148" s="193">
        <f>SUM(A142:P142)</f>
        <v>30000</v>
      </c>
      <c r="B148" s="194"/>
      <c r="C148" s="194"/>
      <c r="D148" s="195">
        <f>SUM(A145:P145)</f>
        <v>0</v>
      </c>
      <c r="E148" s="194"/>
      <c r="F148" s="194"/>
      <c r="G148" s="195">
        <f>A148-D148</f>
        <v>30000</v>
      </c>
      <c r="H148" s="194"/>
      <c r="I148" s="196"/>
      <c r="J148" s="41"/>
      <c r="K148" s="197" t="s">
        <v>32</v>
      </c>
      <c r="L148" s="198"/>
      <c r="M148" s="198"/>
      <c r="N148" s="198"/>
      <c r="O148" s="198"/>
      <c r="P148" s="198"/>
    </row>
    <row r="149" spans="1:16" ht="14.25" thickTop="1"/>
    <row r="151" spans="1:16" ht="30" customHeight="1">
      <c r="A151" s="199" t="s">
        <v>16</v>
      </c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200" t="s">
        <v>135</v>
      </c>
      <c r="N151" s="200"/>
      <c r="O151" s="200"/>
      <c r="P151" s="200"/>
    </row>
    <row r="152" spans="1:16" ht="14.25" thickBo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</row>
    <row r="153" spans="1:16" ht="21.75" customHeight="1">
      <c r="A153" s="178" t="s">
        <v>17</v>
      </c>
      <c r="B153" s="179"/>
      <c r="C153" s="207" t="str">
        <f>賃金集計表!A20</f>
        <v>上松　浩二</v>
      </c>
      <c r="D153" s="208"/>
      <c r="E153" s="208"/>
      <c r="F153" s="208"/>
      <c r="G153" s="211" t="s">
        <v>70</v>
      </c>
      <c r="H153" s="179" t="s">
        <v>18</v>
      </c>
      <c r="I153" s="179"/>
      <c r="J153" s="179"/>
      <c r="K153" s="179" t="s">
        <v>19</v>
      </c>
      <c r="L153" s="179"/>
      <c r="M153" s="179"/>
      <c r="N153" s="179" t="s">
        <v>20</v>
      </c>
      <c r="O153" s="179"/>
      <c r="P153" s="185"/>
    </row>
    <row r="154" spans="1:16" ht="21.75" customHeight="1" thickBot="1">
      <c r="A154" s="183"/>
      <c r="B154" s="184"/>
      <c r="C154" s="209"/>
      <c r="D154" s="210"/>
      <c r="E154" s="210"/>
      <c r="F154" s="210"/>
      <c r="G154" s="212"/>
      <c r="H154" s="186">
        <f>賃金集計表!B20</f>
        <v>23</v>
      </c>
      <c r="I154" s="186"/>
      <c r="J154" s="186"/>
      <c r="K154" s="205"/>
      <c r="L154" s="186"/>
      <c r="M154" s="186"/>
      <c r="N154" s="186"/>
      <c r="O154" s="186"/>
      <c r="P154" s="187"/>
    </row>
    <row r="155" spans="1:16" ht="9" customHeight="1" thickBo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</row>
    <row r="156" spans="1:16" ht="21.75" customHeight="1">
      <c r="A156" s="178" t="s">
        <v>21</v>
      </c>
      <c r="B156" s="179"/>
      <c r="C156" s="180" t="s">
        <v>20</v>
      </c>
      <c r="D156" s="180"/>
      <c r="E156" s="179"/>
      <c r="F156" s="179"/>
      <c r="G156" s="179"/>
      <c r="H156" s="179"/>
      <c r="I156" s="179" t="s">
        <v>22</v>
      </c>
      <c r="J156" s="179"/>
      <c r="K156" s="173"/>
      <c r="L156" s="173"/>
      <c r="M156" s="173"/>
      <c r="N156" s="173"/>
      <c r="O156" s="173"/>
      <c r="P156" s="174"/>
    </row>
    <row r="157" spans="1:16" ht="30" customHeight="1" thickBot="1">
      <c r="A157" s="175">
        <f>賃金集計表!H20</f>
        <v>34500</v>
      </c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7"/>
    </row>
    <row r="158" spans="1:16" ht="9" customHeight="1" thickBo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</row>
    <row r="159" spans="1:16" ht="21.75" customHeight="1">
      <c r="A159" s="178" t="s">
        <v>23</v>
      </c>
      <c r="B159" s="179"/>
      <c r="C159" s="180" t="s">
        <v>24</v>
      </c>
      <c r="D159" s="180"/>
      <c r="E159" s="179" t="s">
        <v>25</v>
      </c>
      <c r="F159" s="179"/>
      <c r="G159" s="179" t="s">
        <v>26</v>
      </c>
      <c r="H159" s="179"/>
      <c r="I159" s="179" t="s">
        <v>27</v>
      </c>
      <c r="J159" s="179"/>
      <c r="K159" s="173"/>
      <c r="L159" s="173"/>
      <c r="M159" s="173"/>
      <c r="N159" s="173"/>
      <c r="O159" s="179" t="s">
        <v>63</v>
      </c>
      <c r="P159" s="185"/>
    </row>
    <row r="160" spans="1:16" ht="30" customHeight="1" thickBot="1">
      <c r="A160" s="175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>
        <f>賃金集計表!V20</f>
        <v>0</v>
      </c>
      <c r="P160" s="177"/>
    </row>
    <row r="161" spans="1:16" ht="9" customHeight="1" thickBo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</row>
    <row r="162" spans="1:16" ht="21.75" customHeight="1" thickTop="1">
      <c r="A162" s="188" t="s">
        <v>28</v>
      </c>
      <c r="B162" s="189"/>
      <c r="C162" s="189"/>
      <c r="D162" s="189" t="s">
        <v>29</v>
      </c>
      <c r="E162" s="189"/>
      <c r="F162" s="189"/>
      <c r="G162" s="189" t="s">
        <v>30</v>
      </c>
      <c r="H162" s="189"/>
      <c r="I162" s="190"/>
      <c r="J162" s="101"/>
      <c r="K162" s="191" t="s">
        <v>31</v>
      </c>
      <c r="L162" s="201"/>
      <c r="M162" s="201"/>
      <c r="N162" s="201"/>
      <c r="O162" s="201"/>
      <c r="P162" s="201"/>
    </row>
    <row r="163" spans="1:16" ht="30" customHeight="1" thickBot="1">
      <c r="A163" s="193">
        <f>SUM(A157:P157)</f>
        <v>34500</v>
      </c>
      <c r="B163" s="194"/>
      <c r="C163" s="194"/>
      <c r="D163" s="195">
        <f>SUM(A160:P160)</f>
        <v>0</v>
      </c>
      <c r="E163" s="194"/>
      <c r="F163" s="194"/>
      <c r="G163" s="195">
        <f>A163-D163</f>
        <v>34500</v>
      </c>
      <c r="H163" s="194"/>
      <c r="I163" s="196"/>
      <c r="J163" s="41"/>
      <c r="K163" s="197" t="s">
        <v>32</v>
      </c>
      <c r="L163" s="202"/>
      <c r="M163" s="202"/>
      <c r="N163" s="202"/>
      <c r="O163" s="202"/>
      <c r="P163" s="202"/>
    </row>
    <row r="164" spans="1:16" ht="14.25" thickTop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</row>
    <row r="165" spans="1:16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</row>
    <row r="166" spans="1:16" ht="30" customHeight="1">
      <c r="A166" s="181" t="s">
        <v>16</v>
      </c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200" t="s">
        <v>135</v>
      </c>
      <c r="N166" s="200"/>
      <c r="O166" s="200"/>
      <c r="P166" s="200"/>
    </row>
    <row r="167" spans="1:16" ht="14.25" thickBot="1"/>
    <row r="168" spans="1:16" ht="21.75" customHeight="1">
      <c r="A168" s="178" t="s">
        <v>17</v>
      </c>
      <c r="B168" s="179"/>
      <c r="C168" s="207" t="str">
        <f>賃金集計表!A21</f>
        <v>若林　哲也</v>
      </c>
      <c r="D168" s="208"/>
      <c r="E168" s="208"/>
      <c r="F168" s="208"/>
      <c r="G168" s="211" t="s">
        <v>70</v>
      </c>
      <c r="H168" s="179" t="s">
        <v>18</v>
      </c>
      <c r="I168" s="179"/>
      <c r="J168" s="179"/>
      <c r="K168" s="179" t="s">
        <v>19</v>
      </c>
      <c r="L168" s="179"/>
      <c r="M168" s="179"/>
      <c r="N168" s="179" t="s">
        <v>20</v>
      </c>
      <c r="O168" s="179"/>
      <c r="P168" s="185"/>
    </row>
    <row r="169" spans="1:16" ht="21.75" customHeight="1" thickBot="1">
      <c r="A169" s="183"/>
      <c r="B169" s="184"/>
      <c r="C169" s="209"/>
      <c r="D169" s="210"/>
      <c r="E169" s="210"/>
      <c r="F169" s="210"/>
      <c r="G169" s="212"/>
      <c r="H169" s="186">
        <f>賃金集計表!B21</f>
        <v>0</v>
      </c>
      <c r="I169" s="186"/>
      <c r="J169" s="186"/>
      <c r="K169" s="186"/>
      <c r="L169" s="186"/>
      <c r="M169" s="186"/>
      <c r="N169" s="186"/>
      <c r="O169" s="186"/>
      <c r="P169" s="187"/>
    </row>
    <row r="170" spans="1:16" ht="9" customHeight="1" thickBo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</row>
    <row r="171" spans="1:16" ht="21.75" customHeight="1">
      <c r="A171" s="178" t="s">
        <v>21</v>
      </c>
      <c r="B171" s="179"/>
      <c r="C171" s="180" t="s">
        <v>20</v>
      </c>
      <c r="D171" s="180"/>
      <c r="E171" s="179"/>
      <c r="F171" s="179"/>
      <c r="G171" s="179"/>
      <c r="H171" s="179"/>
      <c r="I171" s="179" t="s">
        <v>22</v>
      </c>
      <c r="J171" s="179"/>
      <c r="K171" s="173"/>
      <c r="L171" s="173"/>
      <c r="M171" s="173"/>
      <c r="N171" s="173"/>
      <c r="O171" s="173"/>
      <c r="P171" s="174"/>
    </row>
    <row r="172" spans="1:16" ht="30" customHeight="1" thickBot="1">
      <c r="A172" s="175">
        <f>賃金集計表!H21</f>
        <v>0</v>
      </c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7"/>
    </row>
    <row r="173" spans="1:16" ht="9" customHeight="1" thickBo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</row>
    <row r="174" spans="1:16" ht="21.75" customHeight="1">
      <c r="A174" s="178" t="s">
        <v>23</v>
      </c>
      <c r="B174" s="179"/>
      <c r="C174" s="180" t="s">
        <v>24</v>
      </c>
      <c r="D174" s="180"/>
      <c r="E174" s="179" t="s">
        <v>25</v>
      </c>
      <c r="F174" s="179"/>
      <c r="G174" s="179" t="s">
        <v>26</v>
      </c>
      <c r="H174" s="179"/>
      <c r="I174" s="179" t="s">
        <v>27</v>
      </c>
      <c r="J174" s="179"/>
      <c r="K174" s="173"/>
      <c r="L174" s="173"/>
      <c r="M174" s="173"/>
      <c r="N174" s="173"/>
      <c r="O174" s="179" t="s">
        <v>63</v>
      </c>
      <c r="P174" s="185"/>
    </row>
    <row r="175" spans="1:16" ht="30" customHeight="1" thickBo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>
        <f>賃金集計表!V21</f>
        <v>0</v>
      </c>
      <c r="P175" s="177"/>
    </row>
    <row r="176" spans="1:16" ht="9" customHeight="1" thickBo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</row>
    <row r="177" spans="1:20" ht="21.75" customHeight="1" thickTop="1">
      <c r="A177" s="188" t="s">
        <v>28</v>
      </c>
      <c r="B177" s="189"/>
      <c r="C177" s="189"/>
      <c r="D177" s="189" t="s">
        <v>29</v>
      </c>
      <c r="E177" s="189"/>
      <c r="F177" s="189"/>
      <c r="G177" s="189" t="s">
        <v>30</v>
      </c>
      <c r="H177" s="189"/>
      <c r="I177" s="190"/>
      <c r="J177" s="101"/>
      <c r="K177" s="191" t="s">
        <v>31</v>
      </c>
      <c r="L177" s="192"/>
      <c r="M177" s="192"/>
      <c r="N177" s="192"/>
      <c r="O177" s="192"/>
      <c r="P177" s="192"/>
    </row>
    <row r="178" spans="1:20" ht="30" customHeight="1" thickBot="1">
      <c r="A178" s="193">
        <f>SUM(A172:P172)</f>
        <v>0</v>
      </c>
      <c r="B178" s="194"/>
      <c r="C178" s="194"/>
      <c r="D178" s="195">
        <f>SUM(A175:P175)</f>
        <v>0</v>
      </c>
      <c r="E178" s="194"/>
      <c r="F178" s="194"/>
      <c r="G178" s="195">
        <f>A178-D178</f>
        <v>0</v>
      </c>
      <c r="H178" s="194"/>
      <c r="I178" s="196"/>
      <c r="J178" s="41"/>
      <c r="K178" s="197" t="s">
        <v>32</v>
      </c>
      <c r="L178" s="198"/>
      <c r="M178" s="198"/>
      <c r="N178" s="198"/>
      <c r="O178" s="198"/>
      <c r="P178" s="198"/>
    </row>
    <row r="179" spans="1:20" ht="13.5" customHeight="1" thickTop="1">
      <c r="A179" s="41"/>
      <c r="B179" s="154"/>
      <c r="C179" s="154"/>
      <c r="D179" s="41"/>
      <c r="E179" s="154"/>
      <c r="F179" s="154"/>
      <c r="G179" s="41"/>
      <c r="H179" s="154"/>
      <c r="I179" s="154"/>
      <c r="J179" s="41"/>
      <c r="K179" s="152"/>
      <c r="L179" s="153"/>
      <c r="M179" s="153"/>
      <c r="N179" s="153"/>
      <c r="O179" s="153"/>
      <c r="P179" s="153"/>
    </row>
    <row r="180" spans="1:2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</row>
    <row r="181" spans="1:20" ht="30" customHeight="1">
      <c r="A181" s="203" t="s">
        <v>16</v>
      </c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6" t="s">
        <v>135</v>
      </c>
      <c r="N181" s="206"/>
      <c r="O181" s="206"/>
      <c r="P181" s="206"/>
    </row>
    <row r="182" spans="1:20" ht="14.25" thickBot="1"/>
    <row r="183" spans="1:20" ht="21.75" customHeight="1">
      <c r="A183" s="178" t="s">
        <v>17</v>
      </c>
      <c r="B183" s="179"/>
      <c r="C183" s="207" t="str">
        <f>賃金集計表!A22</f>
        <v>柏木　憲太</v>
      </c>
      <c r="D183" s="208"/>
      <c r="E183" s="208"/>
      <c r="F183" s="208"/>
      <c r="G183" s="211" t="s">
        <v>70</v>
      </c>
      <c r="H183" s="179" t="s">
        <v>18</v>
      </c>
      <c r="I183" s="179"/>
      <c r="J183" s="179"/>
      <c r="K183" s="179" t="s">
        <v>19</v>
      </c>
      <c r="L183" s="179"/>
      <c r="M183" s="179"/>
      <c r="N183" s="179" t="s">
        <v>20</v>
      </c>
      <c r="O183" s="179"/>
      <c r="P183" s="185"/>
    </row>
    <row r="184" spans="1:20" ht="21.75" customHeight="1" thickBot="1">
      <c r="A184" s="183"/>
      <c r="B184" s="184"/>
      <c r="C184" s="209"/>
      <c r="D184" s="210"/>
      <c r="E184" s="210"/>
      <c r="F184" s="210"/>
      <c r="G184" s="212"/>
      <c r="H184" s="186">
        <f>賃金集計表!B22</f>
        <v>21</v>
      </c>
      <c r="I184" s="186"/>
      <c r="J184" s="186"/>
      <c r="K184" s="204"/>
      <c r="L184" s="186"/>
      <c r="M184" s="186"/>
      <c r="N184" s="186"/>
      <c r="O184" s="186"/>
      <c r="P184" s="187"/>
    </row>
    <row r="185" spans="1:20" ht="9" customHeight="1" thickBo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</row>
    <row r="186" spans="1:20" ht="21.75" customHeight="1">
      <c r="A186" s="178" t="s">
        <v>21</v>
      </c>
      <c r="B186" s="179"/>
      <c r="C186" s="180" t="s">
        <v>20</v>
      </c>
      <c r="D186" s="180"/>
      <c r="E186" s="179"/>
      <c r="F186" s="179"/>
      <c r="G186" s="179"/>
      <c r="H186" s="179"/>
      <c r="I186" s="179" t="s">
        <v>22</v>
      </c>
      <c r="J186" s="179"/>
      <c r="K186" s="173"/>
      <c r="L186" s="173"/>
      <c r="M186" s="173"/>
      <c r="N186" s="173"/>
      <c r="O186" s="173"/>
      <c r="P186" s="174"/>
      <c r="R186" s="46"/>
      <c r="T186" s="46"/>
    </row>
    <row r="187" spans="1:20" ht="30" customHeight="1" thickBot="1">
      <c r="A187" s="175">
        <f>賃金集計表!H22</f>
        <v>31500</v>
      </c>
      <c r="B187" s="176"/>
      <c r="C187" s="176"/>
      <c r="D187" s="176"/>
      <c r="E187" s="176"/>
      <c r="F187" s="176"/>
      <c r="G187" s="176"/>
      <c r="H187" s="176"/>
      <c r="I187" s="176">
        <f>賃金集計表!N22</f>
        <v>5000</v>
      </c>
      <c r="J187" s="176"/>
      <c r="K187" s="176"/>
      <c r="L187" s="176"/>
      <c r="M187" s="176"/>
      <c r="N187" s="176"/>
      <c r="O187" s="176"/>
      <c r="P187" s="177"/>
    </row>
    <row r="188" spans="1:20" ht="9" customHeight="1" thickBo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</row>
    <row r="189" spans="1:20" ht="21.75" customHeight="1">
      <c r="A189" s="178" t="s">
        <v>23</v>
      </c>
      <c r="B189" s="179"/>
      <c r="C189" s="180" t="s">
        <v>24</v>
      </c>
      <c r="D189" s="180"/>
      <c r="E189" s="179" t="s">
        <v>25</v>
      </c>
      <c r="F189" s="179"/>
      <c r="G189" s="179" t="s">
        <v>26</v>
      </c>
      <c r="H189" s="179"/>
      <c r="I189" s="179" t="s">
        <v>27</v>
      </c>
      <c r="J189" s="179"/>
      <c r="K189" s="173"/>
      <c r="L189" s="173"/>
      <c r="M189" s="173"/>
      <c r="N189" s="173"/>
      <c r="O189" s="179" t="s">
        <v>63</v>
      </c>
      <c r="P189" s="185"/>
    </row>
    <row r="190" spans="1:20" ht="30" customHeight="1" thickBot="1">
      <c r="A190" s="175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>
        <f>賃金集計表!V22</f>
        <v>7000</v>
      </c>
      <c r="P190" s="177"/>
    </row>
    <row r="191" spans="1:20" ht="9" customHeight="1" thickBo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</row>
    <row r="192" spans="1:20" ht="21.75" customHeight="1" thickTop="1">
      <c r="A192" s="188" t="s">
        <v>28</v>
      </c>
      <c r="B192" s="189"/>
      <c r="C192" s="189"/>
      <c r="D192" s="189" t="s">
        <v>29</v>
      </c>
      <c r="E192" s="189"/>
      <c r="F192" s="189"/>
      <c r="G192" s="189" t="s">
        <v>30</v>
      </c>
      <c r="H192" s="189"/>
      <c r="I192" s="190"/>
      <c r="J192" s="101"/>
      <c r="K192" s="191" t="s">
        <v>31</v>
      </c>
      <c r="L192" s="192"/>
      <c r="M192" s="192"/>
      <c r="N192" s="192"/>
      <c r="O192" s="192"/>
      <c r="P192" s="192"/>
    </row>
    <row r="193" spans="1:16" ht="30" customHeight="1" thickBot="1">
      <c r="A193" s="193">
        <f>SUM(A187:P187)</f>
        <v>36500</v>
      </c>
      <c r="B193" s="194"/>
      <c r="C193" s="194"/>
      <c r="D193" s="195">
        <f>SUM(A190:P190)</f>
        <v>7000</v>
      </c>
      <c r="E193" s="194"/>
      <c r="F193" s="194"/>
      <c r="G193" s="195">
        <f>A193-D193</f>
        <v>29500</v>
      </c>
      <c r="H193" s="194"/>
      <c r="I193" s="196"/>
      <c r="J193" s="41"/>
      <c r="K193" s="197" t="s">
        <v>32</v>
      </c>
      <c r="L193" s="198"/>
      <c r="M193" s="198"/>
      <c r="N193" s="198"/>
      <c r="O193" s="198"/>
      <c r="P193" s="198"/>
    </row>
    <row r="194" spans="1:16" ht="14.25" thickTop="1"/>
    <row r="196" spans="1:16" ht="30" customHeight="1">
      <c r="A196" s="199" t="s">
        <v>16</v>
      </c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200" t="s">
        <v>135</v>
      </c>
      <c r="N196" s="200"/>
      <c r="O196" s="200"/>
      <c r="P196" s="200"/>
    </row>
    <row r="197" spans="1:16" ht="14.25" thickBo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</row>
    <row r="198" spans="1:16" ht="21.75" customHeight="1">
      <c r="A198" s="178" t="s">
        <v>17</v>
      </c>
      <c r="B198" s="179"/>
      <c r="C198" s="207" t="str">
        <f>賃金集計表!A23</f>
        <v>大元裕美子</v>
      </c>
      <c r="D198" s="208"/>
      <c r="E198" s="208"/>
      <c r="F198" s="208"/>
      <c r="G198" s="211" t="s">
        <v>70</v>
      </c>
      <c r="H198" s="179" t="s">
        <v>18</v>
      </c>
      <c r="I198" s="179"/>
      <c r="J198" s="179"/>
      <c r="K198" s="179" t="s">
        <v>19</v>
      </c>
      <c r="L198" s="179"/>
      <c r="M198" s="179"/>
      <c r="N198" s="179" t="s">
        <v>20</v>
      </c>
      <c r="O198" s="179"/>
      <c r="P198" s="185"/>
    </row>
    <row r="199" spans="1:16" ht="21.75" customHeight="1" thickBot="1">
      <c r="A199" s="183"/>
      <c r="B199" s="184"/>
      <c r="C199" s="209"/>
      <c r="D199" s="210"/>
      <c r="E199" s="210"/>
      <c r="F199" s="210"/>
      <c r="G199" s="212"/>
      <c r="H199" s="186">
        <f>賃金集計表!B23</f>
        <v>13</v>
      </c>
      <c r="I199" s="186"/>
      <c r="J199" s="186"/>
      <c r="K199" s="205"/>
      <c r="L199" s="186"/>
      <c r="M199" s="186"/>
      <c r="N199" s="186"/>
      <c r="O199" s="186"/>
      <c r="P199" s="187"/>
    </row>
    <row r="200" spans="1:16" ht="9" customHeight="1" thickBo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</row>
    <row r="201" spans="1:16" ht="21.75" customHeight="1">
      <c r="A201" s="178" t="s">
        <v>21</v>
      </c>
      <c r="B201" s="179"/>
      <c r="C201" s="180" t="s">
        <v>20</v>
      </c>
      <c r="D201" s="180"/>
      <c r="E201" s="179"/>
      <c r="F201" s="179"/>
      <c r="G201" s="179"/>
      <c r="H201" s="179"/>
      <c r="I201" s="179" t="s">
        <v>22</v>
      </c>
      <c r="J201" s="179"/>
      <c r="K201" s="173"/>
      <c r="L201" s="173"/>
      <c r="M201" s="173"/>
      <c r="N201" s="173"/>
      <c r="O201" s="173"/>
      <c r="P201" s="174"/>
    </row>
    <row r="202" spans="1:16" ht="30" customHeight="1" thickBot="1">
      <c r="A202" s="175">
        <f>賃金集計表!H23</f>
        <v>13000</v>
      </c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7"/>
    </row>
    <row r="203" spans="1:16" ht="9" customHeight="1" thickBo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</row>
    <row r="204" spans="1:16" ht="21.75" customHeight="1">
      <c r="A204" s="178" t="s">
        <v>23</v>
      </c>
      <c r="B204" s="179"/>
      <c r="C204" s="180" t="s">
        <v>24</v>
      </c>
      <c r="D204" s="180"/>
      <c r="E204" s="179" t="s">
        <v>25</v>
      </c>
      <c r="F204" s="179"/>
      <c r="G204" s="179" t="s">
        <v>26</v>
      </c>
      <c r="H204" s="179"/>
      <c r="I204" s="179" t="s">
        <v>27</v>
      </c>
      <c r="J204" s="179"/>
      <c r="K204" s="173"/>
      <c r="L204" s="173"/>
      <c r="M204" s="173"/>
      <c r="N204" s="173"/>
      <c r="O204" s="179" t="s">
        <v>63</v>
      </c>
      <c r="P204" s="185"/>
    </row>
    <row r="205" spans="1:16" ht="30" customHeight="1" thickBot="1">
      <c r="A205" s="175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>
        <f>賃金集計表!V23</f>
        <v>3150</v>
      </c>
      <c r="P205" s="177"/>
    </row>
    <row r="206" spans="1:16" ht="9" customHeight="1" thickBo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</row>
    <row r="207" spans="1:16" ht="21.75" customHeight="1" thickTop="1">
      <c r="A207" s="188" t="s">
        <v>28</v>
      </c>
      <c r="B207" s="189"/>
      <c r="C207" s="189"/>
      <c r="D207" s="189" t="s">
        <v>29</v>
      </c>
      <c r="E207" s="189"/>
      <c r="F207" s="189"/>
      <c r="G207" s="189" t="s">
        <v>30</v>
      </c>
      <c r="H207" s="189"/>
      <c r="I207" s="190"/>
      <c r="J207" s="101"/>
      <c r="K207" s="191" t="s">
        <v>31</v>
      </c>
      <c r="L207" s="201"/>
      <c r="M207" s="201"/>
      <c r="N207" s="201"/>
      <c r="O207" s="201"/>
      <c r="P207" s="201"/>
    </row>
    <row r="208" spans="1:16" ht="30" customHeight="1" thickBot="1">
      <c r="A208" s="193">
        <f>SUM(A202:P202)</f>
        <v>13000</v>
      </c>
      <c r="B208" s="194"/>
      <c r="C208" s="194"/>
      <c r="D208" s="195">
        <f>SUM(A205:P205)</f>
        <v>3150</v>
      </c>
      <c r="E208" s="194"/>
      <c r="F208" s="194"/>
      <c r="G208" s="195">
        <f>A208-D208</f>
        <v>9850</v>
      </c>
      <c r="H208" s="194"/>
      <c r="I208" s="196"/>
      <c r="J208" s="41"/>
      <c r="K208" s="197" t="s">
        <v>32</v>
      </c>
      <c r="L208" s="202"/>
      <c r="M208" s="202"/>
      <c r="N208" s="202"/>
      <c r="O208" s="202"/>
      <c r="P208" s="202"/>
    </row>
    <row r="209" spans="1:16" ht="14.25" thickTop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</row>
    <row r="210" spans="1:16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</row>
    <row r="211" spans="1:16" ht="30" customHeight="1">
      <c r="A211" s="181" t="s">
        <v>16</v>
      </c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206" t="s">
        <v>135</v>
      </c>
      <c r="N211" s="206"/>
      <c r="O211" s="206"/>
      <c r="P211" s="206"/>
    </row>
    <row r="212" spans="1:16" ht="14.25" thickBot="1"/>
    <row r="213" spans="1:16" ht="21.75" customHeight="1">
      <c r="A213" s="178" t="s">
        <v>17</v>
      </c>
      <c r="B213" s="179"/>
      <c r="C213" s="207" t="str">
        <f>賃金集計表!A24</f>
        <v>倉谷　円</v>
      </c>
      <c r="D213" s="208"/>
      <c r="E213" s="208"/>
      <c r="F213" s="208"/>
      <c r="G213" s="211" t="s">
        <v>70</v>
      </c>
      <c r="H213" s="179" t="s">
        <v>18</v>
      </c>
      <c r="I213" s="179"/>
      <c r="J213" s="179"/>
      <c r="K213" s="179" t="s">
        <v>19</v>
      </c>
      <c r="L213" s="179"/>
      <c r="M213" s="179"/>
      <c r="N213" s="179" t="s">
        <v>20</v>
      </c>
      <c r="O213" s="179"/>
      <c r="P213" s="185"/>
    </row>
    <row r="214" spans="1:16" ht="21.75" customHeight="1" thickBot="1">
      <c r="A214" s="183"/>
      <c r="B214" s="184"/>
      <c r="C214" s="209"/>
      <c r="D214" s="210"/>
      <c r="E214" s="210"/>
      <c r="F214" s="210"/>
      <c r="G214" s="212"/>
      <c r="H214" s="186">
        <f>賃金集計表!B24</f>
        <v>19</v>
      </c>
      <c r="I214" s="186"/>
      <c r="J214" s="186"/>
      <c r="K214" s="186"/>
      <c r="L214" s="186"/>
      <c r="M214" s="186"/>
      <c r="N214" s="186"/>
      <c r="O214" s="186"/>
      <c r="P214" s="187"/>
    </row>
    <row r="215" spans="1:16" ht="9" customHeight="1" thickBo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</row>
    <row r="216" spans="1:16" ht="21.75" customHeight="1">
      <c r="A216" s="178" t="s">
        <v>21</v>
      </c>
      <c r="B216" s="179"/>
      <c r="C216" s="180" t="s">
        <v>20</v>
      </c>
      <c r="D216" s="180"/>
      <c r="E216" s="179"/>
      <c r="F216" s="179"/>
      <c r="G216" s="179"/>
      <c r="H216" s="179"/>
      <c r="I216" s="179" t="s">
        <v>22</v>
      </c>
      <c r="J216" s="179"/>
      <c r="K216" s="173"/>
      <c r="L216" s="173"/>
      <c r="M216" s="173"/>
      <c r="N216" s="173"/>
      <c r="O216" s="173"/>
      <c r="P216" s="174"/>
    </row>
    <row r="217" spans="1:16" ht="30" customHeight="1" thickBot="1">
      <c r="A217" s="175">
        <f>賃金集計表!H24</f>
        <v>19000</v>
      </c>
      <c r="B217" s="176"/>
      <c r="C217" s="176"/>
      <c r="D217" s="176"/>
      <c r="E217" s="176"/>
      <c r="F217" s="176"/>
      <c r="G217" s="176"/>
      <c r="H217" s="176"/>
      <c r="I217" s="176">
        <f>賃金集計表!L24</f>
        <v>0</v>
      </c>
      <c r="J217" s="176"/>
      <c r="K217" s="176"/>
      <c r="L217" s="176"/>
      <c r="M217" s="176"/>
      <c r="N217" s="176"/>
      <c r="O217" s="176"/>
      <c r="P217" s="177"/>
    </row>
    <row r="218" spans="1:16" ht="9" customHeight="1" thickBo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</row>
    <row r="219" spans="1:16" ht="21.75" customHeight="1">
      <c r="A219" s="178" t="s">
        <v>23</v>
      </c>
      <c r="B219" s="179"/>
      <c r="C219" s="180" t="s">
        <v>24</v>
      </c>
      <c r="D219" s="180"/>
      <c r="E219" s="179" t="s">
        <v>25</v>
      </c>
      <c r="F219" s="179"/>
      <c r="G219" s="179" t="s">
        <v>26</v>
      </c>
      <c r="H219" s="179"/>
      <c r="I219" s="179" t="s">
        <v>27</v>
      </c>
      <c r="J219" s="179"/>
      <c r="K219" s="173"/>
      <c r="L219" s="173"/>
      <c r="M219" s="173"/>
      <c r="N219" s="173"/>
      <c r="O219" s="179" t="s">
        <v>63</v>
      </c>
      <c r="P219" s="185"/>
    </row>
    <row r="220" spans="1:16" ht="30" customHeight="1" thickBot="1">
      <c r="A220" s="175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>
        <f>賃金集計表!V24</f>
        <v>0</v>
      </c>
      <c r="P220" s="177"/>
    </row>
    <row r="221" spans="1:16" ht="9" customHeight="1" thickBo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</row>
    <row r="222" spans="1:16" ht="21.75" customHeight="1" thickTop="1">
      <c r="A222" s="188" t="s">
        <v>28</v>
      </c>
      <c r="B222" s="189"/>
      <c r="C222" s="189"/>
      <c r="D222" s="189" t="s">
        <v>29</v>
      </c>
      <c r="E222" s="189"/>
      <c r="F222" s="189"/>
      <c r="G222" s="189" t="s">
        <v>30</v>
      </c>
      <c r="H222" s="189"/>
      <c r="I222" s="190"/>
      <c r="J222" s="101"/>
      <c r="K222" s="191" t="s">
        <v>31</v>
      </c>
      <c r="L222" s="192"/>
      <c r="M222" s="192"/>
      <c r="N222" s="192"/>
      <c r="O222" s="192"/>
      <c r="P222" s="192"/>
    </row>
    <row r="223" spans="1:16" ht="30" customHeight="1" thickBot="1">
      <c r="A223" s="193">
        <f>SUM(A217:P217)</f>
        <v>19000</v>
      </c>
      <c r="B223" s="194"/>
      <c r="C223" s="194"/>
      <c r="D223" s="195">
        <f>SUM(A220:P220)</f>
        <v>0</v>
      </c>
      <c r="E223" s="194"/>
      <c r="F223" s="194"/>
      <c r="G223" s="195">
        <f>A223-D223</f>
        <v>19000</v>
      </c>
      <c r="H223" s="194"/>
      <c r="I223" s="196"/>
      <c r="J223" s="41"/>
      <c r="K223" s="197" t="s">
        <v>32</v>
      </c>
      <c r="L223" s="198"/>
      <c r="M223" s="198"/>
      <c r="N223" s="198"/>
      <c r="O223" s="198"/>
      <c r="P223" s="198"/>
    </row>
    <row r="224" spans="1:16" ht="13.5" customHeight="1" thickTop="1">
      <c r="A224" s="41"/>
      <c r="B224" s="154"/>
      <c r="C224" s="154"/>
      <c r="D224" s="41"/>
      <c r="E224" s="154"/>
      <c r="F224" s="154"/>
      <c r="G224" s="41"/>
      <c r="H224" s="154"/>
      <c r="I224" s="154"/>
      <c r="J224" s="41"/>
      <c r="K224" s="152"/>
      <c r="L224" s="153"/>
      <c r="M224" s="153"/>
      <c r="N224" s="153"/>
      <c r="O224" s="153"/>
      <c r="P224" s="153"/>
    </row>
    <row r="225" spans="1:20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</row>
    <row r="226" spans="1:20" ht="30" customHeight="1">
      <c r="A226" s="203" t="s">
        <v>16</v>
      </c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6" t="s">
        <v>135</v>
      </c>
      <c r="N226" s="206"/>
      <c r="O226" s="206"/>
      <c r="P226" s="206"/>
    </row>
    <row r="227" spans="1:20" ht="14.25" thickBot="1"/>
    <row r="228" spans="1:20" ht="21.75" customHeight="1">
      <c r="A228" s="178" t="s">
        <v>17</v>
      </c>
      <c r="B228" s="179"/>
      <c r="C228" s="207" t="str">
        <f>賃金集計表!A25</f>
        <v>葛籠　沙葵</v>
      </c>
      <c r="D228" s="208"/>
      <c r="E228" s="208"/>
      <c r="F228" s="208"/>
      <c r="G228" s="211" t="s">
        <v>70</v>
      </c>
      <c r="H228" s="179" t="s">
        <v>18</v>
      </c>
      <c r="I228" s="179"/>
      <c r="J228" s="179"/>
      <c r="K228" s="179" t="s">
        <v>19</v>
      </c>
      <c r="L228" s="179"/>
      <c r="M228" s="179"/>
      <c r="N228" s="179" t="s">
        <v>20</v>
      </c>
      <c r="O228" s="179"/>
      <c r="P228" s="185"/>
    </row>
    <row r="229" spans="1:20" ht="21.75" customHeight="1" thickBot="1">
      <c r="A229" s="183"/>
      <c r="B229" s="184"/>
      <c r="C229" s="209"/>
      <c r="D229" s="210"/>
      <c r="E229" s="210"/>
      <c r="F229" s="210"/>
      <c r="G229" s="212"/>
      <c r="H229" s="186">
        <f>賃金集計表!B25</f>
        <v>17</v>
      </c>
      <c r="I229" s="186"/>
      <c r="J229" s="186"/>
      <c r="K229" s="204"/>
      <c r="L229" s="186"/>
      <c r="M229" s="186"/>
      <c r="N229" s="186"/>
      <c r="O229" s="186"/>
      <c r="P229" s="187"/>
    </row>
    <row r="230" spans="1:20" ht="9" customHeight="1" thickBo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</row>
    <row r="231" spans="1:20" ht="21.75" customHeight="1">
      <c r="A231" s="178" t="s">
        <v>21</v>
      </c>
      <c r="B231" s="179"/>
      <c r="C231" s="180" t="s">
        <v>20</v>
      </c>
      <c r="D231" s="180"/>
      <c r="E231" s="179"/>
      <c r="F231" s="179"/>
      <c r="G231" s="179"/>
      <c r="H231" s="179"/>
      <c r="I231" s="179" t="s">
        <v>22</v>
      </c>
      <c r="J231" s="179"/>
      <c r="K231" s="173"/>
      <c r="L231" s="173"/>
      <c r="M231" s="173"/>
      <c r="N231" s="173"/>
      <c r="O231" s="173"/>
      <c r="P231" s="174"/>
      <c r="R231" s="46"/>
      <c r="T231" s="46"/>
    </row>
    <row r="232" spans="1:20" ht="30" customHeight="1" thickBot="1">
      <c r="A232" s="175">
        <f>賃金集計表!H25</f>
        <v>17000</v>
      </c>
      <c r="B232" s="176"/>
      <c r="C232" s="176"/>
      <c r="D232" s="176"/>
      <c r="E232" s="176"/>
      <c r="F232" s="176"/>
      <c r="G232" s="176"/>
      <c r="H232" s="176"/>
      <c r="I232" s="176">
        <f>賃金集計表!L25</f>
        <v>5600</v>
      </c>
      <c r="J232" s="176"/>
      <c r="K232" s="176"/>
      <c r="L232" s="176"/>
      <c r="M232" s="176"/>
      <c r="N232" s="176"/>
      <c r="O232" s="176"/>
      <c r="P232" s="177"/>
    </row>
    <row r="233" spans="1:20" ht="9" customHeight="1" thickBo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</row>
    <row r="234" spans="1:20" ht="21.75" customHeight="1">
      <c r="A234" s="178" t="s">
        <v>23</v>
      </c>
      <c r="B234" s="179"/>
      <c r="C234" s="180" t="s">
        <v>24</v>
      </c>
      <c r="D234" s="180"/>
      <c r="E234" s="179" t="s">
        <v>25</v>
      </c>
      <c r="F234" s="179"/>
      <c r="G234" s="179" t="s">
        <v>26</v>
      </c>
      <c r="H234" s="179"/>
      <c r="I234" s="179" t="s">
        <v>27</v>
      </c>
      <c r="J234" s="179"/>
      <c r="K234" s="173"/>
      <c r="L234" s="173"/>
      <c r="M234" s="173"/>
      <c r="N234" s="173"/>
      <c r="O234" s="179" t="s">
        <v>63</v>
      </c>
      <c r="P234" s="185"/>
    </row>
    <row r="235" spans="1:20" ht="30" customHeight="1" thickBot="1">
      <c r="A235" s="175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>
        <f>賃金集計表!V25</f>
        <v>5600</v>
      </c>
      <c r="P235" s="177"/>
    </row>
    <row r="236" spans="1:20" ht="9" customHeight="1" thickBo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</row>
    <row r="237" spans="1:20" ht="21.75" customHeight="1" thickTop="1">
      <c r="A237" s="188" t="s">
        <v>28</v>
      </c>
      <c r="B237" s="189"/>
      <c r="C237" s="189"/>
      <c r="D237" s="189" t="s">
        <v>29</v>
      </c>
      <c r="E237" s="189"/>
      <c r="F237" s="189"/>
      <c r="G237" s="189" t="s">
        <v>30</v>
      </c>
      <c r="H237" s="189"/>
      <c r="I237" s="190"/>
      <c r="J237" s="101"/>
      <c r="K237" s="191" t="s">
        <v>31</v>
      </c>
      <c r="L237" s="192"/>
      <c r="M237" s="192"/>
      <c r="N237" s="192"/>
      <c r="O237" s="192"/>
      <c r="P237" s="192"/>
    </row>
    <row r="238" spans="1:20" ht="30" customHeight="1" thickBot="1">
      <c r="A238" s="193">
        <f>SUM(A232:P232)</f>
        <v>22600</v>
      </c>
      <c r="B238" s="194"/>
      <c r="C238" s="194"/>
      <c r="D238" s="195">
        <f>SUM(A235:P235)</f>
        <v>5600</v>
      </c>
      <c r="E238" s="194"/>
      <c r="F238" s="194"/>
      <c r="G238" s="195">
        <f>A238-D238</f>
        <v>17000</v>
      </c>
      <c r="H238" s="194"/>
      <c r="I238" s="196"/>
      <c r="J238" s="41"/>
      <c r="K238" s="197" t="s">
        <v>32</v>
      </c>
      <c r="L238" s="198"/>
      <c r="M238" s="198"/>
      <c r="N238" s="198"/>
      <c r="O238" s="198"/>
      <c r="P238" s="198"/>
    </row>
    <row r="239" spans="1:20" ht="14.25" thickTop="1"/>
    <row r="241" spans="1:16" ht="30" customHeight="1">
      <c r="A241" s="199" t="s">
        <v>16</v>
      </c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200" t="s">
        <v>135</v>
      </c>
      <c r="N241" s="200"/>
      <c r="O241" s="200"/>
      <c r="P241" s="200"/>
    </row>
    <row r="242" spans="1:16" ht="14.25" thickBo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</row>
    <row r="243" spans="1:16" ht="21.75" customHeight="1">
      <c r="A243" s="178" t="s">
        <v>17</v>
      </c>
      <c r="B243" s="179"/>
      <c r="C243" s="207" t="str">
        <f>賃金集計表!A26</f>
        <v>岡田　直明</v>
      </c>
      <c r="D243" s="208"/>
      <c r="E243" s="208"/>
      <c r="F243" s="208"/>
      <c r="G243" s="211" t="s">
        <v>70</v>
      </c>
      <c r="H243" s="179" t="s">
        <v>18</v>
      </c>
      <c r="I243" s="179"/>
      <c r="J243" s="179"/>
      <c r="K243" s="179" t="s">
        <v>19</v>
      </c>
      <c r="L243" s="179"/>
      <c r="M243" s="179"/>
      <c r="N243" s="179" t="s">
        <v>20</v>
      </c>
      <c r="O243" s="179"/>
      <c r="P243" s="185"/>
    </row>
    <row r="244" spans="1:16" ht="21.75" customHeight="1" thickBot="1">
      <c r="A244" s="183"/>
      <c r="B244" s="184"/>
      <c r="C244" s="209"/>
      <c r="D244" s="210"/>
      <c r="E244" s="210"/>
      <c r="F244" s="210"/>
      <c r="G244" s="212"/>
      <c r="H244" s="186">
        <f>賃金集計表!B26</f>
        <v>1</v>
      </c>
      <c r="I244" s="186"/>
      <c r="J244" s="186"/>
      <c r="K244" s="205"/>
      <c r="L244" s="186"/>
      <c r="M244" s="186"/>
      <c r="N244" s="186"/>
      <c r="O244" s="186"/>
      <c r="P244" s="187"/>
    </row>
    <row r="245" spans="1:16" ht="9" customHeight="1" thickBo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</row>
    <row r="246" spans="1:16" ht="21.75" customHeight="1">
      <c r="A246" s="178" t="s">
        <v>21</v>
      </c>
      <c r="B246" s="179"/>
      <c r="C246" s="180" t="s">
        <v>20</v>
      </c>
      <c r="D246" s="180"/>
      <c r="E246" s="179"/>
      <c r="F246" s="179"/>
      <c r="G246" s="179"/>
      <c r="H246" s="179"/>
      <c r="I246" s="179" t="s">
        <v>22</v>
      </c>
      <c r="J246" s="179"/>
      <c r="K246" s="173"/>
      <c r="L246" s="173"/>
      <c r="M246" s="173"/>
      <c r="N246" s="173"/>
      <c r="O246" s="173"/>
      <c r="P246" s="174"/>
    </row>
    <row r="247" spans="1:16" ht="30" customHeight="1" thickBot="1">
      <c r="A247" s="175">
        <f>賃金集計表!H26</f>
        <v>1000</v>
      </c>
      <c r="B247" s="176"/>
      <c r="C247" s="176"/>
      <c r="D247" s="176"/>
      <c r="E247" s="176"/>
      <c r="F247" s="176"/>
      <c r="G247" s="176"/>
      <c r="H247" s="176"/>
      <c r="I247" s="176">
        <f>賃金集計表!L26</f>
        <v>0</v>
      </c>
      <c r="J247" s="176"/>
      <c r="K247" s="176"/>
      <c r="L247" s="176"/>
      <c r="M247" s="176"/>
      <c r="N247" s="176"/>
      <c r="O247" s="176"/>
      <c r="P247" s="177"/>
    </row>
    <row r="248" spans="1:16" ht="9" customHeight="1" thickBo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</row>
    <row r="249" spans="1:16" ht="21.75" customHeight="1">
      <c r="A249" s="178" t="s">
        <v>23</v>
      </c>
      <c r="B249" s="179"/>
      <c r="C249" s="180" t="s">
        <v>24</v>
      </c>
      <c r="D249" s="180"/>
      <c r="E249" s="179" t="s">
        <v>25</v>
      </c>
      <c r="F249" s="179"/>
      <c r="G249" s="179" t="s">
        <v>26</v>
      </c>
      <c r="H249" s="179"/>
      <c r="I249" s="179" t="s">
        <v>27</v>
      </c>
      <c r="J249" s="179"/>
      <c r="K249" s="173"/>
      <c r="L249" s="173"/>
      <c r="M249" s="173"/>
      <c r="N249" s="173"/>
      <c r="O249" s="179" t="s">
        <v>63</v>
      </c>
      <c r="P249" s="185"/>
    </row>
    <row r="250" spans="1:16" ht="30" customHeight="1" thickBot="1">
      <c r="A250" s="175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>
        <f>賃金集計表!V26</f>
        <v>0</v>
      </c>
      <c r="P250" s="177"/>
    </row>
    <row r="251" spans="1:16" ht="9" customHeight="1" thickBo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</row>
    <row r="252" spans="1:16" ht="21.75" customHeight="1" thickTop="1">
      <c r="A252" s="188" t="s">
        <v>28</v>
      </c>
      <c r="B252" s="189"/>
      <c r="C252" s="189"/>
      <c r="D252" s="189" t="s">
        <v>29</v>
      </c>
      <c r="E252" s="189"/>
      <c r="F252" s="189"/>
      <c r="G252" s="189" t="s">
        <v>30</v>
      </c>
      <c r="H252" s="189"/>
      <c r="I252" s="190"/>
      <c r="J252" s="101"/>
      <c r="K252" s="191" t="s">
        <v>31</v>
      </c>
      <c r="L252" s="201"/>
      <c r="M252" s="201"/>
      <c r="N252" s="201"/>
      <c r="O252" s="201"/>
      <c r="P252" s="201"/>
    </row>
    <row r="253" spans="1:16" ht="30" customHeight="1" thickBot="1">
      <c r="A253" s="193">
        <f>SUM(A247:P247)</f>
        <v>1000</v>
      </c>
      <c r="B253" s="194"/>
      <c r="C253" s="194"/>
      <c r="D253" s="195">
        <f>SUM(A250:P250)</f>
        <v>0</v>
      </c>
      <c r="E253" s="194"/>
      <c r="F253" s="194"/>
      <c r="G253" s="195">
        <f>A253-D253</f>
        <v>1000</v>
      </c>
      <c r="H253" s="194"/>
      <c r="I253" s="196"/>
      <c r="J253" s="41"/>
      <c r="K253" s="197" t="s">
        <v>32</v>
      </c>
      <c r="L253" s="202"/>
      <c r="M253" s="202"/>
      <c r="N253" s="202"/>
      <c r="O253" s="202"/>
      <c r="P253" s="202"/>
    </row>
    <row r="254" spans="1:16" ht="14.25" thickTop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</row>
    <row r="255" spans="1:16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</row>
    <row r="256" spans="1:16" ht="30" customHeight="1">
      <c r="A256" s="181" t="s">
        <v>16</v>
      </c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206" t="s">
        <v>135</v>
      </c>
      <c r="N256" s="206"/>
      <c r="O256" s="206"/>
      <c r="P256" s="206"/>
    </row>
    <row r="257" spans="1:16" ht="14.25" thickBot="1"/>
    <row r="258" spans="1:16" ht="21.75" customHeight="1">
      <c r="A258" s="178" t="s">
        <v>17</v>
      </c>
      <c r="B258" s="179"/>
      <c r="C258" s="207" t="str">
        <f>賃金集計表!A27</f>
        <v>神田　幸弘</v>
      </c>
      <c r="D258" s="208"/>
      <c r="E258" s="208"/>
      <c r="F258" s="208"/>
      <c r="G258" s="211" t="s">
        <v>70</v>
      </c>
      <c r="H258" s="179" t="s">
        <v>18</v>
      </c>
      <c r="I258" s="179"/>
      <c r="J258" s="179"/>
      <c r="K258" s="179" t="s">
        <v>19</v>
      </c>
      <c r="L258" s="179"/>
      <c r="M258" s="179"/>
      <c r="N258" s="179" t="s">
        <v>20</v>
      </c>
      <c r="O258" s="179"/>
      <c r="P258" s="185"/>
    </row>
    <row r="259" spans="1:16" ht="21.75" customHeight="1" thickBot="1">
      <c r="A259" s="183"/>
      <c r="B259" s="184"/>
      <c r="C259" s="209"/>
      <c r="D259" s="210"/>
      <c r="E259" s="210"/>
      <c r="F259" s="210"/>
      <c r="G259" s="212"/>
      <c r="H259" s="186">
        <f>賃金集計表!B27</f>
        <v>14</v>
      </c>
      <c r="I259" s="186"/>
      <c r="J259" s="186"/>
      <c r="K259" s="186"/>
      <c r="L259" s="186"/>
      <c r="M259" s="186"/>
      <c r="N259" s="186"/>
      <c r="O259" s="186"/>
      <c r="P259" s="187"/>
    </row>
    <row r="260" spans="1:16" ht="9" customHeight="1" thickBo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</row>
    <row r="261" spans="1:16" ht="21.75" customHeight="1">
      <c r="A261" s="178" t="s">
        <v>21</v>
      </c>
      <c r="B261" s="179"/>
      <c r="C261" s="180" t="s">
        <v>20</v>
      </c>
      <c r="D261" s="180"/>
      <c r="E261" s="179"/>
      <c r="F261" s="179"/>
      <c r="G261" s="179"/>
      <c r="H261" s="179"/>
      <c r="I261" s="179" t="s">
        <v>22</v>
      </c>
      <c r="J261" s="179"/>
      <c r="K261" s="173"/>
      <c r="L261" s="173"/>
      <c r="M261" s="173"/>
      <c r="N261" s="173"/>
      <c r="O261" s="173"/>
      <c r="P261" s="174"/>
    </row>
    <row r="262" spans="1:16" ht="30" customHeight="1" thickBot="1">
      <c r="A262" s="175">
        <f>賃金集計表!H27</f>
        <v>14000</v>
      </c>
      <c r="B262" s="176"/>
      <c r="C262" s="176">
        <f>K259*S259</f>
        <v>0</v>
      </c>
      <c r="D262" s="176"/>
      <c r="E262" s="176"/>
      <c r="F262" s="176"/>
      <c r="G262" s="176"/>
      <c r="H262" s="176"/>
      <c r="I262" s="176">
        <f>賃金集計表!L27</f>
        <v>0</v>
      </c>
      <c r="J262" s="176"/>
      <c r="K262" s="176"/>
      <c r="L262" s="176"/>
      <c r="M262" s="176"/>
      <c r="N262" s="176"/>
      <c r="O262" s="176"/>
      <c r="P262" s="177"/>
    </row>
    <row r="263" spans="1:16" ht="9" customHeight="1" thickBo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</row>
    <row r="264" spans="1:16" ht="21.75" customHeight="1">
      <c r="A264" s="178" t="s">
        <v>23</v>
      </c>
      <c r="B264" s="179"/>
      <c r="C264" s="180" t="s">
        <v>24</v>
      </c>
      <c r="D264" s="180"/>
      <c r="E264" s="179" t="s">
        <v>25</v>
      </c>
      <c r="F264" s="179"/>
      <c r="G264" s="179" t="s">
        <v>26</v>
      </c>
      <c r="H264" s="179"/>
      <c r="I264" s="179" t="s">
        <v>27</v>
      </c>
      <c r="J264" s="179"/>
      <c r="K264" s="173"/>
      <c r="L264" s="173"/>
      <c r="M264" s="173"/>
      <c r="N264" s="173"/>
      <c r="O264" s="179" t="s">
        <v>63</v>
      </c>
      <c r="P264" s="185"/>
    </row>
    <row r="265" spans="1:16" ht="30" customHeight="1" thickBot="1">
      <c r="A265" s="175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>
        <f>賃金集計表!V27</f>
        <v>0</v>
      </c>
      <c r="P265" s="177"/>
    </row>
    <row r="266" spans="1:16" ht="9" customHeight="1" thickBo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</row>
    <row r="267" spans="1:16" ht="21.75" customHeight="1" thickTop="1">
      <c r="A267" s="188" t="s">
        <v>28</v>
      </c>
      <c r="B267" s="189"/>
      <c r="C267" s="189"/>
      <c r="D267" s="189" t="s">
        <v>29</v>
      </c>
      <c r="E267" s="189"/>
      <c r="F267" s="189"/>
      <c r="G267" s="189" t="s">
        <v>30</v>
      </c>
      <c r="H267" s="189"/>
      <c r="I267" s="190"/>
      <c r="J267" s="101"/>
      <c r="K267" s="191" t="s">
        <v>31</v>
      </c>
      <c r="L267" s="192"/>
      <c r="M267" s="192"/>
      <c r="N267" s="192"/>
      <c r="O267" s="192"/>
      <c r="P267" s="192"/>
    </row>
    <row r="268" spans="1:16" ht="30" customHeight="1" thickBot="1">
      <c r="A268" s="193">
        <f>SUM(A262:P262)</f>
        <v>14000</v>
      </c>
      <c r="B268" s="194"/>
      <c r="C268" s="194"/>
      <c r="D268" s="195">
        <f>SUM(A265:P265)</f>
        <v>0</v>
      </c>
      <c r="E268" s="194"/>
      <c r="F268" s="194"/>
      <c r="G268" s="195">
        <f>A268-D268</f>
        <v>14000</v>
      </c>
      <c r="H268" s="194"/>
      <c r="I268" s="196"/>
      <c r="J268" s="41"/>
      <c r="K268" s="197" t="s">
        <v>32</v>
      </c>
      <c r="L268" s="198"/>
      <c r="M268" s="198"/>
      <c r="N268" s="198"/>
      <c r="O268" s="198"/>
      <c r="P268" s="198"/>
    </row>
    <row r="269" spans="1:16" ht="13.5" customHeight="1" thickTop="1">
      <c r="A269" s="41"/>
      <c r="B269" s="154"/>
      <c r="C269" s="154"/>
      <c r="D269" s="41"/>
      <c r="E269" s="154"/>
      <c r="F269" s="154"/>
      <c r="G269" s="41"/>
      <c r="H269" s="154"/>
      <c r="I269" s="154"/>
      <c r="J269" s="41"/>
      <c r="K269" s="152"/>
      <c r="L269" s="153"/>
      <c r="M269" s="153"/>
      <c r="N269" s="153"/>
      <c r="O269" s="153"/>
      <c r="P269" s="153"/>
    </row>
    <row r="270" spans="1:16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</row>
    <row r="271" spans="1:16" ht="30" customHeight="1">
      <c r="A271" s="203" t="s">
        <v>16</v>
      </c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6" t="s">
        <v>135</v>
      </c>
      <c r="N271" s="206"/>
      <c r="O271" s="206"/>
      <c r="P271" s="206"/>
    </row>
    <row r="272" spans="1:16" ht="14.25" thickBot="1"/>
    <row r="273" spans="1:20" ht="21.75" customHeight="1">
      <c r="A273" s="178" t="s">
        <v>17</v>
      </c>
      <c r="B273" s="179"/>
      <c r="C273" s="207" t="str">
        <f>賃金集計表!A28</f>
        <v>鹿室　泰洋</v>
      </c>
      <c r="D273" s="208"/>
      <c r="E273" s="208"/>
      <c r="F273" s="208"/>
      <c r="G273" s="211" t="s">
        <v>70</v>
      </c>
      <c r="H273" s="179" t="s">
        <v>18</v>
      </c>
      <c r="I273" s="179"/>
      <c r="J273" s="179"/>
      <c r="K273" s="179" t="s">
        <v>19</v>
      </c>
      <c r="L273" s="179"/>
      <c r="M273" s="179"/>
      <c r="N273" s="179" t="s">
        <v>20</v>
      </c>
      <c r="O273" s="179"/>
      <c r="P273" s="185"/>
    </row>
    <row r="274" spans="1:20" ht="21.75" customHeight="1" thickBot="1">
      <c r="A274" s="183"/>
      <c r="B274" s="184"/>
      <c r="C274" s="209"/>
      <c r="D274" s="210"/>
      <c r="E274" s="210"/>
      <c r="F274" s="210"/>
      <c r="G274" s="212"/>
      <c r="H274" s="186">
        <f>賃金集計表!B28</f>
        <v>7</v>
      </c>
      <c r="I274" s="186"/>
      <c r="J274" s="186"/>
      <c r="K274" s="204"/>
      <c r="L274" s="186"/>
      <c r="M274" s="186"/>
      <c r="N274" s="186"/>
      <c r="O274" s="186"/>
      <c r="P274" s="187"/>
    </row>
    <row r="275" spans="1:20" ht="9" customHeight="1" thickBo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</row>
    <row r="276" spans="1:20" ht="21.75" customHeight="1">
      <c r="A276" s="178" t="s">
        <v>21</v>
      </c>
      <c r="B276" s="179"/>
      <c r="C276" s="180" t="s">
        <v>20</v>
      </c>
      <c r="D276" s="180"/>
      <c r="E276" s="179"/>
      <c r="F276" s="179"/>
      <c r="G276" s="179"/>
      <c r="H276" s="179"/>
      <c r="I276" s="179" t="s">
        <v>22</v>
      </c>
      <c r="J276" s="179"/>
      <c r="K276" s="173"/>
      <c r="L276" s="173"/>
      <c r="M276" s="173"/>
      <c r="N276" s="173"/>
      <c r="O276" s="173"/>
      <c r="P276" s="174"/>
      <c r="R276" s="46"/>
      <c r="T276" s="46"/>
    </row>
    <row r="277" spans="1:20" ht="30" customHeight="1" thickBot="1">
      <c r="A277" s="175">
        <f>賃金集計表!H28</f>
        <v>7000</v>
      </c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7"/>
    </row>
    <row r="278" spans="1:20" ht="9" customHeight="1" thickBo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</row>
    <row r="279" spans="1:20" ht="21.75" customHeight="1">
      <c r="A279" s="178" t="s">
        <v>23</v>
      </c>
      <c r="B279" s="179"/>
      <c r="C279" s="180" t="s">
        <v>24</v>
      </c>
      <c r="D279" s="180"/>
      <c r="E279" s="179" t="s">
        <v>25</v>
      </c>
      <c r="F279" s="179"/>
      <c r="G279" s="179" t="s">
        <v>26</v>
      </c>
      <c r="H279" s="179"/>
      <c r="I279" s="179" t="s">
        <v>27</v>
      </c>
      <c r="J279" s="179"/>
      <c r="K279" s="173"/>
      <c r="L279" s="173"/>
      <c r="M279" s="173"/>
      <c r="N279" s="173"/>
      <c r="O279" s="179" t="s">
        <v>63</v>
      </c>
      <c r="P279" s="185"/>
    </row>
    <row r="280" spans="1:20" ht="30" customHeight="1" thickBo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>
        <f>賃金集計表!V28</f>
        <v>0</v>
      </c>
      <c r="P280" s="177"/>
    </row>
    <row r="281" spans="1:20" ht="9" customHeight="1" thickBo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</row>
    <row r="282" spans="1:20" ht="21.75" customHeight="1" thickTop="1">
      <c r="A282" s="188" t="s">
        <v>28</v>
      </c>
      <c r="B282" s="189"/>
      <c r="C282" s="189"/>
      <c r="D282" s="189" t="s">
        <v>29</v>
      </c>
      <c r="E282" s="189"/>
      <c r="F282" s="189"/>
      <c r="G282" s="189" t="s">
        <v>30</v>
      </c>
      <c r="H282" s="189"/>
      <c r="I282" s="190"/>
      <c r="J282" s="101"/>
      <c r="K282" s="191" t="s">
        <v>31</v>
      </c>
      <c r="L282" s="192"/>
      <c r="M282" s="192"/>
      <c r="N282" s="192"/>
      <c r="O282" s="192"/>
      <c r="P282" s="192"/>
    </row>
    <row r="283" spans="1:20" ht="30" customHeight="1" thickBot="1">
      <c r="A283" s="193">
        <f>SUM(A277:P277)</f>
        <v>7000</v>
      </c>
      <c r="B283" s="194"/>
      <c r="C283" s="194"/>
      <c r="D283" s="195">
        <f>SUM(A280:P280)</f>
        <v>0</v>
      </c>
      <c r="E283" s="194"/>
      <c r="F283" s="194"/>
      <c r="G283" s="195">
        <f>A283-D283</f>
        <v>7000</v>
      </c>
      <c r="H283" s="194"/>
      <c r="I283" s="196"/>
      <c r="J283" s="41"/>
      <c r="K283" s="197" t="s">
        <v>32</v>
      </c>
      <c r="L283" s="198"/>
      <c r="M283" s="198"/>
      <c r="N283" s="198"/>
      <c r="O283" s="198"/>
      <c r="P283" s="198"/>
    </row>
    <row r="284" spans="1:20" ht="14.25" thickTop="1"/>
    <row r="286" spans="1:20" ht="30" customHeight="1">
      <c r="A286" s="199" t="s">
        <v>16</v>
      </c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200" t="s">
        <v>135</v>
      </c>
      <c r="N286" s="200"/>
      <c r="O286" s="200"/>
      <c r="P286" s="200"/>
    </row>
    <row r="287" spans="1:20" ht="14.25" thickBo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</row>
    <row r="288" spans="1:20" ht="21.75" customHeight="1">
      <c r="A288" s="178" t="s">
        <v>17</v>
      </c>
      <c r="B288" s="179"/>
      <c r="C288" s="207" t="str">
        <f>賃金集計表!A29</f>
        <v>吉岡　一夫</v>
      </c>
      <c r="D288" s="208"/>
      <c r="E288" s="208"/>
      <c r="F288" s="208"/>
      <c r="G288" s="211" t="s">
        <v>70</v>
      </c>
      <c r="H288" s="179" t="s">
        <v>18</v>
      </c>
      <c r="I288" s="179"/>
      <c r="J288" s="179"/>
      <c r="K288" s="179" t="s">
        <v>19</v>
      </c>
      <c r="L288" s="179"/>
      <c r="M288" s="179"/>
      <c r="N288" s="179" t="s">
        <v>20</v>
      </c>
      <c r="O288" s="179"/>
      <c r="P288" s="185"/>
    </row>
    <row r="289" spans="1:16" ht="21.75" customHeight="1" thickBot="1">
      <c r="A289" s="183"/>
      <c r="B289" s="184"/>
      <c r="C289" s="209"/>
      <c r="D289" s="210"/>
      <c r="E289" s="210"/>
      <c r="F289" s="210"/>
      <c r="G289" s="212"/>
      <c r="H289" s="186">
        <f>賃金集計表!B29</f>
        <v>18</v>
      </c>
      <c r="I289" s="186"/>
      <c r="J289" s="186"/>
      <c r="K289" s="205"/>
      <c r="L289" s="186"/>
      <c r="M289" s="186"/>
      <c r="N289" s="186"/>
      <c r="O289" s="186"/>
      <c r="P289" s="187"/>
    </row>
    <row r="290" spans="1:16" ht="9" customHeight="1" thickBo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</row>
    <row r="291" spans="1:16" ht="21.75" customHeight="1">
      <c r="A291" s="178" t="s">
        <v>21</v>
      </c>
      <c r="B291" s="179"/>
      <c r="C291" s="180" t="s">
        <v>20</v>
      </c>
      <c r="D291" s="180"/>
      <c r="E291" s="179"/>
      <c r="F291" s="179"/>
      <c r="G291" s="179"/>
      <c r="H291" s="179"/>
      <c r="I291" s="179" t="s">
        <v>22</v>
      </c>
      <c r="J291" s="179"/>
      <c r="K291" s="173"/>
      <c r="L291" s="173"/>
      <c r="M291" s="173"/>
      <c r="N291" s="173"/>
      <c r="O291" s="173"/>
      <c r="P291" s="174"/>
    </row>
    <row r="292" spans="1:16" ht="30" customHeight="1" thickBot="1">
      <c r="A292" s="175">
        <f>賃金集計表!H29</f>
        <v>18000</v>
      </c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7"/>
    </row>
    <row r="293" spans="1:16" ht="9" customHeight="1" thickBo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</row>
    <row r="294" spans="1:16" ht="21.75" customHeight="1">
      <c r="A294" s="178" t="s">
        <v>23</v>
      </c>
      <c r="B294" s="179"/>
      <c r="C294" s="180" t="s">
        <v>24</v>
      </c>
      <c r="D294" s="180"/>
      <c r="E294" s="179" t="s">
        <v>25</v>
      </c>
      <c r="F294" s="179"/>
      <c r="G294" s="179" t="s">
        <v>26</v>
      </c>
      <c r="H294" s="179"/>
      <c r="I294" s="179" t="s">
        <v>27</v>
      </c>
      <c r="J294" s="179"/>
      <c r="K294" s="173"/>
      <c r="L294" s="173"/>
      <c r="M294" s="173"/>
      <c r="N294" s="173"/>
      <c r="O294" s="179" t="s">
        <v>63</v>
      </c>
      <c r="P294" s="185"/>
    </row>
    <row r="295" spans="1:16" ht="30" customHeight="1" thickBot="1">
      <c r="A295" s="175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>
        <f>賃金集計表!V29</f>
        <v>0</v>
      </c>
      <c r="P295" s="177"/>
    </row>
    <row r="296" spans="1:16" ht="9" customHeight="1" thickBo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</row>
    <row r="297" spans="1:16" ht="21.75" customHeight="1" thickTop="1">
      <c r="A297" s="188" t="s">
        <v>28</v>
      </c>
      <c r="B297" s="189"/>
      <c r="C297" s="189"/>
      <c r="D297" s="189" t="s">
        <v>29</v>
      </c>
      <c r="E297" s="189"/>
      <c r="F297" s="189"/>
      <c r="G297" s="189" t="s">
        <v>30</v>
      </c>
      <c r="H297" s="189"/>
      <c r="I297" s="190"/>
      <c r="J297" s="101"/>
      <c r="K297" s="191" t="s">
        <v>31</v>
      </c>
      <c r="L297" s="201"/>
      <c r="M297" s="201"/>
      <c r="N297" s="201"/>
      <c r="O297" s="201"/>
      <c r="P297" s="201"/>
    </row>
    <row r="298" spans="1:16" ht="30" customHeight="1" thickBot="1">
      <c r="A298" s="193">
        <f>SUM(A292:P292)</f>
        <v>18000</v>
      </c>
      <c r="B298" s="194"/>
      <c r="C298" s="194"/>
      <c r="D298" s="195">
        <f>SUM(A295:P295)</f>
        <v>0</v>
      </c>
      <c r="E298" s="194"/>
      <c r="F298" s="194"/>
      <c r="G298" s="195">
        <f>A298-D298</f>
        <v>18000</v>
      </c>
      <c r="H298" s="194"/>
      <c r="I298" s="196"/>
      <c r="J298" s="41"/>
      <c r="K298" s="197" t="s">
        <v>32</v>
      </c>
      <c r="L298" s="202"/>
      <c r="M298" s="202"/>
      <c r="N298" s="202"/>
      <c r="O298" s="202"/>
      <c r="P298" s="202"/>
    </row>
    <row r="299" spans="1:16" ht="14.25" thickTop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</row>
    <row r="300" spans="1:16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</row>
    <row r="301" spans="1:16" ht="30" customHeight="1">
      <c r="A301" s="181" t="s">
        <v>16</v>
      </c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206" t="s">
        <v>135</v>
      </c>
      <c r="N301" s="206"/>
      <c r="O301" s="206"/>
      <c r="P301" s="206"/>
    </row>
    <row r="302" spans="1:16" ht="14.25" thickBot="1"/>
    <row r="303" spans="1:16" ht="21.75" customHeight="1">
      <c r="A303" s="178" t="s">
        <v>17</v>
      </c>
      <c r="B303" s="179"/>
      <c r="C303" s="207" t="str">
        <f>賃金集計表!A30</f>
        <v>宇江　寿江</v>
      </c>
      <c r="D303" s="208"/>
      <c r="E303" s="208"/>
      <c r="F303" s="208"/>
      <c r="G303" s="211" t="s">
        <v>70</v>
      </c>
      <c r="H303" s="179" t="s">
        <v>18</v>
      </c>
      <c r="I303" s="179"/>
      <c r="J303" s="179"/>
      <c r="K303" s="179" t="s">
        <v>19</v>
      </c>
      <c r="L303" s="179"/>
      <c r="M303" s="179"/>
      <c r="N303" s="179" t="s">
        <v>20</v>
      </c>
      <c r="O303" s="179"/>
      <c r="P303" s="185"/>
    </row>
    <row r="304" spans="1:16" ht="21.75" customHeight="1" thickBot="1">
      <c r="A304" s="183"/>
      <c r="B304" s="184"/>
      <c r="C304" s="209"/>
      <c r="D304" s="210"/>
      <c r="E304" s="210"/>
      <c r="F304" s="210"/>
      <c r="G304" s="212"/>
      <c r="H304" s="186">
        <f>賃金集計表!B30</f>
        <v>16</v>
      </c>
      <c r="I304" s="186"/>
      <c r="J304" s="186"/>
      <c r="K304" s="186"/>
      <c r="L304" s="186"/>
      <c r="M304" s="186"/>
      <c r="N304" s="186"/>
      <c r="O304" s="186"/>
      <c r="P304" s="187"/>
    </row>
    <row r="305" spans="1:16" ht="9" customHeight="1" thickBo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</row>
    <row r="306" spans="1:16" ht="21.75" customHeight="1">
      <c r="A306" s="178" t="s">
        <v>21</v>
      </c>
      <c r="B306" s="179"/>
      <c r="C306" s="180" t="s">
        <v>20</v>
      </c>
      <c r="D306" s="180"/>
      <c r="E306" s="179"/>
      <c r="F306" s="179"/>
      <c r="G306" s="179"/>
      <c r="H306" s="179"/>
      <c r="I306" s="179" t="s">
        <v>22</v>
      </c>
      <c r="J306" s="179"/>
      <c r="K306" s="173"/>
      <c r="L306" s="173"/>
      <c r="M306" s="173"/>
      <c r="N306" s="173"/>
      <c r="O306" s="173"/>
      <c r="P306" s="174"/>
    </row>
    <row r="307" spans="1:16" ht="30" customHeight="1" thickBot="1">
      <c r="A307" s="175">
        <f>賃金集計表!H30</f>
        <v>16000</v>
      </c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7"/>
    </row>
    <row r="308" spans="1:16" ht="9" customHeight="1" thickBo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</row>
    <row r="309" spans="1:16" ht="21.75" customHeight="1">
      <c r="A309" s="178" t="s">
        <v>23</v>
      </c>
      <c r="B309" s="179"/>
      <c r="C309" s="180" t="s">
        <v>24</v>
      </c>
      <c r="D309" s="180"/>
      <c r="E309" s="179" t="s">
        <v>25</v>
      </c>
      <c r="F309" s="179"/>
      <c r="G309" s="179" t="s">
        <v>26</v>
      </c>
      <c r="H309" s="179"/>
      <c r="I309" s="179" t="s">
        <v>27</v>
      </c>
      <c r="J309" s="179"/>
      <c r="K309" s="173"/>
      <c r="L309" s="173"/>
      <c r="M309" s="173"/>
      <c r="N309" s="173"/>
      <c r="O309" s="179" t="s">
        <v>63</v>
      </c>
      <c r="P309" s="185"/>
    </row>
    <row r="310" spans="1:16" ht="30" customHeight="1" thickBot="1">
      <c r="A310" s="175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>
        <f>賃金集計表!V30</f>
        <v>0</v>
      </c>
      <c r="P310" s="177"/>
    </row>
    <row r="311" spans="1:16" ht="9" customHeight="1" thickBo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</row>
    <row r="312" spans="1:16" ht="21.75" customHeight="1" thickTop="1">
      <c r="A312" s="188" t="s">
        <v>28</v>
      </c>
      <c r="B312" s="189"/>
      <c r="C312" s="189"/>
      <c r="D312" s="189" t="s">
        <v>29</v>
      </c>
      <c r="E312" s="189"/>
      <c r="F312" s="189"/>
      <c r="G312" s="189" t="s">
        <v>30</v>
      </c>
      <c r="H312" s="189"/>
      <c r="I312" s="190"/>
      <c r="J312" s="101"/>
      <c r="K312" s="191" t="s">
        <v>31</v>
      </c>
      <c r="L312" s="192"/>
      <c r="M312" s="192"/>
      <c r="N312" s="192"/>
      <c r="O312" s="192"/>
      <c r="P312" s="192"/>
    </row>
    <row r="313" spans="1:16" ht="30" customHeight="1" thickBot="1">
      <c r="A313" s="193">
        <f>SUM(A307:P307)</f>
        <v>16000</v>
      </c>
      <c r="B313" s="194"/>
      <c r="C313" s="194"/>
      <c r="D313" s="195">
        <f>SUM(A310:P310)</f>
        <v>0</v>
      </c>
      <c r="E313" s="194"/>
      <c r="F313" s="194"/>
      <c r="G313" s="195">
        <f>A313-D313</f>
        <v>16000</v>
      </c>
      <c r="H313" s="194"/>
      <c r="I313" s="196"/>
      <c r="J313" s="41"/>
      <c r="K313" s="197" t="s">
        <v>32</v>
      </c>
      <c r="L313" s="198"/>
      <c r="M313" s="198"/>
      <c r="N313" s="198"/>
      <c r="O313" s="198"/>
      <c r="P313" s="198"/>
    </row>
    <row r="314" spans="1:16" ht="13.5" customHeight="1" thickTop="1">
      <c r="A314" s="41"/>
      <c r="B314" s="154"/>
      <c r="C314" s="154"/>
      <c r="D314" s="41"/>
      <c r="E314" s="154"/>
      <c r="F314" s="154"/>
      <c r="G314" s="41"/>
      <c r="H314" s="154"/>
      <c r="I314" s="154"/>
      <c r="J314" s="41"/>
      <c r="K314" s="152"/>
      <c r="L314" s="153"/>
      <c r="M314" s="153"/>
      <c r="N314" s="153"/>
      <c r="O314" s="153"/>
      <c r="P314" s="153"/>
    </row>
    <row r="315" spans="1:16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</row>
    <row r="316" spans="1:16" ht="30" customHeight="1">
      <c r="A316" s="203" t="s">
        <v>16</v>
      </c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6" t="s">
        <v>135</v>
      </c>
      <c r="N316" s="206"/>
      <c r="O316" s="206"/>
      <c r="P316" s="206"/>
    </row>
    <row r="317" spans="1:16" ht="14.25" thickBot="1"/>
    <row r="318" spans="1:16" ht="21.75" customHeight="1">
      <c r="A318" s="178" t="s">
        <v>17</v>
      </c>
      <c r="B318" s="179"/>
      <c r="C318" s="207" t="str">
        <f>賃金集計表!A31</f>
        <v>吉原　祐平</v>
      </c>
      <c r="D318" s="208"/>
      <c r="E318" s="208"/>
      <c r="F318" s="208"/>
      <c r="G318" s="211" t="s">
        <v>34</v>
      </c>
      <c r="H318" s="179" t="s">
        <v>18</v>
      </c>
      <c r="I318" s="179"/>
      <c r="J318" s="179"/>
      <c r="K318" s="179" t="s">
        <v>19</v>
      </c>
      <c r="L318" s="179"/>
      <c r="M318" s="179"/>
      <c r="N318" s="179" t="s">
        <v>20</v>
      </c>
      <c r="O318" s="179"/>
      <c r="P318" s="185"/>
    </row>
    <row r="319" spans="1:16" ht="21.75" customHeight="1" thickBot="1">
      <c r="A319" s="183"/>
      <c r="B319" s="184"/>
      <c r="C319" s="209"/>
      <c r="D319" s="210"/>
      <c r="E319" s="210"/>
      <c r="F319" s="210"/>
      <c r="G319" s="212"/>
      <c r="H319" s="186">
        <f>賃金集計表!B31</f>
        <v>21</v>
      </c>
      <c r="I319" s="186"/>
      <c r="J319" s="186"/>
      <c r="K319" s="204"/>
      <c r="L319" s="186"/>
      <c r="M319" s="186"/>
      <c r="N319" s="186"/>
      <c r="O319" s="186"/>
      <c r="P319" s="187"/>
    </row>
    <row r="320" spans="1:16" ht="9" customHeight="1" thickBo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</row>
    <row r="321" spans="1:20" ht="21.75" customHeight="1">
      <c r="A321" s="178" t="s">
        <v>21</v>
      </c>
      <c r="B321" s="179"/>
      <c r="C321" s="180" t="s">
        <v>20</v>
      </c>
      <c r="D321" s="180"/>
      <c r="E321" s="179"/>
      <c r="F321" s="179"/>
      <c r="G321" s="179"/>
      <c r="H321" s="179"/>
      <c r="I321" s="179" t="s">
        <v>22</v>
      </c>
      <c r="J321" s="179"/>
      <c r="K321" s="173"/>
      <c r="L321" s="173"/>
      <c r="M321" s="173"/>
      <c r="N321" s="173"/>
      <c r="O321" s="173"/>
      <c r="P321" s="174"/>
      <c r="R321" s="46"/>
      <c r="T321" s="46"/>
    </row>
    <row r="322" spans="1:20" ht="30" customHeight="1" thickBot="1">
      <c r="A322" s="175">
        <f>賃金集計表!H31</f>
        <v>21000</v>
      </c>
      <c r="B322" s="176"/>
      <c r="C322" s="176"/>
      <c r="D322" s="176"/>
      <c r="E322" s="176"/>
      <c r="F322" s="176"/>
      <c r="G322" s="176"/>
      <c r="H322" s="176"/>
      <c r="I322" s="176">
        <f>賃金集計表!L31</f>
        <v>7000</v>
      </c>
      <c r="J322" s="176"/>
      <c r="K322" s="176"/>
      <c r="L322" s="176"/>
      <c r="M322" s="176"/>
      <c r="N322" s="176"/>
      <c r="O322" s="176"/>
      <c r="P322" s="177"/>
    </row>
    <row r="323" spans="1:20" ht="9" customHeight="1" thickBo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</row>
    <row r="324" spans="1:20" ht="21.75" customHeight="1">
      <c r="A324" s="178" t="s">
        <v>23</v>
      </c>
      <c r="B324" s="179"/>
      <c r="C324" s="180" t="s">
        <v>24</v>
      </c>
      <c r="D324" s="180"/>
      <c r="E324" s="179" t="s">
        <v>25</v>
      </c>
      <c r="F324" s="179"/>
      <c r="G324" s="179" t="s">
        <v>26</v>
      </c>
      <c r="H324" s="179"/>
      <c r="I324" s="179" t="s">
        <v>27</v>
      </c>
      <c r="J324" s="179"/>
      <c r="K324" s="173"/>
      <c r="L324" s="173"/>
      <c r="M324" s="173"/>
      <c r="N324" s="173"/>
      <c r="O324" s="179" t="s">
        <v>63</v>
      </c>
      <c r="P324" s="185"/>
    </row>
    <row r="325" spans="1:20" ht="30" customHeight="1" thickBot="1">
      <c r="A325" s="175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>
        <f>賃金集計表!V31</f>
        <v>7000</v>
      </c>
      <c r="P325" s="177"/>
    </row>
    <row r="326" spans="1:20" ht="9" customHeight="1" thickBo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</row>
    <row r="327" spans="1:20" ht="21.75" customHeight="1" thickTop="1">
      <c r="A327" s="188" t="s">
        <v>28</v>
      </c>
      <c r="B327" s="189"/>
      <c r="C327" s="189"/>
      <c r="D327" s="189" t="s">
        <v>29</v>
      </c>
      <c r="E327" s="189"/>
      <c r="F327" s="189"/>
      <c r="G327" s="189" t="s">
        <v>30</v>
      </c>
      <c r="H327" s="189"/>
      <c r="I327" s="190"/>
      <c r="J327" s="112"/>
      <c r="K327" s="191" t="s">
        <v>31</v>
      </c>
      <c r="L327" s="192"/>
      <c r="M327" s="192"/>
      <c r="N327" s="192"/>
      <c r="O327" s="192"/>
      <c r="P327" s="192"/>
    </row>
    <row r="328" spans="1:20" ht="30" customHeight="1" thickBot="1">
      <c r="A328" s="193">
        <f>SUM(A322:P322)</f>
        <v>28000</v>
      </c>
      <c r="B328" s="194"/>
      <c r="C328" s="194"/>
      <c r="D328" s="195">
        <f>SUM(A325:P325)</f>
        <v>7000</v>
      </c>
      <c r="E328" s="194"/>
      <c r="F328" s="194"/>
      <c r="G328" s="195">
        <f>A328-D328</f>
        <v>21000</v>
      </c>
      <c r="H328" s="194"/>
      <c r="I328" s="196"/>
      <c r="J328" s="41"/>
      <c r="K328" s="197" t="s">
        <v>32</v>
      </c>
      <c r="L328" s="198"/>
      <c r="M328" s="198"/>
      <c r="N328" s="198"/>
      <c r="O328" s="198"/>
      <c r="P328" s="198"/>
    </row>
    <row r="329" spans="1:20" ht="14.25" thickTop="1"/>
    <row r="331" spans="1:20" ht="30" customHeight="1">
      <c r="A331" s="199" t="s">
        <v>16</v>
      </c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200" t="s">
        <v>135</v>
      </c>
      <c r="N331" s="200"/>
      <c r="O331" s="200"/>
      <c r="P331" s="200"/>
    </row>
    <row r="332" spans="1:20" ht="14.25" thickBo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</row>
    <row r="333" spans="1:20" ht="21.75" customHeight="1">
      <c r="A333" s="178" t="s">
        <v>17</v>
      </c>
      <c r="B333" s="179"/>
      <c r="C333" s="207" t="str">
        <f>賃金集計表!A32</f>
        <v>櫻武　隆一</v>
      </c>
      <c r="D333" s="208"/>
      <c r="E333" s="208"/>
      <c r="F333" s="208"/>
      <c r="G333" s="211" t="s">
        <v>34</v>
      </c>
      <c r="H333" s="179" t="s">
        <v>18</v>
      </c>
      <c r="I333" s="179"/>
      <c r="J333" s="179"/>
      <c r="K333" s="179" t="s">
        <v>19</v>
      </c>
      <c r="L333" s="179"/>
      <c r="M333" s="179"/>
      <c r="N333" s="179" t="s">
        <v>20</v>
      </c>
      <c r="O333" s="179"/>
      <c r="P333" s="185"/>
    </row>
    <row r="334" spans="1:20" ht="21.75" customHeight="1" thickBot="1">
      <c r="A334" s="183"/>
      <c r="B334" s="184"/>
      <c r="C334" s="209"/>
      <c r="D334" s="210"/>
      <c r="E334" s="210"/>
      <c r="F334" s="210"/>
      <c r="G334" s="212"/>
      <c r="H334" s="186">
        <f>賃金集計表!B32</f>
        <v>15</v>
      </c>
      <c r="I334" s="186"/>
      <c r="J334" s="186"/>
      <c r="K334" s="205"/>
      <c r="L334" s="186"/>
      <c r="M334" s="186"/>
      <c r="N334" s="186"/>
      <c r="O334" s="186"/>
      <c r="P334" s="187"/>
    </row>
    <row r="335" spans="1:20" ht="9" customHeight="1" thickBo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</row>
    <row r="336" spans="1:20" ht="21.75" customHeight="1">
      <c r="A336" s="178" t="s">
        <v>21</v>
      </c>
      <c r="B336" s="179"/>
      <c r="C336" s="180" t="s">
        <v>20</v>
      </c>
      <c r="D336" s="180"/>
      <c r="E336" s="179"/>
      <c r="F336" s="179"/>
      <c r="G336" s="179"/>
      <c r="H336" s="179"/>
      <c r="I336" s="179" t="s">
        <v>22</v>
      </c>
      <c r="J336" s="179"/>
      <c r="K336" s="173"/>
      <c r="L336" s="173"/>
      <c r="M336" s="173"/>
      <c r="N336" s="173"/>
      <c r="O336" s="173"/>
      <c r="P336" s="174"/>
    </row>
    <row r="337" spans="1:16" ht="30" customHeight="1" thickBot="1">
      <c r="A337" s="175">
        <f>賃金集計表!H32</f>
        <v>15000</v>
      </c>
      <c r="B337" s="176"/>
      <c r="C337" s="176"/>
      <c r="D337" s="176"/>
      <c r="E337" s="176"/>
      <c r="F337" s="176"/>
      <c r="G337" s="176"/>
      <c r="H337" s="176"/>
      <c r="I337" s="176">
        <f>賃金集計表!L32</f>
        <v>5250</v>
      </c>
      <c r="J337" s="176"/>
      <c r="K337" s="176"/>
      <c r="L337" s="176"/>
      <c r="M337" s="176"/>
      <c r="N337" s="176"/>
      <c r="O337" s="176"/>
      <c r="P337" s="177"/>
    </row>
    <row r="338" spans="1:16" ht="9" customHeight="1" thickBo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</row>
    <row r="339" spans="1:16" ht="21.75" customHeight="1">
      <c r="A339" s="178" t="s">
        <v>23</v>
      </c>
      <c r="B339" s="179"/>
      <c r="C339" s="180" t="s">
        <v>24</v>
      </c>
      <c r="D339" s="180"/>
      <c r="E339" s="179" t="s">
        <v>25</v>
      </c>
      <c r="F339" s="179"/>
      <c r="G339" s="179" t="s">
        <v>26</v>
      </c>
      <c r="H339" s="179"/>
      <c r="I339" s="179" t="s">
        <v>27</v>
      </c>
      <c r="J339" s="179"/>
      <c r="K339" s="173"/>
      <c r="L339" s="173"/>
      <c r="M339" s="173"/>
      <c r="N339" s="173"/>
      <c r="O339" s="179" t="s">
        <v>63</v>
      </c>
      <c r="P339" s="185"/>
    </row>
    <row r="340" spans="1:16" ht="30" customHeight="1" thickBot="1">
      <c r="A340" s="175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>
        <f>賃金集計表!V32</f>
        <v>5250</v>
      </c>
      <c r="P340" s="177"/>
    </row>
    <row r="341" spans="1:16" ht="9" customHeight="1" thickBo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</row>
    <row r="342" spans="1:16" ht="21.75" customHeight="1" thickTop="1">
      <c r="A342" s="188" t="s">
        <v>28</v>
      </c>
      <c r="B342" s="189"/>
      <c r="C342" s="189"/>
      <c r="D342" s="189" t="s">
        <v>29</v>
      </c>
      <c r="E342" s="189"/>
      <c r="F342" s="189"/>
      <c r="G342" s="189" t="s">
        <v>30</v>
      </c>
      <c r="H342" s="189"/>
      <c r="I342" s="190"/>
      <c r="J342" s="112"/>
      <c r="K342" s="191" t="s">
        <v>31</v>
      </c>
      <c r="L342" s="201"/>
      <c r="M342" s="201"/>
      <c r="N342" s="201"/>
      <c r="O342" s="201"/>
      <c r="P342" s="201"/>
    </row>
    <row r="343" spans="1:16" ht="30" customHeight="1" thickBot="1">
      <c r="A343" s="193">
        <f>SUM(A337:P337)</f>
        <v>20250</v>
      </c>
      <c r="B343" s="194"/>
      <c r="C343" s="194"/>
      <c r="D343" s="195">
        <f>SUM(A340:P340)</f>
        <v>5250</v>
      </c>
      <c r="E343" s="194"/>
      <c r="F343" s="194"/>
      <c r="G343" s="195">
        <f>A343-D343</f>
        <v>15000</v>
      </c>
      <c r="H343" s="194"/>
      <c r="I343" s="196"/>
      <c r="J343" s="41"/>
      <c r="K343" s="197" t="s">
        <v>32</v>
      </c>
      <c r="L343" s="202"/>
      <c r="M343" s="202"/>
      <c r="N343" s="202"/>
      <c r="O343" s="202"/>
      <c r="P343" s="202"/>
    </row>
    <row r="344" spans="1:16" ht="14.25" thickTop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</row>
    <row r="345" spans="1:16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</row>
    <row r="346" spans="1:16" ht="30" customHeight="1">
      <c r="A346" s="181" t="s">
        <v>16</v>
      </c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206" t="s">
        <v>135</v>
      </c>
      <c r="N346" s="206"/>
      <c r="O346" s="206"/>
      <c r="P346" s="206"/>
    </row>
    <row r="347" spans="1:16" ht="14.25" thickBot="1"/>
    <row r="348" spans="1:16" ht="21.75" customHeight="1">
      <c r="A348" s="178" t="s">
        <v>17</v>
      </c>
      <c r="B348" s="179"/>
      <c r="C348" s="207" t="str">
        <f>賃金集計表!A33</f>
        <v>志並　智美</v>
      </c>
      <c r="D348" s="208"/>
      <c r="E348" s="208"/>
      <c r="F348" s="208"/>
      <c r="G348" s="211" t="s">
        <v>34</v>
      </c>
      <c r="H348" s="179" t="s">
        <v>18</v>
      </c>
      <c r="I348" s="179"/>
      <c r="J348" s="179"/>
      <c r="K348" s="179" t="s">
        <v>19</v>
      </c>
      <c r="L348" s="179"/>
      <c r="M348" s="179"/>
      <c r="N348" s="179" t="s">
        <v>20</v>
      </c>
      <c r="O348" s="179"/>
      <c r="P348" s="185"/>
    </row>
    <row r="349" spans="1:16" ht="21.75" customHeight="1" thickBot="1">
      <c r="A349" s="183"/>
      <c r="B349" s="184"/>
      <c r="C349" s="209"/>
      <c r="D349" s="210"/>
      <c r="E349" s="210"/>
      <c r="F349" s="210"/>
      <c r="G349" s="212"/>
      <c r="H349" s="186">
        <f>賃金集計表!B33</f>
        <v>5</v>
      </c>
      <c r="I349" s="186"/>
      <c r="J349" s="186"/>
      <c r="K349" s="186"/>
      <c r="L349" s="186"/>
      <c r="M349" s="186"/>
      <c r="N349" s="186"/>
      <c r="O349" s="186"/>
      <c r="P349" s="187"/>
    </row>
    <row r="350" spans="1:16" ht="9" customHeight="1" thickBo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</row>
    <row r="351" spans="1:16" ht="21.75" customHeight="1">
      <c r="A351" s="178" t="s">
        <v>21</v>
      </c>
      <c r="B351" s="179"/>
      <c r="C351" s="180" t="s">
        <v>20</v>
      </c>
      <c r="D351" s="180"/>
      <c r="E351" s="179"/>
      <c r="F351" s="179"/>
      <c r="G351" s="179"/>
      <c r="H351" s="179"/>
      <c r="I351" s="179" t="s">
        <v>22</v>
      </c>
      <c r="J351" s="179"/>
      <c r="K351" s="173"/>
      <c r="L351" s="173"/>
      <c r="M351" s="173"/>
      <c r="N351" s="173"/>
      <c r="O351" s="173"/>
      <c r="P351" s="174"/>
    </row>
    <row r="352" spans="1:16" ht="30" customHeight="1" thickBot="1">
      <c r="A352" s="175">
        <f>賃金集計表!H33</f>
        <v>5000</v>
      </c>
      <c r="B352" s="176"/>
      <c r="C352" s="176"/>
      <c r="D352" s="176"/>
      <c r="E352" s="176"/>
      <c r="F352" s="176"/>
      <c r="G352" s="176"/>
      <c r="H352" s="176"/>
      <c r="I352" s="176">
        <f>賃金集計表!L33</f>
        <v>0</v>
      </c>
      <c r="J352" s="176"/>
      <c r="K352" s="176"/>
      <c r="L352" s="176"/>
      <c r="M352" s="176"/>
      <c r="N352" s="176"/>
      <c r="O352" s="176"/>
      <c r="P352" s="177"/>
    </row>
    <row r="353" spans="1:20" ht="9" customHeight="1" thickBo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</row>
    <row r="354" spans="1:20" ht="21.75" customHeight="1">
      <c r="A354" s="178" t="s">
        <v>23</v>
      </c>
      <c r="B354" s="179"/>
      <c r="C354" s="180" t="s">
        <v>24</v>
      </c>
      <c r="D354" s="180"/>
      <c r="E354" s="179" t="s">
        <v>25</v>
      </c>
      <c r="F354" s="179"/>
      <c r="G354" s="179" t="s">
        <v>26</v>
      </c>
      <c r="H354" s="179"/>
      <c r="I354" s="179" t="s">
        <v>27</v>
      </c>
      <c r="J354" s="179"/>
      <c r="K354" s="173"/>
      <c r="L354" s="173"/>
      <c r="M354" s="173"/>
      <c r="N354" s="173"/>
      <c r="O354" s="179" t="s">
        <v>63</v>
      </c>
      <c r="P354" s="185"/>
    </row>
    <row r="355" spans="1:20" ht="30" customHeight="1" thickBot="1">
      <c r="A355" s="175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>
        <f>賃金集計表!V33</f>
        <v>0</v>
      </c>
      <c r="P355" s="177"/>
    </row>
    <row r="356" spans="1:20" ht="9" customHeight="1" thickBo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</row>
    <row r="357" spans="1:20" ht="21.75" customHeight="1" thickTop="1">
      <c r="A357" s="188" t="s">
        <v>28</v>
      </c>
      <c r="B357" s="189"/>
      <c r="C357" s="189"/>
      <c r="D357" s="189" t="s">
        <v>29</v>
      </c>
      <c r="E357" s="189"/>
      <c r="F357" s="189"/>
      <c r="G357" s="189" t="s">
        <v>30</v>
      </c>
      <c r="H357" s="189"/>
      <c r="I357" s="190"/>
      <c r="J357" s="126"/>
      <c r="K357" s="191" t="s">
        <v>31</v>
      </c>
      <c r="L357" s="192"/>
      <c r="M357" s="192"/>
      <c r="N357" s="192"/>
      <c r="O357" s="192"/>
      <c r="P357" s="192"/>
    </row>
    <row r="358" spans="1:20" ht="30" customHeight="1" thickBot="1">
      <c r="A358" s="193">
        <f>SUM(A352:P352)</f>
        <v>5000</v>
      </c>
      <c r="B358" s="194"/>
      <c r="C358" s="194"/>
      <c r="D358" s="195">
        <f>SUM(A355:P355)</f>
        <v>0</v>
      </c>
      <c r="E358" s="194"/>
      <c r="F358" s="194"/>
      <c r="G358" s="195">
        <f>A358-D358</f>
        <v>5000</v>
      </c>
      <c r="H358" s="194"/>
      <c r="I358" s="196"/>
      <c r="J358" s="41"/>
      <c r="K358" s="197" t="s">
        <v>32</v>
      </c>
      <c r="L358" s="198"/>
      <c r="M358" s="198"/>
      <c r="N358" s="198"/>
      <c r="O358" s="198"/>
      <c r="P358" s="198"/>
    </row>
    <row r="359" spans="1:20" ht="13.5" customHeight="1" thickTop="1">
      <c r="A359" s="41"/>
      <c r="B359" s="154"/>
      <c r="C359" s="154"/>
      <c r="D359" s="41"/>
      <c r="E359" s="154"/>
      <c r="F359" s="154"/>
      <c r="G359" s="41"/>
      <c r="H359" s="154"/>
      <c r="I359" s="154"/>
      <c r="J359" s="41"/>
      <c r="K359" s="152"/>
      <c r="L359" s="153"/>
      <c r="M359" s="153"/>
      <c r="N359" s="153"/>
      <c r="O359" s="153"/>
      <c r="P359" s="153"/>
    </row>
    <row r="360" spans="1:2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</row>
    <row r="361" spans="1:20" ht="30" customHeight="1">
      <c r="A361" s="203" t="s">
        <v>16</v>
      </c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6" t="s">
        <v>135</v>
      </c>
      <c r="N361" s="206"/>
      <c r="O361" s="206"/>
      <c r="P361" s="206"/>
    </row>
    <row r="362" spans="1:20" ht="14.25" thickBot="1"/>
    <row r="363" spans="1:20" ht="21.75" customHeight="1">
      <c r="A363" s="178" t="s">
        <v>17</v>
      </c>
      <c r="B363" s="179"/>
      <c r="C363" s="207" t="str">
        <f>賃金集計表!A34</f>
        <v>仁井　諭</v>
      </c>
      <c r="D363" s="208"/>
      <c r="E363" s="208"/>
      <c r="F363" s="208"/>
      <c r="G363" s="211" t="s">
        <v>34</v>
      </c>
      <c r="H363" s="179" t="s">
        <v>18</v>
      </c>
      <c r="I363" s="179"/>
      <c r="J363" s="179"/>
      <c r="K363" s="179" t="s">
        <v>19</v>
      </c>
      <c r="L363" s="179"/>
      <c r="M363" s="179"/>
      <c r="N363" s="179" t="s">
        <v>20</v>
      </c>
      <c r="O363" s="179"/>
      <c r="P363" s="185"/>
    </row>
    <row r="364" spans="1:20" ht="21.75" customHeight="1" thickBot="1">
      <c r="A364" s="183"/>
      <c r="B364" s="184"/>
      <c r="C364" s="209"/>
      <c r="D364" s="210"/>
      <c r="E364" s="210"/>
      <c r="F364" s="210"/>
      <c r="G364" s="212"/>
      <c r="H364" s="186">
        <f>賃金集計表!B34</f>
        <v>21</v>
      </c>
      <c r="I364" s="186"/>
      <c r="J364" s="186"/>
      <c r="K364" s="204"/>
      <c r="L364" s="186"/>
      <c r="M364" s="186"/>
      <c r="N364" s="186"/>
      <c r="O364" s="186"/>
      <c r="P364" s="187"/>
    </row>
    <row r="365" spans="1:20" ht="9" customHeight="1" thickBo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</row>
    <row r="366" spans="1:20" ht="21.75" customHeight="1">
      <c r="A366" s="178" t="s">
        <v>21</v>
      </c>
      <c r="B366" s="179"/>
      <c r="C366" s="180" t="s">
        <v>20</v>
      </c>
      <c r="D366" s="180"/>
      <c r="E366" s="179"/>
      <c r="F366" s="179"/>
      <c r="G366" s="179"/>
      <c r="H366" s="179"/>
      <c r="I366" s="179" t="s">
        <v>22</v>
      </c>
      <c r="J366" s="179"/>
      <c r="K366" s="173"/>
      <c r="L366" s="173"/>
      <c r="M366" s="173"/>
      <c r="N366" s="173"/>
      <c r="O366" s="173"/>
      <c r="P366" s="174"/>
      <c r="R366" s="46"/>
      <c r="T366" s="46"/>
    </row>
    <row r="367" spans="1:20" ht="30" customHeight="1" thickBot="1">
      <c r="A367" s="175">
        <f>賃金集計表!H34</f>
        <v>21000</v>
      </c>
      <c r="B367" s="176"/>
      <c r="C367" s="176"/>
      <c r="D367" s="176"/>
      <c r="E367" s="176"/>
      <c r="F367" s="176"/>
      <c r="G367" s="176"/>
      <c r="H367" s="176"/>
      <c r="I367" s="176">
        <f>賃金集計表!L374</f>
        <v>0</v>
      </c>
      <c r="J367" s="176"/>
      <c r="K367" s="176"/>
      <c r="L367" s="176"/>
      <c r="M367" s="176"/>
      <c r="N367" s="176"/>
      <c r="O367" s="176"/>
      <c r="P367" s="177"/>
    </row>
    <row r="368" spans="1:20" ht="9" customHeight="1" thickBo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</row>
    <row r="369" spans="1:20" ht="21.75" customHeight="1">
      <c r="A369" s="178" t="s">
        <v>23</v>
      </c>
      <c r="B369" s="179"/>
      <c r="C369" s="180" t="s">
        <v>24</v>
      </c>
      <c r="D369" s="180"/>
      <c r="E369" s="179" t="s">
        <v>25</v>
      </c>
      <c r="F369" s="179"/>
      <c r="G369" s="179" t="s">
        <v>26</v>
      </c>
      <c r="H369" s="179"/>
      <c r="I369" s="179" t="s">
        <v>27</v>
      </c>
      <c r="J369" s="179"/>
      <c r="K369" s="173"/>
      <c r="L369" s="173"/>
      <c r="M369" s="173"/>
      <c r="N369" s="173"/>
      <c r="O369" s="179" t="s">
        <v>63</v>
      </c>
      <c r="P369" s="185"/>
    </row>
    <row r="370" spans="1:20" ht="30" customHeight="1" thickBot="1">
      <c r="A370" s="175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>
        <f>賃金集計表!V34</f>
        <v>6300</v>
      </c>
      <c r="P370" s="177"/>
    </row>
    <row r="371" spans="1:20" ht="9" customHeight="1" thickBo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</row>
    <row r="372" spans="1:20" ht="21.75" customHeight="1" thickTop="1">
      <c r="A372" s="188" t="s">
        <v>28</v>
      </c>
      <c r="B372" s="189"/>
      <c r="C372" s="189"/>
      <c r="D372" s="189" t="s">
        <v>29</v>
      </c>
      <c r="E372" s="189"/>
      <c r="F372" s="189"/>
      <c r="G372" s="189" t="s">
        <v>30</v>
      </c>
      <c r="H372" s="189"/>
      <c r="I372" s="190"/>
      <c r="J372" s="126"/>
      <c r="K372" s="191" t="s">
        <v>31</v>
      </c>
      <c r="L372" s="192"/>
      <c r="M372" s="192"/>
      <c r="N372" s="192"/>
      <c r="O372" s="192"/>
      <c r="P372" s="192"/>
    </row>
    <row r="373" spans="1:20" ht="30" customHeight="1" thickBot="1">
      <c r="A373" s="193">
        <f>SUM(A367:P367)</f>
        <v>21000</v>
      </c>
      <c r="B373" s="194"/>
      <c r="C373" s="194"/>
      <c r="D373" s="195">
        <f>SUM(A370:P370)</f>
        <v>6300</v>
      </c>
      <c r="E373" s="194"/>
      <c r="F373" s="194"/>
      <c r="G373" s="195">
        <f>A373-D373</f>
        <v>14700</v>
      </c>
      <c r="H373" s="194"/>
      <c r="I373" s="196"/>
      <c r="J373" s="41"/>
      <c r="K373" s="197" t="s">
        <v>32</v>
      </c>
      <c r="L373" s="198"/>
      <c r="M373" s="198"/>
      <c r="N373" s="198"/>
      <c r="O373" s="198"/>
      <c r="P373" s="198"/>
    </row>
    <row r="374" spans="1:20" ht="14.25" thickTop="1"/>
    <row r="376" spans="1:20" ht="30" customHeight="1">
      <c r="A376" s="199" t="s">
        <v>16</v>
      </c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200" t="s">
        <v>135</v>
      </c>
      <c r="N376" s="200"/>
      <c r="O376" s="200"/>
      <c r="P376" s="200"/>
    </row>
    <row r="377" spans="1:20" ht="14.25" thickBot="1"/>
    <row r="378" spans="1:20" ht="21.75" customHeight="1">
      <c r="A378" s="178" t="s">
        <v>17</v>
      </c>
      <c r="B378" s="179"/>
      <c r="C378" s="207" t="str">
        <f>賃金集計表!A35</f>
        <v>林　　命</v>
      </c>
      <c r="D378" s="208"/>
      <c r="E378" s="208"/>
      <c r="F378" s="208"/>
      <c r="G378" s="211" t="s">
        <v>34</v>
      </c>
      <c r="H378" s="179" t="s">
        <v>18</v>
      </c>
      <c r="I378" s="179"/>
      <c r="J378" s="179"/>
      <c r="K378" s="179" t="s">
        <v>19</v>
      </c>
      <c r="L378" s="179"/>
      <c r="M378" s="179"/>
      <c r="N378" s="179" t="s">
        <v>20</v>
      </c>
      <c r="O378" s="179"/>
      <c r="P378" s="185"/>
    </row>
    <row r="379" spans="1:20" ht="21.75" customHeight="1" thickBot="1">
      <c r="A379" s="183"/>
      <c r="B379" s="184"/>
      <c r="C379" s="209"/>
      <c r="D379" s="210"/>
      <c r="E379" s="210"/>
      <c r="F379" s="210"/>
      <c r="G379" s="212"/>
      <c r="H379" s="213">
        <f>賃金集計表!H35</f>
        <v>10000</v>
      </c>
      <c r="I379" s="186"/>
      <c r="J379" s="186"/>
      <c r="K379" s="204"/>
      <c r="L379" s="186"/>
      <c r="M379" s="186"/>
      <c r="N379" s="186"/>
      <c r="O379" s="186"/>
      <c r="P379" s="187"/>
    </row>
    <row r="380" spans="1:20" ht="9" customHeight="1" thickBo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</row>
    <row r="381" spans="1:20" ht="21.75" customHeight="1">
      <c r="A381" s="178" t="s">
        <v>21</v>
      </c>
      <c r="B381" s="179"/>
      <c r="C381" s="180" t="s">
        <v>20</v>
      </c>
      <c r="D381" s="180"/>
      <c r="E381" s="179"/>
      <c r="F381" s="179"/>
      <c r="G381" s="179"/>
      <c r="H381" s="179"/>
      <c r="I381" s="179" t="s">
        <v>22</v>
      </c>
      <c r="J381" s="179"/>
      <c r="K381" s="173"/>
      <c r="L381" s="173"/>
      <c r="M381" s="173"/>
      <c r="N381" s="173"/>
      <c r="O381" s="173"/>
      <c r="P381" s="174"/>
      <c r="R381" s="46"/>
      <c r="T381" s="46"/>
    </row>
    <row r="382" spans="1:20" ht="30" customHeight="1" thickBot="1">
      <c r="A382" s="175">
        <f>賃金集計表!H35</f>
        <v>10000</v>
      </c>
      <c r="B382" s="176"/>
      <c r="C382" s="176"/>
      <c r="D382" s="176"/>
      <c r="E382" s="176"/>
      <c r="F382" s="176"/>
      <c r="G382" s="176"/>
      <c r="H382" s="176"/>
      <c r="I382" s="176">
        <f>賃金集計表!L35</f>
        <v>3500</v>
      </c>
      <c r="J382" s="176"/>
      <c r="K382" s="176"/>
      <c r="L382" s="176"/>
      <c r="M382" s="176"/>
      <c r="N382" s="176"/>
      <c r="O382" s="176"/>
      <c r="P382" s="177"/>
    </row>
    <row r="383" spans="1:20" ht="9" customHeight="1" thickBo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</row>
    <row r="384" spans="1:20" ht="21.75" customHeight="1">
      <c r="A384" s="178" t="s">
        <v>23</v>
      </c>
      <c r="B384" s="179"/>
      <c r="C384" s="180" t="s">
        <v>24</v>
      </c>
      <c r="D384" s="180"/>
      <c r="E384" s="179" t="s">
        <v>25</v>
      </c>
      <c r="F384" s="179"/>
      <c r="G384" s="179" t="s">
        <v>26</v>
      </c>
      <c r="H384" s="179"/>
      <c r="I384" s="179" t="s">
        <v>27</v>
      </c>
      <c r="J384" s="179"/>
      <c r="K384" s="173"/>
      <c r="L384" s="173"/>
      <c r="M384" s="173"/>
      <c r="N384" s="173"/>
      <c r="O384" s="179" t="s">
        <v>63</v>
      </c>
      <c r="P384" s="185"/>
    </row>
    <row r="385" spans="1:20" ht="30" customHeight="1" thickBo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>
        <f>賃金集計表!V35</f>
        <v>3500</v>
      </c>
      <c r="P385" s="177"/>
    </row>
    <row r="386" spans="1:20" ht="9" customHeight="1" thickBo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</row>
    <row r="387" spans="1:20" ht="21.75" customHeight="1" thickTop="1">
      <c r="A387" s="188" t="s">
        <v>28</v>
      </c>
      <c r="B387" s="189"/>
      <c r="C387" s="189"/>
      <c r="D387" s="189" t="s">
        <v>29</v>
      </c>
      <c r="E387" s="189"/>
      <c r="F387" s="189"/>
      <c r="G387" s="189" t="s">
        <v>30</v>
      </c>
      <c r="H387" s="189"/>
      <c r="I387" s="190"/>
      <c r="J387" s="126"/>
      <c r="K387" s="191" t="s">
        <v>31</v>
      </c>
      <c r="L387" s="192"/>
      <c r="M387" s="192"/>
      <c r="N387" s="192"/>
      <c r="O387" s="192"/>
      <c r="P387" s="192"/>
    </row>
    <row r="388" spans="1:20" ht="30" customHeight="1" thickBot="1">
      <c r="A388" s="193">
        <f>SUM(A382:P382)</f>
        <v>13500</v>
      </c>
      <c r="B388" s="194"/>
      <c r="C388" s="194"/>
      <c r="D388" s="195">
        <f>SUM(A385:P385)</f>
        <v>3500</v>
      </c>
      <c r="E388" s="194"/>
      <c r="F388" s="194"/>
      <c r="G388" s="195">
        <f>A388-D388</f>
        <v>10000</v>
      </c>
      <c r="H388" s="194"/>
      <c r="I388" s="196"/>
      <c r="J388" s="41"/>
      <c r="K388" s="197" t="s">
        <v>32</v>
      </c>
      <c r="L388" s="198"/>
      <c r="M388" s="198"/>
      <c r="N388" s="198"/>
      <c r="O388" s="198"/>
      <c r="P388" s="198"/>
    </row>
    <row r="389" spans="1:20" ht="14.25" thickTop="1"/>
    <row r="391" spans="1:20" ht="30" customHeight="1">
      <c r="A391" s="199" t="s">
        <v>16</v>
      </c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200" t="s">
        <v>135</v>
      </c>
      <c r="N391" s="200"/>
      <c r="O391" s="200"/>
      <c r="P391" s="200"/>
    </row>
    <row r="392" spans="1:20" ht="14.25" thickBot="1"/>
    <row r="393" spans="1:20" ht="21.75" customHeight="1">
      <c r="A393" s="178" t="s">
        <v>17</v>
      </c>
      <c r="B393" s="179"/>
      <c r="C393" s="207">
        <f>賃金集計表!A116</f>
        <v>0</v>
      </c>
      <c r="D393" s="208"/>
      <c r="E393" s="208"/>
      <c r="F393" s="208"/>
      <c r="G393" s="211" t="s">
        <v>34</v>
      </c>
      <c r="H393" s="179" t="s">
        <v>18</v>
      </c>
      <c r="I393" s="179"/>
      <c r="J393" s="179"/>
      <c r="K393" s="179" t="s">
        <v>19</v>
      </c>
      <c r="L393" s="179"/>
      <c r="M393" s="179"/>
      <c r="N393" s="179" t="s">
        <v>20</v>
      </c>
      <c r="O393" s="179"/>
      <c r="P393" s="185"/>
    </row>
    <row r="394" spans="1:20" ht="21.75" customHeight="1" thickBot="1">
      <c r="A394" s="183"/>
      <c r="B394" s="184"/>
      <c r="C394" s="209"/>
      <c r="D394" s="210"/>
      <c r="E394" s="210"/>
      <c r="F394" s="210"/>
      <c r="G394" s="212"/>
      <c r="H394" s="186">
        <f>賃金集計表!B116</f>
        <v>0</v>
      </c>
      <c r="I394" s="186"/>
      <c r="J394" s="186"/>
      <c r="K394" s="204"/>
      <c r="L394" s="186"/>
      <c r="M394" s="186"/>
      <c r="N394" s="186"/>
      <c r="O394" s="186"/>
      <c r="P394" s="187"/>
    </row>
    <row r="395" spans="1:20" ht="9" customHeight="1" thickBo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</row>
    <row r="396" spans="1:20" ht="21.75" customHeight="1">
      <c r="A396" s="178" t="s">
        <v>21</v>
      </c>
      <c r="B396" s="179"/>
      <c r="C396" s="180" t="s">
        <v>20</v>
      </c>
      <c r="D396" s="180"/>
      <c r="E396" s="179"/>
      <c r="F396" s="179"/>
      <c r="G396" s="179"/>
      <c r="H396" s="179"/>
      <c r="I396" s="179" t="s">
        <v>22</v>
      </c>
      <c r="J396" s="179"/>
      <c r="K396" s="173"/>
      <c r="L396" s="173"/>
      <c r="M396" s="173"/>
      <c r="N396" s="173"/>
      <c r="O396" s="173"/>
      <c r="P396" s="174"/>
      <c r="R396" s="46"/>
      <c r="T396" s="46"/>
    </row>
    <row r="397" spans="1:20" ht="30" customHeight="1" thickBot="1">
      <c r="A397" s="175">
        <f>賃金集計表!H116</f>
        <v>0</v>
      </c>
      <c r="B397" s="176"/>
      <c r="C397" s="176"/>
      <c r="D397" s="176"/>
      <c r="E397" s="176"/>
      <c r="F397" s="176"/>
      <c r="G397" s="176"/>
      <c r="H397" s="176"/>
      <c r="I397" s="176">
        <f>賃金集計表!L404</f>
        <v>0</v>
      </c>
      <c r="J397" s="176"/>
      <c r="K397" s="176"/>
      <c r="L397" s="176"/>
      <c r="M397" s="176"/>
      <c r="N397" s="176"/>
      <c r="O397" s="176"/>
      <c r="P397" s="177"/>
    </row>
    <row r="398" spans="1:20" ht="9" customHeight="1" thickBo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</row>
    <row r="399" spans="1:20" ht="21.75" customHeight="1">
      <c r="A399" s="178" t="s">
        <v>23</v>
      </c>
      <c r="B399" s="179"/>
      <c r="C399" s="180" t="s">
        <v>24</v>
      </c>
      <c r="D399" s="180"/>
      <c r="E399" s="179" t="s">
        <v>25</v>
      </c>
      <c r="F399" s="179"/>
      <c r="G399" s="179" t="s">
        <v>26</v>
      </c>
      <c r="H399" s="179"/>
      <c r="I399" s="179" t="s">
        <v>27</v>
      </c>
      <c r="J399" s="179"/>
      <c r="K399" s="173"/>
      <c r="L399" s="173"/>
      <c r="M399" s="173"/>
      <c r="N399" s="173"/>
      <c r="O399" s="179" t="s">
        <v>63</v>
      </c>
      <c r="P399" s="185"/>
    </row>
    <row r="400" spans="1:20" ht="30" customHeight="1" thickBot="1">
      <c r="A400" s="175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>
        <f>賃金集計表!V116</f>
        <v>0</v>
      </c>
      <c r="P400" s="177"/>
    </row>
    <row r="401" spans="1:20" ht="9" customHeight="1" thickBo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</row>
    <row r="402" spans="1:20" ht="21.75" customHeight="1" thickTop="1">
      <c r="A402" s="188" t="s">
        <v>28</v>
      </c>
      <c r="B402" s="189"/>
      <c r="C402" s="189"/>
      <c r="D402" s="189" t="s">
        <v>29</v>
      </c>
      <c r="E402" s="189"/>
      <c r="F402" s="189"/>
      <c r="G402" s="189" t="s">
        <v>30</v>
      </c>
      <c r="H402" s="189"/>
      <c r="I402" s="190"/>
      <c r="J402" s="126"/>
      <c r="K402" s="191" t="s">
        <v>31</v>
      </c>
      <c r="L402" s="192"/>
      <c r="M402" s="192"/>
      <c r="N402" s="192"/>
      <c r="O402" s="192"/>
      <c r="P402" s="192"/>
    </row>
    <row r="403" spans="1:20" ht="30" customHeight="1" thickBot="1">
      <c r="A403" s="193">
        <f>SUM(A397:P397)</f>
        <v>0</v>
      </c>
      <c r="B403" s="194"/>
      <c r="C403" s="194"/>
      <c r="D403" s="195">
        <f>SUM(A400:P400)</f>
        <v>0</v>
      </c>
      <c r="E403" s="194"/>
      <c r="F403" s="194"/>
      <c r="G403" s="195">
        <f>A403-D403</f>
        <v>0</v>
      </c>
      <c r="H403" s="194"/>
      <c r="I403" s="196"/>
      <c r="J403" s="41"/>
      <c r="K403" s="197" t="s">
        <v>32</v>
      </c>
      <c r="L403" s="198"/>
      <c r="M403" s="198"/>
      <c r="N403" s="198"/>
      <c r="O403" s="198"/>
      <c r="P403" s="198"/>
    </row>
    <row r="404" spans="1:20" ht="13.5" customHeight="1" thickTop="1">
      <c r="A404" s="41"/>
      <c r="B404" s="154"/>
      <c r="C404" s="154"/>
      <c r="D404" s="41"/>
      <c r="E404" s="154"/>
      <c r="F404" s="154"/>
      <c r="G404" s="41"/>
      <c r="H404" s="154"/>
      <c r="I404" s="154"/>
      <c r="J404" s="41"/>
      <c r="K404" s="152"/>
      <c r="L404" s="153"/>
      <c r="M404" s="153"/>
      <c r="N404" s="153"/>
      <c r="O404" s="153"/>
      <c r="P404" s="153"/>
    </row>
    <row r="405" spans="1:20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</row>
    <row r="406" spans="1:20" ht="30" customHeight="1">
      <c r="A406" s="203" t="s">
        <v>16</v>
      </c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6" t="s">
        <v>135</v>
      </c>
      <c r="N406" s="206"/>
      <c r="O406" s="206"/>
      <c r="P406" s="206"/>
    </row>
    <row r="407" spans="1:20" ht="14.25" thickBot="1"/>
    <row r="408" spans="1:20" ht="21.75" customHeight="1">
      <c r="A408" s="178" t="s">
        <v>17</v>
      </c>
      <c r="B408" s="179"/>
      <c r="C408" s="207">
        <f>賃金集計表!A38</f>
        <v>0</v>
      </c>
      <c r="D408" s="208"/>
      <c r="E408" s="208"/>
      <c r="F408" s="208"/>
      <c r="G408" s="211" t="s">
        <v>34</v>
      </c>
      <c r="H408" s="179" t="s">
        <v>18</v>
      </c>
      <c r="I408" s="179"/>
      <c r="J408" s="179"/>
      <c r="K408" s="179" t="s">
        <v>19</v>
      </c>
      <c r="L408" s="179"/>
      <c r="M408" s="179"/>
      <c r="N408" s="179" t="s">
        <v>20</v>
      </c>
      <c r="O408" s="179"/>
      <c r="P408" s="185"/>
    </row>
    <row r="409" spans="1:20" ht="21.75" customHeight="1" thickBot="1">
      <c r="A409" s="183"/>
      <c r="B409" s="184"/>
      <c r="C409" s="209"/>
      <c r="D409" s="210"/>
      <c r="E409" s="210"/>
      <c r="F409" s="210"/>
      <c r="G409" s="212"/>
      <c r="H409" s="213">
        <f>賃金集計表!B38</f>
        <v>0</v>
      </c>
      <c r="I409" s="186"/>
      <c r="J409" s="186"/>
      <c r="K409" s="204"/>
      <c r="L409" s="186"/>
      <c r="M409" s="186"/>
      <c r="N409" s="186"/>
      <c r="O409" s="186"/>
      <c r="P409" s="187"/>
    </row>
    <row r="410" spans="1:20" ht="9" customHeight="1" thickBo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</row>
    <row r="411" spans="1:20" ht="21.75" customHeight="1">
      <c r="A411" s="178" t="s">
        <v>21</v>
      </c>
      <c r="B411" s="179"/>
      <c r="C411" s="180" t="s">
        <v>20</v>
      </c>
      <c r="D411" s="180"/>
      <c r="E411" s="179"/>
      <c r="F411" s="179"/>
      <c r="G411" s="179"/>
      <c r="H411" s="179"/>
      <c r="I411" s="179" t="s">
        <v>22</v>
      </c>
      <c r="J411" s="179"/>
      <c r="K411" s="173"/>
      <c r="L411" s="173"/>
      <c r="M411" s="173"/>
      <c r="N411" s="173"/>
      <c r="O411" s="173"/>
      <c r="P411" s="174"/>
      <c r="R411" s="46"/>
      <c r="T411" s="46"/>
    </row>
    <row r="412" spans="1:20" ht="30" customHeight="1" thickBot="1">
      <c r="A412" s="175">
        <f>賃金集計表!H38</f>
        <v>0</v>
      </c>
      <c r="B412" s="176"/>
      <c r="C412" s="176"/>
      <c r="D412" s="176"/>
      <c r="E412" s="176"/>
      <c r="F412" s="176"/>
      <c r="G412" s="176"/>
      <c r="H412" s="176"/>
      <c r="I412" s="176">
        <f>賃金集計表!L38</f>
        <v>0</v>
      </c>
      <c r="J412" s="176"/>
      <c r="K412" s="176"/>
      <c r="L412" s="176"/>
      <c r="M412" s="176"/>
      <c r="N412" s="176"/>
      <c r="O412" s="176"/>
      <c r="P412" s="177"/>
    </row>
    <row r="413" spans="1:20" ht="9" customHeight="1" thickBo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</row>
    <row r="414" spans="1:20" ht="21.75" customHeight="1">
      <c r="A414" s="178" t="s">
        <v>23</v>
      </c>
      <c r="B414" s="179"/>
      <c r="C414" s="180" t="s">
        <v>24</v>
      </c>
      <c r="D414" s="180"/>
      <c r="E414" s="179" t="s">
        <v>25</v>
      </c>
      <c r="F414" s="179"/>
      <c r="G414" s="179" t="s">
        <v>26</v>
      </c>
      <c r="H414" s="179"/>
      <c r="I414" s="179" t="s">
        <v>27</v>
      </c>
      <c r="J414" s="179"/>
      <c r="K414" s="173"/>
      <c r="L414" s="173"/>
      <c r="M414" s="173"/>
      <c r="N414" s="173"/>
      <c r="O414" s="179" t="s">
        <v>63</v>
      </c>
      <c r="P414" s="185"/>
    </row>
    <row r="415" spans="1:20" ht="30" customHeight="1" thickBot="1">
      <c r="A415" s="175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>
        <f>賃金集計表!V38</f>
        <v>0</v>
      </c>
      <c r="P415" s="177"/>
    </row>
    <row r="416" spans="1:20" ht="9" customHeight="1" thickBo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</row>
    <row r="417" spans="1:20" ht="21.75" customHeight="1" thickTop="1">
      <c r="A417" s="188" t="s">
        <v>28</v>
      </c>
      <c r="B417" s="189"/>
      <c r="C417" s="189"/>
      <c r="D417" s="189" t="s">
        <v>29</v>
      </c>
      <c r="E417" s="189"/>
      <c r="F417" s="189"/>
      <c r="G417" s="189" t="s">
        <v>30</v>
      </c>
      <c r="H417" s="189"/>
      <c r="I417" s="190"/>
      <c r="J417" s="126"/>
      <c r="K417" s="191" t="s">
        <v>31</v>
      </c>
      <c r="L417" s="192"/>
      <c r="M417" s="192"/>
      <c r="N417" s="192"/>
      <c r="O417" s="192"/>
      <c r="P417" s="192"/>
    </row>
    <row r="418" spans="1:20" ht="30" customHeight="1" thickBot="1">
      <c r="A418" s="193">
        <f>SUM(A412:P412)</f>
        <v>0</v>
      </c>
      <c r="B418" s="194"/>
      <c r="C418" s="194"/>
      <c r="D418" s="195">
        <f>SUM(A415:P415)</f>
        <v>0</v>
      </c>
      <c r="E418" s="194"/>
      <c r="F418" s="194"/>
      <c r="G418" s="195">
        <f>A418-D418</f>
        <v>0</v>
      </c>
      <c r="H418" s="194"/>
      <c r="I418" s="196"/>
      <c r="J418" s="41"/>
      <c r="K418" s="197" t="s">
        <v>32</v>
      </c>
      <c r="L418" s="198"/>
      <c r="M418" s="198"/>
      <c r="N418" s="198"/>
      <c r="O418" s="198"/>
      <c r="P418" s="198"/>
    </row>
    <row r="419" spans="1:20" ht="14.25" thickTop="1"/>
    <row r="421" spans="1:20" ht="30" customHeight="1">
      <c r="A421" s="199" t="s">
        <v>16</v>
      </c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200" t="s">
        <v>135</v>
      </c>
      <c r="N421" s="200"/>
      <c r="O421" s="200"/>
      <c r="P421" s="200"/>
    </row>
    <row r="422" spans="1:20" ht="14.25" thickBot="1"/>
    <row r="423" spans="1:20" ht="21.75" customHeight="1">
      <c r="A423" s="178" t="s">
        <v>17</v>
      </c>
      <c r="B423" s="179"/>
      <c r="C423" s="207">
        <f>賃金集計表!A39</f>
        <v>0</v>
      </c>
      <c r="D423" s="208"/>
      <c r="E423" s="208"/>
      <c r="F423" s="208"/>
      <c r="G423" s="211" t="s">
        <v>34</v>
      </c>
      <c r="H423" s="179" t="s">
        <v>18</v>
      </c>
      <c r="I423" s="179"/>
      <c r="J423" s="179"/>
      <c r="K423" s="179" t="s">
        <v>19</v>
      </c>
      <c r="L423" s="179"/>
      <c r="M423" s="179"/>
      <c r="N423" s="179" t="s">
        <v>20</v>
      </c>
      <c r="O423" s="179"/>
      <c r="P423" s="185"/>
    </row>
    <row r="424" spans="1:20" ht="21.75" customHeight="1" thickBot="1">
      <c r="A424" s="183"/>
      <c r="B424" s="184"/>
      <c r="C424" s="209"/>
      <c r="D424" s="210"/>
      <c r="E424" s="210"/>
      <c r="F424" s="210"/>
      <c r="G424" s="212"/>
      <c r="H424" s="186">
        <f>賃金集計表!B39</f>
        <v>0</v>
      </c>
      <c r="I424" s="186"/>
      <c r="J424" s="186"/>
      <c r="K424" s="204"/>
      <c r="L424" s="186"/>
      <c r="M424" s="186"/>
      <c r="N424" s="186"/>
      <c r="O424" s="186"/>
      <c r="P424" s="187"/>
    </row>
    <row r="425" spans="1:20" ht="9" customHeight="1" thickBo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</row>
    <row r="426" spans="1:20" ht="21.75" customHeight="1">
      <c r="A426" s="178" t="s">
        <v>21</v>
      </c>
      <c r="B426" s="179"/>
      <c r="C426" s="180" t="s">
        <v>20</v>
      </c>
      <c r="D426" s="180"/>
      <c r="E426" s="179"/>
      <c r="F426" s="179"/>
      <c r="G426" s="179"/>
      <c r="H426" s="179"/>
      <c r="I426" s="179" t="s">
        <v>22</v>
      </c>
      <c r="J426" s="179"/>
      <c r="K426" s="173"/>
      <c r="L426" s="173"/>
      <c r="M426" s="173"/>
      <c r="N426" s="173"/>
      <c r="O426" s="173"/>
      <c r="P426" s="174"/>
      <c r="R426" s="46"/>
      <c r="T426" s="46"/>
    </row>
    <row r="427" spans="1:20" ht="30" customHeight="1" thickBot="1">
      <c r="A427" s="175">
        <f>賃金集計表!H39</f>
        <v>0</v>
      </c>
      <c r="B427" s="176"/>
      <c r="C427" s="176"/>
      <c r="D427" s="176"/>
      <c r="E427" s="176"/>
      <c r="F427" s="176"/>
      <c r="G427" s="176"/>
      <c r="H427" s="176"/>
      <c r="I427" s="176">
        <f>賃金集計表!L39</f>
        <v>0</v>
      </c>
      <c r="J427" s="176"/>
      <c r="K427" s="176"/>
      <c r="L427" s="176"/>
      <c r="M427" s="176"/>
      <c r="N427" s="176"/>
      <c r="O427" s="176"/>
      <c r="P427" s="177"/>
    </row>
    <row r="428" spans="1:20" ht="9" customHeight="1" thickBo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</row>
    <row r="429" spans="1:20" ht="21.75" customHeight="1">
      <c r="A429" s="178" t="s">
        <v>23</v>
      </c>
      <c r="B429" s="179"/>
      <c r="C429" s="180" t="s">
        <v>24</v>
      </c>
      <c r="D429" s="180"/>
      <c r="E429" s="179" t="s">
        <v>25</v>
      </c>
      <c r="F429" s="179"/>
      <c r="G429" s="179" t="s">
        <v>26</v>
      </c>
      <c r="H429" s="179"/>
      <c r="I429" s="179" t="s">
        <v>27</v>
      </c>
      <c r="J429" s="179"/>
      <c r="K429" s="173"/>
      <c r="L429" s="173"/>
      <c r="M429" s="173"/>
      <c r="N429" s="173"/>
      <c r="O429" s="179" t="s">
        <v>63</v>
      </c>
      <c r="P429" s="185"/>
    </row>
    <row r="430" spans="1:20" ht="30" customHeight="1" thickBo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>
        <f>賃金集計表!V39</f>
        <v>0</v>
      </c>
      <c r="P430" s="177"/>
    </row>
    <row r="431" spans="1:20" ht="9" customHeight="1" thickBo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</row>
    <row r="432" spans="1:20" ht="21.75" customHeight="1" thickTop="1">
      <c r="A432" s="188" t="s">
        <v>28</v>
      </c>
      <c r="B432" s="189"/>
      <c r="C432" s="189"/>
      <c r="D432" s="189" t="s">
        <v>29</v>
      </c>
      <c r="E432" s="189"/>
      <c r="F432" s="189"/>
      <c r="G432" s="189" t="s">
        <v>30</v>
      </c>
      <c r="H432" s="189"/>
      <c r="I432" s="190"/>
      <c r="J432" s="126"/>
      <c r="K432" s="191" t="s">
        <v>31</v>
      </c>
      <c r="L432" s="192"/>
      <c r="M432" s="192"/>
      <c r="N432" s="192"/>
      <c r="O432" s="192"/>
      <c r="P432" s="192"/>
    </row>
    <row r="433" spans="1:20" ht="30" customHeight="1" thickBot="1">
      <c r="A433" s="193">
        <f>SUM(A427:P427)</f>
        <v>0</v>
      </c>
      <c r="B433" s="194"/>
      <c r="C433" s="194"/>
      <c r="D433" s="195">
        <f>SUM(A430:P430)</f>
        <v>0</v>
      </c>
      <c r="E433" s="194"/>
      <c r="F433" s="194"/>
      <c r="G433" s="195">
        <f>A433-D433</f>
        <v>0</v>
      </c>
      <c r="H433" s="194"/>
      <c r="I433" s="196"/>
      <c r="J433" s="41"/>
      <c r="K433" s="197" t="s">
        <v>32</v>
      </c>
      <c r="L433" s="198"/>
      <c r="M433" s="198"/>
      <c r="N433" s="198"/>
      <c r="O433" s="198"/>
      <c r="P433" s="198"/>
    </row>
    <row r="434" spans="1:20" ht="14.25" thickTop="1"/>
    <row r="436" spans="1:20" ht="30" customHeight="1">
      <c r="A436" s="199" t="s">
        <v>16</v>
      </c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200" t="s">
        <v>135</v>
      </c>
      <c r="N436" s="200"/>
      <c r="O436" s="200"/>
      <c r="P436" s="200"/>
    </row>
    <row r="437" spans="1:20" ht="14.25" thickBot="1"/>
    <row r="438" spans="1:20" ht="21.75" customHeight="1">
      <c r="A438" s="178" t="s">
        <v>17</v>
      </c>
      <c r="B438" s="179"/>
      <c r="C438" s="207">
        <f>賃金集計表!A40</f>
        <v>0</v>
      </c>
      <c r="D438" s="208"/>
      <c r="E438" s="208"/>
      <c r="F438" s="208"/>
      <c r="G438" s="211" t="s">
        <v>34</v>
      </c>
      <c r="H438" s="179" t="s">
        <v>18</v>
      </c>
      <c r="I438" s="179"/>
      <c r="J438" s="179"/>
      <c r="K438" s="179" t="s">
        <v>19</v>
      </c>
      <c r="L438" s="179"/>
      <c r="M438" s="179"/>
      <c r="N438" s="179" t="s">
        <v>20</v>
      </c>
      <c r="O438" s="179"/>
      <c r="P438" s="185"/>
    </row>
    <row r="439" spans="1:20" ht="21.75" customHeight="1" thickBot="1">
      <c r="A439" s="183"/>
      <c r="B439" s="184"/>
      <c r="C439" s="209"/>
      <c r="D439" s="210"/>
      <c r="E439" s="210"/>
      <c r="F439" s="210"/>
      <c r="G439" s="212"/>
      <c r="H439" s="186">
        <f>賃金集計表!B40</f>
        <v>0</v>
      </c>
      <c r="I439" s="186"/>
      <c r="J439" s="186"/>
      <c r="K439" s="204"/>
      <c r="L439" s="186"/>
      <c r="M439" s="186"/>
      <c r="N439" s="186"/>
      <c r="O439" s="186"/>
      <c r="P439" s="187"/>
    </row>
    <row r="440" spans="1:20" ht="9" customHeight="1" thickBo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</row>
    <row r="441" spans="1:20" ht="21.75" customHeight="1">
      <c r="A441" s="178" t="s">
        <v>21</v>
      </c>
      <c r="B441" s="179"/>
      <c r="C441" s="180" t="s">
        <v>20</v>
      </c>
      <c r="D441" s="180"/>
      <c r="E441" s="179"/>
      <c r="F441" s="179"/>
      <c r="G441" s="179"/>
      <c r="H441" s="179"/>
      <c r="I441" s="179" t="s">
        <v>22</v>
      </c>
      <c r="J441" s="179"/>
      <c r="K441" s="173"/>
      <c r="L441" s="173"/>
      <c r="M441" s="173"/>
      <c r="N441" s="173"/>
      <c r="O441" s="173"/>
      <c r="P441" s="174"/>
      <c r="R441" s="46"/>
      <c r="T441" s="46"/>
    </row>
    <row r="442" spans="1:20" ht="30" customHeight="1" thickBot="1">
      <c r="A442" s="175">
        <f>賃金集計表!H40</f>
        <v>0</v>
      </c>
      <c r="B442" s="176"/>
      <c r="C442" s="176"/>
      <c r="D442" s="176"/>
      <c r="E442" s="176"/>
      <c r="F442" s="176"/>
      <c r="G442" s="176"/>
      <c r="H442" s="176"/>
      <c r="I442" s="176">
        <f>賃金集計表!L449</f>
        <v>0</v>
      </c>
      <c r="J442" s="176"/>
      <c r="K442" s="176"/>
      <c r="L442" s="176"/>
      <c r="M442" s="176"/>
      <c r="N442" s="176"/>
      <c r="O442" s="176"/>
      <c r="P442" s="177"/>
    </row>
    <row r="443" spans="1:20" ht="9" customHeight="1" thickBo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</row>
    <row r="444" spans="1:20" ht="21.75" customHeight="1">
      <c r="A444" s="178" t="s">
        <v>23</v>
      </c>
      <c r="B444" s="179"/>
      <c r="C444" s="180" t="s">
        <v>24</v>
      </c>
      <c r="D444" s="180"/>
      <c r="E444" s="179" t="s">
        <v>25</v>
      </c>
      <c r="F444" s="179"/>
      <c r="G444" s="179" t="s">
        <v>26</v>
      </c>
      <c r="H444" s="179"/>
      <c r="I444" s="179" t="s">
        <v>27</v>
      </c>
      <c r="J444" s="179"/>
      <c r="K444" s="173"/>
      <c r="L444" s="173"/>
      <c r="M444" s="173"/>
      <c r="N444" s="173"/>
      <c r="O444" s="179" t="s">
        <v>63</v>
      </c>
      <c r="P444" s="185"/>
    </row>
    <row r="445" spans="1:20" ht="30" customHeight="1" thickBot="1">
      <c r="A445" s="175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>
        <f>賃金集計表!V40</f>
        <v>0</v>
      </c>
      <c r="P445" s="177"/>
    </row>
    <row r="446" spans="1:20" ht="9" customHeight="1" thickBo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</row>
    <row r="447" spans="1:20" ht="21.75" customHeight="1" thickTop="1">
      <c r="A447" s="188" t="s">
        <v>28</v>
      </c>
      <c r="B447" s="189"/>
      <c r="C447" s="189"/>
      <c r="D447" s="189" t="s">
        <v>29</v>
      </c>
      <c r="E447" s="189"/>
      <c r="F447" s="189"/>
      <c r="G447" s="189" t="s">
        <v>30</v>
      </c>
      <c r="H447" s="189"/>
      <c r="I447" s="190"/>
      <c r="J447" s="126"/>
      <c r="K447" s="191" t="s">
        <v>31</v>
      </c>
      <c r="L447" s="192"/>
      <c r="M447" s="192"/>
      <c r="N447" s="192"/>
      <c r="O447" s="192"/>
      <c r="P447" s="192"/>
    </row>
    <row r="448" spans="1:20" ht="30" customHeight="1" thickBot="1">
      <c r="A448" s="193">
        <f>SUM(A442:P442)</f>
        <v>0</v>
      </c>
      <c r="B448" s="194"/>
      <c r="C448" s="194"/>
      <c r="D448" s="195">
        <f>SUM(A445:P445)</f>
        <v>0</v>
      </c>
      <c r="E448" s="194"/>
      <c r="F448" s="194"/>
      <c r="G448" s="195">
        <f>A448-D448</f>
        <v>0</v>
      </c>
      <c r="H448" s="194"/>
      <c r="I448" s="196"/>
      <c r="J448" s="41"/>
      <c r="K448" s="197" t="s">
        <v>32</v>
      </c>
      <c r="L448" s="198"/>
      <c r="M448" s="198"/>
      <c r="N448" s="198"/>
      <c r="O448" s="198"/>
      <c r="P448" s="198"/>
    </row>
    <row r="449" ht="14.25" thickTop="1"/>
  </sheetData>
  <mergeCells count="1530"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A447:C447"/>
    <mergeCell ref="D447:F447"/>
    <mergeCell ref="G447:I447"/>
    <mergeCell ref="K447:P447"/>
    <mergeCell ref="A448:C448"/>
    <mergeCell ref="D448:F448"/>
    <mergeCell ref="G448:I448"/>
    <mergeCell ref="K448:P448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A432:C432"/>
    <mergeCell ref="D432:F432"/>
    <mergeCell ref="G432:I432"/>
    <mergeCell ref="K432:P432"/>
    <mergeCell ref="A433:C433"/>
    <mergeCell ref="D433:F433"/>
    <mergeCell ref="G433:I433"/>
    <mergeCell ref="K433:P433"/>
    <mergeCell ref="A436:L436"/>
    <mergeCell ref="M436:P436"/>
    <mergeCell ref="A438:B439"/>
    <mergeCell ref="C438:F439"/>
    <mergeCell ref="G438:G439"/>
    <mergeCell ref="H438:J438"/>
    <mergeCell ref="K438:M438"/>
    <mergeCell ref="N438:P438"/>
    <mergeCell ref="H439:J439"/>
    <mergeCell ref="K439:M439"/>
    <mergeCell ref="N439:P439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A423:B424"/>
    <mergeCell ref="C423:F424"/>
    <mergeCell ref="G423:G424"/>
    <mergeCell ref="H423:J423"/>
    <mergeCell ref="K423:M423"/>
    <mergeCell ref="N423:P423"/>
    <mergeCell ref="H424:J424"/>
    <mergeCell ref="K424:M424"/>
    <mergeCell ref="N424:P424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A417:C417"/>
    <mergeCell ref="D417:F417"/>
    <mergeCell ref="G417:I417"/>
    <mergeCell ref="K417:P417"/>
    <mergeCell ref="A418:C418"/>
    <mergeCell ref="D418:F418"/>
    <mergeCell ref="G418:I418"/>
    <mergeCell ref="K418:P418"/>
    <mergeCell ref="A421:L421"/>
    <mergeCell ref="M421:P421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A402:C402"/>
    <mergeCell ref="D402:F402"/>
    <mergeCell ref="G402:I402"/>
    <mergeCell ref="K402:P402"/>
    <mergeCell ref="A403:C403"/>
    <mergeCell ref="D403:F403"/>
    <mergeCell ref="G403:I403"/>
    <mergeCell ref="K403:P403"/>
    <mergeCell ref="A406:L406"/>
    <mergeCell ref="M406:P406"/>
    <mergeCell ref="A408:B409"/>
    <mergeCell ref="C408:F409"/>
    <mergeCell ref="G408:G409"/>
    <mergeCell ref="H408:J408"/>
    <mergeCell ref="K408:M408"/>
    <mergeCell ref="N408:P408"/>
    <mergeCell ref="H409:J409"/>
    <mergeCell ref="K409:M409"/>
    <mergeCell ref="N409:P409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A393:B394"/>
    <mergeCell ref="C393:F394"/>
    <mergeCell ref="G393:G394"/>
    <mergeCell ref="H393:J393"/>
    <mergeCell ref="K393:M393"/>
    <mergeCell ref="N393:P393"/>
    <mergeCell ref="H394:J394"/>
    <mergeCell ref="K394:M394"/>
    <mergeCell ref="N394:P394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A387:C387"/>
    <mergeCell ref="D387:F387"/>
    <mergeCell ref="G387:I387"/>
    <mergeCell ref="K387:P387"/>
    <mergeCell ref="A388:C388"/>
    <mergeCell ref="D388:F388"/>
    <mergeCell ref="G388:I388"/>
    <mergeCell ref="K388:P388"/>
    <mergeCell ref="A391:L391"/>
    <mergeCell ref="M391:P391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A372:C372"/>
    <mergeCell ref="D372:F372"/>
    <mergeCell ref="G372:I372"/>
    <mergeCell ref="K372:P372"/>
    <mergeCell ref="A373:C373"/>
    <mergeCell ref="D373:F373"/>
    <mergeCell ref="G373:I373"/>
    <mergeCell ref="K373:P373"/>
    <mergeCell ref="A376:L376"/>
    <mergeCell ref="M376:P376"/>
    <mergeCell ref="A378:B379"/>
    <mergeCell ref="C378:F379"/>
    <mergeCell ref="G378:G379"/>
    <mergeCell ref="H378:J378"/>
    <mergeCell ref="K378:M378"/>
    <mergeCell ref="N378:P378"/>
    <mergeCell ref="H379:J379"/>
    <mergeCell ref="K379:M379"/>
    <mergeCell ref="N379:P379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A361:L361"/>
    <mergeCell ref="M361:P361"/>
    <mergeCell ref="A363:B364"/>
    <mergeCell ref="C363:F364"/>
    <mergeCell ref="G363:G364"/>
    <mergeCell ref="H363:J363"/>
    <mergeCell ref="K363:M363"/>
    <mergeCell ref="N363:P363"/>
    <mergeCell ref="H364:J364"/>
    <mergeCell ref="K364:M364"/>
    <mergeCell ref="N364:P364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opLeftCell="A34" workbookViewId="0">
      <selection activeCell="E62" sqref="E62"/>
    </sheetView>
  </sheetViews>
  <sheetFormatPr defaultRowHeight="13.5"/>
  <cols>
    <col min="1" max="1" width="3.5" customWidth="1"/>
    <col min="2" max="2" width="5.125" customWidth="1"/>
    <col min="6" max="6" width="11.875" customWidth="1"/>
  </cols>
  <sheetData>
    <row r="1" spans="1:8" ht="32.25" customHeight="1" thickBot="1">
      <c r="C1" s="103" t="s">
        <v>17</v>
      </c>
      <c r="D1" s="214" t="s">
        <v>15</v>
      </c>
      <c r="E1" s="214"/>
      <c r="F1" s="214"/>
    </row>
    <row r="2" spans="1:8" ht="30" customHeight="1" thickTop="1">
      <c r="C2" s="104" t="s">
        <v>82</v>
      </c>
      <c r="D2" t="s">
        <v>83</v>
      </c>
      <c r="E2" t="s">
        <v>136</v>
      </c>
    </row>
    <row r="3" spans="1:8">
      <c r="A3" s="105" t="s">
        <v>8</v>
      </c>
      <c r="B3" s="105" t="s">
        <v>77</v>
      </c>
      <c r="C3" s="105" t="s">
        <v>78</v>
      </c>
      <c r="D3" s="105" t="s">
        <v>79</v>
      </c>
      <c r="E3" s="105" t="s">
        <v>80</v>
      </c>
      <c r="F3" s="105" t="s">
        <v>81</v>
      </c>
    </row>
    <row r="4" spans="1:8">
      <c r="A4" s="106">
        <v>1</v>
      </c>
      <c r="B4" s="106" t="s">
        <v>85</v>
      </c>
      <c r="C4" s="108">
        <v>0.375</v>
      </c>
      <c r="D4" s="108">
        <v>0.62361111111111112</v>
      </c>
      <c r="E4" s="108">
        <v>4.1666666666666664E-2</v>
      </c>
      <c r="F4" s="108">
        <f>D4-C4-E4</f>
        <v>0.20694444444444446</v>
      </c>
      <c r="G4" s="46"/>
    </row>
    <row r="5" spans="1:8">
      <c r="A5" s="107">
        <v>2</v>
      </c>
      <c r="B5" s="107" t="s">
        <v>8</v>
      </c>
      <c r="C5" s="108"/>
      <c r="D5" s="108"/>
      <c r="E5" s="108"/>
      <c r="F5" s="108">
        <f t="shared" ref="F5:F8" si="0">D5-C5-E5</f>
        <v>0</v>
      </c>
      <c r="G5" s="46"/>
    </row>
    <row r="6" spans="1:8">
      <c r="A6" s="118">
        <v>3</v>
      </c>
      <c r="B6" s="118" t="s">
        <v>86</v>
      </c>
      <c r="C6" s="108">
        <v>0.37291666666666662</v>
      </c>
      <c r="D6" s="108">
        <v>0.73333333333333339</v>
      </c>
      <c r="E6" s="108">
        <v>4.1666666666666664E-2</v>
      </c>
      <c r="F6" s="108">
        <f t="shared" si="0"/>
        <v>0.31875000000000009</v>
      </c>
      <c r="G6" s="46"/>
    </row>
    <row r="7" spans="1:8">
      <c r="A7" s="118">
        <v>4</v>
      </c>
      <c r="B7" s="118" t="s">
        <v>87</v>
      </c>
      <c r="C7" s="108">
        <v>0.39374999999999999</v>
      </c>
      <c r="D7" s="108">
        <v>0.73611111111111116</v>
      </c>
      <c r="E7" s="108">
        <v>4.1666666666666664E-2</v>
      </c>
      <c r="F7" s="108">
        <f t="shared" si="0"/>
        <v>0.30069444444444449</v>
      </c>
      <c r="G7" s="46"/>
    </row>
    <row r="8" spans="1:8">
      <c r="A8" s="118">
        <v>5</v>
      </c>
      <c r="B8" s="118" t="s">
        <v>84</v>
      </c>
      <c r="C8" s="108">
        <v>0.36736111111111108</v>
      </c>
      <c r="D8" s="108">
        <v>0.71180555555555547</v>
      </c>
      <c r="E8" s="108">
        <v>4.1666666666666664E-2</v>
      </c>
      <c r="F8" s="108">
        <f t="shared" si="0"/>
        <v>0.3027777777777777</v>
      </c>
      <c r="G8" s="46"/>
    </row>
    <row r="9" spans="1:8">
      <c r="A9" s="118">
        <v>6</v>
      </c>
      <c r="B9" s="118" t="s">
        <v>9</v>
      </c>
      <c r="C9" s="108">
        <v>0.39166666666666666</v>
      </c>
      <c r="D9" s="108">
        <v>0.7368055555555556</v>
      </c>
      <c r="E9" s="108">
        <v>4.1666666666666664E-2</v>
      </c>
      <c r="F9" s="108">
        <f t="shared" ref="F9:F15" si="1">D9-C9-E9</f>
        <v>0.30347222222222225</v>
      </c>
      <c r="G9" s="46"/>
    </row>
    <row r="10" spans="1:8">
      <c r="A10" s="118">
        <v>7</v>
      </c>
      <c r="B10" s="118" t="s">
        <v>10</v>
      </c>
      <c r="C10" s="108">
        <v>0.37986111111111115</v>
      </c>
      <c r="D10" s="108">
        <v>0.72013888888888899</v>
      </c>
      <c r="E10" s="108">
        <v>4.1666666666666664E-2</v>
      </c>
      <c r="F10" s="108">
        <f t="shared" si="1"/>
        <v>0.29861111111111116</v>
      </c>
      <c r="G10" s="46"/>
    </row>
    <row r="11" spans="1:8">
      <c r="A11" s="106">
        <v>8</v>
      </c>
      <c r="B11" s="106" t="s">
        <v>85</v>
      </c>
      <c r="C11" s="108">
        <v>0.38680555555555557</v>
      </c>
      <c r="D11" s="108">
        <v>0.63124999999999998</v>
      </c>
      <c r="E11" s="108"/>
      <c r="F11" s="108">
        <f t="shared" si="1"/>
        <v>0.24444444444444441</v>
      </c>
      <c r="G11" s="46"/>
    </row>
    <row r="12" spans="1:8">
      <c r="A12" s="107">
        <v>9</v>
      </c>
      <c r="B12" s="107" t="s">
        <v>8</v>
      </c>
      <c r="C12" s="108"/>
      <c r="D12" s="108"/>
      <c r="E12" s="108"/>
      <c r="F12" s="108">
        <f t="shared" si="1"/>
        <v>0</v>
      </c>
      <c r="G12" s="46"/>
    </row>
    <row r="13" spans="1:8">
      <c r="A13" s="118">
        <v>10</v>
      </c>
      <c r="B13" s="118" t="s">
        <v>86</v>
      </c>
      <c r="C13" s="108">
        <v>0.36736111111111108</v>
      </c>
      <c r="D13" s="108">
        <v>0.7090277777777777</v>
      </c>
      <c r="E13" s="108">
        <v>4.1666666666666664E-2</v>
      </c>
      <c r="F13" s="108">
        <f t="shared" si="1"/>
        <v>0.29999999999999993</v>
      </c>
      <c r="G13" s="46"/>
      <c r="H13" s="144"/>
    </row>
    <row r="14" spans="1:8">
      <c r="A14" s="118">
        <v>11</v>
      </c>
      <c r="B14" s="118" t="s">
        <v>87</v>
      </c>
      <c r="C14" s="108">
        <v>0.38750000000000001</v>
      </c>
      <c r="D14" s="108">
        <v>0.73819444444444438</v>
      </c>
      <c r="E14" s="108">
        <v>4.1666666666666664E-2</v>
      </c>
      <c r="F14" s="108">
        <f t="shared" si="1"/>
        <v>0.30902777777777768</v>
      </c>
      <c r="G14" s="46"/>
    </row>
    <row r="15" spans="1:8">
      <c r="A15" s="118">
        <v>12</v>
      </c>
      <c r="B15" s="118" t="s">
        <v>84</v>
      </c>
      <c r="C15" s="108">
        <v>0.37083333333333335</v>
      </c>
      <c r="D15" s="108">
        <v>0.71458333333333324</v>
      </c>
      <c r="E15" s="108">
        <v>4.1666666666666664E-2</v>
      </c>
      <c r="F15" s="108">
        <f t="shared" si="1"/>
        <v>0.3020833333333332</v>
      </c>
      <c r="G15" s="46"/>
    </row>
    <row r="16" spans="1:8">
      <c r="A16" s="118">
        <v>13</v>
      </c>
      <c r="B16" s="118" t="s">
        <v>9</v>
      </c>
      <c r="C16" s="108">
        <v>0.36249999999999999</v>
      </c>
      <c r="D16" s="108">
        <v>0.70972222222222225</v>
      </c>
      <c r="E16" s="108">
        <v>4.1666666666666664E-2</v>
      </c>
      <c r="F16" s="108">
        <f t="shared" ref="F16:F19" si="2">D16-C16-E16</f>
        <v>0.30555555555555558</v>
      </c>
      <c r="G16" s="46"/>
    </row>
    <row r="17" spans="1:9">
      <c r="A17" s="118">
        <v>14</v>
      </c>
      <c r="B17" s="118" t="s">
        <v>10</v>
      </c>
      <c r="C17" s="108">
        <v>0.38819444444444445</v>
      </c>
      <c r="D17" s="108">
        <v>0.62083333333333335</v>
      </c>
      <c r="E17" s="108"/>
      <c r="F17" s="108">
        <f t="shared" si="2"/>
        <v>0.2326388888888889</v>
      </c>
      <c r="G17" s="46"/>
    </row>
    <row r="18" spans="1:9">
      <c r="A18" s="106">
        <v>15</v>
      </c>
      <c r="B18" s="106" t="s">
        <v>85</v>
      </c>
      <c r="C18" s="108"/>
      <c r="D18" s="108"/>
      <c r="E18" s="108"/>
      <c r="F18" s="108">
        <f t="shared" si="2"/>
        <v>0</v>
      </c>
      <c r="G18" s="46"/>
    </row>
    <row r="19" spans="1:9">
      <c r="A19" s="107">
        <v>16</v>
      </c>
      <c r="B19" s="107" t="s">
        <v>8</v>
      </c>
      <c r="C19" s="108"/>
      <c r="D19" s="108"/>
      <c r="E19" s="108"/>
      <c r="F19" s="108">
        <f t="shared" si="2"/>
        <v>0</v>
      </c>
      <c r="G19" s="46"/>
      <c r="H19" s="144"/>
    </row>
    <row r="20" spans="1:9">
      <c r="A20" s="118">
        <v>17</v>
      </c>
      <c r="B20" s="118" t="s">
        <v>86</v>
      </c>
      <c r="C20" s="108">
        <v>0.37083333333333335</v>
      </c>
      <c r="D20" s="108">
        <v>0.72499999999999998</v>
      </c>
      <c r="E20" s="108">
        <v>4.1666666666666664E-2</v>
      </c>
      <c r="F20" s="108">
        <f>D20-C20-E20</f>
        <v>0.31249999999999994</v>
      </c>
      <c r="G20" s="46"/>
      <c r="I20" s="46"/>
    </row>
    <row r="21" spans="1:9">
      <c r="A21" s="118">
        <v>18</v>
      </c>
      <c r="B21" s="118" t="s">
        <v>87</v>
      </c>
      <c r="C21" s="108">
        <v>0.39097222222222222</v>
      </c>
      <c r="D21" s="108">
        <v>0.7319444444444444</v>
      </c>
      <c r="E21" s="108">
        <v>4.1666666666666664E-2</v>
      </c>
      <c r="F21" s="108">
        <f t="shared" ref="F21:F22" si="3">D21-C21-E21</f>
        <v>0.29930555555555549</v>
      </c>
      <c r="G21" s="46"/>
      <c r="I21" s="46"/>
    </row>
    <row r="22" spans="1:9">
      <c r="A22" s="118">
        <v>19</v>
      </c>
      <c r="B22" s="118" t="s">
        <v>84</v>
      </c>
      <c r="C22" s="108">
        <v>0.3659722222222222</v>
      </c>
      <c r="D22" s="108">
        <v>0.71111111111111114</v>
      </c>
      <c r="E22" s="108">
        <v>4.1666666666666664E-2</v>
      </c>
      <c r="F22" s="108">
        <f t="shared" si="3"/>
        <v>0.30347222222222225</v>
      </c>
    </row>
    <row r="23" spans="1:9">
      <c r="A23" s="118">
        <v>20</v>
      </c>
      <c r="B23" s="118" t="s">
        <v>9</v>
      </c>
      <c r="C23" s="108">
        <v>0.39374999999999999</v>
      </c>
      <c r="D23" s="108">
        <v>0.72916666666666663</v>
      </c>
      <c r="E23" s="108">
        <v>4.1666666666666664E-2</v>
      </c>
      <c r="F23" s="108">
        <f t="shared" ref="F23:F29" si="4">D23-C23-E23</f>
        <v>0.29374999999999996</v>
      </c>
      <c r="H23" s="46"/>
    </row>
    <row r="24" spans="1:9">
      <c r="A24" s="118">
        <v>21</v>
      </c>
      <c r="B24" s="118" t="s">
        <v>10</v>
      </c>
      <c r="C24" s="108">
        <v>0.375</v>
      </c>
      <c r="D24" s="108">
        <v>0.71666666666666667</v>
      </c>
      <c r="E24" s="108">
        <v>4.1666666666666664E-2</v>
      </c>
      <c r="F24" s="108">
        <f t="shared" si="4"/>
        <v>0.3</v>
      </c>
      <c r="G24" s="46"/>
    </row>
    <row r="25" spans="1:9">
      <c r="A25" s="106">
        <v>22</v>
      </c>
      <c r="B25" s="106" t="s">
        <v>85</v>
      </c>
      <c r="C25" s="108">
        <v>0.3923611111111111</v>
      </c>
      <c r="D25" s="108">
        <v>0.72569444444444453</v>
      </c>
      <c r="E25" s="108">
        <v>4.1666666666666664E-2</v>
      </c>
      <c r="F25" s="108">
        <f t="shared" si="4"/>
        <v>0.29166666666666674</v>
      </c>
      <c r="G25" s="46"/>
      <c r="H25" s="46"/>
    </row>
    <row r="26" spans="1:9">
      <c r="A26" s="107">
        <v>23</v>
      </c>
      <c r="B26" s="107" t="s">
        <v>8</v>
      </c>
      <c r="C26" s="108"/>
      <c r="D26" s="108"/>
      <c r="E26" s="108"/>
      <c r="F26" s="108">
        <f t="shared" si="4"/>
        <v>0</v>
      </c>
      <c r="G26" s="46"/>
    </row>
    <row r="27" spans="1:9">
      <c r="A27" s="118">
        <v>24</v>
      </c>
      <c r="B27" s="118" t="s">
        <v>86</v>
      </c>
      <c r="C27" s="108">
        <v>0.36319444444444443</v>
      </c>
      <c r="D27" s="108">
        <v>0.72430555555555554</v>
      </c>
      <c r="E27" s="108">
        <v>4.1666666666666664E-2</v>
      </c>
      <c r="F27" s="108">
        <f t="shared" si="4"/>
        <v>0.31944444444444442</v>
      </c>
      <c r="G27" s="46"/>
    </row>
    <row r="28" spans="1:9">
      <c r="A28" s="118">
        <v>25</v>
      </c>
      <c r="B28" s="118" t="s">
        <v>87</v>
      </c>
      <c r="C28" s="108">
        <v>0.3888888888888889</v>
      </c>
      <c r="D28" s="108">
        <v>0.52569444444444446</v>
      </c>
      <c r="E28" s="108"/>
      <c r="F28" s="108">
        <f t="shared" si="4"/>
        <v>0.13680555555555557</v>
      </c>
      <c r="G28" s="46"/>
    </row>
    <row r="29" spans="1:9">
      <c r="A29" s="118">
        <v>26</v>
      </c>
      <c r="B29" s="118" t="s">
        <v>84</v>
      </c>
      <c r="C29" s="108">
        <v>0.37152777777777773</v>
      </c>
      <c r="D29" s="108">
        <v>0.71458333333333324</v>
      </c>
      <c r="E29" s="108">
        <v>4.1666666666666664E-2</v>
      </c>
      <c r="F29" s="108">
        <f t="shared" si="4"/>
        <v>0.30138888888888882</v>
      </c>
      <c r="G29" s="46"/>
    </row>
    <row r="30" spans="1:9">
      <c r="A30" s="118">
        <v>27</v>
      </c>
      <c r="B30" s="118" t="s">
        <v>9</v>
      </c>
      <c r="C30" s="108">
        <v>0.3888888888888889</v>
      </c>
      <c r="D30" s="108">
        <v>0.72222222222222221</v>
      </c>
      <c r="E30" s="108">
        <v>4.1666666666666664E-2</v>
      </c>
      <c r="F30" s="108">
        <f t="shared" ref="F30:F34" si="5">D30-C30-E30</f>
        <v>0.29166666666666663</v>
      </c>
      <c r="G30" s="46"/>
      <c r="H30" s="46"/>
    </row>
    <row r="31" spans="1:9">
      <c r="A31" s="118">
        <v>28</v>
      </c>
      <c r="B31" s="118" t="s">
        <v>10</v>
      </c>
      <c r="C31" s="108">
        <v>0.36944444444444446</v>
      </c>
      <c r="D31" s="108">
        <v>0.70833333333333337</v>
      </c>
      <c r="E31" s="108">
        <v>4.1666666666666664E-2</v>
      </c>
      <c r="F31" s="108">
        <f t="shared" si="5"/>
        <v>0.29722222222222222</v>
      </c>
      <c r="G31" s="46"/>
    </row>
    <row r="32" spans="1:9">
      <c r="A32" s="106">
        <v>29</v>
      </c>
      <c r="B32" s="106" t="s">
        <v>85</v>
      </c>
      <c r="C32" s="108">
        <v>0.39374999999999999</v>
      </c>
      <c r="D32" s="108">
        <v>0.63958333333333328</v>
      </c>
      <c r="E32" s="108"/>
      <c r="F32" s="108">
        <f t="shared" si="5"/>
        <v>0.24583333333333329</v>
      </c>
      <c r="G32" s="46"/>
    </row>
    <row r="33" spans="1:8">
      <c r="A33" s="107">
        <v>30</v>
      </c>
      <c r="B33" s="107" t="s">
        <v>8</v>
      </c>
      <c r="C33" s="108"/>
      <c r="D33" s="108"/>
      <c r="E33" s="108"/>
      <c r="F33" s="108">
        <f t="shared" si="5"/>
        <v>0</v>
      </c>
      <c r="G33" s="46"/>
    </row>
    <row r="34" spans="1:8">
      <c r="A34" s="118">
        <v>31</v>
      </c>
      <c r="B34" s="118" t="s">
        <v>86</v>
      </c>
      <c r="C34" s="108">
        <v>0.37291666666666662</v>
      </c>
      <c r="D34" s="108">
        <v>0.71944444444444444</v>
      </c>
      <c r="E34" s="108">
        <v>4.1666666666666664E-2</v>
      </c>
      <c r="F34" s="108">
        <f t="shared" si="5"/>
        <v>0.30486111111111114</v>
      </c>
      <c r="G34" s="46"/>
    </row>
    <row r="35" spans="1:8">
      <c r="E35" t="s">
        <v>68</v>
      </c>
      <c r="F35" s="102">
        <f>SUM(F4:F34)</f>
        <v>7.1229166666666668</v>
      </c>
      <c r="G35" s="102">
        <f>SUM(G4:G34)</f>
        <v>0</v>
      </c>
      <c r="H35" s="102">
        <f>SUM(H4:H34)</f>
        <v>0</v>
      </c>
    </row>
    <row r="37" spans="1:8" ht="32.25" customHeight="1" thickBot="1">
      <c r="C37" s="103" t="s">
        <v>17</v>
      </c>
      <c r="D37" s="214" t="s">
        <v>33</v>
      </c>
      <c r="E37" s="214"/>
      <c r="F37" s="214"/>
    </row>
    <row r="38" spans="1:8" ht="30" customHeight="1" thickTop="1">
      <c r="C38" s="104" t="s">
        <v>82</v>
      </c>
      <c r="D38" t="s">
        <v>83</v>
      </c>
      <c r="E38" t="s">
        <v>136</v>
      </c>
    </row>
    <row r="39" spans="1:8">
      <c r="A39" s="105" t="s">
        <v>8</v>
      </c>
      <c r="B39" s="105" t="s">
        <v>77</v>
      </c>
      <c r="C39" s="105" t="s">
        <v>78</v>
      </c>
      <c r="D39" s="105" t="s">
        <v>79</v>
      </c>
      <c r="E39" s="105" t="s">
        <v>80</v>
      </c>
      <c r="F39" s="105" t="s">
        <v>81</v>
      </c>
    </row>
    <row r="40" spans="1:8">
      <c r="A40" s="106">
        <v>1</v>
      </c>
      <c r="B40" s="106" t="s">
        <v>85</v>
      </c>
      <c r="C40" s="108"/>
      <c r="D40" s="108"/>
      <c r="E40" s="108"/>
      <c r="F40" s="108">
        <f>D40-C40-E40</f>
        <v>0</v>
      </c>
      <c r="G40" s="46"/>
    </row>
    <row r="41" spans="1:8">
      <c r="A41" s="107">
        <v>2</v>
      </c>
      <c r="B41" s="107" t="s">
        <v>8</v>
      </c>
      <c r="C41" s="108"/>
      <c r="D41" s="108"/>
      <c r="E41" s="108"/>
      <c r="F41" s="108">
        <f t="shared" ref="F41:F55" si="6">D41-C41-E41</f>
        <v>0</v>
      </c>
      <c r="H41" s="46"/>
    </row>
    <row r="42" spans="1:8">
      <c r="A42" s="118">
        <v>3</v>
      </c>
      <c r="B42" s="118" t="s">
        <v>86</v>
      </c>
      <c r="C42" s="108">
        <v>0.34930555555555554</v>
      </c>
      <c r="D42" s="108">
        <v>0.71527777777777779</v>
      </c>
      <c r="E42" s="108">
        <v>4.1666666666666664E-2</v>
      </c>
      <c r="F42" s="108">
        <f t="shared" si="6"/>
        <v>0.32430555555555557</v>
      </c>
      <c r="G42" s="46"/>
    </row>
    <row r="43" spans="1:8">
      <c r="A43" s="118">
        <v>4</v>
      </c>
      <c r="B43" s="118" t="s">
        <v>87</v>
      </c>
      <c r="C43" s="108">
        <v>0.34791666666666665</v>
      </c>
      <c r="D43" s="108">
        <v>0.72638888888888886</v>
      </c>
      <c r="E43" s="108">
        <v>4.1666666666666664E-2</v>
      </c>
      <c r="F43" s="108">
        <f t="shared" si="6"/>
        <v>0.33680555555555552</v>
      </c>
    </row>
    <row r="44" spans="1:8">
      <c r="A44" s="118">
        <v>5</v>
      </c>
      <c r="B44" s="118" t="s">
        <v>84</v>
      </c>
      <c r="C44" s="108">
        <v>0.35000000000000003</v>
      </c>
      <c r="D44" s="108">
        <v>0.68958333333333333</v>
      </c>
      <c r="E44" s="108">
        <v>4.1666666666666664E-2</v>
      </c>
      <c r="F44" s="108">
        <f t="shared" si="6"/>
        <v>0.29791666666666661</v>
      </c>
    </row>
    <row r="45" spans="1:8">
      <c r="A45" s="118">
        <v>6</v>
      </c>
      <c r="B45" s="118" t="s">
        <v>9</v>
      </c>
      <c r="C45" s="108">
        <v>0.35069444444444442</v>
      </c>
      <c r="D45" s="108">
        <v>0.71388888888888891</v>
      </c>
      <c r="E45" s="108">
        <v>4.1666666666666664E-2</v>
      </c>
      <c r="F45" s="108">
        <f t="shared" si="6"/>
        <v>0.3215277777777778</v>
      </c>
      <c r="G45" s="46"/>
    </row>
    <row r="46" spans="1:8">
      <c r="A46" s="118">
        <v>7</v>
      </c>
      <c r="B46" s="118" t="s">
        <v>10</v>
      </c>
      <c r="C46" s="108">
        <v>0.35069444444444442</v>
      </c>
      <c r="D46" s="108">
        <v>0.69305555555555554</v>
      </c>
      <c r="E46" s="108">
        <v>4.1666666666666664E-2</v>
      </c>
      <c r="F46" s="108">
        <f t="shared" si="6"/>
        <v>0.30069444444444443</v>
      </c>
      <c r="H46" s="46"/>
    </row>
    <row r="47" spans="1:8">
      <c r="A47" s="106">
        <v>8</v>
      </c>
      <c r="B47" s="106" t="s">
        <v>85</v>
      </c>
      <c r="C47" s="108"/>
      <c r="D47" s="108"/>
      <c r="E47" s="108"/>
      <c r="F47" s="108">
        <f t="shared" si="6"/>
        <v>0</v>
      </c>
      <c r="G47" s="46"/>
    </row>
    <row r="48" spans="1:8">
      <c r="A48" s="107">
        <v>9</v>
      </c>
      <c r="B48" s="107" t="s">
        <v>8</v>
      </c>
      <c r="C48" s="108"/>
      <c r="D48" s="108"/>
      <c r="E48" s="108"/>
      <c r="F48" s="108">
        <f t="shared" si="6"/>
        <v>0</v>
      </c>
      <c r="H48" s="46"/>
    </row>
    <row r="49" spans="1:8">
      <c r="A49" s="118">
        <v>10</v>
      </c>
      <c r="B49" s="118" t="s">
        <v>86</v>
      </c>
      <c r="C49" s="108">
        <v>0.34861111111111115</v>
      </c>
      <c r="D49" s="108">
        <v>0.70208333333333339</v>
      </c>
      <c r="E49" s="108">
        <v>4.1666666666666664E-2</v>
      </c>
      <c r="F49" s="108">
        <f t="shared" si="6"/>
        <v>0.31180555555555556</v>
      </c>
      <c r="G49" s="46"/>
    </row>
    <row r="50" spans="1:8">
      <c r="A50" s="118">
        <v>11</v>
      </c>
      <c r="B50" s="118" t="s">
        <v>87</v>
      </c>
      <c r="C50" s="108">
        <v>0.34722222222222227</v>
      </c>
      <c r="D50" s="108">
        <v>0.69444444444444453</v>
      </c>
      <c r="E50" s="108">
        <v>4.1666666666666664E-2</v>
      </c>
      <c r="F50" s="108">
        <f t="shared" si="6"/>
        <v>0.30555555555555558</v>
      </c>
    </row>
    <row r="51" spans="1:8">
      <c r="A51" s="118">
        <v>12</v>
      </c>
      <c r="B51" s="118" t="s">
        <v>84</v>
      </c>
      <c r="C51" s="108">
        <v>0.34861111111111115</v>
      </c>
      <c r="D51" s="108">
        <v>0.70624999999999993</v>
      </c>
      <c r="E51" s="108">
        <v>4.1666666666666664E-2</v>
      </c>
      <c r="F51" s="108">
        <f t="shared" si="6"/>
        <v>0.3159722222222221</v>
      </c>
      <c r="G51" s="46"/>
    </row>
    <row r="52" spans="1:8">
      <c r="A52" s="118">
        <v>13</v>
      </c>
      <c r="B52" s="118" t="s">
        <v>9</v>
      </c>
      <c r="C52" s="108">
        <v>0.34722222222222227</v>
      </c>
      <c r="D52" s="108">
        <v>0.70763888888888893</v>
      </c>
      <c r="E52" s="108">
        <v>4.1666666666666664E-2</v>
      </c>
      <c r="F52" s="108">
        <f t="shared" si="6"/>
        <v>0.31874999999999998</v>
      </c>
      <c r="G52" s="46"/>
      <c r="H52" s="46"/>
    </row>
    <row r="53" spans="1:8">
      <c r="A53" s="118">
        <v>14</v>
      </c>
      <c r="B53" s="118" t="s">
        <v>10</v>
      </c>
      <c r="C53" s="108"/>
      <c r="D53" s="108"/>
      <c r="E53" s="108"/>
      <c r="F53" s="108">
        <f t="shared" si="6"/>
        <v>0</v>
      </c>
      <c r="G53" s="46"/>
      <c r="H53" s="46"/>
    </row>
    <row r="54" spans="1:8">
      <c r="A54" s="106">
        <v>15</v>
      </c>
      <c r="B54" s="106" t="s">
        <v>85</v>
      </c>
      <c r="C54" s="108"/>
      <c r="D54" s="108"/>
      <c r="E54" s="108"/>
      <c r="F54" s="108">
        <f t="shared" si="6"/>
        <v>0</v>
      </c>
      <c r="G54" s="46"/>
      <c r="H54" s="46"/>
    </row>
    <row r="55" spans="1:8">
      <c r="A55" s="107">
        <v>16</v>
      </c>
      <c r="B55" s="107" t="s">
        <v>8</v>
      </c>
      <c r="C55" s="108"/>
      <c r="D55" s="108"/>
      <c r="E55" s="108"/>
      <c r="F55" s="108">
        <f t="shared" si="6"/>
        <v>0</v>
      </c>
      <c r="H55" s="46"/>
    </row>
    <row r="56" spans="1:8">
      <c r="A56" s="118">
        <v>17</v>
      </c>
      <c r="B56" s="118" t="s">
        <v>86</v>
      </c>
      <c r="C56" s="108">
        <v>0.34791666666666665</v>
      </c>
      <c r="D56" s="108">
        <v>0.69513888888888886</v>
      </c>
      <c r="E56" s="108">
        <v>4.1666666666666664E-2</v>
      </c>
      <c r="F56" s="108">
        <f>D56-C56-E56</f>
        <v>0.30555555555555552</v>
      </c>
      <c r="H56" s="46"/>
    </row>
    <row r="57" spans="1:8">
      <c r="A57" s="118">
        <v>18</v>
      </c>
      <c r="B57" s="118" t="s">
        <v>87</v>
      </c>
      <c r="C57" s="108">
        <v>0.34930555555555554</v>
      </c>
      <c r="D57" s="108">
        <v>0.69236111111111109</v>
      </c>
      <c r="E57" s="108">
        <v>4.1666666666666664E-2</v>
      </c>
      <c r="F57" s="108">
        <f t="shared" ref="F57:F70" si="7">D57-C57-E57</f>
        <v>0.30138888888888887</v>
      </c>
      <c r="G57" s="46"/>
    </row>
    <row r="58" spans="1:8">
      <c r="A58" s="118">
        <v>19</v>
      </c>
      <c r="B58" s="118" t="s">
        <v>84</v>
      </c>
      <c r="C58" s="108">
        <v>0.34930555555555554</v>
      </c>
      <c r="D58" s="108">
        <v>0.69236111111111109</v>
      </c>
      <c r="E58" s="108">
        <v>4.1666666666666664E-2</v>
      </c>
      <c r="F58" s="108">
        <f t="shared" si="7"/>
        <v>0.30138888888888887</v>
      </c>
      <c r="G58" s="46"/>
    </row>
    <row r="59" spans="1:8">
      <c r="A59" s="118">
        <v>20</v>
      </c>
      <c r="B59" s="118" t="s">
        <v>9</v>
      </c>
      <c r="C59" s="108">
        <v>0.35000000000000003</v>
      </c>
      <c r="D59" s="108">
        <v>0.69374999999999998</v>
      </c>
      <c r="E59" s="108">
        <v>4.1666666666666664E-2</v>
      </c>
      <c r="F59" s="108">
        <f t="shared" si="7"/>
        <v>0.30208333333333326</v>
      </c>
      <c r="G59" s="46"/>
      <c r="H59" s="46"/>
    </row>
    <row r="60" spans="1:8">
      <c r="A60" s="118">
        <v>21</v>
      </c>
      <c r="B60" s="118" t="s">
        <v>10</v>
      </c>
      <c r="C60" s="108">
        <v>0.35000000000000003</v>
      </c>
      <c r="D60" s="108">
        <v>0.68888888888888899</v>
      </c>
      <c r="E60" s="108">
        <v>4.1666666666666664E-2</v>
      </c>
      <c r="F60" s="108">
        <f t="shared" si="7"/>
        <v>0.29722222222222228</v>
      </c>
      <c r="G60" s="46"/>
      <c r="H60" s="46"/>
    </row>
    <row r="61" spans="1:8">
      <c r="A61" s="106">
        <v>22</v>
      </c>
      <c r="B61" s="106" t="s">
        <v>85</v>
      </c>
      <c r="C61" s="108">
        <v>0.33333333333333331</v>
      </c>
      <c r="D61" s="108">
        <v>0.60416666666666663</v>
      </c>
      <c r="E61" s="108">
        <v>4.1666666666666664E-2</v>
      </c>
      <c r="F61" s="108">
        <f t="shared" si="7"/>
        <v>0.22916666666666666</v>
      </c>
      <c r="G61" s="46"/>
      <c r="H61" s="46"/>
    </row>
    <row r="62" spans="1:8">
      <c r="A62" s="107">
        <v>23</v>
      </c>
      <c r="B62" s="107" t="s">
        <v>8</v>
      </c>
      <c r="C62" s="108"/>
      <c r="D62" s="108"/>
      <c r="E62" s="108"/>
      <c r="F62" s="108">
        <f t="shared" si="7"/>
        <v>0</v>
      </c>
      <c r="H62" s="46"/>
    </row>
    <row r="63" spans="1:8">
      <c r="A63" s="118">
        <v>24</v>
      </c>
      <c r="B63" s="118" t="s">
        <v>86</v>
      </c>
      <c r="C63" s="108">
        <v>0.35069444444444442</v>
      </c>
      <c r="D63" s="108">
        <v>0.69444444444444453</v>
      </c>
      <c r="E63" s="108">
        <v>4.1666666666666664E-2</v>
      </c>
      <c r="F63" s="108">
        <f t="shared" si="7"/>
        <v>0.30208333333333343</v>
      </c>
    </row>
    <row r="64" spans="1:8">
      <c r="A64" s="118">
        <v>25</v>
      </c>
      <c r="B64" s="118" t="s">
        <v>87</v>
      </c>
      <c r="C64" s="108">
        <v>0.34930555555555554</v>
      </c>
      <c r="D64" s="108">
        <v>0.50763888888888886</v>
      </c>
      <c r="E64" s="108">
        <v>4.1666666666666664E-2</v>
      </c>
      <c r="F64" s="108">
        <f t="shared" si="7"/>
        <v>0.11666666666666667</v>
      </c>
      <c r="G64" s="46"/>
    </row>
    <row r="65" spans="1:8">
      <c r="A65" s="118">
        <v>26</v>
      </c>
      <c r="B65" s="118" t="s">
        <v>84</v>
      </c>
      <c r="C65" s="108">
        <v>0.34930555555555554</v>
      </c>
      <c r="D65" s="108">
        <v>0.68680555555555556</v>
      </c>
      <c r="E65" s="108">
        <v>4.1666666666666664E-2</v>
      </c>
      <c r="F65" s="108">
        <f t="shared" si="7"/>
        <v>0.29583333333333334</v>
      </c>
      <c r="G65" s="46"/>
    </row>
    <row r="66" spans="1:8">
      <c r="A66" s="118">
        <v>27</v>
      </c>
      <c r="B66" s="118" t="s">
        <v>9</v>
      </c>
      <c r="C66" s="108">
        <v>0.35138888888888892</v>
      </c>
      <c r="D66" s="108">
        <v>0.69305555555555554</v>
      </c>
      <c r="E66" s="108">
        <v>4.1666666666666664E-2</v>
      </c>
      <c r="F66" s="108">
        <f t="shared" si="7"/>
        <v>0.29999999999999993</v>
      </c>
      <c r="G66" s="46"/>
      <c r="H66" s="46"/>
    </row>
    <row r="67" spans="1:8">
      <c r="A67" s="118">
        <v>28</v>
      </c>
      <c r="B67" s="118" t="s">
        <v>10</v>
      </c>
      <c r="C67" s="108">
        <v>0.34930555555555554</v>
      </c>
      <c r="D67" s="108">
        <v>0.6958333333333333</v>
      </c>
      <c r="E67" s="108">
        <v>4.1666666666666664E-2</v>
      </c>
      <c r="F67" s="108">
        <f t="shared" si="7"/>
        <v>0.30486111111111108</v>
      </c>
      <c r="G67" s="46"/>
      <c r="H67" s="46"/>
    </row>
    <row r="68" spans="1:8">
      <c r="A68" s="106">
        <v>29</v>
      </c>
      <c r="B68" s="106" t="s">
        <v>85</v>
      </c>
      <c r="C68" s="108"/>
      <c r="D68" s="108"/>
      <c r="E68" s="108"/>
      <c r="F68" s="108">
        <f t="shared" si="7"/>
        <v>0</v>
      </c>
      <c r="G68" s="46"/>
    </row>
    <row r="69" spans="1:8">
      <c r="A69" s="107">
        <v>30</v>
      </c>
      <c r="B69" s="107" t="s">
        <v>8</v>
      </c>
      <c r="C69" s="108"/>
      <c r="D69" s="108"/>
      <c r="E69" s="108"/>
      <c r="F69" s="108">
        <f t="shared" si="7"/>
        <v>0</v>
      </c>
      <c r="G69" s="46"/>
    </row>
    <row r="70" spans="1:8">
      <c r="A70" s="118">
        <v>31</v>
      </c>
      <c r="B70" s="118" t="s">
        <v>86</v>
      </c>
      <c r="C70" s="108">
        <v>0.35000000000000003</v>
      </c>
      <c r="D70" s="108">
        <v>0.69444444444444453</v>
      </c>
      <c r="E70" s="108">
        <v>4.1666666666666664E-2</v>
      </c>
      <c r="F70" s="108">
        <f t="shared" si="7"/>
        <v>0.30277777777777781</v>
      </c>
    </row>
    <row r="71" spans="1:8">
      <c r="C71" s="162"/>
      <c r="E71" t="s">
        <v>68</v>
      </c>
      <c r="F71" s="102">
        <f>SUM(F40:F70)</f>
        <v>6.1923611111111114</v>
      </c>
      <c r="G71" s="46"/>
      <c r="H71" s="114"/>
    </row>
  </sheetData>
  <mergeCells count="2">
    <mergeCell ref="D1:F1"/>
    <mergeCell ref="D37:F37"/>
  </mergeCells>
  <phoneticPr fontId="2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activeCell="H17" sqref="H17"/>
    </sheetView>
  </sheetViews>
  <sheetFormatPr defaultRowHeight="13.5"/>
  <cols>
    <col min="1" max="9" width="11.875" customWidth="1"/>
    <col min="11" max="11" width="9.25" bestFit="1" customWidth="1"/>
    <col min="12" max="12" width="12" customWidth="1"/>
  </cols>
  <sheetData>
    <row r="1" spans="1:9" ht="14.25" thickBot="1">
      <c r="A1" t="s">
        <v>137</v>
      </c>
    </row>
    <row r="2" spans="1:9" ht="15.75" customHeight="1" thickBot="1">
      <c r="A2" s="235" t="s">
        <v>95</v>
      </c>
      <c r="B2" s="236"/>
      <c r="C2" s="233" t="s">
        <v>96</v>
      </c>
      <c r="D2" s="233"/>
      <c r="E2" s="233"/>
      <c r="F2" s="233"/>
      <c r="G2" s="134" t="s">
        <v>97</v>
      </c>
      <c r="H2" s="134" t="s">
        <v>98</v>
      </c>
      <c r="I2" s="135" t="s">
        <v>99</v>
      </c>
    </row>
    <row r="3" spans="1:9" ht="15.75" customHeight="1" thickTop="1">
      <c r="A3" s="237" t="s">
        <v>100</v>
      </c>
      <c r="B3" s="238"/>
      <c r="C3" s="229" t="s">
        <v>101</v>
      </c>
      <c r="D3" s="229"/>
      <c r="E3" s="229"/>
      <c r="F3" s="229"/>
      <c r="G3" s="132">
        <v>42264</v>
      </c>
      <c r="H3" s="133">
        <v>145230</v>
      </c>
      <c r="I3" s="15" t="s">
        <v>103</v>
      </c>
    </row>
    <row r="4" spans="1:9" ht="15.75" customHeight="1">
      <c r="A4" s="239" t="s">
        <v>145</v>
      </c>
      <c r="B4" s="240"/>
      <c r="C4" s="221"/>
      <c r="D4" s="221"/>
      <c r="E4" s="221"/>
      <c r="F4" s="221"/>
      <c r="G4" s="129">
        <v>42264</v>
      </c>
      <c r="H4" s="130">
        <v>8640</v>
      </c>
      <c r="I4" s="15" t="s">
        <v>103</v>
      </c>
    </row>
    <row r="5" spans="1:9" ht="15.75" customHeight="1">
      <c r="A5" s="239" t="s">
        <v>102</v>
      </c>
      <c r="B5" s="240"/>
      <c r="C5" s="221" t="s">
        <v>63</v>
      </c>
      <c r="D5" s="221"/>
      <c r="E5" s="221"/>
      <c r="F5" s="221"/>
      <c r="G5" s="129">
        <v>42264</v>
      </c>
      <c r="H5" s="130">
        <v>50400</v>
      </c>
      <c r="I5" s="19" t="s">
        <v>104</v>
      </c>
    </row>
    <row r="6" spans="1:9" ht="15.75" customHeight="1">
      <c r="A6" s="220"/>
      <c r="B6" s="221"/>
      <c r="C6" s="221"/>
      <c r="D6" s="221"/>
      <c r="E6" s="221"/>
      <c r="F6" s="221"/>
      <c r="G6" s="17"/>
      <c r="H6" s="130"/>
      <c r="I6" s="19"/>
    </row>
    <row r="7" spans="1:9" ht="15.75" customHeight="1">
      <c r="A7" s="220"/>
      <c r="B7" s="221"/>
      <c r="C7" s="221"/>
      <c r="D7" s="221"/>
      <c r="E7" s="221"/>
      <c r="F7" s="221"/>
      <c r="G7" s="17"/>
      <c r="H7" s="130"/>
      <c r="I7" s="19"/>
    </row>
    <row r="8" spans="1:9" ht="15.75" customHeight="1">
      <c r="A8" s="220"/>
      <c r="B8" s="221"/>
      <c r="C8" s="221"/>
      <c r="D8" s="221"/>
      <c r="E8" s="221"/>
      <c r="F8" s="221"/>
      <c r="G8" s="17"/>
      <c r="H8" s="130"/>
      <c r="I8" s="19"/>
    </row>
    <row r="9" spans="1:9" ht="15.75" customHeight="1">
      <c r="A9" s="220" t="s">
        <v>105</v>
      </c>
      <c r="B9" s="221"/>
      <c r="C9" s="221" t="s">
        <v>143</v>
      </c>
      <c r="D9" s="221"/>
      <c r="E9" s="221"/>
      <c r="F9" s="221"/>
      <c r="G9" s="129">
        <v>42264</v>
      </c>
      <c r="H9" s="130">
        <v>688594</v>
      </c>
      <c r="I9" s="19" t="s">
        <v>104</v>
      </c>
    </row>
    <row r="10" spans="1:9" ht="15.75" customHeight="1">
      <c r="A10" s="220" t="s">
        <v>106</v>
      </c>
      <c r="B10" s="221"/>
      <c r="C10" s="221" t="s">
        <v>144</v>
      </c>
      <c r="D10" s="221"/>
      <c r="E10" s="221"/>
      <c r="F10" s="221"/>
      <c r="G10" s="129">
        <v>42264</v>
      </c>
      <c r="H10" s="130">
        <v>316950</v>
      </c>
      <c r="I10" s="19" t="s">
        <v>104</v>
      </c>
    </row>
    <row r="11" spans="1:9" ht="15.75" customHeight="1">
      <c r="A11" s="220"/>
      <c r="B11" s="221"/>
      <c r="C11" s="221"/>
      <c r="D11" s="221"/>
      <c r="E11" s="221"/>
      <c r="F11" s="221"/>
      <c r="G11" s="17"/>
      <c r="H11" s="130"/>
      <c r="I11" s="19"/>
    </row>
    <row r="12" spans="1:9" ht="15.75" customHeight="1" thickBot="1">
      <c r="A12" s="222"/>
      <c r="B12" s="223"/>
      <c r="C12" s="223"/>
      <c r="D12" s="223"/>
      <c r="E12" s="223"/>
      <c r="F12" s="223"/>
      <c r="G12" s="33" t="s">
        <v>68</v>
      </c>
      <c r="H12" s="131">
        <f>SUM(H3:H11)</f>
        <v>1209814</v>
      </c>
      <c r="I12" s="35"/>
    </row>
    <row r="13" spans="1:9" ht="15.75" customHeight="1" thickBot="1">
      <c r="A13" s="234"/>
      <c r="B13" s="234"/>
      <c r="C13" s="234"/>
      <c r="D13" s="234"/>
      <c r="E13" s="234"/>
      <c r="F13" s="234"/>
    </row>
    <row r="14" spans="1:9" ht="15.75" customHeight="1" thickBot="1">
      <c r="A14" s="232" t="s">
        <v>107</v>
      </c>
      <c r="B14" s="233"/>
      <c r="C14" s="233" t="s">
        <v>96</v>
      </c>
      <c r="D14" s="233"/>
      <c r="E14" s="233"/>
      <c r="F14" s="233"/>
      <c r="G14" s="134" t="s">
        <v>110</v>
      </c>
      <c r="H14" s="134" t="s">
        <v>98</v>
      </c>
      <c r="I14" s="135"/>
    </row>
    <row r="15" spans="1:9" ht="15.75" customHeight="1" thickTop="1">
      <c r="A15" s="228" t="s">
        <v>108</v>
      </c>
      <c r="B15" s="229"/>
      <c r="C15" s="229" t="s">
        <v>141</v>
      </c>
      <c r="D15" s="229"/>
      <c r="E15" s="229"/>
      <c r="F15" s="229"/>
      <c r="G15" s="132">
        <v>42292</v>
      </c>
      <c r="H15" s="133">
        <v>2051600</v>
      </c>
      <c r="I15" s="15"/>
    </row>
    <row r="16" spans="1:9" ht="15.75" customHeight="1">
      <c r="A16" s="220" t="s">
        <v>109</v>
      </c>
      <c r="B16" s="221"/>
      <c r="C16" s="221" t="s">
        <v>142</v>
      </c>
      <c r="D16" s="221"/>
      <c r="E16" s="221"/>
      <c r="F16" s="221"/>
      <c r="G16" s="129">
        <v>42262</v>
      </c>
      <c r="H16" s="130">
        <v>257040</v>
      </c>
      <c r="I16" s="19"/>
    </row>
    <row r="17" spans="1:12" ht="15.75" customHeight="1">
      <c r="A17" s="220"/>
      <c r="B17" s="221"/>
      <c r="C17" s="221"/>
      <c r="D17" s="221"/>
      <c r="E17" s="221"/>
      <c r="F17" s="221"/>
      <c r="G17" s="17"/>
      <c r="H17" s="130"/>
      <c r="I17" s="19"/>
    </row>
    <row r="18" spans="1:12" ht="15.75" customHeight="1">
      <c r="A18" s="220"/>
      <c r="B18" s="221"/>
      <c r="C18" s="221"/>
      <c r="D18" s="221"/>
      <c r="E18" s="221"/>
      <c r="F18" s="221"/>
      <c r="G18" s="17"/>
      <c r="H18" s="130"/>
      <c r="I18" s="19"/>
    </row>
    <row r="19" spans="1:12" ht="15.75" customHeight="1" thickBot="1">
      <c r="A19" s="222"/>
      <c r="B19" s="223"/>
      <c r="C19" s="223"/>
      <c r="D19" s="223"/>
      <c r="E19" s="223"/>
      <c r="F19" s="223"/>
      <c r="G19" s="33" t="s">
        <v>68</v>
      </c>
      <c r="H19" s="131">
        <f>SUM(H15:H18)</f>
        <v>2308640</v>
      </c>
      <c r="I19" s="35"/>
    </row>
    <row r="20" spans="1:12" ht="15.75" customHeight="1" thickBot="1"/>
    <row r="21" spans="1:12" ht="15.75" customHeight="1" thickBot="1">
      <c r="A21" s="232" t="s">
        <v>111</v>
      </c>
      <c r="B21" s="233"/>
      <c r="C21" s="233" t="s">
        <v>96</v>
      </c>
      <c r="D21" s="233"/>
      <c r="E21" s="233"/>
      <c r="F21" s="233"/>
      <c r="G21" s="134"/>
      <c r="H21" s="134" t="s">
        <v>98</v>
      </c>
      <c r="I21" s="135"/>
    </row>
    <row r="22" spans="1:12" ht="15.75" customHeight="1" thickTop="1">
      <c r="A22" s="228" t="s">
        <v>109</v>
      </c>
      <c r="B22" s="229"/>
      <c r="C22" s="229" t="s">
        <v>139</v>
      </c>
      <c r="D22" s="229"/>
      <c r="E22" s="229"/>
      <c r="F22" s="229"/>
      <c r="G22" s="132"/>
      <c r="H22" s="133">
        <v>324000</v>
      </c>
      <c r="I22" s="15"/>
    </row>
    <row r="23" spans="1:12" ht="15.75" customHeight="1">
      <c r="A23" s="220" t="s">
        <v>109</v>
      </c>
      <c r="B23" s="221"/>
      <c r="C23" s="221" t="s">
        <v>140</v>
      </c>
      <c r="D23" s="221"/>
      <c r="E23" s="221"/>
      <c r="F23" s="221"/>
      <c r="G23" s="129"/>
      <c r="H23" s="130">
        <v>270000</v>
      </c>
      <c r="I23" s="19"/>
    </row>
    <row r="24" spans="1:12" ht="15.75" customHeight="1">
      <c r="A24" s="220"/>
      <c r="B24" s="221"/>
      <c r="C24" s="221"/>
      <c r="D24" s="221"/>
      <c r="E24" s="221"/>
      <c r="F24" s="221"/>
      <c r="G24" s="17"/>
      <c r="H24" s="130"/>
      <c r="I24" s="19"/>
    </row>
    <row r="25" spans="1:12" ht="15.75" customHeight="1">
      <c r="A25" s="220"/>
      <c r="B25" s="221"/>
      <c r="C25" s="221"/>
      <c r="D25" s="221"/>
      <c r="E25" s="221"/>
      <c r="F25" s="221"/>
      <c r="G25" s="17"/>
      <c r="H25" s="130"/>
      <c r="I25" s="19"/>
    </row>
    <row r="26" spans="1:12" ht="15.75" customHeight="1" thickBot="1">
      <c r="A26" s="222"/>
      <c r="B26" s="223"/>
      <c r="C26" s="223"/>
      <c r="D26" s="223"/>
      <c r="E26" s="223"/>
      <c r="F26" s="223"/>
      <c r="G26" s="33" t="s">
        <v>68</v>
      </c>
      <c r="H26" s="131">
        <f>SUM(H22:H25)</f>
        <v>594000</v>
      </c>
      <c r="I26" s="35"/>
    </row>
    <row r="27" spans="1:12" ht="15.75" customHeight="1" thickBot="1"/>
    <row r="28" spans="1:12" ht="15.75" customHeight="1" thickBot="1">
      <c r="A28" s="226" t="s">
        <v>138</v>
      </c>
      <c r="B28" s="227"/>
      <c r="C28" s="227"/>
      <c r="D28" s="227"/>
      <c r="E28" s="227"/>
      <c r="F28" s="227"/>
      <c r="G28" s="217" t="s">
        <v>118</v>
      </c>
      <c r="H28" s="218"/>
      <c r="I28" s="219"/>
    </row>
    <row r="29" spans="1:12" ht="15.75" customHeight="1" thickTop="1">
      <c r="A29" s="228" t="s">
        <v>112</v>
      </c>
      <c r="B29" s="229"/>
      <c r="C29" s="230">
        <v>949390</v>
      </c>
      <c r="D29" s="230"/>
      <c r="E29" s="230"/>
      <c r="F29" s="231"/>
      <c r="G29" s="136">
        <v>10000</v>
      </c>
      <c r="H29" s="138">
        <v>90</v>
      </c>
      <c r="I29" s="149">
        <v>900000</v>
      </c>
      <c r="K29" s="140">
        <v>1005544</v>
      </c>
      <c r="L29" s="151" t="s">
        <v>120</v>
      </c>
    </row>
    <row r="30" spans="1:12" ht="15.75" customHeight="1">
      <c r="A30" s="220" t="s">
        <v>113</v>
      </c>
      <c r="B30" s="221"/>
      <c r="C30" s="215"/>
      <c r="D30" s="215"/>
      <c r="E30" s="215"/>
      <c r="F30" s="216"/>
      <c r="G30" s="137">
        <v>5000</v>
      </c>
      <c r="H30" s="130">
        <v>12</v>
      </c>
      <c r="I30" s="150">
        <v>60000</v>
      </c>
      <c r="K30" s="141">
        <v>50400</v>
      </c>
      <c r="L30" s="19" t="s">
        <v>120</v>
      </c>
    </row>
    <row r="31" spans="1:12" ht="15.75" customHeight="1">
      <c r="A31" s="220" t="s">
        <v>114</v>
      </c>
      <c r="B31" s="221"/>
      <c r="C31" s="215">
        <v>238740</v>
      </c>
      <c r="D31" s="215"/>
      <c r="E31" s="215"/>
      <c r="F31" s="216"/>
      <c r="G31" s="137">
        <v>1000</v>
      </c>
      <c r="H31" s="130">
        <v>40</v>
      </c>
      <c r="I31" s="150">
        <v>40000</v>
      </c>
      <c r="K31" s="141">
        <v>153870</v>
      </c>
      <c r="L31" s="19" t="s">
        <v>103</v>
      </c>
    </row>
    <row r="32" spans="1:12" ht="15.75" customHeight="1">
      <c r="A32" s="220" t="s">
        <v>115</v>
      </c>
      <c r="B32" s="221"/>
      <c r="C32" s="215">
        <v>383660</v>
      </c>
      <c r="D32" s="215"/>
      <c r="E32" s="215"/>
      <c r="F32" s="216"/>
      <c r="G32" s="137">
        <v>500</v>
      </c>
      <c r="H32" s="130">
        <v>7</v>
      </c>
      <c r="I32" s="150">
        <v>3500</v>
      </c>
      <c r="K32" s="141">
        <v>90186</v>
      </c>
      <c r="L32" s="19" t="s">
        <v>119</v>
      </c>
    </row>
    <row r="33" spans="1:12" ht="15.75" customHeight="1">
      <c r="A33" s="220" t="s">
        <v>116</v>
      </c>
      <c r="B33" s="221"/>
      <c r="C33" s="215">
        <v>238960</v>
      </c>
      <c r="D33" s="215"/>
      <c r="E33" s="215"/>
      <c r="F33" s="216"/>
      <c r="G33" s="137">
        <v>100</v>
      </c>
      <c r="H33" s="130">
        <v>18</v>
      </c>
      <c r="I33" s="150">
        <v>1800</v>
      </c>
      <c r="K33" s="20"/>
      <c r="L33" s="19"/>
    </row>
    <row r="34" spans="1:12" ht="15.75" customHeight="1" thickBot="1">
      <c r="A34" s="220" t="s">
        <v>117</v>
      </c>
      <c r="B34" s="221"/>
      <c r="C34" s="215">
        <v>106900</v>
      </c>
      <c r="D34" s="215"/>
      <c r="E34" s="215"/>
      <c r="F34" s="216"/>
      <c r="G34" s="137">
        <v>50</v>
      </c>
      <c r="H34" s="130">
        <v>3</v>
      </c>
      <c r="I34" s="150">
        <v>150</v>
      </c>
      <c r="K34" s="142">
        <f>SUM(K29:K33)</f>
        <v>1300000</v>
      </c>
      <c r="L34" s="143" t="s">
        <v>121</v>
      </c>
    </row>
    <row r="35" spans="1:12" ht="15.75" customHeight="1">
      <c r="A35" s="220" t="s">
        <v>130</v>
      </c>
      <c r="B35" s="221"/>
      <c r="C35" s="215">
        <v>127300</v>
      </c>
      <c r="D35" s="215"/>
      <c r="E35" s="215"/>
      <c r="F35" s="216"/>
      <c r="G35" s="137">
        <v>10</v>
      </c>
      <c r="H35" s="130">
        <v>8</v>
      </c>
      <c r="I35" s="150">
        <v>80</v>
      </c>
    </row>
    <row r="36" spans="1:12" ht="15.75" customHeight="1">
      <c r="A36" s="220" t="s">
        <v>131</v>
      </c>
      <c r="B36" s="221"/>
      <c r="C36" s="215"/>
      <c r="D36" s="215"/>
      <c r="E36" s="215"/>
      <c r="F36" s="216"/>
      <c r="G36" s="137">
        <v>5</v>
      </c>
      <c r="H36" s="130">
        <v>1</v>
      </c>
      <c r="I36" s="150">
        <v>5</v>
      </c>
    </row>
    <row r="37" spans="1:12" ht="15.75" customHeight="1">
      <c r="A37" s="220" t="s">
        <v>132</v>
      </c>
      <c r="B37" s="221"/>
      <c r="C37" s="215"/>
      <c r="D37" s="215"/>
      <c r="E37" s="215"/>
      <c r="F37" s="216"/>
      <c r="G37" s="137">
        <v>1</v>
      </c>
      <c r="H37" s="130">
        <v>9</v>
      </c>
      <c r="I37" s="150">
        <v>9</v>
      </c>
    </row>
    <row r="38" spans="1:12" ht="15.75" customHeight="1" thickBot="1">
      <c r="A38" s="222" t="s">
        <v>68</v>
      </c>
      <c r="B38" s="223"/>
      <c r="C38" s="224">
        <f>SUM(C29:F37)</f>
        <v>2044950</v>
      </c>
      <c r="D38" s="224"/>
      <c r="E38" s="224"/>
      <c r="F38" s="225"/>
      <c r="G38" s="28" t="s">
        <v>68</v>
      </c>
      <c r="H38" s="131">
        <f>SUM(H29:H37)</f>
        <v>188</v>
      </c>
      <c r="I38" s="139">
        <f>SUM(I29:I37)</f>
        <v>1005544</v>
      </c>
    </row>
  </sheetData>
  <mergeCells count="70">
    <mergeCell ref="A2:B2"/>
    <mergeCell ref="A3:B3"/>
    <mergeCell ref="A4:B4"/>
    <mergeCell ref="A5:B5"/>
    <mergeCell ref="C2:F2"/>
    <mergeCell ref="C3:F3"/>
    <mergeCell ref="C4:F4"/>
    <mergeCell ref="C5:F5"/>
    <mergeCell ref="A7:B7"/>
    <mergeCell ref="C7:F7"/>
    <mergeCell ref="A6:B6"/>
    <mergeCell ref="C6:F6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1:B21"/>
    <mergeCell ref="C21:F21"/>
    <mergeCell ref="A25:B25"/>
    <mergeCell ref="C25:F25"/>
    <mergeCell ref="A26:B26"/>
    <mergeCell ref="C26:F26"/>
    <mergeCell ref="A22:B22"/>
    <mergeCell ref="C22:F22"/>
    <mergeCell ref="A23:B23"/>
    <mergeCell ref="C23:F23"/>
    <mergeCell ref="A24:B24"/>
    <mergeCell ref="C24:F24"/>
    <mergeCell ref="A38:B38"/>
    <mergeCell ref="C38:F38"/>
    <mergeCell ref="A28:F28"/>
    <mergeCell ref="A33:B33"/>
    <mergeCell ref="C33:F33"/>
    <mergeCell ref="A34:B34"/>
    <mergeCell ref="C34:F34"/>
    <mergeCell ref="A35:B35"/>
    <mergeCell ref="A29:B29"/>
    <mergeCell ref="C29:F29"/>
    <mergeCell ref="A30:B30"/>
    <mergeCell ref="C30:F30"/>
    <mergeCell ref="A31:B31"/>
    <mergeCell ref="C31:F31"/>
    <mergeCell ref="C35:F35"/>
    <mergeCell ref="A37:B37"/>
    <mergeCell ref="C37:F37"/>
    <mergeCell ref="G28:I28"/>
    <mergeCell ref="A36:B36"/>
    <mergeCell ref="C36:F36"/>
    <mergeCell ref="A32:B32"/>
    <mergeCell ref="C32:F32"/>
  </mergeCells>
  <phoneticPr fontId="2"/>
  <pageMargins left="0.51181102362204722" right="0.11811023622047245" top="0.35433070866141736" bottom="0" header="0.31496062992125984" footer="0.31496062992125984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8月分</vt:lpstr>
      <vt:lpstr>賃金集計表</vt:lpstr>
      <vt:lpstr>給料支払明細書</vt:lpstr>
      <vt:lpstr>時給計算書</vt:lpstr>
      <vt:lpstr>8月集計表</vt:lpstr>
      <vt:lpstr>Sheet2</vt:lpstr>
      <vt:lpstr>'8月集計表'!Print_Area</vt:lpstr>
      <vt:lpstr>'8月分'!Print_Area</vt:lpstr>
      <vt:lpstr>給料支払明細書!Print_Area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2015-09-15T06:56:13Z</cp:lastPrinted>
  <dcterms:created xsi:type="dcterms:W3CDTF">2015-04-15T05:06:26Z</dcterms:created>
  <dcterms:modified xsi:type="dcterms:W3CDTF">2015-09-15T06:57:20Z</dcterms:modified>
</cp:coreProperties>
</file>